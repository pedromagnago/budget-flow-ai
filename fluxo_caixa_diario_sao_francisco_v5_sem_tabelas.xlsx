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rcelo\Downloads\"/>
    </mc:Choice>
  </mc:AlternateContent>
  <xr:revisionPtr revIDLastSave="0" documentId="13_ncr:1_{A3F5333B-4520-473A-845D-62EE4005B15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OES" sheetId="1" r:id="rId1"/>
    <sheet name="BASE_CAIXA" sheetId="2" r:id="rId2"/>
    <sheet name="FLUXO_DIARIO" sheetId="3" r:id="rId3"/>
    <sheet name="SAUDE_FLUXO" sheetId="4" r:id="rId4"/>
    <sheet name="ORIGEM_RESUMIDA" sheetId="5" r:id="rId5"/>
    <sheet name="AGENDA_BANCARIA" sheetId="6" r:id="rId6"/>
    <sheet name="EXTRATO_IMPORTADO" sheetId="7" r:id="rId7"/>
    <sheet name="CONCILIACAO" sheetId="8" r:id="rId8"/>
  </sheets>
  <definedNames>
    <definedName name="_xlnm._FilterDatabase" localSheetId="5" hidden="1">AGENDA_BANCARIA!$A$4:$T$2003</definedName>
    <definedName name="_xlnm._FilterDatabase" localSheetId="1" hidden="1">BASE_CAIXA!$A$1:$AM$645</definedName>
    <definedName name="_xlnm._FilterDatabase" localSheetId="6" hidden="1">EXTRATO_IMPORTADO!$A$4:$L$404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645" i="2" l="1"/>
  <c r="AD644" i="2"/>
  <c r="AA644" i="2"/>
  <c r="AM645" i="2"/>
  <c r="AL645" i="2"/>
  <c r="AK645" i="2"/>
  <c r="AB645" i="2"/>
  <c r="Q645" i="2"/>
  <c r="AJ645" i="2" s="1"/>
  <c r="AM644" i="2"/>
  <c r="AL644" i="2"/>
  <c r="AK644" i="2"/>
  <c r="AB644" i="2"/>
  <c r="Q644" i="2"/>
  <c r="AJ644" i="2" s="1"/>
  <c r="K404" i="7" l="1"/>
  <c r="F404" i="7"/>
  <c r="K403" i="7"/>
  <c r="F403" i="7"/>
  <c r="K402" i="7"/>
  <c r="F402" i="7"/>
  <c r="K401" i="7"/>
  <c r="F401" i="7"/>
  <c r="K400" i="7"/>
  <c r="F400" i="7"/>
  <c r="K399" i="7"/>
  <c r="F399" i="7"/>
  <c r="K398" i="7"/>
  <c r="F398" i="7"/>
  <c r="K397" i="7"/>
  <c r="F397" i="7"/>
  <c r="K396" i="7"/>
  <c r="F396" i="7"/>
  <c r="K395" i="7"/>
  <c r="F395" i="7"/>
  <c r="K394" i="7"/>
  <c r="F394" i="7"/>
  <c r="K393" i="7"/>
  <c r="F393" i="7"/>
  <c r="K392" i="7"/>
  <c r="F392" i="7"/>
  <c r="K391" i="7"/>
  <c r="F391" i="7"/>
  <c r="K390" i="7"/>
  <c r="F390" i="7"/>
  <c r="K389" i="7"/>
  <c r="F389" i="7"/>
  <c r="K388" i="7"/>
  <c r="F388" i="7"/>
  <c r="K387" i="7"/>
  <c r="F387" i="7"/>
  <c r="K386" i="7"/>
  <c r="F386" i="7"/>
  <c r="K385" i="7"/>
  <c r="F385" i="7"/>
  <c r="K384" i="7"/>
  <c r="F384" i="7"/>
  <c r="K383" i="7"/>
  <c r="F383" i="7"/>
  <c r="K382" i="7"/>
  <c r="F382" i="7"/>
  <c r="K381" i="7"/>
  <c r="F381" i="7"/>
  <c r="K380" i="7"/>
  <c r="F380" i="7"/>
  <c r="K379" i="7"/>
  <c r="F379" i="7"/>
  <c r="K378" i="7"/>
  <c r="F378" i="7"/>
  <c r="K377" i="7"/>
  <c r="F377" i="7"/>
  <c r="K376" i="7"/>
  <c r="F376" i="7"/>
  <c r="K375" i="7"/>
  <c r="F375" i="7"/>
  <c r="K374" i="7"/>
  <c r="F374" i="7"/>
  <c r="K373" i="7"/>
  <c r="F373" i="7"/>
  <c r="K372" i="7"/>
  <c r="F372" i="7"/>
  <c r="K371" i="7"/>
  <c r="F371" i="7"/>
  <c r="K370" i="7"/>
  <c r="F370" i="7"/>
  <c r="K369" i="7"/>
  <c r="F369" i="7"/>
  <c r="K368" i="7"/>
  <c r="F368" i="7"/>
  <c r="K367" i="7"/>
  <c r="F367" i="7"/>
  <c r="K366" i="7"/>
  <c r="F366" i="7"/>
  <c r="K365" i="7"/>
  <c r="F365" i="7"/>
  <c r="K364" i="7"/>
  <c r="F364" i="7"/>
  <c r="K363" i="7"/>
  <c r="F363" i="7"/>
  <c r="K362" i="7"/>
  <c r="F362" i="7"/>
  <c r="K361" i="7"/>
  <c r="F361" i="7"/>
  <c r="K360" i="7"/>
  <c r="F360" i="7"/>
  <c r="K359" i="7"/>
  <c r="F359" i="7"/>
  <c r="K358" i="7"/>
  <c r="F358" i="7"/>
  <c r="K357" i="7"/>
  <c r="F357" i="7"/>
  <c r="K356" i="7"/>
  <c r="F356" i="7"/>
  <c r="K355" i="7"/>
  <c r="F355" i="7"/>
  <c r="K354" i="7"/>
  <c r="F354" i="7"/>
  <c r="K353" i="7"/>
  <c r="F353" i="7"/>
  <c r="K352" i="7"/>
  <c r="F352" i="7"/>
  <c r="K351" i="7"/>
  <c r="F351" i="7"/>
  <c r="K350" i="7"/>
  <c r="F350" i="7"/>
  <c r="K349" i="7"/>
  <c r="F349" i="7"/>
  <c r="K348" i="7"/>
  <c r="F348" i="7"/>
  <c r="K347" i="7"/>
  <c r="F347" i="7"/>
  <c r="K346" i="7"/>
  <c r="F346" i="7"/>
  <c r="K345" i="7"/>
  <c r="F345" i="7"/>
  <c r="K344" i="7"/>
  <c r="F344" i="7"/>
  <c r="K343" i="7"/>
  <c r="F343" i="7"/>
  <c r="K342" i="7"/>
  <c r="F342" i="7"/>
  <c r="K341" i="7"/>
  <c r="F341" i="7"/>
  <c r="K340" i="7"/>
  <c r="F340" i="7"/>
  <c r="K339" i="7"/>
  <c r="F339" i="7"/>
  <c r="K338" i="7"/>
  <c r="F338" i="7"/>
  <c r="K337" i="7"/>
  <c r="F337" i="7"/>
  <c r="K336" i="7"/>
  <c r="F336" i="7"/>
  <c r="K335" i="7"/>
  <c r="F335" i="7"/>
  <c r="K334" i="7"/>
  <c r="F334" i="7"/>
  <c r="K333" i="7"/>
  <c r="F333" i="7"/>
  <c r="K332" i="7"/>
  <c r="F332" i="7"/>
  <c r="K331" i="7"/>
  <c r="F331" i="7"/>
  <c r="K330" i="7"/>
  <c r="F330" i="7"/>
  <c r="K329" i="7"/>
  <c r="F329" i="7"/>
  <c r="K328" i="7"/>
  <c r="F328" i="7"/>
  <c r="K327" i="7"/>
  <c r="F327" i="7"/>
  <c r="K326" i="7"/>
  <c r="F326" i="7"/>
  <c r="K325" i="7"/>
  <c r="F325" i="7"/>
  <c r="K324" i="7"/>
  <c r="F324" i="7"/>
  <c r="K323" i="7"/>
  <c r="F323" i="7"/>
  <c r="K322" i="7"/>
  <c r="F322" i="7"/>
  <c r="K321" i="7"/>
  <c r="F321" i="7"/>
  <c r="K320" i="7"/>
  <c r="F320" i="7"/>
  <c r="K319" i="7"/>
  <c r="F319" i="7"/>
  <c r="K318" i="7"/>
  <c r="F318" i="7"/>
  <c r="K317" i="7"/>
  <c r="F317" i="7"/>
  <c r="K316" i="7"/>
  <c r="F316" i="7"/>
  <c r="K315" i="7"/>
  <c r="F315" i="7"/>
  <c r="K314" i="7"/>
  <c r="F314" i="7"/>
  <c r="K313" i="7"/>
  <c r="F313" i="7"/>
  <c r="K312" i="7"/>
  <c r="F312" i="7"/>
  <c r="K311" i="7"/>
  <c r="F311" i="7"/>
  <c r="K310" i="7"/>
  <c r="F310" i="7"/>
  <c r="K309" i="7"/>
  <c r="F309" i="7"/>
  <c r="K308" i="7"/>
  <c r="F308" i="7"/>
  <c r="K307" i="7"/>
  <c r="F307" i="7"/>
  <c r="K306" i="7"/>
  <c r="F306" i="7"/>
  <c r="K305" i="7"/>
  <c r="F305" i="7"/>
  <c r="K304" i="7"/>
  <c r="F304" i="7"/>
  <c r="K303" i="7"/>
  <c r="F303" i="7"/>
  <c r="K302" i="7"/>
  <c r="F302" i="7"/>
  <c r="K301" i="7"/>
  <c r="F301" i="7"/>
  <c r="K300" i="7"/>
  <c r="F300" i="7"/>
  <c r="K299" i="7"/>
  <c r="F299" i="7"/>
  <c r="K298" i="7"/>
  <c r="F298" i="7"/>
  <c r="K297" i="7"/>
  <c r="F297" i="7"/>
  <c r="K296" i="7"/>
  <c r="F296" i="7"/>
  <c r="K295" i="7"/>
  <c r="F295" i="7"/>
  <c r="K294" i="7"/>
  <c r="F294" i="7"/>
  <c r="K293" i="7"/>
  <c r="F293" i="7"/>
  <c r="K292" i="7"/>
  <c r="F292" i="7"/>
  <c r="K291" i="7"/>
  <c r="F291" i="7"/>
  <c r="K290" i="7"/>
  <c r="F290" i="7"/>
  <c r="K289" i="7"/>
  <c r="F289" i="7"/>
  <c r="K288" i="7"/>
  <c r="F288" i="7"/>
  <c r="K287" i="7"/>
  <c r="F287" i="7"/>
  <c r="K286" i="7"/>
  <c r="F286" i="7"/>
  <c r="K285" i="7"/>
  <c r="F285" i="7"/>
  <c r="K284" i="7"/>
  <c r="F284" i="7"/>
  <c r="K283" i="7"/>
  <c r="F283" i="7"/>
  <c r="K282" i="7"/>
  <c r="F282" i="7"/>
  <c r="K281" i="7"/>
  <c r="F281" i="7"/>
  <c r="K280" i="7"/>
  <c r="F280" i="7"/>
  <c r="K279" i="7"/>
  <c r="F279" i="7"/>
  <c r="K278" i="7"/>
  <c r="F278" i="7"/>
  <c r="K277" i="7"/>
  <c r="F277" i="7"/>
  <c r="K276" i="7"/>
  <c r="F276" i="7"/>
  <c r="K275" i="7"/>
  <c r="F275" i="7"/>
  <c r="K274" i="7"/>
  <c r="F274" i="7"/>
  <c r="K273" i="7"/>
  <c r="F273" i="7"/>
  <c r="K272" i="7"/>
  <c r="F272" i="7"/>
  <c r="K271" i="7"/>
  <c r="F271" i="7"/>
  <c r="K270" i="7"/>
  <c r="F270" i="7"/>
  <c r="K269" i="7"/>
  <c r="F269" i="7"/>
  <c r="K268" i="7"/>
  <c r="F268" i="7"/>
  <c r="K267" i="7"/>
  <c r="F267" i="7"/>
  <c r="K266" i="7"/>
  <c r="F266" i="7"/>
  <c r="K265" i="7"/>
  <c r="F265" i="7"/>
  <c r="K264" i="7"/>
  <c r="F264" i="7"/>
  <c r="K263" i="7"/>
  <c r="F263" i="7"/>
  <c r="K262" i="7"/>
  <c r="F262" i="7"/>
  <c r="K261" i="7"/>
  <c r="F261" i="7"/>
  <c r="K260" i="7"/>
  <c r="F260" i="7"/>
  <c r="K259" i="7"/>
  <c r="F259" i="7"/>
  <c r="K258" i="7"/>
  <c r="F258" i="7"/>
  <c r="K257" i="7"/>
  <c r="F257" i="7"/>
  <c r="K256" i="7"/>
  <c r="F256" i="7"/>
  <c r="K255" i="7"/>
  <c r="F255" i="7"/>
  <c r="K254" i="7"/>
  <c r="F254" i="7"/>
  <c r="K253" i="7"/>
  <c r="F253" i="7"/>
  <c r="K252" i="7"/>
  <c r="F252" i="7"/>
  <c r="K251" i="7"/>
  <c r="F251" i="7"/>
  <c r="K250" i="7"/>
  <c r="F250" i="7"/>
  <c r="K249" i="7"/>
  <c r="F249" i="7"/>
  <c r="K248" i="7"/>
  <c r="F248" i="7"/>
  <c r="K247" i="7"/>
  <c r="F247" i="7"/>
  <c r="K246" i="7"/>
  <c r="F246" i="7"/>
  <c r="K245" i="7"/>
  <c r="F245" i="7"/>
  <c r="K244" i="7"/>
  <c r="F244" i="7"/>
  <c r="K243" i="7"/>
  <c r="F243" i="7"/>
  <c r="K242" i="7"/>
  <c r="F242" i="7"/>
  <c r="K241" i="7"/>
  <c r="F241" i="7"/>
  <c r="K240" i="7"/>
  <c r="F240" i="7"/>
  <c r="K239" i="7"/>
  <c r="F239" i="7"/>
  <c r="K238" i="7"/>
  <c r="F238" i="7"/>
  <c r="K237" i="7"/>
  <c r="F237" i="7"/>
  <c r="K236" i="7"/>
  <c r="F236" i="7"/>
  <c r="K235" i="7"/>
  <c r="F235" i="7"/>
  <c r="K234" i="7"/>
  <c r="F234" i="7"/>
  <c r="K233" i="7"/>
  <c r="F233" i="7"/>
  <c r="K232" i="7"/>
  <c r="F232" i="7"/>
  <c r="K231" i="7"/>
  <c r="F231" i="7"/>
  <c r="K230" i="7"/>
  <c r="F230" i="7"/>
  <c r="K229" i="7"/>
  <c r="F229" i="7"/>
  <c r="K228" i="7"/>
  <c r="F228" i="7"/>
  <c r="K227" i="7"/>
  <c r="F227" i="7"/>
  <c r="K226" i="7"/>
  <c r="F226" i="7"/>
  <c r="K225" i="7"/>
  <c r="F225" i="7"/>
  <c r="K224" i="7"/>
  <c r="F224" i="7"/>
  <c r="K223" i="7"/>
  <c r="F223" i="7"/>
  <c r="K222" i="7"/>
  <c r="F222" i="7"/>
  <c r="K221" i="7"/>
  <c r="F221" i="7"/>
  <c r="K220" i="7"/>
  <c r="F220" i="7"/>
  <c r="K219" i="7"/>
  <c r="F219" i="7"/>
  <c r="K218" i="7"/>
  <c r="F218" i="7"/>
  <c r="K217" i="7"/>
  <c r="F217" i="7"/>
  <c r="K216" i="7"/>
  <c r="F216" i="7"/>
  <c r="K215" i="7"/>
  <c r="F215" i="7"/>
  <c r="K214" i="7"/>
  <c r="F214" i="7"/>
  <c r="K213" i="7"/>
  <c r="F213" i="7"/>
  <c r="K212" i="7"/>
  <c r="F212" i="7"/>
  <c r="K211" i="7"/>
  <c r="F211" i="7"/>
  <c r="K210" i="7"/>
  <c r="F210" i="7"/>
  <c r="K209" i="7"/>
  <c r="F209" i="7"/>
  <c r="K208" i="7"/>
  <c r="F208" i="7"/>
  <c r="K207" i="7"/>
  <c r="F207" i="7"/>
  <c r="K206" i="7"/>
  <c r="F206" i="7"/>
  <c r="K205" i="7"/>
  <c r="F205" i="7"/>
  <c r="K204" i="7"/>
  <c r="F204" i="7"/>
  <c r="K203" i="7"/>
  <c r="F203" i="7"/>
  <c r="K202" i="7"/>
  <c r="F202" i="7"/>
  <c r="K201" i="7"/>
  <c r="F201" i="7"/>
  <c r="K200" i="7"/>
  <c r="F200" i="7"/>
  <c r="K199" i="7"/>
  <c r="F199" i="7"/>
  <c r="K198" i="7"/>
  <c r="F198" i="7"/>
  <c r="K197" i="7"/>
  <c r="F197" i="7"/>
  <c r="K196" i="7"/>
  <c r="F196" i="7"/>
  <c r="K195" i="7"/>
  <c r="F195" i="7"/>
  <c r="K194" i="7"/>
  <c r="F194" i="7"/>
  <c r="K193" i="7"/>
  <c r="F193" i="7"/>
  <c r="K192" i="7"/>
  <c r="F192" i="7"/>
  <c r="K191" i="7"/>
  <c r="F191" i="7"/>
  <c r="K190" i="7"/>
  <c r="F190" i="7"/>
  <c r="K189" i="7"/>
  <c r="F189" i="7"/>
  <c r="K188" i="7"/>
  <c r="F188" i="7"/>
  <c r="K187" i="7"/>
  <c r="F187" i="7"/>
  <c r="K186" i="7"/>
  <c r="F186" i="7"/>
  <c r="K185" i="7"/>
  <c r="F185" i="7"/>
  <c r="K184" i="7"/>
  <c r="F184" i="7"/>
  <c r="K183" i="7"/>
  <c r="F183" i="7"/>
  <c r="K182" i="7"/>
  <c r="F182" i="7"/>
  <c r="K181" i="7"/>
  <c r="F181" i="7"/>
  <c r="K180" i="7"/>
  <c r="F180" i="7"/>
  <c r="K179" i="7"/>
  <c r="F179" i="7"/>
  <c r="K178" i="7"/>
  <c r="F178" i="7"/>
  <c r="K177" i="7"/>
  <c r="F177" i="7"/>
  <c r="K176" i="7"/>
  <c r="F176" i="7"/>
  <c r="K175" i="7"/>
  <c r="F175" i="7"/>
  <c r="K174" i="7"/>
  <c r="F174" i="7"/>
  <c r="K173" i="7"/>
  <c r="F173" i="7"/>
  <c r="K172" i="7"/>
  <c r="F172" i="7"/>
  <c r="K171" i="7"/>
  <c r="F171" i="7"/>
  <c r="K170" i="7"/>
  <c r="F170" i="7"/>
  <c r="K169" i="7"/>
  <c r="F169" i="7"/>
  <c r="K168" i="7"/>
  <c r="F168" i="7"/>
  <c r="K167" i="7"/>
  <c r="F167" i="7"/>
  <c r="K166" i="7"/>
  <c r="F166" i="7"/>
  <c r="K165" i="7"/>
  <c r="F165" i="7"/>
  <c r="K164" i="7"/>
  <c r="F164" i="7"/>
  <c r="K163" i="7"/>
  <c r="F163" i="7"/>
  <c r="K162" i="7"/>
  <c r="F162" i="7"/>
  <c r="K161" i="7"/>
  <c r="F161" i="7"/>
  <c r="K160" i="7"/>
  <c r="F160" i="7"/>
  <c r="K159" i="7"/>
  <c r="F159" i="7"/>
  <c r="K158" i="7"/>
  <c r="F158" i="7"/>
  <c r="K157" i="7"/>
  <c r="F157" i="7"/>
  <c r="K156" i="7"/>
  <c r="F156" i="7"/>
  <c r="K155" i="7"/>
  <c r="F155" i="7"/>
  <c r="K154" i="7"/>
  <c r="F154" i="7"/>
  <c r="K153" i="7"/>
  <c r="F153" i="7"/>
  <c r="K152" i="7"/>
  <c r="F152" i="7"/>
  <c r="K151" i="7"/>
  <c r="F151" i="7"/>
  <c r="K150" i="7"/>
  <c r="F150" i="7"/>
  <c r="K149" i="7"/>
  <c r="F149" i="7"/>
  <c r="K148" i="7"/>
  <c r="F148" i="7"/>
  <c r="K147" i="7"/>
  <c r="F147" i="7"/>
  <c r="K146" i="7"/>
  <c r="F146" i="7"/>
  <c r="K145" i="7"/>
  <c r="F145" i="7"/>
  <c r="K144" i="7"/>
  <c r="F144" i="7"/>
  <c r="K143" i="7"/>
  <c r="F143" i="7"/>
  <c r="K142" i="7"/>
  <c r="F142" i="7"/>
  <c r="K141" i="7"/>
  <c r="F141" i="7"/>
  <c r="K140" i="7"/>
  <c r="F140" i="7"/>
  <c r="K139" i="7"/>
  <c r="F139" i="7"/>
  <c r="K138" i="7"/>
  <c r="F138" i="7"/>
  <c r="K137" i="7"/>
  <c r="F137" i="7"/>
  <c r="K136" i="7"/>
  <c r="F136" i="7"/>
  <c r="K135" i="7"/>
  <c r="F135" i="7"/>
  <c r="K134" i="7"/>
  <c r="F134" i="7"/>
  <c r="K133" i="7"/>
  <c r="F133" i="7"/>
  <c r="K132" i="7"/>
  <c r="F132" i="7"/>
  <c r="K131" i="7"/>
  <c r="F131" i="7"/>
  <c r="K130" i="7"/>
  <c r="F130" i="7"/>
  <c r="K129" i="7"/>
  <c r="F129" i="7"/>
  <c r="K128" i="7"/>
  <c r="F128" i="7"/>
  <c r="K127" i="7"/>
  <c r="F127" i="7"/>
  <c r="K126" i="7"/>
  <c r="F126" i="7"/>
  <c r="K125" i="7"/>
  <c r="F125" i="7"/>
  <c r="K124" i="7"/>
  <c r="F124" i="7"/>
  <c r="K123" i="7"/>
  <c r="F123" i="7"/>
  <c r="K122" i="7"/>
  <c r="F122" i="7"/>
  <c r="K121" i="7"/>
  <c r="F121" i="7"/>
  <c r="K120" i="7"/>
  <c r="F120" i="7"/>
  <c r="K119" i="7"/>
  <c r="F119" i="7"/>
  <c r="K118" i="7"/>
  <c r="F118" i="7"/>
  <c r="K117" i="7"/>
  <c r="F117" i="7"/>
  <c r="K116" i="7"/>
  <c r="F116" i="7"/>
  <c r="K115" i="7"/>
  <c r="F115" i="7"/>
  <c r="K114" i="7"/>
  <c r="F114" i="7"/>
  <c r="K113" i="7"/>
  <c r="F113" i="7"/>
  <c r="K112" i="7"/>
  <c r="F112" i="7"/>
  <c r="K111" i="7"/>
  <c r="F111" i="7"/>
  <c r="K110" i="7"/>
  <c r="F110" i="7"/>
  <c r="K109" i="7"/>
  <c r="F109" i="7"/>
  <c r="K108" i="7"/>
  <c r="F108" i="7"/>
  <c r="K107" i="7"/>
  <c r="F107" i="7"/>
  <c r="K106" i="7"/>
  <c r="F106" i="7"/>
  <c r="K105" i="7"/>
  <c r="F105" i="7"/>
  <c r="K104" i="7"/>
  <c r="F104" i="7"/>
  <c r="K103" i="7"/>
  <c r="F103" i="7"/>
  <c r="K102" i="7"/>
  <c r="F102" i="7"/>
  <c r="K101" i="7"/>
  <c r="F101" i="7"/>
  <c r="K100" i="7"/>
  <c r="F100" i="7"/>
  <c r="K99" i="7"/>
  <c r="F99" i="7"/>
  <c r="K98" i="7"/>
  <c r="F98" i="7"/>
  <c r="K97" i="7"/>
  <c r="F97" i="7"/>
  <c r="K96" i="7"/>
  <c r="F96" i="7"/>
  <c r="K95" i="7"/>
  <c r="F95" i="7"/>
  <c r="K94" i="7"/>
  <c r="F94" i="7"/>
  <c r="K93" i="7"/>
  <c r="F93" i="7"/>
  <c r="K92" i="7"/>
  <c r="F92" i="7"/>
  <c r="K91" i="7"/>
  <c r="F91" i="7"/>
  <c r="K90" i="7"/>
  <c r="F90" i="7"/>
  <c r="K89" i="7"/>
  <c r="F89" i="7"/>
  <c r="K88" i="7"/>
  <c r="F88" i="7"/>
  <c r="K87" i="7"/>
  <c r="F87" i="7"/>
  <c r="K86" i="7"/>
  <c r="F86" i="7"/>
  <c r="K85" i="7"/>
  <c r="F85" i="7"/>
  <c r="K84" i="7"/>
  <c r="F84" i="7"/>
  <c r="K83" i="7"/>
  <c r="F83" i="7"/>
  <c r="K82" i="7"/>
  <c r="F82" i="7"/>
  <c r="K81" i="7"/>
  <c r="F81" i="7"/>
  <c r="K80" i="7"/>
  <c r="F80" i="7"/>
  <c r="K79" i="7"/>
  <c r="F79" i="7"/>
  <c r="K78" i="7"/>
  <c r="F78" i="7"/>
  <c r="K77" i="7"/>
  <c r="F77" i="7"/>
  <c r="K76" i="7"/>
  <c r="F76" i="7"/>
  <c r="K75" i="7"/>
  <c r="F75" i="7"/>
  <c r="K74" i="7"/>
  <c r="F74" i="7"/>
  <c r="K73" i="7"/>
  <c r="F73" i="7"/>
  <c r="K72" i="7"/>
  <c r="F72" i="7"/>
  <c r="K71" i="7"/>
  <c r="F71" i="7"/>
  <c r="K70" i="7"/>
  <c r="F70" i="7"/>
  <c r="K69" i="7"/>
  <c r="F69" i="7"/>
  <c r="K68" i="7"/>
  <c r="F68" i="7"/>
  <c r="K67" i="7"/>
  <c r="F67" i="7"/>
  <c r="K66" i="7"/>
  <c r="F66" i="7"/>
  <c r="K65" i="7"/>
  <c r="F65" i="7"/>
  <c r="K64" i="7"/>
  <c r="F64" i="7"/>
  <c r="K63" i="7"/>
  <c r="F63" i="7"/>
  <c r="K62" i="7"/>
  <c r="F62" i="7"/>
  <c r="K61" i="7"/>
  <c r="F61" i="7"/>
  <c r="K60" i="7"/>
  <c r="F60" i="7"/>
  <c r="K59" i="7"/>
  <c r="F59" i="7"/>
  <c r="K58" i="7"/>
  <c r="F58" i="7"/>
  <c r="K57" i="7"/>
  <c r="F57" i="7"/>
  <c r="K56" i="7"/>
  <c r="F56" i="7"/>
  <c r="K55" i="7"/>
  <c r="F55" i="7"/>
  <c r="K54" i="7"/>
  <c r="F54" i="7"/>
  <c r="K53" i="7"/>
  <c r="F53" i="7"/>
  <c r="K52" i="7"/>
  <c r="F52" i="7"/>
  <c r="K51" i="7"/>
  <c r="F51" i="7"/>
  <c r="K50" i="7"/>
  <c r="F50" i="7"/>
  <c r="K49" i="7"/>
  <c r="F49" i="7"/>
  <c r="K48" i="7"/>
  <c r="F48" i="7"/>
  <c r="K47" i="7"/>
  <c r="F47" i="7"/>
  <c r="K46" i="7"/>
  <c r="F46" i="7"/>
  <c r="K45" i="7"/>
  <c r="F45" i="7"/>
  <c r="K44" i="7"/>
  <c r="F44" i="7"/>
  <c r="K43" i="7"/>
  <c r="F43" i="7"/>
  <c r="K42" i="7"/>
  <c r="F42" i="7"/>
  <c r="K41" i="7"/>
  <c r="F41" i="7"/>
  <c r="K40" i="7"/>
  <c r="F40" i="7"/>
  <c r="K39" i="7"/>
  <c r="F39" i="7"/>
  <c r="K38" i="7"/>
  <c r="F38" i="7"/>
  <c r="K37" i="7"/>
  <c r="F37" i="7"/>
  <c r="K36" i="7"/>
  <c r="F36" i="7"/>
  <c r="K35" i="7"/>
  <c r="F35" i="7"/>
  <c r="K34" i="7"/>
  <c r="F34" i="7"/>
  <c r="K33" i="7"/>
  <c r="F33" i="7"/>
  <c r="K32" i="7"/>
  <c r="F32" i="7"/>
  <c r="K31" i="7"/>
  <c r="F31" i="7"/>
  <c r="K30" i="7"/>
  <c r="F30" i="7"/>
  <c r="K29" i="7"/>
  <c r="F29" i="7"/>
  <c r="K28" i="7"/>
  <c r="F28" i="7"/>
  <c r="K27" i="7"/>
  <c r="F27" i="7"/>
  <c r="K26" i="7"/>
  <c r="F26" i="7"/>
  <c r="K25" i="7"/>
  <c r="F25" i="7"/>
  <c r="K24" i="7"/>
  <c r="F24" i="7"/>
  <c r="K23" i="7"/>
  <c r="F23" i="7"/>
  <c r="K22" i="7"/>
  <c r="F22" i="7"/>
  <c r="K21" i="7"/>
  <c r="F21" i="7"/>
  <c r="K20" i="7"/>
  <c r="F20" i="7"/>
  <c r="K19" i="7"/>
  <c r="F19" i="7"/>
  <c r="K18" i="7"/>
  <c r="F18" i="7"/>
  <c r="K17" i="7"/>
  <c r="F17" i="7"/>
  <c r="K16" i="7"/>
  <c r="F16" i="7"/>
  <c r="K15" i="7"/>
  <c r="F15" i="7"/>
  <c r="K14" i="7"/>
  <c r="F14" i="7"/>
  <c r="K13" i="7"/>
  <c r="F13" i="7"/>
  <c r="K12" i="7"/>
  <c r="F12" i="7"/>
  <c r="K11" i="7"/>
  <c r="F11" i="7"/>
  <c r="K10" i="7"/>
  <c r="F10" i="7"/>
  <c r="K9" i="7"/>
  <c r="F9" i="7"/>
  <c r="K8" i="7"/>
  <c r="F8" i="7"/>
  <c r="K7" i="7"/>
  <c r="F7" i="7"/>
  <c r="K6" i="7"/>
  <c r="F6" i="7"/>
  <c r="K5" i="7"/>
  <c r="F5" i="7"/>
  <c r="A2003" i="6"/>
  <c r="M2003" i="6" s="1"/>
  <c r="A2002" i="6"/>
  <c r="M2002" i="6" s="1"/>
  <c r="A2001" i="6"/>
  <c r="A2000" i="6"/>
  <c r="I2000" i="6" s="1"/>
  <c r="A1999" i="6"/>
  <c r="A1998" i="6"/>
  <c r="A1997" i="6"/>
  <c r="I1997" i="6" s="1"/>
  <c r="A1996" i="6"/>
  <c r="A1995" i="6"/>
  <c r="A1994" i="6"/>
  <c r="A1993" i="6"/>
  <c r="I1993" i="6" s="1"/>
  <c r="A1992" i="6"/>
  <c r="K1992" i="6" s="1"/>
  <c r="A1991" i="6"/>
  <c r="A1990" i="6"/>
  <c r="K1990" i="6" s="1"/>
  <c r="A1989" i="6"/>
  <c r="G1989" i="6" s="1"/>
  <c r="A1988" i="6"/>
  <c r="A1987" i="6"/>
  <c r="A1986" i="6"/>
  <c r="I1986" i="6" s="1"/>
  <c r="A1985" i="6"/>
  <c r="D1985" i="6" s="1"/>
  <c r="A1984" i="6"/>
  <c r="I1984" i="6" s="1"/>
  <c r="A1983" i="6"/>
  <c r="M1983" i="6" s="1"/>
  <c r="A1982" i="6"/>
  <c r="A1981" i="6"/>
  <c r="M1981" i="6" s="1"/>
  <c r="A1980" i="6"/>
  <c r="I1980" i="6" s="1"/>
  <c r="A1979" i="6"/>
  <c r="M1979" i="6" s="1"/>
  <c r="A1978" i="6"/>
  <c r="I1978" i="6" s="1"/>
  <c r="A1977" i="6"/>
  <c r="A1976" i="6"/>
  <c r="A1975" i="6"/>
  <c r="A1974" i="6"/>
  <c r="I1974" i="6" s="1"/>
  <c r="A1973" i="6"/>
  <c r="M1973" i="6" s="1"/>
  <c r="A1972" i="6"/>
  <c r="M1972" i="6" s="1"/>
  <c r="A1971" i="6"/>
  <c r="F1971" i="6" s="1"/>
  <c r="A1970" i="6"/>
  <c r="M1970" i="6" s="1"/>
  <c r="A1969" i="6"/>
  <c r="D1969" i="6" s="1"/>
  <c r="A1968" i="6"/>
  <c r="G1968" i="6" s="1"/>
  <c r="A1967" i="6"/>
  <c r="N1967" i="6" s="1"/>
  <c r="A1966" i="6"/>
  <c r="A1965" i="6"/>
  <c r="N1965" i="6" s="1"/>
  <c r="A1964" i="6"/>
  <c r="I1964" i="6" s="1"/>
  <c r="A1963" i="6"/>
  <c r="A1962" i="6"/>
  <c r="I1962" i="6" s="1"/>
  <c r="A1961" i="6"/>
  <c r="L1961" i="6" s="1"/>
  <c r="A1960" i="6"/>
  <c r="A1959" i="6"/>
  <c r="A1958" i="6"/>
  <c r="A1957" i="6"/>
  <c r="L1957" i="6" s="1"/>
  <c r="A1956" i="6"/>
  <c r="I1956" i="6" s="1"/>
  <c r="A1955" i="6"/>
  <c r="C1955" i="6" s="1"/>
  <c r="A1954" i="6"/>
  <c r="G1954" i="6" s="1"/>
  <c r="A1953" i="6"/>
  <c r="A1952" i="6"/>
  <c r="H1952" i="6" s="1"/>
  <c r="A1951" i="6"/>
  <c r="A1950" i="6"/>
  <c r="A1949" i="6"/>
  <c r="D1949" i="6" s="1"/>
  <c r="A1948" i="6"/>
  <c r="C1948" i="6" s="1"/>
  <c r="A1947" i="6"/>
  <c r="A1946" i="6"/>
  <c r="A1945" i="6"/>
  <c r="J1945" i="6" s="1"/>
  <c r="A1944" i="6"/>
  <c r="A1943" i="6"/>
  <c r="H1943" i="6" s="1"/>
  <c r="A1942" i="6"/>
  <c r="F1942" i="6" s="1"/>
  <c r="A1941" i="6"/>
  <c r="A1940" i="6"/>
  <c r="A1939" i="6"/>
  <c r="N1939" i="6" s="1"/>
  <c r="A1938" i="6"/>
  <c r="A1937" i="6"/>
  <c r="N1937" i="6" s="1"/>
  <c r="A1936" i="6"/>
  <c r="A1935" i="6"/>
  <c r="K1935" i="6" s="1"/>
  <c r="A1934" i="6"/>
  <c r="A1933" i="6"/>
  <c r="K1933" i="6" s="1"/>
  <c r="A1932" i="6"/>
  <c r="A1931" i="6"/>
  <c r="A1930" i="6"/>
  <c r="M1930" i="6" s="1"/>
  <c r="A1929" i="6"/>
  <c r="A1928" i="6"/>
  <c r="N1928" i="6" s="1"/>
  <c r="A1927" i="6"/>
  <c r="A1926" i="6"/>
  <c r="J1926" i="6" s="1"/>
  <c r="A1925" i="6"/>
  <c r="N1925" i="6" s="1"/>
  <c r="A1924" i="6"/>
  <c r="N1924" i="6" s="1"/>
  <c r="A1923" i="6"/>
  <c r="H1923" i="6" s="1"/>
  <c r="A1922" i="6"/>
  <c r="D1922" i="6" s="1"/>
  <c r="A1921" i="6"/>
  <c r="G1921" i="6" s="1"/>
  <c r="A1920" i="6"/>
  <c r="A1919" i="6"/>
  <c r="A1918" i="6"/>
  <c r="A1917" i="6"/>
  <c r="A1916" i="6"/>
  <c r="A1915" i="6"/>
  <c r="E1915" i="6" s="1"/>
  <c r="A1914" i="6"/>
  <c r="J1914" i="6" s="1"/>
  <c r="A1913" i="6"/>
  <c r="H1913" i="6" s="1"/>
  <c r="A1912" i="6"/>
  <c r="A1911" i="6"/>
  <c r="A1910" i="6"/>
  <c r="A1909" i="6"/>
  <c r="A1908" i="6"/>
  <c r="C1908" i="6" s="1"/>
  <c r="A1907" i="6"/>
  <c r="M1907" i="6" s="1"/>
  <c r="A1906" i="6"/>
  <c r="A1905" i="6"/>
  <c r="A1904" i="6"/>
  <c r="H1904" i="6" s="1"/>
  <c r="A1903" i="6"/>
  <c r="F1903" i="6" s="1"/>
  <c r="A1902" i="6"/>
  <c r="N1902" i="6" s="1"/>
  <c r="A1901" i="6"/>
  <c r="M1901" i="6" s="1"/>
  <c r="A1900" i="6"/>
  <c r="J1900" i="6" s="1"/>
  <c r="A1899" i="6"/>
  <c r="F1899" i="6" s="1"/>
  <c r="A1898" i="6"/>
  <c r="A1897" i="6"/>
  <c r="I1897" i="6" s="1"/>
  <c r="A1896" i="6"/>
  <c r="E1896" i="6" s="1"/>
  <c r="A1895" i="6"/>
  <c r="B1895" i="6" s="1"/>
  <c r="R1895" i="6" s="1"/>
  <c r="A1894" i="6"/>
  <c r="B1894" i="6" s="1"/>
  <c r="A1893" i="6"/>
  <c r="E1893" i="6" s="1"/>
  <c r="A1892" i="6"/>
  <c r="A1891" i="6"/>
  <c r="L1891" i="6" s="1"/>
  <c r="A1890" i="6"/>
  <c r="A1889" i="6"/>
  <c r="F1889" i="6" s="1"/>
  <c r="A1888" i="6"/>
  <c r="A1887" i="6"/>
  <c r="A1886" i="6"/>
  <c r="K1886" i="6" s="1"/>
  <c r="A1885" i="6"/>
  <c r="E1885" i="6" s="1"/>
  <c r="A1884" i="6"/>
  <c r="M1884" i="6" s="1"/>
  <c r="A1883" i="6"/>
  <c r="A1882" i="6"/>
  <c r="J1882" i="6" s="1"/>
  <c r="A1881" i="6"/>
  <c r="I1881" i="6" s="1"/>
  <c r="A1880" i="6"/>
  <c r="A1879" i="6"/>
  <c r="A1878" i="6"/>
  <c r="I1878" i="6" s="1"/>
  <c r="A1877" i="6"/>
  <c r="A1876" i="6"/>
  <c r="A1875" i="6"/>
  <c r="E1875" i="6" s="1"/>
  <c r="A1874" i="6"/>
  <c r="A1873" i="6"/>
  <c r="D1873" i="6" s="1"/>
  <c r="A1872" i="6"/>
  <c r="M1872" i="6" s="1"/>
  <c r="A1871" i="6"/>
  <c r="A1870" i="6"/>
  <c r="A1869" i="6"/>
  <c r="L1869" i="6" s="1"/>
  <c r="A1868" i="6"/>
  <c r="A1867" i="6"/>
  <c r="G1867" i="6" s="1"/>
  <c r="A1866" i="6"/>
  <c r="A1865" i="6"/>
  <c r="M1865" i="6" s="1"/>
  <c r="A1864" i="6"/>
  <c r="H1864" i="6" s="1"/>
  <c r="A1863" i="6"/>
  <c r="A1862" i="6"/>
  <c r="E1862" i="6" s="1"/>
  <c r="A1861" i="6"/>
  <c r="A1860" i="6"/>
  <c r="J1860" i="6" s="1"/>
  <c r="A1859" i="6"/>
  <c r="D1859" i="6" s="1"/>
  <c r="A1858" i="6"/>
  <c r="A1857" i="6"/>
  <c r="A1856" i="6"/>
  <c r="A1855" i="6"/>
  <c r="I1855" i="6" s="1"/>
  <c r="A1854" i="6"/>
  <c r="A1853" i="6"/>
  <c r="J1853" i="6" s="1"/>
  <c r="A1852" i="6"/>
  <c r="A1851" i="6"/>
  <c r="A1850" i="6"/>
  <c r="H1850" i="6" s="1"/>
  <c r="A1849" i="6"/>
  <c r="A1848" i="6"/>
  <c r="I1848" i="6" s="1"/>
  <c r="A1847" i="6"/>
  <c r="L1847" i="6" s="1"/>
  <c r="A1846" i="6"/>
  <c r="K1846" i="6" s="1"/>
  <c r="A1845" i="6"/>
  <c r="I1845" i="6" s="1"/>
  <c r="A1844" i="6"/>
  <c r="A1843" i="6"/>
  <c r="A1842" i="6"/>
  <c r="M1842" i="6" s="1"/>
  <c r="A1841" i="6"/>
  <c r="A1840" i="6"/>
  <c r="G1840" i="6" s="1"/>
  <c r="A1839" i="6"/>
  <c r="I1839" i="6" s="1"/>
  <c r="A1838" i="6"/>
  <c r="M1838" i="6" s="1"/>
  <c r="A1837" i="6"/>
  <c r="C1837" i="6" s="1"/>
  <c r="A1836" i="6"/>
  <c r="A1835" i="6"/>
  <c r="A1834" i="6"/>
  <c r="H1834" i="6" s="1"/>
  <c r="A1833" i="6"/>
  <c r="I1833" i="6" s="1"/>
  <c r="A1832" i="6"/>
  <c r="K1832" i="6" s="1"/>
  <c r="A1831" i="6"/>
  <c r="B1831" i="6" s="1"/>
  <c r="R1831" i="6" s="1"/>
  <c r="A1830" i="6"/>
  <c r="A1829" i="6"/>
  <c r="K1829" i="6" s="1"/>
  <c r="A1828" i="6"/>
  <c r="A1827" i="6"/>
  <c r="B1827" i="6" s="1"/>
  <c r="R1827" i="6" s="1"/>
  <c r="A1826" i="6"/>
  <c r="A1825" i="6"/>
  <c r="A1824" i="6"/>
  <c r="A1823" i="6"/>
  <c r="N1823" i="6" s="1"/>
  <c r="A1822" i="6"/>
  <c r="A1821" i="6"/>
  <c r="C1821" i="6" s="1"/>
  <c r="A1820" i="6"/>
  <c r="G1820" i="6" s="1"/>
  <c r="A1819" i="6"/>
  <c r="A1818" i="6"/>
  <c r="A1817" i="6"/>
  <c r="A1816" i="6"/>
  <c r="E1816" i="6" s="1"/>
  <c r="A1815" i="6"/>
  <c r="C1815" i="6" s="1"/>
  <c r="A1814" i="6"/>
  <c r="A1813" i="6"/>
  <c r="N1813" i="6" s="1"/>
  <c r="A1812" i="6"/>
  <c r="A1811" i="6"/>
  <c r="A1810" i="6"/>
  <c r="A1809" i="6"/>
  <c r="K1809" i="6" s="1"/>
  <c r="A1808" i="6"/>
  <c r="A1807" i="6"/>
  <c r="A1806" i="6"/>
  <c r="A1805" i="6"/>
  <c r="A1804" i="6"/>
  <c r="C1804" i="6" s="1"/>
  <c r="A1803" i="6"/>
  <c r="N1803" i="6" s="1"/>
  <c r="A1802" i="6"/>
  <c r="A1801" i="6"/>
  <c r="K1801" i="6" s="1"/>
  <c r="A1800" i="6"/>
  <c r="A1799" i="6"/>
  <c r="A1798" i="6"/>
  <c r="K1798" i="6" s="1"/>
  <c r="A1797" i="6"/>
  <c r="F1797" i="6" s="1"/>
  <c r="A1796" i="6"/>
  <c r="A1795" i="6"/>
  <c r="A1794" i="6"/>
  <c r="J1794" i="6" s="1"/>
  <c r="A1793" i="6"/>
  <c r="I1793" i="6" s="1"/>
  <c r="A1792" i="6"/>
  <c r="M1792" i="6" s="1"/>
  <c r="A1791" i="6"/>
  <c r="A1790" i="6"/>
  <c r="E1790" i="6" s="1"/>
  <c r="A1789" i="6"/>
  <c r="A1788" i="6"/>
  <c r="E1788" i="6" s="1"/>
  <c r="A1787" i="6"/>
  <c r="F1787" i="6" s="1"/>
  <c r="A1786" i="6"/>
  <c r="A1785" i="6"/>
  <c r="G1785" i="6" s="1"/>
  <c r="A1784" i="6"/>
  <c r="N1784" i="6" s="1"/>
  <c r="A1783" i="6"/>
  <c r="A1782" i="6"/>
  <c r="C1782" i="6" s="1"/>
  <c r="A1781" i="6"/>
  <c r="A1780" i="6"/>
  <c r="A1779" i="6"/>
  <c r="A1778" i="6"/>
  <c r="A1777" i="6"/>
  <c r="J1777" i="6" s="1"/>
  <c r="A1776" i="6"/>
  <c r="G1776" i="6" s="1"/>
  <c r="A1775" i="6"/>
  <c r="J1775" i="6" s="1"/>
  <c r="A1774" i="6"/>
  <c r="J1774" i="6" s="1"/>
  <c r="A1773" i="6"/>
  <c r="A1772" i="6"/>
  <c r="J1772" i="6" s="1"/>
  <c r="A1771" i="6"/>
  <c r="F1771" i="6" s="1"/>
  <c r="A1770" i="6"/>
  <c r="I1770" i="6" s="1"/>
  <c r="A1769" i="6"/>
  <c r="F1769" i="6" s="1"/>
  <c r="A1768" i="6"/>
  <c r="F1768" i="6" s="1"/>
  <c r="A1767" i="6"/>
  <c r="A1766" i="6"/>
  <c r="A1765" i="6"/>
  <c r="A1764" i="6"/>
  <c r="A1763" i="6"/>
  <c r="M1763" i="6" s="1"/>
  <c r="A1762" i="6"/>
  <c r="F1762" i="6" s="1"/>
  <c r="A1761" i="6"/>
  <c r="F1761" i="6" s="1"/>
  <c r="A1760" i="6"/>
  <c r="H1760" i="6" s="1"/>
  <c r="A1759" i="6"/>
  <c r="A1758" i="6"/>
  <c r="K1758" i="6" s="1"/>
  <c r="A1757" i="6"/>
  <c r="F1757" i="6" s="1"/>
  <c r="A1756" i="6"/>
  <c r="A1755" i="6"/>
  <c r="A1754" i="6"/>
  <c r="J1754" i="6" s="1"/>
  <c r="A1753" i="6"/>
  <c r="A1752" i="6"/>
  <c r="F1752" i="6" s="1"/>
  <c r="A1751" i="6"/>
  <c r="G1751" i="6" s="1"/>
  <c r="A1750" i="6"/>
  <c r="A1749" i="6"/>
  <c r="I1749" i="6" s="1"/>
  <c r="A1748" i="6"/>
  <c r="M1748" i="6" s="1"/>
  <c r="A1747" i="6"/>
  <c r="A1746" i="6"/>
  <c r="A1745" i="6"/>
  <c r="H1745" i="6" s="1"/>
  <c r="A1744" i="6"/>
  <c r="A1743" i="6"/>
  <c r="L1743" i="6" s="1"/>
  <c r="A1742" i="6"/>
  <c r="J1742" i="6" s="1"/>
  <c r="A1741" i="6"/>
  <c r="L1741" i="6" s="1"/>
  <c r="A1740" i="6"/>
  <c r="H1740" i="6" s="1"/>
  <c r="A1739" i="6"/>
  <c r="L1739" i="6" s="1"/>
  <c r="A1738" i="6"/>
  <c r="A1737" i="6"/>
  <c r="L1737" i="6" s="1"/>
  <c r="A1736" i="6"/>
  <c r="L1736" i="6" s="1"/>
  <c r="A1735" i="6"/>
  <c r="L1735" i="6" s="1"/>
  <c r="A1734" i="6"/>
  <c r="E1734" i="6" s="1"/>
  <c r="A1733" i="6"/>
  <c r="A1732" i="6"/>
  <c r="A1731" i="6"/>
  <c r="L1731" i="6" s="1"/>
  <c r="A1730" i="6"/>
  <c r="A1729" i="6"/>
  <c r="A1728" i="6"/>
  <c r="A1727" i="6"/>
  <c r="A1726" i="6"/>
  <c r="K1726" i="6" s="1"/>
  <c r="A1725" i="6"/>
  <c r="J1725" i="6" s="1"/>
  <c r="A1724" i="6"/>
  <c r="K1724" i="6" s="1"/>
  <c r="A1723" i="6"/>
  <c r="J1723" i="6" s="1"/>
  <c r="A1722" i="6"/>
  <c r="K1722" i="6" s="1"/>
  <c r="A1721" i="6"/>
  <c r="J1721" i="6" s="1"/>
  <c r="A1720" i="6"/>
  <c r="A1719" i="6"/>
  <c r="H1719" i="6" s="1"/>
  <c r="A1718" i="6"/>
  <c r="K1718" i="6" s="1"/>
  <c r="A1717" i="6"/>
  <c r="J1717" i="6" s="1"/>
  <c r="A1716" i="6"/>
  <c r="K1716" i="6" s="1"/>
  <c r="A1715" i="6"/>
  <c r="J1715" i="6" s="1"/>
  <c r="A1714" i="6"/>
  <c r="A1713" i="6"/>
  <c r="A1712" i="6"/>
  <c r="A1711" i="6"/>
  <c r="I1711" i="6" s="1"/>
  <c r="A1710" i="6"/>
  <c r="K1710" i="6" s="1"/>
  <c r="A1709" i="6"/>
  <c r="J1709" i="6" s="1"/>
  <c r="A1708" i="6"/>
  <c r="I1708" i="6" s="1"/>
  <c r="A1707" i="6"/>
  <c r="J1707" i="6" s="1"/>
  <c r="A1706" i="6"/>
  <c r="N1706" i="6" s="1"/>
  <c r="A1705" i="6"/>
  <c r="G1705" i="6" s="1"/>
  <c r="A1704" i="6"/>
  <c r="A1703" i="6"/>
  <c r="H1703" i="6" s="1"/>
  <c r="A1702" i="6"/>
  <c r="K1702" i="6" s="1"/>
  <c r="A1701" i="6"/>
  <c r="J1701" i="6" s="1"/>
  <c r="A1700" i="6"/>
  <c r="K1700" i="6" s="1"/>
  <c r="A1699" i="6"/>
  <c r="A1698" i="6"/>
  <c r="K1698" i="6" s="1"/>
  <c r="A1697" i="6"/>
  <c r="A1696" i="6"/>
  <c r="K1696" i="6" s="1"/>
  <c r="A1695" i="6"/>
  <c r="A1694" i="6"/>
  <c r="L1694" i="6" s="1"/>
  <c r="A1693" i="6"/>
  <c r="A1692" i="6"/>
  <c r="I1692" i="6" s="1"/>
  <c r="A1691" i="6"/>
  <c r="E1691" i="6" s="1"/>
  <c r="A1690" i="6"/>
  <c r="A1689" i="6"/>
  <c r="A1688" i="6"/>
  <c r="A1687" i="6"/>
  <c r="I1687" i="6" s="1"/>
  <c r="A1686" i="6"/>
  <c r="A1685" i="6"/>
  <c r="L1685" i="6" s="1"/>
  <c r="A1684" i="6"/>
  <c r="K1684" i="6" s="1"/>
  <c r="A1683" i="6"/>
  <c r="A1682" i="6"/>
  <c r="A1681" i="6"/>
  <c r="A1680" i="6"/>
  <c r="A1679" i="6"/>
  <c r="A1678" i="6"/>
  <c r="M1678" i="6" s="1"/>
  <c r="A1677" i="6"/>
  <c r="A1676" i="6"/>
  <c r="A1675" i="6"/>
  <c r="J1675" i="6" s="1"/>
  <c r="A1674" i="6"/>
  <c r="A1673" i="6"/>
  <c r="E1673" i="6" s="1"/>
  <c r="A1672" i="6"/>
  <c r="A1671" i="6"/>
  <c r="A1670" i="6"/>
  <c r="C1670" i="6" s="1"/>
  <c r="A1669" i="6"/>
  <c r="L1669" i="6" s="1"/>
  <c r="A1668" i="6"/>
  <c r="A1667" i="6"/>
  <c r="E1667" i="6" s="1"/>
  <c r="A1666" i="6"/>
  <c r="A1665" i="6"/>
  <c r="A1664" i="6"/>
  <c r="K1664" i="6" s="1"/>
  <c r="A1663" i="6"/>
  <c r="H1663" i="6" s="1"/>
  <c r="A1662" i="6"/>
  <c r="I1662" i="6" s="1"/>
  <c r="A1661" i="6"/>
  <c r="I1661" i="6" s="1"/>
  <c r="A1660" i="6"/>
  <c r="J1660" i="6" s="1"/>
  <c r="A1659" i="6"/>
  <c r="A1658" i="6"/>
  <c r="K1658" i="6" s="1"/>
  <c r="A1657" i="6"/>
  <c r="K1657" i="6" s="1"/>
  <c r="A1656" i="6"/>
  <c r="A1655" i="6"/>
  <c r="K1655" i="6" s="1"/>
  <c r="A1654" i="6"/>
  <c r="A1653" i="6"/>
  <c r="A1652" i="6"/>
  <c r="A1651" i="6"/>
  <c r="A1650" i="6"/>
  <c r="A1649" i="6"/>
  <c r="K1649" i="6" s="1"/>
  <c r="A1648" i="6"/>
  <c r="A1647" i="6"/>
  <c r="A1646" i="6"/>
  <c r="A1645" i="6"/>
  <c r="A1644" i="6"/>
  <c r="A1643" i="6"/>
  <c r="K1643" i="6" s="1"/>
  <c r="A1642" i="6"/>
  <c r="A1641" i="6"/>
  <c r="K1641" i="6" s="1"/>
  <c r="A1640" i="6"/>
  <c r="A1639" i="6"/>
  <c r="C1639" i="6" s="1"/>
  <c r="A1638" i="6"/>
  <c r="D1638" i="6" s="1"/>
  <c r="A1637" i="6"/>
  <c r="K1637" i="6" s="1"/>
  <c r="A1636" i="6"/>
  <c r="A1635" i="6"/>
  <c r="K1635" i="6" s="1"/>
  <c r="A1634" i="6"/>
  <c r="N1634" i="6" s="1"/>
  <c r="A1633" i="6"/>
  <c r="K1633" i="6" s="1"/>
  <c r="A1632" i="6"/>
  <c r="B1632" i="6" s="1"/>
  <c r="A1631" i="6"/>
  <c r="K1631" i="6" s="1"/>
  <c r="A1630" i="6"/>
  <c r="A1629" i="6"/>
  <c r="I1629" i="6" s="1"/>
  <c r="A1628" i="6"/>
  <c r="H1628" i="6" s="1"/>
  <c r="A1627" i="6"/>
  <c r="K1627" i="6" s="1"/>
  <c r="A1626" i="6"/>
  <c r="K1626" i="6" s="1"/>
  <c r="A1625" i="6"/>
  <c r="J1625" i="6" s="1"/>
  <c r="A1624" i="6"/>
  <c r="G1624" i="6" s="1"/>
  <c r="A1623" i="6"/>
  <c r="A1622" i="6"/>
  <c r="A1621" i="6"/>
  <c r="A1620" i="6"/>
  <c r="A1619" i="6"/>
  <c r="K1619" i="6" s="1"/>
  <c r="A1618" i="6"/>
  <c r="L1618" i="6" s="1"/>
  <c r="A1617" i="6"/>
  <c r="A1616" i="6"/>
  <c r="L1616" i="6" s="1"/>
  <c r="A1615" i="6"/>
  <c r="K1615" i="6" s="1"/>
  <c r="A1614" i="6"/>
  <c r="I1614" i="6" s="1"/>
  <c r="A1613" i="6"/>
  <c r="A1612" i="6"/>
  <c r="M1612" i="6" s="1"/>
  <c r="A1611" i="6"/>
  <c r="A1610" i="6"/>
  <c r="I1610" i="6" s="1"/>
  <c r="A1609" i="6"/>
  <c r="N1609" i="6" s="1"/>
  <c r="A1608" i="6"/>
  <c r="I1608" i="6" s="1"/>
  <c r="A1607" i="6"/>
  <c r="N1607" i="6" s="1"/>
  <c r="A1606" i="6"/>
  <c r="A1605" i="6"/>
  <c r="F1605" i="6" s="1"/>
  <c r="A1604" i="6"/>
  <c r="A1603" i="6"/>
  <c r="J1603" i="6" s="1"/>
  <c r="A1602" i="6"/>
  <c r="M1602" i="6" s="1"/>
  <c r="A1601" i="6"/>
  <c r="A1600" i="6"/>
  <c r="I1600" i="6" s="1"/>
  <c r="A1599" i="6"/>
  <c r="A1598" i="6"/>
  <c r="A1597" i="6"/>
  <c r="K1597" i="6" s="1"/>
  <c r="A1596" i="6"/>
  <c r="K1596" i="6" s="1"/>
  <c r="A1595" i="6"/>
  <c r="A1594" i="6"/>
  <c r="A1593" i="6"/>
  <c r="I1593" i="6" s="1"/>
  <c r="A1592" i="6"/>
  <c r="I1592" i="6" s="1"/>
  <c r="A1591" i="6"/>
  <c r="H1591" i="6" s="1"/>
  <c r="A1590" i="6"/>
  <c r="A1589" i="6"/>
  <c r="L1589" i="6" s="1"/>
  <c r="A1588" i="6"/>
  <c r="G1588" i="6" s="1"/>
  <c r="A1587" i="6"/>
  <c r="H1587" i="6" s="1"/>
  <c r="A1586" i="6"/>
  <c r="L1586" i="6" s="1"/>
  <c r="A1585" i="6"/>
  <c r="A1584" i="6"/>
  <c r="L1584" i="6" s="1"/>
  <c r="A1583" i="6"/>
  <c r="A1582" i="6"/>
  <c r="D1582" i="6" s="1"/>
  <c r="A1581" i="6"/>
  <c r="J1581" i="6" s="1"/>
  <c r="A1580" i="6"/>
  <c r="A1579" i="6"/>
  <c r="J1579" i="6" s="1"/>
  <c r="A1578" i="6"/>
  <c r="G1578" i="6" s="1"/>
  <c r="A1577" i="6"/>
  <c r="A1576" i="6"/>
  <c r="A1575" i="6"/>
  <c r="J1575" i="6" s="1"/>
  <c r="A1574" i="6"/>
  <c r="M1574" i="6" s="1"/>
  <c r="A1573" i="6"/>
  <c r="E1573" i="6" s="1"/>
  <c r="A1572" i="6"/>
  <c r="M1572" i="6" s="1"/>
  <c r="A1571" i="6"/>
  <c r="M1571" i="6" s="1"/>
  <c r="A1570" i="6"/>
  <c r="H1570" i="6" s="1"/>
  <c r="A1569" i="6"/>
  <c r="J1569" i="6" s="1"/>
  <c r="A1568" i="6"/>
  <c r="A1567" i="6"/>
  <c r="G1567" i="6" s="1"/>
  <c r="A1566" i="6"/>
  <c r="A1565" i="6"/>
  <c r="F1565" i="6" s="1"/>
  <c r="A1564" i="6"/>
  <c r="F1564" i="6" s="1"/>
  <c r="A1563" i="6"/>
  <c r="M1563" i="6" s="1"/>
  <c r="A1562" i="6"/>
  <c r="A1561" i="6"/>
  <c r="J1561" i="6" s="1"/>
  <c r="A1560" i="6"/>
  <c r="A1559" i="6"/>
  <c r="A1558" i="6"/>
  <c r="G1558" i="6" s="1"/>
  <c r="A1557" i="6"/>
  <c r="G1557" i="6" s="1"/>
  <c r="A1556" i="6"/>
  <c r="A1555" i="6"/>
  <c r="A1554" i="6"/>
  <c r="N1554" i="6" s="1"/>
  <c r="A1553" i="6"/>
  <c r="A1552" i="6"/>
  <c r="A1551" i="6"/>
  <c r="N1551" i="6" s="1"/>
  <c r="A1550" i="6"/>
  <c r="K1550" i="6" s="1"/>
  <c r="A1549" i="6"/>
  <c r="M1549" i="6" s="1"/>
  <c r="A1548" i="6"/>
  <c r="D1548" i="6" s="1"/>
  <c r="A1547" i="6"/>
  <c r="A1546" i="6"/>
  <c r="K1546" i="6" s="1"/>
  <c r="A1545" i="6"/>
  <c r="J1545" i="6" s="1"/>
  <c r="A1544" i="6"/>
  <c r="N1544" i="6" s="1"/>
  <c r="A1543" i="6"/>
  <c r="I1543" i="6" s="1"/>
  <c r="A1542" i="6"/>
  <c r="A1541" i="6"/>
  <c r="A1540" i="6"/>
  <c r="M1540" i="6" s="1"/>
  <c r="A1539" i="6"/>
  <c r="I1539" i="6" s="1"/>
  <c r="A1538" i="6"/>
  <c r="K1538" i="6" s="1"/>
  <c r="A1537" i="6"/>
  <c r="D1537" i="6" s="1"/>
  <c r="A1536" i="6"/>
  <c r="N1536" i="6" s="1"/>
  <c r="A1535" i="6"/>
  <c r="A1534" i="6"/>
  <c r="A1533" i="6"/>
  <c r="J1533" i="6" s="1"/>
  <c r="A1532" i="6"/>
  <c r="M1532" i="6" s="1"/>
  <c r="A1531" i="6"/>
  <c r="A1530" i="6"/>
  <c r="L1530" i="6" s="1"/>
  <c r="A1529" i="6"/>
  <c r="L1529" i="6" s="1"/>
  <c r="A1528" i="6"/>
  <c r="N1528" i="6" s="1"/>
  <c r="A1527" i="6"/>
  <c r="J1527" i="6" s="1"/>
  <c r="A1526" i="6"/>
  <c r="A1525" i="6"/>
  <c r="A1524" i="6"/>
  <c r="I1524" i="6" s="1"/>
  <c r="A1523" i="6"/>
  <c r="A1522" i="6"/>
  <c r="K1522" i="6" s="1"/>
  <c r="A1521" i="6"/>
  <c r="B1521" i="6" s="1"/>
  <c r="Q1521" i="6" s="1"/>
  <c r="A1520" i="6"/>
  <c r="J1520" i="6" s="1"/>
  <c r="A1519" i="6"/>
  <c r="A1518" i="6"/>
  <c r="F1518" i="6" s="1"/>
  <c r="A1517" i="6"/>
  <c r="A1516" i="6"/>
  <c r="A1515" i="6"/>
  <c r="M1515" i="6" s="1"/>
  <c r="A1514" i="6"/>
  <c r="A1513" i="6"/>
  <c r="K1513" i="6" s="1"/>
  <c r="A1512" i="6"/>
  <c r="L1512" i="6" s="1"/>
  <c r="A1511" i="6"/>
  <c r="G1511" i="6" s="1"/>
  <c r="A1510" i="6"/>
  <c r="A1509" i="6"/>
  <c r="A1508" i="6"/>
  <c r="N1508" i="6" s="1"/>
  <c r="A1507" i="6"/>
  <c r="I1507" i="6" s="1"/>
  <c r="A1506" i="6"/>
  <c r="K1506" i="6" s="1"/>
  <c r="A1505" i="6"/>
  <c r="I1505" i="6" s="1"/>
  <c r="A1504" i="6"/>
  <c r="D1504" i="6" s="1"/>
  <c r="A1503" i="6"/>
  <c r="N1503" i="6" s="1"/>
  <c r="A1502" i="6"/>
  <c r="I1502" i="6" s="1"/>
  <c r="A1501" i="6"/>
  <c r="I1501" i="6" s="1"/>
  <c r="A1500" i="6"/>
  <c r="K1500" i="6" s="1"/>
  <c r="A1499" i="6"/>
  <c r="F1499" i="6" s="1"/>
  <c r="A1498" i="6"/>
  <c r="H1498" i="6" s="1"/>
  <c r="A1497" i="6"/>
  <c r="A1496" i="6"/>
  <c r="A1495" i="6"/>
  <c r="A1494" i="6"/>
  <c r="A1493" i="6"/>
  <c r="I1493" i="6" s="1"/>
  <c r="A1492" i="6"/>
  <c r="K1492" i="6" s="1"/>
  <c r="A1491" i="6"/>
  <c r="L1491" i="6" s="1"/>
  <c r="A1490" i="6"/>
  <c r="A1489" i="6"/>
  <c r="I1489" i="6" s="1"/>
  <c r="A1488" i="6"/>
  <c r="A1487" i="6"/>
  <c r="G1487" i="6" s="1"/>
  <c r="A1486" i="6"/>
  <c r="I1486" i="6" s="1"/>
  <c r="A1485" i="6"/>
  <c r="I1485" i="6" s="1"/>
  <c r="A1484" i="6"/>
  <c r="A1483" i="6"/>
  <c r="A1482" i="6"/>
  <c r="A1481" i="6"/>
  <c r="A1480" i="6"/>
  <c r="A1479" i="6"/>
  <c r="A1478" i="6"/>
  <c r="A1477" i="6"/>
  <c r="K1477" i="6" s="1"/>
  <c r="A1476" i="6"/>
  <c r="N1476" i="6" s="1"/>
  <c r="A1475" i="6"/>
  <c r="M1475" i="6" s="1"/>
  <c r="A1474" i="6"/>
  <c r="G1474" i="6" s="1"/>
  <c r="A1473" i="6"/>
  <c r="A1472" i="6"/>
  <c r="I1472" i="6" s="1"/>
  <c r="A1471" i="6"/>
  <c r="L1471" i="6" s="1"/>
  <c r="A1470" i="6"/>
  <c r="N1470" i="6" s="1"/>
  <c r="A1469" i="6"/>
  <c r="A1468" i="6"/>
  <c r="E1468" i="6" s="1"/>
  <c r="A1467" i="6"/>
  <c r="N1467" i="6" s="1"/>
  <c r="A1466" i="6"/>
  <c r="A1465" i="6"/>
  <c r="H1465" i="6" s="1"/>
  <c r="A1464" i="6"/>
  <c r="K1464" i="6" s="1"/>
  <c r="A1463" i="6"/>
  <c r="A1462" i="6"/>
  <c r="C1462" i="6" s="1"/>
  <c r="A1461" i="6"/>
  <c r="A1460" i="6"/>
  <c r="A1459" i="6"/>
  <c r="J1459" i="6" s="1"/>
  <c r="A1458" i="6"/>
  <c r="A1457" i="6"/>
  <c r="M1457" i="6" s="1"/>
  <c r="A1456" i="6"/>
  <c r="A1455" i="6"/>
  <c r="A1454" i="6"/>
  <c r="K1454" i="6" s="1"/>
  <c r="A1453" i="6"/>
  <c r="L1453" i="6" s="1"/>
  <c r="A1452" i="6"/>
  <c r="L1452" i="6" s="1"/>
  <c r="A1451" i="6"/>
  <c r="D1451" i="6" s="1"/>
  <c r="A1450" i="6"/>
  <c r="M1450" i="6" s="1"/>
  <c r="A1449" i="6"/>
  <c r="G1449" i="6" s="1"/>
  <c r="A1448" i="6"/>
  <c r="L1448" i="6" s="1"/>
  <c r="A1447" i="6"/>
  <c r="A1446" i="6"/>
  <c r="C1446" i="6" s="1"/>
  <c r="A1445" i="6"/>
  <c r="A1444" i="6"/>
  <c r="A1443" i="6"/>
  <c r="L1443" i="6" s="1"/>
  <c r="A1442" i="6"/>
  <c r="A1441" i="6"/>
  <c r="A1440" i="6"/>
  <c r="I1440" i="6" s="1"/>
  <c r="A1439" i="6"/>
  <c r="A1438" i="6"/>
  <c r="L1438" i="6" s="1"/>
  <c r="A1437" i="6"/>
  <c r="I1437" i="6" s="1"/>
  <c r="A1436" i="6"/>
  <c r="M1436" i="6" s="1"/>
  <c r="A1435" i="6"/>
  <c r="A1434" i="6"/>
  <c r="I1434" i="6" s="1"/>
  <c r="A1433" i="6"/>
  <c r="A1432" i="6"/>
  <c r="A1431" i="6"/>
  <c r="A1430" i="6"/>
  <c r="I1430" i="6" s="1"/>
  <c r="A1429" i="6"/>
  <c r="A1428" i="6"/>
  <c r="L1428" i="6" s="1"/>
  <c r="A1427" i="6"/>
  <c r="H1427" i="6" s="1"/>
  <c r="A1426" i="6"/>
  <c r="F1426" i="6" s="1"/>
  <c r="A1425" i="6"/>
  <c r="K1425" i="6" s="1"/>
  <c r="A1424" i="6"/>
  <c r="A1423" i="6"/>
  <c r="A1422" i="6"/>
  <c r="A1421" i="6"/>
  <c r="A1420" i="6"/>
  <c r="A1419" i="6"/>
  <c r="K1419" i="6" s="1"/>
  <c r="A1418" i="6"/>
  <c r="L1418" i="6" s="1"/>
  <c r="A1417" i="6"/>
  <c r="G1417" i="6" s="1"/>
  <c r="A1416" i="6"/>
  <c r="H1416" i="6" s="1"/>
  <c r="A1415" i="6"/>
  <c r="H1415" i="6" s="1"/>
  <c r="A1414" i="6"/>
  <c r="A1413" i="6"/>
  <c r="J1413" i="6" s="1"/>
  <c r="A1412" i="6"/>
  <c r="F1412" i="6" s="1"/>
  <c r="A1411" i="6"/>
  <c r="A1410" i="6"/>
  <c r="I1410" i="6" s="1"/>
  <c r="A1409" i="6"/>
  <c r="A1408" i="6"/>
  <c r="A1407" i="6"/>
  <c r="A1406" i="6"/>
  <c r="A1405" i="6"/>
  <c r="A1404" i="6"/>
  <c r="K1404" i="6" s="1"/>
  <c r="A1403" i="6"/>
  <c r="J1403" i="6" s="1"/>
  <c r="A1402" i="6"/>
  <c r="A1401" i="6"/>
  <c r="J1401" i="6" s="1"/>
  <c r="A1400" i="6"/>
  <c r="A1399" i="6"/>
  <c r="A1398" i="6"/>
  <c r="A1397" i="6"/>
  <c r="A1396" i="6"/>
  <c r="A1395" i="6"/>
  <c r="A1394" i="6"/>
  <c r="A1393" i="6"/>
  <c r="A1392" i="6"/>
  <c r="K1392" i="6" s="1"/>
  <c r="A1391" i="6"/>
  <c r="A1390" i="6"/>
  <c r="A1389" i="6"/>
  <c r="A1388" i="6"/>
  <c r="A1387" i="6"/>
  <c r="A1386" i="6"/>
  <c r="C1386" i="6" s="1"/>
  <c r="A1385" i="6"/>
  <c r="A1384" i="6"/>
  <c r="A1383" i="6"/>
  <c r="J1383" i="6" s="1"/>
  <c r="A1382" i="6"/>
  <c r="K1382" i="6" s="1"/>
  <c r="A1381" i="6"/>
  <c r="A1380" i="6"/>
  <c r="A1379" i="6"/>
  <c r="J1379" i="6" s="1"/>
  <c r="A1378" i="6"/>
  <c r="H1378" i="6" s="1"/>
  <c r="A1377" i="6"/>
  <c r="A1376" i="6"/>
  <c r="A1375" i="6"/>
  <c r="J1375" i="6" s="1"/>
  <c r="A1374" i="6"/>
  <c r="A1373" i="6"/>
  <c r="J1373" i="6" s="1"/>
  <c r="A1372" i="6"/>
  <c r="A1371" i="6"/>
  <c r="C1371" i="6" s="1"/>
  <c r="A1370" i="6"/>
  <c r="I1370" i="6" s="1"/>
  <c r="A1369" i="6"/>
  <c r="A1368" i="6"/>
  <c r="I1368" i="6" s="1"/>
  <c r="A1367" i="6"/>
  <c r="C1367" i="6" s="1"/>
  <c r="A1366" i="6"/>
  <c r="A1365" i="6"/>
  <c r="K1365" i="6" s="1"/>
  <c r="A1364" i="6"/>
  <c r="A1363" i="6"/>
  <c r="A1362" i="6"/>
  <c r="D1362" i="6" s="1"/>
  <c r="A1361" i="6"/>
  <c r="K1361" i="6" s="1"/>
  <c r="A1360" i="6"/>
  <c r="A1359" i="6"/>
  <c r="A1358" i="6"/>
  <c r="A1357" i="6"/>
  <c r="A1356" i="6"/>
  <c r="L1356" i="6" s="1"/>
  <c r="A1355" i="6"/>
  <c r="C1355" i="6" s="1"/>
  <c r="A1354" i="6"/>
  <c r="I1354" i="6" s="1"/>
  <c r="A1353" i="6"/>
  <c r="A1352" i="6"/>
  <c r="A1351" i="6"/>
  <c r="C1351" i="6" s="1"/>
  <c r="A1350" i="6"/>
  <c r="I1350" i="6" s="1"/>
  <c r="A1349" i="6"/>
  <c r="K1349" i="6" s="1"/>
  <c r="A1348" i="6"/>
  <c r="N1348" i="6" s="1"/>
  <c r="A1347" i="6"/>
  <c r="A1346" i="6"/>
  <c r="A1345" i="6"/>
  <c r="K1345" i="6" s="1"/>
  <c r="A1344" i="6"/>
  <c r="E1344" i="6" s="1"/>
  <c r="A1343" i="6"/>
  <c r="C1343" i="6" s="1"/>
  <c r="A1342" i="6"/>
  <c r="D1342" i="6" s="1"/>
  <c r="A1341" i="6"/>
  <c r="C1341" i="6" s="1"/>
  <c r="A1340" i="6"/>
  <c r="F1340" i="6" s="1"/>
  <c r="A1339" i="6"/>
  <c r="A1338" i="6"/>
  <c r="N1338" i="6" s="1"/>
  <c r="A1337" i="6"/>
  <c r="A1336" i="6"/>
  <c r="A1335" i="6"/>
  <c r="C1335" i="6" s="1"/>
  <c r="A1334" i="6"/>
  <c r="I1334" i="6" s="1"/>
  <c r="A1333" i="6"/>
  <c r="A1332" i="6"/>
  <c r="A1331" i="6"/>
  <c r="A1330" i="6"/>
  <c r="L1330" i="6" s="1"/>
  <c r="A1329" i="6"/>
  <c r="K1329" i="6" s="1"/>
  <c r="A1328" i="6"/>
  <c r="A1327" i="6"/>
  <c r="A1326" i="6"/>
  <c r="A1325" i="6"/>
  <c r="F1325" i="6" s="1"/>
  <c r="A1324" i="6"/>
  <c r="L1324" i="6" s="1"/>
  <c r="A1323" i="6"/>
  <c r="A1322" i="6"/>
  <c r="C1322" i="6" s="1"/>
  <c r="A1321" i="6"/>
  <c r="I1321" i="6" s="1"/>
  <c r="A1320" i="6"/>
  <c r="L1320" i="6" s="1"/>
  <c r="A1319" i="6"/>
  <c r="N1319" i="6" s="1"/>
  <c r="A1318" i="6"/>
  <c r="A1317" i="6"/>
  <c r="A1316" i="6"/>
  <c r="I1316" i="6" s="1"/>
  <c r="A1315" i="6"/>
  <c r="N1315" i="6" s="1"/>
  <c r="A1314" i="6"/>
  <c r="M1314" i="6" s="1"/>
  <c r="A1313" i="6"/>
  <c r="F1313" i="6" s="1"/>
  <c r="A1312" i="6"/>
  <c r="J1312" i="6" s="1"/>
  <c r="A1311" i="6"/>
  <c r="A1310" i="6"/>
  <c r="D1310" i="6" s="1"/>
  <c r="A1309" i="6"/>
  <c r="A1308" i="6"/>
  <c r="N1308" i="6" s="1"/>
  <c r="A1307" i="6"/>
  <c r="A1306" i="6"/>
  <c r="N1306" i="6" s="1"/>
  <c r="A1305" i="6"/>
  <c r="C1305" i="6" s="1"/>
  <c r="A1304" i="6"/>
  <c r="M1304" i="6" s="1"/>
  <c r="A1303" i="6"/>
  <c r="A1302" i="6"/>
  <c r="A1301" i="6"/>
  <c r="J1301" i="6" s="1"/>
  <c r="A1300" i="6"/>
  <c r="H1300" i="6" s="1"/>
  <c r="A1299" i="6"/>
  <c r="A1298" i="6"/>
  <c r="A1297" i="6"/>
  <c r="A1296" i="6"/>
  <c r="H1296" i="6" s="1"/>
  <c r="A1295" i="6"/>
  <c r="N1295" i="6" s="1"/>
  <c r="A1294" i="6"/>
  <c r="H1294" i="6" s="1"/>
  <c r="A1293" i="6"/>
  <c r="A1292" i="6"/>
  <c r="H1292" i="6" s="1"/>
  <c r="A1291" i="6"/>
  <c r="A1290" i="6"/>
  <c r="A1289" i="6"/>
  <c r="B1289" i="6" s="1"/>
  <c r="A1288" i="6"/>
  <c r="A1287" i="6"/>
  <c r="A1286" i="6"/>
  <c r="A1285" i="6"/>
  <c r="I1285" i="6" s="1"/>
  <c r="A1284" i="6"/>
  <c r="A1283" i="6"/>
  <c r="A1282" i="6"/>
  <c r="A1281" i="6"/>
  <c r="F1281" i="6" s="1"/>
  <c r="A1280" i="6"/>
  <c r="A1279" i="6"/>
  <c r="G1279" i="6" s="1"/>
  <c r="A1278" i="6"/>
  <c r="I1278" i="6" s="1"/>
  <c r="A1277" i="6"/>
  <c r="F1277" i="6" s="1"/>
  <c r="A1276" i="6"/>
  <c r="A1275" i="6"/>
  <c r="A1274" i="6"/>
  <c r="D1274" i="6" s="1"/>
  <c r="A1273" i="6"/>
  <c r="A1272" i="6"/>
  <c r="A1271" i="6"/>
  <c r="L1271" i="6" s="1"/>
  <c r="A1270" i="6"/>
  <c r="A1269" i="6"/>
  <c r="A1268" i="6"/>
  <c r="M1268" i="6" s="1"/>
  <c r="A1267" i="6"/>
  <c r="M1267" i="6" s="1"/>
  <c r="A1266" i="6"/>
  <c r="A1265" i="6"/>
  <c r="G1265" i="6" s="1"/>
  <c r="A1264" i="6"/>
  <c r="A1263" i="6"/>
  <c r="H1263" i="6" s="1"/>
  <c r="A1262" i="6"/>
  <c r="K1262" i="6" s="1"/>
  <c r="A1261" i="6"/>
  <c r="E1261" i="6" s="1"/>
  <c r="A1260" i="6"/>
  <c r="A1259" i="6"/>
  <c r="H1259" i="6" s="1"/>
  <c r="A1258" i="6"/>
  <c r="A1257" i="6"/>
  <c r="A1256" i="6"/>
  <c r="A1255" i="6"/>
  <c r="H1255" i="6" s="1"/>
  <c r="A1254" i="6"/>
  <c r="K1254" i="6" s="1"/>
  <c r="A1253" i="6"/>
  <c r="E1253" i="6" s="1"/>
  <c r="A1252" i="6"/>
  <c r="A1251" i="6"/>
  <c r="A1250" i="6"/>
  <c r="A1249" i="6"/>
  <c r="A1248" i="6"/>
  <c r="A1247" i="6"/>
  <c r="H1247" i="6" s="1"/>
  <c r="A1246" i="6"/>
  <c r="K1246" i="6" s="1"/>
  <c r="A1245" i="6"/>
  <c r="I1245" i="6" s="1"/>
  <c r="A1244" i="6"/>
  <c r="I1244" i="6" s="1"/>
  <c r="A1243" i="6"/>
  <c r="A1242" i="6"/>
  <c r="L1242" i="6" s="1"/>
  <c r="A1241" i="6"/>
  <c r="J1241" i="6" s="1"/>
  <c r="A1240" i="6"/>
  <c r="I1240" i="6" s="1"/>
  <c r="A1239" i="6"/>
  <c r="H1239" i="6" s="1"/>
  <c r="A1238" i="6"/>
  <c r="A1237" i="6"/>
  <c r="E1237" i="6" s="1"/>
  <c r="A1236" i="6"/>
  <c r="K1236" i="6" s="1"/>
  <c r="A1235" i="6"/>
  <c r="I1235" i="6" s="1"/>
  <c r="A1234" i="6"/>
  <c r="L1234" i="6" s="1"/>
  <c r="A1233" i="6"/>
  <c r="G1233" i="6" s="1"/>
  <c r="A1232" i="6"/>
  <c r="F1232" i="6" s="1"/>
  <c r="A1231" i="6"/>
  <c r="H1231" i="6" s="1"/>
  <c r="A1230" i="6"/>
  <c r="A1229" i="6"/>
  <c r="A1228" i="6"/>
  <c r="K1228" i="6" s="1"/>
  <c r="A1227" i="6"/>
  <c r="H1227" i="6" s="1"/>
  <c r="A1226" i="6"/>
  <c r="L1226" i="6" s="1"/>
  <c r="A1225" i="6"/>
  <c r="H1225" i="6" s="1"/>
  <c r="A1224" i="6"/>
  <c r="N1224" i="6" s="1"/>
  <c r="A1223" i="6"/>
  <c r="H1223" i="6" s="1"/>
  <c r="A1222" i="6"/>
  <c r="J1222" i="6" s="1"/>
  <c r="A1221" i="6"/>
  <c r="A1220" i="6"/>
  <c r="H1220" i="6" s="1"/>
  <c r="A1219" i="6"/>
  <c r="A1218" i="6"/>
  <c r="D1218" i="6" s="1"/>
  <c r="A1217" i="6"/>
  <c r="A1216" i="6"/>
  <c r="I1216" i="6" s="1"/>
  <c r="A1215" i="6"/>
  <c r="A1214" i="6"/>
  <c r="N1214" i="6" s="1"/>
  <c r="A1213" i="6"/>
  <c r="G1213" i="6" s="1"/>
  <c r="A1212" i="6"/>
  <c r="I1212" i="6" s="1"/>
  <c r="A1211" i="6"/>
  <c r="A1210" i="6"/>
  <c r="H1210" i="6" s="1"/>
  <c r="A1209" i="6"/>
  <c r="E1209" i="6" s="1"/>
  <c r="A1208" i="6"/>
  <c r="H1208" i="6" s="1"/>
  <c r="A1207" i="6"/>
  <c r="F1207" i="6" s="1"/>
  <c r="A1206" i="6"/>
  <c r="A1205" i="6"/>
  <c r="F1205" i="6" s="1"/>
  <c r="A1204" i="6"/>
  <c r="H1204" i="6" s="1"/>
  <c r="A1203" i="6"/>
  <c r="A1202" i="6"/>
  <c r="G1202" i="6" s="1"/>
  <c r="A1201" i="6"/>
  <c r="C1201" i="6" s="1"/>
  <c r="A1200" i="6"/>
  <c r="H1200" i="6" s="1"/>
  <c r="A1199" i="6"/>
  <c r="A1198" i="6"/>
  <c r="A1197" i="6"/>
  <c r="A1196" i="6"/>
  <c r="N1196" i="6" s="1"/>
  <c r="A1195" i="6"/>
  <c r="K1195" i="6" s="1"/>
  <c r="A1194" i="6"/>
  <c r="A1193" i="6"/>
  <c r="J1193" i="6" s="1"/>
  <c r="A1192" i="6"/>
  <c r="N1192" i="6" s="1"/>
  <c r="A1191" i="6"/>
  <c r="A1190" i="6"/>
  <c r="N1190" i="6" s="1"/>
  <c r="A1189" i="6"/>
  <c r="M1189" i="6" s="1"/>
  <c r="A1188" i="6"/>
  <c r="N1188" i="6" s="1"/>
  <c r="A1187" i="6"/>
  <c r="A1186" i="6"/>
  <c r="A1185" i="6"/>
  <c r="J1185" i="6" s="1"/>
  <c r="A1184" i="6"/>
  <c r="A1183" i="6"/>
  <c r="M1183" i="6" s="1"/>
  <c r="A1182" i="6"/>
  <c r="A1181" i="6"/>
  <c r="A1180" i="6"/>
  <c r="F1180" i="6" s="1"/>
  <c r="A1179" i="6"/>
  <c r="A1178" i="6"/>
  <c r="B1178" i="6" s="1"/>
  <c r="A1177" i="6"/>
  <c r="F1177" i="6" s="1"/>
  <c r="A1176" i="6"/>
  <c r="G1176" i="6" s="1"/>
  <c r="A1175" i="6"/>
  <c r="A1174" i="6"/>
  <c r="L1174" i="6" s="1"/>
  <c r="A1173" i="6"/>
  <c r="N1173" i="6" s="1"/>
  <c r="A1172" i="6"/>
  <c r="G1172" i="6" s="1"/>
  <c r="A1171" i="6"/>
  <c r="A1170" i="6"/>
  <c r="A1169" i="6"/>
  <c r="A1168" i="6"/>
  <c r="A1167" i="6"/>
  <c r="A1166" i="6"/>
  <c r="A1165" i="6"/>
  <c r="F1165" i="6" s="1"/>
  <c r="A1164" i="6"/>
  <c r="L1164" i="6" s="1"/>
  <c r="A1163" i="6"/>
  <c r="M1163" i="6" s="1"/>
  <c r="A1162" i="6"/>
  <c r="A1161" i="6"/>
  <c r="A1160" i="6"/>
  <c r="J1160" i="6" s="1"/>
  <c r="A1159" i="6"/>
  <c r="A1158" i="6"/>
  <c r="G1158" i="6" s="1"/>
  <c r="A1157" i="6"/>
  <c r="A1156" i="6"/>
  <c r="J1156" i="6" s="1"/>
  <c r="A1155" i="6"/>
  <c r="A1154" i="6"/>
  <c r="A1153" i="6"/>
  <c r="J1153" i="6" s="1"/>
  <c r="A1152" i="6"/>
  <c r="G1152" i="6" s="1"/>
  <c r="A1151" i="6"/>
  <c r="H1151" i="6" s="1"/>
  <c r="A1150" i="6"/>
  <c r="J1150" i="6" s="1"/>
  <c r="A1149" i="6"/>
  <c r="N1149" i="6" s="1"/>
  <c r="A1148" i="6"/>
  <c r="A1147" i="6"/>
  <c r="M1147" i="6" s="1"/>
  <c r="A1146" i="6"/>
  <c r="G1146" i="6" s="1"/>
  <c r="A1145" i="6"/>
  <c r="J1145" i="6" s="1"/>
  <c r="A1144" i="6"/>
  <c r="I1144" i="6" s="1"/>
  <c r="A1143" i="6"/>
  <c r="A1142" i="6"/>
  <c r="A1141" i="6"/>
  <c r="A1140" i="6"/>
  <c r="A1139" i="6"/>
  <c r="N1139" i="6" s="1"/>
  <c r="A1138" i="6"/>
  <c r="I1138" i="6" s="1"/>
  <c r="A1137" i="6"/>
  <c r="A1136" i="6"/>
  <c r="L1136" i="6" s="1"/>
  <c r="A1135" i="6"/>
  <c r="N1135" i="6" s="1"/>
  <c r="A1134" i="6"/>
  <c r="H1134" i="6" s="1"/>
  <c r="A1133" i="6"/>
  <c r="F1133" i="6" s="1"/>
  <c r="A1132" i="6"/>
  <c r="K1132" i="6" s="1"/>
  <c r="A1131" i="6"/>
  <c r="M1131" i="6" s="1"/>
  <c r="A1130" i="6"/>
  <c r="A1129" i="6"/>
  <c r="F1129" i="6" s="1"/>
  <c r="A1128" i="6"/>
  <c r="G1128" i="6" s="1"/>
  <c r="A1127" i="6"/>
  <c r="B1127" i="6" s="1"/>
  <c r="A1126" i="6"/>
  <c r="H1126" i="6" s="1"/>
  <c r="A1125" i="6"/>
  <c r="M1125" i="6" s="1"/>
  <c r="A1124" i="6"/>
  <c r="A1123" i="6"/>
  <c r="N1123" i="6" s="1"/>
  <c r="A1122" i="6"/>
  <c r="K1122" i="6" s="1"/>
  <c r="A1121" i="6"/>
  <c r="B1121" i="6" s="1"/>
  <c r="Q1121" i="6" s="1"/>
  <c r="A1120" i="6"/>
  <c r="M1120" i="6" s="1"/>
  <c r="A1119" i="6"/>
  <c r="A1118" i="6"/>
  <c r="I1118" i="6" s="1"/>
  <c r="A1117" i="6"/>
  <c r="C1117" i="6" s="1"/>
  <c r="A1116" i="6"/>
  <c r="M1116" i="6" s="1"/>
  <c r="A1115" i="6"/>
  <c r="A1114" i="6"/>
  <c r="G1114" i="6" s="1"/>
  <c r="A1113" i="6"/>
  <c r="L1113" i="6" s="1"/>
  <c r="A1112" i="6"/>
  <c r="A1111" i="6"/>
  <c r="A1110" i="6"/>
  <c r="A1109" i="6"/>
  <c r="I1109" i="6" s="1"/>
  <c r="A1108" i="6"/>
  <c r="B1108" i="6" s="1"/>
  <c r="P1108" i="6" s="1"/>
  <c r="A1107" i="6"/>
  <c r="A1106" i="6"/>
  <c r="E1106" i="6" s="1"/>
  <c r="A1105" i="6"/>
  <c r="A1104" i="6"/>
  <c r="A1103" i="6"/>
  <c r="M1103" i="6" s="1"/>
  <c r="A1102" i="6"/>
  <c r="G1102" i="6" s="1"/>
  <c r="A1101" i="6"/>
  <c r="C1101" i="6" s="1"/>
  <c r="A1100" i="6"/>
  <c r="A1099" i="6"/>
  <c r="D1099" i="6" s="1"/>
  <c r="A1098" i="6"/>
  <c r="E1098" i="6" s="1"/>
  <c r="A1097" i="6"/>
  <c r="A1096" i="6"/>
  <c r="A1095" i="6"/>
  <c r="N1095" i="6" s="1"/>
  <c r="A1094" i="6"/>
  <c r="A1093" i="6"/>
  <c r="K1093" i="6" s="1"/>
  <c r="A1092" i="6"/>
  <c r="B1092" i="6" s="1"/>
  <c r="A1091" i="6"/>
  <c r="A1090" i="6"/>
  <c r="A1089" i="6"/>
  <c r="A1088" i="6"/>
  <c r="J1088" i="6" s="1"/>
  <c r="A1087" i="6"/>
  <c r="E1087" i="6" s="1"/>
  <c r="A1086" i="6"/>
  <c r="A1085" i="6"/>
  <c r="N1085" i="6" s="1"/>
  <c r="A1084" i="6"/>
  <c r="J1084" i="6" s="1"/>
  <c r="A1083" i="6"/>
  <c r="L1083" i="6" s="1"/>
  <c r="A1082" i="6"/>
  <c r="G1082" i="6" s="1"/>
  <c r="A1081" i="6"/>
  <c r="A1080" i="6"/>
  <c r="A1079" i="6"/>
  <c r="M1079" i="6" s="1"/>
  <c r="A1078" i="6"/>
  <c r="L1078" i="6" s="1"/>
  <c r="A1077" i="6"/>
  <c r="K1077" i="6" s="1"/>
  <c r="A1076" i="6"/>
  <c r="A1075" i="6"/>
  <c r="C1075" i="6" s="1"/>
  <c r="A1074" i="6"/>
  <c r="L1074" i="6" s="1"/>
  <c r="A1073" i="6"/>
  <c r="A1072" i="6"/>
  <c r="A1071" i="6"/>
  <c r="E1071" i="6" s="1"/>
  <c r="A1070" i="6"/>
  <c r="A1069" i="6"/>
  <c r="A1068" i="6"/>
  <c r="A1067" i="6"/>
  <c r="A1066" i="6"/>
  <c r="A1065" i="6"/>
  <c r="M1065" i="6" s="1"/>
  <c r="A1064" i="6"/>
  <c r="H1064" i="6" s="1"/>
  <c r="A1063" i="6"/>
  <c r="K1063" i="6" s="1"/>
  <c r="A1062" i="6"/>
  <c r="A1061" i="6"/>
  <c r="C1061" i="6" s="1"/>
  <c r="A1060" i="6"/>
  <c r="A1059" i="6"/>
  <c r="C1059" i="6" s="1"/>
  <c r="A1058" i="6"/>
  <c r="A1057" i="6"/>
  <c r="M1057" i="6" s="1"/>
  <c r="A1056" i="6"/>
  <c r="D1056" i="6" s="1"/>
  <c r="A1055" i="6"/>
  <c r="H1055" i="6" s="1"/>
  <c r="A1054" i="6"/>
  <c r="G1054" i="6" s="1"/>
  <c r="A1053" i="6"/>
  <c r="F1053" i="6" s="1"/>
  <c r="A1052" i="6"/>
  <c r="J1052" i="6" s="1"/>
  <c r="A1051" i="6"/>
  <c r="M1051" i="6" s="1"/>
  <c r="A1050" i="6"/>
  <c r="L1050" i="6" s="1"/>
  <c r="A1049" i="6"/>
  <c r="A1048" i="6"/>
  <c r="J1048" i="6" s="1"/>
  <c r="A1047" i="6"/>
  <c r="A1046" i="6"/>
  <c r="L1046" i="6" s="1"/>
  <c r="A1045" i="6"/>
  <c r="A1044" i="6"/>
  <c r="I1044" i="6" s="1"/>
  <c r="A1043" i="6"/>
  <c r="M1043" i="6" s="1"/>
  <c r="A1042" i="6"/>
  <c r="L1042" i="6" s="1"/>
  <c r="A1041" i="6"/>
  <c r="K1041" i="6" s="1"/>
  <c r="A1040" i="6"/>
  <c r="H1040" i="6" s="1"/>
  <c r="A1039" i="6"/>
  <c r="A1038" i="6"/>
  <c r="L1038" i="6" s="1"/>
  <c r="A1037" i="6"/>
  <c r="F1037" i="6" s="1"/>
  <c r="A1036" i="6"/>
  <c r="J1036" i="6" s="1"/>
  <c r="A1035" i="6"/>
  <c r="E1035" i="6" s="1"/>
  <c r="A1034" i="6"/>
  <c r="D1034" i="6" s="1"/>
  <c r="A1033" i="6"/>
  <c r="A1032" i="6"/>
  <c r="L1032" i="6" s="1"/>
  <c r="A1031" i="6"/>
  <c r="A1030" i="6"/>
  <c r="G1030" i="6" s="1"/>
  <c r="A1029" i="6"/>
  <c r="A1028" i="6"/>
  <c r="J1028" i="6" s="1"/>
  <c r="A1027" i="6"/>
  <c r="L1027" i="6" s="1"/>
  <c r="A1026" i="6"/>
  <c r="A1025" i="6"/>
  <c r="A1024" i="6"/>
  <c r="L1024" i="6" s="1"/>
  <c r="A1023" i="6"/>
  <c r="M1023" i="6" s="1"/>
  <c r="A1022" i="6"/>
  <c r="A1021" i="6"/>
  <c r="H1021" i="6" s="1"/>
  <c r="A1020" i="6"/>
  <c r="M1020" i="6" s="1"/>
  <c r="A1019" i="6"/>
  <c r="A1018" i="6"/>
  <c r="A1017" i="6"/>
  <c r="N1017" i="6" s="1"/>
  <c r="A1016" i="6"/>
  <c r="J1016" i="6" s="1"/>
  <c r="A1015" i="6"/>
  <c r="L1015" i="6" s="1"/>
  <c r="A1014" i="6"/>
  <c r="A1013" i="6"/>
  <c r="F1013" i="6" s="1"/>
  <c r="A1012" i="6"/>
  <c r="J1012" i="6" s="1"/>
  <c r="A1011" i="6"/>
  <c r="N1011" i="6" s="1"/>
  <c r="A1010" i="6"/>
  <c r="H1010" i="6" s="1"/>
  <c r="A1009" i="6"/>
  <c r="J1009" i="6" s="1"/>
  <c r="A1008" i="6"/>
  <c r="A1007" i="6"/>
  <c r="L1007" i="6" s="1"/>
  <c r="A1006" i="6"/>
  <c r="N1006" i="6" s="1"/>
  <c r="A1005" i="6"/>
  <c r="A1004" i="6"/>
  <c r="J1004" i="6" s="1"/>
  <c r="A1003" i="6"/>
  <c r="A1002" i="6"/>
  <c r="F1002" i="6" s="1"/>
  <c r="A1001" i="6"/>
  <c r="J1001" i="6" s="1"/>
  <c r="A1000" i="6"/>
  <c r="M1000" i="6" s="1"/>
  <c r="A999" i="6"/>
  <c r="A998" i="6"/>
  <c r="A997" i="6"/>
  <c r="D997" i="6" s="1"/>
  <c r="A996" i="6"/>
  <c r="J996" i="6" s="1"/>
  <c r="A995" i="6"/>
  <c r="A994" i="6"/>
  <c r="A993" i="6"/>
  <c r="A992" i="6"/>
  <c r="E992" i="6" s="1"/>
  <c r="A991" i="6"/>
  <c r="L991" i="6" s="1"/>
  <c r="A990" i="6"/>
  <c r="A989" i="6"/>
  <c r="J989" i="6" s="1"/>
  <c r="A988" i="6"/>
  <c r="J988" i="6" s="1"/>
  <c r="A987" i="6"/>
  <c r="J987" i="6" s="1"/>
  <c r="A986" i="6"/>
  <c r="F986" i="6" s="1"/>
  <c r="A985" i="6"/>
  <c r="N985" i="6" s="1"/>
  <c r="A984" i="6"/>
  <c r="E984" i="6" s="1"/>
  <c r="A983" i="6"/>
  <c r="L983" i="6" s="1"/>
  <c r="A982" i="6"/>
  <c r="M982" i="6" s="1"/>
  <c r="A981" i="6"/>
  <c r="F981" i="6" s="1"/>
  <c r="A980" i="6"/>
  <c r="H980" i="6" s="1"/>
  <c r="A979" i="6"/>
  <c r="F979" i="6" s="1"/>
  <c r="A978" i="6"/>
  <c r="A977" i="6"/>
  <c r="A976" i="6"/>
  <c r="E976" i="6" s="1"/>
  <c r="A975" i="6"/>
  <c r="L975" i="6" s="1"/>
  <c r="A974" i="6"/>
  <c r="F974" i="6" s="1"/>
  <c r="A973" i="6"/>
  <c r="A972" i="6"/>
  <c r="H972" i="6" s="1"/>
  <c r="A971" i="6"/>
  <c r="A970" i="6"/>
  <c r="F970" i="6" s="1"/>
  <c r="A969" i="6"/>
  <c r="N969" i="6" s="1"/>
  <c r="A968" i="6"/>
  <c r="M968" i="6" s="1"/>
  <c r="A967" i="6"/>
  <c r="L967" i="6" s="1"/>
  <c r="A966" i="6"/>
  <c r="D966" i="6" s="1"/>
  <c r="A965" i="6"/>
  <c r="J965" i="6" s="1"/>
  <c r="A964" i="6"/>
  <c r="L964" i="6" s="1"/>
  <c r="A963" i="6"/>
  <c r="A962" i="6"/>
  <c r="A961" i="6"/>
  <c r="N961" i="6" s="1"/>
  <c r="A960" i="6"/>
  <c r="A959" i="6"/>
  <c r="A958" i="6"/>
  <c r="G958" i="6" s="1"/>
  <c r="A957" i="6"/>
  <c r="N957" i="6" s="1"/>
  <c r="A956" i="6"/>
  <c r="D956" i="6" s="1"/>
  <c r="A955" i="6"/>
  <c r="I955" i="6" s="1"/>
  <c r="A954" i="6"/>
  <c r="A953" i="6"/>
  <c r="L953" i="6" s="1"/>
  <c r="A952" i="6"/>
  <c r="A951" i="6"/>
  <c r="I951" i="6" s="1"/>
  <c r="A950" i="6"/>
  <c r="A949" i="6"/>
  <c r="A948" i="6"/>
  <c r="H948" i="6" s="1"/>
  <c r="A947" i="6"/>
  <c r="F947" i="6" s="1"/>
  <c r="A946" i="6"/>
  <c r="B946" i="6" s="1"/>
  <c r="Q946" i="6" s="1"/>
  <c r="A945" i="6"/>
  <c r="A944" i="6"/>
  <c r="A943" i="6"/>
  <c r="M943" i="6" s="1"/>
  <c r="A942" i="6"/>
  <c r="A941" i="6"/>
  <c r="N941" i="6" s="1"/>
  <c r="A940" i="6"/>
  <c r="A939" i="6"/>
  <c r="H939" i="6" s="1"/>
  <c r="A938" i="6"/>
  <c r="A937" i="6"/>
  <c r="C937" i="6" s="1"/>
  <c r="A936" i="6"/>
  <c r="A935" i="6"/>
  <c r="M935" i="6" s="1"/>
  <c r="A934" i="6"/>
  <c r="L934" i="6" s="1"/>
  <c r="A933" i="6"/>
  <c r="A932" i="6"/>
  <c r="K932" i="6" s="1"/>
  <c r="A931" i="6"/>
  <c r="N931" i="6" s="1"/>
  <c r="A930" i="6"/>
  <c r="N930" i="6" s="1"/>
  <c r="A929" i="6"/>
  <c r="A928" i="6"/>
  <c r="A927" i="6"/>
  <c r="N927" i="6" s="1"/>
  <c r="A926" i="6"/>
  <c r="A925" i="6"/>
  <c r="J925" i="6" s="1"/>
  <c r="A924" i="6"/>
  <c r="A923" i="6"/>
  <c r="D923" i="6" s="1"/>
  <c r="A922" i="6"/>
  <c r="A921" i="6"/>
  <c r="E921" i="6" s="1"/>
  <c r="A920" i="6"/>
  <c r="N920" i="6" s="1"/>
  <c r="A919" i="6"/>
  <c r="G919" i="6" s="1"/>
  <c r="A918" i="6"/>
  <c r="I918" i="6" s="1"/>
  <c r="A917" i="6"/>
  <c r="N917" i="6" s="1"/>
  <c r="A916" i="6"/>
  <c r="D916" i="6" s="1"/>
  <c r="A915" i="6"/>
  <c r="C915" i="6" s="1"/>
  <c r="A914" i="6"/>
  <c r="A913" i="6"/>
  <c r="C913" i="6" s="1"/>
  <c r="A912" i="6"/>
  <c r="A911" i="6"/>
  <c r="A910" i="6"/>
  <c r="A909" i="6"/>
  <c r="L909" i="6" s="1"/>
  <c r="A908" i="6"/>
  <c r="A907" i="6"/>
  <c r="H907" i="6" s="1"/>
  <c r="A906" i="6"/>
  <c r="A905" i="6"/>
  <c r="N905" i="6" s="1"/>
  <c r="A904" i="6"/>
  <c r="H904" i="6" s="1"/>
  <c r="A903" i="6"/>
  <c r="J903" i="6" s="1"/>
  <c r="A902" i="6"/>
  <c r="A901" i="6"/>
  <c r="A900" i="6"/>
  <c r="A899" i="6"/>
  <c r="F899" i="6" s="1"/>
  <c r="A898" i="6"/>
  <c r="N898" i="6" s="1"/>
  <c r="A897" i="6"/>
  <c r="E897" i="6" s="1"/>
  <c r="A896" i="6"/>
  <c r="A895" i="6"/>
  <c r="E895" i="6" s="1"/>
  <c r="A894" i="6"/>
  <c r="K894" i="6" s="1"/>
  <c r="A893" i="6"/>
  <c r="C893" i="6" s="1"/>
  <c r="A892" i="6"/>
  <c r="K892" i="6" s="1"/>
  <c r="A891" i="6"/>
  <c r="L891" i="6" s="1"/>
  <c r="A890" i="6"/>
  <c r="F890" i="6" s="1"/>
  <c r="A889" i="6"/>
  <c r="M889" i="6" s="1"/>
  <c r="A888" i="6"/>
  <c r="A887" i="6"/>
  <c r="K887" i="6" s="1"/>
  <c r="A886" i="6"/>
  <c r="L886" i="6" s="1"/>
  <c r="A885" i="6"/>
  <c r="N885" i="6" s="1"/>
  <c r="A884" i="6"/>
  <c r="H884" i="6" s="1"/>
  <c r="A883" i="6"/>
  <c r="N883" i="6" s="1"/>
  <c r="A882" i="6"/>
  <c r="A881" i="6"/>
  <c r="E881" i="6" s="1"/>
  <c r="A880" i="6"/>
  <c r="F880" i="6" s="1"/>
  <c r="A879" i="6"/>
  <c r="A878" i="6"/>
  <c r="F878" i="6" s="1"/>
  <c r="A877" i="6"/>
  <c r="A876" i="6"/>
  <c r="N876" i="6" s="1"/>
  <c r="A875" i="6"/>
  <c r="A874" i="6"/>
  <c r="L874" i="6" s="1"/>
  <c r="A873" i="6"/>
  <c r="A872" i="6"/>
  <c r="G872" i="6" s="1"/>
  <c r="A871" i="6"/>
  <c r="A870" i="6"/>
  <c r="A869" i="6"/>
  <c r="E869" i="6" s="1"/>
  <c r="A868" i="6"/>
  <c r="I868" i="6" s="1"/>
  <c r="A867" i="6"/>
  <c r="C867" i="6" s="1"/>
  <c r="A866" i="6"/>
  <c r="A865" i="6"/>
  <c r="H865" i="6" s="1"/>
  <c r="A864" i="6"/>
  <c r="A863" i="6"/>
  <c r="K863" i="6" s="1"/>
  <c r="A862" i="6"/>
  <c r="N862" i="6" s="1"/>
  <c r="A861" i="6"/>
  <c r="G861" i="6" s="1"/>
  <c r="A860" i="6"/>
  <c r="A859" i="6"/>
  <c r="G859" i="6" s="1"/>
  <c r="A858" i="6"/>
  <c r="E858" i="6" s="1"/>
  <c r="A857" i="6"/>
  <c r="G857" i="6" s="1"/>
  <c r="A856" i="6"/>
  <c r="E856" i="6" s="1"/>
  <c r="A855" i="6"/>
  <c r="G855" i="6" s="1"/>
  <c r="A854" i="6"/>
  <c r="E854" i="6" s="1"/>
  <c r="A853" i="6"/>
  <c r="G853" i="6" s="1"/>
  <c r="A852" i="6"/>
  <c r="E852" i="6" s="1"/>
  <c r="A851" i="6"/>
  <c r="G851" i="6" s="1"/>
  <c r="A850" i="6"/>
  <c r="E850" i="6" s="1"/>
  <c r="A849" i="6"/>
  <c r="G849" i="6" s="1"/>
  <c r="A848" i="6"/>
  <c r="A847" i="6"/>
  <c r="G847" i="6" s="1"/>
  <c r="A846" i="6"/>
  <c r="E846" i="6" s="1"/>
  <c r="A845" i="6"/>
  <c r="G845" i="6" s="1"/>
  <c r="A844" i="6"/>
  <c r="E844" i="6" s="1"/>
  <c r="A843" i="6"/>
  <c r="G843" i="6" s="1"/>
  <c r="A842" i="6"/>
  <c r="E842" i="6" s="1"/>
  <c r="A841" i="6"/>
  <c r="G841" i="6" s="1"/>
  <c r="A840" i="6"/>
  <c r="E840" i="6" s="1"/>
  <c r="A839" i="6"/>
  <c r="G839" i="6" s="1"/>
  <c r="A838" i="6"/>
  <c r="E838" i="6" s="1"/>
  <c r="A837" i="6"/>
  <c r="G837" i="6" s="1"/>
  <c r="A836" i="6"/>
  <c r="E836" i="6" s="1"/>
  <c r="A835" i="6"/>
  <c r="G835" i="6" s="1"/>
  <c r="A834" i="6"/>
  <c r="E834" i="6" s="1"/>
  <c r="A833" i="6"/>
  <c r="G833" i="6" s="1"/>
  <c r="A832" i="6"/>
  <c r="E832" i="6" s="1"/>
  <c r="A831" i="6"/>
  <c r="G831" i="6" s="1"/>
  <c r="A830" i="6"/>
  <c r="E830" i="6" s="1"/>
  <c r="A829" i="6"/>
  <c r="G829" i="6" s="1"/>
  <c r="A828" i="6"/>
  <c r="A827" i="6"/>
  <c r="G827" i="6" s="1"/>
  <c r="A826" i="6"/>
  <c r="E826" i="6" s="1"/>
  <c r="A825" i="6"/>
  <c r="G825" i="6" s="1"/>
  <c r="A824" i="6"/>
  <c r="E824" i="6" s="1"/>
  <c r="A823" i="6"/>
  <c r="G823" i="6" s="1"/>
  <c r="A822" i="6"/>
  <c r="E822" i="6" s="1"/>
  <c r="A821" i="6"/>
  <c r="G821" i="6" s="1"/>
  <c r="A820" i="6"/>
  <c r="A819" i="6"/>
  <c r="G819" i="6" s="1"/>
  <c r="A818" i="6"/>
  <c r="E818" i="6" s="1"/>
  <c r="A817" i="6"/>
  <c r="G817" i="6" s="1"/>
  <c r="A816" i="6"/>
  <c r="E816" i="6" s="1"/>
  <c r="A815" i="6"/>
  <c r="G815" i="6" s="1"/>
  <c r="A814" i="6"/>
  <c r="E814" i="6" s="1"/>
  <c r="A813" i="6"/>
  <c r="G813" i="6" s="1"/>
  <c r="A812" i="6"/>
  <c r="A811" i="6"/>
  <c r="G811" i="6" s="1"/>
  <c r="A810" i="6"/>
  <c r="E810" i="6" s="1"/>
  <c r="A809" i="6"/>
  <c r="G809" i="6" s="1"/>
  <c r="A808" i="6"/>
  <c r="E808" i="6" s="1"/>
  <c r="A807" i="6"/>
  <c r="G807" i="6" s="1"/>
  <c r="A806" i="6"/>
  <c r="E806" i="6" s="1"/>
  <c r="A805" i="6"/>
  <c r="G805" i="6" s="1"/>
  <c r="A804" i="6"/>
  <c r="E804" i="6" s="1"/>
  <c r="A803" i="6"/>
  <c r="G803" i="6" s="1"/>
  <c r="A802" i="6"/>
  <c r="E802" i="6" s="1"/>
  <c r="A801" i="6"/>
  <c r="G801" i="6" s="1"/>
  <c r="A800" i="6"/>
  <c r="E800" i="6" s="1"/>
  <c r="A799" i="6"/>
  <c r="G799" i="6" s="1"/>
  <c r="A798" i="6"/>
  <c r="E798" i="6" s="1"/>
  <c r="A797" i="6"/>
  <c r="G797" i="6" s="1"/>
  <c r="A796" i="6"/>
  <c r="A795" i="6"/>
  <c r="G795" i="6" s="1"/>
  <c r="A794" i="6"/>
  <c r="E794" i="6" s="1"/>
  <c r="A793" i="6"/>
  <c r="G793" i="6" s="1"/>
  <c r="A792" i="6"/>
  <c r="E792" i="6" s="1"/>
  <c r="A791" i="6"/>
  <c r="G791" i="6" s="1"/>
  <c r="A790" i="6"/>
  <c r="E790" i="6" s="1"/>
  <c r="A789" i="6"/>
  <c r="G789" i="6" s="1"/>
  <c r="A788" i="6"/>
  <c r="E788" i="6" s="1"/>
  <c r="A787" i="6"/>
  <c r="G787" i="6" s="1"/>
  <c r="A786" i="6"/>
  <c r="E786" i="6" s="1"/>
  <c r="A785" i="6"/>
  <c r="A784" i="6"/>
  <c r="G784" i="6" s="1"/>
  <c r="A783" i="6"/>
  <c r="M783" i="6" s="1"/>
  <c r="A782" i="6"/>
  <c r="M782" i="6" s="1"/>
  <c r="A781" i="6"/>
  <c r="A780" i="6"/>
  <c r="G780" i="6" s="1"/>
  <c r="A779" i="6"/>
  <c r="M779" i="6" s="1"/>
  <c r="A778" i="6"/>
  <c r="A777" i="6"/>
  <c r="I777" i="6" s="1"/>
  <c r="A776" i="6"/>
  <c r="A775" i="6"/>
  <c r="M775" i="6" s="1"/>
  <c r="A774" i="6"/>
  <c r="K774" i="6" s="1"/>
  <c r="A773" i="6"/>
  <c r="I773" i="6" s="1"/>
  <c r="A772" i="6"/>
  <c r="A771" i="6"/>
  <c r="M771" i="6" s="1"/>
  <c r="A770" i="6"/>
  <c r="M770" i="6" s="1"/>
  <c r="A769" i="6"/>
  <c r="I769" i="6" s="1"/>
  <c r="A768" i="6"/>
  <c r="K768" i="6" s="1"/>
  <c r="A767" i="6"/>
  <c r="M767" i="6" s="1"/>
  <c r="A766" i="6"/>
  <c r="M766" i="6" s="1"/>
  <c r="A765" i="6"/>
  <c r="K765" i="6" s="1"/>
  <c r="A764" i="6"/>
  <c r="A763" i="6"/>
  <c r="M763" i="6" s="1"/>
  <c r="A762" i="6"/>
  <c r="M762" i="6" s="1"/>
  <c r="A761" i="6"/>
  <c r="E761" i="6" s="1"/>
  <c r="A760" i="6"/>
  <c r="I760" i="6" s="1"/>
  <c r="A759" i="6"/>
  <c r="A758" i="6"/>
  <c r="M758" i="6" s="1"/>
  <c r="A757" i="6"/>
  <c r="A756" i="6"/>
  <c r="A755" i="6"/>
  <c r="A754" i="6"/>
  <c r="M754" i="6" s="1"/>
  <c r="A753" i="6"/>
  <c r="I753" i="6" s="1"/>
  <c r="A752" i="6"/>
  <c r="K752" i="6" s="1"/>
  <c r="A751" i="6"/>
  <c r="A750" i="6"/>
  <c r="M750" i="6" s="1"/>
  <c r="A749" i="6"/>
  <c r="K749" i="6" s="1"/>
  <c r="A748" i="6"/>
  <c r="K748" i="6" s="1"/>
  <c r="A747" i="6"/>
  <c r="A746" i="6"/>
  <c r="M746" i="6" s="1"/>
  <c r="A745" i="6"/>
  <c r="K745" i="6" s="1"/>
  <c r="A744" i="6"/>
  <c r="K744" i="6" s="1"/>
  <c r="A743" i="6"/>
  <c r="A742" i="6"/>
  <c r="K742" i="6" s="1"/>
  <c r="A741" i="6"/>
  <c r="M741" i="6" s="1"/>
  <c r="A740" i="6"/>
  <c r="J740" i="6" s="1"/>
  <c r="A739" i="6"/>
  <c r="A738" i="6"/>
  <c r="K738" i="6" s="1"/>
  <c r="A737" i="6"/>
  <c r="I737" i="6" s="1"/>
  <c r="A736" i="6"/>
  <c r="K736" i="6" s="1"/>
  <c r="A735" i="6"/>
  <c r="K735" i="6" s="1"/>
  <c r="A734" i="6"/>
  <c r="A733" i="6"/>
  <c r="A732" i="6"/>
  <c r="M732" i="6" s="1"/>
  <c r="A731" i="6"/>
  <c r="K731" i="6" s="1"/>
  <c r="A730" i="6"/>
  <c r="E730" i="6" s="1"/>
  <c r="A729" i="6"/>
  <c r="M729" i="6" s="1"/>
  <c r="A728" i="6"/>
  <c r="K728" i="6" s="1"/>
  <c r="A727" i="6"/>
  <c r="M727" i="6" s="1"/>
  <c r="A726" i="6"/>
  <c r="K726" i="6" s="1"/>
  <c r="A725" i="6"/>
  <c r="A724" i="6"/>
  <c r="J724" i="6" s="1"/>
  <c r="A723" i="6"/>
  <c r="N723" i="6" s="1"/>
  <c r="A722" i="6"/>
  <c r="K722" i="6" s="1"/>
  <c r="A721" i="6"/>
  <c r="G721" i="6" s="1"/>
  <c r="A720" i="6"/>
  <c r="A719" i="6"/>
  <c r="A718" i="6"/>
  <c r="B718" i="6" s="1"/>
  <c r="A717" i="6"/>
  <c r="F717" i="6" s="1"/>
  <c r="A716" i="6"/>
  <c r="M716" i="6" s="1"/>
  <c r="A715" i="6"/>
  <c r="K715" i="6" s="1"/>
  <c r="A714" i="6"/>
  <c r="K714" i="6" s="1"/>
  <c r="A713" i="6"/>
  <c r="A712" i="6"/>
  <c r="A711" i="6"/>
  <c r="F711" i="6" s="1"/>
  <c r="A710" i="6"/>
  <c r="A709" i="6"/>
  <c r="M709" i="6" s="1"/>
  <c r="A708" i="6"/>
  <c r="J708" i="6" s="1"/>
  <c r="A707" i="6"/>
  <c r="A706" i="6"/>
  <c r="A705" i="6"/>
  <c r="E705" i="6" s="1"/>
  <c r="A704" i="6"/>
  <c r="A703" i="6"/>
  <c r="K703" i="6" s="1"/>
  <c r="A702" i="6"/>
  <c r="M702" i="6" s="1"/>
  <c r="A701" i="6"/>
  <c r="I701" i="6" s="1"/>
  <c r="A700" i="6"/>
  <c r="C700" i="6" s="1"/>
  <c r="A699" i="6"/>
  <c r="A698" i="6"/>
  <c r="A697" i="6"/>
  <c r="A696" i="6"/>
  <c r="K696" i="6" s="1"/>
  <c r="A695" i="6"/>
  <c r="G695" i="6" s="1"/>
  <c r="A694" i="6"/>
  <c r="A693" i="6"/>
  <c r="G693" i="6" s="1"/>
  <c r="A692" i="6"/>
  <c r="A691" i="6"/>
  <c r="I691" i="6" s="1"/>
  <c r="A690" i="6"/>
  <c r="A689" i="6"/>
  <c r="A688" i="6"/>
  <c r="G688" i="6" s="1"/>
  <c r="A687" i="6"/>
  <c r="A686" i="6"/>
  <c r="A685" i="6"/>
  <c r="A684" i="6"/>
  <c r="E684" i="6" s="1"/>
  <c r="A683" i="6"/>
  <c r="I683" i="6" s="1"/>
  <c r="A682" i="6"/>
  <c r="A681" i="6"/>
  <c r="A680" i="6"/>
  <c r="A679" i="6"/>
  <c r="K679" i="6" s="1"/>
  <c r="A678" i="6"/>
  <c r="A677" i="6"/>
  <c r="A676" i="6"/>
  <c r="A675" i="6"/>
  <c r="A674" i="6"/>
  <c r="M674" i="6" s="1"/>
  <c r="A673" i="6"/>
  <c r="A672" i="6"/>
  <c r="A671" i="6"/>
  <c r="G671" i="6" s="1"/>
  <c r="A670" i="6"/>
  <c r="E670" i="6" s="1"/>
  <c r="A669" i="6"/>
  <c r="I669" i="6" s="1"/>
  <c r="A668" i="6"/>
  <c r="E668" i="6" s="1"/>
  <c r="A667" i="6"/>
  <c r="A666" i="6"/>
  <c r="A665" i="6"/>
  <c r="F665" i="6" s="1"/>
  <c r="A664" i="6"/>
  <c r="K664" i="6" s="1"/>
  <c r="A663" i="6"/>
  <c r="A662" i="6"/>
  <c r="I662" i="6" s="1"/>
  <c r="A661" i="6"/>
  <c r="K661" i="6" s="1"/>
  <c r="A660" i="6"/>
  <c r="C660" i="6" s="1"/>
  <c r="A659" i="6"/>
  <c r="I659" i="6" s="1"/>
  <c r="A658" i="6"/>
  <c r="M658" i="6" s="1"/>
  <c r="A657" i="6"/>
  <c r="M657" i="6" s="1"/>
  <c r="A656" i="6"/>
  <c r="K656" i="6" s="1"/>
  <c r="A655" i="6"/>
  <c r="A654" i="6"/>
  <c r="C654" i="6" s="1"/>
  <c r="A653" i="6"/>
  <c r="I653" i="6" s="1"/>
  <c r="A652" i="6"/>
  <c r="M652" i="6" s="1"/>
  <c r="A651" i="6"/>
  <c r="I651" i="6" s="1"/>
  <c r="A650" i="6"/>
  <c r="M650" i="6" s="1"/>
  <c r="A649" i="6"/>
  <c r="M649" i="6" s="1"/>
  <c r="A648" i="6"/>
  <c r="A647" i="6"/>
  <c r="K647" i="6" s="1"/>
  <c r="A646" i="6"/>
  <c r="I646" i="6" s="1"/>
  <c r="A645" i="6"/>
  <c r="I645" i="6" s="1"/>
  <c r="A644" i="6"/>
  <c r="J644" i="6" s="1"/>
  <c r="A643" i="6"/>
  <c r="A642" i="6"/>
  <c r="J642" i="6" s="1"/>
  <c r="A641" i="6"/>
  <c r="H641" i="6" s="1"/>
  <c r="A640" i="6"/>
  <c r="K640" i="6" s="1"/>
  <c r="A639" i="6"/>
  <c r="K639" i="6" s="1"/>
  <c r="A638" i="6"/>
  <c r="A637" i="6"/>
  <c r="I637" i="6" s="1"/>
  <c r="A636" i="6"/>
  <c r="A635" i="6"/>
  <c r="A634" i="6"/>
  <c r="I634" i="6" s="1"/>
  <c r="A633" i="6"/>
  <c r="L633" i="6" s="1"/>
  <c r="A632" i="6"/>
  <c r="I632" i="6" s="1"/>
  <c r="A631" i="6"/>
  <c r="A630" i="6"/>
  <c r="J630" i="6" s="1"/>
  <c r="A629" i="6"/>
  <c r="A628" i="6"/>
  <c r="I628" i="6" s="1"/>
  <c r="A627" i="6"/>
  <c r="A626" i="6"/>
  <c r="I626" i="6" s="1"/>
  <c r="A625" i="6"/>
  <c r="A624" i="6"/>
  <c r="D624" i="6" s="1"/>
  <c r="A623" i="6"/>
  <c r="A622" i="6"/>
  <c r="A621" i="6"/>
  <c r="A620" i="6"/>
  <c r="I620" i="6" s="1"/>
  <c r="A619" i="6"/>
  <c r="A618" i="6"/>
  <c r="A617" i="6"/>
  <c r="G617" i="6" s="1"/>
  <c r="A616" i="6"/>
  <c r="G616" i="6" s="1"/>
  <c r="A615" i="6"/>
  <c r="D615" i="6" s="1"/>
  <c r="A614" i="6"/>
  <c r="A613" i="6"/>
  <c r="A612" i="6"/>
  <c r="J612" i="6" s="1"/>
  <c r="A611" i="6"/>
  <c r="G611" i="6" s="1"/>
  <c r="A610" i="6"/>
  <c r="A609" i="6"/>
  <c r="J609" i="6" s="1"/>
  <c r="A608" i="6"/>
  <c r="D608" i="6" s="1"/>
  <c r="A607" i="6"/>
  <c r="A606" i="6"/>
  <c r="I606" i="6" s="1"/>
  <c r="A605" i="6"/>
  <c r="J605" i="6" s="1"/>
  <c r="A604" i="6"/>
  <c r="I604" i="6" s="1"/>
  <c r="A603" i="6"/>
  <c r="J603" i="6" s="1"/>
  <c r="A602" i="6"/>
  <c r="I602" i="6" s="1"/>
  <c r="A601" i="6"/>
  <c r="A600" i="6"/>
  <c r="A599" i="6"/>
  <c r="J599" i="6" s="1"/>
  <c r="A598" i="6"/>
  <c r="I598" i="6" s="1"/>
  <c r="A597" i="6"/>
  <c r="I597" i="6" s="1"/>
  <c r="A596" i="6"/>
  <c r="J596" i="6" s="1"/>
  <c r="A595" i="6"/>
  <c r="G595" i="6" s="1"/>
  <c r="A594" i="6"/>
  <c r="A593" i="6"/>
  <c r="A592" i="6"/>
  <c r="I592" i="6" s="1"/>
  <c r="A591" i="6"/>
  <c r="A590" i="6"/>
  <c r="H590" i="6" s="1"/>
  <c r="A589" i="6"/>
  <c r="A588" i="6"/>
  <c r="I588" i="6" s="1"/>
  <c r="A587" i="6"/>
  <c r="A586" i="6"/>
  <c r="I586" i="6" s="1"/>
  <c r="A585" i="6"/>
  <c r="J585" i="6" s="1"/>
  <c r="A584" i="6"/>
  <c r="I584" i="6" s="1"/>
  <c r="A583" i="6"/>
  <c r="H583" i="6" s="1"/>
  <c r="A582" i="6"/>
  <c r="I582" i="6" s="1"/>
  <c r="A581" i="6"/>
  <c r="D581" i="6" s="1"/>
  <c r="A580" i="6"/>
  <c r="A579" i="6"/>
  <c r="H579" i="6" s="1"/>
  <c r="A578" i="6"/>
  <c r="I578" i="6" s="1"/>
  <c r="A577" i="6"/>
  <c r="J577" i="6" s="1"/>
  <c r="A576" i="6"/>
  <c r="A575" i="6"/>
  <c r="A574" i="6"/>
  <c r="I574" i="6" s="1"/>
  <c r="A573" i="6"/>
  <c r="A572" i="6"/>
  <c r="I572" i="6" s="1"/>
  <c r="A571" i="6"/>
  <c r="H571" i="6" s="1"/>
  <c r="A570" i="6"/>
  <c r="A569" i="6"/>
  <c r="A568" i="6"/>
  <c r="A567" i="6"/>
  <c r="H567" i="6" s="1"/>
  <c r="A566" i="6"/>
  <c r="A565" i="6"/>
  <c r="D565" i="6" s="1"/>
  <c r="A564" i="6"/>
  <c r="A563" i="6"/>
  <c r="A562" i="6"/>
  <c r="I562" i="6" s="1"/>
  <c r="A561" i="6"/>
  <c r="J561" i="6" s="1"/>
  <c r="A560" i="6"/>
  <c r="I560" i="6" s="1"/>
  <c r="A559" i="6"/>
  <c r="H559" i="6" s="1"/>
  <c r="A558" i="6"/>
  <c r="A557" i="6"/>
  <c r="D557" i="6" s="1"/>
  <c r="A556" i="6"/>
  <c r="I556" i="6" s="1"/>
  <c r="A555" i="6"/>
  <c r="H555" i="6" s="1"/>
  <c r="A554" i="6"/>
  <c r="I554" i="6" s="1"/>
  <c r="A553" i="6"/>
  <c r="D553" i="6" s="1"/>
  <c r="A552" i="6"/>
  <c r="J552" i="6" s="1"/>
  <c r="A551" i="6"/>
  <c r="H551" i="6" s="1"/>
  <c r="A550" i="6"/>
  <c r="I550" i="6" s="1"/>
  <c r="A549" i="6"/>
  <c r="J549" i="6" s="1"/>
  <c r="A548" i="6"/>
  <c r="A547" i="6"/>
  <c r="H547" i="6" s="1"/>
  <c r="A546" i="6"/>
  <c r="I546" i="6" s="1"/>
  <c r="A545" i="6"/>
  <c r="J545" i="6" s="1"/>
  <c r="A544" i="6"/>
  <c r="I544" i="6" s="1"/>
  <c r="A543" i="6"/>
  <c r="F543" i="6" s="1"/>
  <c r="A542" i="6"/>
  <c r="I542" i="6" s="1"/>
  <c r="A541" i="6"/>
  <c r="F541" i="6" s="1"/>
  <c r="A540" i="6"/>
  <c r="I540" i="6" s="1"/>
  <c r="A539" i="6"/>
  <c r="D539" i="6" s="1"/>
  <c r="A538" i="6"/>
  <c r="A537" i="6"/>
  <c r="D537" i="6" s="1"/>
  <c r="A536" i="6"/>
  <c r="I536" i="6" s="1"/>
  <c r="A535" i="6"/>
  <c r="D535" i="6" s="1"/>
  <c r="A534" i="6"/>
  <c r="I534" i="6" s="1"/>
  <c r="A533" i="6"/>
  <c r="D533" i="6" s="1"/>
  <c r="A532" i="6"/>
  <c r="A531" i="6"/>
  <c r="D531" i="6" s="1"/>
  <c r="A530" i="6"/>
  <c r="J530" i="6" s="1"/>
  <c r="A529" i="6"/>
  <c r="F529" i="6" s="1"/>
  <c r="A528" i="6"/>
  <c r="A527" i="6"/>
  <c r="F527" i="6" s="1"/>
  <c r="A526" i="6"/>
  <c r="A525" i="6"/>
  <c r="L525" i="6" s="1"/>
  <c r="A524" i="6"/>
  <c r="A523" i="6"/>
  <c r="D523" i="6" s="1"/>
  <c r="A522" i="6"/>
  <c r="J522" i="6" s="1"/>
  <c r="A521" i="6"/>
  <c r="A520" i="6"/>
  <c r="A519" i="6"/>
  <c r="F519" i="6" s="1"/>
  <c r="A518" i="6"/>
  <c r="A517" i="6"/>
  <c r="L517" i="6" s="1"/>
  <c r="A516" i="6"/>
  <c r="A515" i="6"/>
  <c r="D515" i="6" s="1"/>
  <c r="A514" i="6"/>
  <c r="J514" i="6" s="1"/>
  <c r="A513" i="6"/>
  <c r="A512" i="6"/>
  <c r="A511" i="6"/>
  <c r="F511" i="6" s="1"/>
  <c r="A510" i="6"/>
  <c r="H510" i="6" s="1"/>
  <c r="A509" i="6"/>
  <c r="L509" i="6" s="1"/>
  <c r="A508" i="6"/>
  <c r="A507" i="6"/>
  <c r="A506" i="6"/>
  <c r="J506" i="6" s="1"/>
  <c r="A505" i="6"/>
  <c r="F505" i="6" s="1"/>
  <c r="A504" i="6"/>
  <c r="A503" i="6"/>
  <c r="F503" i="6" s="1"/>
  <c r="A502" i="6"/>
  <c r="H502" i="6" s="1"/>
  <c r="A501" i="6"/>
  <c r="L501" i="6" s="1"/>
  <c r="A500" i="6"/>
  <c r="A499" i="6"/>
  <c r="A498" i="6"/>
  <c r="J498" i="6" s="1"/>
  <c r="A497" i="6"/>
  <c r="L497" i="6" s="1"/>
  <c r="A496" i="6"/>
  <c r="I496" i="6" s="1"/>
  <c r="A495" i="6"/>
  <c r="L495" i="6" s="1"/>
  <c r="A494" i="6"/>
  <c r="H494" i="6" s="1"/>
  <c r="A493" i="6"/>
  <c r="L493" i="6" s="1"/>
  <c r="A492" i="6"/>
  <c r="A491" i="6"/>
  <c r="L491" i="6" s="1"/>
  <c r="A490" i="6"/>
  <c r="A489" i="6"/>
  <c r="I489" i="6" s="1"/>
  <c r="A488" i="6"/>
  <c r="A487" i="6"/>
  <c r="A486" i="6"/>
  <c r="A485" i="6"/>
  <c r="F485" i="6" s="1"/>
  <c r="A484" i="6"/>
  <c r="F484" i="6" s="1"/>
  <c r="A483" i="6"/>
  <c r="A482" i="6"/>
  <c r="H482" i="6" s="1"/>
  <c r="A481" i="6"/>
  <c r="L481" i="6" s="1"/>
  <c r="A480" i="6"/>
  <c r="I480" i="6" s="1"/>
  <c r="A479" i="6"/>
  <c r="A478" i="6"/>
  <c r="J478" i="6" s="1"/>
  <c r="A477" i="6"/>
  <c r="L477" i="6" s="1"/>
  <c r="A476" i="6"/>
  <c r="A475" i="6"/>
  <c r="L475" i="6" s="1"/>
  <c r="A474" i="6"/>
  <c r="J474" i="6" s="1"/>
  <c r="A473" i="6"/>
  <c r="L473" i="6" s="1"/>
  <c r="A472" i="6"/>
  <c r="A471" i="6"/>
  <c r="A470" i="6"/>
  <c r="A469" i="6"/>
  <c r="L469" i="6" s="1"/>
  <c r="A468" i="6"/>
  <c r="J468" i="6" s="1"/>
  <c r="A467" i="6"/>
  <c r="D467" i="6" s="1"/>
  <c r="A466" i="6"/>
  <c r="J466" i="6" s="1"/>
  <c r="A465" i="6"/>
  <c r="L465" i="6" s="1"/>
  <c r="A464" i="6"/>
  <c r="J464" i="6" s="1"/>
  <c r="A463" i="6"/>
  <c r="D463" i="6" s="1"/>
  <c r="A462" i="6"/>
  <c r="I462" i="6" s="1"/>
  <c r="A461" i="6"/>
  <c r="J461" i="6" s="1"/>
  <c r="A460" i="6"/>
  <c r="J460" i="6" s="1"/>
  <c r="A459" i="6"/>
  <c r="A458" i="6"/>
  <c r="J458" i="6" s="1"/>
  <c r="A457" i="6"/>
  <c r="L457" i="6" s="1"/>
  <c r="A456" i="6"/>
  <c r="A455" i="6"/>
  <c r="A454" i="6"/>
  <c r="J454" i="6" s="1"/>
  <c r="A453" i="6"/>
  <c r="L453" i="6" s="1"/>
  <c r="A452" i="6"/>
  <c r="G452" i="6" s="1"/>
  <c r="A451" i="6"/>
  <c r="A450" i="6"/>
  <c r="G450" i="6" s="1"/>
  <c r="A449" i="6"/>
  <c r="A448" i="6"/>
  <c r="D448" i="6" s="1"/>
  <c r="A447" i="6"/>
  <c r="A446" i="6"/>
  <c r="H446" i="6" s="1"/>
  <c r="A445" i="6"/>
  <c r="I445" i="6" s="1"/>
  <c r="A444" i="6"/>
  <c r="L444" i="6" s="1"/>
  <c r="A443" i="6"/>
  <c r="A442" i="6"/>
  <c r="A441" i="6"/>
  <c r="I441" i="6" s="1"/>
  <c r="A440" i="6"/>
  <c r="L440" i="6" s="1"/>
  <c r="A439" i="6"/>
  <c r="A438" i="6"/>
  <c r="H438" i="6" s="1"/>
  <c r="A437" i="6"/>
  <c r="I437" i="6" s="1"/>
  <c r="A436" i="6"/>
  <c r="A435" i="6"/>
  <c r="A434" i="6"/>
  <c r="L434" i="6" s="1"/>
  <c r="A433" i="6"/>
  <c r="J433" i="6" s="1"/>
  <c r="A432" i="6"/>
  <c r="D432" i="6" s="1"/>
  <c r="A431" i="6"/>
  <c r="A430" i="6"/>
  <c r="H430" i="6" s="1"/>
  <c r="A429" i="6"/>
  <c r="I429" i="6" s="1"/>
  <c r="A428" i="6"/>
  <c r="L428" i="6" s="1"/>
  <c r="A427" i="6"/>
  <c r="J427" i="6" s="1"/>
  <c r="A426" i="6"/>
  <c r="L426" i="6" s="1"/>
  <c r="A425" i="6"/>
  <c r="I425" i="6" s="1"/>
  <c r="A424" i="6"/>
  <c r="A423" i="6"/>
  <c r="L423" i="6" s="1"/>
  <c r="A422" i="6"/>
  <c r="H422" i="6" s="1"/>
  <c r="A421" i="6"/>
  <c r="I421" i="6" s="1"/>
  <c r="A420" i="6"/>
  <c r="A419" i="6"/>
  <c r="A418" i="6"/>
  <c r="G418" i="6" s="1"/>
  <c r="A417" i="6"/>
  <c r="A416" i="6"/>
  <c r="D416" i="6" s="1"/>
  <c r="A415" i="6"/>
  <c r="I415" i="6" s="1"/>
  <c r="A414" i="6"/>
  <c r="A413" i="6"/>
  <c r="I413" i="6" s="1"/>
  <c r="A412" i="6"/>
  <c r="L412" i="6" s="1"/>
  <c r="A411" i="6"/>
  <c r="L411" i="6" s="1"/>
  <c r="A410" i="6"/>
  <c r="F410" i="6" s="1"/>
  <c r="A409" i="6"/>
  <c r="I409" i="6" s="1"/>
  <c r="A408" i="6"/>
  <c r="A407" i="6"/>
  <c r="K407" i="6" s="1"/>
  <c r="A406" i="6"/>
  <c r="H406" i="6" s="1"/>
  <c r="A405" i="6"/>
  <c r="I405" i="6" s="1"/>
  <c r="A404" i="6"/>
  <c r="G404" i="6" s="1"/>
  <c r="A403" i="6"/>
  <c r="J403" i="6" s="1"/>
  <c r="A402" i="6"/>
  <c r="H402" i="6" s="1"/>
  <c r="A401" i="6"/>
  <c r="A400" i="6"/>
  <c r="D400" i="6" s="1"/>
  <c r="A399" i="6"/>
  <c r="I399" i="6" s="1"/>
  <c r="A398" i="6"/>
  <c r="G398" i="6" s="1"/>
  <c r="A397" i="6"/>
  <c r="I397" i="6" s="1"/>
  <c r="A396" i="6"/>
  <c r="A395" i="6"/>
  <c r="I395" i="6" s="1"/>
  <c r="A394" i="6"/>
  <c r="F394" i="6" s="1"/>
  <c r="A393" i="6"/>
  <c r="A392" i="6"/>
  <c r="A391" i="6"/>
  <c r="A390" i="6"/>
  <c r="F390" i="6" s="1"/>
  <c r="A389" i="6"/>
  <c r="I389" i="6" s="1"/>
  <c r="A388" i="6"/>
  <c r="G388" i="6" s="1"/>
  <c r="A387" i="6"/>
  <c r="I387" i="6" s="1"/>
  <c r="A386" i="6"/>
  <c r="H386" i="6" s="1"/>
  <c r="A385" i="6"/>
  <c r="I385" i="6" s="1"/>
  <c r="A384" i="6"/>
  <c r="D384" i="6" s="1"/>
  <c r="A383" i="6"/>
  <c r="A382" i="6"/>
  <c r="G382" i="6" s="1"/>
  <c r="A381" i="6"/>
  <c r="A380" i="6"/>
  <c r="H380" i="6" s="1"/>
  <c r="A379" i="6"/>
  <c r="A378" i="6"/>
  <c r="L378" i="6" s="1"/>
  <c r="A377" i="6"/>
  <c r="K377" i="6" s="1"/>
  <c r="A376" i="6"/>
  <c r="A375" i="6"/>
  <c r="A374" i="6"/>
  <c r="A373" i="6"/>
  <c r="L373" i="6" s="1"/>
  <c r="A372" i="6"/>
  <c r="A371" i="6"/>
  <c r="A370" i="6"/>
  <c r="F370" i="6" s="1"/>
  <c r="A369" i="6"/>
  <c r="L369" i="6" s="1"/>
  <c r="A368" i="6"/>
  <c r="D368" i="6" s="1"/>
  <c r="A367" i="6"/>
  <c r="K367" i="6" s="1"/>
  <c r="A366" i="6"/>
  <c r="A365" i="6"/>
  <c r="J365" i="6" s="1"/>
  <c r="A364" i="6"/>
  <c r="G364" i="6" s="1"/>
  <c r="A363" i="6"/>
  <c r="A362" i="6"/>
  <c r="F362" i="6" s="1"/>
  <c r="A361" i="6"/>
  <c r="L361" i="6" s="1"/>
  <c r="A360" i="6"/>
  <c r="D360" i="6" s="1"/>
  <c r="A359" i="6"/>
  <c r="K359" i="6" s="1"/>
  <c r="A358" i="6"/>
  <c r="A357" i="6"/>
  <c r="J357" i="6" s="1"/>
  <c r="A356" i="6"/>
  <c r="D356" i="6" s="1"/>
  <c r="A355" i="6"/>
  <c r="A354" i="6"/>
  <c r="H354" i="6" s="1"/>
  <c r="A353" i="6"/>
  <c r="L353" i="6" s="1"/>
  <c r="A352" i="6"/>
  <c r="A351" i="6"/>
  <c r="K351" i="6" s="1"/>
  <c r="A350" i="6"/>
  <c r="G350" i="6" s="1"/>
  <c r="A349" i="6"/>
  <c r="J349" i="6" s="1"/>
  <c r="A348" i="6"/>
  <c r="H348" i="6" s="1"/>
  <c r="A347" i="6"/>
  <c r="A346" i="6"/>
  <c r="G346" i="6" s="1"/>
  <c r="A345" i="6"/>
  <c r="A344" i="6"/>
  <c r="F344" i="6" s="1"/>
  <c r="A343" i="6"/>
  <c r="A342" i="6"/>
  <c r="G342" i="6" s="1"/>
  <c r="A341" i="6"/>
  <c r="H341" i="6" s="1"/>
  <c r="A340" i="6"/>
  <c r="H340" i="6" s="1"/>
  <c r="A339" i="6"/>
  <c r="J339" i="6" s="1"/>
  <c r="A338" i="6"/>
  <c r="A337" i="6"/>
  <c r="L337" i="6" s="1"/>
  <c r="A336" i="6"/>
  <c r="A335" i="6"/>
  <c r="J335" i="6" s="1"/>
  <c r="A334" i="6"/>
  <c r="F334" i="6" s="1"/>
  <c r="A333" i="6"/>
  <c r="K333" i="6" s="1"/>
  <c r="A332" i="6"/>
  <c r="A331" i="6"/>
  <c r="A330" i="6"/>
  <c r="F330" i="6" s="1"/>
  <c r="A329" i="6"/>
  <c r="A328" i="6"/>
  <c r="L328" i="6" s="1"/>
  <c r="A327" i="6"/>
  <c r="K327" i="6" s="1"/>
  <c r="A326" i="6"/>
  <c r="F326" i="6" s="1"/>
  <c r="A325" i="6"/>
  <c r="K325" i="6" s="1"/>
  <c r="A324" i="6"/>
  <c r="A323" i="6"/>
  <c r="A322" i="6"/>
  <c r="L322" i="6" s="1"/>
  <c r="A321" i="6"/>
  <c r="L321" i="6" s="1"/>
  <c r="A320" i="6"/>
  <c r="A319" i="6"/>
  <c r="A318" i="6"/>
  <c r="H318" i="6" s="1"/>
  <c r="A317" i="6"/>
  <c r="A316" i="6"/>
  <c r="A315" i="6"/>
  <c r="K315" i="6" s="1"/>
  <c r="A314" i="6"/>
  <c r="F314" i="6" s="1"/>
  <c r="A313" i="6"/>
  <c r="L313" i="6" s="1"/>
  <c r="A312" i="6"/>
  <c r="I312" i="6" s="1"/>
  <c r="A311" i="6"/>
  <c r="A310" i="6"/>
  <c r="I310" i="6" s="1"/>
  <c r="A309" i="6"/>
  <c r="J309" i="6" s="1"/>
  <c r="A308" i="6"/>
  <c r="A307" i="6"/>
  <c r="K307" i="6" s="1"/>
  <c r="A306" i="6"/>
  <c r="A305" i="6"/>
  <c r="A304" i="6"/>
  <c r="I304" i="6" s="1"/>
  <c r="A303" i="6"/>
  <c r="H303" i="6" s="1"/>
  <c r="A302" i="6"/>
  <c r="A301" i="6"/>
  <c r="J301" i="6" s="1"/>
  <c r="A300" i="6"/>
  <c r="A299" i="6"/>
  <c r="A298" i="6"/>
  <c r="L298" i="6" s="1"/>
  <c r="A297" i="6"/>
  <c r="H297" i="6" s="1"/>
  <c r="A296" i="6"/>
  <c r="A295" i="6"/>
  <c r="A294" i="6"/>
  <c r="G294" i="6" s="1"/>
  <c r="A293" i="6"/>
  <c r="A292" i="6"/>
  <c r="A291" i="6"/>
  <c r="K291" i="6" s="1"/>
  <c r="A290" i="6"/>
  <c r="A289" i="6"/>
  <c r="H289" i="6" s="1"/>
  <c r="A288" i="6"/>
  <c r="I288" i="6" s="1"/>
  <c r="A287" i="6"/>
  <c r="L287" i="6" s="1"/>
  <c r="A286" i="6"/>
  <c r="I286" i="6" s="1"/>
  <c r="A285" i="6"/>
  <c r="A284" i="6"/>
  <c r="A283" i="6"/>
  <c r="K283" i="6" s="1"/>
  <c r="A282" i="6"/>
  <c r="L282" i="6" s="1"/>
  <c r="A281" i="6"/>
  <c r="L281" i="6" s="1"/>
  <c r="A280" i="6"/>
  <c r="A279" i="6"/>
  <c r="H279" i="6" s="1"/>
  <c r="A278" i="6"/>
  <c r="G278" i="6" s="1"/>
  <c r="A277" i="6"/>
  <c r="L277" i="6" s="1"/>
  <c r="A276" i="6"/>
  <c r="A275" i="6"/>
  <c r="K275" i="6" s="1"/>
  <c r="A274" i="6"/>
  <c r="L274" i="6" s="1"/>
  <c r="A273" i="6"/>
  <c r="D273" i="6" s="1"/>
  <c r="A272" i="6"/>
  <c r="G272" i="6" s="1"/>
  <c r="A271" i="6"/>
  <c r="J271" i="6" s="1"/>
  <c r="A270" i="6"/>
  <c r="I270" i="6" s="1"/>
  <c r="A269" i="6"/>
  <c r="H269" i="6" s="1"/>
  <c r="A268" i="6"/>
  <c r="A267" i="6"/>
  <c r="A266" i="6"/>
  <c r="L266" i="6" s="1"/>
  <c r="A265" i="6"/>
  <c r="L265" i="6" s="1"/>
  <c r="A264" i="6"/>
  <c r="I264" i="6" s="1"/>
  <c r="A263" i="6"/>
  <c r="H263" i="6" s="1"/>
  <c r="A262" i="6"/>
  <c r="I262" i="6" s="1"/>
  <c r="A261" i="6"/>
  <c r="A260" i="6"/>
  <c r="A259" i="6"/>
  <c r="K259" i="6" s="1"/>
  <c r="A258" i="6"/>
  <c r="L258" i="6" s="1"/>
  <c r="A257" i="6"/>
  <c r="I257" i="6" s="1"/>
  <c r="A256" i="6"/>
  <c r="I256" i="6" s="1"/>
  <c r="A255" i="6"/>
  <c r="H255" i="6" s="1"/>
  <c r="A254" i="6"/>
  <c r="I254" i="6" s="1"/>
  <c r="A253" i="6"/>
  <c r="L253" i="6" s="1"/>
  <c r="A252" i="6"/>
  <c r="A251" i="6"/>
  <c r="K251" i="6" s="1"/>
  <c r="A250" i="6"/>
  <c r="L250" i="6" s="1"/>
  <c r="A249" i="6"/>
  <c r="L249" i="6" s="1"/>
  <c r="A248" i="6"/>
  <c r="L248" i="6" s="1"/>
  <c r="A247" i="6"/>
  <c r="H247" i="6" s="1"/>
  <c r="A246" i="6"/>
  <c r="I246" i="6" s="1"/>
  <c r="A245" i="6"/>
  <c r="L245" i="6" s="1"/>
  <c r="A244" i="6"/>
  <c r="A243" i="6"/>
  <c r="K243" i="6" s="1"/>
  <c r="A242" i="6"/>
  <c r="L242" i="6" s="1"/>
  <c r="A241" i="6"/>
  <c r="D241" i="6" s="1"/>
  <c r="A240" i="6"/>
  <c r="I240" i="6" s="1"/>
  <c r="A239" i="6"/>
  <c r="A238" i="6"/>
  <c r="I238" i="6" s="1"/>
  <c r="A237" i="6"/>
  <c r="L237" i="6" s="1"/>
  <c r="A236" i="6"/>
  <c r="K236" i="6" s="1"/>
  <c r="A235" i="6"/>
  <c r="A234" i="6"/>
  <c r="I234" i="6" s="1"/>
  <c r="A233" i="6"/>
  <c r="I233" i="6" s="1"/>
  <c r="A232" i="6"/>
  <c r="I232" i="6" s="1"/>
  <c r="A231" i="6"/>
  <c r="A230" i="6"/>
  <c r="I230" i="6" s="1"/>
  <c r="A229" i="6"/>
  <c r="I229" i="6" s="1"/>
  <c r="A228" i="6"/>
  <c r="I228" i="6" s="1"/>
  <c r="A227" i="6"/>
  <c r="A226" i="6"/>
  <c r="I226" i="6" s="1"/>
  <c r="A225" i="6"/>
  <c r="A224" i="6"/>
  <c r="A223" i="6"/>
  <c r="A222" i="6"/>
  <c r="A221" i="6"/>
  <c r="A220" i="6"/>
  <c r="I220" i="6" s="1"/>
  <c r="A219" i="6"/>
  <c r="H219" i="6" s="1"/>
  <c r="A218" i="6"/>
  <c r="I218" i="6" s="1"/>
  <c r="A217" i="6"/>
  <c r="H217" i="6" s="1"/>
  <c r="A216" i="6"/>
  <c r="I216" i="6" s="1"/>
  <c r="A215" i="6"/>
  <c r="L215" i="6" s="1"/>
  <c r="A214" i="6"/>
  <c r="I214" i="6" s="1"/>
  <c r="A213" i="6"/>
  <c r="F213" i="6" s="1"/>
  <c r="A212" i="6"/>
  <c r="I212" i="6" s="1"/>
  <c r="A211" i="6"/>
  <c r="A210" i="6"/>
  <c r="I210" i="6" s="1"/>
  <c r="A209" i="6"/>
  <c r="D209" i="6" s="1"/>
  <c r="A208" i="6"/>
  <c r="J208" i="6" s="1"/>
  <c r="A207" i="6"/>
  <c r="A206" i="6"/>
  <c r="G206" i="6" s="1"/>
  <c r="A205" i="6"/>
  <c r="D205" i="6" s="1"/>
  <c r="A204" i="6"/>
  <c r="I204" i="6" s="1"/>
  <c r="A203" i="6"/>
  <c r="L203" i="6" s="1"/>
  <c r="A202" i="6"/>
  <c r="I202" i="6" s="1"/>
  <c r="A201" i="6"/>
  <c r="A200" i="6"/>
  <c r="A199" i="6"/>
  <c r="A198" i="6"/>
  <c r="I198" i="6" s="1"/>
  <c r="A197" i="6"/>
  <c r="A196" i="6"/>
  <c r="I196" i="6" s="1"/>
  <c r="A195" i="6"/>
  <c r="D195" i="6" s="1"/>
  <c r="A194" i="6"/>
  <c r="I194" i="6" s="1"/>
  <c r="A193" i="6"/>
  <c r="K193" i="6" s="1"/>
  <c r="A192" i="6"/>
  <c r="I192" i="6" s="1"/>
  <c r="A191" i="6"/>
  <c r="A190" i="6"/>
  <c r="I190" i="6" s="1"/>
  <c r="A189" i="6"/>
  <c r="K189" i="6" s="1"/>
  <c r="A188" i="6"/>
  <c r="I188" i="6" s="1"/>
  <c r="A187" i="6"/>
  <c r="A186" i="6"/>
  <c r="A185" i="6"/>
  <c r="K185" i="6" s="1"/>
  <c r="A184" i="6"/>
  <c r="I184" i="6" s="1"/>
  <c r="A183" i="6"/>
  <c r="K183" i="6" s="1"/>
  <c r="A182" i="6"/>
  <c r="I182" i="6" s="1"/>
  <c r="A181" i="6"/>
  <c r="K181" i="6" s="1"/>
  <c r="A180" i="6"/>
  <c r="I180" i="6" s="1"/>
  <c r="A179" i="6"/>
  <c r="A178" i="6"/>
  <c r="I178" i="6" s="1"/>
  <c r="A177" i="6"/>
  <c r="F177" i="6" s="1"/>
  <c r="A176" i="6"/>
  <c r="I176" i="6" s="1"/>
  <c r="A175" i="6"/>
  <c r="K175" i="6" s="1"/>
  <c r="A174" i="6"/>
  <c r="I174" i="6" s="1"/>
  <c r="A173" i="6"/>
  <c r="H173" i="6" s="1"/>
  <c r="A172" i="6"/>
  <c r="I172" i="6" s="1"/>
  <c r="A171" i="6"/>
  <c r="K171" i="6" s="1"/>
  <c r="A170" i="6"/>
  <c r="I170" i="6" s="1"/>
  <c r="A169" i="6"/>
  <c r="K169" i="6" s="1"/>
  <c r="A168" i="6"/>
  <c r="I168" i="6" s="1"/>
  <c r="A167" i="6"/>
  <c r="G167" i="6" s="1"/>
  <c r="A166" i="6"/>
  <c r="I166" i="6" s="1"/>
  <c r="A165" i="6"/>
  <c r="K165" i="6" s="1"/>
  <c r="A164" i="6"/>
  <c r="I164" i="6" s="1"/>
  <c r="A163" i="6"/>
  <c r="L163" i="6" s="1"/>
  <c r="A162" i="6"/>
  <c r="I162" i="6" s="1"/>
  <c r="A161" i="6"/>
  <c r="A160" i="6"/>
  <c r="A159" i="6"/>
  <c r="K159" i="6" s="1"/>
  <c r="A158" i="6"/>
  <c r="I158" i="6" s="1"/>
  <c r="A157" i="6"/>
  <c r="H157" i="6" s="1"/>
  <c r="A156" i="6"/>
  <c r="I156" i="6" s="1"/>
  <c r="A155" i="6"/>
  <c r="A154" i="6"/>
  <c r="I154" i="6" s="1"/>
  <c r="A153" i="6"/>
  <c r="K153" i="6" s="1"/>
  <c r="A152" i="6"/>
  <c r="I152" i="6" s="1"/>
  <c r="A151" i="6"/>
  <c r="K151" i="6" s="1"/>
  <c r="A150" i="6"/>
  <c r="I150" i="6" s="1"/>
  <c r="A149" i="6"/>
  <c r="K149" i="6" s="1"/>
  <c r="A148" i="6"/>
  <c r="I148" i="6" s="1"/>
  <c r="A147" i="6"/>
  <c r="L147" i="6" s="1"/>
  <c r="A146" i="6"/>
  <c r="I146" i="6" s="1"/>
  <c r="A145" i="6"/>
  <c r="A144" i="6"/>
  <c r="A143" i="6"/>
  <c r="K143" i="6" s="1"/>
  <c r="A142" i="6"/>
  <c r="I142" i="6" s="1"/>
  <c r="A141" i="6"/>
  <c r="A140" i="6"/>
  <c r="I140" i="6" s="1"/>
  <c r="A139" i="6"/>
  <c r="K139" i="6" s="1"/>
  <c r="A138" i="6"/>
  <c r="I138" i="6" s="1"/>
  <c r="A137" i="6"/>
  <c r="A136" i="6"/>
  <c r="A135" i="6"/>
  <c r="K135" i="6" s="1"/>
  <c r="A134" i="6"/>
  <c r="I134" i="6" s="1"/>
  <c r="A133" i="6"/>
  <c r="K133" i="6" s="1"/>
  <c r="A132" i="6"/>
  <c r="I132" i="6" s="1"/>
  <c r="A131" i="6"/>
  <c r="A130" i="6"/>
  <c r="A129" i="6"/>
  <c r="I129" i="6" s="1"/>
  <c r="A128" i="6"/>
  <c r="I128" i="6" s="1"/>
  <c r="A127" i="6"/>
  <c r="K127" i="6" s="1"/>
  <c r="A126" i="6"/>
  <c r="I126" i="6" s="1"/>
  <c r="A125" i="6"/>
  <c r="A124" i="6"/>
  <c r="I124" i="6" s="1"/>
  <c r="A123" i="6"/>
  <c r="K123" i="6" s="1"/>
  <c r="A122" i="6"/>
  <c r="I122" i="6" s="1"/>
  <c r="A121" i="6"/>
  <c r="K121" i="6" s="1"/>
  <c r="A120" i="6"/>
  <c r="G120" i="6" s="1"/>
  <c r="A119" i="6"/>
  <c r="D119" i="6" s="1"/>
  <c r="A118" i="6"/>
  <c r="I118" i="6" s="1"/>
  <c r="A117" i="6"/>
  <c r="K117" i="6" s="1"/>
  <c r="A116" i="6"/>
  <c r="I116" i="6" s="1"/>
  <c r="A115" i="6"/>
  <c r="A114" i="6"/>
  <c r="D114" i="6" s="1"/>
  <c r="A113" i="6"/>
  <c r="A112" i="6"/>
  <c r="I112" i="6" s="1"/>
  <c r="A111" i="6"/>
  <c r="K111" i="6" s="1"/>
  <c r="A110" i="6"/>
  <c r="I110" i="6" s="1"/>
  <c r="A109" i="6"/>
  <c r="A108" i="6"/>
  <c r="I108" i="6" s="1"/>
  <c r="A107" i="6"/>
  <c r="K107" i="6" s="1"/>
  <c r="A106" i="6"/>
  <c r="I106" i="6" s="1"/>
  <c r="A105" i="6"/>
  <c r="K105" i="6" s="1"/>
  <c r="A104" i="6"/>
  <c r="I104" i="6" s="1"/>
  <c r="A103" i="6"/>
  <c r="A102" i="6"/>
  <c r="I102" i="6" s="1"/>
  <c r="A101" i="6"/>
  <c r="K101" i="6" s="1"/>
  <c r="A100" i="6"/>
  <c r="I100" i="6" s="1"/>
  <c r="A99" i="6"/>
  <c r="L99" i="6" s="1"/>
  <c r="A98" i="6"/>
  <c r="A97" i="6"/>
  <c r="K97" i="6" s="1"/>
  <c r="A96" i="6"/>
  <c r="I96" i="6" s="1"/>
  <c r="A95" i="6"/>
  <c r="K95" i="6" s="1"/>
  <c r="A94" i="6"/>
  <c r="I94" i="6" s="1"/>
  <c r="A93" i="6"/>
  <c r="H93" i="6" s="1"/>
  <c r="A92" i="6"/>
  <c r="A91" i="6"/>
  <c r="L91" i="6" s="1"/>
  <c r="A90" i="6"/>
  <c r="I90" i="6" s="1"/>
  <c r="A89" i="6"/>
  <c r="A88" i="6"/>
  <c r="I88" i="6" s="1"/>
  <c r="A87" i="6"/>
  <c r="I87" i="6" s="1"/>
  <c r="A86" i="6"/>
  <c r="I86" i="6" s="1"/>
  <c r="A85" i="6"/>
  <c r="H85" i="6" s="1"/>
  <c r="A84" i="6"/>
  <c r="I84" i="6" s="1"/>
  <c r="A83" i="6"/>
  <c r="H83" i="6" s="1"/>
  <c r="A82" i="6"/>
  <c r="I82" i="6" s="1"/>
  <c r="A81" i="6"/>
  <c r="A80" i="6"/>
  <c r="H80" i="6" s="1"/>
  <c r="A79" i="6"/>
  <c r="D79" i="6" s="1"/>
  <c r="A78" i="6"/>
  <c r="H78" i="6" s="1"/>
  <c r="A77" i="6"/>
  <c r="H77" i="6" s="1"/>
  <c r="A76" i="6"/>
  <c r="A75" i="6"/>
  <c r="L75" i="6" s="1"/>
  <c r="A74" i="6"/>
  <c r="I74" i="6" s="1"/>
  <c r="A73" i="6"/>
  <c r="L73" i="6" s="1"/>
  <c r="A72" i="6"/>
  <c r="I72" i="6" s="1"/>
  <c r="A71" i="6"/>
  <c r="I71" i="6" s="1"/>
  <c r="A70" i="6"/>
  <c r="I70" i="6" s="1"/>
  <c r="A69" i="6"/>
  <c r="L69" i="6" s="1"/>
  <c r="A68" i="6"/>
  <c r="A67" i="6"/>
  <c r="J67" i="6" s="1"/>
  <c r="A66" i="6"/>
  <c r="A65" i="6"/>
  <c r="L65" i="6" s="1"/>
  <c r="A64" i="6"/>
  <c r="I64" i="6" s="1"/>
  <c r="A63" i="6"/>
  <c r="L63" i="6" s="1"/>
  <c r="A62" i="6"/>
  <c r="I62" i="6" s="1"/>
  <c r="A61" i="6"/>
  <c r="L61" i="6" s="1"/>
  <c r="A60" i="6"/>
  <c r="A59" i="6"/>
  <c r="J59" i="6" s="1"/>
  <c r="A58" i="6"/>
  <c r="I58" i="6" s="1"/>
  <c r="A57" i="6"/>
  <c r="A56" i="6"/>
  <c r="I56" i="6" s="1"/>
  <c r="A55" i="6"/>
  <c r="J55" i="6" s="1"/>
  <c r="A54" i="6"/>
  <c r="I54" i="6" s="1"/>
  <c r="A53" i="6"/>
  <c r="L53" i="6" s="1"/>
  <c r="A52" i="6"/>
  <c r="A51" i="6"/>
  <c r="L51" i="6" s="1"/>
  <c r="A50" i="6"/>
  <c r="I50" i="6" s="1"/>
  <c r="A49" i="6"/>
  <c r="L49" i="6" s="1"/>
  <c r="A48" i="6"/>
  <c r="I48" i="6" s="1"/>
  <c r="A47" i="6"/>
  <c r="L47" i="6" s="1"/>
  <c r="A46" i="6"/>
  <c r="I46" i="6" s="1"/>
  <c r="A45" i="6"/>
  <c r="A44" i="6"/>
  <c r="A43" i="6"/>
  <c r="J43" i="6" s="1"/>
  <c r="A42" i="6"/>
  <c r="I42" i="6" s="1"/>
  <c r="A41" i="6"/>
  <c r="L41" i="6" s="1"/>
  <c r="A40" i="6"/>
  <c r="I40" i="6" s="1"/>
  <c r="A39" i="6"/>
  <c r="L39" i="6" s="1"/>
  <c r="A38" i="6"/>
  <c r="I38" i="6" s="1"/>
  <c r="A37" i="6"/>
  <c r="L37" i="6" s="1"/>
  <c r="A36" i="6"/>
  <c r="A35" i="6"/>
  <c r="L35" i="6" s="1"/>
  <c r="A34" i="6"/>
  <c r="I34" i="6" s="1"/>
  <c r="A33" i="6"/>
  <c r="L33" i="6" s="1"/>
  <c r="A32" i="6"/>
  <c r="I32" i="6" s="1"/>
  <c r="A31" i="6"/>
  <c r="L31" i="6" s="1"/>
  <c r="A30" i="6"/>
  <c r="I30" i="6" s="1"/>
  <c r="A29" i="6"/>
  <c r="J29" i="6" s="1"/>
  <c r="A28" i="6"/>
  <c r="A27" i="6"/>
  <c r="J27" i="6" s="1"/>
  <c r="A26" i="6"/>
  <c r="I26" i="6" s="1"/>
  <c r="A25" i="6"/>
  <c r="L25" i="6" s="1"/>
  <c r="A24" i="6"/>
  <c r="I24" i="6" s="1"/>
  <c r="A23" i="6"/>
  <c r="L23" i="6" s="1"/>
  <c r="A22" i="6"/>
  <c r="I22" i="6" s="1"/>
  <c r="A21" i="6"/>
  <c r="L21" i="6" s="1"/>
  <c r="A20" i="6"/>
  <c r="A19" i="6"/>
  <c r="J19" i="6" s="1"/>
  <c r="A18" i="6"/>
  <c r="I18" i="6" s="1"/>
  <c r="A17" i="6"/>
  <c r="J17" i="6" s="1"/>
  <c r="A16" i="6"/>
  <c r="I16" i="6" s="1"/>
  <c r="A15" i="6"/>
  <c r="L15" i="6" s="1"/>
  <c r="A14" i="6"/>
  <c r="I14" i="6" s="1"/>
  <c r="A13" i="6"/>
  <c r="J13" i="6" s="1"/>
  <c r="A12" i="6"/>
  <c r="A11" i="6"/>
  <c r="L11" i="6" s="1"/>
  <c r="A10" i="6"/>
  <c r="I10" i="6" s="1"/>
  <c r="A9" i="6"/>
  <c r="L9" i="6" s="1"/>
  <c r="A8" i="6"/>
  <c r="I8" i="6" s="1"/>
  <c r="A7" i="6"/>
  <c r="L7" i="6" s="1"/>
  <c r="A6" i="6"/>
  <c r="I6" i="6" s="1"/>
  <c r="A5" i="6"/>
  <c r="H5" i="6" s="1"/>
  <c r="A214" i="4"/>
  <c r="A213" i="4"/>
  <c r="A212" i="4"/>
  <c r="A211" i="4"/>
  <c r="A210" i="4"/>
  <c r="A209" i="4"/>
  <c r="A208" i="4"/>
  <c r="A207" i="4"/>
  <c r="A206" i="4"/>
  <c r="A205" i="4"/>
  <c r="A204" i="4"/>
  <c r="A203" i="4"/>
  <c r="A202" i="4"/>
  <c r="A201" i="4"/>
  <c r="A200" i="4"/>
  <c r="A199" i="4"/>
  <c r="A198" i="4"/>
  <c r="A197" i="4"/>
  <c r="A196" i="4"/>
  <c r="A195" i="4"/>
  <c r="A194" i="4"/>
  <c r="A193" i="4"/>
  <c r="A192" i="4"/>
  <c r="A191" i="4"/>
  <c r="A190" i="4"/>
  <c r="A189" i="4"/>
  <c r="A188" i="4"/>
  <c r="A187" i="4"/>
  <c r="A186" i="4"/>
  <c r="A185" i="4"/>
  <c r="A184" i="4"/>
  <c r="A183" i="4"/>
  <c r="A182" i="4"/>
  <c r="A181" i="4"/>
  <c r="A180" i="4"/>
  <c r="A179" i="4"/>
  <c r="A178" i="4"/>
  <c r="A177" i="4"/>
  <c r="A176" i="4"/>
  <c r="A175" i="4"/>
  <c r="A174" i="4"/>
  <c r="A173" i="4"/>
  <c r="A172" i="4"/>
  <c r="A171" i="4"/>
  <c r="A170" i="4"/>
  <c r="A169" i="4"/>
  <c r="A168" i="4"/>
  <c r="A167" i="4"/>
  <c r="A166" i="4"/>
  <c r="A165" i="4"/>
  <c r="A164" i="4"/>
  <c r="A163" i="4"/>
  <c r="A162" i="4"/>
  <c r="A161" i="4"/>
  <c r="A160" i="4"/>
  <c r="A159" i="4"/>
  <c r="A158" i="4"/>
  <c r="A157" i="4"/>
  <c r="A156" i="4"/>
  <c r="A155" i="4"/>
  <c r="A154" i="4"/>
  <c r="A153" i="4"/>
  <c r="A152" i="4"/>
  <c r="A151" i="4"/>
  <c r="A150" i="4"/>
  <c r="A149" i="4"/>
  <c r="A148" i="4"/>
  <c r="A147" i="4"/>
  <c r="A146" i="4"/>
  <c r="A145" i="4"/>
  <c r="A144" i="4"/>
  <c r="A143" i="4"/>
  <c r="A142" i="4"/>
  <c r="A141" i="4"/>
  <c r="A140" i="4"/>
  <c r="A139" i="4"/>
  <c r="A138" i="4"/>
  <c r="A137" i="4"/>
  <c r="A136" i="4"/>
  <c r="A135" i="4"/>
  <c r="A134" i="4"/>
  <c r="A133" i="4"/>
  <c r="A132" i="4"/>
  <c r="A131" i="4"/>
  <c r="A130" i="4"/>
  <c r="A129" i="4"/>
  <c r="A128" i="4"/>
  <c r="A127" i="4"/>
  <c r="A126" i="4"/>
  <c r="A125" i="4"/>
  <c r="A124" i="4"/>
  <c r="A123" i="4"/>
  <c r="A122" i="4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5" i="4"/>
  <c r="A104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B4" i="4"/>
  <c r="E203" i="3"/>
  <c r="D203" i="3"/>
  <c r="C203" i="3"/>
  <c r="B203" i="3"/>
  <c r="E202" i="3"/>
  <c r="D202" i="3"/>
  <c r="C202" i="3"/>
  <c r="B202" i="3"/>
  <c r="E201" i="3"/>
  <c r="D201" i="3"/>
  <c r="C201" i="3"/>
  <c r="B201" i="3"/>
  <c r="E200" i="3"/>
  <c r="D200" i="3"/>
  <c r="C200" i="3"/>
  <c r="C211" i="4" s="1"/>
  <c r="B200" i="3"/>
  <c r="E199" i="3"/>
  <c r="D199" i="3"/>
  <c r="C199" i="3"/>
  <c r="B199" i="3"/>
  <c r="E198" i="3"/>
  <c r="D198" i="3"/>
  <c r="C198" i="3"/>
  <c r="C209" i="4" s="1"/>
  <c r="B198" i="3"/>
  <c r="E197" i="3"/>
  <c r="D197" i="3"/>
  <c r="C197" i="3"/>
  <c r="B197" i="3"/>
  <c r="E196" i="3"/>
  <c r="D196" i="3"/>
  <c r="C196" i="3"/>
  <c r="C207" i="4" s="1"/>
  <c r="B196" i="3"/>
  <c r="E195" i="3"/>
  <c r="D195" i="3"/>
  <c r="C195" i="3"/>
  <c r="B195" i="3"/>
  <c r="E194" i="3"/>
  <c r="D194" i="3"/>
  <c r="C194" i="3"/>
  <c r="C205" i="4" s="1"/>
  <c r="B194" i="3"/>
  <c r="E193" i="3"/>
  <c r="D193" i="3"/>
  <c r="C193" i="3"/>
  <c r="B193" i="3"/>
  <c r="E192" i="3"/>
  <c r="D192" i="3"/>
  <c r="C192" i="3"/>
  <c r="C203" i="4" s="1"/>
  <c r="B192" i="3"/>
  <c r="E191" i="3"/>
  <c r="D191" i="3"/>
  <c r="C191" i="3"/>
  <c r="B191" i="3"/>
  <c r="E190" i="3"/>
  <c r="D190" i="3"/>
  <c r="C190" i="3"/>
  <c r="B190" i="3"/>
  <c r="E189" i="3"/>
  <c r="D189" i="3"/>
  <c r="C189" i="3"/>
  <c r="B189" i="3"/>
  <c r="E188" i="3"/>
  <c r="D188" i="3"/>
  <c r="C188" i="3"/>
  <c r="C199" i="4" s="1"/>
  <c r="B188" i="3"/>
  <c r="E187" i="3"/>
  <c r="D187" i="3"/>
  <c r="C187" i="3"/>
  <c r="B187" i="3"/>
  <c r="E186" i="3"/>
  <c r="D186" i="3"/>
  <c r="C186" i="3"/>
  <c r="B186" i="3"/>
  <c r="E185" i="3"/>
  <c r="D185" i="3"/>
  <c r="C185" i="3"/>
  <c r="B185" i="3"/>
  <c r="E184" i="3"/>
  <c r="D184" i="3"/>
  <c r="C184" i="3"/>
  <c r="C195" i="4" s="1"/>
  <c r="B184" i="3"/>
  <c r="E183" i="3"/>
  <c r="D183" i="3"/>
  <c r="C183" i="3"/>
  <c r="B183" i="3"/>
  <c r="E182" i="3"/>
  <c r="D182" i="3"/>
  <c r="C182" i="3"/>
  <c r="B182" i="3"/>
  <c r="E181" i="3"/>
  <c r="D181" i="3"/>
  <c r="C181" i="3"/>
  <c r="B181" i="3"/>
  <c r="E180" i="3"/>
  <c r="D180" i="3"/>
  <c r="C180" i="3"/>
  <c r="C191" i="4" s="1"/>
  <c r="B180" i="3"/>
  <c r="E179" i="3"/>
  <c r="D179" i="3"/>
  <c r="C179" i="3"/>
  <c r="B179" i="3"/>
  <c r="E178" i="3"/>
  <c r="D178" i="3"/>
  <c r="C178" i="3"/>
  <c r="B178" i="3"/>
  <c r="E177" i="3"/>
  <c r="D177" i="3"/>
  <c r="C177" i="3"/>
  <c r="B177" i="3"/>
  <c r="E176" i="3"/>
  <c r="D176" i="3"/>
  <c r="C176" i="3"/>
  <c r="B176" i="3"/>
  <c r="E175" i="3"/>
  <c r="D175" i="3"/>
  <c r="C175" i="3"/>
  <c r="B175" i="3"/>
  <c r="E174" i="3"/>
  <c r="D174" i="3"/>
  <c r="C174" i="3"/>
  <c r="B174" i="3"/>
  <c r="E173" i="3"/>
  <c r="D173" i="3"/>
  <c r="C173" i="3"/>
  <c r="B173" i="3"/>
  <c r="E172" i="3"/>
  <c r="D172" i="3"/>
  <c r="C172" i="3"/>
  <c r="B172" i="3"/>
  <c r="E171" i="3"/>
  <c r="D171" i="3"/>
  <c r="C171" i="3"/>
  <c r="B171" i="3"/>
  <c r="E170" i="3"/>
  <c r="D170" i="3"/>
  <c r="C170" i="3"/>
  <c r="B170" i="3"/>
  <c r="E169" i="3"/>
  <c r="D169" i="3"/>
  <c r="C169" i="3"/>
  <c r="B169" i="3"/>
  <c r="E168" i="3"/>
  <c r="D168" i="3"/>
  <c r="C168" i="3"/>
  <c r="B168" i="3"/>
  <c r="E167" i="3"/>
  <c r="D167" i="3"/>
  <c r="C167" i="3"/>
  <c r="B167" i="3"/>
  <c r="E166" i="3"/>
  <c r="D166" i="3"/>
  <c r="C166" i="3"/>
  <c r="B166" i="3"/>
  <c r="E165" i="3"/>
  <c r="D165" i="3"/>
  <c r="C165" i="3"/>
  <c r="B165" i="3"/>
  <c r="E164" i="3"/>
  <c r="D164" i="3"/>
  <c r="C164" i="3"/>
  <c r="B164" i="3"/>
  <c r="E163" i="3"/>
  <c r="D163" i="3"/>
  <c r="C163" i="3"/>
  <c r="B163" i="3"/>
  <c r="E162" i="3"/>
  <c r="D162" i="3"/>
  <c r="C162" i="3"/>
  <c r="B162" i="3"/>
  <c r="E161" i="3"/>
  <c r="D161" i="3"/>
  <c r="C161" i="3"/>
  <c r="B161" i="3"/>
  <c r="E160" i="3"/>
  <c r="D160" i="3"/>
  <c r="C160" i="3"/>
  <c r="B160" i="3"/>
  <c r="E159" i="3"/>
  <c r="D159" i="3"/>
  <c r="C159" i="3"/>
  <c r="B159" i="3"/>
  <c r="E158" i="3"/>
  <c r="D158" i="3"/>
  <c r="C158" i="3"/>
  <c r="B158" i="3"/>
  <c r="E157" i="3"/>
  <c r="D157" i="3"/>
  <c r="C157" i="3"/>
  <c r="B157" i="3"/>
  <c r="E156" i="3"/>
  <c r="D156" i="3"/>
  <c r="C156" i="3"/>
  <c r="B156" i="3"/>
  <c r="E155" i="3"/>
  <c r="D155" i="3"/>
  <c r="C155" i="3"/>
  <c r="B155" i="3"/>
  <c r="E154" i="3"/>
  <c r="D154" i="3"/>
  <c r="C154" i="3"/>
  <c r="B154" i="3"/>
  <c r="E153" i="3"/>
  <c r="D153" i="3"/>
  <c r="C153" i="3"/>
  <c r="B153" i="3"/>
  <c r="E152" i="3"/>
  <c r="D152" i="3"/>
  <c r="C152" i="3"/>
  <c r="B152" i="3"/>
  <c r="E151" i="3"/>
  <c r="D151" i="3"/>
  <c r="C151" i="3"/>
  <c r="B151" i="3"/>
  <c r="E150" i="3"/>
  <c r="D150" i="3"/>
  <c r="C150" i="3"/>
  <c r="B150" i="3"/>
  <c r="E149" i="3"/>
  <c r="D149" i="3"/>
  <c r="C149" i="3"/>
  <c r="B149" i="3"/>
  <c r="E148" i="3"/>
  <c r="D148" i="3"/>
  <c r="C148" i="3"/>
  <c r="B148" i="3"/>
  <c r="E147" i="3"/>
  <c r="D147" i="3"/>
  <c r="C147" i="3"/>
  <c r="B147" i="3"/>
  <c r="E146" i="3"/>
  <c r="D146" i="3"/>
  <c r="C146" i="3"/>
  <c r="B146" i="3"/>
  <c r="E145" i="3"/>
  <c r="D145" i="3"/>
  <c r="C145" i="3"/>
  <c r="B145" i="3"/>
  <c r="E144" i="3"/>
  <c r="D144" i="3"/>
  <c r="C144" i="3"/>
  <c r="B144" i="3"/>
  <c r="E143" i="3"/>
  <c r="D143" i="3"/>
  <c r="C143" i="3"/>
  <c r="B143" i="3"/>
  <c r="E142" i="3"/>
  <c r="D142" i="3"/>
  <c r="C142" i="3"/>
  <c r="B142" i="3"/>
  <c r="E141" i="3"/>
  <c r="D141" i="3"/>
  <c r="C141" i="3"/>
  <c r="B141" i="3"/>
  <c r="E140" i="3"/>
  <c r="D140" i="3"/>
  <c r="C140" i="3"/>
  <c r="B140" i="3"/>
  <c r="E139" i="3"/>
  <c r="D139" i="3"/>
  <c r="C139" i="3"/>
  <c r="B139" i="3"/>
  <c r="E138" i="3"/>
  <c r="D138" i="3"/>
  <c r="C138" i="3"/>
  <c r="B138" i="3"/>
  <c r="E137" i="3"/>
  <c r="D137" i="3"/>
  <c r="C137" i="3"/>
  <c r="B137" i="3"/>
  <c r="E136" i="3"/>
  <c r="D136" i="3"/>
  <c r="C136" i="3"/>
  <c r="B136" i="3"/>
  <c r="E135" i="3"/>
  <c r="D135" i="3"/>
  <c r="C135" i="3"/>
  <c r="B135" i="3"/>
  <c r="E134" i="3"/>
  <c r="D134" i="3"/>
  <c r="C134" i="3"/>
  <c r="B134" i="3"/>
  <c r="E133" i="3"/>
  <c r="D133" i="3"/>
  <c r="C133" i="3"/>
  <c r="B133" i="3"/>
  <c r="E132" i="3"/>
  <c r="D132" i="3"/>
  <c r="C132" i="3"/>
  <c r="B132" i="3"/>
  <c r="E131" i="3"/>
  <c r="D131" i="3"/>
  <c r="C131" i="3"/>
  <c r="B131" i="3"/>
  <c r="E130" i="3"/>
  <c r="D130" i="3"/>
  <c r="C130" i="3"/>
  <c r="B130" i="3"/>
  <c r="E129" i="3"/>
  <c r="D129" i="3"/>
  <c r="C129" i="3"/>
  <c r="B129" i="3"/>
  <c r="E128" i="3"/>
  <c r="D128" i="3"/>
  <c r="C128" i="3"/>
  <c r="B128" i="3"/>
  <c r="E127" i="3"/>
  <c r="D127" i="3"/>
  <c r="C127" i="3"/>
  <c r="B127" i="3"/>
  <c r="E126" i="3"/>
  <c r="D126" i="3"/>
  <c r="C126" i="3"/>
  <c r="B126" i="3"/>
  <c r="E125" i="3"/>
  <c r="D125" i="3"/>
  <c r="C125" i="3"/>
  <c r="B125" i="3"/>
  <c r="E124" i="3"/>
  <c r="D124" i="3"/>
  <c r="C124" i="3"/>
  <c r="B124" i="3"/>
  <c r="E123" i="3"/>
  <c r="D123" i="3"/>
  <c r="C123" i="3"/>
  <c r="B123" i="3"/>
  <c r="E122" i="3"/>
  <c r="D122" i="3"/>
  <c r="C122" i="3"/>
  <c r="B122" i="3"/>
  <c r="E121" i="3"/>
  <c r="D121" i="3"/>
  <c r="C121" i="3"/>
  <c r="B121" i="3"/>
  <c r="E120" i="3"/>
  <c r="D120" i="3"/>
  <c r="C120" i="3"/>
  <c r="B120" i="3"/>
  <c r="E119" i="3"/>
  <c r="D119" i="3"/>
  <c r="C119" i="3"/>
  <c r="B119" i="3"/>
  <c r="E118" i="3"/>
  <c r="D118" i="3"/>
  <c r="C118" i="3"/>
  <c r="B118" i="3"/>
  <c r="E117" i="3"/>
  <c r="D117" i="3"/>
  <c r="C117" i="3"/>
  <c r="B117" i="3"/>
  <c r="E116" i="3"/>
  <c r="D116" i="3"/>
  <c r="C116" i="3"/>
  <c r="B116" i="3"/>
  <c r="E115" i="3"/>
  <c r="D115" i="3"/>
  <c r="C115" i="3"/>
  <c r="B115" i="3"/>
  <c r="E114" i="3"/>
  <c r="D114" i="3"/>
  <c r="C114" i="3"/>
  <c r="B114" i="3"/>
  <c r="E113" i="3"/>
  <c r="D113" i="3"/>
  <c r="C113" i="3"/>
  <c r="B113" i="3"/>
  <c r="E112" i="3"/>
  <c r="D112" i="3"/>
  <c r="C112" i="3"/>
  <c r="B112" i="3"/>
  <c r="E111" i="3"/>
  <c r="D111" i="3"/>
  <c r="C111" i="3"/>
  <c r="B111" i="3"/>
  <c r="E110" i="3"/>
  <c r="D110" i="3"/>
  <c r="C110" i="3"/>
  <c r="B110" i="3"/>
  <c r="E109" i="3"/>
  <c r="D109" i="3"/>
  <c r="C109" i="3"/>
  <c r="B109" i="3"/>
  <c r="E108" i="3"/>
  <c r="D108" i="3"/>
  <c r="C108" i="3"/>
  <c r="B108" i="3"/>
  <c r="E107" i="3"/>
  <c r="D107" i="3"/>
  <c r="C107" i="3"/>
  <c r="B107" i="3"/>
  <c r="E106" i="3"/>
  <c r="D106" i="3"/>
  <c r="C106" i="3"/>
  <c r="B106" i="3"/>
  <c r="E105" i="3"/>
  <c r="D105" i="3"/>
  <c r="C105" i="3"/>
  <c r="B105" i="3"/>
  <c r="E104" i="3"/>
  <c r="D104" i="3"/>
  <c r="C104" i="3"/>
  <c r="B104" i="3"/>
  <c r="E103" i="3"/>
  <c r="D103" i="3"/>
  <c r="C103" i="3"/>
  <c r="B103" i="3"/>
  <c r="E102" i="3"/>
  <c r="D102" i="3"/>
  <c r="C102" i="3"/>
  <c r="B102" i="3"/>
  <c r="E101" i="3"/>
  <c r="D101" i="3"/>
  <c r="C101" i="3"/>
  <c r="B101" i="3"/>
  <c r="E100" i="3"/>
  <c r="D100" i="3"/>
  <c r="C100" i="3"/>
  <c r="B100" i="3"/>
  <c r="E99" i="3"/>
  <c r="D99" i="3"/>
  <c r="C99" i="3"/>
  <c r="B99" i="3"/>
  <c r="E98" i="3"/>
  <c r="D98" i="3"/>
  <c r="C98" i="3"/>
  <c r="B98" i="3"/>
  <c r="E97" i="3"/>
  <c r="D97" i="3"/>
  <c r="C97" i="3"/>
  <c r="B97" i="3"/>
  <c r="E96" i="3"/>
  <c r="D96" i="3"/>
  <c r="C96" i="3"/>
  <c r="C107" i="4" s="1"/>
  <c r="B96" i="3"/>
  <c r="E95" i="3"/>
  <c r="D95" i="3"/>
  <c r="C95" i="3"/>
  <c r="B95" i="3"/>
  <c r="E94" i="3"/>
  <c r="D94" i="3"/>
  <c r="C94" i="3"/>
  <c r="B94" i="3"/>
  <c r="E93" i="3"/>
  <c r="D93" i="3"/>
  <c r="C93" i="3"/>
  <c r="B93" i="3"/>
  <c r="E92" i="3"/>
  <c r="D92" i="3"/>
  <c r="C92" i="3"/>
  <c r="C103" i="4" s="1"/>
  <c r="B92" i="3"/>
  <c r="E91" i="3"/>
  <c r="D91" i="3"/>
  <c r="C91" i="3"/>
  <c r="B91" i="3"/>
  <c r="E90" i="3"/>
  <c r="D90" i="3"/>
  <c r="C90" i="3"/>
  <c r="B90" i="3"/>
  <c r="E89" i="3"/>
  <c r="D89" i="3"/>
  <c r="C89" i="3"/>
  <c r="B89" i="3"/>
  <c r="E88" i="3"/>
  <c r="D88" i="3"/>
  <c r="C88" i="3"/>
  <c r="C99" i="4" s="1"/>
  <c r="B88" i="3"/>
  <c r="E87" i="3"/>
  <c r="D87" i="3"/>
  <c r="C87" i="3"/>
  <c r="B87" i="3"/>
  <c r="E86" i="3"/>
  <c r="D86" i="3"/>
  <c r="C86" i="3"/>
  <c r="B86" i="3"/>
  <c r="E85" i="3"/>
  <c r="D85" i="3"/>
  <c r="C85" i="3"/>
  <c r="B85" i="3"/>
  <c r="E84" i="3"/>
  <c r="D84" i="3"/>
  <c r="C84" i="3"/>
  <c r="C95" i="4" s="1"/>
  <c r="B84" i="3"/>
  <c r="E83" i="3"/>
  <c r="D83" i="3"/>
  <c r="C83" i="3"/>
  <c r="B83" i="3"/>
  <c r="E82" i="3"/>
  <c r="D82" i="3"/>
  <c r="C82" i="3"/>
  <c r="B82" i="3"/>
  <c r="E81" i="3"/>
  <c r="D81" i="3"/>
  <c r="C81" i="3"/>
  <c r="B81" i="3"/>
  <c r="E80" i="3"/>
  <c r="D80" i="3"/>
  <c r="C80" i="3"/>
  <c r="C91" i="4" s="1"/>
  <c r="B80" i="3"/>
  <c r="E79" i="3"/>
  <c r="D79" i="3"/>
  <c r="C79" i="3"/>
  <c r="B79" i="3"/>
  <c r="E78" i="3"/>
  <c r="D78" i="3"/>
  <c r="C78" i="3"/>
  <c r="B78" i="3"/>
  <c r="E77" i="3"/>
  <c r="D77" i="3"/>
  <c r="C77" i="3"/>
  <c r="B77" i="3"/>
  <c r="E76" i="3"/>
  <c r="D76" i="3"/>
  <c r="C76" i="3"/>
  <c r="C87" i="4" s="1"/>
  <c r="B76" i="3"/>
  <c r="E75" i="3"/>
  <c r="D75" i="3"/>
  <c r="C75" i="3"/>
  <c r="B75" i="3"/>
  <c r="E74" i="3"/>
  <c r="D74" i="3"/>
  <c r="C74" i="3"/>
  <c r="B74" i="3"/>
  <c r="E73" i="3"/>
  <c r="D73" i="3"/>
  <c r="C73" i="3"/>
  <c r="B73" i="3"/>
  <c r="E72" i="3"/>
  <c r="D72" i="3"/>
  <c r="C72" i="3"/>
  <c r="C83" i="4" s="1"/>
  <c r="B72" i="3"/>
  <c r="E71" i="3"/>
  <c r="D71" i="3"/>
  <c r="C71" i="3"/>
  <c r="B71" i="3"/>
  <c r="E70" i="3"/>
  <c r="D70" i="3"/>
  <c r="C70" i="3"/>
  <c r="B70" i="3"/>
  <c r="E69" i="3"/>
  <c r="D69" i="3"/>
  <c r="C69" i="3"/>
  <c r="B69" i="3"/>
  <c r="E68" i="3"/>
  <c r="D68" i="3"/>
  <c r="C68" i="3"/>
  <c r="C79" i="4" s="1"/>
  <c r="B68" i="3"/>
  <c r="E67" i="3"/>
  <c r="D67" i="3"/>
  <c r="C67" i="3"/>
  <c r="B67" i="3"/>
  <c r="E66" i="3"/>
  <c r="D66" i="3"/>
  <c r="C66" i="3"/>
  <c r="C77" i="4" s="1"/>
  <c r="B66" i="3"/>
  <c r="E65" i="3"/>
  <c r="D65" i="3"/>
  <c r="C65" i="3"/>
  <c r="B65" i="3"/>
  <c r="E64" i="3"/>
  <c r="D64" i="3"/>
  <c r="C64" i="3"/>
  <c r="C75" i="4" s="1"/>
  <c r="B64" i="3"/>
  <c r="E63" i="3"/>
  <c r="D63" i="3"/>
  <c r="C63" i="3"/>
  <c r="B63" i="3"/>
  <c r="E62" i="3"/>
  <c r="D62" i="3"/>
  <c r="C62" i="3"/>
  <c r="C73" i="4" s="1"/>
  <c r="B62" i="3"/>
  <c r="E61" i="3"/>
  <c r="D61" i="3"/>
  <c r="C61" i="3"/>
  <c r="B61" i="3"/>
  <c r="E60" i="3"/>
  <c r="D60" i="3"/>
  <c r="C60" i="3"/>
  <c r="C71" i="4" s="1"/>
  <c r="B60" i="3"/>
  <c r="E59" i="3"/>
  <c r="D59" i="3"/>
  <c r="C59" i="3"/>
  <c r="B59" i="3"/>
  <c r="E58" i="3"/>
  <c r="D58" i="3"/>
  <c r="C58" i="3"/>
  <c r="C69" i="4" s="1"/>
  <c r="B58" i="3"/>
  <c r="E57" i="3"/>
  <c r="D57" i="3"/>
  <c r="C57" i="3"/>
  <c r="B57" i="3"/>
  <c r="E56" i="3"/>
  <c r="D56" i="3"/>
  <c r="C56" i="3"/>
  <c r="C67" i="4" s="1"/>
  <c r="B56" i="3"/>
  <c r="E55" i="3"/>
  <c r="D55" i="3"/>
  <c r="C55" i="3"/>
  <c r="B55" i="3"/>
  <c r="E54" i="3"/>
  <c r="D54" i="3"/>
  <c r="C54" i="3"/>
  <c r="C65" i="4" s="1"/>
  <c r="B54" i="3"/>
  <c r="E53" i="3"/>
  <c r="D53" i="3"/>
  <c r="C53" i="3"/>
  <c r="B53" i="3"/>
  <c r="E52" i="3"/>
  <c r="D52" i="3"/>
  <c r="C52" i="3"/>
  <c r="C63" i="4" s="1"/>
  <c r="B52" i="3"/>
  <c r="E51" i="3"/>
  <c r="D51" i="3"/>
  <c r="C51" i="3"/>
  <c r="B51" i="3"/>
  <c r="E50" i="3"/>
  <c r="D50" i="3"/>
  <c r="C50" i="3"/>
  <c r="C61" i="4" s="1"/>
  <c r="B50" i="3"/>
  <c r="E49" i="3"/>
  <c r="D49" i="3"/>
  <c r="C49" i="3"/>
  <c r="B49" i="3"/>
  <c r="E48" i="3"/>
  <c r="D48" i="3"/>
  <c r="C48" i="3"/>
  <c r="C59" i="4" s="1"/>
  <c r="B48" i="3"/>
  <c r="E47" i="3"/>
  <c r="D47" i="3"/>
  <c r="C47" i="3"/>
  <c r="B47" i="3"/>
  <c r="E46" i="3"/>
  <c r="D46" i="3"/>
  <c r="C46" i="3"/>
  <c r="C57" i="4" s="1"/>
  <c r="B46" i="3"/>
  <c r="E45" i="3"/>
  <c r="D45" i="3"/>
  <c r="C45" i="3"/>
  <c r="B45" i="3"/>
  <c r="E44" i="3"/>
  <c r="D44" i="3"/>
  <c r="C44" i="3"/>
  <c r="C55" i="4" s="1"/>
  <c r="B44" i="3"/>
  <c r="E43" i="3"/>
  <c r="D43" i="3"/>
  <c r="C43" i="3"/>
  <c r="B43" i="3"/>
  <c r="E42" i="3"/>
  <c r="D42" i="3"/>
  <c r="C42" i="3"/>
  <c r="C53" i="4" s="1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D6" i="3"/>
  <c r="C6" i="3"/>
  <c r="B6" i="3"/>
  <c r="AM643" i="2"/>
  <c r="AL643" i="2"/>
  <c r="AK643" i="2"/>
  <c r="Q643" i="2"/>
  <c r="AJ643" i="2" s="1"/>
  <c r="AB643" i="2"/>
  <c r="AA643" i="2"/>
  <c r="AM642" i="2"/>
  <c r="AL642" i="2"/>
  <c r="AK642" i="2"/>
  <c r="Q642" i="2"/>
  <c r="AJ642" i="2" s="1"/>
  <c r="C645" i="6" s="1"/>
  <c r="AB642" i="2"/>
  <c r="AA642" i="2"/>
  <c r="AM641" i="2"/>
  <c r="AL641" i="2"/>
  <c r="AK641" i="2"/>
  <c r="Q641" i="2"/>
  <c r="AJ641" i="2" s="1"/>
  <c r="AB641" i="2"/>
  <c r="AA641" i="2"/>
  <c r="AM640" i="2"/>
  <c r="AL640" i="2"/>
  <c r="AK640" i="2"/>
  <c r="Q640" i="2"/>
  <c r="AJ640" i="2" s="1"/>
  <c r="AB640" i="2"/>
  <c r="AA640" i="2"/>
  <c r="E643" i="6" s="1"/>
  <c r="AM639" i="2"/>
  <c r="M642" i="6" s="1"/>
  <c r="AL639" i="2"/>
  <c r="AK639" i="2"/>
  <c r="Q639" i="2"/>
  <c r="AJ639" i="2" s="1"/>
  <c r="AB639" i="2"/>
  <c r="AA639" i="2"/>
  <c r="AM638" i="2"/>
  <c r="M641" i="6" s="1"/>
  <c r="AL638" i="2"/>
  <c r="AK638" i="2"/>
  <c r="Q638" i="2"/>
  <c r="AJ638" i="2" s="1"/>
  <c r="AB638" i="2"/>
  <c r="AA638" i="2"/>
  <c r="AM637" i="2"/>
  <c r="AL637" i="2"/>
  <c r="AK637" i="2"/>
  <c r="Q637" i="2"/>
  <c r="AJ637" i="2" s="1"/>
  <c r="AB637" i="2"/>
  <c r="AA637" i="2"/>
  <c r="AM636" i="2"/>
  <c r="AL636" i="2"/>
  <c r="AK636" i="2"/>
  <c r="Q636" i="2"/>
  <c r="AJ636" i="2" s="1"/>
  <c r="AB636" i="2"/>
  <c r="AA636" i="2"/>
  <c r="E639" i="6" s="1"/>
  <c r="AM635" i="2"/>
  <c r="AL635" i="2"/>
  <c r="AK635" i="2"/>
  <c r="Q635" i="2"/>
  <c r="AJ635" i="2" s="1"/>
  <c r="AB635" i="2"/>
  <c r="AA635" i="2"/>
  <c r="AM634" i="2"/>
  <c r="AL634" i="2"/>
  <c r="AK634" i="2"/>
  <c r="Q634" i="2"/>
  <c r="AJ634" i="2" s="1"/>
  <c r="C637" i="6" s="1"/>
  <c r="AB634" i="2"/>
  <c r="AA634" i="2"/>
  <c r="AM633" i="2"/>
  <c r="AL633" i="2"/>
  <c r="AK633" i="2"/>
  <c r="Q633" i="2"/>
  <c r="AJ633" i="2" s="1"/>
  <c r="AB633" i="2"/>
  <c r="AA633" i="2"/>
  <c r="AM632" i="2"/>
  <c r="AL632" i="2"/>
  <c r="B635" i="6" s="1"/>
  <c r="AK632" i="2"/>
  <c r="Q632" i="2"/>
  <c r="AJ632" i="2" s="1"/>
  <c r="AB632" i="2"/>
  <c r="AA632" i="2"/>
  <c r="AM631" i="2"/>
  <c r="M634" i="6" s="1"/>
  <c r="AL631" i="2"/>
  <c r="AK631" i="2"/>
  <c r="Q631" i="2"/>
  <c r="AJ631" i="2" s="1"/>
  <c r="C634" i="6" s="1"/>
  <c r="AB631" i="2"/>
  <c r="AA631" i="2"/>
  <c r="AM630" i="2"/>
  <c r="AL630" i="2"/>
  <c r="AK630" i="2"/>
  <c r="Q630" i="2"/>
  <c r="AJ630" i="2" s="1"/>
  <c r="AB630" i="2"/>
  <c r="AA630" i="2"/>
  <c r="AM629" i="2"/>
  <c r="AL629" i="2"/>
  <c r="B632" i="6" s="1"/>
  <c r="AK629" i="2"/>
  <c r="Q629" i="2"/>
  <c r="AJ629" i="2" s="1"/>
  <c r="C632" i="6" s="1"/>
  <c r="AB629" i="2"/>
  <c r="AA629" i="2"/>
  <c r="AM628" i="2"/>
  <c r="AL628" i="2"/>
  <c r="AK628" i="2"/>
  <c r="Q628" i="2"/>
  <c r="AJ628" i="2" s="1"/>
  <c r="AB628" i="2"/>
  <c r="AA628" i="2"/>
  <c r="AM627" i="2"/>
  <c r="AL627" i="2"/>
  <c r="AK627" i="2"/>
  <c r="Q627" i="2"/>
  <c r="AJ627" i="2" s="1"/>
  <c r="AB627" i="2"/>
  <c r="AA627" i="2"/>
  <c r="AM626" i="2"/>
  <c r="AL626" i="2"/>
  <c r="AK626" i="2"/>
  <c r="Q626" i="2"/>
  <c r="AJ626" i="2" s="1"/>
  <c r="AB626" i="2"/>
  <c r="AA626" i="2"/>
  <c r="AM625" i="2"/>
  <c r="AL625" i="2"/>
  <c r="AK625" i="2"/>
  <c r="Q625" i="2"/>
  <c r="AJ625" i="2" s="1"/>
  <c r="AB625" i="2"/>
  <c r="AA625" i="2"/>
  <c r="AM624" i="2"/>
  <c r="AL624" i="2"/>
  <c r="AK624" i="2"/>
  <c r="Q624" i="2"/>
  <c r="AJ624" i="2" s="1"/>
  <c r="AB624" i="2"/>
  <c r="AA624" i="2"/>
  <c r="AM623" i="2"/>
  <c r="AL623" i="2"/>
  <c r="AK623" i="2"/>
  <c r="Q623" i="2"/>
  <c r="AJ623" i="2" s="1"/>
  <c r="AB623" i="2"/>
  <c r="AA623" i="2"/>
  <c r="AM622" i="2"/>
  <c r="AL622" i="2"/>
  <c r="B625" i="6" s="1"/>
  <c r="AK622" i="2"/>
  <c r="Q622" i="2"/>
  <c r="AJ622" i="2" s="1"/>
  <c r="AB622" i="2"/>
  <c r="AA622" i="2"/>
  <c r="AM621" i="2"/>
  <c r="AL621" i="2"/>
  <c r="B624" i="6" s="1"/>
  <c r="AK621" i="2"/>
  <c r="Q621" i="2"/>
  <c r="AJ621" i="2" s="1"/>
  <c r="AB621" i="2"/>
  <c r="AA621" i="2"/>
  <c r="AM620" i="2"/>
  <c r="AL620" i="2"/>
  <c r="AK620" i="2"/>
  <c r="Q620" i="2"/>
  <c r="AJ620" i="2" s="1"/>
  <c r="AB620" i="2"/>
  <c r="AA620" i="2"/>
  <c r="AM619" i="2"/>
  <c r="AL619" i="2"/>
  <c r="AK619" i="2"/>
  <c r="Q619" i="2"/>
  <c r="AJ619" i="2" s="1"/>
  <c r="AB619" i="2"/>
  <c r="AA619" i="2"/>
  <c r="AM618" i="2"/>
  <c r="AL618" i="2"/>
  <c r="AK618" i="2"/>
  <c r="Q618" i="2"/>
  <c r="AJ618" i="2" s="1"/>
  <c r="AB618" i="2"/>
  <c r="AA618" i="2"/>
  <c r="AM617" i="2"/>
  <c r="AL617" i="2"/>
  <c r="AK617" i="2"/>
  <c r="Q617" i="2"/>
  <c r="AJ617" i="2" s="1"/>
  <c r="AB617" i="2"/>
  <c r="AA617" i="2"/>
  <c r="AM616" i="2"/>
  <c r="AL616" i="2"/>
  <c r="AK616" i="2"/>
  <c r="Q616" i="2"/>
  <c r="AJ616" i="2" s="1"/>
  <c r="AB616" i="2"/>
  <c r="AA616" i="2"/>
  <c r="AM615" i="2"/>
  <c r="AL615" i="2"/>
  <c r="AK615" i="2"/>
  <c r="Q615" i="2"/>
  <c r="AJ615" i="2" s="1"/>
  <c r="AB615" i="2"/>
  <c r="AA615" i="2"/>
  <c r="AM614" i="2"/>
  <c r="AL614" i="2"/>
  <c r="B617" i="6" s="1"/>
  <c r="AK614" i="2"/>
  <c r="Q614" i="2"/>
  <c r="AJ614" i="2" s="1"/>
  <c r="AB614" i="2"/>
  <c r="AA614" i="2"/>
  <c r="AM613" i="2"/>
  <c r="AL613" i="2"/>
  <c r="B616" i="6" s="1"/>
  <c r="AK613" i="2"/>
  <c r="Q613" i="2"/>
  <c r="AJ613" i="2" s="1"/>
  <c r="AB613" i="2"/>
  <c r="AA613" i="2"/>
  <c r="AM612" i="2"/>
  <c r="AL612" i="2"/>
  <c r="AK612" i="2"/>
  <c r="Q612" i="2"/>
  <c r="AJ612" i="2" s="1"/>
  <c r="AB612" i="2"/>
  <c r="AA612" i="2"/>
  <c r="AM611" i="2"/>
  <c r="AL611" i="2"/>
  <c r="AK611" i="2"/>
  <c r="Q611" i="2"/>
  <c r="AJ611" i="2" s="1"/>
  <c r="AB611" i="2"/>
  <c r="AA611" i="2"/>
  <c r="AM610" i="2"/>
  <c r="AL610" i="2"/>
  <c r="AK610" i="2"/>
  <c r="Q610" i="2"/>
  <c r="AJ610" i="2" s="1"/>
  <c r="AB610" i="2"/>
  <c r="AA610" i="2"/>
  <c r="AM609" i="2"/>
  <c r="AL609" i="2"/>
  <c r="AK609" i="2"/>
  <c r="Q609" i="2"/>
  <c r="AJ609" i="2" s="1"/>
  <c r="AB609" i="2"/>
  <c r="AA609" i="2"/>
  <c r="AM608" i="2"/>
  <c r="AL608" i="2"/>
  <c r="AK608" i="2"/>
  <c r="Q608" i="2"/>
  <c r="AJ608" i="2" s="1"/>
  <c r="AB608" i="2"/>
  <c r="AA608" i="2"/>
  <c r="AM607" i="2"/>
  <c r="AL607" i="2"/>
  <c r="AK607" i="2"/>
  <c r="Q607" i="2"/>
  <c r="AJ607" i="2" s="1"/>
  <c r="AB607" i="2"/>
  <c r="AA607" i="2"/>
  <c r="AM606" i="2"/>
  <c r="AL606" i="2"/>
  <c r="AK606" i="2"/>
  <c r="Q606" i="2"/>
  <c r="AJ606" i="2" s="1"/>
  <c r="AB606" i="2"/>
  <c r="AA606" i="2"/>
  <c r="AM605" i="2"/>
  <c r="AL605" i="2"/>
  <c r="B608" i="6" s="1"/>
  <c r="AK605" i="2"/>
  <c r="Q605" i="2"/>
  <c r="AJ605" i="2" s="1"/>
  <c r="AB605" i="2"/>
  <c r="AA605" i="2"/>
  <c r="AM604" i="2"/>
  <c r="AL604" i="2"/>
  <c r="AK604" i="2"/>
  <c r="Q604" i="2"/>
  <c r="AJ604" i="2" s="1"/>
  <c r="AB604" i="2"/>
  <c r="AA604" i="2"/>
  <c r="AM603" i="2"/>
  <c r="AL603" i="2"/>
  <c r="AK603" i="2"/>
  <c r="Q603" i="2"/>
  <c r="AJ603" i="2" s="1"/>
  <c r="AB603" i="2"/>
  <c r="AA603" i="2"/>
  <c r="AM602" i="2"/>
  <c r="AL602" i="2"/>
  <c r="AK602" i="2"/>
  <c r="Q602" i="2"/>
  <c r="AJ602" i="2" s="1"/>
  <c r="AB602" i="2"/>
  <c r="AA602" i="2"/>
  <c r="AM601" i="2"/>
  <c r="AL601" i="2"/>
  <c r="AK601" i="2"/>
  <c r="Q601" i="2"/>
  <c r="AJ601" i="2" s="1"/>
  <c r="AB601" i="2"/>
  <c r="AA601" i="2"/>
  <c r="AM600" i="2"/>
  <c r="AL600" i="2"/>
  <c r="AK600" i="2"/>
  <c r="Q600" i="2"/>
  <c r="AJ600" i="2" s="1"/>
  <c r="AB600" i="2"/>
  <c r="AA600" i="2"/>
  <c r="AM599" i="2"/>
  <c r="AL599" i="2"/>
  <c r="AK599" i="2"/>
  <c r="Q599" i="2"/>
  <c r="AJ599" i="2" s="1"/>
  <c r="AB599" i="2"/>
  <c r="AA599" i="2"/>
  <c r="AM598" i="2"/>
  <c r="AL598" i="2"/>
  <c r="AK598" i="2"/>
  <c r="Q598" i="2"/>
  <c r="AJ598" i="2" s="1"/>
  <c r="AB598" i="2"/>
  <c r="AA598" i="2"/>
  <c r="AM597" i="2"/>
  <c r="AL597" i="2"/>
  <c r="B600" i="6" s="1"/>
  <c r="AK597" i="2"/>
  <c r="Q597" i="2"/>
  <c r="AJ597" i="2" s="1"/>
  <c r="AB597" i="2"/>
  <c r="AA597" i="2"/>
  <c r="AM596" i="2"/>
  <c r="AL596" i="2"/>
  <c r="AK596" i="2"/>
  <c r="Q596" i="2"/>
  <c r="AJ596" i="2" s="1"/>
  <c r="AB596" i="2"/>
  <c r="AA596" i="2"/>
  <c r="AM595" i="2"/>
  <c r="AL595" i="2"/>
  <c r="AK595" i="2"/>
  <c r="Q595" i="2"/>
  <c r="AJ595" i="2" s="1"/>
  <c r="AB595" i="2"/>
  <c r="AA595" i="2"/>
  <c r="AM594" i="2"/>
  <c r="AL594" i="2"/>
  <c r="AK594" i="2"/>
  <c r="Q594" i="2"/>
  <c r="AJ594" i="2" s="1"/>
  <c r="AB594" i="2"/>
  <c r="AA594" i="2"/>
  <c r="AM593" i="2"/>
  <c r="AL593" i="2"/>
  <c r="AK593" i="2"/>
  <c r="Q593" i="2"/>
  <c r="AJ593" i="2" s="1"/>
  <c r="AB593" i="2"/>
  <c r="AA593" i="2"/>
  <c r="AM592" i="2"/>
  <c r="AL592" i="2"/>
  <c r="AK592" i="2"/>
  <c r="Q592" i="2"/>
  <c r="AJ592" i="2" s="1"/>
  <c r="AB592" i="2"/>
  <c r="AA592" i="2"/>
  <c r="AM591" i="2"/>
  <c r="AL591" i="2"/>
  <c r="AK591" i="2"/>
  <c r="Q591" i="2"/>
  <c r="AJ591" i="2" s="1"/>
  <c r="AB591" i="2"/>
  <c r="AA591" i="2"/>
  <c r="AM590" i="2"/>
  <c r="AL590" i="2"/>
  <c r="AK590" i="2"/>
  <c r="Q590" i="2"/>
  <c r="AJ590" i="2" s="1"/>
  <c r="AB590" i="2"/>
  <c r="AA590" i="2"/>
  <c r="AM589" i="2"/>
  <c r="AL589" i="2"/>
  <c r="B592" i="6" s="1"/>
  <c r="AK589" i="2"/>
  <c r="Q589" i="2"/>
  <c r="AJ589" i="2" s="1"/>
  <c r="AB589" i="2"/>
  <c r="AA589" i="2"/>
  <c r="AM588" i="2"/>
  <c r="AL588" i="2"/>
  <c r="AK588" i="2"/>
  <c r="Q588" i="2"/>
  <c r="AJ588" i="2" s="1"/>
  <c r="AB588" i="2"/>
  <c r="AA588" i="2"/>
  <c r="AM587" i="2"/>
  <c r="AL587" i="2"/>
  <c r="AK587" i="2"/>
  <c r="Q587" i="2"/>
  <c r="AJ587" i="2" s="1"/>
  <c r="AB587" i="2"/>
  <c r="AA587" i="2"/>
  <c r="AM586" i="2"/>
  <c r="AL586" i="2"/>
  <c r="AK586" i="2"/>
  <c r="Q586" i="2"/>
  <c r="AJ586" i="2" s="1"/>
  <c r="AB586" i="2"/>
  <c r="AA586" i="2"/>
  <c r="AM585" i="2"/>
  <c r="AL585" i="2"/>
  <c r="AK585" i="2"/>
  <c r="Q585" i="2"/>
  <c r="AJ585" i="2" s="1"/>
  <c r="AB585" i="2"/>
  <c r="AA585" i="2"/>
  <c r="AM584" i="2"/>
  <c r="AL584" i="2"/>
  <c r="AK584" i="2"/>
  <c r="Q584" i="2"/>
  <c r="AJ584" i="2" s="1"/>
  <c r="AB584" i="2"/>
  <c r="AA584" i="2"/>
  <c r="AM583" i="2"/>
  <c r="AL583" i="2"/>
  <c r="AK583" i="2"/>
  <c r="Q583" i="2"/>
  <c r="AJ583" i="2" s="1"/>
  <c r="AB583" i="2"/>
  <c r="AA583" i="2"/>
  <c r="AM582" i="2"/>
  <c r="AL582" i="2"/>
  <c r="AK582" i="2"/>
  <c r="Q582" i="2"/>
  <c r="AJ582" i="2" s="1"/>
  <c r="AB582" i="2"/>
  <c r="AA582" i="2"/>
  <c r="AM581" i="2"/>
  <c r="AL581" i="2"/>
  <c r="B584" i="6" s="1"/>
  <c r="AK581" i="2"/>
  <c r="Q581" i="2"/>
  <c r="AJ581" i="2" s="1"/>
  <c r="AB581" i="2"/>
  <c r="AA581" i="2"/>
  <c r="AM580" i="2"/>
  <c r="AL580" i="2"/>
  <c r="AK580" i="2"/>
  <c r="Q580" i="2"/>
  <c r="AJ580" i="2" s="1"/>
  <c r="AB580" i="2"/>
  <c r="AA580" i="2"/>
  <c r="AM579" i="2"/>
  <c r="AL579" i="2"/>
  <c r="AK579" i="2"/>
  <c r="Q579" i="2"/>
  <c r="AJ579" i="2" s="1"/>
  <c r="AB579" i="2"/>
  <c r="AA579" i="2"/>
  <c r="AM578" i="2"/>
  <c r="AL578" i="2"/>
  <c r="AK578" i="2"/>
  <c r="Q578" i="2"/>
  <c r="AJ578" i="2" s="1"/>
  <c r="AB578" i="2"/>
  <c r="AA578" i="2"/>
  <c r="AM577" i="2"/>
  <c r="AL577" i="2"/>
  <c r="AK577" i="2"/>
  <c r="Q577" i="2"/>
  <c r="AJ577" i="2" s="1"/>
  <c r="AB577" i="2"/>
  <c r="AA577" i="2"/>
  <c r="AM576" i="2"/>
  <c r="AL576" i="2"/>
  <c r="AK576" i="2"/>
  <c r="Q576" i="2"/>
  <c r="AJ576" i="2" s="1"/>
  <c r="C579" i="6" s="1"/>
  <c r="AB576" i="2"/>
  <c r="AA576" i="2"/>
  <c r="AM575" i="2"/>
  <c r="AL575" i="2"/>
  <c r="AK575" i="2"/>
  <c r="Q575" i="2"/>
  <c r="AJ575" i="2" s="1"/>
  <c r="AB575" i="2"/>
  <c r="AA575" i="2"/>
  <c r="AM574" i="2"/>
  <c r="AL574" i="2"/>
  <c r="AK574" i="2"/>
  <c r="Q574" i="2"/>
  <c r="AJ574" i="2" s="1"/>
  <c r="AB574" i="2"/>
  <c r="AA574" i="2"/>
  <c r="AM573" i="2"/>
  <c r="AL573" i="2"/>
  <c r="B576" i="6" s="1"/>
  <c r="AK573" i="2"/>
  <c r="Q573" i="2"/>
  <c r="AJ573" i="2" s="1"/>
  <c r="AB573" i="2"/>
  <c r="AA573" i="2"/>
  <c r="AM572" i="2"/>
  <c r="AL572" i="2"/>
  <c r="AK572" i="2"/>
  <c r="Q572" i="2"/>
  <c r="AJ572" i="2" s="1"/>
  <c r="AB572" i="2"/>
  <c r="AA572" i="2"/>
  <c r="AM571" i="2"/>
  <c r="M574" i="6" s="1"/>
  <c r="AL571" i="2"/>
  <c r="AK571" i="2"/>
  <c r="Q571" i="2"/>
  <c r="AJ571" i="2" s="1"/>
  <c r="AB571" i="2"/>
  <c r="AA571" i="2"/>
  <c r="AM570" i="2"/>
  <c r="AL570" i="2"/>
  <c r="AK570" i="2"/>
  <c r="Q570" i="2"/>
  <c r="AJ570" i="2" s="1"/>
  <c r="AB570" i="2"/>
  <c r="AA570" i="2"/>
  <c r="AM569" i="2"/>
  <c r="AL569" i="2"/>
  <c r="AK569" i="2"/>
  <c r="Q569" i="2"/>
  <c r="AJ569" i="2" s="1"/>
  <c r="AB569" i="2"/>
  <c r="AA569" i="2"/>
  <c r="AM568" i="2"/>
  <c r="AL568" i="2"/>
  <c r="AK568" i="2"/>
  <c r="Q568" i="2"/>
  <c r="AJ568" i="2" s="1"/>
  <c r="C571" i="6" s="1"/>
  <c r="AB568" i="2"/>
  <c r="AA568" i="2"/>
  <c r="AM567" i="2"/>
  <c r="M570" i="6" s="1"/>
  <c r="AL567" i="2"/>
  <c r="AK567" i="2"/>
  <c r="Q567" i="2"/>
  <c r="AJ567" i="2" s="1"/>
  <c r="C570" i="6" s="1"/>
  <c r="AB567" i="2"/>
  <c r="AA567" i="2"/>
  <c r="AM566" i="2"/>
  <c r="AL566" i="2"/>
  <c r="AK566" i="2"/>
  <c r="Q566" i="2"/>
  <c r="AJ566" i="2" s="1"/>
  <c r="AB566" i="2"/>
  <c r="AA566" i="2"/>
  <c r="AM565" i="2"/>
  <c r="AL565" i="2"/>
  <c r="B568" i="6" s="1"/>
  <c r="AK565" i="2"/>
  <c r="Q565" i="2"/>
  <c r="AJ565" i="2" s="1"/>
  <c r="AB565" i="2"/>
  <c r="AA565" i="2"/>
  <c r="AM564" i="2"/>
  <c r="AL564" i="2"/>
  <c r="AK564" i="2"/>
  <c r="Q564" i="2"/>
  <c r="AJ564" i="2" s="1"/>
  <c r="AB564" i="2"/>
  <c r="AA564" i="2"/>
  <c r="AM563" i="2"/>
  <c r="M566" i="6" s="1"/>
  <c r="AL563" i="2"/>
  <c r="AK563" i="2"/>
  <c r="Q563" i="2"/>
  <c r="AJ563" i="2" s="1"/>
  <c r="AB563" i="2"/>
  <c r="AA563" i="2"/>
  <c r="AM562" i="2"/>
  <c r="AL562" i="2"/>
  <c r="AK562" i="2"/>
  <c r="Q562" i="2"/>
  <c r="AJ562" i="2" s="1"/>
  <c r="AB562" i="2"/>
  <c r="AA562" i="2"/>
  <c r="AM561" i="2"/>
  <c r="AL561" i="2"/>
  <c r="AK561" i="2"/>
  <c r="Q561" i="2"/>
  <c r="AJ561" i="2" s="1"/>
  <c r="AB561" i="2"/>
  <c r="AA561" i="2"/>
  <c r="AM560" i="2"/>
  <c r="AL560" i="2"/>
  <c r="AK560" i="2"/>
  <c r="Q560" i="2"/>
  <c r="AJ560" i="2" s="1"/>
  <c r="C563" i="6" s="1"/>
  <c r="AB560" i="2"/>
  <c r="AA560" i="2"/>
  <c r="AM559" i="2"/>
  <c r="M562" i="6" s="1"/>
  <c r="AL559" i="2"/>
  <c r="AK559" i="2"/>
  <c r="Q559" i="2"/>
  <c r="AJ559" i="2" s="1"/>
  <c r="C562" i="6" s="1"/>
  <c r="AB559" i="2"/>
  <c r="AA559" i="2"/>
  <c r="AM558" i="2"/>
  <c r="AL558" i="2"/>
  <c r="AK558" i="2"/>
  <c r="Q558" i="2"/>
  <c r="AJ558" i="2" s="1"/>
  <c r="AB558" i="2"/>
  <c r="AA558" i="2"/>
  <c r="AM557" i="2"/>
  <c r="AL557" i="2"/>
  <c r="B560" i="6" s="1"/>
  <c r="AK557" i="2"/>
  <c r="Q557" i="2"/>
  <c r="AJ557" i="2" s="1"/>
  <c r="AB557" i="2"/>
  <c r="AA557" i="2"/>
  <c r="AM556" i="2"/>
  <c r="AL556" i="2"/>
  <c r="AK556" i="2"/>
  <c r="Q556" i="2"/>
  <c r="AJ556" i="2" s="1"/>
  <c r="AB556" i="2"/>
  <c r="AA556" i="2"/>
  <c r="AM555" i="2"/>
  <c r="M558" i="6" s="1"/>
  <c r="AL555" i="2"/>
  <c r="AK555" i="2"/>
  <c r="Q555" i="2"/>
  <c r="AJ555" i="2" s="1"/>
  <c r="AB555" i="2"/>
  <c r="AA555" i="2"/>
  <c r="AM554" i="2"/>
  <c r="AL554" i="2"/>
  <c r="AK554" i="2"/>
  <c r="Q554" i="2"/>
  <c r="AJ554" i="2" s="1"/>
  <c r="AB554" i="2"/>
  <c r="AA554" i="2"/>
  <c r="AM553" i="2"/>
  <c r="AL553" i="2"/>
  <c r="AK553" i="2"/>
  <c r="Q553" i="2"/>
  <c r="AJ553" i="2" s="1"/>
  <c r="AB553" i="2"/>
  <c r="AA553" i="2"/>
  <c r="AM552" i="2"/>
  <c r="AL552" i="2"/>
  <c r="AK552" i="2"/>
  <c r="Q552" i="2"/>
  <c r="AJ552" i="2" s="1"/>
  <c r="C555" i="6" s="1"/>
  <c r="AB552" i="2"/>
  <c r="AA552" i="2"/>
  <c r="AM551" i="2"/>
  <c r="M554" i="6" s="1"/>
  <c r="AL551" i="2"/>
  <c r="AK551" i="2"/>
  <c r="Q551" i="2"/>
  <c r="AJ551" i="2" s="1"/>
  <c r="C554" i="6" s="1"/>
  <c r="AB551" i="2"/>
  <c r="AA551" i="2"/>
  <c r="AM550" i="2"/>
  <c r="AL550" i="2"/>
  <c r="AK550" i="2"/>
  <c r="Q550" i="2"/>
  <c r="AJ550" i="2" s="1"/>
  <c r="AB550" i="2"/>
  <c r="AA550" i="2"/>
  <c r="AM549" i="2"/>
  <c r="AL549" i="2"/>
  <c r="B552" i="6" s="1"/>
  <c r="AK549" i="2"/>
  <c r="Q549" i="2"/>
  <c r="AJ549" i="2" s="1"/>
  <c r="AB549" i="2"/>
  <c r="AA549" i="2"/>
  <c r="AM548" i="2"/>
  <c r="AL548" i="2"/>
  <c r="AK548" i="2"/>
  <c r="Q548" i="2"/>
  <c r="AJ548" i="2" s="1"/>
  <c r="AB548" i="2"/>
  <c r="AA548" i="2"/>
  <c r="AM547" i="2"/>
  <c r="M550" i="6" s="1"/>
  <c r="AL547" i="2"/>
  <c r="AK547" i="2"/>
  <c r="Q547" i="2"/>
  <c r="AJ547" i="2" s="1"/>
  <c r="AB547" i="2"/>
  <c r="AA547" i="2"/>
  <c r="AM546" i="2"/>
  <c r="AL546" i="2"/>
  <c r="AK546" i="2"/>
  <c r="Q546" i="2"/>
  <c r="AJ546" i="2" s="1"/>
  <c r="AB546" i="2"/>
  <c r="AA546" i="2"/>
  <c r="AM545" i="2"/>
  <c r="AL545" i="2"/>
  <c r="AK545" i="2"/>
  <c r="Q545" i="2"/>
  <c r="AJ545" i="2" s="1"/>
  <c r="AB545" i="2"/>
  <c r="AA545" i="2"/>
  <c r="AM544" i="2"/>
  <c r="AL544" i="2"/>
  <c r="AK544" i="2"/>
  <c r="Q544" i="2"/>
  <c r="AJ544" i="2" s="1"/>
  <c r="C547" i="6" s="1"/>
  <c r="AB544" i="2"/>
  <c r="AA544" i="2"/>
  <c r="AM543" i="2"/>
  <c r="M546" i="6" s="1"/>
  <c r="AL543" i="2"/>
  <c r="AK543" i="2"/>
  <c r="Q543" i="2"/>
  <c r="AJ543" i="2" s="1"/>
  <c r="C546" i="6" s="1"/>
  <c r="AB543" i="2"/>
  <c r="AA543" i="2"/>
  <c r="AM542" i="2"/>
  <c r="AL542" i="2"/>
  <c r="AK542" i="2"/>
  <c r="Q542" i="2"/>
  <c r="AJ542" i="2" s="1"/>
  <c r="AB542" i="2"/>
  <c r="AA542" i="2"/>
  <c r="AM541" i="2"/>
  <c r="AL541" i="2"/>
  <c r="B544" i="6" s="1"/>
  <c r="AK541" i="2"/>
  <c r="Q541" i="2"/>
  <c r="AJ541" i="2" s="1"/>
  <c r="AB541" i="2"/>
  <c r="AA541" i="2"/>
  <c r="AM540" i="2"/>
  <c r="AL540" i="2"/>
  <c r="AK540" i="2"/>
  <c r="Q540" i="2"/>
  <c r="AJ540" i="2" s="1"/>
  <c r="AB540" i="2"/>
  <c r="AA540" i="2"/>
  <c r="AM539" i="2"/>
  <c r="M542" i="6" s="1"/>
  <c r="AL539" i="2"/>
  <c r="AK539" i="2"/>
  <c r="Q539" i="2"/>
  <c r="AJ539" i="2" s="1"/>
  <c r="AB539" i="2"/>
  <c r="AA539" i="2"/>
  <c r="AM538" i="2"/>
  <c r="AL538" i="2"/>
  <c r="AK538" i="2"/>
  <c r="Q538" i="2"/>
  <c r="AJ538" i="2" s="1"/>
  <c r="AB538" i="2"/>
  <c r="AA538" i="2"/>
  <c r="AM537" i="2"/>
  <c r="AL537" i="2"/>
  <c r="AK537" i="2"/>
  <c r="Q537" i="2"/>
  <c r="AJ537" i="2" s="1"/>
  <c r="AB537" i="2"/>
  <c r="AA537" i="2"/>
  <c r="AM536" i="2"/>
  <c r="AL536" i="2"/>
  <c r="AK536" i="2"/>
  <c r="Q536" i="2"/>
  <c r="AJ536" i="2" s="1"/>
  <c r="AB536" i="2"/>
  <c r="AA536" i="2"/>
  <c r="AM535" i="2"/>
  <c r="M538" i="6" s="1"/>
  <c r="AL535" i="2"/>
  <c r="AK535" i="2"/>
  <c r="Q535" i="2"/>
  <c r="AJ535" i="2" s="1"/>
  <c r="AB535" i="2"/>
  <c r="AA535" i="2"/>
  <c r="AM534" i="2"/>
  <c r="AL534" i="2"/>
  <c r="AK534" i="2"/>
  <c r="Q534" i="2"/>
  <c r="AJ534" i="2" s="1"/>
  <c r="AB534" i="2"/>
  <c r="AA534" i="2"/>
  <c r="AM533" i="2"/>
  <c r="AL533" i="2"/>
  <c r="B536" i="6" s="1"/>
  <c r="AK533" i="2"/>
  <c r="Q533" i="2"/>
  <c r="AJ533" i="2" s="1"/>
  <c r="AB533" i="2"/>
  <c r="AA533" i="2"/>
  <c r="AM532" i="2"/>
  <c r="AL532" i="2"/>
  <c r="AK532" i="2"/>
  <c r="Q532" i="2"/>
  <c r="AJ532" i="2" s="1"/>
  <c r="AB532" i="2"/>
  <c r="AA532" i="2"/>
  <c r="AM531" i="2"/>
  <c r="M534" i="6" s="1"/>
  <c r="AL531" i="2"/>
  <c r="AK531" i="2"/>
  <c r="Q531" i="2"/>
  <c r="AJ531" i="2" s="1"/>
  <c r="AB531" i="2"/>
  <c r="AA531" i="2"/>
  <c r="AM530" i="2"/>
  <c r="AL530" i="2"/>
  <c r="AK530" i="2"/>
  <c r="Q530" i="2"/>
  <c r="AJ530" i="2" s="1"/>
  <c r="AB530" i="2"/>
  <c r="AA530" i="2"/>
  <c r="AM529" i="2"/>
  <c r="AL529" i="2"/>
  <c r="AK529" i="2"/>
  <c r="Q529" i="2"/>
  <c r="AJ529" i="2" s="1"/>
  <c r="AB529" i="2"/>
  <c r="AA529" i="2"/>
  <c r="AM528" i="2"/>
  <c r="AL528" i="2"/>
  <c r="AK528" i="2"/>
  <c r="Q528" i="2"/>
  <c r="AJ528" i="2" s="1"/>
  <c r="AB528" i="2"/>
  <c r="AA528" i="2"/>
  <c r="E531" i="6" s="1"/>
  <c r="AM527" i="2"/>
  <c r="M530" i="6" s="1"/>
  <c r="AL527" i="2"/>
  <c r="AK527" i="2"/>
  <c r="Q527" i="2"/>
  <c r="AJ527" i="2" s="1"/>
  <c r="AB527" i="2"/>
  <c r="AA527" i="2"/>
  <c r="AM526" i="2"/>
  <c r="M529" i="6" s="1"/>
  <c r="AL526" i="2"/>
  <c r="AK526" i="2"/>
  <c r="Q526" i="2"/>
  <c r="AJ526" i="2" s="1"/>
  <c r="AB526" i="2"/>
  <c r="AA526" i="2"/>
  <c r="AM525" i="2"/>
  <c r="AL525" i="2"/>
  <c r="B528" i="6" s="1"/>
  <c r="AK525" i="2"/>
  <c r="Q525" i="2"/>
  <c r="AJ525" i="2" s="1"/>
  <c r="AB525" i="2"/>
  <c r="AA525" i="2"/>
  <c r="AM524" i="2"/>
  <c r="AL524" i="2"/>
  <c r="AK524" i="2"/>
  <c r="Q524" i="2"/>
  <c r="AJ524" i="2" s="1"/>
  <c r="AB524" i="2"/>
  <c r="AA524" i="2"/>
  <c r="AM523" i="2"/>
  <c r="M526" i="6" s="1"/>
  <c r="AL523" i="2"/>
  <c r="AK523" i="2"/>
  <c r="Q523" i="2"/>
  <c r="AJ523" i="2" s="1"/>
  <c r="AB523" i="2"/>
  <c r="AA523" i="2"/>
  <c r="AM522" i="2"/>
  <c r="AL522" i="2"/>
  <c r="AK522" i="2"/>
  <c r="Q522" i="2"/>
  <c r="AJ522" i="2" s="1"/>
  <c r="AB522" i="2"/>
  <c r="AA522" i="2"/>
  <c r="AM521" i="2"/>
  <c r="AL521" i="2"/>
  <c r="AK521" i="2"/>
  <c r="Q521" i="2"/>
  <c r="AJ521" i="2" s="1"/>
  <c r="AB521" i="2"/>
  <c r="AA521" i="2"/>
  <c r="AM520" i="2"/>
  <c r="AL520" i="2"/>
  <c r="AK520" i="2"/>
  <c r="Q520" i="2"/>
  <c r="AJ520" i="2" s="1"/>
  <c r="AB520" i="2"/>
  <c r="AA520" i="2"/>
  <c r="E523" i="6" s="1"/>
  <c r="AM519" i="2"/>
  <c r="M522" i="6" s="1"/>
  <c r="AL519" i="2"/>
  <c r="AK519" i="2"/>
  <c r="Q519" i="2"/>
  <c r="AJ519" i="2" s="1"/>
  <c r="AB519" i="2"/>
  <c r="AA519" i="2"/>
  <c r="AM518" i="2"/>
  <c r="M521" i="6" s="1"/>
  <c r="AL518" i="2"/>
  <c r="AK518" i="2"/>
  <c r="Q518" i="2"/>
  <c r="AJ518" i="2" s="1"/>
  <c r="AB518" i="2"/>
  <c r="AA518" i="2"/>
  <c r="AM517" i="2"/>
  <c r="AL517" i="2"/>
  <c r="B520" i="6" s="1"/>
  <c r="AK517" i="2"/>
  <c r="Q517" i="2"/>
  <c r="AJ517" i="2" s="1"/>
  <c r="AB517" i="2"/>
  <c r="AA517" i="2"/>
  <c r="AM516" i="2"/>
  <c r="AL516" i="2"/>
  <c r="AK516" i="2"/>
  <c r="Q516" i="2"/>
  <c r="AJ516" i="2" s="1"/>
  <c r="AB516" i="2"/>
  <c r="AA516" i="2"/>
  <c r="AM515" i="2"/>
  <c r="M518" i="6" s="1"/>
  <c r="AL515" i="2"/>
  <c r="AK515" i="2"/>
  <c r="Q515" i="2"/>
  <c r="AJ515" i="2" s="1"/>
  <c r="AB515" i="2"/>
  <c r="AA515" i="2"/>
  <c r="AM514" i="2"/>
  <c r="AL514" i="2"/>
  <c r="AK514" i="2"/>
  <c r="Q514" i="2"/>
  <c r="AJ514" i="2" s="1"/>
  <c r="AB514" i="2"/>
  <c r="AA514" i="2"/>
  <c r="AM513" i="2"/>
  <c r="AL513" i="2"/>
  <c r="AK513" i="2"/>
  <c r="Q513" i="2"/>
  <c r="AJ513" i="2" s="1"/>
  <c r="AB513" i="2"/>
  <c r="AA513" i="2"/>
  <c r="AM512" i="2"/>
  <c r="AL512" i="2"/>
  <c r="AK512" i="2"/>
  <c r="Q512" i="2"/>
  <c r="AJ512" i="2" s="1"/>
  <c r="AB512" i="2"/>
  <c r="AA512" i="2"/>
  <c r="E515" i="6" s="1"/>
  <c r="AM511" i="2"/>
  <c r="M514" i="6" s="1"/>
  <c r="AL511" i="2"/>
  <c r="AK511" i="2"/>
  <c r="Q511" i="2"/>
  <c r="AJ511" i="2" s="1"/>
  <c r="AB511" i="2"/>
  <c r="AA511" i="2"/>
  <c r="AM510" i="2"/>
  <c r="M513" i="6" s="1"/>
  <c r="AL510" i="2"/>
  <c r="AK510" i="2"/>
  <c r="Q510" i="2"/>
  <c r="AJ510" i="2" s="1"/>
  <c r="AB510" i="2"/>
  <c r="AA510" i="2"/>
  <c r="AM509" i="2"/>
  <c r="AL509" i="2"/>
  <c r="B512" i="6" s="1"/>
  <c r="AK509" i="2"/>
  <c r="Q509" i="2"/>
  <c r="AJ509" i="2" s="1"/>
  <c r="AB509" i="2"/>
  <c r="AA509" i="2"/>
  <c r="AM508" i="2"/>
  <c r="AL508" i="2"/>
  <c r="AK508" i="2"/>
  <c r="Q508" i="2"/>
  <c r="AJ508" i="2" s="1"/>
  <c r="AB508" i="2"/>
  <c r="AA508" i="2"/>
  <c r="AM507" i="2"/>
  <c r="M510" i="6" s="1"/>
  <c r="AL507" i="2"/>
  <c r="AK507" i="2"/>
  <c r="Q507" i="2"/>
  <c r="AJ507" i="2" s="1"/>
  <c r="AB507" i="2"/>
  <c r="AA507" i="2"/>
  <c r="AM506" i="2"/>
  <c r="AL506" i="2"/>
  <c r="AK506" i="2"/>
  <c r="Q506" i="2"/>
  <c r="AJ506" i="2" s="1"/>
  <c r="AB506" i="2"/>
  <c r="AA506" i="2"/>
  <c r="AM505" i="2"/>
  <c r="AL505" i="2"/>
  <c r="AK505" i="2"/>
  <c r="Q505" i="2"/>
  <c r="AJ505" i="2" s="1"/>
  <c r="AB505" i="2"/>
  <c r="AA505" i="2"/>
  <c r="AM504" i="2"/>
  <c r="AL504" i="2"/>
  <c r="AK504" i="2"/>
  <c r="Q504" i="2"/>
  <c r="AJ504" i="2" s="1"/>
  <c r="AB504" i="2"/>
  <c r="AA504" i="2"/>
  <c r="E507" i="6" s="1"/>
  <c r="AM503" i="2"/>
  <c r="M506" i="6" s="1"/>
  <c r="AL503" i="2"/>
  <c r="AK503" i="2"/>
  <c r="Q503" i="2"/>
  <c r="AJ503" i="2" s="1"/>
  <c r="AB503" i="2"/>
  <c r="AA503" i="2"/>
  <c r="AM502" i="2"/>
  <c r="M505" i="6" s="1"/>
  <c r="AL502" i="2"/>
  <c r="AK502" i="2"/>
  <c r="Q502" i="2"/>
  <c r="AJ502" i="2" s="1"/>
  <c r="AB502" i="2"/>
  <c r="AA502" i="2"/>
  <c r="AM501" i="2"/>
  <c r="AL501" i="2"/>
  <c r="B504" i="6" s="1"/>
  <c r="AK501" i="2"/>
  <c r="Q501" i="2"/>
  <c r="AJ501" i="2" s="1"/>
  <c r="AB501" i="2"/>
  <c r="AA501" i="2"/>
  <c r="AM500" i="2"/>
  <c r="AL500" i="2"/>
  <c r="AK500" i="2"/>
  <c r="Q500" i="2"/>
  <c r="AJ500" i="2" s="1"/>
  <c r="AB500" i="2"/>
  <c r="AA500" i="2"/>
  <c r="E503" i="6" s="1"/>
  <c r="AM499" i="2"/>
  <c r="M502" i="6" s="1"/>
  <c r="AL499" i="2"/>
  <c r="AK499" i="2"/>
  <c r="Q499" i="2"/>
  <c r="AJ499" i="2" s="1"/>
  <c r="AB499" i="2"/>
  <c r="AA499" i="2"/>
  <c r="AM498" i="2"/>
  <c r="AL498" i="2"/>
  <c r="AK498" i="2"/>
  <c r="Q498" i="2"/>
  <c r="AJ498" i="2" s="1"/>
  <c r="AB498" i="2"/>
  <c r="AA498" i="2"/>
  <c r="AM497" i="2"/>
  <c r="AL497" i="2"/>
  <c r="AK497" i="2"/>
  <c r="Q497" i="2"/>
  <c r="AJ497" i="2" s="1"/>
  <c r="AB497" i="2"/>
  <c r="AA497" i="2"/>
  <c r="AM496" i="2"/>
  <c r="AL496" i="2"/>
  <c r="AK496" i="2"/>
  <c r="Q496" i="2"/>
  <c r="AJ496" i="2" s="1"/>
  <c r="AB496" i="2"/>
  <c r="AA496" i="2"/>
  <c r="E499" i="6" s="1"/>
  <c r="AM495" i="2"/>
  <c r="AL495" i="2"/>
  <c r="AK495" i="2"/>
  <c r="Q495" i="2"/>
  <c r="AJ495" i="2" s="1"/>
  <c r="AB495" i="2"/>
  <c r="AA495" i="2"/>
  <c r="AM494" i="2"/>
  <c r="AL494" i="2"/>
  <c r="AK494" i="2"/>
  <c r="Q494" i="2"/>
  <c r="AJ494" i="2" s="1"/>
  <c r="AB494" i="2"/>
  <c r="AA494" i="2"/>
  <c r="AM493" i="2"/>
  <c r="AL493" i="2"/>
  <c r="B496" i="6" s="1"/>
  <c r="AK493" i="2"/>
  <c r="Q493" i="2"/>
  <c r="AJ493" i="2" s="1"/>
  <c r="AB493" i="2"/>
  <c r="AA493" i="2"/>
  <c r="AM492" i="2"/>
  <c r="AL492" i="2"/>
  <c r="B495" i="6" s="1"/>
  <c r="AK492" i="2"/>
  <c r="Q492" i="2"/>
  <c r="AJ492" i="2" s="1"/>
  <c r="AB492" i="2"/>
  <c r="AA492" i="2"/>
  <c r="AM491" i="2"/>
  <c r="M494" i="6" s="1"/>
  <c r="AL491" i="2"/>
  <c r="AK491" i="2"/>
  <c r="Q491" i="2"/>
  <c r="AJ491" i="2" s="1"/>
  <c r="AB491" i="2"/>
  <c r="AA491" i="2"/>
  <c r="AM490" i="2"/>
  <c r="AL490" i="2"/>
  <c r="AK490" i="2"/>
  <c r="Q490" i="2"/>
  <c r="AJ490" i="2" s="1"/>
  <c r="AB490" i="2"/>
  <c r="AA490" i="2"/>
  <c r="AM489" i="2"/>
  <c r="AL489" i="2"/>
  <c r="AK489" i="2"/>
  <c r="Q489" i="2"/>
  <c r="AJ489" i="2" s="1"/>
  <c r="AB489" i="2"/>
  <c r="AA489" i="2"/>
  <c r="AM488" i="2"/>
  <c r="AL488" i="2"/>
  <c r="AK488" i="2"/>
  <c r="Q488" i="2"/>
  <c r="AJ488" i="2" s="1"/>
  <c r="AB488" i="2"/>
  <c r="AA488" i="2"/>
  <c r="E491" i="6" s="1"/>
  <c r="AM487" i="2"/>
  <c r="AL487" i="2"/>
  <c r="AK487" i="2"/>
  <c r="Q487" i="2"/>
  <c r="AJ487" i="2" s="1"/>
  <c r="AB487" i="2"/>
  <c r="AA487" i="2"/>
  <c r="AM486" i="2"/>
  <c r="AL486" i="2"/>
  <c r="AK486" i="2"/>
  <c r="Q486" i="2"/>
  <c r="AJ486" i="2" s="1"/>
  <c r="AB486" i="2"/>
  <c r="AA486" i="2"/>
  <c r="AM485" i="2"/>
  <c r="AL485" i="2"/>
  <c r="B488" i="6" s="1"/>
  <c r="AK485" i="2"/>
  <c r="Q485" i="2"/>
  <c r="AJ485" i="2" s="1"/>
  <c r="AB485" i="2"/>
  <c r="AA485" i="2"/>
  <c r="AM484" i="2"/>
  <c r="AL484" i="2"/>
  <c r="AK484" i="2"/>
  <c r="Q484" i="2"/>
  <c r="AJ484" i="2" s="1"/>
  <c r="AB484" i="2"/>
  <c r="AA484" i="2"/>
  <c r="E487" i="6" s="1"/>
  <c r="AM483" i="2"/>
  <c r="AL483" i="2"/>
  <c r="AK483" i="2"/>
  <c r="Q483" i="2"/>
  <c r="AJ483" i="2" s="1"/>
  <c r="AB483" i="2"/>
  <c r="AA483" i="2"/>
  <c r="AM482" i="2"/>
  <c r="AL482" i="2"/>
  <c r="AK482" i="2"/>
  <c r="Q482" i="2"/>
  <c r="AJ482" i="2" s="1"/>
  <c r="AB482" i="2"/>
  <c r="AA482" i="2"/>
  <c r="AM481" i="2"/>
  <c r="AL481" i="2"/>
  <c r="AK481" i="2"/>
  <c r="Q481" i="2"/>
  <c r="AJ481" i="2" s="1"/>
  <c r="AB481" i="2"/>
  <c r="AA481" i="2"/>
  <c r="AM480" i="2"/>
  <c r="AL480" i="2"/>
  <c r="AK480" i="2"/>
  <c r="Q480" i="2"/>
  <c r="AJ480" i="2" s="1"/>
  <c r="AB480" i="2"/>
  <c r="AA480" i="2"/>
  <c r="AM479" i="2"/>
  <c r="AL479" i="2"/>
  <c r="AK479" i="2"/>
  <c r="Q479" i="2"/>
  <c r="AJ479" i="2" s="1"/>
  <c r="AB479" i="2"/>
  <c r="AA479" i="2"/>
  <c r="AM478" i="2"/>
  <c r="AL478" i="2"/>
  <c r="AK478" i="2"/>
  <c r="Q478" i="2"/>
  <c r="AJ478" i="2" s="1"/>
  <c r="AB478" i="2"/>
  <c r="AA478" i="2"/>
  <c r="AM477" i="2"/>
  <c r="AL477" i="2"/>
  <c r="AK477" i="2"/>
  <c r="Q477" i="2"/>
  <c r="AJ477" i="2" s="1"/>
  <c r="AB477" i="2"/>
  <c r="AA477" i="2"/>
  <c r="AM476" i="2"/>
  <c r="AL476" i="2"/>
  <c r="B479" i="6" s="1"/>
  <c r="AK476" i="2"/>
  <c r="Q476" i="2"/>
  <c r="AJ476" i="2" s="1"/>
  <c r="AB476" i="2"/>
  <c r="AA476" i="2"/>
  <c r="AM475" i="2"/>
  <c r="M478" i="6" s="1"/>
  <c r="AL475" i="2"/>
  <c r="AK475" i="2"/>
  <c r="Q475" i="2"/>
  <c r="AJ475" i="2" s="1"/>
  <c r="AB475" i="2"/>
  <c r="AA475" i="2"/>
  <c r="AM474" i="2"/>
  <c r="AL474" i="2"/>
  <c r="AK474" i="2"/>
  <c r="Q474" i="2"/>
  <c r="AJ474" i="2" s="1"/>
  <c r="AB474" i="2"/>
  <c r="AA474" i="2"/>
  <c r="AM473" i="2"/>
  <c r="AL473" i="2"/>
  <c r="AK473" i="2"/>
  <c r="Q473" i="2"/>
  <c r="AJ473" i="2" s="1"/>
  <c r="AB473" i="2"/>
  <c r="AA473" i="2"/>
  <c r="AM472" i="2"/>
  <c r="AL472" i="2"/>
  <c r="AK472" i="2"/>
  <c r="Q472" i="2"/>
  <c r="AJ472" i="2" s="1"/>
  <c r="AB472" i="2"/>
  <c r="AA472" i="2"/>
  <c r="E475" i="6" s="1"/>
  <c r="AM471" i="2"/>
  <c r="AL471" i="2"/>
  <c r="AK471" i="2"/>
  <c r="Q471" i="2"/>
  <c r="AJ471" i="2" s="1"/>
  <c r="AB471" i="2"/>
  <c r="AA471" i="2"/>
  <c r="AM470" i="2"/>
  <c r="AL470" i="2"/>
  <c r="AK470" i="2"/>
  <c r="Q470" i="2"/>
  <c r="AJ470" i="2" s="1"/>
  <c r="AB470" i="2"/>
  <c r="AA470" i="2"/>
  <c r="AM469" i="2"/>
  <c r="AL469" i="2"/>
  <c r="AK469" i="2"/>
  <c r="Q469" i="2"/>
  <c r="AJ469" i="2" s="1"/>
  <c r="AB469" i="2"/>
  <c r="AA469" i="2"/>
  <c r="AM468" i="2"/>
  <c r="AL468" i="2"/>
  <c r="AK468" i="2"/>
  <c r="Q468" i="2"/>
  <c r="AJ468" i="2" s="1"/>
  <c r="AB468" i="2"/>
  <c r="AA468" i="2"/>
  <c r="E471" i="6" s="1"/>
  <c r="AM467" i="2"/>
  <c r="AL467" i="2"/>
  <c r="AK467" i="2"/>
  <c r="Q467" i="2"/>
  <c r="AJ467" i="2" s="1"/>
  <c r="AB467" i="2"/>
  <c r="AA467" i="2"/>
  <c r="AM466" i="2"/>
  <c r="AL466" i="2"/>
  <c r="AK466" i="2"/>
  <c r="Q466" i="2"/>
  <c r="AJ466" i="2" s="1"/>
  <c r="C469" i="6" s="1"/>
  <c r="AB466" i="2"/>
  <c r="AA466" i="2"/>
  <c r="AM465" i="2"/>
  <c r="AL465" i="2"/>
  <c r="AK465" i="2"/>
  <c r="Q465" i="2"/>
  <c r="AJ465" i="2" s="1"/>
  <c r="AB465" i="2"/>
  <c r="AA465" i="2"/>
  <c r="AM464" i="2"/>
  <c r="M467" i="6" s="1"/>
  <c r="AL464" i="2"/>
  <c r="AK464" i="2"/>
  <c r="Q464" i="2"/>
  <c r="AJ464" i="2" s="1"/>
  <c r="C467" i="6" s="1"/>
  <c r="AB464" i="2"/>
  <c r="AA464" i="2"/>
  <c r="AM463" i="2"/>
  <c r="AL463" i="2"/>
  <c r="AK463" i="2"/>
  <c r="Q463" i="2"/>
  <c r="AJ463" i="2" s="1"/>
  <c r="AB463" i="2"/>
  <c r="AA463" i="2"/>
  <c r="AM462" i="2"/>
  <c r="AL462" i="2"/>
  <c r="AK462" i="2"/>
  <c r="Q462" i="2"/>
  <c r="AJ462" i="2" s="1"/>
  <c r="AB462" i="2"/>
  <c r="AA462" i="2"/>
  <c r="AM461" i="2"/>
  <c r="AL461" i="2"/>
  <c r="AK461" i="2"/>
  <c r="Q461" i="2"/>
  <c r="AJ461" i="2" s="1"/>
  <c r="AB461" i="2"/>
  <c r="AA461" i="2"/>
  <c r="AM460" i="2"/>
  <c r="AL460" i="2"/>
  <c r="AK460" i="2"/>
  <c r="Q460" i="2"/>
  <c r="AJ460" i="2" s="1"/>
  <c r="AB460" i="2"/>
  <c r="AA460" i="2"/>
  <c r="E463" i="6" s="1"/>
  <c r="AM459" i="2"/>
  <c r="AL459" i="2"/>
  <c r="AK459" i="2"/>
  <c r="Q459" i="2"/>
  <c r="AJ459" i="2" s="1"/>
  <c r="AB459" i="2"/>
  <c r="AA459" i="2"/>
  <c r="AM458" i="2"/>
  <c r="AL458" i="2"/>
  <c r="AK458" i="2"/>
  <c r="Q458" i="2"/>
  <c r="AJ458" i="2" s="1"/>
  <c r="C461" i="6" s="1"/>
  <c r="AB458" i="2"/>
  <c r="AA458" i="2"/>
  <c r="AM457" i="2"/>
  <c r="AL457" i="2"/>
  <c r="AK457" i="2"/>
  <c r="Q457" i="2"/>
  <c r="AJ457" i="2" s="1"/>
  <c r="AB457" i="2"/>
  <c r="AA457" i="2"/>
  <c r="AM456" i="2"/>
  <c r="M459" i="6" s="1"/>
  <c r="AL456" i="2"/>
  <c r="AK456" i="2"/>
  <c r="Q456" i="2"/>
  <c r="AJ456" i="2" s="1"/>
  <c r="C459" i="6" s="1"/>
  <c r="AB456" i="2"/>
  <c r="AA456" i="2"/>
  <c r="AM455" i="2"/>
  <c r="AL455" i="2"/>
  <c r="AK455" i="2"/>
  <c r="Q455" i="2"/>
  <c r="AJ455" i="2" s="1"/>
  <c r="AB455" i="2"/>
  <c r="AA455" i="2"/>
  <c r="AM454" i="2"/>
  <c r="AL454" i="2"/>
  <c r="AK454" i="2"/>
  <c r="Q454" i="2"/>
  <c r="AJ454" i="2" s="1"/>
  <c r="AB454" i="2"/>
  <c r="AA454" i="2"/>
  <c r="AM453" i="2"/>
  <c r="AL453" i="2"/>
  <c r="AK453" i="2"/>
  <c r="Q453" i="2"/>
  <c r="AJ453" i="2" s="1"/>
  <c r="AB453" i="2"/>
  <c r="AA453" i="2"/>
  <c r="AM452" i="2"/>
  <c r="AL452" i="2"/>
  <c r="AK452" i="2"/>
  <c r="Q452" i="2"/>
  <c r="AJ452" i="2" s="1"/>
  <c r="AB452" i="2"/>
  <c r="AA452" i="2"/>
  <c r="E455" i="6" s="1"/>
  <c r="AM451" i="2"/>
  <c r="AL451" i="2"/>
  <c r="AK451" i="2"/>
  <c r="Q451" i="2"/>
  <c r="AJ451" i="2" s="1"/>
  <c r="AB451" i="2"/>
  <c r="AA451" i="2"/>
  <c r="AM450" i="2"/>
  <c r="AL450" i="2"/>
  <c r="AK450" i="2"/>
  <c r="Q450" i="2"/>
  <c r="AJ450" i="2" s="1"/>
  <c r="C453" i="6" s="1"/>
  <c r="AB450" i="2"/>
  <c r="AA450" i="2"/>
  <c r="AM449" i="2"/>
  <c r="AL449" i="2"/>
  <c r="AK449" i="2"/>
  <c r="Q449" i="2"/>
  <c r="AJ449" i="2" s="1"/>
  <c r="AB449" i="2"/>
  <c r="AA449" i="2"/>
  <c r="AM448" i="2"/>
  <c r="AL448" i="2"/>
  <c r="AK448" i="2"/>
  <c r="Q448" i="2"/>
  <c r="AJ448" i="2" s="1"/>
  <c r="C451" i="6" s="1"/>
  <c r="AB448" i="2"/>
  <c r="AA448" i="2"/>
  <c r="AM447" i="2"/>
  <c r="AL447" i="2"/>
  <c r="AK447" i="2"/>
  <c r="Q447" i="2"/>
  <c r="AJ447" i="2" s="1"/>
  <c r="AB447" i="2"/>
  <c r="AA447" i="2"/>
  <c r="AM446" i="2"/>
  <c r="AL446" i="2"/>
  <c r="AK446" i="2"/>
  <c r="Q446" i="2"/>
  <c r="AJ446" i="2" s="1"/>
  <c r="AB446" i="2"/>
  <c r="AA446" i="2"/>
  <c r="AM445" i="2"/>
  <c r="AL445" i="2"/>
  <c r="AK445" i="2"/>
  <c r="Q445" i="2"/>
  <c r="AJ445" i="2" s="1"/>
  <c r="AB445" i="2"/>
  <c r="AA445" i="2"/>
  <c r="AM444" i="2"/>
  <c r="AL444" i="2"/>
  <c r="B447" i="6" s="1"/>
  <c r="AK444" i="2"/>
  <c r="Q444" i="2"/>
  <c r="AJ444" i="2" s="1"/>
  <c r="AB444" i="2"/>
  <c r="AA444" i="2"/>
  <c r="AM443" i="2"/>
  <c r="M446" i="6" s="1"/>
  <c r="AL443" i="2"/>
  <c r="AK443" i="2"/>
  <c r="Q443" i="2"/>
  <c r="AJ443" i="2" s="1"/>
  <c r="AB443" i="2"/>
  <c r="AA443" i="2"/>
  <c r="AM442" i="2"/>
  <c r="AL442" i="2"/>
  <c r="AK442" i="2"/>
  <c r="Q442" i="2"/>
  <c r="AJ442" i="2" s="1"/>
  <c r="C445" i="6" s="1"/>
  <c r="AB442" i="2"/>
  <c r="AA442" i="2"/>
  <c r="AM441" i="2"/>
  <c r="AL441" i="2"/>
  <c r="AK441" i="2"/>
  <c r="Q441" i="2"/>
  <c r="AJ441" i="2" s="1"/>
  <c r="AB441" i="2"/>
  <c r="AA441" i="2"/>
  <c r="AM440" i="2"/>
  <c r="AL440" i="2"/>
  <c r="AK440" i="2"/>
  <c r="Q440" i="2"/>
  <c r="AJ440" i="2" s="1"/>
  <c r="C443" i="6" s="1"/>
  <c r="AB440" i="2"/>
  <c r="AA440" i="2"/>
  <c r="AM439" i="2"/>
  <c r="AL439" i="2"/>
  <c r="AK439" i="2"/>
  <c r="Q439" i="2"/>
  <c r="AJ439" i="2" s="1"/>
  <c r="AB439" i="2"/>
  <c r="AA439" i="2"/>
  <c r="AM438" i="2"/>
  <c r="AL438" i="2"/>
  <c r="AK438" i="2"/>
  <c r="Q438" i="2"/>
  <c r="AJ438" i="2" s="1"/>
  <c r="AB438" i="2"/>
  <c r="AA438" i="2"/>
  <c r="AM437" i="2"/>
  <c r="AL437" i="2"/>
  <c r="AK437" i="2"/>
  <c r="Q437" i="2"/>
  <c r="AJ437" i="2" s="1"/>
  <c r="AB437" i="2"/>
  <c r="AA437" i="2"/>
  <c r="AM436" i="2"/>
  <c r="AL436" i="2"/>
  <c r="B439" i="6" s="1"/>
  <c r="AK436" i="2"/>
  <c r="Q436" i="2"/>
  <c r="AJ436" i="2" s="1"/>
  <c r="AB436" i="2"/>
  <c r="AA436" i="2"/>
  <c r="AM435" i="2"/>
  <c r="M438" i="6" s="1"/>
  <c r="AL435" i="2"/>
  <c r="AK435" i="2"/>
  <c r="Q435" i="2"/>
  <c r="AJ435" i="2" s="1"/>
  <c r="AB435" i="2"/>
  <c r="AA435" i="2"/>
  <c r="AM434" i="2"/>
  <c r="AL434" i="2"/>
  <c r="AK434" i="2"/>
  <c r="Q434" i="2"/>
  <c r="AJ434" i="2" s="1"/>
  <c r="AB434" i="2"/>
  <c r="AA434" i="2"/>
  <c r="AM433" i="2"/>
  <c r="AL433" i="2"/>
  <c r="AK433" i="2"/>
  <c r="Q433" i="2"/>
  <c r="AJ433" i="2" s="1"/>
  <c r="AB433" i="2"/>
  <c r="AA433" i="2"/>
  <c r="AM432" i="2"/>
  <c r="AL432" i="2"/>
  <c r="AK432" i="2"/>
  <c r="Q432" i="2"/>
  <c r="AJ432" i="2" s="1"/>
  <c r="C435" i="6" s="1"/>
  <c r="AB432" i="2"/>
  <c r="AA432" i="2"/>
  <c r="AM431" i="2"/>
  <c r="AL431" i="2"/>
  <c r="AK431" i="2"/>
  <c r="Q431" i="2"/>
  <c r="AJ431" i="2" s="1"/>
  <c r="AB431" i="2"/>
  <c r="AA431" i="2"/>
  <c r="AM430" i="2"/>
  <c r="AL430" i="2"/>
  <c r="AK430" i="2"/>
  <c r="Q430" i="2"/>
  <c r="AJ430" i="2" s="1"/>
  <c r="AB430" i="2"/>
  <c r="AA430" i="2"/>
  <c r="AM429" i="2"/>
  <c r="AL429" i="2"/>
  <c r="AK429" i="2"/>
  <c r="Q429" i="2"/>
  <c r="AJ429" i="2" s="1"/>
  <c r="AB429" i="2"/>
  <c r="AA429" i="2"/>
  <c r="AM428" i="2"/>
  <c r="AL428" i="2"/>
  <c r="B431" i="6" s="1"/>
  <c r="AK428" i="2"/>
  <c r="Q428" i="2"/>
  <c r="AJ428" i="2" s="1"/>
  <c r="AB428" i="2"/>
  <c r="AA428" i="2"/>
  <c r="AM427" i="2"/>
  <c r="M430" i="6" s="1"/>
  <c r="AL427" i="2"/>
  <c r="AK427" i="2"/>
  <c r="Q427" i="2"/>
  <c r="AJ427" i="2" s="1"/>
  <c r="AB427" i="2"/>
  <c r="AA427" i="2"/>
  <c r="AM426" i="2"/>
  <c r="AL426" i="2"/>
  <c r="AK426" i="2"/>
  <c r="Q426" i="2"/>
  <c r="AJ426" i="2" s="1"/>
  <c r="C429" i="6" s="1"/>
  <c r="AB426" i="2"/>
  <c r="AA426" i="2"/>
  <c r="AM425" i="2"/>
  <c r="AL425" i="2"/>
  <c r="AK425" i="2"/>
  <c r="Q425" i="2"/>
  <c r="AJ425" i="2" s="1"/>
  <c r="AB425" i="2"/>
  <c r="AA425" i="2"/>
  <c r="AM424" i="2"/>
  <c r="AL424" i="2"/>
  <c r="AK424" i="2"/>
  <c r="Q424" i="2"/>
  <c r="AJ424" i="2" s="1"/>
  <c r="C427" i="6" s="1"/>
  <c r="AB424" i="2"/>
  <c r="AA424" i="2"/>
  <c r="AM423" i="2"/>
  <c r="AL423" i="2"/>
  <c r="AK423" i="2"/>
  <c r="Q423" i="2"/>
  <c r="AJ423" i="2" s="1"/>
  <c r="AB423" i="2"/>
  <c r="AA423" i="2"/>
  <c r="AM422" i="2"/>
  <c r="AL422" i="2"/>
  <c r="AK422" i="2"/>
  <c r="Q422" i="2"/>
  <c r="AJ422" i="2" s="1"/>
  <c r="AB422" i="2"/>
  <c r="AA422" i="2"/>
  <c r="AM421" i="2"/>
  <c r="AL421" i="2"/>
  <c r="AK421" i="2"/>
  <c r="Q421" i="2"/>
  <c r="AJ421" i="2" s="1"/>
  <c r="AB421" i="2"/>
  <c r="AA421" i="2"/>
  <c r="AM420" i="2"/>
  <c r="AL420" i="2"/>
  <c r="B423" i="6" s="1"/>
  <c r="AK420" i="2"/>
  <c r="Q420" i="2"/>
  <c r="AJ420" i="2" s="1"/>
  <c r="AB420" i="2"/>
  <c r="AA420" i="2"/>
  <c r="AM419" i="2"/>
  <c r="M422" i="6" s="1"/>
  <c r="AL419" i="2"/>
  <c r="AK419" i="2"/>
  <c r="Q419" i="2"/>
  <c r="AJ419" i="2" s="1"/>
  <c r="AB419" i="2"/>
  <c r="AA419" i="2"/>
  <c r="AM418" i="2"/>
  <c r="AL418" i="2"/>
  <c r="AK418" i="2"/>
  <c r="Q418" i="2"/>
  <c r="AJ418" i="2" s="1"/>
  <c r="C421" i="6" s="1"/>
  <c r="AB418" i="2"/>
  <c r="AA418" i="2"/>
  <c r="AM417" i="2"/>
  <c r="AL417" i="2"/>
  <c r="AK417" i="2"/>
  <c r="Q417" i="2"/>
  <c r="AJ417" i="2" s="1"/>
  <c r="AB417" i="2"/>
  <c r="AA417" i="2"/>
  <c r="AM416" i="2"/>
  <c r="AL416" i="2"/>
  <c r="AK416" i="2"/>
  <c r="Q416" i="2"/>
  <c r="AJ416" i="2" s="1"/>
  <c r="C419" i="6" s="1"/>
  <c r="AB416" i="2"/>
  <c r="AA416" i="2"/>
  <c r="AM415" i="2"/>
  <c r="AL415" i="2"/>
  <c r="AK415" i="2"/>
  <c r="Q415" i="2"/>
  <c r="AJ415" i="2" s="1"/>
  <c r="AB415" i="2"/>
  <c r="AA415" i="2"/>
  <c r="AM414" i="2"/>
  <c r="AL414" i="2"/>
  <c r="AK414" i="2"/>
  <c r="Q414" i="2"/>
  <c r="AJ414" i="2" s="1"/>
  <c r="AB414" i="2"/>
  <c r="AA414" i="2"/>
  <c r="AM413" i="2"/>
  <c r="AL413" i="2"/>
  <c r="AK413" i="2"/>
  <c r="Q413" i="2"/>
  <c r="AJ413" i="2" s="1"/>
  <c r="AB413" i="2"/>
  <c r="AA413" i="2"/>
  <c r="AM412" i="2"/>
  <c r="AL412" i="2"/>
  <c r="B415" i="6" s="1"/>
  <c r="AK412" i="2"/>
  <c r="Q412" i="2"/>
  <c r="AJ412" i="2" s="1"/>
  <c r="AB412" i="2"/>
  <c r="AA412" i="2"/>
  <c r="AM411" i="2"/>
  <c r="M414" i="6" s="1"/>
  <c r="AL411" i="2"/>
  <c r="AK411" i="2"/>
  <c r="Q411" i="2"/>
  <c r="AJ411" i="2" s="1"/>
  <c r="AB411" i="2"/>
  <c r="AA411" i="2"/>
  <c r="AM410" i="2"/>
  <c r="AL410" i="2"/>
  <c r="AK410" i="2"/>
  <c r="Q410" i="2"/>
  <c r="AJ410" i="2" s="1"/>
  <c r="C413" i="6" s="1"/>
  <c r="AB410" i="2"/>
  <c r="AA410" i="2"/>
  <c r="AM409" i="2"/>
  <c r="AL409" i="2"/>
  <c r="AK409" i="2"/>
  <c r="Q409" i="2"/>
  <c r="AJ409" i="2" s="1"/>
  <c r="AB409" i="2"/>
  <c r="AA409" i="2"/>
  <c r="AM408" i="2"/>
  <c r="AL408" i="2"/>
  <c r="AK408" i="2"/>
  <c r="Q408" i="2"/>
  <c r="AJ408" i="2" s="1"/>
  <c r="C411" i="6" s="1"/>
  <c r="AB408" i="2"/>
  <c r="AA408" i="2"/>
  <c r="AM407" i="2"/>
  <c r="AL407" i="2"/>
  <c r="AK407" i="2"/>
  <c r="Q407" i="2"/>
  <c r="AJ407" i="2" s="1"/>
  <c r="AB407" i="2"/>
  <c r="AA407" i="2"/>
  <c r="AM406" i="2"/>
  <c r="AL406" i="2"/>
  <c r="AK406" i="2"/>
  <c r="Q406" i="2"/>
  <c r="AJ406" i="2" s="1"/>
  <c r="AB406" i="2"/>
  <c r="AA406" i="2"/>
  <c r="AM405" i="2"/>
  <c r="AL405" i="2"/>
  <c r="AK405" i="2"/>
  <c r="Q405" i="2"/>
  <c r="AJ405" i="2" s="1"/>
  <c r="AB405" i="2"/>
  <c r="AA405" i="2"/>
  <c r="AM404" i="2"/>
  <c r="AL404" i="2"/>
  <c r="B407" i="6" s="1"/>
  <c r="AK404" i="2"/>
  <c r="Q404" i="2"/>
  <c r="AJ404" i="2" s="1"/>
  <c r="AB404" i="2"/>
  <c r="AA404" i="2"/>
  <c r="AM403" i="2"/>
  <c r="M406" i="6" s="1"/>
  <c r="AL403" i="2"/>
  <c r="AK403" i="2"/>
  <c r="Q403" i="2"/>
  <c r="AJ403" i="2" s="1"/>
  <c r="AB403" i="2"/>
  <c r="AA403" i="2"/>
  <c r="AM402" i="2"/>
  <c r="AL402" i="2"/>
  <c r="AK402" i="2"/>
  <c r="Q402" i="2"/>
  <c r="AJ402" i="2" s="1"/>
  <c r="C405" i="6" s="1"/>
  <c r="AB402" i="2"/>
  <c r="AA402" i="2"/>
  <c r="AM401" i="2"/>
  <c r="AL401" i="2"/>
  <c r="AK401" i="2"/>
  <c r="Q401" i="2"/>
  <c r="AJ401" i="2" s="1"/>
  <c r="AB401" i="2"/>
  <c r="AA401" i="2"/>
  <c r="AM400" i="2"/>
  <c r="AL400" i="2"/>
  <c r="AK400" i="2"/>
  <c r="Q400" i="2"/>
  <c r="AJ400" i="2" s="1"/>
  <c r="C403" i="6" s="1"/>
  <c r="AB400" i="2"/>
  <c r="AA400" i="2"/>
  <c r="AM399" i="2"/>
  <c r="AL399" i="2"/>
  <c r="AK399" i="2"/>
  <c r="Q399" i="2"/>
  <c r="AJ399" i="2" s="1"/>
  <c r="AB399" i="2"/>
  <c r="AA399" i="2"/>
  <c r="AM398" i="2"/>
  <c r="AL398" i="2"/>
  <c r="AK398" i="2"/>
  <c r="Q398" i="2"/>
  <c r="AJ398" i="2" s="1"/>
  <c r="AB398" i="2"/>
  <c r="AA398" i="2"/>
  <c r="AM397" i="2"/>
  <c r="AL397" i="2"/>
  <c r="AK397" i="2"/>
  <c r="Q397" i="2"/>
  <c r="AJ397" i="2" s="1"/>
  <c r="AB397" i="2"/>
  <c r="AA397" i="2"/>
  <c r="AM396" i="2"/>
  <c r="AL396" i="2"/>
  <c r="AK396" i="2"/>
  <c r="Q396" i="2"/>
  <c r="AJ396" i="2" s="1"/>
  <c r="AB396" i="2"/>
  <c r="AA396" i="2"/>
  <c r="AM395" i="2"/>
  <c r="M398" i="6" s="1"/>
  <c r="AL395" i="2"/>
  <c r="AK395" i="2"/>
  <c r="Q395" i="2"/>
  <c r="AJ395" i="2" s="1"/>
  <c r="AB395" i="2"/>
  <c r="AA395" i="2"/>
  <c r="AM394" i="2"/>
  <c r="AL394" i="2"/>
  <c r="AK394" i="2"/>
  <c r="Q394" i="2"/>
  <c r="AJ394" i="2" s="1"/>
  <c r="C397" i="6" s="1"/>
  <c r="AB394" i="2"/>
  <c r="AA394" i="2"/>
  <c r="AM393" i="2"/>
  <c r="AL393" i="2"/>
  <c r="AK393" i="2"/>
  <c r="Q393" i="2"/>
  <c r="AJ393" i="2" s="1"/>
  <c r="AB393" i="2"/>
  <c r="AA393" i="2"/>
  <c r="AM392" i="2"/>
  <c r="AL392" i="2"/>
  <c r="AK392" i="2"/>
  <c r="Q392" i="2"/>
  <c r="AJ392" i="2" s="1"/>
  <c r="C395" i="6" s="1"/>
  <c r="AB392" i="2"/>
  <c r="AA392" i="2"/>
  <c r="AM391" i="2"/>
  <c r="AL391" i="2"/>
  <c r="AK391" i="2"/>
  <c r="Q391" i="2"/>
  <c r="AJ391" i="2" s="1"/>
  <c r="AB391" i="2"/>
  <c r="AA391" i="2"/>
  <c r="AM390" i="2"/>
  <c r="AL390" i="2"/>
  <c r="AK390" i="2"/>
  <c r="Q390" i="2"/>
  <c r="AJ390" i="2" s="1"/>
  <c r="AB390" i="2"/>
  <c r="AA390" i="2"/>
  <c r="AM389" i="2"/>
  <c r="AL389" i="2"/>
  <c r="AK389" i="2"/>
  <c r="Q389" i="2"/>
  <c r="AJ389" i="2" s="1"/>
  <c r="AB389" i="2"/>
  <c r="AA389" i="2"/>
  <c r="AM388" i="2"/>
  <c r="AL388" i="2"/>
  <c r="B391" i="6" s="1"/>
  <c r="AK388" i="2"/>
  <c r="Q388" i="2"/>
  <c r="AJ388" i="2" s="1"/>
  <c r="AB388" i="2"/>
  <c r="AA388" i="2"/>
  <c r="AM387" i="2"/>
  <c r="M390" i="6" s="1"/>
  <c r="AL387" i="2"/>
  <c r="AK387" i="2"/>
  <c r="Q387" i="2"/>
  <c r="AJ387" i="2" s="1"/>
  <c r="AB387" i="2"/>
  <c r="AA387" i="2"/>
  <c r="AM386" i="2"/>
  <c r="AL386" i="2"/>
  <c r="AK386" i="2"/>
  <c r="Q386" i="2"/>
  <c r="AJ386" i="2" s="1"/>
  <c r="C389" i="6" s="1"/>
  <c r="AB386" i="2"/>
  <c r="AA386" i="2"/>
  <c r="AM385" i="2"/>
  <c r="AL385" i="2"/>
  <c r="AK385" i="2"/>
  <c r="Q385" i="2"/>
  <c r="AJ385" i="2" s="1"/>
  <c r="AB385" i="2"/>
  <c r="AA385" i="2"/>
  <c r="AM384" i="2"/>
  <c r="AL384" i="2"/>
  <c r="AK384" i="2"/>
  <c r="Q384" i="2"/>
  <c r="AJ384" i="2" s="1"/>
  <c r="C387" i="6" s="1"/>
  <c r="AB384" i="2"/>
  <c r="AA384" i="2"/>
  <c r="AM383" i="2"/>
  <c r="AL383" i="2"/>
  <c r="AK383" i="2"/>
  <c r="Q383" i="2"/>
  <c r="AJ383" i="2" s="1"/>
  <c r="AB383" i="2"/>
  <c r="AA383" i="2"/>
  <c r="AM382" i="2"/>
  <c r="AL382" i="2"/>
  <c r="AK382" i="2"/>
  <c r="Q382" i="2"/>
  <c r="AJ382" i="2" s="1"/>
  <c r="AB382" i="2"/>
  <c r="AA382" i="2"/>
  <c r="AM381" i="2"/>
  <c r="AL381" i="2"/>
  <c r="AK381" i="2"/>
  <c r="Q381" i="2"/>
  <c r="AJ381" i="2" s="1"/>
  <c r="AB381" i="2"/>
  <c r="AA381" i="2"/>
  <c r="AM380" i="2"/>
  <c r="AL380" i="2"/>
  <c r="AK380" i="2"/>
  <c r="Q380" i="2"/>
  <c r="AJ380" i="2" s="1"/>
  <c r="AB380" i="2"/>
  <c r="AA380" i="2"/>
  <c r="AM379" i="2"/>
  <c r="M382" i="6" s="1"/>
  <c r="AL379" i="2"/>
  <c r="AK379" i="2"/>
  <c r="Q379" i="2"/>
  <c r="AJ379" i="2" s="1"/>
  <c r="AB379" i="2"/>
  <c r="AA379" i="2"/>
  <c r="AM378" i="2"/>
  <c r="AL378" i="2"/>
  <c r="AK378" i="2"/>
  <c r="Q378" i="2"/>
  <c r="AJ378" i="2" s="1"/>
  <c r="C381" i="6" s="1"/>
  <c r="AB378" i="2"/>
  <c r="AA378" i="2"/>
  <c r="AM377" i="2"/>
  <c r="AL377" i="2"/>
  <c r="AK377" i="2"/>
  <c r="Q377" i="2"/>
  <c r="AJ377" i="2" s="1"/>
  <c r="AB377" i="2"/>
  <c r="AA377" i="2"/>
  <c r="AM376" i="2"/>
  <c r="AL376" i="2"/>
  <c r="AK376" i="2"/>
  <c r="Q376" i="2"/>
  <c r="AJ376" i="2" s="1"/>
  <c r="AB376" i="2"/>
  <c r="AA376" i="2"/>
  <c r="AM375" i="2"/>
  <c r="AL375" i="2"/>
  <c r="AK375" i="2"/>
  <c r="Q375" i="2"/>
  <c r="AJ375" i="2" s="1"/>
  <c r="AB375" i="2"/>
  <c r="AA375" i="2"/>
  <c r="AM374" i="2"/>
  <c r="AL374" i="2"/>
  <c r="AK374" i="2"/>
  <c r="Q374" i="2"/>
  <c r="AJ374" i="2" s="1"/>
  <c r="AB374" i="2"/>
  <c r="AA374" i="2"/>
  <c r="AM373" i="2"/>
  <c r="AL373" i="2"/>
  <c r="AK373" i="2"/>
  <c r="Q373" i="2"/>
  <c r="AJ373" i="2" s="1"/>
  <c r="AB373" i="2"/>
  <c r="AA373" i="2"/>
  <c r="AM372" i="2"/>
  <c r="AL372" i="2"/>
  <c r="B375" i="6" s="1"/>
  <c r="AK372" i="2"/>
  <c r="Q372" i="2"/>
  <c r="AJ372" i="2" s="1"/>
  <c r="AB372" i="2"/>
  <c r="AA372" i="2"/>
  <c r="AM371" i="2"/>
  <c r="M374" i="6" s="1"/>
  <c r="AL371" i="2"/>
  <c r="AK371" i="2"/>
  <c r="Q371" i="2"/>
  <c r="AJ371" i="2" s="1"/>
  <c r="AB371" i="2"/>
  <c r="AA371" i="2"/>
  <c r="AM370" i="2"/>
  <c r="AL370" i="2"/>
  <c r="AK370" i="2"/>
  <c r="Q370" i="2"/>
  <c r="AJ370" i="2" s="1"/>
  <c r="C373" i="6" s="1"/>
  <c r="AB370" i="2"/>
  <c r="AA370" i="2"/>
  <c r="AM369" i="2"/>
  <c r="AL369" i="2"/>
  <c r="AK369" i="2"/>
  <c r="Q369" i="2"/>
  <c r="AJ369" i="2" s="1"/>
  <c r="AB369" i="2"/>
  <c r="AA369" i="2"/>
  <c r="AM368" i="2"/>
  <c r="AL368" i="2"/>
  <c r="AK368" i="2"/>
  <c r="Q368" i="2"/>
  <c r="AJ368" i="2" s="1"/>
  <c r="C371" i="6" s="1"/>
  <c r="AB368" i="2"/>
  <c r="AA368" i="2"/>
  <c r="AM367" i="2"/>
  <c r="AL367" i="2"/>
  <c r="AK367" i="2"/>
  <c r="Q367" i="2"/>
  <c r="AJ367" i="2" s="1"/>
  <c r="AB367" i="2"/>
  <c r="AA367" i="2"/>
  <c r="AM366" i="2"/>
  <c r="AL366" i="2"/>
  <c r="AK366" i="2"/>
  <c r="Q366" i="2"/>
  <c r="AJ366" i="2" s="1"/>
  <c r="AB366" i="2"/>
  <c r="AA366" i="2"/>
  <c r="AM365" i="2"/>
  <c r="AL365" i="2"/>
  <c r="AK365" i="2"/>
  <c r="Q365" i="2"/>
  <c r="AJ365" i="2" s="1"/>
  <c r="AB365" i="2"/>
  <c r="AA365" i="2"/>
  <c r="AM364" i="2"/>
  <c r="AL364" i="2"/>
  <c r="B367" i="6" s="1"/>
  <c r="AK364" i="2"/>
  <c r="Q364" i="2"/>
  <c r="AJ364" i="2" s="1"/>
  <c r="AB364" i="2"/>
  <c r="AA364" i="2"/>
  <c r="AM363" i="2"/>
  <c r="M366" i="6" s="1"/>
  <c r="AL363" i="2"/>
  <c r="AK363" i="2"/>
  <c r="Q363" i="2"/>
  <c r="AJ363" i="2" s="1"/>
  <c r="AB363" i="2"/>
  <c r="AA363" i="2"/>
  <c r="AM362" i="2"/>
  <c r="AL362" i="2"/>
  <c r="AK362" i="2"/>
  <c r="Q362" i="2"/>
  <c r="AJ362" i="2" s="1"/>
  <c r="C365" i="6" s="1"/>
  <c r="AB362" i="2"/>
  <c r="AA362" i="2"/>
  <c r="AM361" i="2"/>
  <c r="AL361" i="2"/>
  <c r="AK361" i="2"/>
  <c r="Q361" i="2"/>
  <c r="AJ361" i="2" s="1"/>
  <c r="AB361" i="2"/>
  <c r="AA361" i="2"/>
  <c r="AM360" i="2"/>
  <c r="AL360" i="2"/>
  <c r="AK360" i="2"/>
  <c r="Q360" i="2"/>
  <c r="AJ360" i="2" s="1"/>
  <c r="AB360" i="2"/>
  <c r="AA360" i="2"/>
  <c r="AM359" i="2"/>
  <c r="M362" i="6" s="1"/>
  <c r="AL359" i="2"/>
  <c r="AK359" i="2"/>
  <c r="Q359" i="2"/>
  <c r="AJ359" i="2" s="1"/>
  <c r="AB359" i="2"/>
  <c r="AA359" i="2"/>
  <c r="AM358" i="2"/>
  <c r="AL358" i="2"/>
  <c r="AK358" i="2"/>
  <c r="Q358" i="2"/>
  <c r="AJ358" i="2" s="1"/>
  <c r="AB358" i="2"/>
  <c r="AA358" i="2"/>
  <c r="AM357" i="2"/>
  <c r="AL357" i="2"/>
  <c r="AK357" i="2"/>
  <c r="Q357" i="2"/>
  <c r="AJ357" i="2" s="1"/>
  <c r="AB357" i="2"/>
  <c r="AA357" i="2"/>
  <c r="AM356" i="2"/>
  <c r="AL356" i="2"/>
  <c r="B359" i="6" s="1"/>
  <c r="Q359" i="6" s="1"/>
  <c r="AK356" i="2"/>
  <c r="Q356" i="2"/>
  <c r="AJ356" i="2" s="1"/>
  <c r="AB356" i="2"/>
  <c r="AA356" i="2"/>
  <c r="AM355" i="2"/>
  <c r="M358" i="6" s="1"/>
  <c r="AL355" i="2"/>
  <c r="AK355" i="2"/>
  <c r="Q355" i="2"/>
  <c r="AJ355" i="2" s="1"/>
  <c r="AB355" i="2"/>
  <c r="AA355" i="2"/>
  <c r="AM354" i="2"/>
  <c r="AL354" i="2"/>
  <c r="AK354" i="2"/>
  <c r="Q354" i="2"/>
  <c r="AJ354" i="2" s="1"/>
  <c r="C357" i="6" s="1"/>
  <c r="AB354" i="2"/>
  <c r="AA354" i="2"/>
  <c r="AM353" i="2"/>
  <c r="AL353" i="2"/>
  <c r="AK353" i="2"/>
  <c r="Q353" i="2"/>
  <c r="AJ353" i="2" s="1"/>
  <c r="AB353" i="2"/>
  <c r="AA353" i="2"/>
  <c r="AM352" i="2"/>
  <c r="AL352" i="2"/>
  <c r="AK352" i="2"/>
  <c r="Q352" i="2"/>
  <c r="AJ352" i="2" s="1"/>
  <c r="AB352" i="2"/>
  <c r="AA352" i="2"/>
  <c r="AM351" i="2"/>
  <c r="M354" i="6" s="1"/>
  <c r="AL351" i="2"/>
  <c r="AK351" i="2"/>
  <c r="Q351" i="2"/>
  <c r="AJ351" i="2" s="1"/>
  <c r="AB351" i="2"/>
  <c r="AA351" i="2"/>
  <c r="AM350" i="2"/>
  <c r="AL350" i="2"/>
  <c r="AK350" i="2"/>
  <c r="Q350" i="2"/>
  <c r="AJ350" i="2" s="1"/>
  <c r="AB350" i="2"/>
  <c r="AA350" i="2"/>
  <c r="AM349" i="2"/>
  <c r="AL349" i="2"/>
  <c r="AK349" i="2"/>
  <c r="Q349" i="2"/>
  <c r="AJ349" i="2" s="1"/>
  <c r="AB349" i="2"/>
  <c r="AA349" i="2"/>
  <c r="AM348" i="2"/>
  <c r="AL348" i="2"/>
  <c r="AK348" i="2"/>
  <c r="Q348" i="2"/>
  <c r="AJ348" i="2" s="1"/>
  <c r="AB348" i="2"/>
  <c r="AA348" i="2"/>
  <c r="AM347" i="2"/>
  <c r="M350" i="6" s="1"/>
  <c r="AL347" i="2"/>
  <c r="AK347" i="2"/>
  <c r="Q347" i="2"/>
  <c r="AJ347" i="2" s="1"/>
  <c r="AB347" i="2"/>
  <c r="AA347" i="2"/>
  <c r="AM346" i="2"/>
  <c r="AL346" i="2"/>
  <c r="AK346" i="2"/>
  <c r="Q346" i="2"/>
  <c r="AJ346" i="2" s="1"/>
  <c r="C349" i="6" s="1"/>
  <c r="AB346" i="2"/>
  <c r="AA346" i="2"/>
  <c r="AM345" i="2"/>
  <c r="AL345" i="2"/>
  <c r="AK345" i="2"/>
  <c r="Q345" i="2"/>
  <c r="AJ345" i="2" s="1"/>
  <c r="AB345" i="2"/>
  <c r="AA345" i="2"/>
  <c r="AM344" i="2"/>
  <c r="AL344" i="2"/>
  <c r="AK344" i="2"/>
  <c r="Q344" i="2"/>
  <c r="AJ344" i="2" s="1"/>
  <c r="AB344" i="2"/>
  <c r="AA344" i="2"/>
  <c r="AM343" i="2"/>
  <c r="M346" i="6" s="1"/>
  <c r="AL343" i="2"/>
  <c r="AK343" i="2"/>
  <c r="Q343" i="2"/>
  <c r="AJ343" i="2" s="1"/>
  <c r="AB343" i="2"/>
  <c r="AA343" i="2"/>
  <c r="AM342" i="2"/>
  <c r="AL342" i="2"/>
  <c r="AK342" i="2"/>
  <c r="Q342" i="2"/>
  <c r="AJ342" i="2" s="1"/>
  <c r="AB342" i="2"/>
  <c r="AA342" i="2"/>
  <c r="AM341" i="2"/>
  <c r="AL341" i="2"/>
  <c r="AK341" i="2"/>
  <c r="Q341" i="2"/>
  <c r="AJ341" i="2" s="1"/>
  <c r="AB341" i="2"/>
  <c r="AA341" i="2"/>
  <c r="AM340" i="2"/>
  <c r="AL340" i="2"/>
  <c r="B343" i="6" s="1"/>
  <c r="Q343" i="6" s="1"/>
  <c r="AK340" i="2"/>
  <c r="Q340" i="2"/>
  <c r="AJ340" i="2" s="1"/>
  <c r="AB340" i="2"/>
  <c r="AA340" i="2"/>
  <c r="AM339" i="2"/>
  <c r="M342" i="6" s="1"/>
  <c r="AL339" i="2"/>
  <c r="AK339" i="2"/>
  <c r="Q339" i="2"/>
  <c r="AJ339" i="2" s="1"/>
  <c r="AB339" i="2"/>
  <c r="AA339" i="2"/>
  <c r="AM338" i="2"/>
  <c r="AL338" i="2"/>
  <c r="AK338" i="2"/>
  <c r="Q338" i="2"/>
  <c r="AJ338" i="2" s="1"/>
  <c r="C341" i="6" s="1"/>
  <c r="AB338" i="2"/>
  <c r="AA338" i="2"/>
  <c r="AM337" i="2"/>
  <c r="AL337" i="2"/>
  <c r="AK337" i="2"/>
  <c r="Q337" i="2"/>
  <c r="AJ337" i="2" s="1"/>
  <c r="AB337" i="2"/>
  <c r="AA337" i="2"/>
  <c r="AM336" i="2"/>
  <c r="AL336" i="2"/>
  <c r="AK336" i="2"/>
  <c r="Q336" i="2"/>
  <c r="AJ336" i="2" s="1"/>
  <c r="AB336" i="2"/>
  <c r="AA336" i="2"/>
  <c r="AM335" i="2"/>
  <c r="M338" i="6" s="1"/>
  <c r="AL335" i="2"/>
  <c r="AK335" i="2"/>
  <c r="Q335" i="2"/>
  <c r="AJ335" i="2" s="1"/>
  <c r="AB335" i="2"/>
  <c r="AA335" i="2"/>
  <c r="AM334" i="2"/>
  <c r="AL334" i="2"/>
  <c r="AK334" i="2"/>
  <c r="Q334" i="2"/>
  <c r="AJ334" i="2" s="1"/>
  <c r="AB334" i="2"/>
  <c r="AA334" i="2"/>
  <c r="AM333" i="2"/>
  <c r="AL333" i="2"/>
  <c r="AK333" i="2"/>
  <c r="Q333" i="2"/>
  <c r="AJ333" i="2" s="1"/>
  <c r="AB333" i="2"/>
  <c r="AA333" i="2"/>
  <c r="AM332" i="2"/>
  <c r="AL332" i="2"/>
  <c r="B335" i="6" s="1"/>
  <c r="AK332" i="2"/>
  <c r="Q332" i="2"/>
  <c r="AJ332" i="2" s="1"/>
  <c r="AB332" i="2"/>
  <c r="AA332" i="2"/>
  <c r="AM331" i="2"/>
  <c r="M334" i="6" s="1"/>
  <c r="AL331" i="2"/>
  <c r="AK331" i="2"/>
  <c r="Q331" i="2"/>
  <c r="AJ331" i="2" s="1"/>
  <c r="AB331" i="2"/>
  <c r="AA331" i="2"/>
  <c r="AM330" i="2"/>
  <c r="AL330" i="2"/>
  <c r="AK330" i="2"/>
  <c r="Q330" i="2"/>
  <c r="AJ330" i="2" s="1"/>
  <c r="C333" i="6" s="1"/>
  <c r="AB330" i="2"/>
  <c r="AA330" i="2"/>
  <c r="AM329" i="2"/>
  <c r="AL329" i="2"/>
  <c r="AK329" i="2"/>
  <c r="Q329" i="2"/>
  <c r="AJ329" i="2" s="1"/>
  <c r="AB329" i="2"/>
  <c r="AA329" i="2"/>
  <c r="AM328" i="2"/>
  <c r="AL328" i="2"/>
  <c r="AK328" i="2"/>
  <c r="Q328" i="2"/>
  <c r="AJ328" i="2" s="1"/>
  <c r="AB328" i="2"/>
  <c r="AA328" i="2"/>
  <c r="AM327" i="2"/>
  <c r="M330" i="6" s="1"/>
  <c r="AL327" i="2"/>
  <c r="AK327" i="2"/>
  <c r="Q327" i="2"/>
  <c r="AJ327" i="2" s="1"/>
  <c r="AB327" i="2"/>
  <c r="AA327" i="2"/>
  <c r="AM326" i="2"/>
  <c r="AL326" i="2"/>
  <c r="AK326" i="2"/>
  <c r="Q326" i="2"/>
  <c r="AJ326" i="2" s="1"/>
  <c r="AB326" i="2"/>
  <c r="AA326" i="2"/>
  <c r="AM325" i="2"/>
  <c r="AL325" i="2"/>
  <c r="AK325" i="2"/>
  <c r="Q325" i="2"/>
  <c r="AJ325" i="2" s="1"/>
  <c r="AB325" i="2"/>
  <c r="AA325" i="2"/>
  <c r="AM324" i="2"/>
  <c r="AL324" i="2"/>
  <c r="B327" i="6" s="1"/>
  <c r="Q327" i="6" s="1"/>
  <c r="AK324" i="2"/>
  <c r="Q324" i="2"/>
  <c r="AJ324" i="2" s="1"/>
  <c r="AB324" i="2"/>
  <c r="AA324" i="2"/>
  <c r="AM323" i="2"/>
  <c r="M326" i="6" s="1"/>
  <c r="AL323" i="2"/>
  <c r="AK323" i="2"/>
  <c r="Q323" i="2"/>
  <c r="AJ323" i="2" s="1"/>
  <c r="AB323" i="2"/>
  <c r="AA323" i="2"/>
  <c r="AM322" i="2"/>
  <c r="AL322" i="2"/>
  <c r="AK322" i="2"/>
  <c r="Q322" i="2"/>
  <c r="AJ322" i="2" s="1"/>
  <c r="C325" i="6" s="1"/>
  <c r="AB322" i="2"/>
  <c r="AA322" i="2"/>
  <c r="AM321" i="2"/>
  <c r="AL321" i="2"/>
  <c r="AK321" i="2"/>
  <c r="Q321" i="2"/>
  <c r="AJ321" i="2" s="1"/>
  <c r="AB321" i="2"/>
  <c r="AA321" i="2"/>
  <c r="AM320" i="2"/>
  <c r="AL320" i="2"/>
  <c r="AK320" i="2"/>
  <c r="Q320" i="2"/>
  <c r="AJ320" i="2" s="1"/>
  <c r="AB320" i="2"/>
  <c r="AA320" i="2"/>
  <c r="AM319" i="2"/>
  <c r="M322" i="6" s="1"/>
  <c r="AL319" i="2"/>
  <c r="AK319" i="2"/>
  <c r="Q319" i="2"/>
  <c r="AJ319" i="2" s="1"/>
  <c r="AB319" i="2"/>
  <c r="AA319" i="2"/>
  <c r="AM318" i="2"/>
  <c r="AL318" i="2"/>
  <c r="AK318" i="2"/>
  <c r="Q318" i="2"/>
  <c r="AJ318" i="2" s="1"/>
  <c r="AB318" i="2"/>
  <c r="AA318" i="2"/>
  <c r="AM317" i="2"/>
  <c r="AL317" i="2"/>
  <c r="AK317" i="2"/>
  <c r="Q317" i="2"/>
  <c r="AJ317" i="2" s="1"/>
  <c r="AB317" i="2"/>
  <c r="AA317" i="2"/>
  <c r="AM316" i="2"/>
  <c r="AL316" i="2"/>
  <c r="B319" i="6" s="1"/>
  <c r="AK316" i="2"/>
  <c r="Q316" i="2"/>
  <c r="AJ316" i="2" s="1"/>
  <c r="AB316" i="2"/>
  <c r="AA316" i="2"/>
  <c r="AM315" i="2"/>
  <c r="M318" i="6" s="1"/>
  <c r="AL315" i="2"/>
  <c r="AK315" i="2"/>
  <c r="Q315" i="2"/>
  <c r="AJ315" i="2" s="1"/>
  <c r="AB315" i="2"/>
  <c r="AA315" i="2"/>
  <c r="AM314" i="2"/>
  <c r="AL314" i="2"/>
  <c r="AK314" i="2"/>
  <c r="Q314" i="2"/>
  <c r="AJ314" i="2" s="1"/>
  <c r="C317" i="6" s="1"/>
  <c r="AB314" i="2"/>
  <c r="AA314" i="2"/>
  <c r="AM313" i="2"/>
  <c r="AL313" i="2"/>
  <c r="AK313" i="2"/>
  <c r="Q313" i="2"/>
  <c r="AJ313" i="2" s="1"/>
  <c r="AB313" i="2"/>
  <c r="AA313" i="2"/>
  <c r="AM312" i="2"/>
  <c r="AL312" i="2"/>
  <c r="AK312" i="2"/>
  <c r="Q312" i="2"/>
  <c r="AJ312" i="2" s="1"/>
  <c r="AB312" i="2"/>
  <c r="AA312" i="2"/>
  <c r="AM311" i="2"/>
  <c r="AL311" i="2"/>
  <c r="AK311" i="2"/>
  <c r="Q311" i="2"/>
  <c r="AJ311" i="2" s="1"/>
  <c r="AB311" i="2"/>
  <c r="AA311" i="2"/>
  <c r="AM310" i="2"/>
  <c r="AL310" i="2"/>
  <c r="AK310" i="2"/>
  <c r="Q310" i="2"/>
  <c r="AJ310" i="2" s="1"/>
  <c r="AB310" i="2"/>
  <c r="AA310" i="2"/>
  <c r="AM309" i="2"/>
  <c r="AL309" i="2"/>
  <c r="AK309" i="2"/>
  <c r="Q309" i="2"/>
  <c r="AJ309" i="2" s="1"/>
  <c r="AB309" i="2"/>
  <c r="AA309" i="2"/>
  <c r="AM308" i="2"/>
  <c r="AL308" i="2"/>
  <c r="B311" i="6" s="1"/>
  <c r="AK308" i="2"/>
  <c r="Q308" i="2"/>
  <c r="AJ308" i="2" s="1"/>
  <c r="AB308" i="2"/>
  <c r="AA308" i="2"/>
  <c r="E311" i="6" s="1"/>
  <c r="AM307" i="2"/>
  <c r="AL307" i="2"/>
  <c r="AK307" i="2"/>
  <c r="Q307" i="2"/>
  <c r="AJ307" i="2" s="1"/>
  <c r="AB307" i="2"/>
  <c r="AA307" i="2"/>
  <c r="AM306" i="2"/>
  <c r="AL306" i="2"/>
  <c r="AK306" i="2"/>
  <c r="Q306" i="2"/>
  <c r="AJ306" i="2" s="1"/>
  <c r="C309" i="6" s="1"/>
  <c r="AB306" i="2"/>
  <c r="AA306" i="2"/>
  <c r="AM305" i="2"/>
  <c r="AL305" i="2"/>
  <c r="AK305" i="2"/>
  <c r="Q305" i="2"/>
  <c r="AJ305" i="2" s="1"/>
  <c r="AB305" i="2"/>
  <c r="AA305" i="2"/>
  <c r="AM304" i="2"/>
  <c r="AL304" i="2"/>
  <c r="AK304" i="2"/>
  <c r="Q304" i="2"/>
  <c r="AJ304" i="2" s="1"/>
  <c r="AB304" i="2"/>
  <c r="AA304" i="2"/>
  <c r="AM303" i="2"/>
  <c r="AL303" i="2"/>
  <c r="AK303" i="2"/>
  <c r="Q303" i="2"/>
  <c r="AJ303" i="2" s="1"/>
  <c r="AB303" i="2"/>
  <c r="AA303" i="2"/>
  <c r="AM302" i="2"/>
  <c r="AL302" i="2"/>
  <c r="AK302" i="2"/>
  <c r="Q302" i="2"/>
  <c r="AJ302" i="2" s="1"/>
  <c r="AB302" i="2"/>
  <c r="AA302" i="2"/>
  <c r="AM301" i="2"/>
  <c r="AL301" i="2"/>
  <c r="AK301" i="2"/>
  <c r="Q301" i="2"/>
  <c r="AJ301" i="2" s="1"/>
  <c r="AB301" i="2"/>
  <c r="AA301" i="2"/>
  <c r="AM300" i="2"/>
  <c r="AL300" i="2"/>
  <c r="B303" i="6" s="1"/>
  <c r="AK300" i="2"/>
  <c r="Q300" i="2"/>
  <c r="AJ300" i="2" s="1"/>
  <c r="AB300" i="2"/>
  <c r="AA300" i="2"/>
  <c r="AM299" i="2"/>
  <c r="AL299" i="2"/>
  <c r="AK299" i="2"/>
  <c r="Q299" i="2"/>
  <c r="AJ299" i="2" s="1"/>
  <c r="AB299" i="2"/>
  <c r="AA299" i="2"/>
  <c r="AM298" i="2"/>
  <c r="AL298" i="2"/>
  <c r="AK298" i="2"/>
  <c r="Q298" i="2"/>
  <c r="AJ298" i="2" s="1"/>
  <c r="AB298" i="2"/>
  <c r="AA298" i="2"/>
  <c r="AM297" i="2"/>
  <c r="AL297" i="2"/>
  <c r="AK297" i="2"/>
  <c r="Q297" i="2"/>
  <c r="AJ297" i="2" s="1"/>
  <c r="AB297" i="2"/>
  <c r="AA297" i="2"/>
  <c r="AM296" i="2"/>
  <c r="AL296" i="2"/>
  <c r="AK296" i="2"/>
  <c r="Q296" i="2"/>
  <c r="AJ296" i="2" s="1"/>
  <c r="AB296" i="2"/>
  <c r="AA296" i="2"/>
  <c r="AM295" i="2"/>
  <c r="AL295" i="2"/>
  <c r="AK295" i="2"/>
  <c r="Q295" i="2"/>
  <c r="AJ295" i="2" s="1"/>
  <c r="AB295" i="2"/>
  <c r="AA295" i="2"/>
  <c r="AM294" i="2"/>
  <c r="AL294" i="2"/>
  <c r="AK294" i="2"/>
  <c r="Q294" i="2"/>
  <c r="AJ294" i="2" s="1"/>
  <c r="AB294" i="2"/>
  <c r="AA294" i="2"/>
  <c r="AM293" i="2"/>
  <c r="AL293" i="2"/>
  <c r="AK293" i="2"/>
  <c r="Q293" i="2"/>
  <c r="AJ293" i="2" s="1"/>
  <c r="AB293" i="2"/>
  <c r="AA293" i="2"/>
  <c r="AM292" i="2"/>
  <c r="AL292" i="2"/>
  <c r="B295" i="6" s="1"/>
  <c r="AK292" i="2"/>
  <c r="Q292" i="2"/>
  <c r="AJ292" i="2" s="1"/>
  <c r="AB292" i="2"/>
  <c r="AA292" i="2"/>
  <c r="E295" i="6" s="1"/>
  <c r="AM291" i="2"/>
  <c r="AL291" i="2"/>
  <c r="AK291" i="2"/>
  <c r="Q291" i="2"/>
  <c r="AJ291" i="2" s="1"/>
  <c r="AB291" i="2"/>
  <c r="AA291" i="2"/>
  <c r="AM290" i="2"/>
  <c r="AL290" i="2"/>
  <c r="AK290" i="2"/>
  <c r="Q290" i="2"/>
  <c r="AJ290" i="2" s="1"/>
  <c r="C293" i="6" s="1"/>
  <c r="AB290" i="2"/>
  <c r="AA290" i="2"/>
  <c r="AM289" i="2"/>
  <c r="AL289" i="2"/>
  <c r="AK289" i="2"/>
  <c r="Q289" i="2"/>
  <c r="AJ289" i="2" s="1"/>
  <c r="AB289" i="2"/>
  <c r="AA289" i="2"/>
  <c r="AM288" i="2"/>
  <c r="AL288" i="2"/>
  <c r="AK288" i="2"/>
  <c r="Q288" i="2"/>
  <c r="AJ288" i="2" s="1"/>
  <c r="AB288" i="2"/>
  <c r="AA288" i="2"/>
  <c r="AM287" i="2"/>
  <c r="AL287" i="2"/>
  <c r="AK287" i="2"/>
  <c r="Q287" i="2"/>
  <c r="AJ287" i="2" s="1"/>
  <c r="AB287" i="2"/>
  <c r="AA287" i="2"/>
  <c r="AM286" i="2"/>
  <c r="AL286" i="2"/>
  <c r="AK286" i="2"/>
  <c r="Q286" i="2"/>
  <c r="AJ286" i="2" s="1"/>
  <c r="AB286" i="2"/>
  <c r="AA286" i="2"/>
  <c r="AM285" i="2"/>
  <c r="AL285" i="2"/>
  <c r="AK285" i="2"/>
  <c r="Q285" i="2"/>
  <c r="AJ285" i="2" s="1"/>
  <c r="AB285" i="2"/>
  <c r="AA285" i="2"/>
  <c r="AM284" i="2"/>
  <c r="AL284" i="2"/>
  <c r="B287" i="6" s="1"/>
  <c r="AK284" i="2"/>
  <c r="Q284" i="2"/>
  <c r="AJ284" i="2" s="1"/>
  <c r="AB284" i="2"/>
  <c r="AA284" i="2"/>
  <c r="E287" i="6" s="1"/>
  <c r="AM283" i="2"/>
  <c r="AL283" i="2"/>
  <c r="AK283" i="2"/>
  <c r="Q283" i="2"/>
  <c r="AJ283" i="2" s="1"/>
  <c r="AB283" i="2"/>
  <c r="AA283" i="2"/>
  <c r="AM282" i="2"/>
  <c r="AL282" i="2"/>
  <c r="AK282" i="2"/>
  <c r="Q282" i="2"/>
  <c r="AJ282" i="2" s="1"/>
  <c r="C285" i="6" s="1"/>
  <c r="AB282" i="2"/>
  <c r="AA282" i="2"/>
  <c r="AM281" i="2"/>
  <c r="AL281" i="2"/>
  <c r="AK281" i="2"/>
  <c r="Q281" i="2"/>
  <c r="AJ281" i="2" s="1"/>
  <c r="AB281" i="2"/>
  <c r="AA281" i="2"/>
  <c r="AM280" i="2"/>
  <c r="AL280" i="2"/>
  <c r="AK280" i="2"/>
  <c r="Q280" i="2"/>
  <c r="AJ280" i="2" s="1"/>
  <c r="AB280" i="2"/>
  <c r="AA280" i="2"/>
  <c r="AM279" i="2"/>
  <c r="AL279" i="2"/>
  <c r="AK279" i="2"/>
  <c r="Q279" i="2"/>
  <c r="AJ279" i="2" s="1"/>
  <c r="AB279" i="2"/>
  <c r="AA279" i="2"/>
  <c r="AM278" i="2"/>
  <c r="AL278" i="2"/>
  <c r="AK278" i="2"/>
  <c r="Q278" i="2"/>
  <c r="AJ278" i="2" s="1"/>
  <c r="AB278" i="2"/>
  <c r="AA278" i="2"/>
  <c r="AM277" i="2"/>
  <c r="AL277" i="2"/>
  <c r="AK277" i="2"/>
  <c r="Q277" i="2"/>
  <c r="AJ277" i="2" s="1"/>
  <c r="AB277" i="2"/>
  <c r="AA277" i="2"/>
  <c r="AM276" i="2"/>
  <c r="AL276" i="2"/>
  <c r="B279" i="6" s="1"/>
  <c r="AK276" i="2"/>
  <c r="Q276" i="2"/>
  <c r="AJ276" i="2" s="1"/>
  <c r="AB276" i="2"/>
  <c r="AA276" i="2"/>
  <c r="E279" i="6" s="1"/>
  <c r="AM275" i="2"/>
  <c r="AL275" i="2"/>
  <c r="AK275" i="2"/>
  <c r="Q275" i="2"/>
  <c r="AJ275" i="2" s="1"/>
  <c r="AB275" i="2"/>
  <c r="AA275" i="2"/>
  <c r="AM274" i="2"/>
  <c r="AL274" i="2"/>
  <c r="AK274" i="2"/>
  <c r="Q274" i="2"/>
  <c r="AJ274" i="2" s="1"/>
  <c r="C277" i="6" s="1"/>
  <c r="AB274" i="2"/>
  <c r="AA274" i="2"/>
  <c r="AM273" i="2"/>
  <c r="AL273" i="2"/>
  <c r="AK273" i="2"/>
  <c r="Q273" i="2"/>
  <c r="AJ273" i="2" s="1"/>
  <c r="AB273" i="2"/>
  <c r="AA273" i="2"/>
  <c r="AM272" i="2"/>
  <c r="AL272" i="2"/>
  <c r="AK272" i="2"/>
  <c r="Q272" i="2"/>
  <c r="AJ272" i="2" s="1"/>
  <c r="AB272" i="2"/>
  <c r="AA272" i="2"/>
  <c r="AM271" i="2"/>
  <c r="AL271" i="2"/>
  <c r="AK271" i="2"/>
  <c r="Q271" i="2"/>
  <c r="AJ271" i="2" s="1"/>
  <c r="AB271" i="2"/>
  <c r="AA271" i="2"/>
  <c r="AM270" i="2"/>
  <c r="AL270" i="2"/>
  <c r="AK270" i="2"/>
  <c r="Q270" i="2"/>
  <c r="AJ270" i="2" s="1"/>
  <c r="AB270" i="2"/>
  <c r="AA270" i="2"/>
  <c r="AM269" i="2"/>
  <c r="AL269" i="2"/>
  <c r="AK269" i="2"/>
  <c r="Q269" i="2"/>
  <c r="AJ269" i="2" s="1"/>
  <c r="AB269" i="2"/>
  <c r="AA269" i="2"/>
  <c r="AM268" i="2"/>
  <c r="AL268" i="2"/>
  <c r="B271" i="6" s="1"/>
  <c r="AK268" i="2"/>
  <c r="Q268" i="2"/>
  <c r="AJ268" i="2" s="1"/>
  <c r="AB268" i="2"/>
  <c r="AA268" i="2"/>
  <c r="E271" i="6" s="1"/>
  <c r="AM267" i="2"/>
  <c r="AL267" i="2"/>
  <c r="AK267" i="2"/>
  <c r="Q267" i="2"/>
  <c r="AJ267" i="2" s="1"/>
  <c r="AB267" i="2"/>
  <c r="AA267" i="2"/>
  <c r="AM266" i="2"/>
  <c r="AL266" i="2"/>
  <c r="AK266" i="2"/>
  <c r="Q266" i="2"/>
  <c r="AJ266" i="2" s="1"/>
  <c r="C269" i="6" s="1"/>
  <c r="AB266" i="2"/>
  <c r="AA266" i="2"/>
  <c r="AM265" i="2"/>
  <c r="AL265" i="2"/>
  <c r="AK265" i="2"/>
  <c r="Q265" i="2"/>
  <c r="AJ265" i="2" s="1"/>
  <c r="AB265" i="2"/>
  <c r="AA265" i="2"/>
  <c r="AM264" i="2"/>
  <c r="AL264" i="2"/>
  <c r="AK264" i="2"/>
  <c r="Q264" i="2"/>
  <c r="AJ264" i="2" s="1"/>
  <c r="AB264" i="2"/>
  <c r="AA264" i="2"/>
  <c r="AM263" i="2"/>
  <c r="AL263" i="2"/>
  <c r="AK263" i="2"/>
  <c r="Q263" i="2"/>
  <c r="AJ263" i="2" s="1"/>
  <c r="AB263" i="2"/>
  <c r="AA263" i="2"/>
  <c r="AM262" i="2"/>
  <c r="AL262" i="2"/>
  <c r="AK262" i="2"/>
  <c r="Q262" i="2"/>
  <c r="AJ262" i="2" s="1"/>
  <c r="AB262" i="2"/>
  <c r="AA262" i="2"/>
  <c r="AM261" i="2"/>
  <c r="AL261" i="2"/>
  <c r="AK261" i="2"/>
  <c r="Q261" i="2"/>
  <c r="AJ261" i="2" s="1"/>
  <c r="AB261" i="2"/>
  <c r="AA261" i="2"/>
  <c r="AM260" i="2"/>
  <c r="AL260" i="2"/>
  <c r="B263" i="6" s="1"/>
  <c r="AK260" i="2"/>
  <c r="Q260" i="2"/>
  <c r="AJ260" i="2" s="1"/>
  <c r="AB260" i="2"/>
  <c r="AA260" i="2"/>
  <c r="E263" i="6" s="1"/>
  <c r="AM259" i="2"/>
  <c r="AL259" i="2"/>
  <c r="AK259" i="2"/>
  <c r="Q259" i="2"/>
  <c r="AJ259" i="2" s="1"/>
  <c r="AB259" i="2"/>
  <c r="AA259" i="2"/>
  <c r="AM258" i="2"/>
  <c r="AL258" i="2"/>
  <c r="AK258" i="2"/>
  <c r="Q258" i="2"/>
  <c r="AJ258" i="2" s="1"/>
  <c r="C261" i="6" s="1"/>
  <c r="AB258" i="2"/>
  <c r="AA258" i="2"/>
  <c r="AM257" i="2"/>
  <c r="AL257" i="2"/>
  <c r="AK257" i="2"/>
  <c r="Q257" i="2"/>
  <c r="AJ257" i="2" s="1"/>
  <c r="AB257" i="2"/>
  <c r="AA257" i="2"/>
  <c r="AM256" i="2"/>
  <c r="AL256" i="2"/>
  <c r="AK256" i="2"/>
  <c r="Q256" i="2"/>
  <c r="AJ256" i="2" s="1"/>
  <c r="AB256" i="2"/>
  <c r="AA256" i="2"/>
  <c r="AM255" i="2"/>
  <c r="AL255" i="2"/>
  <c r="AK255" i="2"/>
  <c r="Q255" i="2"/>
  <c r="AJ255" i="2" s="1"/>
  <c r="AB255" i="2"/>
  <c r="AA255" i="2"/>
  <c r="AM254" i="2"/>
  <c r="AL254" i="2"/>
  <c r="AK254" i="2"/>
  <c r="Q254" i="2"/>
  <c r="AJ254" i="2" s="1"/>
  <c r="AB254" i="2"/>
  <c r="AA254" i="2"/>
  <c r="AM253" i="2"/>
  <c r="AL253" i="2"/>
  <c r="AK253" i="2"/>
  <c r="Q253" i="2"/>
  <c r="AJ253" i="2" s="1"/>
  <c r="AB253" i="2"/>
  <c r="AA253" i="2"/>
  <c r="AM252" i="2"/>
  <c r="AL252" i="2"/>
  <c r="B255" i="6" s="1"/>
  <c r="AK252" i="2"/>
  <c r="Q252" i="2"/>
  <c r="AJ252" i="2" s="1"/>
  <c r="AB252" i="2"/>
  <c r="AA252" i="2"/>
  <c r="E255" i="6" s="1"/>
  <c r="AM251" i="2"/>
  <c r="AL251" i="2"/>
  <c r="AK251" i="2"/>
  <c r="Q251" i="2"/>
  <c r="AJ251" i="2" s="1"/>
  <c r="AB251" i="2"/>
  <c r="AA251" i="2"/>
  <c r="AM250" i="2"/>
  <c r="AL250" i="2"/>
  <c r="AK250" i="2"/>
  <c r="Q250" i="2"/>
  <c r="AJ250" i="2" s="1"/>
  <c r="C253" i="6" s="1"/>
  <c r="AB250" i="2"/>
  <c r="AA250" i="2"/>
  <c r="AM249" i="2"/>
  <c r="AL249" i="2"/>
  <c r="AK249" i="2"/>
  <c r="Q249" i="2"/>
  <c r="AJ249" i="2" s="1"/>
  <c r="AB249" i="2"/>
  <c r="AA249" i="2"/>
  <c r="AM248" i="2"/>
  <c r="AL248" i="2"/>
  <c r="AK248" i="2"/>
  <c r="Q248" i="2"/>
  <c r="AJ248" i="2" s="1"/>
  <c r="AB248" i="2"/>
  <c r="AA248" i="2"/>
  <c r="AM247" i="2"/>
  <c r="AL247" i="2"/>
  <c r="AK247" i="2"/>
  <c r="Q247" i="2"/>
  <c r="AJ247" i="2" s="1"/>
  <c r="AB247" i="2"/>
  <c r="AA247" i="2"/>
  <c r="AM246" i="2"/>
  <c r="AL246" i="2"/>
  <c r="AK246" i="2"/>
  <c r="Q246" i="2"/>
  <c r="AJ246" i="2" s="1"/>
  <c r="AB246" i="2"/>
  <c r="AA246" i="2"/>
  <c r="AM245" i="2"/>
  <c r="AL245" i="2"/>
  <c r="AK245" i="2"/>
  <c r="Q245" i="2"/>
  <c r="AJ245" i="2" s="1"/>
  <c r="AB245" i="2"/>
  <c r="AA245" i="2"/>
  <c r="AM244" i="2"/>
  <c r="AL244" i="2"/>
  <c r="B247" i="6" s="1"/>
  <c r="AK244" i="2"/>
  <c r="Q244" i="2"/>
  <c r="AJ244" i="2" s="1"/>
  <c r="AB244" i="2"/>
  <c r="AA244" i="2"/>
  <c r="E247" i="6" s="1"/>
  <c r="AM243" i="2"/>
  <c r="AL243" i="2"/>
  <c r="AK243" i="2"/>
  <c r="Q243" i="2"/>
  <c r="AJ243" i="2" s="1"/>
  <c r="AB243" i="2"/>
  <c r="AA243" i="2"/>
  <c r="AM242" i="2"/>
  <c r="AL242" i="2"/>
  <c r="AK242" i="2"/>
  <c r="Q242" i="2"/>
  <c r="AJ242" i="2" s="1"/>
  <c r="C245" i="6" s="1"/>
  <c r="AB242" i="2"/>
  <c r="AA242" i="2"/>
  <c r="AM241" i="2"/>
  <c r="AL241" i="2"/>
  <c r="AK241" i="2"/>
  <c r="Q241" i="2"/>
  <c r="AJ241" i="2" s="1"/>
  <c r="AB241" i="2"/>
  <c r="AA241" i="2"/>
  <c r="AM240" i="2"/>
  <c r="AL240" i="2"/>
  <c r="AK240" i="2"/>
  <c r="Q240" i="2"/>
  <c r="AJ240" i="2" s="1"/>
  <c r="AB240" i="2"/>
  <c r="AA240" i="2"/>
  <c r="AM239" i="2"/>
  <c r="AL239" i="2"/>
  <c r="AK239" i="2"/>
  <c r="Q239" i="2"/>
  <c r="AJ239" i="2" s="1"/>
  <c r="AB239" i="2"/>
  <c r="AA239" i="2"/>
  <c r="AM238" i="2"/>
  <c r="AL238" i="2"/>
  <c r="AK238" i="2"/>
  <c r="Q238" i="2"/>
  <c r="AJ238" i="2" s="1"/>
  <c r="AB238" i="2"/>
  <c r="AA238" i="2"/>
  <c r="AM237" i="2"/>
  <c r="AL237" i="2"/>
  <c r="AK237" i="2"/>
  <c r="Q237" i="2"/>
  <c r="AJ237" i="2" s="1"/>
  <c r="AB237" i="2"/>
  <c r="AA237" i="2"/>
  <c r="AM236" i="2"/>
  <c r="AL236" i="2"/>
  <c r="B239" i="6" s="1"/>
  <c r="AK236" i="2"/>
  <c r="Q236" i="2"/>
  <c r="AJ236" i="2" s="1"/>
  <c r="AB236" i="2"/>
  <c r="AA236" i="2"/>
  <c r="E239" i="6" s="1"/>
  <c r="AM235" i="2"/>
  <c r="AL235" i="2"/>
  <c r="AK235" i="2"/>
  <c r="Q235" i="2"/>
  <c r="AJ235" i="2" s="1"/>
  <c r="AB235" i="2"/>
  <c r="AA235" i="2"/>
  <c r="AM234" i="2"/>
  <c r="AL234" i="2"/>
  <c r="AK234" i="2"/>
  <c r="Q234" i="2"/>
  <c r="AJ234" i="2" s="1"/>
  <c r="C237" i="6" s="1"/>
  <c r="AB234" i="2"/>
  <c r="AA234" i="2"/>
  <c r="AM233" i="2"/>
  <c r="AL233" i="2"/>
  <c r="AK233" i="2"/>
  <c r="Q233" i="2"/>
  <c r="AJ233" i="2" s="1"/>
  <c r="AB233" i="2"/>
  <c r="AA233" i="2"/>
  <c r="AM232" i="2"/>
  <c r="AL232" i="2"/>
  <c r="AK232" i="2"/>
  <c r="Q232" i="2"/>
  <c r="AJ232" i="2" s="1"/>
  <c r="AB232" i="2"/>
  <c r="AA232" i="2"/>
  <c r="AM231" i="2"/>
  <c r="AL231" i="2"/>
  <c r="AK231" i="2"/>
  <c r="Q231" i="2"/>
  <c r="AJ231" i="2" s="1"/>
  <c r="AB231" i="2"/>
  <c r="AA231" i="2"/>
  <c r="AM230" i="2"/>
  <c r="AL230" i="2"/>
  <c r="AK230" i="2"/>
  <c r="Q230" i="2"/>
  <c r="AJ230" i="2" s="1"/>
  <c r="AB230" i="2"/>
  <c r="AA230" i="2"/>
  <c r="AM229" i="2"/>
  <c r="AL229" i="2"/>
  <c r="B232" i="6" s="1"/>
  <c r="AK229" i="2"/>
  <c r="Q229" i="2"/>
  <c r="AJ229" i="2" s="1"/>
  <c r="C232" i="6" s="1"/>
  <c r="AB229" i="2"/>
  <c r="AA229" i="2"/>
  <c r="AM228" i="2"/>
  <c r="AL228" i="2"/>
  <c r="AK228" i="2"/>
  <c r="Q228" i="2"/>
  <c r="AJ228" i="2" s="1"/>
  <c r="AB228" i="2"/>
  <c r="AA228" i="2"/>
  <c r="AM227" i="2"/>
  <c r="M230" i="6" s="1"/>
  <c r="AL227" i="2"/>
  <c r="AK227" i="2"/>
  <c r="Q227" i="2"/>
  <c r="AJ227" i="2" s="1"/>
  <c r="AB227" i="2"/>
  <c r="AA227" i="2"/>
  <c r="AM226" i="2"/>
  <c r="AL226" i="2"/>
  <c r="AK226" i="2"/>
  <c r="Q226" i="2"/>
  <c r="AJ226" i="2" s="1"/>
  <c r="AB226" i="2"/>
  <c r="AA226" i="2"/>
  <c r="AM225" i="2"/>
  <c r="AL225" i="2"/>
  <c r="AK225" i="2"/>
  <c r="Q225" i="2"/>
  <c r="AJ225" i="2" s="1"/>
  <c r="AB225" i="2"/>
  <c r="AA225" i="2"/>
  <c r="AM224" i="2"/>
  <c r="AL224" i="2"/>
  <c r="AK224" i="2"/>
  <c r="Q224" i="2"/>
  <c r="AJ224" i="2" s="1"/>
  <c r="AB224" i="2"/>
  <c r="AA224" i="2"/>
  <c r="AM223" i="2"/>
  <c r="AL223" i="2"/>
  <c r="AK223" i="2"/>
  <c r="Q223" i="2"/>
  <c r="AJ223" i="2" s="1"/>
  <c r="AB223" i="2"/>
  <c r="AA223" i="2"/>
  <c r="AM222" i="2"/>
  <c r="AL222" i="2"/>
  <c r="AK222" i="2"/>
  <c r="Q222" i="2"/>
  <c r="AJ222" i="2" s="1"/>
  <c r="AB222" i="2"/>
  <c r="AA222" i="2"/>
  <c r="AM221" i="2"/>
  <c r="AL221" i="2"/>
  <c r="AK221" i="2"/>
  <c r="Q221" i="2"/>
  <c r="AJ221" i="2" s="1"/>
  <c r="C224" i="6" s="1"/>
  <c r="AB221" i="2"/>
  <c r="AA221" i="2"/>
  <c r="AM220" i="2"/>
  <c r="AL220" i="2"/>
  <c r="AK220" i="2"/>
  <c r="Q220" i="2"/>
  <c r="AJ220" i="2" s="1"/>
  <c r="AB220" i="2"/>
  <c r="AA220" i="2"/>
  <c r="AM219" i="2"/>
  <c r="M222" i="6" s="1"/>
  <c r="AL219" i="2"/>
  <c r="AK219" i="2"/>
  <c r="Q219" i="2"/>
  <c r="AJ219" i="2" s="1"/>
  <c r="AB219" i="2"/>
  <c r="AA219" i="2"/>
  <c r="AM218" i="2"/>
  <c r="AL218" i="2"/>
  <c r="AK218" i="2"/>
  <c r="Q218" i="2"/>
  <c r="AJ218" i="2" s="1"/>
  <c r="AB218" i="2"/>
  <c r="AA218" i="2"/>
  <c r="AM217" i="2"/>
  <c r="AL217" i="2"/>
  <c r="AK217" i="2"/>
  <c r="Q217" i="2"/>
  <c r="AJ217" i="2" s="1"/>
  <c r="AB217" i="2"/>
  <c r="AA217" i="2"/>
  <c r="AM216" i="2"/>
  <c r="AL216" i="2"/>
  <c r="AK216" i="2"/>
  <c r="Q216" i="2"/>
  <c r="AJ216" i="2" s="1"/>
  <c r="AB216" i="2"/>
  <c r="AA216" i="2"/>
  <c r="AM215" i="2"/>
  <c r="AL215" i="2"/>
  <c r="AK215" i="2"/>
  <c r="Q215" i="2"/>
  <c r="AJ215" i="2" s="1"/>
  <c r="AB215" i="2"/>
  <c r="AA215" i="2"/>
  <c r="AM214" i="2"/>
  <c r="AL214" i="2"/>
  <c r="AK214" i="2"/>
  <c r="Q214" i="2"/>
  <c r="AJ214" i="2" s="1"/>
  <c r="AB214" i="2"/>
  <c r="AA214" i="2"/>
  <c r="AM213" i="2"/>
  <c r="AL213" i="2"/>
  <c r="B216" i="6" s="1"/>
  <c r="P216" i="6" s="1"/>
  <c r="S216" i="6" s="1"/>
  <c r="AK213" i="2"/>
  <c r="Q213" i="2"/>
  <c r="AJ213" i="2" s="1"/>
  <c r="C216" i="6" s="1"/>
  <c r="AB213" i="2"/>
  <c r="AA213" i="2"/>
  <c r="AM212" i="2"/>
  <c r="AL212" i="2"/>
  <c r="AK212" i="2"/>
  <c r="Q212" i="2"/>
  <c r="AJ212" i="2" s="1"/>
  <c r="AB212" i="2"/>
  <c r="AA212" i="2"/>
  <c r="AM211" i="2"/>
  <c r="M214" i="6" s="1"/>
  <c r="AL211" i="2"/>
  <c r="AK211" i="2"/>
  <c r="Q211" i="2"/>
  <c r="AJ211" i="2" s="1"/>
  <c r="AB211" i="2"/>
  <c r="AA211" i="2"/>
  <c r="AM210" i="2"/>
  <c r="AL210" i="2"/>
  <c r="AK210" i="2"/>
  <c r="Q210" i="2"/>
  <c r="AJ210" i="2" s="1"/>
  <c r="AB210" i="2"/>
  <c r="AA210" i="2"/>
  <c r="AM209" i="2"/>
  <c r="AL209" i="2"/>
  <c r="AK209" i="2"/>
  <c r="Q209" i="2"/>
  <c r="AJ209" i="2" s="1"/>
  <c r="AB209" i="2"/>
  <c r="AA209" i="2"/>
  <c r="AM208" i="2"/>
  <c r="AL208" i="2"/>
  <c r="AK208" i="2"/>
  <c r="Q208" i="2"/>
  <c r="AJ208" i="2" s="1"/>
  <c r="AB208" i="2"/>
  <c r="AA208" i="2"/>
  <c r="AM207" i="2"/>
  <c r="AL207" i="2"/>
  <c r="AK207" i="2"/>
  <c r="Q207" i="2"/>
  <c r="AJ207" i="2" s="1"/>
  <c r="AB207" i="2"/>
  <c r="AA207" i="2"/>
  <c r="AM206" i="2"/>
  <c r="AL206" i="2"/>
  <c r="AK206" i="2"/>
  <c r="Q206" i="2"/>
  <c r="AJ206" i="2" s="1"/>
  <c r="AB206" i="2"/>
  <c r="AA206" i="2"/>
  <c r="AM205" i="2"/>
  <c r="AL205" i="2"/>
  <c r="B208" i="6" s="1"/>
  <c r="AK205" i="2"/>
  <c r="Q205" i="2"/>
  <c r="AJ205" i="2" s="1"/>
  <c r="C208" i="6" s="1"/>
  <c r="AB205" i="2"/>
  <c r="AA205" i="2"/>
  <c r="AM204" i="2"/>
  <c r="AL204" i="2"/>
  <c r="AK204" i="2"/>
  <c r="Q204" i="2"/>
  <c r="AJ204" i="2" s="1"/>
  <c r="AB204" i="2"/>
  <c r="AA204" i="2"/>
  <c r="AM203" i="2"/>
  <c r="M206" i="6" s="1"/>
  <c r="AL203" i="2"/>
  <c r="AK203" i="2"/>
  <c r="Q203" i="2"/>
  <c r="AJ203" i="2" s="1"/>
  <c r="AB203" i="2"/>
  <c r="AA203" i="2"/>
  <c r="AM202" i="2"/>
  <c r="AL202" i="2"/>
  <c r="AK202" i="2"/>
  <c r="Q202" i="2"/>
  <c r="AJ202" i="2" s="1"/>
  <c r="AB202" i="2"/>
  <c r="AA202" i="2"/>
  <c r="AM201" i="2"/>
  <c r="AL201" i="2"/>
  <c r="AK201" i="2"/>
  <c r="Q201" i="2"/>
  <c r="AJ201" i="2" s="1"/>
  <c r="AB201" i="2"/>
  <c r="AA201" i="2"/>
  <c r="AM200" i="2"/>
  <c r="AL200" i="2"/>
  <c r="AK200" i="2"/>
  <c r="Q200" i="2"/>
  <c r="AJ200" i="2" s="1"/>
  <c r="AB200" i="2"/>
  <c r="AA200" i="2"/>
  <c r="AM199" i="2"/>
  <c r="AL199" i="2"/>
  <c r="AK199" i="2"/>
  <c r="Q199" i="2"/>
  <c r="AJ199" i="2" s="1"/>
  <c r="AB199" i="2"/>
  <c r="AA199" i="2"/>
  <c r="AM198" i="2"/>
  <c r="AL198" i="2"/>
  <c r="AK198" i="2"/>
  <c r="Q198" i="2"/>
  <c r="AJ198" i="2" s="1"/>
  <c r="AB198" i="2"/>
  <c r="AA198" i="2"/>
  <c r="AM197" i="2"/>
  <c r="AL197" i="2"/>
  <c r="B200" i="6" s="1"/>
  <c r="P200" i="6" s="1"/>
  <c r="S200" i="6" s="1"/>
  <c r="AK197" i="2"/>
  <c r="Q197" i="2"/>
  <c r="AJ197" i="2" s="1"/>
  <c r="C200" i="6" s="1"/>
  <c r="AB197" i="2"/>
  <c r="AA197" i="2"/>
  <c r="AM196" i="2"/>
  <c r="AL196" i="2"/>
  <c r="AK196" i="2"/>
  <c r="Q196" i="2"/>
  <c r="AJ196" i="2" s="1"/>
  <c r="AB196" i="2"/>
  <c r="AA196" i="2"/>
  <c r="AM195" i="2"/>
  <c r="M198" i="6" s="1"/>
  <c r="AL195" i="2"/>
  <c r="AK195" i="2"/>
  <c r="Q195" i="2"/>
  <c r="AJ195" i="2" s="1"/>
  <c r="AB195" i="2"/>
  <c r="AA195" i="2"/>
  <c r="AM194" i="2"/>
  <c r="AL194" i="2"/>
  <c r="AK194" i="2"/>
  <c r="Q194" i="2"/>
  <c r="AJ194" i="2" s="1"/>
  <c r="AB194" i="2"/>
  <c r="AA194" i="2"/>
  <c r="AM193" i="2"/>
  <c r="AL193" i="2"/>
  <c r="AK193" i="2"/>
  <c r="Q193" i="2"/>
  <c r="AJ193" i="2" s="1"/>
  <c r="AB193" i="2"/>
  <c r="AA193" i="2"/>
  <c r="AM192" i="2"/>
  <c r="AL192" i="2"/>
  <c r="AK192" i="2"/>
  <c r="Q192" i="2"/>
  <c r="AJ192" i="2" s="1"/>
  <c r="AB192" i="2"/>
  <c r="AA192" i="2"/>
  <c r="AM191" i="2"/>
  <c r="AL191" i="2"/>
  <c r="AK191" i="2"/>
  <c r="Q191" i="2"/>
  <c r="AJ191" i="2" s="1"/>
  <c r="AB191" i="2"/>
  <c r="AA191" i="2"/>
  <c r="AM190" i="2"/>
  <c r="AL190" i="2"/>
  <c r="AK190" i="2"/>
  <c r="Q190" i="2"/>
  <c r="AJ190" i="2" s="1"/>
  <c r="AB190" i="2"/>
  <c r="AA190" i="2"/>
  <c r="AM189" i="2"/>
  <c r="AL189" i="2"/>
  <c r="B192" i="6" s="1"/>
  <c r="AK189" i="2"/>
  <c r="Q189" i="2"/>
  <c r="AJ189" i="2" s="1"/>
  <c r="C192" i="6" s="1"/>
  <c r="AB189" i="2"/>
  <c r="AA189" i="2"/>
  <c r="AM188" i="2"/>
  <c r="AL188" i="2"/>
  <c r="AK188" i="2"/>
  <c r="Q188" i="2"/>
  <c r="AJ188" i="2" s="1"/>
  <c r="AB188" i="2"/>
  <c r="AA188" i="2"/>
  <c r="AM187" i="2"/>
  <c r="AL187" i="2"/>
  <c r="AK187" i="2"/>
  <c r="Q187" i="2"/>
  <c r="AJ187" i="2" s="1"/>
  <c r="AB187" i="2"/>
  <c r="AA187" i="2"/>
  <c r="AM186" i="2"/>
  <c r="AL186" i="2"/>
  <c r="AK186" i="2"/>
  <c r="Q186" i="2"/>
  <c r="AJ186" i="2" s="1"/>
  <c r="C189" i="6" s="1"/>
  <c r="AB186" i="2"/>
  <c r="AA186" i="2"/>
  <c r="AM185" i="2"/>
  <c r="AL185" i="2"/>
  <c r="AK185" i="2"/>
  <c r="Q185" i="2"/>
  <c r="AJ185" i="2" s="1"/>
  <c r="AB185" i="2"/>
  <c r="AA185" i="2"/>
  <c r="AM184" i="2"/>
  <c r="AL184" i="2"/>
  <c r="AK184" i="2"/>
  <c r="Q184" i="2"/>
  <c r="AJ184" i="2" s="1"/>
  <c r="C187" i="6" s="1"/>
  <c r="AB184" i="2"/>
  <c r="AA184" i="2"/>
  <c r="AM183" i="2"/>
  <c r="AL183" i="2"/>
  <c r="AK183" i="2"/>
  <c r="Q183" i="2"/>
  <c r="AJ183" i="2" s="1"/>
  <c r="AB183" i="2"/>
  <c r="AA183" i="2"/>
  <c r="AM182" i="2"/>
  <c r="AL182" i="2"/>
  <c r="AK182" i="2"/>
  <c r="Q182" i="2"/>
  <c r="AJ182" i="2" s="1"/>
  <c r="AB182" i="2"/>
  <c r="AA182" i="2"/>
  <c r="AM181" i="2"/>
  <c r="AL181" i="2"/>
  <c r="B184" i="6" s="1"/>
  <c r="AK181" i="2"/>
  <c r="Q181" i="2"/>
  <c r="AJ181" i="2" s="1"/>
  <c r="C184" i="6" s="1"/>
  <c r="AB181" i="2"/>
  <c r="AA181" i="2"/>
  <c r="AM180" i="2"/>
  <c r="AL180" i="2"/>
  <c r="AK180" i="2"/>
  <c r="Q180" i="2"/>
  <c r="AJ180" i="2" s="1"/>
  <c r="AB180" i="2"/>
  <c r="AA180" i="2"/>
  <c r="AM179" i="2"/>
  <c r="M182" i="6" s="1"/>
  <c r="AL179" i="2"/>
  <c r="AK179" i="2"/>
  <c r="Q179" i="2"/>
  <c r="AJ179" i="2" s="1"/>
  <c r="AB179" i="2"/>
  <c r="AA179" i="2"/>
  <c r="AM178" i="2"/>
  <c r="AL178" i="2"/>
  <c r="AK178" i="2"/>
  <c r="Q178" i="2"/>
  <c r="AJ178" i="2" s="1"/>
  <c r="C181" i="6" s="1"/>
  <c r="AB178" i="2"/>
  <c r="AA178" i="2"/>
  <c r="AM177" i="2"/>
  <c r="AL177" i="2"/>
  <c r="AK177" i="2"/>
  <c r="Q177" i="2"/>
  <c r="AJ177" i="2" s="1"/>
  <c r="AB177" i="2"/>
  <c r="AA177" i="2"/>
  <c r="AM176" i="2"/>
  <c r="AL176" i="2"/>
  <c r="AK176" i="2"/>
  <c r="Q176" i="2"/>
  <c r="AJ176" i="2" s="1"/>
  <c r="AB176" i="2"/>
  <c r="AA176" i="2"/>
  <c r="AM175" i="2"/>
  <c r="AL175" i="2"/>
  <c r="AK175" i="2"/>
  <c r="Q175" i="2"/>
  <c r="AJ175" i="2" s="1"/>
  <c r="AB175" i="2"/>
  <c r="AA175" i="2"/>
  <c r="AM174" i="2"/>
  <c r="AL174" i="2"/>
  <c r="AK174" i="2"/>
  <c r="Q174" i="2"/>
  <c r="AJ174" i="2" s="1"/>
  <c r="C177" i="6" s="1"/>
  <c r="AB174" i="2"/>
  <c r="AA174" i="2"/>
  <c r="AM173" i="2"/>
  <c r="AL173" i="2"/>
  <c r="B176" i="6" s="1"/>
  <c r="AK173" i="2"/>
  <c r="Q173" i="2"/>
  <c r="AJ173" i="2" s="1"/>
  <c r="C176" i="6" s="1"/>
  <c r="AB173" i="2"/>
  <c r="AA173" i="2"/>
  <c r="AM172" i="2"/>
  <c r="AL172" i="2"/>
  <c r="AK172" i="2"/>
  <c r="Q172" i="2"/>
  <c r="AJ172" i="2" s="1"/>
  <c r="AB172" i="2"/>
  <c r="AA172" i="2"/>
  <c r="AM171" i="2"/>
  <c r="M174" i="6" s="1"/>
  <c r="AL171" i="2"/>
  <c r="AK171" i="2"/>
  <c r="Q171" i="2"/>
  <c r="AJ171" i="2" s="1"/>
  <c r="AB171" i="2"/>
  <c r="AA171" i="2"/>
  <c r="AM170" i="2"/>
  <c r="AL170" i="2"/>
  <c r="AK170" i="2"/>
  <c r="Q170" i="2"/>
  <c r="AJ170" i="2" s="1"/>
  <c r="C173" i="6" s="1"/>
  <c r="AB170" i="2"/>
  <c r="AA170" i="2"/>
  <c r="AM169" i="2"/>
  <c r="AL169" i="2"/>
  <c r="AK169" i="2"/>
  <c r="Q169" i="2"/>
  <c r="AJ169" i="2" s="1"/>
  <c r="AB169" i="2"/>
  <c r="AA169" i="2"/>
  <c r="AM168" i="2"/>
  <c r="AL168" i="2"/>
  <c r="AK168" i="2"/>
  <c r="Q168" i="2"/>
  <c r="AJ168" i="2" s="1"/>
  <c r="C171" i="6" s="1"/>
  <c r="AB168" i="2"/>
  <c r="AA168" i="2"/>
  <c r="AM167" i="2"/>
  <c r="AL167" i="2"/>
  <c r="AK167" i="2"/>
  <c r="Q167" i="2"/>
  <c r="AJ167" i="2" s="1"/>
  <c r="AB167" i="2"/>
  <c r="AA167" i="2"/>
  <c r="AM166" i="2"/>
  <c r="AL166" i="2"/>
  <c r="AK166" i="2"/>
  <c r="Q166" i="2"/>
  <c r="AJ166" i="2" s="1"/>
  <c r="AB166" i="2"/>
  <c r="AA166" i="2"/>
  <c r="AM165" i="2"/>
  <c r="AL165" i="2"/>
  <c r="B168" i="6" s="1"/>
  <c r="AK165" i="2"/>
  <c r="Q165" i="2"/>
  <c r="AJ165" i="2" s="1"/>
  <c r="C168" i="6" s="1"/>
  <c r="AB165" i="2"/>
  <c r="AA165" i="2"/>
  <c r="AM164" i="2"/>
  <c r="AL164" i="2"/>
  <c r="AK164" i="2"/>
  <c r="Q164" i="2"/>
  <c r="AJ164" i="2" s="1"/>
  <c r="AB164" i="2"/>
  <c r="AA164" i="2"/>
  <c r="AM163" i="2"/>
  <c r="M166" i="6" s="1"/>
  <c r="AL163" i="2"/>
  <c r="AK163" i="2"/>
  <c r="Q163" i="2"/>
  <c r="AJ163" i="2" s="1"/>
  <c r="AB163" i="2"/>
  <c r="AA163" i="2"/>
  <c r="AM162" i="2"/>
  <c r="AL162" i="2"/>
  <c r="AK162" i="2"/>
  <c r="Q162" i="2"/>
  <c r="AJ162" i="2" s="1"/>
  <c r="C165" i="6" s="1"/>
  <c r="AB162" i="2"/>
  <c r="AA162" i="2"/>
  <c r="AM161" i="2"/>
  <c r="AL161" i="2"/>
  <c r="AK161" i="2"/>
  <c r="Q161" i="2"/>
  <c r="AJ161" i="2" s="1"/>
  <c r="AB161" i="2"/>
  <c r="AA161" i="2"/>
  <c r="AM160" i="2"/>
  <c r="AL160" i="2"/>
  <c r="AK160" i="2"/>
  <c r="Q160" i="2"/>
  <c r="AJ160" i="2" s="1"/>
  <c r="AB160" i="2"/>
  <c r="AA160" i="2"/>
  <c r="AM159" i="2"/>
  <c r="AL159" i="2"/>
  <c r="AK159" i="2"/>
  <c r="Q159" i="2"/>
  <c r="AJ159" i="2" s="1"/>
  <c r="AB159" i="2"/>
  <c r="AA159" i="2"/>
  <c r="AM158" i="2"/>
  <c r="AL158" i="2"/>
  <c r="AK158" i="2"/>
  <c r="Q158" i="2"/>
  <c r="AJ158" i="2" s="1"/>
  <c r="C161" i="6" s="1"/>
  <c r="AB158" i="2"/>
  <c r="AA158" i="2"/>
  <c r="AM157" i="2"/>
  <c r="AL157" i="2"/>
  <c r="B160" i="6" s="1"/>
  <c r="AK157" i="2"/>
  <c r="Q157" i="2"/>
  <c r="AJ157" i="2" s="1"/>
  <c r="C160" i="6" s="1"/>
  <c r="AB157" i="2"/>
  <c r="AA157" i="2"/>
  <c r="AM156" i="2"/>
  <c r="AL156" i="2"/>
  <c r="AK156" i="2"/>
  <c r="Q156" i="2"/>
  <c r="AJ156" i="2" s="1"/>
  <c r="AB156" i="2"/>
  <c r="AA156" i="2"/>
  <c r="AM155" i="2"/>
  <c r="M158" i="6" s="1"/>
  <c r="AL155" i="2"/>
  <c r="AK155" i="2"/>
  <c r="Q155" i="2"/>
  <c r="AJ155" i="2" s="1"/>
  <c r="AB155" i="2"/>
  <c r="AA155" i="2"/>
  <c r="AM154" i="2"/>
  <c r="AL154" i="2"/>
  <c r="AK154" i="2"/>
  <c r="Q154" i="2"/>
  <c r="AJ154" i="2" s="1"/>
  <c r="C157" i="6" s="1"/>
  <c r="AB154" i="2"/>
  <c r="AA154" i="2"/>
  <c r="AM153" i="2"/>
  <c r="AL153" i="2"/>
  <c r="AK153" i="2"/>
  <c r="Q153" i="2"/>
  <c r="AJ153" i="2" s="1"/>
  <c r="AB153" i="2"/>
  <c r="AA153" i="2"/>
  <c r="AM152" i="2"/>
  <c r="AL152" i="2"/>
  <c r="AK152" i="2"/>
  <c r="Q152" i="2"/>
  <c r="AJ152" i="2" s="1"/>
  <c r="C155" i="6" s="1"/>
  <c r="AB152" i="2"/>
  <c r="AA152" i="2"/>
  <c r="AM151" i="2"/>
  <c r="AL151" i="2"/>
  <c r="AK151" i="2"/>
  <c r="Q151" i="2"/>
  <c r="AJ151" i="2" s="1"/>
  <c r="AB151" i="2"/>
  <c r="AA151" i="2"/>
  <c r="AM150" i="2"/>
  <c r="AL150" i="2"/>
  <c r="AK150" i="2"/>
  <c r="Q150" i="2"/>
  <c r="AJ150" i="2" s="1"/>
  <c r="AB150" i="2"/>
  <c r="AA150" i="2"/>
  <c r="AM149" i="2"/>
  <c r="AL149" i="2"/>
  <c r="B152" i="6" s="1"/>
  <c r="O152" i="6" s="1"/>
  <c r="T152" i="6" s="1"/>
  <c r="AK149" i="2"/>
  <c r="Q149" i="2"/>
  <c r="AJ149" i="2" s="1"/>
  <c r="C152" i="6" s="1"/>
  <c r="AB149" i="2"/>
  <c r="AA149" i="2"/>
  <c r="AM148" i="2"/>
  <c r="AL148" i="2"/>
  <c r="AK148" i="2"/>
  <c r="Q148" i="2"/>
  <c r="AJ148" i="2" s="1"/>
  <c r="AB148" i="2"/>
  <c r="AA148" i="2"/>
  <c r="AM147" i="2"/>
  <c r="AL147" i="2"/>
  <c r="AK147" i="2"/>
  <c r="Q147" i="2"/>
  <c r="AJ147" i="2" s="1"/>
  <c r="AB147" i="2"/>
  <c r="AA147" i="2"/>
  <c r="AM146" i="2"/>
  <c r="AL146" i="2"/>
  <c r="AK146" i="2"/>
  <c r="Q146" i="2"/>
  <c r="AJ146" i="2" s="1"/>
  <c r="C149" i="6" s="1"/>
  <c r="AB146" i="2"/>
  <c r="AA146" i="2"/>
  <c r="AM145" i="2"/>
  <c r="AL145" i="2"/>
  <c r="AK145" i="2"/>
  <c r="Q145" i="2"/>
  <c r="AJ145" i="2" s="1"/>
  <c r="AB145" i="2"/>
  <c r="AA145" i="2"/>
  <c r="AM144" i="2"/>
  <c r="AL144" i="2"/>
  <c r="AK144" i="2"/>
  <c r="Q144" i="2"/>
  <c r="AJ144" i="2" s="1"/>
  <c r="AB144" i="2"/>
  <c r="AA144" i="2"/>
  <c r="AM143" i="2"/>
  <c r="AL143" i="2"/>
  <c r="AK143" i="2"/>
  <c r="Q143" i="2"/>
  <c r="AJ143" i="2" s="1"/>
  <c r="AB143" i="2"/>
  <c r="AA143" i="2"/>
  <c r="AM142" i="2"/>
  <c r="AL142" i="2"/>
  <c r="AK142" i="2"/>
  <c r="Q142" i="2"/>
  <c r="AJ142" i="2" s="1"/>
  <c r="C145" i="6" s="1"/>
  <c r="AB142" i="2"/>
  <c r="AA142" i="2"/>
  <c r="AM141" i="2"/>
  <c r="AL141" i="2"/>
  <c r="B144" i="6" s="1"/>
  <c r="AK141" i="2"/>
  <c r="Q141" i="2"/>
  <c r="AJ141" i="2" s="1"/>
  <c r="C144" i="6" s="1"/>
  <c r="AB141" i="2"/>
  <c r="AA141" i="2"/>
  <c r="AM140" i="2"/>
  <c r="AL140" i="2"/>
  <c r="AK140" i="2"/>
  <c r="Q140" i="2"/>
  <c r="AJ140" i="2" s="1"/>
  <c r="AB140" i="2"/>
  <c r="AA140" i="2"/>
  <c r="AM139" i="2"/>
  <c r="M142" i="6" s="1"/>
  <c r="AL139" i="2"/>
  <c r="AK139" i="2"/>
  <c r="Q139" i="2"/>
  <c r="AJ139" i="2" s="1"/>
  <c r="AB139" i="2"/>
  <c r="AA139" i="2"/>
  <c r="AM138" i="2"/>
  <c r="AL138" i="2"/>
  <c r="AK138" i="2"/>
  <c r="Q138" i="2"/>
  <c r="AJ138" i="2" s="1"/>
  <c r="C141" i="6" s="1"/>
  <c r="AB138" i="2"/>
  <c r="AA138" i="2"/>
  <c r="AM137" i="2"/>
  <c r="AL137" i="2"/>
  <c r="AK137" i="2"/>
  <c r="Q137" i="2"/>
  <c r="AJ137" i="2" s="1"/>
  <c r="AB137" i="2"/>
  <c r="AA137" i="2"/>
  <c r="AM136" i="2"/>
  <c r="AL136" i="2"/>
  <c r="AK136" i="2"/>
  <c r="Q136" i="2"/>
  <c r="AJ136" i="2" s="1"/>
  <c r="C139" i="6" s="1"/>
  <c r="AB136" i="2"/>
  <c r="AA136" i="2"/>
  <c r="AM135" i="2"/>
  <c r="AL135" i="2"/>
  <c r="AK135" i="2"/>
  <c r="Q135" i="2"/>
  <c r="AJ135" i="2" s="1"/>
  <c r="AB135" i="2"/>
  <c r="AA135" i="2"/>
  <c r="AM134" i="2"/>
  <c r="AL134" i="2"/>
  <c r="AK134" i="2"/>
  <c r="Q134" i="2"/>
  <c r="AJ134" i="2" s="1"/>
  <c r="AB134" i="2"/>
  <c r="AA134" i="2"/>
  <c r="AM133" i="2"/>
  <c r="AL133" i="2"/>
  <c r="B136" i="6" s="1"/>
  <c r="O136" i="6" s="1"/>
  <c r="T136" i="6" s="1"/>
  <c r="AK133" i="2"/>
  <c r="Q133" i="2"/>
  <c r="AJ133" i="2" s="1"/>
  <c r="C136" i="6" s="1"/>
  <c r="AB133" i="2"/>
  <c r="AA133" i="2"/>
  <c r="E136" i="6" s="1"/>
  <c r="AM132" i="2"/>
  <c r="AL132" i="2"/>
  <c r="AK132" i="2"/>
  <c r="Q132" i="2"/>
  <c r="AJ132" i="2" s="1"/>
  <c r="AB132" i="2"/>
  <c r="AA132" i="2"/>
  <c r="AM131" i="2"/>
  <c r="M134" i="6" s="1"/>
  <c r="AL131" i="2"/>
  <c r="AK131" i="2"/>
  <c r="Q131" i="2"/>
  <c r="AJ131" i="2" s="1"/>
  <c r="AB131" i="2"/>
  <c r="AA131" i="2"/>
  <c r="AM130" i="2"/>
  <c r="AL130" i="2"/>
  <c r="AK130" i="2"/>
  <c r="Q130" i="2"/>
  <c r="AJ130" i="2" s="1"/>
  <c r="C133" i="6" s="1"/>
  <c r="AB130" i="2"/>
  <c r="AA130" i="2"/>
  <c r="AM129" i="2"/>
  <c r="AL129" i="2"/>
  <c r="AK129" i="2"/>
  <c r="Q129" i="2"/>
  <c r="AJ129" i="2" s="1"/>
  <c r="AB129" i="2"/>
  <c r="AA129" i="2"/>
  <c r="AM128" i="2"/>
  <c r="AL128" i="2"/>
  <c r="AK128" i="2"/>
  <c r="Q128" i="2"/>
  <c r="AJ128" i="2" s="1"/>
  <c r="AB128" i="2"/>
  <c r="AA128" i="2"/>
  <c r="AM127" i="2"/>
  <c r="AL127" i="2"/>
  <c r="AK127" i="2"/>
  <c r="Q127" i="2"/>
  <c r="AJ127" i="2" s="1"/>
  <c r="AB127" i="2"/>
  <c r="AA127" i="2"/>
  <c r="AM126" i="2"/>
  <c r="AL126" i="2"/>
  <c r="AK126" i="2"/>
  <c r="Q126" i="2"/>
  <c r="AJ126" i="2" s="1"/>
  <c r="C129" i="6" s="1"/>
  <c r="AB126" i="2"/>
  <c r="AA126" i="2"/>
  <c r="AM125" i="2"/>
  <c r="AL125" i="2"/>
  <c r="B128" i="6" s="1"/>
  <c r="AK125" i="2"/>
  <c r="Q125" i="2"/>
  <c r="AJ125" i="2" s="1"/>
  <c r="C128" i="6" s="1"/>
  <c r="AB125" i="2"/>
  <c r="AA125" i="2"/>
  <c r="E128" i="6" s="1"/>
  <c r="AM124" i="2"/>
  <c r="AL124" i="2"/>
  <c r="AK124" i="2"/>
  <c r="Q124" i="2"/>
  <c r="AJ124" i="2" s="1"/>
  <c r="AB124" i="2"/>
  <c r="AA124" i="2"/>
  <c r="AM123" i="2"/>
  <c r="AL123" i="2"/>
  <c r="AK123" i="2"/>
  <c r="Q123" i="2"/>
  <c r="AJ123" i="2" s="1"/>
  <c r="AB123" i="2"/>
  <c r="AA123" i="2"/>
  <c r="AM122" i="2"/>
  <c r="AL122" i="2"/>
  <c r="AK122" i="2"/>
  <c r="Q122" i="2"/>
  <c r="AJ122" i="2" s="1"/>
  <c r="C125" i="6" s="1"/>
  <c r="AB122" i="2"/>
  <c r="AA122" i="2"/>
  <c r="AM121" i="2"/>
  <c r="AL121" i="2"/>
  <c r="AK121" i="2"/>
  <c r="Q121" i="2"/>
  <c r="AJ121" i="2" s="1"/>
  <c r="AB121" i="2"/>
  <c r="AA121" i="2"/>
  <c r="AM120" i="2"/>
  <c r="AL120" i="2"/>
  <c r="AK120" i="2"/>
  <c r="Q120" i="2"/>
  <c r="AJ120" i="2" s="1"/>
  <c r="C123" i="6" s="1"/>
  <c r="AB120" i="2"/>
  <c r="AA120" i="2"/>
  <c r="AM119" i="2"/>
  <c r="AL119" i="2"/>
  <c r="AK119" i="2"/>
  <c r="Q119" i="2"/>
  <c r="AJ119" i="2" s="1"/>
  <c r="AB119" i="2"/>
  <c r="AA119" i="2"/>
  <c r="AM118" i="2"/>
  <c r="AL118" i="2"/>
  <c r="AK118" i="2"/>
  <c r="Q118" i="2"/>
  <c r="AJ118" i="2" s="1"/>
  <c r="AB118" i="2"/>
  <c r="AA118" i="2"/>
  <c r="AM117" i="2"/>
  <c r="AL117" i="2"/>
  <c r="B120" i="6" s="1"/>
  <c r="O120" i="6" s="1"/>
  <c r="T120" i="6" s="1"/>
  <c r="AK117" i="2"/>
  <c r="Q117" i="2"/>
  <c r="AJ117" i="2" s="1"/>
  <c r="C120" i="6" s="1"/>
  <c r="AB117" i="2"/>
  <c r="AA117" i="2"/>
  <c r="E120" i="6" s="1"/>
  <c r="AM116" i="2"/>
  <c r="AL116" i="2"/>
  <c r="AK116" i="2"/>
  <c r="Q116" i="2"/>
  <c r="AJ116" i="2" s="1"/>
  <c r="AB116" i="2"/>
  <c r="AA116" i="2"/>
  <c r="AM115" i="2"/>
  <c r="AL115" i="2"/>
  <c r="AK115" i="2"/>
  <c r="Q115" i="2"/>
  <c r="AJ115" i="2" s="1"/>
  <c r="AB115" i="2"/>
  <c r="AA115" i="2"/>
  <c r="AM114" i="2"/>
  <c r="AL114" i="2"/>
  <c r="AK114" i="2"/>
  <c r="Q114" i="2"/>
  <c r="AJ114" i="2" s="1"/>
  <c r="C117" i="6" s="1"/>
  <c r="AB114" i="2"/>
  <c r="AA114" i="2"/>
  <c r="AM113" i="2"/>
  <c r="AL113" i="2"/>
  <c r="AK113" i="2"/>
  <c r="Q113" i="2"/>
  <c r="AJ113" i="2" s="1"/>
  <c r="AB113" i="2"/>
  <c r="AA113" i="2"/>
  <c r="AM112" i="2"/>
  <c r="AL112" i="2"/>
  <c r="AK112" i="2"/>
  <c r="Q112" i="2"/>
  <c r="AJ112" i="2" s="1"/>
  <c r="AB112" i="2"/>
  <c r="AA112" i="2"/>
  <c r="AM111" i="2"/>
  <c r="AL111" i="2"/>
  <c r="AK111" i="2"/>
  <c r="Q111" i="2"/>
  <c r="AJ111" i="2" s="1"/>
  <c r="AB111" i="2"/>
  <c r="AA111" i="2"/>
  <c r="AM110" i="2"/>
  <c r="AL110" i="2"/>
  <c r="AK110" i="2"/>
  <c r="Q110" i="2"/>
  <c r="AJ110" i="2" s="1"/>
  <c r="C113" i="6" s="1"/>
  <c r="AB110" i="2"/>
  <c r="AA110" i="2"/>
  <c r="AM109" i="2"/>
  <c r="AL109" i="2"/>
  <c r="B112" i="6" s="1"/>
  <c r="AK109" i="2"/>
  <c r="Q109" i="2"/>
  <c r="AJ109" i="2" s="1"/>
  <c r="C112" i="6" s="1"/>
  <c r="AB109" i="2"/>
  <c r="AA109" i="2"/>
  <c r="E112" i="6" s="1"/>
  <c r="AM108" i="2"/>
  <c r="AL108" i="2"/>
  <c r="AK108" i="2"/>
  <c r="Q108" i="2"/>
  <c r="AJ108" i="2" s="1"/>
  <c r="AB108" i="2"/>
  <c r="AA108" i="2"/>
  <c r="AM107" i="2"/>
  <c r="AL107" i="2"/>
  <c r="AK107" i="2"/>
  <c r="Q107" i="2"/>
  <c r="AJ107" i="2" s="1"/>
  <c r="AB107" i="2"/>
  <c r="AA107" i="2"/>
  <c r="AM106" i="2"/>
  <c r="AL106" i="2"/>
  <c r="AK106" i="2"/>
  <c r="Q106" i="2"/>
  <c r="AJ106" i="2" s="1"/>
  <c r="C109" i="6" s="1"/>
  <c r="AB106" i="2"/>
  <c r="AA106" i="2"/>
  <c r="AM105" i="2"/>
  <c r="AL105" i="2"/>
  <c r="AK105" i="2"/>
  <c r="Q105" i="2"/>
  <c r="AJ105" i="2" s="1"/>
  <c r="AB105" i="2"/>
  <c r="AA105" i="2"/>
  <c r="AM104" i="2"/>
  <c r="AL104" i="2"/>
  <c r="AK104" i="2"/>
  <c r="Q104" i="2"/>
  <c r="AJ104" i="2" s="1"/>
  <c r="C107" i="6" s="1"/>
  <c r="AB104" i="2"/>
  <c r="AA104" i="2"/>
  <c r="AM103" i="2"/>
  <c r="AL103" i="2"/>
  <c r="AK103" i="2"/>
  <c r="Q103" i="2"/>
  <c r="AJ103" i="2" s="1"/>
  <c r="AB103" i="2"/>
  <c r="AA103" i="2"/>
  <c r="AM102" i="2"/>
  <c r="AL102" i="2"/>
  <c r="AK102" i="2"/>
  <c r="Q102" i="2"/>
  <c r="AJ102" i="2" s="1"/>
  <c r="AB102" i="2"/>
  <c r="AA102" i="2"/>
  <c r="AM101" i="2"/>
  <c r="AL101" i="2"/>
  <c r="B104" i="6" s="1"/>
  <c r="AK101" i="2"/>
  <c r="Q101" i="2"/>
  <c r="AJ101" i="2" s="1"/>
  <c r="C104" i="6" s="1"/>
  <c r="AB101" i="2"/>
  <c r="AA101" i="2"/>
  <c r="E104" i="6" s="1"/>
  <c r="AM100" i="2"/>
  <c r="AL100" i="2"/>
  <c r="AK100" i="2"/>
  <c r="Q100" i="2"/>
  <c r="AJ100" i="2" s="1"/>
  <c r="AB100" i="2"/>
  <c r="AA100" i="2"/>
  <c r="AM99" i="2"/>
  <c r="AL99" i="2"/>
  <c r="AK99" i="2"/>
  <c r="Q99" i="2"/>
  <c r="AJ99" i="2" s="1"/>
  <c r="AB99" i="2"/>
  <c r="AA99" i="2"/>
  <c r="AM98" i="2"/>
  <c r="AL98" i="2"/>
  <c r="AK98" i="2"/>
  <c r="Q98" i="2"/>
  <c r="AJ98" i="2" s="1"/>
  <c r="C101" i="6" s="1"/>
  <c r="AB98" i="2"/>
  <c r="AA98" i="2"/>
  <c r="AM97" i="2"/>
  <c r="AL97" i="2"/>
  <c r="AK97" i="2"/>
  <c r="Q97" i="2"/>
  <c r="AJ97" i="2" s="1"/>
  <c r="AB97" i="2"/>
  <c r="AA97" i="2"/>
  <c r="AM96" i="2"/>
  <c r="AL96" i="2"/>
  <c r="AK96" i="2"/>
  <c r="Q96" i="2"/>
  <c r="AJ96" i="2" s="1"/>
  <c r="AB96" i="2"/>
  <c r="AA96" i="2"/>
  <c r="AM95" i="2"/>
  <c r="AL95" i="2"/>
  <c r="AK95" i="2"/>
  <c r="Q95" i="2"/>
  <c r="AJ95" i="2" s="1"/>
  <c r="AB95" i="2"/>
  <c r="AA95" i="2"/>
  <c r="AM94" i="2"/>
  <c r="AL94" i="2"/>
  <c r="AK94" i="2"/>
  <c r="Q94" i="2"/>
  <c r="AJ94" i="2" s="1"/>
  <c r="C97" i="6" s="1"/>
  <c r="AB94" i="2"/>
  <c r="AA94" i="2"/>
  <c r="AM93" i="2"/>
  <c r="AL93" i="2"/>
  <c r="B96" i="6" s="1"/>
  <c r="AK93" i="2"/>
  <c r="Q93" i="2"/>
  <c r="AJ93" i="2" s="1"/>
  <c r="C96" i="6" s="1"/>
  <c r="AB93" i="2"/>
  <c r="AA93" i="2"/>
  <c r="E96" i="6" s="1"/>
  <c r="AM92" i="2"/>
  <c r="AL92" i="2"/>
  <c r="AK92" i="2"/>
  <c r="Q92" i="2"/>
  <c r="AJ92" i="2" s="1"/>
  <c r="AB92" i="2"/>
  <c r="AA92" i="2"/>
  <c r="AM91" i="2"/>
  <c r="AL91" i="2"/>
  <c r="AK91" i="2"/>
  <c r="Q91" i="2"/>
  <c r="AJ91" i="2" s="1"/>
  <c r="AB91" i="2"/>
  <c r="AA91" i="2"/>
  <c r="AM90" i="2"/>
  <c r="AL90" i="2"/>
  <c r="AK90" i="2"/>
  <c r="Q90" i="2"/>
  <c r="AJ90" i="2" s="1"/>
  <c r="AB90" i="2"/>
  <c r="AA90" i="2"/>
  <c r="AM89" i="2"/>
  <c r="AL89" i="2"/>
  <c r="AK89" i="2"/>
  <c r="Q89" i="2"/>
  <c r="AJ89" i="2" s="1"/>
  <c r="AB89" i="2"/>
  <c r="AA89" i="2"/>
  <c r="AM88" i="2"/>
  <c r="AL88" i="2"/>
  <c r="AK88" i="2"/>
  <c r="Q88" i="2"/>
  <c r="AJ88" i="2" s="1"/>
  <c r="C91" i="6" s="1"/>
  <c r="AB88" i="2"/>
  <c r="AA88" i="2"/>
  <c r="AM87" i="2"/>
  <c r="AL87" i="2"/>
  <c r="AK87" i="2"/>
  <c r="Q87" i="2"/>
  <c r="AJ87" i="2" s="1"/>
  <c r="AB87" i="2"/>
  <c r="AA87" i="2"/>
  <c r="AM86" i="2"/>
  <c r="AL86" i="2"/>
  <c r="AK86" i="2"/>
  <c r="Q86" i="2"/>
  <c r="AJ86" i="2" s="1"/>
  <c r="C89" i="6" s="1"/>
  <c r="AB86" i="2"/>
  <c r="AA86" i="2"/>
  <c r="E89" i="6" s="1"/>
  <c r="AM85" i="2"/>
  <c r="AL85" i="2"/>
  <c r="AK85" i="2"/>
  <c r="Q85" i="2"/>
  <c r="AJ85" i="2" s="1"/>
  <c r="AB85" i="2"/>
  <c r="AA85" i="2"/>
  <c r="AM84" i="2"/>
  <c r="AL84" i="2"/>
  <c r="AK84" i="2"/>
  <c r="Q84" i="2"/>
  <c r="AJ84" i="2" s="1"/>
  <c r="AB84" i="2"/>
  <c r="AA84" i="2"/>
  <c r="E87" i="6" s="1"/>
  <c r="AM83" i="2"/>
  <c r="AL83" i="2"/>
  <c r="AK83" i="2"/>
  <c r="Q83" i="2"/>
  <c r="AJ83" i="2" s="1"/>
  <c r="AB83" i="2"/>
  <c r="AA83" i="2"/>
  <c r="AM82" i="2"/>
  <c r="AL82" i="2"/>
  <c r="AK82" i="2"/>
  <c r="Q82" i="2"/>
  <c r="AJ82" i="2" s="1"/>
  <c r="C85" i="6" s="1"/>
  <c r="AB82" i="2"/>
  <c r="AA82" i="2"/>
  <c r="AM81" i="2"/>
  <c r="AL81" i="2"/>
  <c r="AK81" i="2"/>
  <c r="Q81" i="2"/>
  <c r="AJ81" i="2" s="1"/>
  <c r="AB81" i="2"/>
  <c r="AA81" i="2"/>
  <c r="AM80" i="2"/>
  <c r="M83" i="6" s="1"/>
  <c r="AL80" i="2"/>
  <c r="AK80" i="2"/>
  <c r="Q80" i="2"/>
  <c r="AJ80" i="2" s="1"/>
  <c r="C83" i="6" s="1"/>
  <c r="AB80" i="2"/>
  <c r="AA80" i="2"/>
  <c r="E83" i="6" s="1"/>
  <c r="AM79" i="2"/>
  <c r="AL79" i="2"/>
  <c r="AK79" i="2"/>
  <c r="Q79" i="2"/>
  <c r="AJ79" i="2" s="1"/>
  <c r="AB79" i="2"/>
  <c r="AA79" i="2"/>
  <c r="AM78" i="2"/>
  <c r="AL78" i="2"/>
  <c r="AK78" i="2"/>
  <c r="Q78" i="2"/>
  <c r="AJ78" i="2" s="1"/>
  <c r="AB78" i="2"/>
  <c r="AA78" i="2"/>
  <c r="AM77" i="2"/>
  <c r="AL77" i="2"/>
  <c r="B80" i="6" s="1"/>
  <c r="AK77" i="2"/>
  <c r="Q77" i="2"/>
  <c r="AJ77" i="2" s="1"/>
  <c r="C80" i="6" s="1"/>
  <c r="AB77" i="2"/>
  <c r="AA77" i="2"/>
  <c r="E80" i="6" s="1"/>
  <c r="AM76" i="2"/>
  <c r="AL76" i="2"/>
  <c r="AK76" i="2"/>
  <c r="Q76" i="2"/>
  <c r="AJ76" i="2" s="1"/>
  <c r="AB76" i="2"/>
  <c r="AA76" i="2"/>
  <c r="E79" i="6" s="1"/>
  <c r="AM75" i="2"/>
  <c r="AL75" i="2"/>
  <c r="AK75" i="2"/>
  <c r="Q75" i="2"/>
  <c r="AJ75" i="2" s="1"/>
  <c r="AB75" i="2"/>
  <c r="AA75" i="2"/>
  <c r="AM74" i="2"/>
  <c r="AL74" i="2"/>
  <c r="AK74" i="2"/>
  <c r="Q74" i="2"/>
  <c r="AJ74" i="2" s="1"/>
  <c r="AB74" i="2"/>
  <c r="AA74" i="2"/>
  <c r="AM73" i="2"/>
  <c r="AL73" i="2"/>
  <c r="AK73" i="2"/>
  <c r="Q73" i="2"/>
  <c r="AJ73" i="2" s="1"/>
  <c r="AB73" i="2"/>
  <c r="AA73" i="2"/>
  <c r="AM72" i="2"/>
  <c r="AL72" i="2"/>
  <c r="AK72" i="2"/>
  <c r="Q72" i="2"/>
  <c r="AJ72" i="2" s="1"/>
  <c r="C75" i="6" s="1"/>
  <c r="AB72" i="2"/>
  <c r="AA72" i="2"/>
  <c r="AM71" i="2"/>
  <c r="AL71" i="2"/>
  <c r="AK71" i="2"/>
  <c r="Q71" i="2"/>
  <c r="AJ71" i="2" s="1"/>
  <c r="AB71" i="2"/>
  <c r="AA71" i="2"/>
  <c r="AM70" i="2"/>
  <c r="AL70" i="2"/>
  <c r="AK70" i="2"/>
  <c r="Q70" i="2"/>
  <c r="AJ70" i="2" s="1"/>
  <c r="AB70" i="2"/>
  <c r="AA70" i="2"/>
  <c r="E73" i="6" s="1"/>
  <c r="AM69" i="2"/>
  <c r="AL69" i="2"/>
  <c r="AK69" i="2"/>
  <c r="Q69" i="2"/>
  <c r="AJ69" i="2" s="1"/>
  <c r="AB69" i="2"/>
  <c r="AA69" i="2"/>
  <c r="AM68" i="2"/>
  <c r="AL68" i="2"/>
  <c r="AK68" i="2"/>
  <c r="Q68" i="2"/>
  <c r="AJ68" i="2" s="1"/>
  <c r="AB68" i="2"/>
  <c r="AA68" i="2"/>
  <c r="E71" i="6" s="1"/>
  <c r="AM67" i="2"/>
  <c r="AL67" i="2"/>
  <c r="AK67" i="2"/>
  <c r="Q67" i="2"/>
  <c r="AJ67" i="2" s="1"/>
  <c r="AB67" i="2"/>
  <c r="AA67" i="2"/>
  <c r="AM66" i="2"/>
  <c r="AL66" i="2"/>
  <c r="AK66" i="2"/>
  <c r="Q66" i="2"/>
  <c r="AJ66" i="2" s="1"/>
  <c r="AB66" i="2"/>
  <c r="AA66" i="2"/>
  <c r="AM65" i="2"/>
  <c r="AL65" i="2"/>
  <c r="AK65" i="2"/>
  <c r="Q65" i="2"/>
  <c r="AJ65" i="2" s="1"/>
  <c r="AB65" i="2"/>
  <c r="AA65" i="2"/>
  <c r="AM64" i="2"/>
  <c r="M67" i="6" s="1"/>
  <c r="AL64" i="2"/>
  <c r="B67" i="6" s="1"/>
  <c r="AK64" i="2"/>
  <c r="Q64" i="2"/>
  <c r="AJ64" i="2" s="1"/>
  <c r="AB64" i="2"/>
  <c r="AA64" i="2"/>
  <c r="E67" i="6" s="1"/>
  <c r="AM63" i="2"/>
  <c r="AL63" i="2"/>
  <c r="AK63" i="2"/>
  <c r="Q63" i="2"/>
  <c r="AJ63" i="2" s="1"/>
  <c r="AB63" i="2"/>
  <c r="AA63" i="2"/>
  <c r="AM62" i="2"/>
  <c r="M65" i="6" s="1"/>
  <c r="AL62" i="2"/>
  <c r="AK62" i="2"/>
  <c r="Q62" i="2"/>
  <c r="AJ62" i="2" s="1"/>
  <c r="AB62" i="2"/>
  <c r="AA62" i="2"/>
  <c r="AM61" i="2"/>
  <c r="AL61" i="2"/>
  <c r="AK61" i="2"/>
  <c r="Q61" i="2"/>
  <c r="AJ61" i="2" s="1"/>
  <c r="AB61" i="2"/>
  <c r="AA61" i="2"/>
  <c r="AM60" i="2"/>
  <c r="AL60" i="2"/>
  <c r="B63" i="6" s="1"/>
  <c r="AK60" i="2"/>
  <c r="Q60" i="2"/>
  <c r="AJ60" i="2" s="1"/>
  <c r="AB60" i="2"/>
  <c r="AA60" i="2"/>
  <c r="E63" i="6" s="1"/>
  <c r="AM59" i="2"/>
  <c r="AL59" i="2"/>
  <c r="AK59" i="2"/>
  <c r="Q59" i="2"/>
  <c r="AJ59" i="2" s="1"/>
  <c r="AB59" i="2"/>
  <c r="AA59" i="2"/>
  <c r="AM58" i="2"/>
  <c r="AL58" i="2"/>
  <c r="AK58" i="2"/>
  <c r="Q58" i="2"/>
  <c r="AJ58" i="2" s="1"/>
  <c r="AB58" i="2"/>
  <c r="AA58" i="2"/>
  <c r="AM57" i="2"/>
  <c r="AL57" i="2"/>
  <c r="AK57" i="2"/>
  <c r="Q57" i="2"/>
  <c r="AJ57" i="2" s="1"/>
  <c r="AB57" i="2"/>
  <c r="AA57" i="2"/>
  <c r="AM56" i="2"/>
  <c r="M59" i="6" s="1"/>
  <c r="AL56" i="2"/>
  <c r="B59" i="6" s="1"/>
  <c r="AK56" i="2"/>
  <c r="Q56" i="2"/>
  <c r="AJ56" i="2" s="1"/>
  <c r="AB56" i="2"/>
  <c r="AA56" i="2"/>
  <c r="E59" i="6" s="1"/>
  <c r="AM55" i="2"/>
  <c r="AL55" i="2"/>
  <c r="AK55" i="2"/>
  <c r="Q55" i="2"/>
  <c r="AJ55" i="2" s="1"/>
  <c r="AB55" i="2"/>
  <c r="AA55" i="2"/>
  <c r="AM54" i="2"/>
  <c r="AL54" i="2"/>
  <c r="AK54" i="2"/>
  <c r="Q54" i="2"/>
  <c r="AJ54" i="2" s="1"/>
  <c r="AB54" i="2"/>
  <c r="AA54" i="2"/>
  <c r="E57" i="6" s="1"/>
  <c r="AM53" i="2"/>
  <c r="AL53" i="2"/>
  <c r="AK53" i="2"/>
  <c r="Q53" i="2"/>
  <c r="AJ53" i="2" s="1"/>
  <c r="AB53" i="2"/>
  <c r="AA53" i="2"/>
  <c r="AM52" i="2"/>
  <c r="AL52" i="2"/>
  <c r="B55" i="6" s="1"/>
  <c r="AK52" i="2"/>
  <c r="Q52" i="2"/>
  <c r="AJ52" i="2" s="1"/>
  <c r="AB52" i="2"/>
  <c r="AA52" i="2"/>
  <c r="E55" i="6" s="1"/>
  <c r="AM51" i="2"/>
  <c r="AL51" i="2"/>
  <c r="AK51" i="2"/>
  <c r="Q51" i="2"/>
  <c r="AJ51" i="2" s="1"/>
  <c r="AB51" i="2"/>
  <c r="AA51" i="2"/>
  <c r="AM50" i="2"/>
  <c r="AL50" i="2"/>
  <c r="AK50" i="2"/>
  <c r="Q50" i="2"/>
  <c r="AJ50" i="2" s="1"/>
  <c r="AB50" i="2"/>
  <c r="AA50" i="2"/>
  <c r="AM49" i="2"/>
  <c r="AL49" i="2"/>
  <c r="AK49" i="2"/>
  <c r="Q49" i="2"/>
  <c r="AJ49" i="2" s="1"/>
  <c r="AB49" i="2"/>
  <c r="AA49" i="2"/>
  <c r="AM48" i="2"/>
  <c r="M51" i="6" s="1"/>
  <c r="AL48" i="2"/>
  <c r="AK48" i="2"/>
  <c r="Q48" i="2"/>
  <c r="AJ48" i="2" s="1"/>
  <c r="AB48" i="2"/>
  <c r="AA48" i="2"/>
  <c r="AM47" i="2"/>
  <c r="AL47" i="2"/>
  <c r="AK47" i="2"/>
  <c r="Q47" i="2"/>
  <c r="AJ47" i="2" s="1"/>
  <c r="AB47" i="2"/>
  <c r="AA47" i="2"/>
  <c r="AM46" i="2"/>
  <c r="M49" i="6" s="1"/>
  <c r="AL46" i="2"/>
  <c r="B49" i="6" s="1"/>
  <c r="AK46" i="2"/>
  <c r="Q46" i="2"/>
  <c r="AJ46" i="2" s="1"/>
  <c r="AB46" i="2"/>
  <c r="AA46" i="2"/>
  <c r="E49" i="6" s="1"/>
  <c r="AM45" i="2"/>
  <c r="AL45" i="2"/>
  <c r="AK45" i="2"/>
  <c r="Q45" i="2"/>
  <c r="AJ45" i="2" s="1"/>
  <c r="AB45" i="2"/>
  <c r="AA45" i="2"/>
  <c r="AM44" i="2"/>
  <c r="AL44" i="2"/>
  <c r="B47" i="6" s="1"/>
  <c r="AK44" i="2"/>
  <c r="Q44" i="2"/>
  <c r="AJ44" i="2" s="1"/>
  <c r="AB44" i="2"/>
  <c r="AA44" i="2"/>
  <c r="E47" i="6" s="1"/>
  <c r="AM43" i="2"/>
  <c r="AL43" i="2"/>
  <c r="AK43" i="2"/>
  <c r="Q43" i="2"/>
  <c r="AJ43" i="2" s="1"/>
  <c r="AB43" i="2"/>
  <c r="AA43" i="2"/>
  <c r="AM42" i="2"/>
  <c r="AL42" i="2"/>
  <c r="AK42" i="2"/>
  <c r="Q42" i="2"/>
  <c r="AJ42" i="2" s="1"/>
  <c r="AB42" i="2"/>
  <c r="AA42" i="2"/>
  <c r="AM41" i="2"/>
  <c r="AL41" i="2"/>
  <c r="AK41" i="2"/>
  <c r="Q41" i="2"/>
  <c r="AJ41" i="2" s="1"/>
  <c r="AB41" i="2"/>
  <c r="AA41" i="2"/>
  <c r="AM40" i="2"/>
  <c r="M43" i="6" s="1"/>
  <c r="AL40" i="2"/>
  <c r="B43" i="6" s="1"/>
  <c r="AK40" i="2"/>
  <c r="Q40" i="2"/>
  <c r="AJ40" i="2" s="1"/>
  <c r="AB40" i="2"/>
  <c r="AA40" i="2"/>
  <c r="E43" i="6" s="1"/>
  <c r="AM39" i="2"/>
  <c r="AL39" i="2"/>
  <c r="AK39" i="2"/>
  <c r="Q39" i="2"/>
  <c r="AJ39" i="2" s="1"/>
  <c r="AB39" i="2"/>
  <c r="AA39" i="2"/>
  <c r="AM38" i="2"/>
  <c r="M41" i="6" s="1"/>
  <c r="AL38" i="2"/>
  <c r="B41" i="6" s="1"/>
  <c r="AK38" i="2"/>
  <c r="Q38" i="2"/>
  <c r="AJ38" i="2" s="1"/>
  <c r="AB38" i="2"/>
  <c r="AA38" i="2"/>
  <c r="E41" i="6" s="1"/>
  <c r="AM37" i="2"/>
  <c r="AL37" i="2"/>
  <c r="AK37" i="2"/>
  <c r="Q37" i="2"/>
  <c r="AJ37" i="2" s="1"/>
  <c r="AB37" i="2"/>
  <c r="AA37" i="2"/>
  <c r="AM36" i="2"/>
  <c r="AL36" i="2"/>
  <c r="B39" i="6" s="1"/>
  <c r="AK36" i="2"/>
  <c r="Q36" i="2"/>
  <c r="AJ36" i="2" s="1"/>
  <c r="AB36" i="2"/>
  <c r="AA36" i="2"/>
  <c r="E39" i="6" s="1"/>
  <c r="AM35" i="2"/>
  <c r="AL35" i="2"/>
  <c r="AK35" i="2"/>
  <c r="Q35" i="2"/>
  <c r="AJ35" i="2" s="1"/>
  <c r="AB35" i="2"/>
  <c r="AA35" i="2"/>
  <c r="AM34" i="2"/>
  <c r="AL34" i="2"/>
  <c r="AK34" i="2"/>
  <c r="Q34" i="2"/>
  <c r="AJ34" i="2" s="1"/>
  <c r="AB34" i="2"/>
  <c r="AA34" i="2"/>
  <c r="AM33" i="2"/>
  <c r="AL33" i="2"/>
  <c r="AK33" i="2"/>
  <c r="Q33" i="2"/>
  <c r="AJ33" i="2" s="1"/>
  <c r="AB33" i="2"/>
  <c r="AA33" i="2"/>
  <c r="AM32" i="2"/>
  <c r="AL32" i="2"/>
  <c r="AK32" i="2"/>
  <c r="Q32" i="2"/>
  <c r="AJ32" i="2" s="1"/>
  <c r="AB32" i="2"/>
  <c r="AA32" i="2"/>
  <c r="AM31" i="2"/>
  <c r="AL31" i="2"/>
  <c r="AK31" i="2"/>
  <c r="Q31" i="2"/>
  <c r="AJ31" i="2" s="1"/>
  <c r="AB31" i="2"/>
  <c r="AA31" i="2"/>
  <c r="AM30" i="2"/>
  <c r="M33" i="6" s="1"/>
  <c r="AL30" i="2"/>
  <c r="B33" i="6" s="1"/>
  <c r="AK30" i="2"/>
  <c r="Q30" i="2"/>
  <c r="AJ30" i="2" s="1"/>
  <c r="AB30" i="2"/>
  <c r="AA30" i="2"/>
  <c r="E33" i="6" s="1"/>
  <c r="AM29" i="2"/>
  <c r="AL29" i="2"/>
  <c r="AK29" i="2"/>
  <c r="Q29" i="2"/>
  <c r="AJ29" i="2" s="1"/>
  <c r="AB29" i="2"/>
  <c r="AA29" i="2"/>
  <c r="AM28" i="2"/>
  <c r="AL28" i="2"/>
  <c r="B31" i="6" s="1"/>
  <c r="AK28" i="2"/>
  <c r="Q28" i="2"/>
  <c r="AJ28" i="2" s="1"/>
  <c r="AB28" i="2"/>
  <c r="AA28" i="2"/>
  <c r="E31" i="6" s="1"/>
  <c r="AM27" i="2"/>
  <c r="AL27" i="2"/>
  <c r="AK27" i="2"/>
  <c r="Q27" i="2"/>
  <c r="AJ27" i="2" s="1"/>
  <c r="AB27" i="2"/>
  <c r="AA27" i="2"/>
  <c r="AM26" i="2"/>
  <c r="AL26" i="2"/>
  <c r="AK26" i="2"/>
  <c r="Q26" i="2"/>
  <c r="AJ26" i="2" s="1"/>
  <c r="AB26" i="2"/>
  <c r="AA26" i="2"/>
  <c r="AM25" i="2"/>
  <c r="AL25" i="2"/>
  <c r="AK25" i="2"/>
  <c r="Q25" i="2"/>
  <c r="AJ25" i="2" s="1"/>
  <c r="AB25" i="2"/>
  <c r="AA25" i="2"/>
  <c r="AM24" i="2"/>
  <c r="M27" i="6" s="1"/>
  <c r="AL24" i="2"/>
  <c r="B27" i="6" s="1"/>
  <c r="AK24" i="2"/>
  <c r="Q24" i="2"/>
  <c r="AJ24" i="2" s="1"/>
  <c r="AB24" i="2"/>
  <c r="AA24" i="2"/>
  <c r="E27" i="6" s="1"/>
  <c r="AM23" i="2"/>
  <c r="AL23" i="2"/>
  <c r="AK23" i="2"/>
  <c r="Q23" i="2"/>
  <c r="AJ23" i="2" s="1"/>
  <c r="AB23" i="2"/>
  <c r="AA23" i="2"/>
  <c r="AM22" i="2"/>
  <c r="M25" i="6" s="1"/>
  <c r="AL22" i="2"/>
  <c r="B25" i="6" s="1"/>
  <c r="AK22" i="2"/>
  <c r="Q22" i="2"/>
  <c r="AJ22" i="2" s="1"/>
  <c r="AB22" i="2"/>
  <c r="AA22" i="2"/>
  <c r="E25" i="6" s="1"/>
  <c r="AM21" i="2"/>
  <c r="AL21" i="2"/>
  <c r="AK21" i="2"/>
  <c r="Q21" i="2"/>
  <c r="AJ21" i="2" s="1"/>
  <c r="AB21" i="2"/>
  <c r="AA21" i="2"/>
  <c r="AM20" i="2"/>
  <c r="AL20" i="2"/>
  <c r="AK20" i="2"/>
  <c r="Q20" i="2"/>
  <c r="AJ20" i="2" s="1"/>
  <c r="AB20" i="2"/>
  <c r="AA20" i="2"/>
  <c r="AM19" i="2"/>
  <c r="AL19" i="2"/>
  <c r="AK19" i="2"/>
  <c r="Q19" i="2"/>
  <c r="AJ19" i="2" s="1"/>
  <c r="AB19" i="2"/>
  <c r="AA19" i="2"/>
  <c r="AM18" i="2"/>
  <c r="AL18" i="2"/>
  <c r="AK18" i="2"/>
  <c r="Q18" i="2"/>
  <c r="AJ18" i="2" s="1"/>
  <c r="AB18" i="2"/>
  <c r="AA18" i="2"/>
  <c r="AM17" i="2"/>
  <c r="AL17" i="2"/>
  <c r="AK17" i="2"/>
  <c r="Q17" i="2"/>
  <c r="AJ17" i="2" s="1"/>
  <c r="AB17" i="2"/>
  <c r="AA17" i="2"/>
  <c r="AM16" i="2"/>
  <c r="M19" i="6" s="1"/>
  <c r="AL16" i="2"/>
  <c r="AK16" i="2"/>
  <c r="Q16" i="2"/>
  <c r="AJ16" i="2" s="1"/>
  <c r="AB16" i="2"/>
  <c r="AA16" i="2"/>
  <c r="AM15" i="2"/>
  <c r="AL15" i="2"/>
  <c r="AK15" i="2"/>
  <c r="Q15" i="2"/>
  <c r="AJ15" i="2" s="1"/>
  <c r="AB15" i="2"/>
  <c r="AA15" i="2"/>
  <c r="AM14" i="2"/>
  <c r="M17" i="6" s="1"/>
  <c r="AL14" i="2"/>
  <c r="B17" i="6" s="1"/>
  <c r="AK14" i="2"/>
  <c r="Q14" i="2"/>
  <c r="AJ14" i="2" s="1"/>
  <c r="AB14" i="2"/>
  <c r="AA14" i="2"/>
  <c r="E17" i="6" s="1"/>
  <c r="AM13" i="2"/>
  <c r="AL13" i="2"/>
  <c r="AK13" i="2"/>
  <c r="Q13" i="2"/>
  <c r="AJ13" i="2" s="1"/>
  <c r="AB13" i="2"/>
  <c r="AA13" i="2"/>
  <c r="AM12" i="2"/>
  <c r="AL12" i="2"/>
  <c r="B15" i="6" s="1"/>
  <c r="AK12" i="2"/>
  <c r="Q12" i="2"/>
  <c r="AJ12" i="2" s="1"/>
  <c r="AB12" i="2"/>
  <c r="AA12" i="2"/>
  <c r="E15" i="6" s="1"/>
  <c r="AM11" i="2"/>
  <c r="AL11" i="2"/>
  <c r="AK11" i="2"/>
  <c r="Q11" i="2"/>
  <c r="AJ11" i="2" s="1"/>
  <c r="AB11" i="2"/>
  <c r="AA11" i="2"/>
  <c r="AM10" i="2"/>
  <c r="AL10" i="2"/>
  <c r="AK10" i="2"/>
  <c r="Q10" i="2"/>
  <c r="AJ10" i="2" s="1"/>
  <c r="AB10" i="2"/>
  <c r="AA10" i="2"/>
  <c r="AM9" i="2"/>
  <c r="AL9" i="2"/>
  <c r="AK9" i="2"/>
  <c r="Q9" i="2"/>
  <c r="AJ9" i="2" s="1"/>
  <c r="AB9" i="2"/>
  <c r="AA9" i="2"/>
  <c r="AM8" i="2"/>
  <c r="M11" i="6" s="1"/>
  <c r="AL8" i="2"/>
  <c r="AK8" i="2"/>
  <c r="Q8" i="2"/>
  <c r="AJ8" i="2" s="1"/>
  <c r="AB8" i="2"/>
  <c r="AA8" i="2"/>
  <c r="AM7" i="2"/>
  <c r="AL7" i="2"/>
  <c r="AK7" i="2"/>
  <c r="Q7" i="2"/>
  <c r="AJ7" i="2" s="1"/>
  <c r="AB7" i="2"/>
  <c r="AA7" i="2"/>
  <c r="AM6" i="2"/>
  <c r="M9" i="6" s="1"/>
  <c r="AL6" i="2"/>
  <c r="B9" i="6" s="1"/>
  <c r="AK6" i="2"/>
  <c r="Q6" i="2"/>
  <c r="AJ6" i="2" s="1"/>
  <c r="AB6" i="2"/>
  <c r="AA6" i="2"/>
  <c r="E9" i="6" s="1"/>
  <c r="AM5" i="2"/>
  <c r="AL5" i="2"/>
  <c r="AK5" i="2"/>
  <c r="Q5" i="2"/>
  <c r="AJ5" i="2" s="1"/>
  <c r="AB5" i="2"/>
  <c r="AA5" i="2"/>
  <c r="AM4" i="2"/>
  <c r="AL4" i="2"/>
  <c r="B7" i="6" s="1"/>
  <c r="AK4" i="2"/>
  <c r="Q4" i="2"/>
  <c r="AJ4" i="2" s="1"/>
  <c r="AB4" i="2"/>
  <c r="AA4" i="2"/>
  <c r="E7" i="6" s="1"/>
  <c r="AM3" i="2"/>
  <c r="AL3" i="2"/>
  <c r="AK3" i="2"/>
  <c r="Q3" i="2"/>
  <c r="AJ3" i="2" s="1"/>
  <c r="AB3" i="2"/>
  <c r="AA3" i="2"/>
  <c r="AM2" i="2"/>
  <c r="AL2" i="2"/>
  <c r="AK2" i="2"/>
  <c r="Q2" i="2"/>
  <c r="AJ2" i="2" s="1"/>
  <c r="AB2" i="2"/>
  <c r="AA2" i="2"/>
  <c r="C142" i="6" l="1"/>
  <c r="C150" i="6"/>
  <c r="C182" i="6"/>
  <c r="C190" i="6"/>
  <c r="C198" i="6"/>
  <c r="C222" i="6"/>
  <c r="C230" i="6"/>
  <c r="C558" i="6"/>
  <c r="C134" i="6"/>
  <c r="C158" i="6"/>
  <c r="C166" i="6"/>
  <c r="C206" i="6"/>
  <c r="C550" i="6"/>
  <c r="C574" i="6"/>
  <c r="C174" i="6"/>
  <c r="C214" i="6"/>
  <c r="C566" i="6"/>
  <c r="C638" i="6"/>
  <c r="C646" i="6"/>
  <c r="B82" i="6"/>
  <c r="R82" i="6" s="1"/>
  <c r="B98" i="6"/>
  <c r="Q98" i="6" s="1"/>
  <c r="B106" i="6"/>
  <c r="P106" i="6" s="1"/>
  <c r="S106" i="6" s="1"/>
  <c r="B114" i="6"/>
  <c r="Q114" i="6" s="1"/>
  <c r="B122" i="6"/>
  <c r="Q122" i="6" s="1"/>
  <c r="B130" i="6"/>
  <c r="B138" i="6"/>
  <c r="B146" i="6"/>
  <c r="Q146" i="6" s="1"/>
  <c r="B154" i="6"/>
  <c r="P154" i="6" s="1"/>
  <c r="S154" i="6" s="1"/>
  <c r="B162" i="6"/>
  <c r="Q162" i="6" s="1"/>
  <c r="B170" i="6"/>
  <c r="P170" i="6" s="1"/>
  <c r="S170" i="6" s="1"/>
  <c r="B178" i="6"/>
  <c r="Q178" i="6" s="1"/>
  <c r="B186" i="6"/>
  <c r="P186" i="6" s="1"/>
  <c r="S186" i="6" s="1"/>
  <c r="B194" i="6"/>
  <c r="B202" i="6"/>
  <c r="B210" i="6"/>
  <c r="Q210" i="6" s="1"/>
  <c r="B218" i="6"/>
  <c r="R218" i="6" s="1"/>
  <c r="B226" i="6"/>
  <c r="O226" i="6" s="1"/>
  <c r="T226" i="6" s="1"/>
  <c r="B234" i="6"/>
  <c r="R234" i="6" s="1"/>
  <c r="B466" i="6"/>
  <c r="R466" i="6" s="1"/>
  <c r="B474" i="6"/>
  <c r="O474" i="6" s="1"/>
  <c r="T474" i="6" s="1"/>
  <c r="B482" i="6"/>
  <c r="B498" i="6"/>
  <c r="B506" i="6"/>
  <c r="O506" i="6" s="1"/>
  <c r="T506" i="6" s="1"/>
  <c r="B514" i="6"/>
  <c r="B522" i="6"/>
  <c r="P522" i="6" s="1"/>
  <c r="S522" i="6" s="1"/>
  <c r="B530" i="6"/>
  <c r="Q530" i="6" s="1"/>
  <c r="B538" i="6"/>
  <c r="Q538" i="6" s="1"/>
  <c r="B546" i="6"/>
  <c r="Q546" i="6" s="1"/>
  <c r="B554" i="6"/>
  <c r="B562" i="6"/>
  <c r="B570" i="6"/>
  <c r="Q570" i="6" s="1"/>
  <c r="B578" i="6"/>
  <c r="B586" i="6"/>
  <c r="Q586" i="6" s="1"/>
  <c r="B594" i="6"/>
  <c r="O594" i="6" s="1"/>
  <c r="T594" i="6" s="1"/>
  <c r="B602" i="6"/>
  <c r="O602" i="6" s="1"/>
  <c r="T602" i="6" s="1"/>
  <c r="B610" i="6"/>
  <c r="O610" i="6" s="1"/>
  <c r="T610" i="6" s="1"/>
  <c r="B618" i="6"/>
  <c r="B626" i="6"/>
  <c r="E82" i="6"/>
  <c r="E98" i="6"/>
  <c r="E106" i="6"/>
  <c r="E114" i="6"/>
  <c r="E122" i="6"/>
  <c r="E130" i="6"/>
  <c r="E138" i="6"/>
  <c r="E146" i="6"/>
  <c r="E154" i="6"/>
  <c r="E162" i="6"/>
  <c r="E170" i="6"/>
  <c r="E178" i="6"/>
  <c r="E186" i="6"/>
  <c r="E194" i="6"/>
  <c r="E202" i="6"/>
  <c r="E210" i="6"/>
  <c r="E218" i="6"/>
  <c r="E226" i="6"/>
  <c r="E234" i="6"/>
  <c r="E330" i="6"/>
  <c r="E346" i="6"/>
  <c r="E362" i="6"/>
  <c r="E370" i="6"/>
  <c r="E378" i="6"/>
  <c r="E386" i="6"/>
  <c r="E394" i="6"/>
  <c r="E402" i="6"/>
  <c r="E418" i="6"/>
  <c r="E426" i="6"/>
  <c r="E434" i="6"/>
  <c r="E442" i="6"/>
  <c r="E450" i="6"/>
  <c r="E482" i="6"/>
  <c r="E498" i="6"/>
  <c r="E506" i="6"/>
  <c r="E514" i="6"/>
  <c r="E522" i="6"/>
  <c r="E530" i="6"/>
  <c r="E538" i="6"/>
  <c r="E546" i="6"/>
  <c r="E554" i="6"/>
  <c r="E562" i="6"/>
  <c r="E570" i="6"/>
  <c r="E578" i="6"/>
  <c r="E586" i="6"/>
  <c r="E594" i="6"/>
  <c r="E602" i="6"/>
  <c r="E610" i="6"/>
  <c r="E618" i="6"/>
  <c r="E626" i="6"/>
  <c r="C111" i="4"/>
  <c r="C115" i="4"/>
  <c r="C119" i="4"/>
  <c r="C127" i="4"/>
  <c r="C131" i="4"/>
  <c r="C135" i="4"/>
  <c r="C139" i="4"/>
  <c r="C143" i="4"/>
  <c r="C147" i="4"/>
  <c r="C151" i="4"/>
  <c r="C155" i="4"/>
  <c r="C159" i="4"/>
  <c r="C163" i="4"/>
  <c r="C167" i="4"/>
  <c r="C171" i="4"/>
  <c r="C175" i="4"/>
  <c r="C179" i="4"/>
  <c r="C183" i="4"/>
  <c r="C187" i="4"/>
  <c r="C123" i="4"/>
  <c r="B70" i="6"/>
  <c r="B78" i="6"/>
  <c r="B94" i="6"/>
  <c r="P94" i="6" s="1"/>
  <c r="S94" i="6" s="1"/>
  <c r="B102" i="6"/>
  <c r="P102" i="6" s="1"/>
  <c r="S102" i="6" s="1"/>
  <c r="B110" i="6"/>
  <c r="Q110" i="6" s="1"/>
  <c r="B118" i="6"/>
  <c r="R118" i="6" s="1"/>
  <c r="N118" i="6" s="1"/>
  <c r="B126" i="6"/>
  <c r="Q126" i="6" s="1"/>
  <c r="B134" i="6"/>
  <c r="Q134" i="6" s="1"/>
  <c r="B142" i="6"/>
  <c r="B158" i="6"/>
  <c r="B174" i="6"/>
  <c r="Q174" i="6" s="1"/>
  <c r="B182" i="6"/>
  <c r="Q182" i="6" s="1"/>
  <c r="B198" i="6"/>
  <c r="Q198" i="6" s="1"/>
  <c r="B206" i="6"/>
  <c r="Q206" i="6" s="1"/>
  <c r="B230" i="6"/>
  <c r="R230" i="6" s="1"/>
  <c r="N230" i="6" s="1"/>
  <c r="B454" i="6"/>
  <c r="R454" i="6" s="1"/>
  <c r="B462" i="6"/>
  <c r="R462" i="6" s="1"/>
  <c r="B470" i="6"/>
  <c r="B486" i="6"/>
  <c r="O486" i="6" s="1"/>
  <c r="T486" i="6" s="1"/>
  <c r="B510" i="6"/>
  <c r="P510" i="6" s="1"/>
  <c r="S510" i="6" s="1"/>
  <c r="B518" i="6"/>
  <c r="O518" i="6" s="1"/>
  <c r="T518" i="6" s="1"/>
  <c r="B526" i="6"/>
  <c r="P526" i="6" s="1"/>
  <c r="S526" i="6" s="1"/>
  <c r="B534" i="6"/>
  <c r="O534" i="6" s="1"/>
  <c r="T534" i="6" s="1"/>
  <c r="B542" i="6"/>
  <c r="R542" i="6" s="1"/>
  <c r="B550" i="6"/>
  <c r="B558" i="6"/>
  <c r="B566" i="6"/>
  <c r="Q566" i="6" s="1"/>
  <c r="B574" i="6"/>
  <c r="O574" i="6" s="1"/>
  <c r="T574" i="6" s="1"/>
  <c r="B582" i="6"/>
  <c r="Q582" i="6" s="1"/>
  <c r="B590" i="6"/>
  <c r="Q590" i="6" s="1"/>
  <c r="B598" i="6"/>
  <c r="O598" i="6" s="1"/>
  <c r="T598" i="6" s="1"/>
  <c r="B606" i="6"/>
  <c r="P606" i="6" s="1"/>
  <c r="S606" i="6" s="1"/>
  <c r="B614" i="6"/>
  <c r="B622" i="6"/>
  <c r="C19" i="4"/>
  <c r="C23" i="4"/>
  <c r="C27" i="4"/>
  <c r="C31" i="4"/>
  <c r="C35" i="4"/>
  <c r="C39" i="4"/>
  <c r="C43" i="4"/>
  <c r="C47" i="4"/>
  <c r="C51" i="4"/>
  <c r="C21" i="4"/>
  <c r="C25" i="4"/>
  <c r="C29" i="4"/>
  <c r="F29" i="4" s="1"/>
  <c r="C33" i="4"/>
  <c r="C37" i="4"/>
  <c r="C41" i="4"/>
  <c r="C45" i="4"/>
  <c r="C49" i="4"/>
  <c r="M5" i="6"/>
  <c r="M13" i="6"/>
  <c r="M21" i="6"/>
  <c r="M29" i="6"/>
  <c r="M37" i="6"/>
  <c r="M45" i="6"/>
  <c r="M53" i="6"/>
  <c r="M61" i="6"/>
  <c r="M69" i="6"/>
  <c r="M85" i="6"/>
  <c r="M253" i="6"/>
  <c r="M261" i="6"/>
  <c r="M269" i="6"/>
  <c r="M285" i="6"/>
  <c r="M293" i="6"/>
  <c r="M309" i="6"/>
  <c r="M453" i="6"/>
  <c r="M461" i="6"/>
  <c r="M469" i="6"/>
  <c r="M501" i="6"/>
  <c r="M509" i="6"/>
  <c r="M517" i="6"/>
  <c r="M525" i="6"/>
  <c r="E102" i="6"/>
  <c r="E134" i="6"/>
  <c r="E142" i="6"/>
  <c r="E158" i="6"/>
  <c r="E198" i="6"/>
  <c r="E246" i="6"/>
  <c r="E270" i="6"/>
  <c r="E294" i="6"/>
  <c r="E302" i="6"/>
  <c r="E350" i="6"/>
  <c r="E406" i="6"/>
  <c r="E414" i="6"/>
  <c r="E422" i="6"/>
  <c r="E430" i="6"/>
  <c r="E438" i="6"/>
  <c r="E462" i="6"/>
  <c r="E478" i="6"/>
  <c r="E486" i="6"/>
  <c r="E526" i="6"/>
  <c r="E542" i="6"/>
  <c r="E550" i="6"/>
  <c r="E558" i="6"/>
  <c r="E566" i="6"/>
  <c r="E574" i="6"/>
  <c r="E582" i="6"/>
  <c r="E590" i="6"/>
  <c r="E598" i="6"/>
  <c r="E606" i="6"/>
  <c r="E614" i="6"/>
  <c r="E622" i="6"/>
  <c r="E630" i="6"/>
  <c r="E78" i="6"/>
  <c r="E94" i="6"/>
  <c r="E110" i="6"/>
  <c r="E118" i="6"/>
  <c r="E126" i="6"/>
  <c r="E174" i="6"/>
  <c r="E182" i="6"/>
  <c r="E206" i="6"/>
  <c r="E214" i="6"/>
  <c r="E222" i="6"/>
  <c r="E230" i="6"/>
  <c r="E238" i="6"/>
  <c r="E254" i="6"/>
  <c r="E262" i="6"/>
  <c r="E278" i="6"/>
  <c r="E310" i="6"/>
  <c r="E318" i="6"/>
  <c r="E334" i="6"/>
  <c r="E342" i="6"/>
  <c r="E358" i="6"/>
  <c r="E366" i="6"/>
  <c r="E374" i="6"/>
  <c r="E382" i="6"/>
  <c r="E390" i="6"/>
  <c r="E398" i="6"/>
  <c r="E446" i="6"/>
  <c r="E454" i="6"/>
  <c r="E470" i="6"/>
  <c r="E494" i="6"/>
  <c r="E510" i="6"/>
  <c r="E518" i="6"/>
  <c r="E534" i="6"/>
  <c r="B630" i="6"/>
  <c r="O630" i="6" s="1"/>
  <c r="T630" i="6" s="1"/>
  <c r="C213" i="4"/>
  <c r="E84" i="6"/>
  <c r="E100" i="6"/>
  <c r="E108" i="6"/>
  <c r="E116" i="6"/>
  <c r="E124" i="6"/>
  <c r="E132" i="6"/>
  <c r="E140" i="6"/>
  <c r="E148" i="6"/>
  <c r="E164" i="6"/>
  <c r="E172" i="6"/>
  <c r="E180" i="6"/>
  <c r="E188" i="6"/>
  <c r="E196" i="6"/>
  <c r="E204" i="6"/>
  <c r="E212" i="6"/>
  <c r="E220" i="6"/>
  <c r="E228" i="6"/>
  <c r="E236" i="6"/>
  <c r="E324" i="6"/>
  <c r="E332" i="6"/>
  <c r="E340" i="6"/>
  <c r="E348" i="6"/>
  <c r="E356" i="6"/>
  <c r="E364" i="6"/>
  <c r="E372" i="6"/>
  <c r="E380" i="6"/>
  <c r="E388" i="6"/>
  <c r="E396" i="6"/>
  <c r="E404" i="6"/>
  <c r="E412" i="6"/>
  <c r="E420" i="6"/>
  <c r="E428" i="6"/>
  <c r="E436" i="6"/>
  <c r="E444" i="6"/>
  <c r="E452" i="6"/>
  <c r="E460" i="6"/>
  <c r="E468" i="6"/>
  <c r="E484" i="6"/>
  <c r="E540" i="6"/>
  <c r="E548" i="6"/>
  <c r="E556" i="6"/>
  <c r="E564" i="6"/>
  <c r="E572" i="6"/>
  <c r="E588" i="6"/>
  <c r="E596" i="6"/>
  <c r="E604" i="6"/>
  <c r="E612" i="6"/>
  <c r="E620" i="6"/>
  <c r="E628" i="6"/>
  <c r="E636" i="6"/>
  <c r="E644" i="6"/>
  <c r="E6" i="3"/>
  <c r="E204" i="3" s="1"/>
  <c r="B5" i="6"/>
  <c r="R5" i="6" s="1"/>
  <c r="B13" i="6"/>
  <c r="R13" i="6" s="1"/>
  <c r="B21" i="6"/>
  <c r="P21" i="6" s="1"/>
  <c r="S21" i="6" s="1"/>
  <c r="B29" i="6"/>
  <c r="R29" i="6" s="1"/>
  <c r="B37" i="6"/>
  <c r="R37" i="6" s="1"/>
  <c r="B45" i="6"/>
  <c r="P45" i="6" s="1"/>
  <c r="S45" i="6" s="1"/>
  <c r="B53" i="6"/>
  <c r="R53" i="6" s="1"/>
  <c r="B61" i="6"/>
  <c r="R61" i="6" s="1"/>
  <c r="B69" i="6"/>
  <c r="R69" i="6" s="1"/>
  <c r="C132" i="6"/>
  <c r="C140" i="6"/>
  <c r="C148" i="6"/>
  <c r="C156" i="6"/>
  <c r="C164" i="6"/>
  <c r="C172" i="6"/>
  <c r="C180" i="6"/>
  <c r="C188" i="6"/>
  <c r="B245" i="6"/>
  <c r="Q245" i="6" s="1"/>
  <c r="B253" i="6"/>
  <c r="P253" i="6" s="1"/>
  <c r="S253" i="6" s="1"/>
  <c r="B261" i="6"/>
  <c r="Q261" i="6" s="1"/>
  <c r="B269" i="6"/>
  <c r="Q269" i="6" s="1"/>
  <c r="B277" i="6"/>
  <c r="Q277" i="6" s="1"/>
  <c r="B285" i="6"/>
  <c r="P285" i="6" s="1"/>
  <c r="S285" i="6" s="1"/>
  <c r="B293" i="6"/>
  <c r="R293" i="6" s="1"/>
  <c r="N293" i="6" s="1"/>
  <c r="B301" i="6"/>
  <c r="O301" i="6" s="1"/>
  <c r="T301" i="6" s="1"/>
  <c r="B309" i="6"/>
  <c r="P309" i="6" s="1"/>
  <c r="S309" i="6" s="1"/>
  <c r="B317" i="6"/>
  <c r="O317" i="6" s="1"/>
  <c r="T317" i="6" s="1"/>
  <c r="B325" i="6"/>
  <c r="P325" i="6" s="1"/>
  <c r="S325" i="6" s="1"/>
  <c r="B333" i="6"/>
  <c r="O333" i="6" s="1"/>
  <c r="T333" i="6" s="1"/>
  <c r="B341" i="6"/>
  <c r="O341" i="6" s="1"/>
  <c r="T341" i="6" s="1"/>
  <c r="B349" i="6"/>
  <c r="O349" i="6" s="1"/>
  <c r="T349" i="6" s="1"/>
  <c r="B357" i="6"/>
  <c r="O357" i="6" s="1"/>
  <c r="T357" i="6" s="1"/>
  <c r="B365" i="6"/>
  <c r="O365" i="6" s="1"/>
  <c r="T365" i="6" s="1"/>
  <c r="B381" i="6"/>
  <c r="P381" i="6" s="1"/>
  <c r="S381" i="6" s="1"/>
  <c r="B389" i="6"/>
  <c r="Q389" i="6" s="1"/>
  <c r="B397" i="6"/>
  <c r="O397" i="6" s="1"/>
  <c r="T397" i="6" s="1"/>
  <c r="B405" i="6"/>
  <c r="Q405" i="6" s="1"/>
  <c r="B413" i="6"/>
  <c r="R413" i="6" s="1"/>
  <c r="N413" i="6" s="1"/>
  <c r="B421" i="6"/>
  <c r="Q421" i="6" s="1"/>
  <c r="B429" i="6"/>
  <c r="P429" i="6" s="1"/>
  <c r="S429" i="6" s="1"/>
  <c r="B445" i="6"/>
  <c r="O445" i="6" s="1"/>
  <c r="T445" i="6" s="1"/>
  <c r="B453" i="6"/>
  <c r="Q453" i="6" s="1"/>
  <c r="B461" i="6"/>
  <c r="P461" i="6" s="1"/>
  <c r="S461" i="6" s="1"/>
  <c r="B469" i="6"/>
  <c r="P469" i="6" s="1"/>
  <c r="S469" i="6" s="1"/>
  <c r="B477" i="6"/>
  <c r="R477" i="6" s="1"/>
  <c r="B493" i="6"/>
  <c r="P493" i="6" s="1"/>
  <c r="S493" i="6" s="1"/>
  <c r="C548" i="6"/>
  <c r="C556" i="6"/>
  <c r="C564" i="6"/>
  <c r="C572" i="6"/>
  <c r="C580" i="6"/>
  <c r="C588" i="6"/>
  <c r="C596" i="6"/>
  <c r="C604" i="6"/>
  <c r="C612" i="6"/>
  <c r="C620" i="6"/>
  <c r="B621" i="6"/>
  <c r="R621" i="6" s="1"/>
  <c r="C628" i="6"/>
  <c r="C636" i="6"/>
  <c r="C644" i="6"/>
  <c r="E29" i="6"/>
  <c r="E37" i="6"/>
  <c r="E45" i="6"/>
  <c r="E53" i="6"/>
  <c r="E61" i="6"/>
  <c r="E69" i="6"/>
  <c r="E77" i="6"/>
  <c r="E93" i="6"/>
  <c r="E245" i="6"/>
  <c r="E253" i="6"/>
  <c r="E261" i="6"/>
  <c r="E269" i="6"/>
  <c r="E277" i="6"/>
  <c r="E285" i="6"/>
  <c r="E293" i="6"/>
  <c r="E301" i="6"/>
  <c r="E309" i="6"/>
  <c r="E453" i="6"/>
  <c r="E461" i="6"/>
  <c r="E469" i="6"/>
  <c r="E477" i="6"/>
  <c r="E485" i="6"/>
  <c r="E493" i="6"/>
  <c r="E637" i="6"/>
  <c r="E645" i="6"/>
  <c r="B18" i="4"/>
  <c r="B22" i="4"/>
  <c r="B26" i="4"/>
  <c r="B30" i="4"/>
  <c r="B34" i="4"/>
  <c r="B38" i="4"/>
  <c r="B42" i="4"/>
  <c r="B46" i="4"/>
  <c r="B50" i="4"/>
  <c r="B54" i="4"/>
  <c r="B58" i="4"/>
  <c r="B62" i="4"/>
  <c r="B66" i="4"/>
  <c r="B70" i="4"/>
  <c r="B74" i="4"/>
  <c r="B78" i="4"/>
  <c r="B82" i="4"/>
  <c r="B86" i="4"/>
  <c r="B90" i="4"/>
  <c r="B84" i="6"/>
  <c r="R84" i="6" s="1"/>
  <c r="B100" i="6"/>
  <c r="P100" i="6" s="1"/>
  <c r="S100" i="6" s="1"/>
  <c r="B108" i="6"/>
  <c r="R108" i="6" s="1"/>
  <c r="B132" i="6"/>
  <c r="Q132" i="6" s="1"/>
  <c r="B140" i="6"/>
  <c r="R140" i="6" s="1"/>
  <c r="B148" i="6"/>
  <c r="Q148" i="6" s="1"/>
  <c r="B164" i="6"/>
  <c r="Q164" i="6" s="1"/>
  <c r="B188" i="6"/>
  <c r="R188" i="6" s="1"/>
  <c r="B196" i="6"/>
  <c r="Q196" i="6" s="1"/>
  <c r="B204" i="6"/>
  <c r="O204" i="6" s="1"/>
  <c r="T204" i="6" s="1"/>
  <c r="B460" i="6"/>
  <c r="P460" i="6" s="1"/>
  <c r="S460" i="6" s="1"/>
  <c r="B468" i="6"/>
  <c r="O468" i="6" s="1"/>
  <c r="T468" i="6" s="1"/>
  <c r="B484" i="6"/>
  <c r="Q484" i="6" s="1"/>
  <c r="B500" i="6"/>
  <c r="R500" i="6" s="1"/>
  <c r="B508" i="6"/>
  <c r="Q508" i="6" s="1"/>
  <c r="B516" i="6"/>
  <c r="O516" i="6" s="1"/>
  <c r="T516" i="6" s="1"/>
  <c r="B524" i="6"/>
  <c r="Q524" i="6" s="1"/>
  <c r="B532" i="6"/>
  <c r="Q532" i="6" s="1"/>
  <c r="B540" i="6"/>
  <c r="Q540" i="6" s="1"/>
  <c r="B548" i="6"/>
  <c r="O548" i="6" s="1"/>
  <c r="T548" i="6" s="1"/>
  <c r="B556" i="6"/>
  <c r="R556" i="6" s="1"/>
  <c r="B564" i="6"/>
  <c r="Q564" i="6" s="1"/>
  <c r="B572" i="6"/>
  <c r="Q572" i="6" s="1"/>
  <c r="B588" i="6"/>
  <c r="O588" i="6" s="1"/>
  <c r="T588" i="6" s="1"/>
  <c r="B596" i="6"/>
  <c r="O596" i="6" s="1"/>
  <c r="T596" i="6" s="1"/>
  <c r="B604" i="6"/>
  <c r="P604" i="6" s="1"/>
  <c r="S604" i="6" s="1"/>
  <c r="B612" i="6"/>
  <c r="O612" i="6" s="1"/>
  <c r="T612" i="6" s="1"/>
  <c r="B620" i="6"/>
  <c r="O620" i="6" s="1"/>
  <c r="T620" i="6" s="1"/>
  <c r="B628" i="6"/>
  <c r="P628" i="6" s="1"/>
  <c r="S628" i="6" s="1"/>
  <c r="B636" i="6"/>
  <c r="P636" i="6" s="1"/>
  <c r="S636" i="6" s="1"/>
  <c r="B644" i="6"/>
  <c r="Q644" i="6" s="1"/>
  <c r="B116" i="6"/>
  <c r="Q116" i="6" s="1"/>
  <c r="B124" i="6"/>
  <c r="R124" i="6" s="1"/>
  <c r="B172" i="6"/>
  <c r="P172" i="6" s="1"/>
  <c r="S172" i="6" s="1"/>
  <c r="B212" i="6"/>
  <c r="Q212" i="6" s="1"/>
  <c r="B220" i="6"/>
  <c r="P220" i="6" s="1"/>
  <c r="S220" i="6" s="1"/>
  <c r="B228" i="6"/>
  <c r="O228" i="6" s="1"/>
  <c r="T228" i="6" s="1"/>
  <c r="B236" i="6"/>
  <c r="O236" i="6" s="1"/>
  <c r="T236" i="6" s="1"/>
  <c r="M196" i="6"/>
  <c r="M204" i="6"/>
  <c r="M212" i="6"/>
  <c r="M220" i="6"/>
  <c r="M228" i="6"/>
  <c r="M236" i="6"/>
  <c r="M244" i="6"/>
  <c r="M252" i="6"/>
  <c r="M268" i="6"/>
  <c r="M276" i="6"/>
  <c r="M284" i="6"/>
  <c r="M300" i="6"/>
  <c r="M308" i="6"/>
  <c r="M324" i="6"/>
  <c r="M332" i="6"/>
  <c r="M340" i="6"/>
  <c r="M348" i="6"/>
  <c r="M356" i="6"/>
  <c r="M364" i="6"/>
  <c r="M372" i="6"/>
  <c r="M380" i="6"/>
  <c r="M388" i="6"/>
  <c r="M396" i="6"/>
  <c r="M404" i="6"/>
  <c r="M412" i="6"/>
  <c r="M420" i="6"/>
  <c r="M428" i="6"/>
  <c r="M436" i="6"/>
  <c r="M444" i="6"/>
  <c r="M452" i="6"/>
  <c r="M540" i="6"/>
  <c r="M548" i="6"/>
  <c r="M556" i="6"/>
  <c r="M564" i="6"/>
  <c r="M572" i="6"/>
  <c r="M588" i="6"/>
  <c r="M596" i="6"/>
  <c r="M604" i="6"/>
  <c r="M612" i="6"/>
  <c r="M620" i="6"/>
  <c r="M628" i="6"/>
  <c r="M636" i="6"/>
  <c r="M644" i="6"/>
  <c r="B94" i="4"/>
  <c r="B98" i="4"/>
  <c r="B102" i="4"/>
  <c r="B106" i="4"/>
  <c r="B110" i="4"/>
  <c r="B114" i="4"/>
  <c r="B118" i="4"/>
  <c r="B122" i="4"/>
  <c r="B126" i="4"/>
  <c r="B130" i="4"/>
  <c r="B134" i="4"/>
  <c r="B138" i="4"/>
  <c r="B142" i="4"/>
  <c r="B146" i="4"/>
  <c r="B150" i="4"/>
  <c r="G2002" i="6"/>
  <c r="E638" i="6"/>
  <c r="E646" i="6"/>
  <c r="N1930" i="6"/>
  <c r="I1939" i="6"/>
  <c r="C135" i="6"/>
  <c r="C151" i="6"/>
  <c r="C71" i="6"/>
  <c r="C103" i="6"/>
  <c r="C119" i="6"/>
  <c r="C167" i="6"/>
  <c r="C183" i="6"/>
  <c r="C239" i="6"/>
  <c r="M72" i="6"/>
  <c r="M88" i="6"/>
  <c r="M96" i="6"/>
  <c r="M104" i="6"/>
  <c r="M112" i="6"/>
  <c r="M120" i="6"/>
  <c r="M128" i="6"/>
  <c r="M136" i="6"/>
  <c r="M144" i="6"/>
  <c r="M152" i="6"/>
  <c r="M160" i="6"/>
  <c r="M168" i="6"/>
  <c r="M176" i="6"/>
  <c r="M184" i="6"/>
  <c r="M192" i="6"/>
  <c r="M200" i="6"/>
  <c r="M208" i="6"/>
  <c r="M216" i="6"/>
  <c r="M224" i="6"/>
  <c r="M232" i="6"/>
  <c r="M320" i="6"/>
  <c r="M328" i="6"/>
  <c r="M336" i="6"/>
  <c r="M344" i="6"/>
  <c r="M352" i="6"/>
  <c r="M360" i="6"/>
  <c r="M368" i="6"/>
  <c r="M376" i="6"/>
  <c r="M384" i="6"/>
  <c r="M392" i="6"/>
  <c r="M400" i="6"/>
  <c r="M408" i="6"/>
  <c r="M416" i="6"/>
  <c r="M424" i="6"/>
  <c r="M432" i="6"/>
  <c r="M496" i="6"/>
  <c r="M576" i="6"/>
  <c r="M584" i="6"/>
  <c r="M592" i="6"/>
  <c r="M600" i="6"/>
  <c r="M608" i="6"/>
  <c r="M616" i="6"/>
  <c r="M624" i="6"/>
  <c r="M23" i="6"/>
  <c r="M239" i="6"/>
  <c r="M271" i="6"/>
  <c r="M279" i="6"/>
  <c r="M295" i="6"/>
  <c r="M31" i="6"/>
  <c r="M47" i="6"/>
  <c r="M55" i="6"/>
  <c r="M79" i="6"/>
  <c r="M247" i="6"/>
  <c r="M255" i="6"/>
  <c r="M303" i="6"/>
  <c r="E160" i="6"/>
  <c r="E200" i="6"/>
  <c r="E208" i="6"/>
  <c r="E224" i="6"/>
  <c r="E232" i="6"/>
  <c r="E248" i="6"/>
  <c r="E264" i="6"/>
  <c r="E296" i="6"/>
  <c r="E304" i="6"/>
  <c r="E320" i="6"/>
  <c r="E328" i="6"/>
  <c r="E336" i="6"/>
  <c r="E344" i="6"/>
  <c r="E352" i="6"/>
  <c r="E360" i="6"/>
  <c r="E368" i="6"/>
  <c r="E376" i="6"/>
  <c r="E384" i="6"/>
  <c r="E392" i="6"/>
  <c r="E400" i="6"/>
  <c r="E408" i="6"/>
  <c r="E416" i="6"/>
  <c r="E424" i="6"/>
  <c r="E432" i="6"/>
  <c r="E448" i="6"/>
  <c r="E496" i="6"/>
  <c r="E536" i="6"/>
  <c r="E544" i="6"/>
  <c r="E552" i="6"/>
  <c r="E560" i="6"/>
  <c r="E568" i="6"/>
  <c r="M7" i="6"/>
  <c r="M15" i="6"/>
  <c r="M39" i="6"/>
  <c r="M63" i="6"/>
  <c r="M263" i="6"/>
  <c r="M287" i="6"/>
  <c r="E144" i="6"/>
  <c r="E152" i="6"/>
  <c r="E168" i="6"/>
  <c r="E176" i="6"/>
  <c r="E184" i="6"/>
  <c r="E192" i="6"/>
  <c r="E216" i="6"/>
  <c r="E240" i="6"/>
  <c r="E272" i="6"/>
  <c r="E280" i="6"/>
  <c r="E288" i="6"/>
  <c r="E312" i="6"/>
  <c r="C247" i="6"/>
  <c r="C255" i="6"/>
  <c r="C271" i="6"/>
  <c r="C279" i="6"/>
  <c r="C287" i="6"/>
  <c r="C295" i="6"/>
  <c r="C303" i="6"/>
  <c r="C319" i="6"/>
  <c r="C327" i="6"/>
  <c r="C335" i="6"/>
  <c r="C343" i="6"/>
  <c r="C351" i="6"/>
  <c r="C359" i="6"/>
  <c r="C367" i="6"/>
  <c r="C375" i="6"/>
  <c r="C391" i="6"/>
  <c r="C399" i="6"/>
  <c r="C407" i="6"/>
  <c r="C415" i="6"/>
  <c r="C423" i="6"/>
  <c r="C431" i="6"/>
  <c r="C439" i="6"/>
  <c r="C447" i="6"/>
  <c r="C551" i="6"/>
  <c r="C559" i="6"/>
  <c r="C567" i="6"/>
  <c r="C575" i="6"/>
  <c r="C583" i="6"/>
  <c r="C385" i="6"/>
  <c r="C393" i="6"/>
  <c r="C401" i="6"/>
  <c r="C409" i="6"/>
  <c r="C417" i="6"/>
  <c r="C425" i="6"/>
  <c r="C433" i="6"/>
  <c r="C441" i="6"/>
  <c r="C449" i="6"/>
  <c r="D1904" i="6"/>
  <c r="D188" i="6"/>
  <c r="H1586" i="6"/>
  <c r="M84" i="6"/>
  <c r="M100" i="6"/>
  <c r="M108" i="6"/>
  <c r="M116" i="6"/>
  <c r="M124" i="6"/>
  <c r="M132" i="6"/>
  <c r="M140" i="6"/>
  <c r="M148" i="6"/>
  <c r="M164" i="6"/>
  <c r="M172" i="6"/>
  <c r="M180" i="6"/>
  <c r="M188" i="6"/>
  <c r="E634" i="6"/>
  <c r="E5" i="6"/>
  <c r="E13" i="6"/>
  <c r="B371" i="6"/>
  <c r="P371" i="6" s="1"/>
  <c r="S371" i="6" s="1"/>
  <c r="B387" i="6"/>
  <c r="Q387" i="6" s="1"/>
  <c r="B395" i="6"/>
  <c r="P395" i="6" s="1"/>
  <c r="S395" i="6" s="1"/>
  <c r="B403" i="6"/>
  <c r="Q403" i="6" s="1"/>
  <c r="B411" i="6"/>
  <c r="R411" i="6" s="1"/>
  <c r="N411" i="6" s="1"/>
  <c r="B419" i="6"/>
  <c r="R419" i="6" s="1"/>
  <c r="N419" i="6" s="1"/>
  <c r="B427" i="6"/>
  <c r="R427" i="6" s="1"/>
  <c r="N427" i="6" s="1"/>
  <c r="B435" i="6"/>
  <c r="R435" i="6" s="1"/>
  <c r="N435" i="6" s="1"/>
  <c r="B443" i="6"/>
  <c r="R443" i="6" s="1"/>
  <c r="N443" i="6" s="1"/>
  <c r="B451" i="6"/>
  <c r="Q451" i="6" s="1"/>
  <c r="B459" i="6"/>
  <c r="P459" i="6" s="1"/>
  <c r="S459" i="6" s="1"/>
  <c r="B467" i="6"/>
  <c r="P467" i="6" s="1"/>
  <c r="S467" i="6" s="1"/>
  <c r="B475" i="6"/>
  <c r="Q475" i="6" s="1"/>
  <c r="B491" i="6"/>
  <c r="P491" i="6" s="1"/>
  <c r="S491" i="6" s="1"/>
  <c r="C578" i="6"/>
  <c r="C586" i="6"/>
  <c r="C594" i="6"/>
  <c r="C602" i="6"/>
  <c r="C626" i="6"/>
  <c r="J574" i="6"/>
  <c r="F1923" i="6"/>
  <c r="C20" i="4"/>
  <c r="C24" i="4"/>
  <c r="C30" i="4"/>
  <c r="C46" i="4"/>
  <c r="D46" i="4" s="1"/>
  <c r="C56" i="4"/>
  <c r="C60" i="4"/>
  <c r="C64" i="4"/>
  <c r="C68" i="4"/>
  <c r="C72" i="4"/>
  <c r="C76" i="4"/>
  <c r="C78" i="4"/>
  <c r="C80" i="4"/>
  <c r="C84" i="4"/>
  <c r="C88" i="4"/>
  <c r="C92" i="4"/>
  <c r="C96" i="4"/>
  <c r="C100" i="4"/>
  <c r="C104" i="4"/>
  <c r="C108" i="4"/>
  <c r="C112" i="4"/>
  <c r="C116" i="4"/>
  <c r="C120" i="4"/>
  <c r="C124" i="4"/>
  <c r="C128" i="4"/>
  <c r="C132" i="4"/>
  <c r="C140" i="4"/>
  <c r="C144" i="4"/>
  <c r="C148" i="4"/>
  <c r="C152" i="4"/>
  <c r="C156" i="4"/>
  <c r="C158" i="4"/>
  <c r="C160" i="4"/>
  <c r="C164" i="4"/>
  <c r="C168" i="4"/>
  <c r="C172" i="4"/>
  <c r="C174" i="4"/>
  <c r="C176" i="4"/>
  <c r="C180" i="4"/>
  <c r="C184" i="4"/>
  <c r="C188" i="4"/>
  <c r="C190" i="4"/>
  <c r="C192" i="4"/>
  <c r="C196" i="4"/>
  <c r="C200" i="4"/>
  <c r="C202" i="4"/>
  <c r="C204" i="4"/>
  <c r="C206" i="4"/>
  <c r="C208" i="4"/>
  <c r="C212" i="4"/>
  <c r="C28" i="4"/>
  <c r="C32" i="4"/>
  <c r="C36" i="4"/>
  <c r="C40" i="4"/>
  <c r="C44" i="4"/>
  <c r="C48" i="4"/>
  <c r="C52" i="4"/>
  <c r="C62" i="4"/>
  <c r="C94" i="4"/>
  <c r="C110" i="4"/>
  <c r="C126" i="4"/>
  <c r="C136" i="4"/>
  <c r="C142" i="4"/>
  <c r="M578" i="6"/>
  <c r="M586" i="6"/>
  <c r="M594" i="6"/>
  <c r="M602" i="6"/>
  <c r="M610" i="6"/>
  <c r="M618" i="6"/>
  <c r="M626" i="6"/>
  <c r="B634" i="6"/>
  <c r="P634" i="6" s="1"/>
  <c r="S634" i="6" s="1"/>
  <c r="M74" i="6"/>
  <c r="M82" i="6"/>
  <c r="M90" i="6"/>
  <c r="M98" i="6"/>
  <c r="M106" i="6"/>
  <c r="M114" i="6"/>
  <c r="M122" i="6"/>
  <c r="M130" i="6"/>
  <c r="M154" i="6"/>
  <c r="M162" i="6"/>
  <c r="M170" i="6"/>
  <c r="M178" i="6"/>
  <c r="M186" i="6"/>
  <c r="I505" i="6"/>
  <c r="E1126" i="6"/>
  <c r="B1945" i="6"/>
  <c r="Q1945" i="6" s="1"/>
  <c r="F1990" i="6"/>
  <c r="E11" i="6"/>
  <c r="E19" i="6"/>
  <c r="B241" i="6"/>
  <c r="O241" i="6" s="1"/>
  <c r="T241" i="6" s="1"/>
  <c r="B249" i="6"/>
  <c r="O249" i="6" s="1"/>
  <c r="T249" i="6" s="1"/>
  <c r="B257" i="6"/>
  <c r="R257" i="6" s="1"/>
  <c r="B265" i="6"/>
  <c r="O265" i="6" s="1"/>
  <c r="T265" i="6" s="1"/>
  <c r="B273" i="6"/>
  <c r="O273" i="6" s="1"/>
  <c r="T273" i="6" s="1"/>
  <c r="B369" i="6"/>
  <c r="P369" i="6" s="1"/>
  <c r="S369" i="6" s="1"/>
  <c r="B385" i="6"/>
  <c r="Q385" i="6" s="1"/>
  <c r="B393" i="6"/>
  <c r="R393" i="6" s="1"/>
  <c r="B401" i="6"/>
  <c r="P401" i="6" s="1"/>
  <c r="S401" i="6" s="1"/>
  <c r="B409" i="6"/>
  <c r="R409" i="6" s="1"/>
  <c r="B417" i="6"/>
  <c r="P417" i="6" s="1"/>
  <c r="S417" i="6" s="1"/>
  <c r="B425" i="6"/>
  <c r="R425" i="6" s="1"/>
  <c r="B433" i="6"/>
  <c r="R433" i="6" s="1"/>
  <c r="B441" i="6"/>
  <c r="Q441" i="6" s="1"/>
  <c r="B449" i="6"/>
  <c r="R449" i="6" s="1"/>
  <c r="B457" i="6"/>
  <c r="P457" i="6" s="1"/>
  <c r="S457" i="6" s="1"/>
  <c r="B465" i="6"/>
  <c r="R465" i="6" s="1"/>
  <c r="B473" i="6"/>
  <c r="O473" i="6" s="1"/>
  <c r="T473" i="6" s="1"/>
  <c r="B481" i="6"/>
  <c r="P481" i="6" s="1"/>
  <c r="S481" i="6" s="1"/>
  <c r="B489" i="6"/>
  <c r="P489" i="6" s="1"/>
  <c r="S489" i="6" s="1"/>
  <c r="B497" i="6"/>
  <c r="R497" i="6" s="1"/>
  <c r="C544" i="6"/>
  <c r="C552" i="6"/>
  <c r="C560" i="6"/>
  <c r="C568" i="6"/>
  <c r="I1064" i="6"/>
  <c r="G1126" i="6"/>
  <c r="G1834" i="6"/>
  <c r="F1897" i="6"/>
  <c r="M1986" i="6"/>
  <c r="M536" i="6"/>
  <c r="M544" i="6"/>
  <c r="M552" i="6"/>
  <c r="M560" i="6"/>
  <c r="M568" i="6"/>
  <c r="C639" i="6"/>
  <c r="B11" i="6"/>
  <c r="R11" i="6" s="1"/>
  <c r="B19" i="6"/>
  <c r="R19" i="6" s="1"/>
  <c r="C74" i="6"/>
  <c r="C90" i="6"/>
  <c r="C98" i="6"/>
  <c r="C106" i="6"/>
  <c r="C114" i="6"/>
  <c r="C122" i="6"/>
  <c r="C130" i="6"/>
  <c r="C154" i="6"/>
  <c r="C162" i="6"/>
  <c r="C170" i="6"/>
  <c r="C178" i="6"/>
  <c r="C186" i="6"/>
  <c r="E489" i="6"/>
  <c r="F1809" i="6"/>
  <c r="F1816" i="6"/>
  <c r="D1900" i="6"/>
  <c r="M1989" i="6"/>
  <c r="E21" i="6"/>
  <c r="B23" i="6"/>
  <c r="R23" i="6" s="1"/>
  <c r="C78" i="6"/>
  <c r="C94" i="6"/>
  <c r="C102" i="6"/>
  <c r="C110" i="6"/>
  <c r="C118" i="6"/>
  <c r="C126" i="6"/>
  <c r="C194" i="6"/>
  <c r="C202" i="6"/>
  <c r="C210" i="6"/>
  <c r="C218" i="6"/>
  <c r="N218" i="6" s="1"/>
  <c r="C226" i="6"/>
  <c r="C234" i="6"/>
  <c r="B323" i="6"/>
  <c r="O323" i="6" s="1"/>
  <c r="T323" i="6" s="1"/>
  <c r="B339" i="6"/>
  <c r="O339" i="6" s="1"/>
  <c r="T339" i="6" s="1"/>
  <c r="B347" i="6"/>
  <c r="O347" i="6" s="1"/>
  <c r="T347" i="6" s="1"/>
  <c r="B355" i="6"/>
  <c r="O355" i="6" s="1"/>
  <c r="T355" i="6" s="1"/>
  <c r="B363" i="6"/>
  <c r="O363" i="6" s="1"/>
  <c r="T363" i="6" s="1"/>
  <c r="C582" i="6"/>
  <c r="C590" i="6"/>
  <c r="C598" i="6"/>
  <c r="C606" i="6"/>
  <c r="C622" i="6"/>
  <c r="C630" i="6"/>
  <c r="M632" i="6"/>
  <c r="E968" i="6"/>
  <c r="E1063" i="6"/>
  <c r="H1093" i="6"/>
  <c r="H127" i="6"/>
  <c r="H364" i="6"/>
  <c r="E584" i="6"/>
  <c r="E592" i="6"/>
  <c r="E616" i="6"/>
  <c r="E624" i="6"/>
  <c r="E576" i="6"/>
  <c r="E608" i="6"/>
  <c r="M78" i="6"/>
  <c r="M94" i="6"/>
  <c r="M102" i="6"/>
  <c r="M110" i="6"/>
  <c r="M118" i="6"/>
  <c r="M126" i="6"/>
  <c r="M194" i="6"/>
  <c r="M202" i="6"/>
  <c r="M210" i="6"/>
  <c r="M218" i="6"/>
  <c r="M226" i="6"/>
  <c r="M234" i="6"/>
  <c r="M370" i="6"/>
  <c r="M378" i="6"/>
  <c r="M386" i="6"/>
  <c r="M394" i="6"/>
  <c r="M402" i="6"/>
  <c r="M410" i="6"/>
  <c r="M418" i="6"/>
  <c r="M426" i="6"/>
  <c r="M434" i="6"/>
  <c r="M442" i="6"/>
  <c r="M450" i="6"/>
  <c r="M498" i="6"/>
  <c r="M582" i="6"/>
  <c r="M590" i="6"/>
  <c r="M598" i="6"/>
  <c r="M606" i="6"/>
  <c r="M614" i="6"/>
  <c r="M622" i="6"/>
  <c r="M630" i="6"/>
  <c r="B638" i="6"/>
  <c r="P638" i="6" s="1"/>
  <c r="S638" i="6" s="1"/>
  <c r="B646" i="6"/>
  <c r="R646" i="6" s="1"/>
  <c r="N646" i="6" s="1"/>
  <c r="D19" i="6"/>
  <c r="F1901" i="6"/>
  <c r="H1915" i="6"/>
  <c r="I1922" i="6"/>
  <c r="J1942" i="6"/>
  <c r="J1993" i="6"/>
  <c r="E600" i="6"/>
  <c r="E632" i="6"/>
  <c r="E23" i="6"/>
  <c r="C100" i="6"/>
  <c r="C108" i="6"/>
  <c r="C116" i="6"/>
  <c r="C124" i="6"/>
  <c r="C196" i="6"/>
  <c r="C204" i="6"/>
  <c r="C212" i="6"/>
  <c r="C220" i="6"/>
  <c r="C236" i="6"/>
  <c r="B281" i="6"/>
  <c r="O281" i="6" s="1"/>
  <c r="T281" i="6" s="1"/>
  <c r="B289" i="6"/>
  <c r="O289" i="6" s="1"/>
  <c r="T289" i="6" s="1"/>
  <c r="B297" i="6"/>
  <c r="O297" i="6" s="1"/>
  <c r="T297" i="6" s="1"/>
  <c r="B305" i="6"/>
  <c r="O305" i="6" s="1"/>
  <c r="T305" i="6" s="1"/>
  <c r="B313" i="6"/>
  <c r="O313" i="6" s="1"/>
  <c r="T313" i="6" s="1"/>
  <c r="E511" i="6"/>
  <c r="E519" i="6"/>
  <c r="E527" i="6"/>
  <c r="C576" i="6"/>
  <c r="C584" i="6"/>
  <c r="C592" i="6"/>
  <c r="C600" i="6"/>
  <c r="C608" i="6"/>
  <c r="C616" i="6"/>
  <c r="M638" i="6"/>
  <c r="M646" i="6"/>
  <c r="F274" i="6"/>
  <c r="D1440" i="6"/>
  <c r="L608" i="6"/>
  <c r="F248" i="6"/>
  <c r="D617" i="6"/>
  <c r="J1183" i="6"/>
  <c r="G1485" i="6"/>
  <c r="B1540" i="6"/>
  <c r="Q1540" i="6" s="1"/>
  <c r="L617" i="6"/>
  <c r="D15" i="6"/>
  <c r="H330" i="6"/>
  <c r="J946" i="6"/>
  <c r="H216" i="6"/>
  <c r="H262" i="6"/>
  <c r="G1131" i="6"/>
  <c r="C1224" i="6"/>
  <c r="C1271" i="6"/>
  <c r="K1334" i="6"/>
  <c r="B1378" i="6"/>
  <c r="R1378" i="6" s="1"/>
  <c r="K1548" i="6"/>
  <c r="D1602" i="6"/>
  <c r="F1801" i="6"/>
  <c r="L278" i="6"/>
  <c r="G362" i="6"/>
  <c r="B894" i="6"/>
  <c r="O894" i="6" s="1"/>
  <c r="T894" i="6" s="1"/>
  <c r="B1342" i="6"/>
  <c r="Q1342" i="6" s="1"/>
  <c r="M1521" i="6"/>
  <c r="H1342" i="6"/>
  <c r="D426" i="6"/>
  <c r="D82" i="6"/>
  <c r="D105" i="6"/>
  <c r="L467" i="6"/>
  <c r="H891" i="6"/>
  <c r="B1207" i="6"/>
  <c r="R1207" i="6" s="1"/>
  <c r="K104" i="6"/>
  <c r="G164" i="6"/>
  <c r="G248" i="6"/>
  <c r="C919" i="6"/>
  <c r="J968" i="6"/>
  <c r="G1134" i="6"/>
  <c r="F1210" i="6"/>
  <c r="F1294" i="6"/>
  <c r="G1584" i="6"/>
  <c r="K1833" i="6"/>
  <c r="F1846" i="6"/>
  <c r="J919" i="6"/>
  <c r="L1294" i="6"/>
  <c r="N1584" i="6"/>
  <c r="H1754" i="6"/>
  <c r="E1761" i="6"/>
  <c r="K1774" i="6"/>
  <c r="E1794" i="6"/>
  <c r="L919" i="6"/>
  <c r="H362" i="6"/>
  <c r="H462" i="6"/>
  <c r="E885" i="6"/>
  <c r="E943" i="6"/>
  <c r="D1493" i="6"/>
  <c r="C1508" i="6"/>
  <c r="K1543" i="6"/>
  <c r="E1565" i="6"/>
  <c r="J1572" i="6"/>
  <c r="F1662" i="6"/>
  <c r="N1770" i="6"/>
  <c r="I1775" i="6"/>
  <c r="F1872" i="6"/>
  <c r="H1662" i="6"/>
  <c r="D312" i="6"/>
  <c r="L370" i="6"/>
  <c r="I571" i="6"/>
  <c r="D585" i="6"/>
  <c r="D592" i="6"/>
  <c r="K691" i="6"/>
  <c r="L980" i="6"/>
  <c r="H1051" i="6"/>
  <c r="M1201" i="6"/>
  <c r="F1292" i="6"/>
  <c r="G1410" i="6"/>
  <c r="G1539" i="6"/>
  <c r="G1792" i="6"/>
  <c r="L1126" i="6"/>
  <c r="L1342" i="6"/>
  <c r="C1373" i="6"/>
  <c r="N1618" i="6"/>
  <c r="H1798" i="6"/>
  <c r="M1804" i="6"/>
  <c r="G1832" i="6"/>
  <c r="C1845" i="6"/>
  <c r="D85" i="6"/>
  <c r="H100" i="6"/>
  <c r="K198" i="6"/>
  <c r="F242" i="6"/>
  <c r="F288" i="6"/>
  <c r="L294" i="6"/>
  <c r="F515" i="6"/>
  <c r="J553" i="6"/>
  <c r="I633" i="6"/>
  <c r="G765" i="6"/>
  <c r="G808" i="6"/>
  <c r="B880" i="6"/>
  <c r="R880" i="6" s="1"/>
  <c r="C909" i="6"/>
  <c r="J916" i="6"/>
  <c r="L931" i="6"/>
  <c r="B974" i="6"/>
  <c r="O974" i="6" s="1"/>
  <c r="T974" i="6" s="1"/>
  <c r="H1053" i="6"/>
  <c r="K1430" i="6"/>
  <c r="M1501" i="6"/>
  <c r="C1506" i="6"/>
  <c r="B1596" i="6"/>
  <c r="R1596" i="6" s="1"/>
  <c r="D1624" i="6"/>
  <c r="N1860" i="6"/>
  <c r="D5" i="6"/>
  <c r="L29" i="6"/>
  <c r="G106" i="6"/>
  <c r="G119" i="6"/>
  <c r="G236" i="6"/>
  <c r="H277" i="6"/>
  <c r="D282" i="6"/>
  <c r="H346" i="6"/>
  <c r="J387" i="6"/>
  <c r="K415" i="6"/>
  <c r="F452" i="6"/>
  <c r="D567" i="6"/>
  <c r="H611" i="6"/>
  <c r="F628" i="6"/>
  <c r="G824" i="6"/>
  <c r="F867" i="6"/>
  <c r="K951" i="6"/>
  <c r="M965" i="6"/>
  <c r="B1002" i="6"/>
  <c r="O1002" i="6" s="1"/>
  <c r="T1002" i="6" s="1"/>
  <c r="E1125" i="6"/>
  <c r="E1173" i="6"/>
  <c r="I1209" i="6"/>
  <c r="B1237" i="6"/>
  <c r="R1237" i="6" s="1"/>
  <c r="D1244" i="6"/>
  <c r="H1348" i="6"/>
  <c r="F1354" i="6"/>
  <c r="B1368" i="6"/>
  <c r="P1368" i="6" s="1"/>
  <c r="S1368" i="6" s="1"/>
  <c r="F1624" i="6"/>
  <c r="D37" i="6"/>
  <c r="L67" i="6"/>
  <c r="H106" i="6"/>
  <c r="J277" i="6"/>
  <c r="K395" i="6"/>
  <c r="D446" i="6"/>
  <c r="H452" i="6"/>
  <c r="H540" i="6"/>
  <c r="F562" i="6"/>
  <c r="I567" i="6"/>
  <c r="F602" i="6"/>
  <c r="I611" i="6"/>
  <c r="G628" i="6"/>
  <c r="I729" i="6"/>
  <c r="C773" i="6"/>
  <c r="B893" i="6"/>
  <c r="Q893" i="6" s="1"/>
  <c r="C898" i="6"/>
  <c r="K904" i="6"/>
  <c r="E917" i="6"/>
  <c r="D927" i="6"/>
  <c r="F932" i="6"/>
  <c r="L969" i="6"/>
  <c r="I989" i="6"/>
  <c r="E1002" i="6"/>
  <c r="K1017" i="6"/>
  <c r="B1084" i="6"/>
  <c r="R1084" i="6" s="1"/>
  <c r="G1144" i="6"/>
  <c r="B1195" i="6"/>
  <c r="Q1195" i="6" s="1"/>
  <c r="I1200" i="6"/>
  <c r="I1205" i="6"/>
  <c r="F1295" i="6"/>
  <c r="M1342" i="6"/>
  <c r="B1412" i="6"/>
  <c r="R1412" i="6" s="1"/>
  <c r="G1426" i="6"/>
  <c r="K1571" i="6"/>
  <c r="C1574" i="6"/>
  <c r="F1592" i="6"/>
  <c r="G1612" i="6"/>
  <c r="K1624" i="6"/>
  <c r="E1660" i="6"/>
  <c r="N1869" i="6"/>
  <c r="K1973" i="6"/>
  <c r="L106" i="6"/>
  <c r="H562" i="6"/>
  <c r="M773" i="6"/>
  <c r="E893" i="6"/>
  <c r="E1195" i="6"/>
  <c r="H1574" i="6"/>
  <c r="F266" i="6"/>
  <c r="F603" i="6"/>
  <c r="F612" i="6"/>
  <c r="M768" i="6"/>
  <c r="K883" i="6"/>
  <c r="D899" i="6"/>
  <c r="L941" i="6"/>
  <c r="I1114" i="6"/>
  <c r="I1145" i="6"/>
  <c r="C1183" i="6"/>
  <c r="G1195" i="6"/>
  <c r="F1296" i="6"/>
  <c r="N1350" i="6"/>
  <c r="M1356" i="6"/>
  <c r="B1413" i="6"/>
  <c r="O1413" i="6" s="1"/>
  <c r="T1413" i="6" s="1"/>
  <c r="J1427" i="6"/>
  <c r="H1440" i="6"/>
  <c r="F1454" i="6"/>
  <c r="D1485" i="6"/>
  <c r="H1504" i="6"/>
  <c r="H1572" i="6"/>
  <c r="L1574" i="6"/>
  <c r="H1593" i="6"/>
  <c r="E1711" i="6"/>
  <c r="M1734" i="6"/>
  <c r="D1968" i="6"/>
  <c r="B1974" i="6"/>
  <c r="O1974" i="6" s="1"/>
  <c r="T1974" i="6" s="1"/>
  <c r="D9" i="6"/>
  <c r="G15" i="6"/>
  <c r="J21" i="6"/>
  <c r="K84" i="6"/>
  <c r="G152" i="6"/>
  <c r="G182" i="6"/>
  <c r="G234" i="6"/>
  <c r="D344" i="6"/>
  <c r="G370" i="6"/>
  <c r="F491" i="6"/>
  <c r="L604" i="6"/>
  <c r="D609" i="6"/>
  <c r="D626" i="6"/>
  <c r="M748" i="6"/>
  <c r="C865" i="6"/>
  <c r="B919" i="6"/>
  <c r="P919" i="6" s="1"/>
  <c r="S919" i="6" s="1"/>
  <c r="C930" i="6"/>
  <c r="B968" i="6"/>
  <c r="O968" i="6" s="1"/>
  <c r="T968" i="6" s="1"/>
  <c r="J1000" i="6"/>
  <c r="H1087" i="6"/>
  <c r="E1294" i="6"/>
  <c r="N1485" i="6"/>
  <c r="D1505" i="6"/>
  <c r="L1572" i="6"/>
  <c r="C1627" i="6"/>
  <c r="H1634" i="6"/>
  <c r="B1649" i="6"/>
  <c r="P1649" i="6" s="1"/>
  <c r="S1649" i="6" s="1"/>
  <c r="K1692" i="6"/>
  <c r="C1706" i="6"/>
  <c r="C1798" i="6"/>
  <c r="F1955" i="6"/>
  <c r="J57" i="6"/>
  <c r="L57" i="6"/>
  <c r="I130" i="6"/>
  <c r="K130" i="6"/>
  <c r="D130" i="6"/>
  <c r="I610" i="6"/>
  <c r="J610" i="6"/>
  <c r="B734" i="6"/>
  <c r="P734" i="6" s="1"/>
  <c r="S734" i="6" s="1"/>
  <c r="J734" i="6"/>
  <c r="E734" i="6"/>
  <c r="M1148" i="6"/>
  <c r="G1148" i="6"/>
  <c r="B1148" i="6"/>
  <c r="Q1148" i="6" s="1"/>
  <c r="L1562" i="6"/>
  <c r="J1562" i="6"/>
  <c r="H1562" i="6"/>
  <c r="N1825" i="6"/>
  <c r="J1825" i="6"/>
  <c r="F1825" i="6"/>
  <c r="C1825" i="6"/>
  <c r="H1852" i="6"/>
  <c r="N1852" i="6"/>
  <c r="B1936" i="6"/>
  <c r="R1936" i="6" s="1"/>
  <c r="M1936" i="6"/>
  <c r="G1936" i="6"/>
  <c r="B399" i="6"/>
  <c r="R399" i="6" s="1"/>
  <c r="M492" i="6"/>
  <c r="J712" i="6"/>
  <c r="I712" i="6"/>
  <c r="D1290" i="6"/>
  <c r="M1290" i="6"/>
  <c r="F1290" i="6"/>
  <c r="B1290" i="6"/>
  <c r="R1290" i="6" s="1"/>
  <c r="I1307" i="6"/>
  <c r="F1307" i="6"/>
  <c r="E1541" i="6"/>
  <c r="N1541" i="6"/>
  <c r="G1541" i="6"/>
  <c r="B1541" i="6"/>
  <c r="Q1541" i="6" s="1"/>
  <c r="L199" i="6"/>
  <c r="D199" i="6"/>
  <c r="D607" i="6"/>
  <c r="F607" i="6"/>
  <c r="L945" i="6"/>
  <c r="N945" i="6"/>
  <c r="J1665" i="6"/>
  <c r="B1665" i="6"/>
  <c r="P1665" i="6" s="1"/>
  <c r="S1665" i="6" s="1"/>
  <c r="L1910" i="6"/>
  <c r="M1910" i="6"/>
  <c r="D1910" i="6"/>
  <c r="K1999" i="6"/>
  <c r="M1999" i="6"/>
  <c r="L45" i="6"/>
  <c r="G45" i="6"/>
  <c r="H141" i="6"/>
  <c r="K141" i="6"/>
  <c r="D141" i="6"/>
  <c r="I548" i="6"/>
  <c r="J548" i="6"/>
  <c r="F548" i="6"/>
  <c r="H1049" i="6"/>
  <c r="K1049" i="6"/>
  <c r="I1284" i="6"/>
  <c r="E1284" i="6"/>
  <c r="M1828" i="6"/>
  <c r="B1828" i="6"/>
  <c r="O1828" i="6" s="1"/>
  <c r="T1828" i="6" s="1"/>
  <c r="I1841" i="6"/>
  <c r="C1841" i="6"/>
  <c r="L1883" i="6"/>
  <c r="I1883" i="6"/>
  <c r="K187" i="6"/>
  <c r="I187" i="6"/>
  <c r="F374" i="6"/>
  <c r="D374" i="6"/>
  <c r="I568" i="6"/>
  <c r="K568" i="6"/>
  <c r="L933" i="6"/>
  <c r="C933" i="6"/>
  <c r="M1270" i="6"/>
  <c r="D1270" i="6"/>
  <c r="I1420" i="6"/>
  <c r="C1420" i="6"/>
  <c r="I1497" i="6"/>
  <c r="H1497" i="6"/>
  <c r="G1497" i="6"/>
  <c r="C1497" i="6"/>
  <c r="B1497" i="6"/>
  <c r="Q1497" i="6" s="1"/>
  <c r="I1988" i="6"/>
  <c r="M1988" i="6"/>
  <c r="E1988" i="6"/>
  <c r="B57" i="6"/>
  <c r="R57" i="6" s="1"/>
  <c r="M57" i="6"/>
  <c r="C610" i="6"/>
  <c r="H563" i="6"/>
  <c r="F563" i="6"/>
  <c r="E820" i="6"/>
  <c r="G820" i="6"/>
  <c r="D870" i="6"/>
  <c r="I870" i="6"/>
  <c r="N1326" i="6"/>
  <c r="J1326" i="6"/>
  <c r="B1326" i="6"/>
  <c r="Q1326" i="6" s="1"/>
  <c r="L1559" i="6"/>
  <c r="H1559" i="6"/>
  <c r="E1559" i="6"/>
  <c r="C1559" i="6"/>
  <c r="I1648" i="6"/>
  <c r="M1648" i="6"/>
  <c r="H1648" i="6"/>
  <c r="I136" i="6"/>
  <c r="K136" i="6"/>
  <c r="J136" i="6"/>
  <c r="D136" i="6"/>
  <c r="K363" i="6"/>
  <c r="H363" i="6"/>
  <c r="I558" i="6"/>
  <c r="G558" i="6"/>
  <c r="F962" i="6"/>
  <c r="I962" i="6"/>
  <c r="B962" i="6"/>
  <c r="Q962" i="6" s="1"/>
  <c r="I1525" i="6"/>
  <c r="M1525" i="6"/>
  <c r="C1525" i="6"/>
  <c r="H1583" i="6"/>
  <c r="E1583" i="6"/>
  <c r="M1836" i="6"/>
  <c r="G1836" i="6"/>
  <c r="N1941" i="6"/>
  <c r="K1941" i="6"/>
  <c r="M1975" i="6"/>
  <c r="H1975" i="6"/>
  <c r="D1975" i="6"/>
  <c r="K109" i="6"/>
  <c r="H109" i="6"/>
  <c r="G420" i="6"/>
  <c r="H420" i="6"/>
  <c r="K614" i="6"/>
  <c r="G614" i="6"/>
  <c r="J901" i="6"/>
  <c r="M901" i="6"/>
  <c r="D901" i="6"/>
  <c r="K1394" i="6"/>
  <c r="B1394" i="6"/>
  <c r="R1394" i="6" s="1"/>
  <c r="J1576" i="6"/>
  <c r="F1576" i="6"/>
  <c r="E1786" i="6"/>
  <c r="N1786" i="6"/>
  <c r="H1786" i="6"/>
  <c r="F1786" i="6"/>
  <c r="B1786" i="6"/>
  <c r="Q1786" i="6" s="1"/>
  <c r="C614" i="6"/>
  <c r="J100" i="6"/>
  <c r="K119" i="6"/>
  <c r="C1368" i="6"/>
  <c r="K1413" i="6"/>
  <c r="M1440" i="6"/>
  <c r="F1505" i="6"/>
  <c r="N1571" i="6"/>
  <c r="N1660" i="6"/>
  <c r="G1794" i="6"/>
  <c r="H1832" i="6"/>
  <c r="N1846" i="6"/>
  <c r="L1904" i="6"/>
  <c r="K1945" i="6"/>
  <c r="K70" i="6"/>
  <c r="D106" i="6"/>
  <c r="K148" i="6"/>
  <c r="D182" i="6"/>
  <c r="K194" i="6"/>
  <c r="L219" i="6"/>
  <c r="G226" i="6"/>
  <c r="H245" i="6"/>
  <c r="I250" i="6"/>
  <c r="L264" i="6"/>
  <c r="I313" i="6"/>
  <c r="D395" i="6"/>
  <c r="L644" i="6"/>
  <c r="D951" i="6"/>
  <c r="M1037" i="6"/>
  <c r="D1088" i="6"/>
  <c r="E1139" i="6"/>
  <c r="F1145" i="6"/>
  <c r="C1210" i="6"/>
  <c r="B1294" i="6"/>
  <c r="P1294" i="6" s="1"/>
  <c r="S1294" i="6" s="1"/>
  <c r="D1296" i="6"/>
  <c r="K1342" i="6"/>
  <c r="D1356" i="6"/>
  <c r="L1368" i="6"/>
  <c r="C1410" i="6"/>
  <c r="G1427" i="6"/>
  <c r="B1539" i="6"/>
  <c r="P1539" i="6" s="1"/>
  <c r="S1539" i="6" s="1"/>
  <c r="J1832" i="6"/>
  <c r="E1539" i="6"/>
  <c r="B1572" i="6"/>
  <c r="Q1572" i="6" s="1"/>
  <c r="F1574" i="6"/>
  <c r="D1584" i="6"/>
  <c r="D1588" i="6"/>
  <c r="C1624" i="6"/>
  <c r="C1748" i="6"/>
  <c r="F1829" i="6"/>
  <c r="C1847" i="6"/>
  <c r="F1853" i="6"/>
  <c r="E1860" i="6"/>
  <c r="B1865" i="6"/>
  <c r="P1865" i="6" s="1"/>
  <c r="S1865" i="6" s="1"/>
  <c r="B1897" i="6"/>
  <c r="Q1897" i="6" s="1"/>
  <c r="B1942" i="6"/>
  <c r="R1942" i="6" s="1"/>
  <c r="E2000" i="6"/>
  <c r="D41" i="6"/>
  <c r="J47" i="6"/>
  <c r="D59" i="6"/>
  <c r="F71" i="6"/>
  <c r="G110" i="6"/>
  <c r="G116" i="6"/>
  <c r="I241" i="6"/>
  <c r="H265" i="6"/>
  <c r="L289" i="6"/>
  <c r="I335" i="6"/>
  <c r="D341" i="6"/>
  <c r="D390" i="6"/>
  <c r="F482" i="6"/>
  <c r="F544" i="6"/>
  <c r="D549" i="6"/>
  <c r="F595" i="6"/>
  <c r="D605" i="6"/>
  <c r="D620" i="6"/>
  <c r="G632" i="6"/>
  <c r="G653" i="6"/>
  <c r="E660" i="6"/>
  <c r="K688" i="6"/>
  <c r="K708" i="6"/>
  <c r="G714" i="6"/>
  <c r="C718" i="6"/>
  <c r="I730" i="6"/>
  <c r="E769" i="6"/>
  <c r="G836" i="6"/>
  <c r="N872" i="6"/>
  <c r="D889" i="6"/>
  <c r="B629" i="6"/>
  <c r="P629" i="6" s="1"/>
  <c r="S629" i="6" s="1"/>
  <c r="G59" i="6"/>
  <c r="G71" i="6"/>
  <c r="D128" i="6"/>
  <c r="F157" i="6"/>
  <c r="G216" i="6"/>
  <c r="D303" i="6"/>
  <c r="H310" i="6"/>
  <c r="K365" i="6"/>
  <c r="J496" i="6"/>
  <c r="I510" i="6"/>
  <c r="D571" i="6"/>
  <c r="F583" i="6"/>
  <c r="J595" i="6"/>
  <c r="G605" i="6"/>
  <c r="L668" i="6"/>
  <c r="I702" i="6"/>
  <c r="E718" i="6"/>
  <c r="E765" i="6"/>
  <c r="G788" i="6"/>
  <c r="E863" i="6"/>
  <c r="G868" i="6"/>
  <c r="D903" i="6"/>
  <c r="C918" i="6"/>
  <c r="D920" i="6"/>
  <c r="F968" i="6"/>
  <c r="I1057" i="6"/>
  <c r="G1118" i="6"/>
  <c r="J1146" i="6"/>
  <c r="B1150" i="6"/>
  <c r="O1150" i="6" s="1"/>
  <c r="T1150" i="6" s="1"/>
  <c r="F1156" i="6"/>
  <c r="B1190" i="6"/>
  <c r="P1190" i="6" s="1"/>
  <c r="S1190" i="6" s="1"/>
  <c r="F1195" i="6"/>
  <c r="E1200" i="6"/>
  <c r="B1204" i="6"/>
  <c r="P1204" i="6" s="1"/>
  <c r="S1204" i="6" s="1"/>
  <c r="G1224" i="6"/>
  <c r="J1294" i="6"/>
  <c r="C1354" i="6"/>
  <c r="C1434" i="6"/>
  <c r="C1443" i="6"/>
  <c r="E1485" i="6"/>
  <c r="E1489" i="6"/>
  <c r="F1607" i="6"/>
  <c r="H1691" i="6"/>
  <c r="I1703" i="6"/>
  <c r="H1723" i="6"/>
  <c r="J1839" i="6"/>
  <c r="F1894" i="6"/>
  <c r="E1903" i="6"/>
  <c r="C1907" i="6"/>
  <c r="E1948" i="6"/>
  <c r="B1954" i="6"/>
  <c r="R1954" i="6" s="1"/>
  <c r="H71" i="6"/>
  <c r="K157" i="6"/>
  <c r="K718" i="6"/>
  <c r="N903" i="6"/>
  <c r="L918" i="6"/>
  <c r="H1434" i="6"/>
  <c r="G1489" i="6"/>
  <c r="J1691" i="6"/>
  <c r="H1954" i="6"/>
  <c r="J534" i="6"/>
  <c r="J540" i="6"/>
  <c r="L571" i="6"/>
  <c r="H606" i="6"/>
  <c r="F609" i="6"/>
  <c r="I617" i="6"/>
  <c r="G669" i="6"/>
  <c r="L684" i="6"/>
  <c r="G715" i="6"/>
  <c r="C738" i="6"/>
  <c r="E745" i="6"/>
  <c r="G783" i="6"/>
  <c r="G832" i="6"/>
  <c r="G852" i="6"/>
  <c r="L869" i="6"/>
  <c r="G880" i="6"/>
  <c r="F891" i="6"/>
  <c r="H894" i="6"/>
  <c r="H932" i="6"/>
  <c r="H974" i="6"/>
  <c r="E986" i="6"/>
  <c r="F1000" i="6"/>
  <c r="D1041" i="6"/>
  <c r="I1048" i="6"/>
  <c r="C1053" i="6"/>
  <c r="C1087" i="6"/>
  <c r="B1114" i="6"/>
  <c r="Q1114" i="6" s="1"/>
  <c r="H1195" i="6"/>
  <c r="I1261" i="6"/>
  <c r="I1289" i="6"/>
  <c r="J1292" i="6"/>
  <c r="F1312" i="6"/>
  <c r="C1330" i="6"/>
  <c r="H1350" i="6"/>
  <c r="L1354" i="6"/>
  <c r="L1378" i="6"/>
  <c r="E1430" i="6"/>
  <c r="L1434" i="6"/>
  <c r="E1440" i="6"/>
  <c r="G1451" i="6"/>
  <c r="D1457" i="6"/>
  <c r="H1485" i="6"/>
  <c r="N1489" i="6"/>
  <c r="B1499" i="6"/>
  <c r="Q1499" i="6" s="1"/>
  <c r="F1540" i="6"/>
  <c r="H1565" i="6"/>
  <c r="H1571" i="6"/>
  <c r="E1602" i="6"/>
  <c r="I1724" i="6"/>
  <c r="N1785" i="6"/>
  <c r="F1788" i="6"/>
  <c r="F1798" i="6"/>
  <c r="B1832" i="6"/>
  <c r="O1832" i="6" s="1"/>
  <c r="T1832" i="6" s="1"/>
  <c r="N1840" i="6"/>
  <c r="B1904" i="6"/>
  <c r="P1904" i="6" s="1"/>
  <c r="S1904" i="6" s="1"/>
  <c r="M1974" i="6"/>
  <c r="I160" i="6"/>
  <c r="K160" i="6"/>
  <c r="H332" i="6"/>
  <c r="F332" i="6"/>
  <c r="K381" i="6"/>
  <c r="J381" i="6"/>
  <c r="K1858" i="6"/>
  <c r="M1858" i="6"/>
  <c r="D7" i="6"/>
  <c r="D53" i="6"/>
  <c r="D63" i="6"/>
  <c r="D69" i="6"/>
  <c r="D72" i="6"/>
  <c r="G77" i="6"/>
  <c r="G82" i="6"/>
  <c r="H113" i="6"/>
  <c r="I113" i="6"/>
  <c r="K155" i="6"/>
  <c r="F155" i="6"/>
  <c r="I161" i="6"/>
  <c r="F161" i="6"/>
  <c r="I200" i="6"/>
  <c r="K200" i="6"/>
  <c r="H239" i="6"/>
  <c r="I239" i="6"/>
  <c r="J319" i="6"/>
  <c r="I319" i="6"/>
  <c r="L414" i="6"/>
  <c r="H414" i="6"/>
  <c r="G414" i="6"/>
  <c r="N882" i="6"/>
  <c r="I882" i="6"/>
  <c r="C882" i="6"/>
  <c r="J1187" i="6"/>
  <c r="B1187" i="6"/>
  <c r="Q1187" i="6" s="1"/>
  <c r="N1187" i="6"/>
  <c r="E1187" i="6"/>
  <c r="L1380" i="6"/>
  <c r="D1380" i="6"/>
  <c r="G7" i="6"/>
  <c r="D13" i="6"/>
  <c r="K82" i="6"/>
  <c r="G109" i="6"/>
  <c r="D109" i="6"/>
  <c r="I114" i="6"/>
  <c r="L114" i="6"/>
  <c r="K137" i="6"/>
  <c r="F137" i="6"/>
  <c r="D137" i="6"/>
  <c r="I177" i="6"/>
  <c r="G177" i="6"/>
  <c r="I201" i="6"/>
  <c r="D201" i="6"/>
  <c r="I208" i="6"/>
  <c r="L208" i="6"/>
  <c r="H208" i="6"/>
  <c r="G208" i="6"/>
  <c r="J375" i="6"/>
  <c r="I375" i="6"/>
  <c r="L408" i="6"/>
  <c r="H408" i="6"/>
  <c r="F442" i="6"/>
  <c r="L442" i="6"/>
  <c r="H442" i="6"/>
  <c r="D442" i="6"/>
  <c r="F487" i="6"/>
  <c r="I487" i="6"/>
  <c r="N1168" i="6"/>
  <c r="L1168" i="6"/>
  <c r="I144" i="6"/>
  <c r="J144" i="6"/>
  <c r="I570" i="6"/>
  <c r="L570" i="6"/>
  <c r="K570" i="6"/>
  <c r="J570" i="6"/>
  <c r="H570" i="6"/>
  <c r="G570" i="6"/>
  <c r="D570" i="6"/>
  <c r="M673" i="6"/>
  <c r="F673" i="6"/>
  <c r="L55" i="6"/>
  <c r="D74" i="6"/>
  <c r="I83" i="6"/>
  <c r="G88" i="6"/>
  <c r="G124" i="6"/>
  <c r="F129" i="6"/>
  <c r="H129" i="6"/>
  <c r="G129" i="6"/>
  <c r="I145" i="6"/>
  <c r="F145" i="6"/>
  <c r="L197" i="6"/>
  <c r="G197" i="6"/>
  <c r="H295" i="6"/>
  <c r="J295" i="6"/>
  <c r="G436" i="6"/>
  <c r="H436" i="6"/>
  <c r="J601" i="6"/>
  <c r="G601" i="6"/>
  <c r="G743" i="6"/>
  <c r="K743" i="6"/>
  <c r="F743" i="6"/>
  <c r="C757" i="6"/>
  <c r="M757" i="6"/>
  <c r="J914" i="6"/>
  <c r="B914" i="6"/>
  <c r="Q914" i="6" s="1"/>
  <c r="L926" i="6"/>
  <c r="K926" i="6"/>
  <c r="K1039" i="6"/>
  <c r="H1039" i="6"/>
  <c r="E1039" i="6"/>
  <c r="J1090" i="6"/>
  <c r="G1090" i="6"/>
  <c r="F1287" i="6"/>
  <c r="N1287" i="6"/>
  <c r="I1287" i="6"/>
  <c r="J1287" i="6"/>
  <c r="C624" i="6"/>
  <c r="L89" i="6"/>
  <c r="F89" i="6"/>
  <c r="I120" i="6"/>
  <c r="H120" i="6"/>
  <c r="F125" i="6"/>
  <c r="G125" i="6"/>
  <c r="K145" i="6"/>
  <c r="K191" i="6"/>
  <c r="H191" i="6"/>
  <c r="I222" i="6"/>
  <c r="H222" i="6"/>
  <c r="H261" i="6"/>
  <c r="L261" i="6"/>
  <c r="J261" i="6"/>
  <c r="I290" i="6"/>
  <c r="F290" i="6"/>
  <c r="K355" i="6"/>
  <c r="D355" i="6"/>
  <c r="I576" i="6"/>
  <c r="H576" i="6"/>
  <c r="C1273" i="6"/>
  <c r="G1273" i="6"/>
  <c r="K103" i="6"/>
  <c r="D103" i="6"/>
  <c r="I186" i="6"/>
  <c r="D186" i="6"/>
  <c r="D211" i="6"/>
  <c r="I211" i="6"/>
  <c r="J285" i="6"/>
  <c r="L285" i="6"/>
  <c r="L392" i="6"/>
  <c r="H392" i="6"/>
  <c r="F864" i="6"/>
  <c r="H864" i="6"/>
  <c r="D27" i="6"/>
  <c r="D57" i="6"/>
  <c r="L90" i="6"/>
  <c r="I98" i="6"/>
  <c r="G98" i="6"/>
  <c r="J116" i="6"/>
  <c r="K120" i="6"/>
  <c r="K126" i="6"/>
  <c r="I206" i="6"/>
  <c r="D206" i="6"/>
  <c r="L206" i="6"/>
  <c r="F211" i="6"/>
  <c r="I224" i="6"/>
  <c r="D224" i="6"/>
  <c r="L305" i="6"/>
  <c r="D305" i="6"/>
  <c r="D459" i="6"/>
  <c r="L459" i="6"/>
  <c r="K719" i="6"/>
  <c r="M719" i="6"/>
  <c r="G922" i="6"/>
  <c r="N922" i="6"/>
  <c r="H922" i="6"/>
  <c r="C922" i="6"/>
  <c r="I938" i="6"/>
  <c r="N938" i="6"/>
  <c r="D938" i="6"/>
  <c r="M1100" i="6"/>
  <c r="I1100" i="6"/>
  <c r="E1100" i="6"/>
  <c r="M1269" i="6"/>
  <c r="C1269" i="6"/>
  <c r="K1269" i="6"/>
  <c r="H266" i="6"/>
  <c r="J462" i="6"/>
  <c r="M668" i="6"/>
  <c r="I745" i="6"/>
  <c r="K867" i="6"/>
  <c r="I1053" i="6"/>
  <c r="H1123" i="6"/>
  <c r="G1123" i="6"/>
  <c r="H1215" i="6"/>
  <c r="N1215" i="6"/>
  <c r="N1303" i="6"/>
  <c r="G1303" i="6"/>
  <c r="I1309" i="6"/>
  <c r="G1309" i="6"/>
  <c r="D1447" i="6"/>
  <c r="J1447" i="6"/>
  <c r="C1916" i="6"/>
  <c r="N1916" i="6"/>
  <c r="B931" i="6"/>
  <c r="R931" i="6" s="1"/>
  <c r="C955" i="6"/>
  <c r="B965" i="6"/>
  <c r="Q965" i="6" s="1"/>
  <c r="N987" i="6"/>
  <c r="M992" i="6"/>
  <c r="J1034" i="6"/>
  <c r="N1065" i="6"/>
  <c r="L1095" i="6"/>
  <c r="I1123" i="6"/>
  <c r="N1163" i="6"/>
  <c r="B1163" i="6"/>
  <c r="Q1163" i="6" s="1"/>
  <c r="H1304" i="6"/>
  <c r="D1304" i="6"/>
  <c r="M1340" i="6"/>
  <c r="L1340" i="6"/>
  <c r="E1340" i="6"/>
  <c r="N1577" i="6"/>
  <c r="K1577" i="6"/>
  <c r="H1577" i="6"/>
  <c r="F1577" i="6"/>
  <c r="C1577" i="6"/>
  <c r="J1689" i="6"/>
  <c r="B1689" i="6"/>
  <c r="R1689" i="6" s="1"/>
  <c r="K1892" i="6"/>
  <c r="C1892" i="6"/>
  <c r="J1171" i="6"/>
  <c r="N1171" i="6"/>
  <c r="B1171" i="6"/>
  <c r="P1171" i="6" s="1"/>
  <c r="S1171" i="6" s="1"/>
  <c r="L1276" i="6"/>
  <c r="D1276" i="6"/>
  <c r="F1299" i="6"/>
  <c r="B1299" i="6"/>
  <c r="P1299" i="6" s="1"/>
  <c r="S1299" i="6" s="1"/>
  <c r="I1317" i="6"/>
  <c r="F1317" i="6"/>
  <c r="K1390" i="6"/>
  <c r="E1390" i="6"/>
  <c r="J1405" i="6"/>
  <c r="C1405" i="6"/>
  <c r="F1442" i="6"/>
  <c r="D1442" i="6"/>
  <c r="L1488" i="6"/>
  <c r="J1488" i="6"/>
  <c r="D1488" i="6"/>
  <c r="L182" i="6"/>
  <c r="L216" i="6"/>
  <c r="H234" i="6"/>
  <c r="H274" i="6"/>
  <c r="G312" i="6"/>
  <c r="L334" i="6"/>
  <c r="D406" i="6"/>
  <c r="D438" i="6"/>
  <c r="D461" i="6"/>
  <c r="J489" i="6"/>
  <c r="I494" i="6"/>
  <c r="D556" i="6"/>
  <c r="D559" i="6"/>
  <c r="L567" i="6"/>
  <c r="D584" i="6"/>
  <c r="F588" i="6"/>
  <c r="H592" i="6"/>
  <c r="I605" i="6"/>
  <c r="H620" i="6"/>
  <c r="G626" i="6"/>
  <c r="F634" i="6"/>
  <c r="I639" i="6"/>
  <c r="G645" i="6"/>
  <c r="N669" i="6"/>
  <c r="E683" i="6"/>
  <c r="G701" i="6"/>
  <c r="I721" i="6"/>
  <c r="C728" i="6"/>
  <c r="I744" i="6"/>
  <c r="G753" i="6"/>
  <c r="M765" i="6"/>
  <c r="G844" i="6"/>
  <c r="G856" i="6"/>
  <c r="I862" i="6"/>
  <c r="B883" i="6"/>
  <c r="R883" i="6" s="1"/>
  <c r="G898" i="6"/>
  <c r="D918" i="6"/>
  <c r="F927" i="6"/>
  <c r="F935" i="6"/>
  <c r="L939" i="6"/>
  <c r="H951" i="6"/>
  <c r="H988" i="6"/>
  <c r="H1000" i="6"/>
  <c r="H1004" i="6"/>
  <c r="D1017" i="6"/>
  <c r="I1102" i="6"/>
  <c r="H1108" i="6"/>
  <c r="D1120" i="6"/>
  <c r="H1133" i="6"/>
  <c r="F1138" i="6"/>
  <c r="N1151" i="6"/>
  <c r="B1151" i="6"/>
  <c r="O1151" i="6" s="1"/>
  <c r="T1151" i="6" s="1"/>
  <c r="F1171" i="6"/>
  <c r="C1299" i="6"/>
  <c r="I1318" i="6"/>
  <c r="F1318" i="6"/>
  <c r="I1344" i="6"/>
  <c r="B1344" i="6"/>
  <c r="Q1344" i="6" s="1"/>
  <c r="M1344" i="6"/>
  <c r="K1344" i="6"/>
  <c r="H1344" i="6"/>
  <c r="D1344" i="6"/>
  <c r="K1358" i="6"/>
  <c r="M1358" i="6"/>
  <c r="F1358" i="6"/>
  <c r="B1358" i="6"/>
  <c r="Q1358" i="6" s="1"/>
  <c r="N1406" i="6"/>
  <c r="H1406" i="6"/>
  <c r="M1938" i="6"/>
  <c r="J1938" i="6"/>
  <c r="G1938" i="6"/>
  <c r="E1938" i="6"/>
  <c r="M1977" i="6"/>
  <c r="L1977" i="6"/>
  <c r="C1977" i="6"/>
  <c r="L234" i="6"/>
  <c r="L312" i="6"/>
  <c r="F406" i="6"/>
  <c r="I461" i="6"/>
  <c r="F556" i="6"/>
  <c r="F559" i="6"/>
  <c r="G584" i="6"/>
  <c r="G588" i="6"/>
  <c r="K626" i="6"/>
  <c r="G634" i="6"/>
  <c r="M744" i="6"/>
  <c r="J883" i="6"/>
  <c r="H918" i="6"/>
  <c r="E1017" i="6"/>
  <c r="L1120" i="6"/>
  <c r="I1133" i="6"/>
  <c r="J1138" i="6"/>
  <c r="H1185" i="6"/>
  <c r="G1185" i="6"/>
  <c r="L1266" i="6"/>
  <c r="K1266" i="6"/>
  <c r="K1300" i="6"/>
  <c r="M1300" i="6"/>
  <c r="F1300" i="6"/>
  <c r="C1344" i="6"/>
  <c r="K1494" i="6"/>
  <c r="H1494" i="6"/>
  <c r="G1494" i="6"/>
  <c r="F1494" i="6"/>
  <c r="D1494" i="6"/>
  <c r="L1580" i="6"/>
  <c r="H1580" i="6"/>
  <c r="E1730" i="6"/>
  <c r="N1730" i="6"/>
  <c r="L1730" i="6"/>
  <c r="D1730" i="6"/>
  <c r="H556" i="6"/>
  <c r="H584" i="6"/>
  <c r="L588" i="6"/>
  <c r="L634" i="6"/>
  <c r="C1272" i="6"/>
  <c r="L1272" i="6"/>
  <c r="J1286" i="6"/>
  <c r="B1286" i="6"/>
  <c r="R1286" i="6" s="1"/>
  <c r="F1286" i="6"/>
  <c r="K1408" i="6"/>
  <c r="C1408" i="6"/>
  <c r="M1408" i="6"/>
  <c r="L1516" i="6"/>
  <c r="N1516" i="6"/>
  <c r="N1888" i="6"/>
  <c r="F1888" i="6"/>
  <c r="H241" i="6"/>
  <c r="I258" i="6"/>
  <c r="G262" i="6"/>
  <c r="D266" i="6"/>
  <c r="I271" i="6"/>
  <c r="D313" i="6"/>
  <c r="L318" i="6"/>
  <c r="F364" i="6"/>
  <c r="L374" i="6"/>
  <c r="J385" i="6"/>
  <c r="F462" i="6"/>
  <c r="D491" i="6"/>
  <c r="H496" i="6"/>
  <c r="F523" i="6"/>
  <c r="J556" i="6"/>
  <c r="H560" i="6"/>
  <c r="J581" i="6"/>
  <c r="D604" i="6"/>
  <c r="F632" i="6"/>
  <c r="B668" i="6"/>
  <c r="Q668" i="6" s="1"/>
  <c r="E691" i="6"/>
  <c r="C745" i="6"/>
  <c r="G749" i="6"/>
  <c r="G840" i="6"/>
  <c r="N863" i="6"/>
  <c r="M899" i="6"/>
  <c r="F903" i="6"/>
  <c r="D907" i="6"/>
  <c r="E941" i="6"/>
  <c r="C945" i="6"/>
  <c r="I970" i="6"/>
  <c r="N974" i="6"/>
  <c r="I1024" i="6"/>
  <c r="D1053" i="6"/>
  <c r="I1084" i="6"/>
  <c r="I1093" i="6"/>
  <c r="E1099" i="6"/>
  <c r="C1121" i="6"/>
  <c r="N1167" i="6"/>
  <c r="H1167" i="6"/>
  <c r="N1209" i="6"/>
  <c r="F1209" i="6"/>
  <c r="B1209" i="6"/>
  <c r="P1209" i="6" s="1"/>
  <c r="S1209" i="6" s="1"/>
  <c r="E1272" i="6"/>
  <c r="I1280" i="6"/>
  <c r="H1280" i="6"/>
  <c r="D1286" i="6"/>
  <c r="J1408" i="6"/>
  <c r="K1481" i="6"/>
  <c r="M1481" i="6"/>
  <c r="L1481" i="6"/>
  <c r="E1481" i="6"/>
  <c r="K1647" i="6"/>
  <c r="G1647" i="6"/>
  <c r="I1851" i="6"/>
  <c r="N1851" i="6"/>
  <c r="M1851" i="6"/>
  <c r="H1851" i="6"/>
  <c r="D1851" i="6"/>
  <c r="I1909" i="6"/>
  <c r="M1909" i="6"/>
  <c r="N1940" i="6"/>
  <c r="M1940" i="6"/>
  <c r="B1940" i="6"/>
  <c r="P1940" i="6" s="1"/>
  <c r="S1940" i="6" s="1"/>
  <c r="K1354" i="6"/>
  <c r="D1420" i="6"/>
  <c r="M1430" i="6"/>
  <c r="L1451" i="6"/>
  <c r="H1506" i="6"/>
  <c r="G1592" i="6"/>
  <c r="L1662" i="6"/>
  <c r="K1754" i="6"/>
  <c r="J1788" i="6"/>
  <c r="N1794" i="6"/>
  <c r="M1816" i="6"/>
  <c r="K1845" i="6"/>
  <c r="G1955" i="6"/>
  <c r="G1974" i="6"/>
  <c r="K1993" i="6"/>
  <c r="E1420" i="6"/>
  <c r="N1451" i="6"/>
  <c r="I1506" i="6"/>
  <c r="K1592" i="6"/>
  <c r="M1788" i="6"/>
  <c r="N1816" i="6"/>
  <c r="I1955" i="6"/>
  <c r="G1150" i="6"/>
  <c r="G1183" i="6"/>
  <c r="M1284" i="6"/>
  <c r="E1290" i="6"/>
  <c r="G1292" i="6"/>
  <c r="F1326" i="6"/>
  <c r="E1330" i="6"/>
  <c r="I1417" i="6"/>
  <c r="H1420" i="6"/>
  <c r="J1457" i="6"/>
  <c r="B1464" i="6"/>
  <c r="Q1464" i="6" s="1"/>
  <c r="G1477" i="6"/>
  <c r="M1491" i="6"/>
  <c r="E1505" i="6"/>
  <c r="N1506" i="6"/>
  <c r="K1527" i="6"/>
  <c r="F1532" i="6"/>
  <c r="B1557" i="6"/>
  <c r="P1557" i="6" s="1"/>
  <c r="S1557" i="6" s="1"/>
  <c r="L1567" i="6"/>
  <c r="L1603" i="6"/>
  <c r="K1629" i="6"/>
  <c r="B1648" i="6"/>
  <c r="R1648" i="6" s="1"/>
  <c r="J1649" i="6"/>
  <c r="J1663" i="6"/>
  <c r="C1742" i="6"/>
  <c r="L1761" i="6"/>
  <c r="G1777" i="6"/>
  <c r="M1786" i="6"/>
  <c r="F1823" i="6"/>
  <c r="E1838" i="6"/>
  <c r="K1841" i="6"/>
  <c r="B1846" i="6"/>
  <c r="R1846" i="6" s="1"/>
  <c r="C1855" i="6"/>
  <c r="K1862" i="6"/>
  <c r="B1885" i="6"/>
  <c r="R1885" i="6" s="1"/>
  <c r="B1889" i="6"/>
  <c r="P1889" i="6" s="1"/>
  <c r="S1889" i="6" s="1"/>
  <c r="E1897" i="6"/>
  <c r="G1901" i="6"/>
  <c r="B1910" i="6"/>
  <c r="Q1910" i="6" s="1"/>
  <c r="I1923" i="6"/>
  <c r="E1936" i="6"/>
  <c r="D1954" i="6"/>
  <c r="L1955" i="6"/>
  <c r="D1971" i="6"/>
  <c r="D1988" i="6"/>
  <c r="M1990" i="6"/>
  <c r="K1420" i="6"/>
  <c r="H1464" i="6"/>
  <c r="M1477" i="6"/>
  <c r="M1527" i="6"/>
  <c r="H1532" i="6"/>
  <c r="N1557" i="6"/>
  <c r="N1567" i="6"/>
  <c r="C1648" i="6"/>
  <c r="H1742" i="6"/>
  <c r="N1838" i="6"/>
  <c r="C1846" i="6"/>
  <c r="E1855" i="6"/>
  <c r="M1885" i="6"/>
  <c r="M1889" i="6"/>
  <c r="N1156" i="6"/>
  <c r="M1195" i="6"/>
  <c r="G1200" i="6"/>
  <c r="C1207" i="6"/>
  <c r="D1224" i="6"/>
  <c r="H1290" i="6"/>
  <c r="M1292" i="6"/>
  <c r="K1343" i="6"/>
  <c r="E1350" i="6"/>
  <c r="B1354" i="6"/>
  <c r="Q1354" i="6" s="1"/>
  <c r="B1356" i="6"/>
  <c r="Q1356" i="6" s="1"/>
  <c r="D1394" i="6"/>
  <c r="F1410" i="6"/>
  <c r="I1413" i="6"/>
  <c r="M1420" i="6"/>
  <c r="D1430" i="6"/>
  <c r="K1440" i="6"/>
  <c r="F1489" i="6"/>
  <c r="L1503" i="6"/>
  <c r="G1505" i="6"/>
  <c r="B1525" i="6"/>
  <c r="P1525" i="6" s="1"/>
  <c r="S1525" i="6" s="1"/>
  <c r="J1532" i="6"/>
  <c r="F1537" i="6"/>
  <c r="D1540" i="6"/>
  <c r="B1543" i="6"/>
  <c r="O1543" i="6" s="1"/>
  <c r="T1543" i="6" s="1"/>
  <c r="C1565" i="6"/>
  <c r="G1586" i="6"/>
  <c r="D1648" i="6"/>
  <c r="C1662" i="6"/>
  <c r="I1691" i="6"/>
  <c r="L1742" i="6"/>
  <c r="C1768" i="6"/>
  <c r="F1785" i="6"/>
  <c r="C1794" i="6"/>
  <c r="C1832" i="6"/>
  <c r="E1846" i="6"/>
  <c r="M1855" i="6"/>
  <c r="B1860" i="6"/>
  <c r="R1860" i="6" s="1"/>
  <c r="J1881" i="6"/>
  <c r="N1885" i="6"/>
  <c r="I1910" i="6"/>
  <c r="B1915" i="6"/>
  <c r="O1915" i="6" s="1"/>
  <c r="T1915" i="6" s="1"/>
  <c r="J1936" i="6"/>
  <c r="E1939" i="6"/>
  <c r="E1945" i="6"/>
  <c r="K1954" i="6"/>
  <c r="D1956" i="6"/>
  <c r="G1975" i="6"/>
  <c r="D1979" i="6"/>
  <c r="F1988" i="6"/>
  <c r="L1532" i="6"/>
  <c r="H1956" i="6"/>
  <c r="F1126" i="6"/>
  <c r="G1173" i="6"/>
  <c r="D1210" i="6"/>
  <c r="N1290" i="6"/>
  <c r="E1342" i="6"/>
  <c r="L1350" i="6"/>
  <c r="D1354" i="6"/>
  <c r="F1356" i="6"/>
  <c r="K1410" i="6"/>
  <c r="B1420" i="6"/>
  <c r="O1420" i="6" s="1"/>
  <c r="T1420" i="6" s="1"/>
  <c r="H1430" i="6"/>
  <c r="F1434" i="6"/>
  <c r="G1438" i="6"/>
  <c r="J1487" i="6"/>
  <c r="M1489" i="6"/>
  <c r="F1493" i="6"/>
  <c r="K1499" i="6"/>
  <c r="G1504" i="6"/>
  <c r="B1506" i="6"/>
  <c r="O1506" i="6" s="1"/>
  <c r="T1506" i="6" s="1"/>
  <c r="G1508" i="6"/>
  <c r="L1515" i="6"/>
  <c r="J1521" i="6"/>
  <c r="L1525" i="6"/>
  <c r="M1543" i="6"/>
  <c r="F1572" i="6"/>
  <c r="D1574" i="6"/>
  <c r="C1592" i="6"/>
  <c r="E1612" i="6"/>
  <c r="K1648" i="6"/>
  <c r="G1662" i="6"/>
  <c r="M1703" i="6"/>
  <c r="H1743" i="6"/>
  <c r="E1748" i="6"/>
  <c r="E1754" i="6"/>
  <c r="L1763" i="6"/>
  <c r="B1788" i="6"/>
  <c r="P1788" i="6" s="1"/>
  <c r="S1788" i="6" s="1"/>
  <c r="F1794" i="6"/>
  <c r="B1836" i="6"/>
  <c r="O1836" i="6" s="1"/>
  <c r="G1846" i="6"/>
  <c r="N1850" i="6"/>
  <c r="L1860" i="6"/>
  <c r="F1891" i="6"/>
  <c r="I1915" i="6"/>
  <c r="L1926" i="6"/>
  <c r="K1939" i="6"/>
  <c r="E1942" i="6"/>
  <c r="M1956" i="6"/>
  <c r="H1962" i="6"/>
  <c r="J1980" i="6"/>
  <c r="C1986" i="6"/>
  <c r="C1993" i="6"/>
  <c r="K371" i="6"/>
  <c r="L371" i="6"/>
  <c r="J621" i="6"/>
  <c r="L621" i="6"/>
  <c r="I621" i="6"/>
  <c r="H621" i="6"/>
  <c r="G621" i="6"/>
  <c r="D621" i="6"/>
  <c r="I677" i="6"/>
  <c r="N677" i="6"/>
  <c r="C677" i="6"/>
  <c r="M690" i="6"/>
  <c r="C690" i="6"/>
  <c r="E796" i="6"/>
  <c r="G796" i="6"/>
  <c r="J1251" i="6"/>
  <c r="H1251" i="6"/>
  <c r="J1934" i="6"/>
  <c r="G1934" i="6"/>
  <c r="G1947" i="6"/>
  <c r="E1947" i="6"/>
  <c r="D1963" i="6"/>
  <c r="K1963" i="6"/>
  <c r="E35" i="6"/>
  <c r="C73" i="6"/>
  <c r="E150" i="6"/>
  <c r="B156" i="6"/>
  <c r="R156" i="6" s="1"/>
  <c r="B190" i="6"/>
  <c r="R190" i="6" s="1"/>
  <c r="N190" i="6" s="1"/>
  <c r="C193" i="6"/>
  <c r="E237" i="6"/>
  <c r="C263" i="6"/>
  <c r="M301" i="6"/>
  <c r="M448" i="6"/>
  <c r="B480" i="6"/>
  <c r="O480" i="6" s="1"/>
  <c r="T480" i="6" s="1"/>
  <c r="E580" i="6"/>
  <c r="G41" i="6"/>
  <c r="D51" i="6"/>
  <c r="L59" i="6"/>
  <c r="F95" i="6"/>
  <c r="K106" i="6"/>
  <c r="G114" i="6"/>
  <c r="K116" i="6"/>
  <c r="G138" i="6"/>
  <c r="G146" i="6"/>
  <c r="K156" i="6"/>
  <c r="D166" i="6"/>
  <c r="D169" i="6"/>
  <c r="D173" i="6"/>
  <c r="K177" i="6"/>
  <c r="H182" i="6"/>
  <c r="G186" i="6"/>
  <c r="K190" i="6"/>
  <c r="H193" i="6"/>
  <c r="H206" i="6"/>
  <c r="K208" i="6"/>
  <c r="D228" i="6"/>
  <c r="L241" i="6"/>
  <c r="J245" i="6"/>
  <c r="F256" i="6"/>
  <c r="H281" i="6"/>
  <c r="D286" i="6"/>
  <c r="I314" i="6"/>
  <c r="H326" i="6"/>
  <c r="F356" i="6"/>
  <c r="L362" i="6"/>
  <c r="L366" i="6"/>
  <c r="D366" i="6"/>
  <c r="F372" i="6"/>
  <c r="D372" i="6"/>
  <c r="L381" i="6"/>
  <c r="L385" i="6"/>
  <c r="I401" i="6"/>
  <c r="L401" i="6"/>
  <c r="J401" i="6"/>
  <c r="I427" i="6"/>
  <c r="D427" i="6"/>
  <c r="K427" i="6"/>
  <c r="I433" i="6"/>
  <c r="L433" i="6"/>
  <c r="F448" i="6"/>
  <c r="I538" i="6"/>
  <c r="J538" i="6"/>
  <c r="I543" i="6"/>
  <c r="I564" i="6"/>
  <c r="L564" i="6"/>
  <c r="K564" i="6"/>
  <c r="J564" i="6"/>
  <c r="H564" i="6"/>
  <c r="G564" i="6"/>
  <c r="F564" i="6"/>
  <c r="N924" i="6"/>
  <c r="H924" i="6"/>
  <c r="J351" i="6"/>
  <c r="I351" i="6"/>
  <c r="F360" i="6"/>
  <c r="H360" i="6"/>
  <c r="J480" i="6"/>
  <c r="H480" i="6"/>
  <c r="F480" i="6"/>
  <c r="J593" i="6"/>
  <c r="I593" i="6"/>
  <c r="H593" i="6"/>
  <c r="G593" i="6"/>
  <c r="F593" i="6"/>
  <c r="D593" i="6"/>
  <c r="N928" i="6"/>
  <c r="J928" i="6"/>
  <c r="F928" i="6"/>
  <c r="E1197" i="6"/>
  <c r="J1197" i="6"/>
  <c r="I1509" i="6"/>
  <c r="M1509" i="6"/>
  <c r="H1509" i="6"/>
  <c r="G1509" i="6"/>
  <c r="F1509" i="6"/>
  <c r="E51" i="6"/>
  <c r="B65" i="6"/>
  <c r="R65" i="6" s="1"/>
  <c r="C138" i="6"/>
  <c r="C146" i="6"/>
  <c r="M156" i="6"/>
  <c r="E166" i="6"/>
  <c r="M190" i="6"/>
  <c r="E286" i="6"/>
  <c r="C311" i="6"/>
  <c r="E326" i="6"/>
  <c r="M480" i="6"/>
  <c r="E502" i="6"/>
  <c r="J41" i="6"/>
  <c r="H95" i="6"/>
  <c r="H114" i="6"/>
  <c r="L116" i="6"/>
  <c r="H138" i="6"/>
  <c r="H146" i="6"/>
  <c r="G166" i="6"/>
  <c r="F169" i="6"/>
  <c r="K182" i="6"/>
  <c r="J186" i="6"/>
  <c r="K206" i="6"/>
  <c r="G228" i="6"/>
  <c r="G256" i="6"/>
  <c r="G360" i="6"/>
  <c r="H382" i="6"/>
  <c r="F382" i="6"/>
  <c r="I391" i="6"/>
  <c r="D391" i="6"/>
  <c r="I407" i="6"/>
  <c r="D407" i="6"/>
  <c r="H575" i="6"/>
  <c r="I575" i="6"/>
  <c r="D575" i="6"/>
  <c r="I600" i="6"/>
  <c r="L600" i="6"/>
  <c r="J600" i="6"/>
  <c r="G600" i="6"/>
  <c r="K672" i="6"/>
  <c r="G672" i="6"/>
  <c r="E1115" i="6"/>
  <c r="D1115" i="6"/>
  <c r="C1115" i="6"/>
  <c r="K1115" i="6"/>
  <c r="N1115" i="6"/>
  <c r="I1115" i="6"/>
  <c r="F192" i="3"/>
  <c r="F196" i="3"/>
  <c r="I95" i="6"/>
  <c r="K114" i="6"/>
  <c r="K138" i="6"/>
  <c r="K146" i="6"/>
  <c r="J166" i="6"/>
  <c r="J228" i="6"/>
  <c r="L256" i="6"/>
  <c r="H328" i="6"/>
  <c r="G328" i="6"/>
  <c r="K339" i="6"/>
  <c r="D339" i="6"/>
  <c r="K357" i="6"/>
  <c r="L360" i="6"/>
  <c r="D382" i="6"/>
  <c r="K391" i="6"/>
  <c r="I403" i="6"/>
  <c r="K403" i="6"/>
  <c r="D403" i="6"/>
  <c r="I417" i="6"/>
  <c r="L417" i="6"/>
  <c r="J417" i="6"/>
  <c r="H434" i="6"/>
  <c r="G434" i="6"/>
  <c r="I439" i="6"/>
  <c r="K439" i="6"/>
  <c r="D439" i="6"/>
  <c r="H450" i="6"/>
  <c r="D450" i="6"/>
  <c r="I566" i="6"/>
  <c r="J566" i="6"/>
  <c r="H566" i="6"/>
  <c r="F566" i="6"/>
  <c r="D566" i="6"/>
  <c r="D636" i="6"/>
  <c r="L636" i="6"/>
  <c r="K636" i="6"/>
  <c r="G636" i="6"/>
  <c r="L877" i="6"/>
  <c r="F877" i="6"/>
  <c r="K877" i="6"/>
  <c r="C877" i="6"/>
  <c r="F358" i="6"/>
  <c r="H358" i="6"/>
  <c r="D358" i="6"/>
  <c r="I456" i="6"/>
  <c r="G456" i="6"/>
  <c r="F456" i="6"/>
  <c r="I942" i="6"/>
  <c r="J942" i="6"/>
  <c r="D942" i="6"/>
  <c r="G942" i="6"/>
  <c r="B942" i="6"/>
  <c r="J1072" i="6"/>
  <c r="H1072" i="6"/>
  <c r="D1072" i="6"/>
  <c r="M138" i="6"/>
  <c r="M146" i="6"/>
  <c r="B150" i="6"/>
  <c r="Q150" i="6" s="1"/>
  <c r="E156" i="6"/>
  <c r="E190" i="6"/>
  <c r="C228" i="6"/>
  <c r="B237" i="6"/>
  <c r="Q237" i="6" s="1"/>
  <c r="E256" i="6"/>
  <c r="M311" i="6"/>
  <c r="B331" i="6"/>
  <c r="P331" i="6" s="1"/>
  <c r="S331" i="6" s="1"/>
  <c r="B351" i="6"/>
  <c r="O351" i="6" s="1"/>
  <c r="T351" i="6" s="1"/>
  <c r="B437" i="6"/>
  <c r="R437" i="6" s="1"/>
  <c r="B458" i="6"/>
  <c r="R458" i="6" s="1"/>
  <c r="E480" i="6"/>
  <c r="B580" i="6"/>
  <c r="Q580" i="6" s="1"/>
  <c r="J15" i="6"/>
  <c r="L71" i="6"/>
  <c r="H89" i="6"/>
  <c r="D94" i="6"/>
  <c r="G96" i="6"/>
  <c r="L120" i="6"/>
  <c r="H125" i="6"/>
  <c r="I167" i="6"/>
  <c r="F171" i="6"/>
  <c r="J176" i="6"/>
  <c r="G192" i="6"/>
  <c r="H205" i="6"/>
  <c r="K210" i="6"/>
  <c r="D240" i="6"/>
  <c r="D279" i="6"/>
  <c r="D298" i="6"/>
  <c r="L304" i="6"/>
  <c r="K323" i="6"/>
  <c r="J323" i="6"/>
  <c r="G344" i="6"/>
  <c r="K349" i="6"/>
  <c r="L354" i="6"/>
  <c r="G358" i="6"/>
  <c r="G374" i="6"/>
  <c r="F380" i="6"/>
  <c r="L380" i="6"/>
  <c r="G380" i="6"/>
  <c r="H398" i="6"/>
  <c r="L398" i="6"/>
  <c r="D418" i="6"/>
  <c r="L424" i="6"/>
  <c r="H424" i="6"/>
  <c r="F430" i="6"/>
  <c r="L430" i="6"/>
  <c r="G430" i="6"/>
  <c r="H456" i="6"/>
  <c r="F470" i="6"/>
  <c r="G470" i="6"/>
  <c r="D499" i="6"/>
  <c r="F499" i="6"/>
  <c r="F513" i="6"/>
  <c r="I513" i="6"/>
  <c r="C682" i="6"/>
  <c r="G682" i="6"/>
  <c r="B35" i="6"/>
  <c r="R35" i="6" s="1"/>
  <c r="M35" i="6"/>
  <c r="B51" i="6"/>
  <c r="R51" i="6" s="1"/>
  <c r="E65" i="6"/>
  <c r="C87" i="6"/>
  <c r="M150" i="6"/>
  <c r="B166" i="6"/>
  <c r="Q166" i="6" s="1"/>
  <c r="M237" i="6"/>
  <c r="C301" i="6"/>
  <c r="B502" i="6"/>
  <c r="Q502" i="6" s="1"/>
  <c r="M580" i="6"/>
  <c r="G94" i="6"/>
  <c r="K125" i="6"/>
  <c r="K167" i="6"/>
  <c r="K192" i="6"/>
  <c r="J279" i="6"/>
  <c r="F324" i="6"/>
  <c r="D324" i="6"/>
  <c r="K341" i="6"/>
  <c r="J341" i="6"/>
  <c r="L344" i="6"/>
  <c r="H350" i="6"/>
  <c r="L350" i="6"/>
  <c r="L358" i="6"/>
  <c r="I419" i="6"/>
  <c r="D419" i="6"/>
  <c r="K419" i="6"/>
  <c r="J456" i="6"/>
  <c r="D507" i="6"/>
  <c r="F507" i="6"/>
  <c r="F521" i="6"/>
  <c r="I521" i="6"/>
  <c r="M694" i="6"/>
  <c r="E694" i="6"/>
  <c r="K94" i="6"/>
  <c r="K172" i="6"/>
  <c r="L192" i="6"/>
  <c r="H390" i="6"/>
  <c r="G390" i="6"/>
  <c r="J419" i="6"/>
  <c r="I431" i="6"/>
  <c r="K431" i="6"/>
  <c r="I447" i="6"/>
  <c r="K447" i="6"/>
  <c r="D447" i="6"/>
  <c r="D552" i="6"/>
  <c r="L552" i="6"/>
  <c r="J558" i="6"/>
  <c r="K610" i="6"/>
  <c r="K612" i="6"/>
  <c r="M684" i="6"/>
  <c r="E812" i="6"/>
  <c r="G812" i="6"/>
  <c r="E828" i="6"/>
  <c r="G828" i="6"/>
  <c r="I867" i="6"/>
  <c r="M867" i="6"/>
  <c r="G867" i="6"/>
  <c r="H868" i="6"/>
  <c r="K886" i="6"/>
  <c r="F886" i="6"/>
  <c r="I916" i="6"/>
  <c r="F916" i="6"/>
  <c r="F922" i="6"/>
  <c r="N948" i="6"/>
  <c r="F948" i="6"/>
  <c r="C948" i="6"/>
  <c r="I957" i="6"/>
  <c r="E957" i="6"/>
  <c r="J985" i="6"/>
  <c r="H985" i="6"/>
  <c r="N995" i="6"/>
  <c r="D995" i="6"/>
  <c r="J1005" i="6"/>
  <c r="F1005" i="6"/>
  <c r="F1045" i="6"/>
  <c r="K1045" i="6"/>
  <c r="N1073" i="6"/>
  <c r="C1073" i="6"/>
  <c r="C1111" i="6"/>
  <c r="N1111" i="6"/>
  <c r="L1111" i="6"/>
  <c r="E1111" i="6"/>
  <c r="H1142" i="6"/>
  <c r="L1142" i="6"/>
  <c r="G1142" i="6"/>
  <c r="E1142" i="6"/>
  <c r="D1142" i="6"/>
  <c r="C1142" i="6"/>
  <c r="J1166" i="6"/>
  <c r="I1166" i="6"/>
  <c r="J1175" i="6"/>
  <c r="G1175" i="6"/>
  <c r="M1374" i="6"/>
  <c r="C1374" i="6"/>
  <c r="H1374" i="6"/>
  <c r="F1374" i="6"/>
  <c r="F489" i="6"/>
  <c r="D493" i="6"/>
  <c r="D588" i="6"/>
  <c r="L612" i="6"/>
  <c r="D634" i="6"/>
  <c r="F703" i="6"/>
  <c r="F709" i="6"/>
  <c r="G730" i="6"/>
  <c r="C734" i="6"/>
  <c r="K737" i="6"/>
  <c r="I748" i="6"/>
  <c r="I752" i="6"/>
  <c r="G792" i="6"/>
  <c r="B867" i="6"/>
  <c r="O867" i="6" s="1"/>
  <c r="T867" i="6" s="1"/>
  <c r="G886" i="6"/>
  <c r="M929" i="6"/>
  <c r="J929" i="6"/>
  <c r="I935" i="6"/>
  <c r="B935" i="6"/>
  <c r="R935" i="6" s="1"/>
  <c r="H1006" i="6"/>
  <c r="E1006" i="6"/>
  <c r="B1006" i="6"/>
  <c r="O1006" i="6" s="1"/>
  <c r="T1006" i="6" s="1"/>
  <c r="J1013" i="6"/>
  <c r="B1013" i="6"/>
  <c r="O1013" i="6" s="1"/>
  <c r="T1013" i="6" s="1"/>
  <c r="G1036" i="6"/>
  <c r="E1062" i="6"/>
  <c r="L1062" i="6"/>
  <c r="I1081" i="6"/>
  <c r="H1081" i="6"/>
  <c r="F1111" i="6"/>
  <c r="H1217" i="6"/>
  <c r="N1217" i="6"/>
  <c r="I1217" i="6"/>
  <c r="E1217" i="6"/>
  <c r="C1217" i="6"/>
  <c r="I865" i="6"/>
  <c r="F865" i="6"/>
  <c r="H909" i="6"/>
  <c r="N909" i="6"/>
  <c r="E909" i="6"/>
  <c r="I914" i="6"/>
  <c r="D914" i="6"/>
  <c r="I943" i="6"/>
  <c r="D943" i="6"/>
  <c r="H943" i="6"/>
  <c r="I946" i="6"/>
  <c r="L946" i="6"/>
  <c r="H946" i="6"/>
  <c r="G946" i="6"/>
  <c r="C946" i="6"/>
  <c r="I958" i="6"/>
  <c r="J958" i="6"/>
  <c r="H958" i="6"/>
  <c r="D958" i="6"/>
  <c r="J981" i="6"/>
  <c r="B981" i="6"/>
  <c r="P981" i="6" s="1"/>
  <c r="S981" i="6" s="1"/>
  <c r="J1018" i="6"/>
  <c r="G1018" i="6"/>
  <c r="M1112" i="6"/>
  <c r="H1112" i="6"/>
  <c r="M1229" i="6"/>
  <c r="J1229" i="6"/>
  <c r="I1229" i="6"/>
  <c r="I1429" i="6"/>
  <c r="K1429" i="6"/>
  <c r="J1429" i="6"/>
  <c r="K870" i="6"/>
  <c r="B870" i="6"/>
  <c r="P870" i="6" s="1"/>
  <c r="S870" i="6" s="1"/>
  <c r="L870" i="6"/>
  <c r="M905" i="6"/>
  <c r="G905" i="6"/>
  <c r="L917" i="6"/>
  <c r="F917" i="6"/>
  <c r="I950" i="6"/>
  <c r="G950" i="6"/>
  <c r="F1014" i="6"/>
  <c r="I1014" i="6"/>
  <c r="C1019" i="6"/>
  <c r="L1019" i="6"/>
  <c r="H1019" i="6"/>
  <c r="E1019" i="6"/>
  <c r="M1068" i="6"/>
  <c r="I1068" i="6"/>
  <c r="G1076" i="6"/>
  <c r="D1076" i="6"/>
  <c r="B1076" i="6"/>
  <c r="O1076" i="6" s="1"/>
  <c r="T1076" i="6" s="1"/>
  <c r="G406" i="6"/>
  <c r="J494" i="6"/>
  <c r="D548" i="6"/>
  <c r="I559" i="6"/>
  <c r="G574" i="6"/>
  <c r="J588" i="6"/>
  <c r="F592" i="6"/>
  <c r="D601" i="6"/>
  <c r="F604" i="6"/>
  <c r="I609" i="6"/>
  <c r="J611" i="6"/>
  <c r="D614" i="6"/>
  <c r="H617" i="6"/>
  <c r="F620" i="6"/>
  <c r="F626" i="6"/>
  <c r="L628" i="6"/>
  <c r="K632" i="6"/>
  <c r="K634" i="6"/>
  <c r="K637" i="6"/>
  <c r="C674" i="6"/>
  <c r="F679" i="6"/>
  <c r="B684" i="6"/>
  <c r="Q684" i="6" s="1"/>
  <c r="B702" i="6"/>
  <c r="P702" i="6" s="1"/>
  <c r="S702" i="6" s="1"/>
  <c r="J718" i="6"/>
  <c r="C722" i="6"/>
  <c r="G731" i="6"/>
  <c r="K734" i="6"/>
  <c r="G745" i="6"/>
  <c r="C749" i="6"/>
  <c r="E773" i="6"/>
  <c r="M784" i="6"/>
  <c r="G804" i="6"/>
  <c r="E848" i="6"/>
  <c r="G848" i="6"/>
  <c r="C863" i="6"/>
  <c r="D865" i="6"/>
  <c r="H867" i="6"/>
  <c r="C870" i="6"/>
  <c r="F883" i="6"/>
  <c r="C883" i="6"/>
  <c r="F885" i="6"/>
  <c r="D885" i="6"/>
  <c r="D894" i="6"/>
  <c r="L898" i="6"/>
  <c r="D905" i="6"/>
  <c r="J909" i="6"/>
  <c r="G914" i="6"/>
  <c r="C917" i="6"/>
  <c r="I923" i="6"/>
  <c r="G923" i="6"/>
  <c r="C923" i="6"/>
  <c r="I931" i="6"/>
  <c r="H931" i="6"/>
  <c r="D931" i="6"/>
  <c r="E933" i="6"/>
  <c r="B933" i="6"/>
  <c r="R933" i="6" s="1"/>
  <c r="K933" i="6"/>
  <c r="F943" i="6"/>
  <c r="D946" i="6"/>
  <c r="L950" i="6"/>
  <c r="I959" i="6"/>
  <c r="L959" i="6"/>
  <c r="L972" i="6"/>
  <c r="E972" i="6"/>
  <c r="K1019" i="6"/>
  <c r="D1025" i="6"/>
  <c r="E1025" i="6"/>
  <c r="N1033" i="6"/>
  <c r="D1033" i="6"/>
  <c r="M1076" i="6"/>
  <c r="N1179" i="6"/>
  <c r="H1179" i="6"/>
  <c r="F1179" i="6"/>
  <c r="C1179" i="6"/>
  <c r="C684" i="6"/>
  <c r="C702" i="6"/>
  <c r="I889" i="6"/>
  <c r="G889" i="6"/>
  <c r="N977" i="6"/>
  <c r="L977" i="6"/>
  <c r="G1026" i="6"/>
  <c r="J1026" i="6"/>
  <c r="J1169" i="6"/>
  <c r="H1169" i="6"/>
  <c r="C1169" i="6"/>
  <c r="I1288" i="6"/>
  <c r="G1288" i="6"/>
  <c r="D1288" i="6"/>
  <c r="N1288" i="6"/>
  <c r="M1288" i="6"/>
  <c r="H1288" i="6"/>
  <c r="F1288" i="6"/>
  <c r="C1288" i="6"/>
  <c r="I355" i="6"/>
  <c r="K375" i="6"/>
  <c r="K387" i="6"/>
  <c r="J395" i="6"/>
  <c r="F438" i="6"/>
  <c r="G442" i="6"/>
  <c r="F446" i="6"/>
  <c r="G462" i="6"/>
  <c r="L487" i="6"/>
  <c r="H548" i="6"/>
  <c r="D558" i="6"/>
  <c r="F560" i="6"/>
  <c r="L563" i="6"/>
  <c r="F567" i="6"/>
  <c r="F570" i="6"/>
  <c r="F571" i="6"/>
  <c r="L574" i="6"/>
  <c r="F586" i="6"/>
  <c r="J592" i="6"/>
  <c r="F610" i="6"/>
  <c r="D612" i="6"/>
  <c r="J617" i="6"/>
  <c r="K620" i="6"/>
  <c r="J626" i="6"/>
  <c r="G633" i="6"/>
  <c r="K651" i="6"/>
  <c r="G656" i="6"/>
  <c r="B662" i="6"/>
  <c r="P662" i="6" s="1"/>
  <c r="S662" i="6" s="1"/>
  <c r="C668" i="6"/>
  <c r="J684" i="6"/>
  <c r="D702" i="6"/>
  <c r="C712" i="6"/>
  <c r="E729" i="6"/>
  <c r="M735" i="6"/>
  <c r="E740" i="6"/>
  <c r="M780" i="6"/>
  <c r="G800" i="6"/>
  <c r="G816" i="6"/>
  <c r="E860" i="6"/>
  <c r="G860" i="6"/>
  <c r="L863" i="6"/>
  <c r="M865" i="6"/>
  <c r="G870" i="6"/>
  <c r="G883" i="6"/>
  <c r="J885" i="6"/>
  <c r="B889" i="6"/>
  <c r="O889" i="6" s="1"/>
  <c r="T889" i="6" s="1"/>
  <c r="L914" i="6"/>
  <c r="J917" i="6"/>
  <c r="I922" i="6"/>
  <c r="B922" i="6"/>
  <c r="Q922" i="6" s="1"/>
  <c r="J922" i="6"/>
  <c r="K923" i="6"/>
  <c r="G931" i="6"/>
  <c r="J933" i="6"/>
  <c r="I947" i="6"/>
  <c r="H947" i="6"/>
  <c r="I956" i="6"/>
  <c r="N956" i="6"/>
  <c r="L956" i="6"/>
  <c r="B956" i="6"/>
  <c r="R956" i="6" s="1"/>
  <c r="F1021" i="6"/>
  <c r="K1021" i="6"/>
  <c r="E1021" i="6"/>
  <c r="J1044" i="6"/>
  <c r="D1044" i="6"/>
  <c r="I1119" i="6"/>
  <c r="K1119" i="6"/>
  <c r="G1119" i="6"/>
  <c r="B1119" i="6"/>
  <c r="R1119" i="6" s="1"/>
  <c r="H1140" i="6"/>
  <c r="N1140" i="6"/>
  <c r="K1140" i="6"/>
  <c r="E1140" i="6"/>
  <c r="B1140" i="6"/>
  <c r="O1140" i="6" s="1"/>
  <c r="T1140" i="6" s="1"/>
  <c r="K1384" i="6"/>
  <c r="G1384" i="6"/>
  <c r="N1396" i="6"/>
  <c r="L1396" i="6"/>
  <c r="D1396" i="6"/>
  <c r="M951" i="6"/>
  <c r="M1053" i="6"/>
  <c r="H1118" i="6"/>
  <c r="K1131" i="6"/>
  <c r="H1163" i="6"/>
  <c r="H1201" i="6"/>
  <c r="E1201" i="6"/>
  <c r="K1204" i="6"/>
  <c r="E1224" i="6"/>
  <c r="F1270" i="6"/>
  <c r="I1272" i="6"/>
  <c r="N1272" i="6"/>
  <c r="H1272" i="6"/>
  <c r="E1286" i="6"/>
  <c r="J1296" i="6"/>
  <c r="I1313" i="6"/>
  <c r="J1313" i="6"/>
  <c r="G1313" i="6"/>
  <c r="H1330" i="6"/>
  <c r="L1402" i="6"/>
  <c r="F1402" i="6"/>
  <c r="C1426" i="6"/>
  <c r="K1426" i="6"/>
  <c r="J1426" i="6"/>
  <c r="I1449" i="6"/>
  <c r="J1449" i="6"/>
  <c r="I1469" i="6"/>
  <c r="N1469" i="6"/>
  <c r="H1469" i="6"/>
  <c r="L1526" i="6"/>
  <c r="I1526" i="6"/>
  <c r="M1531" i="6"/>
  <c r="K1531" i="6"/>
  <c r="G1531" i="6"/>
  <c r="M1556" i="6"/>
  <c r="G1556" i="6"/>
  <c r="C1556" i="6"/>
  <c r="J1556" i="6"/>
  <c r="H1556" i="6"/>
  <c r="F1556" i="6"/>
  <c r="B1556" i="6"/>
  <c r="Q1556" i="6" s="1"/>
  <c r="H1640" i="6"/>
  <c r="G1640" i="6"/>
  <c r="B1640" i="6"/>
  <c r="R1640" i="6" s="1"/>
  <c r="M1830" i="6"/>
  <c r="B1830" i="6"/>
  <c r="R1830" i="6" s="1"/>
  <c r="N1198" i="6"/>
  <c r="J1198" i="6"/>
  <c r="K1230" i="6"/>
  <c r="F1230" i="6"/>
  <c r="K1264" i="6"/>
  <c r="E1264" i="6"/>
  <c r="H1270" i="6"/>
  <c r="I1275" i="6"/>
  <c r="G1275" i="6"/>
  <c r="B1275" i="6"/>
  <c r="O1275" i="6" s="1"/>
  <c r="T1275" i="6" s="1"/>
  <c r="I1277" i="6"/>
  <c r="J1277" i="6"/>
  <c r="H1285" i="6"/>
  <c r="J1285" i="6"/>
  <c r="G1285" i="6"/>
  <c r="C1297" i="6"/>
  <c r="J1297" i="6"/>
  <c r="G1297" i="6"/>
  <c r="F1297" i="6"/>
  <c r="N1364" i="6"/>
  <c r="L1364" i="6"/>
  <c r="E1160" i="6"/>
  <c r="E1189" i="6"/>
  <c r="G1193" i="6"/>
  <c r="I1198" i="6"/>
  <c r="M1223" i="6"/>
  <c r="I1223" i="6"/>
  <c r="G1223" i="6"/>
  <c r="K1252" i="6"/>
  <c r="I1252" i="6"/>
  <c r="F1264" i="6"/>
  <c r="L1270" i="6"/>
  <c r="C1275" i="6"/>
  <c r="B1277" i="6"/>
  <c r="O1277" i="6" s="1"/>
  <c r="T1277" i="6" s="1"/>
  <c r="B1285" i="6"/>
  <c r="O1285" i="6" s="1"/>
  <c r="T1285" i="6" s="1"/>
  <c r="I1310" i="6"/>
  <c r="L1310" i="6"/>
  <c r="J1310" i="6"/>
  <c r="F1310" i="6"/>
  <c r="H1325" i="6"/>
  <c r="G1325" i="6"/>
  <c r="N1542" i="6"/>
  <c r="L1542" i="6"/>
  <c r="D1542" i="6"/>
  <c r="C1542" i="6"/>
  <c r="I1598" i="6"/>
  <c r="M1598" i="6"/>
  <c r="K1598" i="6"/>
  <c r="D1598" i="6"/>
  <c r="B1598" i="6"/>
  <c r="Q1598" i="6" s="1"/>
  <c r="I1676" i="6"/>
  <c r="K1676" i="6"/>
  <c r="K1807" i="6"/>
  <c r="I1807" i="6"/>
  <c r="N1817" i="6"/>
  <c r="F1817" i="6"/>
  <c r="N880" i="6"/>
  <c r="J893" i="6"/>
  <c r="E919" i="6"/>
  <c r="N932" i="6"/>
  <c r="B938" i="6"/>
  <c r="Q938" i="6" s="1"/>
  <c r="B951" i="6"/>
  <c r="P951" i="6" s="1"/>
  <c r="S951" i="6" s="1"/>
  <c r="C953" i="6"/>
  <c r="E970" i="6"/>
  <c r="I982" i="6"/>
  <c r="B986" i="6"/>
  <c r="O986" i="6" s="1"/>
  <c r="T986" i="6" s="1"/>
  <c r="F989" i="6"/>
  <c r="B1000" i="6"/>
  <c r="Q1000" i="6" s="1"/>
  <c r="M1002" i="6"/>
  <c r="H1012" i="6"/>
  <c r="M1055" i="6"/>
  <c r="E1061" i="6"/>
  <c r="M1093" i="6"/>
  <c r="H1102" i="6"/>
  <c r="M1114" i="6"/>
  <c r="I1116" i="6"/>
  <c r="C1126" i="6"/>
  <c r="I1128" i="6"/>
  <c r="N1148" i="6"/>
  <c r="J1151" i="6"/>
  <c r="B1156" i="6"/>
  <c r="R1156" i="6" s="1"/>
  <c r="G1164" i="6"/>
  <c r="B1167" i="6"/>
  <c r="P1167" i="6" s="1"/>
  <c r="S1167" i="6" s="1"/>
  <c r="H1173" i="6"/>
  <c r="H1183" i="6"/>
  <c r="H1187" i="6"/>
  <c r="F1187" i="6"/>
  <c r="F1189" i="6"/>
  <c r="H1209" i="6"/>
  <c r="K1209" i="6"/>
  <c r="C1223" i="6"/>
  <c r="M1237" i="6"/>
  <c r="I1237" i="6"/>
  <c r="H1241" i="6"/>
  <c r="N1252" i="6"/>
  <c r="F1272" i="6"/>
  <c r="J1275" i="6"/>
  <c r="C1277" i="6"/>
  <c r="C1285" i="6"/>
  <c r="I1299" i="6"/>
  <c r="K1299" i="6"/>
  <c r="F1305" i="6"/>
  <c r="C1310" i="6"/>
  <c r="B1325" i="6"/>
  <c r="R1325" i="6" s="1"/>
  <c r="J1399" i="6"/>
  <c r="C1399" i="6"/>
  <c r="I1414" i="6"/>
  <c r="K1414" i="6"/>
  <c r="G1414" i="6"/>
  <c r="F1414" i="6"/>
  <c r="C1414" i="6"/>
  <c r="D1422" i="6"/>
  <c r="K1422" i="6"/>
  <c r="I1194" i="6"/>
  <c r="B1194" i="6"/>
  <c r="P1194" i="6" s="1"/>
  <c r="S1194" i="6" s="1"/>
  <c r="I1270" i="6"/>
  <c r="G1270" i="6"/>
  <c r="E1270" i="6"/>
  <c r="N1270" i="6"/>
  <c r="I1276" i="6"/>
  <c r="M1276" i="6"/>
  <c r="K1276" i="6"/>
  <c r="C1283" i="6"/>
  <c r="I1283" i="6"/>
  <c r="K1293" i="6"/>
  <c r="N1293" i="6"/>
  <c r="G1293" i="6"/>
  <c r="K1360" i="6"/>
  <c r="M1360" i="6"/>
  <c r="D1360" i="6"/>
  <c r="C1360" i="6"/>
  <c r="I1400" i="6"/>
  <c r="N1400" i="6"/>
  <c r="H1400" i="6"/>
  <c r="G1400" i="6"/>
  <c r="F1400" i="6"/>
  <c r="C1400" i="6"/>
  <c r="I1478" i="6"/>
  <c r="N1478" i="6"/>
  <c r="L1478" i="6"/>
  <c r="H1478" i="6"/>
  <c r="F1478" i="6"/>
  <c r="C1478" i="6"/>
  <c r="B1478" i="6"/>
  <c r="O1478" i="6" s="1"/>
  <c r="T1478" i="6" s="1"/>
  <c r="H1671" i="6"/>
  <c r="J1671" i="6"/>
  <c r="D1671" i="6"/>
  <c r="M1671" i="6"/>
  <c r="I1671" i="6"/>
  <c r="G938" i="6"/>
  <c r="F951" i="6"/>
  <c r="M970" i="6"/>
  <c r="M986" i="6"/>
  <c r="M989" i="6"/>
  <c r="F1117" i="6"/>
  <c r="E1152" i="6"/>
  <c r="K1165" i="6"/>
  <c r="G1174" i="6"/>
  <c r="N1194" i="6"/>
  <c r="H1207" i="6"/>
  <c r="I1207" i="6"/>
  <c r="H1216" i="6"/>
  <c r="K1216" i="6"/>
  <c r="E1216" i="6"/>
  <c r="I1224" i="6"/>
  <c r="K1224" i="6"/>
  <c r="E1233" i="6"/>
  <c r="J1233" i="6"/>
  <c r="H1249" i="6"/>
  <c r="E1249" i="6"/>
  <c r="B1270" i="6"/>
  <c r="Q1270" i="6" s="1"/>
  <c r="K1271" i="6"/>
  <c r="H1271" i="6"/>
  <c r="B1271" i="6"/>
  <c r="O1271" i="6" s="1"/>
  <c r="T1271" i="6" s="1"/>
  <c r="B1276" i="6"/>
  <c r="O1276" i="6" s="1"/>
  <c r="T1276" i="6" s="1"/>
  <c r="H1277" i="6"/>
  <c r="J1283" i="6"/>
  <c r="N1286" i="6"/>
  <c r="G1286" i="6"/>
  <c r="D1316" i="6"/>
  <c r="F1321" i="6"/>
  <c r="B1360" i="6"/>
  <c r="O1360" i="6" s="1"/>
  <c r="T1360" i="6" s="1"/>
  <c r="B1400" i="6"/>
  <c r="R1400" i="6" s="1"/>
  <c r="J1409" i="6"/>
  <c r="G1409" i="6"/>
  <c r="L1424" i="6"/>
  <c r="H1424" i="6"/>
  <c r="G1456" i="6"/>
  <c r="N1456" i="6"/>
  <c r="I1456" i="6"/>
  <c r="F1456" i="6"/>
  <c r="B1595" i="6"/>
  <c r="Q1595" i="6" s="1"/>
  <c r="D1595" i="6"/>
  <c r="L1595" i="6"/>
  <c r="J1595" i="6"/>
  <c r="G1595" i="6"/>
  <c r="I1606" i="6"/>
  <c r="G1606" i="6"/>
  <c r="D1606" i="6"/>
  <c r="N1606" i="6"/>
  <c r="M1606" i="6"/>
  <c r="K1606" i="6"/>
  <c r="E1606" i="6"/>
  <c r="B1606" i="6"/>
  <c r="Q1606" i="6" s="1"/>
  <c r="B1645" i="6"/>
  <c r="P1645" i="6" s="1"/>
  <c r="S1645" i="6" s="1"/>
  <c r="I1645" i="6"/>
  <c r="I1152" i="6"/>
  <c r="M1165" i="6"/>
  <c r="J1174" i="6"/>
  <c r="M1185" i="6"/>
  <c r="C1185" i="6"/>
  <c r="K1238" i="6"/>
  <c r="F1238" i="6"/>
  <c r="C1270" i="6"/>
  <c r="C1276" i="6"/>
  <c r="I1322" i="6"/>
  <c r="M1322" i="6"/>
  <c r="F1322" i="6"/>
  <c r="E1322" i="6"/>
  <c r="J1395" i="6"/>
  <c r="C1395" i="6"/>
  <c r="K1400" i="6"/>
  <c r="B1409" i="6"/>
  <c r="O1409" i="6" s="1"/>
  <c r="T1409" i="6" s="1"/>
  <c r="C1456" i="6"/>
  <c r="B1480" i="6"/>
  <c r="Q1480" i="6" s="1"/>
  <c r="H1480" i="6"/>
  <c r="K1780" i="6"/>
  <c r="H1780" i="6"/>
  <c r="F1780" i="6"/>
  <c r="E1780" i="6"/>
  <c r="B1780" i="6"/>
  <c r="Q1780" i="6" s="1"/>
  <c r="M1780" i="6"/>
  <c r="C1780" i="6"/>
  <c r="N1501" i="6"/>
  <c r="D1566" i="6"/>
  <c r="H1566" i="6"/>
  <c r="K1712" i="6"/>
  <c r="N1712" i="6"/>
  <c r="I1755" i="6"/>
  <c r="H1755" i="6"/>
  <c r="I1791" i="6"/>
  <c r="L1791" i="6"/>
  <c r="K1818" i="6"/>
  <c r="N1818" i="6"/>
  <c r="E1818" i="6"/>
  <c r="C1818" i="6"/>
  <c r="B1818" i="6"/>
  <c r="Q1818" i="6" s="1"/>
  <c r="B1861" i="6"/>
  <c r="P1861" i="6" s="1"/>
  <c r="S1861" i="6" s="1"/>
  <c r="M1861" i="6"/>
  <c r="J1861" i="6"/>
  <c r="H1861" i="6"/>
  <c r="G1861" i="6"/>
  <c r="F1861" i="6"/>
  <c r="D1861" i="6"/>
  <c r="I1982" i="6"/>
  <c r="M1982" i="6"/>
  <c r="E1982" i="6"/>
  <c r="D1982" i="6"/>
  <c r="C1982" i="6"/>
  <c r="J1195" i="6"/>
  <c r="E1368" i="6"/>
  <c r="F1394" i="6"/>
  <c r="N1440" i="6"/>
  <c r="H1493" i="6"/>
  <c r="I1494" i="6"/>
  <c r="L1497" i="6"/>
  <c r="B1501" i="6"/>
  <c r="Q1501" i="6" s="1"/>
  <c r="I1504" i="6"/>
  <c r="H1505" i="6"/>
  <c r="B1513" i="6"/>
  <c r="Q1513" i="6" s="1"/>
  <c r="D1525" i="6"/>
  <c r="C1529" i="6"/>
  <c r="C1538" i="6"/>
  <c r="H1539" i="6"/>
  <c r="H1540" i="6"/>
  <c r="I1553" i="6"/>
  <c r="L1553" i="6"/>
  <c r="C1553" i="6"/>
  <c r="K1561" i="6"/>
  <c r="M1561" i="6"/>
  <c r="G1561" i="6"/>
  <c r="I1586" i="6"/>
  <c r="E1586" i="6"/>
  <c r="B1586" i="6"/>
  <c r="Q1586" i="6" s="1"/>
  <c r="G1602" i="6"/>
  <c r="K1612" i="6"/>
  <c r="C1618" i="6"/>
  <c r="H1618" i="6"/>
  <c r="D1618" i="6"/>
  <c r="J1713" i="6"/>
  <c r="B1713" i="6"/>
  <c r="R1713" i="6" s="1"/>
  <c r="L1755" i="6"/>
  <c r="M1766" i="6"/>
  <c r="I1766" i="6"/>
  <c r="H1776" i="6"/>
  <c r="J1791" i="6"/>
  <c r="M1818" i="6"/>
  <c r="M1994" i="6"/>
  <c r="K1994" i="6"/>
  <c r="I1994" i="6"/>
  <c r="F1368" i="6"/>
  <c r="G1394" i="6"/>
  <c r="B1440" i="6"/>
  <c r="R1440" i="6" s="1"/>
  <c r="F1465" i="6"/>
  <c r="B1481" i="6"/>
  <c r="R1481" i="6" s="1"/>
  <c r="F1486" i="6"/>
  <c r="C1489" i="6"/>
  <c r="L1493" i="6"/>
  <c r="M1497" i="6"/>
  <c r="C1501" i="6"/>
  <c r="G1502" i="6"/>
  <c r="J1504" i="6"/>
  <c r="N1505" i="6"/>
  <c r="H1507" i="6"/>
  <c r="M1513" i="6"/>
  <c r="D1518" i="6"/>
  <c r="B1522" i="6"/>
  <c r="R1522" i="6" s="1"/>
  <c r="E1525" i="6"/>
  <c r="E1527" i="6"/>
  <c r="E1529" i="6"/>
  <c r="G1538" i="6"/>
  <c r="K1539" i="6"/>
  <c r="J1540" i="6"/>
  <c r="F1549" i="6"/>
  <c r="B1553" i="6"/>
  <c r="R1553" i="6" s="1"/>
  <c r="I1559" i="6"/>
  <c r="K1559" i="6"/>
  <c r="G1559" i="6"/>
  <c r="B1561" i="6"/>
  <c r="P1561" i="6" s="1"/>
  <c r="S1561" i="6" s="1"/>
  <c r="C1567" i="6"/>
  <c r="I1577" i="6"/>
  <c r="G1577" i="6"/>
  <c r="E1577" i="6"/>
  <c r="D1578" i="6"/>
  <c r="C1586" i="6"/>
  <c r="G1618" i="6"/>
  <c r="L1728" i="6"/>
  <c r="M1728" i="6"/>
  <c r="D1728" i="6"/>
  <c r="M1732" i="6"/>
  <c r="N1732" i="6"/>
  <c r="D1732" i="6"/>
  <c r="K1792" i="6"/>
  <c r="H1792" i="6"/>
  <c r="F1792" i="6"/>
  <c r="C1792" i="6"/>
  <c r="B1792" i="6"/>
  <c r="Q1792" i="6" s="1"/>
  <c r="G1959" i="6"/>
  <c r="K1959" i="6"/>
  <c r="I1966" i="6"/>
  <c r="L1966" i="6"/>
  <c r="J1966" i="6"/>
  <c r="G1966" i="6"/>
  <c r="E1966" i="6"/>
  <c r="D1966" i="6"/>
  <c r="C1966" i="6"/>
  <c r="B1966" i="6"/>
  <c r="R1966" i="6" s="1"/>
  <c r="G1269" i="6"/>
  <c r="C1290" i="6"/>
  <c r="B1292" i="6"/>
  <c r="O1292" i="6" s="1"/>
  <c r="T1292" i="6" s="1"/>
  <c r="B1300" i="6"/>
  <c r="O1300" i="6" s="1"/>
  <c r="T1300" i="6" s="1"/>
  <c r="N1344" i="6"/>
  <c r="C1350" i="6"/>
  <c r="D1358" i="6"/>
  <c r="G1368" i="6"/>
  <c r="F1380" i="6"/>
  <c r="L1394" i="6"/>
  <c r="B1408" i="6"/>
  <c r="R1408" i="6" s="1"/>
  <c r="M1412" i="6"/>
  <c r="N1420" i="6"/>
  <c r="B1430" i="6"/>
  <c r="P1430" i="6" s="1"/>
  <c r="S1430" i="6" s="1"/>
  <c r="G1436" i="6"/>
  <c r="C1440" i="6"/>
  <c r="L1450" i="6"/>
  <c r="J1465" i="6"/>
  <c r="D1481" i="6"/>
  <c r="C1485" i="6"/>
  <c r="D1489" i="6"/>
  <c r="K1491" i="6"/>
  <c r="M1493" i="6"/>
  <c r="D1501" i="6"/>
  <c r="L1502" i="6"/>
  <c r="N1504" i="6"/>
  <c r="K1507" i="6"/>
  <c r="F1525" i="6"/>
  <c r="K1529" i="6"/>
  <c r="D1532" i="6"/>
  <c r="M1539" i="6"/>
  <c r="J1550" i="6"/>
  <c r="N1550" i="6"/>
  <c r="K1553" i="6"/>
  <c r="B1559" i="6"/>
  <c r="P1559" i="6" s="1"/>
  <c r="S1559" i="6" s="1"/>
  <c r="D1561" i="6"/>
  <c r="I1565" i="6"/>
  <c r="N1565" i="6"/>
  <c r="D1571" i="6"/>
  <c r="B1577" i="6"/>
  <c r="R1577" i="6" s="1"/>
  <c r="F1586" i="6"/>
  <c r="I1596" i="6"/>
  <c r="M1596" i="6"/>
  <c r="D1596" i="6"/>
  <c r="J1618" i="6"/>
  <c r="I1624" i="6"/>
  <c r="H1624" i="6"/>
  <c r="D1626" i="6"/>
  <c r="J1673" i="6"/>
  <c r="B1673" i="6"/>
  <c r="P1673" i="6" s="1"/>
  <c r="S1673" i="6" s="1"/>
  <c r="N1698" i="6"/>
  <c r="D1698" i="6"/>
  <c r="E1728" i="6"/>
  <c r="E1732" i="6"/>
  <c r="H1757" i="6"/>
  <c r="M1757" i="6"/>
  <c r="C1757" i="6"/>
  <c r="M1991" i="6"/>
  <c r="K1991" i="6"/>
  <c r="H1368" i="6"/>
  <c r="N1394" i="6"/>
  <c r="E1501" i="6"/>
  <c r="D1611" i="6"/>
  <c r="B1611" i="6"/>
  <c r="P1611" i="6" s="1"/>
  <c r="S1611" i="6" s="1"/>
  <c r="E1642" i="6"/>
  <c r="D1642" i="6"/>
  <c r="J1661" i="6"/>
  <c r="B1661" i="6"/>
  <c r="R1661" i="6" s="1"/>
  <c r="M1849" i="6"/>
  <c r="J1849" i="6"/>
  <c r="F1501" i="6"/>
  <c r="I1551" i="6"/>
  <c r="C1551" i="6"/>
  <c r="G1607" i="6"/>
  <c r="I1607" i="6"/>
  <c r="D1607" i="6"/>
  <c r="I1612" i="6"/>
  <c r="B1612" i="6"/>
  <c r="Q1612" i="6" s="1"/>
  <c r="N1612" i="6"/>
  <c r="J1705" i="6"/>
  <c r="E1705" i="6"/>
  <c r="H1711" i="6"/>
  <c r="D1711" i="6"/>
  <c r="J1711" i="6"/>
  <c r="G1711" i="6"/>
  <c r="M1740" i="6"/>
  <c r="N1740" i="6"/>
  <c r="F1740" i="6"/>
  <c r="N1806" i="6"/>
  <c r="J1806" i="6"/>
  <c r="H1806" i="6"/>
  <c r="F1806" i="6"/>
  <c r="C1806" i="6"/>
  <c r="N1932" i="6"/>
  <c r="M1932" i="6"/>
  <c r="J1932" i="6"/>
  <c r="I1932" i="6"/>
  <c r="G1932" i="6"/>
  <c r="F1932" i="6"/>
  <c r="E1932" i="6"/>
  <c r="H1951" i="6"/>
  <c r="M1951" i="6"/>
  <c r="M1368" i="6"/>
  <c r="B1488" i="6"/>
  <c r="P1488" i="6" s="1"/>
  <c r="S1488" i="6" s="1"/>
  <c r="L1501" i="6"/>
  <c r="L1511" i="6"/>
  <c r="N1525" i="6"/>
  <c r="J1530" i="6"/>
  <c r="D1539" i="6"/>
  <c r="C1540" i="6"/>
  <c r="D1543" i="6"/>
  <c r="N1548" i="6"/>
  <c r="G1548" i="6"/>
  <c r="E1551" i="6"/>
  <c r="E1557" i="6"/>
  <c r="C1562" i="6"/>
  <c r="I1602" i="6"/>
  <c r="H1602" i="6"/>
  <c r="B1607" i="6"/>
  <c r="P1607" i="6" s="1"/>
  <c r="S1607" i="6" s="1"/>
  <c r="D1612" i="6"/>
  <c r="J1634" i="6"/>
  <c r="M1634" i="6"/>
  <c r="D1634" i="6"/>
  <c r="G1639" i="6"/>
  <c r="I1658" i="6"/>
  <c r="G1658" i="6"/>
  <c r="L1658" i="6"/>
  <c r="H1683" i="6"/>
  <c r="E1683" i="6"/>
  <c r="M1694" i="6"/>
  <c r="C1694" i="6"/>
  <c r="J1790" i="6"/>
  <c r="N1790" i="6"/>
  <c r="G1790" i="6"/>
  <c r="F1790" i="6"/>
  <c r="C1790" i="6"/>
  <c r="E1806" i="6"/>
  <c r="K1876" i="6"/>
  <c r="C1876" i="6"/>
  <c r="L1648" i="6"/>
  <c r="M1663" i="6"/>
  <c r="M1689" i="6"/>
  <c r="J1703" i="6"/>
  <c r="M1730" i="6"/>
  <c r="F1742" i="6"/>
  <c r="N1748" i="6"/>
  <c r="G1768" i="6"/>
  <c r="G1798" i="6"/>
  <c r="I1823" i="6"/>
  <c r="N1832" i="6"/>
  <c r="J1836" i="6"/>
  <c r="N1841" i="6"/>
  <c r="J1845" i="6"/>
  <c r="H1846" i="6"/>
  <c r="E1851" i="6"/>
  <c r="F1855" i="6"/>
  <c r="N1862" i="6"/>
  <c r="N1881" i="6"/>
  <c r="F1907" i="6"/>
  <c r="M1922" i="6"/>
  <c r="M1923" i="6"/>
  <c r="L1936" i="6"/>
  <c r="I1938" i="6"/>
  <c r="F1940" i="6"/>
  <c r="I1954" i="6"/>
  <c r="C1974" i="6"/>
  <c r="K1975" i="6"/>
  <c r="F1979" i="6"/>
  <c r="L1980" i="6"/>
  <c r="H1988" i="6"/>
  <c r="E1592" i="6"/>
  <c r="N1734" i="6"/>
  <c r="K1742" i="6"/>
  <c r="F1754" i="6"/>
  <c r="G1761" i="6"/>
  <c r="J1798" i="6"/>
  <c r="B1833" i="6"/>
  <c r="R1833" i="6" s="1"/>
  <c r="H1842" i="6"/>
  <c r="C1850" i="6"/>
  <c r="L1851" i="6"/>
  <c r="N1855" i="6"/>
  <c r="K1882" i="6"/>
  <c r="F1892" i="6"/>
  <c r="D1908" i="6"/>
  <c r="B1923" i="6"/>
  <c r="Q1923" i="6" s="1"/>
  <c r="E1924" i="6"/>
  <c r="F1930" i="6"/>
  <c r="F1935" i="6"/>
  <c r="B1964" i="6"/>
  <c r="R1964" i="6" s="1"/>
  <c r="E1972" i="6"/>
  <c r="J1974" i="6"/>
  <c r="B1980" i="6"/>
  <c r="Q1980" i="6" s="1"/>
  <c r="C1981" i="6"/>
  <c r="N1798" i="6"/>
  <c r="C1833" i="6"/>
  <c r="D1850" i="6"/>
  <c r="N1882" i="6"/>
  <c r="L1908" i="6"/>
  <c r="C1923" i="6"/>
  <c r="I1930" i="6"/>
  <c r="G1964" i="6"/>
  <c r="C1980" i="6"/>
  <c r="D1981" i="6"/>
  <c r="B1785" i="6"/>
  <c r="P1785" i="6" s="1"/>
  <c r="S1785" i="6" s="1"/>
  <c r="B1798" i="6"/>
  <c r="O1798" i="6" s="1"/>
  <c r="T1798" i="6" s="1"/>
  <c r="F1833" i="6"/>
  <c r="C1838" i="6"/>
  <c r="F1850" i="6"/>
  <c r="F1869" i="6"/>
  <c r="M1908" i="6"/>
  <c r="E1923" i="6"/>
  <c r="D1938" i="6"/>
  <c r="E1962" i="6"/>
  <c r="J1964" i="6"/>
  <c r="G1973" i="6"/>
  <c r="D1980" i="6"/>
  <c r="F1981" i="6"/>
  <c r="E1993" i="6"/>
  <c r="L1964" i="6"/>
  <c r="E1980" i="6"/>
  <c r="G1981" i="6"/>
  <c r="I1743" i="6"/>
  <c r="D1748" i="6"/>
  <c r="J1785" i="6"/>
  <c r="E1798" i="6"/>
  <c r="C1823" i="6"/>
  <c r="J1829" i="6"/>
  <c r="N1833" i="6"/>
  <c r="F1836" i="6"/>
  <c r="J1838" i="6"/>
  <c r="J1841" i="6"/>
  <c r="I1852" i="6"/>
  <c r="D1855" i="6"/>
  <c r="C1858" i="6"/>
  <c r="D1865" i="6"/>
  <c r="B1881" i="6"/>
  <c r="P1881" i="6" s="1"/>
  <c r="S1881" i="6" s="1"/>
  <c r="E1886" i="6"/>
  <c r="H1909" i="6"/>
  <c r="E1922" i="6"/>
  <c r="G1923" i="6"/>
  <c r="F1938" i="6"/>
  <c r="M1962" i="6"/>
  <c r="G1980" i="6"/>
  <c r="H1981" i="6"/>
  <c r="L204" i="6"/>
  <c r="L218" i="6"/>
  <c r="F492" i="6"/>
  <c r="H492" i="6"/>
  <c r="H526" i="6"/>
  <c r="I526" i="6"/>
  <c r="K663" i="6"/>
  <c r="E663" i="6"/>
  <c r="C663" i="6"/>
  <c r="N663" i="6"/>
  <c r="G663" i="6"/>
  <c r="M681" i="6"/>
  <c r="H681" i="6"/>
  <c r="F681" i="6"/>
  <c r="I1346" i="6"/>
  <c r="L1346" i="6"/>
  <c r="C1346" i="6"/>
  <c r="N1346" i="6"/>
  <c r="F1346" i="6"/>
  <c r="E1346" i="6"/>
  <c r="I1620" i="6"/>
  <c r="K1620" i="6"/>
  <c r="H1620" i="6"/>
  <c r="G1620" i="6"/>
  <c r="F1620" i="6"/>
  <c r="L1620" i="6"/>
  <c r="D1620" i="6"/>
  <c r="C1620" i="6"/>
  <c r="B1620" i="6"/>
  <c r="R1620" i="6" s="1"/>
  <c r="M1620" i="6"/>
  <c r="M440" i="6"/>
  <c r="D45" i="6"/>
  <c r="D88" i="6"/>
  <c r="D90" i="6"/>
  <c r="D96" i="6"/>
  <c r="D98" i="6"/>
  <c r="D110" i="6"/>
  <c r="F113" i="6"/>
  <c r="D124" i="6"/>
  <c r="J132" i="6"/>
  <c r="D152" i="6"/>
  <c r="D164" i="6"/>
  <c r="D176" i="6"/>
  <c r="D190" i="6"/>
  <c r="H203" i="6"/>
  <c r="H213" i="6"/>
  <c r="I217" i="6"/>
  <c r="D226" i="6"/>
  <c r="D242" i="6"/>
  <c r="D271" i="6"/>
  <c r="D288" i="6"/>
  <c r="H349" i="6"/>
  <c r="D363" i="6"/>
  <c r="F368" i="6"/>
  <c r="J377" i="6"/>
  <c r="D415" i="6"/>
  <c r="L485" i="6"/>
  <c r="I485" i="6"/>
  <c r="I502" i="6"/>
  <c r="D591" i="6"/>
  <c r="H591" i="6"/>
  <c r="F591" i="6"/>
  <c r="I596" i="6"/>
  <c r="K596" i="6"/>
  <c r="H596" i="6"/>
  <c r="G596" i="6"/>
  <c r="F596" i="6"/>
  <c r="D596" i="6"/>
  <c r="J616" i="6"/>
  <c r="D616" i="6"/>
  <c r="K616" i="6"/>
  <c r="L622" i="6"/>
  <c r="J622" i="6"/>
  <c r="H622" i="6"/>
  <c r="G622" i="6"/>
  <c r="D629" i="6"/>
  <c r="I629" i="6"/>
  <c r="G629" i="6"/>
  <c r="M654" i="6"/>
  <c r="B654" i="6"/>
  <c r="O654" i="6" s="1"/>
  <c r="T654" i="6" s="1"/>
  <c r="L654" i="6"/>
  <c r="I654" i="6"/>
  <c r="F663" i="6"/>
  <c r="I954" i="6"/>
  <c r="L954" i="6"/>
  <c r="J954" i="6"/>
  <c r="G954" i="6"/>
  <c r="D954" i="6"/>
  <c r="B954" i="6"/>
  <c r="O954" i="6" s="1"/>
  <c r="T954" i="6" s="1"/>
  <c r="L1094" i="6"/>
  <c r="E1094" i="6"/>
  <c r="I443" i="6"/>
  <c r="K443" i="6"/>
  <c r="J443" i="6"/>
  <c r="D455" i="6"/>
  <c r="F455" i="6"/>
  <c r="H476" i="6"/>
  <c r="J476" i="6"/>
  <c r="I476" i="6"/>
  <c r="F476" i="6"/>
  <c r="I618" i="6"/>
  <c r="K618" i="6"/>
  <c r="H618" i="6"/>
  <c r="G618" i="6"/>
  <c r="F618" i="6"/>
  <c r="D618" i="6"/>
  <c r="J635" i="6"/>
  <c r="D635" i="6"/>
  <c r="H873" i="6"/>
  <c r="D873" i="6"/>
  <c r="J873" i="6"/>
  <c r="L873" i="6"/>
  <c r="E873" i="6"/>
  <c r="F90" i="3"/>
  <c r="F114" i="3"/>
  <c r="F130" i="3"/>
  <c r="F138" i="3"/>
  <c r="F146" i="3"/>
  <c r="F154" i="3"/>
  <c r="F162" i="3"/>
  <c r="F170" i="3"/>
  <c r="F178" i="3"/>
  <c r="F186" i="3"/>
  <c r="G9" i="6"/>
  <c r="G13" i="6"/>
  <c r="L19" i="6"/>
  <c r="G27" i="6"/>
  <c r="D31" i="6"/>
  <c r="D35" i="6"/>
  <c r="D39" i="6"/>
  <c r="G53" i="6"/>
  <c r="D65" i="6"/>
  <c r="G69" i="6"/>
  <c r="I80" i="6"/>
  <c r="F85" i="6"/>
  <c r="H88" i="6"/>
  <c r="L94" i="6"/>
  <c r="H96" i="6"/>
  <c r="K98" i="6"/>
  <c r="F105" i="6"/>
  <c r="H110" i="6"/>
  <c r="K113" i="6"/>
  <c r="D118" i="6"/>
  <c r="D122" i="6"/>
  <c r="K124" i="6"/>
  <c r="G128" i="6"/>
  <c r="K129" i="6"/>
  <c r="L138" i="6"/>
  <c r="D142" i="6"/>
  <c r="L146" i="6"/>
  <c r="D150" i="6"/>
  <c r="K152" i="6"/>
  <c r="G161" i="6"/>
  <c r="J164" i="6"/>
  <c r="K166" i="6"/>
  <c r="D168" i="6"/>
  <c r="F173" i="6"/>
  <c r="K176" i="6"/>
  <c r="K186" i="6"/>
  <c r="G188" i="6"/>
  <c r="F199" i="6"/>
  <c r="F201" i="6"/>
  <c r="D204" i="6"/>
  <c r="I205" i="6"/>
  <c r="D212" i="6"/>
  <c r="D218" i="6"/>
  <c r="G224" i="6"/>
  <c r="H226" i="6"/>
  <c r="K228" i="6"/>
  <c r="H236" i="6"/>
  <c r="L240" i="6"/>
  <c r="H242" i="6"/>
  <c r="D249" i="6"/>
  <c r="I255" i="6"/>
  <c r="D263" i="6"/>
  <c r="I265" i="6"/>
  <c r="J269" i="6"/>
  <c r="H282" i="6"/>
  <c r="H286" i="6"/>
  <c r="G288" i="6"/>
  <c r="H298" i="6"/>
  <c r="I303" i="6"/>
  <c r="H305" i="6"/>
  <c r="G324" i="6"/>
  <c r="H333" i="6"/>
  <c r="K335" i="6"/>
  <c r="D340" i="6"/>
  <c r="F342" i="6"/>
  <c r="I363" i="6"/>
  <c r="F366" i="6"/>
  <c r="G372" i="6"/>
  <c r="H378" i="6"/>
  <c r="L382" i="6"/>
  <c r="D386" i="6"/>
  <c r="F388" i="6"/>
  <c r="L390" i="6"/>
  <c r="D394" i="6"/>
  <c r="D399" i="6"/>
  <c r="D402" i="6"/>
  <c r="F404" i="6"/>
  <c r="L406" i="6"/>
  <c r="D410" i="6"/>
  <c r="J413" i="6"/>
  <c r="D422" i="6"/>
  <c r="L437" i="6"/>
  <c r="H440" i="6"/>
  <c r="D443" i="6"/>
  <c r="I451" i="6"/>
  <c r="K451" i="6"/>
  <c r="J451" i="6"/>
  <c r="I471" i="6"/>
  <c r="F471" i="6"/>
  <c r="J485" i="6"/>
  <c r="I552" i="6"/>
  <c r="H552" i="6"/>
  <c r="G552" i="6"/>
  <c r="F552" i="6"/>
  <c r="L596" i="6"/>
  <c r="H616" i="6"/>
  <c r="J618" i="6"/>
  <c r="G635" i="6"/>
  <c r="I638" i="6"/>
  <c r="L638" i="6"/>
  <c r="E654" i="6"/>
  <c r="I685" i="6"/>
  <c r="N685" i="6"/>
  <c r="K685" i="6"/>
  <c r="E685" i="6"/>
  <c r="C685" i="6"/>
  <c r="G772" i="6"/>
  <c r="I772" i="6"/>
  <c r="K772" i="6"/>
  <c r="F82" i="3"/>
  <c r="F106" i="3"/>
  <c r="F122" i="3"/>
  <c r="C437" i="6"/>
  <c r="E440" i="6"/>
  <c r="M476" i="6"/>
  <c r="C618" i="6"/>
  <c r="B157" i="4"/>
  <c r="B165" i="4"/>
  <c r="B173" i="4"/>
  <c r="B181" i="4"/>
  <c r="B189" i="4"/>
  <c r="B197" i="4"/>
  <c r="J9" i="6"/>
  <c r="L13" i="6"/>
  <c r="L27" i="6"/>
  <c r="G35" i="6"/>
  <c r="G39" i="6"/>
  <c r="J53" i="6"/>
  <c r="G65" i="6"/>
  <c r="K80" i="6"/>
  <c r="J96" i="6"/>
  <c r="L98" i="6"/>
  <c r="K110" i="6"/>
  <c r="D116" i="6"/>
  <c r="G118" i="6"/>
  <c r="D120" i="6"/>
  <c r="K122" i="6"/>
  <c r="L124" i="6"/>
  <c r="D126" i="6"/>
  <c r="K128" i="6"/>
  <c r="J134" i="6"/>
  <c r="G142" i="6"/>
  <c r="K150" i="6"/>
  <c r="L152" i="6"/>
  <c r="D156" i="6"/>
  <c r="F159" i="6"/>
  <c r="K161" i="6"/>
  <c r="K164" i="6"/>
  <c r="L166" i="6"/>
  <c r="G168" i="6"/>
  <c r="K173" i="6"/>
  <c r="J184" i="6"/>
  <c r="L186" i="6"/>
  <c r="H188" i="6"/>
  <c r="F191" i="6"/>
  <c r="G193" i="6"/>
  <c r="H199" i="6"/>
  <c r="H201" i="6"/>
  <c r="G204" i="6"/>
  <c r="D208" i="6"/>
  <c r="D210" i="6"/>
  <c r="G212" i="6"/>
  <c r="G218" i="6"/>
  <c r="J220" i="6"/>
  <c r="H224" i="6"/>
  <c r="K226" i="6"/>
  <c r="L228" i="6"/>
  <c r="L236" i="6"/>
  <c r="D246" i="6"/>
  <c r="J255" i="6"/>
  <c r="L257" i="6"/>
  <c r="I263" i="6"/>
  <c r="L269" i="6"/>
  <c r="D272" i="6"/>
  <c r="L286" i="6"/>
  <c r="L288" i="6"/>
  <c r="D295" i="6"/>
  <c r="L303" i="6"/>
  <c r="I305" i="6"/>
  <c r="D310" i="6"/>
  <c r="L324" i="6"/>
  <c r="G340" i="6"/>
  <c r="H342" i="6"/>
  <c r="F346" i="6"/>
  <c r="D350" i="6"/>
  <c r="H357" i="6"/>
  <c r="D362" i="6"/>
  <c r="G366" i="6"/>
  <c r="D370" i="6"/>
  <c r="L372" i="6"/>
  <c r="D375" i="6"/>
  <c r="D381" i="6"/>
  <c r="G386" i="6"/>
  <c r="H388" i="6"/>
  <c r="G394" i="6"/>
  <c r="J397" i="6"/>
  <c r="K399" i="6"/>
  <c r="G402" i="6"/>
  <c r="H404" i="6"/>
  <c r="G410" i="6"/>
  <c r="F414" i="6"/>
  <c r="D414" i="6"/>
  <c r="F422" i="6"/>
  <c r="F426" i="6"/>
  <c r="H426" i="6"/>
  <c r="G426" i="6"/>
  <c r="D451" i="6"/>
  <c r="J471" i="6"/>
  <c r="I478" i="6"/>
  <c r="H478" i="6"/>
  <c r="I529" i="6"/>
  <c r="J597" i="6"/>
  <c r="H597" i="6"/>
  <c r="G597" i="6"/>
  <c r="F597" i="6"/>
  <c r="D597" i="6"/>
  <c r="L618" i="6"/>
  <c r="L627" i="6"/>
  <c r="I627" i="6"/>
  <c r="D627" i="6"/>
  <c r="L635" i="6"/>
  <c r="C666" i="6"/>
  <c r="J666" i="6"/>
  <c r="G666" i="6"/>
  <c r="L678" i="6"/>
  <c r="M678" i="6"/>
  <c r="E678" i="6"/>
  <c r="D678" i="6"/>
  <c r="L686" i="6"/>
  <c r="M686" i="6"/>
  <c r="D686" i="6"/>
  <c r="L879" i="6"/>
  <c r="G879" i="6"/>
  <c r="K902" i="6"/>
  <c r="F902" i="6"/>
  <c r="D902" i="6"/>
  <c r="B902" i="6"/>
  <c r="O902" i="6" s="1"/>
  <c r="T902" i="6" s="1"/>
  <c r="L902" i="6"/>
  <c r="I902" i="6"/>
  <c r="F74" i="3"/>
  <c r="F98" i="3"/>
  <c r="E410" i="6"/>
  <c r="C642" i="6"/>
  <c r="J35" i="6"/>
  <c r="L80" i="6"/>
  <c r="K96" i="6"/>
  <c r="L110" i="6"/>
  <c r="K118" i="6"/>
  <c r="L128" i="6"/>
  <c r="H142" i="6"/>
  <c r="L164" i="6"/>
  <c r="K168" i="6"/>
  <c r="K188" i="6"/>
  <c r="L201" i="6"/>
  <c r="H204" i="6"/>
  <c r="H212" i="6"/>
  <c r="H218" i="6"/>
  <c r="K224" i="6"/>
  <c r="L226" i="6"/>
  <c r="L255" i="6"/>
  <c r="J263" i="6"/>
  <c r="L340" i="6"/>
  <c r="H366" i="6"/>
  <c r="L386" i="6"/>
  <c r="L394" i="6"/>
  <c r="L402" i="6"/>
  <c r="L410" i="6"/>
  <c r="G422" i="6"/>
  <c r="I435" i="6"/>
  <c r="D435" i="6"/>
  <c r="I472" i="6"/>
  <c r="J472" i="6"/>
  <c r="H472" i="6"/>
  <c r="F472" i="6"/>
  <c r="I580" i="6"/>
  <c r="J580" i="6"/>
  <c r="H580" i="6"/>
  <c r="G580" i="6"/>
  <c r="F580" i="6"/>
  <c r="I594" i="6"/>
  <c r="K594" i="6"/>
  <c r="H594" i="6"/>
  <c r="F594" i="6"/>
  <c r="L619" i="6"/>
  <c r="I619" i="6"/>
  <c r="D619" i="6"/>
  <c r="I625" i="6"/>
  <c r="J625" i="6"/>
  <c r="I667" i="6"/>
  <c r="H667" i="6"/>
  <c r="E667" i="6"/>
  <c r="K687" i="6"/>
  <c r="N687" i="6"/>
  <c r="F687" i="6"/>
  <c r="E687" i="6"/>
  <c r="M778" i="6"/>
  <c r="E778" i="6"/>
  <c r="K778" i="6"/>
  <c r="C936" i="6"/>
  <c r="H936" i="6"/>
  <c r="N936" i="6"/>
  <c r="F936" i="6"/>
  <c r="B206" i="4"/>
  <c r="B210" i="4"/>
  <c r="B214" i="4"/>
  <c r="L17" i="6"/>
  <c r="D21" i="6"/>
  <c r="D33" i="6"/>
  <c r="L43" i="6"/>
  <c r="D47" i="6"/>
  <c r="F73" i="6"/>
  <c r="D84" i="6"/>
  <c r="F87" i="6"/>
  <c r="G93" i="6"/>
  <c r="L96" i="6"/>
  <c r="L118" i="6"/>
  <c r="F123" i="6"/>
  <c r="D125" i="6"/>
  <c r="D135" i="6"/>
  <c r="J140" i="6"/>
  <c r="K142" i="6"/>
  <c r="D148" i="6"/>
  <c r="D151" i="6"/>
  <c r="D153" i="6"/>
  <c r="D160" i="6"/>
  <c r="D167" i="6"/>
  <c r="L168" i="6"/>
  <c r="D172" i="6"/>
  <c r="D185" i="6"/>
  <c r="F187" i="6"/>
  <c r="L188" i="6"/>
  <c r="D200" i="6"/>
  <c r="J204" i="6"/>
  <c r="K212" i="6"/>
  <c r="J218" i="6"/>
  <c r="L224" i="6"/>
  <c r="L247" i="6"/>
  <c r="F258" i="6"/>
  <c r="G270" i="6"/>
  <c r="I287" i="6"/>
  <c r="D289" i="6"/>
  <c r="D304" i="6"/>
  <c r="D318" i="6"/>
  <c r="D325" i="6"/>
  <c r="D328" i="6"/>
  <c r="D334" i="6"/>
  <c r="D373" i="6"/>
  <c r="D380" i="6"/>
  <c r="F384" i="6"/>
  <c r="L389" i="6"/>
  <c r="D398" i="6"/>
  <c r="F400" i="6"/>
  <c r="L405" i="6"/>
  <c r="I411" i="6"/>
  <c r="J411" i="6"/>
  <c r="D411" i="6"/>
  <c r="L422" i="6"/>
  <c r="D430" i="6"/>
  <c r="F432" i="6"/>
  <c r="J435" i="6"/>
  <c r="J445" i="6"/>
  <c r="F460" i="6"/>
  <c r="L479" i="6"/>
  <c r="D479" i="6"/>
  <c r="H518" i="6"/>
  <c r="I518" i="6"/>
  <c r="H536" i="6"/>
  <c r="D580" i="6"/>
  <c r="J589" i="6"/>
  <c r="I589" i="6"/>
  <c r="G589" i="6"/>
  <c r="F589" i="6"/>
  <c r="D589" i="6"/>
  <c r="J692" i="6"/>
  <c r="M692" i="6"/>
  <c r="L692" i="6"/>
  <c r="C692" i="6"/>
  <c r="B692" i="6"/>
  <c r="Q692" i="6" s="1"/>
  <c r="J871" i="6"/>
  <c r="K871" i="6"/>
  <c r="E871" i="6"/>
  <c r="K952" i="6"/>
  <c r="N952" i="6"/>
  <c r="H952" i="6"/>
  <c r="F952" i="6"/>
  <c r="C952" i="6"/>
  <c r="J1191" i="6"/>
  <c r="F1191" i="6"/>
  <c r="E1191" i="6"/>
  <c r="I1219" i="6"/>
  <c r="F1219" i="6"/>
  <c r="G21" i="6"/>
  <c r="D25" i="6"/>
  <c r="G33" i="6"/>
  <c r="G47" i="6"/>
  <c r="H84" i="6"/>
  <c r="L87" i="6"/>
  <c r="D104" i="6"/>
  <c r="G123" i="6"/>
  <c r="F127" i="6"/>
  <c r="D138" i="6"/>
  <c r="L142" i="6"/>
  <c r="D146" i="6"/>
  <c r="J148" i="6"/>
  <c r="G151" i="6"/>
  <c r="F153" i="6"/>
  <c r="D157" i="6"/>
  <c r="J160" i="6"/>
  <c r="J172" i="6"/>
  <c r="F175" i="6"/>
  <c r="G187" i="6"/>
  <c r="D192" i="6"/>
  <c r="D194" i="6"/>
  <c r="D198" i="6"/>
  <c r="J200" i="6"/>
  <c r="J202" i="6"/>
  <c r="K204" i="6"/>
  <c r="L212" i="6"/>
  <c r="K218" i="6"/>
  <c r="M245" i="6"/>
  <c r="D256" i="6"/>
  <c r="H258" i="6"/>
  <c r="D264" i="6"/>
  <c r="H270" i="6"/>
  <c r="D274" i="6"/>
  <c r="H285" i="6"/>
  <c r="I289" i="6"/>
  <c r="G304" i="6"/>
  <c r="G318" i="6"/>
  <c r="D323" i="6"/>
  <c r="J325" i="6"/>
  <c r="F328" i="6"/>
  <c r="G334" i="6"/>
  <c r="D387" i="6"/>
  <c r="F398" i="6"/>
  <c r="K411" i="6"/>
  <c r="H418" i="6"/>
  <c r="L418" i="6"/>
  <c r="F420" i="6"/>
  <c r="I423" i="6"/>
  <c r="K423" i="6"/>
  <c r="D423" i="6"/>
  <c r="K435" i="6"/>
  <c r="I449" i="6"/>
  <c r="L449" i="6"/>
  <c r="J449" i="6"/>
  <c r="F463" i="6"/>
  <c r="J463" i="6"/>
  <c r="I463" i="6"/>
  <c r="F531" i="6"/>
  <c r="L580" i="6"/>
  <c r="J587" i="6"/>
  <c r="F587" i="6"/>
  <c r="I590" i="6"/>
  <c r="F590" i="6"/>
  <c r="I608" i="6"/>
  <c r="J608" i="6"/>
  <c r="H608" i="6"/>
  <c r="G608" i="6"/>
  <c r="F608" i="6"/>
  <c r="L646" i="6"/>
  <c r="I693" i="6"/>
  <c r="E693" i="6"/>
  <c r="C693" i="6"/>
  <c r="K693" i="6"/>
  <c r="G698" i="6"/>
  <c r="J698" i="6"/>
  <c r="C785" i="6"/>
  <c r="E785" i="6"/>
  <c r="K785" i="6"/>
  <c r="M785" i="6"/>
  <c r="G785" i="6"/>
  <c r="K866" i="6"/>
  <c r="F866" i="6"/>
  <c r="N866" i="6"/>
  <c r="G906" i="6"/>
  <c r="B906" i="6"/>
  <c r="O906" i="6" s="1"/>
  <c r="T906" i="6" s="1"/>
  <c r="L906" i="6"/>
  <c r="K906" i="6"/>
  <c r="F906" i="6"/>
  <c r="I906" i="6"/>
  <c r="D906" i="6"/>
  <c r="K940" i="6"/>
  <c r="H940" i="6"/>
  <c r="C940" i="6"/>
  <c r="N940" i="6"/>
  <c r="G438" i="6"/>
  <c r="G446" i="6"/>
  <c r="L461" i="6"/>
  <c r="L548" i="6"/>
  <c r="L556" i="6"/>
  <c r="L558" i="6"/>
  <c r="K560" i="6"/>
  <c r="L566" i="6"/>
  <c r="J584" i="6"/>
  <c r="L592" i="6"/>
  <c r="I601" i="6"/>
  <c r="G604" i="6"/>
  <c r="G609" i="6"/>
  <c r="G612" i="6"/>
  <c r="H614" i="6"/>
  <c r="L620" i="6"/>
  <c r="C662" i="6"/>
  <c r="G674" i="6"/>
  <c r="H683" i="6"/>
  <c r="G690" i="6"/>
  <c r="I699" i="6"/>
  <c r="H699" i="6"/>
  <c r="K709" i="6"/>
  <c r="M713" i="6"/>
  <c r="E713" i="6"/>
  <c r="C725" i="6"/>
  <c r="F725" i="6"/>
  <c r="M725" i="6"/>
  <c r="K764" i="6"/>
  <c r="I764" i="6"/>
  <c r="G776" i="6"/>
  <c r="I776" i="6"/>
  <c r="C776" i="6"/>
  <c r="D875" i="6"/>
  <c r="N875" i="6"/>
  <c r="K875" i="6"/>
  <c r="F875" i="6"/>
  <c r="N896" i="6"/>
  <c r="H896" i="6"/>
  <c r="B896" i="6"/>
  <c r="R896" i="6" s="1"/>
  <c r="D910" i="6"/>
  <c r="B910" i="6"/>
  <c r="P910" i="6" s="1"/>
  <c r="S910" i="6" s="1"/>
  <c r="I934" i="6"/>
  <c r="J934" i="6"/>
  <c r="G934" i="6"/>
  <c r="F934" i="6"/>
  <c r="B934" i="6"/>
  <c r="Q934" i="6" s="1"/>
  <c r="I939" i="6"/>
  <c r="K939" i="6"/>
  <c r="G939" i="6"/>
  <c r="F939" i="6"/>
  <c r="D939" i="6"/>
  <c r="M939" i="6"/>
  <c r="B939" i="6"/>
  <c r="R939" i="6" s="1"/>
  <c r="F1029" i="6"/>
  <c r="M1029" i="6"/>
  <c r="I1029" i="6"/>
  <c r="H1029" i="6"/>
  <c r="E1029" i="6"/>
  <c r="D1029" i="6"/>
  <c r="C1029" i="6"/>
  <c r="I1282" i="6"/>
  <c r="H1282" i="6"/>
  <c r="G1282" i="6"/>
  <c r="F416" i="6"/>
  <c r="L421" i="6"/>
  <c r="J429" i="6"/>
  <c r="D431" i="6"/>
  <c r="D434" i="6"/>
  <c r="F436" i="6"/>
  <c r="L438" i="6"/>
  <c r="L446" i="6"/>
  <c r="D487" i="6"/>
  <c r="F494" i="6"/>
  <c r="D564" i="6"/>
  <c r="D574" i="6"/>
  <c r="F576" i="6"/>
  <c r="L584" i="6"/>
  <c r="D600" i="6"/>
  <c r="J604" i="6"/>
  <c r="F606" i="6"/>
  <c r="H609" i="6"/>
  <c r="F611" i="6"/>
  <c r="L614" i="6"/>
  <c r="L632" i="6"/>
  <c r="H634" i="6"/>
  <c r="F636" i="6"/>
  <c r="F647" i="6"/>
  <c r="E652" i="6"/>
  <c r="K659" i="6"/>
  <c r="D662" i="6"/>
  <c r="E669" i="6"/>
  <c r="D672" i="6"/>
  <c r="J690" i="6"/>
  <c r="E699" i="6"/>
  <c r="G705" i="6"/>
  <c r="I713" i="6"/>
  <c r="K720" i="6"/>
  <c r="E720" i="6"/>
  <c r="E725" i="6"/>
  <c r="K760" i="6"/>
  <c r="M760" i="6"/>
  <c r="M764" i="6"/>
  <c r="K776" i="6"/>
  <c r="E781" i="6"/>
  <c r="G781" i="6"/>
  <c r="I863" i="6"/>
  <c r="M863" i="6"/>
  <c r="B863" i="6"/>
  <c r="O863" i="6" s="1"/>
  <c r="T863" i="6" s="1"/>
  <c r="H863" i="6"/>
  <c r="G863" i="6"/>
  <c r="D863" i="6"/>
  <c r="I872" i="6"/>
  <c r="H872" i="6"/>
  <c r="B872" i="6"/>
  <c r="R872" i="6" s="1"/>
  <c r="B875" i="6"/>
  <c r="Q875" i="6" s="1"/>
  <c r="G896" i="6"/>
  <c r="M911" i="6"/>
  <c r="D911" i="6"/>
  <c r="C911" i="6"/>
  <c r="D934" i="6"/>
  <c r="C939" i="6"/>
  <c r="N960" i="6"/>
  <c r="H960" i="6"/>
  <c r="F960" i="6"/>
  <c r="M990" i="6"/>
  <c r="N990" i="6"/>
  <c r="J990" i="6"/>
  <c r="H990" i="6"/>
  <c r="F990" i="6"/>
  <c r="E990" i="6"/>
  <c r="B990" i="6"/>
  <c r="P990" i="6" s="1"/>
  <c r="S990" i="6" s="1"/>
  <c r="M1008" i="6"/>
  <c r="J1008" i="6"/>
  <c r="F1008" i="6"/>
  <c r="B1008" i="6"/>
  <c r="R1008" i="6" s="1"/>
  <c r="N1141" i="6"/>
  <c r="E1141" i="6"/>
  <c r="L662" i="6"/>
  <c r="K699" i="6"/>
  <c r="E710" i="6"/>
  <c r="M710" i="6"/>
  <c r="C714" i="6"/>
  <c r="E714" i="6"/>
  <c r="K725" i="6"/>
  <c r="E741" i="6"/>
  <c r="F741" i="6"/>
  <c r="K756" i="6"/>
  <c r="M756" i="6"/>
  <c r="I756" i="6"/>
  <c r="K769" i="6"/>
  <c r="C769" i="6"/>
  <c r="M769" i="6"/>
  <c r="G769" i="6"/>
  <c r="M776" i="6"/>
  <c r="E875" i="6"/>
  <c r="I878" i="6"/>
  <c r="L878" i="6"/>
  <c r="K878" i="6"/>
  <c r="D878" i="6"/>
  <c r="I891" i="6"/>
  <c r="G891" i="6"/>
  <c r="D891" i="6"/>
  <c r="C891" i="6"/>
  <c r="M891" i="6"/>
  <c r="B891" i="6"/>
  <c r="Q891" i="6" s="1"/>
  <c r="K891" i="6"/>
  <c r="I927" i="6"/>
  <c r="B927" i="6"/>
  <c r="R927" i="6" s="1"/>
  <c r="M927" i="6"/>
  <c r="K927" i="6"/>
  <c r="H927" i="6"/>
  <c r="E927" i="6"/>
  <c r="E1031" i="6"/>
  <c r="M1031" i="6"/>
  <c r="K1031" i="6"/>
  <c r="F1031" i="6"/>
  <c r="C1031" i="6"/>
  <c r="J1058" i="6"/>
  <c r="G1058" i="6"/>
  <c r="M1096" i="6"/>
  <c r="H1096" i="6"/>
  <c r="K1124" i="6"/>
  <c r="N1124" i="6"/>
  <c r="L1124" i="6"/>
  <c r="I1124" i="6"/>
  <c r="B1124" i="6"/>
  <c r="R1124" i="6" s="1"/>
  <c r="M662" i="6"/>
  <c r="K695" i="6"/>
  <c r="F695" i="6"/>
  <c r="B700" i="6"/>
  <c r="Q700" i="6" s="1"/>
  <c r="M700" i="6"/>
  <c r="M711" i="6"/>
  <c r="G711" i="6"/>
  <c r="K757" i="6"/>
  <c r="E757" i="6"/>
  <c r="I757" i="6"/>
  <c r="K761" i="6"/>
  <c r="I761" i="6"/>
  <c r="G761" i="6"/>
  <c r="C761" i="6"/>
  <c r="J875" i="6"/>
  <c r="F882" i="6"/>
  <c r="L882" i="6"/>
  <c r="G882" i="6"/>
  <c r="D882" i="6"/>
  <c r="B882" i="6"/>
  <c r="R882" i="6" s="1"/>
  <c r="N888" i="6"/>
  <c r="H888" i="6"/>
  <c r="G888" i="6"/>
  <c r="K900" i="6"/>
  <c r="H900" i="6"/>
  <c r="L913" i="6"/>
  <c r="B913" i="6"/>
  <c r="Q913" i="6" s="1"/>
  <c r="L915" i="6"/>
  <c r="B915" i="6"/>
  <c r="Q915" i="6" s="1"/>
  <c r="I930" i="6"/>
  <c r="B930" i="6"/>
  <c r="Q930" i="6" s="1"/>
  <c r="L930" i="6"/>
  <c r="J930" i="6"/>
  <c r="H930" i="6"/>
  <c r="D930" i="6"/>
  <c r="F1105" i="6"/>
  <c r="L1105" i="6"/>
  <c r="C1159" i="6"/>
  <c r="J1159" i="6"/>
  <c r="N1159" i="6"/>
  <c r="I1159" i="6"/>
  <c r="F1159" i="6"/>
  <c r="L439" i="6"/>
  <c r="L450" i="6"/>
  <c r="G548" i="6"/>
  <c r="G556" i="6"/>
  <c r="F558" i="6"/>
  <c r="G566" i="6"/>
  <c r="F584" i="6"/>
  <c r="G592" i="6"/>
  <c r="H595" i="6"/>
  <c r="F605" i="6"/>
  <c r="H607" i="6"/>
  <c r="H610" i="6"/>
  <c r="G620" i="6"/>
  <c r="K628" i="6"/>
  <c r="K645" i="6"/>
  <c r="J668" i="6"/>
  <c r="H673" i="6"/>
  <c r="E677" i="6"/>
  <c r="G679" i="6"/>
  <c r="J682" i="6"/>
  <c r="H691" i="6"/>
  <c r="E700" i="6"/>
  <c r="J728" i="6"/>
  <c r="I728" i="6"/>
  <c r="M743" i="6"/>
  <c r="I743" i="6"/>
  <c r="E743" i="6"/>
  <c r="C743" i="6"/>
  <c r="K753" i="6"/>
  <c r="M753" i="6"/>
  <c r="E753" i="6"/>
  <c r="C753" i="6"/>
  <c r="G757" i="6"/>
  <c r="M761" i="6"/>
  <c r="M774" i="6"/>
  <c r="E774" i="6"/>
  <c r="I877" i="6"/>
  <c r="M877" i="6"/>
  <c r="B877" i="6"/>
  <c r="R877" i="6" s="1"/>
  <c r="H877" i="6"/>
  <c r="G877" i="6"/>
  <c r="D877" i="6"/>
  <c r="H882" i="6"/>
  <c r="N921" i="6"/>
  <c r="C921" i="6"/>
  <c r="G930" i="6"/>
  <c r="M1047" i="6"/>
  <c r="K1047" i="6"/>
  <c r="H1047" i="6"/>
  <c r="F1047" i="6"/>
  <c r="E1047" i="6"/>
  <c r="C1047" i="6"/>
  <c r="K1089" i="6"/>
  <c r="N1089" i="6"/>
  <c r="I1089" i="6"/>
  <c r="E1089" i="6"/>
  <c r="D1089" i="6"/>
  <c r="C709" i="6"/>
  <c r="E709" i="6"/>
  <c r="N925" i="6"/>
  <c r="G925" i="6"/>
  <c r="F994" i="6"/>
  <c r="J994" i="6"/>
  <c r="H994" i="6"/>
  <c r="E994" i="6"/>
  <c r="D994" i="6"/>
  <c r="L702" i="6"/>
  <c r="I722" i="6"/>
  <c r="I738" i="6"/>
  <c r="M745" i="6"/>
  <c r="E749" i="6"/>
  <c r="M752" i="6"/>
  <c r="G865" i="6"/>
  <c r="L867" i="6"/>
  <c r="H870" i="6"/>
  <c r="D880" i="6"/>
  <c r="K885" i="6"/>
  <c r="F889" i="6"/>
  <c r="G893" i="6"/>
  <c r="G894" i="6"/>
  <c r="F898" i="6"/>
  <c r="N899" i="6"/>
  <c r="N901" i="6"/>
  <c r="L916" i="6"/>
  <c r="J918" i="6"/>
  <c r="K919" i="6"/>
  <c r="L922" i="6"/>
  <c r="H923" i="6"/>
  <c r="H928" i="6"/>
  <c r="C931" i="6"/>
  <c r="M931" i="6"/>
  <c r="D935" i="6"/>
  <c r="F938" i="6"/>
  <c r="G941" i="6"/>
  <c r="L942" i="6"/>
  <c r="K943" i="6"/>
  <c r="N946" i="6"/>
  <c r="K947" i="6"/>
  <c r="D955" i="6"/>
  <c r="C956" i="6"/>
  <c r="G957" i="6"/>
  <c r="L958" i="6"/>
  <c r="M962" i="6"/>
  <c r="J974" i="6"/>
  <c r="D981" i="6"/>
  <c r="D986" i="6"/>
  <c r="I1002" i="6"/>
  <c r="I1018" i="6"/>
  <c r="M1019" i="6"/>
  <c r="I1025" i="6"/>
  <c r="E1033" i="6"/>
  <c r="L1034" i="6"/>
  <c r="F1039" i="6"/>
  <c r="E1041" i="6"/>
  <c r="G1044" i="6"/>
  <c r="H1061" i="6"/>
  <c r="F1063" i="6"/>
  <c r="K1081" i="6"/>
  <c r="M1084" i="6"/>
  <c r="F1087" i="6"/>
  <c r="I1099" i="6"/>
  <c r="J1114" i="6"/>
  <c r="L1115" i="6"/>
  <c r="H1119" i="6"/>
  <c r="M1121" i="6"/>
  <c r="J1125" i="6"/>
  <c r="I1126" i="6"/>
  <c r="N1128" i="6"/>
  <c r="M1134" i="6"/>
  <c r="C1140" i="6"/>
  <c r="I1142" i="6"/>
  <c r="F1150" i="6"/>
  <c r="I1151" i="6"/>
  <c r="J1152" i="6"/>
  <c r="D1156" i="6"/>
  <c r="E1167" i="6"/>
  <c r="G1169" i="6"/>
  <c r="J1177" i="6"/>
  <c r="E1177" i="6"/>
  <c r="K1189" i="6"/>
  <c r="H1189" i="6"/>
  <c r="B1189" i="6"/>
  <c r="P1189" i="6" s="1"/>
  <c r="S1189" i="6" s="1"/>
  <c r="I1215" i="6"/>
  <c r="E1215" i="6"/>
  <c r="M1215" i="6"/>
  <c r="B1235" i="6"/>
  <c r="P1235" i="6" s="1"/>
  <c r="S1235" i="6" s="1"/>
  <c r="M1235" i="6"/>
  <c r="J1235" i="6"/>
  <c r="G1235" i="6"/>
  <c r="M1259" i="6"/>
  <c r="J1259" i="6"/>
  <c r="I1259" i="6"/>
  <c r="G1259" i="6"/>
  <c r="B1259" i="6"/>
  <c r="O1259" i="6" s="1"/>
  <c r="T1259" i="6" s="1"/>
  <c r="N1455" i="6"/>
  <c r="G1455" i="6"/>
  <c r="I1455" i="6"/>
  <c r="F1455" i="6"/>
  <c r="L947" i="6"/>
  <c r="F955" i="6"/>
  <c r="L1018" i="6"/>
  <c r="K1025" i="6"/>
  <c r="H1033" i="6"/>
  <c r="H1041" i="6"/>
  <c r="K1061" i="6"/>
  <c r="H1063" i="6"/>
  <c r="N1081" i="6"/>
  <c r="K1099" i="6"/>
  <c r="N1125" i="6"/>
  <c r="I1199" i="6"/>
  <c r="H1199" i="6"/>
  <c r="E1199" i="6"/>
  <c r="F1221" i="6"/>
  <c r="K1221" i="6"/>
  <c r="M1248" i="6"/>
  <c r="D1248" i="6"/>
  <c r="K1248" i="6"/>
  <c r="I1248" i="6"/>
  <c r="F1248" i="6"/>
  <c r="I1336" i="6"/>
  <c r="B1336" i="6"/>
  <c r="P1336" i="6" s="1"/>
  <c r="S1336" i="6" s="1"/>
  <c r="K1336" i="6"/>
  <c r="M1336" i="6"/>
  <c r="L1336" i="6"/>
  <c r="H1336" i="6"/>
  <c r="F1336" i="6"/>
  <c r="D1336" i="6"/>
  <c r="C1336" i="6"/>
  <c r="I749" i="6"/>
  <c r="K865" i="6"/>
  <c r="I880" i="6"/>
  <c r="H889" i="6"/>
  <c r="K893" i="6"/>
  <c r="I894" i="6"/>
  <c r="N918" i="6"/>
  <c r="L923" i="6"/>
  <c r="E931" i="6"/>
  <c r="H935" i="6"/>
  <c r="H938" i="6"/>
  <c r="N943" i="6"/>
  <c r="B947" i="6"/>
  <c r="R947" i="6" s="1"/>
  <c r="M947" i="6"/>
  <c r="B950" i="6"/>
  <c r="Q950" i="6" s="1"/>
  <c r="H955" i="6"/>
  <c r="G956" i="6"/>
  <c r="C959" i="6"/>
  <c r="D979" i="6"/>
  <c r="M981" i="6"/>
  <c r="I986" i="6"/>
  <c r="B992" i="6"/>
  <c r="Q992" i="6" s="1"/>
  <c r="D1001" i="6"/>
  <c r="G1024" i="6"/>
  <c r="M1025" i="6"/>
  <c r="I1033" i="6"/>
  <c r="C1035" i="6"/>
  <c r="C1037" i="6"/>
  <c r="M1039" i="6"/>
  <c r="I1041" i="6"/>
  <c r="L1059" i="6"/>
  <c r="M1061" i="6"/>
  <c r="M1063" i="6"/>
  <c r="C1079" i="6"/>
  <c r="I1085" i="6"/>
  <c r="K1087" i="6"/>
  <c r="C1095" i="6"/>
  <c r="L1099" i="6"/>
  <c r="N1119" i="6"/>
  <c r="M1126" i="6"/>
  <c r="B1135" i="6"/>
  <c r="O1135" i="6" s="1"/>
  <c r="T1135" i="6" s="1"/>
  <c r="F1140" i="6"/>
  <c r="M1142" i="6"/>
  <c r="I1150" i="6"/>
  <c r="M1151" i="6"/>
  <c r="F1153" i="6"/>
  <c r="G1156" i="6"/>
  <c r="B1166" i="6"/>
  <c r="O1166" i="6" s="1"/>
  <c r="T1166" i="6" s="1"/>
  <c r="D1166" i="6"/>
  <c r="L1166" i="6"/>
  <c r="J1167" i="6"/>
  <c r="J1181" i="6"/>
  <c r="F1181" i="6"/>
  <c r="M1199" i="6"/>
  <c r="H1212" i="6"/>
  <c r="D1212" i="6"/>
  <c r="G1221" i="6"/>
  <c r="M1243" i="6"/>
  <c r="I1243" i="6"/>
  <c r="H1243" i="6"/>
  <c r="C1248" i="6"/>
  <c r="M1251" i="6"/>
  <c r="G1251" i="6"/>
  <c r="I1251" i="6"/>
  <c r="K1260" i="6"/>
  <c r="I1260" i="6"/>
  <c r="I1291" i="6"/>
  <c r="K1291" i="6"/>
  <c r="J1291" i="6"/>
  <c r="H1291" i="6"/>
  <c r="G1291" i="6"/>
  <c r="F1291" i="6"/>
  <c r="C1291" i="6"/>
  <c r="B1291" i="6"/>
  <c r="O1291" i="6" s="1"/>
  <c r="T1291" i="6" s="1"/>
  <c r="I1302" i="6"/>
  <c r="N1302" i="6"/>
  <c r="L1302" i="6"/>
  <c r="H1302" i="6"/>
  <c r="G1302" i="6"/>
  <c r="E1302" i="6"/>
  <c r="C1302" i="6"/>
  <c r="J1389" i="6"/>
  <c r="C1389" i="6"/>
  <c r="K724" i="6"/>
  <c r="G727" i="6"/>
  <c r="E736" i="6"/>
  <c r="C740" i="6"/>
  <c r="M749" i="6"/>
  <c r="C765" i="6"/>
  <c r="I768" i="6"/>
  <c r="K773" i="6"/>
  <c r="K784" i="6"/>
  <c r="G786" i="6"/>
  <c r="G790" i="6"/>
  <c r="G794" i="6"/>
  <c r="G798" i="6"/>
  <c r="G802" i="6"/>
  <c r="G806" i="6"/>
  <c r="G810" i="6"/>
  <c r="G814" i="6"/>
  <c r="G818" i="6"/>
  <c r="G822" i="6"/>
  <c r="G826" i="6"/>
  <c r="G830" i="6"/>
  <c r="G834" i="6"/>
  <c r="G838" i="6"/>
  <c r="G842" i="6"/>
  <c r="G846" i="6"/>
  <c r="G850" i="6"/>
  <c r="G854" i="6"/>
  <c r="G858" i="6"/>
  <c r="D862" i="6"/>
  <c r="B865" i="6"/>
  <c r="O865" i="6" s="1"/>
  <c r="T865" i="6" s="1"/>
  <c r="L865" i="6"/>
  <c r="D867" i="6"/>
  <c r="B868" i="6"/>
  <c r="R868" i="6" s="1"/>
  <c r="N870" i="6"/>
  <c r="G874" i="6"/>
  <c r="K880" i="6"/>
  <c r="E883" i="6"/>
  <c r="B885" i="6"/>
  <c r="O885" i="6" s="1"/>
  <c r="T885" i="6" s="1"/>
  <c r="C886" i="6"/>
  <c r="K889" i="6"/>
  <c r="N893" i="6"/>
  <c r="L894" i="6"/>
  <c r="M903" i="6"/>
  <c r="G909" i="6"/>
  <c r="F914" i="6"/>
  <c r="B916" i="6"/>
  <c r="Q916" i="6" s="1"/>
  <c r="B918" i="6"/>
  <c r="Q918" i="6" s="1"/>
  <c r="C920" i="6"/>
  <c r="D922" i="6"/>
  <c r="B923" i="6"/>
  <c r="R923" i="6" s="1"/>
  <c r="M923" i="6"/>
  <c r="J926" i="6"/>
  <c r="G929" i="6"/>
  <c r="F931" i="6"/>
  <c r="C932" i="6"/>
  <c r="K935" i="6"/>
  <c r="J938" i="6"/>
  <c r="B943" i="6"/>
  <c r="R943" i="6" s="1"/>
  <c r="C947" i="6"/>
  <c r="D950" i="6"/>
  <c r="K955" i="6"/>
  <c r="J956" i="6"/>
  <c r="B958" i="6"/>
  <c r="Q958" i="6" s="1"/>
  <c r="E959" i="6"/>
  <c r="L961" i="6"/>
  <c r="H964" i="6"/>
  <c r="B970" i="6"/>
  <c r="O970" i="6" s="1"/>
  <c r="T970" i="6" s="1"/>
  <c r="E975" i="6"/>
  <c r="J979" i="6"/>
  <c r="N981" i="6"/>
  <c r="D985" i="6"/>
  <c r="J986" i="6"/>
  <c r="B989" i="6"/>
  <c r="O989" i="6" s="1"/>
  <c r="T989" i="6" s="1"/>
  <c r="F992" i="6"/>
  <c r="N1001" i="6"/>
  <c r="J1006" i="6"/>
  <c r="N1013" i="6"/>
  <c r="H1017" i="6"/>
  <c r="D1021" i="6"/>
  <c r="H1024" i="6"/>
  <c r="K1033" i="6"/>
  <c r="H1035" i="6"/>
  <c r="E1037" i="6"/>
  <c r="M1041" i="6"/>
  <c r="H1045" i="6"/>
  <c r="G1050" i="6"/>
  <c r="E1053" i="6"/>
  <c r="M1059" i="6"/>
  <c r="B1068" i="6"/>
  <c r="O1068" i="6" s="1"/>
  <c r="T1068" i="6" s="1"/>
  <c r="H1079" i="6"/>
  <c r="K1085" i="6"/>
  <c r="M1087" i="6"/>
  <c r="E1093" i="6"/>
  <c r="E1095" i="6"/>
  <c r="M1102" i="6"/>
  <c r="E1116" i="6"/>
  <c r="E1123" i="6"/>
  <c r="B1126" i="6"/>
  <c r="P1126" i="6" s="1"/>
  <c r="S1126" i="6" s="1"/>
  <c r="H1135" i="6"/>
  <c r="I1140" i="6"/>
  <c r="B1142" i="6"/>
  <c r="R1142" i="6" s="1"/>
  <c r="N1142" i="6"/>
  <c r="M1150" i="6"/>
  <c r="I1153" i="6"/>
  <c r="G1160" i="6"/>
  <c r="I1160" i="6"/>
  <c r="G1166" i="6"/>
  <c r="N1175" i="6"/>
  <c r="H1175" i="6"/>
  <c r="E1175" i="6"/>
  <c r="M1179" i="6"/>
  <c r="G1179" i="6"/>
  <c r="J1179" i="6"/>
  <c r="E1181" i="6"/>
  <c r="G1189" i="6"/>
  <c r="N1193" i="6"/>
  <c r="H1193" i="6"/>
  <c r="E1193" i="6"/>
  <c r="N1199" i="6"/>
  <c r="C1205" i="6"/>
  <c r="H1205" i="6"/>
  <c r="K1205" i="6"/>
  <c r="C1212" i="6"/>
  <c r="I1236" i="6"/>
  <c r="D1240" i="6"/>
  <c r="E1240" i="6"/>
  <c r="K1240" i="6"/>
  <c r="K1244" i="6"/>
  <c r="G1244" i="6"/>
  <c r="N1244" i="6"/>
  <c r="E1248" i="6"/>
  <c r="B1251" i="6"/>
  <c r="P1251" i="6" s="1"/>
  <c r="S1251" i="6" s="1"/>
  <c r="N1260" i="6"/>
  <c r="I1265" i="6"/>
  <c r="E1265" i="6"/>
  <c r="C1265" i="6"/>
  <c r="I1338" i="6"/>
  <c r="K1338" i="6"/>
  <c r="E1338" i="6"/>
  <c r="M1338" i="6"/>
  <c r="L1338" i="6"/>
  <c r="H1338" i="6"/>
  <c r="F1338" i="6"/>
  <c r="D1338" i="6"/>
  <c r="C1338" i="6"/>
  <c r="B1338" i="6"/>
  <c r="R1338" i="6" s="1"/>
  <c r="I1484" i="6"/>
  <c r="N1484" i="6"/>
  <c r="J1484" i="6"/>
  <c r="H1484" i="6"/>
  <c r="G1484" i="6"/>
  <c r="B1484" i="6"/>
  <c r="P1484" i="6" s="1"/>
  <c r="S1484" i="6" s="1"/>
  <c r="H1490" i="6"/>
  <c r="L1490" i="6"/>
  <c r="I1490" i="6"/>
  <c r="G1490" i="6"/>
  <c r="B1490" i="6"/>
  <c r="R1490" i="6" s="1"/>
  <c r="F1490" i="6"/>
  <c r="L889" i="6"/>
  <c r="N894" i="6"/>
  <c r="L938" i="6"/>
  <c r="D947" i="6"/>
  <c r="F950" i="6"/>
  <c r="L955" i="6"/>
  <c r="G959" i="6"/>
  <c r="J992" i="6"/>
  <c r="M1033" i="6"/>
  <c r="M1035" i="6"/>
  <c r="M1085" i="6"/>
  <c r="F1095" i="6"/>
  <c r="H1171" i="6"/>
  <c r="C1171" i="6"/>
  <c r="M1171" i="6"/>
  <c r="H1202" i="6"/>
  <c r="N1202" i="6"/>
  <c r="F1202" i="6"/>
  <c r="D1202" i="6"/>
  <c r="H1218" i="6"/>
  <c r="G1218" i="6"/>
  <c r="N1218" i="6"/>
  <c r="G1248" i="6"/>
  <c r="K1256" i="6"/>
  <c r="F1256" i="6"/>
  <c r="E1256" i="6"/>
  <c r="K1333" i="6"/>
  <c r="C1333" i="6"/>
  <c r="M955" i="6"/>
  <c r="I1241" i="6"/>
  <c r="E1241" i="6"/>
  <c r="C1241" i="6"/>
  <c r="N1248" i="6"/>
  <c r="J1257" i="6"/>
  <c r="E1257" i="6"/>
  <c r="C1257" i="6"/>
  <c r="J1377" i="6"/>
  <c r="C1377" i="6"/>
  <c r="J1385" i="6"/>
  <c r="C1385" i="6"/>
  <c r="I765" i="6"/>
  <c r="E865" i="6"/>
  <c r="H885" i="6"/>
  <c r="C889" i="6"/>
  <c r="C894" i="6"/>
  <c r="G901" i="6"/>
  <c r="G916" i="6"/>
  <c r="G918" i="6"/>
  <c r="F923" i="6"/>
  <c r="K924" i="6"/>
  <c r="K931" i="6"/>
  <c r="C938" i="6"/>
  <c r="E945" i="6"/>
  <c r="G947" i="6"/>
  <c r="J950" i="6"/>
  <c r="B955" i="6"/>
  <c r="O955" i="6" s="1"/>
  <c r="T955" i="6" s="1"/>
  <c r="N959" i="6"/>
  <c r="E962" i="6"/>
  <c r="F965" i="6"/>
  <c r="E974" i="6"/>
  <c r="D977" i="6"/>
  <c r="F987" i="6"/>
  <c r="J995" i="6"/>
  <c r="D1002" i="6"/>
  <c r="B1005" i="6"/>
  <c r="O1005" i="6" s="1"/>
  <c r="T1005" i="6" s="1"/>
  <c r="D1018" i="6"/>
  <c r="C1025" i="6"/>
  <c r="C1033" i="6"/>
  <c r="G1034" i="6"/>
  <c r="B1036" i="6"/>
  <c r="R1036" i="6" s="1"/>
  <c r="C1041" i="6"/>
  <c r="G1046" i="6"/>
  <c r="H1048" i="6"/>
  <c r="N1057" i="6"/>
  <c r="C1063" i="6"/>
  <c r="M1077" i="6"/>
  <c r="C1081" i="6"/>
  <c r="D1084" i="6"/>
  <c r="H1088" i="6"/>
  <c r="J1108" i="6"/>
  <c r="E1114" i="6"/>
  <c r="E1119" i="6"/>
  <c r="C1125" i="6"/>
  <c r="I1131" i="6"/>
  <c r="E1144" i="6"/>
  <c r="C1151" i="6"/>
  <c r="M1156" i="6"/>
  <c r="I1156" i="6"/>
  <c r="J1164" i="6"/>
  <c r="M1167" i="6"/>
  <c r="F1167" i="6"/>
  <c r="M1169" i="6"/>
  <c r="F1169" i="6"/>
  <c r="N1169" i="6"/>
  <c r="E1171" i="6"/>
  <c r="L1176" i="6"/>
  <c r="I1176" i="6"/>
  <c r="F1194" i="6"/>
  <c r="J1194" i="6"/>
  <c r="I1202" i="6"/>
  <c r="D1206" i="6"/>
  <c r="M1206" i="6"/>
  <c r="H1214" i="6"/>
  <c r="I1214" i="6"/>
  <c r="E1214" i="6"/>
  <c r="I1218" i="6"/>
  <c r="G1241" i="6"/>
  <c r="J1249" i="6"/>
  <c r="C1249" i="6"/>
  <c r="I1249" i="6"/>
  <c r="G1249" i="6"/>
  <c r="G1257" i="6"/>
  <c r="I1274" i="6"/>
  <c r="C1274" i="6"/>
  <c r="B1274" i="6"/>
  <c r="O1274" i="6" s="1"/>
  <c r="T1274" i="6" s="1"/>
  <c r="M1274" i="6"/>
  <c r="L1274" i="6"/>
  <c r="K1274" i="6"/>
  <c r="K1298" i="6"/>
  <c r="M1298" i="6"/>
  <c r="H1298" i="6"/>
  <c r="D1298" i="6"/>
  <c r="C1298" i="6"/>
  <c r="B1298" i="6"/>
  <c r="R1298" i="6" s="1"/>
  <c r="I1366" i="6"/>
  <c r="E1366" i="6"/>
  <c r="N1366" i="6"/>
  <c r="L1366" i="6"/>
  <c r="F1366" i="6"/>
  <c r="C1366" i="6"/>
  <c r="K1398" i="6"/>
  <c r="E1398" i="6"/>
  <c r="N1201" i="6"/>
  <c r="G1207" i="6"/>
  <c r="J1271" i="6"/>
  <c r="H1275" i="6"/>
  <c r="F1284" i="6"/>
  <c r="L1292" i="6"/>
  <c r="K1296" i="6"/>
  <c r="J1305" i="6"/>
  <c r="G1307" i="6"/>
  <c r="H1309" i="6"/>
  <c r="K1312" i="6"/>
  <c r="F1316" i="6"/>
  <c r="G1317" i="6"/>
  <c r="M1318" i="6"/>
  <c r="G1321" i="6"/>
  <c r="I1326" i="6"/>
  <c r="L1326" i="6"/>
  <c r="E1326" i="6"/>
  <c r="C1339" i="6"/>
  <c r="K1339" i="6"/>
  <c r="I1378" i="6"/>
  <c r="N1378" i="6"/>
  <c r="C1378" i="6"/>
  <c r="K1378" i="6"/>
  <c r="E1378" i="6"/>
  <c r="L1386" i="6"/>
  <c r="D1386" i="6"/>
  <c r="F1396" i="6"/>
  <c r="C1396" i="6"/>
  <c r="J1396" i="6"/>
  <c r="I1442" i="6"/>
  <c r="M1442" i="6"/>
  <c r="H1442" i="6"/>
  <c r="C1442" i="6"/>
  <c r="C1476" i="6"/>
  <c r="G1476" i="6"/>
  <c r="I1594" i="6"/>
  <c r="G1594" i="6"/>
  <c r="D1594" i="6"/>
  <c r="M1594" i="6"/>
  <c r="M1296" i="6"/>
  <c r="N1305" i="6"/>
  <c r="H1307" i="6"/>
  <c r="J1309" i="6"/>
  <c r="N1312" i="6"/>
  <c r="J1316" i="6"/>
  <c r="H1317" i="6"/>
  <c r="H1321" i="6"/>
  <c r="I1328" i="6"/>
  <c r="B1328" i="6"/>
  <c r="Q1328" i="6" s="1"/>
  <c r="I1340" i="6"/>
  <c r="N1340" i="6"/>
  <c r="C1340" i="6"/>
  <c r="K1340" i="6"/>
  <c r="I1364" i="6"/>
  <c r="C1364" i="6"/>
  <c r="I1372" i="6"/>
  <c r="B1372" i="6"/>
  <c r="R1372" i="6" s="1"/>
  <c r="I1384" i="6"/>
  <c r="N1384" i="6"/>
  <c r="B1384" i="6"/>
  <c r="R1384" i="6" s="1"/>
  <c r="H1384" i="6"/>
  <c r="E1384" i="6"/>
  <c r="I1424" i="6"/>
  <c r="C1424" i="6"/>
  <c r="N1424" i="6"/>
  <c r="B1424" i="6"/>
  <c r="R1424" i="6" s="1"/>
  <c r="K1424" i="6"/>
  <c r="F1424" i="6"/>
  <c r="J1453" i="6"/>
  <c r="M1453" i="6"/>
  <c r="I1453" i="6"/>
  <c r="B1453" i="6"/>
  <c r="Q1453" i="6" s="1"/>
  <c r="M1463" i="6"/>
  <c r="E1463" i="6"/>
  <c r="I1495" i="6"/>
  <c r="L1495" i="6"/>
  <c r="H1495" i="6"/>
  <c r="G1495" i="6"/>
  <c r="C1495" i="6"/>
  <c r="M1495" i="6"/>
  <c r="F1495" i="6"/>
  <c r="D1495" i="6"/>
  <c r="L1517" i="6"/>
  <c r="J1517" i="6"/>
  <c r="G1517" i="6"/>
  <c r="C1517" i="6"/>
  <c r="M1517" i="6"/>
  <c r="D1517" i="6"/>
  <c r="I1976" i="6"/>
  <c r="G1976" i="6"/>
  <c r="E1976" i="6"/>
  <c r="D1976" i="6"/>
  <c r="C1976" i="6"/>
  <c r="J1976" i="6"/>
  <c r="M1976" i="6"/>
  <c r="L1976" i="6"/>
  <c r="H1976" i="6"/>
  <c r="B1976" i="6"/>
  <c r="P1976" i="6" s="1"/>
  <c r="S1976" i="6" s="1"/>
  <c r="J1173" i="6"/>
  <c r="F1183" i="6"/>
  <c r="F1185" i="6"/>
  <c r="C1187" i="6"/>
  <c r="G1190" i="6"/>
  <c r="K1200" i="6"/>
  <c r="D1204" i="6"/>
  <c r="M1207" i="6"/>
  <c r="M1210" i="6"/>
  <c r="M1217" i="6"/>
  <c r="F1223" i="6"/>
  <c r="F1224" i="6"/>
  <c r="N1284" i="6"/>
  <c r="N1285" i="6"/>
  <c r="M1286" i="6"/>
  <c r="K1288" i="6"/>
  <c r="J1289" i="6"/>
  <c r="J1290" i="6"/>
  <c r="C1292" i="6"/>
  <c r="G1294" i="6"/>
  <c r="B1296" i="6"/>
  <c r="R1296" i="6" s="1"/>
  <c r="G1299" i="6"/>
  <c r="J1300" i="6"/>
  <c r="F1304" i="6"/>
  <c r="K1307" i="6"/>
  <c r="M1310" i="6"/>
  <c r="H1315" i="6"/>
  <c r="L1316" i="6"/>
  <c r="J1317" i="6"/>
  <c r="B1319" i="6"/>
  <c r="Q1319" i="6" s="1"/>
  <c r="J1321" i="6"/>
  <c r="C1326" i="6"/>
  <c r="G1328" i="6"/>
  <c r="B1334" i="6"/>
  <c r="O1334" i="6" s="1"/>
  <c r="T1334" i="6" s="1"/>
  <c r="B1340" i="6"/>
  <c r="O1340" i="6" s="1"/>
  <c r="T1340" i="6" s="1"/>
  <c r="K1341" i="6"/>
  <c r="C1349" i="6"/>
  <c r="K1356" i="6"/>
  <c r="H1358" i="6"/>
  <c r="H1360" i="6"/>
  <c r="E1364" i="6"/>
  <c r="G1372" i="6"/>
  <c r="L1374" i="6"/>
  <c r="D1378" i="6"/>
  <c r="C1384" i="6"/>
  <c r="F1386" i="6"/>
  <c r="E1396" i="6"/>
  <c r="J1406" i="6"/>
  <c r="F1406" i="6"/>
  <c r="E1406" i="6"/>
  <c r="B1406" i="6"/>
  <c r="R1406" i="6" s="1"/>
  <c r="K1406" i="6"/>
  <c r="E1424" i="6"/>
  <c r="D1453" i="6"/>
  <c r="L1458" i="6"/>
  <c r="C1458" i="6"/>
  <c r="I1463" i="6"/>
  <c r="G1466" i="6"/>
  <c r="L1466" i="6"/>
  <c r="H1466" i="6"/>
  <c r="E1466" i="6"/>
  <c r="D1466" i="6"/>
  <c r="F1517" i="6"/>
  <c r="N1207" i="6"/>
  <c r="B1288" i="6"/>
  <c r="Q1288" i="6" s="1"/>
  <c r="L1288" i="6"/>
  <c r="L1290" i="6"/>
  <c r="D1292" i="6"/>
  <c r="C1293" i="6"/>
  <c r="C1296" i="6"/>
  <c r="H1299" i="6"/>
  <c r="E1306" i="6"/>
  <c r="B1310" i="6"/>
  <c r="R1310" i="6" s="1"/>
  <c r="N1310" i="6"/>
  <c r="B1313" i="6"/>
  <c r="Q1313" i="6" s="1"/>
  <c r="M1316" i="6"/>
  <c r="N1317" i="6"/>
  <c r="I1325" i="6"/>
  <c r="J1325" i="6"/>
  <c r="D1326" i="6"/>
  <c r="K1328" i="6"/>
  <c r="G1334" i="6"/>
  <c r="D1340" i="6"/>
  <c r="I1342" i="6"/>
  <c r="F1342" i="6"/>
  <c r="N1342" i="6"/>
  <c r="C1342" i="6"/>
  <c r="F1364" i="6"/>
  <c r="K1372" i="6"/>
  <c r="F1378" i="6"/>
  <c r="F1384" i="6"/>
  <c r="H1386" i="6"/>
  <c r="H1396" i="6"/>
  <c r="C1406" i="6"/>
  <c r="G1424" i="6"/>
  <c r="L1442" i="6"/>
  <c r="H1453" i="6"/>
  <c r="I1459" i="6"/>
  <c r="H1459" i="6"/>
  <c r="G1459" i="6"/>
  <c r="L1459" i="6"/>
  <c r="L1463" i="6"/>
  <c r="N1316" i="6"/>
  <c r="I1332" i="6"/>
  <c r="K1332" i="6"/>
  <c r="I1348" i="6"/>
  <c r="L1348" i="6"/>
  <c r="E1348" i="6"/>
  <c r="B1382" i="6"/>
  <c r="R1382" i="6" s="1"/>
  <c r="N1382" i="6"/>
  <c r="E1382" i="6"/>
  <c r="J1387" i="6"/>
  <c r="C1387" i="6"/>
  <c r="K1822" i="6"/>
  <c r="E1822" i="6"/>
  <c r="H1822" i="6"/>
  <c r="F1822" i="6"/>
  <c r="C1822" i="6"/>
  <c r="K1843" i="6"/>
  <c r="C1843" i="6"/>
  <c r="B1307" i="6"/>
  <c r="P1307" i="6" s="1"/>
  <c r="S1307" i="6" s="1"/>
  <c r="B1309" i="6"/>
  <c r="Q1309" i="6" s="1"/>
  <c r="B1316" i="6"/>
  <c r="Q1316" i="6" s="1"/>
  <c r="C1318" i="6"/>
  <c r="B1332" i="6"/>
  <c r="O1332" i="6" s="1"/>
  <c r="T1332" i="6" s="1"/>
  <c r="C1348" i="6"/>
  <c r="K1355" i="6"/>
  <c r="C1357" i="6"/>
  <c r="K1357" i="6"/>
  <c r="C1359" i="6"/>
  <c r="K1359" i="6"/>
  <c r="I1376" i="6"/>
  <c r="D1376" i="6"/>
  <c r="D1382" i="6"/>
  <c r="J1388" i="6"/>
  <c r="K1388" i="6"/>
  <c r="J1393" i="6"/>
  <c r="C1393" i="6"/>
  <c r="I1411" i="6"/>
  <c r="H1411" i="6"/>
  <c r="D1416" i="6"/>
  <c r="K1432" i="6"/>
  <c r="E1432" i="6"/>
  <c r="N1436" i="6"/>
  <c r="J1436" i="6"/>
  <c r="D1436" i="6"/>
  <c r="C1448" i="6"/>
  <c r="N1460" i="6"/>
  <c r="H1460" i="6"/>
  <c r="K1482" i="6"/>
  <c r="H1482" i="6"/>
  <c r="M1552" i="6"/>
  <c r="L1552" i="6"/>
  <c r="J1552" i="6"/>
  <c r="H1552" i="6"/>
  <c r="B1552" i="6"/>
  <c r="P1552" i="6" s="1"/>
  <c r="S1552" i="6" s="1"/>
  <c r="N1552" i="6"/>
  <c r="F1552" i="6"/>
  <c r="C1552" i="6"/>
  <c r="R1632" i="6"/>
  <c r="O1632" i="6"/>
  <c r="T1632" i="6" s="1"/>
  <c r="K1720" i="6"/>
  <c r="N1720" i="6"/>
  <c r="C1778" i="6"/>
  <c r="J1778" i="6"/>
  <c r="N1778" i="6"/>
  <c r="H1778" i="6"/>
  <c r="G1778" i="6"/>
  <c r="F1778" i="6"/>
  <c r="E1778" i="6"/>
  <c r="N1183" i="6"/>
  <c r="N1185" i="6"/>
  <c r="M1187" i="6"/>
  <c r="I1201" i="6"/>
  <c r="E1207" i="6"/>
  <c r="I1253" i="6"/>
  <c r="I1266" i="6"/>
  <c r="K1270" i="6"/>
  <c r="F1271" i="6"/>
  <c r="G1272" i="6"/>
  <c r="F1275" i="6"/>
  <c r="G1276" i="6"/>
  <c r="G1277" i="6"/>
  <c r="J1281" i="6"/>
  <c r="D1284" i="6"/>
  <c r="F1285" i="6"/>
  <c r="E1288" i="6"/>
  <c r="N1301" i="6"/>
  <c r="C1307" i="6"/>
  <c r="F1309" i="6"/>
  <c r="E1310" i="6"/>
  <c r="D1312" i="6"/>
  <c r="H1313" i="6"/>
  <c r="C1316" i="6"/>
  <c r="B1317" i="6"/>
  <c r="Q1317" i="6" s="1"/>
  <c r="E1318" i="6"/>
  <c r="B1321" i="6"/>
  <c r="Q1321" i="6" s="1"/>
  <c r="M1326" i="6"/>
  <c r="I1330" i="6"/>
  <c r="N1330" i="6"/>
  <c r="G1330" i="6"/>
  <c r="G1332" i="6"/>
  <c r="H1340" i="6"/>
  <c r="G1348" i="6"/>
  <c r="I1356" i="6"/>
  <c r="H1356" i="6"/>
  <c r="C1356" i="6"/>
  <c r="I1358" i="6"/>
  <c r="C1358" i="6"/>
  <c r="L1358" i="6"/>
  <c r="I1360" i="6"/>
  <c r="L1360" i="6"/>
  <c r="F1360" i="6"/>
  <c r="I1362" i="6"/>
  <c r="M1362" i="6"/>
  <c r="I1374" i="6"/>
  <c r="B1374" i="6"/>
  <c r="R1374" i="6" s="1"/>
  <c r="K1374" i="6"/>
  <c r="D1374" i="6"/>
  <c r="M1376" i="6"/>
  <c r="M1378" i="6"/>
  <c r="G1382" i="6"/>
  <c r="L1384" i="6"/>
  <c r="G1388" i="6"/>
  <c r="I1394" i="6"/>
  <c r="M1394" i="6"/>
  <c r="C1394" i="6"/>
  <c r="H1394" i="6"/>
  <c r="E1394" i="6"/>
  <c r="K1412" i="6"/>
  <c r="J1412" i="6"/>
  <c r="C1412" i="6"/>
  <c r="L1416" i="6"/>
  <c r="G1422" i="6"/>
  <c r="E1436" i="6"/>
  <c r="E1460" i="6"/>
  <c r="M1519" i="6"/>
  <c r="D1519" i="6"/>
  <c r="H1519" i="6"/>
  <c r="I1617" i="6"/>
  <c r="B1617" i="6"/>
  <c r="Q1617" i="6" s="1"/>
  <c r="G1617" i="6"/>
  <c r="F1344" i="6"/>
  <c r="H1354" i="6"/>
  <c r="K1368" i="6"/>
  <c r="L1400" i="6"/>
  <c r="E1410" i="6"/>
  <c r="E1414" i="6"/>
  <c r="J1417" i="6"/>
  <c r="G1420" i="6"/>
  <c r="C1430" i="6"/>
  <c r="N1430" i="6"/>
  <c r="E1434" i="6"/>
  <c r="G1440" i="6"/>
  <c r="J1443" i="6"/>
  <c r="M1447" i="6"/>
  <c r="I1454" i="6"/>
  <c r="D1456" i="6"/>
  <c r="F1457" i="6"/>
  <c r="K1469" i="6"/>
  <c r="C1481" i="6"/>
  <c r="I1529" i="6"/>
  <c r="H1529" i="6"/>
  <c r="G1529" i="6"/>
  <c r="F1529" i="6"/>
  <c r="N1529" i="6"/>
  <c r="B1529" i="6"/>
  <c r="Q1529" i="6" s="1"/>
  <c r="M1537" i="6"/>
  <c r="L1537" i="6"/>
  <c r="J1537" i="6"/>
  <c r="C1537" i="6"/>
  <c r="M1555" i="6"/>
  <c r="J1555" i="6"/>
  <c r="I1557" i="6"/>
  <c r="M1557" i="6"/>
  <c r="K1557" i="6"/>
  <c r="H1557" i="6"/>
  <c r="D1557" i="6"/>
  <c r="M1570" i="6"/>
  <c r="D1570" i="6"/>
  <c r="B1570" i="6"/>
  <c r="O1570" i="6" s="1"/>
  <c r="T1570" i="6" s="1"/>
  <c r="L1570" i="6"/>
  <c r="M1576" i="6"/>
  <c r="N1576" i="6"/>
  <c r="G1576" i="6"/>
  <c r="C1576" i="6"/>
  <c r="I1632" i="6"/>
  <c r="K1632" i="6"/>
  <c r="H1632" i="6"/>
  <c r="G1632" i="6"/>
  <c r="F1632" i="6"/>
  <c r="M1632" i="6"/>
  <c r="L1632" i="6"/>
  <c r="D1632" i="6"/>
  <c r="C1632" i="6"/>
  <c r="M1714" i="6"/>
  <c r="N1714" i="6"/>
  <c r="C1714" i="6"/>
  <c r="H1727" i="6"/>
  <c r="M1727" i="6"/>
  <c r="E1727" i="6"/>
  <c r="D1727" i="6"/>
  <c r="K1813" i="6"/>
  <c r="I1813" i="6"/>
  <c r="F1813" i="6"/>
  <c r="C1813" i="6"/>
  <c r="J1813" i="6"/>
  <c r="M1857" i="6"/>
  <c r="I1857" i="6"/>
  <c r="F1857" i="6"/>
  <c r="D1857" i="6"/>
  <c r="E1690" i="6"/>
  <c r="N1690" i="6"/>
  <c r="I1690" i="6"/>
  <c r="H1690" i="6"/>
  <c r="F1690" i="6"/>
  <c r="D1690" i="6"/>
  <c r="C1690" i="6"/>
  <c r="L1733" i="6"/>
  <c r="G1733" i="6"/>
  <c r="C1920" i="6"/>
  <c r="M1920" i="6"/>
  <c r="K1920" i="6"/>
  <c r="M1987" i="6"/>
  <c r="G1987" i="6"/>
  <c r="F1987" i="6"/>
  <c r="K1995" i="6"/>
  <c r="J1995" i="6"/>
  <c r="I1995" i="6"/>
  <c r="C1995" i="6"/>
  <c r="I1477" i="6"/>
  <c r="L1477" i="6"/>
  <c r="H1477" i="6"/>
  <c r="N1477" i="6"/>
  <c r="I1491" i="6"/>
  <c r="H1491" i="6"/>
  <c r="G1491" i="6"/>
  <c r="F1491" i="6"/>
  <c r="N1491" i="6"/>
  <c r="I1503" i="6"/>
  <c r="H1503" i="6"/>
  <c r="G1503" i="6"/>
  <c r="F1503" i="6"/>
  <c r="M1503" i="6"/>
  <c r="C1503" i="6"/>
  <c r="K1704" i="6"/>
  <c r="N1704" i="6"/>
  <c r="E1704" i="6"/>
  <c r="F1756" i="6"/>
  <c r="J1756" i="6"/>
  <c r="M1808" i="6"/>
  <c r="N1808" i="6"/>
  <c r="E1808" i="6"/>
  <c r="G1808" i="6"/>
  <c r="F1808" i="6"/>
  <c r="C1808" i="6"/>
  <c r="H1826" i="6"/>
  <c r="F1826" i="6"/>
  <c r="E1826" i="6"/>
  <c r="N1826" i="6"/>
  <c r="K1826" i="6"/>
  <c r="J1826" i="6"/>
  <c r="C1826" i="6"/>
  <c r="D1987" i="6"/>
  <c r="B1995" i="6"/>
  <c r="O1995" i="6" s="1"/>
  <c r="T1995" i="6" s="1"/>
  <c r="L1344" i="6"/>
  <c r="G1350" i="6"/>
  <c r="M1354" i="6"/>
  <c r="D1368" i="6"/>
  <c r="N1368" i="6"/>
  <c r="H1380" i="6"/>
  <c r="E1400" i="6"/>
  <c r="K1409" i="6"/>
  <c r="H1410" i="6"/>
  <c r="H1414" i="6"/>
  <c r="L1420" i="6"/>
  <c r="G1430" i="6"/>
  <c r="K1434" i="6"/>
  <c r="L1440" i="6"/>
  <c r="M1456" i="6"/>
  <c r="B1469" i="6"/>
  <c r="P1469" i="6" s="1"/>
  <c r="S1469" i="6" s="1"/>
  <c r="H1470" i="6"/>
  <c r="D1475" i="6"/>
  <c r="B1477" i="6"/>
  <c r="Q1477" i="6" s="1"/>
  <c r="K1478" i="6"/>
  <c r="G1478" i="6"/>
  <c r="D1478" i="6"/>
  <c r="B1491" i="6"/>
  <c r="B1503" i="6"/>
  <c r="Q1503" i="6" s="1"/>
  <c r="K1518" i="6"/>
  <c r="L1518" i="6"/>
  <c r="I1518" i="6"/>
  <c r="H1518" i="6"/>
  <c r="B1518" i="6"/>
  <c r="O1518" i="6" s="1"/>
  <c r="T1518" i="6" s="1"/>
  <c r="N1538" i="6"/>
  <c r="D1538" i="6"/>
  <c r="M1542" i="6"/>
  <c r="J1542" i="6"/>
  <c r="H1542" i="6"/>
  <c r="F1542" i="6"/>
  <c r="B1542" i="6"/>
  <c r="R1542" i="6" s="1"/>
  <c r="F1601" i="6"/>
  <c r="N1601" i="6"/>
  <c r="I1601" i="6"/>
  <c r="C1601" i="6"/>
  <c r="K1708" i="6"/>
  <c r="I1716" i="6"/>
  <c r="N1911" i="6"/>
  <c r="J1911" i="6"/>
  <c r="I1911" i="6"/>
  <c r="G1911" i="6"/>
  <c r="E1911" i="6"/>
  <c r="C1469" i="6"/>
  <c r="F1475" i="6"/>
  <c r="C1477" i="6"/>
  <c r="C1491" i="6"/>
  <c r="D1503" i="6"/>
  <c r="K1526" i="6"/>
  <c r="D1526" i="6"/>
  <c r="C1526" i="6"/>
  <c r="N1526" i="6"/>
  <c r="B1526" i="6"/>
  <c r="P1526" i="6" s="1"/>
  <c r="H1526" i="6"/>
  <c r="L1535" i="6"/>
  <c r="F1535" i="6"/>
  <c r="M1554" i="6"/>
  <c r="F1554" i="6"/>
  <c r="C1554" i="6"/>
  <c r="B1554" i="6"/>
  <c r="P1554" i="6" s="1"/>
  <c r="S1554" i="6" s="1"/>
  <c r="L1554" i="6"/>
  <c r="I1590" i="6"/>
  <c r="M1590" i="6"/>
  <c r="D1590" i="6"/>
  <c r="I1604" i="6"/>
  <c r="L1604" i="6"/>
  <c r="H1604" i="6"/>
  <c r="F1604" i="6"/>
  <c r="H1622" i="6"/>
  <c r="F1622" i="6"/>
  <c r="D1622" i="6"/>
  <c r="B1622" i="6"/>
  <c r="R1622" i="6" s="1"/>
  <c r="N1622" i="6"/>
  <c r="K1622" i="6"/>
  <c r="N1638" i="6"/>
  <c r="M1638" i="6"/>
  <c r="J1638" i="6"/>
  <c r="H1638" i="6"/>
  <c r="E1638" i="6"/>
  <c r="M1666" i="6"/>
  <c r="N1666" i="6"/>
  <c r="K1666" i="6"/>
  <c r="E1666" i="6"/>
  <c r="D1666" i="6"/>
  <c r="M1674" i="6"/>
  <c r="N1674" i="6"/>
  <c r="I1674" i="6"/>
  <c r="D1674" i="6"/>
  <c r="C1674" i="6"/>
  <c r="H1695" i="6"/>
  <c r="M1695" i="6"/>
  <c r="J1695" i="6"/>
  <c r="E1695" i="6"/>
  <c r="K1796" i="6"/>
  <c r="B1796" i="6"/>
  <c r="O1796" i="6" s="1"/>
  <c r="T1796" i="6" s="1"/>
  <c r="M1796" i="6"/>
  <c r="J1796" i="6"/>
  <c r="F1796" i="6"/>
  <c r="E1796" i="6"/>
  <c r="C1796" i="6"/>
  <c r="N1796" i="6"/>
  <c r="M1866" i="6"/>
  <c r="I1866" i="6"/>
  <c r="E1912" i="6"/>
  <c r="J1912" i="6"/>
  <c r="G1912" i="6"/>
  <c r="N1931" i="6"/>
  <c r="K1931" i="6"/>
  <c r="L1410" i="6"/>
  <c r="L1414" i="6"/>
  <c r="N1434" i="6"/>
  <c r="E1469" i="6"/>
  <c r="G1471" i="6"/>
  <c r="J1475" i="6"/>
  <c r="D1477" i="6"/>
  <c r="L1486" i="6"/>
  <c r="N1486" i="6"/>
  <c r="D1491" i="6"/>
  <c r="K1502" i="6"/>
  <c r="D1502" i="6"/>
  <c r="C1502" i="6"/>
  <c r="N1502" i="6"/>
  <c r="B1502" i="6"/>
  <c r="Q1502" i="6" s="1"/>
  <c r="H1502" i="6"/>
  <c r="E1503" i="6"/>
  <c r="F1526" i="6"/>
  <c r="M1530" i="6"/>
  <c r="H1530" i="6"/>
  <c r="F1530" i="6"/>
  <c r="D1530" i="6"/>
  <c r="K1536" i="6"/>
  <c r="G1536" i="6"/>
  <c r="D1536" i="6"/>
  <c r="M1544" i="6"/>
  <c r="J1544" i="6"/>
  <c r="G1544" i="6"/>
  <c r="F1544" i="6"/>
  <c r="H1554" i="6"/>
  <c r="M1558" i="6"/>
  <c r="N1558" i="6"/>
  <c r="J1558" i="6"/>
  <c r="C1558" i="6"/>
  <c r="M1564" i="6"/>
  <c r="L1564" i="6"/>
  <c r="H1564" i="6"/>
  <c r="J1564" i="6"/>
  <c r="B1564" i="6"/>
  <c r="Q1564" i="6" s="1"/>
  <c r="M1568" i="6"/>
  <c r="H1568" i="6"/>
  <c r="F1568" i="6"/>
  <c r="C1568" i="6"/>
  <c r="L1568" i="6"/>
  <c r="J1568" i="6"/>
  <c r="D1568" i="6"/>
  <c r="B1568" i="6"/>
  <c r="Q1568" i="6" s="1"/>
  <c r="F1585" i="6"/>
  <c r="L1585" i="6"/>
  <c r="C1604" i="6"/>
  <c r="J1622" i="6"/>
  <c r="I1646" i="6"/>
  <c r="E1646" i="6"/>
  <c r="D1646" i="6"/>
  <c r="C1646" i="6"/>
  <c r="B1646" i="6"/>
  <c r="R1646" i="6" s="1"/>
  <c r="N1646" i="6"/>
  <c r="M1646" i="6"/>
  <c r="K1646" i="6"/>
  <c r="F1646" i="6"/>
  <c r="I1652" i="6"/>
  <c r="L1652" i="6"/>
  <c r="K1652" i="6"/>
  <c r="G1652" i="6"/>
  <c r="B1652" i="6"/>
  <c r="R1652" i="6" s="1"/>
  <c r="C1666" i="6"/>
  <c r="K1810" i="6"/>
  <c r="N1810" i="6"/>
  <c r="M1810" i="6"/>
  <c r="J1810" i="6"/>
  <c r="C1810" i="6"/>
  <c r="F1810" i="6"/>
  <c r="E1810" i="6"/>
  <c r="B1810" i="6"/>
  <c r="O1810" i="6" s="1"/>
  <c r="T1810" i="6" s="1"/>
  <c r="F1863" i="6"/>
  <c r="N1863" i="6"/>
  <c r="I1863" i="6"/>
  <c r="H1863" i="6"/>
  <c r="D1863" i="6"/>
  <c r="E1863" i="6"/>
  <c r="C1403" i="6"/>
  <c r="B1410" i="6"/>
  <c r="R1410" i="6" s="1"/>
  <c r="N1410" i="6"/>
  <c r="B1414" i="6"/>
  <c r="R1414" i="6" s="1"/>
  <c r="N1414" i="6"/>
  <c r="L1430" i="6"/>
  <c r="B1434" i="6"/>
  <c r="R1434" i="6" s="1"/>
  <c r="B1457" i="6"/>
  <c r="R1457" i="6" s="1"/>
  <c r="F1469" i="6"/>
  <c r="E1477" i="6"/>
  <c r="I1481" i="6"/>
  <c r="H1481" i="6"/>
  <c r="G1481" i="6"/>
  <c r="F1481" i="6"/>
  <c r="N1481" i="6"/>
  <c r="C1486" i="6"/>
  <c r="E1491" i="6"/>
  <c r="I1499" i="6"/>
  <c r="M1499" i="6"/>
  <c r="D1499" i="6"/>
  <c r="F1502" i="6"/>
  <c r="K1503" i="6"/>
  <c r="J1513" i="6"/>
  <c r="G1513" i="6"/>
  <c r="F1513" i="6"/>
  <c r="D1513" i="6"/>
  <c r="G1526" i="6"/>
  <c r="L1528" i="6"/>
  <c r="D1528" i="6"/>
  <c r="C1528" i="6"/>
  <c r="B1530" i="6"/>
  <c r="Q1530" i="6" s="1"/>
  <c r="C1536" i="6"/>
  <c r="I1541" i="6"/>
  <c r="M1541" i="6"/>
  <c r="K1541" i="6"/>
  <c r="H1541" i="6"/>
  <c r="D1541" i="6"/>
  <c r="C1544" i="6"/>
  <c r="J1554" i="6"/>
  <c r="F1558" i="6"/>
  <c r="D1564" i="6"/>
  <c r="N1568" i="6"/>
  <c r="I1573" i="6"/>
  <c r="D1573" i="6"/>
  <c r="B1573" i="6"/>
  <c r="R1573" i="6" s="1"/>
  <c r="M1573" i="6"/>
  <c r="N1573" i="6"/>
  <c r="K1573" i="6"/>
  <c r="H1573" i="6"/>
  <c r="G1573" i="6"/>
  <c r="I1583" i="6"/>
  <c r="N1583" i="6"/>
  <c r="L1583" i="6"/>
  <c r="F1583" i="6"/>
  <c r="C1583" i="6"/>
  <c r="J1630" i="6"/>
  <c r="L1630" i="6"/>
  <c r="H1630" i="6"/>
  <c r="D1630" i="6"/>
  <c r="I1642" i="6"/>
  <c r="L1642" i="6"/>
  <c r="H1642" i="6"/>
  <c r="G1642" i="6"/>
  <c r="F1642" i="6"/>
  <c r="N1642" i="6"/>
  <c r="M1642" i="6"/>
  <c r="C1642" i="6"/>
  <c r="C1652" i="6"/>
  <c r="J1697" i="6"/>
  <c r="H1697" i="6"/>
  <c r="G1697" i="6"/>
  <c r="E1697" i="6"/>
  <c r="J1736" i="6"/>
  <c r="H1736" i="6"/>
  <c r="F1736" i="6"/>
  <c r="E1736" i="6"/>
  <c r="D1736" i="6"/>
  <c r="K1736" i="6"/>
  <c r="G1863" i="6"/>
  <c r="J1877" i="6"/>
  <c r="I1877" i="6"/>
  <c r="E1877" i="6"/>
  <c r="K1497" i="6"/>
  <c r="L1506" i="6"/>
  <c r="N1543" i="6"/>
  <c r="N1553" i="6"/>
  <c r="G1562" i="6"/>
  <c r="M1580" i="6"/>
  <c r="D1580" i="6"/>
  <c r="B1580" i="6"/>
  <c r="O1580" i="6" s="1"/>
  <c r="T1580" i="6" s="1"/>
  <c r="I1589" i="6"/>
  <c r="F1589" i="6"/>
  <c r="C1589" i="6"/>
  <c r="H1626" i="6"/>
  <c r="I1640" i="6"/>
  <c r="F1640" i="6"/>
  <c r="E1640" i="6"/>
  <c r="N1640" i="6"/>
  <c r="D1640" i="6"/>
  <c r="M1640" i="6"/>
  <c r="C1640" i="6"/>
  <c r="N1746" i="6"/>
  <c r="H1746" i="6"/>
  <c r="D1746" i="6"/>
  <c r="H1802" i="6"/>
  <c r="N1802" i="6"/>
  <c r="J1802" i="6"/>
  <c r="C1802" i="6"/>
  <c r="L1867" i="6"/>
  <c r="H1867" i="6"/>
  <c r="M1953" i="6"/>
  <c r="K1953" i="6"/>
  <c r="I1953" i="6"/>
  <c r="D1953" i="6"/>
  <c r="M1969" i="6"/>
  <c r="L1969" i="6"/>
  <c r="H1969" i="6"/>
  <c r="G1969" i="6"/>
  <c r="C1969" i="6"/>
  <c r="F1969" i="6"/>
  <c r="K1485" i="6"/>
  <c r="H1489" i="6"/>
  <c r="L1494" i="6"/>
  <c r="D1497" i="6"/>
  <c r="N1497" i="6"/>
  <c r="G1501" i="6"/>
  <c r="K1505" i="6"/>
  <c r="D1506" i="6"/>
  <c r="G1525" i="6"/>
  <c r="E1543" i="6"/>
  <c r="F1551" i="6"/>
  <c r="E1553" i="6"/>
  <c r="M1584" i="6"/>
  <c r="J1584" i="6"/>
  <c r="H1584" i="6"/>
  <c r="F1584" i="6"/>
  <c r="D1599" i="6"/>
  <c r="J1599" i="6"/>
  <c r="I1599" i="6"/>
  <c r="G1599" i="6"/>
  <c r="C1599" i="6"/>
  <c r="N1738" i="6"/>
  <c r="F1738" i="6"/>
  <c r="E1738" i="6"/>
  <c r="J1744" i="6"/>
  <c r="K1744" i="6"/>
  <c r="H1744" i="6"/>
  <c r="F1744" i="6"/>
  <c r="E1744" i="6"/>
  <c r="H1773" i="6"/>
  <c r="I1773" i="6"/>
  <c r="D1773" i="6"/>
  <c r="L1773" i="6"/>
  <c r="F1773" i="6"/>
  <c r="J1799" i="6"/>
  <c r="K1799" i="6"/>
  <c r="C1799" i="6"/>
  <c r="M1946" i="6"/>
  <c r="L1946" i="6"/>
  <c r="I1946" i="6"/>
  <c r="H1946" i="6"/>
  <c r="C1946" i="6"/>
  <c r="G1946" i="6"/>
  <c r="D1946" i="6"/>
  <c r="L1485" i="6"/>
  <c r="K1489" i="6"/>
  <c r="B1494" i="6"/>
  <c r="Q1494" i="6" s="1"/>
  <c r="N1494" i="6"/>
  <c r="E1497" i="6"/>
  <c r="H1501" i="6"/>
  <c r="C1504" i="6"/>
  <c r="B1505" i="6"/>
  <c r="O1505" i="6" s="1"/>
  <c r="T1505" i="6" s="1"/>
  <c r="L1505" i="6"/>
  <c r="F1506" i="6"/>
  <c r="B1507" i="6"/>
  <c r="R1507" i="6" s="1"/>
  <c r="B1511" i="6"/>
  <c r="R1511" i="6" s="1"/>
  <c r="G1516" i="6"/>
  <c r="H1525" i="6"/>
  <c r="N1539" i="6"/>
  <c r="L1540" i="6"/>
  <c r="G1543" i="6"/>
  <c r="C1550" i="6"/>
  <c r="H1551" i="6"/>
  <c r="G1553" i="6"/>
  <c r="L1556" i="6"/>
  <c r="I1567" i="6"/>
  <c r="K1567" i="6"/>
  <c r="H1567" i="6"/>
  <c r="E1567" i="6"/>
  <c r="M1582" i="6"/>
  <c r="L1582" i="6"/>
  <c r="H1582" i="6"/>
  <c r="B1582" i="6"/>
  <c r="O1582" i="6" s="1"/>
  <c r="T1582" i="6" s="1"/>
  <c r="B1584" i="6"/>
  <c r="Q1584" i="6" s="1"/>
  <c r="B1599" i="6"/>
  <c r="P1599" i="6" s="1"/>
  <c r="S1599" i="6" s="1"/>
  <c r="F1616" i="6"/>
  <c r="J1616" i="6"/>
  <c r="G1616" i="6"/>
  <c r="E1616" i="6"/>
  <c r="D1616" i="6"/>
  <c r="K1640" i="6"/>
  <c r="I1650" i="6"/>
  <c r="L1650" i="6"/>
  <c r="K1650" i="6"/>
  <c r="G1650" i="6"/>
  <c r="C1650" i="6"/>
  <c r="D1744" i="6"/>
  <c r="G1770" i="6"/>
  <c r="E1770" i="6"/>
  <c r="C1773" i="6"/>
  <c r="K1782" i="6"/>
  <c r="H1782" i="6"/>
  <c r="E1782" i="6"/>
  <c r="N1782" i="6"/>
  <c r="M1782" i="6"/>
  <c r="G1782" i="6"/>
  <c r="F1782" i="6"/>
  <c r="N1824" i="6"/>
  <c r="J1824" i="6"/>
  <c r="E1824" i="6"/>
  <c r="H1824" i="6"/>
  <c r="F1824" i="6"/>
  <c r="M1918" i="6"/>
  <c r="K1918" i="6"/>
  <c r="G1918" i="6"/>
  <c r="K1929" i="6"/>
  <c r="C1929" i="6"/>
  <c r="J1480" i="6"/>
  <c r="B1485" i="6"/>
  <c r="O1485" i="6" s="1"/>
  <c r="T1485" i="6" s="1"/>
  <c r="M1485" i="6"/>
  <c r="B1489" i="6"/>
  <c r="L1489" i="6"/>
  <c r="C1493" i="6"/>
  <c r="C1494" i="6"/>
  <c r="F1497" i="6"/>
  <c r="K1501" i="6"/>
  <c r="C1505" i="6"/>
  <c r="M1505" i="6"/>
  <c r="G1506" i="6"/>
  <c r="F1507" i="6"/>
  <c r="D1509" i="6"/>
  <c r="K1525" i="6"/>
  <c r="B1532" i="6"/>
  <c r="P1532" i="6" s="1"/>
  <c r="S1532" i="6" s="1"/>
  <c r="N1540" i="6"/>
  <c r="H1543" i="6"/>
  <c r="C1548" i="6"/>
  <c r="L1551" i="6"/>
  <c r="H1553" i="6"/>
  <c r="N1556" i="6"/>
  <c r="N1559" i="6"/>
  <c r="B1567" i="6"/>
  <c r="R1567" i="6" s="1"/>
  <c r="I1571" i="6"/>
  <c r="G1571" i="6"/>
  <c r="E1571" i="6"/>
  <c r="B1571" i="6"/>
  <c r="P1571" i="6" s="1"/>
  <c r="S1571" i="6" s="1"/>
  <c r="C1584" i="6"/>
  <c r="I1588" i="6"/>
  <c r="M1588" i="6"/>
  <c r="I1597" i="6"/>
  <c r="L1599" i="6"/>
  <c r="B1616" i="6"/>
  <c r="R1616" i="6" s="1"/>
  <c r="K1623" i="6"/>
  <c r="G1623" i="6"/>
  <c r="C1623" i="6"/>
  <c r="L1640" i="6"/>
  <c r="B1650" i="6"/>
  <c r="R1650" i="6" s="1"/>
  <c r="I1655" i="6"/>
  <c r="N1664" i="6"/>
  <c r="M1706" i="6"/>
  <c r="K1706" i="6"/>
  <c r="I1706" i="6"/>
  <c r="E1706" i="6"/>
  <c r="D1706" i="6"/>
  <c r="L1744" i="6"/>
  <c r="H1770" i="6"/>
  <c r="E1773" i="6"/>
  <c r="B1782" i="6"/>
  <c r="Q1782" i="6" s="1"/>
  <c r="N1821" i="6"/>
  <c r="J1821" i="6"/>
  <c r="I1821" i="6"/>
  <c r="F1821" i="6"/>
  <c r="K1834" i="6"/>
  <c r="E1834" i="6"/>
  <c r="C1834" i="6"/>
  <c r="B1834" i="6"/>
  <c r="R1834" i="6" s="1"/>
  <c r="J1834" i="6"/>
  <c r="N1834" i="6"/>
  <c r="M1834" i="6"/>
  <c r="F1918" i="6"/>
  <c r="M1562" i="6"/>
  <c r="F1562" i="6"/>
  <c r="D1562" i="6"/>
  <c r="N1562" i="6"/>
  <c r="B1562" i="6"/>
  <c r="R1562" i="6" s="1"/>
  <c r="L1611" i="6"/>
  <c r="J1611" i="6"/>
  <c r="G1611" i="6"/>
  <c r="N1644" i="6"/>
  <c r="J1644" i="6"/>
  <c r="G1644" i="6"/>
  <c r="E1644" i="6"/>
  <c r="K1672" i="6"/>
  <c r="N1672" i="6"/>
  <c r="E1672" i="6"/>
  <c r="D1672" i="6"/>
  <c r="J1683" i="6"/>
  <c r="I1683" i="6"/>
  <c r="I1729" i="6"/>
  <c r="L1729" i="6"/>
  <c r="J1729" i="6"/>
  <c r="G1729" i="6"/>
  <c r="H1753" i="6"/>
  <c r="D1753" i="6"/>
  <c r="J1759" i="6"/>
  <c r="I1759" i="6"/>
  <c r="E1768" i="6"/>
  <c r="N1768" i="6"/>
  <c r="K1768" i="6"/>
  <c r="K1805" i="6"/>
  <c r="I1805" i="6"/>
  <c r="M1895" i="6"/>
  <c r="G1895" i="6"/>
  <c r="K1903" i="6"/>
  <c r="M1903" i="6"/>
  <c r="I1903" i="6"/>
  <c r="H1903" i="6"/>
  <c r="G1903" i="6"/>
  <c r="B1903" i="6"/>
  <c r="Q1903" i="6" s="1"/>
  <c r="I1972" i="6"/>
  <c r="C1972" i="6"/>
  <c r="L1565" i="6"/>
  <c r="N1572" i="6"/>
  <c r="J1574" i="6"/>
  <c r="K1586" i="6"/>
  <c r="H1592" i="6"/>
  <c r="K1602" i="6"/>
  <c r="N1662" i="6"/>
  <c r="N1742" i="6"/>
  <c r="N1754" i="6"/>
  <c r="H1771" i="6"/>
  <c r="I1771" i="6"/>
  <c r="C1771" i="6"/>
  <c r="K1804" i="6"/>
  <c r="H1804" i="6"/>
  <c r="G1804" i="6"/>
  <c r="F1804" i="6"/>
  <c r="N1804" i="6"/>
  <c r="B1804" i="6"/>
  <c r="O1804" i="6" s="1"/>
  <c r="T1804" i="6" s="1"/>
  <c r="K1815" i="6"/>
  <c r="J1815" i="6"/>
  <c r="I1815" i="6"/>
  <c r="F1815" i="6"/>
  <c r="I1837" i="6"/>
  <c r="J1837" i="6"/>
  <c r="F1837" i="6"/>
  <c r="H1848" i="6"/>
  <c r="N1848" i="6"/>
  <c r="N1879" i="6"/>
  <c r="B1879" i="6"/>
  <c r="Q1879" i="6" s="1"/>
  <c r="M1985" i="6"/>
  <c r="L1985" i="6"/>
  <c r="H1985" i="6"/>
  <c r="G1985" i="6"/>
  <c r="C1985" i="6"/>
  <c r="G1996" i="6"/>
  <c r="C1996" i="6"/>
  <c r="K1763" i="6"/>
  <c r="D1763" i="6"/>
  <c r="B1791" i="6"/>
  <c r="R1791" i="6" s="1"/>
  <c r="F1791" i="6"/>
  <c r="G1800" i="6"/>
  <c r="M1800" i="6"/>
  <c r="J1800" i="6"/>
  <c r="H1800" i="6"/>
  <c r="C1819" i="6"/>
  <c r="J1819" i="6"/>
  <c r="I1819" i="6"/>
  <c r="F1819" i="6"/>
  <c r="J1874" i="6"/>
  <c r="N1874" i="6"/>
  <c r="E1874" i="6"/>
  <c r="C1874" i="6"/>
  <c r="K1880" i="6"/>
  <c r="I1880" i="6"/>
  <c r="F1880" i="6"/>
  <c r="E1880" i="6"/>
  <c r="I1950" i="6"/>
  <c r="K1950" i="6"/>
  <c r="B1950" i="6"/>
  <c r="Q1950" i="6" s="1"/>
  <c r="K1958" i="6"/>
  <c r="M1958" i="6"/>
  <c r="J1958" i="6"/>
  <c r="D1958" i="6"/>
  <c r="B1958" i="6"/>
  <c r="R1958" i="6" s="1"/>
  <c r="C1572" i="6"/>
  <c r="N1574" i="6"/>
  <c r="M1586" i="6"/>
  <c r="L1592" i="6"/>
  <c r="N1602" i="6"/>
  <c r="L1624" i="6"/>
  <c r="E1634" i="6"/>
  <c r="I1637" i="6"/>
  <c r="I1647" i="6"/>
  <c r="B1658" i="6"/>
  <c r="R1658" i="6" s="1"/>
  <c r="H1660" i="6"/>
  <c r="D1662" i="6"/>
  <c r="E1663" i="6"/>
  <c r="E1665" i="6"/>
  <c r="E1671" i="6"/>
  <c r="E1689" i="6"/>
  <c r="E1698" i="6"/>
  <c r="D1703" i="6"/>
  <c r="D1712" i="6"/>
  <c r="E1719" i="6"/>
  <c r="I1723" i="6"/>
  <c r="D1742" i="6"/>
  <c r="D1743" i="6"/>
  <c r="C1754" i="6"/>
  <c r="D1755" i="6"/>
  <c r="D1757" i="6"/>
  <c r="B1763" i="6"/>
  <c r="Q1763" i="6" s="1"/>
  <c r="K1766" i="6"/>
  <c r="G1771" i="6"/>
  <c r="C1791" i="6"/>
  <c r="B1800" i="6"/>
  <c r="Q1800" i="6" s="1"/>
  <c r="E1804" i="6"/>
  <c r="J1812" i="6"/>
  <c r="C1812" i="6"/>
  <c r="K1816" i="6"/>
  <c r="J1816" i="6"/>
  <c r="H1816" i="6"/>
  <c r="G1816" i="6"/>
  <c r="C1816" i="6"/>
  <c r="K1819" i="6"/>
  <c r="C1840" i="6"/>
  <c r="E1842" i="6"/>
  <c r="G1842" i="6"/>
  <c r="F1842" i="6"/>
  <c r="C1842" i="6"/>
  <c r="N1842" i="6"/>
  <c r="C1880" i="6"/>
  <c r="J1883" i="6"/>
  <c r="E1883" i="6"/>
  <c r="F1925" i="6"/>
  <c r="N1947" i="6"/>
  <c r="L1947" i="6"/>
  <c r="K1947" i="6"/>
  <c r="C1947" i="6"/>
  <c r="M1971" i="6"/>
  <c r="L1971" i="6"/>
  <c r="K1971" i="6"/>
  <c r="H1971" i="6"/>
  <c r="G1971" i="6"/>
  <c r="C1971" i="6"/>
  <c r="F1985" i="6"/>
  <c r="N1998" i="6"/>
  <c r="M1998" i="6"/>
  <c r="D1572" i="6"/>
  <c r="B1574" i="6"/>
  <c r="R1574" i="6" s="1"/>
  <c r="L1577" i="6"/>
  <c r="D1586" i="6"/>
  <c r="N1586" i="6"/>
  <c r="B1592" i="6"/>
  <c r="Q1592" i="6" s="1"/>
  <c r="N1592" i="6"/>
  <c r="G1596" i="6"/>
  <c r="G1598" i="6"/>
  <c r="B1602" i="6"/>
  <c r="Q1602" i="6" s="1"/>
  <c r="C1609" i="6"/>
  <c r="J1619" i="6"/>
  <c r="B1624" i="6"/>
  <c r="O1624" i="6" s="1"/>
  <c r="T1624" i="6" s="1"/>
  <c r="M1624" i="6"/>
  <c r="G1634" i="6"/>
  <c r="C1658" i="6"/>
  <c r="E1662" i="6"/>
  <c r="I1663" i="6"/>
  <c r="G1665" i="6"/>
  <c r="G1671" i="6"/>
  <c r="J1685" i="6"/>
  <c r="H1689" i="6"/>
  <c r="N1696" i="6"/>
  <c r="F1698" i="6"/>
  <c r="E1703" i="6"/>
  <c r="B1705" i="6"/>
  <c r="R1705" i="6" s="1"/>
  <c r="B1711" i="6"/>
  <c r="P1711" i="6" s="1"/>
  <c r="E1712" i="6"/>
  <c r="I1715" i="6"/>
  <c r="G1719" i="6"/>
  <c r="E1742" i="6"/>
  <c r="G1743" i="6"/>
  <c r="D1754" i="6"/>
  <c r="G1755" i="6"/>
  <c r="E1757" i="6"/>
  <c r="C1761" i="6"/>
  <c r="C1763" i="6"/>
  <c r="L1771" i="6"/>
  <c r="C1777" i="6"/>
  <c r="I1777" i="6"/>
  <c r="K1786" i="6"/>
  <c r="G1786" i="6"/>
  <c r="C1786" i="6"/>
  <c r="K1788" i="6"/>
  <c r="C1788" i="6"/>
  <c r="N1788" i="6"/>
  <c r="G1791" i="6"/>
  <c r="I1801" i="6"/>
  <c r="J1801" i="6"/>
  <c r="J1804" i="6"/>
  <c r="N1812" i="6"/>
  <c r="B1816" i="6"/>
  <c r="P1816" i="6" s="1"/>
  <c r="S1816" i="6" s="1"/>
  <c r="N1819" i="6"/>
  <c r="K1827" i="6"/>
  <c r="J1827" i="6"/>
  <c r="F1827" i="6"/>
  <c r="K1840" i="6"/>
  <c r="B1842" i="6"/>
  <c r="R1842" i="6" s="1"/>
  <c r="L1853" i="6"/>
  <c r="C1853" i="6"/>
  <c r="H1859" i="6"/>
  <c r="L1859" i="6"/>
  <c r="F1859" i="6"/>
  <c r="E1859" i="6"/>
  <c r="M1870" i="6"/>
  <c r="K1870" i="6"/>
  <c r="D1870" i="6"/>
  <c r="N1890" i="6"/>
  <c r="J1890" i="6"/>
  <c r="I1968" i="6"/>
  <c r="L1968" i="6"/>
  <c r="J1968" i="6"/>
  <c r="H1968" i="6"/>
  <c r="B1968" i="6"/>
  <c r="R1968" i="6" s="1"/>
  <c r="G1780" i="6"/>
  <c r="N1792" i="6"/>
  <c r="G1806" i="6"/>
  <c r="M1832" i="6"/>
  <c r="F1838" i="6"/>
  <c r="F1845" i="6"/>
  <c r="H1869" i="6"/>
  <c r="F1881" i="6"/>
  <c r="G1889" i="6"/>
  <c r="K1894" i="6"/>
  <c r="D1897" i="6"/>
  <c r="G1908" i="6"/>
  <c r="G1915" i="6"/>
  <c r="G1922" i="6"/>
  <c r="F1924" i="6"/>
  <c r="G1962" i="6"/>
  <c r="L1974" i="6"/>
  <c r="C9" i="8"/>
  <c r="N1780" i="6"/>
  <c r="I1785" i="6"/>
  <c r="E1792" i="6"/>
  <c r="M1798" i="6"/>
  <c r="E1832" i="6"/>
  <c r="N1845" i="6"/>
  <c r="J1846" i="6"/>
  <c r="G1855" i="6"/>
  <c r="E1865" i="6"/>
  <c r="H1892" i="6"/>
  <c r="N1897" i="6"/>
  <c r="H1901" i="6"/>
  <c r="G1904" i="6"/>
  <c r="H1907" i="6"/>
  <c r="F1910" i="6"/>
  <c r="J1915" i="6"/>
  <c r="N1922" i="6"/>
  <c r="N1938" i="6"/>
  <c r="I1940" i="6"/>
  <c r="G1942" i="6"/>
  <c r="F1945" i="6"/>
  <c r="D1974" i="6"/>
  <c r="G1979" i="6"/>
  <c r="F1832" i="6"/>
  <c r="B1839" i="6"/>
  <c r="R1839" i="6" s="1"/>
  <c r="B1841" i="6"/>
  <c r="R1841" i="6" s="1"/>
  <c r="M1846" i="6"/>
  <c r="C1851" i="6"/>
  <c r="D1852" i="6"/>
  <c r="H1855" i="6"/>
  <c r="I1862" i="6"/>
  <c r="I1865" i="6"/>
  <c r="J1892" i="6"/>
  <c r="I1901" i="6"/>
  <c r="K1904" i="6"/>
  <c r="N1907" i="6"/>
  <c r="C1909" i="6"/>
  <c r="G1910" i="6"/>
  <c r="M1915" i="6"/>
  <c r="C1921" i="6"/>
  <c r="N1923" i="6"/>
  <c r="E1926" i="6"/>
  <c r="B1932" i="6"/>
  <c r="R1932" i="6" s="1"/>
  <c r="N1933" i="6"/>
  <c r="B1938" i="6"/>
  <c r="R1938" i="6" s="1"/>
  <c r="J1940" i="6"/>
  <c r="I1942" i="6"/>
  <c r="H1945" i="6"/>
  <c r="M1954" i="6"/>
  <c r="D1961" i="6"/>
  <c r="M1966" i="6"/>
  <c r="D1973" i="6"/>
  <c r="E1974" i="6"/>
  <c r="M1980" i="6"/>
  <c r="K1981" i="6"/>
  <c r="C1983" i="6"/>
  <c r="E1992" i="6"/>
  <c r="C1994" i="6"/>
  <c r="K1855" i="6"/>
  <c r="J1865" i="6"/>
  <c r="L1981" i="6"/>
  <c r="L1983" i="6"/>
  <c r="E1994" i="6"/>
  <c r="B1845" i="6"/>
  <c r="R1845" i="6" s="1"/>
  <c r="B1855" i="6"/>
  <c r="P1855" i="6" s="1"/>
  <c r="S1855" i="6" s="1"/>
  <c r="L1855" i="6"/>
  <c r="N1865" i="6"/>
  <c r="D1869" i="6"/>
  <c r="J1878" i="6"/>
  <c r="B1891" i="6"/>
  <c r="O1891" i="6" s="1"/>
  <c r="T1891" i="6" s="1"/>
  <c r="J1902" i="6"/>
  <c r="B1908" i="6"/>
  <c r="R1908" i="6" s="1"/>
  <c r="J1910" i="6"/>
  <c r="K1916" i="6"/>
  <c r="B1922" i="6"/>
  <c r="R1922" i="6" s="1"/>
  <c r="C1924" i="6"/>
  <c r="B1934" i="6"/>
  <c r="R1934" i="6" s="1"/>
  <c r="N1945" i="6"/>
  <c r="C1962" i="6"/>
  <c r="H1973" i="6"/>
  <c r="H1974" i="6"/>
  <c r="C1988" i="6"/>
  <c r="B1993" i="6"/>
  <c r="P1993" i="6" s="1"/>
  <c r="S1993" i="6" s="1"/>
  <c r="G1994" i="6"/>
  <c r="E1999" i="6"/>
  <c r="F200" i="3"/>
  <c r="L238" i="6"/>
  <c r="L293" i="6"/>
  <c r="H293" i="6"/>
  <c r="D296" i="6"/>
  <c r="L296" i="6"/>
  <c r="G296" i="6"/>
  <c r="H311" i="6"/>
  <c r="J311" i="6"/>
  <c r="D311" i="6"/>
  <c r="J317" i="6"/>
  <c r="D317" i="6"/>
  <c r="D336" i="6"/>
  <c r="L336" i="6"/>
  <c r="G336" i="6"/>
  <c r="F348" i="6"/>
  <c r="B21" i="4"/>
  <c r="B29" i="4"/>
  <c r="B37" i="4"/>
  <c r="B45" i="4"/>
  <c r="B53" i="4"/>
  <c r="F53" i="4" s="1"/>
  <c r="B61" i="4"/>
  <c r="F61" i="4" s="1"/>
  <c r="B69" i="4"/>
  <c r="F69" i="4" s="1"/>
  <c r="B77" i="4"/>
  <c r="D77" i="4" s="1"/>
  <c r="B85" i="4"/>
  <c r="B93" i="4"/>
  <c r="B101" i="4"/>
  <c r="B109" i="4"/>
  <c r="B117" i="4"/>
  <c r="B125" i="4"/>
  <c r="B133" i="4"/>
  <c r="B141" i="4"/>
  <c r="B149" i="4"/>
  <c r="D11" i="6"/>
  <c r="D23" i="6"/>
  <c r="G25" i="6"/>
  <c r="G37" i="6"/>
  <c r="J39" i="6"/>
  <c r="D49" i="6"/>
  <c r="G51" i="6"/>
  <c r="D61" i="6"/>
  <c r="G63" i="6"/>
  <c r="J65" i="6"/>
  <c r="G72" i="6"/>
  <c r="L74" i="6"/>
  <c r="D78" i="6"/>
  <c r="H82" i="6"/>
  <c r="L83" i="6"/>
  <c r="I85" i="6"/>
  <c r="G87" i="6"/>
  <c r="H94" i="6"/>
  <c r="F97" i="6"/>
  <c r="H98" i="6"/>
  <c r="D100" i="6"/>
  <c r="D102" i="6"/>
  <c r="G103" i="6"/>
  <c r="L104" i="6"/>
  <c r="J106" i="6"/>
  <c r="D108" i="6"/>
  <c r="F109" i="6"/>
  <c r="J110" i="6"/>
  <c r="D112" i="6"/>
  <c r="G113" i="6"/>
  <c r="J114" i="6"/>
  <c r="H116" i="6"/>
  <c r="H118" i="6"/>
  <c r="D121" i="6"/>
  <c r="L122" i="6"/>
  <c r="H124" i="6"/>
  <c r="L126" i="6"/>
  <c r="H128" i="6"/>
  <c r="L130" i="6"/>
  <c r="K132" i="6"/>
  <c r="K134" i="6"/>
  <c r="G136" i="6"/>
  <c r="F139" i="6"/>
  <c r="K140" i="6"/>
  <c r="F143" i="6"/>
  <c r="K144" i="6"/>
  <c r="L148" i="6"/>
  <c r="L150" i="6"/>
  <c r="H152" i="6"/>
  <c r="D154" i="6"/>
  <c r="G155" i="6"/>
  <c r="L156" i="6"/>
  <c r="D158" i="6"/>
  <c r="H159" i="6"/>
  <c r="L160" i="6"/>
  <c r="D162" i="6"/>
  <c r="H168" i="6"/>
  <c r="D170" i="6"/>
  <c r="G171" i="6"/>
  <c r="L172" i="6"/>
  <c r="D174" i="6"/>
  <c r="H175" i="6"/>
  <c r="L176" i="6"/>
  <c r="D178" i="6"/>
  <c r="B180" i="6"/>
  <c r="D183" i="6"/>
  <c r="K184" i="6"/>
  <c r="H186" i="6"/>
  <c r="D189" i="6"/>
  <c r="G190" i="6"/>
  <c r="I191" i="6"/>
  <c r="G194" i="6"/>
  <c r="D196" i="6"/>
  <c r="I197" i="6"/>
  <c r="L198" i="6"/>
  <c r="G200" i="6"/>
  <c r="K202" i="6"/>
  <c r="L205" i="6"/>
  <c r="L210" i="6"/>
  <c r="B214" i="6"/>
  <c r="Q214" i="6" s="1"/>
  <c r="D215" i="6"/>
  <c r="J216" i="6"/>
  <c r="L217" i="6"/>
  <c r="K220" i="6"/>
  <c r="J222" i="6"/>
  <c r="D230" i="6"/>
  <c r="D232" i="6"/>
  <c r="H237" i="6"/>
  <c r="F240" i="6"/>
  <c r="G246" i="6"/>
  <c r="H249" i="6"/>
  <c r="D254" i="6"/>
  <c r="D257" i="6"/>
  <c r="H273" i="6"/>
  <c r="J293" i="6"/>
  <c r="F296" i="6"/>
  <c r="I311" i="6"/>
  <c r="H317" i="6"/>
  <c r="L320" i="6"/>
  <c r="G320" i="6"/>
  <c r="D320" i="6"/>
  <c r="K331" i="6"/>
  <c r="D331" i="6"/>
  <c r="J331" i="6"/>
  <c r="F336" i="6"/>
  <c r="B205" i="4"/>
  <c r="F205" i="4" s="1"/>
  <c r="B213" i="4"/>
  <c r="F213" i="4" s="1"/>
  <c r="G11" i="6"/>
  <c r="G23" i="6"/>
  <c r="J25" i="6"/>
  <c r="J37" i="6"/>
  <c r="G49" i="6"/>
  <c r="J51" i="6"/>
  <c r="G61" i="6"/>
  <c r="J63" i="6"/>
  <c r="H72" i="6"/>
  <c r="G78" i="6"/>
  <c r="L85" i="6"/>
  <c r="H87" i="6"/>
  <c r="J94" i="6"/>
  <c r="G97" i="6"/>
  <c r="J98" i="6"/>
  <c r="G100" i="6"/>
  <c r="G102" i="6"/>
  <c r="G108" i="6"/>
  <c r="G112" i="6"/>
  <c r="J118" i="6"/>
  <c r="F121" i="6"/>
  <c r="J124" i="6"/>
  <c r="J128" i="6"/>
  <c r="L132" i="6"/>
  <c r="L134" i="6"/>
  <c r="H136" i="6"/>
  <c r="G139" i="6"/>
  <c r="L140" i="6"/>
  <c r="H143" i="6"/>
  <c r="L144" i="6"/>
  <c r="J152" i="6"/>
  <c r="G154" i="6"/>
  <c r="I155" i="6"/>
  <c r="G158" i="6"/>
  <c r="I159" i="6"/>
  <c r="G162" i="6"/>
  <c r="J168" i="6"/>
  <c r="G170" i="6"/>
  <c r="I171" i="6"/>
  <c r="G174" i="6"/>
  <c r="I175" i="6"/>
  <c r="G178" i="6"/>
  <c r="D180" i="6"/>
  <c r="G183" i="6"/>
  <c r="L184" i="6"/>
  <c r="F189" i="6"/>
  <c r="H190" i="6"/>
  <c r="F193" i="6"/>
  <c r="H194" i="6"/>
  <c r="G196" i="6"/>
  <c r="H200" i="6"/>
  <c r="L202" i="6"/>
  <c r="J212" i="6"/>
  <c r="D214" i="6"/>
  <c r="F215" i="6"/>
  <c r="K216" i="6"/>
  <c r="L220" i="6"/>
  <c r="K222" i="6"/>
  <c r="J224" i="6"/>
  <c r="J226" i="6"/>
  <c r="H228" i="6"/>
  <c r="G230" i="6"/>
  <c r="G232" i="6"/>
  <c r="D234" i="6"/>
  <c r="D236" i="6"/>
  <c r="J237" i="6"/>
  <c r="D239" i="6"/>
  <c r="G240" i="6"/>
  <c r="H246" i="6"/>
  <c r="D248" i="6"/>
  <c r="I249" i="6"/>
  <c r="G254" i="6"/>
  <c r="H257" i="6"/>
  <c r="D262" i="6"/>
  <c r="L263" i="6"/>
  <c r="D265" i="6"/>
  <c r="I266" i="6"/>
  <c r="D270" i="6"/>
  <c r="I273" i="6"/>
  <c r="M277" i="6"/>
  <c r="L290" i="6"/>
  <c r="H290" i="6"/>
  <c r="D290" i="6"/>
  <c r="I294" i="6"/>
  <c r="H294" i="6"/>
  <c r="D294" i="6"/>
  <c r="I296" i="6"/>
  <c r="L309" i="6"/>
  <c r="H309" i="6"/>
  <c r="L311" i="6"/>
  <c r="L314" i="6"/>
  <c r="H314" i="6"/>
  <c r="D314" i="6"/>
  <c r="K317" i="6"/>
  <c r="F320" i="6"/>
  <c r="I331" i="6"/>
  <c r="H336" i="6"/>
  <c r="L376" i="6"/>
  <c r="H376" i="6"/>
  <c r="G376" i="6"/>
  <c r="F376" i="6"/>
  <c r="D376" i="6"/>
  <c r="F9" i="3"/>
  <c r="F17" i="3"/>
  <c r="F25" i="3"/>
  <c r="F33" i="3"/>
  <c r="F41" i="3"/>
  <c r="F49" i="3"/>
  <c r="F57" i="3"/>
  <c r="F65" i="3"/>
  <c r="F73" i="3"/>
  <c r="F81" i="3"/>
  <c r="F89" i="3"/>
  <c r="F97" i="3"/>
  <c r="F105" i="3"/>
  <c r="F113" i="3"/>
  <c r="F121" i="3"/>
  <c r="F129" i="3"/>
  <c r="F137" i="3"/>
  <c r="B154" i="4"/>
  <c r="F145" i="3"/>
  <c r="B158" i="4"/>
  <c r="B162" i="4"/>
  <c r="F153" i="3"/>
  <c r="B166" i="4"/>
  <c r="B170" i="4"/>
  <c r="F161" i="3"/>
  <c r="B174" i="4"/>
  <c r="B178" i="4"/>
  <c r="F169" i="3"/>
  <c r="B182" i="4"/>
  <c r="B186" i="4"/>
  <c r="F177" i="3"/>
  <c r="B190" i="4"/>
  <c r="B194" i="4"/>
  <c r="F185" i="3"/>
  <c r="B198" i="4"/>
  <c r="B202" i="4"/>
  <c r="F202" i="4" s="1"/>
  <c r="J11" i="6"/>
  <c r="J23" i="6"/>
  <c r="J49" i="6"/>
  <c r="J61" i="6"/>
  <c r="I78" i="6"/>
  <c r="H97" i="6"/>
  <c r="H102" i="6"/>
  <c r="H108" i="6"/>
  <c r="H112" i="6"/>
  <c r="I139" i="6"/>
  <c r="I143" i="6"/>
  <c r="H154" i="6"/>
  <c r="H158" i="6"/>
  <c r="H162" i="6"/>
  <c r="H170" i="6"/>
  <c r="H174" i="6"/>
  <c r="H178" i="6"/>
  <c r="G180" i="6"/>
  <c r="G189" i="6"/>
  <c r="J190" i="6"/>
  <c r="J194" i="6"/>
  <c r="H196" i="6"/>
  <c r="G214" i="6"/>
  <c r="H215" i="6"/>
  <c r="L222" i="6"/>
  <c r="H230" i="6"/>
  <c r="H232" i="6"/>
  <c r="L246" i="6"/>
  <c r="H254" i="6"/>
  <c r="L273" i="6"/>
  <c r="I297" i="6"/>
  <c r="D297" i="6"/>
  <c r="L301" i="6"/>
  <c r="H301" i="6"/>
  <c r="H320" i="6"/>
  <c r="L326" i="6"/>
  <c r="G326" i="6"/>
  <c r="D326" i="6"/>
  <c r="L332" i="6"/>
  <c r="G332" i="6"/>
  <c r="D332" i="6"/>
  <c r="F193" i="3"/>
  <c r="F201" i="3"/>
  <c r="K78" i="6"/>
  <c r="I97" i="6"/>
  <c r="J102" i="6"/>
  <c r="J108" i="6"/>
  <c r="J112" i="6"/>
  <c r="J154" i="6"/>
  <c r="J158" i="6"/>
  <c r="J162" i="6"/>
  <c r="J170" i="6"/>
  <c r="J174" i="6"/>
  <c r="J178" i="6"/>
  <c r="H180" i="6"/>
  <c r="H189" i="6"/>
  <c r="J196" i="6"/>
  <c r="H214" i="6"/>
  <c r="I215" i="6"/>
  <c r="J230" i="6"/>
  <c r="J232" i="6"/>
  <c r="L254" i="6"/>
  <c r="G280" i="6"/>
  <c r="D280" i="6"/>
  <c r="L280" i="6"/>
  <c r="L306" i="6"/>
  <c r="H306" i="6"/>
  <c r="D306" i="6"/>
  <c r="D338" i="6"/>
  <c r="L338" i="6"/>
  <c r="H338" i="6"/>
  <c r="F338" i="6"/>
  <c r="L352" i="6"/>
  <c r="H352" i="6"/>
  <c r="G352" i="6"/>
  <c r="F352" i="6"/>
  <c r="D352" i="6"/>
  <c r="I393" i="6"/>
  <c r="L393" i="6"/>
  <c r="K393" i="6"/>
  <c r="J393" i="6"/>
  <c r="D393" i="6"/>
  <c r="G5" i="6"/>
  <c r="J7" i="6"/>
  <c r="D17" i="6"/>
  <c r="G19" i="6"/>
  <c r="D29" i="6"/>
  <c r="G31" i="6"/>
  <c r="J33" i="6"/>
  <c r="D43" i="6"/>
  <c r="J45" i="6"/>
  <c r="D55" i="6"/>
  <c r="G57" i="6"/>
  <c r="D67" i="6"/>
  <c r="J69" i="6"/>
  <c r="H73" i="6"/>
  <c r="L78" i="6"/>
  <c r="D83" i="6"/>
  <c r="B86" i="6"/>
  <c r="P86" i="6" s="1"/>
  <c r="S86" i="6" s="1"/>
  <c r="K100" i="6"/>
  <c r="K102" i="6"/>
  <c r="G104" i="6"/>
  <c r="F107" i="6"/>
  <c r="K108" i="6"/>
  <c r="F111" i="6"/>
  <c r="K112" i="6"/>
  <c r="J120" i="6"/>
  <c r="G122" i="6"/>
  <c r="I123" i="6"/>
  <c r="G126" i="6"/>
  <c r="I127" i="6"/>
  <c r="G130" i="6"/>
  <c r="D132" i="6"/>
  <c r="D134" i="6"/>
  <c r="G135" i="6"/>
  <c r="L136" i="6"/>
  <c r="J138" i="6"/>
  <c r="D140" i="6"/>
  <c r="F141" i="6"/>
  <c r="J142" i="6"/>
  <c r="D144" i="6"/>
  <c r="G145" i="6"/>
  <c r="J146" i="6"/>
  <c r="G148" i="6"/>
  <c r="G150" i="6"/>
  <c r="K154" i="6"/>
  <c r="G156" i="6"/>
  <c r="G157" i="6"/>
  <c r="K158" i="6"/>
  <c r="G160" i="6"/>
  <c r="H161" i="6"/>
  <c r="K162" i="6"/>
  <c r="H164" i="6"/>
  <c r="H166" i="6"/>
  <c r="K170" i="6"/>
  <c r="G172" i="6"/>
  <c r="G173" i="6"/>
  <c r="K174" i="6"/>
  <c r="G176" i="6"/>
  <c r="H177" i="6"/>
  <c r="K178" i="6"/>
  <c r="J180" i="6"/>
  <c r="J182" i="6"/>
  <c r="D184" i="6"/>
  <c r="F185" i="6"/>
  <c r="J188" i="6"/>
  <c r="I189" i="6"/>
  <c r="L190" i="6"/>
  <c r="H192" i="6"/>
  <c r="I193" i="6"/>
  <c r="L194" i="6"/>
  <c r="K196" i="6"/>
  <c r="G198" i="6"/>
  <c r="L200" i="6"/>
  <c r="D202" i="6"/>
  <c r="G210" i="6"/>
  <c r="J214" i="6"/>
  <c r="D217" i="6"/>
  <c r="D220" i="6"/>
  <c r="B222" i="6"/>
  <c r="P222" i="6" s="1"/>
  <c r="S222" i="6" s="1"/>
  <c r="K230" i="6"/>
  <c r="K232" i="6"/>
  <c r="J234" i="6"/>
  <c r="J236" i="6"/>
  <c r="D238" i="6"/>
  <c r="J239" i="6"/>
  <c r="D247" i="6"/>
  <c r="I248" i="6"/>
  <c r="D250" i="6"/>
  <c r="H253" i="6"/>
  <c r="L262" i="6"/>
  <c r="F264" i="6"/>
  <c r="L270" i="6"/>
  <c r="F272" i="6"/>
  <c r="F280" i="6"/>
  <c r="L297" i="6"/>
  <c r="I302" i="6"/>
  <c r="H302" i="6"/>
  <c r="D302" i="6"/>
  <c r="F306" i="6"/>
  <c r="H322" i="6"/>
  <c r="F322" i="6"/>
  <c r="D322" i="6"/>
  <c r="E338" i="6"/>
  <c r="J343" i="6"/>
  <c r="K343" i="6"/>
  <c r="I343" i="6"/>
  <c r="L396" i="6"/>
  <c r="H396" i="6"/>
  <c r="G396" i="6"/>
  <c r="F396" i="6"/>
  <c r="D396" i="6"/>
  <c r="F7" i="3"/>
  <c r="C22" i="4"/>
  <c r="F15" i="3"/>
  <c r="F19" i="3"/>
  <c r="F23" i="3"/>
  <c r="C38" i="4"/>
  <c r="F31" i="3"/>
  <c r="F35" i="3"/>
  <c r="F39" i="3"/>
  <c r="C54" i="4"/>
  <c r="F47" i="3"/>
  <c r="F51" i="3"/>
  <c r="F55" i="3"/>
  <c r="C70" i="4"/>
  <c r="F63" i="3"/>
  <c r="F67" i="3"/>
  <c r="F71" i="3"/>
  <c r="C86" i="4"/>
  <c r="F79" i="3"/>
  <c r="F83" i="3"/>
  <c r="F87" i="3"/>
  <c r="C102" i="4"/>
  <c r="F102" i="4" s="1"/>
  <c r="F95" i="3"/>
  <c r="F99" i="3"/>
  <c r="F103" i="3"/>
  <c r="C118" i="4"/>
  <c r="F111" i="3"/>
  <c r="F115" i="3"/>
  <c r="F119" i="3"/>
  <c r="C134" i="4"/>
  <c r="F134" i="4" s="1"/>
  <c r="F127" i="3"/>
  <c r="F131" i="3"/>
  <c r="F135" i="3"/>
  <c r="C150" i="4"/>
  <c r="D150" i="4" s="1"/>
  <c r="F143" i="3"/>
  <c r="F147" i="3"/>
  <c r="F151" i="3"/>
  <c r="C166" i="4"/>
  <c r="F159" i="3"/>
  <c r="F163" i="3"/>
  <c r="F167" i="3"/>
  <c r="C182" i="4"/>
  <c r="F175" i="3"/>
  <c r="F179" i="3"/>
  <c r="F183" i="3"/>
  <c r="C198" i="4"/>
  <c r="J5" i="6"/>
  <c r="G17" i="6"/>
  <c r="G29" i="6"/>
  <c r="J31" i="6"/>
  <c r="G43" i="6"/>
  <c r="G55" i="6"/>
  <c r="G67" i="6"/>
  <c r="F83" i="6"/>
  <c r="K86" i="6"/>
  <c r="L100" i="6"/>
  <c r="L102" i="6"/>
  <c r="H104" i="6"/>
  <c r="G107" i="6"/>
  <c r="L108" i="6"/>
  <c r="H111" i="6"/>
  <c r="L112" i="6"/>
  <c r="H122" i="6"/>
  <c r="H126" i="6"/>
  <c r="H130" i="6"/>
  <c r="G132" i="6"/>
  <c r="G134" i="6"/>
  <c r="G140" i="6"/>
  <c r="G141" i="6"/>
  <c r="G144" i="6"/>
  <c r="H145" i="6"/>
  <c r="H148" i="6"/>
  <c r="H150" i="6"/>
  <c r="L154" i="6"/>
  <c r="H156" i="6"/>
  <c r="L158" i="6"/>
  <c r="H160" i="6"/>
  <c r="L162" i="6"/>
  <c r="L170" i="6"/>
  <c r="H172" i="6"/>
  <c r="L174" i="6"/>
  <c r="H176" i="6"/>
  <c r="L178" i="6"/>
  <c r="K180" i="6"/>
  <c r="G184" i="6"/>
  <c r="J192" i="6"/>
  <c r="L196" i="6"/>
  <c r="H198" i="6"/>
  <c r="I199" i="6"/>
  <c r="G202" i="6"/>
  <c r="J206" i="6"/>
  <c r="H210" i="6"/>
  <c r="K214" i="6"/>
  <c r="D216" i="6"/>
  <c r="F217" i="6"/>
  <c r="G220" i="6"/>
  <c r="D222" i="6"/>
  <c r="B224" i="6"/>
  <c r="O224" i="6" s="1"/>
  <c r="T224" i="6" s="1"/>
  <c r="L230" i="6"/>
  <c r="L232" i="6"/>
  <c r="K234" i="6"/>
  <c r="G238" i="6"/>
  <c r="L239" i="6"/>
  <c r="I242" i="6"/>
  <c r="I247" i="6"/>
  <c r="F250" i="6"/>
  <c r="J253" i="6"/>
  <c r="D255" i="6"/>
  <c r="D258" i="6"/>
  <c r="G264" i="6"/>
  <c r="H271" i="6"/>
  <c r="L271" i="6"/>
  <c r="I272" i="6"/>
  <c r="I278" i="6"/>
  <c r="H278" i="6"/>
  <c r="D278" i="6"/>
  <c r="I280" i="6"/>
  <c r="H287" i="6"/>
  <c r="J287" i="6"/>
  <c r="D287" i="6"/>
  <c r="G302" i="6"/>
  <c r="I306" i="6"/>
  <c r="E322" i="6"/>
  <c r="J327" i="6"/>
  <c r="I327" i="6"/>
  <c r="L330" i="6"/>
  <c r="G330" i="6"/>
  <c r="D330" i="6"/>
  <c r="J333" i="6"/>
  <c r="D333" i="6"/>
  <c r="G338" i="6"/>
  <c r="K347" i="6"/>
  <c r="J347" i="6"/>
  <c r="I347" i="6"/>
  <c r="D347" i="6"/>
  <c r="F8" i="3"/>
  <c r="F12" i="3"/>
  <c r="F16" i="3"/>
  <c r="F20" i="3"/>
  <c r="F24" i="3"/>
  <c r="F28" i="3"/>
  <c r="F32" i="3"/>
  <c r="F36" i="3"/>
  <c r="F40" i="3"/>
  <c r="F44" i="3"/>
  <c r="F48" i="3"/>
  <c r="F52" i="3"/>
  <c r="F56" i="3"/>
  <c r="F60" i="3"/>
  <c r="F64" i="3"/>
  <c r="F68" i="3"/>
  <c r="F72" i="3"/>
  <c r="F76" i="3"/>
  <c r="F80" i="3"/>
  <c r="F84" i="3"/>
  <c r="F88" i="3"/>
  <c r="F92" i="3"/>
  <c r="F96" i="3"/>
  <c r="F100" i="3"/>
  <c r="F104" i="3"/>
  <c r="F108" i="3"/>
  <c r="F112" i="3"/>
  <c r="F116" i="3"/>
  <c r="F120" i="3"/>
  <c r="F124" i="3"/>
  <c r="F128" i="3"/>
  <c r="F132" i="3"/>
  <c r="F136" i="3"/>
  <c r="F140" i="3"/>
  <c r="F144" i="3"/>
  <c r="F148" i="3"/>
  <c r="F152" i="3"/>
  <c r="F156" i="3"/>
  <c r="F160" i="3"/>
  <c r="F164" i="3"/>
  <c r="F168" i="3"/>
  <c r="F172" i="3"/>
  <c r="B185" i="4"/>
  <c r="F176" i="3"/>
  <c r="F180" i="3"/>
  <c r="F184" i="3"/>
  <c r="F188" i="3"/>
  <c r="B201" i="4"/>
  <c r="F191" i="3"/>
  <c r="F195" i="3"/>
  <c r="F199" i="3"/>
  <c r="C214" i="4"/>
  <c r="L5" i="6"/>
  <c r="G83" i="6"/>
  <c r="J104" i="6"/>
  <c r="I107" i="6"/>
  <c r="I111" i="6"/>
  <c r="J122" i="6"/>
  <c r="J126" i="6"/>
  <c r="J130" i="6"/>
  <c r="H132" i="6"/>
  <c r="H134" i="6"/>
  <c r="H140" i="6"/>
  <c r="H144" i="6"/>
  <c r="J150" i="6"/>
  <c r="J156" i="6"/>
  <c r="L180" i="6"/>
  <c r="H184" i="6"/>
  <c r="J198" i="6"/>
  <c r="H202" i="6"/>
  <c r="J210" i="6"/>
  <c r="L214" i="6"/>
  <c r="H220" i="6"/>
  <c r="G222" i="6"/>
  <c r="H238" i="6"/>
  <c r="J247" i="6"/>
  <c r="H250" i="6"/>
  <c r="L272" i="6"/>
  <c r="I281" i="6"/>
  <c r="D281" i="6"/>
  <c r="L302" i="6"/>
  <c r="G322" i="6"/>
  <c r="D348" i="6"/>
  <c r="L348" i="6"/>
  <c r="G348" i="6"/>
  <c r="L379" i="6"/>
  <c r="K379" i="6"/>
  <c r="J379" i="6"/>
  <c r="I274" i="6"/>
  <c r="I279" i="6"/>
  <c r="F282" i="6"/>
  <c r="F304" i="6"/>
  <c r="G310" i="6"/>
  <c r="H313" i="6"/>
  <c r="K319" i="6"/>
  <c r="H324" i="6"/>
  <c r="H334" i="6"/>
  <c r="L342" i="6"/>
  <c r="H344" i="6"/>
  <c r="L346" i="6"/>
  <c r="G356" i="6"/>
  <c r="L364" i="6"/>
  <c r="G368" i="6"/>
  <c r="H370" i="6"/>
  <c r="H372" i="6"/>
  <c r="H374" i="6"/>
  <c r="L377" i="6"/>
  <c r="G384" i="6"/>
  <c r="L388" i="6"/>
  <c r="L391" i="6"/>
  <c r="H394" i="6"/>
  <c r="K397" i="6"/>
  <c r="G400" i="6"/>
  <c r="L404" i="6"/>
  <c r="L407" i="6"/>
  <c r="D409" i="6"/>
  <c r="H410" i="6"/>
  <c r="D412" i="6"/>
  <c r="K413" i="6"/>
  <c r="G416" i="6"/>
  <c r="L420" i="6"/>
  <c r="D425" i="6"/>
  <c r="D428" i="6"/>
  <c r="K429" i="6"/>
  <c r="G432" i="6"/>
  <c r="L436" i="6"/>
  <c r="D441" i="6"/>
  <c r="D444" i="6"/>
  <c r="K445" i="6"/>
  <c r="G448" i="6"/>
  <c r="L452" i="6"/>
  <c r="F454" i="6"/>
  <c r="I455" i="6"/>
  <c r="D469" i="6"/>
  <c r="H470" i="6"/>
  <c r="J487" i="6"/>
  <c r="L489" i="6"/>
  <c r="I492" i="6"/>
  <c r="J502" i="6"/>
  <c r="L505" i="6"/>
  <c r="J510" i="6"/>
  <c r="L513" i="6"/>
  <c r="J518" i="6"/>
  <c r="L521" i="6"/>
  <c r="J526" i="6"/>
  <c r="L529" i="6"/>
  <c r="H542" i="6"/>
  <c r="G544" i="6"/>
  <c r="D546" i="6"/>
  <c r="D547" i="6"/>
  <c r="D550" i="6"/>
  <c r="D551" i="6"/>
  <c r="D554" i="6"/>
  <c r="D555" i="6"/>
  <c r="J560" i="6"/>
  <c r="G562" i="6"/>
  <c r="I563" i="6"/>
  <c r="L568" i="6"/>
  <c r="D572" i="6"/>
  <c r="G576" i="6"/>
  <c r="D578" i="6"/>
  <c r="D579" i="6"/>
  <c r="D582" i="6"/>
  <c r="D583" i="6"/>
  <c r="D586" i="6"/>
  <c r="D587" i="6"/>
  <c r="G590" i="6"/>
  <c r="G591" i="6"/>
  <c r="J594" i="6"/>
  <c r="I595" i="6"/>
  <c r="L598" i="6"/>
  <c r="D602" i="6"/>
  <c r="D603" i="6"/>
  <c r="G606" i="6"/>
  <c r="G607" i="6"/>
  <c r="I624" i="6"/>
  <c r="G624" i="6"/>
  <c r="L624" i="6"/>
  <c r="K624" i="6"/>
  <c r="I661" i="6"/>
  <c r="G661" i="6"/>
  <c r="E661" i="6"/>
  <c r="C661" i="6"/>
  <c r="N661" i="6"/>
  <c r="D670" i="6"/>
  <c r="C670" i="6"/>
  <c r="B670" i="6"/>
  <c r="O670" i="6" s="1"/>
  <c r="M670" i="6"/>
  <c r="L670" i="6"/>
  <c r="I670" i="6"/>
  <c r="M751" i="6"/>
  <c r="G751" i="6"/>
  <c r="H356" i="6"/>
  <c r="H368" i="6"/>
  <c r="H384" i="6"/>
  <c r="L397" i="6"/>
  <c r="H400" i="6"/>
  <c r="J409" i="6"/>
  <c r="F412" i="6"/>
  <c r="L413" i="6"/>
  <c r="H416" i="6"/>
  <c r="J425" i="6"/>
  <c r="F428" i="6"/>
  <c r="L429" i="6"/>
  <c r="H432" i="6"/>
  <c r="J441" i="6"/>
  <c r="F444" i="6"/>
  <c r="L445" i="6"/>
  <c r="H448" i="6"/>
  <c r="G454" i="6"/>
  <c r="J455" i="6"/>
  <c r="F469" i="6"/>
  <c r="I470" i="6"/>
  <c r="J492" i="6"/>
  <c r="J542" i="6"/>
  <c r="H544" i="6"/>
  <c r="F546" i="6"/>
  <c r="F547" i="6"/>
  <c r="F550" i="6"/>
  <c r="F551" i="6"/>
  <c r="F554" i="6"/>
  <c r="F555" i="6"/>
  <c r="F572" i="6"/>
  <c r="F578" i="6"/>
  <c r="F579" i="6"/>
  <c r="F582" i="6"/>
  <c r="D613" i="6"/>
  <c r="H613" i="6"/>
  <c r="I643" i="6"/>
  <c r="K643" i="6"/>
  <c r="H643" i="6"/>
  <c r="L279" i="6"/>
  <c r="I282" i="6"/>
  <c r="I295" i="6"/>
  <c r="F298" i="6"/>
  <c r="E303" i="6"/>
  <c r="L310" i="6"/>
  <c r="F312" i="6"/>
  <c r="F318" i="6"/>
  <c r="I323" i="6"/>
  <c r="F340" i="6"/>
  <c r="F350" i="6"/>
  <c r="D354" i="6"/>
  <c r="H355" i="6"/>
  <c r="L356" i="6"/>
  <c r="J363" i="6"/>
  <c r="D365" i="6"/>
  <c r="L368" i="6"/>
  <c r="D378" i="6"/>
  <c r="I381" i="6"/>
  <c r="L384" i="6"/>
  <c r="F386" i="6"/>
  <c r="L387" i="6"/>
  <c r="D389" i="6"/>
  <c r="D392" i="6"/>
  <c r="J399" i="6"/>
  <c r="L400" i="6"/>
  <c r="F402" i="6"/>
  <c r="L403" i="6"/>
  <c r="D405" i="6"/>
  <c r="D408" i="6"/>
  <c r="K409" i="6"/>
  <c r="G412" i="6"/>
  <c r="J415" i="6"/>
  <c r="L416" i="6"/>
  <c r="F418" i="6"/>
  <c r="L419" i="6"/>
  <c r="D421" i="6"/>
  <c r="D424" i="6"/>
  <c r="K425" i="6"/>
  <c r="G428" i="6"/>
  <c r="J431" i="6"/>
  <c r="L432" i="6"/>
  <c r="F434" i="6"/>
  <c r="L435" i="6"/>
  <c r="D437" i="6"/>
  <c r="D440" i="6"/>
  <c r="K441" i="6"/>
  <c r="G444" i="6"/>
  <c r="J447" i="6"/>
  <c r="L448" i="6"/>
  <c r="F450" i="6"/>
  <c r="L451" i="6"/>
  <c r="D453" i="6"/>
  <c r="H454" i="6"/>
  <c r="F461" i="6"/>
  <c r="F464" i="6"/>
  <c r="I469" i="6"/>
  <c r="J470" i="6"/>
  <c r="G472" i="6"/>
  <c r="D475" i="6"/>
  <c r="D477" i="6"/>
  <c r="D495" i="6"/>
  <c r="H498" i="6"/>
  <c r="F501" i="6"/>
  <c r="D503" i="6"/>
  <c r="H506" i="6"/>
  <c r="F509" i="6"/>
  <c r="D511" i="6"/>
  <c r="H514" i="6"/>
  <c r="F517" i="6"/>
  <c r="D519" i="6"/>
  <c r="H522" i="6"/>
  <c r="F525" i="6"/>
  <c r="D527" i="6"/>
  <c r="H530" i="6"/>
  <c r="J536" i="6"/>
  <c r="J544" i="6"/>
  <c r="G546" i="6"/>
  <c r="I547" i="6"/>
  <c r="K548" i="6"/>
  <c r="G550" i="6"/>
  <c r="I551" i="6"/>
  <c r="K552" i="6"/>
  <c r="G554" i="6"/>
  <c r="I555" i="6"/>
  <c r="K556" i="6"/>
  <c r="H558" i="6"/>
  <c r="L559" i="6"/>
  <c r="L560" i="6"/>
  <c r="J562" i="6"/>
  <c r="K566" i="6"/>
  <c r="D568" i="6"/>
  <c r="G572" i="6"/>
  <c r="F574" i="6"/>
  <c r="F575" i="6"/>
  <c r="J576" i="6"/>
  <c r="G578" i="6"/>
  <c r="I579" i="6"/>
  <c r="K580" i="6"/>
  <c r="G582" i="6"/>
  <c r="I583" i="6"/>
  <c r="K584" i="6"/>
  <c r="G586" i="6"/>
  <c r="G587" i="6"/>
  <c r="H588" i="6"/>
  <c r="H589" i="6"/>
  <c r="J590" i="6"/>
  <c r="I591" i="6"/>
  <c r="K592" i="6"/>
  <c r="L594" i="6"/>
  <c r="D598" i="6"/>
  <c r="D599" i="6"/>
  <c r="F600" i="6"/>
  <c r="F601" i="6"/>
  <c r="G602" i="6"/>
  <c r="G603" i="6"/>
  <c r="H604" i="6"/>
  <c r="H605" i="6"/>
  <c r="J606" i="6"/>
  <c r="I607" i="6"/>
  <c r="K608" i="6"/>
  <c r="L610" i="6"/>
  <c r="I612" i="6"/>
  <c r="H612" i="6"/>
  <c r="F613" i="6"/>
  <c r="I622" i="6"/>
  <c r="K622" i="6"/>
  <c r="F622" i="6"/>
  <c r="D622" i="6"/>
  <c r="F624" i="6"/>
  <c r="J658" i="6"/>
  <c r="G658" i="6"/>
  <c r="C658" i="6"/>
  <c r="K671" i="6"/>
  <c r="F671" i="6"/>
  <c r="E671" i="6"/>
  <c r="C671" i="6"/>
  <c r="N671" i="6"/>
  <c r="I671" i="6"/>
  <c r="P718" i="6"/>
  <c r="S718" i="6" s="1"/>
  <c r="R718" i="6"/>
  <c r="Q718" i="6"/>
  <c r="E354" i="6"/>
  <c r="H365" i="6"/>
  <c r="F378" i="6"/>
  <c r="J389" i="6"/>
  <c r="F392" i="6"/>
  <c r="J405" i="6"/>
  <c r="F408" i="6"/>
  <c r="L409" i="6"/>
  <c r="H412" i="6"/>
  <c r="J421" i="6"/>
  <c r="F424" i="6"/>
  <c r="L425" i="6"/>
  <c r="H428" i="6"/>
  <c r="J437" i="6"/>
  <c r="F440" i="6"/>
  <c r="L441" i="6"/>
  <c r="H444" i="6"/>
  <c r="F453" i="6"/>
  <c r="I454" i="6"/>
  <c r="G464" i="6"/>
  <c r="J469" i="6"/>
  <c r="F475" i="6"/>
  <c r="I498" i="6"/>
  <c r="I501" i="6"/>
  <c r="I506" i="6"/>
  <c r="I509" i="6"/>
  <c r="I514" i="6"/>
  <c r="I517" i="6"/>
  <c r="I522" i="6"/>
  <c r="I525" i="6"/>
  <c r="I530" i="6"/>
  <c r="K544" i="6"/>
  <c r="H546" i="6"/>
  <c r="L547" i="6"/>
  <c r="H550" i="6"/>
  <c r="L551" i="6"/>
  <c r="H554" i="6"/>
  <c r="L555" i="6"/>
  <c r="K562" i="6"/>
  <c r="F568" i="6"/>
  <c r="H572" i="6"/>
  <c r="K576" i="6"/>
  <c r="H578" i="6"/>
  <c r="L579" i="6"/>
  <c r="H582" i="6"/>
  <c r="L583" i="6"/>
  <c r="H586" i="6"/>
  <c r="H587" i="6"/>
  <c r="K590" i="6"/>
  <c r="J591" i="6"/>
  <c r="F598" i="6"/>
  <c r="F599" i="6"/>
  <c r="H602" i="6"/>
  <c r="H603" i="6"/>
  <c r="K606" i="6"/>
  <c r="J607" i="6"/>
  <c r="G613" i="6"/>
  <c r="H624" i="6"/>
  <c r="I630" i="6"/>
  <c r="G630" i="6"/>
  <c r="F630" i="6"/>
  <c r="D630" i="6"/>
  <c r="L630" i="6"/>
  <c r="K630" i="6"/>
  <c r="K680" i="6"/>
  <c r="D680" i="6"/>
  <c r="M733" i="6"/>
  <c r="F733" i="6"/>
  <c r="M755" i="6"/>
  <c r="G755" i="6"/>
  <c r="G286" i="6"/>
  <c r="L295" i="6"/>
  <c r="I298" i="6"/>
  <c r="J303" i="6"/>
  <c r="H325" i="6"/>
  <c r="D342" i="6"/>
  <c r="D346" i="6"/>
  <c r="D349" i="6"/>
  <c r="F354" i="6"/>
  <c r="J355" i="6"/>
  <c r="D357" i="6"/>
  <c r="D364" i="6"/>
  <c r="G378" i="6"/>
  <c r="D385" i="6"/>
  <c r="D388" i="6"/>
  <c r="K389" i="6"/>
  <c r="G392" i="6"/>
  <c r="L399" i="6"/>
  <c r="D401" i="6"/>
  <c r="D404" i="6"/>
  <c r="K405" i="6"/>
  <c r="G408" i="6"/>
  <c r="L415" i="6"/>
  <c r="D417" i="6"/>
  <c r="D420" i="6"/>
  <c r="K421" i="6"/>
  <c r="G424" i="6"/>
  <c r="L431" i="6"/>
  <c r="D433" i="6"/>
  <c r="D436" i="6"/>
  <c r="K437" i="6"/>
  <c r="G440" i="6"/>
  <c r="L447" i="6"/>
  <c r="D449" i="6"/>
  <c r="D452" i="6"/>
  <c r="I453" i="6"/>
  <c r="H464" i="6"/>
  <c r="D471" i="6"/>
  <c r="F478" i="6"/>
  <c r="D489" i="6"/>
  <c r="F496" i="6"/>
  <c r="H534" i="6"/>
  <c r="L544" i="6"/>
  <c r="J546" i="6"/>
  <c r="J550" i="6"/>
  <c r="J554" i="6"/>
  <c r="K558" i="6"/>
  <c r="D560" i="6"/>
  <c r="L562" i="6"/>
  <c r="G568" i="6"/>
  <c r="J572" i="6"/>
  <c r="H574" i="6"/>
  <c r="L575" i="6"/>
  <c r="L576" i="6"/>
  <c r="J578" i="6"/>
  <c r="J582" i="6"/>
  <c r="J586" i="6"/>
  <c r="I587" i="6"/>
  <c r="K588" i="6"/>
  <c r="L590" i="6"/>
  <c r="D594" i="6"/>
  <c r="D595" i="6"/>
  <c r="G598" i="6"/>
  <c r="G599" i="6"/>
  <c r="H600" i="6"/>
  <c r="H601" i="6"/>
  <c r="J602" i="6"/>
  <c r="I603" i="6"/>
  <c r="K604" i="6"/>
  <c r="L606" i="6"/>
  <c r="D610" i="6"/>
  <c r="D611" i="6"/>
  <c r="I613" i="6"/>
  <c r="L615" i="6"/>
  <c r="I615" i="6"/>
  <c r="J624" i="6"/>
  <c r="H630" i="6"/>
  <c r="R734" i="6"/>
  <c r="G354" i="6"/>
  <c r="J453" i="6"/>
  <c r="I464" i="6"/>
  <c r="K546" i="6"/>
  <c r="K550" i="6"/>
  <c r="K554" i="6"/>
  <c r="H568" i="6"/>
  <c r="K572" i="6"/>
  <c r="K578" i="6"/>
  <c r="K582" i="6"/>
  <c r="K586" i="6"/>
  <c r="H598" i="6"/>
  <c r="H599" i="6"/>
  <c r="K602" i="6"/>
  <c r="J613" i="6"/>
  <c r="H625" i="6"/>
  <c r="L625" i="6"/>
  <c r="K655" i="6"/>
  <c r="N655" i="6"/>
  <c r="I655" i="6"/>
  <c r="F655" i="6"/>
  <c r="E655" i="6"/>
  <c r="C655" i="6"/>
  <c r="I675" i="6"/>
  <c r="K675" i="6"/>
  <c r="H675" i="6"/>
  <c r="E675" i="6"/>
  <c r="K706" i="6"/>
  <c r="I706" i="6"/>
  <c r="C706" i="6"/>
  <c r="M747" i="6"/>
  <c r="G747" i="6"/>
  <c r="I339" i="6"/>
  <c r="L375" i="6"/>
  <c r="I377" i="6"/>
  <c r="K385" i="6"/>
  <c r="J391" i="6"/>
  <c r="L395" i="6"/>
  <c r="D397" i="6"/>
  <c r="K401" i="6"/>
  <c r="J407" i="6"/>
  <c r="D413" i="6"/>
  <c r="K417" i="6"/>
  <c r="J423" i="6"/>
  <c r="L427" i="6"/>
  <c r="D429" i="6"/>
  <c r="K433" i="6"/>
  <c r="J439" i="6"/>
  <c r="L443" i="6"/>
  <c r="D445" i="6"/>
  <c r="K449" i="6"/>
  <c r="F468" i="6"/>
  <c r="H538" i="6"/>
  <c r="D544" i="6"/>
  <c r="L546" i="6"/>
  <c r="L550" i="6"/>
  <c r="L554" i="6"/>
  <c r="G560" i="6"/>
  <c r="D562" i="6"/>
  <c r="D563" i="6"/>
  <c r="J568" i="6"/>
  <c r="L572" i="6"/>
  <c r="K574" i="6"/>
  <c r="D576" i="6"/>
  <c r="L578" i="6"/>
  <c r="L582" i="6"/>
  <c r="L586" i="6"/>
  <c r="D590" i="6"/>
  <c r="G594" i="6"/>
  <c r="J598" i="6"/>
  <c r="I599" i="6"/>
  <c r="K600" i="6"/>
  <c r="L602" i="6"/>
  <c r="D606" i="6"/>
  <c r="G610" i="6"/>
  <c r="I614" i="6"/>
  <c r="F614" i="6"/>
  <c r="J614" i="6"/>
  <c r="I616" i="6"/>
  <c r="L616" i="6"/>
  <c r="F616" i="6"/>
  <c r="D625" i="6"/>
  <c r="L631" i="6"/>
  <c r="J631" i="6"/>
  <c r="J650" i="6"/>
  <c r="G650" i="6"/>
  <c r="C650" i="6"/>
  <c r="G655" i="6"/>
  <c r="E676" i="6"/>
  <c r="C676" i="6"/>
  <c r="B676" i="6"/>
  <c r="Q676" i="6" s="1"/>
  <c r="M676" i="6"/>
  <c r="L676" i="6"/>
  <c r="M759" i="6"/>
  <c r="G759" i="6"/>
  <c r="K598" i="6"/>
  <c r="L623" i="6"/>
  <c r="I623" i="6"/>
  <c r="D623" i="6"/>
  <c r="G625" i="6"/>
  <c r="J676" i="6"/>
  <c r="G647" i="6"/>
  <c r="J660" i="6"/>
  <c r="E686" i="6"/>
  <c r="B694" i="6"/>
  <c r="O694" i="6" s="1"/>
  <c r="T694" i="6" s="1"/>
  <c r="D696" i="6"/>
  <c r="M698" i="6"/>
  <c r="K701" i="6"/>
  <c r="G703" i="6"/>
  <c r="I705" i="6"/>
  <c r="B708" i="6"/>
  <c r="O708" i="6" s="1"/>
  <c r="T708" i="6" s="1"/>
  <c r="M715" i="6"/>
  <c r="G720" i="6"/>
  <c r="K721" i="6"/>
  <c r="B724" i="6"/>
  <c r="P724" i="6" s="1"/>
  <c r="S724" i="6" s="1"/>
  <c r="C727" i="6"/>
  <c r="M731" i="6"/>
  <c r="G736" i="6"/>
  <c r="M737" i="6"/>
  <c r="G741" i="6"/>
  <c r="K777" i="6"/>
  <c r="C780" i="6"/>
  <c r="I781" i="6"/>
  <c r="K786" i="6"/>
  <c r="K788" i="6"/>
  <c r="K790" i="6"/>
  <c r="K792" i="6"/>
  <c r="K794" i="6"/>
  <c r="K796" i="6"/>
  <c r="K798" i="6"/>
  <c r="K800" i="6"/>
  <c r="K802" i="6"/>
  <c r="K804" i="6"/>
  <c r="K806" i="6"/>
  <c r="K808" i="6"/>
  <c r="K810" i="6"/>
  <c r="K812" i="6"/>
  <c r="K814" i="6"/>
  <c r="K816" i="6"/>
  <c r="K818" i="6"/>
  <c r="K820" i="6"/>
  <c r="K822" i="6"/>
  <c r="K824" i="6"/>
  <c r="K826" i="6"/>
  <c r="K828" i="6"/>
  <c r="K830" i="6"/>
  <c r="K832" i="6"/>
  <c r="K834" i="6"/>
  <c r="K836" i="6"/>
  <c r="K838" i="6"/>
  <c r="K840" i="6"/>
  <c r="K842" i="6"/>
  <c r="K844" i="6"/>
  <c r="K846" i="6"/>
  <c r="K848" i="6"/>
  <c r="K850" i="6"/>
  <c r="K852" i="6"/>
  <c r="K854" i="6"/>
  <c r="K856" i="6"/>
  <c r="K858" i="6"/>
  <c r="K860" i="6"/>
  <c r="F862" i="6"/>
  <c r="B864" i="6"/>
  <c r="Q864" i="6" s="1"/>
  <c r="H866" i="6"/>
  <c r="I869" i="6"/>
  <c r="F869" i="6"/>
  <c r="K869" i="6"/>
  <c r="B869" i="6"/>
  <c r="Q869" i="6" s="1"/>
  <c r="M869" i="6"/>
  <c r="F871" i="6"/>
  <c r="B874" i="6"/>
  <c r="Q874" i="6" s="1"/>
  <c r="C879" i="6"/>
  <c r="N879" i="6"/>
  <c r="I881" i="6"/>
  <c r="M881" i="6"/>
  <c r="D881" i="6"/>
  <c r="H881" i="6"/>
  <c r="L881" i="6"/>
  <c r="F884" i="6"/>
  <c r="D884" i="6"/>
  <c r="K884" i="6"/>
  <c r="H887" i="6"/>
  <c r="L890" i="6"/>
  <c r="B890" i="6"/>
  <c r="Q890" i="6" s="1"/>
  <c r="G890" i="6"/>
  <c r="I892" i="6"/>
  <c r="I895" i="6"/>
  <c r="M895" i="6"/>
  <c r="D895" i="6"/>
  <c r="H895" i="6"/>
  <c r="L895" i="6"/>
  <c r="I897" i="6"/>
  <c r="L897" i="6"/>
  <c r="G897" i="6"/>
  <c r="M897" i="6"/>
  <c r="C897" i="6"/>
  <c r="N897" i="6"/>
  <c r="L626" i="6"/>
  <c r="H628" i="6"/>
  <c r="J629" i="6"/>
  <c r="H632" i="6"/>
  <c r="H636" i="6"/>
  <c r="D638" i="6"/>
  <c r="G640" i="6"/>
  <c r="D646" i="6"/>
  <c r="I647" i="6"/>
  <c r="B652" i="6"/>
  <c r="Q652" i="6" s="1"/>
  <c r="C653" i="6"/>
  <c r="D654" i="6"/>
  <c r="H657" i="6"/>
  <c r="E659" i="6"/>
  <c r="L660" i="6"/>
  <c r="G664" i="6"/>
  <c r="M666" i="6"/>
  <c r="K669" i="6"/>
  <c r="B678" i="6"/>
  <c r="O678" i="6" s="1"/>
  <c r="T678" i="6" s="1"/>
  <c r="C679" i="6"/>
  <c r="M682" i="6"/>
  <c r="G685" i="6"/>
  <c r="I686" i="6"/>
  <c r="G687" i="6"/>
  <c r="C694" i="6"/>
  <c r="C695" i="6"/>
  <c r="G696" i="6"/>
  <c r="J700" i="6"/>
  <c r="N701" i="6"/>
  <c r="I703" i="6"/>
  <c r="K705" i="6"/>
  <c r="C708" i="6"/>
  <c r="G709" i="6"/>
  <c r="C711" i="6"/>
  <c r="K712" i="6"/>
  <c r="I714" i="6"/>
  <c r="G718" i="6"/>
  <c r="E719" i="6"/>
  <c r="I720" i="6"/>
  <c r="M721" i="6"/>
  <c r="C724" i="6"/>
  <c r="G725" i="6"/>
  <c r="E727" i="6"/>
  <c r="J730" i="6"/>
  <c r="G734" i="6"/>
  <c r="E735" i="6"/>
  <c r="I736" i="6"/>
  <c r="G740" i="6"/>
  <c r="I741" i="6"/>
  <c r="E746" i="6"/>
  <c r="E750" i="6"/>
  <c r="E754" i="6"/>
  <c r="E758" i="6"/>
  <c r="E762" i="6"/>
  <c r="E766" i="6"/>
  <c r="E770" i="6"/>
  <c r="M772" i="6"/>
  <c r="M777" i="6"/>
  <c r="I780" i="6"/>
  <c r="K781" i="6"/>
  <c r="C784" i="6"/>
  <c r="I785" i="6"/>
  <c r="M786" i="6"/>
  <c r="M788" i="6"/>
  <c r="M790" i="6"/>
  <c r="M792" i="6"/>
  <c r="M794" i="6"/>
  <c r="M796" i="6"/>
  <c r="M798" i="6"/>
  <c r="M800" i="6"/>
  <c r="M802" i="6"/>
  <c r="M804" i="6"/>
  <c r="M806" i="6"/>
  <c r="M808" i="6"/>
  <c r="M810" i="6"/>
  <c r="M812" i="6"/>
  <c r="M814" i="6"/>
  <c r="M816" i="6"/>
  <c r="M818" i="6"/>
  <c r="M820" i="6"/>
  <c r="M822" i="6"/>
  <c r="M824" i="6"/>
  <c r="M826" i="6"/>
  <c r="M828" i="6"/>
  <c r="M830" i="6"/>
  <c r="M832" i="6"/>
  <c r="M834" i="6"/>
  <c r="M836" i="6"/>
  <c r="M838" i="6"/>
  <c r="M840" i="6"/>
  <c r="M842" i="6"/>
  <c r="M844" i="6"/>
  <c r="M846" i="6"/>
  <c r="M848" i="6"/>
  <c r="M850" i="6"/>
  <c r="M852" i="6"/>
  <c r="M854" i="6"/>
  <c r="M856" i="6"/>
  <c r="M858" i="6"/>
  <c r="M860" i="6"/>
  <c r="G862" i="6"/>
  <c r="J863" i="6"/>
  <c r="D864" i="6"/>
  <c r="I866" i="6"/>
  <c r="F868" i="6"/>
  <c r="K868" i="6"/>
  <c r="D868" i="6"/>
  <c r="C869" i="6"/>
  <c r="N869" i="6"/>
  <c r="G871" i="6"/>
  <c r="G873" i="6"/>
  <c r="C874" i="6"/>
  <c r="I875" i="6"/>
  <c r="L875" i="6"/>
  <c r="C875" i="6"/>
  <c r="G875" i="6"/>
  <c r="M875" i="6"/>
  <c r="G878" i="6"/>
  <c r="D879" i="6"/>
  <c r="B881" i="6"/>
  <c r="N881" i="6"/>
  <c r="B884" i="6"/>
  <c r="R884" i="6" s="1"/>
  <c r="D886" i="6"/>
  <c r="I886" i="6"/>
  <c r="N886" i="6"/>
  <c r="J887" i="6"/>
  <c r="K888" i="6"/>
  <c r="C890" i="6"/>
  <c r="B895" i="6"/>
  <c r="Q895" i="6" s="1"/>
  <c r="N895" i="6"/>
  <c r="B897" i="6"/>
  <c r="P897" i="6" s="1"/>
  <c r="S897" i="6" s="1"/>
  <c r="I899" i="6"/>
  <c r="G899" i="6"/>
  <c r="L899" i="6"/>
  <c r="C899" i="6"/>
  <c r="K899" i="6"/>
  <c r="E899" i="6"/>
  <c r="F900" i="6"/>
  <c r="B900" i="6"/>
  <c r="R900" i="6" s="1"/>
  <c r="I900" i="6"/>
  <c r="N900" i="6"/>
  <c r="D900" i="6"/>
  <c r="H901" i="6"/>
  <c r="H903" i="6"/>
  <c r="I905" i="6"/>
  <c r="K905" i="6"/>
  <c r="B905" i="6"/>
  <c r="P905" i="6" s="1"/>
  <c r="S905" i="6" s="1"/>
  <c r="F905" i="6"/>
  <c r="E905" i="6"/>
  <c r="L905" i="6"/>
  <c r="I907" i="6"/>
  <c r="G907" i="6"/>
  <c r="L907" i="6"/>
  <c r="C907" i="6"/>
  <c r="K907" i="6"/>
  <c r="J907" i="6"/>
  <c r="F907" i="6"/>
  <c r="E907" i="6"/>
  <c r="J628" i="6"/>
  <c r="L629" i="6"/>
  <c r="J632" i="6"/>
  <c r="J636" i="6"/>
  <c r="C652" i="6"/>
  <c r="E653" i="6"/>
  <c r="H659" i="6"/>
  <c r="M660" i="6"/>
  <c r="C678" i="6"/>
  <c r="E679" i="6"/>
  <c r="I687" i="6"/>
  <c r="D694" i="6"/>
  <c r="E695" i="6"/>
  <c r="L700" i="6"/>
  <c r="N703" i="6"/>
  <c r="M705" i="6"/>
  <c r="G708" i="6"/>
  <c r="I709" i="6"/>
  <c r="E711" i="6"/>
  <c r="J714" i="6"/>
  <c r="I718" i="6"/>
  <c r="I719" i="6"/>
  <c r="J720" i="6"/>
  <c r="G724" i="6"/>
  <c r="I725" i="6"/>
  <c r="F727" i="6"/>
  <c r="K730" i="6"/>
  <c r="I734" i="6"/>
  <c r="I735" i="6"/>
  <c r="J736" i="6"/>
  <c r="K740" i="6"/>
  <c r="K741" i="6"/>
  <c r="K746" i="6"/>
  <c r="K750" i="6"/>
  <c r="K754" i="6"/>
  <c r="K758" i="6"/>
  <c r="K762" i="6"/>
  <c r="K766" i="6"/>
  <c r="K770" i="6"/>
  <c r="K780" i="6"/>
  <c r="M781" i="6"/>
  <c r="I784" i="6"/>
  <c r="H862" i="6"/>
  <c r="G864" i="6"/>
  <c r="D869" i="6"/>
  <c r="F874" i="6"/>
  <c r="E879" i="6"/>
  <c r="C881" i="6"/>
  <c r="G884" i="6"/>
  <c r="B886" i="6"/>
  <c r="Q886" i="6" s="1"/>
  <c r="D890" i="6"/>
  <c r="I893" i="6"/>
  <c r="H893" i="6"/>
  <c r="M893" i="6"/>
  <c r="D893" i="6"/>
  <c r="L893" i="6"/>
  <c r="C895" i="6"/>
  <c r="F896" i="6"/>
  <c r="K896" i="6"/>
  <c r="D896" i="6"/>
  <c r="D897" i="6"/>
  <c r="D898" i="6"/>
  <c r="I898" i="6"/>
  <c r="B898" i="6"/>
  <c r="Q898" i="6" s="1"/>
  <c r="H898" i="6"/>
  <c r="B899" i="6"/>
  <c r="Q899" i="6" s="1"/>
  <c r="G900" i="6"/>
  <c r="C905" i="6"/>
  <c r="B907" i="6"/>
  <c r="Q907" i="6" s="1"/>
  <c r="F876" i="6"/>
  <c r="I876" i="6"/>
  <c r="B876" i="6"/>
  <c r="R876" i="6" s="1"/>
  <c r="I887" i="6"/>
  <c r="G887" i="6"/>
  <c r="L887" i="6"/>
  <c r="C887" i="6"/>
  <c r="M887" i="6"/>
  <c r="J652" i="6"/>
  <c r="K653" i="6"/>
  <c r="I694" i="6"/>
  <c r="I727" i="6"/>
  <c r="G763" i="6"/>
  <c r="G767" i="6"/>
  <c r="G771" i="6"/>
  <c r="C777" i="6"/>
  <c r="E782" i="6"/>
  <c r="K862" i="6"/>
  <c r="I864" i="6"/>
  <c r="L866" i="6"/>
  <c r="B866" i="6"/>
  <c r="Q866" i="6" s="1"/>
  <c r="G866" i="6"/>
  <c r="G869" i="6"/>
  <c r="I871" i="6"/>
  <c r="M871" i="6"/>
  <c r="D871" i="6"/>
  <c r="H871" i="6"/>
  <c r="L871" i="6"/>
  <c r="H874" i="6"/>
  <c r="D876" i="6"/>
  <c r="H879" i="6"/>
  <c r="F881" i="6"/>
  <c r="I884" i="6"/>
  <c r="B887" i="6"/>
  <c r="R887" i="6" s="1"/>
  <c r="N887" i="6"/>
  <c r="H890" i="6"/>
  <c r="F892" i="6"/>
  <c r="N892" i="6"/>
  <c r="G892" i="6"/>
  <c r="F895" i="6"/>
  <c r="F897" i="6"/>
  <c r="F639" i="6"/>
  <c r="G642" i="6"/>
  <c r="C647" i="6"/>
  <c r="H649" i="6"/>
  <c r="E651" i="6"/>
  <c r="L652" i="6"/>
  <c r="N653" i="6"/>
  <c r="B660" i="6"/>
  <c r="P660" i="6" s="1"/>
  <c r="S660" i="6" s="1"/>
  <c r="E662" i="6"/>
  <c r="K667" i="6"/>
  <c r="J674" i="6"/>
  <c r="G677" i="6"/>
  <c r="I678" i="6"/>
  <c r="I679" i="6"/>
  <c r="K683" i="6"/>
  <c r="B686" i="6"/>
  <c r="O686" i="6" s="1"/>
  <c r="T686" i="6" s="1"/>
  <c r="D688" i="6"/>
  <c r="E692" i="6"/>
  <c r="L694" i="6"/>
  <c r="I695" i="6"/>
  <c r="C698" i="6"/>
  <c r="C701" i="6"/>
  <c r="C703" i="6"/>
  <c r="C705" i="6"/>
  <c r="K711" i="6"/>
  <c r="C715" i="6"/>
  <c r="B720" i="6"/>
  <c r="Q720" i="6" s="1"/>
  <c r="C721" i="6"/>
  <c r="K727" i="6"/>
  <c r="C731" i="6"/>
  <c r="B736" i="6"/>
  <c r="Q736" i="6" s="1"/>
  <c r="C737" i="6"/>
  <c r="C741" i="6"/>
  <c r="E742" i="6"/>
  <c r="G773" i="6"/>
  <c r="G775" i="6"/>
  <c r="E777" i="6"/>
  <c r="C781" i="6"/>
  <c r="K782" i="6"/>
  <c r="C786" i="6"/>
  <c r="C788" i="6"/>
  <c r="C790" i="6"/>
  <c r="C792" i="6"/>
  <c r="C794" i="6"/>
  <c r="C796" i="6"/>
  <c r="C798" i="6"/>
  <c r="C800" i="6"/>
  <c r="C802" i="6"/>
  <c r="C804" i="6"/>
  <c r="C806" i="6"/>
  <c r="C808" i="6"/>
  <c r="C810" i="6"/>
  <c r="C812" i="6"/>
  <c r="C814" i="6"/>
  <c r="C816" i="6"/>
  <c r="C818" i="6"/>
  <c r="C820" i="6"/>
  <c r="C822" i="6"/>
  <c r="C824" i="6"/>
  <c r="C826" i="6"/>
  <c r="C828" i="6"/>
  <c r="C830" i="6"/>
  <c r="C832" i="6"/>
  <c r="C834" i="6"/>
  <c r="C836" i="6"/>
  <c r="C838" i="6"/>
  <c r="C840" i="6"/>
  <c r="C842" i="6"/>
  <c r="C844" i="6"/>
  <c r="C846" i="6"/>
  <c r="C848" i="6"/>
  <c r="C850" i="6"/>
  <c r="C852" i="6"/>
  <c r="C854" i="6"/>
  <c r="C856" i="6"/>
  <c r="C858" i="6"/>
  <c r="C860" i="6"/>
  <c r="B862" i="6"/>
  <c r="Q862" i="6" s="1"/>
  <c r="L862" i="6"/>
  <c r="K864" i="6"/>
  <c r="C866" i="6"/>
  <c r="H869" i="6"/>
  <c r="B871" i="6"/>
  <c r="O871" i="6" s="1"/>
  <c r="T871" i="6" s="1"/>
  <c r="N871" i="6"/>
  <c r="I873" i="6"/>
  <c r="F873" i="6"/>
  <c r="K873" i="6"/>
  <c r="B873" i="6"/>
  <c r="P873" i="6" s="1"/>
  <c r="S873" i="6" s="1"/>
  <c r="M873" i="6"/>
  <c r="K874" i="6"/>
  <c r="G876" i="6"/>
  <c r="H878" i="6"/>
  <c r="N878" i="6"/>
  <c r="C878" i="6"/>
  <c r="J879" i="6"/>
  <c r="G881" i="6"/>
  <c r="N884" i="6"/>
  <c r="D887" i="6"/>
  <c r="F888" i="6"/>
  <c r="B888" i="6"/>
  <c r="R888" i="6" s="1"/>
  <c r="I888" i="6"/>
  <c r="I890" i="6"/>
  <c r="B892" i="6"/>
  <c r="R892" i="6" s="1"/>
  <c r="G895" i="6"/>
  <c r="H897" i="6"/>
  <c r="H899" i="6"/>
  <c r="I901" i="6"/>
  <c r="K901" i="6"/>
  <c r="B901" i="6"/>
  <c r="P901" i="6" s="1"/>
  <c r="S901" i="6" s="1"/>
  <c r="F901" i="6"/>
  <c r="L901" i="6"/>
  <c r="E901" i="6"/>
  <c r="I903" i="6"/>
  <c r="G903" i="6"/>
  <c r="L903" i="6"/>
  <c r="C903" i="6"/>
  <c r="E903" i="6"/>
  <c r="K903" i="6"/>
  <c r="F904" i="6"/>
  <c r="B904" i="6"/>
  <c r="R904" i="6" s="1"/>
  <c r="I904" i="6"/>
  <c r="D904" i="6"/>
  <c r="N904" i="6"/>
  <c r="H905" i="6"/>
  <c r="M907" i="6"/>
  <c r="I912" i="6"/>
  <c r="L912" i="6"/>
  <c r="B912" i="6"/>
  <c r="O912" i="6" s="1"/>
  <c r="T912" i="6" s="1"/>
  <c r="J912" i="6"/>
  <c r="D912" i="6"/>
  <c r="N912" i="6"/>
  <c r="K912" i="6"/>
  <c r="H912" i="6"/>
  <c r="G912" i="6"/>
  <c r="F912" i="6"/>
  <c r="J620" i="6"/>
  <c r="H626" i="6"/>
  <c r="D628" i="6"/>
  <c r="D632" i="6"/>
  <c r="D633" i="6"/>
  <c r="J634" i="6"/>
  <c r="G637" i="6"/>
  <c r="G639" i="6"/>
  <c r="E647" i="6"/>
  <c r="H651" i="6"/>
  <c r="I663" i="6"/>
  <c r="C669" i="6"/>
  <c r="K677" i="6"/>
  <c r="N679" i="6"/>
  <c r="C686" i="6"/>
  <c r="C687" i="6"/>
  <c r="N693" i="6"/>
  <c r="N695" i="6"/>
  <c r="E701" i="6"/>
  <c r="E702" i="6"/>
  <c r="E703" i="6"/>
  <c r="F705" i="6"/>
  <c r="B714" i="6"/>
  <c r="O714" i="6" s="1"/>
  <c r="T714" i="6" s="1"/>
  <c r="E715" i="6"/>
  <c r="C720" i="6"/>
  <c r="E726" i="6"/>
  <c r="B730" i="6"/>
  <c r="O730" i="6" s="1"/>
  <c r="T730" i="6" s="1"/>
  <c r="E731" i="6"/>
  <c r="C736" i="6"/>
  <c r="G737" i="6"/>
  <c r="B740" i="6"/>
  <c r="P740" i="6" s="1"/>
  <c r="S740" i="6" s="1"/>
  <c r="C744" i="6"/>
  <c r="C748" i="6"/>
  <c r="C752" i="6"/>
  <c r="C756" i="6"/>
  <c r="C760" i="6"/>
  <c r="C764" i="6"/>
  <c r="C768" i="6"/>
  <c r="C772" i="6"/>
  <c r="G777" i="6"/>
  <c r="G779" i="6"/>
  <c r="C862" i="6"/>
  <c r="F863" i="6"/>
  <c r="N864" i="6"/>
  <c r="D866" i="6"/>
  <c r="N868" i="6"/>
  <c r="J869" i="6"/>
  <c r="C871" i="6"/>
  <c r="F872" i="6"/>
  <c r="K872" i="6"/>
  <c r="D872" i="6"/>
  <c r="C873" i="6"/>
  <c r="N873" i="6"/>
  <c r="H875" i="6"/>
  <c r="H876" i="6"/>
  <c r="B878" i="6"/>
  <c r="Q878" i="6" s="1"/>
  <c r="J881" i="6"/>
  <c r="I883" i="6"/>
  <c r="H883" i="6"/>
  <c r="M883" i="6"/>
  <c r="D883" i="6"/>
  <c r="L883" i="6"/>
  <c r="I885" i="6"/>
  <c r="L885" i="6"/>
  <c r="C885" i="6"/>
  <c r="G885" i="6"/>
  <c r="M885" i="6"/>
  <c r="H886" i="6"/>
  <c r="E887" i="6"/>
  <c r="D888" i="6"/>
  <c r="K890" i="6"/>
  <c r="D892" i="6"/>
  <c r="F893" i="6"/>
  <c r="J895" i="6"/>
  <c r="I896" i="6"/>
  <c r="J897" i="6"/>
  <c r="K898" i="6"/>
  <c r="J899" i="6"/>
  <c r="C901" i="6"/>
  <c r="B903" i="6"/>
  <c r="R903" i="6" s="1"/>
  <c r="G904" i="6"/>
  <c r="J905" i="6"/>
  <c r="N907" i="6"/>
  <c r="C912" i="6"/>
  <c r="I874" i="6"/>
  <c r="D874" i="6"/>
  <c r="N874" i="6"/>
  <c r="K876" i="6"/>
  <c r="I879" i="6"/>
  <c r="K879" i="6"/>
  <c r="B879" i="6"/>
  <c r="Q879" i="6" s="1"/>
  <c r="F879" i="6"/>
  <c r="M879" i="6"/>
  <c r="K881" i="6"/>
  <c r="F887" i="6"/>
  <c r="N890" i="6"/>
  <c r="H892" i="6"/>
  <c r="K895" i="6"/>
  <c r="K897" i="6"/>
  <c r="F908" i="6"/>
  <c r="G908" i="6"/>
  <c r="B908" i="6"/>
  <c r="Q908" i="6" s="1"/>
  <c r="I908" i="6"/>
  <c r="N908" i="6"/>
  <c r="K908" i="6"/>
  <c r="H908" i="6"/>
  <c r="D908" i="6"/>
  <c r="I910" i="6"/>
  <c r="F910" i="6"/>
  <c r="N910" i="6"/>
  <c r="C910" i="6"/>
  <c r="H910" i="6"/>
  <c r="L910" i="6"/>
  <c r="K910" i="6"/>
  <c r="J910" i="6"/>
  <c r="G910" i="6"/>
  <c r="I937" i="6"/>
  <c r="M937" i="6"/>
  <c r="D937" i="6"/>
  <c r="K937" i="6"/>
  <c r="B937" i="6"/>
  <c r="R937" i="6" s="1"/>
  <c r="H937" i="6"/>
  <c r="F937" i="6"/>
  <c r="I949" i="6"/>
  <c r="F949" i="6"/>
  <c r="M949" i="6"/>
  <c r="D949" i="6"/>
  <c r="K949" i="6"/>
  <c r="B949" i="6"/>
  <c r="R949" i="6" s="1"/>
  <c r="H949" i="6"/>
  <c r="J953" i="6"/>
  <c r="I966" i="6"/>
  <c r="H966" i="6"/>
  <c r="F966" i="6"/>
  <c r="E966" i="6"/>
  <c r="N966" i="6"/>
  <c r="B966" i="6"/>
  <c r="Q966" i="6" s="1"/>
  <c r="J966" i="6"/>
  <c r="I944" i="6"/>
  <c r="D944" i="6"/>
  <c r="L944" i="6"/>
  <c r="B944" i="6"/>
  <c r="R944" i="6" s="1"/>
  <c r="J944" i="6"/>
  <c r="G944" i="6"/>
  <c r="C949" i="6"/>
  <c r="N963" i="6"/>
  <c r="J963" i="6"/>
  <c r="F963" i="6"/>
  <c r="D963" i="6"/>
  <c r="N971" i="6"/>
  <c r="J971" i="6"/>
  <c r="F971" i="6"/>
  <c r="D971" i="6"/>
  <c r="I998" i="6"/>
  <c r="H998" i="6"/>
  <c r="F998" i="6"/>
  <c r="E998" i="6"/>
  <c r="N998" i="6"/>
  <c r="B998" i="6"/>
  <c r="J998" i="6"/>
  <c r="N865" i="6"/>
  <c r="J867" i="6"/>
  <c r="F870" i="6"/>
  <c r="J877" i="6"/>
  <c r="K882" i="6"/>
  <c r="E889" i="6"/>
  <c r="N889" i="6"/>
  <c r="J891" i="6"/>
  <c r="F894" i="6"/>
  <c r="N902" i="6"/>
  <c r="C902" i="6"/>
  <c r="H902" i="6"/>
  <c r="E911" i="6"/>
  <c r="E913" i="6"/>
  <c r="E915" i="6"/>
  <c r="I917" i="6"/>
  <c r="K917" i="6"/>
  <c r="B917" i="6"/>
  <c r="P917" i="6" s="1"/>
  <c r="S917" i="6" s="1"/>
  <c r="H917" i="6"/>
  <c r="M917" i="6"/>
  <c r="D917" i="6"/>
  <c r="F920" i="6"/>
  <c r="G921" i="6"/>
  <c r="L924" i="6"/>
  <c r="L925" i="6"/>
  <c r="K928" i="6"/>
  <c r="L929" i="6"/>
  <c r="I933" i="6"/>
  <c r="F933" i="6"/>
  <c r="M933" i="6"/>
  <c r="D933" i="6"/>
  <c r="H933" i="6"/>
  <c r="N933" i="6"/>
  <c r="I936" i="6"/>
  <c r="J936" i="6"/>
  <c r="G936" i="6"/>
  <c r="D936" i="6"/>
  <c r="L936" i="6"/>
  <c r="B936" i="6"/>
  <c r="E937" i="6"/>
  <c r="I941" i="6"/>
  <c r="K941" i="6"/>
  <c r="B941" i="6"/>
  <c r="R941" i="6" s="1"/>
  <c r="H941" i="6"/>
  <c r="F941" i="6"/>
  <c r="M941" i="6"/>
  <c r="D941" i="6"/>
  <c r="C944" i="6"/>
  <c r="G945" i="6"/>
  <c r="I948" i="6"/>
  <c r="L948" i="6"/>
  <c r="B948" i="6"/>
  <c r="R948" i="6" s="1"/>
  <c r="J948" i="6"/>
  <c r="G948" i="6"/>
  <c r="D948" i="6"/>
  <c r="E949" i="6"/>
  <c r="N953" i="6"/>
  <c r="M966" i="6"/>
  <c r="F982" i="6"/>
  <c r="E982" i="6"/>
  <c r="D982" i="6"/>
  <c r="N982" i="6"/>
  <c r="B982" i="6"/>
  <c r="J982" i="6"/>
  <c r="H982" i="6"/>
  <c r="D998" i="6"/>
  <c r="G911" i="6"/>
  <c r="G913" i="6"/>
  <c r="G915" i="6"/>
  <c r="H920" i="6"/>
  <c r="H921" i="6"/>
  <c r="I932" i="6"/>
  <c r="L932" i="6"/>
  <c r="B932" i="6"/>
  <c r="P932" i="6" s="1"/>
  <c r="S932" i="6" s="1"/>
  <c r="J932" i="6"/>
  <c r="D932" i="6"/>
  <c r="G937" i="6"/>
  <c r="C941" i="6"/>
  <c r="F944" i="6"/>
  <c r="J945" i="6"/>
  <c r="G949" i="6"/>
  <c r="M998" i="6"/>
  <c r="J911" i="6"/>
  <c r="J913" i="6"/>
  <c r="J915" i="6"/>
  <c r="K920" i="6"/>
  <c r="J921" i="6"/>
  <c r="I924" i="6"/>
  <c r="G924" i="6"/>
  <c r="D924" i="6"/>
  <c r="J924" i="6"/>
  <c r="I925" i="6"/>
  <c r="K925" i="6"/>
  <c r="B925" i="6"/>
  <c r="R925" i="6" s="1"/>
  <c r="H925" i="6"/>
  <c r="M925" i="6"/>
  <c r="D925" i="6"/>
  <c r="I926" i="6"/>
  <c r="F926" i="6"/>
  <c r="N926" i="6"/>
  <c r="C926" i="6"/>
  <c r="H926" i="6"/>
  <c r="I929" i="6"/>
  <c r="H929" i="6"/>
  <c r="F929" i="6"/>
  <c r="K929" i="6"/>
  <c r="B929" i="6"/>
  <c r="R929" i="6" s="1"/>
  <c r="N929" i="6"/>
  <c r="J937" i="6"/>
  <c r="I940" i="6"/>
  <c r="G940" i="6"/>
  <c r="D940" i="6"/>
  <c r="L940" i="6"/>
  <c r="B940" i="6"/>
  <c r="R940" i="6" s="1"/>
  <c r="J940" i="6"/>
  <c r="H944" i="6"/>
  <c r="J949" i="6"/>
  <c r="I953" i="6"/>
  <c r="M953" i="6"/>
  <c r="D953" i="6"/>
  <c r="K953" i="6"/>
  <c r="B953" i="6"/>
  <c r="Q953" i="6" s="1"/>
  <c r="H953" i="6"/>
  <c r="F953" i="6"/>
  <c r="F978" i="6"/>
  <c r="H978" i="6"/>
  <c r="E978" i="6"/>
  <c r="D978" i="6"/>
  <c r="B978" i="6"/>
  <c r="O978" i="6" s="1"/>
  <c r="T978" i="6" s="1"/>
  <c r="M978" i="6"/>
  <c r="I978" i="6"/>
  <c r="J993" i="6"/>
  <c r="N993" i="6"/>
  <c r="H993" i="6"/>
  <c r="D993" i="6"/>
  <c r="L911" i="6"/>
  <c r="K913" i="6"/>
  <c r="K915" i="6"/>
  <c r="L921" i="6"/>
  <c r="B924" i="6"/>
  <c r="R924" i="6" s="1"/>
  <c r="C925" i="6"/>
  <c r="B926" i="6"/>
  <c r="R926" i="6" s="1"/>
  <c r="I928" i="6"/>
  <c r="D928" i="6"/>
  <c r="L928" i="6"/>
  <c r="B928" i="6"/>
  <c r="P928" i="6" s="1"/>
  <c r="S928" i="6" s="1"/>
  <c r="G928" i="6"/>
  <c r="C929" i="6"/>
  <c r="L937" i="6"/>
  <c r="K944" i="6"/>
  <c r="L949" i="6"/>
  <c r="J973" i="6"/>
  <c r="I973" i="6"/>
  <c r="F973" i="6"/>
  <c r="D973" i="6"/>
  <c r="B973" i="6"/>
  <c r="Q973" i="6" s="1"/>
  <c r="M973" i="6"/>
  <c r="J978" i="6"/>
  <c r="N1003" i="6"/>
  <c r="J1003" i="6"/>
  <c r="F1003" i="6"/>
  <c r="D1003" i="6"/>
  <c r="J865" i="6"/>
  <c r="E867" i="6"/>
  <c r="N867" i="6"/>
  <c r="E877" i="6"/>
  <c r="N877" i="6"/>
  <c r="H880" i="6"/>
  <c r="J889" i="6"/>
  <c r="E891" i="6"/>
  <c r="N891" i="6"/>
  <c r="G902" i="6"/>
  <c r="N906" i="6"/>
  <c r="C906" i="6"/>
  <c r="H906" i="6"/>
  <c r="I909" i="6"/>
  <c r="M909" i="6"/>
  <c r="D909" i="6"/>
  <c r="K909" i="6"/>
  <c r="B909" i="6"/>
  <c r="P909" i="6" s="1"/>
  <c r="S909" i="6" s="1"/>
  <c r="F909" i="6"/>
  <c r="G917" i="6"/>
  <c r="I919" i="6"/>
  <c r="F919" i="6"/>
  <c r="M919" i="6"/>
  <c r="D919" i="6"/>
  <c r="H919" i="6"/>
  <c r="N919" i="6"/>
  <c r="C924" i="6"/>
  <c r="E925" i="6"/>
  <c r="D926" i="6"/>
  <c r="C928" i="6"/>
  <c r="D929" i="6"/>
  <c r="G932" i="6"/>
  <c r="G933" i="6"/>
  <c r="K936" i="6"/>
  <c r="N937" i="6"/>
  <c r="F940" i="6"/>
  <c r="J941" i="6"/>
  <c r="N944" i="6"/>
  <c r="K948" i="6"/>
  <c r="N949" i="6"/>
  <c r="I952" i="6"/>
  <c r="J952" i="6"/>
  <c r="G952" i="6"/>
  <c r="D952" i="6"/>
  <c r="L952" i="6"/>
  <c r="B952" i="6"/>
  <c r="R952" i="6" s="1"/>
  <c r="E953" i="6"/>
  <c r="N973" i="6"/>
  <c r="N978" i="6"/>
  <c r="M984" i="6"/>
  <c r="J984" i="6"/>
  <c r="H984" i="6"/>
  <c r="F984" i="6"/>
  <c r="B984" i="6"/>
  <c r="O984" i="6" s="1"/>
  <c r="T984" i="6" s="1"/>
  <c r="I911" i="6"/>
  <c r="H911" i="6"/>
  <c r="F911" i="6"/>
  <c r="K911" i="6"/>
  <c r="B911" i="6"/>
  <c r="P911" i="6" s="1"/>
  <c r="S911" i="6" s="1"/>
  <c r="N911" i="6"/>
  <c r="I913" i="6"/>
  <c r="F913" i="6"/>
  <c r="M913" i="6"/>
  <c r="D913" i="6"/>
  <c r="H913" i="6"/>
  <c r="N913" i="6"/>
  <c r="I915" i="6"/>
  <c r="F915" i="6"/>
  <c r="M915" i="6"/>
  <c r="D915" i="6"/>
  <c r="H915" i="6"/>
  <c r="N915" i="6"/>
  <c r="I920" i="6"/>
  <c r="J920" i="6"/>
  <c r="G920" i="6"/>
  <c r="L920" i="6"/>
  <c r="B920" i="6"/>
  <c r="R920" i="6" s="1"/>
  <c r="I921" i="6"/>
  <c r="M921" i="6"/>
  <c r="D921" i="6"/>
  <c r="K921" i="6"/>
  <c r="B921" i="6"/>
  <c r="R921" i="6" s="1"/>
  <c r="F921" i="6"/>
  <c r="F924" i="6"/>
  <c r="F925" i="6"/>
  <c r="G926" i="6"/>
  <c r="E929" i="6"/>
  <c r="I945" i="6"/>
  <c r="H945" i="6"/>
  <c r="F945" i="6"/>
  <c r="M945" i="6"/>
  <c r="D945" i="6"/>
  <c r="K945" i="6"/>
  <c r="B945" i="6"/>
  <c r="R945" i="6" s="1"/>
  <c r="O946" i="6"/>
  <c r="T946" i="6" s="1"/>
  <c r="G953" i="6"/>
  <c r="M976" i="6"/>
  <c r="J976" i="6"/>
  <c r="H976" i="6"/>
  <c r="F976" i="6"/>
  <c r="B976" i="6"/>
  <c r="Q976" i="6" s="1"/>
  <c r="J997" i="6"/>
  <c r="N997" i="6"/>
  <c r="M997" i="6"/>
  <c r="I997" i="6"/>
  <c r="F997" i="6"/>
  <c r="B997" i="6"/>
  <c r="O997" i="6" s="1"/>
  <c r="T997" i="6" s="1"/>
  <c r="C914" i="6"/>
  <c r="N914" i="6"/>
  <c r="C916" i="6"/>
  <c r="N916" i="6"/>
  <c r="F918" i="6"/>
  <c r="K922" i="6"/>
  <c r="E923" i="6"/>
  <c r="N923" i="6"/>
  <c r="C927" i="6"/>
  <c r="L927" i="6"/>
  <c r="F930" i="6"/>
  <c r="J931" i="6"/>
  <c r="C934" i="6"/>
  <c r="N934" i="6"/>
  <c r="G935" i="6"/>
  <c r="K938" i="6"/>
  <c r="E939" i="6"/>
  <c r="N939" i="6"/>
  <c r="H942" i="6"/>
  <c r="C943" i="6"/>
  <c r="L943" i="6"/>
  <c r="F946" i="6"/>
  <c r="J947" i="6"/>
  <c r="C950" i="6"/>
  <c r="N950" i="6"/>
  <c r="G951" i="6"/>
  <c r="H954" i="6"/>
  <c r="J955" i="6"/>
  <c r="K956" i="6"/>
  <c r="D957" i="6"/>
  <c r="M957" i="6"/>
  <c r="F958" i="6"/>
  <c r="B959" i="6"/>
  <c r="R959" i="6" s="1"/>
  <c r="K959" i="6"/>
  <c r="D960" i="6"/>
  <c r="D961" i="6"/>
  <c r="J962" i="6"/>
  <c r="N965" i="6"/>
  <c r="D969" i="6"/>
  <c r="J970" i="6"/>
  <c r="I974" i="6"/>
  <c r="N979" i="6"/>
  <c r="I981" i="6"/>
  <c r="H986" i="6"/>
  <c r="D987" i="6"/>
  <c r="D989" i="6"/>
  <c r="D990" i="6"/>
  <c r="H992" i="6"/>
  <c r="B994" i="6"/>
  <c r="Q994" i="6" s="1"/>
  <c r="H996" i="6"/>
  <c r="N1002" i="6"/>
  <c r="N1005" i="6"/>
  <c r="I1006" i="6"/>
  <c r="N1009" i="6"/>
  <c r="N1010" i="6"/>
  <c r="M1013" i="6"/>
  <c r="H1014" i="6"/>
  <c r="C1017" i="6"/>
  <c r="C1021" i="6"/>
  <c r="H1025" i="6"/>
  <c r="I1026" i="6"/>
  <c r="M1027" i="6"/>
  <c r="N1029" i="6"/>
  <c r="H1031" i="6"/>
  <c r="L1035" i="6"/>
  <c r="K1037" i="6"/>
  <c r="C1039" i="6"/>
  <c r="N1041" i="6"/>
  <c r="B1044" i="6"/>
  <c r="O1044" i="6" s="1"/>
  <c r="T1044" i="6" s="1"/>
  <c r="E1045" i="6"/>
  <c r="D1048" i="6"/>
  <c r="I1049" i="6"/>
  <c r="N1053" i="6"/>
  <c r="K1055" i="6"/>
  <c r="H1057" i="6"/>
  <c r="H1059" i="6"/>
  <c r="F1061" i="6"/>
  <c r="D1061" i="6"/>
  <c r="I1061" i="6"/>
  <c r="G1062" i="6"/>
  <c r="J1064" i="6"/>
  <c r="D1064" i="6"/>
  <c r="F1085" i="6"/>
  <c r="C1089" i="6"/>
  <c r="D1093" i="6"/>
  <c r="K1095" i="6"/>
  <c r="I1095" i="6"/>
  <c r="C1099" i="6"/>
  <c r="F1099" i="6"/>
  <c r="K1111" i="6"/>
  <c r="I1111" i="6"/>
  <c r="J1118" i="6"/>
  <c r="B1118" i="6"/>
  <c r="P1118" i="6" s="1"/>
  <c r="S1118" i="6" s="1"/>
  <c r="B1131" i="6"/>
  <c r="R1131" i="6" s="1"/>
  <c r="I1139" i="6"/>
  <c r="H1139" i="6"/>
  <c r="G1139" i="6"/>
  <c r="F1069" i="6"/>
  <c r="C1069" i="6"/>
  <c r="H1069" i="6"/>
  <c r="J1080" i="6"/>
  <c r="I1080" i="6"/>
  <c r="N1107" i="6"/>
  <c r="D1107" i="6"/>
  <c r="H1130" i="6"/>
  <c r="G1130" i="6"/>
  <c r="F1130" i="6"/>
  <c r="M1130" i="6"/>
  <c r="J1170" i="6"/>
  <c r="I1170" i="6"/>
  <c r="G1170" i="6"/>
  <c r="J935" i="6"/>
  <c r="K942" i="6"/>
  <c r="J951" i="6"/>
  <c r="K954" i="6"/>
  <c r="F957" i="6"/>
  <c r="D959" i="6"/>
  <c r="M959" i="6"/>
  <c r="G960" i="6"/>
  <c r="N962" i="6"/>
  <c r="N970" i="6"/>
  <c r="M974" i="6"/>
  <c r="M1006" i="6"/>
  <c r="B1010" i="6"/>
  <c r="Q1010" i="6" s="1"/>
  <c r="J1014" i="6"/>
  <c r="C1023" i="6"/>
  <c r="L1026" i="6"/>
  <c r="B1028" i="6"/>
  <c r="R1028" i="6" s="1"/>
  <c r="E1030" i="6"/>
  <c r="N1037" i="6"/>
  <c r="G1042" i="6"/>
  <c r="I1045" i="6"/>
  <c r="M1049" i="6"/>
  <c r="B1052" i="6"/>
  <c r="O1052" i="6" s="1"/>
  <c r="T1052" i="6" s="1"/>
  <c r="J1056" i="6"/>
  <c r="H1056" i="6"/>
  <c r="D1069" i="6"/>
  <c r="C1071" i="6"/>
  <c r="H1073" i="6"/>
  <c r="M1073" i="6"/>
  <c r="G1074" i="6"/>
  <c r="D1080" i="6"/>
  <c r="J1092" i="6"/>
  <c r="D1092" i="6"/>
  <c r="B1098" i="6"/>
  <c r="P1098" i="6" s="1"/>
  <c r="S1098" i="6" s="1"/>
  <c r="I1098" i="6"/>
  <c r="L1101" i="6"/>
  <c r="K1101" i="6"/>
  <c r="B1106" i="6"/>
  <c r="O1106" i="6" s="1"/>
  <c r="T1106" i="6" s="1"/>
  <c r="H1106" i="6"/>
  <c r="C1107" i="6"/>
  <c r="E1113" i="6"/>
  <c r="J1127" i="6"/>
  <c r="K1127" i="6"/>
  <c r="C1129" i="6"/>
  <c r="B1129" i="6"/>
  <c r="G1129" i="6"/>
  <c r="B1130" i="6"/>
  <c r="P1130" i="6" s="1"/>
  <c r="S1130" i="6" s="1"/>
  <c r="D1170" i="6"/>
  <c r="D1010" i="6"/>
  <c r="M1014" i="6"/>
  <c r="E1023" i="6"/>
  <c r="D1028" i="6"/>
  <c r="J1042" i="6"/>
  <c r="N1049" i="6"/>
  <c r="D1052" i="6"/>
  <c r="J1060" i="6"/>
  <c r="B1060" i="6"/>
  <c r="O1060" i="6" s="1"/>
  <c r="T1060" i="6" s="1"/>
  <c r="I1060" i="6"/>
  <c r="D1065" i="6"/>
  <c r="I1065" i="6"/>
  <c r="E1069" i="6"/>
  <c r="F1071" i="6"/>
  <c r="J1074" i="6"/>
  <c r="I1077" i="6"/>
  <c r="N1077" i="6"/>
  <c r="C1077" i="6"/>
  <c r="H1080" i="6"/>
  <c r="E1107" i="6"/>
  <c r="P1127" i="6"/>
  <c r="S1127" i="6" s="1"/>
  <c r="R1127" i="6"/>
  <c r="D1130" i="6"/>
  <c r="M1155" i="6"/>
  <c r="K1155" i="6"/>
  <c r="L1170" i="6"/>
  <c r="L1182" i="6"/>
  <c r="F1182" i="6"/>
  <c r="D1182" i="6"/>
  <c r="N1184" i="6"/>
  <c r="L1184" i="6"/>
  <c r="J1186" i="6"/>
  <c r="I1186" i="6"/>
  <c r="G1186" i="6"/>
  <c r="D1186" i="6"/>
  <c r="L1186" i="6"/>
  <c r="H914" i="6"/>
  <c r="H916" i="6"/>
  <c r="K918" i="6"/>
  <c r="J923" i="6"/>
  <c r="G927" i="6"/>
  <c r="K930" i="6"/>
  <c r="H934" i="6"/>
  <c r="C935" i="6"/>
  <c r="L935" i="6"/>
  <c r="J939" i="6"/>
  <c r="C942" i="6"/>
  <c r="N942" i="6"/>
  <c r="G943" i="6"/>
  <c r="K946" i="6"/>
  <c r="E947" i="6"/>
  <c r="N947" i="6"/>
  <c r="H950" i="6"/>
  <c r="C951" i="6"/>
  <c r="L951" i="6"/>
  <c r="C954" i="6"/>
  <c r="N954" i="6"/>
  <c r="E955" i="6"/>
  <c r="N955" i="6"/>
  <c r="F956" i="6"/>
  <c r="H957" i="6"/>
  <c r="K958" i="6"/>
  <c r="F959" i="6"/>
  <c r="J960" i="6"/>
  <c r="D962" i="6"/>
  <c r="D965" i="6"/>
  <c r="H968" i="6"/>
  <c r="D970" i="6"/>
  <c r="D974" i="6"/>
  <c r="N986" i="6"/>
  <c r="N989" i="6"/>
  <c r="I990" i="6"/>
  <c r="I994" i="6"/>
  <c r="F995" i="6"/>
  <c r="H1002" i="6"/>
  <c r="D1005" i="6"/>
  <c r="D1006" i="6"/>
  <c r="E1010" i="6"/>
  <c r="D1011" i="6"/>
  <c r="D1013" i="6"/>
  <c r="B1014" i="6"/>
  <c r="N1014" i="6"/>
  <c r="B1016" i="6"/>
  <c r="P1016" i="6" s="1"/>
  <c r="S1016" i="6" s="1"/>
  <c r="I1017" i="6"/>
  <c r="I1021" i="6"/>
  <c r="F1023" i="6"/>
  <c r="N1025" i="6"/>
  <c r="C1027" i="6"/>
  <c r="G1028" i="6"/>
  <c r="D1032" i="6"/>
  <c r="D1036" i="6"/>
  <c r="D1037" i="6"/>
  <c r="E1038" i="6"/>
  <c r="M1044" i="6"/>
  <c r="M1045" i="6"/>
  <c r="C1049" i="6"/>
  <c r="G1052" i="6"/>
  <c r="C1055" i="6"/>
  <c r="I1056" i="6"/>
  <c r="D1060" i="6"/>
  <c r="C1065" i="6"/>
  <c r="J1068" i="6"/>
  <c r="D1068" i="6"/>
  <c r="I1069" i="6"/>
  <c r="H1071" i="6"/>
  <c r="D1073" i="6"/>
  <c r="M1075" i="6"/>
  <c r="H1075" i="6"/>
  <c r="D1077" i="6"/>
  <c r="E1079" i="6"/>
  <c r="K1079" i="6"/>
  <c r="M1081" i="6"/>
  <c r="D1081" i="6"/>
  <c r="J1082" i="6"/>
  <c r="G1092" i="6"/>
  <c r="G1098" i="6"/>
  <c r="D1101" i="6"/>
  <c r="G1106" i="6"/>
  <c r="I1107" i="6"/>
  <c r="L1109" i="6"/>
  <c r="D1109" i="6"/>
  <c r="L1117" i="6"/>
  <c r="N1117" i="6"/>
  <c r="K1117" i="6"/>
  <c r="M1118" i="6"/>
  <c r="B1122" i="6"/>
  <c r="P1122" i="6" s="1"/>
  <c r="S1122" i="6" s="1"/>
  <c r="H1124" i="6"/>
  <c r="E1124" i="6"/>
  <c r="C1124" i="6"/>
  <c r="G1124" i="6"/>
  <c r="G1127" i="6"/>
  <c r="H1129" i="6"/>
  <c r="E1130" i="6"/>
  <c r="I1155" i="6"/>
  <c r="J1161" i="6"/>
  <c r="I1161" i="6"/>
  <c r="F1161" i="6"/>
  <c r="F1172" i="6"/>
  <c r="D1172" i="6"/>
  <c r="B1172" i="6"/>
  <c r="O1172" i="6" s="1"/>
  <c r="T1172" i="6" s="1"/>
  <c r="J1172" i="6"/>
  <c r="I1172" i="6"/>
  <c r="J957" i="6"/>
  <c r="L960" i="6"/>
  <c r="I1010" i="6"/>
  <c r="F1011" i="6"/>
  <c r="D1014" i="6"/>
  <c r="F1016" i="6"/>
  <c r="H1023" i="6"/>
  <c r="E1027" i="6"/>
  <c r="I1028" i="6"/>
  <c r="G1038" i="6"/>
  <c r="N1045" i="6"/>
  <c r="D1049" i="6"/>
  <c r="I1052" i="6"/>
  <c r="E1055" i="6"/>
  <c r="E1057" i="6"/>
  <c r="K1057" i="6"/>
  <c r="G1060" i="6"/>
  <c r="E1065" i="6"/>
  <c r="K1069" i="6"/>
  <c r="K1071" i="6"/>
  <c r="E1073" i="6"/>
  <c r="E1077" i="6"/>
  <c r="D1085" i="6"/>
  <c r="H1085" i="6"/>
  <c r="I1092" i="6"/>
  <c r="J1098" i="6"/>
  <c r="F1101" i="6"/>
  <c r="I1106" i="6"/>
  <c r="K1107" i="6"/>
  <c r="F1122" i="6"/>
  <c r="I1127" i="6"/>
  <c r="I1129" i="6"/>
  <c r="K1130" i="6"/>
  <c r="J1157" i="6"/>
  <c r="E1157" i="6"/>
  <c r="C1157" i="6"/>
  <c r="L1162" i="6"/>
  <c r="J1162" i="6"/>
  <c r="K914" i="6"/>
  <c r="K916" i="6"/>
  <c r="J927" i="6"/>
  <c r="K934" i="6"/>
  <c r="E935" i="6"/>
  <c r="N935" i="6"/>
  <c r="F942" i="6"/>
  <c r="J943" i="6"/>
  <c r="K950" i="6"/>
  <c r="E951" i="6"/>
  <c r="N951" i="6"/>
  <c r="F954" i="6"/>
  <c r="G955" i="6"/>
  <c r="H956" i="6"/>
  <c r="B957" i="6"/>
  <c r="R957" i="6" s="1"/>
  <c r="K957" i="6"/>
  <c r="C958" i="6"/>
  <c r="N958" i="6"/>
  <c r="H959" i="6"/>
  <c r="B960" i="6"/>
  <c r="O960" i="6" s="1"/>
  <c r="T960" i="6" s="1"/>
  <c r="M960" i="6"/>
  <c r="H962" i="6"/>
  <c r="I965" i="6"/>
  <c r="E967" i="6"/>
  <c r="H970" i="6"/>
  <c r="M994" i="6"/>
  <c r="H1001" i="6"/>
  <c r="J1002" i="6"/>
  <c r="I1005" i="6"/>
  <c r="F1006" i="6"/>
  <c r="D1009" i="6"/>
  <c r="J1010" i="6"/>
  <c r="J1011" i="6"/>
  <c r="H1013" i="6"/>
  <c r="E1014" i="6"/>
  <c r="M1016" i="6"/>
  <c r="M1017" i="6"/>
  <c r="L1020" i="6"/>
  <c r="M1021" i="6"/>
  <c r="K1023" i="6"/>
  <c r="D1026" i="6"/>
  <c r="H1027" i="6"/>
  <c r="M1028" i="6"/>
  <c r="K1029" i="6"/>
  <c r="I1036" i="6"/>
  <c r="H1037" i="6"/>
  <c r="I1038" i="6"/>
  <c r="H1043" i="6"/>
  <c r="C1045" i="6"/>
  <c r="E1049" i="6"/>
  <c r="M1052" i="6"/>
  <c r="K1053" i="6"/>
  <c r="F1055" i="6"/>
  <c r="C1057" i="6"/>
  <c r="L1058" i="6"/>
  <c r="M1060" i="6"/>
  <c r="N1061" i="6"/>
  <c r="H1065" i="6"/>
  <c r="G1068" i="6"/>
  <c r="M1069" i="6"/>
  <c r="M1071" i="6"/>
  <c r="I1073" i="6"/>
  <c r="J1076" i="6"/>
  <c r="I1076" i="6"/>
  <c r="F1077" i="6"/>
  <c r="F1079" i="6"/>
  <c r="E1081" i="6"/>
  <c r="H1083" i="6"/>
  <c r="C1085" i="6"/>
  <c r="M1092" i="6"/>
  <c r="M1098" i="6"/>
  <c r="N1099" i="6"/>
  <c r="N1101" i="6"/>
  <c r="M1104" i="6"/>
  <c r="G1104" i="6"/>
  <c r="J1106" i="6"/>
  <c r="L1107" i="6"/>
  <c r="K1109" i="6"/>
  <c r="D1117" i="6"/>
  <c r="J1122" i="6"/>
  <c r="F1124" i="6"/>
  <c r="H1128" i="6"/>
  <c r="E1128" i="6"/>
  <c r="K1129" i="6"/>
  <c r="N1130" i="6"/>
  <c r="I1135" i="6"/>
  <c r="G1135" i="6"/>
  <c r="F1135" i="6"/>
  <c r="E1135" i="6"/>
  <c r="K1135" i="6"/>
  <c r="F1148" i="6"/>
  <c r="E1148" i="6"/>
  <c r="D1148" i="6"/>
  <c r="J1148" i="6"/>
  <c r="I1148" i="6"/>
  <c r="N1157" i="6"/>
  <c r="F1163" i="6"/>
  <c r="E1163" i="6"/>
  <c r="C1163" i="6"/>
  <c r="K1163" i="6"/>
  <c r="J1163" i="6"/>
  <c r="L1172" i="6"/>
  <c r="L1180" i="6"/>
  <c r="J1180" i="6"/>
  <c r="I1180" i="6"/>
  <c r="C957" i="6"/>
  <c r="L957" i="6"/>
  <c r="J959" i="6"/>
  <c r="C960" i="6"/>
  <c r="N994" i="6"/>
  <c r="M1005" i="6"/>
  <c r="H1009" i="6"/>
  <c r="M1010" i="6"/>
  <c r="I1013" i="6"/>
  <c r="N1021" i="6"/>
  <c r="M1036" i="6"/>
  <c r="I1037" i="6"/>
  <c r="D1045" i="6"/>
  <c r="D1057" i="6"/>
  <c r="K1065" i="6"/>
  <c r="N1069" i="6"/>
  <c r="K1073" i="6"/>
  <c r="H1077" i="6"/>
  <c r="E1085" i="6"/>
  <c r="H1089" i="6"/>
  <c r="M1089" i="6"/>
  <c r="N1093" i="6"/>
  <c r="C1093" i="6"/>
  <c r="F1093" i="6"/>
  <c r="J1102" i="6"/>
  <c r="B1102" i="6"/>
  <c r="R1102" i="6" s="1"/>
  <c r="M1106" i="6"/>
  <c r="M1108" i="6"/>
  <c r="E1108" i="6"/>
  <c r="J1121" i="6"/>
  <c r="K1121" i="6"/>
  <c r="H1121" i="6"/>
  <c r="M1129" i="6"/>
  <c r="F1131" i="6"/>
  <c r="E1131" i="6"/>
  <c r="N1131" i="6"/>
  <c r="C1131" i="6"/>
  <c r="H1131" i="6"/>
  <c r="J1158" i="6"/>
  <c r="F1158" i="6"/>
  <c r="E1158" i="6"/>
  <c r="B1158" i="6"/>
  <c r="R1158" i="6" s="1"/>
  <c r="M1158" i="6"/>
  <c r="I1158" i="6"/>
  <c r="E1165" i="6"/>
  <c r="C1165" i="6"/>
  <c r="N1165" i="6"/>
  <c r="B1165" i="6"/>
  <c r="P1165" i="6" s="1"/>
  <c r="S1165" i="6" s="1"/>
  <c r="J1165" i="6"/>
  <c r="H1165" i="6"/>
  <c r="K1177" i="6"/>
  <c r="K1181" i="6"/>
  <c r="K1191" i="6"/>
  <c r="F1197" i="6"/>
  <c r="I1220" i="6"/>
  <c r="I1225" i="6"/>
  <c r="I1227" i="6"/>
  <c r="G1232" i="6"/>
  <c r="J1245" i="6"/>
  <c r="M1256" i="6"/>
  <c r="M1264" i="6"/>
  <c r="G1274" i="6"/>
  <c r="F1278" i="6"/>
  <c r="H1279" i="6"/>
  <c r="E1280" i="6"/>
  <c r="N1280" i="6"/>
  <c r="G1281" i="6"/>
  <c r="D1282" i="6"/>
  <c r="M1282" i="6"/>
  <c r="F1283" i="6"/>
  <c r="J1284" i="6"/>
  <c r="C1287" i="6"/>
  <c r="F1289" i="6"/>
  <c r="I1295" i="6"/>
  <c r="K1295" i="6"/>
  <c r="H1295" i="6"/>
  <c r="C1301" i="6"/>
  <c r="J1306" i="6"/>
  <c r="K1308" i="6"/>
  <c r="K1320" i="6"/>
  <c r="I1324" i="6"/>
  <c r="F1324" i="6"/>
  <c r="E1324" i="6"/>
  <c r="N1324" i="6"/>
  <c r="D1324" i="6"/>
  <c r="M1324" i="6"/>
  <c r="C1324" i="6"/>
  <c r="J1324" i="6"/>
  <c r="I1072" i="6"/>
  <c r="G1084" i="6"/>
  <c r="I1088" i="6"/>
  <c r="J1100" i="6"/>
  <c r="J1116" i="6"/>
  <c r="F1119" i="6"/>
  <c r="J1120" i="6"/>
  <c r="D1126" i="6"/>
  <c r="N1126" i="6"/>
  <c r="I1134" i="6"/>
  <c r="L1140" i="6"/>
  <c r="K1142" i="6"/>
  <c r="E1150" i="6"/>
  <c r="F1151" i="6"/>
  <c r="E1156" i="6"/>
  <c r="H1159" i="6"/>
  <c r="I1164" i="6"/>
  <c r="F1166" i="6"/>
  <c r="C1167" i="6"/>
  <c r="E1169" i="6"/>
  <c r="K1171" i="6"/>
  <c r="F1173" i="6"/>
  <c r="F1175" i="6"/>
  <c r="B1176" i="6"/>
  <c r="B1177" i="6"/>
  <c r="R1177" i="6" s="1"/>
  <c r="M1177" i="6"/>
  <c r="E1179" i="6"/>
  <c r="B1181" i="6"/>
  <c r="O1181" i="6" s="1"/>
  <c r="T1181" i="6" s="1"/>
  <c r="M1181" i="6"/>
  <c r="E1183" i="6"/>
  <c r="E1185" i="6"/>
  <c r="K1187" i="6"/>
  <c r="C1189" i="6"/>
  <c r="N1189" i="6"/>
  <c r="B1191" i="6"/>
  <c r="Q1191" i="6" s="1"/>
  <c r="M1191" i="6"/>
  <c r="F1193" i="6"/>
  <c r="C1195" i="6"/>
  <c r="N1195" i="6"/>
  <c r="G1197" i="6"/>
  <c r="B1198" i="6"/>
  <c r="P1198" i="6" s="1"/>
  <c r="S1198" i="6" s="1"/>
  <c r="G1199" i="6"/>
  <c r="F1200" i="6"/>
  <c r="E1202" i="6"/>
  <c r="M1204" i="6"/>
  <c r="G1205" i="6"/>
  <c r="K1207" i="6"/>
  <c r="G1215" i="6"/>
  <c r="F1216" i="6"/>
  <c r="E1218" i="6"/>
  <c r="K1220" i="6"/>
  <c r="H1221" i="6"/>
  <c r="E1223" i="6"/>
  <c r="M1224" i="6"/>
  <c r="J1225" i="6"/>
  <c r="J1227" i="6"/>
  <c r="B1229" i="6"/>
  <c r="O1229" i="6" s="1"/>
  <c r="T1229" i="6" s="1"/>
  <c r="I1232" i="6"/>
  <c r="H1233" i="6"/>
  <c r="H1235" i="6"/>
  <c r="N1236" i="6"/>
  <c r="F1240" i="6"/>
  <c r="B1243" i="6"/>
  <c r="P1243" i="6" s="1"/>
  <c r="S1243" i="6" s="1"/>
  <c r="M1245" i="6"/>
  <c r="D1252" i="6"/>
  <c r="J1253" i="6"/>
  <c r="C1256" i="6"/>
  <c r="N1256" i="6"/>
  <c r="D1260" i="6"/>
  <c r="J1261" i="6"/>
  <c r="C1264" i="6"/>
  <c r="N1264" i="6"/>
  <c r="C1266" i="6"/>
  <c r="D1272" i="6"/>
  <c r="M1272" i="6"/>
  <c r="N1273" i="6"/>
  <c r="H1274" i="6"/>
  <c r="N1275" i="6"/>
  <c r="H1276" i="6"/>
  <c r="N1277" i="6"/>
  <c r="G1278" i="6"/>
  <c r="I1279" i="6"/>
  <c r="F1280" i="6"/>
  <c r="H1281" i="6"/>
  <c r="E1282" i="6"/>
  <c r="N1282" i="6"/>
  <c r="G1283" i="6"/>
  <c r="B1284" i="6"/>
  <c r="Q1284" i="6" s="1"/>
  <c r="K1284" i="6"/>
  <c r="I1286" i="6"/>
  <c r="L1286" i="6"/>
  <c r="C1286" i="6"/>
  <c r="K1286" i="6"/>
  <c r="G1287" i="6"/>
  <c r="G1289" i="6"/>
  <c r="J1293" i="6"/>
  <c r="B1295" i="6"/>
  <c r="Q1295" i="6" s="1"/>
  <c r="I1297" i="6"/>
  <c r="B1297" i="6"/>
  <c r="O1297" i="6" s="1"/>
  <c r="T1297" i="6" s="1"/>
  <c r="K1297" i="6"/>
  <c r="I1298" i="6"/>
  <c r="G1298" i="6"/>
  <c r="N1298" i="6"/>
  <c r="E1298" i="6"/>
  <c r="L1298" i="6"/>
  <c r="G1301" i="6"/>
  <c r="I1304" i="6"/>
  <c r="N1304" i="6"/>
  <c r="E1304" i="6"/>
  <c r="L1304" i="6"/>
  <c r="C1304" i="6"/>
  <c r="K1304" i="6"/>
  <c r="B1304" i="6"/>
  <c r="R1304" i="6" s="1"/>
  <c r="G1304" i="6"/>
  <c r="K1306" i="6"/>
  <c r="I1315" i="6"/>
  <c r="J1315" i="6"/>
  <c r="G1315" i="6"/>
  <c r="F1315" i="6"/>
  <c r="B1324" i="6"/>
  <c r="R1324" i="6" s="1"/>
  <c r="I1352" i="6"/>
  <c r="F1352" i="6"/>
  <c r="N1352" i="6"/>
  <c r="E1352" i="6"/>
  <c r="M1352" i="6"/>
  <c r="D1352" i="6"/>
  <c r="L1352" i="6"/>
  <c r="C1352" i="6"/>
  <c r="K1352" i="6"/>
  <c r="B1352" i="6"/>
  <c r="Q1352" i="6" s="1"/>
  <c r="H1352" i="6"/>
  <c r="G1352" i="6"/>
  <c r="F1176" i="6"/>
  <c r="C1177" i="6"/>
  <c r="N1177" i="6"/>
  <c r="C1181" i="6"/>
  <c r="N1181" i="6"/>
  <c r="C1191" i="6"/>
  <c r="N1191" i="6"/>
  <c r="H1197" i="6"/>
  <c r="F1198" i="6"/>
  <c r="N1204" i="6"/>
  <c r="G1216" i="6"/>
  <c r="F1218" i="6"/>
  <c r="M1220" i="6"/>
  <c r="I1221" i="6"/>
  <c r="M1227" i="6"/>
  <c r="E1229" i="6"/>
  <c r="K1232" i="6"/>
  <c r="I1233" i="6"/>
  <c r="G1240" i="6"/>
  <c r="G1243" i="6"/>
  <c r="G1252" i="6"/>
  <c r="M1253" i="6"/>
  <c r="D1256" i="6"/>
  <c r="G1260" i="6"/>
  <c r="M1261" i="6"/>
  <c r="D1264" i="6"/>
  <c r="G1266" i="6"/>
  <c r="J1274" i="6"/>
  <c r="J1276" i="6"/>
  <c r="H1278" i="6"/>
  <c r="J1279" i="6"/>
  <c r="G1280" i="6"/>
  <c r="I1281" i="6"/>
  <c r="F1282" i="6"/>
  <c r="H1283" i="6"/>
  <c r="C1284" i="6"/>
  <c r="L1284" i="6"/>
  <c r="H1287" i="6"/>
  <c r="H1289" i="6"/>
  <c r="C1295" i="6"/>
  <c r="B1315" i="6"/>
  <c r="P1315" i="6" s="1"/>
  <c r="S1315" i="6" s="1"/>
  <c r="I1319" i="6"/>
  <c r="J1319" i="6"/>
  <c r="H1319" i="6"/>
  <c r="G1319" i="6"/>
  <c r="F1319" i="6"/>
  <c r="H1324" i="6"/>
  <c r="J1352" i="6"/>
  <c r="M1232" i="6"/>
  <c r="J1278" i="6"/>
  <c r="N1279" i="6"/>
  <c r="I1308" i="6"/>
  <c r="F1308" i="6"/>
  <c r="M1308" i="6"/>
  <c r="D1308" i="6"/>
  <c r="L1308" i="6"/>
  <c r="C1308" i="6"/>
  <c r="H1308" i="6"/>
  <c r="I1311" i="6"/>
  <c r="H1311" i="6"/>
  <c r="F1311" i="6"/>
  <c r="B1311" i="6"/>
  <c r="O1311" i="6" s="1"/>
  <c r="T1311" i="6" s="1"/>
  <c r="N1311" i="6"/>
  <c r="I1314" i="6"/>
  <c r="L1314" i="6"/>
  <c r="B1314" i="6"/>
  <c r="R1314" i="6" s="1"/>
  <c r="J1314" i="6"/>
  <c r="H1314" i="6"/>
  <c r="N1314" i="6"/>
  <c r="D1314" i="6"/>
  <c r="K1324" i="6"/>
  <c r="D1329" i="6"/>
  <c r="B1329" i="6"/>
  <c r="O1329" i="6" s="1"/>
  <c r="T1329" i="6" s="1"/>
  <c r="K1197" i="6"/>
  <c r="C1225" i="6"/>
  <c r="D1228" i="6"/>
  <c r="C1232" i="6"/>
  <c r="N1232" i="6"/>
  <c r="F1246" i="6"/>
  <c r="B1278" i="6"/>
  <c r="K1278" i="6"/>
  <c r="B1279" i="6"/>
  <c r="R1279" i="6" s="1"/>
  <c r="J1280" i="6"/>
  <c r="N1281" i="6"/>
  <c r="I1293" i="6"/>
  <c r="H1293" i="6"/>
  <c r="G1295" i="6"/>
  <c r="I1303" i="6"/>
  <c r="H1303" i="6"/>
  <c r="F1303" i="6"/>
  <c r="C1303" i="6"/>
  <c r="K1303" i="6"/>
  <c r="I1306" i="6"/>
  <c r="F1306" i="6"/>
  <c r="M1306" i="6"/>
  <c r="D1306" i="6"/>
  <c r="L1306" i="6"/>
  <c r="C1306" i="6"/>
  <c r="H1306" i="6"/>
  <c r="B1308" i="6"/>
  <c r="R1308" i="6" s="1"/>
  <c r="G1311" i="6"/>
  <c r="C1314" i="6"/>
  <c r="K1173" i="6"/>
  <c r="K1175" i="6"/>
  <c r="J1176" i="6"/>
  <c r="G1177" i="6"/>
  <c r="G1181" i="6"/>
  <c r="F1188" i="6"/>
  <c r="I1190" i="6"/>
  <c r="G1191" i="6"/>
  <c r="K1193" i="6"/>
  <c r="B1197" i="6"/>
  <c r="R1197" i="6" s="1"/>
  <c r="M1197" i="6"/>
  <c r="L1200" i="6"/>
  <c r="K1202" i="6"/>
  <c r="E1204" i="6"/>
  <c r="M1205" i="6"/>
  <c r="L1216" i="6"/>
  <c r="K1218" i="6"/>
  <c r="B1220" i="6"/>
  <c r="E1225" i="6"/>
  <c r="B1227" i="6"/>
  <c r="O1227" i="6" s="1"/>
  <c r="T1227" i="6" s="1"/>
  <c r="G1228" i="6"/>
  <c r="D1232" i="6"/>
  <c r="M1240" i="6"/>
  <c r="J1243" i="6"/>
  <c r="B1245" i="6"/>
  <c r="O1245" i="6" s="1"/>
  <c r="T1245" i="6" s="1"/>
  <c r="F1254" i="6"/>
  <c r="G1256" i="6"/>
  <c r="F1262" i="6"/>
  <c r="G1264" i="6"/>
  <c r="C1278" i="6"/>
  <c r="L1278" i="6"/>
  <c r="C1279" i="6"/>
  <c r="B1280" i="6"/>
  <c r="Q1280" i="6" s="1"/>
  <c r="K1280" i="6"/>
  <c r="B1281" i="6"/>
  <c r="O1281" i="6" s="1"/>
  <c r="T1281" i="6" s="1"/>
  <c r="J1282" i="6"/>
  <c r="N1283" i="6"/>
  <c r="N1289" i="6"/>
  <c r="B1293" i="6"/>
  <c r="O1293" i="6" s="1"/>
  <c r="T1293" i="6" s="1"/>
  <c r="I1294" i="6"/>
  <c r="M1294" i="6"/>
  <c r="D1294" i="6"/>
  <c r="K1294" i="6"/>
  <c r="J1295" i="6"/>
  <c r="H1297" i="6"/>
  <c r="F1298" i="6"/>
  <c r="I1300" i="6"/>
  <c r="N1300" i="6"/>
  <c r="E1300" i="6"/>
  <c r="L1300" i="6"/>
  <c r="C1300" i="6"/>
  <c r="G1300" i="6"/>
  <c r="B1303" i="6"/>
  <c r="Q1303" i="6" s="1"/>
  <c r="J1304" i="6"/>
  <c r="B1306" i="6"/>
  <c r="Q1306" i="6" s="1"/>
  <c r="E1308" i="6"/>
  <c r="J1311" i="6"/>
  <c r="E1314" i="6"/>
  <c r="I1320" i="6"/>
  <c r="F1320" i="6"/>
  <c r="E1320" i="6"/>
  <c r="N1320" i="6"/>
  <c r="D1320" i="6"/>
  <c r="M1320" i="6"/>
  <c r="C1320" i="6"/>
  <c r="J1320" i="6"/>
  <c r="I1327" i="6"/>
  <c r="H1327" i="6"/>
  <c r="G1327" i="6"/>
  <c r="F1327" i="6"/>
  <c r="B1327" i="6"/>
  <c r="P1327" i="6" s="1"/>
  <c r="S1327" i="6" s="1"/>
  <c r="N1327" i="6"/>
  <c r="K1126" i="6"/>
  <c r="D1134" i="6"/>
  <c r="G1140" i="6"/>
  <c r="F1142" i="6"/>
  <c r="B1159" i="6"/>
  <c r="P1159" i="6" s="1"/>
  <c r="S1159" i="6" s="1"/>
  <c r="B1164" i="6"/>
  <c r="O1164" i="6" s="1"/>
  <c r="T1164" i="6" s="1"/>
  <c r="K1167" i="6"/>
  <c r="K1169" i="6"/>
  <c r="G1171" i="6"/>
  <c r="B1173" i="6"/>
  <c r="R1173" i="6" s="1"/>
  <c r="M1173" i="6"/>
  <c r="B1175" i="6"/>
  <c r="Q1175" i="6" s="1"/>
  <c r="M1175" i="6"/>
  <c r="H1177" i="6"/>
  <c r="K1179" i="6"/>
  <c r="H1181" i="6"/>
  <c r="K1183" i="6"/>
  <c r="K1185" i="6"/>
  <c r="G1187" i="6"/>
  <c r="G1188" i="6"/>
  <c r="J1189" i="6"/>
  <c r="J1190" i="6"/>
  <c r="H1191" i="6"/>
  <c r="B1193" i="6"/>
  <c r="R1193" i="6" s="1"/>
  <c r="M1193" i="6"/>
  <c r="C1197" i="6"/>
  <c r="N1197" i="6"/>
  <c r="B1200" i="6"/>
  <c r="Q1200" i="6" s="1"/>
  <c r="N1200" i="6"/>
  <c r="B1202" i="6"/>
  <c r="Q1202" i="6" s="1"/>
  <c r="L1202" i="6"/>
  <c r="G1204" i="6"/>
  <c r="B1205" i="6"/>
  <c r="O1205" i="6" s="1"/>
  <c r="T1205" i="6" s="1"/>
  <c r="F1208" i="6"/>
  <c r="G1210" i="6"/>
  <c r="L1212" i="6"/>
  <c r="B1216" i="6"/>
  <c r="P1216" i="6" s="1"/>
  <c r="S1216" i="6" s="1"/>
  <c r="N1216" i="6"/>
  <c r="B1218" i="6"/>
  <c r="R1218" i="6" s="1"/>
  <c r="L1218" i="6"/>
  <c r="D1220" i="6"/>
  <c r="B1221" i="6"/>
  <c r="K1223" i="6"/>
  <c r="G1225" i="6"/>
  <c r="G1227" i="6"/>
  <c r="I1228" i="6"/>
  <c r="E1232" i="6"/>
  <c r="C1233" i="6"/>
  <c r="D1236" i="6"/>
  <c r="J1237" i="6"/>
  <c r="C1240" i="6"/>
  <c r="N1240" i="6"/>
  <c r="E1245" i="6"/>
  <c r="B1253" i="6"/>
  <c r="O1253" i="6" s="1"/>
  <c r="T1253" i="6" s="1"/>
  <c r="I1256" i="6"/>
  <c r="H1257" i="6"/>
  <c r="B1261" i="6"/>
  <c r="O1261" i="6" s="1"/>
  <c r="T1261" i="6" s="1"/>
  <c r="I1264" i="6"/>
  <c r="H1265" i="6"/>
  <c r="J1272" i="6"/>
  <c r="E1274" i="6"/>
  <c r="N1274" i="6"/>
  <c r="E1276" i="6"/>
  <c r="N1276" i="6"/>
  <c r="D1278" i="6"/>
  <c r="M1278" i="6"/>
  <c r="F1279" i="6"/>
  <c r="C1280" i="6"/>
  <c r="L1280" i="6"/>
  <c r="C1281" i="6"/>
  <c r="B1282" i="6"/>
  <c r="Q1282" i="6" s="1"/>
  <c r="K1282" i="6"/>
  <c r="B1283" i="6"/>
  <c r="R1283" i="6" s="1"/>
  <c r="G1284" i="6"/>
  <c r="Q1289" i="6"/>
  <c r="P1289" i="6"/>
  <c r="S1289" i="6" s="1"/>
  <c r="R1289" i="6"/>
  <c r="I1301" i="6"/>
  <c r="H1301" i="6"/>
  <c r="F1301" i="6"/>
  <c r="K1301" i="6"/>
  <c r="G1308" i="6"/>
  <c r="F1314" i="6"/>
  <c r="B1320" i="6"/>
  <c r="R1320" i="6" s="1"/>
  <c r="I1323" i="6"/>
  <c r="H1323" i="6"/>
  <c r="G1323" i="6"/>
  <c r="F1323" i="6"/>
  <c r="B1323" i="6"/>
  <c r="R1323" i="6" s="1"/>
  <c r="N1323" i="6"/>
  <c r="J1327" i="6"/>
  <c r="F1134" i="6"/>
  <c r="F1164" i="6"/>
  <c r="B1169" i="6"/>
  <c r="Q1169" i="6" s="1"/>
  <c r="C1173" i="6"/>
  <c r="C1175" i="6"/>
  <c r="B1179" i="6"/>
  <c r="B1183" i="6"/>
  <c r="P1183" i="6" s="1"/>
  <c r="S1183" i="6" s="1"/>
  <c r="B1185" i="6"/>
  <c r="Q1185" i="6" s="1"/>
  <c r="C1193" i="6"/>
  <c r="C1199" i="6"/>
  <c r="C1200" i="6"/>
  <c r="C1202" i="6"/>
  <c r="M1202" i="6"/>
  <c r="I1204" i="6"/>
  <c r="L1210" i="6"/>
  <c r="M1212" i="6"/>
  <c r="C1215" i="6"/>
  <c r="C1216" i="6"/>
  <c r="C1218" i="6"/>
  <c r="M1218" i="6"/>
  <c r="G1220" i="6"/>
  <c r="B1223" i="6"/>
  <c r="N1228" i="6"/>
  <c r="G1236" i="6"/>
  <c r="J1265" i="6"/>
  <c r="H1267" i="6"/>
  <c r="J1270" i="6"/>
  <c r="B1272" i="6"/>
  <c r="O1272" i="6" s="1"/>
  <c r="T1272" i="6" s="1"/>
  <c r="K1272" i="6"/>
  <c r="F1274" i="6"/>
  <c r="F1276" i="6"/>
  <c r="E1278" i="6"/>
  <c r="N1278" i="6"/>
  <c r="D1280" i="6"/>
  <c r="M1280" i="6"/>
  <c r="C1282" i="6"/>
  <c r="L1282" i="6"/>
  <c r="H1284" i="6"/>
  <c r="H1286" i="6"/>
  <c r="B1287" i="6"/>
  <c r="R1287" i="6" s="1"/>
  <c r="C1289" i="6"/>
  <c r="I1290" i="6"/>
  <c r="G1290" i="6"/>
  <c r="K1290" i="6"/>
  <c r="I1292" i="6"/>
  <c r="N1292" i="6"/>
  <c r="E1292" i="6"/>
  <c r="K1292" i="6"/>
  <c r="F1293" i="6"/>
  <c r="C1294" i="6"/>
  <c r="N1294" i="6"/>
  <c r="I1296" i="6"/>
  <c r="G1296" i="6"/>
  <c r="N1296" i="6"/>
  <c r="E1296" i="6"/>
  <c r="L1296" i="6"/>
  <c r="N1297" i="6"/>
  <c r="J1298" i="6"/>
  <c r="D1300" i="6"/>
  <c r="B1301" i="6"/>
  <c r="R1301" i="6" s="1"/>
  <c r="J1303" i="6"/>
  <c r="I1305" i="6"/>
  <c r="K1305" i="6"/>
  <c r="H1305" i="6"/>
  <c r="G1305" i="6"/>
  <c r="B1305" i="6"/>
  <c r="O1305" i="6" s="1"/>
  <c r="T1305" i="6" s="1"/>
  <c r="G1306" i="6"/>
  <c r="J1308" i="6"/>
  <c r="I1312" i="6"/>
  <c r="E1312" i="6"/>
  <c r="M1312" i="6"/>
  <c r="C1312" i="6"/>
  <c r="L1312" i="6"/>
  <c r="B1312" i="6"/>
  <c r="P1312" i="6" s="1"/>
  <c r="S1312" i="6" s="1"/>
  <c r="H1312" i="6"/>
  <c r="K1314" i="6"/>
  <c r="H1320" i="6"/>
  <c r="J1323" i="6"/>
  <c r="F1302" i="6"/>
  <c r="K1316" i="6"/>
  <c r="D1318" i="6"/>
  <c r="N1318" i="6"/>
  <c r="D1322" i="6"/>
  <c r="N1322" i="6"/>
  <c r="H1328" i="6"/>
  <c r="F1330" i="6"/>
  <c r="H1332" i="6"/>
  <c r="H1334" i="6"/>
  <c r="J1336" i="6"/>
  <c r="D1346" i="6"/>
  <c r="M1346" i="6"/>
  <c r="F1348" i="6"/>
  <c r="F1350" i="6"/>
  <c r="J1354" i="6"/>
  <c r="J1356" i="6"/>
  <c r="J1358" i="6"/>
  <c r="J1360" i="6"/>
  <c r="B1362" i="6"/>
  <c r="Q1362" i="6" s="1"/>
  <c r="K1362" i="6"/>
  <c r="D1364" i="6"/>
  <c r="M1364" i="6"/>
  <c r="D1366" i="6"/>
  <c r="M1366" i="6"/>
  <c r="G1370" i="6"/>
  <c r="H1372" i="6"/>
  <c r="J1374" i="6"/>
  <c r="B1376" i="6"/>
  <c r="R1376" i="6" s="1"/>
  <c r="K1376" i="6"/>
  <c r="E1380" i="6"/>
  <c r="I1382" i="6"/>
  <c r="L1382" i="6"/>
  <c r="C1382" i="6"/>
  <c r="H1382" i="6"/>
  <c r="M1382" i="6"/>
  <c r="I1386" i="6"/>
  <c r="N1386" i="6"/>
  <c r="E1386" i="6"/>
  <c r="K1386" i="6"/>
  <c r="B1386" i="6"/>
  <c r="R1386" i="6" s="1"/>
  <c r="M1386" i="6"/>
  <c r="H1388" i="6"/>
  <c r="B1390" i="6"/>
  <c r="R1390" i="6" s="1"/>
  <c r="N1390" i="6"/>
  <c r="J1392" i="6"/>
  <c r="B1398" i="6"/>
  <c r="R1398" i="6" s="1"/>
  <c r="N1398" i="6"/>
  <c r="C1402" i="6"/>
  <c r="J1404" i="6"/>
  <c r="J1407" i="6"/>
  <c r="C1407" i="6"/>
  <c r="I1416" i="6"/>
  <c r="K1416" i="6"/>
  <c r="B1416" i="6"/>
  <c r="P1416" i="6" s="1"/>
  <c r="S1416" i="6" s="1"/>
  <c r="G1416" i="6"/>
  <c r="M1416" i="6"/>
  <c r="J1418" i="6"/>
  <c r="I1422" i="6"/>
  <c r="L1422" i="6"/>
  <c r="C1422" i="6"/>
  <c r="H1422" i="6"/>
  <c r="M1422" i="6"/>
  <c r="J1425" i="6"/>
  <c r="B1425" i="6"/>
  <c r="P1425" i="6" s="1"/>
  <c r="S1425" i="6" s="1"/>
  <c r="J1428" i="6"/>
  <c r="B1432" i="6"/>
  <c r="Q1432" i="6" s="1"/>
  <c r="N1432" i="6"/>
  <c r="C1438" i="6"/>
  <c r="D1450" i="6"/>
  <c r="B1467" i="6"/>
  <c r="P1467" i="6" s="1"/>
  <c r="S1467" i="6" s="1"/>
  <c r="C1470" i="6"/>
  <c r="C1471" i="6"/>
  <c r="D1472" i="6"/>
  <c r="I1474" i="6"/>
  <c r="H1474" i="6"/>
  <c r="F1474" i="6"/>
  <c r="D1474" i="6"/>
  <c r="L1474" i="6"/>
  <c r="B1474" i="6"/>
  <c r="P1474" i="6" s="1"/>
  <c r="S1474" i="6" s="1"/>
  <c r="J1328" i="6"/>
  <c r="J1332" i="6"/>
  <c r="J1334" i="6"/>
  <c r="C1362" i="6"/>
  <c r="L1362" i="6"/>
  <c r="H1370" i="6"/>
  <c r="J1372" i="6"/>
  <c r="C1376" i="6"/>
  <c r="L1376" i="6"/>
  <c r="C1390" i="6"/>
  <c r="J1391" i="6"/>
  <c r="C1391" i="6"/>
  <c r="D1398" i="6"/>
  <c r="D1402" i="6"/>
  <c r="I1408" i="6"/>
  <c r="H1408" i="6"/>
  <c r="N1408" i="6"/>
  <c r="E1408" i="6"/>
  <c r="L1408" i="6"/>
  <c r="I1412" i="6"/>
  <c r="H1412" i="6"/>
  <c r="N1412" i="6"/>
  <c r="E1412" i="6"/>
  <c r="L1412" i="6"/>
  <c r="C1416" i="6"/>
  <c r="N1416" i="6"/>
  <c r="B1422" i="6"/>
  <c r="Q1422" i="6" s="1"/>
  <c r="N1422" i="6"/>
  <c r="G1425" i="6"/>
  <c r="C1432" i="6"/>
  <c r="F1438" i="6"/>
  <c r="N1444" i="6"/>
  <c r="F1444" i="6"/>
  <c r="G1446" i="6"/>
  <c r="N1446" i="6"/>
  <c r="B1446" i="6"/>
  <c r="R1446" i="6" s="1"/>
  <c r="K1446" i="6"/>
  <c r="F1446" i="6"/>
  <c r="D1446" i="6"/>
  <c r="F1450" i="6"/>
  <c r="K1452" i="6"/>
  <c r="D1452" i="6"/>
  <c r="B1452" i="6"/>
  <c r="P1452" i="6" s="1"/>
  <c r="S1452" i="6" s="1"/>
  <c r="G1462" i="6"/>
  <c r="L1462" i="6"/>
  <c r="E1462" i="6"/>
  <c r="D1462" i="6"/>
  <c r="N1462" i="6"/>
  <c r="B1462" i="6"/>
  <c r="P1462" i="6" s="1"/>
  <c r="S1462" i="6" s="1"/>
  <c r="E1467" i="6"/>
  <c r="G1470" i="6"/>
  <c r="F1471" i="6"/>
  <c r="C1474" i="6"/>
  <c r="G1498" i="6"/>
  <c r="F1498" i="6"/>
  <c r="D1498" i="6"/>
  <c r="N1498" i="6"/>
  <c r="C1498" i="6"/>
  <c r="L1498" i="6"/>
  <c r="B1498" i="6"/>
  <c r="Q1498" i="6" s="1"/>
  <c r="I1498" i="6"/>
  <c r="J1370" i="6"/>
  <c r="I1392" i="6"/>
  <c r="H1392" i="6"/>
  <c r="N1392" i="6"/>
  <c r="E1392" i="6"/>
  <c r="L1392" i="6"/>
  <c r="I1404" i="6"/>
  <c r="F1404" i="6"/>
  <c r="L1404" i="6"/>
  <c r="C1404" i="6"/>
  <c r="M1404" i="6"/>
  <c r="I1418" i="6"/>
  <c r="K1418" i="6"/>
  <c r="B1418" i="6"/>
  <c r="Q1418" i="6" s="1"/>
  <c r="G1418" i="6"/>
  <c r="M1418" i="6"/>
  <c r="J1421" i="6"/>
  <c r="C1421" i="6"/>
  <c r="I1428" i="6"/>
  <c r="N1428" i="6"/>
  <c r="E1428" i="6"/>
  <c r="K1428" i="6"/>
  <c r="B1428" i="6"/>
  <c r="Q1428" i="6" s="1"/>
  <c r="M1428" i="6"/>
  <c r="K1433" i="6"/>
  <c r="H1433" i="6"/>
  <c r="I1445" i="6"/>
  <c r="F1445" i="6"/>
  <c r="E1445" i="6"/>
  <c r="M1445" i="6"/>
  <c r="B1445" i="6"/>
  <c r="G1461" i="6"/>
  <c r="N1461" i="6"/>
  <c r="D1461" i="6"/>
  <c r="M1461" i="6"/>
  <c r="B1461" i="6"/>
  <c r="I1461" i="6"/>
  <c r="G1467" i="6"/>
  <c r="I1473" i="6"/>
  <c r="H1473" i="6"/>
  <c r="G1473" i="6"/>
  <c r="N1473" i="6"/>
  <c r="E1473" i="6"/>
  <c r="M1473" i="6"/>
  <c r="D1473" i="6"/>
  <c r="K1473" i="6"/>
  <c r="B1473" i="6"/>
  <c r="I1483" i="6"/>
  <c r="F1483" i="6"/>
  <c r="N1483" i="6"/>
  <c r="E1483" i="6"/>
  <c r="M1483" i="6"/>
  <c r="D1483" i="6"/>
  <c r="L1483" i="6"/>
  <c r="C1483" i="6"/>
  <c r="K1483" i="6"/>
  <c r="B1483" i="6"/>
  <c r="Q1483" i="6" s="1"/>
  <c r="H1483" i="6"/>
  <c r="H1496" i="6"/>
  <c r="G1496" i="6"/>
  <c r="D1496" i="6"/>
  <c r="C1496" i="6"/>
  <c r="B1496" i="6"/>
  <c r="Q1496" i="6" s="1"/>
  <c r="N1496" i="6"/>
  <c r="J1302" i="6"/>
  <c r="H1318" i="6"/>
  <c r="H1322" i="6"/>
  <c r="C1328" i="6"/>
  <c r="L1328" i="6"/>
  <c r="J1330" i="6"/>
  <c r="C1332" i="6"/>
  <c r="L1332" i="6"/>
  <c r="C1334" i="6"/>
  <c r="L1334" i="6"/>
  <c r="G1346" i="6"/>
  <c r="J1348" i="6"/>
  <c r="J1350" i="6"/>
  <c r="E1362" i="6"/>
  <c r="N1362" i="6"/>
  <c r="G1364" i="6"/>
  <c r="C1365" i="6"/>
  <c r="G1366" i="6"/>
  <c r="B1370" i="6"/>
  <c r="Q1370" i="6" s="1"/>
  <c r="K1370" i="6"/>
  <c r="C1372" i="6"/>
  <c r="L1372" i="6"/>
  <c r="E1376" i="6"/>
  <c r="N1376" i="6"/>
  <c r="J1380" i="6"/>
  <c r="C1383" i="6"/>
  <c r="I1388" i="6"/>
  <c r="F1388" i="6"/>
  <c r="L1388" i="6"/>
  <c r="C1388" i="6"/>
  <c r="M1388" i="6"/>
  <c r="F1390" i="6"/>
  <c r="B1392" i="6"/>
  <c r="R1392" i="6" s="1"/>
  <c r="M1392" i="6"/>
  <c r="F1398" i="6"/>
  <c r="G1402" i="6"/>
  <c r="B1404" i="6"/>
  <c r="R1404" i="6" s="1"/>
  <c r="N1404" i="6"/>
  <c r="E1416" i="6"/>
  <c r="C1417" i="6"/>
  <c r="K1417" i="6"/>
  <c r="C1418" i="6"/>
  <c r="N1418" i="6"/>
  <c r="B1421" i="6"/>
  <c r="O1421" i="6" s="1"/>
  <c r="T1421" i="6" s="1"/>
  <c r="E1422" i="6"/>
  <c r="I1426" i="6"/>
  <c r="H1426" i="6"/>
  <c r="N1426" i="6"/>
  <c r="E1426" i="6"/>
  <c r="L1426" i="6"/>
  <c r="C1428" i="6"/>
  <c r="F1432" i="6"/>
  <c r="B1433" i="6"/>
  <c r="O1433" i="6" s="1"/>
  <c r="T1433" i="6" s="1"/>
  <c r="K1435" i="6"/>
  <c r="C1435" i="6"/>
  <c r="J1437" i="6"/>
  <c r="H1437" i="6"/>
  <c r="G1437" i="6"/>
  <c r="B1437" i="6"/>
  <c r="J1438" i="6"/>
  <c r="J1441" i="6"/>
  <c r="B1441" i="6"/>
  <c r="P1441" i="6" s="1"/>
  <c r="S1441" i="6" s="1"/>
  <c r="K1441" i="6"/>
  <c r="D1445" i="6"/>
  <c r="E1446" i="6"/>
  <c r="N1452" i="6"/>
  <c r="E1461" i="6"/>
  <c r="F1462" i="6"/>
  <c r="K1470" i="6"/>
  <c r="J1471" i="6"/>
  <c r="C1473" i="6"/>
  <c r="K1474" i="6"/>
  <c r="I1479" i="6"/>
  <c r="H1479" i="6"/>
  <c r="G1479" i="6"/>
  <c r="F1479" i="6"/>
  <c r="N1479" i="6"/>
  <c r="E1479" i="6"/>
  <c r="M1479" i="6"/>
  <c r="D1479" i="6"/>
  <c r="K1479" i="6"/>
  <c r="B1479" i="6"/>
  <c r="R1479" i="6" s="1"/>
  <c r="G1483" i="6"/>
  <c r="L1496" i="6"/>
  <c r="K1498" i="6"/>
  <c r="J1288" i="6"/>
  <c r="N1291" i="6"/>
  <c r="J1299" i="6"/>
  <c r="B1302" i="6"/>
  <c r="Q1302" i="6" s="1"/>
  <c r="K1302" i="6"/>
  <c r="J1307" i="6"/>
  <c r="N1309" i="6"/>
  <c r="H1310" i="6"/>
  <c r="N1313" i="6"/>
  <c r="E1316" i="6"/>
  <c r="J1318" i="6"/>
  <c r="N1321" i="6"/>
  <c r="J1322" i="6"/>
  <c r="N1325" i="6"/>
  <c r="H1326" i="6"/>
  <c r="D1328" i="6"/>
  <c r="M1328" i="6"/>
  <c r="B1330" i="6"/>
  <c r="Q1330" i="6" s="1"/>
  <c r="K1330" i="6"/>
  <c r="D1332" i="6"/>
  <c r="M1332" i="6"/>
  <c r="D1334" i="6"/>
  <c r="M1334" i="6"/>
  <c r="E1336" i="6"/>
  <c r="N1336" i="6"/>
  <c r="G1338" i="6"/>
  <c r="G1340" i="6"/>
  <c r="G1342" i="6"/>
  <c r="G1344" i="6"/>
  <c r="C1345" i="6"/>
  <c r="H1346" i="6"/>
  <c r="B1348" i="6"/>
  <c r="Q1348" i="6" s="1"/>
  <c r="K1348" i="6"/>
  <c r="B1350" i="6"/>
  <c r="Q1350" i="6" s="1"/>
  <c r="K1350" i="6"/>
  <c r="E1354" i="6"/>
  <c r="N1354" i="6"/>
  <c r="E1356" i="6"/>
  <c r="N1356" i="6"/>
  <c r="E1358" i="6"/>
  <c r="N1358" i="6"/>
  <c r="E1360" i="6"/>
  <c r="N1360" i="6"/>
  <c r="F1362" i="6"/>
  <c r="H1364" i="6"/>
  <c r="H1366" i="6"/>
  <c r="J1368" i="6"/>
  <c r="C1370" i="6"/>
  <c r="L1370" i="6"/>
  <c r="D1372" i="6"/>
  <c r="M1372" i="6"/>
  <c r="E1374" i="6"/>
  <c r="N1374" i="6"/>
  <c r="F1376" i="6"/>
  <c r="G1378" i="6"/>
  <c r="C1379" i="6"/>
  <c r="F1382" i="6"/>
  <c r="G1386" i="6"/>
  <c r="B1388" i="6"/>
  <c r="R1388" i="6" s="1"/>
  <c r="N1388" i="6"/>
  <c r="H1390" i="6"/>
  <c r="C1392" i="6"/>
  <c r="I1396" i="6"/>
  <c r="K1396" i="6"/>
  <c r="B1396" i="6"/>
  <c r="R1396" i="6" s="1"/>
  <c r="G1396" i="6"/>
  <c r="M1396" i="6"/>
  <c r="G1398" i="6"/>
  <c r="H1402" i="6"/>
  <c r="D1404" i="6"/>
  <c r="D1408" i="6"/>
  <c r="D1412" i="6"/>
  <c r="F1416" i="6"/>
  <c r="B1417" i="6"/>
  <c r="O1417" i="6" s="1"/>
  <c r="T1417" i="6" s="1"/>
  <c r="D1418" i="6"/>
  <c r="G1421" i="6"/>
  <c r="F1422" i="6"/>
  <c r="B1426" i="6"/>
  <c r="M1426" i="6"/>
  <c r="D1428" i="6"/>
  <c r="H1432" i="6"/>
  <c r="C1433" i="6"/>
  <c r="I1436" i="6"/>
  <c r="F1436" i="6"/>
  <c r="L1436" i="6"/>
  <c r="C1436" i="6"/>
  <c r="K1436" i="6"/>
  <c r="B1436" i="6"/>
  <c r="P1436" i="6" s="1"/>
  <c r="S1436" i="6" s="1"/>
  <c r="H1436" i="6"/>
  <c r="C1437" i="6"/>
  <c r="G1441" i="6"/>
  <c r="G1445" i="6"/>
  <c r="L1446" i="6"/>
  <c r="I1451" i="6"/>
  <c r="M1451" i="6"/>
  <c r="F1451" i="6"/>
  <c r="E1451" i="6"/>
  <c r="B1451" i="6"/>
  <c r="P1451" i="6" s="1"/>
  <c r="S1451" i="6" s="1"/>
  <c r="F1461" i="6"/>
  <c r="K1462" i="6"/>
  <c r="L1468" i="6"/>
  <c r="C1468" i="6"/>
  <c r="F1473" i="6"/>
  <c r="N1474" i="6"/>
  <c r="C1479" i="6"/>
  <c r="J1483" i="6"/>
  <c r="I1487" i="6"/>
  <c r="F1487" i="6"/>
  <c r="N1487" i="6"/>
  <c r="E1487" i="6"/>
  <c r="M1487" i="6"/>
  <c r="D1487" i="6"/>
  <c r="L1487" i="6"/>
  <c r="C1487" i="6"/>
  <c r="K1487" i="6"/>
  <c r="B1487" i="6"/>
  <c r="R1487" i="6" s="1"/>
  <c r="H1487" i="6"/>
  <c r="K1318" i="6"/>
  <c r="K1322" i="6"/>
  <c r="E1328" i="6"/>
  <c r="N1328" i="6"/>
  <c r="E1332" i="6"/>
  <c r="N1332" i="6"/>
  <c r="E1334" i="6"/>
  <c r="N1334" i="6"/>
  <c r="J1346" i="6"/>
  <c r="G1362" i="6"/>
  <c r="J1364" i="6"/>
  <c r="J1366" i="6"/>
  <c r="D1370" i="6"/>
  <c r="M1370" i="6"/>
  <c r="E1372" i="6"/>
  <c r="N1372" i="6"/>
  <c r="G1376" i="6"/>
  <c r="I1380" i="6"/>
  <c r="K1380" i="6"/>
  <c r="B1380" i="6"/>
  <c r="R1380" i="6" s="1"/>
  <c r="G1380" i="6"/>
  <c r="M1380" i="6"/>
  <c r="D1388" i="6"/>
  <c r="J1390" i="6"/>
  <c r="D1392" i="6"/>
  <c r="J1398" i="6"/>
  <c r="J1402" i="6"/>
  <c r="E1404" i="6"/>
  <c r="F1408" i="6"/>
  <c r="K1411" i="6"/>
  <c r="J1411" i="6"/>
  <c r="G1411" i="6"/>
  <c r="E1418" i="6"/>
  <c r="H1421" i="6"/>
  <c r="F1428" i="6"/>
  <c r="K1431" i="6"/>
  <c r="C1431" i="6"/>
  <c r="J1432" i="6"/>
  <c r="G1433" i="6"/>
  <c r="H1445" i="6"/>
  <c r="M1446" i="6"/>
  <c r="H1461" i="6"/>
  <c r="M1462" i="6"/>
  <c r="J1473" i="6"/>
  <c r="I1475" i="6"/>
  <c r="L1475" i="6"/>
  <c r="C1475" i="6"/>
  <c r="K1475" i="6"/>
  <c r="B1475" i="6"/>
  <c r="H1475" i="6"/>
  <c r="G1475" i="6"/>
  <c r="N1475" i="6"/>
  <c r="E1475" i="6"/>
  <c r="J1479" i="6"/>
  <c r="N1299" i="6"/>
  <c r="D1302" i="6"/>
  <c r="M1302" i="6"/>
  <c r="N1307" i="6"/>
  <c r="K1310" i="6"/>
  <c r="H1316" i="6"/>
  <c r="B1318" i="6"/>
  <c r="Q1318" i="6" s="1"/>
  <c r="L1318" i="6"/>
  <c r="B1322" i="6"/>
  <c r="R1322" i="6" s="1"/>
  <c r="L1322" i="6"/>
  <c r="K1326" i="6"/>
  <c r="F1328" i="6"/>
  <c r="D1330" i="6"/>
  <c r="M1330" i="6"/>
  <c r="F1332" i="6"/>
  <c r="F1334" i="6"/>
  <c r="G1336" i="6"/>
  <c r="J1338" i="6"/>
  <c r="J1340" i="6"/>
  <c r="J1342" i="6"/>
  <c r="J1344" i="6"/>
  <c r="B1346" i="6"/>
  <c r="P1346" i="6" s="1"/>
  <c r="S1346" i="6" s="1"/>
  <c r="K1346" i="6"/>
  <c r="D1348" i="6"/>
  <c r="M1348" i="6"/>
  <c r="D1350" i="6"/>
  <c r="M1350" i="6"/>
  <c r="G1354" i="6"/>
  <c r="G1356" i="6"/>
  <c r="G1358" i="6"/>
  <c r="G1360" i="6"/>
  <c r="C1361" i="6"/>
  <c r="H1362" i="6"/>
  <c r="B1364" i="6"/>
  <c r="Q1364" i="6" s="1"/>
  <c r="K1364" i="6"/>
  <c r="B1366" i="6"/>
  <c r="Q1366" i="6" s="1"/>
  <c r="K1366" i="6"/>
  <c r="E1370" i="6"/>
  <c r="N1370" i="6"/>
  <c r="F1372" i="6"/>
  <c r="G1374" i="6"/>
  <c r="C1375" i="6"/>
  <c r="H1376" i="6"/>
  <c r="J1378" i="6"/>
  <c r="C1380" i="6"/>
  <c r="N1380" i="6"/>
  <c r="J1382" i="6"/>
  <c r="J1386" i="6"/>
  <c r="E1388" i="6"/>
  <c r="F1392" i="6"/>
  <c r="J1397" i="6"/>
  <c r="C1397" i="6"/>
  <c r="C1401" i="6"/>
  <c r="G1404" i="6"/>
  <c r="I1406" i="6"/>
  <c r="G1406" i="6"/>
  <c r="M1406" i="6"/>
  <c r="D1406" i="6"/>
  <c r="L1406" i="6"/>
  <c r="G1408" i="6"/>
  <c r="C1411" i="6"/>
  <c r="G1412" i="6"/>
  <c r="K1415" i="6"/>
  <c r="C1415" i="6"/>
  <c r="J1416" i="6"/>
  <c r="H1417" i="6"/>
  <c r="F1418" i="6"/>
  <c r="C1419" i="6"/>
  <c r="I1421" i="6"/>
  <c r="J1422" i="6"/>
  <c r="D1426" i="6"/>
  <c r="K1427" i="6"/>
  <c r="C1427" i="6"/>
  <c r="G1428" i="6"/>
  <c r="B1429" i="6"/>
  <c r="O1429" i="6" s="1"/>
  <c r="T1429" i="6" s="1"/>
  <c r="H1431" i="6"/>
  <c r="I1433" i="6"/>
  <c r="K1437" i="6"/>
  <c r="L1445" i="6"/>
  <c r="L1447" i="6"/>
  <c r="I1447" i="6"/>
  <c r="E1447" i="6"/>
  <c r="B1447" i="6"/>
  <c r="P1447" i="6" s="1"/>
  <c r="S1447" i="6" s="1"/>
  <c r="H1455" i="6"/>
  <c r="E1455" i="6"/>
  <c r="D1455" i="6"/>
  <c r="M1455" i="6"/>
  <c r="L1461" i="6"/>
  <c r="G1465" i="6"/>
  <c r="I1465" i="6"/>
  <c r="L1473" i="6"/>
  <c r="L1479" i="6"/>
  <c r="G1482" i="6"/>
  <c r="F1482" i="6"/>
  <c r="D1482" i="6"/>
  <c r="N1482" i="6"/>
  <c r="C1482" i="6"/>
  <c r="L1482" i="6"/>
  <c r="B1482" i="6"/>
  <c r="I1482" i="6"/>
  <c r="J1362" i="6"/>
  <c r="F1370" i="6"/>
  <c r="J1376" i="6"/>
  <c r="J1381" i="6"/>
  <c r="C1381" i="6"/>
  <c r="I1390" i="6"/>
  <c r="G1390" i="6"/>
  <c r="M1390" i="6"/>
  <c r="D1390" i="6"/>
  <c r="L1390" i="6"/>
  <c r="G1392" i="6"/>
  <c r="I1398" i="6"/>
  <c r="L1398" i="6"/>
  <c r="C1398" i="6"/>
  <c r="H1398" i="6"/>
  <c r="M1398" i="6"/>
  <c r="I1402" i="6"/>
  <c r="N1402" i="6"/>
  <c r="E1402" i="6"/>
  <c r="K1402" i="6"/>
  <c r="B1402" i="6"/>
  <c r="R1402" i="6" s="1"/>
  <c r="M1402" i="6"/>
  <c r="H1404" i="6"/>
  <c r="H1418" i="6"/>
  <c r="K1421" i="6"/>
  <c r="H1428" i="6"/>
  <c r="I1432" i="6"/>
  <c r="G1432" i="6"/>
  <c r="M1432" i="6"/>
  <c r="D1432" i="6"/>
  <c r="L1432" i="6"/>
  <c r="J1433" i="6"/>
  <c r="I1438" i="6"/>
  <c r="H1438" i="6"/>
  <c r="N1438" i="6"/>
  <c r="E1438" i="6"/>
  <c r="M1438" i="6"/>
  <c r="D1438" i="6"/>
  <c r="K1438" i="6"/>
  <c r="B1438" i="6"/>
  <c r="P1438" i="6" s="1"/>
  <c r="S1438" i="6" s="1"/>
  <c r="N1445" i="6"/>
  <c r="G1450" i="6"/>
  <c r="N1450" i="6"/>
  <c r="C1450" i="6"/>
  <c r="I1450" i="6"/>
  <c r="H1450" i="6"/>
  <c r="E1450" i="6"/>
  <c r="I1467" i="6"/>
  <c r="D1467" i="6"/>
  <c r="M1467" i="6"/>
  <c r="L1467" i="6"/>
  <c r="F1467" i="6"/>
  <c r="I1470" i="6"/>
  <c r="F1470" i="6"/>
  <c r="D1470" i="6"/>
  <c r="L1470" i="6"/>
  <c r="B1470" i="6"/>
  <c r="I1471" i="6"/>
  <c r="H1471" i="6"/>
  <c r="N1471" i="6"/>
  <c r="E1471" i="6"/>
  <c r="M1471" i="6"/>
  <c r="D1471" i="6"/>
  <c r="K1471" i="6"/>
  <c r="B1471" i="6"/>
  <c r="Q1471" i="6" s="1"/>
  <c r="N1472" i="6"/>
  <c r="J1472" i="6"/>
  <c r="H1472" i="6"/>
  <c r="G1472" i="6"/>
  <c r="C1472" i="6"/>
  <c r="D1510" i="6"/>
  <c r="K1510" i="6"/>
  <c r="N1510" i="6"/>
  <c r="F1514" i="6"/>
  <c r="L1514" i="6"/>
  <c r="B1514" i="6"/>
  <c r="H1514" i="6"/>
  <c r="I1523" i="6"/>
  <c r="L1523" i="6"/>
  <c r="C1523" i="6"/>
  <c r="H1523" i="6"/>
  <c r="N1523" i="6"/>
  <c r="E1523" i="6"/>
  <c r="M1534" i="6"/>
  <c r="J1534" i="6"/>
  <c r="H1534" i="6"/>
  <c r="F1534" i="6"/>
  <c r="L1534" i="6"/>
  <c r="B1534" i="6"/>
  <c r="R1534" i="6" s="1"/>
  <c r="I1547" i="6"/>
  <c r="F1547" i="6"/>
  <c r="N1547" i="6"/>
  <c r="E1547" i="6"/>
  <c r="L1547" i="6"/>
  <c r="C1547" i="6"/>
  <c r="H1547" i="6"/>
  <c r="M1560" i="6"/>
  <c r="F1560" i="6"/>
  <c r="D1560" i="6"/>
  <c r="L1560" i="6"/>
  <c r="B1560" i="6"/>
  <c r="H1560" i="6"/>
  <c r="J1434" i="6"/>
  <c r="G1442" i="6"/>
  <c r="H1456" i="6"/>
  <c r="I1466" i="6"/>
  <c r="J1469" i="6"/>
  <c r="I1480" i="6"/>
  <c r="L1484" i="6"/>
  <c r="D1486" i="6"/>
  <c r="K1490" i="6"/>
  <c r="G1493" i="6"/>
  <c r="E1499" i="6"/>
  <c r="N1499" i="6"/>
  <c r="J1507" i="6"/>
  <c r="B1510" i="6"/>
  <c r="P1510" i="6" s="1"/>
  <c r="S1510" i="6" s="1"/>
  <c r="I1511" i="6"/>
  <c r="H1511" i="6"/>
  <c r="N1511" i="6"/>
  <c r="E1511" i="6"/>
  <c r="K1511" i="6"/>
  <c r="M1511" i="6"/>
  <c r="C1514" i="6"/>
  <c r="F1519" i="6"/>
  <c r="I1521" i="6"/>
  <c r="L1521" i="6"/>
  <c r="C1521" i="6"/>
  <c r="H1521" i="6"/>
  <c r="N1521" i="6"/>
  <c r="E1521" i="6"/>
  <c r="G1522" i="6"/>
  <c r="N1522" i="6"/>
  <c r="C1522" i="6"/>
  <c r="I1522" i="6"/>
  <c r="B1523" i="6"/>
  <c r="Q1523" i="6" s="1"/>
  <c r="C1534" i="6"/>
  <c r="H1535" i="6"/>
  <c r="B1547" i="6"/>
  <c r="R1547" i="6" s="1"/>
  <c r="G1549" i="6"/>
  <c r="C1560" i="6"/>
  <c r="M1566" i="6"/>
  <c r="N1566" i="6"/>
  <c r="C1566" i="6"/>
  <c r="L1566" i="6"/>
  <c r="B1566" i="6"/>
  <c r="J1566" i="6"/>
  <c r="G1566" i="6"/>
  <c r="F1566" i="6"/>
  <c r="M1578" i="6"/>
  <c r="J1578" i="6"/>
  <c r="H1578" i="6"/>
  <c r="F1578" i="6"/>
  <c r="N1578" i="6"/>
  <c r="C1578" i="6"/>
  <c r="L1578" i="6"/>
  <c r="B1578" i="6"/>
  <c r="Q1578" i="6" s="1"/>
  <c r="C1510" i="6"/>
  <c r="D1514" i="6"/>
  <c r="I1515" i="6"/>
  <c r="N1515" i="6"/>
  <c r="E1515" i="6"/>
  <c r="K1515" i="6"/>
  <c r="B1515" i="6"/>
  <c r="G1515" i="6"/>
  <c r="D1523" i="6"/>
  <c r="I1533" i="6"/>
  <c r="N1533" i="6"/>
  <c r="E1533" i="6"/>
  <c r="M1533" i="6"/>
  <c r="D1533" i="6"/>
  <c r="K1533" i="6"/>
  <c r="B1533" i="6"/>
  <c r="P1533" i="6" s="1"/>
  <c r="S1533" i="6" s="1"/>
  <c r="G1533" i="6"/>
  <c r="D1534" i="6"/>
  <c r="J1535" i="6"/>
  <c r="I1545" i="6"/>
  <c r="L1545" i="6"/>
  <c r="C1545" i="6"/>
  <c r="K1545" i="6"/>
  <c r="B1545" i="6"/>
  <c r="H1545" i="6"/>
  <c r="N1545" i="6"/>
  <c r="E1545" i="6"/>
  <c r="M1546" i="6"/>
  <c r="N1546" i="6"/>
  <c r="C1546" i="6"/>
  <c r="L1546" i="6"/>
  <c r="B1546" i="6"/>
  <c r="P1546" i="6" s="1"/>
  <c r="S1546" i="6" s="1"/>
  <c r="J1546" i="6"/>
  <c r="F1546" i="6"/>
  <c r="D1547" i="6"/>
  <c r="J1549" i="6"/>
  <c r="I1555" i="6"/>
  <c r="F1555" i="6"/>
  <c r="N1555" i="6"/>
  <c r="E1555" i="6"/>
  <c r="L1555" i="6"/>
  <c r="C1555" i="6"/>
  <c r="H1555" i="6"/>
  <c r="G1560" i="6"/>
  <c r="I1563" i="6"/>
  <c r="H1563" i="6"/>
  <c r="G1563" i="6"/>
  <c r="N1563" i="6"/>
  <c r="E1563" i="6"/>
  <c r="L1563" i="6"/>
  <c r="C1563" i="6"/>
  <c r="K1563" i="6"/>
  <c r="B1563" i="6"/>
  <c r="Q1563" i="6" s="1"/>
  <c r="J1442" i="6"/>
  <c r="G1443" i="6"/>
  <c r="H1449" i="6"/>
  <c r="K1456" i="6"/>
  <c r="M1466" i="6"/>
  <c r="L1469" i="6"/>
  <c r="L1480" i="6"/>
  <c r="C1484" i="6"/>
  <c r="G1486" i="6"/>
  <c r="C1490" i="6"/>
  <c r="N1490" i="6"/>
  <c r="J1493" i="6"/>
  <c r="J1495" i="6"/>
  <c r="G1499" i="6"/>
  <c r="C1507" i="6"/>
  <c r="L1507" i="6"/>
  <c r="J1509" i="6"/>
  <c r="F1510" i="6"/>
  <c r="C1511" i="6"/>
  <c r="B1512" i="6"/>
  <c r="O1512" i="6" s="1"/>
  <c r="T1512" i="6" s="1"/>
  <c r="I1512" i="6"/>
  <c r="G1514" i="6"/>
  <c r="C1515" i="6"/>
  <c r="H1516" i="6"/>
  <c r="C1516" i="6"/>
  <c r="J1516" i="6"/>
  <c r="J1519" i="6"/>
  <c r="D1521" i="6"/>
  <c r="D1522" i="6"/>
  <c r="F1523" i="6"/>
  <c r="I1527" i="6"/>
  <c r="F1527" i="6"/>
  <c r="L1527" i="6"/>
  <c r="C1527" i="6"/>
  <c r="H1527" i="6"/>
  <c r="N1527" i="6"/>
  <c r="I1531" i="6"/>
  <c r="F1531" i="6"/>
  <c r="N1531" i="6"/>
  <c r="E1531" i="6"/>
  <c r="L1531" i="6"/>
  <c r="C1531" i="6"/>
  <c r="H1531" i="6"/>
  <c r="C1533" i="6"/>
  <c r="G1534" i="6"/>
  <c r="D1545" i="6"/>
  <c r="D1546" i="6"/>
  <c r="G1547" i="6"/>
  <c r="B1555" i="6"/>
  <c r="Q1555" i="6" s="1"/>
  <c r="J1560" i="6"/>
  <c r="D1563" i="6"/>
  <c r="I1569" i="6"/>
  <c r="N1569" i="6"/>
  <c r="E1569" i="6"/>
  <c r="M1569" i="6"/>
  <c r="D1569" i="6"/>
  <c r="K1569" i="6"/>
  <c r="B1569" i="6"/>
  <c r="Q1569" i="6" s="1"/>
  <c r="H1569" i="6"/>
  <c r="G1569" i="6"/>
  <c r="I1575" i="6"/>
  <c r="H1575" i="6"/>
  <c r="G1575" i="6"/>
  <c r="N1575" i="6"/>
  <c r="E1575" i="6"/>
  <c r="L1575" i="6"/>
  <c r="C1575" i="6"/>
  <c r="K1575" i="6"/>
  <c r="B1575" i="6"/>
  <c r="Q1575" i="6" s="1"/>
  <c r="J1384" i="6"/>
  <c r="J1400" i="6"/>
  <c r="J1410" i="6"/>
  <c r="J1414" i="6"/>
  <c r="F1420" i="6"/>
  <c r="J1424" i="6"/>
  <c r="F1430" i="6"/>
  <c r="D1434" i="6"/>
  <c r="M1434" i="6"/>
  <c r="F1440" i="6"/>
  <c r="B1442" i="6"/>
  <c r="Q1442" i="6" s="1"/>
  <c r="K1442" i="6"/>
  <c r="H1443" i="6"/>
  <c r="B1456" i="6"/>
  <c r="R1456" i="6" s="1"/>
  <c r="L1456" i="6"/>
  <c r="E1457" i="6"/>
  <c r="D1463" i="6"/>
  <c r="L1464" i="6"/>
  <c r="C1466" i="6"/>
  <c r="N1466" i="6"/>
  <c r="D1469" i="6"/>
  <c r="M1469" i="6"/>
  <c r="F1477" i="6"/>
  <c r="J1481" i="6"/>
  <c r="D1484" i="6"/>
  <c r="F1485" i="6"/>
  <c r="H1486" i="6"/>
  <c r="J1489" i="6"/>
  <c r="D1490" i="6"/>
  <c r="J1491" i="6"/>
  <c r="B1493" i="6"/>
  <c r="K1493" i="6"/>
  <c r="B1495" i="6"/>
  <c r="Q1495" i="6" s="1"/>
  <c r="K1495" i="6"/>
  <c r="J1497" i="6"/>
  <c r="H1499" i="6"/>
  <c r="J1501" i="6"/>
  <c r="J1503" i="6"/>
  <c r="J1505" i="6"/>
  <c r="D1507" i="6"/>
  <c r="M1507" i="6"/>
  <c r="B1509" i="6"/>
  <c r="Q1509" i="6" s="1"/>
  <c r="K1509" i="6"/>
  <c r="G1510" i="6"/>
  <c r="D1511" i="6"/>
  <c r="H1512" i="6"/>
  <c r="I1514" i="6"/>
  <c r="D1515" i="6"/>
  <c r="B1516" i="6"/>
  <c r="I1517" i="6"/>
  <c r="H1517" i="6"/>
  <c r="N1517" i="6"/>
  <c r="E1517" i="6"/>
  <c r="K1517" i="6"/>
  <c r="B1517" i="6"/>
  <c r="L1519" i="6"/>
  <c r="F1521" i="6"/>
  <c r="F1522" i="6"/>
  <c r="G1523" i="6"/>
  <c r="B1527" i="6"/>
  <c r="Q1527" i="6" s="1"/>
  <c r="H1528" i="6"/>
  <c r="B1528" i="6"/>
  <c r="Q1528" i="6" s="1"/>
  <c r="B1531" i="6"/>
  <c r="Q1531" i="6" s="1"/>
  <c r="F1533" i="6"/>
  <c r="K1534" i="6"/>
  <c r="M1536" i="6"/>
  <c r="J1536" i="6"/>
  <c r="H1536" i="6"/>
  <c r="F1536" i="6"/>
  <c r="L1536" i="6"/>
  <c r="B1536" i="6"/>
  <c r="I1537" i="6"/>
  <c r="H1537" i="6"/>
  <c r="G1537" i="6"/>
  <c r="N1537" i="6"/>
  <c r="E1537" i="6"/>
  <c r="K1537" i="6"/>
  <c r="B1537" i="6"/>
  <c r="M1538" i="6"/>
  <c r="J1538" i="6"/>
  <c r="H1538" i="6"/>
  <c r="F1538" i="6"/>
  <c r="L1538" i="6"/>
  <c r="B1538" i="6"/>
  <c r="F1545" i="6"/>
  <c r="G1546" i="6"/>
  <c r="J1547" i="6"/>
  <c r="D1555" i="6"/>
  <c r="K1560" i="6"/>
  <c r="F1563" i="6"/>
  <c r="K1566" i="6"/>
  <c r="C1569" i="6"/>
  <c r="D1575" i="6"/>
  <c r="K1578" i="6"/>
  <c r="J1499" i="6"/>
  <c r="E1507" i="6"/>
  <c r="N1507" i="6"/>
  <c r="C1509" i="6"/>
  <c r="L1509" i="6"/>
  <c r="H1510" i="6"/>
  <c r="F1511" i="6"/>
  <c r="J1512" i="6"/>
  <c r="K1514" i="6"/>
  <c r="F1515" i="6"/>
  <c r="D1516" i="6"/>
  <c r="G1521" i="6"/>
  <c r="H1522" i="6"/>
  <c r="J1523" i="6"/>
  <c r="D1527" i="6"/>
  <c r="D1531" i="6"/>
  <c r="H1533" i="6"/>
  <c r="N1534" i="6"/>
  <c r="G1545" i="6"/>
  <c r="H1546" i="6"/>
  <c r="K1547" i="6"/>
  <c r="M1550" i="6"/>
  <c r="F1550" i="6"/>
  <c r="D1550" i="6"/>
  <c r="L1550" i="6"/>
  <c r="B1550" i="6"/>
  <c r="Q1550" i="6" s="1"/>
  <c r="H1550" i="6"/>
  <c r="G1555" i="6"/>
  <c r="N1560" i="6"/>
  <c r="J1563" i="6"/>
  <c r="F1569" i="6"/>
  <c r="F1575" i="6"/>
  <c r="K1486" i="6"/>
  <c r="I1510" i="6"/>
  <c r="N1514" i="6"/>
  <c r="H1515" i="6"/>
  <c r="I1519" i="6"/>
  <c r="N1519" i="6"/>
  <c r="E1519" i="6"/>
  <c r="K1519" i="6"/>
  <c r="B1519" i="6"/>
  <c r="R1519" i="6" s="1"/>
  <c r="G1519" i="6"/>
  <c r="L1520" i="6"/>
  <c r="B1520" i="6"/>
  <c r="O1520" i="6" s="1"/>
  <c r="T1520" i="6" s="1"/>
  <c r="K1523" i="6"/>
  <c r="I1535" i="6"/>
  <c r="N1535" i="6"/>
  <c r="E1535" i="6"/>
  <c r="M1535" i="6"/>
  <c r="D1535" i="6"/>
  <c r="K1535" i="6"/>
  <c r="B1535" i="6"/>
  <c r="Q1535" i="6" s="1"/>
  <c r="G1535" i="6"/>
  <c r="M1547" i="6"/>
  <c r="I1549" i="6"/>
  <c r="L1549" i="6"/>
  <c r="C1549" i="6"/>
  <c r="K1549" i="6"/>
  <c r="B1549" i="6"/>
  <c r="R1549" i="6" s="1"/>
  <c r="H1549" i="6"/>
  <c r="N1549" i="6"/>
  <c r="E1549" i="6"/>
  <c r="I1579" i="6"/>
  <c r="L1579" i="6"/>
  <c r="C1579" i="6"/>
  <c r="K1579" i="6"/>
  <c r="B1579" i="6"/>
  <c r="O1579" i="6" s="1"/>
  <c r="T1579" i="6" s="1"/>
  <c r="H1579" i="6"/>
  <c r="F1579" i="6"/>
  <c r="N1579" i="6"/>
  <c r="E1579" i="6"/>
  <c r="M1579" i="6"/>
  <c r="D1579" i="6"/>
  <c r="I1581" i="6"/>
  <c r="L1581" i="6"/>
  <c r="C1581" i="6"/>
  <c r="K1581" i="6"/>
  <c r="B1581" i="6"/>
  <c r="R1581" i="6" s="1"/>
  <c r="H1581" i="6"/>
  <c r="F1581" i="6"/>
  <c r="N1581" i="6"/>
  <c r="E1581" i="6"/>
  <c r="M1581" i="6"/>
  <c r="D1581" i="6"/>
  <c r="D1384" i="6"/>
  <c r="M1384" i="6"/>
  <c r="J1394" i="6"/>
  <c r="D1400" i="6"/>
  <c r="M1400" i="6"/>
  <c r="D1410" i="6"/>
  <c r="M1410" i="6"/>
  <c r="D1414" i="6"/>
  <c r="M1414" i="6"/>
  <c r="J1420" i="6"/>
  <c r="D1424" i="6"/>
  <c r="M1424" i="6"/>
  <c r="J1430" i="6"/>
  <c r="G1434" i="6"/>
  <c r="J1440" i="6"/>
  <c r="E1442" i="6"/>
  <c r="N1442" i="6"/>
  <c r="E1456" i="6"/>
  <c r="J1463" i="6"/>
  <c r="F1466" i="6"/>
  <c r="G1469" i="6"/>
  <c r="J1477" i="6"/>
  <c r="J1485" i="6"/>
  <c r="B1486" i="6"/>
  <c r="Q1486" i="6" s="1"/>
  <c r="E1493" i="6"/>
  <c r="N1493" i="6"/>
  <c r="E1495" i="6"/>
  <c r="N1495" i="6"/>
  <c r="C1499" i="6"/>
  <c r="L1499" i="6"/>
  <c r="G1507" i="6"/>
  <c r="E1509" i="6"/>
  <c r="N1509" i="6"/>
  <c r="L1510" i="6"/>
  <c r="J1511" i="6"/>
  <c r="I1513" i="6"/>
  <c r="L1513" i="6"/>
  <c r="C1513" i="6"/>
  <c r="H1513" i="6"/>
  <c r="N1513" i="6"/>
  <c r="E1513" i="6"/>
  <c r="J1515" i="6"/>
  <c r="I1516" i="6"/>
  <c r="C1519" i="6"/>
  <c r="D1520" i="6"/>
  <c r="K1521" i="6"/>
  <c r="L1522" i="6"/>
  <c r="M1523" i="6"/>
  <c r="G1527" i="6"/>
  <c r="J1531" i="6"/>
  <c r="L1533" i="6"/>
  <c r="C1535" i="6"/>
  <c r="M1545" i="6"/>
  <c r="M1548" i="6"/>
  <c r="J1548" i="6"/>
  <c r="H1548" i="6"/>
  <c r="F1548" i="6"/>
  <c r="L1548" i="6"/>
  <c r="B1548" i="6"/>
  <c r="Q1548" i="6" s="1"/>
  <c r="D1549" i="6"/>
  <c r="G1550" i="6"/>
  <c r="K1555" i="6"/>
  <c r="I1561" i="6"/>
  <c r="F1561" i="6"/>
  <c r="N1561" i="6"/>
  <c r="E1561" i="6"/>
  <c r="L1561" i="6"/>
  <c r="C1561" i="6"/>
  <c r="H1561" i="6"/>
  <c r="L1569" i="6"/>
  <c r="M1575" i="6"/>
  <c r="G1579" i="6"/>
  <c r="G1581" i="6"/>
  <c r="J1590" i="6"/>
  <c r="F1600" i="6"/>
  <c r="F1603" i="6"/>
  <c r="I1605" i="6"/>
  <c r="D1608" i="6"/>
  <c r="M1608" i="6"/>
  <c r="D1610" i="6"/>
  <c r="M1610" i="6"/>
  <c r="J1614" i="6"/>
  <c r="J1621" i="6"/>
  <c r="I1621" i="6"/>
  <c r="I1625" i="6"/>
  <c r="I1628" i="6"/>
  <c r="G1628" i="6"/>
  <c r="L1628" i="6"/>
  <c r="C1628" i="6"/>
  <c r="M1628" i="6"/>
  <c r="I1636" i="6"/>
  <c r="G1636" i="6"/>
  <c r="M1636" i="6"/>
  <c r="D1636" i="6"/>
  <c r="L1636" i="6"/>
  <c r="C1636" i="6"/>
  <c r="K1651" i="6"/>
  <c r="G1651" i="6"/>
  <c r="I1654" i="6"/>
  <c r="H1654" i="6"/>
  <c r="G1654" i="6"/>
  <c r="N1654" i="6"/>
  <c r="E1654" i="6"/>
  <c r="M1654" i="6"/>
  <c r="D1654" i="6"/>
  <c r="L1654" i="6"/>
  <c r="C1654" i="6"/>
  <c r="I1656" i="6"/>
  <c r="H1656" i="6"/>
  <c r="G1656" i="6"/>
  <c r="N1656" i="6"/>
  <c r="E1656" i="6"/>
  <c r="M1656" i="6"/>
  <c r="D1656" i="6"/>
  <c r="L1656" i="6"/>
  <c r="C1656" i="6"/>
  <c r="J1681" i="6"/>
  <c r="M1681" i="6"/>
  <c r="G1681" i="6"/>
  <c r="E1681" i="6"/>
  <c r="B1681" i="6"/>
  <c r="O1681" i="6" s="1"/>
  <c r="T1681" i="6" s="1"/>
  <c r="H1687" i="6"/>
  <c r="M1687" i="6"/>
  <c r="J1687" i="6"/>
  <c r="G1687" i="6"/>
  <c r="E1687" i="6"/>
  <c r="D1687" i="6"/>
  <c r="C1518" i="6"/>
  <c r="N1518" i="6"/>
  <c r="J1529" i="6"/>
  <c r="C1530" i="6"/>
  <c r="N1530" i="6"/>
  <c r="C1532" i="6"/>
  <c r="N1532" i="6"/>
  <c r="C1539" i="6"/>
  <c r="L1539" i="6"/>
  <c r="G1540" i="6"/>
  <c r="C1541" i="6"/>
  <c r="L1541" i="6"/>
  <c r="G1542" i="6"/>
  <c r="C1543" i="6"/>
  <c r="L1543" i="6"/>
  <c r="D1544" i="6"/>
  <c r="D1551" i="6"/>
  <c r="M1551" i="6"/>
  <c r="G1552" i="6"/>
  <c r="F1553" i="6"/>
  <c r="G1554" i="6"/>
  <c r="K1556" i="6"/>
  <c r="C1557" i="6"/>
  <c r="L1557" i="6"/>
  <c r="D1558" i="6"/>
  <c r="F1559" i="6"/>
  <c r="K1562" i="6"/>
  <c r="C1564" i="6"/>
  <c r="N1564" i="6"/>
  <c r="D1565" i="6"/>
  <c r="M1565" i="6"/>
  <c r="F1567" i="6"/>
  <c r="G1568" i="6"/>
  <c r="J1570" i="6"/>
  <c r="C1571" i="6"/>
  <c r="L1571" i="6"/>
  <c r="G1572" i="6"/>
  <c r="C1573" i="6"/>
  <c r="L1573" i="6"/>
  <c r="G1574" i="6"/>
  <c r="D1576" i="6"/>
  <c r="J1577" i="6"/>
  <c r="J1580" i="6"/>
  <c r="J1582" i="6"/>
  <c r="D1583" i="6"/>
  <c r="M1583" i="6"/>
  <c r="C1585" i="6"/>
  <c r="P1586" i="6"/>
  <c r="S1586" i="6" s="1"/>
  <c r="E1588" i="6"/>
  <c r="N1588" i="6"/>
  <c r="B1590" i="6"/>
  <c r="R1590" i="6" s="1"/>
  <c r="K1590" i="6"/>
  <c r="J1592" i="6"/>
  <c r="C1593" i="6"/>
  <c r="E1594" i="6"/>
  <c r="N1594" i="6"/>
  <c r="H1596" i="6"/>
  <c r="H1598" i="6"/>
  <c r="N1599" i="6"/>
  <c r="G1600" i="6"/>
  <c r="C1602" i="6"/>
  <c r="L1602" i="6"/>
  <c r="G1603" i="6"/>
  <c r="D1604" i="6"/>
  <c r="M1604" i="6"/>
  <c r="N1605" i="6"/>
  <c r="H1606" i="6"/>
  <c r="J1607" i="6"/>
  <c r="E1608" i="6"/>
  <c r="N1608" i="6"/>
  <c r="E1610" i="6"/>
  <c r="N1610" i="6"/>
  <c r="H1612" i="6"/>
  <c r="B1614" i="6"/>
  <c r="R1614" i="6" s="1"/>
  <c r="K1614" i="6"/>
  <c r="C1616" i="6"/>
  <c r="N1616" i="6"/>
  <c r="I1618" i="6"/>
  <c r="K1618" i="6"/>
  <c r="B1618" i="6"/>
  <c r="R1618" i="6" s="1"/>
  <c r="F1618" i="6"/>
  <c r="M1618" i="6"/>
  <c r="B1621" i="6"/>
  <c r="P1621" i="6" s="1"/>
  <c r="S1621" i="6" s="1"/>
  <c r="J1626" i="6"/>
  <c r="B1628" i="6"/>
  <c r="O1628" i="6" s="1"/>
  <c r="T1628" i="6" s="1"/>
  <c r="N1628" i="6"/>
  <c r="E1630" i="6"/>
  <c r="C1631" i="6"/>
  <c r="B1636" i="6"/>
  <c r="P1636" i="6" s="1"/>
  <c r="S1636" i="6" s="1"/>
  <c r="I1644" i="6"/>
  <c r="F1644" i="6"/>
  <c r="M1644" i="6"/>
  <c r="D1644" i="6"/>
  <c r="L1644" i="6"/>
  <c r="C1644" i="6"/>
  <c r="K1644" i="6"/>
  <c r="B1644" i="6"/>
  <c r="P1644" i="6" s="1"/>
  <c r="S1644" i="6" s="1"/>
  <c r="B1654" i="6"/>
  <c r="P1654" i="6" s="1"/>
  <c r="S1654" i="6" s="1"/>
  <c r="B1656" i="6"/>
  <c r="Q1656" i="6" s="1"/>
  <c r="H1681" i="6"/>
  <c r="B1687" i="6"/>
  <c r="O1687" i="6" s="1"/>
  <c r="T1687" i="6" s="1"/>
  <c r="K1570" i="6"/>
  <c r="K1580" i="6"/>
  <c r="K1582" i="6"/>
  <c r="F1588" i="6"/>
  <c r="C1590" i="6"/>
  <c r="L1590" i="6"/>
  <c r="F1593" i="6"/>
  <c r="F1594" i="6"/>
  <c r="J1596" i="6"/>
  <c r="J1598" i="6"/>
  <c r="H1600" i="6"/>
  <c r="E1604" i="6"/>
  <c r="N1604" i="6"/>
  <c r="J1606" i="6"/>
  <c r="L1607" i="6"/>
  <c r="F1608" i="6"/>
  <c r="F1610" i="6"/>
  <c r="J1612" i="6"/>
  <c r="C1614" i="6"/>
  <c r="L1614" i="6"/>
  <c r="C1617" i="6"/>
  <c r="J1617" i="6"/>
  <c r="F1621" i="6"/>
  <c r="D1628" i="6"/>
  <c r="G1630" i="6"/>
  <c r="I1631" i="6"/>
  <c r="E1636" i="6"/>
  <c r="F1654" i="6"/>
  <c r="F1656" i="6"/>
  <c r="J1699" i="6"/>
  <c r="I1699" i="6"/>
  <c r="H1699" i="6"/>
  <c r="E1699" i="6"/>
  <c r="J1600" i="6"/>
  <c r="G1608" i="6"/>
  <c r="G1610" i="6"/>
  <c r="D1614" i="6"/>
  <c r="M1614" i="6"/>
  <c r="K1621" i="6"/>
  <c r="I1626" i="6"/>
  <c r="G1626" i="6"/>
  <c r="L1626" i="6"/>
  <c r="C1626" i="6"/>
  <c r="M1626" i="6"/>
  <c r="E1628" i="6"/>
  <c r="F1636" i="6"/>
  <c r="J1654" i="6"/>
  <c r="J1656" i="6"/>
  <c r="H1679" i="6"/>
  <c r="D1679" i="6"/>
  <c r="B1679" i="6"/>
  <c r="O1679" i="6" s="1"/>
  <c r="T1679" i="6" s="1"/>
  <c r="M1679" i="6"/>
  <c r="J1679" i="6"/>
  <c r="I1679" i="6"/>
  <c r="I1682" i="6"/>
  <c r="H1682" i="6"/>
  <c r="E1682" i="6"/>
  <c r="D1682" i="6"/>
  <c r="N1682" i="6"/>
  <c r="C1682" i="6"/>
  <c r="K1688" i="6"/>
  <c r="N1688" i="6"/>
  <c r="E1688" i="6"/>
  <c r="G1518" i="6"/>
  <c r="J1525" i="6"/>
  <c r="D1529" i="6"/>
  <c r="M1529" i="6"/>
  <c r="G1530" i="6"/>
  <c r="G1532" i="6"/>
  <c r="F1539" i="6"/>
  <c r="K1540" i="6"/>
  <c r="F1541" i="6"/>
  <c r="K1542" i="6"/>
  <c r="F1543" i="6"/>
  <c r="H1544" i="6"/>
  <c r="G1551" i="6"/>
  <c r="K1552" i="6"/>
  <c r="J1553" i="6"/>
  <c r="K1554" i="6"/>
  <c r="D1556" i="6"/>
  <c r="F1557" i="6"/>
  <c r="H1558" i="6"/>
  <c r="J1559" i="6"/>
  <c r="O1562" i="6"/>
  <c r="T1562" i="6" s="1"/>
  <c r="G1564" i="6"/>
  <c r="G1565" i="6"/>
  <c r="J1567" i="6"/>
  <c r="K1568" i="6"/>
  <c r="C1570" i="6"/>
  <c r="N1570" i="6"/>
  <c r="F1571" i="6"/>
  <c r="K1572" i="6"/>
  <c r="F1573" i="6"/>
  <c r="K1574" i="6"/>
  <c r="H1576" i="6"/>
  <c r="D1577" i="6"/>
  <c r="M1577" i="6"/>
  <c r="C1580" i="6"/>
  <c r="N1580" i="6"/>
  <c r="C1582" i="6"/>
  <c r="N1582" i="6"/>
  <c r="G1583" i="6"/>
  <c r="K1584" i="6"/>
  <c r="J1586" i="6"/>
  <c r="H1588" i="6"/>
  <c r="E1590" i="6"/>
  <c r="N1590" i="6"/>
  <c r="D1592" i="6"/>
  <c r="M1592" i="6"/>
  <c r="L1593" i="6"/>
  <c r="H1594" i="6"/>
  <c r="C1596" i="6"/>
  <c r="L1596" i="6"/>
  <c r="C1598" i="6"/>
  <c r="L1598" i="6"/>
  <c r="B1600" i="6"/>
  <c r="P1600" i="6" s="1"/>
  <c r="S1600" i="6" s="1"/>
  <c r="K1600" i="6"/>
  <c r="F1602" i="6"/>
  <c r="G1604" i="6"/>
  <c r="C1606" i="6"/>
  <c r="L1606" i="6"/>
  <c r="C1607" i="6"/>
  <c r="H1608" i="6"/>
  <c r="H1610" i="6"/>
  <c r="C1612" i="6"/>
  <c r="L1612" i="6"/>
  <c r="E1614" i="6"/>
  <c r="N1614" i="6"/>
  <c r="F1617" i="6"/>
  <c r="E1618" i="6"/>
  <c r="G1619" i="6"/>
  <c r="I1622" i="6"/>
  <c r="G1622" i="6"/>
  <c r="L1622" i="6"/>
  <c r="C1622" i="6"/>
  <c r="M1622" i="6"/>
  <c r="B1626" i="6"/>
  <c r="Q1626" i="6" s="1"/>
  <c r="N1626" i="6"/>
  <c r="F1628" i="6"/>
  <c r="H1636" i="6"/>
  <c r="I1638" i="6"/>
  <c r="F1638" i="6"/>
  <c r="L1638" i="6"/>
  <c r="C1638" i="6"/>
  <c r="K1638" i="6"/>
  <c r="B1638" i="6"/>
  <c r="Q1638" i="6" s="1"/>
  <c r="K1639" i="6"/>
  <c r="I1639" i="6"/>
  <c r="H1644" i="6"/>
  <c r="K1654" i="6"/>
  <c r="K1656" i="6"/>
  <c r="J1667" i="6"/>
  <c r="I1667" i="6"/>
  <c r="H1667" i="6"/>
  <c r="E1679" i="6"/>
  <c r="F1682" i="6"/>
  <c r="I1684" i="6"/>
  <c r="D1688" i="6"/>
  <c r="J1588" i="6"/>
  <c r="F1590" i="6"/>
  <c r="J1594" i="6"/>
  <c r="C1600" i="6"/>
  <c r="L1600" i="6"/>
  <c r="J1608" i="6"/>
  <c r="J1610" i="6"/>
  <c r="F1614" i="6"/>
  <c r="K1625" i="6"/>
  <c r="C1625" i="6"/>
  <c r="J1636" i="6"/>
  <c r="J1659" i="6"/>
  <c r="C1659" i="6"/>
  <c r="B1659" i="6"/>
  <c r="R1659" i="6" s="1"/>
  <c r="I1675" i="6"/>
  <c r="H1675" i="6"/>
  <c r="E1675" i="6"/>
  <c r="G1679" i="6"/>
  <c r="K1682" i="6"/>
  <c r="K1544" i="6"/>
  <c r="J1551" i="6"/>
  <c r="K1558" i="6"/>
  <c r="J1565" i="6"/>
  <c r="F1570" i="6"/>
  <c r="K1576" i="6"/>
  <c r="F1580" i="6"/>
  <c r="F1582" i="6"/>
  <c r="J1583" i="6"/>
  <c r="B1588" i="6"/>
  <c r="R1588" i="6" s="1"/>
  <c r="K1588" i="6"/>
  <c r="G1590" i="6"/>
  <c r="B1594" i="6"/>
  <c r="O1594" i="6" s="1"/>
  <c r="T1594" i="6" s="1"/>
  <c r="K1594" i="6"/>
  <c r="E1596" i="6"/>
  <c r="N1596" i="6"/>
  <c r="E1598" i="6"/>
  <c r="N1598" i="6"/>
  <c r="D1600" i="6"/>
  <c r="M1600" i="6"/>
  <c r="B1603" i="6"/>
  <c r="J1604" i="6"/>
  <c r="C1605" i="6"/>
  <c r="B1608" i="6"/>
  <c r="Q1608" i="6" s="1"/>
  <c r="K1608" i="6"/>
  <c r="B1610" i="6"/>
  <c r="R1610" i="6" s="1"/>
  <c r="K1610" i="6"/>
  <c r="G1614" i="6"/>
  <c r="B1625" i="6"/>
  <c r="Q1625" i="6" s="1"/>
  <c r="E1626" i="6"/>
  <c r="J1628" i="6"/>
  <c r="I1630" i="6"/>
  <c r="F1630" i="6"/>
  <c r="K1630" i="6"/>
  <c r="B1630" i="6"/>
  <c r="P1630" i="6" s="1"/>
  <c r="S1630" i="6" s="1"/>
  <c r="M1630" i="6"/>
  <c r="K1636" i="6"/>
  <c r="K1659" i="6"/>
  <c r="K1668" i="6"/>
  <c r="I1668" i="6"/>
  <c r="K1680" i="6"/>
  <c r="E1680" i="6"/>
  <c r="D1680" i="6"/>
  <c r="M1682" i="6"/>
  <c r="K1530" i="6"/>
  <c r="K1532" i="6"/>
  <c r="J1539" i="6"/>
  <c r="J1541" i="6"/>
  <c r="J1543" i="6"/>
  <c r="B1544" i="6"/>
  <c r="L1544" i="6"/>
  <c r="B1551" i="6"/>
  <c r="R1551" i="6" s="1"/>
  <c r="K1551" i="6"/>
  <c r="D1552" i="6"/>
  <c r="D1553" i="6"/>
  <c r="M1553" i="6"/>
  <c r="D1554" i="6"/>
  <c r="J1557" i="6"/>
  <c r="B1558" i="6"/>
  <c r="L1558" i="6"/>
  <c r="D1559" i="6"/>
  <c r="M1559" i="6"/>
  <c r="K1564" i="6"/>
  <c r="B1565" i="6"/>
  <c r="Q1565" i="6" s="1"/>
  <c r="K1565" i="6"/>
  <c r="D1567" i="6"/>
  <c r="M1567" i="6"/>
  <c r="G1570" i="6"/>
  <c r="J1571" i="6"/>
  <c r="J1573" i="6"/>
  <c r="B1576" i="6"/>
  <c r="R1576" i="6" s="1"/>
  <c r="L1576" i="6"/>
  <c r="G1580" i="6"/>
  <c r="G1582" i="6"/>
  <c r="B1583" i="6"/>
  <c r="Q1583" i="6" s="1"/>
  <c r="K1583" i="6"/>
  <c r="C1588" i="6"/>
  <c r="L1588" i="6"/>
  <c r="H1590" i="6"/>
  <c r="C1594" i="6"/>
  <c r="L1594" i="6"/>
  <c r="F1596" i="6"/>
  <c r="F1598" i="6"/>
  <c r="E1600" i="6"/>
  <c r="N1600" i="6"/>
  <c r="J1602" i="6"/>
  <c r="D1603" i="6"/>
  <c r="B1604" i="6"/>
  <c r="P1604" i="6" s="1"/>
  <c r="S1604" i="6" s="1"/>
  <c r="K1604" i="6"/>
  <c r="F1606" i="6"/>
  <c r="C1608" i="6"/>
  <c r="L1608" i="6"/>
  <c r="C1610" i="6"/>
  <c r="L1610" i="6"/>
  <c r="F1612" i="6"/>
  <c r="H1614" i="6"/>
  <c r="I1616" i="6"/>
  <c r="H1616" i="6"/>
  <c r="M1616" i="6"/>
  <c r="K1616" i="6"/>
  <c r="K1617" i="6"/>
  <c r="E1622" i="6"/>
  <c r="F1625" i="6"/>
  <c r="F1626" i="6"/>
  <c r="K1628" i="6"/>
  <c r="C1630" i="6"/>
  <c r="N1630" i="6"/>
  <c r="I1634" i="6"/>
  <c r="F1634" i="6"/>
  <c r="L1634" i="6"/>
  <c r="C1634" i="6"/>
  <c r="K1634" i="6"/>
  <c r="B1634" i="6"/>
  <c r="P1634" i="6" s="1"/>
  <c r="S1634" i="6" s="1"/>
  <c r="N1636" i="6"/>
  <c r="G1638" i="6"/>
  <c r="K1645" i="6"/>
  <c r="J1645" i="6"/>
  <c r="K1653" i="6"/>
  <c r="C1653" i="6"/>
  <c r="I1660" i="6"/>
  <c r="G1660" i="6"/>
  <c r="F1660" i="6"/>
  <c r="M1660" i="6"/>
  <c r="D1660" i="6"/>
  <c r="L1660" i="6"/>
  <c r="C1660" i="6"/>
  <c r="K1660" i="6"/>
  <c r="B1660" i="6"/>
  <c r="P1660" i="6" s="1"/>
  <c r="S1660" i="6" s="1"/>
  <c r="N1680" i="6"/>
  <c r="L1686" i="6"/>
  <c r="C1686" i="6"/>
  <c r="M1722" i="6"/>
  <c r="J1750" i="6"/>
  <c r="L1750" i="6"/>
  <c r="H1750" i="6"/>
  <c r="F1750" i="6"/>
  <c r="C1760" i="6"/>
  <c r="H1765" i="6"/>
  <c r="D1765" i="6"/>
  <c r="C1784" i="6"/>
  <c r="K1811" i="6"/>
  <c r="N1811" i="6"/>
  <c r="J1811" i="6"/>
  <c r="I1811" i="6"/>
  <c r="F1811" i="6"/>
  <c r="C1811" i="6"/>
  <c r="E1620" i="6"/>
  <c r="N1620" i="6"/>
  <c r="J1624" i="6"/>
  <c r="J1632" i="6"/>
  <c r="J1642" i="6"/>
  <c r="G1646" i="6"/>
  <c r="E1648" i="6"/>
  <c r="N1648" i="6"/>
  <c r="D1650" i="6"/>
  <c r="M1650" i="6"/>
  <c r="D1652" i="6"/>
  <c r="M1652" i="6"/>
  <c r="D1658" i="6"/>
  <c r="M1658" i="6"/>
  <c r="H1665" i="6"/>
  <c r="F1666" i="6"/>
  <c r="G1673" i="6"/>
  <c r="E1674" i="6"/>
  <c r="E1707" i="6"/>
  <c r="E1713" i="6"/>
  <c r="D1714" i="6"/>
  <c r="I1719" i="6"/>
  <c r="B1721" i="6"/>
  <c r="O1721" i="6" s="1"/>
  <c r="T1721" i="6" s="1"/>
  <c r="C1722" i="6"/>
  <c r="N1722" i="6"/>
  <c r="G1727" i="6"/>
  <c r="H1728" i="6"/>
  <c r="F1732" i="6"/>
  <c r="J1734" i="6"/>
  <c r="K1734" i="6"/>
  <c r="H1734" i="6"/>
  <c r="L1738" i="6"/>
  <c r="K1740" i="6"/>
  <c r="L1746" i="6"/>
  <c r="C1750" i="6"/>
  <c r="J1752" i="6"/>
  <c r="N1752" i="6"/>
  <c r="C1752" i="6"/>
  <c r="L1752" i="6"/>
  <c r="K1752" i="6"/>
  <c r="G1753" i="6"/>
  <c r="B1758" i="6"/>
  <c r="P1758" i="6" s="1"/>
  <c r="S1758" i="6" s="1"/>
  <c r="G1760" i="6"/>
  <c r="H1762" i="6"/>
  <c r="N1762" i="6"/>
  <c r="I1762" i="6"/>
  <c r="G1762" i="6"/>
  <c r="G1765" i="6"/>
  <c r="K1781" i="6"/>
  <c r="F1781" i="6"/>
  <c r="E1784" i="6"/>
  <c r="J1640" i="6"/>
  <c r="B1642" i="6"/>
  <c r="P1642" i="6" s="1"/>
  <c r="S1642" i="6" s="1"/>
  <c r="K1642" i="6"/>
  <c r="H1646" i="6"/>
  <c r="C1647" i="6"/>
  <c r="F1648" i="6"/>
  <c r="O1648" i="6"/>
  <c r="T1648" i="6" s="1"/>
  <c r="E1650" i="6"/>
  <c r="N1650" i="6"/>
  <c r="E1652" i="6"/>
  <c r="N1652" i="6"/>
  <c r="E1658" i="6"/>
  <c r="N1658" i="6"/>
  <c r="J1662" i="6"/>
  <c r="B1663" i="6"/>
  <c r="O1663" i="6" s="1"/>
  <c r="T1663" i="6" s="1"/>
  <c r="D1664" i="6"/>
  <c r="M1665" i="6"/>
  <c r="H1666" i="6"/>
  <c r="H1673" i="6"/>
  <c r="F1674" i="6"/>
  <c r="C1678" i="6"/>
  <c r="K1690" i="6"/>
  <c r="B1695" i="6"/>
  <c r="O1695" i="6" s="1"/>
  <c r="T1695" i="6" s="1"/>
  <c r="D1696" i="6"/>
  <c r="M1697" i="6"/>
  <c r="H1698" i="6"/>
  <c r="H1705" i="6"/>
  <c r="F1706" i="6"/>
  <c r="H1707" i="6"/>
  <c r="M1711" i="6"/>
  <c r="G1713" i="6"/>
  <c r="E1714" i="6"/>
  <c r="E1715" i="6"/>
  <c r="J1719" i="6"/>
  <c r="E1721" i="6"/>
  <c r="D1722" i="6"/>
  <c r="I1727" i="6"/>
  <c r="K1728" i="6"/>
  <c r="J1730" i="6"/>
  <c r="H1730" i="6"/>
  <c r="F1730" i="6"/>
  <c r="I1731" i="6"/>
  <c r="H1731" i="6"/>
  <c r="L1732" i="6"/>
  <c r="C1734" i="6"/>
  <c r="H1735" i="6"/>
  <c r="M1738" i="6"/>
  <c r="L1740" i="6"/>
  <c r="M1746" i="6"/>
  <c r="K1748" i="6"/>
  <c r="D1750" i="6"/>
  <c r="D1752" i="6"/>
  <c r="G1758" i="6"/>
  <c r="C1762" i="6"/>
  <c r="G1763" i="6"/>
  <c r="I1765" i="6"/>
  <c r="K1769" i="6"/>
  <c r="J1769" i="6"/>
  <c r="F1772" i="6"/>
  <c r="B1774" i="6"/>
  <c r="P1774" i="6" s="1"/>
  <c r="S1774" i="6" s="1"/>
  <c r="M1776" i="6"/>
  <c r="I1776" i="6"/>
  <c r="N1777" i="6"/>
  <c r="J1781" i="6"/>
  <c r="G1784" i="6"/>
  <c r="N1793" i="6"/>
  <c r="J1793" i="6"/>
  <c r="G1793" i="6"/>
  <c r="G1814" i="6"/>
  <c r="F1814" i="6"/>
  <c r="E1814" i="6"/>
  <c r="N1814" i="6"/>
  <c r="C1814" i="6"/>
  <c r="M1814" i="6"/>
  <c r="B1814" i="6"/>
  <c r="Q1814" i="6" s="1"/>
  <c r="J1814" i="6"/>
  <c r="H1814" i="6"/>
  <c r="J1646" i="6"/>
  <c r="G1648" i="6"/>
  <c r="F1650" i="6"/>
  <c r="F1652" i="6"/>
  <c r="F1658" i="6"/>
  <c r="B1662" i="6"/>
  <c r="Q1662" i="6" s="1"/>
  <c r="K1662" i="6"/>
  <c r="D1663" i="6"/>
  <c r="E1664" i="6"/>
  <c r="I1666" i="6"/>
  <c r="B1671" i="6"/>
  <c r="O1671" i="6" s="1"/>
  <c r="T1671" i="6" s="1"/>
  <c r="M1673" i="6"/>
  <c r="H1674" i="6"/>
  <c r="L1678" i="6"/>
  <c r="M1690" i="6"/>
  <c r="D1695" i="6"/>
  <c r="E1696" i="6"/>
  <c r="I1698" i="6"/>
  <c r="B1703" i="6"/>
  <c r="P1703" i="6" s="1"/>
  <c r="S1703" i="6" s="1"/>
  <c r="D1704" i="6"/>
  <c r="M1705" i="6"/>
  <c r="H1706" i="6"/>
  <c r="I1707" i="6"/>
  <c r="H1713" i="6"/>
  <c r="F1714" i="6"/>
  <c r="H1715" i="6"/>
  <c r="M1719" i="6"/>
  <c r="G1721" i="6"/>
  <c r="E1722" i="6"/>
  <c r="E1723" i="6"/>
  <c r="J1727" i="6"/>
  <c r="C1730" i="6"/>
  <c r="D1731" i="6"/>
  <c r="D1734" i="6"/>
  <c r="L1745" i="6"/>
  <c r="G1745" i="6"/>
  <c r="E1750" i="6"/>
  <c r="E1752" i="6"/>
  <c r="J1758" i="6"/>
  <c r="H1761" i="6"/>
  <c r="N1761" i="6"/>
  <c r="B1761" i="6"/>
  <c r="R1761" i="6" s="1"/>
  <c r="K1761" i="6"/>
  <c r="I1761" i="6"/>
  <c r="E1762" i="6"/>
  <c r="M1765" i="6"/>
  <c r="M1768" i="6"/>
  <c r="B1768" i="6"/>
  <c r="Q1768" i="6" s="1"/>
  <c r="I1768" i="6"/>
  <c r="H1768" i="6"/>
  <c r="B1769" i="6"/>
  <c r="O1769" i="6" s="1"/>
  <c r="T1769" i="6" s="1"/>
  <c r="G1774" i="6"/>
  <c r="C1776" i="6"/>
  <c r="K1784" i="6"/>
  <c r="C1793" i="6"/>
  <c r="G1795" i="6"/>
  <c r="J1795" i="6"/>
  <c r="I1795" i="6"/>
  <c r="D1795" i="6"/>
  <c r="K1814" i="6"/>
  <c r="M1713" i="6"/>
  <c r="H1714" i="6"/>
  <c r="H1721" i="6"/>
  <c r="F1722" i="6"/>
  <c r="J1738" i="6"/>
  <c r="K1738" i="6"/>
  <c r="H1738" i="6"/>
  <c r="L1747" i="6"/>
  <c r="H1747" i="6"/>
  <c r="D1747" i="6"/>
  <c r="K1750" i="6"/>
  <c r="G1766" i="6"/>
  <c r="C1766" i="6"/>
  <c r="B1766" i="6"/>
  <c r="P1766" i="6" s="1"/>
  <c r="S1766" i="6" s="1"/>
  <c r="G1779" i="6"/>
  <c r="J1779" i="6"/>
  <c r="J1620" i="6"/>
  <c r="E1624" i="6"/>
  <c r="N1624" i="6"/>
  <c r="E1632" i="6"/>
  <c r="N1632" i="6"/>
  <c r="L1646" i="6"/>
  <c r="J1648" i="6"/>
  <c r="H1650" i="6"/>
  <c r="H1652" i="6"/>
  <c r="H1658" i="6"/>
  <c r="M1662" i="6"/>
  <c r="G1663" i="6"/>
  <c r="K1674" i="6"/>
  <c r="G1695" i="6"/>
  <c r="M1698" i="6"/>
  <c r="I1700" i="6"/>
  <c r="I1714" i="6"/>
  <c r="B1719" i="6"/>
  <c r="P1719" i="6" s="1"/>
  <c r="S1719" i="6" s="1"/>
  <c r="D1720" i="6"/>
  <c r="M1721" i="6"/>
  <c r="H1722" i="6"/>
  <c r="J1728" i="6"/>
  <c r="F1728" i="6"/>
  <c r="N1728" i="6"/>
  <c r="J1732" i="6"/>
  <c r="K1732" i="6"/>
  <c r="H1732" i="6"/>
  <c r="I1733" i="6"/>
  <c r="H1733" i="6"/>
  <c r="F1734" i="6"/>
  <c r="C1738" i="6"/>
  <c r="J1740" i="6"/>
  <c r="E1740" i="6"/>
  <c r="D1740" i="6"/>
  <c r="J1746" i="6"/>
  <c r="K1746" i="6"/>
  <c r="F1746" i="6"/>
  <c r="E1746" i="6"/>
  <c r="I1747" i="6"/>
  <c r="L1749" i="6"/>
  <c r="H1749" i="6"/>
  <c r="G1749" i="6"/>
  <c r="M1750" i="6"/>
  <c r="H1752" i="6"/>
  <c r="M1762" i="6"/>
  <c r="F1766" i="6"/>
  <c r="D1779" i="6"/>
  <c r="L1783" i="6"/>
  <c r="B1783" i="6"/>
  <c r="R1783" i="6" s="1"/>
  <c r="N1787" i="6"/>
  <c r="J1787" i="6"/>
  <c r="G1787" i="6"/>
  <c r="D1787" i="6"/>
  <c r="J1650" i="6"/>
  <c r="J1652" i="6"/>
  <c r="J1658" i="6"/>
  <c r="G1689" i="6"/>
  <c r="I1695" i="6"/>
  <c r="B1697" i="6"/>
  <c r="O1697" i="6" s="1"/>
  <c r="T1697" i="6" s="1"/>
  <c r="C1698" i="6"/>
  <c r="G1703" i="6"/>
  <c r="K1714" i="6"/>
  <c r="D1719" i="6"/>
  <c r="E1720" i="6"/>
  <c r="I1722" i="6"/>
  <c r="B1727" i="6"/>
  <c r="P1727" i="6" s="1"/>
  <c r="S1727" i="6" s="1"/>
  <c r="C1728" i="6"/>
  <c r="K1730" i="6"/>
  <c r="C1732" i="6"/>
  <c r="D1733" i="6"/>
  <c r="L1734" i="6"/>
  <c r="D1738" i="6"/>
  <c r="C1740" i="6"/>
  <c r="C1746" i="6"/>
  <c r="J1748" i="6"/>
  <c r="L1748" i="6"/>
  <c r="H1748" i="6"/>
  <c r="F1748" i="6"/>
  <c r="D1749" i="6"/>
  <c r="N1750" i="6"/>
  <c r="M1752" i="6"/>
  <c r="H1763" i="6"/>
  <c r="I1763" i="6"/>
  <c r="F1763" i="6"/>
  <c r="E1763" i="6"/>
  <c r="N1763" i="6"/>
  <c r="H1766" i="6"/>
  <c r="I1779" i="6"/>
  <c r="G1783" i="6"/>
  <c r="C1787" i="6"/>
  <c r="L1751" i="6"/>
  <c r="H1751" i="6"/>
  <c r="I1753" i="6"/>
  <c r="L1753" i="6"/>
  <c r="M1760" i="6"/>
  <c r="I1760" i="6"/>
  <c r="M1784" i="6"/>
  <c r="B1784" i="6"/>
  <c r="R1784" i="6" s="1"/>
  <c r="J1784" i="6"/>
  <c r="H1784" i="6"/>
  <c r="F1784" i="6"/>
  <c r="K1802" i="6"/>
  <c r="K1812" i="6"/>
  <c r="H1820" i="6"/>
  <c r="I1847" i="6"/>
  <c r="K1847" i="6"/>
  <c r="F1847" i="6"/>
  <c r="B1847" i="6"/>
  <c r="P1847" i="6" s="1"/>
  <c r="S1847" i="6" s="1"/>
  <c r="G1849" i="6"/>
  <c r="J1856" i="6"/>
  <c r="F1856" i="6"/>
  <c r="J1873" i="6"/>
  <c r="I1873" i="6"/>
  <c r="G1873" i="6"/>
  <c r="F1873" i="6"/>
  <c r="E1873" i="6"/>
  <c r="N1873" i="6"/>
  <c r="B1873" i="6"/>
  <c r="Q1873" i="6" s="1"/>
  <c r="L1875" i="6"/>
  <c r="J1875" i="6"/>
  <c r="I1875" i="6"/>
  <c r="G1875" i="6"/>
  <c r="F1875" i="6"/>
  <c r="B1875" i="6"/>
  <c r="O1875" i="6" s="1"/>
  <c r="T1875" i="6" s="1"/>
  <c r="L1785" i="6"/>
  <c r="B1799" i="6"/>
  <c r="O1799" i="6" s="1"/>
  <c r="T1799" i="6" s="1"/>
  <c r="K1800" i="6"/>
  <c r="B1802" i="6"/>
  <c r="R1802" i="6" s="1"/>
  <c r="M1802" i="6"/>
  <c r="B1805" i="6"/>
  <c r="P1805" i="6" s="1"/>
  <c r="S1805" i="6" s="1"/>
  <c r="C1807" i="6"/>
  <c r="C1809" i="6"/>
  <c r="B1812" i="6"/>
  <c r="Q1812" i="6" s="1"/>
  <c r="M1812" i="6"/>
  <c r="C1817" i="6"/>
  <c r="J1820" i="6"/>
  <c r="E1828" i="6"/>
  <c r="J1828" i="6"/>
  <c r="N1828" i="6"/>
  <c r="H1830" i="6"/>
  <c r="N1830" i="6"/>
  <c r="C1830" i="6"/>
  <c r="I1831" i="6"/>
  <c r="F1831" i="6"/>
  <c r="H1854" i="6"/>
  <c r="D1854" i="6"/>
  <c r="C1854" i="6"/>
  <c r="N1854" i="6"/>
  <c r="I1854" i="6"/>
  <c r="M1868" i="6"/>
  <c r="J1868" i="6"/>
  <c r="I1868" i="6"/>
  <c r="H1868" i="6"/>
  <c r="C1868" i="6"/>
  <c r="K1820" i="6"/>
  <c r="I1835" i="6"/>
  <c r="K1835" i="6"/>
  <c r="C1835" i="6"/>
  <c r="B1835" i="6"/>
  <c r="R1835" i="6" s="1"/>
  <c r="J1844" i="6"/>
  <c r="H1844" i="6"/>
  <c r="F1844" i="6"/>
  <c r="E1844" i="6"/>
  <c r="M1844" i="6"/>
  <c r="B1844" i="6"/>
  <c r="R1844" i="6" s="1"/>
  <c r="F1854" i="6"/>
  <c r="F1864" i="6"/>
  <c r="E1864" i="6"/>
  <c r="D1864" i="6"/>
  <c r="N1864" i="6"/>
  <c r="C1864" i="6"/>
  <c r="M1864" i="6"/>
  <c r="B1864" i="6"/>
  <c r="O1864" i="6" s="1"/>
  <c r="T1864" i="6" s="1"/>
  <c r="J1864" i="6"/>
  <c r="E1868" i="6"/>
  <c r="M1873" i="6"/>
  <c r="M1736" i="6"/>
  <c r="M1744" i="6"/>
  <c r="L1754" i="6"/>
  <c r="I1757" i="6"/>
  <c r="M1773" i="6"/>
  <c r="K1778" i="6"/>
  <c r="J1780" i="6"/>
  <c r="J1782" i="6"/>
  <c r="C1785" i="6"/>
  <c r="J1786" i="6"/>
  <c r="G1788" i="6"/>
  <c r="H1790" i="6"/>
  <c r="N1791" i="6"/>
  <c r="J1792" i="6"/>
  <c r="H1794" i="6"/>
  <c r="G1796" i="6"/>
  <c r="F1799" i="6"/>
  <c r="C1800" i="6"/>
  <c r="N1800" i="6"/>
  <c r="E1802" i="6"/>
  <c r="K1806" i="6"/>
  <c r="J1807" i="6"/>
  <c r="H1808" i="6"/>
  <c r="I1809" i="6"/>
  <c r="G1810" i="6"/>
  <c r="E1812" i="6"/>
  <c r="N1815" i="6"/>
  <c r="I1817" i="6"/>
  <c r="F1818" i="6"/>
  <c r="B1820" i="6"/>
  <c r="Q1820" i="6" s="1"/>
  <c r="M1820" i="6"/>
  <c r="K1821" i="6"/>
  <c r="J1822" i="6"/>
  <c r="K1823" i="6"/>
  <c r="K1824" i="6"/>
  <c r="C1828" i="6"/>
  <c r="I1829" i="6"/>
  <c r="N1829" i="6"/>
  <c r="C1829" i="6"/>
  <c r="E1830" i="6"/>
  <c r="C1831" i="6"/>
  <c r="F1835" i="6"/>
  <c r="K1836" i="6"/>
  <c r="C1844" i="6"/>
  <c r="L1854" i="6"/>
  <c r="J1871" i="6"/>
  <c r="G1871" i="6"/>
  <c r="F1871" i="6"/>
  <c r="E1871" i="6"/>
  <c r="D1871" i="6"/>
  <c r="B1871" i="6"/>
  <c r="O1871" i="6" s="1"/>
  <c r="N1871" i="6"/>
  <c r="C1736" i="6"/>
  <c r="N1736" i="6"/>
  <c r="M1742" i="6"/>
  <c r="C1744" i="6"/>
  <c r="N1744" i="6"/>
  <c r="M1754" i="6"/>
  <c r="L1757" i="6"/>
  <c r="N1773" i="6"/>
  <c r="B1778" i="6"/>
  <c r="P1778" i="6" s="1"/>
  <c r="S1778" i="6" s="1"/>
  <c r="M1778" i="6"/>
  <c r="D1785" i="6"/>
  <c r="H1788" i="6"/>
  <c r="H1796" i="6"/>
  <c r="G1799" i="6"/>
  <c r="E1800" i="6"/>
  <c r="F1802" i="6"/>
  <c r="B1806" i="6"/>
  <c r="Q1806" i="6" s="1"/>
  <c r="M1806" i="6"/>
  <c r="J1808" i="6"/>
  <c r="J1809" i="6"/>
  <c r="H1810" i="6"/>
  <c r="F1812" i="6"/>
  <c r="J1817" i="6"/>
  <c r="G1818" i="6"/>
  <c r="C1820" i="6"/>
  <c r="N1820" i="6"/>
  <c r="G1826" i="6"/>
  <c r="M1826" i="6"/>
  <c r="B1826" i="6"/>
  <c r="R1826" i="6" s="1"/>
  <c r="I1827" i="6"/>
  <c r="C1827" i="6"/>
  <c r="N1827" i="6"/>
  <c r="F1828" i="6"/>
  <c r="B1829" i="6"/>
  <c r="R1829" i="6" s="1"/>
  <c r="F1830" i="6"/>
  <c r="J1831" i="6"/>
  <c r="J1835" i="6"/>
  <c r="J1840" i="6"/>
  <c r="H1840" i="6"/>
  <c r="F1840" i="6"/>
  <c r="E1840" i="6"/>
  <c r="M1840" i="6"/>
  <c r="B1840" i="6"/>
  <c r="P1840" i="6" s="1"/>
  <c r="S1840" i="6" s="1"/>
  <c r="G1844" i="6"/>
  <c r="I1853" i="6"/>
  <c r="H1853" i="6"/>
  <c r="G1853" i="6"/>
  <c r="N1853" i="6"/>
  <c r="E1853" i="6"/>
  <c r="M1853" i="6"/>
  <c r="D1853" i="6"/>
  <c r="K1853" i="6"/>
  <c r="B1853" i="6"/>
  <c r="O1853" i="6" s="1"/>
  <c r="T1853" i="6" s="1"/>
  <c r="L1864" i="6"/>
  <c r="L1871" i="6"/>
  <c r="K1790" i="6"/>
  <c r="K1794" i="6"/>
  <c r="I1799" i="6"/>
  <c r="F1800" i="6"/>
  <c r="G1802" i="6"/>
  <c r="K1808" i="6"/>
  <c r="N1809" i="6"/>
  <c r="G1812" i="6"/>
  <c r="K1817" i="6"/>
  <c r="H1818" i="6"/>
  <c r="E1820" i="6"/>
  <c r="G1822" i="6"/>
  <c r="M1822" i="6"/>
  <c r="N1822" i="6"/>
  <c r="M1824" i="6"/>
  <c r="B1824" i="6"/>
  <c r="G1824" i="6"/>
  <c r="G1828" i="6"/>
  <c r="G1830" i="6"/>
  <c r="K1831" i="6"/>
  <c r="N1835" i="6"/>
  <c r="K1844" i="6"/>
  <c r="G1858" i="6"/>
  <c r="I1858" i="6"/>
  <c r="H1858" i="6"/>
  <c r="E1858" i="6"/>
  <c r="N1858" i="6"/>
  <c r="D1858" i="6"/>
  <c r="L1858" i="6"/>
  <c r="B1858" i="6"/>
  <c r="R1858" i="6" s="1"/>
  <c r="N1757" i="6"/>
  <c r="B1790" i="6"/>
  <c r="M1790" i="6"/>
  <c r="B1794" i="6"/>
  <c r="P1794" i="6" s="1"/>
  <c r="S1794" i="6" s="1"/>
  <c r="M1794" i="6"/>
  <c r="B1808" i="6"/>
  <c r="R1808" i="6" s="1"/>
  <c r="H1812" i="6"/>
  <c r="J1818" i="6"/>
  <c r="F1820" i="6"/>
  <c r="B1822" i="6"/>
  <c r="Q1822" i="6" s="1"/>
  <c r="C1824" i="6"/>
  <c r="I1825" i="6"/>
  <c r="K1825" i="6"/>
  <c r="B1825" i="6"/>
  <c r="R1825" i="6" s="1"/>
  <c r="H1828" i="6"/>
  <c r="J1830" i="6"/>
  <c r="N1831" i="6"/>
  <c r="T1836" i="6"/>
  <c r="H1836" i="6"/>
  <c r="E1836" i="6"/>
  <c r="N1836" i="6"/>
  <c r="C1836" i="6"/>
  <c r="N1844" i="6"/>
  <c r="I1849" i="6"/>
  <c r="F1849" i="6"/>
  <c r="N1849" i="6"/>
  <c r="E1849" i="6"/>
  <c r="L1849" i="6"/>
  <c r="C1849" i="6"/>
  <c r="K1849" i="6"/>
  <c r="B1849" i="6"/>
  <c r="O1849" i="6" s="1"/>
  <c r="T1849" i="6" s="1"/>
  <c r="H1849" i="6"/>
  <c r="N1887" i="6"/>
  <c r="L1887" i="6"/>
  <c r="J1887" i="6"/>
  <c r="G1887" i="6"/>
  <c r="E1887" i="6"/>
  <c r="B1887" i="6"/>
  <c r="P1887" i="6" s="1"/>
  <c r="S1887" i="6" s="1"/>
  <c r="B1823" i="6"/>
  <c r="Q1823" i="6" s="1"/>
  <c r="J1823" i="6"/>
  <c r="K1828" i="6"/>
  <c r="K1830" i="6"/>
  <c r="I1843" i="6"/>
  <c r="N1843" i="6"/>
  <c r="J1843" i="6"/>
  <c r="F1843" i="6"/>
  <c r="B1843" i="6"/>
  <c r="R1843" i="6" s="1"/>
  <c r="D1849" i="6"/>
  <c r="F1858" i="6"/>
  <c r="H1898" i="6"/>
  <c r="M1898" i="6"/>
  <c r="C1898" i="6"/>
  <c r="E1898" i="6"/>
  <c r="N1898" i="6"/>
  <c r="E1952" i="6"/>
  <c r="H1960" i="6"/>
  <c r="M1860" i="6"/>
  <c r="G1877" i="6"/>
  <c r="M1881" i="6"/>
  <c r="N1889" i="6"/>
  <c r="B1898" i="6"/>
  <c r="O1898" i="6" s="1"/>
  <c r="T1898" i="6" s="1"/>
  <c r="K1902" i="6"/>
  <c r="N1914" i="6"/>
  <c r="B1914" i="6"/>
  <c r="P1914" i="6" s="1"/>
  <c r="S1914" i="6" s="1"/>
  <c r="L1914" i="6"/>
  <c r="E1914" i="6"/>
  <c r="M1917" i="6"/>
  <c r="E1917" i="6"/>
  <c r="M1919" i="6"/>
  <c r="F1919" i="6"/>
  <c r="I1925" i="6"/>
  <c r="K1960" i="6"/>
  <c r="Q1964" i="6"/>
  <c r="D1898" i="6"/>
  <c r="C1914" i="6"/>
  <c r="H1918" i="6"/>
  <c r="L1918" i="6"/>
  <c r="B1918" i="6"/>
  <c r="P1918" i="6" s="1"/>
  <c r="S1918" i="6" s="1"/>
  <c r="I1918" i="6"/>
  <c r="N1918" i="6"/>
  <c r="D1918" i="6"/>
  <c r="B1919" i="6"/>
  <c r="O1919" i="6" s="1"/>
  <c r="T1919" i="6" s="1"/>
  <c r="G1924" i="6"/>
  <c r="M1925" i="6"/>
  <c r="L1928" i="6"/>
  <c r="E1928" i="6"/>
  <c r="B1928" i="6"/>
  <c r="R1928" i="6" s="1"/>
  <c r="J1928" i="6"/>
  <c r="G1930" i="6"/>
  <c r="E1930" i="6"/>
  <c r="J1930" i="6"/>
  <c r="K1952" i="6"/>
  <c r="E1957" i="6"/>
  <c r="N1957" i="6"/>
  <c r="D1957" i="6"/>
  <c r="M1957" i="6"/>
  <c r="C1957" i="6"/>
  <c r="I1957" i="6"/>
  <c r="G1957" i="6"/>
  <c r="M1967" i="6"/>
  <c r="F1967" i="6"/>
  <c r="D1967" i="6"/>
  <c r="C1967" i="6"/>
  <c r="L1967" i="6"/>
  <c r="H1967" i="6"/>
  <c r="J1833" i="6"/>
  <c r="F1834" i="6"/>
  <c r="K1837" i="6"/>
  <c r="G1838" i="6"/>
  <c r="C1839" i="6"/>
  <c r="J1842" i="6"/>
  <c r="I1850" i="6"/>
  <c r="F1851" i="6"/>
  <c r="G1859" i="6"/>
  <c r="C1860" i="6"/>
  <c r="L1863" i="6"/>
  <c r="F1865" i="6"/>
  <c r="J1869" i="6"/>
  <c r="J1876" i="6"/>
  <c r="L1877" i="6"/>
  <c r="M1879" i="6"/>
  <c r="D1881" i="6"/>
  <c r="I1884" i="6"/>
  <c r="D1889" i="6"/>
  <c r="I1894" i="6"/>
  <c r="I1896" i="6"/>
  <c r="M1896" i="6"/>
  <c r="F1898" i="6"/>
  <c r="K1905" i="6"/>
  <c r="B1905" i="6"/>
  <c r="Q1905" i="6" s="1"/>
  <c r="K1907" i="6"/>
  <c r="F1914" i="6"/>
  <c r="C1918" i="6"/>
  <c r="E1919" i="6"/>
  <c r="L1924" i="6"/>
  <c r="D1928" i="6"/>
  <c r="B1930" i="6"/>
  <c r="R1930" i="6" s="1"/>
  <c r="M1943" i="6"/>
  <c r="F1957" i="6"/>
  <c r="F1959" i="6"/>
  <c r="D1959" i="6"/>
  <c r="C1959" i="6"/>
  <c r="N1959" i="6"/>
  <c r="I1959" i="6"/>
  <c r="G1967" i="6"/>
  <c r="N1837" i="6"/>
  <c r="H1838" i="6"/>
  <c r="F1839" i="6"/>
  <c r="K1842" i="6"/>
  <c r="L1850" i="6"/>
  <c r="G1851" i="6"/>
  <c r="J1855" i="6"/>
  <c r="I1859" i="6"/>
  <c r="D1860" i="6"/>
  <c r="B1863" i="6"/>
  <c r="M1863" i="6"/>
  <c r="H1865" i="6"/>
  <c r="E1867" i="6"/>
  <c r="C1872" i="6"/>
  <c r="N1877" i="6"/>
  <c r="E1881" i="6"/>
  <c r="B1883" i="6"/>
  <c r="P1883" i="6" s="1"/>
  <c r="S1883" i="6" s="1"/>
  <c r="J1884" i="6"/>
  <c r="C1886" i="6"/>
  <c r="E1889" i="6"/>
  <c r="J1894" i="6"/>
  <c r="B1896" i="6"/>
  <c r="R1896" i="6" s="1"/>
  <c r="G1898" i="6"/>
  <c r="M1905" i="6"/>
  <c r="J1909" i="6"/>
  <c r="B1909" i="6"/>
  <c r="O1909" i="6" s="1"/>
  <c r="T1909" i="6" s="1"/>
  <c r="N1909" i="6"/>
  <c r="E1909" i="6"/>
  <c r="F1911" i="6"/>
  <c r="B1911" i="6"/>
  <c r="H1911" i="6"/>
  <c r="I1914" i="6"/>
  <c r="E1918" i="6"/>
  <c r="J1919" i="6"/>
  <c r="G1928" i="6"/>
  <c r="D1930" i="6"/>
  <c r="N1935" i="6"/>
  <c r="J1935" i="6"/>
  <c r="N1943" i="6"/>
  <c r="G1951" i="6"/>
  <c r="E1951" i="6"/>
  <c r="D1951" i="6"/>
  <c r="N1951" i="6"/>
  <c r="I1951" i="6"/>
  <c r="H1957" i="6"/>
  <c r="M1963" i="6"/>
  <c r="H1963" i="6"/>
  <c r="G1963" i="6"/>
  <c r="F1963" i="6"/>
  <c r="C1963" i="6"/>
  <c r="L1963" i="6"/>
  <c r="K1967" i="6"/>
  <c r="I1898" i="6"/>
  <c r="H1925" i="6"/>
  <c r="E1925" i="6"/>
  <c r="J1925" i="6"/>
  <c r="F1944" i="6"/>
  <c r="E1944" i="6"/>
  <c r="M1965" i="6"/>
  <c r="L1965" i="6"/>
  <c r="K1965" i="6"/>
  <c r="H1965" i="6"/>
  <c r="F1965" i="6"/>
  <c r="C1965" i="6"/>
  <c r="I1970" i="6"/>
  <c r="G1970" i="6"/>
  <c r="E1970" i="6"/>
  <c r="D1970" i="6"/>
  <c r="L1970" i="6"/>
  <c r="B1970" i="6"/>
  <c r="O1970" i="6" s="1"/>
  <c r="T1970" i="6" s="1"/>
  <c r="J1970" i="6"/>
  <c r="H1970" i="6"/>
  <c r="K1838" i="6"/>
  <c r="K1839" i="6"/>
  <c r="J1851" i="6"/>
  <c r="M1859" i="6"/>
  <c r="H1860" i="6"/>
  <c r="H1872" i="6"/>
  <c r="B1877" i="6"/>
  <c r="O1877" i="6" s="1"/>
  <c r="T1877" i="6" s="1"/>
  <c r="F1878" i="6"/>
  <c r="G1881" i="6"/>
  <c r="F1883" i="6"/>
  <c r="F1886" i="6"/>
  <c r="I1889" i="6"/>
  <c r="M1894" i="6"/>
  <c r="K1896" i="6"/>
  <c r="K1898" i="6"/>
  <c r="N1901" i="6"/>
  <c r="K1901" i="6"/>
  <c r="B1901" i="6"/>
  <c r="Q1901" i="6" s="1"/>
  <c r="E1902" i="6"/>
  <c r="G1907" i="6"/>
  <c r="E1907" i="6"/>
  <c r="I1907" i="6"/>
  <c r="M1914" i="6"/>
  <c r="M1924" i="6"/>
  <c r="B1924" i="6"/>
  <c r="O1924" i="6" s="1"/>
  <c r="T1924" i="6" s="1"/>
  <c r="J1924" i="6"/>
  <c r="D1924" i="6"/>
  <c r="B1925" i="6"/>
  <c r="R1925" i="6" s="1"/>
  <c r="I1960" i="6"/>
  <c r="D1960" i="6"/>
  <c r="M1960" i="6"/>
  <c r="C1960" i="6"/>
  <c r="L1960" i="6"/>
  <c r="B1960" i="6"/>
  <c r="J1960" i="6"/>
  <c r="G1960" i="6"/>
  <c r="D1965" i="6"/>
  <c r="C1970" i="6"/>
  <c r="B1837" i="6"/>
  <c r="R1837" i="6" s="1"/>
  <c r="B1838" i="6"/>
  <c r="P1838" i="6" s="1"/>
  <c r="S1838" i="6" s="1"/>
  <c r="N1839" i="6"/>
  <c r="F1841" i="6"/>
  <c r="D1848" i="6"/>
  <c r="B1851" i="6"/>
  <c r="O1851" i="6" s="1"/>
  <c r="T1851" i="6" s="1"/>
  <c r="K1851" i="6"/>
  <c r="B1859" i="6"/>
  <c r="P1859" i="6" s="1"/>
  <c r="S1859" i="6" s="1"/>
  <c r="N1859" i="6"/>
  <c r="B1870" i="6"/>
  <c r="P1870" i="6" s="1"/>
  <c r="S1870" i="6" s="1"/>
  <c r="D1877" i="6"/>
  <c r="G1883" i="6"/>
  <c r="J1886" i="6"/>
  <c r="J1889" i="6"/>
  <c r="G1897" i="6"/>
  <c r="J1897" i="6"/>
  <c r="L1898" i="6"/>
  <c r="C1901" i="6"/>
  <c r="G1902" i="6"/>
  <c r="B1907" i="6"/>
  <c r="P1907" i="6" s="1"/>
  <c r="S1907" i="6" s="1"/>
  <c r="C1925" i="6"/>
  <c r="F1929" i="6"/>
  <c r="I1929" i="6"/>
  <c r="B1929" i="6"/>
  <c r="O1929" i="6" s="1"/>
  <c r="T1929" i="6" s="1"/>
  <c r="M1929" i="6"/>
  <c r="F1934" i="6"/>
  <c r="I1934" i="6"/>
  <c r="E1934" i="6"/>
  <c r="M1934" i="6"/>
  <c r="D1952" i="6"/>
  <c r="M1952" i="6"/>
  <c r="C1952" i="6"/>
  <c r="L1952" i="6"/>
  <c r="B1952" i="6"/>
  <c r="O1952" i="6" s="1"/>
  <c r="T1952" i="6" s="1"/>
  <c r="I1952" i="6"/>
  <c r="G1952" i="6"/>
  <c r="E1960" i="6"/>
  <c r="N1963" i="6"/>
  <c r="G1965" i="6"/>
  <c r="K1970" i="6"/>
  <c r="K1972" i="6"/>
  <c r="H1977" i="6"/>
  <c r="E1978" i="6"/>
  <c r="N1979" i="6"/>
  <c r="K1982" i="6"/>
  <c r="H1983" i="6"/>
  <c r="E1984" i="6"/>
  <c r="H1986" i="6"/>
  <c r="N1987" i="6"/>
  <c r="M1992" i="6"/>
  <c r="D1895" i="6"/>
  <c r="C1903" i="6"/>
  <c r="N1903" i="6"/>
  <c r="F1904" i="6"/>
  <c r="F1908" i="6"/>
  <c r="C1910" i="6"/>
  <c r="C1915" i="6"/>
  <c r="K1923" i="6"/>
  <c r="I1926" i="6"/>
  <c r="G1940" i="6"/>
  <c r="E1954" i="6"/>
  <c r="E1956" i="6"/>
  <c r="D1962" i="6"/>
  <c r="H1964" i="6"/>
  <c r="K1966" i="6"/>
  <c r="E1968" i="6"/>
  <c r="N1969" i="6"/>
  <c r="B1972" i="6"/>
  <c r="L1972" i="6"/>
  <c r="F1973" i="6"/>
  <c r="F1975" i="6"/>
  <c r="K1977" i="6"/>
  <c r="G1978" i="6"/>
  <c r="C1979" i="6"/>
  <c r="K1980" i="6"/>
  <c r="B1982" i="6"/>
  <c r="Q1982" i="6" s="1"/>
  <c r="L1982" i="6"/>
  <c r="K1983" i="6"/>
  <c r="G1984" i="6"/>
  <c r="N1985" i="6"/>
  <c r="J1986" i="6"/>
  <c r="C1987" i="6"/>
  <c r="N1988" i="6"/>
  <c r="I2003" i="6"/>
  <c r="H1978" i="6"/>
  <c r="H1984" i="6"/>
  <c r="K1986" i="6"/>
  <c r="K1964" i="6"/>
  <c r="D1972" i="6"/>
  <c r="N1977" i="6"/>
  <c r="J1978" i="6"/>
  <c r="N1983" i="6"/>
  <c r="J1984" i="6"/>
  <c r="B1986" i="6"/>
  <c r="Q1986" i="6" s="1"/>
  <c r="L1986" i="6"/>
  <c r="K1978" i="6"/>
  <c r="K1984" i="6"/>
  <c r="M1904" i="6"/>
  <c r="N1908" i="6"/>
  <c r="E1950" i="6"/>
  <c r="L1954" i="6"/>
  <c r="J1962" i="6"/>
  <c r="C1964" i="6"/>
  <c r="M1964" i="6"/>
  <c r="K1968" i="6"/>
  <c r="G1972" i="6"/>
  <c r="L1973" i="6"/>
  <c r="L1975" i="6"/>
  <c r="D1977" i="6"/>
  <c r="B1978" i="6"/>
  <c r="R1978" i="6" s="1"/>
  <c r="L1978" i="6"/>
  <c r="H1979" i="6"/>
  <c r="G1982" i="6"/>
  <c r="D1983" i="6"/>
  <c r="B1984" i="6"/>
  <c r="O1984" i="6" s="1"/>
  <c r="T1984" i="6" s="1"/>
  <c r="L1984" i="6"/>
  <c r="D1986" i="6"/>
  <c r="H1987" i="6"/>
  <c r="F1992" i="6"/>
  <c r="G1950" i="6"/>
  <c r="K1962" i="6"/>
  <c r="D1964" i="6"/>
  <c r="H1972" i="6"/>
  <c r="N1973" i="6"/>
  <c r="N1975" i="6"/>
  <c r="F1977" i="6"/>
  <c r="C1978" i="6"/>
  <c r="M1978" i="6"/>
  <c r="K1979" i="6"/>
  <c r="H1982" i="6"/>
  <c r="F1983" i="6"/>
  <c r="C1984" i="6"/>
  <c r="M1984" i="6"/>
  <c r="E1986" i="6"/>
  <c r="K1987" i="6"/>
  <c r="I1992" i="6"/>
  <c r="C1904" i="6"/>
  <c r="N1915" i="6"/>
  <c r="E1940" i="6"/>
  <c r="M1942" i="6"/>
  <c r="C1954" i="6"/>
  <c r="B1962" i="6"/>
  <c r="O1962" i="6" s="1"/>
  <c r="T1962" i="6" s="1"/>
  <c r="L1962" i="6"/>
  <c r="E1964" i="6"/>
  <c r="H1966" i="6"/>
  <c r="C1968" i="6"/>
  <c r="M1968" i="6"/>
  <c r="K1969" i="6"/>
  <c r="N1971" i="6"/>
  <c r="J1972" i="6"/>
  <c r="C1973" i="6"/>
  <c r="K1974" i="6"/>
  <c r="C1975" i="6"/>
  <c r="K1976" i="6"/>
  <c r="G1977" i="6"/>
  <c r="D1978" i="6"/>
  <c r="L1979" i="6"/>
  <c r="H1980" i="6"/>
  <c r="N1981" i="6"/>
  <c r="J1982" i="6"/>
  <c r="G1983" i="6"/>
  <c r="D1984" i="6"/>
  <c r="K1985" i="6"/>
  <c r="G1986" i="6"/>
  <c r="L1987" i="6"/>
  <c r="G1990" i="6"/>
  <c r="I1999" i="6"/>
  <c r="I2002" i="6"/>
  <c r="Q226" i="6"/>
  <c r="P226" i="6"/>
  <c r="S226" i="6" s="1"/>
  <c r="R70" i="6"/>
  <c r="Q70" i="6"/>
  <c r="P70" i="6"/>
  <c r="S70" i="6" s="1"/>
  <c r="O70" i="6"/>
  <c r="T70" i="6" s="1"/>
  <c r="D29" i="4"/>
  <c r="D118" i="4"/>
  <c r="Q21" i="6"/>
  <c r="O528" i="6"/>
  <c r="T528" i="6" s="1"/>
  <c r="Q528" i="6"/>
  <c r="P528" i="6"/>
  <c r="S528" i="6" s="1"/>
  <c r="R528" i="6"/>
  <c r="P635" i="6"/>
  <c r="S635" i="6" s="1"/>
  <c r="R635" i="6"/>
  <c r="Q635" i="6"/>
  <c r="O635" i="6"/>
  <c r="T635" i="6" s="1"/>
  <c r="J81" i="6"/>
  <c r="B81" i="6"/>
  <c r="I81" i="6"/>
  <c r="H81" i="6"/>
  <c r="G81" i="6"/>
  <c r="F81" i="6"/>
  <c r="E81" i="6"/>
  <c r="M81" i="6"/>
  <c r="D81" i="6"/>
  <c r="L81" i="6"/>
  <c r="C81" i="6"/>
  <c r="M115" i="6"/>
  <c r="E115" i="6"/>
  <c r="J115" i="6"/>
  <c r="B115" i="6"/>
  <c r="K115" i="6"/>
  <c r="I115" i="6"/>
  <c r="H115" i="6"/>
  <c r="G115" i="6"/>
  <c r="F115" i="6"/>
  <c r="D115" i="6"/>
  <c r="C115" i="6"/>
  <c r="O61" i="6"/>
  <c r="T61" i="6" s="1"/>
  <c r="Q128" i="6"/>
  <c r="R128" i="6"/>
  <c r="N128" i="6" s="1"/>
  <c r="P128" i="6"/>
  <c r="S128" i="6" s="1"/>
  <c r="O128" i="6"/>
  <c r="T128" i="6" s="1"/>
  <c r="Q168" i="6"/>
  <c r="R168" i="6"/>
  <c r="N168" i="6" s="1"/>
  <c r="P168" i="6"/>
  <c r="S168" i="6" s="1"/>
  <c r="O255" i="6"/>
  <c r="T255" i="6" s="1"/>
  <c r="P255" i="6"/>
  <c r="S255" i="6" s="1"/>
  <c r="R255" i="6"/>
  <c r="O271" i="6"/>
  <c r="T271" i="6" s="1"/>
  <c r="P271" i="6"/>
  <c r="S271" i="6" s="1"/>
  <c r="R271" i="6"/>
  <c r="Q271" i="6"/>
  <c r="O287" i="6"/>
  <c r="T287" i="6" s="1"/>
  <c r="P287" i="6"/>
  <c r="S287" i="6" s="1"/>
  <c r="R287" i="6"/>
  <c r="O293" i="6"/>
  <c r="T293" i="6" s="1"/>
  <c r="Q357" i="6"/>
  <c r="P357" i="6"/>
  <c r="S357" i="6" s="1"/>
  <c r="O522" i="6"/>
  <c r="T522" i="6" s="1"/>
  <c r="R538" i="6"/>
  <c r="P538" i="6"/>
  <c r="S538" i="6" s="1"/>
  <c r="Q554" i="6"/>
  <c r="O554" i="6"/>
  <c r="T554" i="6" s="1"/>
  <c r="R554" i="6"/>
  <c r="N554" i="6" s="1"/>
  <c r="P554" i="6"/>
  <c r="S554" i="6" s="1"/>
  <c r="O618" i="6"/>
  <c r="T618" i="6" s="1"/>
  <c r="R618" i="6"/>
  <c r="Q618" i="6"/>
  <c r="P618" i="6"/>
  <c r="S618" i="6" s="1"/>
  <c r="B17" i="4"/>
  <c r="B24" i="4"/>
  <c r="F13" i="3"/>
  <c r="B33" i="4"/>
  <c r="B40" i="4"/>
  <c r="F29" i="3"/>
  <c r="B49" i="4"/>
  <c r="B56" i="4"/>
  <c r="F45" i="3"/>
  <c r="B65" i="4"/>
  <c r="B72" i="4"/>
  <c r="F61" i="3"/>
  <c r="B81" i="4"/>
  <c r="B88" i="4"/>
  <c r="F77" i="3"/>
  <c r="B97" i="4"/>
  <c r="B104" i="4"/>
  <c r="F93" i="3"/>
  <c r="B113" i="4"/>
  <c r="B120" i="4"/>
  <c r="F109" i="3"/>
  <c r="B129" i="4"/>
  <c r="B136" i="4"/>
  <c r="F125" i="3"/>
  <c r="B145" i="4"/>
  <c r="B152" i="4"/>
  <c r="F141" i="3"/>
  <c r="B161" i="4"/>
  <c r="B168" i="4"/>
  <c r="F157" i="3"/>
  <c r="B177" i="4"/>
  <c r="B184" i="4"/>
  <c r="F173" i="3"/>
  <c r="B193" i="4"/>
  <c r="B200" i="4"/>
  <c r="F189" i="3"/>
  <c r="B209" i="4"/>
  <c r="H10" i="6"/>
  <c r="G10" i="6"/>
  <c r="F10" i="6"/>
  <c r="M10" i="6"/>
  <c r="E10" i="6"/>
  <c r="L10" i="6"/>
  <c r="D10" i="6"/>
  <c r="K10" i="6"/>
  <c r="C10" i="6"/>
  <c r="J10" i="6"/>
  <c r="B10" i="6"/>
  <c r="H18" i="6"/>
  <c r="G18" i="6"/>
  <c r="F18" i="6"/>
  <c r="M18" i="6"/>
  <c r="E18" i="6"/>
  <c r="L18" i="6"/>
  <c r="D18" i="6"/>
  <c r="K18" i="6"/>
  <c r="C18" i="6"/>
  <c r="J18" i="6"/>
  <c r="B18" i="6"/>
  <c r="H26" i="6"/>
  <c r="G26" i="6"/>
  <c r="F26" i="6"/>
  <c r="M26" i="6"/>
  <c r="E26" i="6"/>
  <c r="L26" i="6"/>
  <c r="D26" i="6"/>
  <c r="K26" i="6"/>
  <c r="C26" i="6"/>
  <c r="J26" i="6"/>
  <c r="B26" i="6"/>
  <c r="H34" i="6"/>
  <c r="G34" i="6"/>
  <c r="F34" i="6"/>
  <c r="M34" i="6"/>
  <c r="E34" i="6"/>
  <c r="L34" i="6"/>
  <c r="D34" i="6"/>
  <c r="K34" i="6"/>
  <c r="C34" i="6"/>
  <c r="J34" i="6"/>
  <c r="B34" i="6"/>
  <c r="H42" i="6"/>
  <c r="G42" i="6"/>
  <c r="F42" i="6"/>
  <c r="M42" i="6"/>
  <c r="E42" i="6"/>
  <c r="L42" i="6"/>
  <c r="D42" i="6"/>
  <c r="K42" i="6"/>
  <c r="C42" i="6"/>
  <c r="J42" i="6"/>
  <c r="B42" i="6"/>
  <c r="H50" i="6"/>
  <c r="G50" i="6"/>
  <c r="F50" i="6"/>
  <c r="M50" i="6"/>
  <c r="E50" i="6"/>
  <c r="L50" i="6"/>
  <c r="D50" i="6"/>
  <c r="K50" i="6"/>
  <c r="C50" i="6"/>
  <c r="J50" i="6"/>
  <c r="B50" i="6"/>
  <c r="H58" i="6"/>
  <c r="G58" i="6"/>
  <c r="F58" i="6"/>
  <c r="M58" i="6"/>
  <c r="E58" i="6"/>
  <c r="L58" i="6"/>
  <c r="D58" i="6"/>
  <c r="K58" i="6"/>
  <c r="C58" i="6"/>
  <c r="J58" i="6"/>
  <c r="B58" i="6"/>
  <c r="H66" i="6"/>
  <c r="G66" i="6"/>
  <c r="F66" i="6"/>
  <c r="M66" i="6"/>
  <c r="E66" i="6"/>
  <c r="L66" i="6"/>
  <c r="D66" i="6"/>
  <c r="K66" i="6"/>
  <c r="C66" i="6"/>
  <c r="J66" i="6"/>
  <c r="B66" i="6"/>
  <c r="F76" i="6"/>
  <c r="I76" i="6"/>
  <c r="H76" i="6"/>
  <c r="G76" i="6"/>
  <c r="E76" i="6"/>
  <c r="M76" i="6"/>
  <c r="D76" i="6"/>
  <c r="L76" i="6"/>
  <c r="C76" i="6"/>
  <c r="K76" i="6"/>
  <c r="B76" i="6"/>
  <c r="K81" i="6"/>
  <c r="F92" i="6"/>
  <c r="I92" i="6"/>
  <c r="H92" i="6"/>
  <c r="G92" i="6"/>
  <c r="E92" i="6"/>
  <c r="M92" i="6"/>
  <c r="D92" i="6"/>
  <c r="L92" i="6"/>
  <c r="C92" i="6"/>
  <c r="K92" i="6"/>
  <c r="B92" i="6"/>
  <c r="L115" i="6"/>
  <c r="M179" i="6"/>
  <c r="E179" i="6"/>
  <c r="J179" i="6"/>
  <c r="B179" i="6"/>
  <c r="K179" i="6"/>
  <c r="I179" i="6"/>
  <c r="H179" i="6"/>
  <c r="G179" i="6"/>
  <c r="F179" i="6"/>
  <c r="D179" i="6"/>
  <c r="C179" i="6"/>
  <c r="R25" i="6"/>
  <c r="Q25" i="6"/>
  <c r="P25" i="6"/>
  <c r="S25" i="6" s="1"/>
  <c r="O25" i="6"/>
  <c r="T25" i="6" s="1"/>
  <c r="Q192" i="6"/>
  <c r="R192" i="6"/>
  <c r="N192" i="6" s="1"/>
  <c r="P192" i="6"/>
  <c r="S192" i="6" s="1"/>
  <c r="O192" i="6"/>
  <c r="T192" i="6" s="1"/>
  <c r="Q104" i="6"/>
  <c r="R104" i="6"/>
  <c r="N104" i="6" s="1"/>
  <c r="P104" i="6"/>
  <c r="S104" i="6" s="1"/>
  <c r="R27" i="6"/>
  <c r="Q27" i="6"/>
  <c r="P27" i="6"/>
  <c r="S27" i="6" s="1"/>
  <c r="O27" i="6"/>
  <c r="T27" i="6" s="1"/>
  <c r="R43" i="6"/>
  <c r="Q43" i="6"/>
  <c r="P43" i="6"/>
  <c r="S43" i="6" s="1"/>
  <c r="O43" i="6"/>
  <c r="T43" i="6" s="1"/>
  <c r="R59" i="6"/>
  <c r="Q59" i="6"/>
  <c r="P59" i="6"/>
  <c r="S59" i="6" s="1"/>
  <c r="O59" i="6"/>
  <c r="T59" i="6" s="1"/>
  <c r="R67" i="6"/>
  <c r="Q67" i="6"/>
  <c r="P67" i="6"/>
  <c r="S67" i="6" s="1"/>
  <c r="O67" i="6"/>
  <c r="T67" i="6" s="1"/>
  <c r="R80" i="6"/>
  <c r="N80" i="6" s="1"/>
  <c r="Q80" i="6"/>
  <c r="P80" i="6"/>
  <c r="S80" i="6" s="1"/>
  <c r="O80" i="6"/>
  <c r="T80" i="6" s="1"/>
  <c r="Q138" i="6"/>
  <c r="O138" i="6"/>
  <c r="T138" i="6" s="1"/>
  <c r="R138" i="6"/>
  <c r="Q144" i="6"/>
  <c r="R144" i="6"/>
  <c r="N144" i="6" s="1"/>
  <c r="P144" i="6"/>
  <c r="S144" i="6" s="1"/>
  <c r="O144" i="6"/>
  <c r="T144" i="6" s="1"/>
  <c r="Q202" i="6"/>
  <c r="O202" i="6"/>
  <c r="T202" i="6" s="1"/>
  <c r="P202" i="6"/>
  <c r="S202" i="6" s="1"/>
  <c r="Q208" i="6"/>
  <c r="O208" i="6"/>
  <c r="T208" i="6" s="1"/>
  <c r="R208" i="6"/>
  <c r="N208" i="6" s="1"/>
  <c r="P208" i="6"/>
  <c r="S208" i="6" s="1"/>
  <c r="C204" i="3"/>
  <c r="B6" i="4"/>
  <c r="C26" i="4"/>
  <c r="F26" i="4" s="1"/>
  <c r="C42" i="4"/>
  <c r="C58" i="4"/>
  <c r="C74" i="4"/>
  <c r="C81" i="4"/>
  <c r="F70" i="3"/>
  <c r="C90" i="4"/>
  <c r="C97" i="4"/>
  <c r="F86" i="3"/>
  <c r="C106" i="4"/>
  <c r="C113" i="4"/>
  <c r="F102" i="3"/>
  <c r="C122" i="4"/>
  <c r="C129" i="4"/>
  <c r="F118" i="3"/>
  <c r="C138" i="4"/>
  <c r="C145" i="4"/>
  <c r="F134" i="3"/>
  <c r="C154" i="4"/>
  <c r="C161" i="4"/>
  <c r="F150" i="3"/>
  <c r="C170" i="4"/>
  <c r="C177" i="4"/>
  <c r="F166" i="3"/>
  <c r="C186" i="4"/>
  <c r="C193" i="4"/>
  <c r="F182" i="3"/>
  <c r="C85" i="4"/>
  <c r="C101" i="4"/>
  <c r="C117" i="4"/>
  <c r="C133" i="4"/>
  <c r="C149" i="4"/>
  <c r="C165" i="4"/>
  <c r="C181" i="4"/>
  <c r="C197" i="4"/>
  <c r="I66" i="6"/>
  <c r="J76" i="6"/>
  <c r="J92" i="6"/>
  <c r="M99" i="6"/>
  <c r="E99" i="6"/>
  <c r="J99" i="6"/>
  <c r="B99" i="6"/>
  <c r="K99" i="6"/>
  <c r="I99" i="6"/>
  <c r="H99" i="6"/>
  <c r="G99" i="6"/>
  <c r="F99" i="6"/>
  <c r="D99" i="6"/>
  <c r="C99" i="6"/>
  <c r="M163" i="6"/>
  <c r="E163" i="6"/>
  <c r="J163" i="6"/>
  <c r="B163" i="6"/>
  <c r="K163" i="6"/>
  <c r="I163" i="6"/>
  <c r="H163" i="6"/>
  <c r="G163" i="6"/>
  <c r="F163" i="6"/>
  <c r="D163" i="6"/>
  <c r="C163" i="6"/>
  <c r="L179" i="6"/>
  <c r="G329" i="6"/>
  <c r="F329" i="6"/>
  <c r="M329" i="6"/>
  <c r="E329" i="6"/>
  <c r="K329" i="6"/>
  <c r="J329" i="6"/>
  <c r="I329" i="6"/>
  <c r="H329" i="6"/>
  <c r="D329" i="6"/>
  <c r="C329" i="6"/>
  <c r="B329" i="6"/>
  <c r="L329" i="6"/>
  <c r="R102" i="6"/>
  <c r="O102" i="6"/>
  <c r="T102" i="6" s="1"/>
  <c r="O108" i="6"/>
  <c r="T108" i="6" s="1"/>
  <c r="P114" i="6"/>
  <c r="S114" i="6" s="1"/>
  <c r="O114" i="6"/>
  <c r="T114" i="6" s="1"/>
  <c r="Q120" i="6"/>
  <c r="R120" i="6"/>
  <c r="N120" i="6" s="1"/>
  <c r="P120" i="6"/>
  <c r="S120" i="6" s="1"/>
  <c r="O178" i="6"/>
  <c r="T178" i="6" s="1"/>
  <c r="Q184" i="6"/>
  <c r="R184" i="6"/>
  <c r="N184" i="6" s="1"/>
  <c r="P184" i="6"/>
  <c r="S184" i="6" s="1"/>
  <c r="D204" i="3"/>
  <c r="B7" i="4"/>
  <c r="F10" i="3"/>
  <c r="F11" i="3"/>
  <c r="F26" i="3"/>
  <c r="F27" i="3"/>
  <c r="F42" i="3"/>
  <c r="F43" i="3"/>
  <c r="F58" i="3"/>
  <c r="F59" i="3"/>
  <c r="F75" i="3"/>
  <c r="F91" i="3"/>
  <c r="F107" i="3"/>
  <c r="F123" i="3"/>
  <c r="F139" i="3"/>
  <c r="F155" i="3"/>
  <c r="F171" i="3"/>
  <c r="F187" i="3"/>
  <c r="F202" i="3"/>
  <c r="F203" i="3"/>
  <c r="B28" i="4"/>
  <c r="B44" i="4"/>
  <c r="B60" i="4"/>
  <c r="B76" i="4"/>
  <c r="B92" i="4"/>
  <c r="B108" i="4"/>
  <c r="B124" i="4"/>
  <c r="B140" i="4"/>
  <c r="B156" i="4"/>
  <c r="B172" i="4"/>
  <c r="B188" i="4"/>
  <c r="B204" i="4"/>
  <c r="H12" i="6"/>
  <c r="G12" i="6"/>
  <c r="F12" i="6"/>
  <c r="M12" i="6"/>
  <c r="E12" i="6"/>
  <c r="L12" i="6"/>
  <c r="D12" i="6"/>
  <c r="K12" i="6"/>
  <c r="C12" i="6"/>
  <c r="J12" i="6"/>
  <c r="B12" i="6"/>
  <c r="H20" i="6"/>
  <c r="G20" i="6"/>
  <c r="F20" i="6"/>
  <c r="M20" i="6"/>
  <c r="E20" i="6"/>
  <c r="L20" i="6"/>
  <c r="D20" i="6"/>
  <c r="K20" i="6"/>
  <c r="C20" i="6"/>
  <c r="J20" i="6"/>
  <c r="B20" i="6"/>
  <c r="H28" i="6"/>
  <c r="G28" i="6"/>
  <c r="F28" i="6"/>
  <c r="M28" i="6"/>
  <c r="E28" i="6"/>
  <c r="L28" i="6"/>
  <c r="D28" i="6"/>
  <c r="K28" i="6"/>
  <c r="C28" i="6"/>
  <c r="J28" i="6"/>
  <c r="B28" i="6"/>
  <c r="H36" i="6"/>
  <c r="G36" i="6"/>
  <c r="F36" i="6"/>
  <c r="M36" i="6"/>
  <c r="E36" i="6"/>
  <c r="L36" i="6"/>
  <c r="D36" i="6"/>
  <c r="K36" i="6"/>
  <c r="C36" i="6"/>
  <c r="J36" i="6"/>
  <c r="B36" i="6"/>
  <c r="H44" i="6"/>
  <c r="G44" i="6"/>
  <c r="F44" i="6"/>
  <c r="M44" i="6"/>
  <c r="E44" i="6"/>
  <c r="L44" i="6"/>
  <c r="D44" i="6"/>
  <c r="K44" i="6"/>
  <c r="C44" i="6"/>
  <c r="J44" i="6"/>
  <c r="B44" i="6"/>
  <c r="H52" i="6"/>
  <c r="G52" i="6"/>
  <c r="F52" i="6"/>
  <c r="M52" i="6"/>
  <c r="E52" i="6"/>
  <c r="L52" i="6"/>
  <c r="D52" i="6"/>
  <c r="K52" i="6"/>
  <c r="C52" i="6"/>
  <c r="J52" i="6"/>
  <c r="B52" i="6"/>
  <c r="H60" i="6"/>
  <c r="G60" i="6"/>
  <c r="F60" i="6"/>
  <c r="M60" i="6"/>
  <c r="E60" i="6"/>
  <c r="L60" i="6"/>
  <c r="D60" i="6"/>
  <c r="K60" i="6"/>
  <c r="C60" i="6"/>
  <c r="J60" i="6"/>
  <c r="B60" i="6"/>
  <c r="H68" i="6"/>
  <c r="G68" i="6"/>
  <c r="F68" i="6"/>
  <c r="M68" i="6"/>
  <c r="E68" i="6"/>
  <c r="L68" i="6"/>
  <c r="D68" i="6"/>
  <c r="K68" i="6"/>
  <c r="C68" i="6"/>
  <c r="J68" i="6"/>
  <c r="B68" i="6"/>
  <c r="O184" i="6"/>
  <c r="T184" i="6" s="1"/>
  <c r="R202" i="6"/>
  <c r="R33" i="6"/>
  <c r="Q33" i="6"/>
  <c r="P33" i="6"/>
  <c r="S33" i="6" s="1"/>
  <c r="O33" i="6"/>
  <c r="T33" i="6" s="1"/>
  <c r="O78" i="6"/>
  <c r="T78" i="6" s="1"/>
  <c r="R78" i="6"/>
  <c r="Q78" i="6"/>
  <c r="Q96" i="6"/>
  <c r="R96" i="6"/>
  <c r="N96" i="6" s="1"/>
  <c r="P96" i="6"/>
  <c r="S96" i="6" s="1"/>
  <c r="O96" i="6"/>
  <c r="T96" i="6" s="1"/>
  <c r="Q142" i="6"/>
  <c r="R142" i="6"/>
  <c r="N142" i="6" s="1"/>
  <c r="P142" i="6"/>
  <c r="S142" i="6" s="1"/>
  <c r="O142" i="6"/>
  <c r="T142" i="6" s="1"/>
  <c r="Q154" i="6"/>
  <c r="O154" i="6"/>
  <c r="T154" i="6" s="1"/>
  <c r="R154" i="6"/>
  <c r="Q160" i="6"/>
  <c r="R160" i="6"/>
  <c r="N160" i="6" s="1"/>
  <c r="P160" i="6"/>
  <c r="S160" i="6" s="1"/>
  <c r="O160" i="6"/>
  <c r="T160" i="6" s="1"/>
  <c r="Q218" i="6"/>
  <c r="O218" i="6"/>
  <c r="T218" i="6" s="1"/>
  <c r="P218" i="6"/>
  <c r="S218" i="6" s="1"/>
  <c r="O247" i="6"/>
  <c r="T247" i="6" s="1"/>
  <c r="P247" i="6"/>
  <c r="S247" i="6" s="1"/>
  <c r="R247" i="6"/>
  <c r="Q247" i="6"/>
  <c r="Q253" i="6"/>
  <c r="O387" i="6"/>
  <c r="T387" i="6" s="1"/>
  <c r="R403" i="6"/>
  <c r="N403" i="6" s="1"/>
  <c r="R467" i="6"/>
  <c r="N467" i="6" s="1"/>
  <c r="Q467" i="6"/>
  <c r="I12" i="6"/>
  <c r="I20" i="6"/>
  <c r="I28" i="6"/>
  <c r="I36" i="6"/>
  <c r="I44" i="6"/>
  <c r="I52" i="6"/>
  <c r="I60" i="6"/>
  <c r="I68" i="6"/>
  <c r="O104" i="6"/>
  <c r="T104" i="6" s="1"/>
  <c r="M147" i="6"/>
  <c r="E147" i="6"/>
  <c r="J147" i="6"/>
  <c r="B147" i="6"/>
  <c r="K147" i="6"/>
  <c r="I147" i="6"/>
  <c r="H147" i="6"/>
  <c r="G147" i="6"/>
  <c r="F147" i="6"/>
  <c r="D147" i="6"/>
  <c r="C147" i="6"/>
  <c r="Q180" i="6"/>
  <c r="R180" i="6"/>
  <c r="N180" i="6" s="1"/>
  <c r="P180" i="6"/>
  <c r="S180" i="6" s="1"/>
  <c r="O180" i="6"/>
  <c r="T180" i="6" s="1"/>
  <c r="Q255" i="6"/>
  <c r="Q287" i="6"/>
  <c r="R17" i="6"/>
  <c r="Q17" i="6"/>
  <c r="P17" i="6"/>
  <c r="S17" i="6" s="1"/>
  <c r="O17" i="6"/>
  <c r="T17" i="6" s="1"/>
  <c r="R41" i="6"/>
  <c r="Q41" i="6"/>
  <c r="P41" i="6"/>
  <c r="S41" i="6" s="1"/>
  <c r="O41" i="6"/>
  <c r="T41" i="6" s="1"/>
  <c r="Q130" i="6"/>
  <c r="R130" i="6"/>
  <c r="N130" i="6" s="1"/>
  <c r="P130" i="6"/>
  <c r="S130" i="6" s="1"/>
  <c r="O130" i="6"/>
  <c r="T130" i="6" s="1"/>
  <c r="Q136" i="6"/>
  <c r="R136" i="6"/>
  <c r="N136" i="6" s="1"/>
  <c r="P136" i="6"/>
  <c r="S136" i="6" s="1"/>
  <c r="Q194" i="6"/>
  <c r="O194" i="6"/>
  <c r="T194" i="6" s="1"/>
  <c r="R194" i="6"/>
  <c r="P194" i="6"/>
  <c r="S194" i="6" s="1"/>
  <c r="O263" i="6"/>
  <c r="T263" i="6" s="1"/>
  <c r="P263" i="6"/>
  <c r="S263" i="6" s="1"/>
  <c r="R263" i="6"/>
  <c r="Q263" i="6"/>
  <c r="R269" i="6"/>
  <c r="N269" i="6" s="1"/>
  <c r="P269" i="6"/>
  <c r="S269" i="6" s="1"/>
  <c r="Q285" i="6"/>
  <c r="Q391" i="6"/>
  <c r="P391" i="6"/>
  <c r="S391" i="6" s="1"/>
  <c r="O391" i="6"/>
  <c r="T391" i="6" s="1"/>
  <c r="R391" i="6"/>
  <c r="O482" i="6"/>
  <c r="T482" i="6" s="1"/>
  <c r="R482" i="6"/>
  <c r="Q482" i="6"/>
  <c r="P482" i="6"/>
  <c r="S482" i="6" s="1"/>
  <c r="O498" i="6"/>
  <c r="T498" i="6" s="1"/>
  <c r="R498" i="6"/>
  <c r="Q498" i="6"/>
  <c r="P498" i="6"/>
  <c r="S498" i="6" s="1"/>
  <c r="O514" i="6"/>
  <c r="T514" i="6" s="1"/>
  <c r="R514" i="6"/>
  <c r="Q514" i="6"/>
  <c r="P514" i="6"/>
  <c r="S514" i="6" s="1"/>
  <c r="Q562" i="6"/>
  <c r="O562" i="6"/>
  <c r="T562" i="6" s="1"/>
  <c r="R562" i="6"/>
  <c r="N562" i="6" s="1"/>
  <c r="P562" i="6"/>
  <c r="S562" i="6" s="1"/>
  <c r="Q578" i="6"/>
  <c r="O578" i="6"/>
  <c r="T578" i="6" s="1"/>
  <c r="R578" i="6"/>
  <c r="P578" i="6"/>
  <c r="S578" i="6" s="1"/>
  <c r="P594" i="6"/>
  <c r="S594" i="6" s="1"/>
  <c r="O626" i="6"/>
  <c r="T626" i="6" s="1"/>
  <c r="R626" i="6"/>
  <c r="Q626" i="6"/>
  <c r="P626" i="6"/>
  <c r="S626" i="6" s="1"/>
  <c r="B25" i="4"/>
  <c r="B32" i="4"/>
  <c r="F21" i="3"/>
  <c r="B41" i="4"/>
  <c r="B48" i="4"/>
  <c r="F37" i="3"/>
  <c r="B57" i="4"/>
  <c r="B64" i="4"/>
  <c r="F53" i="3"/>
  <c r="B73" i="4"/>
  <c r="B80" i="4"/>
  <c r="F69" i="3"/>
  <c r="B89" i="4"/>
  <c r="B96" i="4"/>
  <c r="F85" i="3"/>
  <c r="B105" i="4"/>
  <c r="B112" i="4"/>
  <c r="F101" i="3"/>
  <c r="B121" i="4"/>
  <c r="B128" i="4"/>
  <c r="F117" i="3"/>
  <c r="B137" i="4"/>
  <c r="B144" i="4"/>
  <c r="F133" i="3"/>
  <c r="B153" i="4"/>
  <c r="B160" i="4"/>
  <c r="F149" i="3"/>
  <c r="B169" i="4"/>
  <c r="B176" i="4"/>
  <c r="F165" i="3"/>
  <c r="B192" i="4"/>
  <c r="F181" i="3"/>
  <c r="B208" i="4"/>
  <c r="F197" i="3"/>
  <c r="H6" i="6"/>
  <c r="G6" i="6"/>
  <c r="F6" i="6"/>
  <c r="M6" i="6"/>
  <c r="E6" i="6"/>
  <c r="L6" i="6"/>
  <c r="D6" i="6"/>
  <c r="K6" i="6"/>
  <c r="C6" i="6"/>
  <c r="J6" i="6"/>
  <c r="B6" i="6"/>
  <c r="H14" i="6"/>
  <c r="G14" i="6"/>
  <c r="F14" i="6"/>
  <c r="M14" i="6"/>
  <c r="E14" i="6"/>
  <c r="L14" i="6"/>
  <c r="D14" i="6"/>
  <c r="K14" i="6"/>
  <c r="C14" i="6"/>
  <c r="J14" i="6"/>
  <c r="B14" i="6"/>
  <c r="H22" i="6"/>
  <c r="G22" i="6"/>
  <c r="F22" i="6"/>
  <c r="M22" i="6"/>
  <c r="E22" i="6"/>
  <c r="L22" i="6"/>
  <c r="D22" i="6"/>
  <c r="K22" i="6"/>
  <c r="C22" i="6"/>
  <c r="J22" i="6"/>
  <c r="B22" i="6"/>
  <c r="H30" i="6"/>
  <c r="G30" i="6"/>
  <c r="F30" i="6"/>
  <c r="M30" i="6"/>
  <c r="E30" i="6"/>
  <c r="L30" i="6"/>
  <c r="D30" i="6"/>
  <c r="K30" i="6"/>
  <c r="C30" i="6"/>
  <c r="J30" i="6"/>
  <c r="B30" i="6"/>
  <c r="H38" i="6"/>
  <c r="G38" i="6"/>
  <c r="F38" i="6"/>
  <c r="M38" i="6"/>
  <c r="E38" i="6"/>
  <c r="L38" i="6"/>
  <c r="D38" i="6"/>
  <c r="K38" i="6"/>
  <c r="C38" i="6"/>
  <c r="J38" i="6"/>
  <c r="B38" i="6"/>
  <c r="H46" i="6"/>
  <c r="G46" i="6"/>
  <c r="F46" i="6"/>
  <c r="M46" i="6"/>
  <c r="E46" i="6"/>
  <c r="L46" i="6"/>
  <c r="D46" i="6"/>
  <c r="K46" i="6"/>
  <c r="C46" i="6"/>
  <c r="J46" i="6"/>
  <c r="B46" i="6"/>
  <c r="H54" i="6"/>
  <c r="G54" i="6"/>
  <c r="F54" i="6"/>
  <c r="M54" i="6"/>
  <c r="E54" i="6"/>
  <c r="L54" i="6"/>
  <c r="D54" i="6"/>
  <c r="K54" i="6"/>
  <c r="C54" i="6"/>
  <c r="J54" i="6"/>
  <c r="B54" i="6"/>
  <c r="H62" i="6"/>
  <c r="G62" i="6"/>
  <c r="F62" i="6"/>
  <c r="M62" i="6"/>
  <c r="E62" i="6"/>
  <c r="L62" i="6"/>
  <c r="D62" i="6"/>
  <c r="K62" i="6"/>
  <c r="C62" i="6"/>
  <c r="J62" i="6"/>
  <c r="B62" i="6"/>
  <c r="P138" i="6"/>
  <c r="S138" i="6" s="1"/>
  <c r="O164" i="6"/>
  <c r="T164" i="6" s="1"/>
  <c r="O168" i="6"/>
  <c r="T168" i="6" s="1"/>
  <c r="G207" i="6"/>
  <c r="M207" i="6"/>
  <c r="E207" i="6"/>
  <c r="K207" i="6"/>
  <c r="C207" i="6"/>
  <c r="J207" i="6"/>
  <c r="B207" i="6"/>
  <c r="L207" i="6"/>
  <c r="I207" i="6"/>
  <c r="H207" i="6"/>
  <c r="F207" i="6"/>
  <c r="D207" i="6"/>
  <c r="R9" i="6"/>
  <c r="Q9" i="6"/>
  <c r="P9" i="6"/>
  <c r="S9" i="6" s="1"/>
  <c r="O9" i="6"/>
  <c r="T9" i="6" s="1"/>
  <c r="R49" i="6"/>
  <c r="Q49" i="6"/>
  <c r="P49" i="6"/>
  <c r="S49" i="6" s="1"/>
  <c r="O49" i="6"/>
  <c r="T49" i="6" s="1"/>
  <c r="P118" i="6"/>
  <c r="S118" i="6" s="1"/>
  <c r="Q200" i="6"/>
  <c r="O200" i="6"/>
  <c r="T200" i="6" s="1"/>
  <c r="R200" i="6"/>
  <c r="N200" i="6" s="1"/>
  <c r="O279" i="6"/>
  <c r="T279" i="6" s="1"/>
  <c r="P279" i="6"/>
  <c r="S279" i="6" s="1"/>
  <c r="R279" i="6"/>
  <c r="Q279" i="6"/>
  <c r="O295" i="6"/>
  <c r="T295" i="6" s="1"/>
  <c r="P295" i="6"/>
  <c r="S295" i="6" s="1"/>
  <c r="R295" i="6"/>
  <c r="Q295" i="6"/>
  <c r="P317" i="6"/>
  <c r="S317" i="6" s="1"/>
  <c r="R7" i="6"/>
  <c r="Q7" i="6"/>
  <c r="P7" i="6"/>
  <c r="S7" i="6" s="1"/>
  <c r="O7" i="6"/>
  <c r="T7" i="6" s="1"/>
  <c r="R15" i="6"/>
  <c r="Q15" i="6"/>
  <c r="P15" i="6"/>
  <c r="S15" i="6" s="1"/>
  <c r="O15" i="6"/>
  <c r="T15" i="6" s="1"/>
  <c r="R31" i="6"/>
  <c r="Q31" i="6"/>
  <c r="P31" i="6"/>
  <c r="S31" i="6" s="1"/>
  <c r="O31" i="6"/>
  <c r="T31" i="6" s="1"/>
  <c r="R39" i="6"/>
  <c r="Q39" i="6"/>
  <c r="P39" i="6"/>
  <c r="S39" i="6" s="1"/>
  <c r="O39" i="6"/>
  <c r="T39" i="6" s="1"/>
  <c r="R47" i="6"/>
  <c r="Q47" i="6"/>
  <c r="P47" i="6"/>
  <c r="S47" i="6" s="1"/>
  <c r="O47" i="6"/>
  <c r="T47" i="6" s="1"/>
  <c r="R55" i="6"/>
  <c r="Q55" i="6"/>
  <c r="P55" i="6"/>
  <c r="S55" i="6" s="1"/>
  <c r="O55" i="6"/>
  <c r="T55" i="6" s="1"/>
  <c r="R63" i="6"/>
  <c r="Q63" i="6"/>
  <c r="P63" i="6"/>
  <c r="S63" i="6" s="1"/>
  <c r="O63" i="6"/>
  <c r="T63" i="6" s="1"/>
  <c r="Q112" i="6"/>
  <c r="R112" i="6"/>
  <c r="N112" i="6" s="1"/>
  <c r="P112" i="6"/>
  <c r="S112" i="6" s="1"/>
  <c r="O112" i="6"/>
  <c r="T112" i="6" s="1"/>
  <c r="Q158" i="6"/>
  <c r="R158" i="6"/>
  <c r="N158" i="6" s="1"/>
  <c r="P158" i="6"/>
  <c r="S158" i="6" s="1"/>
  <c r="O158" i="6"/>
  <c r="T158" i="6" s="1"/>
  <c r="Q176" i="6"/>
  <c r="R176" i="6"/>
  <c r="N176" i="6" s="1"/>
  <c r="P176" i="6"/>
  <c r="S176" i="6" s="1"/>
  <c r="O176" i="6"/>
  <c r="T176" i="6" s="1"/>
  <c r="C18" i="4"/>
  <c r="C34" i="4"/>
  <c r="C50" i="4"/>
  <c r="C66" i="4"/>
  <c r="C82" i="4"/>
  <c r="C89" i="4"/>
  <c r="F78" i="3"/>
  <c r="C98" i="4"/>
  <c r="C105" i="4"/>
  <c r="F94" i="3"/>
  <c r="C114" i="4"/>
  <c r="C121" i="4"/>
  <c r="F110" i="3"/>
  <c r="C130" i="4"/>
  <c r="F130" i="4" s="1"/>
  <c r="C137" i="4"/>
  <c r="F126" i="3"/>
  <c r="C146" i="4"/>
  <c r="C153" i="4"/>
  <c r="F142" i="3"/>
  <c r="C162" i="4"/>
  <c r="C169" i="4"/>
  <c r="F158" i="3"/>
  <c r="C178" i="4"/>
  <c r="C185" i="4"/>
  <c r="F174" i="3"/>
  <c r="C194" i="4"/>
  <c r="F194" i="4" s="1"/>
  <c r="C201" i="4"/>
  <c r="F190" i="3"/>
  <c r="C210" i="4"/>
  <c r="D210" i="4" s="1"/>
  <c r="C93" i="4"/>
  <c r="F93" i="4" s="1"/>
  <c r="C109" i="4"/>
  <c r="C125" i="4"/>
  <c r="C141" i="4"/>
  <c r="C157" i="4"/>
  <c r="C173" i="4"/>
  <c r="C189" i="4"/>
  <c r="P78" i="6"/>
  <c r="S78" i="6" s="1"/>
  <c r="M131" i="6"/>
  <c r="E131" i="6"/>
  <c r="J131" i="6"/>
  <c r="B131" i="6"/>
  <c r="K131" i="6"/>
  <c r="I131" i="6"/>
  <c r="H131" i="6"/>
  <c r="G131" i="6"/>
  <c r="F131" i="6"/>
  <c r="D131" i="6"/>
  <c r="C131" i="6"/>
  <c r="G221" i="6"/>
  <c r="M221" i="6"/>
  <c r="E221" i="6"/>
  <c r="L221" i="6"/>
  <c r="D221" i="6"/>
  <c r="K221" i="6"/>
  <c r="C221" i="6"/>
  <c r="J221" i="6"/>
  <c r="B221" i="6"/>
  <c r="I221" i="6"/>
  <c r="H221" i="6"/>
  <c r="F221" i="6"/>
  <c r="P228" i="6"/>
  <c r="S228" i="6" s="1"/>
  <c r="Q82" i="6"/>
  <c r="P82" i="6"/>
  <c r="S82" i="6" s="1"/>
  <c r="O82" i="6"/>
  <c r="T82" i="6" s="1"/>
  <c r="Q152" i="6"/>
  <c r="R152" i="6"/>
  <c r="N152" i="6" s="1"/>
  <c r="P152" i="6"/>
  <c r="S152" i="6" s="1"/>
  <c r="Q216" i="6"/>
  <c r="O216" i="6"/>
  <c r="T216" i="6" s="1"/>
  <c r="R216" i="6"/>
  <c r="N216" i="6" s="1"/>
  <c r="O239" i="6"/>
  <c r="T239" i="6" s="1"/>
  <c r="P239" i="6"/>
  <c r="S239" i="6" s="1"/>
  <c r="R239" i="6"/>
  <c r="Q239" i="6"/>
  <c r="R245" i="6"/>
  <c r="N245" i="6" s="1"/>
  <c r="Q257" i="6"/>
  <c r="R369" i="6"/>
  <c r="F18" i="3"/>
  <c r="F34" i="3"/>
  <c r="F50" i="3"/>
  <c r="F66" i="3"/>
  <c r="F194" i="3"/>
  <c r="B20" i="4"/>
  <c r="B36" i="4"/>
  <c r="B52" i="4"/>
  <c r="B68" i="4"/>
  <c r="B84" i="4"/>
  <c r="B100" i="4"/>
  <c r="B116" i="4"/>
  <c r="B132" i="4"/>
  <c r="B148" i="4"/>
  <c r="B164" i="4"/>
  <c r="B180" i="4"/>
  <c r="B196" i="4"/>
  <c r="B212" i="4"/>
  <c r="H8" i="6"/>
  <c r="G8" i="6"/>
  <c r="F8" i="6"/>
  <c r="M8" i="6"/>
  <c r="E8" i="6"/>
  <c r="L8" i="6"/>
  <c r="D8" i="6"/>
  <c r="K8" i="6"/>
  <c r="C8" i="6"/>
  <c r="J8" i="6"/>
  <c r="B8" i="6"/>
  <c r="H16" i="6"/>
  <c r="G16" i="6"/>
  <c r="F16" i="6"/>
  <c r="M16" i="6"/>
  <c r="E16" i="6"/>
  <c r="L16" i="6"/>
  <c r="D16" i="6"/>
  <c r="K16" i="6"/>
  <c r="C16" i="6"/>
  <c r="J16" i="6"/>
  <c r="B16" i="6"/>
  <c r="H24" i="6"/>
  <c r="G24" i="6"/>
  <c r="F24" i="6"/>
  <c r="M24" i="6"/>
  <c r="E24" i="6"/>
  <c r="L24" i="6"/>
  <c r="D24" i="6"/>
  <c r="K24" i="6"/>
  <c r="C24" i="6"/>
  <c r="J24" i="6"/>
  <c r="B24" i="6"/>
  <c r="H32" i="6"/>
  <c r="G32" i="6"/>
  <c r="F32" i="6"/>
  <c r="M32" i="6"/>
  <c r="E32" i="6"/>
  <c r="L32" i="6"/>
  <c r="D32" i="6"/>
  <c r="K32" i="6"/>
  <c r="C32" i="6"/>
  <c r="J32" i="6"/>
  <c r="B32" i="6"/>
  <c r="H40" i="6"/>
  <c r="G40" i="6"/>
  <c r="F40" i="6"/>
  <c r="M40" i="6"/>
  <c r="E40" i="6"/>
  <c r="L40" i="6"/>
  <c r="D40" i="6"/>
  <c r="K40" i="6"/>
  <c r="C40" i="6"/>
  <c r="J40" i="6"/>
  <c r="B40" i="6"/>
  <c r="H48" i="6"/>
  <c r="G48" i="6"/>
  <c r="F48" i="6"/>
  <c r="M48" i="6"/>
  <c r="E48" i="6"/>
  <c r="L48" i="6"/>
  <c r="D48" i="6"/>
  <c r="K48" i="6"/>
  <c r="C48" i="6"/>
  <c r="J48" i="6"/>
  <c r="B48" i="6"/>
  <c r="H56" i="6"/>
  <c r="G56" i="6"/>
  <c r="F56" i="6"/>
  <c r="M56" i="6"/>
  <c r="E56" i="6"/>
  <c r="L56" i="6"/>
  <c r="D56" i="6"/>
  <c r="K56" i="6"/>
  <c r="C56" i="6"/>
  <c r="J56" i="6"/>
  <c r="B56" i="6"/>
  <c r="H64" i="6"/>
  <c r="G64" i="6"/>
  <c r="F64" i="6"/>
  <c r="M64" i="6"/>
  <c r="E64" i="6"/>
  <c r="L64" i="6"/>
  <c r="D64" i="6"/>
  <c r="K64" i="6"/>
  <c r="C64" i="6"/>
  <c r="J64" i="6"/>
  <c r="B64" i="6"/>
  <c r="L131" i="6"/>
  <c r="G345" i="6"/>
  <c r="F345" i="6"/>
  <c r="M345" i="6"/>
  <c r="E345" i="6"/>
  <c r="K345" i="6"/>
  <c r="J345" i="6"/>
  <c r="I345" i="6"/>
  <c r="H345" i="6"/>
  <c r="D345" i="6"/>
  <c r="C345" i="6"/>
  <c r="B345" i="6"/>
  <c r="L345" i="6"/>
  <c r="P289" i="6"/>
  <c r="S289" i="6" s="1"/>
  <c r="Q401" i="6"/>
  <c r="Q417" i="6"/>
  <c r="R441" i="6"/>
  <c r="O465" i="6"/>
  <c r="T465" i="6" s="1"/>
  <c r="R617" i="6"/>
  <c r="Q617" i="6"/>
  <c r="P617" i="6"/>
  <c r="S617" i="6" s="1"/>
  <c r="O617" i="6"/>
  <c r="T617" i="6" s="1"/>
  <c r="R625" i="6"/>
  <c r="Q625" i="6"/>
  <c r="P625" i="6"/>
  <c r="S625" i="6" s="1"/>
  <c r="O625" i="6"/>
  <c r="T625" i="6" s="1"/>
  <c r="B5" i="4"/>
  <c r="B13" i="4"/>
  <c r="B19" i="4"/>
  <c r="B27" i="4"/>
  <c r="B35" i="4"/>
  <c r="B43" i="4"/>
  <c r="B51" i="4"/>
  <c r="B59" i="4"/>
  <c r="B67" i="4"/>
  <c r="B75" i="4"/>
  <c r="B83" i="4"/>
  <c r="B91" i="4"/>
  <c r="B99" i="4"/>
  <c r="B107" i="4"/>
  <c r="B115" i="4"/>
  <c r="B123" i="4"/>
  <c r="B131" i="4"/>
  <c r="B139" i="4"/>
  <c r="B147" i="4"/>
  <c r="B155" i="4"/>
  <c r="B163" i="4"/>
  <c r="B171" i="4"/>
  <c r="B179" i="4"/>
  <c r="B187" i="4"/>
  <c r="B195" i="4"/>
  <c r="B203" i="4"/>
  <c r="B211" i="4"/>
  <c r="F5" i="6"/>
  <c r="F7" i="6"/>
  <c r="F9" i="6"/>
  <c r="F11" i="6"/>
  <c r="F13" i="6"/>
  <c r="F15" i="6"/>
  <c r="F17" i="6"/>
  <c r="F19" i="6"/>
  <c r="F21" i="6"/>
  <c r="F23" i="6"/>
  <c r="F25" i="6"/>
  <c r="F27" i="6"/>
  <c r="F29" i="6"/>
  <c r="F31" i="6"/>
  <c r="F33" i="6"/>
  <c r="F35" i="6"/>
  <c r="F37" i="6"/>
  <c r="F39" i="6"/>
  <c r="F41" i="6"/>
  <c r="F43" i="6"/>
  <c r="F45" i="6"/>
  <c r="F47" i="6"/>
  <c r="F49" i="6"/>
  <c r="F51" i="6"/>
  <c r="F53" i="6"/>
  <c r="F55" i="6"/>
  <c r="F57" i="6"/>
  <c r="F59" i="6"/>
  <c r="F61" i="6"/>
  <c r="F63" i="6"/>
  <c r="F65" i="6"/>
  <c r="F67" i="6"/>
  <c r="F69" i="6"/>
  <c r="C70" i="6"/>
  <c r="L70" i="6"/>
  <c r="J71" i="6"/>
  <c r="B71" i="6"/>
  <c r="K71" i="6"/>
  <c r="G73" i="6"/>
  <c r="E74" i="6"/>
  <c r="D75" i="6"/>
  <c r="M75" i="6"/>
  <c r="I77" i="6"/>
  <c r="F79" i="6"/>
  <c r="D80" i="6"/>
  <c r="M80" i="6"/>
  <c r="F82" i="6"/>
  <c r="J82" i="6"/>
  <c r="G84" i="6"/>
  <c r="E85" i="6"/>
  <c r="C86" i="6"/>
  <c r="L86" i="6"/>
  <c r="J87" i="6"/>
  <c r="B87" i="6"/>
  <c r="K87" i="6"/>
  <c r="G89" i="6"/>
  <c r="E90" i="6"/>
  <c r="D91" i="6"/>
  <c r="M91" i="6"/>
  <c r="I93" i="6"/>
  <c r="M97" i="6"/>
  <c r="E97" i="6"/>
  <c r="J97" i="6"/>
  <c r="B97" i="6"/>
  <c r="L97" i="6"/>
  <c r="D101" i="6"/>
  <c r="F103" i="6"/>
  <c r="G105" i="6"/>
  <c r="H107" i="6"/>
  <c r="I109" i="6"/>
  <c r="M113" i="6"/>
  <c r="E113" i="6"/>
  <c r="J113" i="6"/>
  <c r="B113" i="6"/>
  <c r="L113" i="6"/>
  <c r="D117" i="6"/>
  <c r="F119" i="6"/>
  <c r="G121" i="6"/>
  <c r="H123" i="6"/>
  <c r="I125" i="6"/>
  <c r="M129" i="6"/>
  <c r="E129" i="6"/>
  <c r="J129" i="6"/>
  <c r="B129" i="6"/>
  <c r="L129" i="6"/>
  <c r="D133" i="6"/>
  <c r="F135" i="6"/>
  <c r="G137" i="6"/>
  <c r="H139" i="6"/>
  <c r="I141" i="6"/>
  <c r="M145" i="6"/>
  <c r="E145" i="6"/>
  <c r="J145" i="6"/>
  <c r="B145" i="6"/>
  <c r="L145" i="6"/>
  <c r="D149" i="6"/>
  <c r="F151" i="6"/>
  <c r="G153" i="6"/>
  <c r="H155" i="6"/>
  <c r="I157" i="6"/>
  <c r="M161" i="6"/>
  <c r="E161" i="6"/>
  <c r="J161" i="6"/>
  <c r="B161" i="6"/>
  <c r="L161" i="6"/>
  <c r="D165" i="6"/>
  <c r="F167" i="6"/>
  <c r="G169" i="6"/>
  <c r="H171" i="6"/>
  <c r="I173" i="6"/>
  <c r="M177" i="6"/>
  <c r="E177" i="6"/>
  <c r="J177" i="6"/>
  <c r="B177" i="6"/>
  <c r="L177" i="6"/>
  <c r="D181" i="6"/>
  <c r="F183" i="6"/>
  <c r="G185" i="6"/>
  <c r="H187" i="6"/>
  <c r="M193" i="6"/>
  <c r="E193" i="6"/>
  <c r="J193" i="6"/>
  <c r="B193" i="6"/>
  <c r="L193" i="6"/>
  <c r="F195" i="6"/>
  <c r="G205" i="6"/>
  <c r="M205" i="6"/>
  <c r="E205" i="6"/>
  <c r="K205" i="6"/>
  <c r="C205" i="6"/>
  <c r="J205" i="6"/>
  <c r="B205" i="6"/>
  <c r="F209" i="6"/>
  <c r="H211" i="6"/>
  <c r="I213" i="6"/>
  <c r="H229" i="6"/>
  <c r="G229" i="6"/>
  <c r="F229" i="6"/>
  <c r="M229" i="6"/>
  <c r="E229" i="6"/>
  <c r="L229" i="6"/>
  <c r="D229" i="6"/>
  <c r="K229" i="6"/>
  <c r="C229" i="6"/>
  <c r="J229" i="6"/>
  <c r="B229" i="6"/>
  <c r="H233" i="6"/>
  <c r="G233" i="6"/>
  <c r="F233" i="6"/>
  <c r="M233" i="6"/>
  <c r="E233" i="6"/>
  <c r="L233" i="6"/>
  <c r="D233" i="6"/>
  <c r="K233" i="6"/>
  <c r="C233" i="6"/>
  <c r="J233" i="6"/>
  <c r="B233" i="6"/>
  <c r="K244" i="6"/>
  <c r="C244" i="6"/>
  <c r="J244" i="6"/>
  <c r="B244" i="6"/>
  <c r="L244" i="6"/>
  <c r="I244" i="6"/>
  <c r="H244" i="6"/>
  <c r="G244" i="6"/>
  <c r="F244" i="6"/>
  <c r="E244" i="6"/>
  <c r="D244" i="6"/>
  <c r="G251" i="6"/>
  <c r="F251" i="6"/>
  <c r="J251" i="6"/>
  <c r="I251" i="6"/>
  <c r="H251" i="6"/>
  <c r="E251" i="6"/>
  <c r="D251" i="6"/>
  <c r="M251" i="6"/>
  <c r="C251" i="6"/>
  <c r="L251" i="6"/>
  <c r="B251" i="6"/>
  <c r="K276" i="6"/>
  <c r="C276" i="6"/>
  <c r="J276" i="6"/>
  <c r="B276" i="6"/>
  <c r="L276" i="6"/>
  <c r="I276" i="6"/>
  <c r="H276" i="6"/>
  <c r="G276" i="6"/>
  <c r="F276" i="6"/>
  <c r="E276" i="6"/>
  <c r="D276" i="6"/>
  <c r="G283" i="6"/>
  <c r="F283" i="6"/>
  <c r="J283" i="6"/>
  <c r="I283" i="6"/>
  <c r="H283" i="6"/>
  <c r="E283" i="6"/>
  <c r="D283" i="6"/>
  <c r="M283" i="6"/>
  <c r="C283" i="6"/>
  <c r="L283" i="6"/>
  <c r="B283" i="6"/>
  <c r="K308" i="6"/>
  <c r="C308" i="6"/>
  <c r="J308" i="6"/>
  <c r="B308" i="6"/>
  <c r="L308" i="6"/>
  <c r="I308" i="6"/>
  <c r="H308" i="6"/>
  <c r="G308" i="6"/>
  <c r="F308" i="6"/>
  <c r="E308" i="6"/>
  <c r="D308" i="6"/>
  <c r="G315" i="6"/>
  <c r="F315" i="6"/>
  <c r="J315" i="6"/>
  <c r="I315" i="6"/>
  <c r="H315" i="6"/>
  <c r="E315" i="6"/>
  <c r="D315" i="6"/>
  <c r="M315" i="6"/>
  <c r="C315" i="6"/>
  <c r="L315" i="6"/>
  <c r="B315" i="6"/>
  <c r="R232" i="6"/>
  <c r="N232" i="6" s="1"/>
  <c r="Q232" i="6"/>
  <c r="P232" i="6"/>
  <c r="S232" i="6" s="1"/>
  <c r="O232" i="6"/>
  <c r="T232" i="6" s="1"/>
  <c r="P480" i="6"/>
  <c r="S480" i="6" s="1"/>
  <c r="O488" i="6"/>
  <c r="T488" i="6" s="1"/>
  <c r="R488" i="6"/>
  <c r="Q488" i="6"/>
  <c r="O496" i="6"/>
  <c r="T496" i="6" s="1"/>
  <c r="R496" i="6"/>
  <c r="Q496" i="6"/>
  <c r="P496" i="6"/>
  <c r="S496" i="6" s="1"/>
  <c r="O504" i="6"/>
  <c r="T504" i="6" s="1"/>
  <c r="Q504" i="6"/>
  <c r="P504" i="6"/>
  <c r="S504" i="6" s="1"/>
  <c r="R504" i="6"/>
  <c r="O512" i="6"/>
  <c r="T512" i="6" s="1"/>
  <c r="Q512" i="6"/>
  <c r="P512" i="6"/>
  <c r="S512" i="6" s="1"/>
  <c r="R512" i="6"/>
  <c r="O520" i="6"/>
  <c r="T520" i="6" s="1"/>
  <c r="Q520" i="6"/>
  <c r="P520" i="6"/>
  <c r="S520" i="6" s="1"/>
  <c r="R520" i="6"/>
  <c r="Q536" i="6"/>
  <c r="O536" i="6"/>
  <c r="T536" i="6" s="1"/>
  <c r="R536" i="6"/>
  <c r="P536" i="6"/>
  <c r="S536" i="6" s="1"/>
  <c r="Q544" i="6"/>
  <c r="R544" i="6"/>
  <c r="P544" i="6"/>
  <c r="S544" i="6" s="1"/>
  <c r="O544" i="6"/>
  <c r="T544" i="6" s="1"/>
  <c r="Q552" i="6"/>
  <c r="R552" i="6"/>
  <c r="P552" i="6"/>
  <c r="S552" i="6" s="1"/>
  <c r="O552" i="6"/>
  <c r="T552" i="6" s="1"/>
  <c r="Q560" i="6"/>
  <c r="R560" i="6"/>
  <c r="P560" i="6"/>
  <c r="S560" i="6" s="1"/>
  <c r="O560" i="6"/>
  <c r="T560" i="6" s="1"/>
  <c r="Q568" i="6"/>
  <c r="R568" i="6"/>
  <c r="P568" i="6"/>
  <c r="S568" i="6" s="1"/>
  <c r="O568" i="6"/>
  <c r="T568" i="6" s="1"/>
  <c r="Q576" i="6"/>
  <c r="R576" i="6"/>
  <c r="P576" i="6"/>
  <c r="S576" i="6" s="1"/>
  <c r="O576" i="6"/>
  <c r="T576" i="6" s="1"/>
  <c r="Q584" i="6"/>
  <c r="R584" i="6"/>
  <c r="P584" i="6"/>
  <c r="S584" i="6" s="1"/>
  <c r="O584" i="6"/>
  <c r="T584" i="6" s="1"/>
  <c r="O592" i="6"/>
  <c r="T592" i="6" s="1"/>
  <c r="Q592" i="6"/>
  <c r="R592" i="6"/>
  <c r="P592" i="6"/>
  <c r="S592" i="6" s="1"/>
  <c r="O600" i="6"/>
  <c r="T600" i="6" s="1"/>
  <c r="Q600" i="6"/>
  <c r="R600" i="6"/>
  <c r="P600" i="6"/>
  <c r="S600" i="6" s="1"/>
  <c r="O608" i="6"/>
  <c r="T608" i="6" s="1"/>
  <c r="Q608" i="6"/>
  <c r="R608" i="6"/>
  <c r="P608" i="6"/>
  <c r="S608" i="6" s="1"/>
  <c r="O616" i="6"/>
  <c r="T616" i="6" s="1"/>
  <c r="R616" i="6"/>
  <c r="Q616" i="6"/>
  <c r="P616" i="6"/>
  <c r="S616" i="6" s="1"/>
  <c r="O624" i="6"/>
  <c r="T624" i="6" s="1"/>
  <c r="R624" i="6"/>
  <c r="Q624" i="6"/>
  <c r="P624" i="6"/>
  <c r="S624" i="6" s="1"/>
  <c r="O632" i="6"/>
  <c r="T632" i="6" s="1"/>
  <c r="R632" i="6"/>
  <c r="N632" i="6" s="1"/>
  <c r="Q632" i="6"/>
  <c r="P632" i="6"/>
  <c r="S632" i="6" s="1"/>
  <c r="F14" i="3"/>
  <c r="F22" i="3"/>
  <c r="F30" i="3"/>
  <c r="F38" i="3"/>
  <c r="F46" i="3"/>
  <c r="F54" i="3"/>
  <c r="F62" i="3"/>
  <c r="F198" i="3"/>
  <c r="B204" i="3"/>
  <c r="D70" i="6"/>
  <c r="M70" i="6"/>
  <c r="F72" i="6"/>
  <c r="J72" i="6"/>
  <c r="G74" i="6"/>
  <c r="E75" i="6"/>
  <c r="J77" i="6"/>
  <c r="B77" i="6"/>
  <c r="K77" i="6"/>
  <c r="G79" i="6"/>
  <c r="D86" i="6"/>
  <c r="M86" i="6"/>
  <c r="F88" i="6"/>
  <c r="J88" i="6"/>
  <c r="G90" i="6"/>
  <c r="E91" i="6"/>
  <c r="M93" i="6"/>
  <c r="J93" i="6"/>
  <c r="B93" i="6"/>
  <c r="K93" i="6"/>
  <c r="M95" i="6"/>
  <c r="E95" i="6"/>
  <c r="J95" i="6"/>
  <c r="B95" i="6"/>
  <c r="L95" i="6"/>
  <c r="F101" i="6"/>
  <c r="H105" i="6"/>
  <c r="M111" i="6"/>
  <c r="E111" i="6"/>
  <c r="J111" i="6"/>
  <c r="B111" i="6"/>
  <c r="L111" i="6"/>
  <c r="F117" i="6"/>
  <c r="H121" i="6"/>
  <c r="M127" i="6"/>
  <c r="E127" i="6"/>
  <c r="J127" i="6"/>
  <c r="B127" i="6"/>
  <c r="L127" i="6"/>
  <c r="F133" i="6"/>
  <c r="H137" i="6"/>
  <c r="M143" i="6"/>
  <c r="E143" i="6"/>
  <c r="J143" i="6"/>
  <c r="B143" i="6"/>
  <c r="L143" i="6"/>
  <c r="F149" i="6"/>
  <c r="H153" i="6"/>
  <c r="M159" i="6"/>
  <c r="E159" i="6"/>
  <c r="J159" i="6"/>
  <c r="B159" i="6"/>
  <c r="L159" i="6"/>
  <c r="F165" i="6"/>
  <c r="H169" i="6"/>
  <c r="M175" i="6"/>
  <c r="E175" i="6"/>
  <c r="J175" i="6"/>
  <c r="B175" i="6"/>
  <c r="L175" i="6"/>
  <c r="F181" i="6"/>
  <c r="H185" i="6"/>
  <c r="M191" i="6"/>
  <c r="E191" i="6"/>
  <c r="J191" i="6"/>
  <c r="B191" i="6"/>
  <c r="L191" i="6"/>
  <c r="G195" i="6"/>
  <c r="M197" i="6"/>
  <c r="E197" i="6"/>
  <c r="K197" i="6"/>
  <c r="C197" i="6"/>
  <c r="J197" i="6"/>
  <c r="B197" i="6"/>
  <c r="G203" i="6"/>
  <c r="M203" i="6"/>
  <c r="E203" i="6"/>
  <c r="K203" i="6"/>
  <c r="C203" i="6"/>
  <c r="J203" i="6"/>
  <c r="B203" i="6"/>
  <c r="H209" i="6"/>
  <c r="L213" i="6"/>
  <c r="G219" i="6"/>
  <c r="M219" i="6"/>
  <c r="E219" i="6"/>
  <c r="K219" i="6"/>
  <c r="C219" i="6"/>
  <c r="J219" i="6"/>
  <c r="B219" i="6"/>
  <c r="H223" i="6"/>
  <c r="G223" i="6"/>
  <c r="M223" i="6"/>
  <c r="E223" i="6"/>
  <c r="L223" i="6"/>
  <c r="D223" i="6"/>
  <c r="K223" i="6"/>
  <c r="C223" i="6"/>
  <c r="J223" i="6"/>
  <c r="B223" i="6"/>
  <c r="H225" i="6"/>
  <c r="G225" i="6"/>
  <c r="M225" i="6"/>
  <c r="E225" i="6"/>
  <c r="L225" i="6"/>
  <c r="D225" i="6"/>
  <c r="K225" i="6"/>
  <c r="C225" i="6"/>
  <c r="J225" i="6"/>
  <c r="B225" i="6"/>
  <c r="H227" i="6"/>
  <c r="G227" i="6"/>
  <c r="M227" i="6"/>
  <c r="E227" i="6"/>
  <c r="L227" i="6"/>
  <c r="D227" i="6"/>
  <c r="K227" i="6"/>
  <c r="C227" i="6"/>
  <c r="J227" i="6"/>
  <c r="B227" i="6"/>
  <c r="M482" i="6"/>
  <c r="O303" i="6"/>
  <c r="T303" i="6" s="1"/>
  <c r="P303" i="6"/>
  <c r="S303" i="6" s="1"/>
  <c r="R303" i="6"/>
  <c r="O311" i="6"/>
  <c r="T311" i="6" s="1"/>
  <c r="P311" i="6"/>
  <c r="S311" i="6" s="1"/>
  <c r="R311" i="6"/>
  <c r="O319" i="6"/>
  <c r="T319" i="6" s="1"/>
  <c r="P319" i="6"/>
  <c r="S319" i="6" s="1"/>
  <c r="R319" i="6"/>
  <c r="O327" i="6"/>
  <c r="T327" i="6" s="1"/>
  <c r="P327" i="6"/>
  <c r="S327" i="6" s="1"/>
  <c r="R327" i="6"/>
  <c r="O335" i="6"/>
  <c r="T335" i="6" s="1"/>
  <c r="P335" i="6"/>
  <c r="S335" i="6" s="1"/>
  <c r="R335" i="6"/>
  <c r="O343" i="6"/>
  <c r="T343" i="6" s="1"/>
  <c r="P343" i="6"/>
  <c r="S343" i="6" s="1"/>
  <c r="R343" i="6"/>
  <c r="N343" i="6" s="1"/>
  <c r="O359" i="6"/>
  <c r="T359" i="6" s="1"/>
  <c r="P359" i="6"/>
  <c r="S359" i="6" s="1"/>
  <c r="R359" i="6"/>
  <c r="O367" i="6"/>
  <c r="T367" i="6" s="1"/>
  <c r="P367" i="6"/>
  <c r="S367" i="6" s="1"/>
  <c r="R367" i="6"/>
  <c r="P375" i="6"/>
  <c r="S375" i="6" s="1"/>
  <c r="O375" i="6"/>
  <c r="T375" i="6" s="1"/>
  <c r="R375" i="6"/>
  <c r="Q375" i="6"/>
  <c r="R407" i="6"/>
  <c r="Q407" i="6"/>
  <c r="P407" i="6"/>
  <c r="S407" i="6" s="1"/>
  <c r="O407" i="6"/>
  <c r="T407" i="6" s="1"/>
  <c r="R415" i="6"/>
  <c r="Q415" i="6"/>
  <c r="P415" i="6"/>
  <c r="S415" i="6" s="1"/>
  <c r="O415" i="6"/>
  <c r="T415" i="6" s="1"/>
  <c r="R423" i="6"/>
  <c r="Q423" i="6"/>
  <c r="P423" i="6"/>
  <c r="S423" i="6" s="1"/>
  <c r="O423" i="6"/>
  <c r="T423" i="6" s="1"/>
  <c r="R431" i="6"/>
  <c r="Q431" i="6"/>
  <c r="P431" i="6"/>
  <c r="S431" i="6" s="1"/>
  <c r="O431" i="6"/>
  <c r="T431" i="6" s="1"/>
  <c r="R439" i="6"/>
  <c r="Q439" i="6"/>
  <c r="P439" i="6"/>
  <c r="S439" i="6" s="1"/>
  <c r="O439" i="6"/>
  <c r="T439" i="6" s="1"/>
  <c r="R447" i="6"/>
  <c r="Q447" i="6"/>
  <c r="P447" i="6"/>
  <c r="S447" i="6" s="1"/>
  <c r="O447" i="6"/>
  <c r="T447" i="6" s="1"/>
  <c r="P479" i="6"/>
  <c r="S479" i="6" s="1"/>
  <c r="O479" i="6"/>
  <c r="T479" i="6" s="1"/>
  <c r="R479" i="6"/>
  <c r="Q479" i="6"/>
  <c r="P495" i="6"/>
  <c r="S495" i="6" s="1"/>
  <c r="O495" i="6"/>
  <c r="T495" i="6" s="1"/>
  <c r="R495" i="6"/>
  <c r="Q495" i="6"/>
  <c r="H7" i="6"/>
  <c r="H9" i="6"/>
  <c r="H11" i="6"/>
  <c r="H13" i="6"/>
  <c r="H15" i="6"/>
  <c r="H17" i="6"/>
  <c r="H19" i="6"/>
  <c r="H21" i="6"/>
  <c r="H23" i="6"/>
  <c r="H25" i="6"/>
  <c r="H27" i="6"/>
  <c r="H29" i="6"/>
  <c r="H31" i="6"/>
  <c r="H33" i="6"/>
  <c r="H35" i="6"/>
  <c r="H37" i="6"/>
  <c r="H39" i="6"/>
  <c r="H41" i="6"/>
  <c r="H43" i="6"/>
  <c r="H45" i="6"/>
  <c r="H47" i="6"/>
  <c r="H49" i="6"/>
  <c r="H51" i="6"/>
  <c r="H53" i="6"/>
  <c r="H55" i="6"/>
  <c r="H57" i="6"/>
  <c r="H59" i="6"/>
  <c r="H61" i="6"/>
  <c r="H63" i="6"/>
  <c r="H65" i="6"/>
  <c r="H67" i="6"/>
  <c r="H69" i="6"/>
  <c r="E70" i="6"/>
  <c r="D71" i="6"/>
  <c r="M71" i="6"/>
  <c r="B72" i="6"/>
  <c r="K72" i="6"/>
  <c r="I73" i="6"/>
  <c r="H74" i="6"/>
  <c r="F75" i="6"/>
  <c r="C77" i="6"/>
  <c r="L77" i="6"/>
  <c r="F78" i="6"/>
  <c r="J78" i="6"/>
  <c r="H79" i="6"/>
  <c r="G80" i="6"/>
  <c r="C82" i="6"/>
  <c r="N82" i="6" s="1"/>
  <c r="L82" i="6"/>
  <c r="J83" i="6"/>
  <c r="B83" i="6"/>
  <c r="K83" i="6"/>
  <c r="G85" i="6"/>
  <c r="E86" i="6"/>
  <c r="D87" i="6"/>
  <c r="M87" i="6"/>
  <c r="B88" i="6"/>
  <c r="K88" i="6"/>
  <c r="I89" i="6"/>
  <c r="H90" i="6"/>
  <c r="F91" i="6"/>
  <c r="C93" i="6"/>
  <c r="L93" i="6"/>
  <c r="C95" i="6"/>
  <c r="D97" i="6"/>
  <c r="G101" i="6"/>
  <c r="H103" i="6"/>
  <c r="I105" i="6"/>
  <c r="M109" i="6"/>
  <c r="E109" i="6"/>
  <c r="J109" i="6"/>
  <c r="B109" i="6"/>
  <c r="L109" i="6"/>
  <c r="C111" i="6"/>
  <c r="D113" i="6"/>
  <c r="G117" i="6"/>
  <c r="H119" i="6"/>
  <c r="I121" i="6"/>
  <c r="M125" i="6"/>
  <c r="E125" i="6"/>
  <c r="J125" i="6"/>
  <c r="B125" i="6"/>
  <c r="L125" i="6"/>
  <c r="C127" i="6"/>
  <c r="D129" i="6"/>
  <c r="G133" i="6"/>
  <c r="H135" i="6"/>
  <c r="I137" i="6"/>
  <c r="M141" i="6"/>
  <c r="E141" i="6"/>
  <c r="J141" i="6"/>
  <c r="B141" i="6"/>
  <c r="L141" i="6"/>
  <c r="C143" i="6"/>
  <c r="D145" i="6"/>
  <c r="G149" i="6"/>
  <c r="H151" i="6"/>
  <c r="I153" i="6"/>
  <c r="M157" i="6"/>
  <c r="E157" i="6"/>
  <c r="J157" i="6"/>
  <c r="B157" i="6"/>
  <c r="L157" i="6"/>
  <c r="C159" i="6"/>
  <c r="D161" i="6"/>
  <c r="G165" i="6"/>
  <c r="H167" i="6"/>
  <c r="I169" i="6"/>
  <c r="M173" i="6"/>
  <c r="E173" i="6"/>
  <c r="J173" i="6"/>
  <c r="B173" i="6"/>
  <c r="L173" i="6"/>
  <c r="C175" i="6"/>
  <c r="D177" i="6"/>
  <c r="G181" i="6"/>
  <c r="H183" i="6"/>
  <c r="I185" i="6"/>
  <c r="M189" i="6"/>
  <c r="E189" i="6"/>
  <c r="J189" i="6"/>
  <c r="B189" i="6"/>
  <c r="L189" i="6"/>
  <c r="C191" i="6"/>
  <c r="D193" i="6"/>
  <c r="H195" i="6"/>
  <c r="D197" i="6"/>
  <c r="G201" i="6"/>
  <c r="M201" i="6"/>
  <c r="E201" i="6"/>
  <c r="K201" i="6"/>
  <c r="C201" i="6"/>
  <c r="J201" i="6"/>
  <c r="B201" i="6"/>
  <c r="D203" i="6"/>
  <c r="F205" i="6"/>
  <c r="I209" i="6"/>
  <c r="L211" i="6"/>
  <c r="G217" i="6"/>
  <c r="M217" i="6"/>
  <c r="E217" i="6"/>
  <c r="K217" i="6"/>
  <c r="C217" i="6"/>
  <c r="J217" i="6"/>
  <c r="B217" i="6"/>
  <c r="D219" i="6"/>
  <c r="F223" i="6"/>
  <c r="F225" i="6"/>
  <c r="F227" i="6"/>
  <c r="K252" i="6"/>
  <c r="C252" i="6"/>
  <c r="J252" i="6"/>
  <c r="B252" i="6"/>
  <c r="L252" i="6"/>
  <c r="I252" i="6"/>
  <c r="H252" i="6"/>
  <c r="G252" i="6"/>
  <c r="F252" i="6"/>
  <c r="E252" i="6"/>
  <c r="D252" i="6"/>
  <c r="G259" i="6"/>
  <c r="F259" i="6"/>
  <c r="J259" i="6"/>
  <c r="I259" i="6"/>
  <c r="H259" i="6"/>
  <c r="E259" i="6"/>
  <c r="D259" i="6"/>
  <c r="M259" i="6"/>
  <c r="C259" i="6"/>
  <c r="L259" i="6"/>
  <c r="B259" i="6"/>
  <c r="K284" i="6"/>
  <c r="C284" i="6"/>
  <c r="J284" i="6"/>
  <c r="B284" i="6"/>
  <c r="L284" i="6"/>
  <c r="I284" i="6"/>
  <c r="H284" i="6"/>
  <c r="G284" i="6"/>
  <c r="F284" i="6"/>
  <c r="E284" i="6"/>
  <c r="D284" i="6"/>
  <c r="G291" i="6"/>
  <c r="F291" i="6"/>
  <c r="J291" i="6"/>
  <c r="I291" i="6"/>
  <c r="H291" i="6"/>
  <c r="E291" i="6"/>
  <c r="D291" i="6"/>
  <c r="M291" i="6"/>
  <c r="C291" i="6"/>
  <c r="L291" i="6"/>
  <c r="B291" i="6"/>
  <c r="K316" i="6"/>
  <c r="C316" i="6"/>
  <c r="J316" i="6"/>
  <c r="B316" i="6"/>
  <c r="I316" i="6"/>
  <c r="M316" i="6"/>
  <c r="L316" i="6"/>
  <c r="H316" i="6"/>
  <c r="G316" i="6"/>
  <c r="F316" i="6"/>
  <c r="E316" i="6"/>
  <c r="D316" i="6"/>
  <c r="Q367" i="6"/>
  <c r="O230" i="6"/>
  <c r="T230" i="6" s="1"/>
  <c r="Q462" i="6"/>
  <c r="P462" i="6"/>
  <c r="S462" i="6" s="1"/>
  <c r="O462" i="6"/>
  <c r="T462" i="6" s="1"/>
  <c r="Q470" i="6"/>
  <c r="P470" i="6"/>
  <c r="S470" i="6" s="1"/>
  <c r="O470" i="6"/>
  <c r="T470" i="6" s="1"/>
  <c r="R470" i="6"/>
  <c r="Q510" i="6"/>
  <c r="P518" i="6"/>
  <c r="S518" i="6" s="1"/>
  <c r="O526" i="6"/>
  <c r="T526" i="6" s="1"/>
  <c r="Q534" i="6"/>
  <c r="Q550" i="6"/>
  <c r="O550" i="6"/>
  <c r="T550" i="6" s="1"/>
  <c r="R550" i="6"/>
  <c r="N550" i="6" s="1"/>
  <c r="P550" i="6"/>
  <c r="S550" i="6" s="1"/>
  <c r="Q558" i="6"/>
  <c r="O558" i="6"/>
  <c r="T558" i="6" s="1"/>
  <c r="R558" i="6"/>
  <c r="P558" i="6"/>
  <c r="S558" i="6" s="1"/>
  <c r="Q574" i="6"/>
  <c r="O582" i="6"/>
  <c r="T582" i="6" s="1"/>
  <c r="R582" i="6"/>
  <c r="N582" i="6" s="1"/>
  <c r="R598" i="6"/>
  <c r="P598" i="6"/>
  <c r="S598" i="6" s="1"/>
  <c r="O614" i="6"/>
  <c r="T614" i="6" s="1"/>
  <c r="R614" i="6"/>
  <c r="Q614" i="6"/>
  <c r="P614" i="6"/>
  <c r="S614" i="6" s="1"/>
  <c r="O622" i="6"/>
  <c r="T622" i="6" s="1"/>
  <c r="R622" i="6"/>
  <c r="Q622" i="6"/>
  <c r="P622" i="6"/>
  <c r="S622" i="6" s="1"/>
  <c r="R638" i="6"/>
  <c r="N638" i="6" s="1"/>
  <c r="C4" i="8"/>
  <c r="I5" i="6"/>
  <c r="I7" i="6"/>
  <c r="I9" i="6"/>
  <c r="I11" i="6"/>
  <c r="I13" i="6"/>
  <c r="I15" i="6"/>
  <c r="I17" i="6"/>
  <c r="I19" i="6"/>
  <c r="I21" i="6"/>
  <c r="I23" i="6"/>
  <c r="I25" i="6"/>
  <c r="I27" i="6"/>
  <c r="I29" i="6"/>
  <c r="I31" i="6"/>
  <c r="I33" i="6"/>
  <c r="I35" i="6"/>
  <c r="I37" i="6"/>
  <c r="I39" i="6"/>
  <c r="I41" i="6"/>
  <c r="I43" i="6"/>
  <c r="I45" i="6"/>
  <c r="I47" i="6"/>
  <c r="I49" i="6"/>
  <c r="I51" i="6"/>
  <c r="I53" i="6"/>
  <c r="I55" i="6"/>
  <c r="I57" i="6"/>
  <c r="I59" i="6"/>
  <c r="I61" i="6"/>
  <c r="I63" i="6"/>
  <c r="I65" i="6"/>
  <c r="I67" i="6"/>
  <c r="I69" i="6"/>
  <c r="G70" i="6"/>
  <c r="C72" i="6"/>
  <c r="L72" i="6"/>
  <c r="J73" i="6"/>
  <c r="B73" i="6"/>
  <c r="K73" i="6"/>
  <c r="G75" i="6"/>
  <c r="D77" i="6"/>
  <c r="M77" i="6"/>
  <c r="I79" i="6"/>
  <c r="F84" i="6"/>
  <c r="J84" i="6"/>
  <c r="G86" i="6"/>
  <c r="C88" i="6"/>
  <c r="L88" i="6"/>
  <c r="J89" i="6"/>
  <c r="B89" i="6"/>
  <c r="K89" i="6"/>
  <c r="G91" i="6"/>
  <c r="D93" i="6"/>
  <c r="D95" i="6"/>
  <c r="H101" i="6"/>
  <c r="I103" i="6"/>
  <c r="M107" i="6"/>
  <c r="E107" i="6"/>
  <c r="J107" i="6"/>
  <c r="B107" i="6"/>
  <c r="L107" i="6"/>
  <c r="D111" i="6"/>
  <c r="H117" i="6"/>
  <c r="I119" i="6"/>
  <c r="M123" i="6"/>
  <c r="E123" i="6"/>
  <c r="J123" i="6"/>
  <c r="B123" i="6"/>
  <c r="L123" i="6"/>
  <c r="D127" i="6"/>
  <c r="H133" i="6"/>
  <c r="I135" i="6"/>
  <c r="M139" i="6"/>
  <c r="E139" i="6"/>
  <c r="J139" i="6"/>
  <c r="B139" i="6"/>
  <c r="L139" i="6"/>
  <c r="D143" i="6"/>
  <c r="H149" i="6"/>
  <c r="I151" i="6"/>
  <c r="M155" i="6"/>
  <c r="E155" i="6"/>
  <c r="J155" i="6"/>
  <c r="B155" i="6"/>
  <c r="L155" i="6"/>
  <c r="D159" i="6"/>
  <c r="H165" i="6"/>
  <c r="M171" i="6"/>
  <c r="E171" i="6"/>
  <c r="J171" i="6"/>
  <c r="B171" i="6"/>
  <c r="L171" i="6"/>
  <c r="D175" i="6"/>
  <c r="H181" i="6"/>
  <c r="I183" i="6"/>
  <c r="M187" i="6"/>
  <c r="E187" i="6"/>
  <c r="J187" i="6"/>
  <c r="B187" i="6"/>
  <c r="L187" i="6"/>
  <c r="D191" i="6"/>
  <c r="I195" i="6"/>
  <c r="F197" i="6"/>
  <c r="G199" i="6"/>
  <c r="M199" i="6"/>
  <c r="E199" i="6"/>
  <c r="K199" i="6"/>
  <c r="C199" i="6"/>
  <c r="J199" i="6"/>
  <c r="B199" i="6"/>
  <c r="F203" i="6"/>
  <c r="L209" i="6"/>
  <c r="G215" i="6"/>
  <c r="M215" i="6"/>
  <c r="E215" i="6"/>
  <c r="K215" i="6"/>
  <c r="C215" i="6"/>
  <c r="J215" i="6"/>
  <c r="B215" i="6"/>
  <c r="F219" i="6"/>
  <c r="I223" i="6"/>
  <c r="I225" i="6"/>
  <c r="I227" i="6"/>
  <c r="Q303" i="6"/>
  <c r="G321" i="6"/>
  <c r="F321" i="6"/>
  <c r="M321" i="6"/>
  <c r="E321" i="6"/>
  <c r="K321" i="6"/>
  <c r="J321" i="6"/>
  <c r="I321" i="6"/>
  <c r="H321" i="6"/>
  <c r="D321" i="6"/>
  <c r="C321" i="6"/>
  <c r="B321" i="6"/>
  <c r="G337" i="6"/>
  <c r="F337" i="6"/>
  <c r="M337" i="6"/>
  <c r="E337" i="6"/>
  <c r="K337" i="6"/>
  <c r="J337" i="6"/>
  <c r="I337" i="6"/>
  <c r="H337" i="6"/>
  <c r="D337" i="6"/>
  <c r="C337" i="6"/>
  <c r="B337" i="6"/>
  <c r="G353" i="6"/>
  <c r="F353" i="6"/>
  <c r="M353" i="6"/>
  <c r="E353" i="6"/>
  <c r="K353" i="6"/>
  <c r="J353" i="6"/>
  <c r="I353" i="6"/>
  <c r="H353" i="6"/>
  <c r="D353" i="6"/>
  <c r="C353" i="6"/>
  <c r="B353" i="6"/>
  <c r="R381" i="6"/>
  <c r="N381" i="6" s="1"/>
  <c r="R405" i="6"/>
  <c r="N405" i="6" s="1"/>
  <c r="P405" i="6"/>
  <c r="S405" i="6" s="1"/>
  <c r="R429" i="6"/>
  <c r="N429" i="6" s="1"/>
  <c r="Q429" i="6"/>
  <c r="P453" i="6"/>
  <c r="S453" i="6" s="1"/>
  <c r="Q477" i="6"/>
  <c r="B23" i="4"/>
  <c r="B31" i="4"/>
  <c r="B39" i="4"/>
  <c r="B47" i="4"/>
  <c r="B55" i="4"/>
  <c r="B63" i="4"/>
  <c r="B71" i="4"/>
  <c r="B79" i="4"/>
  <c r="B87" i="4"/>
  <c r="B95" i="4"/>
  <c r="B103" i="4"/>
  <c r="B111" i="4"/>
  <c r="B119" i="4"/>
  <c r="B127" i="4"/>
  <c r="B135" i="4"/>
  <c r="B143" i="4"/>
  <c r="B151" i="4"/>
  <c r="B159" i="4"/>
  <c r="B167" i="4"/>
  <c r="B175" i="4"/>
  <c r="B183" i="4"/>
  <c r="B191" i="4"/>
  <c r="B199" i="4"/>
  <c r="B207" i="4"/>
  <c r="H70" i="6"/>
  <c r="F74" i="6"/>
  <c r="J74" i="6"/>
  <c r="H75" i="6"/>
  <c r="J79" i="6"/>
  <c r="B79" i="6"/>
  <c r="K79" i="6"/>
  <c r="H86" i="6"/>
  <c r="F90" i="6"/>
  <c r="J90" i="6"/>
  <c r="H91" i="6"/>
  <c r="I101" i="6"/>
  <c r="M105" i="6"/>
  <c r="E105" i="6"/>
  <c r="J105" i="6"/>
  <c r="B105" i="6"/>
  <c r="L105" i="6"/>
  <c r="I117" i="6"/>
  <c r="M121" i="6"/>
  <c r="E121" i="6"/>
  <c r="J121" i="6"/>
  <c r="B121" i="6"/>
  <c r="L121" i="6"/>
  <c r="I133" i="6"/>
  <c r="M137" i="6"/>
  <c r="E137" i="6"/>
  <c r="J137" i="6"/>
  <c r="B137" i="6"/>
  <c r="L137" i="6"/>
  <c r="I149" i="6"/>
  <c r="M153" i="6"/>
  <c r="E153" i="6"/>
  <c r="J153" i="6"/>
  <c r="B153" i="6"/>
  <c r="L153" i="6"/>
  <c r="I165" i="6"/>
  <c r="M169" i="6"/>
  <c r="E169" i="6"/>
  <c r="J169" i="6"/>
  <c r="B169" i="6"/>
  <c r="L169" i="6"/>
  <c r="I181" i="6"/>
  <c r="M185" i="6"/>
  <c r="E185" i="6"/>
  <c r="J185" i="6"/>
  <c r="B185" i="6"/>
  <c r="L185" i="6"/>
  <c r="L195" i="6"/>
  <c r="G213" i="6"/>
  <c r="M213" i="6"/>
  <c r="E213" i="6"/>
  <c r="K213" i="6"/>
  <c r="C213" i="6"/>
  <c r="J213" i="6"/>
  <c r="B213" i="6"/>
  <c r="H231" i="6"/>
  <c r="G231" i="6"/>
  <c r="F231" i="6"/>
  <c r="M231" i="6"/>
  <c r="E231" i="6"/>
  <c r="L231" i="6"/>
  <c r="D231" i="6"/>
  <c r="K231" i="6"/>
  <c r="C231" i="6"/>
  <c r="J231" i="6"/>
  <c r="B231" i="6"/>
  <c r="H235" i="6"/>
  <c r="G235" i="6"/>
  <c r="F235" i="6"/>
  <c r="M235" i="6"/>
  <c r="E235" i="6"/>
  <c r="L235" i="6"/>
  <c r="D235" i="6"/>
  <c r="K235" i="6"/>
  <c r="C235" i="6"/>
  <c r="J235" i="6"/>
  <c r="B235" i="6"/>
  <c r="K260" i="6"/>
  <c r="C260" i="6"/>
  <c r="J260" i="6"/>
  <c r="B260" i="6"/>
  <c r="L260" i="6"/>
  <c r="I260" i="6"/>
  <c r="H260" i="6"/>
  <c r="G260" i="6"/>
  <c r="F260" i="6"/>
  <c r="E260" i="6"/>
  <c r="D260" i="6"/>
  <c r="G267" i="6"/>
  <c r="F267" i="6"/>
  <c r="J267" i="6"/>
  <c r="I267" i="6"/>
  <c r="H267" i="6"/>
  <c r="E267" i="6"/>
  <c r="D267" i="6"/>
  <c r="M267" i="6"/>
  <c r="C267" i="6"/>
  <c r="L267" i="6"/>
  <c r="B267" i="6"/>
  <c r="K292" i="6"/>
  <c r="C292" i="6"/>
  <c r="J292" i="6"/>
  <c r="B292" i="6"/>
  <c r="L292" i="6"/>
  <c r="I292" i="6"/>
  <c r="H292" i="6"/>
  <c r="G292" i="6"/>
  <c r="F292" i="6"/>
  <c r="E292" i="6"/>
  <c r="D292" i="6"/>
  <c r="G299" i="6"/>
  <c r="F299" i="6"/>
  <c r="J299" i="6"/>
  <c r="I299" i="6"/>
  <c r="H299" i="6"/>
  <c r="E299" i="6"/>
  <c r="D299" i="6"/>
  <c r="M299" i="6"/>
  <c r="C299" i="6"/>
  <c r="L299" i="6"/>
  <c r="B299" i="6"/>
  <c r="Q319" i="6"/>
  <c r="Q335" i="6"/>
  <c r="H383" i="6"/>
  <c r="G383" i="6"/>
  <c r="F383" i="6"/>
  <c r="M383" i="6"/>
  <c r="E383" i="6"/>
  <c r="L383" i="6"/>
  <c r="K383" i="6"/>
  <c r="J383" i="6"/>
  <c r="I383" i="6"/>
  <c r="D383" i="6"/>
  <c r="C383" i="6"/>
  <c r="B383" i="6"/>
  <c r="P488" i="6"/>
  <c r="S488" i="6" s="1"/>
  <c r="Q460" i="6"/>
  <c r="O484" i="6"/>
  <c r="T484" i="6" s="1"/>
  <c r="Q556" i="6"/>
  <c r="P556" i="6"/>
  <c r="S556" i="6" s="1"/>
  <c r="Q628" i="6"/>
  <c r="C5" i="6"/>
  <c r="K5" i="6"/>
  <c r="C7" i="6"/>
  <c r="K7" i="6"/>
  <c r="C9" i="6"/>
  <c r="K9" i="6"/>
  <c r="C11" i="6"/>
  <c r="K11" i="6"/>
  <c r="C13" i="6"/>
  <c r="K13" i="6"/>
  <c r="C15" i="6"/>
  <c r="K15" i="6"/>
  <c r="C17" i="6"/>
  <c r="K17" i="6"/>
  <c r="C19" i="6"/>
  <c r="K19" i="6"/>
  <c r="C21" i="6"/>
  <c r="K21" i="6"/>
  <c r="C23" i="6"/>
  <c r="K23" i="6"/>
  <c r="C25" i="6"/>
  <c r="K25" i="6"/>
  <c r="C27" i="6"/>
  <c r="K27" i="6"/>
  <c r="C29" i="6"/>
  <c r="K29" i="6"/>
  <c r="C31" i="6"/>
  <c r="K31" i="6"/>
  <c r="C33" i="6"/>
  <c r="K33" i="6"/>
  <c r="C35" i="6"/>
  <c r="K35" i="6"/>
  <c r="C37" i="6"/>
  <c r="K37" i="6"/>
  <c r="C39" i="6"/>
  <c r="K39" i="6"/>
  <c r="C41" i="6"/>
  <c r="K41" i="6"/>
  <c r="C43" i="6"/>
  <c r="K43" i="6"/>
  <c r="C45" i="6"/>
  <c r="K45" i="6"/>
  <c r="C47" i="6"/>
  <c r="K47" i="6"/>
  <c r="C49" i="6"/>
  <c r="K49" i="6"/>
  <c r="C51" i="6"/>
  <c r="K51" i="6"/>
  <c r="C53" i="6"/>
  <c r="K53" i="6"/>
  <c r="C55" i="6"/>
  <c r="K55" i="6"/>
  <c r="C57" i="6"/>
  <c r="K57" i="6"/>
  <c r="C59" i="6"/>
  <c r="K59" i="6"/>
  <c r="C61" i="6"/>
  <c r="K61" i="6"/>
  <c r="C63" i="6"/>
  <c r="K63" i="6"/>
  <c r="C65" i="6"/>
  <c r="K65" i="6"/>
  <c r="C67" i="6"/>
  <c r="K67" i="6"/>
  <c r="C69" i="6"/>
  <c r="K69" i="6"/>
  <c r="E72" i="6"/>
  <c r="D73" i="6"/>
  <c r="M73" i="6"/>
  <c r="B74" i="6"/>
  <c r="K74" i="6"/>
  <c r="I75" i="6"/>
  <c r="F77" i="6"/>
  <c r="C79" i="6"/>
  <c r="L79" i="6"/>
  <c r="F80" i="6"/>
  <c r="J80" i="6"/>
  <c r="C84" i="6"/>
  <c r="L84" i="6"/>
  <c r="J85" i="6"/>
  <c r="B85" i="6"/>
  <c r="K85" i="6"/>
  <c r="E88" i="6"/>
  <c r="D89" i="6"/>
  <c r="M89" i="6"/>
  <c r="B90" i="6"/>
  <c r="K90" i="6"/>
  <c r="I91" i="6"/>
  <c r="F93" i="6"/>
  <c r="G95" i="6"/>
  <c r="M103" i="6"/>
  <c r="E103" i="6"/>
  <c r="J103" i="6"/>
  <c r="B103" i="6"/>
  <c r="L103" i="6"/>
  <c r="C105" i="6"/>
  <c r="D107" i="6"/>
  <c r="G111" i="6"/>
  <c r="M119" i="6"/>
  <c r="E119" i="6"/>
  <c r="J119" i="6"/>
  <c r="B119" i="6"/>
  <c r="L119" i="6"/>
  <c r="C121" i="6"/>
  <c r="D123" i="6"/>
  <c r="G127" i="6"/>
  <c r="M135" i="6"/>
  <c r="E135" i="6"/>
  <c r="J135" i="6"/>
  <c r="B135" i="6"/>
  <c r="L135" i="6"/>
  <c r="C137" i="6"/>
  <c r="D139" i="6"/>
  <c r="G143" i="6"/>
  <c r="M151" i="6"/>
  <c r="E151" i="6"/>
  <c r="J151" i="6"/>
  <c r="B151" i="6"/>
  <c r="L151" i="6"/>
  <c r="C153" i="6"/>
  <c r="D155" i="6"/>
  <c r="G159" i="6"/>
  <c r="M167" i="6"/>
  <c r="E167" i="6"/>
  <c r="J167" i="6"/>
  <c r="B167" i="6"/>
  <c r="L167" i="6"/>
  <c r="C169" i="6"/>
  <c r="D171" i="6"/>
  <c r="G175" i="6"/>
  <c r="M183" i="6"/>
  <c r="E183" i="6"/>
  <c r="J183" i="6"/>
  <c r="B183" i="6"/>
  <c r="L183" i="6"/>
  <c r="C185" i="6"/>
  <c r="D187" i="6"/>
  <c r="G191" i="6"/>
  <c r="H197" i="6"/>
  <c r="I203" i="6"/>
  <c r="G211" i="6"/>
  <c r="M211" i="6"/>
  <c r="E211" i="6"/>
  <c r="K211" i="6"/>
  <c r="C211" i="6"/>
  <c r="J211" i="6"/>
  <c r="B211" i="6"/>
  <c r="D213" i="6"/>
  <c r="I219" i="6"/>
  <c r="I231" i="6"/>
  <c r="I235" i="6"/>
  <c r="M260" i="6"/>
  <c r="K267" i="6"/>
  <c r="M292" i="6"/>
  <c r="K299" i="6"/>
  <c r="Q311" i="6"/>
  <c r="M524" i="6"/>
  <c r="F70" i="6"/>
  <c r="J70" i="6"/>
  <c r="J75" i="6"/>
  <c r="B75" i="6"/>
  <c r="K75" i="6"/>
  <c r="F86" i="6"/>
  <c r="J86" i="6"/>
  <c r="J91" i="6"/>
  <c r="B91" i="6"/>
  <c r="K91" i="6"/>
  <c r="M101" i="6"/>
  <c r="E101" i="6"/>
  <c r="J101" i="6"/>
  <c r="B101" i="6"/>
  <c r="L101" i="6"/>
  <c r="M117" i="6"/>
  <c r="E117" i="6"/>
  <c r="J117" i="6"/>
  <c r="B117" i="6"/>
  <c r="L117" i="6"/>
  <c r="M133" i="6"/>
  <c r="E133" i="6"/>
  <c r="J133" i="6"/>
  <c r="B133" i="6"/>
  <c r="L133" i="6"/>
  <c r="M149" i="6"/>
  <c r="E149" i="6"/>
  <c r="J149" i="6"/>
  <c r="B149" i="6"/>
  <c r="L149" i="6"/>
  <c r="M165" i="6"/>
  <c r="E165" i="6"/>
  <c r="J165" i="6"/>
  <c r="B165" i="6"/>
  <c r="L165" i="6"/>
  <c r="M181" i="6"/>
  <c r="E181" i="6"/>
  <c r="J181" i="6"/>
  <c r="B181" i="6"/>
  <c r="L181" i="6"/>
  <c r="M195" i="6"/>
  <c r="E195" i="6"/>
  <c r="K195" i="6"/>
  <c r="C195" i="6"/>
  <c r="J195" i="6"/>
  <c r="B195" i="6"/>
  <c r="G209" i="6"/>
  <c r="M209" i="6"/>
  <c r="E209" i="6"/>
  <c r="K209" i="6"/>
  <c r="C209" i="6"/>
  <c r="J209" i="6"/>
  <c r="B209" i="6"/>
  <c r="G243" i="6"/>
  <c r="F243" i="6"/>
  <c r="J243" i="6"/>
  <c r="I243" i="6"/>
  <c r="H243" i="6"/>
  <c r="E243" i="6"/>
  <c r="D243" i="6"/>
  <c r="M243" i="6"/>
  <c r="C243" i="6"/>
  <c r="L243" i="6"/>
  <c r="B243" i="6"/>
  <c r="K268" i="6"/>
  <c r="C268" i="6"/>
  <c r="J268" i="6"/>
  <c r="B268" i="6"/>
  <c r="L268" i="6"/>
  <c r="I268" i="6"/>
  <c r="H268" i="6"/>
  <c r="G268" i="6"/>
  <c r="F268" i="6"/>
  <c r="E268" i="6"/>
  <c r="D268" i="6"/>
  <c r="G275" i="6"/>
  <c r="F275" i="6"/>
  <c r="J275" i="6"/>
  <c r="I275" i="6"/>
  <c r="H275" i="6"/>
  <c r="E275" i="6"/>
  <c r="D275" i="6"/>
  <c r="M275" i="6"/>
  <c r="C275" i="6"/>
  <c r="L275" i="6"/>
  <c r="B275" i="6"/>
  <c r="K300" i="6"/>
  <c r="C300" i="6"/>
  <c r="J300" i="6"/>
  <c r="B300" i="6"/>
  <c r="L300" i="6"/>
  <c r="I300" i="6"/>
  <c r="H300" i="6"/>
  <c r="G300" i="6"/>
  <c r="F300" i="6"/>
  <c r="E300" i="6"/>
  <c r="D300" i="6"/>
  <c r="G307" i="6"/>
  <c r="F307" i="6"/>
  <c r="J307" i="6"/>
  <c r="I307" i="6"/>
  <c r="H307" i="6"/>
  <c r="E307" i="6"/>
  <c r="D307" i="6"/>
  <c r="M307" i="6"/>
  <c r="C307" i="6"/>
  <c r="L307" i="6"/>
  <c r="B307" i="6"/>
  <c r="G361" i="6"/>
  <c r="F361" i="6"/>
  <c r="M361" i="6"/>
  <c r="E361" i="6"/>
  <c r="K361" i="6"/>
  <c r="J361" i="6"/>
  <c r="I361" i="6"/>
  <c r="H361" i="6"/>
  <c r="D361" i="6"/>
  <c r="C361" i="6"/>
  <c r="B361" i="6"/>
  <c r="F94" i="6"/>
  <c r="F96" i="6"/>
  <c r="F98" i="6"/>
  <c r="F100" i="6"/>
  <c r="F102" i="6"/>
  <c r="F104" i="6"/>
  <c r="F106" i="6"/>
  <c r="F108" i="6"/>
  <c r="F110" i="6"/>
  <c r="F112" i="6"/>
  <c r="F114" i="6"/>
  <c r="F116" i="6"/>
  <c r="F118" i="6"/>
  <c r="F120" i="6"/>
  <c r="F122" i="6"/>
  <c r="F124" i="6"/>
  <c r="F126" i="6"/>
  <c r="F128" i="6"/>
  <c r="F130" i="6"/>
  <c r="F132" i="6"/>
  <c r="F134" i="6"/>
  <c r="F136" i="6"/>
  <c r="F138" i="6"/>
  <c r="F140" i="6"/>
  <c r="F142" i="6"/>
  <c r="F144" i="6"/>
  <c r="F146" i="6"/>
  <c r="F148" i="6"/>
  <c r="F150" i="6"/>
  <c r="F152" i="6"/>
  <c r="F154" i="6"/>
  <c r="F156" i="6"/>
  <c r="F158" i="6"/>
  <c r="F160" i="6"/>
  <c r="F162" i="6"/>
  <c r="F164" i="6"/>
  <c r="F166" i="6"/>
  <c r="F168" i="6"/>
  <c r="F170" i="6"/>
  <c r="F172" i="6"/>
  <c r="F174" i="6"/>
  <c r="F176" i="6"/>
  <c r="F178" i="6"/>
  <c r="F180" i="6"/>
  <c r="F182" i="6"/>
  <c r="F184" i="6"/>
  <c r="F186" i="6"/>
  <c r="F188" i="6"/>
  <c r="F190" i="6"/>
  <c r="F192" i="6"/>
  <c r="F194" i="6"/>
  <c r="F196" i="6"/>
  <c r="F198" i="6"/>
  <c r="F200" i="6"/>
  <c r="F202" i="6"/>
  <c r="F204" i="6"/>
  <c r="F206" i="6"/>
  <c r="F208" i="6"/>
  <c r="F210" i="6"/>
  <c r="F212" i="6"/>
  <c r="F214" i="6"/>
  <c r="F216" i="6"/>
  <c r="F218" i="6"/>
  <c r="F220" i="6"/>
  <c r="F222" i="6"/>
  <c r="F224" i="6"/>
  <c r="F226" i="6"/>
  <c r="F228" i="6"/>
  <c r="F230" i="6"/>
  <c r="F232" i="6"/>
  <c r="F234" i="6"/>
  <c r="F236" i="6"/>
  <c r="D237" i="6"/>
  <c r="F238" i="6"/>
  <c r="H240" i="6"/>
  <c r="J241" i="6"/>
  <c r="D245" i="6"/>
  <c r="F246" i="6"/>
  <c r="H248" i="6"/>
  <c r="J249" i="6"/>
  <c r="D253" i="6"/>
  <c r="F254" i="6"/>
  <c r="H256" i="6"/>
  <c r="J257" i="6"/>
  <c r="D261" i="6"/>
  <c r="F262" i="6"/>
  <c r="H264" i="6"/>
  <c r="J265" i="6"/>
  <c r="D269" i="6"/>
  <c r="F270" i="6"/>
  <c r="H272" i="6"/>
  <c r="J273" i="6"/>
  <c r="D277" i="6"/>
  <c r="F278" i="6"/>
  <c r="H280" i="6"/>
  <c r="J281" i="6"/>
  <c r="D285" i="6"/>
  <c r="F286" i="6"/>
  <c r="H288" i="6"/>
  <c r="J289" i="6"/>
  <c r="D293" i="6"/>
  <c r="F294" i="6"/>
  <c r="H296" i="6"/>
  <c r="J297" i="6"/>
  <c r="D301" i="6"/>
  <c r="F302" i="6"/>
  <c r="H304" i="6"/>
  <c r="J305" i="6"/>
  <c r="D309" i="6"/>
  <c r="F310" i="6"/>
  <c r="H312" i="6"/>
  <c r="J313" i="6"/>
  <c r="I317" i="6"/>
  <c r="D319" i="6"/>
  <c r="I325" i="6"/>
  <c r="D327" i="6"/>
  <c r="I333" i="6"/>
  <c r="D335" i="6"/>
  <c r="I341" i="6"/>
  <c r="D343" i="6"/>
  <c r="I349" i="6"/>
  <c r="D351" i="6"/>
  <c r="I357" i="6"/>
  <c r="D359" i="6"/>
  <c r="I365" i="6"/>
  <c r="D367" i="6"/>
  <c r="C369" i="6"/>
  <c r="D371" i="6"/>
  <c r="I373" i="6"/>
  <c r="H381" i="6"/>
  <c r="G381" i="6"/>
  <c r="F381" i="6"/>
  <c r="M381" i="6"/>
  <c r="E381" i="6"/>
  <c r="M520" i="6"/>
  <c r="G241" i="6"/>
  <c r="F241" i="6"/>
  <c r="K241" i="6"/>
  <c r="K242" i="6"/>
  <c r="C242" i="6"/>
  <c r="J242" i="6"/>
  <c r="B242" i="6"/>
  <c r="M242" i="6"/>
  <c r="G249" i="6"/>
  <c r="F249" i="6"/>
  <c r="K249" i="6"/>
  <c r="K250" i="6"/>
  <c r="C250" i="6"/>
  <c r="J250" i="6"/>
  <c r="B250" i="6"/>
  <c r="M250" i="6"/>
  <c r="G257" i="6"/>
  <c r="F257" i="6"/>
  <c r="K257" i="6"/>
  <c r="K258" i="6"/>
  <c r="C258" i="6"/>
  <c r="J258" i="6"/>
  <c r="B258" i="6"/>
  <c r="M258" i="6"/>
  <c r="G265" i="6"/>
  <c r="F265" i="6"/>
  <c r="K265" i="6"/>
  <c r="K266" i="6"/>
  <c r="C266" i="6"/>
  <c r="J266" i="6"/>
  <c r="B266" i="6"/>
  <c r="M266" i="6"/>
  <c r="G273" i="6"/>
  <c r="F273" i="6"/>
  <c r="K273" i="6"/>
  <c r="K274" i="6"/>
  <c r="C274" i="6"/>
  <c r="J274" i="6"/>
  <c r="B274" i="6"/>
  <c r="M274" i="6"/>
  <c r="G281" i="6"/>
  <c r="F281" i="6"/>
  <c r="K281" i="6"/>
  <c r="K282" i="6"/>
  <c r="C282" i="6"/>
  <c r="J282" i="6"/>
  <c r="B282" i="6"/>
  <c r="M282" i="6"/>
  <c r="G289" i="6"/>
  <c r="F289" i="6"/>
  <c r="K289" i="6"/>
  <c r="K290" i="6"/>
  <c r="C290" i="6"/>
  <c r="J290" i="6"/>
  <c r="B290" i="6"/>
  <c r="M290" i="6"/>
  <c r="G297" i="6"/>
  <c r="F297" i="6"/>
  <c r="K297" i="6"/>
  <c r="K298" i="6"/>
  <c r="C298" i="6"/>
  <c r="J298" i="6"/>
  <c r="B298" i="6"/>
  <c r="M298" i="6"/>
  <c r="G305" i="6"/>
  <c r="F305" i="6"/>
  <c r="K305" i="6"/>
  <c r="K306" i="6"/>
  <c r="C306" i="6"/>
  <c r="J306" i="6"/>
  <c r="B306" i="6"/>
  <c r="M306" i="6"/>
  <c r="G313" i="6"/>
  <c r="F313" i="6"/>
  <c r="K313" i="6"/>
  <c r="K314" i="6"/>
  <c r="C314" i="6"/>
  <c r="J314" i="6"/>
  <c r="B314" i="6"/>
  <c r="M314" i="6"/>
  <c r="H319" i="6"/>
  <c r="G323" i="6"/>
  <c r="F323" i="6"/>
  <c r="M323" i="6"/>
  <c r="E323" i="6"/>
  <c r="L323" i="6"/>
  <c r="H327" i="6"/>
  <c r="G331" i="6"/>
  <c r="F331" i="6"/>
  <c r="M331" i="6"/>
  <c r="E331" i="6"/>
  <c r="L331" i="6"/>
  <c r="H335" i="6"/>
  <c r="G339" i="6"/>
  <c r="F339" i="6"/>
  <c r="M339" i="6"/>
  <c r="E339" i="6"/>
  <c r="L339" i="6"/>
  <c r="H343" i="6"/>
  <c r="G347" i="6"/>
  <c r="F347" i="6"/>
  <c r="M347" i="6"/>
  <c r="E347" i="6"/>
  <c r="L347" i="6"/>
  <c r="H351" i="6"/>
  <c r="G355" i="6"/>
  <c r="F355" i="6"/>
  <c r="M355" i="6"/>
  <c r="E355" i="6"/>
  <c r="L355" i="6"/>
  <c r="H359" i="6"/>
  <c r="G363" i="6"/>
  <c r="F363" i="6"/>
  <c r="M363" i="6"/>
  <c r="E363" i="6"/>
  <c r="L363" i="6"/>
  <c r="H367" i="6"/>
  <c r="D369" i="6"/>
  <c r="I371" i="6"/>
  <c r="J373" i="6"/>
  <c r="H379" i="6"/>
  <c r="G379" i="6"/>
  <c r="F379" i="6"/>
  <c r="M379" i="6"/>
  <c r="E379" i="6"/>
  <c r="M516" i="6"/>
  <c r="M569" i="6"/>
  <c r="E569" i="6"/>
  <c r="I569" i="6"/>
  <c r="H569" i="6"/>
  <c r="G569" i="6"/>
  <c r="F569" i="6"/>
  <c r="L569" i="6"/>
  <c r="C569" i="6"/>
  <c r="K569" i="6"/>
  <c r="B569" i="6"/>
  <c r="J569" i="6"/>
  <c r="D569" i="6"/>
  <c r="I359" i="6"/>
  <c r="I367" i="6"/>
  <c r="I369" i="6"/>
  <c r="J371" i="6"/>
  <c r="K373" i="6"/>
  <c r="H377" i="6"/>
  <c r="G377" i="6"/>
  <c r="F377" i="6"/>
  <c r="M377" i="6"/>
  <c r="E377" i="6"/>
  <c r="B379" i="6"/>
  <c r="K483" i="6"/>
  <c r="C483" i="6"/>
  <c r="H483" i="6"/>
  <c r="G483" i="6"/>
  <c r="L483" i="6"/>
  <c r="J483" i="6"/>
  <c r="I483" i="6"/>
  <c r="F483" i="6"/>
  <c r="E483" i="6"/>
  <c r="D483" i="6"/>
  <c r="B483" i="6"/>
  <c r="M512" i="6"/>
  <c r="I236" i="6"/>
  <c r="I237" i="6"/>
  <c r="G239" i="6"/>
  <c r="F239" i="6"/>
  <c r="K239" i="6"/>
  <c r="K240" i="6"/>
  <c r="C240" i="6"/>
  <c r="J240" i="6"/>
  <c r="B240" i="6"/>
  <c r="M240" i="6"/>
  <c r="C241" i="6"/>
  <c r="M241" i="6"/>
  <c r="E242" i="6"/>
  <c r="I245" i="6"/>
  <c r="G247" i="6"/>
  <c r="F247" i="6"/>
  <c r="K247" i="6"/>
  <c r="K248" i="6"/>
  <c r="C248" i="6"/>
  <c r="J248" i="6"/>
  <c r="B248" i="6"/>
  <c r="M248" i="6"/>
  <c r="C249" i="6"/>
  <c r="M249" i="6"/>
  <c r="E250" i="6"/>
  <c r="I253" i="6"/>
  <c r="G255" i="6"/>
  <c r="F255" i="6"/>
  <c r="K255" i="6"/>
  <c r="K256" i="6"/>
  <c r="C256" i="6"/>
  <c r="J256" i="6"/>
  <c r="B256" i="6"/>
  <c r="M256" i="6"/>
  <c r="C257" i="6"/>
  <c r="M257" i="6"/>
  <c r="E258" i="6"/>
  <c r="I261" i="6"/>
  <c r="G263" i="6"/>
  <c r="F263" i="6"/>
  <c r="K263" i="6"/>
  <c r="K264" i="6"/>
  <c r="C264" i="6"/>
  <c r="J264" i="6"/>
  <c r="B264" i="6"/>
  <c r="M264" i="6"/>
  <c r="C265" i="6"/>
  <c r="M265" i="6"/>
  <c r="E266" i="6"/>
  <c r="I269" i="6"/>
  <c r="G271" i="6"/>
  <c r="F271" i="6"/>
  <c r="K271" i="6"/>
  <c r="K272" i="6"/>
  <c r="C272" i="6"/>
  <c r="J272" i="6"/>
  <c r="B272" i="6"/>
  <c r="M272" i="6"/>
  <c r="C273" i="6"/>
  <c r="M273" i="6"/>
  <c r="E274" i="6"/>
  <c r="I277" i="6"/>
  <c r="G279" i="6"/>
  <c r="F279" i="6"/>
  <c r="K279" i="6"/>
  <c r="K280" i="6"/>
  <c r="C280" i="6"/>
  <c r="J280" i="6"/>
  <c r="B280" i="6"/>
  <c r="M280" i="6"/>
  <c r="C281" i="6"/>
  <c r="M281" i="6"/>
  <c r="E282" i="6"/>
  <c r="I285" i="6"/>
  <c r="G287" i="6"/>
  <c r="F287" i="6"/>
  <c r="K287" i="6"/>
  <c r="K288" i="6"/>
  <c r="C288" i="6"/>
  <c r="J288" i="6"/>
  <c r="B288" i="6"/>
  <c r="M288" i="6"/>
  <c r="C289" i="6"/>
  <c r="M289" i="6"/>
  <c r="E290" i="6"/>
  <c r="I293" i="6"/>
  <c r="G295" i="6"/>
  <c r="F295" i="6"/>
  <c r="K295" i="6"/>
  <c r="K296" i="6"/>
  <c r="C296" i="6"/>
  <c r="J296" i="6"/>
  <c r="B296" i="6"/>
  <c r="M296" i="6"/>
  <c r="C297" i="6"/>
  <c r="M297" i="6"/>
  <c r="E298" i="6"/>
  <c r="I301" i="6"/>
  <c r="G303" i="6"/>
  <c r="F303" i="6"/>
  <c r="K303" i="6"/>
  <c r="K304" i="6"/>
  <c r="C304" i="6"/>
  <c r="J304" i="6"/>
  <c r="B304" i="6"/>
  <c r="M304" i="6"/>
  <c r="C305" i="6"/>
  <c r="M305" i="6"/>
  <c r="E306" i="6"/>
  <c r="I309" i="6"/>
  <c r="G311" i="6"/>
  <c r="F311" i="6"/>
  <c r="K311" i="6"/>
  <c r="K312" i="6"/>
  <c r="C312" i="6"/>
  <c r="J312" i="6"/>
  <c r="B312" i="6"/>
  <c r="M312" i="6"/>
  <c r="C313" i="6"/>
  <c r="M313" i="6"/>
  <c r="E314" i="6"/>
  <c r="G317" i="6"/>
  <c r="F317" i="6"/>
  <c r="M317" i="6"/>
  <c r="E317" i="6"/>
  <c r="L317" i="6"/>
  <c r="C323" i="6"/>
  <c r="G325" i="6"/>
  <c r="F325" i="6"/>
  <c r="M325" i="6"/>
  <c r="E325" i="6"/>
  <c r="L325" i="6"/>
  <c r="C331" i="6"/>
  <c r="G333" i="6"/>
  <c r="F333" i="6"/>
  <c r="M333" i="6"/>
  <c r="E333" i="6"/>
  <c r="L333" i="6"/>
  <c r="C339" i="6"/>
  <c r="G341" i="6"/>
  <c r="F341" i="6"/>
  <c r="M341" i="6"/>
  <c r="E341" i="6"/>
  <c r="L341" i="6"/>
  <c r="C347" i="6"/>
  <c r="G349" i="6"/>
  <c r="F349" i="6"/>
  <c r="M349" i="6"/>
  <c r="E349" i="6"/>
  <c r="L349" i="6"/>
  <c r="C355" i="6"/>
  <c r="G357" i="6"/>
  <c r="F357" i="6"/>
  <c r="M357" i="6"/>
  <c r="E357" i="6"/>
  <c r="L357" i="6"/>
  <c r="J359" i="6"/>
  <c r="C363" i="6"/>
  <c r="G365" i="6"/>
  <c r="F365" i="6"/>
  <c r="M365" i="6"/>
  <c r="E365" i="6"/>
  <c r="L365" i="6"/>
  <c r="J367" i="6"/>
  <c r="J369" i="6"/>
  <c r="H375" i="6"/>
  <c r="G375" i="6"/>
  <c r="F375" i="6"/>
  <c r="M375" i="6"/>
  <c r="E375" i="6"/>
  <c r="B377" i="6"/>
  <c r="C379" i="6"/>
  <c r="M483" i="6"/>
  <c r="M508" i="6"/>
  <c r="K369" i="6"/>
  <c r="H373" i="6"/>
  <c r="G373" i="6"/>
  <c r="F373" i="6"/>
  <c r="M373" i="6"/>
  <c r="E373" i="6"/>
  <c r="C377" i="6"/>
  <c r="D379" i="6"/>
  <c r="M484" i="6"/>
  <c r="M486" i="6"/>
  <c r="M504" i="6"/>
  <c r="G237" i="6"/>
  <c r="F237" i="6"/>
  <c r="K237" i="6"/>
  <c r="K238" i="6"/>
  <c r="C238" i="6"/>
  <c r="J238" i="6"/>
  <c r="B238" i="6"/>
  <c r="M238" i="6"/>
  <c r="E241" i="6"/>
  <c r="G242" i="6"/>
  <c r="G245" i="6"/>
  <c r="F245" i="6"/>
  <c r="K245" i="6"/>
  <c r="K246" i="6"/>
  <c r="C246" i="6"/>
  <c r="J246" i="6"/>
  <c r="B246" i="6"/>
  <c r="M246" i="6"/>
  <c r="E249" i="6"/>
  <c r="G250" i="6"/>
  <c r="G253" i="6"/>
  <c r="F253" i="6"/>
  <c r="K253" i="6"/>
  <c r="K254" i="6"/>
  <c r="C254" i="6"/>
  <c r="J254" i="6"/>
  <c r="B254" i="6"/>
  <c r="M254" i="6"/>
  <c r="E257" i="6"/>
  <c r="G258" i="6"/>
  <c r="G261" i="6"/>
  <c r="F261" i="6"/>
  <c r="K261" i="6"/>
  <c r="K262" i="6"/>
  <c r="C262" i="6"/>
  <c r="J262" i="6"/>
  <c r="B262" i="6"/>
  <c r="M262" i="6"/>
  <c r="E265" i="6"/>
  <c r="G266" i="6"/>
  <c r="G269" i="6"/>
  <c r="F269" i="6"/>
  <c r="K269" i="6"/>
  <c r="K270" i="6"/>
  <c r="C270" i="6"/>
  <c r="J270" i="6"/>
  <c r="B270" i="6"/>
  <c r="M270" i="6"/>
  <c r="E273" i="6"/>
  <c r="G274" i="6"/>
  <c r="G277" i="6"/>
  <c r="F277" i="6"/>
  <c r="K277" i="6"/>
  <c r="K278" i="6"/>
  <c r="C278" i="6"/>
  <c r="J278" i="6"/>
  <c r="B278" i="6"/>
  <c r="M278" i="6"/>
  <c r="E281" i="6"/>
  <c r="G282" i="6"/>
  <c r="G285" i="6"/>
  <c r="F285" i="6"/>
  <c r="K285" i="6"/>
  <c r="K286" i="6"/>
  <c r="C286" i="6"/>
  <c r="J286" i="6"/>
  <c r="B286" i="6"/>
  <c r="M286" i="6"/>
  <c r="E289" i="6"/>
  <c r="G290" i="6"/>
  <c r="G293" i="6"/>
  <c r="F293" i="6"/>
  <c r="K293" i="6"/>
  <c r="K294" i="6"/>
  <c r="C294" i="6"/>
  <c r="J294" i="6"/>
  <c r="B294" i="6"/>
  <c r="M294" i="6"/>
  <c r="E297" i="6"/>
  <c r="G298" i="6"/>
  <c r="G301" i="6"/>
  <c r="F301" i="6"/>
  <c r="K301" i="6"/>
  <c r="K302" i="6"/>
  <c r="C302" i="6"/>
  <c r="J302" i="6"/>
  <c r="B302" i="6"/>
  <c r="M302" i="6"/>
  <c r="E305" i="6"/>
  <c r="G306" i="6"/>
  <c r="G309" i="6"/>
  <c r="F309" i="6"/>
  <c r="K309" i="6"/>
  <c r="K310" i="6"/>
  <c r="C310" i="6"/>
  <c r="J310" i="6"/>
  <c r="B310" i="6"/>
  <c r="M310" i="6"/>
  <c r="E313" i="6"/>
  <c r="G314" i="6"/>
  <c r="G319" i="6"/>
  <c r="F319" i="6"/>
  <c r="M319" i="6"/>
  <c r="E319" i="6"/>
  <c r="L319" i="6"/>
  <c r="H323" i="6"/>
  <c r="G327" i="6"/>
  <c r="F327" i="6"/>
  <c r="M327" i="6"/>
  <c r="E327" i="6"/>
  <c r="L327" i="6"/>
  <c r="H331" i="6"/>
  <c r="G335" i="6"/>
  <c r="F335" i="6"/>
  <c r="M335" i="6"/>
  <c r="E335" i="6"/>
  <c r="L335" i="6"/>
  <c r="H339" i="6"/>
  <c r="G343" i="6"/>
  <c r="F343" i="6"/>
  <c r="M343" i="6"/>
  <c r="E343" i="6"/>
  <c r="L343" i="6"/>
  <c r="H347" i="6"/>
  <c r="G351" i="6"/>
  <c r="F351" i="6"/>
  <c r="M351" i="6"/>
  <c r="E351" i="6"/>
  <c r="L351" i="6"/>
  <c r="G359" i="6"/>
  <c r="F359" i="6"/>
  <c r="M359" i="6"/>
  <c r="E359" i="6"/>
  <c r="L359" i="6"/>
  <c r="G367" i="6"/>
  <c r="F367" i="6"/>
  <c r="M367" i="6"/>
  <c r="E367" i="6"/>
  <c r="L367" i="6"/>
  <c r="H371" i="6"/>
  <c r="G371" i="6"/>
  <c r="F371" i="6"/>
  <c r="M371" i="6"/>
  <c r="E371" i="6"/>
  <c r="B373" i="6"/>
  <c r="D377" i="6"/>
  <c r="I379" i="6"/>
  <c r="M488" i="6"/>
  <c r="M500" i="6"/>
  <c r="M532" i="6"/>
  <c r="H369" i="6"/>
  <c r="G369" i="6"/>
  <c r="F369" i="6"/>
  <c r="M369" i="6"/>
  <c r="E369" i="6"/>
  <c r="G490" i="6"/>
  <c r="L490" i="6"/>
  <c r="D490" i="6"/>
  <c r="K490" i="6"/>
  <c r="C490" i="6"/>
  <c r="M490" i="6"/>
  <c r="J490" i="6"/>
  <c r="I490" i="6"/>
  <c r="H490" i="6"/>
  <c r="F490" i="6"/>
  <c r="E490" i="6"/>
  <c r="B490" i="6"/>
  <c r="M528" i="6"/>
  <c r="I318" i="6"/>
  <c r="I320" i="6"/>
  <c r="I322" i="6"/>
  <c r="I324" i="6"/>
  <c r="I326" i="6"/>
  <c r="I328" i="6"/>
  <c r="I330" i="6"/>
  <c r="I332" i="6"/>
  <c r="I334" i="6"/>
  <c r="I336" i="6"/>
  <c r="I338" i="6"/>
  <c r="I340" i="6"/>
  <c r="I342" i="6"/>
  <c r="I344" i="6"/>
  <c r="I346" i="6"/>
  <c r="I348" i="6"/>
  <c r="I350" i="6"/>
  <c r="I352" i="6"/>
  <c r="I354" i="6"/>
  <c r="I356" i="6"/>
  <c r="I358" i="6"/>
  <c r="I360" i="6"/>
  <c r="I362" i="6"/>
  <c r="I364" i="6"/>
  <c r="I366" i="6"/>
  <c r="I368" i="6"/>
  <c r="I370" i="6"/>
  <c r="I372" i="6"/>
  <c r="I374" i="6"/>
  <c r="I376" i="6"/>
  <c r="I378" i="6"/>
  <c r="I380" i="6"/>
  <c r="I382" i="6"/>
  <c r="I384" i="6"/>
  <c r="E385" i="6"/>
  <c r="M385" i="6"/>
  <c r="I386" i="6"/>
  <c r="E387" i="6"/>
  <c r="M387" i="6"/>
  <c r="I388" i="6"/>
  <c r="E389" i="6"/>
  <c r="M389" i="6"/>
  <c r="I390" i="6"/>
  <c r="E391" i="6"/>
  <c r="M391" i="6"/>
  <c r="I392" i="6"/>
  <c r="E393" i="6"/>
  <c r="M393" i="6"/>
  <c r="I394" i="6"/>
  <c r="E395" i="6"/>
  <c r="M395" i="6"/>
  <c r="I396" i="6"/>
  <c r="E397" i="6"/>
  <c r="M397" i="6"/>
  <c r="I398" i="6"/>
  <c r="E399" i="6"/>
  <c r="M399" i="6"/>
  <c r="I400" i="6"/>
  <c r="E401" i="6"/>
  <c r="M401" i="6"/>
  <c r="I402" i="6"/>
  <c r="E403" i="6"/>
  <c r="M403" i="6"/>
  <c r="I404" i="6"/>
  <c r="E405" i="6"/>
  <c r="M405" i="6"/>
  <c r="I406" i="6"/>
  <c r="E407" i="6"/>
  <c r="M407" i="6"/>
  <c r="I408" i="6"/>
  <c r="E409" i="6"/>
  <c r="M409" i="6"/>
  <c r="I410" i="6"/>
  <c r="E411" i="6"/>
  <c r="M411" i="6"/>
  <c r="I412" i="6"/>
  <c r="E413" i="6"/>
  <c r="M413" i="6"/>
  <c r="I414" i="6"/>
  <c r="E415" i="6"/>
  <c r="M415" i="6"/>
  <c r="I416" i="6"/>
  <c r="E417" i="6"/>
  <c r="M417" i="6"/>
  <c r="I418" i="6"/>
  <c r="E419" i="6"/>
  <c r="M419" i="6"/>
  <c r="I420" i="6"/>
  <c r="E421" i="6"/>
  <c r="M421" i="6"/>
  <c r="I422" i="6"/>
  <c r="E423" i="6"/>
  <c r="M423" i="6"/>
  <c r="I424" i="6"/>
  <c r="E425" i="6"/>
  <c r="M425" i="6"/>
  <c r="I426" i="6"/>
  <c r="E427" i="6"/>
  <c r="M427" i="6"/>
  <c r="I428" i="6"/>
  <c r="E429" i="6"/>
  <c r="M429" i="6"/>
  <c r="I430" i="6"/>
  <c r="E431" i="6"/>
  <c r="M431" i="6"/>
  <c r="I432" i="6"/>
  <c r="E433" i="6"/>
  <c r="M433" i="6"/>
  <c r="I434" i="6"/>
  <c r="E435" i="6"/>
  <c r="M435" i="6"/>
  <c r="I436" i="6"/>
  <c r="E437" i="6"/>
  <c r="M437" i="6"/>
  <c r="I438" i="6"/>
  <c r="E439" i="6"/>
  <c r="M439" i="6"/>
  <c r="I440" i="6"/>
  <c r="E441" i="6"/>
  <c r="M441" i="6"/>
  <c r="I442" i="6"/>
  <c r="E443" i="6"/>
  <c r="M443" i="6"/>
  <c r="I444" i="6"/>
  <c r="E445" i="6"/>
  <c r="M445" i="6"/>
  <c r="I446" i="6"/>
  <c r="E447" i="6"/>
  <c r="M447" i="6"/>
  <c r="I448" i="6"/>
  <c r="E449" i="6"/>
  <c r="M449" i="6"/>
  <c r="I450" i="6"/>
  <c r="E451" i="6"/>
  <c r="M451" i="6"/>
  <c r="I452" i="6"/>
  <c r="H455" i="6"/>
  <c r="G455" i="6"/>
  <c r="K455" i="6"/>
  <c r="L456" i="6"/>
  <c r="D456" i="6"/>
  <c r="K456" i="6"/>
  <c r="C456" i="6"/>
  <c r="M456" i="6"/>
  <c r="C457" i="6"/>
  <c r="M457" i="6"/>
  <c r="E458" i="6"/>
  <c r="E459" i="6"/>
  <c r="G460" i="6"/>
  <c r="H463" i="6"/>
  <c r="G463" i="6"/>
  <c r="K463" i="6"/>
  <c r="L464" i="6"/>
  <c r="D464" i="6"/>
  <c r="K464" i="6"/>
  <c r="C464" i="6"/>
  <c r="M464" i="6"/>
  <c r="C465" i="6"/>
  <c r="M465" i="6"/>
  <c r="E466" i="6"/>
  <c r="E467" i="6"/>
  <c r="G468" i="6"/>
  <c r="H471" i="6"/>
  <c r="G471" i="6"/>
  <c r="K471" i="6"/>
  <c r="L472" i="6"/>
  <c r="D472" i="6"/>
  <c r="K472" i="6"/>
  <c r="C472" i="6"/>
  <c r="M472" i="6"/>
  <c r="C473" i="6"/>
  <c r="M473" i="6"/>
  <c r="E474" i="6"/>
  <c r="I475" i="6"/>
  <c r="G476" i="6"/>
  <c r="L476" i="6"/>
  <c r="D476" i="6"/>
  <c r="K476" i="6"/>
  <c r="C476" i="6"/>
  <c r="F477" i="6"/>
  <c r="E479" i="6"/>
  <c r="D481" i="6"/>
  <c r="I482" i="6"/>
  <c r="H484" i="6"/>
  <c r="K485" i="6"/>
  <c r="C485" i="6"/>
  <c r="H485" i="6"/>
  <c r="G485" i="6"/>
  <c r="M485" i="6"/>
  <c r="F486" i="6"/>
  <c r="E488" i="6"/>
  <c r="I491" i="6"/>
  <c r="G492" i="6"/>
  <c r="L492" i="6"/>
  <c r="D492" i="6"/>
  <c r="K492" i="6"/>
  <c r="C492" i="6"/>
  <c r="F493" i="6"/>
  <c r="E495" i="6"/>
  <c r="D497" i="6"/>
  <c r="I499" i="6"/>
  <c r="E500" i="6"/>
  <c r="K501" i="6"/>
  <c r="C501" i="6"/>
  <c r="J501" i="6"/>
  <c r="B501" i="6"/>
  <c r="H501" i="6"/>
  <c r="G501" i="6"/>
  <c r="I503" i="6"/>
  <c r="E504" i="6"/>
  <c r="K505" i="6"/>
  <c r="C505" i="6"/>
  <c r="J505" i="6"/>
  <c r="B505" i="6"/>
  <c r="H505" i="6"/>
  <c r="G505" i="6"/>
  <c r="I507" i="6"/>
  <c r="E508" i="6"/>
  <c r="K509" i="6"/>
  <c r="C509" i="6"/>
  <c r="J509" i="6"/>
  <c r="B509" i="6"/>
  <c r="H509" i="6"/>
  <c r="G509" i="6"/>
  <c r="I511" i="6"/>
  <c r="E512" i="6"/>
  <c r="K513" i="6"/>
  <c r="C513" i="6"/>
  <c r="J513" i="6"/>
  <c r="B513" i="6"/>
  <c r="H513" i="6"/>
  <c r="G513" i="6"/>
  <c r="I515" i="6"/>
  <c r="E516" i="6"/>
  <c r="K517" i="6"/>
  <c r="C517" i="6"/>
  <c r="J517" i="6"/>
  <c r="B517" i="6"/>
  <c r="H517" i="6"/>
  <c r="G517" i="6"/>
  <c r="I519" i="6"/>
  <c r="E520" i="6"/>
  <c r="K521" i="6"/>
  <c r="C521" i="6"/>
  <c r="J521" i="6"/>
  <c r="B521" i="6"/>
  <c r="H521" i="6"/>
  <c r="G521" i="6"/>
  <c r="I523" i="6"/>
  <c r="E524" i="6"/>
  <c r="K525" i="6"/>
  <c r="C525" i="6"/>
  <c r="J525" i="6"/>
  <c r="B525" i="6"/>
  <c r="H525" i="6"/>
  <c r="G525" i="6"/>
  <c r="I527" i="6"/>
  <c r="E528" i="6"/>
  <c r="K529" i="6"/>
  <c r="C529" i="6"/>
  <c r="J529" i="6"/>
  <c r="B529" i="6"/>
  <c r="H529" i="6"/>
  <c r="G529" i="6"/>
  <c r="I531" i="6"/>
  <c r="E532" i="6"/>
  <c r="F533" i="6"/>
  <c r="F535" i="6"/>
  <c r="F537" i="6"/>
  <c r="F539" i="6"/>
  <c r="I541" i="6"/>
  <c r="J565" i="6"/>
  <c r="M573" i="6"/>
  <c r="E573" i="6"/>
  <c r="I573" i="6"/>
  <c r="H573" i="6"/>
  <c r="G573" i="6"/>
  <c r="F573" i="6"/>
  <c r="L573" i="6"/>
  <c r="C573" i="6"/>
  <c r="K573" i="6"/>
  <c r="B573" i="6"/>
  <c r="H707" i="6"/>
  <c r="L707" i="6"/>
  <c r="D707" i="6"/>
  <c r="J707" i="6"/>
  <c r="B707" i="6"/>
  <c r="M707" i="6"/>
  <c r="K707" i="6"/>
  <c r="G707" i="6"/>
  <c r="F707" i="6"/>
  <c r="E707" i="6"/>
  <c r="C707" i="6"/>
  <c r="N707" i="6"/>
  <c r="I707" i="6"/>
  <c r="B318" i="6"/>
  <c r="J318" i="6"/>
  <c r="B320" i="6"/>
  <c r="J320" i="6"/>
  <c r="B322" i="6"/>
  <c r="J322" i="6"/>
  <c r="B324" i="6"/>
  <c r="J324" i="6"/>
  <c r="B326" i="6"/>
  <c r="J326" i="6"/>
  <c r="B328" i="6"/>
  <c r="J328" i="6"/>
  <c r="B330" i="6"/>
  <c r="J330" i="6"/>
  <c r="B332" i="6"/>
  <c r="J332" i="6"/>
  <c r="B334" i="6"/>
  <c r="J334" i="6"/>
  <c r="B336" i="6"/>
  <c r="J336" i="6"/>
  <c r="B338" i="6"/>
  <c r="J338" i="6"/>
  <c r="B340" i="6"/>
  <c r="J340" i="6"/>
  <c r="B342" i="6"/>
  <c r="J342" i="6"/>
  <c r="B344" i="6"/>
  <c r="J344" i="6"/>
  <c r="B346" i="6"/>
  <c r="J346" i="6"/>
  <c r="B348" i="6"/>
  <c r="J348" i="6"/>
  <c r="B350" i="6"/>
  <c r="J350" i="6"/>
  <c r="B352" i="6"/>
  <c r="J352" i="6"/>
  <c r="B354" i="6"/>
  <c r="J354" i="6"/>
  <c r="B356" i="6"/>
  <c r="J356" i="6"/>
  <c r="B358" i="6"/>
  <c r="J358" i="6"/>
  <c r="B360" i="6"/>
  <c r="J360" i="6"/>
  <c r="B362" i="6"/>
  <c r="J362" i="6"/>
  <c r="B364" i="6"/>
  <c r="J364" i="6"/>
  <c r="B366" i="6"/>
  <c r="J366" i="6"/>
  <c r="B368" i="6"/>
  <c r="J368" i="6"/>
  <c r="B370" i="6"/>
  <c r="J370" i="6"/>
  <c r="B372" i="6"/>
  <c r="J372" i="6"/>
  <c r="B374" i="6"/>
  <c r="J374" i="6"/>
  <c r="B376" i="6"/>
  <c r="J376" i="6"/>
  <c r="B378" i="6"/>
  <c r="J378" i="6"/>
  <c r="B380" i="6"/>
  <c r="J380" i="6"/>
  <c r="B382" i="6"/>
  <c r="J382" i="6"/>
  <c r="B384" i="6"/>
  <c r="J384" i="6"/>
  <c r="F385" i="6"/>
  <c r="B386" i="6"/>
  <c r="J386" i="6"/>
  <c r="F387" i="6"/>
  <c r="B388" i="6"/>
  <c r="J388" i="6"/>
  <c r="F389" i="6"/>
  <c r="B390" i="6"/>
  <c r="J390" i="6"/>
  <c r="F391" i="6"/>
  <c r="B392" i="6"/>
  <c r="J392" i="6"/>
  <c r="F393" i="6"/>
  <c r="B394" i="6"/>
  <c r="J394" i="6"/>
  <c r="F395" i="6"/>
  <c r="B396" i="6"/>
  <c r="J396" i="6"/>
  <c r="F397" i="6"/>
  <c r="B398" i="6"/>
  <c r="J398" i="6"/>
  <c r="F399" i="6"/>
  <c r="B400" i="6"/>
  <c r="J400" i="6"/>
  <c r="F401" i="6"/>
  <c r="B402" i="6"/>
  <c r="J402" i="6"/>
  <c r="F403" i="6"/>
  <c r="B404" i="6"/>
  <c r="J404" i="6"/>
  <c r="F405" i="6"/>
  <c r="B406" i="6"/>
  <c r="J406" i="6"/>
  <c r="F407" i="6"/>
  <c r="B408" i="6"/>
  <c r="J408" i="6"/>
  <c r="F409" i="6"/>
  <c r="B410" i="6"/>
  <c r="J410" i="6"/>
  <c r="F411" i="6"/>
  <c r="B412" i="6"/>
  <c r="J412" i="6"/>
  <c r="F413" i="6"/>
  <c r="B414" i="6"/>
  <c r="J414" i="6"/>
  <c r="F415" i="6"/>
  <c r="B416" i="6"/>
  <c r="J416" i="6"/>
  <c r="F417" i="6"/>
  <c r="B418" i="6"/>
  <c r="J418" i="6"/>
  <c r="F419" i="6"/>
  <c r="B420" i="6"/>
  <c r="J420" i="6"/>
  <c r="F421" i="6"/>
  <c r="B422" i="6"/>
  <c r="J422" i="6"/>
  <c r="F423" i="6"/>
  <c r="B424" i="6"/>
  <c r="J424" i="6"/>
  <c r="F425" i="6"/>
  <c r="B426" i="6"/>
  <c r="J426" i="6"/>
  <c r="F427" i="6"/>
  <c r="B428" i="6"/>
  <c r="J428" i="6"/>
  <c r="F429" i="6"/>
  <c r="B430" i="6"/>
  <c r="J430" i="6"/>
  <c r="F431" i="6"/>
  <c r="B432" i="6"/>
  <c r="J432" i="6"/>
  <c r="F433" i="6"/>
  <c r="B434" i="6"/>
  <c r="J434" i="6"/>
  <c r="F435" i="6"/>
  <c r="B436" i="6"/>
  <c r="J436" i="6"/>
  <c r="F437" i="6"/>
  <c r="B438" i="6"/>
  <c r="J438" i="6"/>
  <c r="F439" i="6"/>
  <c r="B440" i="6"/>
  <c r="J440" i="6"/>
  <c r="F441" i="6"/>
  <c r="B442" i="6"/>
  <c r="J442" i="6"/>
  <c r="F443" i="6"/>
  <c r="B444" i="6"/>
  <c r="J444" i="6"/>
  <c r="F445" i="6"/>
  <c r="B446" i="6"/>
  <c r="J446" i="6"/>
  <c r="F447" i="6"/>
  <c r="B448" i="6"/>
  <c r="J448" i="6"/>
  <c r="F449" i="6"/>
  <c r="B450" i="6"/>
  <c r="J450" i="6"/>
  <c r="F451" i="6"/>
  <c r="B452" i="6"/>
  <c r="J452" i="6"/>
  <c r="B455" i="6"/>
  <c r="L455" i="6"/>
  <c r="B456" i="6"/>
  <c r="D457" i="6"/>
  <c r="F458" i="6"/>
  <c r="F459" i="6"/>
  <c r="H460" i="6"/>
  <c r="B463" i="6"/>
  <c r="L463" i="6"/>
  <c r="B464" i="6"/>
  <c r="D465" i="6"/>
  <c r="F466" i="6"/>
  <c r="F467" i="6"/>
  <c r="H468" i="6"/>
  <c r="B471" i="6"/>
  <c r="L471" i="6"/>
  <c r="B472" i="6"/>
  <c r="D473" i="6"/>
  <c r="F474" i="6"/>
  <c r="J475" i="6"/>
  <c r="B476" i="6"/>
  <c r="I477" i="6"/>
  <c r="G478" i="6"/>
  <c r="L478" i="6"/>
  <c r="D478" i="6"/>
  <c r="K478" i="6"/>
  <c r="C478" i="6"/>
  <c r="F479" i="6"/>
  <c r="E481" i="6"/>
  <c r="J482" i="6"/>
  <c r="I484" i="6"/>
  <c r="B485" i="6"/>
  <c r="H486" i="6"/>
  <c r="K487" i="6"/>
  <c r="C487" i="6"/>
  <c r="H487" i="6"/>
  <c r="G487" i="6"/>
  <c r="M487" i="6"/>
  <c r="F488" i="6"/>
  <c r="J491" i="6"/>
  <c r="B492" i="6"/>
  <c r="I493" i="6"/>
  <c r="G494" i="6"/>
  <c r="L494" i="6"/>
  <c r="D494" i="6"/>
  <c r="K494" i="6"/>
  <c r="C494" i="6"/>
  <c r="F495" i="6"/>
  <c r="E497" i="6"/>
  <c r="L499" i="6"/>
  <c r="H500" i="6"/>
  <c r="D501" i="6"/>
  <c r="L503" i="6"/>
  <c r="H504" i="6"/>
  <c r="D505" i="6"/>
  <c r="L507" i="6"/>
  <c r="H508" i="6"/>
  <c r="D509" i="6"/>
  <c r="L511" i="6"/>
  <c r="H512" i="6"/>
  <c r="D513" i="6"/>
  <c r="L515" i="6"/>
  <c r="H516" i="6"/>
  <c r="D517" i="6"/>
  <c r="L519" i="6"/>
  <c r="H520" i="6"/>
  <c r="D521" i="6"/>
  <c r="L523" i="6"/>
  <c r="H524" i="6"/>
  <c r="D525" i="6"/>
  <c r="L527" i="6"/>
  <c r="H528" i="6"/>
  <c r="D529" i="6"/>
  <c r="L531" i="6"/>
  <c r="H532" i="6"/>
  <c r="I533" i="6"/>
  <c r="I535" i="6"/>
  <c r="I537" i="6"/>
  <c r="I539" i="6"/>
  <c r="M545" i="6"/>
  <c r="E545" i="6"/>
  <c r="I545" i="6"/>
  <c r="H545" i="6"/>
  <c r="G545" i="6"/>
  <c r="F545" i="6"/>
  <c r="L545" i="6"/>
  <c r="C545" i="6"/>
  <c r="K545" i="6"/>
  <c r="B545" i="6"/>
  <c r="D573" i="6"/>
  <c r="M577" i="6"/>
  <c r="E577" i="6"/>
  <c r="I577" i="6"/>
  <c r="H577" i="6"/>
  <c r="G577" i="6"/>
  <c r="F577" i="6"/>
  <c r="L577" i="6"/>
  <c r="C577" i="6"/>
  <c r="K577" i="6"/>
  <c r="B577" i="6"/>
  <c r="L689" i="6"/>
  <c r="D689" i="6"/>
  <c r="J689" i="6"/>
  <c r="B689" i="6"/>
  <c r="K689" i="6"/>
  <c r="I689" i="6"/>
  <c r="G689" i="6"/>
  <c r="E689" i="6"/>
  <c r="N689" i="6"/>
  <c r="C689" i="6"/>
  <c r="M689" i="6"/>
  <c r="H689" i="6"/>
  <c r="F689" i="6"/>
  <c r="C318" i="6"/>
  <c r="K318" i="6"/>
  <c r="C320" i="6"/>
  <c r="K320" i="6"/>
  <c r="C322" i="6"/>
  <c r="K322" i="6"/>
  <c r="C324" i="6"/>
  <c r="K324" i="6"/>
  <c r="C326" i="6"/>
  <c r="K326" i="6"/>
  <c r="C328" i="6"/>
  <c r="K328" i="6"/>
  <c r="C330" i="6"/>
  <c r="K330" i="6"/>
  <c r="C332" i="6"/>
  <c r="K332" i="6"/>
  <c r="C334" i="6"/>
  <c r="K334" i="6"/>
  <c r="C336" i="6"/>
  <c r="K336" i="6"/>
  <c r="C338" i="6"/>
  <c r="K338" i="6"/>
  <c r="C340" i="6"/>
  <c r="K340" i="6"/>
  <c r="C342" i="6"/>
  <c r="K342" i="6"/>
  <c r="C344" i="6"/>
  <c r="K344" i="6"/>
  <c r="C346" i="6"/>
  <c r="K346" i="6"/>
  <c r="C348" i="6"/>
  <c r="K348" i="6"/>
  <c r="C350" i="6"/>
  <c r="K350" i="6"/>
  <c r="C352" i="6"/>
  <c r="K352" i="6"/>
  <c r="C354" i="6"/>
  <c r="K354" i="6"/>
  <c r="C356" i="6"/>
  <c r="K356" i="6"/>
  <c r="C358" i="6"/>
  <c r="K358" i="6"/>
  <c r="C360" i="6"/>
  <c r="K360" i="6"/>
  <c r="C362" i="6"/>
  <c r="K362" i="6"/>
  <c r="C364" i="6"/>
  <c r="K364" i="6"/>
  <c r="C366" i="6"/>
  <c r="K366" i="6"/>
  <c r="C368" i="6"/>
  <c r="K368" i="6"/>
  <c r="C370" i="6"/>
  <c r="K370" i="6"/>
  <c r="C372" i="6"/>
  <c r="K372" i="6"/>
  <c r="C374" i="6"/>
  <c r="K374" i="6"/>
  <c r="C376" i="6"/>
  <c r="K376" i="6"/>
  <c r="C378" i="6"/>
  <c r="K378" i="6"/>
  <c r="C380" i="6"/>
  <c r="K380" i="6"/>
  <c r="C382" i="6"/>
  <c r="K382" i="6"/>
  <c r="C384" i="6"/>
  <c r="K384" i="6"/>
  <c r="G385" i="6"/>
  <c r="C386" i="6"/>
  <c r="K386" i="6"/>
  <c r="G387" i="6"/>
  <c r="C388" i="6"/>
  <c r="K388" i="6"/>
  <c r="G389" i="6"/>
  <c r="C390" i="6"/>
  <c r="K390" i="6"/>
  <c r="G391" i="6"/>
  <c r="C392" i="6"/>
  <c r="K392" i="6"/>
  <c r="G393" i="6"/>
  <c r="C394" i="6"/>
  <c r="K394" i="6"/>
  <c r="G395" i="6"/>
  <c r="C396" i="6"/>
  <c r="K396" i="6"/>
  <c r="G397" i="6"/>
  <c r="C398" i="6"/>
  <c r="K398" i="6"/>
  <c r="G399" i="6"/>
  <c r="C400" i="6"/>
  <c r="K400" i="6"/>
  <c r="G401" i="6"/>
  <c r="C402" i="6"/>
  <c r="K402" i="6"/>
  <c r="G403" i="6"/>
  <c r="C404" i="6"/>
  <c r="K404" i="6"/>
  <c r="G405" i="6"/>
  <c r="C406" i="6"/>
  <c r="K406" i="6"/>
  <c r="G407" i="6"/>
  <c r="C408" i="6"/>
  <c r="K408" i="6"/>
  <c r="G409" i="6"/>
  <c r="C410" i="6"/>
  <c r="K410" i="6"/>
  <c r="G411" i="6"/>
  <c r="C412" i="6"/>
  <c r="K412" i="6"/>
  <c r="G413" i="6"/>
  <c r="C414" i="6"/>
  <c r="K414" i="6"/>
  <c r="G415" i="6"/>
  <c r="C416" i="6"/>
  <c r="K416" i="6"/>
  <c r="G417" i="6"/>
  <c r="C418" i="6"/>
  <c r="K418" i="6"/>
  <c r="G419" i="6"/>
  <c r="C420" i="6"/>
  <c r="K420" i="6"/>
  <c r="G421" i="6"/>
  <c r="C422" i="6"/>
  <c r="K422" i="6"/>
  <c r="G423" i="6"/>
  <c r="C424" i="6"/>
  <c r="K424" i="6"/>
  <c r="G425" i="6"/>
  <c r="C426" i="6"/>
  <c r="K426" i="6"/>
  <c r="G427" i="6"/>
  <c r="C428" i="6"/>
  <c r="K428" i="6"/>
  <c r="G429" i="6"/>
  <c r="C430" i="6"/>
  <c r="K430" i="6"/>
  <c r="G431" i="6"/>
  <c r="C432" i="6"/>
  <c r="K432" i="6"/>
  <c r="G433" i="6"/>
  <c r="C434" i="6"/>
  <c r="K434" i="6"/>
  <c r="G435" i="6"/>
  <c r="C436" i="6"/>
  <c r="K436" i="6"/>
  <c r="G437" i="6"/>
  <c r="C438" i="6"/>
  <c r="K438" i="6"/>
  <c r="G439" i="6"/>
  <c r="C440" i="6"/>
  <c r="K440" i="6"/>
  <c r="G441" i="6"/>
  <c r="C442" i="6"/>
  <c r="K442" i="6"/>
  <c r="G443" i="6"/>
  <c r="C444" i="6"/>
  <c r="K444" i="6"/>
  <c r="G445" i="6"/>
  <c r="C446" i="6"/>
  <c r="K446" i="6"/>
  <c r="G447" i="6"/>
  <c r="C448" i="6"/>
  <c r="K448" i="6"/>
  <c r="G449" i="6"/>
  <c r="C450" i="6"/>
  <c r="K450" i="6"/>
  <c r="G451" i="6"/>
  <c r="C452" i="6"/>
  <c r="K452" i="6"/>
  <c r="H453" i="6"/>
  <c r="G453" i="6"/>
  <c r="K453" i="6"/>
  <c r="L454" i="6"/>
  <c r="D454" i="6"/>
  <c r="K454" i="6"/>
  <c r="C454" i="6"/>
  <c r="M454" i="6"/>
  <c r="C455" i="6"/>
  <c r="M455" i="6"/>
  <c r="E456" i="6"/>
  <c r="E457" i="6"/>
  <c r="G458" i="6"/>
  <c r="I459" i="6"/>
  <c r="I460" i="6"/>
  <c r="H461" i="6"/>
  <c r="G461" i="6"/>
  <c r="K461" i="6"/>
  <c r="L462" i="6"/>
  <c r="D462" i="6"/>
  <c r="K462" i="6"/>
  <c r="C462" i="6"/>
  <c r="N462" i="6" s="1"/>
  <c r="M462" i="6"/>
  <c r="C463" i="6"/>
  <c r="M463" i="6"/>
  <c r="E464" i="6"/>
  <c r="E465" i="6"/>
  <c r="G466" i="6"/>
  <c r="I467" i="6"/>
  <c r="I468" i="6"/>
  <c r="H469" i="6"/>
  <c r="G469" i="6"/>
  <c r="K469" i="6"/>
  <c r="L470" i="6"/>
  <c r="D470" i="6"/>
  <c r="K470" i="6"/>
  <c r="C470" i="6"/>
  <c r="M470" i="6"/>
  <c r="C471" i="6"/>
  <c r="M471" i="6"/>
  <c r="E472" i="6"/>
  <c r="E473" i="6"/>
  <c r="G474" i="6"/>
  <c r="E476" i="6"/>
  <c r="J477" i="6"/>
  <c r="B478" i="6"/>
  <c r="I479" i="6"/>
  <c r="G480" i="6"/>
  <c r="L480" i="6"/>
  <c r="D480" i="6"/>
  <c r="K480" i="6"/>
  <c r="C480" i="6"/>
  <c r="F481" i="6"/>
  <c r="J484" i="6"/>
  <c r="D485" i="6"/>
  <c r="I486" i="6"/>
  <c r="B487" i="6"/>
  <c r="H488" i="6"/>
  <c r="K489" i="6"/>
  <c r="C489" i="6"/>
  <c r="H489" i="6"/>
  <c r="G489" i="6"/>
  <c r="M489" i="6"/>
  <c r="E492" i="6"/>
  <c r="J493" i="6"/>
  <c r="B494" i="6"/>
  <c r="I495" i="6"/>
  <c r="G496" i="6"/>
  <c r="L496" i="6"/>
  <c r="D496" i="6"/>
  <c r="K496" i="6"/>
  <c r="C496" i="6"/>
  <c r="F497" i="6"/>
  <c r="G498" i="6"/>
  <c r="F498" i="6"/>
  <c r="L498" i="6"/>
  <c r="D498" i="6"/>
  <c r="K498" i="6"/>
  <c r="C498" i="6"/>
  <c r="M499" i="6"/>
  <c r="I500" i="6"/>
  <c r="E501" i="6"/>
  <c r="G502" i="6"/>
  <c r="F502" i="6"/>
  <c r="L502" i="6"/>
  <c r="D502" i="6"/>
  <c r="K502" i="6"/>
  <c r="C502" i="6"/>
  <c r="M503" i="6"/>
  <c r="I504" i="6"/>
  <c r="E505" i="6"/>
  <c r="G506" i="6"/>
  <c r="F506" i="6"/>
  <c r="L506" i="6"/>
  <c r="D506" i="6"/>
  <c r="K506" i="6"/>
  <c r="C506" i="6"/>
  <c r="M507" i="6"/>
  <c r="I508" i="6"/>
  <c r="E509" i="6"/>
  <c r="G510" i="6"/>
  <c r="F510" i="6"/>
  <c r="L510" i="6"/>
  <c r="D510" i="6"/>
  <c r="K510" i="6"/>
  <c r="C510" i="6"/>
  <c r="M511" i="6"/>
  <c r="I512" i="6"/>
  <c r="E513" i="6"/>
  <c r="G514" i="6"/>
  <c r="F514" i="6"/>
  <c r="L514" i="6"/>
  <c r="D514" i="6"/>
  <c r="K514" i="6"/>
  <c r="C514" i="6"/>
  <c r="M515" i="6"/>
  <c r="I516" i="6"/>
  <c r="E517" i="6"/>
  <c r="G518" i="6"/>
  <c r="F518" i="6"/>
  <c r="L518" i="6"/>
  <c r="D518" i="6"/>
  <c r="K518" i="6"/>
  <c r="C518" i="6"/>
  <c r="M519" i="6"/>
  <c r="I520" i="6"/>
  <c r="E521" i="6"/>
  <c r="G522" i="6"/>
  <c r="F522" i="6"/>
  <c r="L522" i="6"/>
  <c r="D522" i="6"/>
  <c r="K522" i="6"/>
  <c r="C522" i="6"/>
  <c r="M523" i="6"/>
  <c r="I524" i="6"/>
  <c r="E525" i="6"/>
  <c r="G526" i="6"/>
  <c r="F526" i="6"/>
  <c r="L526" i="6"/>
  <c r="D526" i="6"/>
  <c r="K526" i="6"/>
  <c r="C526" i="6"/>
  <c r="M527" i="6"/>
  <c r="I528" i="6"/>
  <c r="E529" i="6"/>
  <c r="G530" i="6"/>
  <c r="F530" i="6"/>
  <c r="L530" i="6"/>
  <c r="D530" i="6"/>
  <c r="K530" i="6"/>
  <c r="C530" i="6"/>
  <c r="M531" i="6"/>
  <c r="J532" i="6"/>
  <c r="L533" i="6"/>
  <c r="L535" i="6"/>
  <c r="L537" i="6"/>
  <c r="L539" i="6"/>
  <c r="M543" i="6"/>
  <c r="E543" i="6"/>
  <c r="L543" i="6"/>
  <c r="D543" i="6"/>
  <c r="K543" i="6"/>
  <c r="C543" i="6"/>
  <c r="J543" i="6"/>
  <c r="B543" i="6"/>
  <c r="H543" i="6"/>
  <c r="G543" i="6"/>
  <c r="D545" i="6"/>
  <c r="M549" i="6"/>
  <c r="E549" i="6"/>
  <c r="I549" i="6"/>
  <c r="H549" i="6"/>
  <c r="G549" i="6"/>
  <c r="F549" i="6"/>
  <c r="L549" i="6"/>
  <c r="C549" i="6"/>
  <c r="K549" i="6"/>
  <c r="B549" i="6"/>
  <c r="J573" i="6"/>
  <c r="D577" i="6"/>
  <c r="M581" i="6"/>
  <c r="E581" i="6"/>
  <c r="I581" i="6"/>
  <c r="H581" i="6"/>
  <c r="G581" i="6"/>
  <c r="F581" i="6"/>
  <c r="L581" i="6"/>
  <c r="C581" i="6"/>
  <c r="K581" i="6"/>
  <c r="B581" i="6"/>
  <c r="H385" i="6"/>
  <c r="H387" i="6"/>
  <c r="H389" i="6"/>
  <c r="H391" i="6"/>
  <c r="H393" i="6"/>
  <c r="H395" i="6"/>
  <c r="H397" i="6"/>
  <c r="H399" i="6"/>
  <c r="H401" i="6"/>
  <c r="H403" i="6"/>
  <c r="H405" i="6"/>
  <c r="H407" i="6"/>
  <c r="H409" i="6"/>
  <c r="H411" i="6"/>
  <c r="H413" i="6"/>
  <c r="H415" i="6"/>
  <c r="H417" i="6"/>
  <c r="H419" i="6"/>
  <c r="H421" i="6"/>
  <c r="H423" i="6"/>
  <c r="H425" i="6"/>
  <c r="H427" i="6"/>
  <c r="H429" i="6"/>
  <c r="H431" i="6"/>
  <c r="H433" i="6"/>
  <c r="H435" i="6"/>
  <c r="H437" i="6"/>
  <c r="H439" i="6"/>
  <c r="H441" i="6"/>
  <c r="H443" i="6"/>
  <c r="H445" i="6"/>
  <c r="H447" i="6"/>
  <c r="H449" i="6"/>
  <c r="H451" i="6"/>
  <c r="F457" i="6"/>
  <c r="H458" i="6"/>
  <c r="J459" i="6"/>
  <c r="F465" i="6"/>
  <c r="H466" i="6"/>
  <c r="J467" i="6"/>
  <c r="F473" i="6"/>
  <c r="H474" i="6"/>
  <c r="K475" i="6"/>
  <c r="C475" i="6"/>
  <c r="H475" i="6"/>
  <c r="G475" i="6"/>
  <c r="M475" i="6"/>
  <c r="J479" i="6"/>
  <c r="I481" i="6"/>
  <c r="G482" i="6"/>
  <c r="L482" i="6"/>
  <c r="D482" i="6"/>
  <c r="K482" i="6"/>
  <c r="C482" i="6"/>
  <c r="J486" i="6"/>
  <c r="I488" i="6"/>
  <c r="K491" i="6"/>
  <c r="C491" i="6"/>
  <c r="H491" i="6"/>
  <c r="G491" i="6"/>
  <c r="M491" i="6"/>
  <c r="J495" i="6"/>
  <c r="I497" i="6"/>
  <c r="J500" i="6"/>
  <c r="J504" i="6"/>
  <c r="J508" i="6"/>
  <c r="J512" i="6"/>
  <c r="J516" i="6"/>
  <c r="J520" i="6"/>
  <c r="J524" i="6"/>
  <c r="J528" i="6"/>
  <c r="M553" i="6"/>
  <c r="E553" i="6"/>
  <c r="I553" i="6"/>
  <c r="H553" i="6"/>
  <c r="G553" i="6"/>
  <c r="F553" i="6"/>
  <c r="L553" i="6"/>
  <c r="C553" i="6"/>
  <c r="K553" i="6"/>
  <c r="B553" i="6"/>
  <c r="K585" i="6"/>
  <c r="M585" i="6"/>
  <c r="E585" i="6"/>
  <c r="I585" i="6"/>
  <c r="H585" i="6"/>
  <c r="G585" i="6"/>
  <c r="F585" i="6"/>
  <c r="C585" i="6"/>
  <c r="L585" i="6"/>
  <c r="B585" i="6"/>
  <c r="I457" i="6"/>
  <c r="I458" i="6"/>
  <c r="H459" i="6"/>
  <c r="G459" i="6"/>
  <c r="K459" i="6"/>
  <c r="L460" i="6"/>
  <c r="D460" i="6"/>
  <c r="K460" i="6"/>
  <c r="C460" i="6"/>
  <c r="M460" i="6"/>
  <c r="I465" i="6"/>
  <c r="I466" i="6"/>
  <c r="H467" i="6"/>
  <c r="G467" i="6"/>
  <c r="K467" i="6"/>
  <c r="L468" i="6"/>
  <c r="D468" i="6"/>
  <c r="K468" i="6"/>
  <c r="C468" i="6"/>
  <c r="M468" i="6"/>
  <c r="I473" i="6"/>
  <c r="I474" i="6"/>
  <c r="K477" i="6"/>
  <c r="C477" i="6"/>
  <c r="H477" i="6"/>
  <c r="G477" i="6"/>
  <c r="M477" i="6"/>
  <c r="J481" i="6"/>
  <c r="G484" i="6"/>
  <c r="L484" i="6"/>
  <c r="D484" i="6"/>
  <c r="K484" i="6"/>
  <c r="C484" i="6"/>
  <c r="J488" i="6"/>
  <c r="K493" i="6"/>
  <c r="C493" i="6"/>
  <c r="H493" i="6"/>
  <c r="G493" i="6"/>
  <c r="M493" i="6"/>
  <c r="J497" i="6"/>
  <c r="K499" i="6"/>
  <c r="C499" i="6"/>
  <c r="J499" i="6"/>
  <c r="B499" i="6"/>
  <c r="H499" i="6"/>
  <c r="G499" i="6"/>
  <c r="K503" i="6"/>
  <c r="C503" i="6"/>
  <c r="J503" i="6"/>
  <c r="B503" i="6"/>
  <c r="H503" i="6"/>
  <c r="G503" i="6"/>
  <c r="K507" i="6"/>
  <c r="C507" i="6"/>
  <c r="J507" i="6"/>
  <c r="B507" i="6"/>
  <c r="H507" i="6"/>
  <c r="G507" i="6"/>
  <c r="K511" i="6"/>
  <c r="C511" i="6"/>
  <c r="J511" i="6"/>
  <c r="B511" i="6"/>
  <c r="H511" i="6"/>
  <c r="G511" i="6"/>
  <c r="K515" i="6"/>
  <c r="C515" i="6"/>
  <c r="J515" i="6"/>
  <c r="B515" i="6"/>
  <c r="H515" i="6"/>
  <c r="G515" i="6"/>
  <c r="K519" i="6"/>
  <c r="C519" i="6"/>
  <c r="J519" i="6"/>
  <c r="B519" i="6"/>
  <c r="H519" i="6"/>
  <c r="G519" i="6"/>
  <c r="K523" i="6"/>
  <c r="C523" i="6"/>
  <c r="J523" i="6"/>
  <c r="B523" i="6"/>
  <c r="H523" i="6"/>
  <c r="G523" i="6"/>
  <c r="K527" i="6"/>
  <c r="C527" i="6"/>
  <c r="J527" i="6"/>
  <c r="B527" i="6"/>
  <c r="H527" i="6"/>
  <c r="G527" i="6"/>
  <c r="K531" i="6"/>
  <c r="C531" i="6"/>
  <c r="J531" i="6"/>
  <c r="B531" i="6"/>
  <c r="H531" i="6"/>
  <c r="G531" i="6"/>
  <c r="M557" i="6"/>
  <c r="E557" i="6"/>
  <c r="I557" i="6"/>
  <c r="H557" i="6"/>
  <c r="G557" i="6"/>
  <c r="F557" i="6"/>
  <c r="L557" i="6"/>
  <c r="C557" i="6"/>
  <c r="K557" i="6"/>
  <c r="B557" i="6"/>
  <c r="J457" i="6"/>
  <c r="J465" i="6"/>
  <c r="J473" i="6"/>
  <c r="K479" i="6"/>
  <c r="C479" i="6"/>
  <c r="H479" i="6"/>
  <c r="G479" i="6"/>
  <c r="M479" i="6"/>
  <c r="G486" i="6"/>
  <c r="L486" i="6"/>
  <c r="D486" i="6"/>
  <c r="K486" i="6"/>
  <c r="C486" i="6"/>
  <c r="K495" i="6"/>
  <c r="C495" i="6"/>
  <c r="H495" i="6"/>
  <c r="G495" i="6"/>
  <c r="M495" i="6"/>
  <c r="M561" i="6"/>
  <c r="E561" i="6"/>
  <c r="I561" i="6"/>
  <c r="H561" i="6"/>
  <c r="G561" i="6"/>
  <c r="F561" i="6"/>
  <c r="L561" i="6"/>
  <c r="C561" i="6"/>
  <c r="K561" i="6"/>
  <c r="B561" i="6"/>
  <c r="H704" i="6"/>
  <c r="N704" i="6"/>
  <c r="F704" i="6"/>
  <c r="J704" i="6"/>
  <c r="I704" i="6"/>
  <c r="E704" i="6"/>
  <c r="D704" i="6"/>
  <c r="M704" i="6"/>
  <c r="C704" i="6"/>
  <c r="L704" i="6"/>
  <c r="B704" i="6"/>
  <c r="K704" i="6"/>
  <c r="G704" i="6"/>
  <c r="H457" i="6"/>
  <c r="G457" i="6"/>
  <c r="K457" i="6"/>
  <c r="L458" i="6"/>
  <c r="D458" i="6"/>
  <c r="K458" i="6"/>
  <c r="C458" i="6"/>
  <c r="M458" i="6"/>
  <c r="H465" i="6"/>
  <c r="G465" i="6"/>
  <c r="K465" i="6"/>
  <c r="L466" i="6"/>
  <c r="D466" i="6"/>
  <c r="K466" i="6"/>
  <c r="C466" i="6"/>
  <c r="M466" i="6"/>
  <c r="H473" i="6"/>
  <c r="G473" i="6"/>
  <c r="K473" i="6"/>
  <c r="L474" i="6"/>
  <c r="D474" i="6"/>
  <c r="K474" i="6"/>
  <c r="C474" i="6"/>
  <c r="M474" i="6"/>
  <c r="K481" i="6"/>
  <c r="C481" i="6"/>
  <c r="H481" i="6"/>
  <c r="G481" i="6"/>
  <c r="M481" i="6"/>
  <c r="G488" i="6"/>
  <c r="L488" i="6"/>
  <c r="D488" i="6"/>
  <c r="K488" i="6"/>
  <c r="C488" i="6"/>
  <c r="K497" i="6"/>
  <c r="C497" i="6"/>
  <c r="H497" i="6"/>
  <c r="G497" i="6"/>
  <c r="M497" i="6"/>
  <c r="G500" i="6"/>
  <c r="F500" i="6"/>
  <c r="L500" i="6"/>
  <c r="D500" i="6"/>
  <c r="K500" i="6"/>
  <c r="C500" i="6"/>
  <c r="G504" i="6"/>
  <c r="F504" i="6"/>
  <c r="L504" i="6"/>
  <c r="D504" i="6"/>
  <c r="K504" i="6"/>
  <c r="C504" i="6"/>
  <c r="G508" i="6"/>
  <c r="F508" i="6"/>
  <c r="L508" i="6"/>
  <c r="D508" i="6"/>
  <c r="K508" i="6"/>
  <c r="C508" i="6"/>
  <c r="G512" i="6"/>
  <c r="F512" i="6"/>
  <c r="L512" i="6"/>
  <c r="D512" i="6"/>
  <c r="K512" i="6"/>
  <c r="C512" i="6"/>
  <c r="G516" i="6"/>
  <c r="F516" i="6"/>
  <c r="L516" i="6"/>
  <c r="D516" i="6"/>
  <c r="K516" i="6"/>
  <c r="C516" i="6"/>
  <c r="G520" i="6"/>
  <c r="F520" i="6"/>
  <c r="L520" i="6"/>
  <c r="D520" i="6"/>
  <c r="K520" i="6"/>
  <c r="C520" i="6"/>
  <c r="G524" i="6"/>
  <c r="F524" i="6"/>
  <c r="L524" i="6"/>
  <c r="D524" i="6"/>
  <c r="K524" i="6"/>
  <c r="C524" i="6"/>
  <c r="G528" i="6"/>
  <c r="F528" i="6"/>
  <c r="L528" i="6"/>
  <c r="D528" i="6"/>
  <c r="K528" i="6"/>
  <c r="C528" i="6"/>
  <c r="I532" i="6"/>
  <c r="G532" i="6"/>
  <c r="F532" i="6"/>
  <c r="L532" i="6"/>
  <c r="D532" i="6"/>
  <c r="K532" i="6"/>
  <c r="C532" i="6"/>
  <c r="M533" i="6"/>
  <c r="E533" i="6"/>
  <c r="K533" i="6"/>
  <c r="C533" i="6"/>
  <c r="J533" i="6"/>
  <c r="B533" i="6"/>
  <c r="H533" i="6"/>
  <c r="G533" i="6"/>
  <c r="M535" i="6"/>
  <c r="E535" i="6"/>
  <c r="K535" i="6"/>
  <c r="C535" i="6"/>
  <c r="J535" i="6"/>
  <c r="B535" i="6"/>
  <c r="H535" i="6"/>
  <c r="G535" i="6"/>
  <c r="M537" i="6"/>
  <c r="E537" i="6"/>
  <c r="K537" i="6"/>
  <c r="C537" i="6"/>
  <c r="J537" i="6"/>
  <c r="B537" i="6"/>
  <c r="H537" i="6"/>
  <c r="G537" i="6"/>
  <c r="M539" i="6"/>
  <c r="E539" i="6"/>
  <c r="K539" i="6"/>
  <c r="C539" i="6"/>
  <c r="J539" i="6"/>
  <c r="B539" i="6"/>
  <c r="H539" i="6"/>
  <c r="G539" i="6"/>
  <c r="M541" i="6"/>
  <c r="E541" i="6"/>
  <c r="L541" i="6"/>
  <c r="D541" i="6"/>
  <c r="K541" i="6"/>
  <c r="C541" i="6"/>
  <c r="J541" i="6"/>
  <c r="B541" i="6"/>
  <c r="H541" i="6"/>
  <c r="G541" i="6"/>
  <c r="J557" i="6"/>
  <c r="D561" i="6"/>
  <c r="M565" i="6"/>
  <c r="E565" i="6"/>
  <c r="I565" i="6"/>
  <c r="H565" i="6"/>
  <c r="G565" i="6"/>
  <c r="F565" i="6"/>
  <c r="L565" i="6"/>
  <c r="C565" i="6"/>
  <c r="K565" i="6"/>
  <c r="B565" i="6"/>
  <c r="C534" i="6"/>
  <c r="K534" i="6"/>
  <c r="C536" i="6"/>
  <c r="K536" i="6"/>
  <c r="C538" i="6"/>
  <c r="K538" i="6"/>
  <c r="C540" i="6"/>
  <c r="K540" i="6"/>
  <c r="C542" i="6"/>
  <c r="K542" i="6"/>
  <c r="G547" i="6"/>
  <c r="G551" i="6"/>
  <c r="G555" i="6"/>
  <c r="G559" i="6"/>
  <c r="G563" i="6"/>
  <c r="G567" i="6"/>
  <c r="G571" i="6"/>
  <c r="G575" i="6"/>
  <c r="G579" i="6"/>
  <c r="G583" i="6"/>
  <c r="K587" i="6"/>
  <c r="C587" i="6"/>
  <c r="M587" i="6"/>
  <c r="E587" i="6"/>
  <c r="L587" i="6"/>
  <c r="K589" i="6"/>
  <c r="C589" i="6"/>
  <c r="M589" i="6"/>
  <c r="E589" i="6"/>
  <c r="L589" i="6"/>
  <c r="K591" i="6"/>
  <c r="C591" i="6"/>
  <c r="M591" i="6"/>
  <c r="E591" i="6"/>
  <c r="L591" i="6"/>
  <c r="K593" i="6"/>
  <c r="C593" i="6"/>
  <c r="M593" i="6"/>
  <c r="E593" i="6"/>
  <c r="L593" i="6"/>
  <c r="K595" i="6"/>
  <c r="C595" i="6"/>
  <c r="M595" i="6"/>
  <c r="E595" i="6"/>
  <c r="L595" i="6"/>
  <c r="K597" i="6"/>
  <c r="C597" i="6"/>
  <c r="M597" i="6"/>
  <c r="E597" i="6"/>
  <c r="L597" i="6"/>
  <c r="K599" i="6"/>
  <c r="C599" i="6"/>
  <c r="M599" i="6"/>
  <c r="E599" i="6"/>
  <c r="L599" i="6"/>
  <c r="K601" i="6"/>
  <c r="C601" i="6"/>
  <c r="M601" i="6"/>
  <c r="E601" i="6"/>
  <c r="L601" i="6"/>
  <c r="K603" i="6"/>
  <c r="C603" i="6"/>
  <c r="M603" i="6"/>
  <c r="E603" i="6"/>
  <c r="L603" i="6"/>
  <c r="K605" i="6"/>
  <c r="C605" i="6"/>
  <c r="M605" i="6"/>
  <c r="E605" i="6"/>
  <c r="L605" i="6"/>
  <c r="K607" i="6"/>
  <c r="C607" i="6"/>
  <c r="M607" i="6"/>
  <c r="E607" i="6"/>
  <c r="L607" i="6"/>
  <c r="K609" i="6"/>
  <c r="C609" i="6"/>
  <c r="M609" i="6"/>
  <c r="E609" i="6"/>
  <c r="L609" i="6"/>
  <c r="K611" i="6"/>
  <c r="C611" i="6"/>
  <c r="M611" i="6"/>
  <c r="E611" i="6"/>
  <c r="L611" i="6"/>
  <c r="K613" i="6"/>
  <c r="C613" i="6"/>
  <c r="M613" i="6"/>
  <c r="E613" i="6"/>
  <c r="L613" i="6"/>
  <c r="G615" i="6"/>
  <c r="G619" i="6"/>
  <c r="G623" i="6"/>
  <c r="G627" i="6"/>
  <c r="J633" i="6"/>
  <c r="I635" i="6"/>
  <c r="L649" i="6"/>
  <c r="D649" i="6"/>
  <c r="J649" i="6"/>
  <c r="B649" i="6"/>
  <c r="K649" i="6"/>
  <c r="I649" i="6"/>
  <c r="G649" i="6"/>
  <c r="E649" i="6"/>
  <c r="N649" i="6"/>
  <c r="C649" i="6"/>
  <c r="H664" i="6"/>
  <c r="N664" i="6"/>
  <c r="F664" i="6"/>
  <c r="J664" i="6"/>
  <c r="I664" i="6"/>
  <c r="E664" i="6"/>
  <c r="M664" i="6"/>
  <c r="C664" i="6"/>
  <c r="L664" i="6"/>
  <c r="B664" i="6"/>
  <c r="H665" i="6"/>
  <c r="G680" i="6"/>
  <c r="P684" i="6"/>
  <c r="S684" i="6" s="1"/>
  <c r="O684" i="6"/>
  <c r="T684" i="6" s="1"/>
  <c r="N717" i="6"/>
  <c r="D534" i="6"/>
  <c r="L534" i="6"/>
  <c r="D536" i="6"/>
  <c r="L536" i="6"/>
  <c r="D538" i="6"/>
  <c r="L538" i="6"/>
  <c r="D540" i="6"/>
  <c r="L540" i="6"/>
  <c r="D542" i="6"/>
  <c r="L542" i="6"/>
  <c r="B587" i="6"/>
  <c r="B589" i="6"/>
  <c r="B591" i="6"/>
  <c r="B593" i="6"/>
  <c r="B595" i="6"/>
  <c r="B597" i="6"/>
  <c r="B599" i="6"/>
  <c r="B601" i="6"/>
  <c r="B603" i="6"/>
  <c r="B605" i="6"/>
  <c r="B607" i="6"/>
  <c r="B609" i="6"/>
  <c r="B611" i="6"/>
  <c r="B613" i="6"/>
  <c r="H615" i="6"/>
  <c r="K617" i="6"/>
  <c r="C617" i="6"/>
  <c r="F617" i="6"/>
  <c r="M617" i="6"/>
  <c r="E617" i="6"/>
  <c r="H619" i="6"/>
  <c r="K621" i="6"/>
  <c r="C621" i="6"/>
  <c r="F621" i="6"/>
  <c r="M621" i="6"/>
  <c r="E621" i="6"/>
  <c r="H623" i="6"/>
  <c r="K625" i="6"/>
  <c r="C625" i="6"/>
  <c r="F625" i="6"/>
  <c r="M625" i="6"/>
  <c r="E625" i="6"/>
  <c r="H627" i="6"/>
  <c r="K629" i="6"/>
  <c r="C629" i="6"/>
  <c r="H629" i="6"/>
  <c r="F629" i="6"/>
  <c r="M629" i="6"/>
  <c r="E629" i="6"/>
  <c r="F649" i="6"/>
  <c r="D664" i="6"/>
  <c r="M665" i="6"/>
  <c r="T670" i="6"/>
  <c r="L673" i="6"/>
  <c r="D673" i="6"/>
  <c r="J673" i="6"/>
  <c r="B673" i="6"/>
  <c r="K673" i="6"/>
  <c r="I673" i="6"/>
  <c r="G673" i="6"/>
  <c r="E673" i="6"/>
  <c r="N673" i="6"/>
  <c r="C673" i="6"/>
  <c r="H688" i="6"/>
  <c r="N688" i="6"/>
  <c r="F688" i="6"/>
  <c r="J688" i="6"/>
  <c r="I688" i="6"/>
  <c r="E688" i="6"/>
  <c r="M688" i="6"/>
  <c r="C688" i="6"/>
  <c r="L688" i="6"/>
  <c r="B688" i="6"/>
  <c r="L710" i="6"/>
  <c r="D710" i="6"/>
  <c r="H710" i="6"/>
  <c r="N710" i="6"/>
  <c r="F710" i="6"/>
  <c r="C710" i="6"/>
  <c r="B710" i="6"/>
  <c r="K710" i="6"/>
  <c r="J710" i="6"/>
  <c r="I710" i="6"/>
  <c r="G710" i="6"/>
  <c r="K631" i="6"/>
  <c r="C631" i="6"/>
  <c r="H631" i="6"/>
  <c r="F631" i="6"/>
  <c r="M631" i="6"/>
  <c r="E631" i="6"/>
  <c r="H648" i="6"/>
  <c r="F648" i="6"/>
  <c r="J648" i="6"/>
  <c r="I648" i="6"/>
  <c r="E648" i="6"/>
  <c r="M648" i="6"/>
  <c r="C648" i="6"/>
  <c r="L648" i="6"/>
  <c r="B648" i="6"/>
  <c r="O668" i="6"/>
  <c r="T668" i="6" s="1"/>
  <c r="R668" i="6"/>
  <c r="L697" i="6"/>
  <c r="D697" i="6"/>
  <c r="J697" i="6"/>
  <c r="B697" i="6"/>
  <c r="K697" i="6"/>
  <c r="I697" i="6"/>
  <c r="G697" i="6"/>
  <c r="E697" i="6"/>
  <c r="N697" i="6"/>
  <c r="C697" i="6"/>
  <c r="H739" i="6"/>
  <c r="L739" i="6"/>
  <c r="D739" i="6"/>
  <c r="J739" i="6"/>
  <c r="B739" i="6"/>
  <c r="M739" i="6"/>
  <c r="K739" i="6"/>
  <c r="I739" i="6"/>
  <c r="G739" i="6"/>
  <c r="F739" i="6"/>
  <c r="E739" i="6"/>
  <c r="C739" i="6"/>
  <c r="F534" i="6"/>
  <c r="F536" i="6"/>
  <c r="F538" i="6"/>
  <c r="F540" i="6"/>
  <c r="F542" i="6"/>
  <c r="M547" i="6"/>
  <c r="E547" i="6"/>
  <c r="J547" i="6"/>
  <c r="M551" i="6"/>
  <c r="E551" i="6"/>
  <c r="J551" i="6"/>
  <c r="M555" i="6"/>
  <c r="E555" i="6"/>
  <c r="J555" i="6"/>
  <c r="M559" i="6"/>
  <c r="E559" i="6"/>
  <c r="J559" i="6"/>
  <c r="M563" i="6"/>
  <c r="E563" i="6"/>
  <c r="J563" i="6"/>
  <c r="M567" i="6"/>
  <c r="E567" i="6"/>
  <c r="J567" i="6"/>
  <c r="M571" i="6"/>
  <c r="E571" i="6"/>
  <c r="J571" i="6"/>
  <c r="M575" i="6"/>
  <c r="E575" i="6"/>
  <c r="J575" i="6"/>
  <c r="M579" i="6"/>
  <c r="E579" i="6"/>
  <c r="J579" i="6"/>
  <c r="M583" i="6"/>
  <c r="E583" i="6"/>
  <c r="J583" i="6"/>
  <c r="J615" i="6"/>
  <c r="J619" i="6"/>
  <c r="J623" i="6"/>
  <c r="J627" i="6"/>
  <c r="B631" i="6"/>
  <c r="K633" i="6"/>
  <c r="C633" i="6"/>
  <c r="H633" i="6"/>
  <c r="F633" i="6"/>
  <c r="M633" i="6"/>
  <c r="E633" i="6"/>
  <c r="L641" i="6"/>
  <c r="D641" i="6"/>
  <c r="J641" i="6"/>
  <c r="B641" i="6"/>
  <c r="K641" i="6"/>
  <c r="I641" i="6"/>
  <c r="G641" i="6"/>
  <c r="E641" i="6"/>
  <c r="C641" i="6"/>
  <c r="D648" i="6"/>
  <c r="L657" i="6"/>
  <c r="D657" i="6"/>
  <c r="J657" i="6"/>
  <c r="B657" i="6"/>
  <c r="K657" i="6"/>
  <c r="I657" i="6"/>
  <c r="G657" i="6"/>
  <c r="E657" i="6"/>
  <c r="N657" i="6"/>
  <c r="C657" i="6"/>
  <c r="H672" i="6"/>
  <c r="N672" i="6"/>
  <c r="F672" i="6"/>
  <c r="J672" i="6"/>
  <c r="I672" i="6"/>
  <c r="E672" i="6"/>
  <c r="M672" i="6"/>
  <c r="C672" i="6"/>
  <c r="L672" i="6"/>
  <c r="B672" i="6"/>
  <c r="F697" i="6"/>
  <c r="L716" i="6"/>
  <c r="D716" i="6"/>
  <c r="H716" i="6"/>
  <c r="N716" i="6"/>
  <c r="F716" i="6"/>
  <c r="K716" i="6"/>
  <c r="J716" i="6"/>
  <c r="G716" i="6"/>
  <c r="E716" i="6"/>
  <c r="C716" i="6"/>
  <c r="B716" i="6"/>
  <c r="N739" i="6"/>
  <c r="G534" i="6"/>
  <c r="G536" i="6"/>
  <c r="G538" i="6"/>
  <c r="G540" i="6"/>
  <c r="G542" i="6"/>
  <c r="B547" i="6"/>
  <c r="K547" i="6"/>
  <c r="B551" i="6"/>
  <c r="K551" i="6"/>
  <c r="B555" i="6"/>
  <c r="K555" i="6"/>
  <c r="B559" i="6"/>
  <c r="K559" i="6"/>
  <c r="B563" i="6"/>
  <c r="K563" i="6"/>
  <c r="B567" i="6"/>
  <c r="K567" i="6"/>
  <c r="B571" i="6"/>
  <c r="K571" i="6"/>
  <c r="B575" i="6"/>
  <c r="K575" i="6"/>
  <c r="B579" i="6"/>
  <c r="K579" i="6"/>
  <c r="B583" i="6"/>
  <c r="K583" i="6"/>
  <c r="D631" i="6"/>
  <c r="B633" i="6"/>
  <c r="K635" i="6"/>
  <c r="C635" i="6"/>
  <c r="H635" i="6"/>
  <c r="F635" i="6"/>
  <c r="M635" i="6"/>
  <c r="E635" i="6"/>
  <c r="F641" i="6"/>
  <c r="G648" i="6"/>
  <c r="Q654" i="6"/>
  <c r="F657" i="6"/>
  <c r="L681" i="6"/>
  <c r="D681" i="6"/>
  <c r="J681" i="6"/>
  <c r="B681" i="6"/>
  <c r="K681" i="6"/>
  <c r="I681" i="6"/>
  <c r="G681" i="6"/>
  <c r="E681" i="6"/>
  <c r="N681" i="6"/>
  <c r="C681" i="6"/>
  <c r="H696" i="6"/>
  <c r="N696" i="6"/>
  <c r="F696" i="6"/>
  <c r="J696" i="6"/>
  <c r="I696" i="6"/>
  <c r="E696" i="6"/>
  <c r="M696" i="6"/>
  <c r="C696" i="6"/>
  <c r="L696" i="6"/>
  <c r="B696" i="6"/>
  <c r="H697" i="6"/>
  <c r="I716" i="6"/>
  <c r="L732" i="6"/>
  <c r="D732" i="6"/>
  <c r="H732" i="6"/>
  <c r="N732" i="6"/>
  <c r="F732" i="6"/>
  <c r="K732" i="6"/>
  <c r="J732" i="6"/>
  <c r="I732" i="6"/>
  <c r="G732" i="6"/>
  <c r="E732" i="6"/>
  <c r="C732" i="6"/>
  <c r="B732" i="6"/>
  <c r="K615" i="6"/>
  <c r="C615" i="6"/>
  <c r="F615" i="6"/>
  <c r="M615" i="6"/>
  <c r="E615" i="6"/>
  <c r="K619" i="6"/>
  <c r="C619" i="6"/>
  <c r="F619" i="6"/>
  <c r="M619" i="6"/>
  <c r="E619" i="6"/>
  <c r="K623" i="6"/>
  <c r="C623" i="6"/>
  <c r="F623" i="6"/>
  <c r="M623" i="6"/>
  <c r="E623" i="6"/>
  <c r="K627" i="6"/>
  <c r="C627" i="6"/>
  <c r="F627" i="6"/>
  <c r="M627" i="6"/>
  <c r="E627" i="6"/>
  <c r="G631" i="6"/>
  <c r="H640" i="6"/>
  <c r="F640" i="6"/>
  <c r="J640" i="6"/>
  <c r="I640" i="6"/>
  <c r="E640" i="6"/>
  <c r="M640" i="6"/>
  <c r="C640" i="6"/>
  <c r="L640" i="6"/>
  <c r="B640" i="6"/>
  <c r="K648" i="6"/>
  <c r="H656" i="6"/>
  <c r="N656" i="6"/>
  <c r="F656" i="6"/>
  <c r="J656" i="6"/>
  <c r="I656" i="6"/>
  <c r="E656" i="6"/>
  <c r="M656" i="6"/>
  <c r="C656" i="6"/>
  <c r="L656" i="6"/>
  <c r="B656" i="6"/>
  <c r="M697" i="6"/>
  <c r="H723" i="6"/>
  <c r="L723" i="6"/>
  <c r="D723" i="6"/>
  <c r="J723" i="6"/>
  <c r="B723" i="6"/>
  <c r="M723" i="6"/>
  <c r="K723" i="6"/>
  <c r="G723" i="6"/>
  <c r="F723" i="6"/>
  <c r="E723" i="6"/>
  <c r="C723" i="6"/>
  <c r="B615" i="6"/>
  <c r="B619" i="6"/>
  <c r="B623" i="6"/>
  <c r="B627" i="6"/>
  <c r="I631" i="6"/>
  <c r="D640" i="6"/>
  <c r="D656" i="6"/>
  <c r="L665" i="6"/>
  <c r="D665" i="6"/>
  <c r="J665" i="6"/>
  <c r="B665" i="6"/>
  <c r="K665" i="6"/>
  <c r="I665" i="6"/>
  <c r="G665" i="6"/>
  <c r="E665" i="6"/>
  <c r="N665" i="6"/>
  <c r="C665" i="6"/>
  <c r="H680" i="6"/>
  <c r="N680" i="6"/>
  <c r="F680" i="6"/>
  <c r="J680" i="6"/>
  <c r="I680" i="6"/>
  <c r="E680" i="6"/>
  <c r="M680" i="6"/>
  <c r="C680" i="6"/>
  <c r="L680" i="6"/>
  <c r="B680" i="6"/>
  <c r="O700" i="6"/>
  <c r="T700" i="6" s="1"/>
  <c r="H717" i="6"/>
  <c r="L717" i="6"/>
  <c r="D717" i="6"/>
  <c r="J717" i="6"/>
  <c r="B717" i="6"/>
  <c r="E717" i="6"/>
  <c r="C717" i="6"/>
  <c r="M717" i="6"/>
  <c r="K717" i="6"/>
  <c r="I717" i="6"/>
  <c r="G717" i="6"/>
  <c r="I723" i="6"/>
  <c r="I636" i="6"/>
  <c r="H637" i="6"/>
  <c r="J638" i="6"/>
  <c r="D642" i="6"/>
  <c r="F643" i="6"/>
  <c r="G644" i="6"/>
  <c r="H645" i="6"/>
  <c r="J646" i="6"/>
  <c r="D650" i="6"/>
  <c r="F651" i="6"/>
  <c r="G652" i="6"/>
  <c r="H653" i="6"/>
  <c r="J654" i="6"/>
  <c r="D658" i="6"/>
  <c r="F659" i="6"/>
  <c r="G660" i="6"/>
  <c r="H661" i="6"/>
  <c r="J662" i="6"/>
  <c r="D666" i="6"/>
  <c r="F667" i="6"/>
  <c r="G668" i="6"/>
  <c r="H669" i="6"/>
  <c r="J670" i="6"/>
  <c r="D674" i="6"/>
  <c r="F675" i="6"/>
  <c r="G676" i="6"/>
  <c r="H677" i="6"/>
  <c r="J678" i="6"/>
  <c r="D682" i="6"/>
  <c r="F683" i="6"/>
  <c r="G684" i="6"/>
  <c r="H685" i="6"/>
  <c r="J686" i="6"/>
  <c r="D690" i="6"/>
  <c r="F691" i="6"/>
  <c r="G692" i="6"/>
  <c r="H693" i="6"/>
  <c r="J694" i="6"/>
  <c r="D698" i="6"/>
  <c r="F699" i="6"/>
  <c r="G700" i="6"/>
  <c r="H701" i="6"/>
  <c r="J702" i="6"/>
  <c r="J706" i="6"/>
  <c r="I708" i="6"/>
  <c r="H709" i="6"/>
  <c r="L709" i="6"/>
  <c r="D709" i="6"/>
  <c r="J709" i="6"/>
  <c r="B709" i="6"/>
  <c r="N709" i="6"/>
  <c r="E712" i="6"/>
  <c r="K713" i="6"/>
  <c r="I715" i="6"/>
  <c r="L718" i="6"/>
  <c r="D718" i="6"/>
  <c r="H718" i="6"/>
  <c r="N718" i="6"/>
  <c r="F718" i="6"/>
  <c r="M718" i="6"/>
  <c r="F719" i="6"/>
  <c r="E721" i="6"/>
  <c r="J722" i="6"/>
  <c r="I724" i="6"/>
  <c r="H725" i="6"/>
  <c r="L725" i="6"/>
  <c r="D725" i="6"/>
  <c r="J725" i="6"/>
  <c r="B725" i="6"/>
  <c r="N725" i="6"/>
  <c r="G726" i="6"/>
  <c r="E728" i="6"/>
  <c r="K729" i="6"/>
  <c r="C730" i="6"/>
  <c r="I731" i="6"/>
  <c r="G733" i="6"/>
  <c r="L734" i="6"/>
  <c r="D734" i="6"/>
  <c r="H734" i="6"/>
  <c r="N734" i="6"/>
  <c r="F734" i="6"/>
  <c r="M734" i="6"/>
  <c r="F735" i="6"/>
  <c r="E737" i="6"/>
  <c r="J738" i="6"/>
  <c r="I740" i="6"/>
  <c r="H741" i="6"/>
  <c r="L741" i="6"/>
  <c r="D741" i="6"/>
  <c r="J741" i="6"/>
  <c r="B741" i="6"/>
  <c r="N741" i="6"/>
  <c r="G742" i="6"/>
  <c r="E744" i="6"/>
  <c r="H745" i="6"/>
  <c r="N745" i="6"/>
  <c r="F745" i="6"/>
  <c r="L745" i="6"/>
  <c r="D745" i="6"/>
  <c r="J745" i="6"/>
  <c r="B745" i="6"/>
  <c r="I747" i="6"/>
  <c r="E748" i="6"/>
  <c r="H749" i="6"/>
  <c r="N749" i="6"/>
  <c r="F749" i="6"/>
  <c r="L749" i="6"/>
  <c r="D749" i="6"/>
  <c r="J749" i="6"/>
  <c r="B749" i="6"/>
  <c r="I751" i="6"/>
  <c r="E752" i="6"/>
  <c r="H753" i="6"/>
  <c r="N753" i="6"/>
  <c r="F753" i="6"/>
  <c r="L753" i="6"/>
  <c r="D753" i="6"/>
  <c r="J753" i="6"/>
  <c r="B753" i="6"/>
  <c r="I755" i="6"/>
  <c r="E756" i="6"/>
  <c r="H757" i="6"/>
  <c r="N757" i="6"/>
  <c r="F757" i="6"/>
  <c r="L757" i="6"/>
  <c r="D757" i="6"/>
  <c r="J757" i="6"/>
  <c r="B757" i="6"/>
  <c r="I759" i="6"/>
  <c r="E760" i="6"/>
  <c r="H761" i="6"/>
  <c r="N761" i="6"/>
  <c r="F761" i="6"/>
  <c r="L761" i="6"/>
  <c r="D761" i="6"/>
  <c r="J761" i="6"/>
  <c r="B761" i="6"/>
  <c r="I763" i="6"/>
  <c r="E764" i="6"/>
  <c r="H765" i="6"/>
  <c r="N765" i="6"/>
  <c r="F765" i="6"/>
  <c r="L765" i="6"/>
  <c r="D765" i="6"/>
  <c r="J765" i="6"/>
  <c r="B765" i="6"/>
  <c r="I767" i="6"/>
  <c r="E768" i="6"/>
  <c r="H769" i="6"/>
  <c r="N769" i="6"/>
  <c r="F769" i="6"/>
  <c r="L769" i="6"/>
  <c r="D769" i="6"/>
  <c r="J769" i="6"/>
  <c r="B769" i="6"/>
  <c r="I771" i="6"/>
  <c r="E772" i="6"/>
  <c r="H773" i="6"/>
  <c r="N773" i="6"/>
  <c r="F773" i="6"/>
  <c r="L773" i="6"/>
  <c r="D773" i="6"/>
  <c r="J773" i="6"/>
  <c r="B773" i="6"/>
  <c r="I775" i="6"/>
  <c r="E776" i="6"/>
  <c r="H777" i="6"/>
  <c r="N777" i="6"/>
  <c r="F777" i="6"/>
  <c r="L777" i="6"/>
  <c r="D777" i="6"/>
  <c r="J777" i="6"/>
  <c r="B777" i="6"/>
  <c r="I779" i="6"/>
  <c r="E780" i="6"/>
  <c r="H781" i="6"/>
  <c r="N781" i="6"/>
  <c r="F781" i="6"/>
  <c r="L781" i="6"/>
  <c r="D781" i="6"/>
  <c r="J781" i="6"/>
  <c r="B781" i="6"/>
  <c r="I783" i="6"/>
  <c r="E784" i="6"/>
  <c r="H785" i="6"/>
  <c r="N785" i="6"/>
  <c r="F785" i="6"/>
  <c r="L785" i="6"/>
  <c r="D785" i="6"/>
  <c r="J785" i="6"/>
  <c r="B785" i="6"/>
  <c r="Q863" i="6"/>
  <c r="P976" i="6"/>
  <c r="S976" i="6" s="1"/>
  <c r="H638" i="6"/>
  <c r="F638" i="6"/>
  <c r="K638" i="6"/>
  <c r="L639" i="6"/>
  <c r="D639" i="6"/>
  <c r="J639" i="6"/>
  <c r="B639" i="6"/>
  <c r="M639" i="6"/>
  <c r="E642" i="6"/>
  <c r="G643" i="6"/>
  <c r="I644" i="6"/>
  <c r="H646" i="6"/>
  <c r="F646" i="6"/>
  <c r="K646" i="6"/>
  <c r="L647" i="6"/>
  <c r="D647" i="6"/>
  <c r="J647" i="6"/>
  <c r="B647" i="6"/>
  <c r="M647" i="6"/>
  <c r="E650" i="6"/>
  <c r="G651" i="6"/>
  <c r="I652" i="6"/>
  <c r="H654" i="6"/>
  <c r="N654" i="6"/>
  <c r="F654" i="6"/>
  <c r="K654" i="6"/>
  <c r="L655" i="6"/>
  <c r="D655" i="6"/>
  <c r="J655" i="6"/>
  <c r="B655" i="6"/>
  <c r="M655" i="6"/>
  <c r="E658" i="6"/>
  <c r="G659" i="6"/>
  <c r="I660" i="6"/>
  <c r="H662" i="6"/>
  <c r="N662" i="6"/>
  <c r="F662" i="6"/>
  <c r="K662" i="6"/>
  <c r="L663" i="6"/>
  <c r="D663" i="6"/>
  <c r="J663" i="6"/>
  <c r="B663" i="6"/>
  <c r="M663" i="6"/>
  <c r="E666" i="6"/>
  <c r="G667" i="6"/>
  <c r="I668" i="6"/>
  <c r="H670" i="6"/>
  <c r="N670" i="6"/>
  <c r="F670" i="6"/>
  <c r="K670" i="6"/>
  <c r="L671" i="6"/>
  <c r="D671" i="6"/>
  <c r="J671" i="6"/>
  <c r="B671" i="6"/>
  <c r="M671" i="6"/>
  <c r="E674" i="6"/>
  <c r="G675" i="6"/>
  <c r="I676" i="6"/>
  <c r="H678" i="6"/>
  <c r="N678" i="6"/>
  <c r="F678" i="6"/>
  <c r="K678" i="6"/>
  <c r="L679" i="6"/>
  <c r="D679" i="6"/>
  <c r="J679" i="6"/>
  <c r="B679" i="6"/>
  <c r="M679" i="6"/>
  <c r="E682" i="6"/>
  <c r="G683" i="6"/>
  <c r="I684" i="6"/>
  <c r="H686" i="6"/>
  <c r="N686" i="6"/>
  <c r="F686" i="6"/>
  <c r="K686" i="6"/>
  <c r="L687" i="6"/>
  <c r="D687" i="6"/>
  <c r="J687" i="6"/>
  <c r="B687" i="6"/>
  <c r="M687" i="6"/>
  <c r="E690" i="6"/>
  <c r="G691" i="6"/>
  <c r="I692" i="6"/>
  <c r="H694" i="6"/>
  <c r="N694" i="6"/>
  <c r="F694" i="6"/>
  <c r="K694" i="6"/>
  <c r="L695" i="6"/>
  <c r="D695" i="6"/>
  <c r="J695" i="6"/>
  <c r="B695" i="6"/>
  <c r="M695" i="6"/>
  <c r="E698" i="6"/>
  <c r="G699" i="6"/>
  <c r="I700" i="6"/>
  <c r="H702" i="6"/>
  <c r="N702" i="6"/>
  <c r="F702" i="6"/>
  <c r="K702" i="6"/>
  <c r="L703" i="6"/>
  <c r="D703" i="6"/>
  <c r="J703" i="6"/>
  <c r="B703" i="6"/>
  <c r="M703" i="6"/>
  <c r="H711" i="6"/>
  <c r="L711" i="6"/>
  <c r="D711" i="6"/>
  <c r="J711" i="6"/>
  <c r="B711" i="6"/>
  <c r="N711" i="6"/>
  <c r="G712" i="6"/>
  <c r="O718" i="6"/>
  <c r="T718" i="6" s="1"/>
  <c r="G719" i="6"/>
  <c r="L720" i="6"/>
  <c r="D720" i="6"/>
  <c r="H720" i="6"/>
  <c r="N720" i="6"/>
  <c r="F720" i="6"/>
  <c r="M720" i="6"/>
  <c r="F721" i="6"/>
  <c r="I726" i="6"/>
  <c r="H727" i="6"/>
  <c r="L727" i="6"/>
  <c r="D727" i="6"/>
  <c r="J727" i="6"/>
  <c r="B727" i="6"/>
  <c r="N727" i="6"/>
  <c r="G728" i="6"/>
  <c r="I733" i="6"/>
  <c r="O734" i="6"/>
  <c r="T734" i="6" s="1"/>
  <c r="G735" i="6"/>
  <c r="L736" i="6"/>
  <c r="D736" i="6"/>
  <c r="H736" i="6"/>
  <c r="N736" i="6"/>
  <c r="F736" i="6"/>
  <c r="M736" i="6"/>
  <c r="F737" i="6"/>
  <c r="I742" i="6"/>
  <c r="H743" i="6"/>
  <c r="L743" i="6"/>
  <c r="D743" i="6"/>
  <c r="J743" i="6"/>
  <c r="B743" i="6"/>
  <c r="N743" i="6"/>
  <c r="G744" i="6"/>
  <c r="K747" i="6"/>
  <c r="G748" i="6"/>
  <c r="K751" i="6"/>
  <c r="G752" i="6"/>
  <c r="K755" i="6"/>
  <c r="G756" i="6"/>
  <c r="K759" i="6"/>
  <c r="G760" i="6"/>
  <c r="K763" i="6"/>
  <c r="G764" i="6"/>
  <c r="K767" i="6"/>
  <c r="G768" i="6"/>
  <c r="K771" i="6"/>
  <c r="K775" i="6"/>
  <c r="K779" i="6"/>
  <c r="K783" i="6"/>
  <c r="L706" i="6"/>
  <c r="D706" i="6"/>
  <c r="H706" i="6"/>
  <c r="N706" i="6"/>
  <c r="F706" i="6"/>
  <c r="M706" i="6"/>
  <c r="H713" i="6"/>
  <c r="L713" i="6"/>
  <c r="D713" i="6"/>
  <c r="J713" i="6"/>
  <c r="B713" i="6"/>
  <c r="N713" i="6"/>
  <c r="L722" i="6"/>
  <c r="D722" i="6"/>
  <c r="H722" i="6"/>
  <c r="N722" i="6"/>
  <c r="F722" i="6"/>
  <c r="M722" i="6"/>
  <c r="J726" i="6"/>
  <c r="H729" i="6"/>
  <c r="L729" i="6"/>
  <c r="D729" i="6"/>
  <c r="J729" i="6"/>
  <c r="B729" i="6"/>
  <c r="N729" i="6"/>
  <c r="K733" i="6"/>
  <c r="L738" i="6"/>
  <c r="D738" i="6"/>
  <c r="H738" i="6"/>
  <c r="N738" i="6"/>
  <c r="F738" i="6"/>
  <c r="M738" i="6"/>
  <c r="J742" i="6"/>
  <c r="L746" i="6"/>
  <c r="D746" i="6"/>
  <c r="J746" i="6"/>
  <c r="B746" i="6"/>
  <c r="H746" i="6"/>
  <c r="N746" i="6"/>
  <c r="F746" i="6"/>
  <c r="L750" i="6"/>
  <c r="D750" i="6"/>
  <c r="J750" i="6"/>
  <c r="B750" i="6"/>
  <c r="H750" i="6"/>
  <c r="N750" i="6"/>
  <c r="F750" i="6"/>
  <c r="L754" i="6"/>
  <c r="D754" i="6"/>
  <c r="J754" i="6"/>
  <c r="B754" i="6"/>
  <c r="H754" i="6"/>
  <c r="N754" i="6"/>
  <c r="F754" i="6"/>
  <c r="L758" i="6"/>
  <c r="D758" i="6"/>
  <c r="J758" i="6"/>
  <c r="B758" i="6"/>
  <c r="H758" i="6"/>
  <c r="N758" i="6"/>
  <c r="F758" i="6"/>
  <c r="L762" i="6"/>
  <c r="D762" i="6"/>
  <c r="J762" i="6"/>
  <c r="B762" i="6"/>
  <c r="H762" i="6"/>
  <c r="N762" i="6"/>
  <c r="F762" i="6"/>
  <c r="L766" i="6"/>
  <c r="D766" i="6"/>
  <c r="J766" i="6"/>
  <c r="B766" i="6"/>
  <c r="H766" i="6"/>
  <c r="N766" i="6"/>
  <c r="F766" i="6"/>
  <c r="L770" i="6"/>
  <c r="D770" i="6"/>
  <c r="J770" i="6"/>
  <c r="B770" i="6"/>
  <c r="H770" i="6"/>
  <c r="N770" i="6"/>
  <c r="F770" i="6"/>
  <c r="L774" i="6"/>
  <c r="D774" i="6"/>
  <c r="J774" i="6"/>
  <c r="B774" i="6"/>
  <c r="H774" i="6"/>
  <c r="N774" i="6"/>
  <c r="F774" i="6"/>
  <c r="L778" i="6"/>
  <c r="D778" i="6"/>
  <c r="J778" i="6"/>
  <c r="B778" i="6"/>
  <c r="H778" i="6"/>
  <c r="N778" i="6"/>
  <c r="F778" i="6"/>
  <c r="L782" i="6"/>
  <c r="D782" i="6"/>
  <c r="J782" i="6"/>
  <c r="B782" i="6"/>
  <c r="H782" i="6"/>
  <c r="N782" i="6"/>
  <c r="F782" i="6"/>
  <c r="H787" i="6"/>
  <c r="N787" i="6"/>
  <c r="F787" i="6"/>
  <c r="M787" i="6"/>
  <c r="E787" i="6"/>
  <c r="L787" i="6"/>
  <c r="D787" i="6"/>
  <c r="J787" i="6"/>
  <c r="B787" i="6"/>
  <c r="H789" i="6"/>
  <c r="N789" i="6"/>
  <c r="F789" i="6"/>
  <c r="M789" i="6"/>
  <c r="E789" i="6"/>
  <c r="L789" i="6"/>
  <c r="D789" i="6"/>
  <c r="J789" i="6"/>
  <c r="B789" i="6"/>
  <c r="H791" i="6"/>
  <c r="N791" i="6"/>
  <c r="F791" i="6"/>
  <c r="M791" i="6"/>
  <c r="E791" i="6"/>
  <c r="L791" i="6"/>
  <c r="D791" i="6"/>
  <c r="J791" i="6"/>
  <c r="B791" i="6"/>
  <c r="H793" i="6"/>
  <c r="N793" i="6"/>
  <c r="F793" i="6"/>
  <c r="M793" i="6"/>
  <c r="E793" i="6"/>
  <c r="L793" i="6"/>
  <c r="D793" i="6"/>
  <c r="J793" i="6"/>
  <c r="B793" i="6"/>
  <c r="H795" i="6"/>
  <c r="N795" i="6"/>
  <c r="F795" i="6"/>
  <c r="M795" i="6"/>
  <c r="E795" i="6"/>
  <c r="L795" i="6"/>
  <c r="D795" i="6"/>
  <c r="J795" i="6"/>
  <c r="B795" i="6"/>
  <c r="H797" i="6"/>
  <c r="N797" i="6"/>
  <c r="F797" i="6"/>
  <c r="M797" i="6"/>
  <c r="E797" i="6"/>
  <c r="L797" i="6"/>
  <c r="D797" i="6"/>
  <c r="J797" i="6"/>
  <c r="B797" i="6"/>
  <c r="H799" i="6"/>
  <c r="N799" i="6"/>
  <c r="F799" i="6"/>
  <c r="M799" i="6"/>
  <c r="E799" i="6"/>
  <c r="L799" i="6"/>
  <c r="D799" i="6"/>
  <c r="J799" i="6"/>
  <c r="B799" i="6"/>
  <c r="H801" i="6"/>
  <c r="N801" i="6"/>
  <c r="F801" i="6"/>
  <c r="M801" i="6"/>
  <c r="E801" i="6"/>
  <c r="L801" i="6"/>
  <c r="D801" i="6"/>
  <c r="J801" i="6"/>
  <c r="B801" i="6"/>
  <c r="H803" i="6"/>
  <c r="N803" i="6"/>
  <c r="F803" i="6"/>
  <c r="M803" i="6"/>
  <c r="E803" i="6"/>
  <c r="L803" i="6"/>
  <c r="D803" i="6"/>
  <c r="J803" i="6"/>
  <c r="B803" i="6"/>
  <c r="H805" i="6"/>
  <c r="N805" i="6"/>
  <c r="F805" i="6"/>
  <c r="M805" i="6"/>
  <c r="E805" i="6"/>
  <c r="L805" i="6"/>
  <c r="D805" i="6"/>
  <c r="J805" i="6"/>
  <c r="B805" i="6"/>
  <c r="H807" i="6"/>
  <c r="N807" i="6"/>
  <c r="F807" i="6"/>
  <c r="M807" i="6"/>
  <c r="E807" i="6"/>
  <c r="L807" i="6"/>
  <c r="D807" i="6"/>
  <c r="J807" i="6"/>
  <c r="B807" i="6"/>
  <c r="H809" i="6"/>
  <c r="N809" i="6"/>
  <c r="F809" i="6"/>
  <c r="M809" i="6"/>
  <c r="E809" i="6"/>
  <c r="L809" i="6"/>
  <c r="D809" i="6"/>
  <c r="J809" i="6"/>
  <c r="B809" i="6"/>
  <c r="H811" i="6"/>
  <c r="N811" i="6"/>
  <c r="F811" i="6"/>
  <c r="M811" i="6"/>
  <c r="E811" i="6"/>
  <c r="L811" i="6"/>
  <c r="D811" i="6"/>
  <c r="J811" i="6"/>
  <c r="B811" i="6"/>
  <c r="H813" i="6"/>
  <c r="N813" i="6"/>
  <c r="F813" i="6"/>
  <c r="M813" i="6"/>
  <c r="E813" i="6"/>
  <c r="L813" i="6"/>
  <c r="D813" i="6"/>
  <c r="J813" i="6"/>
  <c r="B813" i="6"/>
  <c r="H815" i="6"/>
  <c r="N815" i="6"/>
  <c r="F815" i="6"/>
  <c r="M815" i="6"/>
  <c r="E815" i="6"/>
  <c r="L815" i="6"/>
  <c r="D815" i="6"/>
  <c r="J815" i="6"/>
  <c r="B815" i="6"/>
  <c r="H817" i="6"/>
  <c r="N817" i="6"/>
  <c r="F817" i="6"/>
  <c r="M817" i="6"/>
  <c r="E817" i="6"/>
  <c r="L817" i="6"/>
  <c r="D817" i="6"/>
  <c r="J817" i="6"/>
  <c r="B817" i="6"/>
  <c r="H819" i="6"/>
  <c r="N819" i="6"/>
  <c r="F819" i="6"/>
  <c r="M819" i="6"/>
  <c r="E819" i="6"/>
  <c r="L819" i="6"/>
  <c r="D819" i="6"/>
  <c r="J819" i="6"/>
  <c r="B819" i="6"/>
  <c r="H821" i="6"/>
  <c r="N821" i="6"/>
  <c r="F821" i="6"/>
  <c r="M821" i="6"/>
  <c r="E821" i="6"/>
  <c r="L821" i="6"/>
  <c r="D821" i="6"/>
  <c r="J821" i="6"/>
  <c r="B821" i="6"/>
  <c r="H823" i="6"/>
  <c r="N823" i="6"/>
  <c r="F823" i="6"/>
  <c r="M823" i="6"/>
  <c r="E823" i="6"/>
  <c r="L823" i="6"/>
  <c r="D823" i="6"/>
  <c r="J823" i="6"/>
  <c r="B823" i="6"/>
  <c r="H825" i="6"/>
  <c r="N825" i="6"/>
  <c r="F825" i="6"/>
  <c r="M825" i="6"/>
  <c r="E825" i="6"/>
  <c r="L825" i="6"/>
  <c r="D825" i="6"/>
  <c r="J825" i="6"/>
  <c r="B825" i="6"/>
  <c r="H827" i="6"/>
  <c r="N827" i="6"/>
  <c r="F827" i="6"/>
  <c r="M827" i="6"/>
  <c r="E827" i="6"/>
  <c r="L827" i="6"/>
  <c r="D827" i="6"/>
  <c r="J827" i="6"/>
  <c r="B827" i="6"/>
  <c r="H829" i="6"/>
  <c r="N829" i="6"/>
  <c r="F829" i="6"/>
  <c r="M829" i="6"/>
  <c r="E829" i="6"/>
  <c r="L829" i="6"/>
  <c r="D829" i="6"/>
  <c r="J829" i="6"/>
  <c r="B829" i="6"/>
  <c r="H831" i="6"/>
  <c r="N831" i="6"/>
  <c r="F831" i="6"/>
  <c r="M831" i="6"/>
  <c r="E831" i="6"/>
  <c r="L831" i="6"/>
  <c r="D831" i="6"/>
  <c r="J831" i="6"/>
  <c r="B831" i="6"/>
  <c r="H833" i="6"/>
  <c r="N833" i="6"/>
  <c r="F833" i="6"/>
  <c r="M833" i="6"/>
  <c r="E833" i="6"/>
  <c r="L833" i="6"/>
  <c r="D833" i="6"/>
  <c r="J833" i="6"/>
  <c r="B833" i="6"/>
  <c r="H835" i="6"/>
  <c r="N835" i="6"/>
  <c r="F835" i="6"/>
  <c r="M835" i="6"/>
  <c r="E835" i="6"/>
  <c r="L835" i="6"/>
  <c r="D835" i="6"/>
  <c r="J835" i="6"/>
  <c r="B835" i="6"/>
  <c r="H837" i="6"/>
  <c r="N837" i="6"/>
  <c r="F837" i="6"/>
  <c r="M837" i="6"/>
  <c r="E837" i="6"/>
  <c r="L837" i="6"/>
  <c r="D837" i="6"/>
  <c r="J837" i="6"/>
  <c r="B837" i="6"/>
  <c r="H839" i="6"/>
  <c r="N839" i="6"/>
  <c r="F839" i="6"/>
  <c r="M839" i="6"/>
  <c r="E839" i="6"/>
  <c r="L839" i="6"/>
  <c r="D839" i="6"/>
  <c r="J839" i="6"/>
  <c r="B839" i="6"/>
  <c r="H841" i="6"/>
  <c r="N841" i="6"/>
  <c r="F841" i="6"/>
  <c r="M841" i="6"/>
  <c r="E841" i="6"/>
  <c r="L841" i="6"/>
  <c r="D841" i="6"/>
  <c r="J841" i="6"/>
  <c r="B841" i="6"/>
  <c r="H843" i="6"/>
  <c r="N843" i="6"/>
  <c r="F843" i="6"/>
  <c r="M843" i="6"/>
  <c r="E843" i="6"/>
  <c r="L843" i="6"/>
  <c r="D843" i="6"/>
  <c r="J843" i="6"/>
  <c r="B843" i="6"/>
  <c r="H845" i="6"/>
  <c r="N845" i="6"/>
  <c r="F845" i="6"/>
  <c r="M845" i="6"/>
  <c r="E845" i="6"/>
  <c r="L845" i="6"/>
  <c r="D845" i="6"/>
  <c r="J845" i="6"/>
  <c r="B845" i="6"/>
  <c r="H847" i="6"/>
  <c r="N847" i="6"/>
  <c r="F847" i="6"/>
  <c r="M847" i="6"/>
  <c r="E847" i="6"/>
  <c r="L847" i="6"/>
  <c r="D847" i="6"/>
  <c r="J847" i="6"/>
  <c r="B847" i="6"/>
  <c r="H849" i="6"/>
  <c r="N849" i="6"/>
  <c r="F849" i="6"/>
  <c r="M849" i="6"/>
  <c r="E849" i="6"/>
  <c r="L849" i="6"/>
  <c r="D849" i="6"/>
  <c r="J849" i="6"/>
  <c r="B849" i="6"/>
  <c r="H851" i="6"/>
  <c r="N851" i="6"/>
  <c r="F851" i="6"/>
  <c r="M851" i="6"/>
  <c r="E851" i="6"/>
  <c r="L851" i="6"/>
  <c r="D851" i="6"/>
  <c r="J851" i="6"/>
  <c r="B851" i="6"/>
  <c r="H853" i="6"/>
  <c r="N853" i="6"/>
  <c r="F853" i="6"/>
  <c r="M853" i="6"/>
  <c r="E853" i="6"/>
  <c r="L853" i="6"/>
  <c r="D853" i="6"/>
  <c r="J853" i="6"/>
  <c r="B853" i="6"/>
  <c r="H855" i="6"/>
  <c r="N855" i="6"/>
  <c r="F855" i="6"/>
  <c r="M855" i="6"/>
  <c r="E855" i="6"/>
  <c r="L855" i="6"/>
  <c r="D855" i="6"/>
  <c r="J855" i="6"/>
  <c r="B855" i="6"/>
  <c r="H857" i="6"/>
  <c r="N857" i="6"/>
  <c r="F857" i="6"/>
  <c r="M857" i="6"/>
  <c r="E857" i="6"/>
  <c r="L857" i="6"/>
  <c r="D857" i="6"/>
  <c r="J857" i="6"/>
  <c r="B857" i="6"/>
  <c r="H859" i="6"/>
  <c r="N859" i="6"/>
  <c r="F859" i="6"/>
  <c r="M859" i="6"/>
  <c r="E859" i="6"/>
  <c r="L859" i="6"/>
  <c r="D859" i="6"/>
  <c r="J859" i="6"/>
  <c r="B859" i="6"/>
  <c r="H861" i="6"/>
  <c r="N861" i="6"/>
  <c r="F861" i="6"/>
  <c r="M861" i="6"/>
  <c r="E861" i="6"/>
  <c r="L861" i="6"/>
  <c r="D861" i="6"/>
  <c r="J861" i="6"/>
  <c r="B861" i="6"/>
  <c r="L637" i="6"/>
  <c r="D637" i="6"/>
  <c r="J637" i="6"/>
  <c r="B637" i="6"/>
  <c r="M637" i="6"/>
  <c r="I642" i="6"/>
  <c r="H644" i="6"/>
  <c r="F644" i="6"/>
  <c r="K644" i="6"/>
  <c r="L645" i="6"/>
  <c r="D645" i="6"/>
  <c r="J645" i="6"/>
  <c r="B645" i="6"/>
  <c r="M645" i="6"/>
  <c r="I650" i="6"/>
  <c r="H652" i="6"/>
  <c r="N652" i="6"/>
  <c r="F652" i="6"/>
  <c r="K652" i="6"/>
  <c r="L653" i="6"/>
  <c r="D653" i="6"/>
  <c r="J653" i="6"/>
  <c r="B653" i="6"/>
  <c r="M653" i="6"/>
  <c r="I658" i="6"/>
  <c r="H660" i="6"/>
  <c r="N660" i="6"/>
  <c r="F660" i="6"/>
  <c r="K660" i="6"/>
  <c r="L661" i="6"/>
  <c r="D661" i="6"/>
  <c r="J661" i="6"/>
  <c r="B661" i="6"/>
  <c r="M661" i="6"/>
  <c r="I666" i="6"/>
  <c r="H668" i="6"/>
  <c r="N668" i="6"/>
  <c r="F668" i="6"/>
  <c r="K668" i="6"/>
  <c r="L669" i="6"/>
  <c r="D669" i="6"/>
  <c r="J669" i="6"/>
  <c r="B669" i="6"/>
  <c r="M669" i="6"/>
  <c r="I674" i="6"/>
  <c r="H676" i="6"/>
  <c r="N676" i="6"/>
  <c r="F676" i="6"/>
  <c r="K676" i="6"/>
  <c r="L677" i="6"/>
  <c r="D677" i="6"/>
  <c r="J677" i="6"/>
  <c r="B677" i="6"/>
  <c r="M677" i="6"/>
  <c r="I682" i="6"/>
  <c r="H684" i="6"/>
  <c r="N684" i="6"/>
  <c r="F684" i="6"/>
  <c r="K684" i="6"/>
  <c r="L685" i="6"/>
  <c r="D685" i="6"/>
  <c r="J685" i="6"/>
  <c r="B685" i="6"/>
  <c r="M685" i="6"/>
  <c r="I690" i="6"/>
  <c r="H692" i="6"/>
  <c r="N692" i="6"/>
  <c r="F692" i="6"/>
  <c r="K692" i="6"/>
  <c r="L693" i="6"/>
  <c r="D693" i="6"/>
  <c r="J693" i="6"/>
  <c r="B693" i="6"/>
  <c r="M693" i="6"/>
  <c r="I698" i="6"/>
  <c r="H700" i="6"/>
  <c r="N700" i="6"/>
  <c r="F700" i="6"/>
  <c r="K700" i="6"/>
  <c r="L701" i="6"/>
  <c r="D701" i="6"/>
  <c r="J701" i="6"/>
  <c r="B701" i="6"/>
  <c r="M701" i="6"/>
  <c r="B706" i="6"/>
  <c r="L708" i="6"/>
  <c r="D708" i="6"/>
  <c r="H708" i="6"/>
  <c r="N708" i="6"/>
  <c r="F708" i="6"/>
  <c r="M708" i="6"/>
  <c r="C713" i="6"/>
  <c r="H715" i="6"/>
  <c r="L715" i="6"/>
  <c r="D715" i="6"/>
  <c r="J715" i="6"/>
  <c r="B715" i="6"/>
  <c r="N715" i="6"/>
  <c r="B722" i="6"/>
  <c r="L724" i="6"/>
  <c r="D724" i="6"/>
  <c r="H724" i="6"/>
  <c r="N724" i="6"/>
  <c r="F724" i="6"/>
  <c r="M724" i="6"/>
  <c r="C729" i="6"/>
  <c r="H731" i="6"/>
  <c r="L731" i="6"/>
  <c r="D731" i="6"/>
  <c r="J731" i="6"/>
  <c r="B731" i="6"/>
  <c r="N731" i="6"/>
  <c r="B738" i="6"/>
  <c r="L740" i="6"/>
  <c r="D740" i="6"/>
  <c r="H740" i="6"/>
  <c r="N740" i="6"/>
  <c r="F740" i="6"/>
  <c r="M740" i="6"/>
  <c r="C746" i="6"/>
  <c r="C750" i="6"/>
  <c r="C754" i="6"/>
  <c r="C758" i="6"/>
  <c r="C762" i="6"/>
  <c r="C766" i="6"/>
  <c r="C770" i="6"/>
  <c r="C774" i="6"/>
  <c r="C778" i="6"/>
  <c r="C782" i="6"/>
  <c r="C787" i="6"/>
  <c r="C789" i="6"/>
  <c r="C791" i="6"/>
  <c r="C793" i="6"/>
  <c r="C795" i="6"/>
  <c r="C797" i="6"/>
  <c r="C799" i="6"/>
  <c r="C801" i="6"/>
  <c r="C803" i="6"/>
  <c r="C805" i="6"/>
  <c r="C807" i="6"/>
  <c r="C809" i="6"/>
  <c r="C811" i="6"/>
  <c r="C813" i="6"/>
  <c r="C815" i="6"/>
  <c r="C817" i="6"/>
  <c r="C819" i="6"/>
  <c r="C821" i="6"/>
  <c r="C823" i="6"/>
  <c r="C825" i="6"/>
  <c r="C827" i="6"/>
  <c r="C829" i="6"/>
  <c r="C831" i="6"/>
  <c r="C833" i="6"/>
  <c r="C835" i="6"/>
  <c r="C837" i="6"/>
  <c r="C839" i="6"/>
  <c r="C841" i="6"/>
  <c r="C843" i="6"/>
  <c r="C845" i="6"/>
  <c r="C847" i="6"/>
  <c r="C849" i="6"/>
  <c r="C851" i="6"/>
  <c r="C853" i="6"/>
  <c r="C855" i="6"/>
  <c r="C857" i="6"/>
  <c r="C859" i="6"/>
  <c r="C861" i="6"/>
  <c r="Q883" i="6"/>
  <c r="O899" i="6"/>
  <c r="T899" i="6" s="1"/>
  <c r="L726" i="6"/>
  <c r="D726" i="6"/>
  <c r="H726" i="6"/>
  <c r="N726" i="6"/>
  <c r="F726" i="6"/>
  <c r="M726" i="6"/>
  <c r="H733" i="6"/>
  <c r="L733" i="6"/>
  <c r="D733" i="6"/>
  <c r="J733" i="6"/>
  <c r="B733" i="6"/>
  <c r="N733" i="6"/>
  <c r="L742" i="6"/>
  <c r="D742" i="6"/>
  <c r="H742" i="6"/>
  <c r="N742" i="6"/>
  <c r="F742" i="6"/>
  <c r="M742" i="6"/>
  <c r="H747" i="6"/>
  <c r="N747" i="6"/>
  <c r="F747" i="6"/>
  <c r="L747" i="6"/>
  <c r="D747" i="6"/>
  <c r="J747" i="6"/>
  <c r="B747" i="6"/>
  <c r="H751" i="6"/>
  <c r="N751" i="6"/>
  <c r="F751" i="6"/>
  <c r="L751" i="6"/>
  <c r="D751" i="6"/>
  <c r="J751" i="6"/>
  <c r="B751" i="6"/>
  <c r="H755" i="6"/>
  <c r="N755" i="6"/>
  <c r="F755" i="6"/>
  <c r="L755" i="6"/>
  <c r="D755" i="6"/>
  <c r="J755" i="6"/>
  <c r="B755" i="6"/>
  <c r="H759" i="6"/>
  <c r="N759" i="6"/>
  <c r="F759" i="6"/>
  <c r="L759" i="6"/>
  <c r="D759" i="6"/>
  <c r="J759" i="6"/>
  <c r="B759" i="6"/>
  <c r="H763" i="6"/>
  <c r="N763" i="6"/>
  <c r="F763" i="6"/>
  <c r="L763" i="6"/>
  <c r="D763" i="6"/>
  <c r="J763" i="6"/>
  <c r="B763" i="6"/>
  <c r="H767" i="6"/>
  <c r="N767" i="6"/>
  <c r="F767" i="6"/>
  <c r="L767" i="6"/>
  <c r="D767" i="6"/>
  <c r="J767" i="6"/>
  <c r="B767" i="6"/>
  <c r="H771" i="6"/>
  <c r="N771" i="6"/>
  <c r="F771" i="6"/>
  <c r="L771" i="6"/>
  <c r="D771" i="6"/>
  <c r="J771" i="6"/>
  <c r="B771" i="6"/>
  <c r="H775" i="6"/>
  <c r="N775" i="6"/>
  <c r="F775" i="6"/>
  <c r="L775" i="6"/>
  <c r="D775" i="6"/>
  <c r="J775" i="6"/>
  <c r="B775" i="6"/>
  <c r="H779" i="6"/>
  <c r="N779" i="6"/>
  <c r="F779" i="6"/>
  <c r="L779" i="6"/>
  <c r="D779" i="6"/>
  <c r="J779" i="6"/>
  <c r="B779" i="6"/>
  <c r="H783" i="6"/>
  <c r="N783" i="6"/>
  <c r="F783" i="6"/>
  <c r="L783" i="6"/>
  <c r="D783" i="6"/>
  <c r="J783" i="6"/>
  <c r="B783" i="6"/>
  <c r="Q904" i="6"/>
  <c r="K999" i="6"/>
  <c r="C999" i="6"/>
  <c r="G999" i="6"/>
  <c r="J999" i="6"/>
  <c r="I999" i="6"/>
  <c r="H999" i="6"/>
  <c r="F999" i="6"/>
  <c r="E999" i="6"/>
  <c r="N999" i="6"/>
  <c r="D999" i="6"/>
  <c r="M999" i="6"/>
  <c r="B999" i="6"/>
  <c r="L999" i="6"/>
  <c r="H642" i="6"/>
  <c r="F642" i="6"/>
  <c r="K642" i="6"/>
  <c r="L643" i="6"/>
  <c r="D643" i="6"/>
  <c r="J643" i="6"/>
  <c r="B643" i="6"/>
  <c r="M643" i="6"/>
  <c r="H650" i="6"/>
  <c r="N650" i="6"/>
  <c r="F650" i="6"/>
  <c r="K650" i="6"/>
  <c r="L651" i="6"/>
  <c r="D651" i="6"/>
  <c r="J651" i="6"/>
  <c r="B651" i="6"/>
  <c r="M651" i="6"/>
  <c r="H658" i="6"/>
  <c r="N658" i="6"/>
  <c r="F658" i="6"/>
  <c r="K658" i="6"/>
  <c r="L659" i="6"/>
  <c r="D659" i="6"/>
  <c r="J659" i="6"/>
  <c r="B659" i="6"/>
  <c r="M659" i="6"/>
  <c r="H666" i="6"/>
  <c r="N666" i="6"/>
  <c r="F666" i="6"/>
  <c r="K666" i="6"/>
  <c r="L667" i="6"/>
  <c r="D667" i="6"/>
  <c r="J667" i="6"/>
  <c r="B667" i="6"/>
  <c r="M667" i="6"/>
  <c r="H674" i="6"/>
  <c r="N674" i="6"/>
  <c r="F674" i="6"/>
  <c r="K674" i="6"/>
  <c r="L675" i="6"/>
  <c r="D675" i="6"/>
  <c r="J675" i="6"/>
  <c r="B675" i="6"/>
  <c r="M675" i="6"/>
  <c r="H682" i="6"/>
  <c r="N682" i="6"/>
  <c r="F682" i="6"/>
  <c r="K682" i="6"/>
  <c r="L683" i="6"/>
  <c r="D683" i="6"/>
  <c r="J683" i="6"/>
  <c r="B683" i="6"/>
  <c r="M683" i="6"/>
  <c r="H690" i="6"/>
  <c r="N690" i="6"/>
  <c r="F690" i="6"/>
  <c r="K690" i="6"/>
  <c r="L691" i="6"/>
  <c r="D691" i="6"/>
  <c r="J691" i="6"/>
  <c r="B691" i="6"/>
  <c r="M691" i="6"/>
  <c r="H698" i="6"/>
  <c r="N698" i="6"/>
  <c r="F698" i="6"/>
  <c r="K698" i="6"/>
  <c r="L699" i="6"/>
  <c r="D699" i="6"/>
  <c r="J699" i="6"/>
  <c r="B699" i="6"/>
  <c r="M699" i="6"/>
  <c r="E706" i="6"/>
  <c r="L712" i="6"/>
  <c r="D712" i="6"/>
  <c r="H712" i="6"/>
  <c r="N712" i="6"/>
  <c r="F712" i="6"/>
  <c r="M712" i="6"/>
  <c r="F713" i="6"/>
  <c r="H719" i="6"/>
  <c r="L719" i="6"/>
  <c r="D719" i="6"/>
  <c r="J719" i="6"/>
  <c r="B719" i="6"/>
  <c r="N719" i="6"/>
  <c r="E722" i="6"/>
  <c r="B726" i="6"/>
  <c r="L728" i="6"/>
  <c r="D728" i="6"/>
  <c r="H728" i="6"/>
  <c r="N728" i="6"/>
  <c r="F728" i="6"/>
  <c r="M728" i="6"/>
  <c r="F729" i="6"/>
  <c r="C733" i="6"/>
  <c r="H735" i="6"/>
  <c r="L735" i="6"/>
  <c r="D735" i="6"/>
  <c r="J735" i="6"/>
  <c r="B735" i="6"/>
  <c r="N735" i="6"/>
  <c r="E738" i="6"/>
  <c r="B742" i="6"/>
  <c r="L744" i="6"/>
  <c r="D744" i="6"/>
  <c r="J744" i="6"/>
  <c r="H744" i="6"/>
  <c r="N744" i="6"/>
  <c r="F744" i="6"/>
  <c r="G746" i="6"/>
  <c r="C747" i="6"/>
  <c r="G750" i="6"/>
  <c r="C751" i="6"/>
  <c r="G754" i="6"/>
  <c r="C755" i="6"/>
  <c r="G758" i="6"/>
  <c r="C759" i="6"/>
  <c r="G762" i="6"/>
  <c r="C763" i="6"/>
  <c r="G766" i="6"/>
  <c r="C767" i="6"/>
  <c r="G770" i="6"/>
  <c r="C771" i="6"/>
  <c r="G774" i="6"/>
  <c r="C775" i="6"/>
  <c r="G778" i="6"/>
  <c r="C779" i="6"/>
  <c r="G782" i="6"/>
  <c r="C783" i="6"/>
  <c r="I787" i="6"/>
  <c r="I789" i="6"/>
  <c r="I791" i="6"/>
  <c r="I793" i="6"/>
  <c r="I795" i="6"/>
  <c r="I797" i="6"/>
  <c r="I799" i="6"/>
  <c r="I801" i="6"/>
  <c r="I803" i="6"/>
  <c r="I805" i="6"/>
  <c r="I807" i="6"/>
  <c r="I809" i="6"/>
  <c r="I811" i="6"/>
  <c r="I813" i="6"/>
  <c r="I815" i="6"/>
  <c r="I817" i="6"/>
  <c r="I819" i="6"/>
  <c r="I821" i="6"/>
  <c r="I823" i="6"/>
  <c r="I825" i="6"/>
  <c r="I827" i="6"/>
  <c r="I829" i="6"/>
  <c r="I831" i="6"/>
  <c r="I833" i="6"/>
  <c r="I835" i="6"/>
  <c r="I837" i="6"/>
  <c r="I839" i="6"/>
  <c r="I841" i="6"/>
  <c r="I843" i="6"/>
  <c r="I845" i="6"/>
  <c r="I847" i="6"/>
  <c r="I849" i="6"/>
  <c r="I851" i="6"/>
  <c r="I853" i="6"/>
  <c r="I855" i="6"/>
  <c r="I857" i="6"/>
  <c r="I859" i="6"/>
  <c r="I861" i="6"/>
  <c r="Q868" i="6"/>
  <c r="F637" i="6"/>
  <c r="G638" i="6"/>
  <c r="H639" i="6"/>
  <c r="B642" i="6"/>
  <c r="L642" i="6"/>
  <c r="C643" i="6"/>
  <c r="D644" i="6"/>
  <c r="F645" i="6"/>
  <c r="G646" i="6"/>
  <c r="H647" i="6"/>
  <c r="B650" i="6"/>
  <c r="L650" i="6"/>
  <c r="C651" i="6"/>
  <c r="N651" i="6"/>
  <c r="D652" i="6"/>
  <c r="F653" i="6"/>
  <c r="G654" i="6"/>
  <c r="H655" i="6"/>
  <c r="B658" i="6"/>
  <c r="L658" i="6"/>
  <c r="C659" i="6"/>
  <c r="N659" i="6"/>
  <c r="D660" i="6"/>
  <c r="F661" i="6"/>
  <c r="G662" i="6"/>
  <c r="H663" i="6"/>
  <c r="B666" i="6"/>
  <c r="L666" i="6"/>
  <c r="C667" i="6"/>
  <c r="N667" i="6"/>
  <c r="D668" i="6"/>
  <c r="F669" i="6"/>
  <c r="G670" i="6"/>
  <c r="H671" i="6"/>
  <c r="B674" i="6"/>
  <c r="L674" i="6"/>
  <c r="C675" i="6"/>
  <c r="N675" i="6"/>
  <c r="D676" i="6"/>
  <c r="F677" i="6"/>
  <c r="G678" i="6"/>
  <c r="H679" i="6"/>
  <c r="B682" i="6"/>
  <c r="L682" i="6"/>
  <c r="C683" i="6"/>
  <c r="N683" i="6"/>
  <c r="D684" i="6"/>
  <c r="F685" i="6"/>
  <c r="G686" i="6"/>
  <c r="H687" i="6"/>
  <c r="B690" i="6"/>
  <c r="L690" i="6"/>
  <c r="C691" i="6"/>
  <c r="N691" i="6"/>
  <c r="D692" i="6"/>
  <c r="F693" i="6"/>
  <c r="G694" i="6"/>
  <c r="H695" i="6"/>
  <c r="B698" i="6"/>
  <c r="L698" i="6"/>
  <c r="C699" i="6"/>
  <c r="N699" i="6"/>
  <c r="D700" i="6"/>
  <c r="F701" i="6"/>
  <c r="G702" i="6"/>
  <c r="H703" i="6"/>
  <c r="H705" i="6"/>
  <c r="L705" i="6"/>
  <c r="D705" i="6"/>
  <c r="J705" i="6"/>
  <c r="B705" i="6"/>
  <c r="N705" i="6"/>
  <c r="G706" i="6"/>
  <c r="E708" i="6"/>
  <c r="I711" i="6"/>
  <c r="B712" i="6"/>
  <c r="G713" i="6"/>
  <c r="L714" i="6"/>
  <c r="D714" i="6"/>
  <c r="H714" i="6"/>
  <c r="N714" i="6"/>
  <c r="F714" i="6"/>
  <c r="M714" i="6"/>
  <c r="F715" i="6"/>
  <c r="C719" i="6"/>
  <c r="H721" i="6"/>
  <c r="L721" i="6"/>
  <c r="D721" i="6"/>
  <c r="J721" i="6"/>
  <c r="B721" i="6"/>
  <c r="N721" i="6"/>
  <c r="G722" i="6"/>
  <c r="E724" i="6"/>
  <c r="C726" i="6"/>
  <c r="B728" i="6"/>
  <c r="G729" i="6"/>
  <c r="L730" i="6"/>
  <c r="D730" i="6"/>
  <c r="H730" i="6"/>
  <c r="N730" i="6"/>
  <c r="F730" i="6"/>
  <c r="M730" i="6"/>
  <c r="F731" i="6"/>
  <c r="E733" i="6"/>
  <c r="C735" i="6"/>
  <c r="H737" i="6"/>
  <c r="L737" i="6"/>
  <c r="D737" i="6"/>
  <c r="J737" i="6"/>
  <c r="B737" i="6"/>
  <c r="N737" i="6"/>
  <c r="G738" i="6"/>
  <c r="C742" i="6"/>
  <c r="B744" i="6"/>
  <c r="I746" i="6"/>
  <c r="E747" i="6"/>
  <c r="L748" i="6"/>
  <c r="D748" i="6"/>
  <c r="J748" i="6"/>
  <c r="B748" i="6"/>
  <c r="H748" i="6"/>
  <c r="N748" i="6"/>
  <c r="F748" i="6"/>
  <c r="I750" i="6"/>
  <c r="E751" i="6"/>
  <c r="L752" i="6"/>
  <c r="D752" i="6"/>
  <c r="J752" i="6"/>
  <c r="B752" i="6"/>
  <c r="H752" i="6"/>
  <c r="N752" i="6"/>
  <c r="F752" i="6"/>
  <c r="I754" i="6"/>
  <c r="E755" i="6"/>
  <c r="L756" i="6"/>
  <c r="D756" i="6"/>
  <c r="J756" i="6"/>
  <c r="B756" i="6"/>
  <c r="H756" i="6"/>
  <c r="N756" i="6"/>
  <c r="F756" i="6"/>
  <c r="I758" i="6"/>
  <c r="E759" i="6"/>
  <c r="L760" i="6"/>
  <c r="D760" i="6"/>
  <c r="J760" i="6"/>
  <c r="B760" i="6"/>
  <c r="H760" i="6"/>
  <c r="N760" i="6"/>
  <c r="F760" i="6"/>
  <c r="I762" i="6"/>
  <c r="E763" i="6"/>
  <c r="L764" i="6"/>
  <c r="D764" i="6"/>
  <c r="J764" i="6"/>
  <c r="B764" i="6"/>
  <c r="H764" i="6"/>
  <c r="N764" i="6"/>
  <c r="F764" i="6"/>
  <c r="I766" i="6"/>
  <c r="E767" i="6"/>
  <c r="L768" i="6"/>
  <c r="D768" i="6"/>
  <c r="J768" i="6"/>
  <c r="B768" i="6"/>
  <c r="H768" i="6"/>
  <c r="N768" i="6"/>
  <c r="F768" i="6"/>
  <c r="I770" i="6"/>
  <c r="E771" i="6"/>
  <c r="L772" i="6"/>
  <c r="D772" i="6"/>
  <c r="J772" i="6"/>
  <c r="B772" i="6"/>
  <c r="H772" i="6"/>
  <c r="N772" i="6"/>
  <c r="F772" i="6"/>
  <c r="I774" i="6"/>
  <c r="E775" i="6"/>
  <c r="L776" i="6"/>
  <c r="D776" i="6"/>
  <c r="J776" i="6"/>
  <c r="B776" i="6"/>
  <c r="H776" i="6"/>
  <c r="N776" i="6"/>
  <c r="F776" i="6"/>
  <c r="I778" i="6"/>
  <c r="E779" i="6"/>
  <c r="L780" i="6"/>
  <c r="D780" i="6"/>
  <c r="J780" i="6"/>
  <c r="B780" i="6"/>
  <c r="H780" i="6"/>
  <c r="N780" i="6"/>
  <c r="F780" i="6"/>
  <c r="I782" i="6"/>
  <c r="E783" i="6"/>
  <c r="L784" i="6"/>
  <c r="D784" i="6"/>
  <c r="J784" i="6"/>
  <c r="B784" i="6"/>
  <c r="H784" i="6"/>
  <c r="N784" i="6"/>
  <c r="F784" i="6"/>
  <c r="K787" i="6"/>
  <c r="K789" i="6"/>
  <c r="K791" i="6"/>
  <c r="K793" i="6"/>
  <c r="K795" i="6"/>
  <c r="K797" i="6"/>
  <c r="K799" i="6"/>
  <c r="K801" i="6"/>
  <c r="K803" i="6"/>
  <c r="K805" i="6"/>
  <c r="K807" i="6"/>
  <c r="K809" i="6"/>
  <c r="K811" i="6"/>
  <c r="K813" i="6"/>
  <c r="K815" i="6"/>
  <c r="K817" i="6"/>
  <c r="K819" i="6"/>
  <c r="K821" i="6"/>
  <c r="K823" i="6"/>
  <c r="K825" i="6"/>
  <c r="K827" i="6"/>
  <c r="K829" i="6"/>
  <c r="K831" i="6"/>
  <c r="K833" i="6"/>
  <c r="K835" i="6"/>
  <c r="K837" i="6"/>
  <c r="K839" i="6"/>
  <c r="K841" i="6"/>
  <c r="K843" i="6"/>
  <c r="K845" i="6"/>
  <c r="K847" i="6"/>
  <c r="K849" i="6"/>
  <c r="K851" i="6"/>
  <c r="K853" i="6"/>
  <c r="K855" i="6"/>
  <c r="K857" i="6"/>
  <c r="K859" i="6"/>
  <c r="K861" i="6"/>
  <c r="F786" i="6"/>
  <c r="N786" i="6"/>
  <c r="F788" i="6"/>
  <c r="N788" i="6"/>
  <c r="F790" i="6"/>
  <c r="N790" i="6"/>
  <c r="F792" i="6"/>
  <c r="N792" i="6"/>
  <c r="F794" i="6"/>
  <c r="N794" i="6"/>
  <c r="F796" i="6"/>
  <c r="N796" i="6"/>
  <c r="F798" i="6"/>
  <c r="N798" i="6"/>
  <c r="F800" i="6"/>
  <c r="N800" i="6"/>
  <c r="F802" i="6"/>
  <c r="N802" i="6"/>
  <c r="F804" i="6"/>
  <c r="N804" i="6"/>
  <c r="F806" i="6"/>
  <c r="N806" i="6"/>
  <c r="F808" i="6"/>
  <c r="N808" i="6"/>
  <c r="F810" i="6"/>
  <c r="N810" i="6"/>
  <c r="F812" i="6"/>
  <c r="N812" i="6"/>
  <c r="F814" i="6"/>
  <c r="N814" i="6"/>
  <c r="F816" i="6"/>
  <c r="N816" i="6"/>
  <c r="F818" i="6"/>
  <c r="N818" i="6"/>
  <c r="F820" i="6"/>
  <c r="N820" i="6"/>
  <c r="F822" i="6"/>
  <c r="N822" i="6"/>
  <c r="F824" i="6"/>
  <c r="N824" i="6"/>
  <c r="F826" i="6"/>
  <c r="N826" i="6"/>
  <c r="F828" i="6"/>
  <c r="N828" i="6"/>
  <c r="F830" i="6"/>
  <c r="N830" i="6"/>
  <c r="F832" i="6"/>
  <c r="N832" i="6"/>
  <c r="F834" i="6"/>
  <c r="N834" i="6"/>
  <c r="F836" i="6"/>
  <c r="N836" i="6"/>
  <c r="F838" i="6"/>
  <c r="N838" i="6"/>
  <c r="F840" i="6"/>
  <c r="N840" i="6"/>
  <c r="F842" i="6"/>
  <c r="N842" i="6"/>
  <c r="F844" i="6"/>
  <c r="N844" i="6"/>
  <c r="F846" i="6"/>
  <c r="N846" i="6"/>
  <c r="F848" i="6"/>
  <c r="N848" i="6"/>
  <c r="F850" i="6"/>
  <c r="N850" i="6"/>
  <c r="F852" i="6"/>
  <c r="N852" i="6"/>
  <c r="F854" i="6"/>
  <c r="N854" i="6"/>
  <c r="F856" i="6"/>
  <c r="N856" i="6"/>
  <c r="F858" i="6"/>
  <c r="N858" i="6"/>
  <c r="F860" i="6"/>
  <c r="N860" i="6"/>
  <c r="C864" i="6"/>
  <c r="L864" i="6"/>
  <c r="C868" i="6"/>
  <c r="L868" i="6"/>
  <c r="C872" i="6"/>
  <c r="L872" i="6"/>
  <c r="C876" i="6"/>
  <c r="L876" i="6"/>
  <c r="C880" i="6"/>
  <c r="L880" i="6"/>
  <c r="C884" i="6"/>
  <c r="L884" i="6"/>
  <c r="C888" i="6"/>
  <c r="L888" i="6"/>
  <c r="C892" i="6"/>
  <c r="L892" i="6"/>
  <c r="C896" i="6"/>
  <c r="L896" i="6"/>
  <c r="C900" i="6"/>
  <c r="L900" i="6"/>
  <c r="C904" i="6"/>
  <c r="L904" i="6"/>
  <c r="Q906" i="6"/>
  <c r="C908" i="6"/>
  <c r="L908" i="6"/>
  <c r="P931" i="6"/>
  <c r="S931" i="6" s="1"/>
  <c r="P936" i="6"/>
  <c r="S936" i="6" s="1"/>
  <c r="P946" i="6"/>
  <c r="S946" i="6" s="1"/>
  <c r="H961" i="6"/>
  <c r="K967" i="6"/>
  <c r="C967" i="6"/>
  <c r="G967" i="6"/>
  <c r="J967" i="6"/>
  <c r="H967" i="6"/>
  <c r="F967" i="6"/>
  <c r="N967" i="6"/>
  <c r="D967" i="6"/>
  <c r="M967" i="6"/>
  <c r="B967" i="6"/>
  <c r="H969" i="6"/>
  <c r="K975" i="6"/>
  <c r="C975" i="6"/>
  <c r="G975" i="6"/>
  <c r="J975" i="6"/>
  <c r="H975" i="6"/>
  <c r="F975" i="6"/>
  <c r="N975" i="6"/>
  <c r="D975" i="6"/>
  <c r="M975" i="6"/>
  <c r="B975" i="6"/>
  <c r="H977" i="6"/>
  <c r="K1015" i="6"/>
  <c r="C1015" i="6"/>
  <c r="G1015" i="6"/>
  <c r="J1015" i="6"/>
  <c r="I1015" i="6"/>
  <c r="H1015" i="6"/>
  <c r="F1015" i="6"/>
  <c r="E1015" i="6"/>
  <c r="N1015" i="6"/>
  <c r="D1015" i="6"/>
  <c r="M1015" i="6"/>
  <c r="B1015" i="6"/>
  <c r="J1097" i="6"/>
  <c r="B1097" i="6"/>
  <c r="H1097" i="6"/>
  <c r="G1097" i="6"/>
  <c r="D1097" i="6"/>
  <c r="N1097" i="6"/>
  <c r="C1097" i="6"/>
  <c r="L1097" i="6"/>
  <c r="K1097" i="6"/>
  <c r="I1097" i="6"/>
  <c r="F1097" i="6"/>
  <c r="M1097" i="6"/>
  <c r="E1097" i="6"/>
  <c r="R936" i="6"/>
  <c r="R946" i="6"/>
  <c r="N1022" i="6"/>
  <c r="F1022" i="6"/>
  <c r="K1022" i="6"/>
  <c r="C1022" i="6"/>
  <c r="M1022" i="6"/>
  <c r="B1022" i="6"/>
  <c r="J1022" i="6"/>
  <c r="H1022" i="6"/>
  <c r="L1022" i="6"/>
  <c r="I1022" i="6"/>
  <c r="G1022" i="6"/>
  <c r="E1022" i="6"/>
  <c r="D1022" i="6"/>
  <c r="H786" i="6"/>
  <c r="H788" i="6"/>
  <c r="H790" i="6"/>
  <c r="H792" i="6"/>
  <c r="H794" i="6"/>
  <c r="H796" i="6"/>
  <c r="H798" i="6"/>
  <c r="H800" i="6"/>
  <c r="H802" i="6"/>
  <c r="H804" i="6"/>
  <c r="H806" i="6"/>
  <c r="H808" i="6"/>
  <c r="H810" i="6"/>
  <c r="H812" i="6"/>
  <c r="H814" i="6"/>
  <c r="H816" i="6"/>
  <c r="H818" i="6"/>
  <c r="H820" i="6"/>
  <c r="H822" i="6"/>
  <c r="H824" i="6"/>
  <c r="H826" i="6"/>
  <c r="H828" i="6"/>
  <c r="H830" i="6"/>
  <c r="H832" i="6"/>
  <c r="H834" i="6"/>
  <c r="H836" i="6"/>
  <c r="H838" i="6"/>
  <c r="H840" i="6"/>
  <c r="H842" i="6"/>
  <c r="H844" i="6"/>
  <c r="H846" i="6"/>
  <c r="H848" i="6"/>
  <c r="H850" i="6"/>
  <c r="H852" i="6"/>
  <c r="H854" i="6"/>
  <c r="H856" i="6"/>
  <c r="H858" i="6"/>
  <c r="H860" i="6"/>
  <c r="M862" i="6"/>
  <c r="E862" i="6"/>
  <c r="J862" i="6"/>
  <c r="M866" i="6"/>
  <c r="E866" i="6"/>
  <c r="J866" i="6"/>
  <c r="M870" i="6"/>
  <c r="E870" i="6"/>
  <c r="J870" i="6"/>
  <c r="M874" i="6"/>
  <c r="E874" i="6"/>
  <c r="J874" i="6"/>
  <c r="M878" i="6"/>
  <c r="E878" i="6"/>
  <c r="J878" i="6"/>
  <c r="M882" i="6"/>
  <c r="E882" i="6"/>
  <c r="J882" i="6"/>
  <c r="M886" i="6"/>
  <c r="E886" i="6"/>
  <c r="J886" i="6"/>
  <c r="M890" i="6"/>
  <c r="E890" i="6"/>
  <c r="J890" i="6"/>
  <c r="M894" i="6"/>
  <c r="E894" i="6"/>
  <c r="J894" i="6"/>
  <c r="M898" i="6"/>
  <c r="E898" i="6"/>
  <c r="J898" i="6"/>
  <c r="M902" i="6"/>
  <c r="E902" i="6"/>
  <c r="J902" i="6"/>
  <c r="M906" i="6"/>
  <c r="E906" i="6"/>
  <c r="J906" i="6"/>
  <c r="I967" i="6"/>
  <c r="I975" i="6"/>
  <c r="K991" i="6"/>
  <c r="C991" i="6"/>
  <c r="G991" i="6"/>
  <c r="J991" i="6"/>
  <c r="I991" i="6"/>
  <c r="H991" i="6"/>
  <c r="F991" i="6"/>
  <c r="E991" i="6"/>
  <c r="N991" i="6"/>
  <c r="D991" i="6"/>
  <c r="M991" i="6"/>
  <c r="B991" i="6"/>
  <c r="O1000" i="6"/>
  <c r="T1000" i="6" s="1"/>
  <c r="R1000" i="6"/>
  <c r="I786" i="6"/>
  <c r="I788" i="6"/>
  <c r="I790" i="6"/>
  <c r="I792" i="6"/>
  <c r="I794" i="6"/>
  <c r="I796" i="6"/>
  <c r="I798" i="6"/>
  <c r="I800" i="6"/>
  <c r="I802" i="6"/>
  <c r="I804" i="6"/>
  <c r="I806" i="6"/>
  <c r="I808" i="6"/>
  <c r="I810" i="6"/>
  <c r="I812" i="6"/>
  <c r="I814" i="6"/>
  <c r="I816" i="6"/>
  <c r="I818" i="6"/>
  <c r="I820" i="6"/>
  <c r="I822" i="6"/>
  <c r="I824" i="6"/>
  <c r="I826" i="6"/>
  <c r="I828" i="6"/>
  <c r="I830" i="6"/>
  <c r="I832" i="6"/>
  <c r="I834" i="6"/>
  <c r="I836" i="6"/>
  <c r="I838" i="6"/>
  <c r="I840" i="6"/>
  <c r="I842" i="6"/>
  <c r="I844" i="6"/>
  <c r="I846" i="6"/>
  <c r="I848" i="6"/>
  <c r="I850" i="6"/>
  <c r="I852" i="6"/>
  <c r="I854" i="6"/>
  <c r="I856" i="6"/>
  <c r="I858" i="6"/>
  <c r="I860" i="6"/>
  <c r="K1007" i="6"/>
  <c r="C1007" i="6"/>
  <c r="G1007" i="6"/>
  <c r="J1007" i="6"/>
  <c r="I1007" i="6"/>
  <c r="H1007" i="6"/>
  <c r="F1007" i="6"/>
  <c r="E1007" i="6"/>
  <c r="N1007" i="6"/>
  <c r="D1007" i="6"/>
  <c r="M1007" i="6"/>
  <c r="B1007" i="6"/>
  <c r="B786" i="6"/>
  <c r="J786" i="6"/>
  <c r="B788" i="6"/>
  <c r="J788" i="6"/>
  <c r="B790" i="6"/>
  <c r="J790" i="6"/>
  <c r="B792" i="6"/>
  <c r="J792" i="6"/>
  <c r="B794" i="6"/>
  <c r="J794" i="6"/>
  <c r="B796" i="6"/>
  <c r="J796" i="6"/>
  <c r="B798" i="6"/>
  <c r="J798" i="6"/>
  <c r="B800" i="6"/>
  <c r="J800" i="6"/>
  <c r="B802" i="6"/>
  <c r="J802" i="6"/>
  <c r="B804" i="6"/>
  <c r="J804" i="6"/>
  <c r="B806" i="6"/>
  <c r="J806" i="6"/>
  <c r="B808" i="6"/>
  <c r="J808" i="6"/>
  <c r="B810" i="6"/>
  <c r="J810" i="6"/>
  <c r="B812" i="6"/>
  <c r="J812" i="6"/>
  <c r="B814" i="6"/>
  <c r="J814" i="6"/>
  <c r="B816" i="6"/>
  <c r="J816" i="6"/>
  <c r="B818" i="6"/>
  <c r="J818" i="6"/>
  <c r="B820" i="6"/>
  <c r="J820" i="6"/>
  <c r="B822" i="6"/>
  <c r="J822" i="6"/>
  <c r="B824" i="6"/>
  <c r="J824" i="6"/>
  <c r="B826" i="6"/>
  <c r="J826" i="6"/>
  <c r="B828" i="6"/>
  <c r="J828" i="6"/>
  <c r="B830" i="6"/>
  <c r="J830" i="6"/>
  <c r="B832" i="6"/>
  <c r="J832" i="6"/>
  <c r="B834" i="6"/>
  <c r="J834" i="6"/>
  <c r="B836" i="6"/>
  <c r="J836" i="6"/>
  <c r="B838" i="6"/>
  <c r="J838" i="6"/>
  <c r="B840" i="6"/>
  <c r="J840" i="6"/>
  <c r="B842" i="6"/>
  <c r="J842" i="6"/>
  <c r="B844" i="6"/>
  <c r="J844" i="6"/>
  <c r="B846" i="6"/>
  <c r="J846" i="6"/>
  <c r="B848" i="6"/>
  <c r="J848" i="6"/>
  <c r="B850" i="6"/>
  <c r="J850" i="6"/>
  <c r="B852" i="6"/>
  <c r="J852" i="6"/>
  <c r="B854" i="6"/>
  <c r="J854" i="6"/>
  <c r="B856" i="6"/>
  <c r="J856" i="6"/>
  <c r="B858" i="6"/>
  <c r="J858" i="6"/>
  <c r="B860" i="6"/>
  <c r="J860" i="6"/>
  <c r="Q941" i="6"/>
  <c r="R965" i="6"/>
  <c r="G964" i="6"/>
  <c r="K964" i="6"/>
  <c r="C964" i="6"/>
  <c r="F964" i="6"/>
  <c r="N964" i="6"/>
  <c r="D964" i="6"/>
  <c r="M964" i="6"/>
  <c r="B964" i="6"/>
  <c r="J964" i="6"/>
  <c r="I964" i="6"/>
  <c r="G972" i="6"/>
  <c r="K972" i="6"/>
  <c r="C972" i="6"/>
  <c r="F972" i="6"/>
  <c r="N972" i="6"/>
  <c r="D972" i="6"/>
  <c r="M972" i="6"/>
  <c r="B972" i="6"/>
  <c r="J972" i="6"/>
  <c r="I972" i="6"/>
  <c r="G980" i="6"/>
  <c r="K980" i="6"/>
  <c r="C980" i="6"/>
  <c r="F980" i="6"/>
  <c r="E980" i="6"/>
  <c r="N980" i="6"/>
  <c r="D980" i="6"/>
  <c r="M980" i="6"/>
  <c r="B980" i="6"/>
  <c r="J980" i="6"/>
  <c r="I980" i="6"/>
  <c r="K983" i="6"/>
  <c r="C983" i="6"/>
  <c r="G983" i="6"/>
  <c r="J983" i="6"/>
  <c r="I983" i="6"/>
  <c r="H983" i="6"/>
  <c r="F983" i="6"/>
  <c r="E983" i="6"/>
  <c r="N983" i="6"/>
  <c r="D983" i="6"/>
  <c r="M983" i="6"/>
  <c r="B983" i="6"/>
  <c r="J1067" i="6"/>
  <c r="B1067" i="6"/>
  <c r="G1067" i="6"/>
  <c r="K1067" i="6"/>
  <c r="I1067" i="6"/>
  <c r="F1067" i="6"/>
  <c r="E1067" i="6"/>
  <c r="N1067" i="6"/>
  <c r="D1067" i="6"/>
  <c r="M1067" i="6"/>
  <c r="L1067" i="6"/>
  <c r="H1067" i="6"/>
  <c r="C1067" i="6"/>
  <c r="N1070" i="6"/>
  <c r="F1070" i="6"/>
  <c r="K1070" i="6"/>
  <c r="C1070" i="6"/>
  <c r="D1070" i="6"/>
  <c r="M1070" i="6"/>
  <c r="B1070" i="6"/>
  <c r="J1070" i="6"/>
  <c r="I1070" i="6"/>
  <c r="H1070" i="6"/>
  <c r="L1070" i="6"/>
  <c r="G1070" i="6"/>
  <c r="E1070" i="6"/>
  <c r="D786" i="6"/>
  <c r="L786" i="6"/>
  <c r="D788" i="6"/>
  <c r="L788" i="6"/>
  <c r="D790" i="6"/>
  <c r="L790" i="6"/>
  <c r="D792" i="6"/>
  <c r="L792" i="6"/>
  <c r="D794" i="6"/>
  <c r="L794" i="6"/>
  <c r="D796" i="6"/>
  <c r="L796" i="6"/>
  <c r="D798" i="6"/>
  <c r="L798" i="6"/>
  <c r="D800" i="6"/>
  <c r="L800" i="6"/>
  <c r="D802" i="6"/>
  <c r="L802" i="6"/>
  <c r="D804" i="6"/>
  <c r="L804" i="6"/>
  <c r="D806" i="6"/>
  <c r="L806" i="6"/>
  <c r="D808" i="6"/>
  <c r="L808" i="6"/>
  <c r="D810" i="6"/>
  <c r="L810" i="6"/>
  <c r="D812" i="6"/>
  <c r="L812" i="6"/>
  <c r="D814" i="6"/>
  <c r="L814" i="6"/>
  <c r="D816" i="6"/>
  <c r="L816" i="6"/>
  <c r="D818" i="6"/>
  <c r="L818" i="6"/>
  <c r="D820" i="6"/>
  <c r="L820" i="6"/>
  <c r="D822" i="6"/>
  <c r="L822" i="6"/>
  <c r="D824" i="6"/>
  <c r="L824" i="6"/>
  <c r="D826" i="6"/>
  <c r="L826" i="6"/>
  <c r="D828" i="6"/>
  <c r="L828" i="6"/>
  <c r="D830" i="6"/>
  <c r="L830" i="6"/>
  <c r="D832" i="6"/>
  <c r="L832" i="6"/>
  <c r="D834" i="6"/>
  <c r="L834" i="6"/>
  <c r="D836" i="6"/>
  <c r="L836" i="6"/>
  <c r="D838" i="6"/>
  <c r="L838" i="6"/>
  <c r="D840" i="6"/>
  <c r="L840" i="6"/>
  <c r="D842" i="6"/>
  <c r="L842" i="6"/>
  <c r="D844" i="6"/>
  <c r="L844" i="6"/>
  <c r="D846" i="6"/>
  <c r="L846" i="6"/>
  <c r="D848" i="6"/>
  <c r="L848" i="6"/>
  <c r="D850" i="6"/>
  <c r="L850" i="6"/>
  <c r="D852" i="6"/>
  <c r="L852" i="6"/>
  <c r="D854" i="6"/>
  <c r="L854" i="6"/>
  <c r="D856" i="6"/>
  <c r="L856" i="6"/>
  <c r="D858" i="6"/>
  <c r="L858" i="6"/>
  <c r="D860" i="6"/>
  <c r="L860" i="6"/>
  <c r="M864" i="6"/>
  <c r="E864" i="6"/>
  <c r="J864" i="6"/>
  <c r="M868" i="6"/>
  <c r="E868" i="6"/>
  <c r="J868" i="6"/>
  <c r="M872" i="6"/>
  <c r="E872" i="6"/>
  <c r="J872" i="6"/>
  <c r="M876" i="6"/>
  <c r="E876" i="6"/>
  <c r="J876" i="6"/>
  <c r="M880" i="6"/>
  <c r="E880" i="6"/>
  <c r="J880" i="6"/>
  <c r="P881" i="6"/>
  <c r="S881" i="6" s="1"/>
  <c r="M884" i="6"/>
  <c r="E884" i="6"/>
  <c r="J884" i="6"/>
  <c r="M888" i="6"/>
  <c r="E888" i="6"/>
  <c r="J888" i="6"/>
  <c r="M892" i="6"/>
  <c r="E892" i="6"/>
  <c r="J892" i="6"/>
  <c r="M896" i="6"/>
  <c r="E896" i="6"/>
  <c r="J896" i="6"/>
  <c r="M900" i="6"/>
  <c r="E900" i="6"/>
  <c r="J900" i="6"/>
  <c r="M904" i="6"/>
  <c r="E904" i="6"/>
  <c r="J904" i="6"/>
  <c r="M908" i="6"/>
  <c r="E908" i="6"/>
  <c r="J908" i="6"/>
  <c r="K961" i="6"/>
  <c r="C961" i="6"/>
  <c r="G961" i="6"/>
  <c r="M961" i="6"/>
  <c r="B961" i="6"/>
  <c r="J961" i="6"/>
  <c r="I961" i="6"/>
  <c r="F961" i="6"/>
  <c r="E961" i="6"/>
  <c r="E964" i="6"/>
  <c r="K969" i="6"/>
  <c r="C969" i="6"/>
  <c r="G969" i="6"/>
  <c r="M969" i="6"/>
  <c r="B969" i="6"/>
  <c r="J969" i="6"/>
  <c r="I969" i="6"/>
  <c r="F969" i="6"/>
  <c r="E969" i="6"/>
  <c r="K977" i="6"/>
  <c r="C977" i="6"/>
  <c r="G977" i="6"/>
  <c r="M977" i="6"/>
  <c r="B977" i="6"/>
  <c r="J977" i="6"/>
  <c r="I977" i="6"/>
  <c r="F977" i="6"/>
  <c r="E977" i="6"/>
  <c r="E910" i="6"/>
  <c r="M910" i="6"/>
  <c r="E912" i="6"/>
  <c r="M912" i="6"/>
  <c r="E914" i="6"/>
  <c r="M914" i="6"/>
  <c r="E916" i="6"/>
  <c r="M916" i="6"/>
  <c r="E918" i="6"/>
  <c r="M918" i="6"/>
  <c r="E920" i="6"/>
  <c r="M920" i="6"/>
  <c r="E922" i="6"/>
  <c r="M922" i="6"/>
  <c r="E924" i="6"/>
  <c r="M924" i="6"/>
  <c r="E926" i="6"/>
  <c r="M926" i="6"/>
  <c r="E928" i="6"/>
  <c r="M928" i="6"/>
  <c r="E930" i="6"/>
  <c r="M930" i="6"/>
  <c r="E932" i="6"/>
  <c r="M932" i="6"/>
  <c r="E934" i="6"/>
  <c r="M934" i="6"/>
  <c r="E936" i="6"/>
  <c r="M936" i="6"/>
  <c r="E938" i="6"/>
  <c r="M938" i="6"/>
  <c r="E940" i="6"/>
  <c r="M940" i="6"/>
  <c r="E942" i="6"/>
  <c r="M942" i="6"/>
  <c r="E944" i="6"/>
  <c r="M944" i="6"/>
  <c r="E946" i="6"/>
  <c r="M946" i="6"/>
  <c r="E948" i="6"/>
  <c r="M948" i="6"/>
  <c r="E950" i="6"/>
  <c r="M950" i="6"/>
  <c r="E952" i="6"/>
  <c r="M952" i="6"/>
  <c r="E954" i="6"/>
  <c r="M954" i="6"/>
  <c r="E956" i="6"/>
  <c r="M956" i="6"/>
  <c r="E958" i="6"/>
  <c r="M958" i="6"/>
  <c r="Q959" i="6"/>
  <c r="E960" i="6"/>
  <c r="H963" i="6"/>
  <c r="G966" i="6"/>
  <c r="K966" i="6"/>
  <c r="C966" i="6"/>
  <c r="L966" i="6"/>
  <c r="D968" i="6"/>
  <c r="N968" i="6"/>
  <c r="H971" i="6"/>
  <c r="G974" i="6"/>
  <c r="K974" i="6"/>
  <c r="C974" i="6"/>
  <c r="L974" i="6"/>
  <c r="D976" i="6"/>
  <c r="N976" i="6"/>
  <c r="H979" i="6"/>
  <c r="G982" i="6"/>
  <c r="K982" i="6"/>
  <c r="C982" i="6"/>
  <c r="L982" i="6"/>
  <c r="D984" i="6"/>
  <c r="N984" i="6"/>
  <c r="E985" i="6"/>
  <c r="H987" i="6"/>
  <c r="I988" i="6"/>
  <c r="G990" i="6"/>
  <c r="K990" i="6"/>
  <c r="C990" i="6"/>
  <c r="L990" i="6"/>
  <c r="D992" i="6"/>
  <c r="N992" i="6"/>
  <c r="E993" i="6"/>
  <c r="H995" i="6"/>
  <c r="I996" i="6"/>
  <c r="G998" i="6"/>
  <c r="K998" i="6"/>
  <c r="C998" i="6"/>
  <c r="L998" i="6"/>
  <c r="D1000" i="6"/>
  <c r="N1000" i="6"/>
  <c r="E1001" i="6"/>
  <c r="H1003" i="6"/>
  <c r="I1004" i="6"/>
  <c r="G1006" i="6"/>
  <c r="K1006" i="6"/>
  <c r="C1006" i="6"/>
  <c r="L1006" i="6"/>
  <c r="D1008" i="6"/>
  <c r="N1008" i="6"/>
  <c r="E1009" i="6"/>
  <c r="F1010" i="6"/>
  <c r="H1011" i="6"/>
  <c r="I1012" i="6"/>
  <c r="G1014" i="6"/>
  <c r="K1014" i="6"/>
  <c r="C1014" i="6"/>
  <c r="L1014" i="6"/>
  <c r="D1016" i="6"/>
  <c r="N1018" i="6"/>
  <c r="F1018" i="6"/>
  <c r="K1018" i="6"/>
  <c r="C1018" i="6"/>
  <c r="H1018" i="6"/>
  <c r="E1018" i="6"/>
  <c r="M1018" i="6"/>
  <c r="B1018" i="6"/>
  <c r="I1030" i="6"/>
  <c r="H1032" i="6"/>
  <c r="J1035" i="6"/>
  <c r="B1035" i="6"/>
  <c r="G1035" i="6"/>
  <c r="K1035" i="6"/>
  <c r="I1035" i="6"/>
  <c r="F1035" i="6"/>
  <c r="N1035" i="6"/>
  <c r="D1035" i="6"/>
  <c r="I1040" i="6"/>
  <c r="N1042" i="6"/>
  <c r="F1042" i="6"/>
  <c r="K1042" i="6"/>
  <c r="C1042" i="6"/>
  <c r="I1042" i="6"/>
  <c r="H1042" i="6"/>
  <c r="E1042" i="6"/>
  <c r="D1042" i="6"/>
  <c r="M1042" i="6"/>
  <c r="B1042" i="6"/>
  <c r="L1043" i="6"/>
  <c r="J1050" i="6"/>
  <c r="N1074" i="6"/>
  <c r="F1074" i="6"/>
  <c r="K1074" i="6"/>
  <c r="C1074" i="6"/>
  <c r="I1074" i="6"/>
  <c r="H1074" i="6"/>
  <c r="E1074" i="6"/>
  <c r="D1074" i="6"/>
  <c r="M1074" i="6"/>
  <c r="B1074" i="6"/>
  <c r="L1075" i="6"/>
  <c r="R1092" i="6"/>
  <c r="Q1092" i="6"/>
  <c r="P1092" i="6"/>
  <c r="S1092" i="6" s="1"/>
  <c r="O1092" i="6"/>
  <c r="T1092" i="6" s="1"/>
  <c r="N1094" i="6"/>
  <c r="F1094" i="6"/>
  <c r="K1094" i="6"/>
  <c r="C1094" i="6"/>
  <c r="D1094" i="6"/>
  <c r="M1094" i="6"/>
  <c r="B1094" i="6"/>
  <c r="J1094" i="6"/>
  <c r="I1094" i="6"/>
  <c r="H1094" i="6"/>
  <c r="G1094" i="6"/>
  <c r="O1108" i="6"/>
  <c r="T1108" i="6" s="1"/>
  <c r="R1108" i="6"/>
  <c r="Q1108" i="6"/>
  <c r="R955" i="6"/>
  <c r="I963" i="6"/>
  <c r="K965" i="6"/>
  <c r="C965" i="6"/>
  <c r="G965" i="6"/>
  <c r="L965" i="6"/>
  <c r="I971" i="6"/>
  <c r="K973" i="6"/>
  <c r="C973" i="6"/>
  <c r="G973" i="6"/>
  <c r="L973" i="6"/>
  <c r="I979" i="6"/>
  <c r="K981" i="6"/>
  <c r="C981" i="6"/>
  <c r="G981" i="6"/>
  <c r="L981" i="6"/>
  <c r="F985" i="6"/>
  <c r="I987" i="6"/>
  <c r="K989" i="6"/>
  <c r="C989" i="6"/>
  <c r="G989" i="6"/>
  <c r="L989" i="6"/>
  <c r="F993" i="6"/>
  <c r="I995" i="6"/>
  <c r="K997" i="6"/>
  <c r="C997" i="6"/>
  <c r="G997" i="6"/>
  <c r="L997" i="6"/>
  <c r="E1000" i="6"/>
  <c r="F1001" i="6"/>
  <c r="I1003" i="6"/>
  <c r="K1005" i="6"/>
  <c r="C1005" i="6"/>
  <c r="G1005" i="6"/>
  <c r="L1005" i="6"/>
  <c r="E1008" i="6"/>
  <c r="F1009" i="6"/>
  <c r="I1011" i="6"/>
  <c r="K1013" i="6"/>
  <c r="C1013" i="6"/>
  <c r="G1013" i="6"/>
  <c r="L1013" i="6"/>
  <c r="E1016" i="6"/>
  <c r="J1019" i="6"/>
  <c r="B1019" i="6"/>
  <c r="G1019" i="6"/>
  <c r="I1019" i="6"/>
  <c r="F1019" i="6"/>
  <c r="N1019" i="6"/>
  <c r="D1019" i="6"/>
  <c r="N1026" i="6"/>
  <c r="F1026" i="6"/>
  <c r="K1026" i="6"/>
  <c r="C1026" i="6"/>
  <c r="H1026" i="6"/>
  <c r="E1026" i="6"/>
  <c r="M1026" i="6"/>
  <c r="B1026" i="6"/>
  <c r="J1027" i="6"/>
  <c r="B1027" i="6"/>
  <c r="G1027" i="6"/>
  <c r="K1027" i="6"/>
  <c r="I1027" i="6"/>
  <c r="F1027" i="6"/>
  <c r="N1027" i="6"/>
  <c r="D1027" i="6"/>
  <c r="L1030" i="6"/>
  <c r="I1032" i="6"/>
  <c r="N1034" i="6"/>
  <c r="F1034" i="6"/>
  <c r="K1034" i="6"/>
  <c r="C1034" i="6"/>
  <c r="I1034" i="6"/>
  <c r="H1034" i="6"/>
  <c r="E1034" i="6"/>
  <c r="M1034" i="6"/>
  <c r="B1034" i="6"/>
  <c r="L1040" i="6"/>
  <c r="J1059" i="6"/>
  <c r="B1059" i="6"/>
  <c r="G1059" i="6"/>
  <c r="K1059" i="6"/>
  <c r="I1059" i="6"/>
  <c r="F1059" i="6"/>
  <c r="E1059" i="6"/>
  <c r="N1059" i="6"/>
  <c r="D1059" i="6"/>
  <c r="N1062" i="6"/>
  <c r="F1062" i="6"/>
  <c r="K1062" i="6"/>
  <c r="C1062" i="6"/>
  <c r="D1062" i="6"/>
  <c r="M1062" i="6"/>
  <c r="B1062" i="6"/>
  <c r="J1062" i="6"/>
  <c r="I1062" i="6"/>
  <c r="H1062" i="6"/>
  <c r="N1110" i="6"/>
  <c r="F1110" i="6"/>
  <c r="L1110" i="6"/>
  <c r="D1110" i="6"/>
  <c r="K1110" i="6"/>
  <c r="C1110" i="6"/>
  <c r="M1110" i="6"/>
  <c r="J1110" i="6"/>
  <c r="I1110" i="6"/>
  <c r="H1110" i="6"/>
  <c r="G1110" i="6"/>
  <c r="E1110" i="6"/>
  <c r="B1110" i="6"/>
  <c r="G988" i="6"/>
  <c r="K988" i="6"/>
  <c r="C988" i="6"/>
  <c r="L988" i="6"/>
  <c r="G996" i="6"/>
  <c r="K996" i="6"/>
  <c r="C996" i="6"/>
  <c r="L996" i="6"/>
  <c r="G1004" i="6"/>
  <c r="K1004" i="6"/>
  <c r="C1004" i="6"/>
  <c r="L1004" i="6"/>
  <c r="G1012" i="6"/>
  <c r="K1012" i="6"/>
  <c r="C1012" i="6"/>
  <c r="L1012" i="6"/>
  <c r="N1020" i="6"/>
  <c r="F1020" i="6"/>
  <c r="K1020" i="6"/>
  <c r="C1020" i="6"/>
  <c r="J1020" i="6"/>
  <c r="H1020" i="6"/>
  <c r="E1020" i="6"/>
  <c r="N1066" i="6"/>
  <c r="F1066" i="6"/>
  <c r="K1066" i="6"/>
  <c r="C1066" i="6"/>
  <c r="I1066" i="6"/>
  <c r="H1066" i="6"/>
  <c r="E1066" i="6"/>
  <c r="D1066" i="6"/>
  <c r="M1066" i="6"/>
  <c r="B1066" i="6"/>
  <c r="Q1084" i="6"/>
  <c r="N1086" i="6"/>
  <c r="F1086" i="6"/>
  <c r="K1086" i="6"/>
  <c r="C1086" i="6"/>
  <c r="D1086" i="6"/>
  <c r="M1086" i="6"/>
  <c r="B1086" i="6"/>
  <c r="J1086" i="6"/>
  <c r="I1086" i="6"/>
  <c r="H1086" i="6"/>
  <c r="G1086" i="6"/>
  <c r="K963" i="6"/>
  <c r="C963" i="6"/>
  <c r="G963" i="6"/>
  <c r="L963" i="6"/>
  <c r="K971" i="6"/>
  <c r="C971" i="6"/>
  <c r="G971" i="6"/>
  <c r="L971" i="6"/>
  <c r="K979" i="6"/>
  <c r="C979" i="6"/>
  <c r="G979" i="6"/>
  <c r="L979" i="6"/>
  <c r="I985" i="6"/>
  <c r="K987" i="6"/>
  <c r="C987" i="6"/>
  <c r="G987" i="6"/>
  <c r="L987" i="6"/>
  <c r="B988" i="6"/>
  <c r="M988" i="6"/>
  <c r="I993" i="6"/>
  <c r="K995" i="6"/>
  <c r="C995" i="6"/>
  <c r="G995" i="6"/>
  <c r="L995" i="6"/>
  <c r="B996" i="6"/>
  <c r="M996" i="6"/>
  <c r="I1001" i="6"/>
  <c r="K1003" i="6"/>
  <c r="C1003" i="6"/>
  <c r="G1003" i="6"/>
  <c r="L1003" i="6"/>
  <c r="B1004" i="6"/>
  <c r="M1004" i="6"/>
  <c r="H1008" i="6"/>
  <c r="I1009" i="6"/>
  <c r="K1011" i="6"/>
  <c r="C1011" i="6"/>
  <c r="G1011" i="6"/>
  <c r="L1011" i="6"/>
  <c r="B1012" i="6"/>
  <c r="M1012" i="6"/>
  <c r="H1016" i="6"/>
  <c r="B1020" i="6"/>
  <c r="N1024" i="6"/>
  <c r="F1024" i="6"/>
  <c r="K1024" i="6"/>
  <c r="C1024" i="6"/>
  <c r="E1024" i="6"/>
  <c r="M1024" i="6"/>
  <c r="B1024" i="6"/>
  <c r="J1024" i="6"/>
  <c r="J1051" i="6"/>
  <c r="B1051" i="6"/>
  <c r="G1051" i="6"/>
  <c r="K1051" i="6"/>
  <c r="I1051" i="6"/>
  <c r="F1051" i="6"/>
  <c r="E1051" i="6"/>
  <c r="N1051" i="6"/>
  <c r="D1051" i="6"/>
  <c r="N1054" i="6"/>
  <c r="F1054" i="6"/>
  <c r="K1054" i="6"/>
  <c r="C1054" i="6"/>
  <c r="D1054" i="6"/>
  <c r="M1054" i="6"/>
  <c r="B1054" i="6"/>
  <c r="J1054" i="6"/>
  <c r="I1054" i="6"/>
  <c r="H1054" i="6"/>
  <c r="G1066" i="6"/>
  <c r="E1086" i="6"/>
  <c r="J1091" i="6"/>
  <c r="B1091" i="6"/>
  <c r="G1091" i="6"/>
  <c r="K1091" i="6"/>
  <c r="I1091" i="6"/>
  <c r="F1091" i="6"/>
  <c r="E1091" i="6"/>
  <c r="N1091" i="6"/>
  <c r="D1091" i="6"/>
  <c r="M1091" i="6"/>
  <c r="C1091" i="6"/>
  <c r="K960" i="6"/>
  <c r="I960" i="6"/>
  <c r="G962" i="6"/>
  <c r="K962" i="6"/>
  <c r="C962" i="6"/>
  <c r="L962" i="6"/>
  <c r="B963" i="6"/>
  <c r="M963" i="6"/>
  <c r="E965" i="6"/>
  <c r="I968" i="6"/>
  <c r="G970" i="6"/>
  <c r="K970" i="6"/>
  <c r="C970" i="6"/>
  <c r="L970" i="6"/>
  <c r="B971" i="6"/>
  <c r="M971" i="6"/>
  <c r="E973" i="6"/>
  <c r="I976" i="6"/>
  <c r="G978" i="6"/>
  <c r="K978" i="6"/>
  <c r="C978" i="6"/>
  <c r="L978" i="6"/>
  <c r="B979" i="6"/>
  <c r="M979" i="6"/>
  <c r="E981" i="6"/>
  <c r="Q982" i="6"/>
  <c r="I984" i="6"/>
  <c r="G986" i="6"/>
  <c r="K986" i="6"/>
  <c r="C986" i="6"/>
  <c r="L986" i="6"/>
  <c r="B987" i="6"/>
  <c r="M987" i="6"/>
  <c r="D988" i="6"/>
  <c r="N988" i="6"/>
  <c r="E989" i="6"/>
  <c r="I992" i="6"/>
  <c r="G994" i="6"/>
  <c r="K994" i="6"/>
  <c r="C994" i="6"/>
  <c r="L994" i="6"/>
  <c r="B995" i="6"/>
  <c r="M995" i="6"/>
  <c r="D996" i="6"/>
  <c r="N996" i="6"/>
  <c r="E997" i="6"/>
  <c r="Q998" i="6"/>
  <c r="I1000" i="6"/>
  <c r="G1002" i="6"/>
  <c r="K1002" i="6"/>
  <c r="C1002" i="6"/>
  <c r="L1002" i="6"/>
  <c r="B1003" i="6"/>
  <c r="M1003" i="6"/>
  <c r="D1004" i="6"/>
  <c r="N1004" i="6"/>
  <c r="E1005" i="6"/>
  <c r="I1008" i="6"/>
  <c r="G1010" i="6"/>
  <c r="K1010" i="6"/>
  <c r="C1010" i="6"/>
  <c r="L1010" i="6"/>
  <c r="B1011" i="6"/>
  <c r="M1011" i="6"/>
  <c r="D1012" i="6"/>
  <c r="N1012" i="6"/>
  <c r="E1013" i="6"/>
  <c r="I1016" i="6"/>
  <c r="D1020" i="6"/>
  <c r="D1024" i="6"/>
  <c r="N1038" i="6"/>
  <c r="F1038" i="6"/>
  <c r="K1038" i="6"/>
  <c r="C1038" i="6"/>
  <c r="D1038" i="6"/>
  <c r="M1038" i="6"/>
  <c r="B1038" i="6"/>
  <c r="J1038" i="6"/>
  <c r="H1038" i="6"/>
  <c r="C1051" i="6"/>
  <c r="E1054" i="6"/>
  <c r="N1058" i="6"/>
  <c r="F1058" i="6"/>
  <c r="K1058" i="6"/>
  <c r="C1058" i="6"/>
  <c r="I1058" i="6"/>
  <c r="H1058" i="6"/>
  <c r="E1058" i="6"/>
  <c r="D1058" i="6"/>
  <c r="M1058" i="6"/>
  <c r="B1058" i="6"/>
  <c r="J1066" i="6"/>
  <c r="N1078" i="6"/>
  <c r="F1078" i="6"/>
  <c r="K1078" i="6"/>
  <c r="C1078" i="6"/>
  <c r="D1078" i="6"/>
  <c r="M1078" i="6"/>
  <c r="B1078" i="6"/>
  <c r="J1078" i="6"/>
  <c r="I1078" i="6"/>
  <c r="H1078" i="6"/>
  <c r="G1078" i="6"/>
  <c r="L1086" i="6"/>
  <c r="H1091" i="6"/>
  <c r="L1143" i="6"/>
  <c r="D1143" i="6"/>
  <c r="H1143" i="6"/>
  <c r="F1143" i="6"/>
  <c r="N1143" i="6"/>
  <c r="E1143" i="6"/>
  <c r="M1143" i="6"/>
  <c r="C1143" i="6"/>
  <c r="K1143" i="6"/>
  <c r="B1143" i="6"/>
  <c r="J1143" i="6"/>
  <c r="I1143" i="6"/>
  <c r="G1143" i="6"/>
  <c r="R1148" i="6"/>
  <c r="K985" i="6"/>
  <c r="C985" i="6"/>
  <c r="G985" i="6"/>
  <c r="L985" i="6"/>
  <c r="E988" i="6"/>
  <c r="K993" i="6"/>
  <c r="C993" i="6"/>
  <c r="G993" i="6"/>
  <c r="L993" i="6"/>
  <c r="E996" i="6"/>
  <c r="K1001" i="6"/>
  <c r="C1001" i="6"/>
  <c r="G1001" i="6"/>
  <c r="L1001" i="6"/>
  <c r="E1004" i="6"/>
  <c r="K1009" i="6"/>
  <c r="C1009" i="6"/>
  <c r="G1009" i="6"/>
  <c r="L1009" i="6"/>
  <c r="E1012" i="6"/>
  <c r="G1020" i="6"/>
  <c r="N1030" i="6"/>
  <c r="F1030" i="6"/>
  <c r="K1030" i="6"/>
  <c r="C1030" i="6"/>
  <c r="D1030" i="6"/>
  <c r="M1030" i="6"/>
  <c r="B1030" i="6"/>
  <c r="J1030" i="6"/>
  <c r="H1030" i="6"/>
  <c r="N1040" i="6"/>
  <c r="F1040" i="6"/>
  <c r="K1040" i="6"/>
  <c r="C1040" i="6"/>
  <c r="G1040" i="6"/>
  <c r="E1040" i="6"/>
  <c r="M1040" i="6"/>
  <c r="B1040" i="6"/>
  <c r="J1040" i="6"/>
  <c r="J1043" i="6"/>
  <c r="B1043" i="6"/>
  <c r="G1043" i="6"/>
  <c r="K1043" i="6"/>
  <c r="I1043" i="6"/>
  <c r="F1043" i="6"/>
  <c r="E1043" i="6"/>
  <c r="N1043" i="6"/>
  <c r="D1043" i="6"/>
  <c r="N1046" i="6"/>
  <c r="F1046" i="6"/>
  <c r="K1046" i="6"/>
  <c r="C1046" i="6"/>
  <c r="D1046" i="6"/>
  <c r="M1046" i="6"/>
  <c r="B1046" i="6"/>
  <c r="J1046" i="6"/>
  <c r="I1046" i="6"/>
  <c r="H1046" i="6"/>
  <c r="L1066" i="6"/>
  <c r="J1075" i="6"/>
  <c r="B1075" i="6"/>
  <c r="G1075" i="6"/>
  <c r="K1075" i="6"/>
  <c r="I1075" i="6"/>
  <c r="F1075" i="6"/>
  <c r="E1075" i="6"/>
  <c r="N1075" i="6"/>
  <c r="D1075" i="6"/>
  <c r="E1078" i="6"/>
  <c r="J1083" i="6"/>
  <c r="B1083" i="6"/>
  <c r="G1083" i="6"/>
  <c r="K1083" i="6"/>
  <c r="I1083" i="6"/>
  <c r="F1083" i="6"/>
  <c r="E1083" i="6"/>
  <c r="N1083" i="6"/>
  <c r="D1083" i="6"/>
  <c r="M1083" i="6"/>
  <c r="C1083" i="6"/>
  <c r="L1091" i="6"/>
  <c r="J1103" i="6"/>
  <c r="B1103" i="6"/>
  <c r="H1103" i="6"/>
  <c r="G1103" i="6"/>
  <c r="L1103" i="6"/>
  <c r="K1103" i="6"/>
  <c r="I1103" i="6"/>
  <c r="F1103" i="6"/>
  <c r="E1103" i="6"/>
  <c r="D1103" i="6"/>
  <c r="N1103" i="6"/>
  <c r="C1103" i="6"/>
  <c r="L1137" i="6"/>
  <c r="D1137" i="6"/>
  <c r="I1137" i="6"/>
  <c r="G1137" i="6"/>
  <c r="F1137" i="6"/>
  <c r="N1137" i="6"/>
  <c r="E1137" i="6"/>
  <c r="M1137" i="6"/>
  <c r="C1137" i="6"/>
  <c r="K1137" i="6"/>
  <c r="J1137" i="6"/>
  <c r="H1137" i="6"/>
  <c r="B1137" i="6"/>
  <c r="E963" i="6"/>
  <c r="H965" i="6"/>
  <c r="G968" i="6"/>
  <c r="K968" i="6"/>
  <c r="C968" i="6"/>
  <c r="L968" i="6"/>
  <c r="E971" i="6"/>
  <c r="H973" i="6"/>
  <c r="G976" i="6"/>
  <c r="K976" i="6"/>
  <c r="C976" i="6"/>
  <c r="L976" i="6"/>
  <c r="E979" i="6"/>
  <c r="H981" i="6"/>
  <c r="G984" i="6"/>
  <c r="K984" i="6"/>
  <c r="C984" i="6"/>
  <c r="L984" i="6"/>
  <c r="B985" i="6"/>
  <c r="M985" i="6"/>
  <c r="E987" i="6"/>
  <c r="F988" i="6"/>
  <c r="H989" i="6"/>
  <c r="G992" i="6"/>
  <c r="K992" i="6"/>
  <c r="C992" i="6"/>
  <c r="L992" i="6"/>
  <c r="B993" i="6"/>
  <c r="M993" i="6"/>
  <c r="E995" i="6"/>
  <c r="F996" i="6"/>
  <c r="H997" i="6"/>
  <c r="G1000" i="6"/>
  <c r="K1000" i="6"/>
  <c r="C1000" i="6"/>
  <c r="L1000" i="6"/>
  <c r="B1001" i="6"/>
  <c r="M1001" i="6"/>
  <c r="E1003" i="6"/>
  <c r="F1004" i="6"/>
  <c r="H1005" i="6"/>
  <c r="G1008" i="6"/>
  <c r="K1008" i="6"/>
  <c r="C1008" i="6"/>
  <c r="L1008" i="6"/>
  <c r="B1009" i="6"/>
  <c r="M1009" i="6"/>
  <c r="E1011" i="6"/>
  <c r="F1012" i="6"/>
  <c r="N1016" i="6"/>
  <c r="G1016" i="6"/>
  <c r="K1016" i="6"/>
  <c r="C1016" i="6"/>
  <c r="L1016" i="6"/>
  <c r="I1020" i="6"/>
  <c r="N1032" i="6"/>
  <c r="F1032" i="6"/>
  <c r="K1032" i="6"/>
  <c r="C1032" i="6"/>
  <c r="G1032" i="6"/>
  <c r="E1032" i="6"/>
  <c r="M1032" i="6"/>
  <c r="B1032" i="6"/>
  <c r="J1032" i="6"/>
  <c r="D1040" i="6"/>
  <c r="C1043" i="6"/>
  <c r="E1046" i="6"/>
  <c r="N1050" i="6"/>
  <c r="F1050" i="6"/>
  <c r="K1050" i="6"/>
  <c r="C1050" i="6"/>
  <c r="I1050" i="6"/>
  <c r="H1050" i="6"/>
  <c r="E1050" i="6"/>
  <c r="D1050" i="6"/>
  <c r="M1050" i="6"/>
  <c r="B1050" i="6"/>
  <c r="L1051" i="6"/>
  <c r="L1054" i="6"/>
  <c r="Q1068" i="6"/>
  <c r="N1082" i="6"/>
  <c r="F1082" i="6"/>
  <c r="K1082" i="6"/>
  <c r="C1082" i="6"/>
  <c r="L1082" i="6"/>
  <c r="N1090" i="6"/>
  <c r="F1090" i="6"/>
  <c r="K1090" i="6"/>
  <c r="C1090" i="6"/>
  <c r="L1090" i="6"/>
  <c r="N1096" i="6"/>
  <c r="F1096" i="6"/>
  <c r="L1096" i="6"/>
  <c r="D1096" i="6"/>
  <c r="K1096" i="6"/>
  <c r="C1096" i="6"/>
  <c r="H1104" i="6"/>
  <c r="J1105" i="6"/>
  <c r="B1105" i="6"/>
  <c r="H1105" i="6"/>
  <c r="G1105" i="6"/>
  <c r="M1105" i="6"/>
  <c r="N1112" i="6"/>
  <c r="F1112" i="6"/>
  <c r="L1112" i="6"/>
  <c r="D1112" i="6"/>
  <c r="K1112" i="6"/>
  <c r="C1112" i="6"/>
  <c r="F1113" i="6"/>
  <c r="H1132" i="6"/>
  <c r="I1132" i="6"/>
  <c r="F1132" i="6"/>
  <c r="N1132" i="6"/>
  <c r="E1132" i="6"/>
  <c r="M1132" i="6"/>
  <c r="D1132" i="6"/>
  <c r="L1132" i="6"/>
  <c r="C1132" i="6"/>
  <c r="P1135" i="6"/>
  <c r="S1135" i="6" s="1"/>
  <c r="H1136" i="6"/>
  <c r="K1136" i="6"/>
  <c r="B1136" i="6"/>
  <c r="I1136" i="6"/>
  <c r="G1136" i="6"/>
  <c r="F1136" i="6"/>
  <c r="N1136" i="6"/>
  <c r="E1136" i="6"/>
  <c r="L1147" i="6"/>
  <c r="D1147" i="6"/>
  <c r="G1147" i="6"/>
  <c r="J1147" i="6"/>
  <c r="H1147" i="6"/>
  <c r="F1147" i="6"/>
  <c r="E1147" i="6"/>
  <c r="N1147" i="6"/>
  <c r="C1147" i="6"/>
  <c r="L1149" i="6"/>
  <c r="D1149" i="6"/>
  <c r="G1149" i="6"/>
  <c r="M1149" i="6"/>
  <c r="B1149" i="6"/>
  <c r="J1149" i="6"/>
  <c r="I1149" i="6"/>
  <c r="H1149" i="6"/>
  <c r="F1149" i="6"/>
  <c r="H1154" i="6"/>
  <c r="K1154" i="6"/>
  <c r="C1154" i="6"/>
  <c r="I1154" i="6"/>
  <c r="F1154" i="6"/>
  <c r="E1154" i="6"/>
  <c r="N1154" i="6"/>
  <c r="D1154" i="6"/>
  <c r="M1154" i="6"/>
  <c r="B1154" i="6"/>
  <c r="L1203" i="6"/>
  <c r="D1203" i="6"/>
  <c r="H1203" i="6"/>
  <c r="G1203" i="6"/>
  <c r="N1203" i="6"/>
  <c r="E1203" i="6"/>
  <c r="M1203" i="6"/>
  <c r="C1203" i="6"/>
  <c r="K1203" i="6"/>
  <c r="B1203" i="6"/>
  <c r="J1203" i="6"/>
  <c r="I1203" i="6"/>
  <c r="F1203" i="6"/>
  <c r="J1017" i="6"/>
  <c r="B1017" i="6"/>
  <c r="G1017" i="6"/>
  <c r="L1017" i="6"/>
  <c r="I1023" i="6"/>
  <c r="J1025" i="6"/>
  <c r="B1025" i="6"/>
  <c r="G1025" i="6"/>
  <c r="L1025" i="6"/>
  <c r="E1028" i="6"/>
  <c r="I1031" i="6"/>
  <c r="J1033" i="6"/>
  <c r="B1033" i="6"/>
  <c r="G1033" i="6"/>
  <c r="L1033" i="6"/>
  <c r="E1036" i="6"/>
  <c r="I1039" i="6"/>
  <c r="J1041" i="6"/>
  <c r="B1041" i="6"/>
  <c r="G1041" i="6"/>
  <c r="L1041" i="6"/>
  <c r="E1044" i="6"/>
  <c r="I1047" i="6"/>
  <c r="J1049" i="6"/>
  <c r="B1049" i="6"/>
  <c r="G1049" i="6"/>
  <c r="L1049" i="6"/>
  <c r="E1052" i="6"/>
  <c r="I1055" i="6"/>
  <c r="J1057" i="6"/>
  <c r="B1057" i="6"/>
  <c r="G1057" i="6"/>
  <c r="L1057" i="6"/>
  <c r="E1060" i="6"/>
  <c r="I1063" i="6"/>
  <c r="J1065" i="6"/>
  <c r="B1065" i="6"/>
  <c r="G1065" i="6"/>
  <c r="L1065" i="6"/>
  <c r="E1068" i="6"/>
  <c r="I1071" i="6"/>
  <c r="J1073" i="6"/>
  <c r="B1073" i="6"/>
  <c r="G1073" i="6"/>
  <c r="L1073" i="6"/>
  <c r="E1076" i="6"/>
  <c r="I1079" i="6"/>
  <c r="J1081" i="6"/>
  <c r="B1081" i="6"/>
  <c r="G1081" i="6"/>
  <c r="L1081" i="6"/>
  <c r="B1082" i="6"/>
  <c r="M1082" i="6"/>
  <c r="E1084" i="6"/>
  <c r="I1087" i="6"/>
  <c r="J1089" i="6"/>
  <c r="B1089" i="6"/>
  <c r="G1089" i="6"/>
  <c r="L1089" i="6"/>
  <c r="B1090" i="6"/>
  <c r="M1090" i="6"/>
  <c r="E1092" i="6"/>
  <c r="B1096" i="6"/>
  <c r="N1098" i="6"/>
  <c r="F1098" i="6"/>
  <c r="L1098" i="6"/>
  <c r="D1098" i="6"/>
  <c r="K1098" i="6"/>
  <c r="C1098" i="6"/>
  <c r="E1101" i="6"/>
  <c r="I1104" i="6"/>
  <c r="C1105" i="6"/>
  <c r="N1105" i="6"/>
  <c r="J1107" i="6"/>
  <c r="B1107" i="6"/>
  <c r="H1107" i="6"/>
  <c r="G1107" i="6"/>
  <c r="M1107" i="6"/>
  <c r="G1108" i="6"/>
  <c r="B1112" i="6"/>
  <c r="I1113" i="6"/>
  <c r="N1114" i="6"/>
  <c r="F1114" i="6"/>
  <c r="L1114" i="6"/>
  <c r="D1114" i="6"/>
  <c r="K1114" i="6"/>
  <c r="C1114" i="6"/>
  <c r="O1114" i="6"/>
  <c r="T1114" i="6" s="1"/>
  <c r="F1115" i="6"/>
  <c r="E1117" i="6"/>
  <c r="I1122" i="6"/>
  <c r="F1125" i="6"/>
  <c r="B1132" i="6"/>
  <c r="C1136" i="6"/>
  <c r="B1147" i="6"/>
  <c r="C1149" i="6"/>
  <c r="G1154" i="6"/>
  <c r="H1162" i="6"/>
  <c r="K1162" i="6"/>
  <c r="C1162" i="6"/>
  <c r="I1162" i="6"/>
  <c r="G1162" i="6"/>
  <c r="F1162" i="6"/>
  <c r="E1162" i="6"/>
  <c r="N1162" i="6"/>
  <c r="D1162" i="6"/>
  <c r="M1162" i="6"/>
  <c r="B1162" i="6"/>
  <c r="N1048" i="6"/>
  <c r="F1048" i="6"/>
  <c r="K1048" i="6"/>
  <c r="C1048" i="6"/>
  <c r="L1048" i="6"/>
  <c r="N1056" i="6"/>
  <c r="F1056" i="6"/>
  <c r="K1056" i="6"/>
  <c r="C1056" i="6"/>
  <c r="L1056" i="6"/>
  <c r="N1064" i="6"/>
  <c r="F1064" i="6"/>
  <c r="K1064" i="6"/>
  <c r="C1064" i="6"/>
  <c r="L1064" i="6"/>
  <c r="N1072" i="6"/>
  <c r="F1072" i="6"/>
  <c r="K1072" i="6"/>
  <c r="C1072" i="6"/>
  <c r="L1072" i="6"/>
  <c r="N1080" i="6"/>
  <c r="F1080" i="6"/>
  <c r="K1080" i="6"/>
  <c r="C1080" i="6"/>
  <c r="L1080" i="6"/>
  <c r="D1082" i="6"/>
  <c r="N1088" i="6"/>
  <c r="F1088" i="6"/>
  <c r="K1088" i="6"/>
  <c r="C1088" i="6"/>
  <c r="L1088" i="6"/>
  <c r="D1090" i="6"/>
  <c r="E1096" i="6"/>
  <c r="N1100" i="6"/>
  <c r="F1100" i="6"/>
  <c r="L1100" i="6"/>
  <c r="D1100" i="6"/>
  <c r="K1100" i="6"/>
  <c r="C1100" i="6"/>
  <c r="J1104" i="6"/>
  <c r="D1105" i="6"/>
  <c r="J1109" i="6"/>
  <c r="B1109" i="6"/>
  <c r="H1109" i="6"/>
  <c r="G1109" i="6"/>
  <c r="M1109" i="6"/>
  <c r="E1112" i="6"/>
  <c r="K1113" i="6"/>
  <c r="N1116" i="6"/>
  <c r="F1116" i="6"/>
  <c r="L1116" i="6"/>
  <c r="D1116" i="6"/>
  <c r="K1116" i="6"/>
  <c r="C1116" i="6"/>
  <c r="H1120" i="6"/>
  <c r="K1120" i="6"/>
  <c r="B1120" i="6"/>
  <c r="I1120" i="6"/>
  <c r="G1120" i="6"/>
  <c r="N1120" i="6"/>
  <c r="G1132" i="6"/>
  <c r="D1136" i="6"/>
  <c r="L1141" i="6"/>
  <c r="D1141" i="6"/>
  <c r="K1141" i="6"/>
  <c r="B1141" i="6"/>
  <c r="I1141" i="6"/>
  <c r="H1141" i="6"/>
  <c r="G1141" i="6"/>
  <c r="F1141" i="6"/>
  <c r="I1147" i="6"/>
  <c r="E1149" i="6"/>
  <c r="J1154" i="6"/>
  <c r="Q1181" i="6"/>
  <c r="R1181" i="6"/>
  <c r="J1023" i="6"/>
  <c r="B1023" i="6"/>
  <c r="G1023" i="6"/>
  <c r="L1023" i="6"/>
  <c r="H1028" i="6"/>
  <c r="J1031" i="6"/>
  <c r="B1031" i="6"/>
  <c r="G1031" i="6"/>
  <c r="L1031" i="6"/>
  <c r="H1036" i="6"/>
  <c r="J1039" i="6"/>
  <c r="B1039" i="6"/>
  <c r="G1039" i="6"/>
  <c r="L1039" i="6"/>
  <c r="H1044" i="6"/>
  <c r="J1047" i="6"/>
  <c r="B1047" i="6"/>
  <c r="G1047" i="6"/>
  <c r="L1047" i="6"/>
  <c r="B1048" i="6"/>
  <c r="M1048" i="6"/>
  <c r="H1052" i="6"/>
  <c r="J1055" i="6"/>
  <c r="B1055" i="6"/>
  <c r="G1055" i="6"/>
  <c r="L1055" i="6"/>
  <c r="B1056" i="6"/>
  <c r="M1056" i="6"/>
  <c r="H1060" i="6"/>
  <c r="J1063" i="6"/>
  <c r="B1063" i="6"/>
  <c r="G1063" i="6"/>
  <c r="L1063" i="6"/>
  <c r="B1064" i="6"/>
  <c r="M1064" i="6"/>
  <c r="H1068" i="6"/>
  <c r="J1071" i="6"/>
  <c r="B1071" i="6"/>
  <c r="G1071" i="6"/>
  <c r="L1071" i="6"/>
  <c r="B1072" i="6"/>
  <c r="M1072" i="6"/>
  <c r="H1076" i="6"/>
  <c r="J1079" i="6"/>
  <c r="B1079" i="6"/>
  <c r="G1079" i="6"/>
  <c r="L1079" i="6"/>
  <c r="B1080" i="6"/>
  <c r="M1080" i="6"/>
  <c r="E1082" i="6"/>
  <c r="H1084" i="6"/>
  <c r="J1087" i="6"/>
  <c r="B1087" i="6"/>
  <c r="G1087" i="6"/>
  <c r="L1087" i="6"/>
  <c r="B1088" i="6"/>
  <c r="M1088" i="6"/>
  <c r="E1090" i="6"/>
  <c r="H1092" i="6"/>
  <c r="J1095" i="6"/>
  <c r="B1095" i="6"/>
  <c r="H1095" i="6"/>
  <c r="G1095" i="6"/>
  <c r="M1095" i="6"/>
  <c r="G1096" i="6"/>
  <c r="B1100" i="6"/>
  <c r="I1101" i="6"/>
  <c r="N1102" i="6"/>
  <c r="F1102" i="6"/>
  <c r="L1102" i="6"/>
  <c r="D1102" i="6"/>
  <c r="K1102" i="6"/>
  <c r="C1102" i="6"/>
  <c r="E1105" i="6"/>
  <c r="I1108" i="6"/>
  <c r="C1109" i="6"/>
  <c r="N1109" i="6"/>
  <c r="J1111" i="6"/>
  <c r="B1111" i="6"/>
  <c r="H1111" i="6"/>
  <c r="G1111" i="6"/>
  <c r="M1111" i="6"/>
  <c r="G1112" i="6"/>
  <c r="B1116" i="6"/>
  <c r="I1117" i="6"/>
  <c r="N1118" i="6"/>
  <c r="F1118" i="6"/>
  <c r="L1118" i="6"/>
  <c r="D1118" i="6"/>
  <c r="K1118" i="6"/>
  <c r="C1118" i="6"/>
  <c r="C1120" i="6"/>
  <c r="J1132" i="6"/>
  <c r="J1136" i="6"/>
  <c r="C1141" i="6"/>
  <c r="H1146" i="6"/>
  <c r="K1146" i="6"/>
  <c r="C1146" i="6"/>
  <c r="I1146" i="6"/>
  <c r="F1146" i="6"/>
  <c r="E1146" i="6"/>
  <c r="N1146" i="6"/>
  <c r="D1146" i="6"/>
  <c r="M1146" i="6"/>
  <c r="B1146" i="6"/>
  <c r="K1147" i="6"/>
  <c r="K1149" i="6"/>
  <c r="L1154" i="6"/>
  <c r="H1178" i="6"/>
  <c r="M1178" i="6"/>
  <c r="E1178" i="6"/>
  <c r="K1178" i="6"/>
  <c r="C1178" i="6"/>
  <c r="L1178" i="6"/>
  <c r="J1178" i="6"/>
  <c r="I1178" i="6"/>
  <c r="G1178" i="6"/>
  <c r="F1178" i="6"/>
  <c r="D1178" i="6"/>
  <c r="N1104" i="6"/>
  <c r="F1104" i="6"/>
  <c r="L1104" i="6"/>
  <c r="D1104" i="6"/>
  <c r="K1104" i="6"/>
  <c r="C1104" i="6"/>
  <c r="J1113" i="6"/>
  <c r="B1113" i="6"/>
  <c r="H1113" i="6"/>
  <c r="G1113" i="6"/>
  <c r="M1113" i="6"/>
  <c r="P1156" i="6"/>
  <c r="S1156" i="6" s="1"/>
  <c r="Q1156" i="6"/>
  <c r="P1178" i="6"/>
  <c r="S1178" i="6" s="1"/>
  <c r="R1178" i="6"/>
  <c r="Q1178" i="6"/>
  <c r="J1258" i="6"/>
  <c r="B1258" i="6"/>
  <c r="H1258" i="6"/>
  <c r="N1258" i="6"/>
  <c r="D1258" i="6"/>
  <c r="M1258" i="6"/>
  <c r="C1258" i="6"/>
  <c r="K1258" i="6"/>
  <c r="I1258" i="6"/>
  <c r="G1258" i="6"/>
  <c r="F1258" i="6"/>
  <c r="E1258" i="6"/>
  <c r="F1017" i="6"/>
  <c r="J1021" i="6"/>
  <c r="B1021" i="6"/>
  <c r="G1021" i="6"/>
  <c r="L1021" i="6"/>
  <c r="D1023" i="6"/>
  <c r="N1023" i="6"/>
  <c r="F1025" i="6"/>
  <c r="J1029" i="6"/>
  <c r="B1029" i="6"/>
  <c r="G1029" i="6"/>
  <c r="L1029" i="6"/>
  <c r="D1031" i="6"/>
  <c r="N1031" i="6"/>
  <c r="F1033" i="6"/>
  <c r="J1037" i="6"/>
  <c r="B1037" i="6"/>
  <c r="G1037" i="6"/>
  <c r="L1037" i="6"/>
  <c r="D1039" i="6"/>
  <c r="N1039" i="6"/>
  <c r="F1041" i="6"/>
  <c r="J1045" i="6"/>
  <c r="B1045" i="6"/>
  <c r="G1045" i="6"/>
  <c r="L1045" i="6"/>
  <c r="D1047" i="6"/>
  <c r="N1047" i="6"/>
  <c r="E1048" i="6"/>
  <c r="F1049" i="6"/>
  <c r="J1053" i="6"/>
  <c r="B1053" i="6"/>
  <c r="G1053" i="6"/>
  <c r="L1053" i="6"/>
  <c r="D1055" i="6"/>
  <c r="N1055" i="6"/>
  <c r="E1056" i="6"/>
  <c r="F1057" i="6"/>
  <c r="J1061" i="6"/>
  <c r="B1061" i="6"/>
  <c r="G1061" i="6"/>
  <c r="L1061" i="6"/>
  <c r="D1063" i="6"/>
  <c r="N1063" i="6"/>
  <c r="E1064" i="6"/>
  <c r="F1065" i="6"/>
  <c r="J1069" i="6"/>
  <c r="B1069" i="6"/>
  <c r="G1069" i="6"/>
  <c r="L1069" i="6"/>
  <c r="D1071" i="6"/>
  <c r="N1071" i="6"/>
  <c r="E1072" i="6"/>
  <c r="F1073" i="6"/>
  <c r="J1077" i="6"/>
  <c r="B1077" i="6"/>
  <c r="G1077" i="6"/>
  <c r="L1077" i="6"/>
  <c r="D1079" i="6"/>
  <c r="N1079" i="6"/>
  <c r="E1080" i="6"/>
  <c r="F1081" i="6"/>
  <c r="H1082" i="6"/>
  <c r="J1085" i="6"/>
  <c r="B1085" i="6"/>
  <c r="G1085" i="6"/>
  <c r="L1085" i="6"/>
  <c r="D1087" i="6"/>
  <c r="N1087" i="6"/>
  <c r="E1088" i="6"/>
  <c r="F1089" i="6"/>
  <c r="H1090" i="6"/>
  <c r="J1093" i="6"/>
  <c r="B1093" i="6"/>
  <c r="G1093" i="6"/>
  <c r="L1093" i="6"/>
  <c r="D1095" i="6"/>
  <c r="I1096" i="6"/>
  <c r="H1098" i="6"/>
  <c r="J1099" i="6"/>
  <c r="B1099" i="6"/>
  <c r="H1099" i="6"/>
  <c r="G1099" i="6"/>
  <c r="M1099" i="6"/>
  <c r="G1100" i="6"/>
  <c r="E1102" i="6"/>
  <c r="B1104" i="6"/>
  <c r="I1105" i="6"/>
  <c r="N1106" i="6"/>
  <c r="F1106" i="6"/>
  <c r="L1106" i="6"/>
  <c r="D1106" i="6"/>
  <c r="K1106" i="6"/>
  <c r="C1106" i="6"/>
  <c r="F1107" i="6"/>
  <c r="E1109" i="6"/>
  <c r="D1111" i="6"/>
  <c r="I1112" i="6"/>
  <c r="C1113" i="6"/>
  <c r="N1113" i="6"/>
  <c r="H1114" i="6"/>
  <c r="J1115" i="6"/>
  <c r="B1115" i="6"/>
  <c r="H1115" i="6"/>
  <c r="G1115" i="6"/>
  <c r="M1115" i="6"/>
  <c r="G1116" i="6"/>
  <c r="E1118" i="6"/>
  <c r="E1120" i="6"/>
  <c r="L1121" i="6"/>
  <c r="D1121" i="6"/>
  <c r="I1121" i="6"/>
  <c r="G1121" i="6"/>
  <c r="F1121" i="6"/>
  <c r="N1121" i="6"/>
  <c r="E1121" i="6"/>
  <c r="L1127" i="6"/>
  <c r="D1127" i="6"/>
  <c r="H1127" i="6"/>
  <c r="F1127" i="6"/>
  <c r="N1127" i="6"/>
  <c r="E1127" i="6"/>
  <c r="M1127" i="6"/>
  <c r="C1127" i="6"/>
  <c r="M1136" i="6"/>
  <c r="J1141" i="6"/>
  <c r="L1155" i="6"/>
  <c r="D1155" i="6"/>
  <c r="G1155" i="6"/>
  <c r="J1155" i="6"/>
  <c r="H1155" i="6"/>
  <c r="F1155" i="6"/>
  <c r="E1155" i="6"/>
  <c r="N1155" i="6"/>
  <c r="C1155" i="6"/>
  <c r="N1178" i="6"/>
  <c r="R1195" i="6"/>
  <c r="L1258" i="6"/>
  <c r="N1028" i="6"/>
  <c r="F1028" i="6"/>
  <c r="K1028" i="6"/>
  <c r="C1028" i="6"/>
  <c r="L1028" i="6"/>
  <c r="N1036" i="6"/>
  <c r="F1036" i="6"/>
  <c r="K1036" i="6"/>
  <c r="C1036" i="6"/>
  <c r="L1036" i="6"/>
  <c r="N1044" i="6"/>
  <c r="F1044" i="6"/>
  <c r="K1044" i="6"/>
  <c r="C1044" i="6"/>
  <c r="L1044" i="6"/>
  <c r="G1048" i="6"/>
  <c r="N1052" i="6"/>
  <c r="F1052" i="6"/>
  <c r="K1052" i="6"/>
  <c r="C1052" i="6"/>
  <c r="L1052" i="6"/>
  <c r="G1056" i="6"/>
  <c r="N1060" i="6"/>
  <c r="F1060" i="6"/>
  <c r="K1060" i="6"/>
  <c r="C1060" i="6"/>
  <c r="L1060" i="6"/>
  <c r="G1064" i="6"/>
  <c r="N1068" i="6"/>
  <c r="F1068" i="6"/>
  <c r="K1068" i="6"/>
  <c r="C1068" i="6"/>
  <c r="L1068" i="6"/>
  <c r="G1072" i="6"/>
  <c r="N1076" i="6"/>
  <c r="F1076" i="6"/>
  <c r="K1076" i="6"/>
  <c r="C1076" i="6"/>
  <c r="L1076" i="6"/>
  <c r="G1080" i="6"/>
  <c r="I1082" i="6"/>
  <c r="N1084" i="6"/>
  <c r="F1084" i="6"/>
  <c r="K1084" i="6"/>
  <c r="C1084" i="6"/>
  <c r="L1084" i="6"/>
  <c r="G1088" i="6"/>
  <c r="I1090" i="6"/>
  <c r="N1092" i="6"/>
  <c r="F1092" i="6"/>
  <c r="K1092" i="6"/>
  <c r="C1092" i="6"/>
  <c r="L1092" i="6"/>
  <c r="J1096" i="6"/>
  <c r="H1100" i="6"/>
  <c r="J1101" i="6"/>
  <c r="B1101" i="6"/>
  <c r="H1101" i="6"/>
  <c r="G1101" i="6"/>
  <c r="M1101" i="6"/>
  <c r="E1104" i="6"/>
  <c r="K1105" i="6"/>
  <c r="N1108" i="6"/>
  <c r="F1108" i="6"/>
  <c r="L1108" i="6"/>
  <c r="D1108" i="6"/>
  <c r="S1108" i="6"/>
  <c r="K1108" i="6"/>
  <c r="C1108" i="6"/>
  <c r="F1109" i="6"/>
  <c r="J1112" i="6"/>
  <c r="D1113" i="6"/>
  <c r="H1116" i="6"/>
  <c r="J1117" i="6"/>
  <c r="B1117" i="6"/>
  <c r="H1117" i="6"/>
  <c r="G1117" i="6"/>
  <c r="M1117" i="6"/>
  <c r="F1120" i="6"/>
  <c r="R1121" i="6"/>
  <c r="P1121" i="6"/>
  <c r="S1121" i="6" s="1"/>
  <c r="O1121" i="6"/>
  <c r="T1121" i="6" s="1"/>
  <c r="H1122" i="6"/>
  <c r="G1122" i="6"/>
  <c r="N1122" i="6"/>
  <c r="E1122" i="6"/>
  <c r="M1122" i="6"/>
  <c r="D1122" i="6"/>
  <c r="L1122" i="6"/>
  <c r="C1122" i="6"/>
  <c r="L1125" i="6"/>
  <c r="D1125" i="6"/>
  <c r="K1125" i="6"/>
  <c r="B1125" i="6"/>
  <c r="I1125" i="6"/>
  <c r="H1125" i="6"/>
  <c r="G1125" i="6"/>
  <c r="Q1127" i="6"/>
  <c r="O1127" i="6"/>
  <c r="T1127" i="6" s="1"/>
  <c r="H1138" i="6"/>
  <c r="G1138" i="6"/>
  <c r="N1138" i="6"/>
  <c r="E1138" i="6"/>
  <c r="M1138" i="6"/>
  <c r="D1138" i="6"/>
  <c r="L1138" i="6"/>
  <c r="C1138" i="6"/>
  <c r="K1138" i="6"/>
  <c r="B1138" i="6"/>
  <c r="M1141" i="6"/>
  <c r="L1146" i="6"/>
  <c r="B1155" i="6"/>
  <c r="H1168" i="6"/>
  <c r="M1168" i="6"/>
  <c r="E1168" i="6"/>
  <c r="K1168" i="6"/>
  <c r="C1168" i="6"/>
  <c r="J1168" i="6"/>
  <c r="I1168" i="6"/>
  <c r="G1168" i="6"/>
  <c r="F1168" i="6"/>
  <c r="D1168" i="6"/>
  <c r="B1168" i="6"/>
  <c r="O1178" i="6"/>
  <c r="T1178" i="6" s="1"/>
  <c r="H1184" i="6"/>
  <c r="M1184" i="6"/>
  <c r="E1184" i="6"/>
  <c r="K1184" i="6"/>
  <c r="C1184" i="6"/>
  <c r="J1184" i="6"/>
  <c r="I1184" i="6"/>
  <c r="G1184" i="6"/>
  <c r="F1184" i="6"/>
  <c r="D1184" i="6"/>
  <c r="B1184" i="6"/>
  <c r="J1128" i="6"/>
  <c r="L1133" i="6"/>
  <c r="D1133" i="6"/>
  <c r="J1133" i="6"/>
  <c r="H1144" i="6"/>
  <c r="K1144" i="6"/>
  <c r="J1144" i="6"/>
  <c r="L1145" i="6"/>
  <c r="D1145" i="6"/>
  <c r="G1145" i="6"/>
  <c r="K1145" i="6"/>
  <c r="L1153" i="6"/>
  <c r="D1153" i="6"/>
  <c r="G1153" i="6"/>
  <c r="K1153" i="6"/>
  <c r="F1157" i="6"/>
  <c r="L1161" i="6"/>
  <c r="D1161" i="6"/>
  <c r="G1161" i="6"/>
  <c r="K1161" i="6"/>
  <c r="Q1171" i="6"/>
  <c r="H1174" i="6"/>
  <c r="M1174" i="6"/>
  <c r="E1174" i="6"/>
  <c r="K1174" i="6"/>
  <c r="C1174" i="6"/>
  <c r="N1174" i="6"/>
  <c r="G1182" i="6"/>
  <c r="I1188" i="6"/>
  <c r="J1234" i="6"/>
  <c r="B1234" i="6"/>
  <c r="H1234" i="6"/>
  <c r="N1234" i="6"/>
  <c r="D1234" i="6"/>
  <c r="M1234" i="6"/>
  <c r="C1234" i="6"/>
  <c r="K1234" i="6"/>
  <c r="I1234" i="6"/>
  <c r="G1234" i="6"/>
  <c r="F1234" i="6"/>
  <c r="E1234" i="6"/>
  <c r="L1123" i="6"/>
  <c r="D1123" i="6"/>
  <c r="J1123" i="6"/>
  <c r="B1128" i="6"/>
  <c r="K1128" i="6"/>
  <c r="B1133" i="6"/>
  <c r="K1133" i="6"/>
  <c r="J1134" i="6"/>
  <c r="L1139" i="6"/>
  <c r="D1139" i="6"/>
  <c r="J1139" i="6"/>
  <c r="B1144" i="6"/>
  <c r="L1144" i="6"/>
  <c r="B1145" i="6"/>
  <c r="M1145" i="6"/>
  <c r="H1152" i="6"/>
  <c r="K1152" i="6"/>
  <c r="C1152" i="6"/>
  <c r="L1152" i="6"/>
  <c r="B1153" i="6"/>
  <c r="M1153" i="6"/>
  <c r="H1157" i="6"/>
  <c r="H1160" i="6"/>
  <c r="K1160" i="6"/>
  <c r="C1160" i="6"/>
  <c r="L1160" i="6"/>
  <c r="B1161" i="6"/>
  <c r="M1161" i="6"/>
  <c r="B1174" i="6"/>
  <c r="H1180" i="6"/>
  <c r="M1180" i="6"/>
  <c r="E1180" i="6"/>
  <c r="K1180" i="6"/>
  <c r="C1180" i="6"/>
  <c r="N1180" i="6"/>
  <c r="I1182" i="6"/>
  <c r="J1188" i="6"/>
  <c r="H1192" i="6"/>
  <c r="G1192" i="6"/>
  <c r="M1192" i="6"/>
  <c r="E1192" i="6"/>
  <c r="L1192" i="6"/>
  <c r="D1192" i="6"/>
  <c r="K1192" i="6"/>
  <c r="C1192" i="6"/>
  <c r="H1196" i="6"/>
  <c r="G1196" i="6"/>
  <c r="M1196" i="6"/>
  <c r="E1196" i="6"/>
  <c r="L1196" i="6"/>
  <c r="D1196" i="6"/>
  <c r="K1196" i="6"/>
  <c r="C1196" i="6"/>
  <c r="L1211" i="6"/>
  <c r="D1211" i="6"/>
  <c r="M1211" i="6"/>
  <c r="C1211" i="6"/>
  <c r="K1211" i="6"/>
  <c r="B1211" i="6"/>
  <c r="I1211" i="6"/>
  <c r="H1211" i="6"/>
  <c r="G1211" i="6"/>
  <c r="F1211" i="6"/>
  <c r="N1211" i="6"/>
  <c r="E1211" i="6"/>
  <c r="P1259" i="6"/>
  <c r="S1259" i="6" s="1"/>
  <c r="R1259" i="6"/>
  <c r="B1123" i="6"/>
  <c r="K1123" i="6"/>
  <c r="J1124" i="6"/>
  <c r="C1128" i="6"/>
  <c r="L1128" i="6"/>
  <c r="L1129" i="6"/>
  <c r="D1129" i="6"/>
  <c r="J1129" i="6"/>
  <c r="I1130" i="6"/>
  <c r="C1133" i="6"/>
  <c r="M1133" i="6"/>
  <c r="B1134" i="6"/>
  <c r="K1134" i="6"/>
  <c r="B1139" i="6"/>
  <c r="K1139" i="6"/>
  <c r="J1140" i="6"/>
  <c r="C1144" i="6"/>
  <c r="M1144" i="6"/>
  <c r="C1145" i="6"/>
  <c r="N1145" i="6"/>
  <c r="L1151" i="6"/>
  <c r="D1151" i="6"/>
  <c r="G1151" i="6"/>
  <c r="K1151" i="6"/>
  <c r="B1152" i="6"/>
  <c r="M1152" i="6"/>
  <c r="C1153" i="6"/>
  <c r="N1153" i="6"/>
  <c r="I1157" i="6"/>
  <c r="L1159" i="6"/>
  <c r="D1159" i="6"/>
  <c r="G1159" i="6"/>
  <c r="K1159" i="6"/>
  <c r="B1160" i="6"/>
  <c r="M1160" i="6"/>
  <c r="C1161" i="6"/>
  <c r="N1161" i="6"/>
  <c r="H1170" i="6"/>
  <c r="M1170" i="6"/>
  <c r="E1170" i="6"/>
  <c r="K1170" i="6"/>
  <c r="C1170" i="6"/>
  <c r="N1170" i="6"/>
  <c r="D1174" i="6"/>
  <c r="B1180" i="6"/>
  <c r="J1182" i="6"/>
  <c r="H1186" i="6"/>
  <c r="M1186" i="6"/>
  <c r="E1186" i="6"/>
  <c r="K1186" i="6"/>
  <c r="C1186" i="6"/>
  <c r="N1186" i="6"/>
  <c r="B1192" i="6"/>
  <c r="B1196" i="6"/>
  <c r="Q1197" i="6"/>
  <c r="P1197" i="6"/>
  <c r="S1197" i="6" s="1"/>
  <c r="O1197" i="6"/>
  <c r="T1197" i="6" s="1"/>
  <c r="J1211" i="6"/>
  <c r="J1250" i="6"/>
  <c r="B1250" i="6"/>
  <c r="H1250" i="6"/>
  <c r="N1250" i="6"/>
  <c r="D1250" i="6"/>
  <c r="M1250" i="6"/>
  <c r="C1250" i="6"/>
  <c r="K1250" i="6"/>
  <c r="I1250" i="6"/>
  <c r="G1250" i="6"/>
  <c r="F1250" i="6"/>
  <c r="E1250" i="6"/>
  <c r="L1119" i="6"/>
  <c r="D1119" i="6"/>
  <c r="J1119" i="6"/>
  <c r="C1123" i="6"/>
  <c r="M1123" i="6"/>
  <c r="D1128" i="6"/>
  <c r="M1128" i="6"/>
  <c r="J1130" i="6"/>
  <c r="E1133" i="6"/>
  <c r="N1133" i="6"/>
  <c r="C1134" i="6"/>
  <c r="L1134" i="6"/>
  <c r="L1135" i="6"/>
  <c r="D1135" i="6"/>
  <c r="J1135" i="6"/>
  <c r="C1139" i="6"/>
  <c r="M1139" i="6"/>
  <c r="D1144" i="6"/>
  <c r="N1144" i="6"/>
  <c r="E1145" i="6"/>
  <c r="H1150" i="6"/>
  <c r="K1150" i="6"/>
  <c r="C1150" i="6"/>
  <c r="L1150" i="6"/>
  <c r="D1152" i="6"/>
  <c r="N1152" i="6"/>
  <c r="E1153" i="6"/>
  <c r="H1158" i="6"/>
  <c r="K1158" i="6"/>
  <c r="C1158" i="6"/>
  <c r="L1158" i="6"/>
  <c r="M1159" i="6"/>
  <c r="D1160" i="6"/>
  <c r="N1160" i="6"/>
  <c r="E1161" i="6"/>
  <c r="H1164" i="6"/>
  <c r="M1164" i="6"/>
  <c r="E1164" i="6"/>
  <c r="K1164" i="6"/>
  <c r="C1164" i="6"/>
  <c r="N1164" i="6"/>
  <c r="B1170" i="6"/>
  <c r="Q1173" i="6"/>
  <c r="O1173" i="6"/>
  <c r="T1173" i="6" s="1"/>
  <c r="F1174" i="6"/>
  <c r="H1176" i="6"/>
  <c r="M1176" i="6"/>
  <c r="E1176" i="6"/>
  <c r="K1176" i="6"/>
  <c r="C1176" i="6"/>
  <c r="N1176" i="6"/>
  <c r="D1180" i="6"/>
  <c r="B1186" i="6"/>
  <c r="H1190" i="6"/>
  <c r="M1190" i="6"/>
  <c r="E1190" i="6"/>
  <c r="L1190" i="6"/>
  <c r="D1190" i="6"/>
  <c r="K1190" i="6"/>
  <c r="C1190" i="6"/>
  <c r="F1192" i="6"/>
  <c r="F1196" i="6"/>
  <c r="H1206" i="6"/>
  <c r="L1206" i="6"/>
  <c r="C1206" i="6"/>
  <c r="K1206" i="6"/>
  <c r="B1206" i="6"/>
  <c r="I1206" i="6"/>
  <c r="G1206" i="6"/>
  <c r="F1206" i="6"/>
  <c r="N1206" i="6"/>
  <c r="E1206" i="6"/>
  <c r="H1222" i="6"/>
  <c r="L1222" i="6"/>
  <c r="C1222" i="6"/>
  <c r="K1222" i="6"/>
  <c r="B1222" i="6"/>
  <c r="I1222" i="6"/>
  <c r="G1222" i="6"/>
  <c r="F1222" i="6"/>
  <c r="N1222" i="6"/>
  <c r="E1222" i="6"/>
  <c r="M1222" i="6"/>
  <c r="D1222" i="6"/>
  <c r="J1226" i="6"/>
  <c r="B1226" i="6"/>
  <c r="H1226" i="6"/>
  <c r="N1226" i="6"/>
  <c r="D1226" i="6"/>
  <c r="M1226" i="6"/>
  <c r="C1226" i="6"/>
  <c r="K1226" i="6"/>
  <c r="I1226" i="6"/>
  <c r="G1226" i="6"/>
  <c r="F1226" i="6"/>
  <c r="E1226" i="6"/>
  <c r="L1250" i="6"/>
  <c r="J1268" i="6"/>
  <c r="B1268" i="6"/>
  <c r="H1268" i="6"/>
  <c r="N1268" i="6"/>
  <c r="F1268" i="6"/>
  <c r="D1268" i="6"/>
  <c r="C1268" i="6"/>
  <c r="L1268" i="6"/>
  <c r="K1268" i="6"/>
  <c r="I1268" i="6"/>
  <c r="G1268" i="6"/>
  <c r="E1268" i="6"/>
  <c r="L1157" i="6"/>
  <c r="D1157" i="6"/>
  <c r="G1157" i="6"/>
  <c r="K1157" i="6"/>
  <c r="O1176" i="6"/>
  <c r="T1176" i="6" s="1"/>
  <c r="Q1179" i="6"/>
  <c r="O1179" i="6"/>
  <c r="T1179" i="6" s="1"/>
  <c r="H1182" i="6"/>
  <c r="M1182" i="6"/>
  <c r="E1182" i="6"/>
  <c r="K1182" i="6"/>
  <c r="C1182" i="6"/>
  <c r="N1182" i="6"/>
  <c r="H1188" i="6"/>
  <c r="M1188" i="6"/>
  <c r="E1188" i="6"/>
  <c r="L1188" i="6"/>
  <c r="D1188" i="6"/>
  <c r="K1188" i="6"/>
  <c r="C1188" i="6"/>
  <c r="I1192" i="6"/>
  <c r="I1196" i="6"/>
  <c r="C1119" i="6"/>
  <c r="M1119" i="6"/>
  <c r="F1123" i="6"/>
  <c r="D1124" i="6"/>
  <c r="M1124" i="6"/>
  <c r="J1126" i="6"/>
  <c r="F1128" i="6"/>
  <c r="E1129" i="6"/>
  <c r="N1129" i="6"/>
  <c r="C1130" i="6"/>
  <c r="L1130" i="6"/>
  <c r="L1131" i="6"/>
  <c r="D1131" i="6"/>
  <c r="J1131" i="6"/>
  <c r="G1133" i="6"/>
  <c r="E1134" i="6"/>
  <c r="N1134" i="6"/>
  <c r="C1135" i="6"/>
  <c r="M1135" i="6"/>
  <c r="F1139" i="6"/>
  <c r="D1140" i="6"/>
  <c r="M1140" i="6"/>
  <c r="J1142" i="6"/>
  <c r="F1144" i="6"/>
  <c r="H1145" i="6"/>
  <c r="H1148" i="6"/>
  <c r="K1148" i="6"/>
  <c r="C1148" i="6"/>
  <c r="L1148" i="6"/>
  <c r="D1150" i="6"/>
  <c r="N1150" i="6"/>
  <c r="E1151" i="6"/>
  <c r="F1152" i="6"/>
  <c r="H1153" i="6"/>
  <c r="H1156" i="6"/>
  <c r="K1156" i="6"/>
  <c r="C1156" i="6"/>
  <c r="L1156" i="6"/>
  <c r="B1157" i="6"/>
  <c r="M1157" i="6"/>
  <c r="D1158" i="6"/>
  <c r="N1158" i="6"/>
  <c r="E1159" i="6"/>
  <c r="F1160" i="6"/>
  <c r="H1161" i="6"/>
  <c r="D1164" i="6"/>
  <c r="H1166" i="6"/>
  <c r="M1166" i="6"/>
  <c r="E1166" i="6"/>
  <c r="K1166" i="6"/>
  <c r="C1166" i="6"/>
  <c r="N1166" i="6"/>
  <c r="F1170" i="6"/>
  <c r="H1172" i="6"/>
  <c r="M1172" i="6"/>
  <c r="E1172" i="6"/>
  <c r="K1172" i="6"/>
  <c r="C1172" i="6"/>
  <c r="N1172" i="6"/>
  <c r="P1173" i="6"/>
  <c r="S1173" i="6" s="1"/>
  <c r="I1174" i="6"/>
  <c r="D1176" i="6"/>
  <c r="Q1176" i="6"/>
  <c r="G1180" i="6"/>
  <c r="B1182" i="6"/>
  <c r="F1186" i="6"/>
  <c r="B1188" i="6"/>
  <c r="F1190" i="6"/>
  <c r="J1192" i="6"/>
  <c r="H1194" i="6"/>
  <c r="G1194" i="6"/>
  <c r="M1194" i="6"/>
  <c r="E1194" i="6"/>
  <c r="L1194" i="6"/>
  <c r="D1194" i="6"/>
  <c r="K1194" i="6"/>
  <c r="C1194" i="6"/>
  <c r="J1196" i="6"/>
  <c r="H1198" i="6"/>
  <c r="G1198" i="6"/>
  <c r="M1198" i="6"/>
  <c r="E1198" i="6"/>
  <c r="L1198" i="6"/>
  <c r="D1198" i="6"/>
  <c r="K1198" i="6"/>
  <c r="C1198" i="6"/>
  <c r="J1206" i="6"/>
  <c r="R1221" i="6"/>
  <c r="Q1221" i="6"/>
  <c r="P1221" i="6"/>
  <c r="S1221" i="6" s="1"/>
  <c r="O1221" i="6"/>
  <c r="T1221" i="6" s="1"/>
  <c r="J1242" i="6"/>
  <c r="B1242" i="6"/>
  <c r="H1242" i="6"/>
  <c r="N1242" i="6"/>
  <c r="D1242" i="6"/>
  <c r="M1242" i="6"/>
  <c r="C1242" i="6"/>
  <c r="K1242" i="6"/>
  <c r="I1242" i="6"/>
  <c r="G1242" i="6"/>
  <c r="F1242" i="6"/>
  <c r="E1242" i="6"/>
  <c r="J1208" i="6"/>
  <c r="L1213" i="6"/>
  <c r="D1213" i="6"/>
  <c r="J1213" i="6"/>
  <c r="N1231" i="6"/>
  <c r="F1231" i="6"/>
  <c r="L1231" i="6"/>
  <c r="D1231" i="6"/>
  <c r="K1231" i="6"/>
  <c r="N1239" i="6"/>
  <c r="F1239" i="6"/>
  <c r="L1239" i="6"/>
  <c r="D1239" i="6"/>
  <c r="K1239" i="6"/>
  <c r="N1247" i="6"/>
  <c r="F1247" i="6"/>
  <c r="L1247" i="6"/>
  <c r="D1247" i="6"/>
  <c r="K1247" i="6"/>
  <c r="N1255" i="6"/>
  <c r="F1255" i="6"/>
  <c r="L1255" i="6"/>
  <c r="D1255" i="6"/>
  <c r="K1255" i="6"/>
  <c r="N1263" i="6"/>
  <c r="F1263" i="6"/>
  <c r="L1263" i="6"/>
  <c r="D1263" i="6"/>
  <c r="K1263" i="6"/>
  <c r="M1363" i="6"/>
  <c r="E1363" i="6"/>
  <c r="L1363" i="6"/>
  <c r="D1363" i="6"/>
  <c r="N1363" i="6"/>
  <c r="B1363" i="6"/>
  <c r="J1363" i="6"/>
  <c r="I1363" i="6"/>
  <c r="H1363" i="6"/>
  <c r="G1363" i="6"/>
  <c r="F1363" i="6"/>
  <c r="K1363" i="6"/>
  <c r="C1363" i="6"/>
  <c r="B1208" i="6"/>
  <c r="K1208" i="6"/>
  <c r="B1213" i="6"/>
  <c r="K1213" i="6"/>
  <c r="J1214" i="6"/>
  <c r="L1219" i="6"/>
  <c r="D1219" i="6"/>
  <c r="J1219" i="6"/>
  <c r="J1230" i="6"/>
  <c r="B1230" i="6"/>
  <c r="H1230" i="6"/>
  <c r="L1230" i="6"/>
  <c r="B1231" i="6"/>
  <c r="M1231" i="6"/>
  <c r="J1238" i="6"/>
  <c r="B1238" i="6"/>
  <c r="H1238" i="6"/>
  <c r="L1238" i="6"/>
  <c r="B1239" i="6"/>
  <c r="M1239" i="6"/>
  <c r="J1246" i="6"/>
  <c r="B1246" i="6"/>
  <c r="H1246" i="6"/>
  <c r="L1246" i="6"/>
  <c r="B1247" i="6"/>
  <c r="M1247" i="6"/>
  <c r="J1254" i="6"/>
  <c r="B1254" i="6"/>
  <c r="H1254" i="6"/>
  <c r="L1254" i="6"/>
  <c r="B1255" i="6"/>
  <c r="M1255" i="6"/>
  <c r="J1262" i="6"/>
  <c r="B1262" i="6"/>
  <c r="H1262" i="6"/>
  <c r="L1262" i="6"/>
  <c r="B1263" i="6"/>
  <c r="M1263" i="6"/>
  <c r="N1267" i="6"/>
  <c r="F1267" i="6"/>
  <c r="L1267" i="6"/>
  <c r="D1267" i="6"/>
  <c r="J1267" i="6"/>
  <c r="B1267" i="6"/>
  <c r="Q1281" i="6"/>
  <c r="G1163" i="6"/>
  <c r="G1165" i="6"/>
  <c r="G1167" i="6"/>
  <c r="F1201" i="6"/>
  <c r="J1204" i="6"/>
  <c r="C1208" i="6"/>
  <c r="L1208" i="6"/>
  <c r="L1209" i="6"/>
  <c r="D1209" i="6"/>
  <c r="J1209" i="6"/>
  <c r="I1210" i="6"/>
  <c r="E1212" i="6"/>
  <c r="N1212" i="6"/>
  <c r="C1213" i="6"/>
  <c r="M1213" i="6"/>
  <c r="B1214" i="6"/>
  <c r="K1214" i="6"/>
  <c r="F1217" i="6"/>
  <c r="B1219" i="6"/>
  <c r="K1219" i="6"/>
  <c r="J1220" i="6"/>
  <c r="O1223" i="6"/>
  <c r="T1223" i="6" s="1"/>
  <c r="N1229" i="6"/>
  <c r="F1229" i="6"/>
  <c r="L1229" i="6"/>
  <c r="D1229" i="6"/>
  <c r="K1229" i="6"/>
  <c r="C1230" i="6"/>
  <c r="M1230" i="6"/>
  <c r="C1231" i="6"/>
  <c r="N1237" i="6"/>
  <c r="F1237" i="6"/>
  <c r="L1237" i="6"/>
  <c r="D1237" i="6"/>
  <c r="K1237" i="6"/>
  <c r="C1238" i="6"/>
  <c r="M1238" i="6"/>
  <c r="C1239" i="6"/>
  <c r="N1245" i="6"/>
  <c r="F1245" i="6"/>
  <c r="L1245" i="6"/>
  <c r="D1245" i="6"/>
  <c r="K1245" i="6"/>
  <c r="C1246" i="6"/>
  <c r="M1246" i="6"/>
  <c r="C1247" i="6"/>
  <c r="N1253" i="6"/>
  <c r="F1253" i="6"/>
  <c r="L1253" i="6"/>
  <c r="D1253" i="6"/>
  <c r="K1253" i="6"/>
  <c r="C1254" i="6"/>
  <c r="M1254" i="6"/>
  <c r="C1255" i="6"/>
  <c r="N1261" i="6"/>
  <c r="F1261" i="6"/>
  <c r="L1261" i="6"/>
  <c r="D1261" i="6"/>
  <c r="K1261" i="6"/>
  <c r="C1262" i="6"/>
  <c r="M1262" i="6"/>
  <c r="C1263" i="6"/>
  <c r="C1267" i="6"/>
  <c r="N1269" i="6"/>
  <c r="F1269" i="6"/>
  <c r="L1269" i="6"/>
  <c r="D1269" i="6"/>
  <c r="J1269" i="6"/>
  <c r="B1269" i="6"/>
  <c r="M1273" i="6"/>
  <c r="E1273" i="6"/>
  <c r="L1273" i="6"/>
  <c r="D1273" i="6"/>
  <c r="K1273" i="6"/>
  <c r="B1273" i="6"/>
  <c r="I1273" i="6"/>
  <c r="M1331" i="6"/>
  <c r="E1331" i="6"/>
  <c r="L1331" i="6"/>
  <c r="D1331" i="6"/>
  <c r="N1331" i="6"/>
  <c r="B1331" i="6"/>
  <c r="J1331" i="6"/>
  <c r="I1331" i="6"/>
  <c r="H1331" i="6"/>
  <c r="G1331" i="6"/>
  <c r="F1331" i="6"/>
  <c r="K1331" i="6"/>
  <c r="C1331" i="6"/>
  <c r="L1199" i="6"/>
  <c r="D1199" i="6"/>
  <c r="J1199" i="6"/>
  <c r="G1201" i="6"/>
  <c r="D1208" i="6"/>
  <c r="M1208" i="6"/>
  <c r="J1210" i="6"/>
  <c r="F1212" i="6"/>
  <c r="E1213" i="6"/>
  <c r="N1213" i="6"/>
  <c r="C1214" i="6"/>
  <c r="L1214" i="6"/>
  <c r="L1215" i="6"/>
  <c r="D1215" i="6"/>
  <c r="J1215" i="6"/>
  <c r="G1217" i="6"/>
  <c r="C1219" i="6"/>
  <c r="M1219" i="6"/>
  <c r="P1223" i="6"/>
  <c r="S1223" i="6" s="1"/>
  <c r="J1228" i="6"/>
  <c r="B1228" i="6"/>
  <c r="H1228" i="6"/>
  <c r="L1228" i="6"/>
  <c r="D1230" i="6"/>
  <c r="N1230" i="6"/>
  <c r="E1231" i="6"/>
  <c r="J1236" i="6"/>
  <c r="B1236" i="6"/>
  <c r="H1236" i="6"/>
  <c r="L1236" i="6"/>
  <c r="D1238" i="6"/>
  <c r="N1238" i="6"/>
  <c r="E1239" i="6"/>
  <c r="J1244" i="6"/>
  <c r="B1244" i="6"/>
  <c r="H1244" i="6"/>
  <c r="L1244" i="6"/>
  <c r="D1246" i="6"/>
  <c r="N1246" i="6"/>
  <c r="E1247" i="6"/>
  <c r="J1252" i="6"/>
  <c r="B1252" i="6"/>
  <c r="H1252" i="6"/>
  <c r="L1252" i="6"/>
  <c r="D1254" i="6"/>
  <c r="N1254" i="6"/>
  <c r="E1255" i="6"/>
  <c r="J1260" i="6"/>
  <c r="B1260" i="6"/>
  <c r="H1260" i="6"/>
  <c r="L1260" i="6"/>
  <c r="D1262" i="6"/>
  <c r="N1262" i="6"/>
  <c r="E1263" i="6"/>
  <c r="E1267" i="6"/>
  <c r="I1163" i="6"/>
  <c r="I1165" i="6"/>
  <c r="I1167" i="6"/>
  <c r="I1169" i="6"/>
  <c r="I1171" i="6"/>
  <c r="I1173" i="6"/>
  <c r="I1175" i="6"/>
  <c r="I1177" i="6"/>
  <c r="I1179" i="6"/>
  <c r="I1181" i="6"/>
  <c r="I1183" i="6"/>
  <c r="I1185" i="6"/>
  <c r="I1187" i="6"/>
  <c r="I1189" i="6"/>
  <c r="I1191" i="6"/>
  <c r="I1193" i="6"/>
  <c r="I1195" i="6"/>
  <c r="I1197" i="6"/>
  <c r="B1199" i="6"/>
  <c r="K1199" i="6"/>
  <c r="J1200" i="6"/>
  <c r="C1204" i="6"/>
  <c r="L1204" i="6"/>
  <c r="L1205" i="6"/>
  <c r="D1205" i="6"/>
  <c r="J1205" i="6"/>
  <c r="E1208" i="6"/>
  <c r="N1208" i="6"/>
  <c r="C1209" i="6"/>
  <c r="M1209" i="6"/>
  <c r="B1210" i="6"/>
  <c r="K1210" i="6"/>
  <c r="G1212" i="6"/>
  <c r="F1213" i="6"/>
  <c r="D1214" i="6"/>
  <c r="M1214" i="6"/>
  <c r="B1215" i="6"/>
  <c r="K1215" i="6"/>
  <c r="J1216" i="6"/>
  <c r="E1219" i="6"/>
  <c r="N1219" i="6"/>
  <c r="C1220" i="6"/>
  <c r="L1220" i="6"/>
  <c r="L1221" i="6"/>
  <c r="D1221" i="6"/>
  <c r="J1221" i="6"/>
  <c r="N1227" i="6"/>
  <c r="F1227" i="6"/>
  <c r="L1227" i="6"/>
  <c r="D1227" i="6"/>
  <c r="K1227" i="6"/>
  <c r="C1228" i="6"/>
  <c r="M1228" i="6"/>
  <c r="C1229" i="6"/>
  <c r="E1230" i="6"/>
  <c r="G1231" i="6"/>
  <c r="N1235" i="6"/>
  <c r="F1235" i="6"/>
  <c r="L1235" i="6"/>
  <c r="D1235" i="6"/>
  <c r="K1235" i="6"/>
  <c r="C1236" i="6"/>
  <c r="M1236" i="6"/>
  <c r="C1237" i="6"/>
  <c r="E1238" i="6"/>
  <c r="G1239" i="6"/>
  <c r="N1243" i="6"/>
  <c r="F1243" i="6"/>
  <c r="L1243" i="6"/>
  <c r="D1243" i="6"/>
  <c r="K1243" i="6"/>
  <c r="C1244" i="6"/>
  <c r="M1244" i="6"/>
  <c r="C1245" i="6"/>
  <c r="E1246" i="6"/>
  <c r="G1247" i="6"/>
  <c r="N1251" i="6"/>
  <c r="F1251" i="6"/>
  <c r="L1251" i="6"/>
  <c r="D1251" i="6"/>
  <c r="K1251" i="6"/>
  <c r="C1252" i="6"/>
  <c r="M1252" i="6"/>
  <c r="C1253" i="6"/>
  <c r="E1254" i="6"/>
  <c r="G1255" i="6"/>
  <c r="I1257" i="6"/>
  <c r="N1259" i="6"/>
  <c r="F1259" i="6"/>
  <c r="L1259" i="6"/>
  <c r="D1259" i="6"/>
  <c r="K1259" i="6"/>
  <c r="C1260" i="6"/>
  <c r="M1260" i="6"/>
  <c r="C1261" i="6"/>
  <c r="E1262" i="6"/>
  <c r="G1263" i="6"/>
  <c r="J1266" i="6"/>
  <c r="B1266" i="6"/>
  <c r="H1266" i="6"/>
  <c r="N1266" i="6"/>
  <c r="F1266" i="6"/>
  <c r="M1266" i="6"/>
  <c r="G1267" i="6"/>
  <c r="E1269" i="6"/>
  <c r="F1273" i="6"/>
  <c r="M1347" i="6"/>
  <c r="E1347" i="6"/>
  <c r="L1347" i="6"/>
  <c r="D1347" i="6"/>
  <c r="N1347" i="6"/>
  <c r="B1347" i="6"/>
  <c r="J1347" i="6"/>
  <c r="I1347" i="6"/>
  <c r="H1347" i="6"/>
  <c r="G1347" i="6"/>
  <c r="F1347" i="6"/>
  <c r="K1347" i="6"/>
  <c r="C1347" i="6"/>
  <c r="L1201" i="6"/>
  <c r="D1201" i="6"/>
  <c r="J1201" i="6"/>
  <c r="G1208" i="6"/>
  <c r="J1212" i="6"/>
  <c r="H1213" i="6"/>
  <c r="F1214" i="6"/>
  <c r="L1217" i="6"/>
  <c r="D1217" i="6"/>
  <c r="J1217" i="6"/>
  <c r="G1219" i="6"/>
  <c r="E1220" i="6"/>
  <c r="N1220" i="6"/>
  <c r="C1221" i="6"/>
  <c r="M1221" i="6"/>
  <c r="N1225" i="6"/>
  <c r="F1225" i="6"/>
  <c r="L1225" i="6"/>
  <c r="D1225" i="6"/>
  <c r="K1225" i="6"/>
  <c r="C1227" i="6"/>
  <c r="E1228" i="6"/>
  <c r="G1229" i="6"/>
  <c r="G1230" i="6"/>
  <c r="I1231" i="6"/>
  <c r="N1233" i="6"/>
  <c r="F1233" i="6"/>
  <c r="L1233" i="6"/>
  <c r="D1233" i="6"/>
  <c r="K1233" i="6"/>
  <c r="C1235" i="6"/>
  <c r="E1236" i="6"/>
  <c r="G1237" i="6"/>
  <c r="G1238" i="6"/>
  <c r="I1239" i="6"/>
  <c r="N1241" i="6"/>
  <c r="F1241" i="6"/>
  <c r="L1241" i="6"/>
  <c r="D1241" i="6"/>
  <c r="K1241" i="6"/>
  <c r="C1243" i="6"/>
  <c r="E1244" i="6"/>
  <c r="G1245" i="6"/>
  <c r="G1246" i="6"/>
  <c r="I1247" i="6"/>
  <c r="N1249" i="6"/>
  <c r="F1249" i="6"/>
  <c r="L1249" i="6"/>
  <c r="D1249" i="6"/>
  <c r="K1249" i="6"/>
  <c r="C1251" i="6"/>
  <c r="E1252" i="6"/>
  <c r="G1253" i="6"/>
  <c r="G1254" i="6"/>
  <c r="I1255" i="6"/>
  <c r="N1257" i="6"/>
  <c r="F1257" i="6"/>
  <c r="L1257" i="6"/>
  <c r="D1257" i="6"/>
  <c r="K1257" i="6"/>
  <c r="C1259" i="6"/>
  <c r="E1260" i="6"/>
  <c r="G1261" i="6"/>
  <c r="G1262" i="6"/>
  <c r="I1263" i="6"/>
  <c r="N1265" i="6"/>
  <c r="F1265" i="6"/>
  <c r="L1265" i="6"/>
  <c r="D1265" i="6"/>
  <c r="K1265" i="6"/>
  <c r="D1266" i="6"/>
  <c r="I1267" i="6"/>
  <c r="H1269" i="6"/>
  <c r="M1271" i="6"/>
  <c r="E1271" i="6"/>
  <c r="I1271" i="6"/>
  <c r="G1271" i="6"/>
  <c r="N1271" i="6"/>
  <c r="D1271" i="6"/>
  <c r="H1273" i="6"/>
  <c r="D1163" i="6"/>
  <c r="L1163" i="6"/>
  <c r="D1165" i="6"/>
  <c r="L1165" i="6"/>
  <c r="D1167" i="6"/>
  <c r="L1167" i="6"/>
  <c r="D1169" i="6"/>
  <c r="L1169" i="6"/>
  <c r="D1171" i="6"/>
  <c r="L1171" i="6"/>
  <c r="D1173" i="6"/>
  <c r="L1173" i="6"/>
  <c r="D1175" i="6"/>
  <c r="L1175" i="6"/>
  <c r="D1177" i="6"/>
  <c r="L1177" i="6"/>
  <c r="D1179" i="6"/>
  <c r="L1179" i="6"/>
  <c r="D1181" i="6"/>
  <c r="L1181" i="6"/>
  <c r="D1183" i="6"/>
  <c r="L1183" i="6"/>
  <c r="D1185" i="6"/>
  <c r="L1185" i="6"/>
  <c r="D1187" i="6"/>
  <c r="L1187" i="6"/>
  <c r="D1189" i="6"/>
  <c r="L1189" i="6"/>
  <c r="D1191" i="6"/>
  <c r="L1191" i="6"/>
  <c r="D1193" i="6"/>
  <c r="L1193" i="6"/>
  <c r="D1195" i="6"/>
  <c r="L1195" i="6"/>
  <c r="D1197" i="6"/>
  <c r="L1197" i="6"/>
  <c r="F1199" i="6"/>
  <c r="D1200" i="6"/>
  <c r="M1200" i="6"/>
  <c r="B1201" i="6"/>
  <c r="K1201" i="6"/>
  <c r="J1202" i="6"/>
  <c r="F1204" i="6"/>
  <c r="E1205" i="6"/>
  <c r="N1205" i="6"/>
  <c r="L1207" i="6"/>
  <c r="D1207" i="6"/>
  <c r="J1207" i="6"/>
  <c r="I1208" i="6"/>
  <c r="G1209" i="6"/>
  <c r="E1210" i="6"/>
  <c r="N1210" i="6"/>
  <c r="B1212" i="6"/>
  <c r="K1212" i="6"/>
  <c r="I1213" i="6"/>
  <c r="G1214" i="6"/>
  <c r="F1215" i="6"/>
  <c r="D1216" i="6"/>
  <c r="M1216" i="6"/>
  <c r="B1217" i="6"/>
  <c r="K1217" i="6"/>
  <c r="J1218" i="6"/>
  <c r="H1219" i="6"/>
  <c r="F1220" i="6"/>
  <c r="O1220" i="6"/>
  <c r="T1220" i="6" s="1"/>
  <c r="E1221" i="6"/>
  <c r="N1221" i="6"/>
  <c r="N1223" i="6"/>
  <c r="L1223" i="6"/>
  <c r="D1223" i="6"/>
  <c r="J1223" i="6"/>
  <c r="J1224" i="6"/>
  <c r="B1224" i="6"/>
  <c r="H1224" i="6"/>
  <c r="L1224" i="6"/>
  <c r="B1225" i="6"/>
  <c r="M1225" i="6"/>
  <c r="E1227" i="6"/>
  <c r="F1228" i="6"/>
  <c r="H1229" i="6"/>
  <c r="I1230" i="6"/>
  <c r="J1231" i="6"/>
  <c r="J1232" i="6"/>
  <c r="B1232" i="6"/>
  <c r="H1232" i="6"/>
  <c r="L1232" i="6"/>
  <c r="B1233" i="6"/>
  <c r="M1233" i="6"/>
  <c r="E1235" i="6"/>
  <c r="F1236" i="6"/>
  <c r="H1237" i="6"/>
  <c r="I1238" i="6"/>
  <c r="J1239" i="6"/>
  <c r="J1240" i="6"/>
  <c r="B1240" i="6"/>
  <c r="H1240" i="6"/>
  <c r="L1240" i="6"/>
  <c r="B1241" i="6"/>
  <c r="M1241" i="6"/>
  <c r="E1243" i="6"/>
  <c r="F1244" i="6"/>
  <c r="H1245" i="6"/>
  <c r="I1246" i="6"/>
  <c r="J1247" i="6"/>
  <c r="J1248" i="6"/>
  <c r="B1248" i="6"/>
  <c r="H1248" i="6"/>
  <c r="L1248" i="6"/>
  <c r="B1249" i="6"/>
  <c r="M1249" i="6"/>
  <c r="E1251" i="6"/>
  <c r="F1252" i="6"/>
  <c r="H1253" i="6"/>
  <c r="I1254" i="6"/>
  <c r="J1255" i="6"/>
  <c r="J1256" i="6"/>
  <c r="B1256" i="6"/>
  <c r="H1256" i="6"/>
  <c r="L1256" i="6"/>
  <c r="B1257" i="6"/>
  <c r="M1257" i="6"/>
  <c r="E1259" i="6"/>
  <c r="F1260" i="6"/>
  <c r="H1261" i="6"/>
  <c r="I1262" i="6"/>
  <c r="J1263" i="6"/>
  <c r="J1264" i="6"/>
  <c r="B1264" i="6"/>
  <c r="H1264" i="6"/>
  <c r="L1264" i="6"/>
  <c r="B1265" i="6"/>
  <c r="M1265" i="6"/>
  <c r="E1266" i="6"/>
  <c r="K1267" i="6"/>
  <c r="I1269" i="6"/>
  <c r="J1273" i="6"/>
  <c r="R1317" i="6"/>
  <c r="P1319" i="6"/>
  <c r="S1319" i="6" s="1"/>
  <c r="M1333" i="6"/>
  <c r="E1333" i="6"/>
  <c r="L1333" i="6"/>
  <c r="D1333" i="6"/>
  <c r="N1333" i="6"/>
  <c r="B1333" i="6"/>
  <c r="J1333" i="6"/>
  <c r="I1333" i="6"/>
  <c r="H1333" i="6"/>
  <c r="G1333" i="6"/>
  <c r="F1333" i="6"/>
  <c r="R1340" i="6"/>
  <c r="M1349" i="6"/>
  <c r="E1349" i="6"/>
  <c r="L1349" i="6"/>
  <c r="D1349" i="6"/>
  <c r="N1349" i="6"/>
  <c r="B1349" i="6"/>
  <c r="J1349" i="6"/>
  <c r="I1349" i="6"/>
  <c r="H1349" i="6"/>
  <c r="G1349" i="6"/>
  <c r="F1349" i="6"/>
  <c r="M1365" i="6"/>
  <c r="E1365" i="6"/>
  <c r="L1365" i="6"/>
  <c r="D1365" i="6"/>
  <c r="N1365" i="6"/>
  <c r="B1365" i="6"/>
  <c r="J1365" i="6"/>
  <c r="I1365" i="6"/>
  <c r="H1365" i="6"/>
  <c r="G1365" i="6"/>
  <c r="F1365" i="6"/>
  <c r="M1335" i="6"/>
  <c r="E1335" i="6"/>
  <c r="L1335" i="6"/>
  <c r="D1335" i="6"/>
  <c r="N1335" i="6"/>
  <c r="B1335" i="6"/>
  <c r="J1335" i="6"/>
  <c r="I1335" i="6"/>
  <c r="H1335" i="6"/>
  <c r="G1335" i="6"/>
  <c r="F1335" i="6"/>
  <c r="O1342" i="6"/>
  <c r="T1342" i="6" s="1"/>
  <c r="M1351" i="6"/>
  <c r="E1351" i="6"/>
  <c r="L1351" i="6"/>
  <c r="D1351" i="6"/>
  <c r="N1351" i="6"/>
  <c r="B1351" i="6"/>
  <c r="J1351" i="6"/>
  <c r="I1351" i="6"/>
  <c r="H1351" i="6"/>
  <c r="G1351" i="6"/>
  <c r="F1351" i="6"/>
  <c r="M1367" i="6"/>
  <c r="E1367" i="6"/>
  <c r="L1367" i="6"/>
  <c r="D1367" i="6"/>
  <c r="N1367" i="6"/>
  <c r="B1367" i="6"/>
  <c r="J1367" i="6"/>
  <c r="I1367" i="6"/>
  <c r="H1367" i="6"/>
  <c r="G1367" i="6"/>
  <c r="F1367" i="6"/>
  <c r="M1337" i="6"/>
  <c r="E1337" i="6"/>
  <c r="L1337" i="6"/>
  <c r="D1337" i="6"/>
  <c r="N1337" i="6"/>
  <c r="B1337" i="6"/>
  <c r="J1337" i="6"/>
  <c r="I1337" i="6"/>
  <c r="H1337" i="6"/>
  <c r="G1337" i="6"/>
  <c r="F1337" i="6"/>
  <c r="M1353" i="6"/>
  <c r="E1353" i="6"/>
  <c r="L1353" i="6"/>
  <c r="D1353" i="6"/>
  <c r="N1353" i="6"/>
  <c r="B1353" i="6"/>
  <c r="J1353" i="6"/>
  <c r="I1353" i="6"/>
  <c r="H1353" i="6"/>
  <c r="G1353" i="6"/>
  <c r="F1353" i="6"/>
  <c r="M1369" i="6"/>
  <c r="E1369" i="6"/>
  <c r="L1369" i="6"/>
  <c r="D1369" i="6"/>
  <c r="N1369" i="6"/>
  <c r="B1369" i="6"/>
  <c r="J1369" i="6"/>
  <c r="I1369" i="6"/>
  <c r="H1369" i="6"/>
  <c r="G1369" i="6"/>
  <c r="F1369" i="6"/>
  <c r="P1274" i="6"/>
  <c r="S1274" i="6" s="1"/>
  <c r="M1275" i="6"/>
  <c r="E1275" i="6"/>
  <c r="L1275" i="6"/>
  <c r="D1275" i="6"/>
  <c r="K1275" i="6"/>
  <c r="M1277" i="6"/>
  <c r="E1277" i="6"/>
  <c r="L1277" i="6"/>
  <c r="D1277" i="6"/>
  <c r="K1277" i="6"/>
  <c r="Q1278" i="6"/>
  <c r="P1278" i="6"/>
  <c r="S1278" i="6" s="1"/>
  <c r="M1279" i="6"/>
  <c r="E1279" i="6"/>
  <c r="L1279" i="6"/>
  <c r="D1279" i="6"/>
  <c r="K1279" i="6"/>
  <c r="P1280" i="6"/>
  <c r="S1280" i="6" s="1"/>
  <c r="M1281" i="6"/>
  <c r="E1281" i="6"/>
  <c r="L1281" i="6"/>
  <c r="D1281" i="6"/>
  <c r="K1281" i="6"/>
  <c r="M1283" i="6"/>
  <c r="E1283" i="6"/>
  <c r="L1283" i="6"/>
  <c r="D1283" i="6"/>
  <c r="K1283" i="6"/>
  <c r="M1285" i="6"/>
  <c r="E1285" i="6"/>
  <c r="L1285" i="6"/>
  <c r="D1285" i="6"/>
  <c r="K1285" i="6"/>
  <c r="M1287" i="6"/>
  <c r="E1287" i="6"/>
  <c r="L1287" i="6"/>
  <c r="D1287" i="6"/>
  <c r="K1287" i="6"/>
  <c r="M1289" i="6"/>
  <c r="E1289" i="6"/>
  <c r="L1289" i="6"/>
  <c r="D1289" i="6"/>
  <c r="K1289" i="6"/>
  <c r="K1335" i="6"/>
  <c r="C1337" i="6"/>
  <c r="M1339" i="6"/>
  <c r="E1339" i="6"/>
  <c r="L1339" i="6"/>
  <c r="D1339" i="6"/>
  <c r="N1339" i="6"/>
  <c r="B1339" i="6"/>
  <c r="J1339" i="6"/>
  <c r="I1339" i="6"/>
  <c r="H1339" i="6"/>
  <c r="G1339" i="6"/>
  <c r="F1339" i="6"/>
  <c r="K1351" i="6"/>
  <c r="C1353" i="6"/>
  <c r="M1355" i="6"/>
  <c r="E1355" i="6"/>
  <c r="L1355" i="6"/>
  <c r="D1355" i="6"/>
  <c r="N1355" i="6"/>
  <c r="B1355" i="6"/>
  <c r="J1355" i="6"/>
  <c r="I1355" i="6"/>
  <c r="H1355" i="6"/>
  <c r="G1355" i="6"/>
  <c r="F1355" i="6"/>
  <c r="K1367" i="6"/>
  <c r="C1369" i="6"/>
  <c r="M1371" i="6"/>
  <c r="E1371" i="6"/>
  <c r="L1371" i="6"/>
  <c r="D1371" i="6"/>
  <c r="N1371" i="6"/>
  <c r="B1371" i="6"/>
  <c r="K1371" i="6"/>
  <c r="J1371" i="6"/>
  <c r="I1371" i="6"/>
  <c r="H1371" i="6"/>
  <c r="G1371" i="6"/>
  <c r="F1371" i="6"/>
  <c r="K1337" i="6"/>
  <c r="M1341" i="6"/>
  <c r="E1341" i="6"/>
  <c r="L1341" i="6"/>
  <c r="D1341" i="6"/>
  <c r="N1341" i="6"/>
  <c r="B1341" i="6"/>
  <c r="J1341" i="6"/>
  <c r="I1341" i="6"/>
  <c r="H1341" i="6"/>
  <c r="G1341" i="6"/>
  <c r="F1341" i="6"/>
  <c r="K1353" i="6"/>
  <c r="M1357" i="6"/>
  <c r="E1357" i="6"/>
  <c r="L1357" i="6"/>
  <c r="D1357" i="6"/>
  <c r="N1357" i="6"/>
  <c r="B1357" i="6"/>
  <c r="J1357" i="6"/>
  <c r="I1357" i="6"/>
  <c r="H1357" i="6"/>
  <c r="G1357" i="6"/>
  <c r="F1357" i="6"/>
  <c r="K1369" i="6"/>
  <c r="O1289" i="6"/>
  <c r="T1289" i="6" s="1"/>
  <c r="M1343" i="6"/>
  <c r="E1343" i="6"/>
  <c r="L1343" i="6"/>
  <c r="D1343" i="6"/>
  <c r="N1343" i="6"/>
  <c r="B1343" i="6"/>
  <c r="J1343" i="6"/>
  <c r="I1343" i="6"/>
  <c r="H1343" i="6"/>
  <c r="G1343" i="6"/>
  <c r="F1343" i="6"/>
  <c r="M1359" i="6"/>
  <c r="E1359" i="6"/>
  <c r="L1359" i="6"/>
  <c r="D1359" i="6"/>
  <c r="N1359" i="6"/>
  <c r="B1359" i="6"/>
  <c r="J1359" i="6"/>
  <c r="I1359" i="6"/>
  <c r="H1359" i="6"/>
  <c r="G1359" i="6"/>
  <c r="F1359" i="6"/>
  <c r="N1423" i="6"/>
  <c r="F1423" i="6"/>
  <c r="M1423" i="6"/>
  <c r="E1423" i="6"/>
  <c r="L1423" i="6"/>
  <c r="D1423" i="6"/>
  <c r="K1423" i="6"/>
  <c r="J1423" i="6"/>
  <c r="I1423" i="6"/>
  <c r="H1423" i="6"/>
  <c r="G1423" i="6"/>
  <c r="C1423" i="6"/>
  <c r="B1423" i="6"/>
  <c r="N1439" i="6"/>
  <c r="F1439" i="6"/>
  <c r="M1439" i="6"/>
  <c r="E1439" i="6"/>
  <c r="L1439" i="6"/>
  <c r="D1439" i="6"/>
  <c r="K1439" i="6"/>
  <c r="J1439" i="6"/>
  <c r="I1439" i="6"/>
  <c r="H1439" i="6"/>
  <c r="G1439" i="6"/>
  <c r="C1439" i="6"/>
  <c r="B1439" i="6"/>
  <c r="O1310" i="6"/>
  <c r="T1310" i="6" s="1"/>
  <c r="Q1336" i="6"/>
  <c r="M1345" i="6"/>
  <c r="E1345" i="6"/>
  <c r="L1345" i="6"/>
  <c r="D1345" i="6"/>
  <c r="N1345" i="6"/>
  <c r="B1345" i="6"/>
  <c r="J1345" i="6"/>
  <c r="I1345" i="6"/>
  <c r="H1345" i="6"/>
  <c r="G1345" i="6"/>
  <c r="F1345" i="6"/>
  <c r="M1361" i="6"/>
  <c r="E1361" i="6"/>
  <c r="L1361" i="6"/>
  <c r="D1361" i="6"/>
  <c r="N1361" i="6"/>
  <c r="B1361" i="6"/>
  <c r="J1361" i="6"/>
  <c r="I1361" i="6"/>
  <c r="H1361" i="6"/>
  <c r="G1361" i="6"/>
  <c r="F1361" i="6"/>
  <c r="Q1368" i="6"/>
  <c r="C1309" i="6"/>
  <c r="K1309" i="6"/>
  <c r="G1310" i="6"/>
  <c r="C1311" i="6"/>
  <c r="K1311" i="6"/>
  <c r="G1312" i="6"/>
  <c r="C1313" i="6"/>
  <c r="K1313" i="6"/>
  <c r="G1314" i="6"/>
  <c r="C1315" i="6"/>
  <c r="K1315" i="6"/>
  <c r="G1316" i="6"/>
  <c r="C1317" i="6"/>
  <c r="K1317" i="6"/>
  <c r="G1318" i="6"/>
  <c r="C1319" i="6"/>
  <c r="K1319" i="6"/>
  <c r="G1320" i="6"/>
  <c r="C1321" i="6"/>
  <c r="K1321" i="6"/>
  <c r="G1322" i="6"/>
  <c r="C1323" i="6"/>
  <c r="K1323" i="6"/>
  <c r="G1324" i="6"/>
  <c r="C1325" i="6"/>
  <c r="K1325" i="6"/>
  <c r="G1326" i="6"/>
  <c r="C1327" i="6"/>
  <c r="K1327" i="6"/>
  <c r="P1328" i="6"/>
  <c r="S1328" i="6" s="1"/>
  <c r="F1329" i="6"/>
  <c r="F1373" i="6"/>
  <c r="F1375" i="6"/>
  <c r="F1377" i="6"/>
  <c r="F1379" i="6"/>
  <c r="F1381" i="6"/>
  <c r="F1383" i="6"/>
  <c r="F1385" i="6"/>
  <c r="F1387" i="6"/>
  <c r="F1389" i="6"/>
  <c r="F1391" i="6"/>
  <c r="F1393" i="6"/>
  <c r="F1395" i="6"/>
  <c r="F1397" i="6"/>
  <c r="F1399" i="6"/>
  <c r="F1401" i="6"/>
  <c r="F1403" i="6"/>
  <c r="F1405" i="6"/>
  <c r="F1407" i="6"/>
  <c r="H1409" i="6"/>
  <c r="C1413" i="6"/>
  <c r="I1415" i="6"/>
  <c r="N1417" i="6"/>
  <c r="F1417" i="6"/>
  <c r="M1417" i="6"/>
  <c r="E1417" i="6"/>
  <c r="L1417" i="6"/>
  <c r="D1417" i="6"/>
  <c r="G1419" i="6"/>
  <c r="H1425" i="6"/>
  <c r="C1429" i="6"/>
  <c r="I1431" i="6"/>
  <c r="N1433" i="6"/>
  <c r="F1433" i="6"/>
  <c r="M1433" i="6"/>
  <c r="E1433" i="6"/>
  <c r="L1433" i="6"/>
  <c r="D1433" i="6"/>
  <c r="G1435" i="6"/>
  <c r="H1441" i="6"/>
  <c r="H1444" i="6"/>
  <c r="H1448" i="6"/>
  <c r="E1452" i="6"/>
  <c r="K1453" i="6"/>
  <c r="C1453" i="6"/>
  <c r="G1453" i="6"/>
  <c r="F1453" i="6"/>
  <c r="N1453" i="6"/>
  <c r="E1453" i="6"/>
  <c r="J1454" i="6"/>
  <c r="L1457" i="6"/>
  <c r="D1458" i="6"/>
  <c r="I1460" i="6"/>
  <c r="I1464" i="6"/>
  <c r="K1465" i="6"/>
  <c r="C1465" i="6"/>
  <c r="N1465" i="6"/>
  <c r="E1465" i="6"/>
  <c r="M1465" i="6"/>
  <c r="D1465" i="6"/>
  <c r="L1465" i="6"/>
  <c r="B1465" i="6"/>
  <c r="J1468" i="6"/>
  <c r="D1291" i="6"/>
  <c r="L1291" i="6"/>
  <c r="D1293" i="6"/>
  <c r="L1293" i="6"/>
  <c r="D1295" i="6"/>
  <c r="L1295" i="6"/>
  <c r="D1297" i="6"/>
  <c r="L1297" i="6"/>
  <c r="D1299" i="6"/>
  <c r="L1299" i="6"/>
  <c r="D1301" i="6"/>
  <c r="L1301" i="6"/>
  <c r="D1303" i="6"/>
  <c r="L1303" i="6"/>
  <c r="D1305" i="6"/>
  <c r="L1305" i="6"/>
  <c r="D1307" i="6"/>
  <c r="L1307" i="6"/>
  <c r="D1309" i="6"/>
  <c r="L1309" i="6"/>
  <c r="D1311" i="6"/>
  <c r="L1311" i="6"/>
  <c r="D1313" i="6"/>
  <c r="L1313" i="6"/>
  <c r="D1315" i="6"/>
  <c r="L1315" i="6"/>
  <c r="D1317" i="6"/>
  <c r="L1317" i="6"/>
  <c r="D1319" i="6"/>
  <c r="L1319" i="6"/>
  <c r="D1321" i="6"/>
  <c r="L1321" i="6"/>
  <c r="D1323" i="6"/>
  <c r="L1323" i="6"/>
  <c r="D1325" i="6"/>
  <c r="L1325" i="6"/>
  <c r="D1327" i="6"/>
  <c r="L1327" i="6"/>
  <c r="G1329" i="6"/>
  <c r="O1372" i="6"/>
  <c r="T1372" i="6" s="1"/>
  <c r="G1373" i="6"/>
  <c r="G1375" i="6"/>
  <c r="G1377" i="6"/>
  <c r="G1379" i="6"/>
  <c r="G1381" i="6"/>
  <c r="G1383" i="6"/>
  <c r="G1385" i="6"/>
  <c r="G1387" i="6"/>
  <c r="G1389" i="6"/>
  <c r="G1391" i="6"/>
  <c r="G1393" i="6"/>
  <c r="G1395" i="6"/>
  <c r="G1397" i="6"/>
  <c r="G1399" i="6"/>
  <c r="G1401" i="6"/>
  <c r="G1403" i="6"/>
  <c r="G1405" i="6"/>
  <c r="G1407" i="6"/>
  <c r="I1409" i="6"/>
  <c r="N1411" i="6"/>
  <c r="F1411" i="6"/>
  <c r="M1411" i="6"/>
  <c r="E1411" i="6"/>
  <c r="L1411" i="6"/>
  <c r="D1411" i="6"/>
  <c r="G1413" i="6"/>
  <c r="J1415" i="6"/>
  <c r="H1419" i="6"/>
  <c r="I1425" i="6"/>
  <c r="N1427" i="6"/>
  <c r="F1427" i="6"/>
  <c r="M1427" i="6"/>
  <c r="E1427" i="6"/>
  <c r="L1427" i="6"/>
  <c r="D1427" i="6"/>
  <c r="G1429" i="6"/>
  <c r="J1431" i="6"/>
  <c r="H1435" i="6"/>
  <c r="I1441" i="6"/>
  <c r="K1443" i="6"/>
  <c r="F1443" i="6"/>
  <c r="N1443" i="6"/>
  <c r="E1443" i="6"/>
  <c r="M1443" i="6"/>
  <c r="D1443" i="6"/>
  <c r="I1444" i="6"/>
  <c r="I1448" i="6"/>
  <c r="K1449" i="6"/>
  <c r="C1449" i="6"/>
  <c r="N1449" i="6"/>
  <c r="E1449" i="6"/>
  <c r="M1449" i="6"/>
  <c r="D1449" i="6"/>
  <c r="L1449" i="6"/>
  <c r="B1449" i="6"/>
  <c r="J1452" i="6"/>
  <c r="P1453" i="6"/>
  <c r="S1453" i="6" s="1"/>
  <c r="R1453" i="6"/>
  <c r="I1458" i="6"/>
  <c r="K1459" i="6"/>
  <c r="C1459" i="6"/>
  <c r="F1459" i="6"/>
  <c r="N1459" i="6"/>
  <c r="E1459" i="6"/>
  <c r="M1459" i="6"/>
  <c r="D1459" i="6"/>
  <c r="J1460" i="6"/>
  <c r="K1463" i="6"/>
  <c r="C1463" i="6"/>
  <c r="H1463" i="6"/>
  <c r="G1463" i="6"/>
  <c r="F1463" i="6"/>
  <c r="N1463" i="6"/>
  <c r="J1464" i="6"/>
  <c r="K1468" i="6"/>
  <c r="E1291" i="6"/>
  <c r="M1291" i="6"/>
  <c r="E1293" i="6"/>
  <c r="M1293" i="6"/>
  <c r="E1295" i="6"/>
  <c r="M1295" i="6"/>
  <c r="E1297" i="6"/>
  <c r="M1297" i="6"/>
  <c r="E1299" i="6"/>
  <c r="M1299" i="6"/>
  <c r="E1301" i="6"/>
  <c r="M1301" i="6"/>
  <c r="E1303" i="6"/>
  <c r="M1303" i="6"/>
  <c r="E1305" i="6"/>
  <c r="M1305" i="6"/>
  <c r="E1307" i="6"/>
  <c r="M1307" i="6"/>
  <c r="E1309" i="6"/>
  <c r="M1309" i="6"/>
  <c r="E1311" i="6"/>
  <c r="M1311" i="6"/>
  <c r="E1313" i="6"/>
  <c r="M1313" i="6"/>
  <c r="E1315" i="6"/>
  <c r="M1315" i="6"/>
  <c r="E1317" i="6"/>
  <c r="M1317" i="6"/>
  <c r="E1319" i="6"/>
  <c r="M1319" i="6"/>
  <c r="E1321" i="6"/>
  <c r="M1321" i="6"/>
  <c r="E1323" i="6"/>
  <c r="M1323" i="6"/>
  <c r="E1325" i="6"/>
  <c r="M1325" i="6"/>
  <c r="E1327" i="6"/>
  <c r="M1327" i="6"/>
  <c r="H1329" i="6"/>
  <c r="H1373" i="6"/>
  <c r="H1375" i="6"/>
  <c r="H1377" i="6"/>
  <c r="H1379" i="6"/>
  <c r="H1381" i="6"/>
  <c r="H1383" i="6"/>
  <c r="H1385" i="6"/>
  <c r="H1387" i="6"/>
  <c r="H1389" i="6"/>
  <c r="H1391" i="6"/>
  <c r="H1393" i="6"/>
  <c r="H1395" i="6"/>
  <c r="H1397" i="6"/>
  <c r="H1399" i="6"/>
  <c r="H1401" i="6"/>
  <c r="H1403" i="6"/>
  <c r="H1405" i="6"/>
  <c r="H1407" i="6"/>
  <c r="B1411" i="6"/>
  <c r="H1413" i="6"/>
  <c r="I1419" i="6"/>
  <c r="N1421" i="6"/>
  <c r="F1421" i="6"/>
  <c r="M1421" i="6"/>
  <c r="E1421" i="6"/>
  <c r="L1421" i="6"/>
  <c r="D1421" i="6"/>
  <c r="B1427" i="6"/>
  <c r="H1429" i="6"/>
  <c r="I1435" i="6"/>
  <c r="N1437" i="6"/>
  <c r="F1437" i="6"/>
  <c r="M1437" i="6"/>
  <c r="E1437" i="6"/>
  <c r="L1437" i="6"/>
  <c r="D1437" i="6"/>
  <c r="O1437" i="6"/>
  <c r="T1437" i="6" s="1"/>
  <c r="B1443" i="6"/>
  <c r="J1444" i="6"/>
  <c r="K1447" i="6"/>
  <c r="C1447" i="6"/>
  <c r="H1447" i="6"/>
  <c r="G1447" i="6"/>
  <c r="F1447" i="6"/>
  <c r="N1447" i="6"/>
  <c r="J1448" i="6"/>
  <c r="F1449" i="6"/>
  <c r="K1457" i="6"/>
  <c r="C1457" i="6"/>
  <c r="I1457" i="6"/>
  <c r="H1457" i="6"/>
  <c r="G1457" i="6"/>
  <c r="N1457" i="6"/>
  <c r="J1458" i="6"/>
  <c r="B1459" i="6"/>
  <c r="B1463" i="6"/>
  <c r="R1480" i="6"/>
  <c r="P1480" i="6"/>
  <c r="S1480" i="6" s="1"/>
  <c r="I1329" i="6"/>
  <c r="I1373" i="6"/>
  <c r="I1375" i="6"/>
  <c r="I1377" i="6"/>
  <c r="I1379" i="6"/>
  <c r="I1381" i="6"/>
  <c r="I1383" i="6"/>
  <c r="I1385" i="6"/>
  <c r="I1387" i="6"/>
  <c r="I1389" i="6"/>
  <c r="I1391" i="6"/>
  <c r="I1393" i="6"/>
  <c r="I1395" i="6"/>
  <c r="I1397" i="6"/>
  <c r="I1399" i="6"/>
  <c r="I1401" i="6"/>
  <c r="I1403" i="6"/>
  <c r="I1405" i="6"/>
  <c r="I1407" i="6"/>
  <c r="N1415" i="6"/>
  <c r="F1415" i="6"/>
  <c r="M1415" i="6"/>
  <c r="E1415" i="6"/>
  <c r="L1415" i="6"/>
  <c r="D1415" i="6"/>
  <c r="J1419" i="6"/>
  <c r="N1431" i="6"/>
  <c r="F1431" i="6"/>
  <c r="M1431" i="6"/>
  <c r="E1431" i="6"/>
  <c r="L1431" i="6"/>
  <c r="D1431" i="6"/>
  <c r="J1435" i="6"/>
  <c r="P1437" i="6"/>
  <c r="S1437" i="6" s="1"/>
  <c r="K1448" i="6"/>
  <c r="G1454" i="6"/>
  <c r="N1454" i="6"/>
  <c r="E1454" i="6"/>
  <c r="M1454" i="6"/>
  <c r="D1454" i="6"/>
  <c r="L1454" i="6"/>
  <c r="C1454" i="6"/>
  <c r="K1458" i="6"/>
  <c r="G1468" i="6"/>
  <c r="I1468" i="6"/>
  <c r="H1468" i="6"/>
  <c r="F1468" i="6"/>
  <c r="M1468" i="6"/>
  <c r="M1492" i="6"/>
  <c r="E1492" i="6"/>
  <c r="F1492" i="6"/>
  <c r="H1492" i="6"/>
  <c r="G1492" i="6"/>
  <c r="D1492" i="6"/>
  <c r="N1492" i="6"/>
  <c r="C1492" i="6"/>
  <c r="L1492" i="6"/>
  <c r="B1492" i="6"/>
  <c r="J1492" i="6"/>
  <c r="M1329" i="6"/>
  <c r="E1329" i="6"/>
  <c r="L1329" i="6"/>
  <c r="J1329" i="6"/>
  <c r="N1409" i="6"/>
  <c r="F1409" i="6"/>
  <c r="M1409" i="6"/>
  <c r="E1409" i="6"/>
  <c r="L1409" i="6"/>
  <c r="D1409" i="6"/>
  <c r="B1415" i="6"/>
  <c r="N1425" i="6"/>
  <c r="F1425" i="6"/>
  <c r="M1425" i="6"/>
  <c r="E1425" i="6"/>
  <c r="L1425" i="6"/>
  <c r="D1425" i="6"/>
  <c r="B1431" i="6"/>
  <c r="N1441" i="6"/>
  <c r="F1441" i="6"/>
  <c r="M1441" i="6"/>
  <c r="E1441" i="6"/>
  <c r="L1441" i="6"/>
  <c r="D1441" i="6"/>
  <c r="G1452" i="6"/>
  <c r="I1452" i="6"/>
  <c r="H1452" i="6"/>
  <c r="F1452" i="6"/>
  <c r="M1452" i="6"/>
  <c r="B1454" i="6"/>
  <c r="G1460" i="6"/>
  <c r="M1460" i="6"/>
  <c r="D1460" i="6"/>
  <c r="L1460" i="6"/>
  <c r="C1460" i="6"/>
  <c r="K1460" i="6"/>
  <c r="B1460" i="6"/>
  <c r="G1464" i="6"/>
  <c r="F1464" i="6"/>
  <c r="N1464" i="6"/>
  <c r="E1464" i="6"/>
  <c r="M1464" i="6"/>
  <c r="D1464" i="6"/>
  <c r="B1468" i="6"/>
  <c r="N1468" i="6"/>
  <c r="Q1489" i="6"/>
  <c r="R1489" i="6"/>
  <c r="P1489" i="6"/>
  <c r="S1489" i="6" s="1"/>
  <c r="O1489" i="6"/>
  <c r="T1489" i="6" s="1"/>
  <c r="I1492" i="6"/>
  <c r="M1373" i="6"/>
  <c r="E1373" i="6"/>
  <c r="L1373" i="6"/>
  <c r="D1373" i="6"/>
  <c r="K1373" i="6"/>
  <c r="M1375" i="6"/>
  <c r="E1375" i="6"/>
  <c r="L1375" i="6"/>
  <c r="D1375" i="6"/>
  <c r="K1375" i="6"/>
  <c r="M1377" i="6"/>
  <c r="E1377" i="6"/>
  <c r="L1377" i="6"/>
  <c r="D1377" i="6"/>
  <c r="K1377" i="6"/>
  <c r="M1379" i="6"/>
  <c r="E1379" i="6"/>
  <c r="L1379" i="6"/>
  <c r="D1379" i="6"/>
  <c r="K1379" i="6"/>
  <c r="M1381" i="6"/>
  <c r="E1381" i="6"/>
  <c r="L1381" i="6"/>
  <c r="D1381" i="6"/>
  <c r="K1381" i="6"/>
  <c r="M1383" i="6"/>
  <c r="E1383" i="6"/>
  <c r="L1383" i="6"/>
  <c r="D1383" i="6"/>
  <c r="K1383" i="6"/>
  <c r="M1385" i="6"/>
  <c r="E1385" i="6"/>
  <c r="L1385" i="6"/>
  <c r="D1385" i="6"/>
  <c r="K1385" i="6"/>
  <c r="M1387" i="6"/>
  <c r="E1387" i="6"/>
  <c r="L1387" i="6"/>
  <c r="D1387" i="6"/>
  <c r="K1387" i="6"/>
  <c r="M1389" i="6"/>
  <c r="E1389" i="6"/>
  <c r="L1389" i="6"/>
  <c r="D1389" i="6"/>
  <c r="K1389" i="6"/>
  <c r="M1391" i="6"/>
  <c r="E1391" i="6"/>
  <c r="L1391" i="6"/>
  <c r="D1391" i="6"/>
  <c r="K1391" i="6"/>
  <c r="M1393" i="6"/>
  <c r="E1393" i="6"/>
  <c r="L1393" i="6"/>
  <c r="D1393" i="6"/>
  <c r="K1393" i="6"/>
  <c r="M1395" i="6"/>
  <c r="E1395" i="6"/>
  <c r="L1395" i="6"/>
  <c r="D1395" i="6"/>
  <c r="K1395" i="6"/>
  <c r="M1397" i="6"/>
  <c r="E1397" i="6"/>
  <c r="L1397" i="6"/>
  <c r="D1397" i="6"/>
  <c r="K1397" i="6"/>
  <c r="M1399" i="6"/>
  <c r="E1399" i="6"/>
  <c r="L1399" i="6"/>
  <c r="D1399" i="6"/>
  <c r="K1399" i="6"/>
  <c r="M1401" i="6"/>
  <c r="E1401" i="6"/>
  <c r="L1401" i="6"/>
  <c r="D1401" i="6"/>
  <c r="K1401" i="6"/>
  <c r="M1403" i="6"/>
  <c r="E1403" i="6"/>
  <c r="L1403" i="6"/>
  <c r="D1403" i="6"/>
  <c r="K1403" i="6"/>
  <c r="M1405" i="6"/>
  <c r="E1405" i="6"/>
  <c r="L1405" i="6"/>
  <c r="D1405" i="6"/>
  <c r="K1405" i="6"/>
  <c r="M1407" i="6"/>
  <c r="E1407" i="6"/>
  <c r="L1407" i="6"/>
  <c r="D1407" i="6"/>
  <c r="K1407" i="6"/>
  <c r="P1409" i="6"/>
  <c r="S1409" i="6" s="1"/>
  <c r="N1419" i="6"/>
  <c r="F1419" i="6"/>
  <c r="M1419" i="6"/>
  <c r="E1419" i="6"/>
  <c r="L1419" i="6"/>
  <c r="D1419" i="6"/>
  <c r="N1435" i="6"/>
  <c r="F1435" i="6"/>
  <c r="M1435" i="6"/>
  <c r="E1435" i="6"/>
  <c r="L1435" i="6"/>
  <c r="D1435" i="6"/>
  <c r="G1444" i="6"/>
  <c r="M1444" i="6"/>
  <c r="D1444" i="6"/>
  <c r="L1444" i="6"/>
  <c r="C1444" i="6"/>
  <c r="K1444" i="6"/>
  <c r="B1444" i="6"/>
  <c r="G1448" i="6"/>
  <c r="F1448" i="6"/>
  <c r="N1448" i="6"/>
  <c r="E1448" i="6"/>
  <c r="M1448" i="6"/>
  <c r="D1448" i="6"/>
  <c r="G1458" i="6"/>
  <c r="H1458" i="6"/>
  <c r="F1458" i="6"/>
  <c r="N1458" i="6"/>
  <c r="E1458" i="6"/>
  <c r="M1458" i="6"/>
  <c r="R1464" i="6"/>
  <c r="C1329" i="6"/>
  <c r="N1329" i="6"/>
  <c r="B1373" i="6"/>
  <c r="N1373" i="6"/>
  <c r="B1375" i="6"/>
  <c r="N1375" i="6"/>
  <c r="B1377" i="6"/>
  <c r="N1377" i="6"/>
  <c r="B1379" i="6"/>
  <c r="N1379" i="6"/>
  <c r="B1381" i="6"/>
  <c r="N1381" i="6"/>
  <c r="B1383" i="6"/>
  <c r="N1383" i="6"/>
  <c r="B1385" i="6"/>
  <c r="N1385" i="6"/>
  <c r="B1387" i="6"/>
  <c r="N1387" i="6"/>
  <c r="B1389" i="6"/>
  <c r="N1389" i="6"/>
  <c r="B1391" i="6"/>
  <c r="N1391" i="6"/>
  <c r="B1393" i="6"/>
  <c r="N1393" i="6"/>
  <c r="B1395" i="6"/>
  <c r="N1395" i="6"/>
  <c r="B1397" i="6"/>
  <c r="N1397" i="6"/>
  <c r="B1399" i="6"/>
  <c r="N1399" i="6"/>
  <c r="B1401" i="6"/>
  <c r="N1401" i="6"/>
  <c r="B1403" i="6"/>
  <c r="N1403" i="6"/>
  <c r="B1405" i="6"/>
  <c r="N1405" i="6"/>
  <c r="B1407" i="6"/>
  <c r="N1407" i="6"/>
  <c r="C1409" i="6"/>
  <c r="N1413" i="6"/>
  <c r="F1413" i="6"/>
  <c r="M1413" i="6"/>
  <c r="E1413" i="6"/>
  <c r="L1413" i="6"/>
  <c r="D1413" i="6"/>
  <c r="G1415" i="6"/>
  <c r="B1419" i="6"/>
  <c r="C1425" i="6"/>
  <c r="I1427" i="6"/>
  <c r="N1429" i="6"/>
  <c r="F1429" i="6"/>
  <c r="M1429" i="6"/>
  <c r="E1429" i="6"/>
  <c r="L1429" i="6"/>
  <c r="D1429" i="6"/>
  <c r="G1431" i="6"/>
  <c r="B1435" i="6"/>
  <c r="C1441" i="6"/>
  <c r="I1443" i="6"/>
  <c r="E1444" i="6"/>
  <c r="B1448" i="6"/>
  <c r="C1452" i="6"/>
  <c r="H1454" i="6"/>
  <c r="B1458" i="6"/>
  <c r="F1460" i="6"/>
  <c r="C1464" i="6"/>
  <c r="D1468" i="6"/>
  <c r="Q1491" i="6"/>
  <c r="P1491" i="6"/>
  <c r="S1491" i="6" s="1"/>
  <c r="R1491" i="6"/>
  <c r="O1491" i="6"/>
  <c r="T1491" i="6" s="1"/>
  <c r="M1500" i="6"/>
  <c r="E1500" i="6"/>
  <c r="F1500" i="6"/>
  <c r="J1500" i="6"/>
  <c r="I1500" i="6"/>
  <c r="H1500" i="6"/>
  <c r="G1500" i="6"/>
  <c r="D1500" i="6"/>
  <c r="N1500" i="6"/>
  <c r="C1500" i="6"/>
  <c r="L1500" i="6"/>
  <c r="B1500" i="6"/>
  <c r="D1476" i="6"/>
  <c r="M1480" i="6"/>
  <c r="E1480" i="6"/>
  <c r="F1480" i="6"/>
  <c r="K1480" i="6"/>
  <c r="C1488" i="6"/>
  <c r="N1488" i="6"/>
  <c r="D1508" i="6"/>
  <c r="M1512" i="6"/>
  <c r="E1512" i="6"/>
  <c r="F1512" i="6"/>
  <c r="K1512" i="6"/>
  <c r="C1520" i="6"/>
  <c r="N1520" i="6"/>
  <c r="J1524" i="6"/>
  <c r="G1528" i="6"/>
  <c r="M1524" i="6"/>
  <c r="E1524" i="6"/>
  <c r="F1524" i="6"/>
  <c r="K1524" i="6"/>
  <c r="O1530" i="6"/>
  <c r="T1530" i="6" s="1"/>
  <c r="P1426" i="6"/>
  <c r="S1426" i="6" s="1"/>
  <c r="P1434" i="6"/>
  <c r="S1434" i="6" s="1"/>
  <c r="H1446" i="6"/>
  <c r="J1450" i="6"/>
  <c r="H1451" i="6"/>
  <c r="K1455" i="6"/>
  <c r="C1455" i="6"/>
  <c r="J1455" i="6"/>
  <c r="H1462" i="6"/>
  <c r="J1466" i="6"/>
  <c r="H1467" i="6"/>
  <c r="M1472" i="6"/>
  <c r="E1472" i="6"/>
  <c r="F1472" i="6"/>
  <c r="K1472" i="6"/>
  <c r="H1476" i="6"/>
  <c r="C1480" i="6"/>
  <c r="N1480" i="6"/>
  <c r="G1488" i="6"/>
  <c r="I1496" i="6"/>
  <c r="P1497" i="6"/>
  <c r="S1497" i="6" s="1"/>
  <c r="M1504" i="6"/>
  <c r="E1504" i="6"/>
  <c r="F1504" i="6"/>
  <c r="K1504" i="6"/>
  <c r="H1508" i="6"/>
  <c r="C1512" i="6"/>
  <c r="N1512" i="6"/>
  <c r="R1517" i="6"/>
  <c r="G1520" i="6"/>
  <c r="B1524" i="6"/>
  <c r="L1524" i="6"/>
  <c r="I1528" i="6"/>
  <c r="P1530" i="6"/>
  <c r="S1530" i="6" s="1"/>
  <c r="Q1426" i="6"/>
  <c r="Q1434" i="6"/>
  <c r="Q1436" i="6"/>
  <c r="K1445" i="6"/>
  <c r="C1445" i="6"/>
  <c r="J1445" i="6"/>
  <c r="I1446" i="6"/>
  <c r="B1450" i="6"/>
  <c r="K1450" i="6"/>
  <c r="B1455" i="6"/>
  <c r="L1455" i="6"/>
  <c r="J1456" i="6"/>
  <c r="K1461" i="6"/>
  <c r="C1461" i="6"/>
  <c r="J1461" i="6"/>
  <c r="I1462" i="6"/>
  <c r="B1466" i="6"/>
  <c r="K1466" i="6"/>
  <c r="B1472" i="6"/>
  <c r="L1472" i="6"/>
  <c r="I1476" i="6"/>
  <c r="D1480" i="6"/>
  <c r="M1484" i="6"/>
  <c r="E1484" i="6"/>
  <c r="F1484" i="6"/>
  <c r="K1484" i="6"/>
  <c r="H1488" i="6"/>
  <c r="J1496" i="6"/>
  <c r="B1504" i="6"/>
  <c r="L1504" i="6"/>
  <c r="I1508" i="6"/>
  <c r="D1512" i="6"/>
  <c r="Q1515" i="6"/>
  <c r="P1515" i="6"/>
  <c r="S1515" i="6" s="1"/>
  <c r="M1516" i="6"/>
  <c r="E1516" i="6"/>
  <c r="F1516" i="6"/>
  <c r="K1516" i="6"/>
  <c r="H1520" i="6"/>
  <c r="O1521" i="6"/>
  <c r="T1521" i="6" s="1"/>
  <c r="C1524" i="6"/>
  <c r="N1524" i="6"/>
  <c r="J1528" i="6"/>
  <c r="R1530" i="6"/>
  <c r="R1541" i="6"/>
  <c r="J1446" i="6"/>
  <c r="K1451" i="6"/>
  <c r="C1451" i="6"/>
  <c r="J1451" i="6"/>
  <c r="J1462" i="6"/>
  <c r="K1467" i="6"/>
  <c r="C1467" i="6"/>
  <c r="J1467" i="6"/>
  <c r="J1476" i="6"/>
  <c r="G1480" i="6"/>
  <c r="I1488" i="6"/>
  <c r="M1496" i="6"/>
  <c r="E1496" i="6"/>
  <c r="F1496" i="6"/>
  <c r="K1496" i="6"/>
  <c r="J1508" i="6"/>
  <c r="G1512" i="6"/>
  <c r="I1520" i="6"/>
  <c r="P1521" i="6"/>
  <c r="S1521" i="6" s="1"/>
  <c r="D1524" i="6"/>
  <c r="P1527" i="6"/>
  <c r="S1527" i="6" s="1"/>
  <c r="M1528" i="6"/>
  <c r="E1528" i="6"/>
  <c r="F1528" i="6"/>
  <c r="K1528" i="6"/>
  <c r="P1531" i="6"/>
  <c r="S1531" i="6" s="1"/>
  <c r="Q1475" i="6"/>
  <c r="P1475" i="6"/>
  <c r="S1475" i="6" s="1"/>
  <c r="M1476" i="6"/>
  <c r="E1476" i="6"/>
  <c r="F1476" i="6"/>
  <c r="K1476" i="6"/>
  <c r="Q1507" i="6"/>
  <c r="P1507" i="6"/>
  <c r="S1507" i="6" s="1"/>
  <c r="M1508" i="6"/>
  <c r="E1508" i="6"/>
  <c r="F1508" i="6"/>
  <c r="K1508" i="6"/>
  <c r="R1521" i="6"/>
  <c r="G1524" i="6"/>
  <c r="B1476" i="6"/>
  <c r="L1476" i="6"/>
  <c r="M1488" i="6"/>
  <c r="E1488" i="6"/>
  <c r="F1488" i="6"/>
  <c r="K1488" i="6"/>
  <c r="B1508" i="6"/>
  <c r="L1508" i="6"/>
  <c r="Q1519" i="6"/>
  <c r="M1520" i="6"/>
  <c r="E1520" i="6"/>
  <c r="F1520" i="6"/>
  <c r="K1520" i="6"/>
  <c r="H1524" i="6"/>
  <c r="M1585" i="6"/>
  <c r="E1585" i="6"/>
  <c r="N1585" i="6"/>
  <c r="D1585" i="6"/>
  <c r="K1585" i="6"/>
  <c r="B1585" i="6"/>
  <c r="I1585" i="6"/>
  <c r="H1585" i="6"/>
  <c r="G1585" i="6"/>
  <c r="J1587" i="6"/>
  <c r="J1591" i="6"/>
  <c r="O1572" i="6"/>
  <c r="T1572" i="6" s="1"/>
  <c r="M1470" i="6"/>
  <c r="E1470" i="6"/>
  <c r="J1470" i="6"/>
  <c r="M1474" i="6"/>
  <c r="E1474" i="6"/>
  <c r="J1474" i="6"/>
  <c r="M1478" i="6"/>
  <c r="E1478" i="6"/>
  <c r="J1478" i="6"/>
  <c r="M1482" i="6"/>
  <c r="E1482" i="6"/>
  <c r="J1482" i="6"/>
  <c r="M1486" i="6"/>
  <c r="E1486" i="6"/>
  <c r="J1486" i="6"/>
  <c r="M1490" i="6"/>
  <c r="E1490" i="6"/>
  <c r="J1490" i="6"/>
  <c r="M1494" i="6"/>
  <c r="E1494" i="6"/>
  <c r="J1494" i="6"/>
  <c r="M1498" i="6"/>
  <c r="E1498" i="6"/>
  <c r="J1498" i="6"/>
  <c r="M1502" i="6"/>
  <c r="E1502" i="6"/>
  <c r="J1502" i="6"/>
  <c r="M1506" i="6"/>
  <c r="E1506" i="6"/>
  <c r="J1506" i="6"/>
  <c r="M1510" i="6"/>
  <c r="E1510" i="6"/>
  <c r="J1510" i="6"/>
  <c r="M1514" i="6"/>
  <c r="E1514" i="6"/>
  <c r="J1514" i="6"/>
  <c r="M1518" i="6"/>
  <c r="E1518" i="6"/>
  <c r="J1518" i="6"/>
  <c r="M1522" i="6"/>
  <c r="E1522" i="6"/>
  <c r="J1522" i="6"/>
  <c r="M1526" i="6"/>
  <c r="E1526" i="6"/>
  <c r="J1526" i="6"/>
  <c r="S1526" i="6"/>
  <c r="O1561" i="6"/>
  <c r="T1561" i="6" s="1"/>
  <c r="J1585" i="6"/>
  <c r="R1572" i="6"/>
  <c r="H1597" i="6"/>
  <c r="M1597" i="6"/>
  <c r="E1597" i="6"/>
  <c r="J1597" i="6"/>
  <c r="G1597" i="6"/>
  <c r="F1597" i="6"/>
  <c r="D1597" i="6"/>
  <c r="N1597" i="6"/>
  <c r="C1597" i="6"/>
  <c r="L1597" i="6"/>
  <c r="B1597" i="6"/>
  <c r="M1587" i="6"/>
  <c r="E1587" i="6"/>
  <c r="I1587" i="6"/>
  <c r="G1587" i="6"/>
  <c r="F1587" i="6"/>
  <c r="N1587" i="6"/>
  <c r="D1587" i="6"/>
  <c r="L1587" i="6"/>
  <c r="C1587" i="6"/>
  <c r="K1587" i="6"/>
  <c r="B1587" i="6"/>
  <c r="M1591" i="6"/>
  <c r="E1591" i="6"/>
  <c r="I1591" i="6"/>
  <c r="G1591" i="6"/>
  <c r="F1591" i="6"/>
  <c r="N1591" i="6"/>
  <c r="D1591" i="6"/>
  <c r="L1591" i="6"/>
  <c r="C1591" i="6"/>
  <c r="K1591" i="6"/>
  <c r="B1591" i="6"/>
  <c r="I1530" i="6"/>
  <c r="I1532" i="6"/>
  <c r="I1534" i="6"/>
  <c r="I1536" i="6"/>
  <c r="I1538" i="6"/>
  <c r="I1540" i="6"/>
  <c r="I1542" i="6"/>
  <c r="I1544" i="6"/>
  <c r="I1546" i="6"/>
  <c r="I1548" i="6"/>
  <c r="I1550" i="6"/>
  <c r="I1552" i="6"/>
  <c r="I1554" i="6"/>
  <c r="I1556" i="6"/>
  <c r="I1558" i="6"/>
  <c r="I1560" i="6"/>
  <c r="I1562" i="6"/>
  <c r="I1564" i="6"/>
  <c r="I1566" i="6"/>
  <c r="I1568" i="6"/>
  <c r="I1570" i="6"/>
  <c r="I1572" i="6"/>
  <c r="I1574" i="6"/>
  <c r="I1576" i="6"/>
  <c r="I1578" i="6"/>
  <c r="I1580" i="6"/>
  <c r="I1582" i="6"/>
  <c r="I1584" i="6"/>
  <c r="R1584" i="6"/>
  <c r="G1589" i="6"/>
  <c r="R1592" i="6"/>
  <c r="G1593" i="6"/>
  <c r="C1595" i="6"/>
  <c r="N1595" i="6"/>
  <c r="H1599" i="6"/>
  <c r="M1599" i="6"/>
  <c r="E1599" i="6"/>
  <c r="K1599" i="6"/>
  <c r="J1601" i="6"/>
  <c r="I1603" i="6"/>
  <c r="G1605" i="6"/>
  <c r="D1609" i="6"/>
  <c r="C1611" i="6"/>
  <c r="N1611" i="6"/>
  <c r="B1613" i="6"/>
  <c r="L1613" i="6"/>
  <c r="B1615" i="6"/>
  <c r="C1621" i="6"/>
  <c r="I1623" i="6"/>
  <c r="H1625" i="6"/>
  <c r="M1625" i="6"/>
  <c r="E1625" i="6"/>
  <c r="L1625" i="6"/>
  <c r="D1625" i="6"/>
  <c r="N1625" i="6"/>
  <c r="F1627" i="6"/>
  <c r="J1631" i="6"/>
  <c r="G1633" i="6"/>
  <c r="B1635" i="6"/>
  <c r="J1639" i="6"/>
  <c r="G1641" i="6"/>
  <c r="B1643" i="6"/>
  <c r="J1647" i="6"/>
  <c r="G1649" i="6"/>
  <c r="B1651" i="6"/>
  <c r="H1653" i="6"/>
  <c r="G1653" i="6"/>
  <c r="N1653" i="6"/>
  <c r="F1653" i="6"/>
  <c r="M1653" i="6"/>
  <c r="E1653" i="6"/>
  <c r="L1653" i="6"/>
  <c r="D1653" i="6"/>
  <c r="B1655" i="6"/>
  <c r="C1657" i="6"/>
  <c r="I1659" i="6"/>
  <c r="H1589" i="6"/>
  <c r="H1601" i="6"/>
  <c r="M1601" i="6"/>
  <c r="E1601" i="6"/>
  <c r="K1601" i="6"/>
  <c r="R1607" i="6"/>
  <c r="F1609" i="6"/>
  <c r="C1613" i="6"/>
  <c r="N1613" i="6"/>
  <c r="C1615" i="6"/>
  <c r="H1619" i="6"/>
  <c r="M1619" i="6"/>
  <c r="E1619" i="6"/>
  <c r="L1619" i="6"/>
  <c r="D1619" i="6"/>
  <c r="N1619" i="6"/>
  <c r="J1623" i="6"/>
  <c r="G1627" i="6"/>
  <c r="H1629" i="6"/>
  <c r="N1629" i="6"/>
  <c r="F1629" i="6"/>
  <c r="M1629" i="6"/>
  <c r="E1629" i="6"/>
  <c r="L1629" i="6"/>
  <c r="D1629" i="6"/>
  <c r="I1633" i="6"/>
  <c r="C1635" i="6"/>
  <c r="H1637" i="6"/>
  <c r="N1637" i="6"/>
  <c r="F1637" i="6"/>
  <c r="M1637" i="6"/>
  <c r="E1637" i="6"/>
  <c r="L1637" i="6"/>
  <c r="D1637" i="6"/>
  <c r="I1641" i="6"/>
  <c r="C1643" i="6"/>
  <c r="H1645" i="6"/>
  <c r="N1645" i="6"/>
  <c r="F1645" i="6"/>
  <c r="M1645" i="6"/>
  <c r="E1645" i="6"/>
  <c r="L1645" i="6"/>
  <c r="D1645" i="6"/>
  <c r="I1649" i="6"/>
  <c r="C1651" i="6"/>
  <c r="B1653" i="6"/>
  <c r="C1655" i="6"/>
  <c r="I1657" i="6"/>
  <c r="J1670" i="6"/>
  <c r="B1670" i="6"/>
  <c r="G1670" i="6"/>
  <c r="N1670" i="6"/>
  <c r="D1670" i="6"/>
  <c r="K1670" i="6"/>
  <c r="I1670" i="6"/>
  <c r="H1670" i="6"/>
  <c r="F1670" i="6"/>
  <c r="E1670" i="6"/>
  <c r="J1686" i="6"/>
  <c r="B1686" i="6"/>
  <c r="G1686" i="6"/>
  <c r="N1686" i="6"/>
  <c r="D1686" i="6"/>
  <c r="K1686" i="6"/>
  <c r="I1686" i="6"/>
  <c r="H1686" i="6"/>
  <c r="F1686" i="6"/>
  <c r="E1686" i="6"/>
  <c r="F1595" i="6"/>
  <c r="B1601" i="6"/>
  <c r="L1601" i="6"/>
  <c r="H1603" i="6"/>
  <c r="M1603" i="6"/>
  <c r="E1603" i="6"/>
  <c r="K1603" i="6"/>
  <c r="J1605" i="6"/>
  <c r="G1609" i="6"/>
  <c r="F1611" i="6"/>
  <c r="D1613" i="6"/>
  <c r="F1615" i="6"/>
  <c r="B1619" i="6"/>
  <c r="G1621" i="6"/>
  <c r="I1627" i="6"/>
  <c r="B1629" i="6"/>
  <c r="J1633" i="6"/>
  <c r="G1635" i="6"/>
  <c r="B1637" i="6"/>
  <c r="J1641" i="6"/>
  <c r="G1643" i="6"/>
  <c r="J1657" i="6"/>
  <c r="N1677" i="6"/>
  <c r="F1677" i="6"/>
  <c r="K1677" i="6"/>
  <c r="C1677" i="6"/>
  <c r="M1677" i="6"/>
  <c r="B1677" i="6"/>
  <c r="I1677" i="6"/>
  <c r="H1677" i="6"/>
  <c r="G1677" i="6"/>
  <c r="E1677" i="6"/>
  <c r="D1677" i="6"/>
  <c r="N1693" i="6"/>
  <c r="F1693" i="6"/>
  <c r="K1693" i="6"/>
  <c r="C1693" i="6"/>
  <c r="M1693" i="6"/>
  <c r="B1693" i="6"/>
  <c r="I1693" i="6"/>
  <c r="H1693" i="6"/>
  <c r="G1693" i="6"/>
  <c r="E1693" i="6"/>
  <c r="D1693" i="6"/>
  <c r="M1589" i="6"/>
  <c r="E1589" i="6"/>
  <c r="J1589" i="6"/>
  <c r="M1593" i="6"/>
  <c r="E1593" i="6"/>
  <c r="J1593" i="6"/>
  <c r="H1605" i="6"/>
  <c r="M1605" i="6"/>
  <c r="E1605" i="6"/>
  <c r="K1605" i="6"/>
  <c r="I1609" i="6"/>
  <c r="F1613" i="6"/>
  <c r="G1615" i="6"/>
  <c r="C1619" i="6"/>
  <c r="H1623" i="6"/>
  <c r="M1623" i="6"/>
  <c r="E1623" i="6"/>
  <c r="L1623" i="6"/>
  <c r="D1623" i="6"/>
  <c r="N1623" i="6"/>
  <c r="J1627" i="6"/>
  <c r="R1628" i="6"/>
  <c r="Q1628" i="6"/>
  <c r="P1628" i="6"/>
  <c r="S1628" i="6" s="1"/>
  <c r="C1629" i="6"/>
  <c r="H1631" i="6"/>
  <c r="N1631" i="6"/>
  <c r="F1631" i="6"/>
  <c r="M1631" i="6"/>
  <c r="E1631" i="6"/>
  <c r="L1631" i="6"/>
  <c r="D1631" i="6"/>
  <c r="I1635" i="6"/>
  <c r="C1637" i="6"/>
  <c r="H1639" i="6"/>
  <c r="N1639" i="6"/>
  <c r="F1639" i="6"/>
  <c r="M1639" i="6"/>
  <c r="E1639" i="6"/>
  <c r="L1639" i="6"/>
  <c r="D1639" i="6"/>
  <c r="I1643" i="6"/>
  <c r="C1645" i="6"/>
  <c r="H1647" i="6"/>
  <c r="N1647" i="6"/>
  <c r="F1647" i="6"/>
  <c r="M1647" i="6"/>
  <c r="E1647" i="6"/>
  <c r="L1647" i="6"/>
  <c r="D1647" i="6"/>
  <c r="I1651" i="6"/>
  <c r="I1653" i="6"/>
  <c r="J1655" i="6"/>
  <c r="L1670" i="6"/>
  <c r="J1677" i="6"/>
  <c r="J1693" i="6"/>
  <c r="E1530" i="6"/>
  <c r="E1532" i="6"/>
  <c r="E1534" i="6"/>
  <c r="E1536" i="6"/>
  <c r="E1538" i="6"/>
  <c r="E1540" i="6"/>
  <c r="E1542" i="6"/>
  <c r="E1544" i="6"/>
  <c r="E1546" i="6"/>
  <c r="E1548" i="6"/>
  <c r="E1550" i="6"/>
  <c r="E1552" i="6"/>
  <c r="E1554" i="6"/>
  <c r="E1556" i="6"/>
  <c r="E1558" i="6"/>
  <c r="E1560" i="6"/>
  <c r="E1562" i="6"/>
  <c r="E1564" i="6"/>
  <c r="E1566" i="6"/>
  <c r="E1568" i="6"/>
  <c r="E1570" i="6"/>
  <c r="E1572" i="6"/>
  <c r="E1574" i="6"/>
  <c r="E1576" i="6"/>
  <c r="E1578" i="6"/>
  <c r="E1580" i="6"/>
  <c r="E1582" i="6"/>
  <c r="E1584" i="6"/>
  <c r="R1586" i="6"/>
  <c r="B1589" i="6"/>
  <c r="K1589" i="6"/>
  <c r="B1593" i="6"/>
  <c r="K1593" i="6"/>
  <c r="R1594" i="6"/>
  <c r="I1595" i="6"/>
  <c r="F1599" i="6"/>
  <c r="D1601" i="6"/>
  <c r="C1603" i="6"/>
  <c r="N1603" i="6"/>
  <c r="B1605" i="6"/>
  <c r="L1605" i="6"/>
  <c r="H1607" i="6"/>
  <c r="M1607" i="6"/>
  <c r="E1607" i="6"/>
  <c r="K1607" i="6"/>
  <c r="J1609" i="6"/>
  <c r="I1611" i="6"/>
  <c r="G1613" i="6"/>
  <c r="I1615" i="6"/>
  <c r="H1617" i="6"/>
  <c r="M1617" i="6"/>
  <c r="E1617" i="6"/>
  <c r="L1617" i="6"/>
  <c r="D1617" i="6"/>
  <c r="N1617" i="6"/>
  <c r="F1619" i="6"/>
  <c r="B1623" i="6"/>
  <c r="G1625" i="6"/>
  <c r="G1629" i="6"/>
  <c r="B1631" i="6"/>
  <c r="J1635" i="6"/>
  <c r="G1637" i="6"/>
  <c r="B1639" i="6"/>
  <c r="J1643" i="6"/>
  <c r="G1645" i="6"/>
  <c r="B1647" i="6"/>
  <c r="J1651" i="6"/>
  <c r="J1653" i="6"/>
  <c r="K1661" i="6"/>
  <c r="C1661" i="6"/>
  <c r="H1661" i="6"/>
  <c r="G1661" i="6"/>
  <c r="N1661" i="6"/>
  <c r="F1661" i="6"/>
  <c r="M1661" i="6"/>
  <c r="E1661" i="6"/>
  <c r="L1661" i="6"/>
  <c r="D1661" i="6"/>
  <c r="M1670" i="6"/>
  <c r="L1677" i="6"/>
  <c r="M1686" i="6"/>
  <c r="L1693" i="6"/>
  <c r="H1609" i="6"/>
  <c r="M1609" i="6"/>
  <c r="E1609" i="6"/>
  <c r="K1609" i="6"/>
  <c r="I1613" i="6"/>
  <c r="J1615" i="6"/>
  <c r="H1627" i="6"/>
  <c r="M1627" i="6"/>
  <c r="E1627" i="6"/>
  <c r="L1627" i="6"/>
  <c r="D1627" i="6"/>
  <c r="N1627" i="6"/>
  <c r="H1633" i="6"/>
  <c r="N1633" i="6"/>
  <c r="F1633" i="6"/>
  <c r="M1633" i="6"/>
  <c r="E1633" i="6"/>
  <c r="L1633" i="6"/>
  <c r="D1633" i="6"/>
  <c r="H1641" i="6"/>
  <c r="N1641" i="6"/>
  <c r="F1641" i="6"/>
  <c r="M1641" i="6"/>
  <c r="E1641" i="6"/>
  <c r="L1641" i="6"/>
  <c r="D1641" i="6"/>
  <c r="H1649" i="6"/>
  <c r="N1649" i="6"/>
  <c r="F1649" i="6"/>
  <c r="M1649" i="6"/>
  <c r="E1649" i="6"/>
  <c r="L1649" i="6"/>
  <c r="D1649" i="6"/>
  <c r="H1659" i="6"/>
  <c r="G1659" i="6"/>
  <c r="N1659" i="6"/>
  <c r="F1659" i="6"/>
  <c r="M1659" i="6"/>
  <c r="E1659" i="6"/>
  <c r="L1659" i="6"/>
  <c r="D1659" i="6"/>
  <c r="P1661" i="6"/>
  <c r="S1661" i="6" s="1"/>
  <c r="J1678" i="6"/>
  <c r="B1678" i="6"/>
  <c r="G1678" i="6"/>
  <c r="N1678" i="6"/>
  <c r="D1678" i="6"/>
  <c r="K1678" i="6"/>
  <c r="I1678" i="6"/>
  <c r="H1678" i="6"/>
  <c r="F1678" i="6"/>
  <c r="E1678" i="6"/>
  <c r="J1694" i="6"/>
  <c r="B1694" i="6"/>
  <c r="G1694" i="6"/>
  <c r="N1694" i="6"/>
  <c r="D1694" i="6"/>
  <c r="K1694" i="6"/>
  <c r="I1694" i="6"/>
  <c r="H1694" i="6"/>
  <c r="F1694" i="6"/>
  <c r="E1694" i="6"/>
  <c r="D1589" i="6"/>
  <c r="N1589" i="6"/>
  <c r="D1593" i="6"/>
  <c r="N1593" i="6"/>
  <c r="H1595" i="6"/>
  <c r="M1595" i="6"/>
  <c r="E1595" i="6"/>
  <c r="K1595" i="6"/>
  <c r="G1601" i="6"/>
  <c r="Q1603" i="6"/>
  <c r="D1605" i="6"/>
  <c r="B1609" i="6"/>
  <c r="L1609" i="6"/>
  <c r="H1611" i="6"/>
  <c r="M1611" i="6"/>
  <c r="E1611" i="6"/>
  <c r="K1611" i="6"/>
  <c r="J1613" i="6"/>
  <c r="I1619" i="6"/>
  <c r="H1621" i="6"/>
  <c r="M1621" i="6"/>
  <c r="E1621" i="6"/>
  <c r="L1621" i="6"/>
  <c r="D1621" i="6"/>
  <c r="N1621" i="6"/>
  <c r="F1623" i="6"/>
  <c r="B1627" i="6"/>
  <c r="J1629" i="6"/>
  <c r="G1631" i="6"/>
  <c r="B1633" i="6"/>
  <c r="J1637" i="6"/>
  <c r="B1641" i="6"/>
  <c r="H1657" i="6"/>
  <c r="G1657" i="6"/>
  <c r="N1657" i="6"/>
  <c r="F1657" i="6"/>
  <c r="M1657" i="6"/>
  <c r="E1657" i="6"/>
  <c r="L1657" i="6"/>
  <c r="D1657" i="6"/>
  <c r="N1669" i="6"/>
  <c r="F1669" i="6"/>
  <c r="K1669" i="6"/>
  <c r="C1669" i="6"/>
  <c r="M1669" i="6"/>
  <c r="B1669" i="6"/>
  <c r="I1669" i="6"/>
  <c r="H1669" i="6"/>
  <c r="G1669" i="6"/>
  <c r="E1669" i="6"/>
  <c r="D1669" i="6"/>
  <c r="N1685" i="6"/>
  <c r="F1685" i="6"/>
  <c r="K1685" i="6"/>
  <c r="C1685" i="6"/>
  <c r="M1685" i="6"/>
  <c r="B1685" i="6"/>
  <c r="I1685" i="6"/>
  <c r="H1685" i="6"/>
  <c r="G1685" i="6"/>
  <c r="E1685" i="6"/>
  <c r="D1685" i="6"/>
  <c r="P1687" i="6"/>
  <c r="S1687" i="6" s="1"/>
  <c r="R1687" i="6"/>
  <c r="Q1687" i="6"/>
  <c r="H1613" i="6"/>
  <c r="M1613" i="6"/>
  <c r="E1613" i="6"/>
  <c r="K1613" i="6"/>
  <c r="H1615" i="6"/>
  <c r="M1615" i="6"/>
  <c r="E1615" i="6"/>
  <c r="L1615" i="6"/>
  <c r="D1615" i="6"/>
  <c r="N1615" i="6"/>
  <c r="C1633" i="6"/>
  <c r="H1635" i="6"/>
  <c r="N1635" i="6"/>
  <c r="F1635" i="6"/>
  <c r="M1635" i="6"/>
  <c r="E1635" i="6"/>
  <c r="L1635" i="6"/>
  <c r="D1635" i="6"/>
  <c r="C1641" i="6"/>
  <c r="H1643" i="6"/>
  <c r="N1643" i="6"/>
  <c r="F1643" i="6"/>
  <c r="M1643" i="6"/>
  <c r="E1643" i="6"/>
  <c r="L1643" i="6"/>
  <c r="D1643" i="6"/>
  <c r="C1649" i="6"/>
  <c r="H1651" i="6"/>
  <c r="N1651" i="6"/>
  <c r="F1651" i="6"/>
  <c r="M1651" i="6"/>
  <c r="E1651" i="6"/>
  <c r="L1651" i="6"/>
  <c r="D1651" i="6"/>
  <c r="H1655" i="6"/>
  <c r="G1655" i="6"/>
  <c r="N1655" i="6"/>
  <c r="F1655" i="6"/>
  <c r="M1655" i="6"/>
  <c r="E1655" i="6"/>
  <c r="L1655" i="6"/>
  <c r="D1655" i="6"/>
  <c r="B1657" i="6"/>
  <c r="J1669" i="6"/>
  <c r="P1632" i="6"/>
  <c r="S1632" i="6" s="1"/>
  <c r="P1656" i="6"/>
  <c r="S1656" i="6" s="1"/>
  <c r="P1658" i="6"/>
  <c r="S1658" i="6" s="1"/>
  <c r="H1664" i="6"/>
  <c r="I1665" i="6"/>
  <c r="N1667" i="6"/>
  <c r="F1667" i="6"/>
  <c r="K1667" i="6"/>
  <c r="C1667" i="6"/>
  <c r="L1667" i="6"/>
  <c r="C1668" i="6"/>
  <c r="M1668" i="6"/>
  <c r="H1672" i="6"/>
  <c r="I1673" i="6"/>
  <c r="N1675" i="6"/>
  <c r="F1675" i="6"/>
  <c r="K1675" i="6"/>
  <c r="C1675" i="6"/>
  <c r="L1675" i="6"/>
  <c r="C1676" i="6"/>
  <c r="M1676" i="6"/>
  <c r="H1680" i="6"/>
  <c r="I1681" i="6"/>
  <c r="N1683" i="6"/>
  <c r="F1683" i="6"/>
  <c r="K1683" i="6"/>
  <c r="C1683" i="6"/>
  <c r="L1683" i="6"/>
  <c r="C1684" i="6"/>
  <c r="M1684" i="6"/>
  <c r="H1688" i="6"/>
  <c r="I1689" i="6"/>
  <c r="N1691" i="6"/>
  <c r="F1691" i="6"/>
  <c r="K1691" i="6"/>
  <c r="C1691" i="6"/>
  <c r="L1691" i="6"/>
  <c r="C1692" i="6"/>
  <c r="M1692" i="6"/>
  <c r="H1696" i="6"/>
  <c r="I1697" i="6"/>
  <c r="N1699" i="6"/>
  <c r="F1699" i="6"/>
  <c r="K1699" i="6"/>
  <c r="C1699" i="6"/>
  <c r="L1699" i="6"/>
  <c r="C1700" i="6"/>
  <c r="M1700" i="6"/>
  <c r="D1701" i="6"/>
  <c r="E1702" i="6"/>
  <c r="H1704" i="6"/>
  <c r="I1705" i="6"/>
  <c r="N1707" i="6"/>
  <c r="F1707" i="6"/>
  <c r="K1707" i="6"/>
  <c r="C1707" i="6"/>
  <c r="L1707" i="6"/>
  <c r="C1708" i="6"/>
  <c r="M1708" i="6"/>
  <c r="D1709" i="6"/>
  <c r="E1710" i="6"/>
  <c r="Q1711" i="6"/>
  <c r="H1712" i="6"/>
  <c r="I1713" i="6"/>
  <c r="N1715" i="6"/>
  <c r="F1715" i="6"/>
  <c r="K1715" i="6"/>
  <c r="C1715" i="6"/>
  <c r="L1715" i="6"/>
  <c r="C1716" i="6"/>
  <c r="M1716" i="6"/>
  <c r="D1717" i="6"/>
  <c r="E1718" i="6"/>
  <c r="H1720" i="6"/>
  <c r="I1721" i="6"/>
  <c r="N1723" i="6"/>
  <c r="F1723" i="6"/>
  <c r="K1723" i="6"/>
  <c r="C1723" i="6"/>
  <c r="L1723" i="6"/>
  <c r="C1724" i="6"/>
  <c r="M1724" i="6"/>
  <c r="D1725" i="6"/>
  <c r="E1726" i="6"/>
  <c r="N1729" i="6"/>
  <c r="F1729" i="6"/>
  <c r="M1729" i="6"/>
  <c r="E1729" i="6"/>
  <c r="K1729" i="6"/>
  <c r="C1729" i="6"/>
  <c r="N1735" i="6"/>
  <c r="F1735" i="6"/>
  <c r="M1735" i="6"/>
  <c r="E1735" i="6"/>
  <c r="K1735" i="6"/>
  <c r="C1735" i="6"/>
  <c r="J1735" i="6"/>
  <c r="B1735" i="6"/>
  <c r="D1737" i="6"/>
  <c r="G1739" i="6"/>
  <c r="H1741" i="6"/>
  <c r="N1751" i="6"/>
  <c r="F1751" i="6"/>
  <c r="M1751" i="6"/>
  <c r="E1751" i="6"/>
  <c r="K1751" i="6"/>
  <c r="C1751" i="6"/>
  <c r="J1751" i="6"/>
  <c r="B1751" i="6"/>
  <c r="J1764" i="6"/>
  <c r="E1767" i="6"/>
  <c r="L1772" i="6"/>
  <c r="D1772" i="6"/>
  <c r="G1772" i="6"/>
  <c r="M1772" i="6"/>
  <c r="C1772" i="6"/>
  <c r="K1772" i="6"/>
  <c r="B1772" i="6"/>
  <c r="I1772" i="6"/>
  <c r="H1772" i="6"/>
  <c r="H1775" i="6"/>
  <c r="K1775" i="6"/>
  <c r="B1775" i="6"/>
  <c r="G1775" i="6"/>
  <c r="F1775" i="6"/>
  <c r="M1775" i="6"/>
  <c r="D1775" i="6"/>
  <c r="L1775" i="6"/>
  <c r="C1775" i="6"/>
  <c r="Q1632" i="6"/>
  <c r="Q1648" i="6"/>
  <c r="Q1658" i="6"/>
  <c r="I1664" i="6"/>
  <c r="J1666" i="6"/>
  <c r="B1666" i="6"/>
  <c r="G1666" i="6"/>
  <c r="L1666" i="6"/>
  <c r="B1667" i="6"/>
  <c r="M1667" i="6"/>
  <c r="D1668" i="6"/>
  <c r="N1668" i="6"/>
  <c r="I1672" i="6"/>
  <c r="J1674" i="6"/>
  <c r="B1674" i="6"/>
  <c r="G1674" i="6"/>
  <c r="L1674" i="6"/>
  <c r="B1675" i="6"/>
  <c r="M1675" i="6"/>
  <c r="D1676" i="6"/>
  <c r="N1676" i="6"/>
  <c r="I1680" i="6"/>
  <c r="J1682" i="6"/>
  <c r="B1682" i="6"/>
  <c r="G1682" i="6"/>
  <c r="L1682" i="6"/>
  <c r="B1683" i="6"/>
  <c r="M1683" i="6"/>
  <c r="D1684" i="6"/>
  <c r="N1684" i="6"/>
  <c r="I1688" i="6"/>
  <c r="J1690" i="6"/>
  <c r="B1690" i="6"/>
  <c r="G1690" i="6"/>
  <c r="L1690" i="6"/>
  <c r="B1691" i="6"/>
  <c r="M1691" i="6"/>
  <c r="D1692" i="6"/>
  <c r="N1692" i="6"/>
  <c r="I1696" i="6"/>
  <c r="J1698" i="6"/>
  <c r="B1698" i="6"/>
  <c r="G1698" i="6"/>
  <c r="L1698" i="6"/>
  <c r="B1699" i="6"/>
  <c r="M1699" i="6"/>
  <c r="D1700" i="6"/>
  <c r="N1700" i="6"/>
  <c r="E1701" i="6"/>
  <c r="F1702" i="6"/>
  <c r="I1704" i="6"/>
  <c r="J1706" i="6"/>
  <c r="B1706" i="6"/>
  <c r="G1706" i="6"/>
  <c r="L1706" i="6"/>
  <c r="B1707" i="6"/>
  <c r="M1707" i="6"/>
  <c r="D1708" i="6"/>
  <c r="N1708" i="6"/>
  <c r="E1709" i="6"/>
  <c r="F1710" i="6"/>
  <c r="R1711" i="6"/>
  <c r="I1712" i="6"/>
  <c r="J1714" i="6"/>
  <c r="B1714" i="6"/>
  <c r="G1714" i="6"/>
  <c r="L1714" i="6"/>
  <c r="B1715" i="6"/>
  <c r="M1715" i="6"/>
  <c r="D1716" i="6"/>
  <c r="N1716" i="6"/>
  <c r="E1717" i="6"/>
  <c r="F1718" i="6"/>
  <c r="I1720" i="6"/>
  <c r="J1722" i="6"/>
  <c r="B1722" i="6"/>
  <c r="G1722" i="6"/>
  <c r="L1722" i="6"/>
  <c r="B1723" i="6"/>
  <c r="M1723" i="6"/>
  <c r="D1724" i="6"/>
  <c r="N1724" i="6"/>
  <c r="E1725" i="6"/>
  <c r="F1726" i="6"/>
  <c r="B1729" i="6"/>
  <c r="N1733" i="6"/>
  <c r="F1733" i="6"/>
  <c r="M1733" i="6"/>
  <c r="E1733" i="6"/>
  <c r="K1733" i="6"/>
  <c r="C1733" i="6"/>
  <c r="J1733" i="6"/>
  <c r="B1733" i="6"/>
  <c r="D1735" i="6"/>
  <c r="G1737" i="6"/>
  <c r="H1739" i="6"/>
  <c r="I1741" i="6"/>
  <c r="N1749" i="6"/>
  <c r="F1749" i="6"/>
  <c r="M1749" i="6"/>
  <c r="E1749" i="6"/>
  <c r="K1749" i="6"/>
  <c r="C1749" i="6"/>
  <c r="J1749" i="6"/>
  <c r="B1749" i="6"/>
  <c r="D1751" i="6"/>
  <c r="J1767" i="6"/>
  <c r="H1769" i="6"/>
  <c r="L1769" i="6"/>
  <c r="C1769" i="6"/>
  <c r="I1769" i="6"/>
  <c r="G1769" i="6"/>
  <c r="N1769" i="6"/>
  <c r="E1769" i="6"/>
  <c r="M1769" i="6"/>
  <c r="D1769" i="6"/>
  <c r="E1772" i="6"/>
  <c r="L1774" i="6"/>
  <c r="D1774" i="6"/>
  <c r="M1774" i="6"/>
  <c r="C1774" i="6"/>
  <c r="I1774" i="6"/>
  <c r="H1774" i="6"/>
  <c r="F1774" i="6"/>
  <c r="N1774" i="6"/>
  <c r="E1774" i="6"/>
  <c r="E1775" i="6"/>
  <c r="H1781" i="6"/>
  <c r="M1781" i="6"/>
  <c r="E1781" i="6"/>
  <c r="L1781" i="6"/>
  <c r="B1781" i="6"/>
  <c r="I1781" i="6"/>
  <c r="G1781" i="6"/>
  <c r="D1781" i="6"/>
  <c r="N1781" i="6"/>
  <c r="C1781" i="6"/>
  <c r="N1665" i="6"/>
  <c r="F1665" i="6"/>
  <c r="K1665" i="6"/>
  <c r="C1665" i="6"/>
  <c r="L1665" i="6"/>
  <c r="D1667" i="6"/>
  <c r="E1668" i="6"/>
  <c r="N1673" i="6"/>
  <c r="F1673" i="6"/>
  <c r="K1673" i="6"/>
  <c r="C1673" i="6"/>
  <c r="L1673" i="6"/>
  <c r="D1675" i="6"/>
  <c r="E1676" i="6"/>
  <c r="N1681" i="6"/>
  <c r="F1681" i="6"/>
  <c r="K1681" i="6"/>
  <c r="C1681" i="6"/>
  <c r="L1681" i="6"/>
  <c r="D1683" i="6"/>
  <c r="E1684" i="6"/>
  <c r="N1689" i="6"/>
  <c r="F1689" i="6"/>
  <c r="K1689" i="6"/>
  <c r="C1689" i="6"/>
  <c r="L1689" i="6"/>
  <c r="D1691" i="6"/>
  <c r="E1692" i="6"/>
  <c r="N1697" i="6"/>
  <c r="F1697" i="6"/>
  <c r="K1697" i="6"/>
  <c r="C1697" i="6"/>
  <c r="L1697" i="6"/>
  <c r="D1699" i="6"/>
  <c r="E1700" i="6"/>
  <c r="G1701" i="6"/>
  <c r="H1702" i="6"/>
  <c r="N1705" i="6"/>
  <c r="F1705" i="6"/>
  <c r="K1705" i="6"/>
  <c r="C1705" i="6"/>
  <c r="L1705" i="6"/>
  <c r="D1707" i="6"/>
  <c r="E1708" i="6"/>
  <c r="G1709" i="6"/>
  <c r="H1710" i="6"/>
  <c r="N1713" i="6"/>
  <c r="F1713" i="6"/>
  <c r="K1713" i="6"/>
  <c r="C1713" i="6"/>
  <c r="L1713" i="6"/>
  <c r="D1715" i="6"/>
  <c r="E1716" i="6"/>
  <c r="G1717" i="6"/>
  <c r="H1718" i="6"/>
  <c r="N1721" i="6"/>
  <c r="F1721" i="6"/>
  <c r="K1721" i="6"/>
  <c r="C1721" i="6"/>
  <c r="L1721" i="6"/>
  <c r="D1723" i="6"/>
  <c r="E1724" i="6"/>
  <c r="G1725" i="6"/>
  <c r="H1726" i="6"/>
  <c r="D1729" i="6"/>
  <c r="N1731" i="6"/>
  <c r="F1731" i="6"/>
  <c r="M1731" i="6"/>
  <c r="E1731" i="6"/>
  <c r="K1731" i="6"/>
  <c r="C1731" i="6"/>
  <c r="J1731" i="6"/>
  <c r="B1731" i="6"/>
  <c r="G1735" i="6"/>
  <c r="H1737" i="6"/>
  <c r="I1739" i="6"/>
  <c r="N1747" i="6"/>
  <c r="F1747" i="6"/>
  <c r="M1747" i="6"/>
  <c r="E1747" i="6"/>
  <c r="K1747" i="6"/>
  <c r="C1747" i="6"/>
  <c r="J1747" i="6"/>
  <c r="B1747" i="6"/>
  <c r="M1767" i="6"/>
  <c r="Q1774" i="6"/>
  <c r="H1789" i="6"/>
  <c r="M1789" i="6"/>
  <c r="E1789" i="6"/>
  <c r="G1789" i="6"/>
  <c r="D1789" i="6"/>
  <c r="N1789" i="6"/>
  <c r="C1789" i="6"/>
  <c r="L1789" i="6"/>
  <c r="B1789" i="6"/>
  <c r="J1789" i="6"/>
  <c r="I1789" i="6"/>
  <c r="J1664" i="6"/>
  <c r="B1664" i="6"/>
  <c r="G1664" i="6"/>
  <c r="L1664" i="6"/>
  <c r="F1668" i="6"/>
  <c r="J1672" i="6"/>
  <c r="B1672" i="6"/>
  <c r="G1672" i="6"/>
  <c r="L1672" i="6"/>
  <c r="F1676" i="6"/>
  <c r="J1680" i="6"/>
  <c r="B1680" i="6"/>
  <c r="G1680" i="6"/>
  <c r="L1680" i="6"/>
  <c r="F1684" i="6"/>
  <c r="J1688" i="6"/>
  <c r="B1688" i="6"/>
  <c r="G1688" i="6"/>
  <c r="L1688" i="6"/>
  <c r="F1692" i="6"/>
  <c r="J1696" i="6"/>
  <c r="B1696" i="6"/>
  <c r="G1696" i="6"/>
  <c r="L1696" i="6"/>
  <c r="F1700" i="6"/>
  <c r="H1701" i="6"/>
  <c r="I1702" i="6"/>
  <c r="J1704" i="6"/>
  <c r="B1704" i="6"/>
  <c r="G1704" i="6"/>
  <c r="L1704" i="6"/>
  <c r="F1708" i="6"/>
  <c r="H1709" i="6"/>
  <c r="I1710" i="6"/>
  <c r="J1712" i="6"/>
  <c r="B1712" i="6"/>
  <c r="G1712" i="6"/>
  <c r="L1712" i="6"/>
  <c r="F1716" i="6"/>
  <c r="H1717" i="6"/>
  <c r="I1718" i="6"/>
  <c r="J1720" i="6"/>
  <c r="B1720" i="6"/>
  <c r="G1720" i="6"/>
  <c r="L1720" i="6"/>
  <c r="F1724" i="6"/>
  <c r="H1725" i="6"/>
  <c r="I1726" i="6"/>
  <c r="I1737" i="6"/>
  <c r="N1745" i="6"/>
  <c r="F1745" i="6"/>
  <c r="M1745" i="6"/>
  <c r="E1745" i="6"/>
  <c r="K1745" i="6"/>
  <c r="C1745" i="6"/>
  <c r="J1745" i="6"/>
  <c r="B1745" i="6"/>
  <c r="L1756" i="6"/>
  <c r="D1756" i="6"/>
  <c r="G1756" i="6"/>
  <c r="M1756" i="6"/>
  <c r="C1756" i="6"/>
  <c r="K1756" i="6"/>
  <c r="B1756" i="6"/>
  <c r="I1756" i="6"/>
  <c r="H1756" i="6"/>
  <c r="H1759" i="6"/>
  <c r="K1759" i="6"/>
  <c r="B1759" i="6"/>
  <c r="G1759" i="6"/>
  <c r="F1759" i="6"/>
  <c r="M1759" i="6"/>
  <c r="D1759" i="6"/>
  <c r="L1759" i="6"/>
  <c r="C1759" i="6"/>
  <c r="N1767" i="6"/>
  <c r="F1789" i="6"/>
  <c r="N1663" i="6"/>
  <c r="F1663" i="6"/>
  <c r="K1663" i="6"/>
  <c r="C1663" i="6"/>
  <c r="L1663" i="6"/>
  <c r="C1664" i="6"/>
  <c r="M1664" i="6"/>
  <c r="D1665" i="6"/>
  <c r="G1667" i="6"/>
  <c r="H1668" i="6"/>
  <c r="N1671" i="6"/>
  <c r="F1671" i="6"/>
  <c r="K1671" i="6"/>
  <c r="C1671" i="6"/>
  <c r="L1671" i="6"/>
  <c r="C1672" i="6"/>
  <c r="M1672" i="6"/>
  <c r="D1673" i="6"/>
  <c r="G1675" i="6"/>
  <c r="H1676" i="6"/>
  <c r="N1679" i="6"/>
  <c r="F1679" i="6"/>
  <c r="K1679" i="6"/>
  <c r="C1679" i="6"/>
  <c r="L1679" i="6"/>
  <c r="C1680" i="6"/>
  <c r="M1680" i="6"/>
  <c r="D1681" i="6"/>
  <c r="G1683" i="6"/>
  <c r="H1684" i="6"/>
  <c r="N1687" i="6"/>
  <c r="F1687" i="6"/>
  <c r="K1687" i="6"/>
  <c r="C1687" i="6"/>
  <c r="L1687" i="6"/>
  <c r="C1688" i="6"/>
  <c r="M1688" i="6"/>
  <c r="D1689" i="6"/>
  <c r="G1691" i="6"/>
  <c r="H1692" i="6"/>
  <c r="N1695" i="6"/>
  <c r="F1695" i="6"/>
  <c r="K1695" i="6"/>
  <c r="C1695" i="6"/>
  <c r="L1695" i="6"/>
  <c r="C1696" i="6"/>
  <c r="M1696" i="6"/>
  <c r="D1697" i="6"/>
  <c r="G1699" i="6"/>
  <c r="H1700" i="6"/>
  <c r="I1701" i="6"/>
  <c r="N1703" i="6"/>
  <c r="F1703" i="6"/>
  <c r="K1703" i="6"/>
  <c r="C1703" i="6"/>
  <c r="L1703" i="6"/>
  <c r="C1704" i="6"/>
  <c r="M1704" i="6"/>
  <c r="D1705" i="6"/>
  <c r="G1707" i="6"/>
  <c r="H1708" i="6"/>
  <c r="I1709" i="6"/>
  <c r="N1711" i="6"/>
  <c r="F1711" i="6"/>
  <c r="S1711" i="6"/>
  <c r="K1711" i="6"/>
  <c r="C1711" i="6"/>
  <c r="L1711" i="6"/>
  <c r="C1712" i="6"/>
  <c r="M1712" i="6"/>
  <c r="D1713" i="6"/>
  <c r="G1715" i="6"/>
  <c r="H1716" i="6"/>
  <c r="I1717" i="6"/>
  <c r="N1719" i="6"/>
  <c r="F1719" i="6"/>
  <c r="K1719" i="6"/>
  <c r="C1719" i="6"/>
  <c r="L1719" i="6"/>
  <c r="C1720" i="6"/>
  <c r="M1720" i="6"/>
  <c r="D1721" i="6"/>
  <c r="G1723" i="6"/>
  <c r="H1724" i="6"/>
  <c r="I1725" i="6"/>
  <c r="N1727" i="6"/>
  <c r="F1727" i="6"/>
  <c r="K1727" i="6"/>
  <c r="C1727" i="6"/>
  <c r="L1727" i="6"/>
  <c r="H1729" i="6"/>
  <c r="G1731" i="6"/>
  <c r="I1735" i="6"/>
  <c r="N1743" i="6"/>
  <c r="F1743" i="6"/>
  <c r="M1743" i="6"/>
  <c r="E1743" i="6"/>
  <c r="K1743" i="6"/>
  <c r="C1743" i="6"/>
  <c r="J1743" i="6"/>
  <c r="B1743" i="6"/>
  <c r="D1745" i="6"/>
  <c r="G1747" i="6"/>
  <c r="I1751" i="6"/>
  <c r="E1756" i="6"/>
  <c r="L1758" i="6"/>
  <c r="D1758" i="6"/>
  <c r="M1758" i="6"/>
  <c r="C1758" i="6"/>
  <c r="I1758" i="6"/>
  <c r="H1758" i="6"/>
  <c r="F1758" i="6"/>
  <c r="N1758" i="6"/>
  <c r="E1758" i="6"/>
  <c r="E1759" i="6"/>
  <c r="N1772" i="6"/>
  <c r="N1775" i="6"/>
  <c r="K1789" i="6"/>
  <c r="J1702" i="6"/>
  <c r="B1702" i="6"/>
  <c r="G1702" i="6"/>
  <c r="L1702" i="6"/>
  <c r="J1710" i="6"/>
  <c r="B1710" i="6"/>
  <c r="G1710" i="6"/>
  <c r="L1710" i="6"/>
  <c r="J1718" i="6"/>
  <c r="B1718" i="6"/>
  <c r="G1718" i="6"/>
  <c r="L1718" i="6"/>
  <c r="J1726" i="6"/>
  <c r="B1726" i="6"/>
  <c r="G1726" i="6"/>
  <c r="L1726" i="6"/>
  <c r="N1741" i="6"/>
  <c r="F1741" i="6"/>
  <c r="M1741" i="6"/>
  <c r="E1741" i="6"/>
  <c r="K1741" i="6"/>
  <c r="C1741" i="6"/>
  <c r="J1741" i="6"/>
  <c r="B1741" i="6"/>
  <c r="Q1758" i="6"/>
  <c r="O1758" i="6"/>
  <c r="T1758" i="6" s="1"/>
  <c r="L1764" i="6"/>
  <c r="D1764" i="6"/>
  <c r="K1764" i="6"/>
  <c r="B1764" i="6"/>
  <c r="H1764" i="6"/>
  <c r="G1764" i="6"/>
  <c r="N1764" i="6"/>
  <c r="E1764" i="6"/>
  <c r="M1764" i="6"/>
  <c r="C1764" i="6"/>
  <c r="N1701" i="6"/>
  <c r="F1701" i="6"/>
  <c r="K1701" i="6"/>
  <c r="C1701" i="6"/>
  <c r="L1701" i="6"/>
  <c r="C1702" i="6"/>
  <c r="M1702" i="6"/>
  <c r="N1709" i="6"/>
  <c r="F1709" i="6"/>
  <c r="K1709" i="6"/>
  <c r="C1709" i="6"/>
  <c r="L1709" i="6"/>
  <c r="C1710" i="6"/>
  <c r="M1710" i="6"/>
  <c r="O1711" i="6"/>
  <c r="T1711" i="6" s="1"/>
  <c r="N1717" i="6"/>
  <c r="F1717" i="6"/>
  <c r="K1717" i="6"/>
  <c r="C1717" i="6"/>
  <c r="L1717" i="6"/>
  <c r="C1718" i="6"/>
  <c r="M1718" i="6"/>
  <c r="N1725" i="6"/>
  <c r="F1725" i="6"/>
  <c r="K1725" i="6"/>
  <c r="C1725" i="6"/>
  <c r="L1725" i="6"/>
  <c r="C1726" i="6"/>
  <c r="M1726" i="6"/>
  <c r="N1739" i="6"/>
  <c r="F1739" i="6"/>
  <c r="M1739" i="6"/>
  <c r="E1739" i="6"/>
  <c r="K1739" i="6"/>
  <c r="C1739" i="6"/>
  <c r="J1739" i="6"/>
  <c r="B1739" i="6"/>
  <c r="D1741" i="6"/>
  <c r="F1764" i="6"/>
  <c r="H1767" i="6"/>
  <c r="F1767" i="6"/>
  <c r="L1767" i="6"/>
  <c r="C1767" i="6"/>
  <c r="K1767" i="6"/>
  <c r="B1767" i="6"/>
  <c r="I1767" i="6"/>
  <c r="G1767" i="6"/>
  <c r="F1664" i="6"/>
  <c r="J1668" i="6"/>
  <c r="B1668" i="6"/>
  <c r="G1668" i="6"/>
  <c r="L1668" i="6"/>
  <c r="F1672" i="6"/>
  <c r="J1676" i="6"/>
  <c r="B1676" i="6"/>
  <c r="G1676" i="6"/>
  <c r="L1676" i="6"/>
  <c r="F1680" i="6"/>
  <c r="J1684" i="6"/>
  <c r="B1684" i="6"/>
  <c r="G1684" i="6"/>
  <c r="L1684" i="6"/>
  <c r="F1688" i="6"/>
  <c r="J1692" i="6"/>
  <c r="B1692" i="6"/>
  <c r="G1692" i="6"/>
  <c r="L1692" i="6"/>
  <c r="F1696" i="6"/>
  <c r="J1700" i="6"/>
  <c r="B1700" i="6"/>
  <c r="G1700" i="6"/>
  <c r="L1700" i="6"/>
  <c r="B1701" i="6"/>
  <c r="M1701" i="6"/>
  <c r="D1702" i="6"/>
  <c r="N1702" i="6"/>
  <c r="F1704" i="6"/>
  <c r="J1708" i="6"/>
  <c r="B1708" i="6"/>
  <c r="G1708" i="6"/>
  <c r="L1708" i="6"/>
  <c r="B1709" i="6"/>
  <c r="M1709" i="6"/>
  <c r="D1710" i="6"/>
  <c r="N1710" i="6"/>
  <c r="F1712" i="6"/>
  <c r="J1716" i="6"/>
  <c r="B1716" i="6"/>
  <c r="G1716" i="6"/>
  <c r="L1716" i="6"/>
  <c r="B1717" i="6"/>
  <c r="M1717" i="6"/>
  <c r="D1718" i="6"/>
  <c r="N1718" i="6"/>
  <c r="F1720" i="6"/>
  <c r="J1724" i="6"/>
  <c r="B1724" i="6"/>
  <c r="G1724" i="6"/>
  <c r="L1724" i="6"/>
  <c r="B1725" i="6"/>
  <c r="M1725" i="6"/>
  <c r="D1726" i="6"/>
  <c r="N1726" i="6"/>
  <c r="N1737" i="6"/>
  <c r="F1737" i="6"/>
  <c r="M1737" i="6"/>
  <c r="E1737" i="6"/>
  <c r="K1737" i="6"/>
  <c r="C1737" i="6"/>
  <c r="J1737" i="6"/>
  <c r="B1737" i="6"/>
  <c r="D1739" i="6"/>
  <c r="G1741" i="6"/>
  <c r="I1745" i="6"/>
  <c r="N1756" i="6"/>
  <c r="N1759" i="6"/>
  <c r="I1764" i="6"/>
  <c r="D1767" i="6"/>
  <c r="H1803" i="6"/>
  <c r="M1803" i="6"/>
  <c r="E1803" i="6"/>
  <c r="L1803" i="6"/>
  <c r="D1803" i="6"/>
  <c r="I1803" i="6"/>
  <c r="G1803" i="6"/>
  <c r="F1803" i="6"/>
  <c r="C1803" i="6"/>
  <c r="B1803" i="6"/>
  <c r="K1803" i="6"/>
  <c r="J1803" i="6"/>
  <c r="B1753" i="6"/>
  <c r="J1753" i="6"/>
  <c r="B1755" i="6"/>
  <c r="J1755" i="6"/>
  <c r="L1760" i="6"/>
  <c r="D1760" i="6"/>
  <c r="J1760" i="6"/>
  <c r="B1765" i="6"/>
  <c r="K1765" i="6"/>
  <c r="B1770" i="6"/>
  <c r="K1770" i="6"/>
  <c r="J1771" i="6"/>
  <c r="L1776" i="6"/>
  <c r="D1776" i="6"/>
  <c r="J1776" i="6"/>
  <c r="H1777" i="6"/>
  <c r="M1777" i="6"/>
  <c r="E1777" i="6"/>
  <c r="K1777" i="6"/>
  <c r="B1779" i="6"/>
  <c r="L1779" i="6"/>
  <c r="D1783" i="6"/>
  <c r="H1793" i="6"/>
  <c r="M1793" i="6"/>
  <c r="E1793" i="6"/>
  <c r="K1793" i="6"/>
  <c r="B1795" i="6"/>
  <c r="L1795" i="6"/>
  <c r="C1797" i="6"/>
  <c r="N1797" i="6"/>
  <c r="B1801" i="6"/>
  <c r="F1805" i="6"/>
  <c r="H1807" i="6"/>
  <c r="M1807" i="6"/>
  <c r="E1807" i="6"/>
  <c r="L1807" i="6"/>
  <c r="D1807" i="6"/>
  <c r="N1807" i="6"/>
  <c r="G1728" i="6"/>
  <c r="G1730" i="6"/>
  <c r="G1732" i="6"/>
  <c r="G1734" i="6"/>
  <c r="G1736" i="6"/>
  <c r="G1738" i="6"/>
  <c r="G1740" i="6"/>
  <c r="G1742" i="6"/>
  <c r="G1744" i="6"/>
  <c r="G1746" i="6"/>
  <c r="G1748" i="6"/>
  <c r="G1750" i="6"/>
  <c r="G1752" i="6"/>
  <c r="C1753" i="6"/>
  <c r="K1753" i="6"/>
  <c r="G1754" i="6"/>
  <c r="C1755" i="6"/>
  <c r="K1755" i="6"/>
  <c r="G1757" i="6"/>
  <c r="B1760" i="6"/>
  <c r="K1760" i="6"/>
  <c r="J1761" i="6"/>
  <c r="C1765" i="6"/>
  <c r="L1765" i="6"/>
  <c r="L1766" i="6"/>
  <c r="D1766" i="6"/>
  <c r="J1766" i="6"/>
  <c r="C1770" i="6"/>
  <c r="M1770" i="6"/>
  <c r="B1771" i="6"/>
  <c r="K1771" i="6"/>
  <c r="G1773" i="6"/>
  <c r="B1776" i="6"/>
  <c r="K1776" i="6"/>
  <c r="B1777" i="6"/>
  <c r="L1777" i="6"/>
  <c r="C1779" i="6"/>
  <c r="N1779" i="6"/>
  <c r="F1783" i="6"/>
  <c r="I1787" i="6"/>
  <c r="H1791" i="6"/>
  <c r="M1791" i="6"/>
  <c r="E1791" i="6"/>
  <c r="K1791" i="6"/>
  <c r="B1793" i="6"/>
  <c r="L1793" i="6"/>
  <c r="C1795" i="6"/>
  <c r="N1795" i="6"/>
  <c r="D1797" i="6"/>
  <c r="C1801" i="6"/>
  <c r="G1805" i="6"/>
  <c r="B1807" i="6"/>
  <c r="Q1827" i="6"/>
  <c r="P1827" i="6"/>
  <c r="S1827" i="6" s="1"/>
  <c r="O1827" i="6"/>
  <c r="T1827" i="6" s="1"/>
  <c r="I1728" i="6"/>
  <c r="I1730" i="6"/>
  <c r="I1732" i="6"/>
  <c r="I1734" i="6"/>
  <c r="I1736" i="6"/>
  <c r="I1738" i="6"/>
  <c r="I1740" i="6"/>
  <c r="I1742" i="6"/>
  <c r="I1744" i="6"/>
  <c r="I1746" i="6"/>
  <c r="I1748" i="6"/>
  <c r="I1750" i="6"/>
  <c r="I1752" i="6"/>
  <c r="E1753" i="6"/>
  <c r="M1753" i="6"/>
  <c r="I1754" i="6"/>
  <c r="E1755" i="6"/>
  <c r="M1755" i="6"/>
  <c r="J1757" i="6"/>
  <c r="E1760" i="6"/>
  <c r="N1760" i="6"/>
  <c r="L1762" i="6"/>
  <c r="D1762" i="6"/>
  <c r="J1762" i="6"/>
  <c r="E1765" i="6"/>
  <c r="N1765" i="6"/>
  <c r="F1770" i="6"/>
  <c r="D1771" i="6"/>
  <c r="M1771" i="6"/>
  <c r="J1773" i="6"/>
  <c r="E1776" i="6"/>
  <c r="N1776" i="6"/>
  <c r="D1777" i="6"/>
  <c r="F1779" i="6"/>
  <c r="I1783" i="6"/>
  <c r="H1787" i="6"/>
  <c r="M1787" i="6"/>
  <c r="E1787" i="6"/>
  <c r="K1787" i="6"/>
  <c r="D1793" i="6"/>
  <c r="F1795" i="6"/>
  <c r="G1797" i="6"/>
  <c r="G1801" i="6"/>
  <c r="J1805" i="6"/>
  <c r="F1807" i="6"/>
  <c r="H1809" i="6"/>
  <c r="G1809" i="6"/>
  <c r="M1809" i="6"/>
  <c r="E1809" i="6"/>
  <c r="L1809" i="6"/>
  <c r="D1809" i="6"/>
  <c r="H1811" i="6"/>
  <c r="G1811" i="6"/>
  <c r="M1811" i="6"/>
  <c r="E1811" i="6"/>
  <c r="L1811" i="6"/>
  <c r="D1811" i="6"/>
  <c r="H1813" i="6"/>
  <c r="G1813" i="6"/>
  <c r="M1813" i="6"/>
  <c r="E1813" i="6"/>
  <c r="L1813" i="6"/>
  <c r="D1813" i="6"/>
  <c r="H1815" i="6"/>
  <c r="G1815" i="6"/>
  <c r="M1815" i="6"/>
  <c r="E1815" i="6"/>
  <c r="L1815" i="6"/>
  <c r="D1815" i="6"/>
  <c r="H1817" i="6"/>
  <c r="G1817" i="6"/>
  <c r="M1817" i="6"/>
  <c r="E1817" i="6"/>
  <c r="L1817" i="6"/>
  <c r="D1817" i="6"/>
  <c r="H1819" i="6"/>
  <c r="G1819" i="6"/>
  <c r="M1819" i="6"/>
  <c r="E1819" i="6"/>
  <c r="L1819" i="6"/>
  <c r="D1819" i="6"/>
  <c r="H1821" i="6"/>
  <c r="G1821" i="6"/>
  <c r="M1821" i="6"/>
  <c r="E1821" i="6"/>
  <c r="L1821" i="6"/>
  <c r="D1821" i="6"/>
  <c r="H1823" i="6"/>
  <c r="G1823" i="6"/>
  <c r="M1823" i="6"/>
  <c r="E1823" i="6"/>
  <c r="L1823" i="6"/>
  <c r="D1823" i="6"/>
  <c r="Q1836" i="6"/>
  <c r="P1836" i="6"/>
  <c r="S1836" i="6" s="1"/>
  <c r="B1728" i="6"/>
  <c r="B1730" i="6"/>
  <c r="B1732" i="6"/>
  <c r="B1734" i="6"/>
  <c r="B1736" i="6"/>
  <c r="B1738" i="6"/>
  <c r="B1740" i="6"/>
  <c r="B1742" i="6"/>
  <c r="B1744" i="6"/>
  <c r="B1746" i="6"/>
  <c r="B1748" i="6"/>
  <c r="B1750" i="6"/>
  <c r="B1752" i="6"/>
  <c r="F1753" i="6"/>
  <c r="N1753" i="6"/>
  <c r="B1754" i="6"/>
  <c r="F1755" i="6"/>
  <c r="N1755" i="6"/>
  <c r="B1757" i="6"/>
  <c r="K1757" i="6"/>
  <c r="F1760" i="6"/>
  <c r="D1761" i="6"/>
  <c r="M1761" i="6"/>
  <c r="B1762" i="6"/>
  <c r="K1762" i="6"/>
  <c r="J1763" i="6"/>
  <c r="F1765" i="6"/>
  <c r="E1766" i="6"/>
  <c r="N1766" i="6"/>
  <c r="L1768" i="6"/>
  <c r="D1768" i="6"/>
  <c r="J1768" i="6"/>
  <c r="E1771" i="6"/>
  <c r="N1771" i="6"/>
  <c r="B1773" i="6"/>
  <c r="K1773" i="6"/>
  <c r="F1776" i="6"/>
  <c r="F1777" i="6"/>
  <c r="J1783" i="6"/>
  <c r="H1785" i="6"/>
  <c r="M1785" i="6"/>
  <c r="E1785" i="6"/>
  <c r="K1785" i="6"/>
  <c r="B1787" i="6"/>
  <c r="L1787" i="6"/>
  <c r="D1791" i="6"/>
  <c r="F1793" i="6"/>
  <c r="I1797" i="6"/>
  <c r="H1799" i="6"/>
  <c r="M1799" i="6"/>
  <c r="E1799" i="6"/>
  <c r="L1799" i="6"/>
  <c r="D1799" i="6"/>
  <c r="N1799" i="6"/>
  <c r="G1807" i="6"/>
  <c r="B1809" i="6"/>
  <c r="B1811" i="6"/>
  <c r="B1813" i="6"/>
  <c r="B1815" i="6"/>
  <c r="B1817" i="6"/>
  <c r="B1819" i="6"/>
  <c r="B1821" i="6"/>
  <c r="O1823" i="6"/>
  <c r="T1823" i="6" s="1"/>
  <c r="Q1841" i="6"/>
  <c r="H1783" i="6"/>
  <c r="M1783" i="6"/>
  <c r="E1783" i="6"/>
  <c r="K1783" i="6"/>
  <c r="J1797" i="6"/>
  <c r="H1805" i="6"/>
  <c r="M1805" i="6"/>
  <c r="E1805" i="6"/>
  <c r="L1805" i="6"/>
  <c r="D1805" i="6"/>
  <c r="N1805" i="6"/>
  <c r="H1797" i="6"/>
  <c r="M1797" i="6"/>
  <c r="E1797" i="6"/>
  <c r="K1797" i="6"/>
  <c r="Q1831" i="6"/>
  <c r="P1831" i="6"/>
  <c r="S1831" i="6" s="1"/>
  <c r="O1831" i="6"/>
  <c r="T1831" i="6" s="1"/>
  <c r="J1765" i="6"/>
  <c r="L1770" i="6"/>
  <c r="D1770" i="6"/>
  <c r="J1770" i="6"/>
  <c r="H1779" i="6"/>
  <c r="M1779" i="6"/>
  <c r="E1779" i="6"/>
  <c r="K1779" i="6"/>
  <c r="C1783" i="6"/>
  <c r="N1783" i="6"/>
  <c r="H1795" i="6"/>
  <c r="M1795" i="6"/>
  <c r="E1795" i="6"/>
  <c r="K1795" i="6"/>
  <c r="B1797" i="6"/>
  <c r="L1797" i="6"/>
  <c r="H1801" i="6"/>
  <c r="M1801" i="6"/>
  <c r="E1801" i="6"/>
  <c r="L1801" i="6"/>
  <c r="D1801" i="6"/>
  <c r="N1801" i="6"/>
  <c r="C1805" i="6"/>
  <c r="Q1816" i="6"/>
  <c r="Q1824" i="6"/>
  <c r="P1824" i="6"/>
  <c r="S1824" i="6" s="1"/>
  <c r="D1825" i="6"/>
  <c r="L1825" i="6"/>
  <c r="D1827" i="6"/>
  <c r="L1827" i="6"/>
  <c r="D1829" i="6"/>
  <c r="L1829" i="6"/>
  <c r="D1831" i="6"/>
  <c r="L1831" i="6"/>
  <c r="D1833" i="6"/>
  <c r="L1833" i="6"/>
  <c r="D1835" i="6"/>
  <c r="L1835" i="6"/>
  <c r="D1837" i="6"/>
  <c r="L1837" i="6"/>
  <c r="D1839" i="6"/>
  <c r="L1839" i="6"/>
  <c r="D1841" i="6"/>
  <c r="L1841" i="6"/>
  <c r="D1843" i="6"/>
  <c r="L1843" i="6"/>
  <c r="D1845" i="6"/>
  <c r="L1845" i="6"/>
  <c r="D1847" i="6"/>
  <c r="M1847" i="6"/>
  <c r="B1848" i="6"/>
  <c r="K1848" i="6"/>
  <c r="G1850" i="6"/>
  <c r="B1852" i="6"/>
  <c r="K1852" i="6"/>
  <c r="G1854" i="6"/>
  <c r="C1856" i="6"/>
  <c r="N1856" i="6"/>
  <c r="G1857" i="6"/>
  <c r="G1862" i="6"/>
  <c r="L1862" i="6"/>
  <c r="C1862" i="6"/>
  <c r="M1862" i="6"/>
  <c r="B1862" i="6"/>
  <c r="J1862" i="6"/>
  <c r="F1866" i="6"/>
  <c r="K1867" i="6"/>
  <c r="C1867" i="6"/>
  <c r="M1867" i="6"/>
  <c r="D1867" i="6"/>
  <c r="F1867" i="6"/>
  <c r="N1867" i="6"/>
  <c r="B1867" i="6"/>
  <c r="J1867" i="6"/>
  <c r="F1870" i="6"/>
  <c r="L1872" i="6"/>
  <c r="D1872" i="6"/>
  <c r="G1872" i="6"/>
  <c r="J1872" i="6"/>
  <c r="E1872" i="6"/>
  <c r="N1872" i="6"/>
  <c r="B1872" i="6"/>
  <c r="K1872" i="6"/>
  <c r="H1874" i="6"/>
  <c r="L1876" i="6"/>
  <c r="D1876" i="6"/>
  <c r="G1876" i="6"/>
  <c r="E1876" i="6"/>
  <c r="I1876" i="6"/>
  <c r="H1876" i="6"/>
  <c r="F1876" i="6"/>
  <c r="N1876" i="6"/>
  <c r="B1876" i="6"/>
  <c r="L1878" i="6"/>
  <c r="D1878" i="6"/>
  <c r="G1878" i="6"/>
  <c r="H1878" i="6"/>
  <c r="E1878" i="6"/>
  <c r="C1878" i="6"/>
  <c r="N1878" i="6"/>
  <c r="B1878" i="6"/>
  <c r="K1878" i="6"/>
  <c r="E1879" i="6"/>
  <c r="B1888" i="6"/>
  <c r="I1778" i="6"/>
  <c r="I1780" i="6"/>
  <c r="I1782" i="6"/>
  <c r="I1784" i="6"/>
  <c r="I1786" i="6"/>
  <c r="I1788" i="6"/>
  <c r="I1790" i="6"/>
  <c r="I1792" i="6"/>
  <c r="I1794" i="6"/>
  <c r="I1796" i="6"/>
  <c r="I1798" i="6"/>
  <c r="I1800" i="6"/>
  <c r="I1802" i="6"/>
  <c r="I1804" i="6"/>
  <c r="I1806" i="6"/>
  <c r="I1808" i="6"/>
  <c r="I1810" i="6"/>
  <c r="I1812" i="6"/>
  <c r="I1814" i="6"/>
  <c r="I1816" i="6"/>
  <c r="I1818" i="6"/>
  <c r="I1820" i="6"/>
  <c r="I1822" i="6"/>
  <c r="I1824" i="6"/>
  <c r="E1825" i="6"/>
  <c r="M1825" i="6"/>
  <c r="I1826" i="6"/>
  <c r="E1827" i="6"/>
  <c r="M1827" i="6"/>
  <c r="I1828" i="6"/>
  <c r="E1829" i="6"/>
  <c r="M1829" i="6"/>
  <c r="I1830" i="6"/>
  <c r="E1831" i="6"/>
  <c r="M1831" i="6"/>
  <c r="I1832" i="6"/>
  <c r="E1833" i="6"/>
  <c r="M1833" i="6"/>
  <c r="I1834" i="6"/>
  <c r="E1835" i="6"/>
  <c r="M1835" i="6"/>
  <c r="I1836" i="6"/>
  <c r="E1837" i="6"/>
  <c r="M1837" i="6"/>
  <c r="I1838" i="6"/>
  <c r="E1839" i="6"/>
  <c r="M1839" i="6"/>
  <c r="I1840" i="6"/>
  <c r="E1841" i="6"/>
  <c r="M1841" i="6"/>
  <c r="I1842" i="6"/>
  <c r="E1843" i="6"/>
  <c r="M1843" i="6"/>
  <c r="I1844" i="6"/>
  <c r="E1845" i="6"/>
  <c r="M1845" i="6"/>
  <c r="I1846" i="6"/>
  <c r="E1847" i="6"/>
  <c r="N1847" i="6"/>
  <c r="C1848" i="6"/>
  <c r="L1848" i="6"/>
  <c r="C1852" i="6"/>
  <c r="L1852" i="6"/>
  <c r="D1856" i="6"/>
  <c r="H1857" i="6"/>
  <c r="D1862" i="6"/>
  <c r="H1866" i="6"/>
  <c r="J1870" i="6"/>
  <c r="L1879" i="6"/>
  <c r="H1885" i="6"/>
  <c r="K1885" i="6"/>
  <c r="C1885" i="6"/>
  <c r="F1885" i="6"/>
  <c r="J1885" i="6"/>
  <c r="I1885" i="6"/>
  <c r="G1885" i="6"/>
  <c r="D1885" i="6"/>
  <c r="R1887" i="6"/>
  <c r="C1888" i="6"/>
  <c r="H1893" i="6"/>
  <c r="K1893" i="6"/>
  <c r="C1893" i="6"/>
  <c r="F1893" i="6"/>
  <c r="N1893" i="6"/>
  <c r="D1893" i="6"/>
  <c r="M1893" i="6"/>
  <c r="L1893" i="6"/>
  <c r="J1893" i="6"/>
  <c r="I1893" i="6"/>
  <c r="G1893" i="6"/>
  <c r="B1893" i="6"/>
  <c r="L1899" i="6"/>
  <c r="D1899" i="6"/>
  <c r="N1899" i="6"/>
  <c r="E1899" i="6"/>
  <c r="I1899" i="6"/>
  <c r="H1899" i="6"/>
  <c r="K1899" i="6"/>
  <c r="G1899" i="6"/>
  <c r="C1899" i="6"/>
  <c r="M1899" i="6"/>
  <c r="J1899" i="6"/>
  <c r="B1899" i="6"/>
  <c r="O1896" i="6"/>
  <c r="T1896" i="6" s="1"/>
  <c r="Q1896" i="6"/>
  <c r="G1825" i="6"/>
  <c r="G1827" i="6"/>
  <c r="G1829" i="6"/>
  <c r="G1831" i="6"/>
  <c r="G1833" i="6"/>
  <c r="G1835" i="6"/>
  <c r="G1837" i="6"/>
  <c r="G1839" i="6"/>
  <c r="G1841" i="6"/>
  <c r="G1843" i="6"/>
  <c r="G1845" i="6"/>
  <c r="G1847" i="6"/>
  <c r="F1848" i="6"/>
  <c r="M1850" i="6"/>
  <c r="E1850" i="6"/>
  <c r="J1850" i="6"/>
  <c r="F1852" i="6"/>
  <c r="M1854" i="6"/>
  <c r="E1854" i="6"/>
  <c r="J1854" i="6"/>
  <c r="H1856" i="6"/>
  <c r="J1857" i="6"/>
  <c r="R1859" i="6"/>
  <c r="F1862" i="6"/>
  <c r="K1866" i="6"/>
  <c r="L1882" i="6"/>
  <c r="D1882" i="6"/>
  <c r="G1882" i="6"/>
  <c r="M1882" i="6"/>
  <c r="B1882" i="6"/>
  <c r="I1882" i="6"/>
  <c r="H1882" i="6"/>
  <c r="F1882" i="6"/>
  <c r="C1882" i="6"/>
  <c r="L1884" i="6"/>
  <c r="D1884" i="6"/>
  <c r="G1884" i="6"/>
  <c r="E1884" i="6"/>
  <c r="F1884" i="6"/>
  <c r="C1884" i="6"/>
  <c r="N1884" i="6"/>
  <c r="B1884" i="6"/>
  <c r="K1884" i="6"/>
  <c r="M1888" i="6"/>
  <c r="D1778" i="6"/>
  <c r="L1778" i="6"/>
  <c r="D1780" i="6"/>
  <c r="L1780" i="6"/>
  <c r="D1782" i="6"/>
  <c r="L1782" i="6"/>
  <c r="D1784" i="6"/>
  <c r="L1784" i="6"/>
  <c r="D1786" i="6"/>
  <c r="L1786" i="6"/>
  <c r="D1788" i="6"/>
  <c r="L1788" i="6"/>
  <c r="D1790" i="6"/>
  <c r="L1790" i="6"/>
  <c r="D1792" i="6"/>
  <c r="L1792" i="6"/>
  <c r="D1794" i="6"/>
  <c r="L1794" i="6"/>
  <c r="D1796" i="6"/>
  <c r="L1796" i="6"/>
  <c r="D1798" i="6"/>
  <c r="L1798" i="6"/>
  <c r="D1800" i="6"/>
  <c r="L1800" i="6"/>
  <c r="D1802" i="6"/>
  <c r="L1802" i="6"/>
  <c r="D1804" i="6"/>
  <c r="L1804" i="6"/>
  <c r="D1806" i="6"/>
  <c r="L1806" i="6"/>
  <c r="D1808" i="6"/>
  <c r="L1808" i="6"/>
  <c r="D1810" i="6"/>
  <c r="L1810" i="6"/>
  <c r="D1812" i="6"/>
  <c r="L1812" i="6"/>
  <c r="D1814" i="6"/>
  <c r="L1814" i="6"/>
  <c r="D1816" i="6"/>
  <c r="L1816" i="6"/>
  <c r="D1818" i="6"/>
  <c r="L1818" i="6"/>
  <c r="D1820" i="6"/>
  <c r="L1820" i="6"/>
  <c r="D1822" i="6"/>
  <c r="L1822" i="6"/>
  <c r="D1824" i="6"/>
  <c r="L1824" i="6"/>
  <c r="H1825" i="6"/>
  <c r="D1826" i="6"/>
  <c r="L1826" i="6"/>
  <c r="H1827" i="6"/>
  <c r="D1828" i="6"/>
  <c r="L1828" i="6"/>
  <c r="H1829" i="6"/>
  <c r="D1830" i="6"/>
  <c r="L1830" i="6"/>
  <c r="H1831" i="6"/>
  <c r="D1832" i="6"/>
  <c r="L1832" i="6"/>
  <c r="H1833" i="6"/>
  <c r="D1834" i="6"/>
  <c r="L1834" i="6"/>
  <c r="H1835" i="6"/>
  <c r="D1836" i="6"/>
  <c r="L1836" i="6"/>
  <c r="H1837" i="6"/>
  <c r="D1838" i="6"/>
  <c r="L1838" i="6"/>
  <c r="H1839" i="6"/>
  <c r="D1840" i="6"/>
  <c r="L1840" i="6"/>
  <c r="H1841" i="6"/>
  <c r="D1842" i="6"/>
  <c r="L1842" i="6"/>
  <c r="H1843" i="6"/>
  <c r="D1844" i="6"/>
  <c r="L1844" i="6"/>
  <c r="H1845" i="6"/>
  <c r="D1846" i="6"/>
  <c r="L1846" i="6"/>
  <c r="H1847" i="6"/>
  <c r="G1848" i="6"/>
  <c r="B1850" i="6"/>
  <c r="K1850" i="6"/>
  <c r="G1852" i="6"/>
  <c r="B1854" i="6"/>
  <c r="K1854" i="6"/>
  <c r="I1856" i="6"/>
  <c r="O1859" i="6"/>
  <c r="T1859" i="6" s="1"/>
  <c r="H1862" i="6"/>
  <c r="I1867" i="6"/>
  <c r="K1869" i="6"/>
  <c r="C1869" i="6"/>
  <c r="I1869" i="6"/>
  <c r="G1869" i="6"/>
  <c r="E1869" i="6"/>
  <c r="M1869" i="6"/>
  <c r="B1869" i="6"/>
  <c r="I1872" i="6"/>
  <c r="M1876" i="6"/>
  <c r="M1878" i="6"/>
  <c r="E1882" i="6"/>
  <c r="H1884" i="6"/>
  <c r="L1885" i="6"/>
  <c r="L1890" i="6"/>
  <c r="D1890" i="6"/>
  <c r="G1890" i="6"/>
  <c r="M1890" i="6"/>
  <c r="B1890" i="6"/>
  <c r="I1890" i="6"/>
  <c r="H1890" i="6"/>
  <c r="F1890" i="6"/>
  <c r="E1890" i="6"/>
  <c r="C1890" i="6"/>
  <c r="K1890" i="6"/>
  <c r="J1847" i="6"/>
  <c r="K1857" i="6"/>
  <c r="C1857" i="6"/>
  <c r="N1857" i="6"/>
  <c r="E1857" i="6"/>
  <c r="L1857" i="6"/>
  <c r="B1857" i="6"/>
  <c r="L1870" i="6"/>
  <c r="G1870" i="6"/>
  <c r="H1870" i="6"/>
  <c r="I1870" i="6"/>
  <c r="E1870" i="6"/>
  <c r="N1870" i="6"/>
  <c r="C1870" i="6"/>
  <c r="L1874" i="6"/>
  <c r="D1874" i="6"/>
  <c r="G1874" i="6"/>
  <c r="M1874" i="6"/>
  <c r="B1874" i="6"/>
  <c r="K1874" i="6"/>
  <c r="I1874" i="6"/>
  <c r="F1874" i="6"/>
  <c r="G1856" i="6"/>
  <c r="M1856" i="6"/>
  <c r="E1856" i="6"/>
  <c r="K1856" i="6"/>
  <c r="G1866" i="6"/>
  <c r="N1866" i="6"/>
  <c r="E1866" i="6"/>
  <c r="D1866" i="6"/>
  <c r="L1866" i="6"/>
  <c r="B1866" i="6"/>
  <c r="J1866" i="6"/>
  <c r="H1879" i="6"/>
  <c r="K1879" i="6"/>
  <c r="C1879" i="6"/>
  <c r="I1879" i="6"/>
  <c r="J1879" i="6"/>
  <c r="G1879" i="6"/>
  <c r="F1879" i="6"/>
  <c r="D1879" i="6"/>
  <c r="M1848" i="6"/>
  <c r="E1848" i="6"/>
  <c r="J1848" i="6"/>
  <c r="M1852" i="6"/>
  <c r="E1852" i="6"/>
  <c r="J1852" i="6"/>
  <c r="B1856" i="6"/>
  <c r="L1856" i="6"/>
  <c r="C1866" i="6"/>
  <c r="P1871" i="6"/>
  <c r="S1871" i="6" s="1"/>
  <c r="R1871" i="6"/>
  <c r="Q1871" i="6"/>
  <c r="L1888" i="6"/>
  <c r="D1888" i="6"/>
  <c r="G1888" i="6"/>
  <c r="J1888" i="6"/>
  <c r="K1888" i="6"/>
  <c r="I1888" i="6"/>
  <c r="H1888" i="6"/>
  <c r="E1888" i="6"/>
  <c r="H1906" i="6"/>
  <c r="L1906" i="6"/>
  <c r="C1906" i="6"/>
  <c r="G1906" i="6"/>
  <c r="E1906" i="6"/>
  <c r="J1906" i="6"/>
  <c r="I1906" i="6"/>
  <c r="B1906" i="6"/>
  <c r="M1906" i="6"/>
  <c r="K1906" i="6"/>
  <c r="F1906" i="6"/>
  <c r="N1906" i="6"/>
  <c r="D1906" i="6"/>
  <c r="G1868" i="6"/>
  <c r="K1868" i="6"/>
  <c r="B1868" i="6"/>
  <c r="L1868" i="6"/>
  <c r="H1880" i="6"/>
  <c r="I1886" i="6"/>
  <c r="H1887" i="6"/>
  <c r="K1887" i="6"/>
  <c r="C1887" i="6"/>
  <c r="I1887" i="6"/>
  <c r="M1887" i="6"/>
  <c r="E1891" i="6"/>
  <c r="I1892" i="6"/>
  <c r="E1895" i="6"/>
  <c r="L1896" i="6"/>
  <c r="D1896" i="6"/>
  <c r="G1896" i="6"/>
  <c r="J1896" i="6"/>
  <c r="H1896" i="6"/>
  <c r="N1896" i="6"/>
  <c r="I1900" i="6"/>
  <c r="G1927" i="6"/>
  <c r="L1927" i="6"/>
  <c r="D1927" i="6"/>
  <c r="H1927" i="6"/>
  <c r="E1927" i="6"/>
  <c r="C1927" i="6"/>
  <c r="N1927" i="6"/>
  <c r="B1927" i="6"/>
  <c r="K1927" i="6"/>
  <c r="J1927" i="6"/>
  <c r="I1927" i="6"/>
  <c r="F1927" i="6"/>
  <c r="M1927" i="6"/>
  <c r="J1858" i="6"/>
  <c r="I1860" i="6"/>
  <c r="I1861" i="6"/>
  <c r="G1864" i="6"/>
  <c r="I1864" i="6"/>
  <c r="K1864" i="6"/>
  <c r="K1865" i="6"/>
  <c r="C1865" i="6"/>
  <c r="G1865" i="6"/>
  <c r="L1865" i="6"/>
  <c r="D1868" i="6"/>
  <c r="N1868" i="6"/>
  <c r="H1875" i="6"/>
  <c r="K1875" i="6"/>
  <c r="C1875" i="6"/>
  <c r="N1875" i="6"/>
  <c r="D1875" i="6"/>
  <c r="M1875" i="6"/>
  <c r="D1887" i="6"/>
  <c r="G1891" i="6"/>
  <c r="L1894" i="6"/>
  <c r="D1894" i="6"/>
  <c r="G1894" i="6"/>
  <c r="H1894" i="6"/>
  <c r="E1894" i="6"/>
  <c r="N1894" i="6"/>
  <c r="J1895" i="6"/>
  <c r="C1896" i="6"/>
  <c r="K1900" i="6"/>
  <c r="L1880" i="6"/>
  <c r="D1880" i="6"/>
  <c r="G1880" i="6"/>
  <c r="J1880" i="6"/>
  <c r="M1880" i="6"/>
  <c r="L1886" i="6"/>
  <c r="D1886" i="6"/>
  <c r="G1886" i="6"/>
  <c r="H1886" i="6"/>
  <c r="M1886" i="6"/>
  <c r="I1891" i="6"/>
  <c r="L1892" i="6"/>
  <c r="D1892" i="6"/>
  <c r="G1892" i="6"/>
  <c r="E1892" i="6"/>
  <c r="M1892" i="6"/>
  <c r="N1892" i="6"/>
  <c r="O1894" i="6"/>
  <c r="T1894" i="6" s="1"/>
  <c r="R1894" i="6"/>
  <c r="P1894" i="6"/>
  <c r="S1894" i="6" s="1"/>
  <c r="Q1894" i="6"/>
  <c r="L1895" i="6"/>
  <c r="N1900" i="6"/>
  <c r="K1859" i="6"/>
  <c r="C1859" i="6"/>
  <c r="J1859" i="6"/>
  <c r="G1860" i="6"/>
  <c r="F1860" i="6"/>
  <c r="K1860" i="6"/>
  <c r="K1861" i="6"/>
  <c r="C1861" i="6"/>
  <c r="N1861" i="6"/>
  <c r="E1861" i="6"/>
  <c r="L1861" i="6"/>
  <c r="F1868" i="6"/>
  <c r="H1871" i="6"/>
  <c r="K1871" i="6"/>
  <c r="C1871" i="6"/>
  <c r="T1871" i="6"/>
  <c r="I1871" i="6"/>
  <c r="M1871" i="6"/>
  <c r="H1877" i="6"/>
  <c r="K1877" i="6"/>
  <c r="C1877" i="6"/>
  <c r="F1877" i="6"/>
  <c r="M1877" i="6"/>
  <c r="B1880" i="6"/>
  <c r="N1880" i="6"/>
  <c r="H1883" i="6"/>
  <c r="K1883" i="6"/>
  <c r="C1883" i="6"/>
  <c r="N1883" i="6"/>
  <c r="D1883" i="6"/>
  <c r="M1883" i="6"/>
  <c r="B1886" i="6"/>
  <c r="N1886" i="6"/>
  <c r="F1887" i="6"/>
  <c r="J1891" i="6"/>
  <c r="B1892" i="6"/>
  <c r="C1894" i="6"/>
  <c r="F1896" i="6"/>
  <c r="Q1915" i="6"/>
  <c r="P1915" i="6"/>
  <c r="S1915" i="6" s="1"/>
  <c r="R1915" i="6"/>
  <c r="H1895" i="6"/>
  <c r="K1895" i="6"/>
  <c r="C1895" i="6"/>
  <c r="I1895" i="6"/>
  <c r="F1895" i="6"/>
  <c r="N1895" i="6"/>
  <c r="H1891" i="6"/>
  <c r="K1891" i="6"/>
  <c r="C1891" i="6"/>
  <c r="N1891" i="6"/>
  <c r="D1891" i="6"/>
  <c r="M1891" i="6"/>
  <c r="P1895" i="6"/>
  <c r="S1895" i="6" s="1"/>
  <c r="Q1895" i="6"/>
  <c r="O1895" i="6"/>
  <c r="T1895" i="6" s="1"/>
  <c r="H1900" i="6"/>
  <c r="L1900" i="6"/>
  <c r="C1900" i="6"/>
  <c r="G1900" i="6"/>
  <c r="F1900" i="6"/>
  <c r="E1900" i="6"/>
  <c r="B1900" i="6"/>
  <c r="M1900" i="6"/>
  <c r="L1913" i="6"/>
  <c r="D1913" i="6"/>
  <c r="I1913" i="6"/>
  <c r="M1913" i="6"/>
  <c r="B1913" i="6"/>
  <c r="J1913" i="6"/>
  <c r="G1913" i="6"/>
  <c r="E1913" i="6"/>
  <c r="N1913" i="6"/>
  <c r="C1913" i="6"/>
  <c r="F1913" i="6"/>
  <c r="K1913" i="6"/>
  <c r="F1905" i="6"/>
  <c r="H1916" i="6"/>
  <c r="M1916" i="6"/>
  <c r="D1916" i="6"/>
  <c r="E1916" i="6"/>
  <c r="L1916" i="6"/>
  <c r="B1916" i="6"/>
  <c r="J1916" i="6"/>
  <c r="G1916" i="6"/>
  <c r="F1916" i="6"/>
  <c r="I1917" i="6"/>
  <c r="H1920" i="6"/>
  <c r="F1920" i="6"/>
  <c r="G1920" i="6"/>
  <c r="N1920" i="6"/>
  <c r="D1920" i="6"/>
  <c r="L1920" i="6"/>
  <c r="B1920" i="6"/>
  <c r="J1920" i="6"/>
  <c r="I1920" i="6"/>
  <c r="H1902" i="6"/>
  <c r="I1902" i="6"/>
  <c r="M1902" i="6"/>
  <c r="D1902" i="6"/>
  <c r="L1902" i="6"/>
  <c r="C1902" i="6"/>
  <c r="J1905" i="6"/>
  <c r="K1863" i="6"/>
  <c r="C1863" i="6"/>
  <c r="J1863" i="6"/>
  <c r="H1873" i="6"/>
  <c r="K1873" i="6"/>
  <c r="C1873" i="6"/>
  <c r="L1873" i="6"/>
  <c r="H1881" i="6"/>
  <c r="K1881" i="6"/>
  <c r="C1881" i="6"/>
  <c r="L1881" i="6"/>
  <c r="H1889" i="6"/>
  <c r="K1889" i="6"/>
  <c r="C1889" i="6"/>
  <c r="L1889" i="6"/>
  <c r="L1897" i="6"/>
  <c r="H1897" i="6"/>
  <c r="K1897" i="6"/>
  <c r="C1897" i="6"/>
  <c r="M1897" i="6"/>
  <c r="B1902" i="6"/>
  <c r="Q1908" i="6"/>
  <c r="I1916" i="6"/>
  <c r="Q1919" i="6"/>
  <c r="E1920" i="6"/>
  <c r="F1902" i="6"/>
  <c r="L1905" i="6"/>
  <c r="D1905" i="6"/>
  <c r="N1905" i="6"/>
  <c r="E1905" i="6"/>
  <c r="G1905" i="6"/>
  <c r="C1905" i="6"/>
  <c r="I1905" i="6"/>
  <c r="H1905" i="6"/>
  <c r="L1917" i="6"/>
  <c r="D1917" i="6"/>
  <c r="K1917" i="6"/>
  <c r="B1917" i="6"/>
  <c r="F1917" i="6"/>
  <c r="N1917" i="6"/>
  <c r="C1917" i="6"/>
  <c r="J1917" i="6"/>
  <c r="H1917" i="6"/>
  <c r="G1917" i="6"/>
  <c r="L1921" i="6"/>
  <c r="D1921" i="6"/>
  <c r="N1921" i="6"/>
  <c r="E1921" i="6"/>
  <c r="H1921" i="6"/>
  <c r="F1921" i="6"/>
  <c r="M1921" i="6"/>
  <c r="B1921" i="6"/>
  <c r="K1921" i="6"/>
  <c r="J1921" i="6"/>
  <c r="I1921" i="6"/>
  <c r="J1898" i="6"/>
  <c r="E1901" i="6"/>
  <c r="L1903" i="6"/>
  <c r="D1903" i="6"/>
  <c r="J1903" i="6"/>
  <c r="I1904" i="6"/>
  <c r="J1908" i="6"/>
  <c r="H1910" i="6"/>
  <c r="N1910" i="6"/>
  <c r="E1910" i="6"/>
  <c r="K1910" i="6"/>
  <c r="L1911" i="6"/>
  <c r="D1911" i="6"/>
  <c r="M1911" i="6"/>
  <c r="C1911" i="6"/>
  <c r="K1911" i="6"/>
  <c r="C1912" i="6"/>
  <c r="M1912" i="6"/>
  <c r="D1914" i="6"/>
  <c r="G1919" i="6"/>
  <c r="J1922" i="6"/>
  <c r="H1924" i="6"/>
  <c r="I1924" i="6"/>
  <c r="K1924" i="6"/>
  <c r="L1925" i="6"/>
  <c r="D1925" i="6"/>
  <c r="G1925" i="6"/>
  <c r="K1925" i="6"/>
  <c r="B1926" i="6"/>
  <c r="N1926" i="6"/>
  <c r="E1929" i="6"/>
  <c r="E1931" i="6"/>
  <c r="F1933" i="6"/>
  <c r="I1937" i="6"/>
  <c r="C1941" i="6"/>
  <c r="K1944" i="6"/>
  <c r="C1944" i="6"/>
  <c r="H1944" i="6"/>
  <c r="G1944" i="6"/>
  <c r="M1944" i="6"/>
  <c r="L1944" i="6"/>
  <c r="J1944" i="6"/>
  <c r="I1944" i="6"/>
  <c r="D1944" i="6"/>
  <c r="N1944" i="6"/>
  <c r="B1944" i="6"/>
  <c r="J1904" i="6"/>
  <c r="H1908" i="6"/>
  <c r="I1908" i="6"/>
  <c r="K1908" i="6"/>
  <c r="L1909" i="6"/>
  <c r="D1909" i="6"/>
  <c r="G1909" i="6"/>
  <c r="K1909" i="6"/>
  <c r="D1912" i="6"/>
  <c r="N1912" i="6"/>
  <c r="I1919" i="6"/>
  <c r="H1922" i="6"/>
  <c r="L1922" i="6"/>
  <c r="C1922" i="6"/>
  <c r="K1922" i="6"/>
  <c r="D1926" i="6"/>
  <c r="K1928" i="6"/>
  <c r="C1928" i="6"/>
  <c r="H1928" i="6"/>
  <c r="I1928" i="6"/>
  <c r="M1928" i="6"/>
  <c r="F1931" i="6"/>
  <c r="H1933" i="6"/>
  <c r="K1937" i="6"/>
  <c r="F1941" i="6"/>
  <c r="H1931" i="6"/>
  <c r="I1933" i="6"/>
  <c r="G1935" i="6"/>
  <c r="L1935" i="6"/>
  <c r="D1935" i="6"/>
  <c r="E1935" i="6"/>
  <c r="M1935" i="6"/>
  <c r="B1935" i="6"/>
  <c r="H1935" i="6"/>
  <c r="M1937" i="6"/>
  <c r="G1939" i="6"/>
  <c r="L1939" i="6"/>
  <c r="D1939" i="6"/>
  <c r="J1939" i="6"/>
  <c r="H1939" i="6"/>
  <c r="M1939" i="6"/>
  <c r="B1939" i="6"/>
  <c r="H1941" i="6"/>
  <c r="F1912" i="6"/>
  <c r="L1919" i="6"/>
  <c r="D1919" i="6"/>
  <c r="H1919" i="6"/>
  <c r="K1919" i="6"/>
  <c r="G1926" i="6"/>
  <c r="I1931" i="6"/>
  <c r="C1935" i="6"/>
  <c r="K1936" i="6"/>
  <c r="C1936" i="6"/>
  <c r="H1936" i="6"/>
  <c r="F1936" i="6"/>
  <c r="N1936" i="6"/>
  <c r="D1936" i="6"/>
  <c r="I1936" i="6"/>
  <c r="C1939" i="6"/>
  <c r="I1941" i="6"/>
  <c r="G1943" i="6"/>
  <c r="L1943" i="6"/>
  <c r="D1943" i="6"/>
  <c r="K1943" i="6"/>
  <c r="C1943" i="6"/>
  <c r="F1943" i="6"/>
  <c r="E1943" i="6"/>
  <c r="B1943" i="6"/>
  <c r="I1943" i="6"/>
  <c r="G1937" i="6"/>
  <c r="L1937" i="6"/>
  <c r="D1937" i="6"/>
  <c r="H1937" i="6"/>
  <c r="E1937" i="6"/>
  <c r="J1937" i="6"/>
  <c r="L1901" i="6"/>
  <c r="D1901" i="6"/>
  <c r="J1901" i="6"/>
  <c r="E1904" i="6"/>
  <c r="N1904" i="6"/>
  <c r="E1908" i="6"/>
  <c r="F1909" i="6"/>
  <c r="I1912" i="6"/>
  <c r="H1914" i="6"/>
  <c r="G1914" i="6"/>
  <c r="K1914" i="6"/>
  <c r="L1915" i="6"/>
  <c r="D1915" i="6"/>
  <c r="F1915" i="6"/>
  <c r="K1915" i="6"/>
  <c r="C1919" i="6"/>
  <c r="N1919" i="6"/>
  <c r="F1922" i="6"/>
  <c r="F1928" i="6"/>
  <c r="G1929" i="6"/>
  <c r="L1929" i="6"/>
  <c r="D1929" i="6"/>
  <c r="H1929" i="6"/>
  <c r="J1929" i="6"/>
  <c r="N1929" i="6"/>
  <c r="I1935" i="6"/>
  <c r="B1937" i="6"/>
  <c r="F1939" i="6"/>
  <c r="J1943" i="6"/>
  <c r="G1931" i="6"/>
  <c r="L1931" i="6"/>
  <c r="D1931" i="6"/>
  <c r="J1931" i="6"/>
  <c r="M1931" i="6"/>
  <c r="B1931" i="6"/>
  <c r="G1933" i="6"/>
  <c r="L1933" i="6"/>
  <c r="D1933" i="6"/>
  <c r="M1933" i="6"/>
  <c r="B1933" i="6"/>
  <c r="J1933" i="6"/>
  <c r="E1933" i="6"/>
  <c r="C1937" i="6"/>
  <c r="H1912" i="6"/>
  <c r="K1912" i="6"/>
  <c r="B1912" i="6"/>
  <c r="L1912" i="6"/>
  <c r="K1926" i="6"/>
  <c r="C1926" i="6"/>
  <c r="H1926" i="6"/>
  <c r="F1926" i="6"/>
  <c r="M1926" i="6"/>
  <c r="C1931" i="6"/>
  <c r="C1933" i="6"/>
  <c r="F1937" i="6"/>
  <c r="Q1938" i="6"/>
  <c r="G1941" i="6"/>
  <c r="L1941" i="6"/>
  <c r="D1941" i="6"/>
  <c r="M1941" i="6"/>
  <c r="B1941" i="6"/>
  <c r="J1941" i="6"/>
  <c r="E1941" i="6"/>
  <c r="L1907" i="6"/>
  <c r="D1907" i="6"/>
  <c r="J1907" i="6"/>
  <c r="J1918" i="6"/>
  <c r="L1923" i="6"/>
  <c r="D1923" i="6"/>
  <c r="J1923" i="6"/>
  <c r="K1930" i="6"/>
  <c r="C1930" i="6"/>
  <c r="H1930" i="6"/>
  <c r="L1930" i="6"/>
  <c r="D1932" i="6"/>
  <c r="K1938" i="6"/>
  <c r="C1938" i="6"/>
  <c r="H1938" i="6"/>
  <c r="L1938" i="6"/>
  <c r="D1940" i="6"/>
  <c r="J1947" i="6"/>
  <c r="B1947" i="6"/>
  <c r="M1947" i="6"/>
  <c r="D1947" i="6"/>
  <c r="I1947" i="6"/>
  <c r="H1947" i="6"/>
  <c r="F1947" i="6"/>
  <c r="N1948" i="6"/>
  <c r="F1948" i="6"/>
  <c r="K1948" i="6"/>
  <c r="B1948" i="6"/>
  <c r="H1948" i="6"/>
  <c r="G1948" i="6"/>
  <c r="M1948" i="6"/>
  <c r="D1948" i="6"/>
  <c r="J1949" i="6"/>
  <c r="B1949" i="6"/>
  <c r="I1949" i="6"/>
  <c r="F1949" i="6"/>
  <c r="N1949" i="6"/>
  <c r="E1949" i="6"/>
  <c r="L1949" i="6"/>
  <c r="C1949" i="6"/>
  <c r="N2001" i="6"/>
  <c r="F2001" i="6"/>
  <c r="L2001" i="6"/>
  <c r="D2001" i="6"/>
  <c r="J2001" i="6"/>
  <c r="H2001" i="6"/>
  <c r="G2001" i="6"/>
  <c r="I2001" i="6"/>
  <c r="C2001" i="6"/>
  <c r="B2001" i="6"/>
  <c r="M2001" i="6"/>
  <c r="K2001" i="6"/>
  <c r="E2001" i="6"/>
  <c r="K1934" i="6"/>
  <c r="C1934" i="6"/>
  <c r="H1934" i="6"/>
  <c r="L1934" i="6"/>
  <c r="K1942" i="6"/>
  <c r="C1942" i="6"/>
  <c r="H1942" i="6"/>
  <c r="L1942" i="6"/>
  <c r="I1948" i="6"/>
  <c r="G1949" i="6"/>
  <c r="J1953" i="6"/>
  <c r="B1953" i="6"/>
  <c r="L1953" i="6"/>
  <c r="C1953" i="6"/>
  <c r="H1953" i="6"/>
  <c r="G1953" i="6"/>
  <c r="F1953" i="6"/>
  <c r="N1953" i="6"/>
  <c r="E1953" i="6"/>
  <c r="N1958" i="6"/>
  <c r="F1958" i="6"/>
  <c r="L1958" i="6"/>
  <c r="C1958" i="6"/>
  <c r="I1958" i="6"/>
  <c r="H1958" i="6"/>
  <c r="G1958" i="6"/>
  <c r="E1958" i="6"/>
  <c r="M1961" i="6"/>
  <c r="E1961" i="6"/>
  <c r="J1961" i="6"/>
  <c r="B1961" i="6"/>
  <c r="N1961" i="6"/>
  <c r="C1961" i="6"/>
  <c r="K1961" i="6"/>
  <c r="I1961" i="6"/>
  <c r="H1961" i="6"/>
  <c r="G1961" i="6"/>
  <c r="F1961" i="6"/>
  <c r="J1948" i="6"/>
  <c r="H1949" i="6"/>
  <c r="K1932" i="6"/>
  <c r="C1932" i="6"/>
  <c r="H1932" i="6"/>
  <c r="L1932" i="6"/>
  <c r="D1934" i="6"/>
  <c r="N1934" i="6"/>
  <c r="K1940" i="6"/>
  <c r="C1940" i="6"/>
  <c r="H1940" i="6"/>
  <c r="L1940" i="6"/>
  <c r="D1942" i="6"/>
  <c r="N1942" i="6"/>
  <c r="L1948" i="6"/>
  <c r="K1949" i="6"/>
  <c r="M1949" i="6"/>
  <c r="I1945" i="6"/>
  <c r="N1950" i="6"/>
  <c r="F1950" i="6"/>
  <c r="J1950" i="6"/>
  <c r="J1955" i="6"/>
  <c r="B1955" i="6"/>
  <c r="K1955" i="6"/>
  <c r="J1996" i="6"/>
  <c r="B1996" i="6"/>
  <c r="H1996" i="6"/>
  <c r="L1996" i="6"/>
  <c r="D1996" i="6"/>
  <c r="I1996" i="6"/>
  <c r="F1996" i="6"/>
  <c r="E1996" i="6"/>
  <c r="M1996" i="6"/>
  <c r="K1996" i="6"/>
  <c r="M1997" i="6"/>
  <c r="N1956" i="6"/>
  <c r="F1956" i="6"/>
  <c r="J1956" i="6"/>
  <c r="C1945" i="6"/>
  <c r="L1945" i="6"/>
  <c r="N1946" i="6"/>
  <c r="F1946" i="6"/>
  <c r="J1946" i="6"/>
  <c r="C1950" i="6"/>
  <c r="L1950" i="6"/>
  <c r="J1951" i="6"/>
  <c r="B1951" i="6"/>
  <c r="K1951" i="6"/>
  <c r="D1955" i="6"/>
  <c r="M1955" i="6"/>
  <c r="B1956" i="6"/>
  <c r="K1956" i="6"/>
  <c r="N1989" i="6"/>
  <c r="F1989" i="6"/>
  <c r="L1989" i="6"/>
  <c r="D1989" i="6"/>
  <c r="H1989" i="6"/>
  <c r="I1989" i="6"/>
  <c r="E1989" i="6"/>
  <c r="C1989" i="6"/>
  <c r="K1989" i="6"/>
  <c r="J1989" i="6"/>
  <c r="J1998" i="6"/>
  <c r="B1998" i="6"/>
  <c r="H1998" i="6"/>
  <c r="L1998" i="6"/>
  <c r="D1998" i="6"/>
  <c r="G1998" i="6"/>
  <c r="E1998" i="6"/>
  <c r="C1998" i="6"/>
  <c r="K1998" i="6"/>
  <c r="I1998" i="6"/>
  <c r="D1945" i="6"/>
  <c r="M1945" i="6"/>
  <c r="B1946" i="6"/>
  <c r="K1946" i="6"/>
  <c r="D1950" i="6"/>
  <c r="M1950" i="6"/>
  <c r="C1951" i="6"/>
  <c r="L1951" i="6"/>
  <c r="N1952" i="6"/>
  <c r="F1952" i="6"/>
  <c r="J1952" i="6"/>
  <c r="E1955" i="6"/>
  <c r="N1955" i="6"/>
  <c r="C1956" i="6"/>
  <c r="L1956" i="6"/>
  <c r="J1957" i="6"/>
  <c r="B1957" i="6"/>
  <c r="K1957" i="6"/>
  <c r="H1959" i="6"/>
  <c r="B1989" i="6"/>
  <c r="N1996" i="6"/>
  <c r="F1998" i="6"/>
  <c r="J2000" i="6"/>
  <c r="B2000" i="6"/>
  <c r="H2000" i="6"/>
  <c r="L2000" i="6"/>
  <c r="D2000" i="6"/>
  <c r="K2000" i="6"/>
  <c r="C2000" i="6"/>
  <c r="M2000" i="6"/>
  <c r="G2000" i="6"/>
  <c r="F2000" i="6"/>
  <c r="N2000" i="6"/>
  <c r="N1991" i="6"/>
  <c r="F1991" i="6"/>
  <c r="L1991" i="6"/>
  <c r="D1991" i="6"/>
  <c r="H1991" i="6"/>
  <c r="G1991" i="6"/>
  <c r="C1991" i="6"/>
  <c r="B1991" i="6"/>
  <c r="J1991" i="6"/>
  <c r="I1991" i="6"/>
  <c r="N1997" i="6"/>
  <c r="F1997" i="6"/>
  <c r="L1997" i="6"/>
  <c r="D1997" i="6"/>
  <c r="H1997" i="6"/>
  <c r="B1997" i="6"/>
  <c r="K1997" i="6"/>
  <c r="J1997" i="6"/>
  <c r="E1997" i="6"/>
  <c r="C1997" i="6"/>
  <c r="G1945" i="6"/>
  <c r="E1946" i="6"/>
  <c r="H1950" i="6"/>
  <c r="F1951" i="6"/>
  <c r="N1954" i="6"/>
  <c r="F1954" i="6"/>
  <c r="J1954" i="6"/>
  <c r="H1955" i="6"/>
  <c r="G1956" i="6"/>
  <c r="M1959" i="6"/>
  <c r="E1959" i="6"/>
  <c r="J1959" i="6"/>
  <c r="B1959" i="6"/>
  <c r="L1959" i="6"/>
  <c r="E1991" i="6"/>
  <c r="G1997" i="6"/>
  <c r="I1963" i="6"/>
  <c r="I1965" i="6"/>
  <c r="I1967" i="6"/>
  <c r="I1969" i="6"/>
  <c r="I1971" i="6"/>
  <c r="I1973" i="6"/>
  <c r="I1975" i="6"/>
  <c r="I1977" i="6"/>
  <c r="I1979" i="6"/>
  <c r="I1981" i="6"/>
  <c r="I1983" i="6"/>
  <c r="I1985" i="6"/>
  <c r="I1987" i="6"/>
  <c r="C1990" i="6"/>
  <c r="J1992" i="6"/>
  <c r="B1992" i="6"/>
  <c r="H1992" i="6"/>
  <c r="L1992" i="6"/>
  <c r="D1992" i="6"/>
  <c r="N1992" i="6"/>
  <c r="G1993" i="6"/>
  <c r="E1995" i="6"/>
  <c r="B1999" i="6"/>
  <c r="F1960" i="6"/>
  <c r="N1960" i="6"/>
  <c r="F1962" i="6"/>
  <c r="N1962" i="6"/>
  <c r="B1963" i="6"/>
  <c r="J1963" i="6"/>
  <c r="F1964" i="6"/>
  <c r="N1964" i="6"/>
  <c r="B1965" i="6"/>
  <c r="J1965" i="6"/>
  <c r="F1966" i="6"/>
  <c r="N1966" i="6"/>
  <c r="B1967" i="6"/>
  <c r="J1967" i="6"/>
  <c r="F1968" i="6"/>
  <c r="N1968" i="6"/>
  <c r="B1969" i="6"/>
  <c r="J1969" i="6"/>
  <c r="F1970" i="6"/>
  <c r="N1970" i="6"/>
  <c r="B1971" i="6"/>
  <c r="J1971" i="6"/>
  <c r="F1972" i="6"/>
  <c r="N1972" i="6"/>
  <c r="B1973" i="6"/>
  <c r="J1973" i="6"/>
  <c r="F1974" i="6"/>
  <c r="N1974" i="6"/>
  <c r="B1975" i="6"/>
  <c r="J1975" i="6"/>
  <c r="F1976" i="6"/>
  <c r="N1976" i="6"/>
  <c r="B1977" i="6"/>
  <c r="J1977" i="6"/>
  <c r="F1978" i="6"/>
  <c r="N1978" i="6"/>
  <c r="B1979" i="6"/>
  <c r="J1979" i="6"/>
  <c r="F1980" i="6"/>
  <c r="N1980" i="6"/>
  <c r="B1981" i="6"/>
  <c r="J1981" i="6"/>
  <c r="F1982" i="6"/>
  <c r="N1982" i="6"/>
  <c r="B1983" i="6"/>
  <c r="J1983" i="6"/>
  <c r="F1984" i="6"/>
  <c r="N1984" i="6"/>
  <c r="B1985" i="6"/>
  <c r="J1985" i="6"/>
  <c r="F1986" i="6"/>
  <c r="N1986" i="6"/>
  <c r="B1987" i="6"/>
  <c r="J1987" i="6"/>
  <c r="G1988" i="6"/>
  <c r="E1990" i="6"/>
  <c r="C1992" i="6"/>
  <c r="J1994" i="6"/>
  <c r="B1994" i="6"/>
  <c r="H1994" i="6"/>
  <c r="L1994" i="6"/>
  <c r="D1994" i="6"/>
  <c r="N1994" i="6"/>
  <c r="G1995" i="6"/>
  <c r="C1999" i="6"/>
  <c r="N2003" i="6"/>
  <c r="F2003" i="6"/>
  <c r="L2003" i="6"/>
  <c r="D2003" i="6"/>
  <c r="J2003" i="6"/>
  <c r="B2003" i="6"/>
  <c r="H2003" i="6"/>
  <c r="G2003" i="6"/>
  <c r="E1963" i="6"/>
  <c r="E1965" i="6"/>
  <c r="E1967" i="6"/>
  <c r="E1969" i="6"/>
  <c r="E1971" i="6"/>
  <c r="E1973" i="6"/>
  <c r="E1975" i="6"/>
  <c r="E1977" i="6"/>
  <c r="E1979" i="6"/>
  <c r="E1981" i="6"/>
  <c r="E1983" i="6"/>
  <c r="E1985" i="6"/>
  <c r="E1987" i="6"/>
  <c r="J1988" i="6"/>
  <c r="B1988" i="6"/>
  <c r="L1988" i="6"/>
  <c r="K1988" i="6"/>
  <c r="I1990" i="6"/>
  <c r="G1992" i="6"/>
  <c r="N1993" i="6"/>
  <c r="F1993" i="6"/>
  <c r="L1993" i="6"/>
  <c r="D1993" i="6"/>
  <c r="H1993" i="6"/>
  <c r="M1993" i="6"/>
  <c r="F1994" i="6"/>
  <c r="J1999" i="6"/>
  <c r="J2002" i="6"/>
  <c r="B2002" i="6"/>
  <c r="H2002" i="6"/>
  <c r="N2002" i="6"/>
  <c r="F2002" i="6"/>
  <c r="L2002" i="6"/>
  <c r="D2002" i="6"/>
  <c r="K2002" i="6"/>
  <c r="C2002" i="6"/>
  <c r="C2003" i="6"/>
  <c r="N1995" i="6"/>
  <c r="F1995" i="6"/>
  <c r="L1995" i="6"/>
  <c r="D1995" i="6"/>
  <c r="H1995" i="6"/>
  <c r="M1995" i="6"/>
  <c r="E2002" i="6"/>
  <c r="E2003" i="6"/>
  <c r="J1990" i="6"/>
  <c r="B1990" i="6"/>
  <c r="H1990" i="6"/>
  <c r="L1990" i="6"/>
  <c r="D1990" i="6"/>
  <c r="N1990" i="6"/>
  <c r="N1999" i="6"/>
  <c r="F1999" i="6"/>
  <c r="L1999" i="6"/>
  <c r="D1999" i="6"/>
  <c r="H1999" i="6"/>
  <c r="G1999" i="6"/>
  <c r="K2003" i="6"/>
  <c r="O1976" i="6" l="1"/>
  <c r="T1976" i="6" s="1"/>
  <c r="O1490" i="6"/>
  <c r="T1490" i="6" s="1"/>
  <c r="P912" i="6"/>
  <c r="S912" i="6" s="1"/>
  <c r="R170" i="6"/>
  <c r="R594" i="6"/>
  <c r="P1945" i="6"/>
  <c r="S1945" i="6" s="1"/>
  <c r="P1791" i="6"/>
  <c r="S1791" i="6" s="1"/>
  <c r="O1584" i="6"/>
  <c r="T1584" i="6" s="1"/>
  <c r="P1424" i="6"/>
  <c r="S1424" i="6" s="1"/>
  <c r="R1275" i="6"/>
  <c r="P1275" i="6"/>
  <c r="S1275" i="6" s="1"/>
  <c r="R915" i="6"/>
  <c r="O572" i="6"/>
  <c r="T572" i="6" s="1"/>
  <c r="R236" i="6"/>
  <c r="O590" i="6"/>
  <c r="T590" i="6" s="1"/>
  <c r="Q526" i="6"/>
  <c r="F50" i="4"/>
  <c r="Q106" i="6"/>
  <c r="R530" i="6"/>
  <c r="O451" i="6"/>
  <c r="T451" i="6" s="1"/>
  <c r="Q634" i="6"/>
  <c r="O586" i="6"/>
  <c r="T586" i="6" s="1"/>
  <c r="Q522" i="6"/>
  <c r="R226" i="6"/>
  <c r="N226" i="6" s="1"/>
  <c r="P1556" i="6"/>
  <c r="S1556" i="6" s="1"/>
  <c r="R1294" i="6"/>
  <c r="O919" i="6"/>
  <c r="T919" i="6" s="1"/>
  <c r="R1796" i="6"/>
  <c r="R1580" i="6"/>
  <c r="Q1279" i="6"/>
  <c r="Q986" i="6"/>
  <c r="P949" i="6"/>
  <c r="S949" i="6" s="1"/>
  <c r="R564" i="6"/>
  <c r="Q493" i="6"/>
  <c r="P646" i="6"/>
  <c r="S646" i="6" s="1"/>
  <c r="P582" i="6"/>
  <c r="S582" i="6" s="1"/>
  <c r="R526" i="6"/>
  <c r="O489" i="6"/>
  <c r="T489" i="6" s="1"/>
  <c r="Q265" i="6"/>
  <c r="O118" i="6"/>
  <c r="T118" i="6" s="1"/>
  <c r="O530" i="6"/>
  <c r="T530" i="6" s="1"/>
  <c r="R522" i="6"/>
  <c r="Q1285" i="6"/>
  <c r="F150" i="4"/>
  <c r="F118" i="4"/>
  <c r="R1974" i="6"/>
  <c r="Q1952" i="6"/>
  <c r="P1580" i="6"/>
  <c r="S1580" i="6" s="1"/>
  <c r="Q1580" i="6"/>
  <c r="P1372" i="6"/>
  <c r="S1372" i="6" s="1"/>
  <c r="P1490" i="6"/>
  <c r="S1490" i="6" s="1"/>
  <c r="O1358" i="6"/>
  <c r="T1358" i="6" s="1"/>
  <c r="P1008" i="6"/>
  <c r="S1008" i="6" s="1"/>
  <c r="O896" i="6"/>
  <c r="T896" i="6" s="1"/>
  <c r="O508" i="6"/>
  <c r="T508" i="6" s="1"/>
  <c r="Q518" i="6"/>
  <c r="Q425" i="6"/>
  <c r="P198" i="6"/>
  <c r="S198" i="6" s="1"/>
  <c r="P234" i="6"/>
  <c r="S234" i="6" s="1"/>
  <c r="O170" i="6"/>
  <c r="T170" i="6" s="1"/>
  <c r="Q118" i="6"/>
  <c r="Q594" i="6"/>
  <c r="R206" i="6"/>
  <c r="N206" i="6" s="1"/>
  <c r="O98" i="6"/>
  <c r="T98" i="6" s="1"/>
  <c r="O162" i="6"/>
  <c r="T162" i="6" s="1"/>
  <c r="O110" i="6"/>
  <c r="T110" i="6" s="1"/>
  <c r="Q1954" i="6"/>
  <c r="R1612" i="6"/>
  <c r="O234" i="6"/>
  <c r="T234" i="6" s="1"/>
  <c r="P206" i="6"/>
  <c r="S206" i="6" s="1"/>
  <c r="Q1798" i="6"/>
  <c r="Q1424" i="6"/>
  <c r="Q1372" i="6"/>
  <c r="Q1490" i="6"/>
  <c r="R1328" i="6"/>
  <c r="P1281" i="6"/>
  <c r="S1281" i="6" s="1"/>
  <c r="O1008" i="6"/>
  <c r="T1008" i="6" s="1"/>
  <c r="R644" i="6"/>
  <c r="O500" i="6"/>
  <c r="T500" i="6" s="1"/>
  <c r="P590" i="6"/>
  <c r="S590" i="6" s="1"/>
  <c r="R518" i="6"/>
  <c r="R198" i="6"/>
  <c r="N198" i="6" s="1"/>
  <c r="Q234" i="6"/>
  <c r="Q170" i="6"/>
  <c r="O206" i="6"/>
  <c r="T206" i="6" s="1"/>
  <c r="P98" i="6"/>
  <c r="S98" i="6" s="1"/>
  <c r="P586" i="6"/>
  <c r="S586" i="6" s="1"/>
  <c r="R341" i="6"/>
  <c r="N341" i="6" s="1"/>
  <c r="P162" i="6"/>
  <c r="S162" i="6" s="1"/>
  <c r="P110" i="6"/>
  <c r="S110" i="6" s="1"/>
  <c r="Q1788" i="6"/>
  <c r="Q395" i="6"/>
  <c r="Q636" i="6"/>
  <c r="R421" i="6"/>
  <c r="N421" i="6" s="1"/>
  <c r="R590" i="6"/>
  <c r="P148" i="6"/>
  <c r="S148" i="6" s="1"/>
  <c r="O198" i="6"/>
  <c r="T198" i="6" s="1"/>
  <c r="R106" i="6"/>
  <c r="P530" i="6"/>
  <c r="S530" i="6" s="1"/>
  <c r="R237" i="6"/>
  <c r="N237" i="6" s="1"/>
  <c r="R98" i="6"/>
  <c r="R586" i="6"/>
  <c r="R162" i="6"/>
  <c r="R110" i="6"/>
  <c r="N110" i="6" s="1"/>
  <c r="P1877" i="6"/>
  <c r="S1877" i="6" s="1"/>
  <c r="P1796" i="6"/>
  <c r="S1796" i="6" s="1"/>
  <c r="O1598" i="6"/>
  <c r="T1598" i="6" s="1"/>
  <c r="Q1596" i="6"/>
  <c r="O1279" i="6"/>
  <c r="T1279" i="6" s="1"/>
  <c r="P1227" i="6"/>
  <c r="S1227" i="6" s="1"/>
  <c r="Q413" i="6"/>
  <c r="R313" i="6"/>
  <c r="N313" i="6" s="1"/>
  <c r="O106" i="6"/>
  <c r="T106" i="6" s="1"/>
  <c r="P1584" i="6"/>
  <c r="S1584" i="6" s="1"/>
  <c r="R1598" i="6"/>
  <c r="P1828" i="6"/>
  <c r="S1828" i="6" s="1"/>
  <c r="O1586" i="6"/>
  <c r="T1586" i="6" s="1"/>
  <c r="Q1607" i="6"/>
  <c r="P1572" i="6"/>
  <c r="S1572" i="6" s="1"/>
  <c r="P1310" i="6"/>
  <c r="S1310" i="6" s="1"/>
  <c r="P1348" i="6"/>
  <c r="S1348" i="6" s="1"/>
  <c r="O1354" i="6"/>
  <c r="T1354" i="6" s="1"/>
  <c r="O1195" i="6"/>
  <c r="T1195" i="6" s="1"/>
  <c r="Q1135" i="6"/>
  <c r="Q724" i="6"/>
  <c r="R912" i="6"/>
  <c r="P668" i="6"/>
  <c r="S668" i="6" s="1"/>
  <c r="P588" i="6"/>
  <c r="S588" i="6" s="1"/>
  <c r="R516" i="6"/>
  <c r="Q598" i="6"/>
  <c r="P230" i="6"/>
  <c r="S230" i="6" s="1"/>
  <c r="O399" i="6"/>
  <c r="T399" i="6" s="1"/>
  <c r="Q369" i="6"/>
  <c r="O467" i="6"/>
  <c r="T467" i="6" s="1"/>
  <c r="P323" i="6"/>
  <c r="S323" i="6" s="1"/>
  <c r="O116" i="6"/>
  <c r="T116" i="6" s="1"/>
  <c r="P178" i="6"/>
  <c r="S178" i="6" s="1"/>
  <c r="R114" i="6"/>
  <c r="O538" i="6"/>
  <c r="T538" i="6" s="1"/>
  <c r="R357" i="6"/>
  <c r="N357" i="6" s="1"/>
  <c r="O156" i="6"/>
  <c r="T156" i="6" s="1"/>
  <c r="P61" i="6"/>
  <c r="S61" i="6" s="1"/>
  <c r="R1828" i="6"/>
  <c r="P1606" i="6"/>
  <c r="S1606" i="6" s="1"/>
  <c r="R870" i="6"/>
  <c r="F206" i="4"/>
  <c r="N433" i="6"/>
  <c r="P1822" i="6"/>
  <c r="S1822" i="6" s="1"/>
  <c r="Q1828" i="6"/>
  <c r="P1648" i="6"/>
  <c r="S1648" i="6" s="1"/>
  <c r="Q1404" i="6"/>
  <c r="Q1310" i="6"/>
  <c r="R1354" i="6"/>
  <c r="P1195" i="6"/>
  <c r="S1195" i="6" s="1"/>
  <c r="P1172" i="6"/>
  <c r="S1172" i="6" s="1"/>
  <c r="R1135" i="6"/>
  <c r="Q949" i="6"/>
  <c r="P937" i="6"/>
  <c r="S937" i="6" s="1"/>
  <c r="Q870" i="6"/>
  <c r="Q912" i="6"/>
  <c r="R588" i="6"/>
  <c r="P516" i="6"/>
  <c r="S516" i="6" s="1"/>
  <c r="Q230" i="6"/>
  <c r="P399" i="6"/>
  <c r="S399" i="6" s="1"/>
  <c r="N544" i="6"/>
  <c r="O369" i="6"/>
  <c r="T369" i="6" s="1"/>
  <c r="O188" i="6"/>
  <c r="T188" i="6" s="1"/>
  <c r="O466" i="6"/>
  <c r="T466" i="6" s="1"/>
  <c r="Q323" i="6"/>
  <c r="P116" i="6"/>
  <c r="S116" i="6" s="1"/>
  <c r="R178" i="6"/>
  <c r="N178" i="6" s="1"/>
  <c r="R224" i="6"/>
  <c r="N224" i="6" s="1"/>
  <c r="F90" i="4"/>
  <c r="P156" i="6"/>
  <c r="S156" i="6" s="1"/>
  <c r="Q61" i="6"/>
  <c r="D158" i="4"/>
  <c r="Q1934" i="6"/>
  <c r="P1288" i="6"/>
  <c r="S1288" i="6" s="1"/>
  <c r="P1354" i="6"/>
  <c r="S1354" i="6" s="1"/>
  <c r="O949" i="6"/>
  <c r="T949" i="6" s="1"/>
  <c r="R865" i="6"/>
  <c r="Q588" i="6"/>
  <c r="Q516" i="6"/>
  <c r="Q399" i="6"/>
  <c r="F6" i="3"/>
  <c r="P188" i="6"/>
  <c r="S188" i="6" s="1"/>
  <c r="P466" i="6"/>
  <c r="S466" i="6" s="1"/>
  <c r="R323" i="6"/>
  <c r="R116" i="6"/>
  <c r="P224" i="6"/>
  <c r="S224" i="6" s="1"/>
  <c r="C17" i="4"/>
  <c r="O126" i="6"/>
  <c r="T126" i="6" s="1"/>
  <c r="O19" i="6"/>
  <c r="T19" i="6" s="1"/>
  <c r="P602" i="6"/>
  <c r="S602" i="6" s="1"/>
  <c r="Q156" i="6"/>
  <c r="R1836" i="6"/>
  <c r="O1606" i="6"/>
  <c r="T1606" i="6" s="1"/>
  <c r="R1606" i="6"/>
  <c r="N556" i="6"/>
  <c r="R1695" i="6"/>
  <c r="Q1227" i="6"/>
  <c r="O883" i="6"/>
  <c r="T883" i="6" s="1"/>
  <c r="P865" i="6"/>
  <c r="S865" i="6" s="1"/>
  <c r="O441" i="6"/>
  <c r="T441" i="6" s="1"/>
  <c r="F185" i="4"/>
  <c r="Q188" i="6"/>
  <c r="Q466" i="6"/>
  <c r="O403" i="6"/>
  <c r="T403" i="6" s="1"/>
  <c r="P126" i="6"/>
  <c r="S126" i="6" s="1"/>
  <c r="P19" i="6"/>
  <c r="S19" i="6" s="1"/>
  <c r="R602" i="6"/>
  <c r="N602" i="6" s="1"/>
  <c r="P293" i="6"/>
  <c r="S293" i="6" s="1"/>
  <c r="N271" i="6"/>
  <c r="O1314" i="6"/>
  <c r="T1314" i="6" s="1"/>
  <c r="P885" i="6"/>
  <c r="S885" i="6" s="1"/>
  <c r="Q670" i="6"/>
  <c r="B8" i="4"/>
  <c r="P534" i="6"/>
  <c r="S534" i="6" s="1"/>
  <c r="N415" i="6"/>
  <c r="O1307" i="6"/>
  <c r="T1307" i="6" s="1"/>
  <c r="P1279" i="6"/>
  <c r="S1279" i="6" s="1"/>
  <c r="R1227" i="6"/>
  <c r="Q955" i="6"/>
  <c r="Q937" i="6"/>
  <c r="P1000" i="6"/>
  <c r="S1000" i="6" s="1"/>
  <c r="O904" i="6"/>
  <c r="T904" i="6" s="1"/>
  <c r="P883" i="6"/>
  <c r="S883" i="6" s="1"/>
  <c r="Q865" i="6"/>
  <c r="R670" i="6"/>
  <c r="O429" i="6"/>
  <c r="T429" i="6" s="1"/>
  <c r="R534" i="6"/>
  <c r="P441" i="6"/>
  <c r="S441" i="6" s="1"/>
  <c r="P403" i="6"/>
  <c r="S403" i="6" s="1"/>
  <c r="N154" i="6"/>
  <c r="R126" i="6"/>
  <c r="N126" i="6" s="1"/>
  <c r="Q19" i="6"/>
  <c r="Q602" i="6"/>
  <c r="Q293" i="6"/>
  <c r="O937" i="6"/>
  <c r="T937" i="6" s="1"/>
  <c r="P904" i="6"/>
  <c r="S904" i="6" s="1"/>
  <c r="P670" i="6"/>
  <c r="S670" i="6" s="1"/>
  <c r="R684" i="6"/>
  <c r="F58" i="4"/>
  <c r="O1607" i="6"/>
  <c r="T1607" i="6" s="1"/>
  <c r="Q1547" i="6"/>
  <c r="R1198" i="6"/>
  <c r="R122" i="6"/>
  <c r="P1388" i="6"/>
  <c r="S1388" i="6" s="1"/>
  <c r="Q1388" i="6"/>
  <c r="O1388" i="6"/>
  <c r="T1388" i="6" s="1"/>
  <c r="R1165" i="6"/>
  <c r="Q1216" i="6"/>
  <c r="R1703" i="6"/>
  <c r="R1452" i="6"/>
  <c r="P1102" i="6"/>
  <c r="S1102" i="6" s="1"/>
  <c r="Q1907" i="6"/>
  <c r="R1327" i="6"/>
  <c r="P474" i="6"/>
  <c r="S474" i="6" s="1"/>
  <c r="P1695" i="6"/>
  <c r="S1695" i="6" s="1"/>
  <c r="O1616" i="6"/>
  <c r="T1616" i="6" s="1"/>
  <c r="Q1243" i="6"/>
  <c r="P122" i="6"/>
  <c r="S122" i="6" s="1"/>
  <c r="O122" i="6"/>
  <c r="T122" i="6" s="1"/>
  <c r="Q474" i="6"/>
  <c r="R186" i="6"/>
  <c r="R1799" i="6"/>
  <c r="R1782" i="6"/>
  <c r="R1243" i="6"/>
  <c r="R474" i="6"/>
  <c r="O186" i="6"/>
  <c r="T186" i="6" s="1"/>
  <c r="Q1966" i="6"/>
  <c r="P1834" i="6"/>
  <c r="S1834" i="6" s="1"/>
  <c r="P1616" i="6"/>
  <c r="S1616" i="6" s="1"/>
  <c r="R1485" i="6"/>
  <c r="O1165" i="6"/>
  <c r="T1165" i="6" s="1"/>
  <c r="O1243" i="6"/>
  <c r="T1243" i="6" s="1"/>
  <c r="P214" i="6"/>
  <c r="S214" i="6" s="1"/>
  <c r="F85" i="4"/>
  <c r="Q186" i="6"/>
  <c r="Q1804" i="6"/>
  <c r="Q1320" i="6"/>
  <c r="Q1165" i="6"/>
  <c r="R864" i="6"/>
  <c r="R214" i="6"/>
  <c r="N214" i="6" s="1"/>
  <c r="P610" i="6"/>
  <c r="S610" i="6" s="1"/>
  <c r="P546" i="6"/>
  <c r="S546" i="6" s="1"/>
  <c r="Q1616" i="6"/>
  <c r="Q1891" i="6"/>
  <c r="O1834" i="6"/>
  <c r="T1834" i="6" s="1"/>
  <c r="P1432" i="6"/>
  <c r="S1432" i="6" s="1"/>
  <c r="O214" i="6"/>
  <c r="T214" i="6" s="1"/>
  <c r="R610" i="6"/>
  <c r="N610" i="6" s="1"/>
  <c r="R546" i="6"/>
  <c r="N546" i="6" s="1"/>
  <c r="Q1485" i="6"/>
  <c r="Q1834" i="6"/>
  <c r="Q1761" i="6"/>
  <c r="R1919" i="6"/>
  <c r="P1891" i="6"/>
  <c r="S1891" i="6" s="1"/>
  <c r="O1782" i="6"/>
  <c r="T1782" i="6" s="1"/>
  <c r="N558" i="6"/>
  <c r="Q610" i="6"/>
  <c r="O546" i="6"/>
  <c r="T546" i="6" s="1"/>
  <c r="P1919" i="6"/>
  <c r="S1919" i="6" s="1"/>
  <c r="R1891" i="6"/>
  <c r="Q1695" i="6"/>
  <c r="Q1452" i="6"/>
  <c r="O1216" i="6"/>
  <c r="T1216" i="6" s="1"/>
  <c r="F149" i="4"/>
  <c r="O923" i="6"/>
  <c r="T923" i="6" s="1"/>
  <c r="N588" i="6"/>
  <c r="Q325" i="6"/>
  <c r="Q220" i="6"/>
  <c r="P1338" i="6"/>
  <c r="S1338" i="6" s="1"/>
  <c r="N644" i="6"/>
  <c r="P397" i="6"/>
  <c r="S397" i="6" s="1"/>
  <c r="Q1392" i="6"/>
  <c r="R261" i="6"/>
  <c r="N261" i="6" s="1"/>
  <c r="R1321" i="6"/>
  <c r="P548" i="6"/>
  <c r="S548" i="6" s="1"/>
  <c r="R94" i="6"/>
  <c r="N94" i="6" s="1"/>
  <c r="P1503" i="6"/>
  <c r="S1503" i="6" s="1"/>
  <c r="Q1338" i="6"/>
  <c r="R548" i="6"/>
  <c r="N548" i="6" s="1"/>
  <c r="R469" i="6"/>
  <c r="N469" i="6" s="1"/>
  <c r="Q397" i="6"/>
  <c r="P473" i="6"/>
  <c r="S473" i="6" s="1"/>
  <c r="P210" i="6"/>
  <c r="S210" i="6" s="1"/>
  <c r="Q94" i="6"/>
  <c r="O29" i="6"/>
  <c r="T29" i="6" s="1"/>
  <c r="R325" i="6"/>
  <c r="N325" i="6" s="1"/>
  <c r="O261" i="6"/>
  <c r="T261" i="6" s="1"/>
  <c r="O1457" i="6"/>
  <c r="T1457" i="6" s="1"/>
  <c r="Q548" i="6"/>
  <c r="P468" i="6"/>
  <c r="S468" i="6" s="1"/>
  <c r="R397" i="6"/>
  <c r="N397" i="6" s="1"/>
  <c r="P566" i="6"/>
  <c r="S566" i="6" s="1"/>
  <c r="R210" i="6"/>
  <c r="O174" i="6"/>
  <c r="T174" i="6" s="1"/>
  <c r="P29" i="6"/>
  <c r="S29" i="6" s="1"/>
  <c r="P570" i="6"/>
  <c r="S570" i="6" s="1"/>
  <c r="P506" i="6"/>
  <c r="S506" i="6" s="1"/>
  <c r="O325" i="6"/>
  <c r="T325" i="6" s="1"/>
  <c r="Q1646" i="6"/>
  <c r="O1511" i="6"/>
  <c r="T1511" i="6" s="1"/>
  <c r="P1457" i="6"/>
  <c r="S1457" i="6" s="1"/>
  <c r="P1302" i="6"/>
  <c r="S1302" i="6" s="1"/>
  <c r="P620" i="6"/>
  <c r="S620" i="6" s="1"/>
  <c r="Q468" i="6"/>
  <c r="Q469" i="6"/>
  <c r="R566" i="6"/>
  <c r="N566" i="6" s="1"/>
  <c r="Q486" i="6"/>
  <c r="O210" i="6"/>
  <c r="T210" i="6" s="1"/>
  <c r="P174" i="6"/>
  <c r="S174" i="6" s="1"/>
  <c r="Q29" i="6"/>
  <c r="R570" i="6"/>
  <c r="N570" i="6" s="1"/>
  <c r="Q506" i="6"/>
  <c r="O1569" i="6"/>
  <c r="T1569" i="6" s="1"/>
  <c r="O1469" i="6"/>
  <c r="T1469" i="6" s="1"/>
  <c r="P1483" i="6"/>
  <c r="S1483" i="6" s="1"/>
  <c r="Q1457" i="6"/>
  <c r="O1382" i="6"/>
  <c r="T1382" i="6" s="1"/>
  <c r="P1321" i="6"/>
  <c r="S1321" i="6" s="1"/>
  <c r="P943" i="6"/>
  <c r="S943" i="6" s="1"/>
  <c r="P888" i="6"/>
  <c r="S888" i="6" s="1"/>
  <c r="Q620" i="6"/>
  <c r="R468" i="6"/>
  <c r="O469" i="6"/>
  <c r="T469" i="6" s="1"/>
  <c r="O566" i="6"/>
  <c r="T566" i="6" s="1"/>
  <c r="R486" i="6"/>
  <c r="O146" i="6"/>
  <c r="T146" i="6" s="1"/>
  <c r="R174" i="6"/>
  <c r="N174" i="6" s="1"/>
  <c r="O132" i="6"/>
  <c r="T132" i="6" s="1"/>
  <c r="O570" i="6"/>
  <c r="T570" i="6" s="1"/>
  <c r="R506" i="6"/>
  <c r="R1995" i="6"/>
  <c r="O1879" i="6"/>
  <c r="T1879" i="6" s="1"/>
  <c r="P1624" i="6"/>
  <c r="S1624" i="6" s="1"/>
  <c r="R620" i="6"/>
  <c r="N620" i="6" s="1"/>
  <c r="P486" i="6"/>
  <c r="S486" i="6" s="1"/>
  <c r="P146" i="6"/>
  <c r="S146" i="6" s="1"/>
  <c r="F74" i="4"/>
  <c r="P132" i="6"/>
  <c r="S132" i="6" s="1"/>
  <c r="R220" i="6"/>
  <c r="N220" i="6" s="1"/>
  <c r="P363" i="6"/>
  <c r="S363" i="6" s="1"/>
  <c r="Q1995" i="6"/>
  <c r="P1646" i="6"/>
  <c r="S1646" i="6" s="1"/>
  <c r="O1487" i="6"/>
  <c r="T1487" i="6" s="1"/>
  <c r="O1338" i="6"/>
  <c r="T1338" i="6" s="1"/>
  <c r="O895" i="6"/>
  <c r="T895" i="6" s="1"/>
  <c r="R146" i="6"/>
  <c r="O94" i="6"/>
  <c r="T94" i="6" s="1"/>
  <c r="R132" i="6"/>
  <c r="N132" i="6" s="1"/>
  <c r="P261" i="6"/>
  <c r="S261" i="6" s="1"/>
  <c r="O220" i="6"/>
  <c r="T220" i="6" s="1"/>
  <c r="P1995" i="6"/>
  <c r="S1995" i="6" s="1"/>
  <c r="R1332" i="6"/>
  <c r="O1321" i="6"/>
  <c r="T1321" i="6" s="1"/>
  <c r="Q923" i="6"/>
  <c r="R895" i="6"/>
  <c r="D42" i="4"/>
  <c r="F154" i="4"/>
  <c r="N114" i="6"/>
  <c r="F46" i="4"/>
  <c r="N156" i="6"/>
  <c r="P1205" i="6"/>
  <c r="S1205" i="6" s="1"/>
  <c r="P1825" i="6"/>
  <c r="S1825" i="6" s="1"/>
  <c r="Q1261" i="6"/>
  <c r="Q1398" i="6"/>
  <c r="P1060" i="6"/>
  <c r="S1060" i="6" s="1"/>
  <c r="R1060" i="6"/>
  <c r="Q1630" i="6"/>
  <c r="Q1416" i="6"/>
  <c r="O1918" i="6"/>
  <c r="T1918" i="6" s="1"/>
  <c r="Q1936" i="6"/>
  <c r="O1885" i="6"/>
  <c r="T1885" i="6" s="1"/>
  <c r="P1823" i="6"/>
  <c r="S1823" i="6" s="1"/>
  <c r="P1652" i="6"/>
  <c r="S1652" i="6" s="1"/>
  <c r="R1497" i="6"/>
  <c r="P1464" i="6"/>
  <c r="S1464" i="6" s="1"/>
  <c r="O1480" i="6"/>
  <c r="T1480" i="6" s="1"/>
  <c r="O1481" i="6"/>
  <c r="T1481" i="6" s="1"/>
  <c r="R1281" i="6"/>
  <c r="Q1205" i="6"/>
  <c r="R992" i="6"/>
  <c r="O965" i="6"/>
  <c r="T965" i="6" s="1"/>
  <c r="Q902" i="6"/>
  <c r="P700" i="6"/>
  <c r="S700" i="6" s="1"/>
  <c r="R654" i="6"/>
  <c r="R628" i="6"/>
  <c r="N628" i="6" s="1"/>
  <c r="O477" i="6"/>
  <c r="T477" i="6" s="1"/>
  <c r="R510" i="6"/>
  <c r="N624" i="6"/>
  <c r="O257" i="6"/>
  <c r="T257" i="6" s="1"/>
  <c r="O140" i="6"/>
  <c r="T140" i="6" s="1"/>
  <c r="Q228" i="6"/>
  <c r="P333" i="6"/>
  <c r="S333" i="6" s="1"/>
  <c r="O269" i="6"/>
  <c r="T269" i="6" s="1"/>
  <c r="Q102" i="6"/>
  <c r="Q1885" i="6"/>
  <c r="R1539" i="6"/>
  <c r="P1506" i="6"/>
  <c r="S1506" i="6" s="1"/>
  <c r="O1541" i="6"/>
  <c r="T1541" i="6" s="1"/>
  <c r="O1464" i="6"/>
  <c r="T1464" i="6" s="1"/>
  <c r="P1481" i="6"/>
  <c r="S1481" i="6" s="1"/>
  <c r="R1319" i="6"/>
  <c r="P1300" i="6"/>
  <c r="S1300" i="6" s="1"/>
  <c r="Q1235" i="6"/>
  <c r="R1205" i="6"/>
  <c r="P1163" i="6"/>
  <c r="S1163" i="6" s="1"/>
  <c r="P1028" i="6"/>
  <c r="S1028" i="6" s="1"/>
  <c r="O992" i="6"/>
  <c r="T992" i="6" s="1"/>
  <c r="R934" i="6"/>
  <c r="P934" i="6"/>
  <c r="S934" i="6" s="1"/>
  <c r="P654" i="6"/>
  <c r="S654" i="6" s="1"/>
  <c r="O628" i="6"/>
  <c r="T628" i="6" s="1"/>
  <c r="P477" i="6"/>
  <c r="S477" i="6" s="1"/>
  <c r="O510" i="6"/>
  <c r="T510" i="6" s="1"/>
  <c r="Q481" i="6"/>
  <c r="P305" i="6"/>
  <c r="S305" i="6" s="1"/>
  <c r="P140" i="6"/>
  <c r="S140" i="6" s="1"/>
  <c r="R228" i="6"/>
  <c r="N228" i="6" s="1"/>
  <c r="N594" i="6"/>
  <c r="Q333" i="6"/>
  <c r="O182" i="6"/>
  <c r="T182" i="6" s="1"/>
  <c r="O37" i="6"/>
  <c r="T37" i="6" s="1"/>
  <c r="P1592" i="6"/>
  <c r="S1592" i="6" s="1"/>
  <c r="P1896" i="6"/>
  <c r="S1896" i="6" s="1"/>
  <c r="P1885" i="6"/>
  <c r="S1885" i="6" s="1"/>
  <c r="O1625" i="6"/>
  <c r="T1625" i="6" s="1"/>
  <c r="Q1539" i="6"/>
  <c r="P1541" i="6"/>
  <c r="S1541" i="6" s="1"/>
  <c r="P1394" i="6"/>
  <c r="S1394" i="6" s="1"/>
  <c r="Q1481" i="6"/>
  <c r="Q1300" i="6"/>
  <c r="R1235" i="6"/>
  <c r="R1163" i="6"/>
  <c r="R906" i="6"/>
  <c r="P708" i="6"/>
  <c r="S708" i="6" s="1"/>
  <c r="R484" i="6"/>
  <c r="P574" i="6"/>
  <c r="S574" i="6" s="1"/>
  <c r="R502" i="6"/>
  <c r="R481" i="6"/>
  <c r="Q140" i="6"/>
  <c r="R333" i="6"/>
  <c r="N333" i="6" s="1"/>
  <c r="P182" i="6"/>
  <c r="S182" i="6" s="1"/>
  <c r="F106" i="4"/>
  <c r="P37" i="6"/>
  <c r="S37" i="6" s="1"/>
  <c r="P1936" i="6"/>
  <c r="S1936" i="6" s="1"/>
  <c r="O1785" i="6"/>
  <c r="T1785" i="6" s="1"/>
  <c r="P1832" i="6"/>
  <c r="S1832" i="6" s="1"/>
  <c r="P1849" i="6"/>
  <c r="S1849" i="6" s="1"/>
  <c r="O1841" i="6"/>
  <c r="T1841" i="6" s="1"/>
  <c r="R1785" i="6"/>
  <c r="O1665" i="6"/>
  <c r="T1665" i="6" s="1"/>
  <c r="Q1652" i="6"/>
  <c r="O1539" i="6"/>
  <c r="T1539" i="6" s="1"/>
  <c r="Q1394" i="6"/>
  <c r="O1398" i="6"/>
  <c r="T1398" i="6" s="1"/>
  <c r="O1235" i="6"/>
  <c r="T1235" i="6" s="1"/>
  <c r="O1163" i="6"/>
  <c r="T1163" i="6" s="1"/>
  <c r="R970" i="6"/>
  <c r="R902" i="6"/>
  <c r="P484" i="6"/>
  <c r="S484" i="6" s="1"/>
  <c r="R574" i="6"/>
  <c r="N574" i="6" s="1"/>
  <c r="N600" i="6"/>
  <c r="O481" i="6"/>
  <c r="T481" i="6" s="1"/>
  <c r="N239" i="6"/>
  <c r="R182" i="6"/>
  <c r="N182" i="6" s="1"/>
  <c r="Q37" i="6"/>
  <c r="Q1832" i="6"/>
  <c r="Q1849" i="6"/>
  <c r="P1841" i="6"/>
  <c r="S1841" i="6" s="1"/>
  <c r="Q1843" i="6"/>
  <c r="O1467" i="6"/>
  <c r="T1467" i="6" s="1"/>
  <c r="Q1245" i="6"/>
  <c r="Q1259" i="6"/>
  <c r="O1156" i="6"/>
  <c r="T1156" i="6" s="1"/>
  <c r="O556" i="6"/>
  <c r="T556" i="6" s="1"/>
  <c r="O405" i="6"/>
  <c r="T405" i="6" s="1"/>
  <c r="N614" i="6"/>
  <c r="O417" i="6"/>
  <c r="T417" i="6" s="1"/>
  <c r="F157" i="4"/>
  <c r="F138" i="4"/>
  <c r="O1936" i="6"/>
  <c r="T1936" i="6" s="1"/>
  <c r="Q1859" i="6"/>
  <c r="Q1785" i="6"/>
  <c r="O1661" i="6"/>
  <c r="T1661" i="6" s="1"/>
  <c r="Q1661" i="6"/>
  <c r="Q1561" i="6"/>
  <c r="P1398" i="6"/>
  <c r="S1398" i="6" s="1"/>
  <c r="O1453" i="6"/>
  <c r="T1453" i="6" s="1"/>
  <c r="O1394" i="6"/>
  <c r="T1394" i="6" s="1"/>
  <c r="R1300" i="6"/>
  <c r="Q1060" i="6"/>
  <c r="P965" i="6"/>
  <c r="S965" i="6" s="1"/>
  <c r="R700" i="6"/>
  <c r="N319" i="6"/>
  <c r="R417" i="6"/>
  <c r="F21" i="4"/>
  <c r="R1881" i="6"/>
  <c r="D201" i="4"/>
  <c r="O443" i="6"/>
  <c r="T443" i="6" s="1"/>
  <c r="O1592" i="6"/>
  <c r="T1592" i="6" s="1"/>
  <c r="D21" i="4"/>
  <c r="Q1881" i="6"/>
  <c r="O1881" i="6"/>
  <c r="T1881" i="6" s="1"/>
  <c r="O882" i="6"/>
  <c r="T882" i="6" s="1"/>
  <c r="R1832" i="6"/>
  <c r="N409" i="6"/>
  <c r="F78" i="4"/>
  <c r="P954" i="6"/>
  <c r="S954" i="6" s="1"/>
  <c r="O1319" i="6"/>
  <c r="T1319" i="6" s="1"/>
  <c r="R1561" i="6"/>
  <c r="O1658" i="6"/>
  <c r="T1658" i="6" s="1"/>
  <c r="Q1506" i="6"/>
  <c r="N188" i="6"/>
  <c r="P1485" i="6"/>
  <c r="S1485" i="6" s="1"/>
  <c r="Q224" i="6"/>
  <c r="N70" i="6"/>
  <c r="Q1634" i="6"/>
  <c r="R1520" i="6"/>
  <c r="O1563" i="6"/>
  <c r="T1563" i="6" s="1"/>
  <c r="Q1551" i="6"/>
  <c r="P1509" i="6"/>
  <c r="S1509" i="6" s="1"/>
  <c r="Q1520" i="6"/>
  <c r="O1535" i="6"/>
  <c r="T1535" i="6" s="1"/>
  <c r="R1924" i="6"/>
  <c r="R1535" i="6"/>
  <c r="P1535" i="6"/>
  <c r="S1535" i="6" s="1"/>
  <c r="P1924" i="6"/>
  <c r="S1924" i="6" s="1"/>
  <c r="O1486" i="6"/>
  <c r="T1486" i="6" s="1"/>
  <c r="O1509" i="6"/>
  <c r="T1509" i="6" s="1"/>
  <c r="Q1924" i="6"/>
  <c r="R1509" i="6"/>
  <c r="P1520" i="6"/>
  <c r="S1520" i="6" s="1"/>
  <c r="R1952" i="6"/>
  <c r="O1621" i="6"/>
  <c r="T1621" i="6" s="1"/>
  <c r="O1883" i="6"/>
  <c r="T1883" i="6" s="1"/>
  <c r="P1783" i="6"/>
  <c r="S1783" i="6" s="1"/>
  <c r="R1621" i="6"/>
  <c r="Q1621" i="6"/>
  <c r="O1301" i="6"/>
  <c r="T1301" i="6" s="1"/>
  <c r="O1645" i="6"/>
  <c r="T1645" i="6" s="1"/>
  <c r="O1583" i="6"/>
  <c r="T1583" i="6" s="1"/>
  <c r="Q1883" i="6"/>
  <c r="P1181" i="6"/>
  <c r="S1181" i="6" s="1"/>
  <c r="R994" i="6"/>
  <c r="R1883" i="6"/>
  <c r="P1952" i="6"/>
  <c r="S1952" i="6" s="1"/>
  <c r="Q1614" i="6"/>
  <c r="R1579" i="6"/>
  <c r="P454" i="6"/>
  <c r="S454" i="6" s="1"/>
  <c r="P1553" i="6"/>
  <c r="S1553" i="6" s="1"/>
  <c r="P1806" i="6"/>
  <c r="S1806" i="6" s="1"/>
  <c r="O1549" i="6"/>
  <c r="T1549" i="6" s="1"/>
  <c r="O1689" i="6"/>
  <c r="T1689" i="6" s="1"/>
  <c r="O1614" i="6"/>
  <c r="T1614" i="6" s="1"/>
  <c r="P542" i="6"/>
  <c r="S542" i="6" s="1"/>
  <c r="R1877" i="6"/>
  <c r="Q1877" i="6"/>
  <c r="O1659" i="6"/>
  <c r="T1659" i="6" s="1"/>
  <c r="Q1150" i="6"/>
  <c r="F122" i="4"/>
  <c r="P196" i="6"/>
  <c r="S196" i="6" s="1"/>
  <c r="Q445" i="6"/>
  <c r="P134" i="6"/>
  <c r="S134" i="6" s="1"/>
  <c r="Q1932" i="6"/>
  <c r="O1774" i="6"/>
  <c r="T1774" i="6" s="1"/>
  <c r="Q1645" i="6"/>
  <c r="P1404" i="6"/>
  <c r="S1404" i="6" s="1"/>
  <c r="P1284" i="6"/>
  <c r="S1284" i="6" s="1"/>
  <c r="O914" i="6"/>
  <c r="T914" i="6" s="1"/>
  <c r="P895" i="6"/>
  <c r="S895" i="6" s="1"/>
  <c r="P445" i="6"/>
  <c r="S445" i="6" s="1"/>
  <c r="O542" i="6"/>
  <c r="T542" i="6" s="1"/>
  <c r="Q190" i="6"/>
  <c r="Q1689" i="6"/>
  <c r="P1689" i="6"/>
  <c r="S1689" i="6" s="1"/>
  <c r="P301" i="6"/>
  <c r="S301" i="6" s="1"/>
  <c r="R1980" i="6"/>
  <c r="R1962" i="6"/>
  <c r="Q1918" i="6"/>
  <c r="O1887" i="6"/>
  <c r="T1887" i="6" s="1"/>
  <c r="P1808" i="6"/>
  <c r="S1808" i="6" s="1"/>
  <c r="R1774" i="6"/>
  <c r="P1626" i="6"/>
  <c r="S1626" i="6" s="1"/>
  <c r="O1522" i="6"/>
  <c r="T1522" i="6" s="1"/>
  <c r="R1311" i="6"/>
  <c r="O1348" i="6"/>
  <c r="T1348" i="6" s="1"/>
  <c r="O1356" i="6"/>
  <c r="T1356" i="6" s="1"/>
  <c r="O1202" i="6"/>
  <c r="T1202" i="6" s="1"/>
  <c r="R1150" i="6"/>
  <c r="P921" i="6"/>
  <c r="S921" i="6" s="1"/>
  <c r="R606" i="6"/>
  <c r="N606" i="6" s="1"/>
  <c r="R385" i="6"/>
  <c r="N385" i="6" s="1"/>
  <c r="P1962" i="6"/>
  <c r="S1962" i="6" s="1"/>
  <c r="Q1962" i="6"/>
  <c r="O1907" i="6"/>
  <c r="T1907" i="6" s="1"/>
  <c r="R1918" i="6"/>
  <c r="Q1887" i="6"/>
  <c r="Q1808" i="6"/>
  <c r="O1825" i="6"/>
  <c r="T1825" i="6" s="1"/>
  <c r="Q1577" i="6"/>
  <c r="Q1522" i="6"/>
  <c r="P1540" i="6"/>
  <c r="S1540" i="6" s="1"/>
  <c r="O1404" i="6"/>
  <c r="T1404" i="6" s="1"/>
  <c r="R1348" i="6"/>
  <c r="Q1324" i="6"/>
  <c r="R1356" i="6"/>
  <c r="R1118" i="6"/>
  <c r="P944" i="6"/>
  <c r="S944" i="6" s="1"/>
  <c r="Q606" i="6"/>
  <c r="P922" i="6"/>
  <c r="S922" i="6" s="1"/>
  <c r="P1978" i="6"/>
  <c r="S1978" i="6" s="1"/>
  <c r="Q1189" i="6"/>
  <c r="R938" i="6"/>
  <c r="Q872" i="6"/>
  <c r="N622" i="6"/>
  <c r="O1424" i="6"/>
  <c r="T1424" i="6" s="1"/>
  <c r="O1966" i="6"/>
  <c r="T1966" i="6" s="1"/>
  <c r="R1488" i="6"/>
  <c r="P1356" i="6"/>
  <c r="S1356" i="6" s="1"/>
  <c r="P1966" i="6"/>
  <c r="S1966" i="6" s="1"/>
  <c r="R1910" i="6"/>
  <c r="Q1825" i="6"/>
  <c r="O1808" i="6"/>
  <c r="T1808" i="6" s="1"/>
  <c r="R1512" i="6"/>
  <c r="R1540" i="6"/>
  <c r="O1488" i="6"/>
  <c r="T1488" i="6" s="1"/>
  <c r="R968" i="6"/>
  <c r="O869" i="6"/>
  <c r="T869" i="6" s="1"/>
  <c r="O524" i="6"/>
  <c r="T524" i="6" s="1"/>
  <c r="N236" i="6"/>
  <c r="O69" i="6"/>
  <c r="T69" i="6" s="1"/>
  <c r="P1522" i="6"/>
  <c r="S1522" i="6" s="1"/>
  <c r="O1540" i="6"/>
  <c r="T1540" i="6" s="1"/>
  <c r="Q1044" i="6"/>
  <c r="R702" i="6"/>
  <c r="O454" i="6"/>
  <c r="T454" i="6" s="1"/>
  <c r="N552" i="6"/>
  <c r="O134" i="6"/>
  <c r="T134" i="6" s="1"/>
  <c r="O411" i="6"/>
  <c r="T411" i="6" s="1"/>
  <c r="R1758" i="6"/>
  <c r="Q1611" i="6"/>
  <c r="O1611" i="6"/>
  <c r="T1611" i="6" s="1"/>
  <c r="O1531" i="6"/>
  <c r="T1531" i="6" s="1"/>
  <c r="O1452" i="6"/>
  <c r="T1452" i="6" s="1"/>
  <c r="Q1447" i="6"/>
  <c r="O1350" i="6"/>
  <c r="T1350" i="6" s="1"/>
  <c r="P1151" i="6"/>
  <c r="S1151" i="6" s="1"/>
  <c r="R1216" i="6"/>
  <c r="Q974" i="6"/>
  <c r="P1150" i="6"/>
  <c r="S1150" i="6" s="1"/>
  <c r="Q925" i="6"/>
  <c r="P938" i="6"/>
  <c r="S938" i="6" s="1"/>
  <c r="P914" i="6"/>
  <c r="S914" i="6" s="1"/>
  <c r="O621" i="6"/>
  <c r="T621" i="6" s="1"/>
  <c r="R445" i="6"/>
  <c r="N445" i="6" s="1"/>
  <c r="P365" i="6"/>
  <c r="S365" i="6" s="1"/>
  <c r="O606" i="6"/>
  <c r="T606" i="6" s="1"/>
  <c r="Q542" i="6"/>
  <c r="Q454" i="6"/>
  <c r="O385" i="6"/>
  <c r="T385" i="6" s="1"/>
  <c r="R134" i="6"/>
  <c r="N134" i="6" s="1"/>
  <c r="O84" i="6"/>
  <c r="T84" i="6" s="1"/>
  <c r="Q301" i="6"/>
  <c r="P339" i="6"/>
  <c r="S339" i="6" s="1"/>
  <c r="R196" i="6"/>
  <c r="N196" i="6" s="1"/>
  <c r="O57" i="6"/>
  <c r="T57" i="6" s="1"/>
  <c r="Q411" i="6"/>
  <c r="P69" i="6"/>
  <c r="S69" i="6" s="1"/>
  <c r="O1928" i="6"/>
  <c r="T1928" i="6" s="1"/>
  <c r="R1611" i="6"/>
  <c r="R1663" i="6"/>
  <c r="R1352" i="6"/>
  <c r="R1189" i="6"/>
  <c r="O925" i="6"/>
  <c r="T925" i="6" s="1"/>
  <c r="R922" i="6"/>
  <c r="O875" i="6"/>
  <c r="T875" i="6" s="1"/>
  <c r="R914" i="6"/>
  <c r="P596" i="6"/>
  <c r="S596" i="6" s="1"/>
  <c r="P621" i="6"/>
  <c r="S621" i="6" s="1"/>
  <c r="Q365" i="6"/>
  <c r="N423" i="6"/>
  <c r="N441" i="6"/>
  <c r="P385" i="6"/>
  <c r="S385" i="6" s="1"/>
  <c r="R301" i="6"/>
  <c r="N301" i="6" s="1"/>
  <c r="Q339" i="6"/>
  <c r="O196" i="6"/>
  <c r="T196" i="6" s="1"/>
  <c r="P57" i="6"/>
  <c r="S57" i="6" s="1"/>
  <c r="O5" i="6"/>
  <c r="T5" i="6" s="1"/>
  <c r="Q69" i="6"/>
  <c r="O1910" i="6"/>
  <c r="T1910" i="6" s="1"/>
  <c r="P1422" i="6"/>
  <c r="S1422" i="6" s="1"/>
  <c r="O1441" i="6"/>
  <c r="T1441" i="6" s="1"/>
  <c r="P1352" i="6"/>
  <c r="S1352" i="6" s="1"/>
  <c r="O1303" i="6"/>
  <c r="T1303" i="6" s="1"/>
  <c r="O1189" i="6"/>
  <c r="T1189" i="6" s="1"/>
  <c r="Q702" i="6"/>
  <c r="O740" i="6"/>
  <c r="T740" i="6" s="1"/>
  <c r="Q968" i="6"/>
  <c r="N25" i="6"/>
  <c r="A42" i="8" s="1"/>
  <c r="F42" i="8" s="1"/>
  <c r="R596" i="6"/>
  <c r="N596" i="6" s="1"/>
  <c r="N564" i="6"/>
  <c r="Q621" i="6"/>
  <c r="R365" i="6"/>
  <c r="N365" i="6" s="1"/>
  <c r="O449" i="6"/>
  <c r="T449" i="6" s="1"/>
  <c r="N279" i="6"/>
  <c r="R339" i="6"/>
  <c r="N339" i="6" s="1"/>
  <c r="Q57" i="6"/>
  <c r="P5" i="6"/>
  <c r="S5" i="6" s="1"/>
  <c r="P1980" i="6"/>
  <c r="S1980" i="6" s="1"/>
  <c r="P974" i="6"/>
  <c r="S974" i="6" s="1"/>
  <c r="Q1826" i="6"/>
  <c r="O1768" i="6"/>
  <c r="T1768" i="6" s="1"/>
  <c r="Q1679" i="6"/>
  <c r="R1645" i="6"/>
  <c r="P1608" i="6"/>
  <c r="S1608" i="6" s="1"/>
  <c r="O1577" i="6"/>
  <c r="T1577" i="6" s="1"/>
  <c r="R1531" i="6"/>
  <c r="P1418" i="6"/>
  <c r="S1418" i="6" s="1"/>
  <c r="O1446" i="6"/>
  <c r="T1446" i="6" s="1"/>
  <c r="P1303" i="6"/>
  <c r="S1303" i="6" s="1"/>
  <c r="Q1130" i="6"/>
  <c r="P1076" i="6"/>
  <c r="S1076" i="6" s="1"/>
  <c r="Q678" i="6"/>
  <c r="P968" i="6"/>
  <c r="S968" i="6" s="1"/>
  <c r="Q596" i="6"/>
  <c r="R524" i="6"/>
  <c r="N524" i="6" s="1"/>
  <c r="P449" i="6"/>
  <c r="S449" i="6" s="1"/>
  <c r="O124" i="6"/>
  <c r="T124" i="6" s="1"/>
  <c r="P84" i="6"/>
  <c r="S84" i="6" s="1"/>
  <c r="O190" i="6"/>
  <c r="T190" i="6" s="1"/>
  <c r="Q5" i="6"/>
  <c r="R475" i="6"/>
  <c r="N475" i="6" s="1"/>
  <c r="O1982" i="6"/>
  <c r="T1982" i="6" s="1"/>
  <c r="R1303" i="6"/>
  <c r="O921" i="6"/>
  <c r="T921" i="6" s="1"/>
  <c r="Q714" i="6"/>
  <c r="P524" i="6"/>
  <c r="S524" i="6" s="1"/>
  <c r="N311" i="6"/>
  <c r="Q449" i="6"/>
  <c r="P124" i="6"/>
  <c r="S124" i="6" s="1"/>
  <c r="Q84" i="6"/>
  <c r="P190" i="6"/>
  <c r="S190" i="6" s="1"/>
  <c r="O475" i="6"/>
  <c r="T475" i="6" s="1"/>
  <c r="Q1928" i="6"/>
  <c r="P1901" i="6"/>
  <c r="S1901" i="6" s="1"/>
  <c r="O1843" i="6"/>
  <c r="T1843" i="6" s="1"/>
  <c r="R1679" i="6"/>
  <c r="P1928" i="6"/>
  <c r="S1928" i="6" s="1"/>
  <c r="R1907" i="6"/>
  <c r="O1901" i="6"/>
  <c r="T1901" i="6" s="1"/>
  <c r="R1849" i="6"/>
  <c r="R1823" i="6"/>
  <c r="P1843" i="6"/>
  <c r="S1843" i="6" s="1"/>
  <c r="O1617" i="6"/>
  <c r="T1617" i="6" s="1"/>
  <c r="P1679" i="6"/>
  <c r="S1679" i="6" s="1"/>
  <c r="O1550" i="6"/>
  <c r="T1550" i="6" s="1"/>
  <c r="Q1488" i="6"/>
  <c r="Q1312" i="6"/>
  <c r="P925" i="6"/>
  <c r="S925" i="6" s="1"/>
  <c r="Q124" i="6"/>
  <c r="N162" i="6"/>
  <c r="P475" i="6"/>
  <c r="S475" i="6" s="1"/>
  <c r="N534" i="6"/>
  <c r="N69" i="6"/>
  <c r="P1910" i="6"/>
  <c r="S1910" i="6" s="1"/>
  <c r="O1553" i="6"/>
  <c r="T1553" i="6" s="1"/>
  <c r="R974" i="6"/>
  <c r="O1922" i="6"/>
  <c r="T1922" i="6" s="1"/>
  <c r="P1577" i="6"/>
  <c r="S1577" i="6" s="1"/>
  <c r="Q1553" i="6"/>
  <c r="N27" i="6"/>
  <c r="A44" i="8" s="1"/>
  <c r="D44" i="8" s="1"/>
  <c r="Q1151" i="6"/>
  <c r="F37" i="4"/>
  <c r="P411" i="6"/>
  <c r="S411" i="6" s="1"/>
  <c r="O922" i="6"/>
  <c r="T922" i="6" s="1"/>
  <c r="R1140" i="6"/>
  <c r="F62" i="4"/>
  <c r="N140" i="6"/>
  <c r="N295" i="6"/>
  <c r="F182" i="4"/>
  <c r="O1800" i="6"/>
  <c r="T1800" i="6" s="1"/>
  <c r="P1400" i="6"/>
  <c r="S1400" i="6" s="1"/>
  <c r="P1390" i="6"/>
  <c r="S1390" i="6" s="1"/>
  <c r="O1366" i="6"/>
  <c r="T1366" i="6" s="1"/>
  <c r="R1350" i="6"/>
  <c r="P1305" i="6"/>
  <c r="S1305" i="6" s="1"/>
  <c r="P1282" i="6"/>
  <c r="S1282" i="6" s="1"/>
  <c r="R1342" i="6"/>
  <c r="O1316" i="6"/>
  <c r="T1316" i="6" s="1"/>
  <c r="P1340" i="6"/>
  <c r="S1340" i="6" s="1"/>
  <c r="O1327" i="6"/>
  <c r="T1327" i="6" s="1"/>
  <c r="P1207" i="6"/>
  <c r="S1207" i="6" s="1"/>
  <c r="Q1190" i="6"/>
  <c r="P1148" i="6"/>
  <c r="S1148" i="6" s="1"/>
  <c r="O941" i="6"/>
  <c r="T941" i="6" s="1"/>
  <c r="P929" i="6"/>
  <c r="S929" i="6" s="1"/>
  <c r="P540" i="6"/>
  <c r="S540" i="6" s="1"/>
  <c r="R460" i="6"/>
  <c r="N460" i="6" s="1"/>
  <c r="R389" i="6"/>
  <c r="N389" i="6" s="1"/>
  <c r="P465" i="6"/>
  <c r="S465" i="6" s="1"/>
  <c r="R401" i="6"/>
  <c r="Q289" i="6"/>
  <c r="Q317" i="6"/>
  <c r="R253" i="6"/>
  <c r="N253" i="6" s="1"/>
  <c r="P108" i="6"/>
  <c r="S108" i="6" s="1"/>
  <c r="R21" i="6"/>
  <c r="N21" i="6" s="1"/>
  <c r="A38" i="8" s="1"/>
  <c r="D38" i="8" s="1"/>
  <c r="R1897" i="6"/>
  <c r="P1002" i="6"/>
  <c r="S1002" i="6" s="1"/>
  <c r="N393" i="6"/>
  <c r="N449" i="6"/>
  <c r="D94" i="4"/>
  <c r="P1818" i="6"/>
  <c r="S1818" i="6" s="1"/>
  <c r="Q1440" i="6"/>
  <c r="P1440" i="6"/>
  <c r="S1440" i="6" s="1"/>
  <c r="Q1400" i="6"/>
  <c r="Q1390" i="6"/>
  <c r="P1417" i="6"/>
  <c r="S1417" i="6" s="1"/>
  <c r="O1400" i="6"/>
  <c r="T1400" i="6" s="1"/>
  <c r="O1390" i="6"/>
  <c r="T1390" i="6" s="1"/>
  <c r="R1313" i="6"/>
  <c r="R1366" i="6"/>
  <c r="P1350" i="6"/>
  <c r="S1350" i="6" s="1"/>
  <c r="R1316" i="6"/>
  <c r="O1330" i="6"/>
  <c r="T1330" i="6" s="1"/>
  <c r="P1342" i="6"/>
  <c r="S1342" i="6" s="1"/>
  <c r="P1316" i="6"/>
  <c r="S1316" i="6" s="1"/>
  <c r="Q1340" i="6"/>
  <c r="P1429" i="6"/>
  <c r="S1429" i="6" s="1"/>
  <c r="Q1327" i="6"/>
  <c r="P1114" i="6"/>
  <c r="S1114" i="6" s="1"/>
  <c r="R540" i="6"/>
  <c r="N540" i="6" s="1"/>
  <c r="O460" i="6"/>
  <c r="T460" i="6" s="1"/>
  <c r="Q351" i="6"/>
  <c r="R461" i="6"/>
  <c r="N461" i="6" s="1"/>
  <c r="O389" i="6"/>
  <c r="T389" i="6" s="1"/>
  <c r="R351" i="6"/>
  <c r="N351" i="6" s="1"/>
  <c r="R289" i="6"/>
  <c r="N289" i="6" s="1"/>
  <c r="R317" i="6"/>
  <c r="N317" i="6" s="1"/>
  <c r="O253" i="6"/>
  <c r="T253" i="6" s="1"/>
  <c r="P212" i="6"/>
  <c r="S212" i="6" s="1"/>
  <c r="Q108" i="6"/>
  <c r="O150" i="6"/>
  <c r="T150" i="6" s="1"/>
  <c r="P1897" i="6"/>
  <c r="S1897" i="6" s="1"/>
  <c r="O1897" i="6"/>
  <c r="T1897" i="6" s="1"/>
  <c r="R1800" i="6"/>
  <c r="P1800" i="6"/>
  <c r="S1800" i="6" s="1"/>
  <c r="P1366" i="6"/>
  <c r="S1366" i="6" s="1"/>
  <c r="O1313" i="6"/>
  <c r="T1313" i="6" s="1"/>
  <c r="R1330" i="6"/>
  <c r="O1306" i="6"/>
  <c r="T1306" i="6" s="1"/>
  <c r="Q1429" i="6"/>
  <c r="O1218" i="6"/>
  <c r="T1218" i="6" s="1"/>
  <c r="O1207" i="6"/>
  <c r="T1207" i="6" s="1"/>
  <c r="O1191" i="6"/>
  <c r="T1191" i="6" s="1"/>
  <c r="Q1002" i="6"/>
  <c r="R928" i="6"/>
  <c r="P941" i="6"/>
  <c r="S941" i="6" s="1"/>
  <c r="P612" i="6"/>
  <c r="S612" i="6" s="1"/>
  <c r="O540" i="6"/>
  <c r="T540" i="6" s="1"/>
  <c r="Q461" i="6"/>
  <c r="P389" i="6"/>
  <c r="S389" i="6" s="1"/>
  <c r="P630" i="6"/>
  <c r="S630" i="6" s="1"/>
  <c r="N439" i="6"/>
  <c r="P351" i="6"/>
  <c r="S351" i="6" s="1"/>
  <c r="N578" i="6"/>
  <c r="P355" i="6"/>
  <c r="S355" i="6" s="1"/>
  <c r="R212" i="6"/>
  <c r="N212" i="6" s="1"/>
  <c r="N202" i="6"/>
  <c r="N138" i="6"/>
  <c r="P150" i="6"/>
  <c r="S150" i="6" s="1"/>
  <c r="O1780" i="6"/>
  <c r="T1780" i="6" s="1"/>
  <c r="R1525" i="6"/>
  <c r="D70" i="4"/>
  <c r="D38" i="4"/>
  <c r="F45" i="4"/>
  <c r="P1812" i="6"/>
  <c r="S1812" i="6" s="1"/>
  <c r="P1523" i="6"/>
  <c r="S1523" i="6" s="1"/>
  <c r="O1451" i="6"/>
  <c r="T1451" i="6" s="1"/>
  <c r="R1306" i="6"/>
  <c r="O1362" i="6"/>
  <c r="T1362" i="6" s="1"/>
  <c r="P1330" i="6"/>
  <c r="S1330" i="6" s="1"/>
  <c r="P1306" i="6"/>
  <c r="S1306" i="6" s="1"/>
  <c r="R1429" i="6"/>
  <c r="P1413" i="6"/>
  <c r="S1413" i="6" s="1"/>
  <c r="O1190" i="6"/>
  <c r="T1190" i="6" s="1"/>
  <c r="O1187" i="6"/>
  <c r="T1187" i="6" s="1"/>
  <c r="Q931" i="6"/>
  <c r="O662" i="6"/>
  <c r="T662" i="6" s="1"/>
  <c r="R612" i="6"/>
  <c r="N612" i="6" s="1"/>
  <c r="O461" i="6"/>
  <c r="T461" i="6" s="1"/>
  <c r="Q630" i="6"/>
  <c r="N367" i="6"/>
  <c r="N584" i="6"/>
  <c r="N568" i="6"/>
  <c r="O23" i="6"/>
  <c r="T23" i="6" s="1"/>
  <c r="P241" i="6"/>
  <c r="S241" i="6" s="1"/>
  <c r="Q355" i="6"/>
  <c r="O212" i="6"/>
  <c r="T212" i="6" s="1"/>
  <c r="R150" i="6"/>
  <c r="N150" i="6" s="1"/>
  <c r="O427" i="6"/>
  <c r="T427" i="6" s="1"/>
  <c r="R1780" i="6"/>
  <c r="O1791" i="6"/>
  <c r="T1791" i="6" s="1"/>
  <c r="O1523" i="6"/>
  <c r="T1523" i="6" s="1"/>
  <c r="R1548" i="6"/>
  <c r="R1447" i="6"/>
  <c r="Q1451" i="6"/>
  <c r="O1406" i="6"/>
  <c r="T1406" i="6" s="1"/>
  <c r="O1368" i="6"/>
  <c r="T1368" i="6" s="1"/>
  <c r="R1362" i="6"/>
  <c r="Q1413" i="6"/>
  <c r="R1312" i="6"/>
  <c r="R1187" i="6"/>
  <c r="P1187" i="6"/>
  <c r="S1187" i="6" s="1"/>
  <c r="O931" i="6"/>
  <c r="T931" i="6" s="1"/>
  <c r="P956" i="6"/>
  <c r="S956" i="6" s="1"/>
  <c r="Q662" i="6"/>
  <c r="Q612" i="6"/>
  <c r="R630" i="6"/>
  <c r="N630" i="6" s="1"/>
  <c r="P23" i="6"/>
  <c r="S23" i="6" s="1"/>
  <c r="Q241" i="6"/>
  <c r="R355" i="6"/>
  <c r="N355" i="6" s="1"/>
  <c r="P427" i="6"/>
  <c r="S427" i="6" s="1"/>
  <c r="R1114" i="6"/>
  <c r="O1673" i="6"/>
  <c r="T1673" i="6" s="1"/>
  <c r="P1780" i="6"/>
  <c r="S1780" i="6" s="1"/>
  <c r="Q1791" i="6"/>
  <c r="P1406" i="6"/>
  <c r="S1406" i="6" s="1"/>
  <c r="O1447" i="6"/>
  <c r="T1447" i="6" s="1"/>
  <c r="R1451" i="6"/>
  <c r="R1368" i="6"/>
  <c r="P1362" i="6"/>
  <c r="S1362" i="6" s="1"/>
  <c r="P1276" i="6"/>
  <c r="S1276" i="6" s="1"/>
  <c r="R1413" i="6"/>
  <c r="O1312" i="6"/>
  <c r="T1312" i="6" s="1"/>
  <c r="R1498" i="6"/>
  <c r="O1148" i="6"/>
  <c r="T1148" i="6" s="1"/>
  <c r="R1002" i="6"/>
  <c r="Q929" i="6"/>
  <c r="Q956" i="6"/>
  <c r="P863" i="6"/>
  <c r="S863" i="6" s="1"/>
  <c r="R662" i="6"/>
  <c r="Q465" i="6"/>
  <c r="O401" i="6"/>
  <c r="T401" i="6" s="1"/>
  <c r="F98" i="4"/>
  <c r="Q23" i="6"/>
  <c r="R241" i="6"/>
  <c r="N241" i="6" s="1"/>
  <c r="Q427" i="6"/>
  <c r="O21" i="6"/>
  <c r="T21" i="6" s="1"/>
  <c r="O1525" i="6"/>
  <c r="T1525" i="6" s="1"/>
  <c r="R1276" i="6"/>
  <c r="O956" i="6"/>
  <c r="T956" i="6" s="1"/>
  <c r="Q1663" i="6"/>
  <c r="Q1567" i="6"/>
  <c r="Q1406" i="6"/>
  <c r="P1313" i="6"/>
  <c r="S1313" i="6" s="1"/>
  <c r="Q1276" i="6"/>
  <c r="R1190" i="6"/>
  <c r="O929" i="6"/>
  <c r="T929" i="6" s="1"/>
  <c r="R863" i="6"/>
  <c r="N116" i="6"/>
  <c r="N98" i="6"/>
  <c r="Q1525" i="6"/>
  <c r="P1982" i="6"/>
  <c r="S1982" i="6" s="1"/>
  <c r="Q1922" i="6"/>
  <c r="R1865" i="6"/>
  <c r="O1719" i="6"/>
  <c r="T1719" i="6" s="1"/>
  <c r="O1578" i="6"/>
  <c r="T1578" i="6" s="1"/>
  <c r="R1533" i="6"/>
  <c r="P1322" i="6"/>
  <c r="S1322" i="6" s="1"/>
  <c r="Q1076" i="6"/>
  <c r="O952" i="6"/>
  <c r="T952" i="6" s="1"/>
  <c r="R960" i="6"/>
  <c r="P984" i="6"/>
  <c r="S984" i="6" s="1"/>
  <c r="P867" i="6"/>
  <c r="S867" i="6" s="1"/>
  <c r="Q888" i="6"/>
  <c r="P958" i="6"/>
  <c r="S958" i="6" s="1"/>
  <c r="O900" i="6"/>
  <c r="T900" i="6" s="1"/>
  <c r="R976" i="6"/>
  <c r="R678" i="6"/>
  <c r="R869" i="6"/>
  <c r="O245" i="6"/>
  <c r="T245" i="6" s="1"/>
  <c r="P1922" i="6"/>
  <c r="S1922" i="6" s="1"/>
  <c r="O1993" i="6"/>
  <c r="T1993" i="6" s="1"/>
  <c r="R1982" i="6"/>
  <c r="Q1865" i="6"/>
  <c r="P1851" i="6"/>
  <c r="S1851" i="6" s="1"/>
  <c r="R1649" i="6"/>
  <c r="O1649" i="6"/>
  <c r="T1649" i="6" s="1"/>
  <c r="O1620" i="6"/>
  <c r="T1620" i="6" s="1"/>
  <c r="R1076" i="6"/>
  <c r="R951" i="6"/>
  <c r="Q933" i="6"/>
  <c r="Q984" i="6"/>
  <c r="Q877" i="6"/>
  <c r="P900" i="6"/>
  <c r="S900" i="6" s="1"/>
  <c r="O976" i="6"/>
  <c r="T976" i="6" s="1"/>
  <c r="P678" i="6"/>
  <c r="S678" i="6" s="1"/>
  <c r="P869" i="6"/>
  <c r="S869" i="6" s="1"/>
  <c r="R1993" i="6"/>
  <c r="O1865" i="6"/>
  <c r="T1865" i="6" s="1"/>
  <c r="Q1386" i="6"/>
  <c r="Q1183" i="6"/>
  <c r="R1005" i="6"/>
  <c r="O951" i="6"/>
  <c r="T951" i="6" s="1"/>
  <c r="O933" i="6"/>
  <c r="T933" i="6" s="1"/>
  <c r="R984" i="6"/>
  <c r="P920" i="6"/>
  <c r="S920" i="6" s="1"/>
  <c r="P875" i="6"/>
  <c r="S875" i="6" s="1"/>
  <c r="Q900" i="6"/>
  <c r="R100" i="6"/>
  <c r="N100" i="6" s="1"/>
  <c r="F158" i="4"/>
  <c r="Q172" i="6"/>
  <c r="O13" i="6"/>
  <c r="T13" i="6" s="1"/>
  <c r="Q1644" i="6"/>
  <c r="Q1805" i="6"/>
  <c r="Q1851" i="6"/>
  <c r="Q1640" i="6"/>
  <c r="P1640" i="6"/>
  <c r="S1640" i="6" s="1"/>
  <c r="P1620" i="6"/>
  <c r="S1620" i="6" s="1"/>
  <c r="Q1649" i="6"/>
  <c r="P1414" i="6"/>
  <c r="S1414" i="6" s="1"/>
  <c r="O1308" i="6"/>
  <c r="T1308" i="6" s="1"/>
  <c r="Q100" i="6"/>
  <c r="D61" i="4"/>
  <c r="Q1993" i="6"/>
  <c r="P1006" i="6"/>
  <c r="S1006" i="6" s="1"/>
  <c r="D190" i="4"/>
  <c r="R1851" i="6"/>
  <c r="P1846" i="6"/>
  <c r="S1846" i="6" s="1"/>
  <c r="R1719" i="6"/>
  <c r="R1662" i="6"/>
  <c r="Q1636" i="6"/>
  <c r="Q1620" i="6"/>
  <c r="O1532" i="6"/>
  <c r="T1532" i="6" s="1"/>
  <c r="R1334" i="6"/>
  <c r="P1308" i="6"/>
  <c r="S1308" i="6" s="1"/>
  <c r="O1299" i="6"/>
  <c r="T1299" i="6" s="1"/>
  <c r="R1360" i="6"/>
  <c r="Q990" i="6"/>
  <c r="R604" i="6"/>
  <c r="N604" i="6" s="1"/>
  <c r="P532" i="6"/>
  <c r="S532" i="6" s="1"/>
  <c r="Q457" i="6"/>
  <c r="Q204" i="6"/>
  <c r="F125" i="4"/>
  <c r="N170" i="6"/>
  <c r="Q491" i="6"/>
  <c r="Q331" i="6"/>
  <c r="Q1846" i="6"/>
  <c r="Q1533" i="6"/>
  <c r="P1421" i="6"/>
  <c r="S1421" i="6" s="1"/>
  <c r="Q1308" i="6"/>
  <c r="P1360" i="6"/>
  <c r="S1360" i="6" s="1"/>
  <c r="O1200" i="6"/>
  <c r="T1200" i="6" s="1"/>
  <c r="R692" i="6"/>
  <c r="Q604" i="6"/>
  <c r="R457" i="6"/>
  <c r="N457" i="6" s="1"/>
  <c r="N108" i="6"/>
  <c r="O1846" i="6"/>
  <c r="T1846" i="6" s="1"/>
  <c r="Q1360" i="6"/>
  <c r="R1200" i="6"/>
  <c r="Q1006" i="6"/>
  <c r="Q894" i="6"/>
  <c r="O888" i="6"/>
  <c r="T888" i="6" s="1"/>
  <c r="O692" i="6"/>
  <c r="T692" i="6" s="1"/>
  <c r="O453" i="6"/>
  <c r="T453" i="6" s="1"/>
  <c r="Q381" i="6"/>
  <c r="Q309" i="6"/>
  <c r="Q1299" i="6"/>
  <c r="P1200" i="6"/>
  <c r="S1200" i="6" s="1"/>
  <c r="F94" i="4"/>
  <c r="O166" i="6"/>
  <c r="T166" i="6" s="1"/>
  <c r="F197" i="4"/>
  <c r="P13" i="6"/>
  <c r="S13" i="6" s="1"/>
  <c r="R309" i="6"/>
  <c r="N309" i="6" s="1"/>
  <c r="R491" i="6"/>
  <c r="N491" i="6" s="1"/>
  <c r="R331" i="6"/>
  <c r="N331" i="6" s="1"/>
  <c r="D213" i="4"/>
  <c r="R1291" i="6"/>
  <c r="P1820" i="6"/>
  <c r="S1820" i="6" s="1"/>
  <c r="P1638" i="6"/>
  <c r="S1638" i="6" s="1"/>
  <c r="P1175" i="6"/>
  <c r="S1175" i="6" s="1"/>
  <c r="O1835" i="6"/>
  <c r="T1835" i="6" s="1"/>
  <c r="O1829" i="6"/>
  <c r="T1829" i="6" s="1"/>
  <c r="Q1271" i="6"/>
  <c r="P1131" i="6"/>
  <c r="S1131" i="6" s="1"/>
  <c r="R1175" i="6"/>
  <c r="P918" i="6"/>
  <c r="S918" i="6" s="1"/>
  <c r="R867" i="6"/>
  <c r="R875" i="6"/>
  <c r="P692" i="6"/>
  <c r="S692" i="6" s="1"/>
  <c r="O604" i="6"/>
  <c r="T604" i="6" s="1"/>
  <c r="R532" i="6"/>
  <c r="N532" i="6" s="1"/>
  <c r="O381" i="6"/>
  <c r="T381" i="6" s="1"/>
  <c r="O457" i="6"/>
  <c r="T457" i="6" s="1"/>
  <c r="P281" i="6"/>
  <c r="S281" i="6" s="1"/>
  <c r="P166" i="6"/>
  <c r="S166" i="6" s="1"/>
  <c r="Q13" i="6"/>
  <c r="O309" i="6"/>
  <c r="T309" i="6" s="1"/>
  <c r="O491" i="6"/>
  <c r="T491" i="6" s="1"/>
  <c r="O331" i="6"/>
  <c r="T331" i="6" s="1"/>
  <c r="R1006" i="6"/>
  <c r="O1131" i="6"/>
  <c r="T1131" i="6" s="1"/>
  <c r="P1835" i="6"/>
  <c r="S1835" i="6" s="1"/>
  <c r="P1829" i="6"/>
  <c r="S1829" i="6" s="1"/>
  <c r="O1533" i="6"/>
  <c r="T1533" i="6" s="1"/>
  <c r="P1271" i="6"/>
  <c r="S1271" i="6" s="1"/>
  <c r="Q1131" i="6"/>
  <c r="O1175" i="6"/>
  <c r="T1175" i="6" s="1"/>
  <c r="P933" i="6"/>
  <c r="S933" i="6" s="1"/>
  <c r="Q867" i="6"/>
  <c r="O958" i="6"/>
  <c r="T958" i="6" s="1"/>
  <c r="O532" i="6"/>
  <c r="T532" i="6" s="1"/>
  <c r="Q281" i="6"/>
  <c r="R166" i="6"/>
  <c r="N166" i="6" s="1"/>
  <c r="O65" i="6"/>
  <c r="T65" i="6" s="1"/>
  <c r="P347" i="6"/>
  <c r="S347" i="6" s="1"/>
  <c r="D62" i="4"/>
  <c r="Q1835" i="6"/>
  <c r="Q1829" i="6"/>
  <c r="R1271" i="6"/>
  <c r="R1183" i="6"/>
  <c r="Q951" i="6"/>
  <c r="R958" i="6"/>
  <c r="P892" i="6"/>
  <c r="S892" i="6" s="1"/>
  <c r="O393" i="6"/>
  <c r="T393" i="6" s="1"/>
  <c r="R281" i="6"/>
  <c r="N281" i="6" s="1"/>
  <c r="F66" i="4"/>
  <c r="O419" i="6"/>
  <c r="T419" i="6" s="1"/>
  <c r="P65" i="6"/>
  <c r="S65" i="6" s="1"/>
  <c r="Q347" i="6"/>
  <c r="O918" i="6"/>
  <c r="T918" i="6" s="1"/>
  <c r="P894" i="6"/>
  <c r="S894" i="6" s="1"/>
  <c r="O877" i="6"/>
  <c r="T877" i="6" s="1"/>
  <c r="O1322" i="6"/>
  <c r="T1322" i="6" s="1"/>
  <c r="O876" i="6"/>
  <c r="T876" i="6" s="1"/>
  <c r="N431" i="6"/>
  <c r="N359" i="6"/>
  <c r="P393" i="6"/>
  <c r="S393" i="6" s="1"/>
  <c r="P204" i="6"/>
  <c r="S204" i="6" s="1"/>
  <c r="P419" i="6"/>
  <c r="S419" i="6" s="1"/>
  <c r="Q65" i="6"/>
  <c r="R347" i="6"/>
  <c r="N347" i="6" s="1"/>
  <c r="R918" i="6"/>
  <c r="R894" i="6"/>
  <c r="D126" i="4"/>
  <c r="O887" i="6"/>
  <c r="T887" i="6" s="1"/>
  <c r="R453" i="6"/>
  <c r="N453" i="6" s="1"/>
  <c r="N576" i="6"/>
  <c r="N560" i="6"/>
  <c r="Q393" i="6"/>
  <c r="P245" i="6"/>
  <c r="S245" i="6" s="1"/>
  <c r="R204" i="6"/>
  <c r="N204" i="6" s="1"/>
  <c r="F34" i="4"/>
  <c r="O100" i="6"/>
  <c r="T100" i="6" s="1"/>
  <c r="N194" i="6"/>
  <c r="Q419" i="6"/>
  <c r="O172" i="6"/>
  <c r="T172" i="6" s="1"/>
  <c r="R1923" i="6"/>
  <c r="Q1140" i="6"/>
  <c r="O1640" i="6"/>
  <c r="T1640" i="6" s="1"/>
  <c r="N124" i="6"/>
  <c r="F30" i="4"/>
  <c r="R1901" i="6"/>
  <c r="Q1322" i="6"/>
  <c r="O1183" i="6"/>
  <c r="T1183" i="6" s="1"/>
  <c r="Q1005" i="6"/>
  <c r="P1005" i="6"/>
  <c r="S1005" i="6" s="1"/>
  <c r="Q921" i="6"/>
  <c r="O903" i="6"/>
  <c r="T903" i="6" s="1"/>
  <c r="P877" i="6"/>
  <c r="S877" i="6" s="1"/>
  <c r="Q887" i="6"/>
  <c r="R172" i="6"/>
  <c r="N172" i="6" s="1"/>
  <c r="N287" i="6"/>
  <c r="R1299" i="6"/>
  <c r="N335" i="6"/>
  <c r="D86" i="4"/>
  <c r="F54" i="4"/>
  <c r="D22" i="4"/>
  <c r="R1945" i="6"/>
  <c r="O1954" i="6"/>
  <c r="T1954" i="6" s="1"/>
  <c r="O1802" i="6"/>
  <c r="T1802" i="6" s="1"/>
  <c r="O1837" i="6"/>
  <c r="T1837" i="6" s="1"/>
  <c r="O1713" i="6"/>
  <c r="T1713" i="6" s="1"/>
  <c r="O1590" i="6"/>
  <c r="T1590" i="6" s="1"/>
  <c r="Q1624" i="6"/>
  <c r="P1332" i="6"/>
  <c r="S1332" i="6" s="1"/>
  <c r="R1270" i="6"/>
  <c r="R1358" i="6"/>
  <c r="P1314" i="6"/>
  <c r="S1314" i="6" s="1"/>
  <c r="O1296" i="6"/>
  <c r="T1296" i="6" s="1"/>
  <c r="Q1237" i="6"/>
  <c r="Q1251" i="6"/>
  <c r="R724" i="6"/>
  <c r="R714" i="6"/>
  <c r="O864" i="6"/>
  <c r="T864" i="6" s="1"/>
  <c r="O644" i="6"/>
  <c r="T644" i="6" s="1"/>
  <c r="P572" i="6"/>
  <c r="S572" i="6" s="1"/>
  <c r="Q480" i="6"/>
  <c r="D173" i="4"/>
  <c r="F114" i="4"/>
  <c r="P164" i="6"/>
  <c r="S164" i="6" s="1"/>
  <c r="R285" i="6"/>
  <c r="N285" i="6" s="1"/>
  <c r="O237" i="6"/>
  <c r="T237" i="6" s="1"/>
  <c r="R634" i="6"/>
  <c r="N634" i="6" s="1"/>
  <c r="Q459" i="6"/>
  <c r="R395" i="6"/>
  <c r="N395" i="6" s="1"/>
  <c r="O1945" i="6"/>
  <c r="T1945" i="6" s="1"/>
  <c r="O1855" i="6"/>
  <c r="T1855" i="6" s="1"/>
  <c r="P1713" i="6"/>
  <c r="S1713" i="6" s="1"/>
  <c r="O1556" i="6"/>
  <c r="T1556" i="6" s="1"/>
  <c r="P1285" i="6"/>
  <c r="S1285" i="6" s="1"/>
  <c r="Q919" i="6"/>
  <c r="D206" i="4"/>
  <c r="Q1974" i="6"/>
  <c r="N425" i="6"/>
  <c r="F142" i="4"/>
  <c r="Q1929" i="6"/>
  <c r="P1929" i="6"/>
  <c r="S1929" i="6" s="1"/>
  <c r="O1904" i="6"/>
  <c r="T1904" i="6" s="1"/>
  <c r="P1954" i="6"/>
  <c r="S1954" i="6" s="1"/>
  <c r="R1929" i="6"/>
  <c r="R1904" i="6"/>
  <c r="P1837" i="6"/>
  <c r="S1837" i="6" s="1"/>
  <c r="P1612" i="6"/>
  <c r="S1612" i="6" s="1"/>
  <c r="O1581" i="6"/>
  <c r="T1581" i="6" s="1"/>
  <c r="O1501" i="6"/>
  <c r="T1501" i="6" s="1"/>
  <c r="P1329" i="6"/>
  <c r="S1329" i="6" s="1"/>
  <c r="Q1332" i="6"/>
  <c r="P1358" i="6"/>
  <c r="S1358" i="6" s="1"/>
  <c r="Q1314" i="6"/>
  <c r="R1285" i="6"/>
  <c r="Q935" i="6"/>
  <c r="Q927" i="6"/>
  <c r="P927" i="6"/>
  <c r="S927" i="6" s="1"/>
  <c r="P714" i="6"/>
  <c r="S714" i="6" s="1"/>
  <c r="P864" i="6"/>
  <c r="S864" i="6" s="1"/>
  <c r="P644" i="6"/>
  <c r="S644" i="6" s="1"/>
  <c r="R572" i="6"/>
  <c r="N572" i="6" s="1"/>
  <c r="N407" i="6"/>
  <c r="R480" i="6"/>
  <c r="N480" i="6" s="1"/>
  <c r="Q497" i="6"/>
  <c r="P273" i="6"/>
  <c r="S273" i="6" s="1"/>
  <c r="F22" i="4"/>
  <c r="R164" i="6"/>
  <c r="N164" i="6" s="1"/>
  <c r="O285" i="6"/>
  <c r="T285" i="6" s="1"/>
  <c r="O634" i="6"/>
  <c r="T634" i="6" s="1"/>
  <c r="R459" i="6"/>
  <c r="N459" i="6" s="1"/>
  <c r="Q1855" i="6"/>
  <c r="R1556" i="6"/>
  <c r="O1430" i="6"/>
  <c r="T1430" i="6" s="1"/>
  <c r="O1209" i="6"/>
  <c r="T1209" i="6" s="1"/>
  <c r="Q1904" i="6"/>
  <c r="R1855" i="6"/>
  <c r="P1814" i="6"/>
  <c r="S1814" i="6" s="1"/>
  <c r="O1839" i="6"/>
  <c r="T1839" i="6" s="1"/>
  <c r="P1802" i="6"/>
  <c r="S1802" i="6" s="1"/>
  <c r="Q1837" i="6"/>
  <c r="O1792" i="6"/>
  <c r="T1792" i="6" s="1"/>
  <c r="Q1654" i="6"/>
  <c r="O1612" i="6"/>
  <c r="T1612" i="6" s="1"/>
  <c r="Q1581" i="6"/>
  <c r="P1573" i="6"/>
  <c r="S1573" i="6" s="1"/>
  <c r="Q1518" i="6"/>
  <c r="P1382" i="6"/>
  <c r="S1382" i="6" s="1"/>
  <c r="Q1329" i="6"/>
  <c r="R1318" i="6"/>
  <c r="Q1194" i="6"/>
  <c r="Q960" i="6"/>
  <c r="O935" i="6"/>
  <c r="T935" i="6" s="1"/>
  <c r="O927" i="6"/>
  <c r="T927" i="6" s="1"/>
  <c r="O736" i="6"/>
  <c r="T736" i="6" s="1"/>
  <c r="N538" i="6"/>
  <c r="N598" i="6"/>
  <c r="N616" i="6"/>
  <c r="O497" i="6"/>
  <c r="T497" i="6" s="1"/>
  <c r="Q273" i="6"/>
  <c r="F146" i="4"/>
  <c r="P349" i="6"/>
  <c r="S349" i="6" s="1"/>
  <c r="N255" i="6"/>
  <c r="O459" i="6"/>
  <c r="T459" i="6" s="1"/>
  <c r="O53" i="6"/>
  <c r="T53" i="6" s="1"/>
  <c r="P1974" i="6"/>
  <c r="S1974" i="6" s="1"/>
  <c r="Q1713" i="6"/>
  <c r="R1430" i="6"/>
  <c r="P1839" i="6"/>
  <c r="S1839" i="6" s="1"/>
  <c r="P1792" i="6"/>
  <c r="S1792" i="6" s="1"/>
  <c r="O1573" i="6"/>
  <c r="T1573" i="6" s="1"/>
  <c r="P1543" i="6"/>
  <c r="S1543" i="6" s="1"/>
  <c r="Q1382" i="6"/>
  <c r="R1329" i="6"/>
  <c r="O1344" i="6"/>
  <c r="T1344" i="6" s="1"/>
  <c r="O1290" i="6"/>
  <c r="T1290" i="6" s="1"/>
  <c r="O1237" i="6"/>
  <c r="T1237" i="6" s="1"/>
  <c r="R1194" i="6"/>
  <c r="O973" i="6"/>
  <c r="T973" i="6" s="1"/>
  <c r="R676" i="6"/>
  <c r="O580" i="6"/>
  <c r="T580" i="6" s="1"/>
  <c r="P497" i="6"/>
  <c r="S497" i="6" s="1"/>
  <c r="O433" i="6"/>
  <c r="T433" i="6" s="1"/>
  <c r="R273" i="6"/>
  <c r="F86" i="4"/>
  <c r="Q349" i="6"/>
  <c r="O11" i="6"/>
  <c r="T11" i="6" s="1"/>
  <c r="P53" i="6"/>
  <c r="S53" i="6" s="1"/>
  <c r="D45" i="4"/>
  <c r="Q1209" i="6"/>
  <c r="O1270" i="6"/>
  <c r="T1270" i="6" s="1"/>
  <c r="Q1839" i="6"/>
  <c r="R1792" i="6"/>
  <c r="R1624" i="6"/>
  <c r="Q1573" i="6"/>
  <c r="P1581" i="6"/>
  <c r="S1581" i="6" s="1"/>
  <c r="Q1543" i="6"/>
  <c r="Q1430" i="6"/>
  <c r="O1386" i="6"/>
  <c r="T1386" i="6" s="1"/>
  <c r="R1344" i="6"/>
  <c r="P1290" i="6"/>
  <c r="S1290" i="6" s="1"/>
  <c r="O1194" i="6"/>
  <c r="T1194" i="6" s="1"/>
  <c r="R919" i="6"/>
  <c r="P935" i="6"/>
  <c r="S935" i="6" s="1"/>
  <c r="R740" i="6"/>
  <c r="O724" i="6"/>
  <c r="T724" i="6" s="1"/>
  <c r="O676" i="6"/>
  <c r="T676" i="6" s="1"/>
  <c r="P580" i="6"/>
  <c r="S580" i="6" s="1"/>
  <c r="R508" i="6"/>
  <c r="N508" i="6" s="1"/>
  <c r="O421" i="6"/>
  <c r="T421" i="6" s="1"/>
  <c r="O646" i="6"/>
  <c r="T646" i="6" s="1"/>
  <c r="P433" i="6"/>
  <c r="S433" i="6" s="1"/>
  <c r="Q86" i="6"/>
  <c r="D109" i="4"/>
  <c r="N626" i="6"/>
  <c r="R349" i="6"/>
  <c r="N349" i="6" s="1"/>
  <c r="P11" i="6"/>
  <c r="S11" i="6" s="1"/>
  <c r="Q53" i="6"/>
  <c r="P1270" i="6"/>
  <c r="S1270" i="6" s="1"/>
  <c r="Q1802" i="6"/>
  <c r="O1783" i="6"/>
  <c r="T1783" i="6" s="1"/>
  <c r="P1344" i="6"/>
  <c r="S1344" i="6" s="1"/>
  <c r="Q1290" i="6"/>
  <c r="R1167" i="6"/>
  <c r="O1167" i="6"/>
  <c r="T1167" i="6" s="1"/>
  <c r="Q1016" i="6"/>
  <c r="P676" i="6"/>
  <c r="S676" i="6" s="1"/>
  <c r="R580" i="6"/>
  <c r="N580" i="6" s="1"/>
  <c r="P508" i="6"/>
  <c r="S508" i="6" s="1"/>
  <c r="P421" i="6"/>
  <c r="S421" i="6" s="1"/>
  <c r="Q646" i="6"/>
  <c r="Q433" i="6"/>
  <c r="P237" i="6"/>
  <c r="S237" i="6" s="1"/>
  <c r="Q11" i="6"/>
  <c r="O395" i="6"/>
  <c r="T395" i="6" s="1"/>
  <c r="D54" i="4"/>
  <c r="Q1783" i="6"/>
  <c r="P1614" i="6"/>
  <c r="S1614" i="6" s="1"/>
  <c r="O1567" i="6"/>
  <c r="T1567" i="6" s="1"/>
  <c r="P1386" i="6"/>
  <c r="S1386" i="6" s="1"/>
  <c r="Q1167" i="6"/>
  <c r="Q740" i="6"/>
  <c r="N11" i="6"/>
  <c r="A28" i="8" s="1"/>
  <c r="D28" i="8" s="1"/>
  <c r="N234" i="6"/>
  <c r="R1543" i="6"/>
  <c r="P1501" i="6"/>
  <c r="S1501" i="6" s="1"/>
  <c r="R1209" i="6"/>
  <c r="P1237" i="6"/>
  <c r="S1237" i="6" s="1"/>
  <c r="D202" i="4"/>
  <c r="Q1840" i="6"/>
  <c r="P1845" i="6"/>
  <c r="S1845" i="6" s="1"/>
  <c r="R1805" i="6"/>
  <c r="P1784" i="6"/>
  <c r="S1784" i="6" s="1"/>
  <c r="R1763" i="6"/>
  <c r="O1599" i="6"/>
  <c r="T1599" i="6" s="1"/>
  <c r="O1596" i="6"/>
  <c r="T1596" i="6" s="1"/>
  <c r="P1579" i="6"/>
  <c r="S1579" i="6" s="1"/>
  <c r="Q1579" i="6"/>
  <c r="Q1542" i="6"/>
  <c r="Q1487" i="6"/>
  <c r="Q1294" i="6"/>
  <c r="O1324" i="6"/>
  <c r="T1324" i="6" s="1"/>
  <c r="P1277" i="6"/>
  <c r="S1277" i="6" s="1"/>
  <c r="O1102" i="6"/>
  <c r="T1102" i="6" s="1"/>
  <c r="Q1172" i="6"/>
  <c r="O1084" i="6"/>
  <c r="T1084" i="6" s="1"/>
  <c r="R1052" i="6"/>
  <c r="P970" i="6"/>
  <c r="S970" i="6" s="1"/>
  <c r="R962" i="6"/>
  <c r="Q903" i="6"/>
  <c r="O915" i="6"/>
  <c r="T915" i="6" s="1"/>
  <c r="Q708" i="6"/>
  <c r="P730" i="6"/>
  <c r="S730" i="6" s="1"/>
  <c r="N59" i="6"/>
  <c r="A76" i="8" s="1"/>
  <c r="N43" i="6"/>
  <c r="A60" i="8" s="1"/>
  <c r="F60" i="8" s="1"/>
  <c r="O564" i="6"/>
  <c r="T564" i="6" s="1"/>
  <c r="P500" i="6"/>
  <c r="S500" i="6" s="1"/>
  <c r="P236" i="6"/>
  <c r="S236" i="6" s="1"/>
  <c r="O413" i="6"/>
  <c r="T413" i="6" s="1"/>
  <c r="O425" i="6"/>
  <c r="T425" i="6" s="1"/>
  <c r="R451" i="6"/>
  <c r="N451" i="6" s="1"/>
  <c r="R277" i="6"/>
  <c r="N277" i="6" s="1"/>
  <c r="Q45" i="6"/>
  <c r="Q1889" i="6"/>
  <c r="O1964" i="6"/>
  <c r="T1964" i="6" s="1"/>
  <c r="O1788" i="6"/>
  <c r="T1788" i="6" s="1"/>
  <c r="P1598" i="6"/>
  <c r="S1598" i="6" s="1"/>
  <c r="D142" i="4"/>
  <c r="Q1122" i="6"/>
  <c r="P1908" i="6"/>
  <c r="S1908" i="6" s="1"/>
  <c r="Q1845" i="6"/>
  <c r="Q1784" i="6"/>
  <c r="Q1650" i="6"/>
  <c r="P1763" i="6"/>
  <c r="S1763" i="6" s="1"/>
  <c r="P1596" i="6"/>
  <c r="S1596" i="6" s="1"/>
  <c r="Q1414" i="6"/>
  <c r="O1510" i="6"/>
  <c r="T1510" i="6" s="1"/>
  <c r="P1324" i="6"/>
  <c r="S1324" i="6" s="1"/>
  <c r="Q1253" i="6"/>
  <c r="O1171" i="6"/>
  <c r="T1171" i="6" s="1"/>
  <c r="O1130" i="6"/>
  <c r="T1130" i="6" s="1"/>
  <c r="R1172" i="6"/>
  <c r="P1084" i="6"/>
  <c r="S1084" i="6" s="1"/>
  <c r="R986" i="6"/>
  <c r="Q970" i="6"/>
  <c r="O962" i="6"/>
  <c r="T962" i="6" s="1"/>
  <c r="P960" i="6"/>
  <c r="S960" i="6" s="1"/>
  <c r="O1016" i="6"/>
  <c r="T1016" i="6" s="1"/>
  <c r="O892" i="6"/>
  <c r="T892" i="6" s="1"/>
  <c r="P915" i="6"/>
  <c r="S915" i="6" s="1"/>
  <c r="R708" i="6"/>
  <c r="P564" i="6"/>
  <c r="S564" i="6" s="1"/>
  <c r="Q500" i="6"/>
  <c r="Q236" i="6"/>
  <c r="R493" i="6"/>
  <c r="P413" i="6"/>
  <c r="S413" i="6" s="1"/>
  <c r="P425" i="6"/>
  <c r="S425" i="6" s="1"/>
  <c r="O148" i="6"/>
  <c r="T148" i="6" s="1"/>
  <c r="R387" i="6"/>
  <c r="N387" i="6" s="1"/>
  <c r="O277" i="6"/>
  <c r="T277" i="6" s="1"/>
  <c r="R45" i="6"/>
  <c r="N45" i="6" s="1"/>
  <c r="A62" i="8" s="1"/>
  <c r="F62" i="8" s="1"/>
  <c r="P1964" i="6"/>
  <c r="S1964" i="6" s="1"/>
  <c r="R1788" i="6"/>
  <c r="O1526" i="6"/>
  <c r="T1526" i="6" s="1"/>
  <c r="O1294" i="6"/>
  <c r="T1294" i="6" s="1"/>
  <c r="R1204" i="6"/>
  <c r="Q734" i="6"/>
  <c r="P1768" i="6"/>
  <c r="S1768" i="6" s="1"/>
  <c r="Q1727" i="6"/>
  <c r="P1650" i="6"/>
  <c r="S1650" i="6" s="1"/>
  <c r="P1622" i="6"/>
  <c r="S1622" i="6" s="1"/>
  <c r="Q1599" i="6"/>
  <c r="R1523" i="6"/>
  <c r="O1551" i="6"/>
  <c r="T1551" i="6" s="1"/>
  <c r="P1549" i="6"/>
  <c r="S1549" i="6" s="1"/>
  <c r="O1392" i="6"/>
  <c r="T1392" i="6" s="1"/>
  <c r="O1346" i="6"/>
  <c r="T1346" i="6" s="1"/>
  <c r="O1320" i="6"/>
  <c r="T1320" i="6" s="1"/>
  <c r="Q1274" i="6"/>
  <c r="O1204" i="6"/>
  <c r="T1204" i="6" s="1"/>
  <c r="Q1315" i="6"/>
  <c r="Q1164" i="6"/>
  <c r="R1202" i="6"/>
  <c r="R1130" i="6"/>
  <c r="O1198" i="6"/>
  <c r="T1198" i="6" s="1"/>
  <c r="Q1008" i="6"/>
  <c r="P973" i="6"/>
  <c r="S973" i="6" s="1"/>
  <c r="R1016" i="6"/>
  <c r="R950" i="6"/>
  <c r="Q873" i="6"/>
  <c r="Q892" i="6"/>
  <c r="O1122" i="6"/>
  <c r="T1122" i="6" s="1"/>
  <c r="P887" i="6"/>
  <c r="S887" i="6" s="1"/>
  <c r="O493" i="6"/>
  <c r="T493" i="6" s="1"/>
  <c r="O638" i="6"/>
  <c r="T638" i="6" s="1"/>
  <c r="N399" i="6"/>
  <c r="N608" i="6"/>
  <c r="Q489" i="6"/>
  <c r="P313" i="6"/>
  <c r="S313" i="6" s="1"/>
  <c r="R148" i="6"/>
  <c r="N148" i="6" s="1"/>
  <c r="D82" i="4"/>
  <c r="P387" i="6"/>
  <c r="S387" i="6" s="1"/>
  <c r="N102" i="6"/>
  <c r="O51" i="6"/>
  <c r="T51" i="6" s="1"/>
  <c r="P341" i="6"/>
  <c r="S341" i="6" s="1"/>
  <c r="R954" i="6"/>
  <c r="R1879" i="6"/>
  <c r="P1879" i="6"/>
  <c r="S1879" i="6" s="1"/>
  <c r="P1798" i="6"/>
  <c r="S1798" i="6" s="1"/>
  <c r="R1768" i="6"/>
  <c r="Q1660" i="6"/>
  <c r="Q1622" i="6"/>
  <c r="P1551" i="6"/>
  <c r="S1551" i="6" s="1"/>
  <c r="Q1512" i="6"/>
  <c r="P1512" i="6"/>
  <c r="S1512" i="6" s="1"/>
  <c r="Q1549" i="6"/>
  <c r="P1392" i="6"/>
  <c r="S1392" i="6" s="1"/>
  <c r="Q1380" i="6"/>
  <c r="R1346" i="6"/>
  <c r="P1320" i="6"/>
  <c r="S1320" i="6" s="1"/>
  <c r="Q1275" i="6"/>
  <c r="O1185" i="6"/>
  <c r="T1185" i="6" s="1"/>
  <c r="P1177" i="6"/>
  <c r="S1177" i="6" s="1"/>
  <c r="P1202" i="6"/>
  <c r="S1202" i="6" s="1"/>
  <c r="Q1102" i="6"/>
  <c r="Q1198" i="6"/>
  <c r="R953" i="6"/>
  <c r="R973" i="6"/>
  <c r="P950" i="6"/>
  <c r="S950" i="6" s="1"/>
  <c r="O884" i="6"/>
  <c r="T884" i="6" s="1"/>
  <c r="R1122" i="6"/>
  <c r="P652" i="6"/>
  <c r="S652" i="6" s="1"/>
  <c r="N500" i="6"/>
  <c r="O636" i="6"/>
  <c r="T636" i="6" s="1"/>
  <c r="Q638" i="6"/>
  <c r="N590" i="6"/>
  <c r="R489" i="6"/>
  <c r="N489" i="6" s="1"/>
  <c r="Q313" i="6"/>
  <c r="P265" i="6"/>
  <c r="S265" i="6" s="1"/>
  <c r="P51" i="6"/>
  <c r="S51" i="6" s="1"/>
  <c r="Q341" i="6"/>
  <c r="O1950" i="6"/>
  <c r="T1950" i="6" s="1"/>
  <c r="R1484" i="6"/>
  <c r="Q51" i="6"/>
  <c r="Q1204" i="6"/>
  <c r="O1177" i="6"/>
  <c r="T1177" i="6" s="1"/>
  <c r="R1950" i="6"/>
  <c r="O1908" i="6"/>
  <c r="T1908" i="6" s="1"/>
  <c r="O1542" i="6"/>
  <c r="T1542" i="6" s="1"/>
  <c r="P1495" i="6"/>
  <c r="S1495" i="6" s="1"/>
  <c r="R1529" i="6"/>
  <c r="P1471" i="6"/>
  <c r="S1471" i="6" s="1"/>
  <c r="Q1346" i="6"/>
  <c r="R1171" i="6"/>
  <c r="Q1177" i="6"/>
  <c r="P1052" i="6"/>
  <c r="S1052" i="6" s="1"/>
  <c r="P962" i="6"/>
  <c r="S962" i="6" s="1"/>
  <c r="P903" i="6"/>
  <c r="S903" i="6" s="1"/>
  <c r="P896" i="6"/>
  <c r="S896" i="6" s="1"/>
  <c r="P876" i="6"/>
  <c r="S876" i="6" s="1"/>
  <c r="Q730" i="6"/>
  <c r="R636" i="6"/>
  <c r="N636" i="6" s="1"/>
  <c r="N417" i="6"/>
  <c r="R265" i="6"/>
  <c r="P451" i="6"/>
  <c r="S451" i="6" s="1"/>
  <c r="N247" i="6"/>
  <c r="N122" i="6"/>
  <c r="P277" i="6"/>
  <c r="S277" i="6" s="1"/>
  <c r="O45" i="6"/>
  <c r="T45" i="6" s="1"/>
  <c r="R1889" i="6"/>
  <c r="F165" i="4"/>
  <c r="O1889" i="6"/>
  <c r="T1889" i="6" s="1"/>
  <c r="O1805" i="6"/>
  <c r="T1805" i="6" s="1"/>
  <c r="O1845" i="6"/>
  <c r="T1845" i="6" s="1"/>
  <c r="O1727" i="6"/>
  <c r="T1727" i="6" s="1"/>
  <c r="O1784" i="6"/>
  <c r="T1784" i="6" s="1"/>
  <c r="R1727" i="6"/>
  <c r="O1763" i="6"/>
  <c r="T1763" i="6" s="1"/>
  <c r="P1542" i="6"/>
  <c r="S1542" i="6" s="1"/>
  <c r="P1487" i="6"/>
  <c r="S1487" i="6" s="1"/>
  <c r="P1529" i="6"/>
  <c r="S1529" i="6" s="1"/>
  <c r="Q1396" i="6"/>
  <c r="Q1277" i="6"/>
  <c r="Q1052" i="6"/>
  <c r="Q896" i="6"/>
  <c r="Q876" i="6"/>
  <c r="R730" i="6"/>
  <c r="N327" i="6"/>
  <c r="F18" i="4"/>
  <c r="P1950" i="6"/>
  <c r="S1950" i="6" s="1"/>
  <c r="O1622" i="6"/>
  <c r="T1622" i="6" s="1"/>
  <c r="O1414" i="6"/>
  <c r="T1414" i="6" s="1"/>
  <c r="R1599" i="6"/>
  <c r="P986" i="6"/>
  <c r="S986" i="6" s="1"/>
  <c r="Q954" i="6"/>
  <c r="D110" i="4"/>
  <c r="O1650" i="6"/>
  <c r="T1650" i="6" s="1"/>
  <c r="R1277" i="6"/>
  <c r="O950" i="6"/>
  <c r="T950" i="6" s="1"/>
  <c r="N617" i="6"/>
  <c r="P1317" i="6"/>
  <c r="S1317" i="6" s="1"/>
  <c r="P1568" i="6"/>
  <c r="S1568" i="6" s="1"/>
  <c r="P955" i="6"/>
  <c r="S955" i="6" s="1"/>
  <c r="P1564" i="6"/>
  <c r="S1564" i="6" s="1"/>
  <c r="R1568" i="6"/>
  <c r="O1564" i="6"/>
  <c r="T1564" i="6" s="1"/>
  <c r="O1328" i="6"/>
  <c r="T1328" i="6" s="1"/>
  <c r="P1124" i="6"/>
  <c r="S1124" i="6" s="1"/>
  <c r="N465" i="6"/>
  <c r="O1568" i="6"/>
  <c r="T1568" i="6" s="1"/>
  <c r="R1564" i="6"/>
  <c r="O1434" i="6"/>
  <c r="T1434" i="6" s="1"/>
  <c r="P1140" i="6"/>
  <c r="S1140" i="6" s="1"/>
  <c r="O1980" i="6"/>
  <c r="T1980" i="6" s="1"/>
  <c r="D205" i="4"/>
  <c r="R1552" i="6"/>
  <c r="N520" i="6"/>
  <c r="F101" i="4"/>
  <c r="O1552" i="6"/>
  <c r="T1552" i="6" s="1"/>
  <c r="N504" i="6"/>
  <c r="Q1552" i="6"/>
  <c r="N186" i="6"/>
  <c r="N375" i="6"/>
  <c r="D37" i="4"/>
  <c r="R1903" i="6"/>
  <c r="O1610" i="6"/>
  <c r="T1610" i="6" s="1"/>
  <c r="Q1582" i="6"/>
  <c r="Q1570" i="6"/>
  <c r="Q1438" i="6"/>
  <c r="P1408" i="6"/>
  <c r="S1408" i="6" s="1"/>
  <c r="P1384" i="6"/>
  <c r="S1384" i="6" s="1"/>
  <c r="O1378" i="6"/>
  <c r="T1378" i="6" s="1"/>
  <c r="P1334" i="6"/>
  <c r="S1334" i="6" s="1"/>
  <c r="R1292" i="6"/>
  <c r="R1068" i="6"/>
  <c r="Q947" i="6"/>
  <c r="P913" i="6"/>
  <c r="S913" i="6" s="1"/>
  <c r="O891" i="6"/>
  <c r="T891" i="6" s="1"/>
  <c r="O437" i="6"/>
  <c r="T437" i="6" s="1"/>
  <c r="P297" i="6"/>
  <c r="S297" i="6" s="1"/>
  <c r="R86" i="6"/>
  <c r="N86" i="6" s="1"/>
  <c r="F190" i="4"/>
  <c r="F110" i="4"/>
  <c r="Q363" i="6"/>
  <c r="R1861" i="6"/>
  <c r="O1914" i="6"/>
  <c r="T1914" i="6" s="1"/>
  <c r="P1842" i="6"/>
  <c r="S1842" i="6" s="1"/>
  <c r="O1705" i="6"/>
  <c r="T1705" i="6" s="1"/>
  <c r="R1595" i="6"/>
  <c r="O1479" i="6"/>
  <c r="T1479" i="6" s="1"/>
  <c r="P1428" i="6"/>
  <c r="S1428" i="6" s="1"/>
  <c r="P1479" i="6"/>
  <c r="S1479" i="6" s="1"/>
  <c r="Q1384" i="6"/>
  <c r="Q1334" i="6"/>
  <c r="R1309" i="6"/>
  <c r="O1370" i="6"/>
  <c r="T1370" i="6" s="1"/>
  <c r="R1315" i="6"/>
  <c r="P893" i="6"/>
  <c r="S893" i="6" s="1"/>
  <c r="O947" i="6"/>
  <c r="T947" i="6" s="1"/>
  <c r="P891" i="6"/>
  <c r="S891" i="6" s="1"/>
  <c r="N303" i="6"/>
  <c r="Q297" i="6"/>
  <c r="R363" i="6"/>
  <c r="N363" i="6" s="1"/>
  <c r="O1934" i="6"/>
  <c r="T1934" i="6" s="1"/>
  <c r="R1420" i="6"/>
  <c r="R893" i="6"/>
  <c r="P1934" i="6"/>
  <c r="S1934" i="6" s="1"/>
  <c r="R1914" i="6"/>
  <c r="Q1914" i="6"/>
  <c r="R1864" i="6"/>
  <c r="Q1860" i="6"/>
  <c r="Q1842" i="6"/>
  <c r="P1844" i="6"/>
  <c r="S1844" i="6" s="1"/>
  <c r="O1602" i="6"/>
  <c r="T1602" i="6" s="1"/>
  <c r="O1559" i="6"/>
  <c r="T1559" i="6" s="1"/>
  <c r="Q1479" i="6"/>
  <c r="P1374" i="6"/>
  <c r="S1374" i="6" s="1"/>
  <c r="O1376" i="6"/>
  <c r="T1376" i="6" s="1"/>
  <c r="R1326" i="6"/>
  <c r="R1370" i="6"/>
  <c r="R989" i="6"/>
  <c r="P939" i="6"/>
  <c r="S939" i="6" s="1"/>
  <c r="R891" i="6"/>
  <c r="N401" i="6"/>
  <c r="R297" i="6"/>
  <c r="N297" i="6" s="1"/>
  <c r="O435" i="6"/>
  <c r="T435" i="6" s="1"/>
  <c r="D170" i="4"/>
  <c r="N586" i="6"/>
  <c r="D78" i="4"/>
  <c r="D30" i="4"/>
  <c r="O1842" i="6"/>
  <c r="T1842" i="6" s="1"/>
  <c r="Q1844" i="6"/>
  <c r="Q1618" i="6"/>
  <c r="Q1559" i="6"/>
  <c r="P1376" i="6"/>
  <c r="S1376" i="6" s="1"/>
  <c r="Q1374" i="6"/>
  <c r="O1384" i="6"/>
  <c r="T1384" i="6" s="1"/>
  <c r="P1309" i="6"/>
  <c r="S1309" i="6" s="1"/>
  <c r="P1370" i="6"/>
  <c r="S1370" i="6" s="1"/>
  <c r="Q981" i="6"/>
  <c r="O913" i="6"/>
  <c r="T913" i="6" s="1"/>
  <c r="O409" i="6"/>
  <c r="T409" i="6" s="1"/>
  <c r="P435" i="6"/>
  <c r="S435" i="6" s="1"/>
  <c r="P249" i="6"/>
  <c r="S249" i="6" s="1"/>
  <c r="N618" i="6"/>
  <c r="O1408" i="6"/>
  <c r="T1408" i="6" s="1"/>
  <c r="R1478" i="6"/>
  <c r="O1968" i="6"/>
  <c r="T1968" i="6" s="1"/>
  <c r="O1844" i="6"/>
  <c r="T1844" i="6" s="1"/>
  <c r="Q1574" i="6"/>
  <c r="O1555" i="6"/>
  <c r="T1555" i="6" s="1"/>
  <c r="Q1408" i="6"/>
  <c r="P1378" i="6"/>
  <c r="S1378" i="6" s="1"/>
  <c r="Q1376" i="6"/>
  <c r="O1374" i="6"/>
  <c r="T1374" i="6" s="1"/>
  <c r="P1446" i="6"/>
  <c r="S1446" i="6" s="1"/>
  <c r="O1498" i="6"/>
  <c r="T1498" i="6" s="1"/>
  <c r="P978" i="6"/>
  <c r="S978" i="6" s="1"/>
  <c r="Q939" i="6"/>
  <c r="R913" i="6"/>
  <c r="Q694" i="6"/>
  <c r="N447" i="6"/>
  <c r="N592" i="6"/>
  <c r="Q473" i="6"/>
  <c r="P409" i="6"/>
  <c r="S409" i="6" s="1"/>
  <c r="N106" i="6"/>
  <c r="Q435" i="6"/>
  <c r="N78" i="6"/>
  <c r="Q249" i="6"/>
  <c r="O1861" i="6"/>
  <c r="T1861" i="6" s="1"/>
  <c r="R1602" i="6"/>
  <c r="O1574" i="6"/>
  <c r="T1574" i="6" s="1"/>
  <c r="Q1378" i="6"/>
  <c r="Q1446" i="6"/>
  <c r="P1292" i="6"/>
  <c r="S1292" i="6" s="1"/>
  <c r="P1498" i="6"/>
  <c r="S1498" i="6" s="1"/>
  <c r="O1315" i="6"/>
  <c r="T1315" i="6" s="1"/>
  <c r="Q989" i="6"/>
  <c r="P989" i="6"/>
  <c r="S989" i="6" s="1"/>
  <c r="O939" i="6"/>
  <c r="T939" i="6" s="1"/>
  <c r="P947" i="6"/>
  <c r="S947" i="6" s="1"/>
  <c r="O868" i="6"/>
  <c r="T868" i="6" s="1"/>
  <c r="R694" i="6"/>
  <c r="R473" i="6"/>
  <c r="N473" i="6" s="1"/>
  <c r="Q409" i="6"/>
  <c r="N210" i="6"/>
  <c r="O86" i="6"/>
  <c r="T86" i="6" s="1"/>
  <c r="R249" i="6"/>
  <c r="N249" i="6" s="1"/>
  <c r="O893" i="6"/>
  <c r="T893" i="6" s="1"/>
  <c r="Q1292" i="6"/>
  <c r="P1068" i="6"/>
  <c r="S1068" i="6" s="1"/>
  <c r="P868" i="6"/>
  <c r="S868" i="6" s="1"/>
  <c r="P694" i="6"/>
  <c r="S694" i="6" s="1"/>
  <c r="Q1861" i="6"/>
  <c r="R1559" i="6"/>
  <c r="F174" i="4"/>
  <c r="Q305" i="6"/>
  <c r="F178" i="4"/>
  <c r="P443" i="6"/>
  <c r="S443" i="6" s="1"/>
  <c r="D134" i="4"/>
  <c r="D174" i="4"/>
  <c r="R1506" i="6"/>
  <c r="R305" i="6"/>
  <c r="N305" i="6" s="1"/>
  <c r="Q371" i="6"/>
  <c r="Q443" i="6"/>
  <c r="P257" i="6"/>
  <c r="S257" i="6" s="1"/>
  <c r="N391" i="6"/>
  <c r="R371" i="6"/>
  <c r="N371" i="6" s="1"/>
  <c r="R1469" i="6"/>
  <c r="Q1665" i="6"/>
  <c r="N528" i="6"/>
  <c r="O371" i="6"/>
  <c r="T371" i="6" s="1"/>
  <c r="F126" i="4"/>
  <c r="Q1554" i="6"/>
  <c r="O1497" i="6"/>
  <c r="T1497" i="6" s="1"/>
  <c r="Q1469" i="6"/>
  <c r="R1307" i="6"/>
  <c r="R1665" i="6"/>
  <c r="Q1307" i="6"/>
  <c r="O1646" i="6"/>
  <c r="T1646" i="6" s="1"/>
  <c r="N323" i="6"/>
  <c r="Q1484" i="6"/>
  <c r="P1761" i="6"/>
  <c r="S1761" i="6" s="1"/>
  <c r="Q1207" i="6"/>
  <c r="O1930" i="6"/>
  <c r="T1930" i="6" s="1"/>
  <c r="R1853" i="6"/>
  <c r="O1766" i="6"/>
  <c r="T1766" i="6" s="1"/>
  <c r="P1659" i="6"/>
  <c r="S1659" i="6" s="1"/>
  <c r="O1608" i="6"/>
  <c r="T1608" i="6" s="1"/>
  <c r="P1853" i="6"/>
  <c r="S1853" i="6" s="1"/>
  <c r="R1766" i="6"/>
  <c r="Q1576" i="6"/>
  <c r="Q1853" i="6"/>
  <c r="Q1766" i="6"/>
  <c r="Q1659" i="6"/>
  <c r="R1608" i="6"/>
  <c r="P1576" i="6"/>
  <c r="S1576" i="6" s="1"/>
  <c r="O1576" i="6"/>
  <c r="T1576" i="6" s="1"/>
  <c r="R1847" i="6"/>
  <c r="O1761" i="6"/>
  <c r="T1761" i="6" s="1"/>
  <c r="O1575" i="6"/>
  <c r="T1575" i="6" s="1"/>
  <c r="P1534" i="6"/>
  <c r="S1534" i="6" s="1"/>
  <c r="N13" i="6"/>
  <c r="A30" i="8" s="1"/>
  <c r="C30" i="8" s="1"/>
  <c r="O1826" i="6"/>
  <c r="T1826" i="6" s="1"/>
  <c r="P1826" i="6"/>
  <c r="S1826" i="6" s="1"/>
  <c r="Q1534" i="6"/>
  <c r="P1663" i="6"/>
  <c r="S1663" i="6" s="1"/>
  <c r="P1402" i="6"/>
  <c r="S1402" i="6" s="1"/>
  <c r="O1396" i="6"/>
  <c r="T1396" i="6" s="1"/>
  <c r="O1098" i="6"/>
  <c r="T1098" i="6" s="1"/>
  <c r="Q978" i="6"/>
  <c r="Q945" i="6"/>
  <c r="O1932" i="6"/>
  <c r="T1932" i="6" s="1"/>
  <c r="O1309" i="6"/>
  <c r="T1309" i="6" s="1"/>
  <c r="Q1838" i="6"/>
  <c r="R1462" i="6"/>
  <c r="Q1402" i="6"/>
  <c r="O1364" i="6"/>
  <c r="T1364" i="6" s="1"/>
  <c r="O1193" i="6"/>
  <c r="T1193" i="6" s="1"/>
  <c r="R1126" i="6"/>
  <c r="R978" i="6"/>
  <c r="O945" i="6"/>
  <c r="T945" i="6" s="1"/>
  <c r="N488" i="6"/>
  <c r="P1932" i="6"/>
  <c r="S1932" i="6" s="1"/>
  <c r="R1151" i="6"/>
  <c r="O938" i="6"/>
  <c r="T938" i="6" s="1"/>
  <c r="Q1719" i="6"/>
  <c r="O1402" i="6"/>
  <c r="T1402" i="6" s="1"/>
  <c r="R1364" i="6"/>
  <c r="P1193" i="6"/>
  <c r="S1193" i="6" s="1"/>
  <c r="Q943" i="6"/>
  <c r="P948" i="6"/>
  <c r="S948" i="6" s="1"/>
  <c r="P1782" i="6"/>
  <c r="S1782" i="6" s="1"/>
  <c r="O934" i="6"/>
  <c r="T934" i="6" s="1"/>
  <c r="O702" i="6"/>
  <c r="T702" i="6" s="1"/>
  <c r="O1534" i="6"/>
  <c r="T1534" i="6" s="1"/>
  <c r="P1364" i="6"/>
  <c r="S1364" i="6" s="1"/>
  <c r="Q1193" i="6"/>
  <c r="O1126" i="6"/>
  <c r="T1126" i="6" s="1"/>
  <c r="Q957" i="6"/>
  <c r="O943" i="6"/>
  <c r="T943" i="6" s="1"/>
  <c r="P926" i="6"/>
  <c r="S926" i="6" s="1"/>
  <c r="Q1126" i="6"/>
  <c r="P992" i="6"/>
  <c r="S992" i="6" s="1"/>
  <c r="N516" i="6"/>
  <c r="P902" i="6"/>
  <c r="S902" i="6" s="1"/>
  <c r="R1501" i="6"/>
  <c r="P1396" i="6"/>
  <c r="S1396" i="6" s="1"/>
  <c r="P945" i="6"/>
  <c r="S945" i="6" s="1"/>
  <c r="P923" i="6"/>
  <c r="S923" i="6" s="1"/>
  <c r="Q882" i="6"/>
  <c r="R1554" i="6"/>
  <c r="P882" i="6"/>
  <c r="S882" i="6" s="1"/>
  <c r="P906" i="6"/>
  <c r="S906" i="6" s="1"/>
  <c r="O1554" i="6"/>
  <c r="T1554" i="6" s="1"/>
  <c r="N486" i="6"/>
  <c r="D182" i="4"/>
  <c r="N263" i="6"/>
  <c r="P1938" i="6"/>
  <c r="S1938" i="6" s="1"/>
  <c r="Q1940" i="6"/>
  <c r="P1905" i="6"/>
  <c r="S1905" i="6" s="1"/>
  <c r="R1804" i="6"/>
  <c r="P1830" i="6"/>
  <c r="S1830" i="6" s="1"/>
  <c r="R1786" i="6"/>
  <c r="Q1847" i="6"/>
  <c r="Q1769" i="6"/>
  <c r="P1595" i="6"/>
  <c r="S1595" i="6" s="1"/>
  <c r="P1513" i="6"/>
  <c r="S1513" i="6" s="1"/>
  <c r="P1420" i="6"/>
  <c r="S1420" i="6" s="1"/>
  <c r="P1550" i="6"/>
  <c r="S1550" i="6" s="1"/>
  <c r="O1462" i="6"/>
  <c r="T1462" i="6" s="1"/>
  <c r="O1304" i="6"/>
  <c r="T1304" i="6" s="1"/>
  <c r="Q1323" i="6"/>
  <c r="R1251" i="6"/>
  <c r="R981" i="6"/>
  <c r="R932" i="6"/>
  <c r="P924" i="6"/>
  <c r="S924" i="6" s="1"/>
  <c r="O907" i="6"/>
  <c r="T907" i="6" s="1"/>
  <c r="N621" i="6"/>
  <c r="O629" i="6"/>
  <c r="T629" i="6" s="1"/>
  <c r="P437" i="6"/>
  <c r="S437" i="6" s="1"/>
  <c r="F162" i="4"/>
  <c r="F181" i="4"/>
  <c r="O1940" i="6"/>
  <c r="T1940" i="6" s="1"/>
  <c r="R1513" i="6"/>
  <c r="Q1478" i="6"/>
  <c r="R1905" i="6"/>
  <c r="P1860" i="6"/>
  <c r="S1860" i="6" s="1"/>
  <c r="P1810" i="6"/>
  <c r="S1810" i="6" s="1"/>
  <c r="R1838" i="6"/>
  <c r="O1830" i="6"/>
  <c r="T1830" i="6" s="1"/>
  <c r="Q1830" i="6"/>
  <c r="P1786" i="6"/>
  <c r="S1786" i="6" s="1"/>
  <c r="R1769" i="6"/>
  <c r="Q1642" i="6"/>
  <c r="Q1420" i="6"/>
  <c r="R1550" i="6"/>
  <c r="P1304" i="6"/>
  <c r="S1304" i="6" s="1"/>
  <c r="O1251" i="6"/>
  <c r="T1251" i="6" s="1"/>
  <c r="Q1166" i="6"/>
  <c r="R1013" i="6"/>
  <c r="Q1013" i="6"/>
  <c r="P1013" i="6"/>
  <c r="S1013" i="6" s="1"/>
  <c r="O981" i="6"/>
  <c r="T981" i="6" s="1"/>
  <c r="R930" i="6"/>
  <c r="P940" i="6"/>
  <c r="S940" i="6" s="1"/>
  <c r="P907" i="6"/>
  <c r="S907" i="6" s="1"/>
  <c r="Q660" i="6"/>
  <c r="Q629" i="6"/>
  <c r="Q437" i="6"/>
  <c r="Q1942" i="6"/>
  <c r="O1942" i="6"/>
  <c r="T1942" i="6" s="1"/>
  <c r="Q1875" i="6"/>
  <c r="Q1870" i="6"/>
  <c r="O1905" i="6"/>
  <c r="T1905" i="6" s="1"/>
  <c r="O1860" i="6"/>
  <c r="T1860" i="6" s="1"/>
  <c r="Q1810" i="6"/>
  <c r="O1833" i="6"/>
  <c r="T1833" i="6" s="1"/>
  <c r="P1769" i="6"/>
  <c r="S1769" i="6" s="1"/>
  <c r="P1478" i="6"/>
  <c r="S1478" i="6" s="1"/>
  <c r="Q1304" i="6"/>
  <c r="P1286" i="6"/>
  <c r="S1286" i="6" s="1"/>
  <c r="O1318" i="6"/>
  <c r="T1318" i="6" s="1"/>
  <c r="O1325" i="6"/>
  <c r="T1325" i="6" s="1"/>
  <c r="R1166" i="6"/>
  <c r="P1119" i="6"/>
  <c r="S1119" i="6" s="1"/>
  <c r="P997" i="6"/>
  <c r="S997" i="6" s="1"/>
  <c r="P1036" i="6"/>
  <c r="S1036" i="6" s="1"/>
  <c r="R907" i="6"/>
  <c r="R908" i="6"/>
  <c r="Q686" i="6"/>
  <c r="R660" i="6"/>
  <c r="R629" i="6"/>
  <c r="N629" i="6" s="1"/>
  <c r="R1940" i="6"/>
  <c r="O1119" i="6"/>
  <c r="T1119" i="6" s="1"/>
  <c r="P1833" i="6"/>
  <c r="S1833" i="6" s="1"/>
  <c r="Q1671" i="6"/>
  <c r="O1565" i="6"/>
  <c r="T1565" i="6" s="1"/>
  <c r="O1557" i="6"/>
  <c r="T1557" i="6" s="1"/>
  <c r="O1571" i="6"/>
  <c r="T1571" i="6" s="1"/>
  <c r="P1477" i="6"/>
  <c r="S1477" i="6" s="1"/>
  <c r="O1477" i="6"/>
  <c r="T1477" i="6" s="1"/>
  <c r="O1425" i="6"/>
  <c r="T1425" i="6" s="1"/>
  <c r="O1499" i="6"/>
  <c r="T1499" i="6" s="1"/>
  <c r="P1296" i="6"/>
  <c r="S1296" i="6" s="1"/>
  <c r="Q1286" i="6"/>
  <c r="P1318" i="6"/>
  <c r="S1318" i="6" s="1"/>
  <c r="Q1325" i="6"/>
  <c r="O1298" i="6"/>
  <c r="T1298" i="6" s="1"/>
  <c r="O1295" i="6"/>
  <c r="T1295" i="6" s="1"/>
  <c r="O1142" i="6"/>
  <c r="T1142" i="6" s="1"/>
  <c r="P1166" i="6"/>
  <c r="S1166" i="6" s="1"/>
  <c r="P930" i="6"/>
  <c r="S930" i="6" s="1"/>
  <c r="O880" i="6"/>
  <c r="T880" i="6" s="1"/>
  <c r="O908" i="6"/>
  <c r="T908" i="6" s="1"/>
  <c r="R686" i="6"/>
  <c r="O660" i="6"/>
  <c r="T660" i="6" s="1"/>
  <c r="F133" i="4"/>
  <c r="O35" i="6"/>
  <c r="T35" i="6" s="1"/>
  <c r="O910" i="6"/>
  <c r="T910" i="6" s="1"/>
  <c r="R1909" i="6"/>
  <c r="R1870" i="6"/>
  <c r="P1958" i="6"/>
  <c r="S1958" i="6" s="1"/>
  <c r="O1938" i="6"/>
  <c r="T1938" i="6" s="1"/>
  <c r="Q1909" i="6"/>
  <c r="O1870" i="6"/>
  <c r="T1870" i="6" s="1"/>
  <c r="Q1833" i="6"/>
  <c r="Q1703" i="6"/>
  <c r="R1671" i="6"/>
  <c r="Q1557" i="6"/>
  <c r="Q1571" i="6"/>
  <c r="R1477" i="6"/>
  <c r="O1519" i="6"/>
  <c r="T1519" i="6" s="1"/>
  <c r="P1412" i="6"/>
  <c r="S1412" i="6" s="1"/>
  <c r="P1511" i="6"/>
  <c r="S1511" i="6" s="1"/>
  <c r="R1499" i="6"/>
  <c r="O1336" i="6"/>
  <c r="T1336" i="6" s="1"/>
  <c r="Q1296" i="6"/>
  <c r="R1293" i="6"/>
  <c r="O1326" i="6"/>
  <c r="T1326" i="6" s="1"/>
  <c r="P1298" i="6"/>
  <c r="S1298" i="6" s="1"/>
  <c r="P1295" i="6"/>
  <c r="S1295" i="6" s="1"/>
  <c r="Q1142" i="6"/>
  <c r="R997" i="6"/>
  <c r="P880" i="6"/>
  <c r="S880" i="6" s="1"/>
  <c r="P908" i="6"/>
  <c r="S908" i="6" s="1"/>
  <c r="P686" i="6"/>
  <c r="S686" i="6" s="1"/>
  <c r="P35" i="6"/>
  <c r="S35" i="6" s="1"/>
  <c r="D69" i="4"/>
  <c r="R1557" i="6"/>
  <c r="P1325" i="6"/>
  <c r="S1325" i="6" s="1"/>
  <c r="R910" i="6"/>
  <c r="P1942" i="6"/>
  <c r="S1942" i="6" s="1"/>
  <c r="O1703" i="6"/>
  <c r="T1703" i="6" s="1"/>
  <c r="P1671" i="6"/>
  <c r="S1671" i="6" s="1"/>
  <c r="O1618" i="6"/>
  <c r="T1618" i="6" s="1"/>
  <c r="O1595" i="6"/>
  <c r="T1595" i="6" s="1"/>
  <c r="O1513" i="6"/>
  <c r="T1513" i="6" s="1"/>
  <c r="Q1412" i="6"/>
  <c r="P1442" i="6"/>
  <c r="S1442" i="6" s="1"/>
  <c r="P1410" i="6"/>
  <c r="S1410" i="6" s="1"/>
  <c r="Q1511" i="6"/>
  <c r="P1499" i="6"/>
  <c r="S1499" i="6" s="1"/>
  <c r="P1433" i="6"/>
  <c r="S1433" i="6" s="1"/>
  <c r="R1336" i="6"/>
  <c r="P1326" i="6"/>
  <c r="S1326" i="6" s="1"/>
  <c r="Q1229" i="6"/>
  <c r="Q1298" i="6"/>
  <c r="R1295" i="6"/>
  <c r="P1142" i="6"/>
  <c r="S1142" i="6" s="1"/>
  <c r="Q997" i="6"/>
  <c r="Q880" i="6"/>
  <c r="N536" i="6"/>
  <c r="N146" i="6"/>
  <c r="Q35" i="6"/>
  <c r="O1923" i="6"/>
  <c r="T1923" i="6" s="1"/>
  <c r="Q910" i="6"/>
  <c r="O1286" i="6"/>
  <c r="T1286" i="6" s="1"/>
  <c r="O1958" i="6"/>
  <c r="T1958" i="6" s="1"/>
  <c r="Q1958" i="6"/>
  <c r="P1909" i="6"/>
  <c r="S1909" i="6" s="1"/>
  <c r="P1923" i="6"/>
  <c r="S1923" i="6" s="1"/>
  <c r="O1786" i="6"/>
  <c r="T1786" i="6" s="1"/>
  <c r="O1847" i="6"/>
  <c r="T1847" i="6" s="1"/>
  <c r="O1838" i="6"/>
  <c r="T1838" i="6" s="1"/>
  <c r="P1804" i="6"/>
  <c r="S1804" i="6" s="1"/>
  <c r="P1618" i="6"/>
  <c r="S1618" i="6" s="1"/>
  <c r="R1571" i="6"/>
  <c r="P1519" i="6"/>
  <c r="S1519" i="6" s="1"/>
  <c r="Q1410" i="6"/>
  <c r="Q1462" i="6"/>
  <c r="Q1119" i="6"/>
  <c r="O879" i="6"/>
  <c r="T879" i="6" s="1"/>
  <c r="Q222" i="6"/>
  <c r="R1810" i="6"/>
  <c r="O1410" i="6"/>
  <c r="T1410" i="6" s="1"/>
  <c r="O1412" i="6"/>
  <c r="T1412" i="6" s="1"/>
  <c r="O930" i="6"/>
  <c r="T930" i="6" s="1"/>
  <c r="N510" i="6"/>
  <c r="Q1796" i="6"/>
  <c r="P1574" i="6"/>
  <c r="S1574" i="6" s="1"/>
  <c r="Q885" i="6"/>
  <c r="N526" i="6"/>
  <c r="P1705" i="6"/>
  <c r="S1705" i="6" s="1"/>
  <c r="O916" i="6"/>
  <c r="T916" i="6" s="1"/>
  <c r="N265" i="6"/>
  <c r="F77" i="4"/>
  <c r="P1602" i="6"/>
  <c r="S1602" i="6" s="1"/>
  <c r="N67" i="6"/>
  <c r="N51" i="6"/>
  <c r="A68" i="8" s="1"/>
  <c r="F68" i="8" s="1"/>
  <c r="N35" i="6"/>
  <c r="A52" i="8" s="1"/>
  <c r="D52" i="8" s="1"/>
  <c r="N19" i="6"/>
  <c r="A36" i="8" s="1"/>
  <c r="F36" i="8" s="1"/>
  <c r="O1529" i="6"/>
  <c r="T1529" i="6" s="1"/>
  <c r="O1317" i="6"/>
  <c r="T1317" i="6" s="1"/>
  <c r="Q1705" i="6"/>
  <c r="R885" i="6"/>
  <c r="N17" i="6"/>
  <c r="A34" i="8" s="1"/>
  <c r="D34" i="8" s="1"/>
  <c r="O1484" i="6"/>
  <c r="T1484" i="6" s="1"/>
  <c r="O870" i="6"/>
  <c r="T870" i="6" s="1"/>
  <c r="N63" i="6"/>
  <c r="A80" i="8" s="1"/>
  <c r="D80" i="8" s="1"/>
  <c r="N47" i="6"/>
  <c r="A64" i="8" s="1"/>
  <c r="D64" i="8" s="1"/>
  <c r="N31" i="6"/>
  <c r="A48" i="8" s="1"/>
  <c r="D48" i="8" s="1"/>
  <c r="N15" i="6"/>
  <c r="A32" i="8" s="1"/>
  <c r="D32" i="8" s="1"/>
  <c r="R1505" i="6"/>
  <c r="N635" i="6"/>
  <c r="F214" i="4"/>
  <c r="N625" i="6"/>
  <c r="N502" i="6"/>
  <c r="P1567" i="6"/>
  <c r="S1567" i="6" s="1"/>
  <c r="N482" i="6"/>
  <c r="D166" i="4"/>
  <c r="D198" i="4"/>
  <c r="N514" i="6"/>
  <c r="N518" i="6"/>
  <c r="R1798" i="6"/>
  <c r="O1818" i="6"/>
  <c r="T1818" i="6" s="1"/>
  <c r="R1818" i="6"/>
  <c r="Q942" i="6"/>
  <c r="O942" i="6"/>
  <c r="T942" i="6" s="1"/>
  <c r="Q1467" i="6"/>
  <c r="O1380" i="6"/>
  <c r="T1380" i="6" s="1"/>
  <c r="O1169" i="6"/>
  <c r="T1169" i="6" s="1"/>
  <c r="Q1118" i="6"/>
  <c r="R1044" i="6"/>
  <c r="P889" i="6"/>
  <c r="S889" i="6" s="1"/>
  <c r="R942" i="6"/>
  <c r="P899" i="6"/>
  <c r="S899" i="6" s="1"/>
  <c r="O720" i="6"/>
  <c r="T720" i="6" s="1"/>
  <c r="P884" i="6"/>
  <c r="S884" i="6" s="1"/>
  <c r="P879" i="6"/>
  <c r="S879" i="6" s="1"/>
  <c r="N522" i="6"/>
  <c r="N41" i="6"/>
  <c r="A58" i="8" s="1"/>
  <c r="F58" i="8" s="1"/>
  <c r="O502" i="6"/>
  <c r="T502" i="6" s="1"/>
  <c r="F198" i="4"/>
  <c r="D53" i="4"/>
  <c r="Q1526" i="6"/>
  <c r="R889" i="6"/>
  <c r="P1380" i="6"/>
  <c r="S1380" i="6" s="1"/>
  <c r="R1467" i="6"/>
  <c r="R1191" i="6"/>
  <c r="R899" i="6"/>
  <c r="Q884" i="6"/>
  <c r="R879" i="6"/>
  <c r="N498" i="6"/>
  <c r="N496" i="6"/>
  <c r="N437" i="6"/>
  <c r="F70" i="4"/>
  <c r="O458" i="6"/>
  <c r="T458" i="6" s="1"/>
  <c r="D102" i="4"/>
  <c r="Q1673" i="6"/>
  <c r="O1440" i="6"/>
  <c r="T1440" i="6" s="1"/>
  <c r="R1274" i="6"/>
  <c r="Q889" i="6"/>
  <c r="Q1409" i="6"/>
  <c r="R1409" i="6"/>
  <c r="R1010" i="6"/>
  <c r="N55" i="6"/>
  <c r="A72" i="8" s="1"/>
  <c r="D72" i="8" s="1"/>
  <c r="N39" i="6"/>
  <c r="A56" i="8" s="1"/>
  <c r="E56" i="8" s="1"/>
  <c r="N23" i="6"/>
  <c r="A40" i="8" s="1"/>
  <c r="F40" i="8" s="1"/>
  <c r="N7" i="6"/>
  <c r="A24" i="8" s="1"/>
  <c r="C24" i="8" s="1"/>
  <c r="F166" i="4"/>
  <c r="F189" i="4"/>
  <c r="F117" i="4"/>
  <c r="P458" i="6"/>
  <c r="S458" i="6" s="1"/>
  <c r="R1673" i="6"/>
  <c r="O1652" i="6"/>
  <c r="T1652" i="6" s="1"/>
  <c r="D214" i="4"/>
  <c r="O1352" i="6"/>
  <c r="T1352" i="6" s="1"/>
  <c r="P1323" i="6"/>
  <c r="S1323" i="6" s="1"/>
  <c r="P1191" i="6"/>
  <c r="S1191" i="6" s="1"/>
  <c r="P871" i="6"/>
  <c r="S871" i="6" s="1"/>
  <c r="Q458" i="6"/>
  <c r="R871" i="6"/>
  <c r="N530" i="6"/>
  <c r="N61" i="6"/>
  <c r="A78" i="8" s="1"/>
  <c r="F78" i="8" s="1"/>
  <c r="Q871" i="6"/>
  <c r="O872" i="6"/>
  <c r="T872" i="6" s="1"/>
  <c r="R652" i="6"/>
  <c r="N5" i="6"/>
  <c r="A22" i="8" s="1"/>
  <c r="P502" i="6"/>
  <c r="S502" i="6" s="1"/>
  <c r="F38" i="4"/>
  <c r="O1507" i="6"/>
  <c r="T1507" i="6" s="1"/>
  <c r="O1124" i="6"/>
  <c r="T1124" i="6" s="1"/>
  <c r="O1323" i="6"/>
  <c r="T1323" i="6" s="1"/>
  <c r="O1118" i="6"/>
  <c r="T1118" i="6" s="1"/>
  <c r="P1044" i="6"/>
  <c r="S1044" i="6" s="1"/>
  <c r="R911" i="6"/>
  <c r="P942" i="6"/>
  <c r="S942" i="6" s="1"/>
  <c r="P872" i="6"/>
  <c r="S872" i="6" s="1"/>
  <c r="O652" i="6"/>
  <c r="T652" i="6" s="1"/>
  <c r="N84" i="6"/>
  <c r="R1526" i="6"/>
  <c r="Q1124" i="6"/>
  <c r="F82" i="4"/>
  <c r="N466" i="6"/>
  <c r="Q1968" i="6"/>
  <c r="P1968" i="6"/>
  <c r="S1968" i="6" s="1"/>
  <c r="R1582" i="6"/>
  <c r="P1582" i="6"/>
  <c r="S1582" i="6" s="1"/>
  <c r="R916" i="6"/>
  <c r="P916" i="6"/>
  <c r="S916" i="6" s="1"/>
  <c r="D114" i="4"/>
  <c r="O1036" i="6"/>
  <c r="T1036" i="6" s="1"/>
  <c r="Q1036" i="6"/>
  <c r="O990" i="6"/>
  <c r="T990" i="6" s="1"/>
  <c r="R990" i="6"/>
  <c r="O1494" i="6"/>
  <c r="T1494" i="6" s="1"/>
  <c r="P1494" i="6"/>
  <c r="S1494" i="6" s="1"/>
  <c r="R1494" i="6"/>
  <c r="R1570" i="6"/>
  <c r="P1570" i="6"/>
  <c r="S1570" i="6" s="1"/>
  <c r="P1617" i="6"/>
  <c r="S1617" i="6" s="1"/>
  <c r="R1617" i="6"/>
  <c r="O1502" i="6"/>
  <c r="T1502" i="6" s="1"/>
  <c r="R1502" i="6"/>
  <c r="P1502" i="6"/>
  <c r="S1502" i="6" s="1"/>
  <c r="O1503" i="6"/>
  <c r="T1503" i="6" s="1"/>
  <c r="R1503" i="6"/>
  <c r="P1903" i="6"/>
  <c r="S1903" i="6" s="1"/>
  <c r="O1903" i="6"/>
  <c r="T1903" i="6" s="1"/>
  <c r="Q1505" i="6"/>
  <c r="P1505" i="6"/>
  <c r="S1505" i="6" s="1"/>
  <c r="O1288" i="6"/>
  <c r="T1288" i="6" s="1"/>
  <c r="R1288" i="6"/>
  <c r="O1816" i="6"/>
  <c r="T1816" i="6" s="1"/>
  <c r="R1816" i="6"/>
  <c r="Q1532" i="6"/>
  <c r="R1532" i="6"/>
  <c r="Q1976" i="6"/>
  <c r="R1976" i="6"/>
  <c r="N484" i="6"/>
  <c r="N542" i="6"/>
  <c r="F141" i="4"/>
  <c r="Q1562" i="6"/>
  <c r="P1562" i="6"/>
  <c r="S1562" i="6" s="1"/>
  <c r="R1518" i="6"/>
  <c r="P1518" i="6"/>
  <c r="S1518" i="6" s="1"/>
  <c r="Q1291" i="6"/>
  <c r="P1291" i="6"/>
  <c r="S1291" i="6" s="1"/>
  <c r="Q1984" i="6"/>
  <c r="P1984" i="6"/>
  <c r="S1984" i="6" s="1"/>
  <c r="R1984" i="6"/>
  <c r="O1858" i="6"/>
  <c r="T1858" i="6" s="1"/>
  <c r="P1858" i="6"/>
  <c r="S1858" i="6" s="1"/>
  <c r="Q1858" i="6"/>
  <c r="Q1588" i="6"/>
  <c r="O1588" i="6"/>
  <c r="T1588" i="6" s="1"/>
  <c r="P1588" i="6"/>
  <c r="S1588" i="6" s="1"/>
  <c r="Q1538" i="6"/>
  <c r="P1538" i="6"/>
  <c r="S1538" i="6" s="1"/>
  <c r="R1538" i="6"/>
  <c r="O1538" i="6"/>
  <c r="T1538" i="6" s="1"/>
  <c r="R1575" i="6"/>
  <c r="P1575" i="6"/>
  <c r="S1575" i="6" s="1"/>
  <c r="R1515" i="6"/>
  <c r="O1515" i="6"/>
  <c r="T1515" i="6" s="1"/>
  <c r="R1436" i="6"/>
  <c r="O1436" i="6"/>
  <c r="T1436" i="6" s="1"/>
  <c r="Q1437" i="6"/>
  <c r="R1437" i="6"/>
  <c r="R1416" i="6"/>
  <c r="O1416" i="6"/>
  <c r="T1416" i="6" s="1"/>
  <c r="Q1223" i="6"/>
  <c r="R1223" i="6"/>
  <c r="R1282" i="6"/>
  <c r="O1282" i="6"/>
  <c r="T1282" i="6" s="1"/>
  <c r="P1218" i="6"/>
  <c r="S1218" i="6" s="1"/>
  <c r="Q1218" i="6"/>
  <c r="P1176" i="6"/>
  <c r="S1176" i="6" s="1"/>
  <c r="R1176" i="6"/>
  <c r="Q1028" i="6"/>
  <c r="O1028" i="6"/>
  <c r="T1028" i="6" s="1"/>
  <c r="Q911" i="6"/>
  <c r="O911" i="6"/>
  <c r="T911" i="6" s="1"/>
  <c r="Q928" i="6"/>
  <c r="O928" i="6"/>
  <c r="T928" i="6" s="1"/>
  <c r="N65" i="6"/>
  <c r="N29" i="6"/>
  <c r="A46" i="8" s="1"/>
  <c r="E46" i="8" s="1"/>
  <c r="N57" i="6"/>
  <c r="A74" i="8" s="1"/>
  <c r="F74" i="8" s="1"/>
  <c r="P1930" i="6"/>
  <c r="S1930" i="6" s="1"/>
  <c r="Q1930" i="6"/>
  <c r="O1824" i="6"/>
  <c r="T1824" i="6" s="1"/>
  <c r="R1824" i="6"/>
  <c r="R1806" i="6"/>
  <c r="O1806" i="6"/>
  <c r="T1806" i="6" s="1"/>
  <c r="Q1778" i="6"/>
  <c r="O1778" i="6"/>
  <c r="T1778" i="6" s="1"/>
  <c r="R1778" i="6"/>
  <c r="O1820" i="6"/>
  <c r="T1820" i="6" s="1"/>
  <c r="R1820" i="6"/>
  <c r="P1875" i="6"/>
  <c r="S1875" i="6" s="1"/>
  <c r="R1875" i="6"/>
  <c r="O1528" i="6"/>
  <c r="T1528" i="6" s="1"/>
  <c r="P1528" i="6"/>
  <c r="S1528" i="6" s="1"/>
  <c r="R1528" i="6"/>
  <c r="Q1517" i="6"/>
  <c r="P1517" i="6"/>
  <c r="S1517" i="6" s="1"/>
  <c r="O1517" i="6"/>
  <c r="T1517" i="6" s="1"/>
  <c r="Q1493" i="6"/>
  <c r="P1493" i="6"/>
  <c r="S1493" i="6" s="1"/>
  <c r="R1493" i="6"/>
  <c r="O1493" i="6"/>
  <c r="T1493" i="6" s="1"/>
  <c r="R1432" i="6"/>
  <c r="O1432" i="6"/>
  <c r="T1432" i="6" s="1"/>
  <c r="Q1301" i="6"/>
  <c r="P1301" i="6"/>
  <c r="S1301" i="6" s="1"/>
  <c r="R1179" i="6"/>
  <c r="P1179" i="6"/>
  <c r="S1179" i="6" s="1"/>
  <c r="R1253" i="6"/>
  <c r="P1253" i="6"/>
  <c r="S1253" i="6" s="1"/>
  <c r="P1164" i="6"/>
  <c r="S1164" i="6" s="1"/>
  <c r="R1164" i="6"/>
  <c r="O982" i="6"/>
  <c r="T982" i="6" s="1"/>
  <c r="R982" i="6"/>
  <c r="P982" i="6"/>
  <c r="S982" i="6" s="1"/>
  <c r="Q936" i="6"/>
  <c r="O936" i="6"/>
  <c r="T936" i="6" s="1"/>
  <c r="P720" i="6"/>
  <c r="S720" i="6" s="1"/>
  <c r="R720" i="6"/>
  <c r="Q905" i="6"/>
  <c r="O905" i="6"/>
  <c r="T905" i="6" s="1"/>
  <c r="R905" i="6"/>
  <c r="Q897" i="6"/>
  <c r="R897" i="6"/>
  <c r="O897" i="6"/>
  <c r="T897" i="6" s="1"/>
  <c r="O874" i="6"/>
  <c r="T874" i="6" s="1"/>
  <c r="P874" i="6"/>
  <c r="S874" i="6" s="1"/>
  <c r="R874" i="6"/>
  <c r="N477" i="6"/>
  <c r="D185" i="4"/>
  <c r="F186" i="4"/>
  <c r="Q1972" i="6"/>
  <c r="R1972" i="6"/>
  <c r="O1972" i="6"/>
  <c r="T1972" i="6" s="1"/>
  <c r="P1972" i="6"/>
  <c r="S1972" i="6" s="1"/>
  <c r="P1898" i="6"/>
  <c r="S1898" i="6" s="1"/>
  <c r="Q1898" i="6"/>
  <c r="R1898" i="6"/>
  <c r="R1634" i="6"/>
  <c r="O1634" i="6"/>
  <c r="T1634" i="6" s="1"/>
  <c r="P1625" i="6"/>
  <c r="S1625" i="6" s="1"/>
  <c r="R1625" i="6"/>
  <c r="O1456" i="6"/>
  <c r="T1456" i="6" s="1"/>
  <c r="P1456" i="6"/>
  <c r="S1456" i="6" s="1"/>
  <c r="Q1456" i="6"/>
  <c r="P1555" i="6"/>
  <c r="S1555" i="6" s="1"/>
  <c r="R1555" i="6"/>
  <c r="Q1566" i="6"/>
  <c r="R1566" i="6"/>
  <c r="P1566" i="6"/>
  <c r="S1566" i="6" s="1"/>
  <c r="O1566" i="6"/>
  <c r="T1566" i="6" s="1"/>
  <c r="R1475" i="6"/>
  <c r="O1475" i="6"/>
  <c r="T1475" i="6" s="1"/>
  <c r="R1302" i="6"/>
  <c r="O1302" i="6"/>
  <c r="T1302" i="6" s="1"/>
  <c r="Q1473" i="6"/>
  <c r="R1473" i="6"/>
  <c r="P1473" i="6"/>
  <c r="S1473" i="6" s="1"/>
  <c r="O1473" i="6"/>
  <c r="T1473" i="6" s="1"/>
  <c r="R1445" i="6"/>
  <c r="P1445" i="6"/>
  <c r="S1445" i="6" s="1"/>
  <c r="O1445" i="6"/>
  <c r="T1445" i="6" s="1"/>
  <c r="Q1445" i="6"/>
  <c r="R1474" i="6"/>
  <c r="Q1474" i="6"/>
  <c r="O1474" i="6"/>
  <c r="T1474" i="6" s="1"/>
  <c r="Q1272" i="6"/>
  <c r="R1272" i="6"/>
  <c r="P1272" i="6"/>
  <c r="S1272" i="6" s="1"/>
  <c r="O1159" i="6"/>
  <c r="T1159" i="6" s="1"/>
  <c r="R1159" i="6"/>
  <c r="Q1159" i="6"/>
  <c r="Q1311" i="6"/>
  <c r="P1311" i="6"/>
  <c r="S1311" i="6" s="1"/>
  <c r="O998" i="6"/>
  <c r="T998" i="6" s="1"/>
  <c r="R998" i="6"/>
  <c r="P998" i="6"/>
  <c r="S998" i="6" s="1"/>
  <c r="O886" i="6"/>
  <c r="T886" i="6" s="1"/>
  <c r="P886" i="6"/>
  <c r="S886" i="6" s="1"/>
  <c r="R886" i="6"/>
  <c r="N506" i="6"/>
  <c r="N369" i="6"/>
  <c r="N37" i="6"/>
  <c r="A54" i="8" s="1"/>
  <c r="B54" i="8" s="1"/>
  <c r="N454" i="6"/>
  <c r="F201" i="4"/>
  <c r="N53" i="6"/>
  <c r="A70" i="8" s="1"/>
  <c r="B70" i="8" s="1"/>
  <c r="Q1794" i="6"/>
  <c r="R1794" i="6"/>
  <c r="O1794" i="6"/>
  <c r="T1794" i="6" s="1"/>
  <c r="R1697" i="6"/>
  <c r="Q1697" i="6"/>
  <c r="P1697" i="6"/>
  <c r="S1697" i="6" s="1"/>
  <c r="O1662" i="6"/>
  <c r="T1662" i="6" s="1"/>
  <c r="P1662" i="6"/>
  <c r="S1662" i="6" s="1"/>
  <c r="O1814" i="6"/>
  <c r="T1814" i="6" s="1"/>
  <c r="R1814" i="6"/>
  <c r="R1660" i="6"/>
  <c r="O1660" i="6"/>
  <c r="T1660" i="6" s="1"/>
  <c r="P1603" i="6"/>
  <c r="S1603" i="6" s="1"/>
  <c r="R1603" i="6"/>
  <c r="O1603" i="6"/>
  <c r="T1603" i="6" s="1"/>
  <c r="Q1594" i="6"/>
  <c r="P1594" i="6"/>
  <c r="S1594" i="6" s="1"/>
  <c r="R1438" i="6"/>
  <c r="O1438" i="6"/>
  <c r="T1438" i="6" s="1"/>
  <c r="R1426" i="6"/>
  <c r="O1426" i="6"/>
  <c r="T1426" i="6" s="1"/>
  <c r="Q1425" i="6"/>
  <c r="R1425" i="6"/>
  <c r="Q1305" i="6"/>
  <c r="R1305" i="6"/>
  <c r="R1280" i="6"/>
  <c r="O1280" i="6"/>
  <c r="T1280" i="6" s="1"/>
  <c r="P1220" i="6"/>
  <c r="S1220" i="6" s="1"/>
  <c r="R1220" i="6"/>
  <c r="Q1220" i="6"/>
  <c r="O957" i="6"/>
  <c r="T957" i="6" s="1"/>
  <c r="P957" i="6"/>
  <c r="S957" i="6" s="1"/>
  <c r="P1106" i="6"/>
  <c r="S1106" i="6" s="1"/>
  <c r="R1106" i="6"/>
  <c r="Q1106" i="6"/>
  <c r="O994" i="6"/>
  <c r="T994" i="6" s="1"/>
  <c r="P994" i="6"/>
  <c r="S994" i="6" s="1"/>
  <c r="Q909" i="6"/>
  <c r="O909" i="6"/>
  <c r="T909" i="6" s="1"/>
  <c r="R909" i="6"/>
  <c r="Q944" i="6"/>
  <c r="O944" i="6"/>
  <c r="T944" i="6" s="1"/>
  <c r="O966" i="6"/>
  <c r="T966" i="6" s="1"/>
  <c r="R966" i="6"/>
  <c r="P966" i="6"/>
  <c r="S966" i="6" s="1"/>
  <c r="Q901" i="6"/>
  <c r="O901" i="6"/>
  <c r="T901" i="6" s="1"/>
  <c r="R901" i="6"/>
  <c r="O866" i="6"/>
  <c r="T866" i="6" s="1"/>
  <c r="R866" i="6"/>
  <c r="P866" i="6"/>
  <c r="S866" i="6" s="1"/>
  <c r="N273" i="6"/>
  <c r="N9" i="6"/>
  <c r="A26" i="8" s="1"/>
  <c r="B26" i="8" s="1"/>
  <c r="D130" i="4"/>
  <c r="F173" i="4"/>
  <c r="P1925" i="6"/>
  <c r="S1925" i="6" s="1"/>
  <c r="Q1925" i="6"/>
  <c r="O1925" i="6"/>
  <c r="T1925" i="6" s="1"/>
  <c r="Q1970" i="6"/>
  <c r="R1970" i="6"/>
  <c r="P1970" i="6"/>
  <c r="S1970" i="6" s="1"/>
  <c r="P1863" i="6"/>
  <c r="S1863" i="6" s="1"/>
  <c r="O1863" i="6"/>
  <c r="T1863" i="6" s="1"/>
  <c r="R1863" i="6"/>
  <c r="Q1863" i="6"/>
  <c r="Q1604" i="6"/>
  <c r="R1604" i="6"/>
  <c r="O1604" i="6"/>
  <c r="T1604" i="6" s="1"/>
  <c r="R1583" i="6"/>
  <c r="P1583" i="6"/>
  <c r="S1583" i="6" s="1"/>
  <c r="Q1558" i="6"/>
  <c r="O1558" i="6"/>
  <c r="T1558" i="6" s="1"/>
  <c r="R1558" i="6"/>
  <c r="P1558" i="6"/>
  <c r="S1558" i="6" s="1"/>
  <c r="R1630" i="6"/>
  <c r="O1630" i="6"/>
  <c r="T1630" i="6" s="1"/>
  <c r="R1486" i="6"/>
  <c r="P1486" i="6"/>
  <c r="S1486" i="6" s="1"/>
  <c r="O1527" i="6"/>
  <c r="T1527" i="6" s="1"/>
  <c r="R1527" i="6"/>
  <c r="O1547" i="6"/>
  <c r="T1547" i="6" s="1"/>
  <c r="P1547" i="6"/>
  <c r="S1547" i="6" s="1"/>
  <c r="R1169" i="6"/>
  <c r="P1169" i="6"/>
  <c r="S1169" i="6" s="1"/>
  <c r="Q1293" i="6"/>
  <c r="P1293" i="6"/>
  <c r="S1293" i="6" s="1"/>
  <c r="R1245" i="6"/>
  <c r="P1245" i="6"/>
  <c r="S1245" i="6" s="1"/>
  <c r="Q1297" i="6"/>
  <c r="P1297" i="6"/>
  <c r="S1297" i="6" s="1"/>
  <c r="R1297" i="6"/>
  <c r="P1129" i="6"/>
  <c r="S1129" i="6" s="1"/>
  <c r="O1129" i="6"/>
  <c r="T1129" i="6" s="1"/>
  <c r="R1129" i="6"/>
  <c r="Q1129" i="6"/>
  <c r="O959" i="6"/>
  <c r="T959" i="6" s="1"/>
  <c r="P959" i="6"/>
  <c r="S959" i="6" s="1"/>
  <c r="Q920" i="6"/>
  <c r="O920" i="6"/>
  <c r="T920" i="6" s="1"/>
  <c r="Q926" i="6"/>
  <c r="O926" i="6"/>
  <c r="T926" i="6" s="1"/>
  <c r="Q948" i="6"/>
  <c r="O948" i="6"/>
  <c r="T948" i="6" s="1"/>
  <c r="O873" i="6"/>
  <c r="T873" i="6" s="1"/>
  <c r="R873" i="6"/>
  <c r="O898" i="6"/>
  <c r="T898" i="6" s="1"/>
  <c r="P898" i="6"/>
  <c r="S898" i="6" s="1"/>
  <c r="R898" i="6"/>
  <c r="Q881" i="6"/>
  <c r="R881" i="6"/>
  <c r="O881" i="6"/>
  <c r="T881" i="6" s="1"/>
  <c r="O890" i="6"/>
  <c r="T890" i="6" s="1"/>
  <c r="R890" i="6"/>
  <c r="P890" i="6"/>
  <c r="S890" i="6" s="1"/>
  <c r="N512" i="6"/>
  <c r="D141" i="4"/>
  <c r="F210" i="4"/>
  <c r="R222" i="6"/>
  <c r="N222" i="6" s="1"/>
  <c r="O1822" i="6"/>
  <c r="T1822" i="6" s="1"/>
  <c r="R1822" i="6"/>
  <c r="Q1790" i="6"/>
  <c r="P1790" i="6"/>
  <c r="S1790" i="6" s="1"/>
  <c r="R1790" i="6"/>
  <c r="O1790" i="6"/>
  <c r="T1790" i="6" s="1"/>
  <c r="Q1864" i="6"/>
  <c r="P1864" i="6"/>
  <c r="S1864" i="6" s="1"/>
  <c r="Q1544" i="6"/>
  <c r="O1544" i="6"/>
  <c r="T1544" i="6" s="1"/>
  <c r="R1544" i="6"/>
  <c r="P1544" i="6"/>
  <c r="S1544" i="6" s="1"/>
  <c r="R1656" i="6"/>
  <c r="O1656" i="6"/>
  <c r="T1656" i="6" s="1"/>
  <c r="R1442" i="6"/>
  <c r="O1442" i="6"/>
  <c r="T1442" i="6" s="1"/>
  <c r="R1569" i="6"/>
  <c r="P1569" i="6"/>
  <c r="S1569" i="6" s="1"/>
  <c r="Q1441" i="6"/>
  <c r="R1441" i="6"/>
  <c r="R1461" i="6"/>
  <c r="Q1461" i="6"/>
  <c r="O1461" i="6"/>
  <c r="T1461" i="6" s="1"/>
  <c r="P1461" i="6"/>
  <c r="S1461" i="6" s="1"/>
  <c r="R1428" i="6"/>
  <c r="O1428" i="6"/>
  <c r="T1428" i="6" s="1"/>
  <c r="O1287" i="6"/>
  <c r="T1287" i="6" s="1"/>
  <c r="Q1287" i="6"/>
  <c r="P1287" i="6"/>
  <c r="S1287" i="6" s="1"/>
  <c r="R1278" i="6"/>
  <c r="O1278" i="6"/>
  <c r="T1278" i="6" s="1"/>
  <c r="Q952" i="6"/>
  <c r="P952" i="6"/>
  <c r="S952" i="6" s="1"/>
  <c r="P736" i="6"/>
  <c r="S736" i="6" s="1"/>
  <c r="R736" i="6"/>
  <c r="N257" i="6"/>
  <c r="F4" i="8"/>
  <c r="N33" i="6"/>
  <c r="A50" i="8" s="1"/>
  <c r="F50" i="8" s="1"/>
  <c r="F170" i="4"/>
  <c r="D90" i="4"/>
  <c r="O222" i="6"/>
  <c r="T222" i="6" s="1"/>
  <c r="F109" i="4"/>
  <c r="Q1978" i="6"/>
  <c r="O1978" i="6"/>
  <c r="T1978" i="6" s="1"/>
  <c r="Q1960" i="6"/>
  <c r="O1960" i="6"/>
  <c r="T1960" i="6" s="1"/>
  <c r="R1960" i="6"/>
  <c r="P1960" i="6"/>
  <c r="S1960" i="6" s="1"/>
  <c r="R1911" i="6"/>
  <c r="Q1911" i="6"/>
  <c r="O1911" i="6"/>
  <c r="T1911" i="6" s="1"/>
  <c r="P1911" i="6"/>
  <c r="S1911" i="6" s="1"/>
  <c r="R1642" i="6"/>
  <c r="O1642" i="6"/>
  <c r="T1642" i="6" s="1"/>
  <c r="Q1610" i="6"/>
  <c r="P1610" i="6"/>
  <c r="S1610" i="6" s="1"/>
  <c r="R1638" i="6"/>
  <c r="O1638" i="6"/>
  <c r="T1638" i="6" s="1"/>
  <c r="R1654" i="6"/>
  <c r="O1654" i="6"/>
  <c r="T1654" i="6" s="1"/>
  <c r="Q1590" i="6"/>
  <c r="P1590" i="6"/>
  <c r="S1590" i="6" s="1"/>
  <c r="P1548" i="6"/>
  <c r="S1548" i="6" s="1"/>
  <c r="O1548" i="6"/>
  <c r="T1548" i="6" s="1"/>
  <c r="Q1536" i="6"/>
  <c r="P1536" i="6"/>
  <c r="S1536" i="6" s="1"/>
  <c r="R1536" i="6"/>
  <c r="O1536" i="6"/>
  <c r="T1536" i="6" s="1"/>
  <c r="Q1560" i="6"/>
  <c r="P1560" i="6"/>
  <c r="S1560" i="6" s="1"/>
  <c r="O1560" i="6"/>
  <c r="T1560" i="6" s="1"/>
  <c r="R1560" i="6"/>
  <c r="R1471" i="6"/>
  <c r="O1471" i="6"/>
  <c r="T1471" i="6" s="1"/>
  <c r="Q1482" i="6"/>
  <c r="P1482" i="6"/>
  <c r="S1482" i="6" s="1"/>
  <c r="O1482" i="6"/>
  <c r="T1482" i="6" s="1"/>
  <c r="R1482" i="6"/>
  <c r="Q1433" i="6"/>
  <c r="R1433" i="6"/>
  <c r="O1483" i="6"/>
  <c r="T1483" i="6" s="1"/>
  <c r="R1483" i="6"/>
  <c r="O1283" i="6"/>
  <c r="T1283" i="6" s="1"/>
  <c r="Q1283" i="6"/>
  <c r="P1283" i="6"/>
  <c r="S1283" i="6" s="1"/>
  <c r="R1261" i="6"/>
  <c r="P1261" i="6"/>
  <c r="S1261" i="6" s="1"/>
  <c r="R1229" i="6"/>
  <c r="P1229" i="6"/>
  <c r="S1229" i="6" s="1"/>
  <c r="P1158" i="6"/>
  <c r="S1158" i="6" s="1"/>
  <c r="Q1158" i="6"/>
  <c r="O1158" i="6"/>
  <c r="T1158" i="6" s="1"/>
  <c r="O1014" i="6"/>
  <c r="T1014" i="6" s="1"/>
  <c r="R1014" i="6"/>
  <c r="Q1014" i="6"/>
  <c r="P1014" i="6"/>
  <c r="S1014" i="6" s="1"/>
  <c r="O1010" i="6"/>
  <c r="T1010" i="6" s="1"/>
  <c r="P1010" i="6"/>
  <c r="S1010" i="6" s="1"/>
  <c r="Q924" i="6"/>
  <c r="O924" i="6"/>
  <c r="T924" i="6" s="1"/>
  <c r="O953" i="6"/>
  <c r="T953" i="6" s="1"/>
  <c r="P953" i="6"/>
  <c r="S953" i="6" s="1"/>
  <c r="Q940" i="6"/>
  <c r="O940" i="6"/>
  <c r="T940" i="6" s="1"/>
  <c r="Q932" i="6"/>
  <c r="O932" i="6"/>
  <c r="T932" i="6" s="1"/>
  <c r="O878" i="6"/>
  <c r="T878" i="6" s="1"/>
  <c r="R878" i="6"/>
  <c r="P878" i="6"/>
  <c r="S878" i="6" s="1"/>
  <c r="O862" i="6"/>
  <c r="T862" i="6" s="1"/>
  <c r="P862" i="6"/>
  <c r="S862" i="6" s="1"/>
  <c r="R862" i="6"/>
  <c r="N49" i="6"/>
  <c r="A66" i="8" s="1"/>
  <c r="E66" i="8" s="1"/>
  <c r="R1986" i="6"/>
  <c r="P1986" i="6"/>
  <c r="S1986" i="6" s="1"/>
  <c r="O1986" i="6"/>
  <c r="T1986" i="6" s="1"/>
  <c r="O1840" i="6"/>
  <c r="T1840" i="6" s="1"/>
  <c r="R1840" i="6"/>
  <c r="O1812" i="6"/>
  <c r="T1812" i="6" s="1"/>
  <c r="R1812" i="6"/>
  <c r="P1799" i="6"/>
  <c r="S1799" i="6" s="1"/>
  <c r="Q1799" i="6"/>
  <c r="P1873" i="6"/>
  <c r="S1873" i="6" s="1"/>
  <c r="R1873" i="6"/>
  <c r="O1873" i="6"/>
  <c r="T1873" i="6" s="1"/>
  <c r="R1721" i="6"/>
  <c r="Q1721" i="6"/>
  <c r="P1721" i="6"/>
  <c r="S1721" i="6" s="1"/>
  <c r="R1565" i="6"/>
  <c r="P1565" i="6"/>
  <c r="S1565" i="6" s="1"/>
  <c r="O1626" i="6"/>
  <c r="T1626" i="6" s="1"/>
  <c r="R1626" i="6"/>
  <c r="Q1600" i="6"/>
  <c r="R1600" i="6"/>
  <c r="O1600" i="6"/>
  <c r="T1600" i="6" s="1"/>
  <c r="R1644" i="6"/>
  <c r="O1644" i="6"/>
  <c r="T1644" i="6" s="1"/>
  <c r="R1636" i="6"/>
  <c r="O1636" i="6"/>
  <c r="T1636" i="6" s="1"/>
  <c r="R1681" i="6"/>
  <c r="P1681" i="6"/>
  <c r="S1681" i="6" s="1"/>
  <c r="Q1681" i="6"/>
  <c r="Q1537" i="6"/>
  <c r="R1537" i="6"/>
  <c r="P1537" i="6"/>
  <c r="S1537" i="6" s="1"/>
  <c r="O1537" i="6"/>
  <c r="T1537" i="6" s="1"/>
  <c r="O1516" i="6"/>
  <c r="T1516" i="6" s="1"/>
  <c r="P1516" i="6"/>
  <c r="S1516" i="6" s="1"/>
  <c r="R1516" i="6"/>
  <c r="Q1516" i="6"/>
  <c r="R1495" i="6"/>
  <c r="O1495" i="6"/>
  <c r="T1495" i="6" s="1"/>
  <c r="R1563" i="6"/>
  <c r="P1563" i="6"/>
  <c r="S1563" i="6" s="1"/>
  <c r="Q1546" i="6"/>
  <c r="R1546" i="6"/>
  <c r="O1546" i="6"/>
  <c r="T1546" i="6" s="1"/>
  <c r="Q1545" i="6"/>
  <c r="R1545" i="6"/>
  <c r="P1545" i="6"/>
  <c r="S1545" i="6" s="1"/>
  <c r="O1545" i="6"/>
  <c r="T1545" i="6" s="1"/>
  <c r="R1578" i="6"/>
  <c r="P1578" i="6"/>
  <c r="S1578" i="6" s="1"/>
  <c r="Q1510" i="6"/>
  <c r="R1510" i="6"/>
  <c r="P1514" i="6"/>
  <c r="S1514" i="6" s="1"/>
  <c r="R1514" i="6"/>
  <c r="O1514" i="6"/>
  <c r="T1514" i="6" s="1"/>
  <c r="Q1514" i="6"/>
  <c r="P1470" i="6"/>
  <c r="S1470" i="6" s="1"/>
  <c r="O1470" i="6"/>
  <c r="T1470" i="6" s="1"/>
  <c r="R1470" i="6"/>
  <c r="Q1470" i="6"/>
  <c r="Q1417" i="6"/>
  <c r="R1417" i="6"/>
  <c r="Q1421" i="6"/>
  <c r="R1421" i="6"/>
  <c r="O1496" i="6"/>
  <c r="T1496" i="6" s="1"/>
  <c r="R1496" i="6"/>
  <c r="P1496" i="6"/>
  <c r="S1496" i="6" s="1"/>
  <c r="R1418" i="6"/>
  <c r="O1418" i="6"/>
  <c r="T1418" i="6" s="1"/>
  <c r="R1422" i="6"/>
  <c r="O1422" i="6"/>
  <c r="T1422" i="6" s="1"/>
  <c r="R1185" i="6"/>
  <c r="P1185" i="6"/>
  <c r="S1185" i="6" s="1"/>
  <c r="R1284" i="6"/>
  <c r="O1284" i="6"/>
  <c r="T1284" i="6" s="1"/>
  <c r="Q1098" i="6"/>
  <c r="R1098" i="6"/>
  <c r="Q917" i="6"/>
  <c r="R917" i="6"/>
  <c r="O917" i="6"/>
  <c r="T917" i="6" s="1"/>
  <c r="B30" i="8"/>
  <c r="D76" i="8"/>
  <c r="C76" i="8"/>
  <c r="B76" i="8"/>
  <c r="F76" i="8"/>
  <c r="E76" i="8"/>
  <c r="C60" i="8"/>
  <c r="E60" i="8"/>
  <c r="E28" i="8"/>
  <c r="P1801" i="6"/>
  <c r="S1801" i="6" s="1"/>
  <c r="Q1801" i="6"/>
  <c r="O1801" i="6"/>
  <c r="T1801" i="6" s="1"/>
  <c r="R1801" i="6"/>
  <c r="P1781" i="6"/>
  <c r="S1781" i="6" s="1"/>
  <c r="R1781" i="6"/>
  <c r="O1781" i="6"/>
  <c r="T1781" i="6" s="1"/>
  <c r="Q1781" i="6"/>
  <c r="P1775" i="6"/>
  <c r="S1775" i="6" s="1"/>
  <c r="Q1775" i="6"/>
  <c r="O1775" i="6"/>
  <c r="T1775" i="6" s="1"/>
  <c r="R1775" i="6"/>
  <c r="P1619" i="6"/>
  <c r="S1619" i="6" s="1"/>
  <c r="R1619" i="6"/>
  <c r="Q1619" i="6"/>
  <c r="O1619" i="6"/>
  <c r="T1619" i="6" s="1"/>
  <c r="P1597" i="6"/>
  <c r="S1597" i="6" s="1"/>
  <c r="R1597" i="6"/>
  <c r="Q1597" i="6"/>
  <c r="O1597" i="6"/>
  <c r="T1597" i="6" s="1"/>
  <c r="O1884" i="6"/>
  <c r="T1884" i="6" s="1"/>
  <c r="P1884" i="6"/>
  <c r="S1884" i="6" s="1"/>
  <c r="R1884" i="6"/>
  <c r="Q1884" i="6"/>
  <c r="R1710" i="6"/>
  <c r="O1710" i="6"/>
  <c r="T1710" i="6" s="1"/>
  <c r="Q1710" i="6"/>
  <c r="P1710" i="6"/>
  <c r="S1710" i="6" s="1"/>
  <c r="R1688" i="6"/>
  <c r="O1688" i="6"/>
  <c r="T1688" i="6" s="1"/>
  <c r="Q1688" i="6"/>
  <c r="P1688" i="6"/>
  <c r="S1688" i="6" s="1"/>
  <c r="P1631" i="6"/>
  <c r="S1631" i="6" s="1"/>
  <c r="R1631" i="6"/>
  <c r="Q1631" i="6"/>
  <c r="O1631" i="6"/>
  <c r="T1631" i="6" s="1"/>
  <c r="R1693" i="6"/>
  <c r="Q1693" i="6"/>
  <c r="P1693" i="6"/>
  <c r="S1693" i="6" s="1"/>
  <c r="O1693" i="6"/>
  <c r="T1693" i="6" s="1"/>
  <c r="P1637" i="6"/>
  <c r="S1637" i="6" s="1"/>
  <c r="R1637" i="6"/>
  <c r="Q1637" i="6"/>
  <c r="O1637" i="6"/>
  <c r="T1637" i="6" s="1"/>
  <c r="R1391" i="6"/>
  <c r="Q1391" i="6"/>
  <c r="P1391" i="6"/>
  <c r="S1391" i="6" s="1"/>
  <c r="O1391" i="6"/>
  <c r="T1391" i="6" s="1"/>
  <c r="P1212" i="6"/>
  <c r="S1212" i="6" s="1"/>
  <c r="Q1212" i="6"/>
  <c r="O1212" i="6"/>
  <c r="T1212" i="6" s="1"/>
  <c r="R1212" i="6"/>
  <c r="O1199" i="6"/>
  <c r="T1199" i="6" s="1"/>
  <c r="R1199" i="6"/>
  <c r="Q1199" i="6"/>
  <c r="P1199" i="6"/>
  <c r="S1199" i="6" s="1"/>
  <c r="R1254" i="6"/>
  <c r="P1254" i="6"/>
  <c r="S1254" i="6" s="1"/>
  <c r="O1254" i="6"/>
  <c r="T1254" i="6" s="1"/>
  <c r="Q1254" i="6"/>
  <c r="R1071" i="6"/>
  <c r="O1071" i="6"/>
  <c r="T1071" i="6" s="1"/>
  <c r="P1071" i="6"/>
  <c r="S1071" i="6" s="1"/>
  <c r="Q1071" i="6"/>
  <c r="R1081" i="6"/>
  <c r="O1081" i="6"/>
  <c r="T1081" i="6" s="1"/>
  <c r="Q1081" i="6"/>
  <c r="P1081" i="6"/>
  <c r="S1081" i="6" s="1"/>
  <c r="R1049" i="6"/>
  <c r="O1049" i="6"/>
  <c r="T1049" i="6" s="1"/>
  <c r="Q1049" i="6"/>
  <c r="P1049" i="6"/>
  <c r="S1049" i="6" s="1"/>
  <c r="R846" i="6"/>
  <c r="Q846" i="6"/>
  <c r="P846" i="6"/>
  <c r="S846" i="6" s="1"/>
  <c r="O846" i="6"/>
  <c r="T846" i="6" s="1"/>
  <c r="R822" i="6"/>
  <c r="Q822" i="6"/>
  <c r="P822" i="6"/>
  <c r="S822" i="6" s="1"/>
  <c r="O822" i="6"/>
  <c r="T822" i="6" s="1"/>
  <c r="R806" i="6"/>
  <c r="Q806" i="6"/>
  <c r="P806" i="6"/>
  <c r="S806" i="6" s="1"/>
  <c r="O806" i="6"/>
  <c r="T806" i="6" s="1"/>
  <c r="R1022" i="6"/>
  <c r="P1022" i="6"/>
  <c r="S1022" i="6" s="1"/>
  <c r="O1022" i="6"/>
  <c r="T1022" i="6" s="1"/>
  <c r="Q1022" i="6"/>
  <c r="P787" i="6"/>
  <c r="S787" i="6" s="1"/>
  <c r="R787" i="6"/>
  <c r="Q787" i="6"/>
  <c r="O787" i="6"/>
  <c r="T787" i="6" s="1"/>
  <c r="R250" i="6"/>
  <c r="N250" i="6" s="1"/>
  <c r="Q250" i="6"/>
  <c r="P250" i="6"/>
  <c r="S250" i="6" s="1"/>
  <c r="O250" i="6"/>
  <c r="T250" i="6" s="1"/>
  <c r="R157" i="6"/>
  <c r="N157" i="6" s="1"/>
  <c r="Q157" i="6"/>
  <c r="P157" i="6"/>
  <c r="S157" i="6" s="1"/>
  <c r="O157" i="6"/>
  <c r="T157" i="6" s="1"/>
  <c r="R87" i="6"/>
  <c r="N87" i="6" s="1"/>
  <c r="Q87" i="6"/>
  <c r="P87" i="6"/>
  <c r="S87" i="6" s="1"/>
  <c r="O87" i="6"/>
  <c r="T87" i="6" s="1"/>
  <c r="F132" i="4"/>
  <c r="D132" i="4"/>
  <c r="R131" i="6"/>
  <c r="N131" i="6" s="1"/>
  <c r="Q131" i="6"/>
  <c r="P131" i="6"/>
  <c r="S131" i="6" s="1"/>
  <c r="O131" i="6"/>
  <c r="T131" i="6" s="1"/>
  <c r="D112" i="4"/>
  <c r="F112" i="4"/>
  <c r="D57" i="4"/>
  <c r="F57" i="4"/>
  <c r="F140" i="4"/>
  <c r="D140" i="4"/>
  <c r="P18" i="6"/>
  <c r="S18" i="6" s="1"/>
  <c r="O18" i="6"/>
  <c r="T18" i="6" s="1"/>
  <c r="R18" i="6"/>
  <c r="N18" i="6" s="1"/>
  <c r="A35" i="8" s="1"/>
  <c r="Q18" i="6"/>
  <c r="D200" i="4"/>
  <c r="F200" i="4"/>
  <c r="R1975" i="6"/>
  <c r="Q1975" i="6"/>
  <c r="P1975" i="6"/>
  <c r="S1975" i="6" s="1"/>
  <c r="O1975" i="6"/>
  <c r="T1975" i="6" s="1"/>
  <c r="P1991" i="6"/>
  <c r="S1991" i="6" s="1"/>
  <c r="Q1991" i="6"/>
  <c r="O1991" i="6"/>
  <c r="T1991" i="6" s="1"/>
  <c r="R1991" i="6"/>
  <c r="P1920" i="6"/>
  <c r="S1920" i="6" s="1"/>
  <c r="O1920" i="6"/>
  <c r="T1920" i="6" s="1"/>
  <c r="R1920" i="6"/>
  <c r="Q1920" i="6"/>
  <c r="O1874" i="6"/>
  <c r="T1874" i="6" s="1"/>
  <c r="R1874" i="6"/>
  <c r="Q1874" i="6"/>
  <c r="P1874" i="6"/>
  <c r="S1874" i="6" s="1"/>
  <c r="R1371" i="6"/>
  <c r="Q1371" i="6"/>
  <c r="P1371" i="6"/>
  <c r="S1371" i="6" s="1"/>
  <c r="O1371" i="6"/>
  <c r="T1371" i="6" s="1"/>
  <c r="R1353" i="6"/>
  <c r="Q1353" i="6"/>
  <c r="P1353" i="6"/>
  <c r="S1353" i="6" s="1"/>
  <c r="O1353" i="6"/>
  <c r="T1353" i="6" s="1"/>
  <c r="R1256" i="6"/>
  <c r="P1256" i="6"/>
  <c r="S1256" i="6" s="1"/>
  <c r="Q1256" i="6"/>
  <c r="O1256" i="6"/>
  <c r="T1256" i="6" s="1"/>
  <c r="R1240" i="6"/>
  <c r="P1240" i="6"/>
  <c r="S1240" i="6" s="1"/>
  <c r="Q1240" i="6"/>
  <c r="O1240" i="6"/>
  <c r="T1240" i="6" s="1"/>
  <c r="R1224" i="6"/>
  <c r="P1224" i="6"/>
  <c r="S1224" i="6" s="1"/>
  <c r="Q1224" i="6"/>
  <c r="O1224" i="6"/>
  <c r="T1224" i="6" s="1"/>
  <c r="Q1201" i="6"/>
  <c r="P1201" i="6"/>
  <c r="S1201" i="6" s="1"/>
  <c r="O1201" i="6"/>
  <c r="T1201" i="6" s="1"/>
  <c r="R1201" i="6"/>
  <c r="O1215" i="6"/>
  <c r="T1215" i="6" s="1"/>
  <c r="R1215" i="6"/>
  <c r="Q1215" i="6"/>
  <c r="P1215" i="6"/>
  <c r="S1215" i="6" s="1"/>
  <c r="R1228" i="6"/>
  <c r="P1228" i="6"/>
  <c r="S1228" i="6" s="1"/>
  <c r="Q1228" i="6"/>
  <c r="O1228" i="6"/>
  <c r="T1228" i="6" s="1"/>
  <c r="Q1239" i="6"/>
  <c r="P1239" i="6"/>
  <c r="S1239" i="6" s="1"/>
  <c r="O1239" i="6"/>
  <c r="T1239" i="6" s="1"/>
  <c r="R1239" i="6"/>
  <c r="O1161" i="6"/>
  <c r="T1161" i="6" s="1"/>
  <c r="R1161" i="6"/>
  <c r="Q1161" i="6"/>
  <c r="P1161" i="6"/>
  <c r="S1161" i="6" s="1"/>
  <c r="O1153" i="6"/>
  <c r="T1153" i="6" s="1"/>
  <c r="R1153" i="6"/>
  <c r="P1153" i="6"/>
  <c r="S1153" i="6" s="1"/>
  <c r="Q1153" i="6"/>
  <c r="R1125" i="6"/>
  <c r="Q1125" i="6"/>
  <c r="P1125" i="6"/>
  <c r="S1125" i="6" s="1"/>
  <c r="O1125" i="6"/>
  <c r="T1125" i="6" s="1"/>
  <c r="R1115" i="6"/>
  <c r="P1115" i="6"/>
  <c r="S1115" i="6" s="1"/>
  <c r="O1115" i="6"/>
  <c r="T1115" i="6" s="1"/>
  <c r="Q1115" i="6"/>
  <c r="R1095" i="6"/>
  <c r="P1095" i="6"/>
  <c r="S1095" i="6" s="1"/>
  <c r="O1095" i="6"/>
  <c r="T1095" i="6" s="1"/>
  <c r="Q1095" i="6"/>
  <c r="R1087" i="6"/>
  <c r="O1087" i="6"/>
  <c r="T1087" i="6" s="1"/>
  <c r="P1087" i="6"/>
  <c r="S1087" i="6" s="1"/>
  <c r="Q1087" i="6"/>
  <c r="R1079" i="6"/>
  <c r="O1079" i="6"/>
  <c r="T1079" i="6" s="1"/>
  <c r="P1079" i="6"/>
  <c r="S1079" i="6" s="1"/>
  <c r="Q1079" i="6"/>
  <c r="O1149" i="6"/>
  <c r="T1149" i="6" s="1"/>
  <c r="R1149" i="6"/>
  <c r="Q1149" i="6"/>
  <c r="P1149" i="6"/>
  <c r="S1149" i="6" s="1"/>
  <c r="O985" i="6"/>
  <c r="T985" i="6" s="1"/>
  <c r="R985" i="6"/>
  <c r="Q985" i="6"/>
  <c r="P985" i="6"/>
  <c r="S985" i="6" s="1"/>
  <c r="Q1040" i="6"/>
  <c r="P1040" i="6"/>
  <c r="S1040" i="6" s="1"/>
  <c r="R1040" i="6"/>
  <c r="O1040" i="6"/>
  <c r="T1040" i="6" s="1"/>
  <c r="O1038" i="6"/>
  <c r="T1038" i="6" s="1"/>
  <c r="R1038" i="6"/>
  <c r="Q1038" i="6"/>
  <c r="P1038" i="6"/>
  <c r="S1038" i="6" s="1"/>
  <c r="O987" i="6"/>
  <c r="T987" i="6" s="1"/>
  <c r="P987" i="6"/>
  <c r="S987" i="6" s="1"/>
  <c r="R987" i="6"/>
  <c r="Q987" i="6"/>
  <c r="O1062" i="6"/>
  <c r="T1062" i="6" s="1"/>
  <c r="R1062" i="6"/>
  <c r="Q1062" i="6"/>
  <c r="P1062" i="6"/>
  <c r="S1062" i="6" s="1"/>
  <c r="R1059" i="6"/>
  <c r="O1059" i="6"/>
  <c r="T1059" i="6" s="1"/>
  <c r="Q1059" i="6"/>
  <c r="P1059" i="6"/>
  <c r="S1059" i="6" s="1"/>
  <c r="R1035" i="6"/>
  <c r="O1035" i="6"/>
  <c r="T1035" i="6" s="1"/>
  <c r="Q1035" i="6"/>
  <c r="P1035" i="6"/>
  <c r="S1035" i="6" s="1"/>
  <c r="O1070" i="6"/>
  <c r="T1070" i="6" s="1"/>
  <c r="R1070" i="6"/>
  <c r="Q1070" i="6"/>
  <c r="P1070" i="6"/>
  <c r="S1070" i="6" s="1"/>
  <c r="O1007" i="6"/>
  <c r="T1007" i="6" s="1"/>
  <c r="R1007" i="6"/>
  <c r="Q1007" i="6"/>
  <c r="P1007" i="6"/>
  <c r="S1007" i="6" s="1"/>
  <c r="O975" i="6"/>
  <c r="T975" i="6" s="1"/>
  <c r="R975" i="6"/>
  <c r="Q975" i="6"/>
  <c r="P975" i="6"/>
  <c r="S975" i="6" s="1"/>
  <c r="R776" i="6"/>
  <c r="P776" i="6"/>
  <c r="S776" i="6" s="1"/>
  <c r="Q776" i="6"/>
  <c r="O776" i="6"/>
  <c r="T776" i="6" s="1"/>
  <c r="R760" i="6"/>
  <c r="P760" i="6"/>
  <c r="S760" i="6" s="1"/>
  <c r="Q760" i="6"/>
  <c r="O760" i="6"/>
  <c r="T760" i="6" s="1"/>
  <c r="P650" i="6"/>
  <c r="S650" i="6" s="1"/>
  <c r="Q650" i="6"/>
  <c r="O650" i="6"/>
  <c r="T650" i="6" s="1"/>
  <c r="R650" i="6"/>
  <c r="P742" i="6"/>
  <c r="S742" i="6" s="1"/>
  <c r="Q742" i="6"/>
  <c r="O742" i="6"/>
  <c r="T742" i="6" s="1"/>
  <c r="R742" i="6"/>
  <c r="P719" i="6"/>
  <c r="S719" i="6" s="1"/>
  <c r="R719" i="6"/>
  <c r="O719" i="6"/>
  <c r="T719" i="6" s="1"/>
  <c r="Q719" i="6"/>
  <c r="R675" i="6"/>
  <c r="Q675" i="6"/>
  <c r="P675" i="6"/>
  <c r="S675" i="6" s="1"/>
  <c r="O675" i="6"/>
  <c r="T675" i="6" s="1"/>
  <c r="R643" i="6"/>
  <c r="N643" i="6" s="1"/>
  <c r="Q643" i="6"/>
  <c r="P643" i="6"/>
  <c r="S643" i="6" s="1"/>
  <c r="O643" i="6"/>
  <c r="T643" i="6" s="1"/>
  <c r="R677" i="6"/>
  <c r="P677" i="6"/>
  <c r="S677" i="6" s="1"/>
  <c r="O677" i="6"/>
  <c r="T677" i="6" s="1"/>
  <c r="Q677" i="6"/>
  <c r="Q861" i="6"/>
  <c r="P861" i="6"/>
  <c r="S861" i="6" s="1"/>
  <c r="R861" i="6"/>
  <c r="O861" i="6"/>
  <c r="T861" i="6" s="1"/>
  <c r="P845" i="6"/>
  <c r="S845" i="6" s="1"/>
  <c r="R845" i="6"/>
  <c r="Q845" i="6"/>
  <c r="O845" i="6"/>
  <c r="T845" i="6" s="1"/>
  <c r="P829" i="6"/>
  <c r="S829" i="6" s="1"/>
  <c r="R829" i="6"/>
  <c r="Q829" i="6"/>
  <c r="O829" i="6"/>
  <c r="T829" i="6" s="1"/>
  <c r="P813" i="6"/>
  <c r="S813" i="6" s="1"/>
  <c r="R813" i="6"/>
  <c r="Q813" i="6"/>
  <c r="O813" i="6"/>
  <c r="T813" i="6" s="1"/>
  <c r="P797" i="6"/>
  <c r="S797" i="6" s="1"/>
  <c r="R797" i="6"/>
  <c r="Q797" i="6"/>
  <c r="O797" i="6"/>
  <c r="T797" i="6" s="1"/>
  <c r="P743" i="6"/>
  <c r="S743" i="6" s="1"/>
  <c r="R743" i="6"/>
  <c r="Q743" i="6"/>
  <c r="O743" i="6"/>
  <c r="T743" i="6" s="1"/>
  <c r="R679" i="6"/>
  <c r="Q679" i="6"/>
  <c r="O679" i="6"/>
  <c r="T679" i="6" s="1"/>
  <c r="P679" i="6"/>
  <c r="S679" i="6" s="1"/>
  <c r="P623" i="6"/>
  <c r="S623" i="6" s="1"/>
  <c r="O623" i="6"/>
  <c r="T623" i="6" s="1"/>
  <c r="R623" i="6"/>
  <c r="N623" i="6" s="1"/>
  <c r="Q623" i="6"/>
  <c r="Q575" i="6"/>
  <c r="P575" i="6"/>
  <c r="S575" i="6" s="1"/>
  <c r="R575" i="6"/>
  <c r="N575" i="6" s="1"/>
  <c r="O575" i="6"/>
  <c r="T575" i="6" s="1"/>
  <c r="R609" i="6"/>
  <c r="N609" i="6" s="1"/>
  <c r="Q609" i="6"/>
  <c r="P609" i="6"/>
  <c r="S609" i="6" s="1"/>
  <c r="O609" i="6"/>
  <c r="T609" i="6" s="1"/>
  <c r="R601" i="6"/>
  <c r="N601" i="6" s="1"/>
  <c r="Q601" i="6"/>
  <c r="P601" i="6"/>
  <c r="S601" i="6" s="1"/>
  <c r="O601" i="6"/>
  <c r="T601" i="6" s="1"/>
  <c r="R593" i="6"/>
  <c r="N593" i="6" s="1"/>
  <c r="Q593" i="6"/>
  <c r="P593" i="6"/>
  <c r="S593" i="6" s="1"/>
  <c r="O593" i="6"/>
  <c r="T593" i="6" s="1"/>
  <c r="R523" i="6"/>
  <c r="N523" i="6" s="1"/>
  <c r="P523" i="6"/>
  <c r="S523" i="6" s="1"/>
  <c r="O523" i="6"/>
  <c r="T523" i="6" s="1"/>
  <c r="Q523" i="6"/>
  <c r="R553" i="6"/>
  <c r="N553" i="6" s="1"/>
  <c r="Q553" i="6"/>
  <c r="P553" i="6"/>
  <c r="S553" i="6" s="1"/>
  <c r="O553" i="6"/>
  <c r="T553" i="6" s="1"/>
  <c r="R581" i="6"/>
  <c r="N581" i="6" s="1"/>
  <c r="Q581" i="6"/>
  <c r="P581" i="6"/>
  <c r="S581" i="6" s="1"/>
  <c r="O581" i="6"/>
  <c r="T581" i="6" s="1"/>
  <c r="R545" i="6"/>
  <c r="N545" i="6" s="1"/>
  <c r="Q545" i="6"/>
  <c r="P545" i="6"/>
  <c r="S545" i="6" s="1"/>
  <c r="O545" i="6"/>
  <c r="T545" i="6" s="1"/>
  <c r="O476" i="6"/>
  <c r="T476" i="6" s="1"/>
  <c r="R476" i="6"/>
  <c r="N476" i="6" s="1"/>
  <c r="Q476" i="6"/>
  <c r="P476" i="6"/>
  <c r="S476" i="6" s="1"/>
  <c r="P471" i="6"/>
  <c r="S471" i="6" s="1"/>
  <c r="O471" i="6"/>
  <c r="T471" i="6" s="1"/>
  <c r="R471" i="6"/>
  <c r="N471" i="6" s="1"/>
  <c r="Q471" i="6"/>
  <c r="R456" i="6"/>
  <c r="N456" i="6" s="1"/>
  <c r="Q456" i="6"/>
  <c r="P456" i="6"/>
  <c r="S456" i="6" s="1"/>
  <c r="O456" i="6"/>
  <c r="T456" i="6" s="1"/>
  <c r="O450" i="6"/>
  <c r="T450" i="6" s="1"/>
  <c r="R450" i="6"/>
  <c r="N450" i="6" s="1"/>
  <c r="Q450" i="6"/>
  <c r="P450" i="6"/>
  <c r="S450" i="6" s="1"/>
  <c r="O446" i="6"/>
  <c r="T446" i="6" s="1"/>
  <c r="R446" i="6"/>
  <c r="N446" i="6" s="1"/>
  <c r="Q446" i="6"/>
  <c r="P446" i="6"/>
  <c r="S446" i="6" s="1"/>
  <c r="O442" i="6"/>
  <c r="T442" i="6" s="1"/>
  <c r="R442" i="6"/>
  <c r="N442" i="6" s="1"/>
  <c r="Q442" i="6"/>
  <c r="P442" i="6"/>
  <c r="S442" i="6" s="1"/>
  <c r="O438" i="6"/>
  <c r="T438" i="6" s="1"/>
  <c r="R438" i="6"/>
  <c r="N438" i="6" s="1"/>
  <c r="Q438" i="6"/>
  <c r="P438" i="6"/>
  <c r="S438" i="6" s="1"/>
  <c r="O434" i="6"/>
  <c r="T434" i="6" s="1"/>
  <c r="R434" i="6"/>
  <c r="N434" i="6" s="1"/>
  <c r="Q434" i="6"/>
  <c r="P434" i="6"/>
  <c r="S434" i="6" s="1"/>
  <c r="O430" i="6"/>
  <c r="T430" i="6" s="1"/>
  <c r="R430" i="6"/>
  <c r="N430" i="6" s="1"/>
  <c r="Q430" i="6"/>
  <c r="P430" i="6"/>
  <c r="S430" i="6" s="1"/>
  <c r="O426" i="6"/>
  <c r="T426" i="6" s="1"/>
  <c r="R426" i="6"/>
  <c r="N426" i="6" s="1"/>
  <c r="Q426" i="6"/>
  <c r="P426" i="6"/>
  <c r="S426" i="6" s="1"/>
  <c r="O422" i="6"/>
  <c r="T422" i="6" s="1"/>
  <c r="R422" i="6"/>
  <c r="N422" i="6" s="1"/>
  <c r="Q422" i="6"/>
  <c r="P422" i="6"/>
  <c r="S422" i="6" s="1"/>
  <c r="O418" i="6"/>
  <c r="T418" i="6" s="1"/>
  <c r="R418" i="6"/>
  <c r="N418" i="6" s="1"/>
  <c r="Q418" i="6"/>
  <c r="P418" i="6"/>
  <c r="S418" i="6" s="1"/>
  <c r="O414" i="6"/>
  <c r="T414" i="6" s="1"/>
  <c r="R414" i="6"/>
  <c r="N414" i="6" s="1"/>
  <c r="Q414" i="6"/>
  <c r="P414" i="6"/>
  <c r="S414" i="6" s="1"/>
  <c r="O410" i="6"/>
  <c r="T410" i="6" s="1"/>
  <c r="R410" i="6"/>
  <c r="N410" i="6" s="1"/>
  <c r="Q410" i="6"/>
  <c r="P410" i="6"/>
  <c r="S410" i="6" s="1"/>
  <c r="O406" i="6"/>
  <c r="T406" i="6" s="1"/>
  <c r="R406" i="6"/>
  <c r="N406" i="6" s="1"/>
  <c r="Q406" i="6"/>
  <c r="P406" i="6"/>
  <c r="S406" i="6" s="1"/>
  <c r="O402" i="6"/>
  <c r="T402" i="6" s="1"/>
  <c r="R402" i="6"/>
  <c r="N402" i="6" s="1"/>
  <c r="Q402" i="6"/>
  <c r="P402" i="6"/>
  <c r="S402" i="6" s="1"/>
  <c r="O398" i="6"/>
  <c r="T398" i="6" s="1"/>
  <c r="R398" i="6"/>
  <c r="N398" i="6" s="1"/>
  <c r="Q398" i="6"/>
  <c r="P398" i="6"/>
  <c r="S398" i="6" s="1"/>
  <c r="R394" i="6"/>
  <c r="N394" i="6" s="1"/>
  <c r="Q394" i="6"/>
  <c r="P394" i="6"/>
  <c r="S394" i="6" s="1"/>
  <c r="O394" i="6"/>
  <c r="T394" i="6" s="1"/>
  <c r="R390" i="6"/>
  <c r="N390" i="6" s="1"/>
  <c r="Q390" i="6"/>
  <c r="P390" i="6"/>
  <c r="S390" i="6" s="1"/>
  <c r="O390" i="6"/>
  <c r="T390" i="6" s="1"/>
  <c r="R386" i="6"/>
  <c r="N386" i="6" s="1"/>
  <c r="Q386" i="6"/>
  <c r="O386" i="6"/>
  <c r="T386" i="6" s="1"/>
  <c r="P386" i="6"/>
  <c r="S386" i="6" s="1"/>
  <c r="R380" i="6"/>
  <c r="N380" i="6" s="1"/>
  <c r="Q380" i="6"/>
  <c r="O380" i="6"/>
  <c r="T380" i="6" s="1"/>
  <c r="P380" i="6"/>
  <c r="S380" i="6" s="1"/>
  <c r="R372" i="6"/>
  <c r="N372" i="6" s="1"/>
  <c r="Q372" i="6"/>
  <c r="P372" i="6"/>
  <c r="S372" i="6" s="1"/>
  <c r="O372" i="6"/>
  <c r="T372" i="6" s="1"/>
  <c r="R364" i="6"/>
  <c r="N364" i="6" s="1"/>
  <c r="Q364" i="6"/>
  <c r="P364" i="6"/>
  <c r="S364" i="6" s="1"/>
  <c r="O364" i="6"/>
  <c r="T364" i="6" s="1"/>
  <c r="R356" i="6"/>
  <c r="N356" i="6" s="1"/>
  <c r="Q356" i="6"/>
  <c r="P356" i="6"/>
  <c r="S356" i="6" s="1"/>
  <c r="O356" i="6"/>
  <c r="T356" i="6" s="1"/>
  <c r="R348" i="6"/>
  <c r="N348" i="6" s="1"/>
  <c r="Q348" i="6"/>
  <c r="P348" i="6"/>
  <c r="S348" i="6" s="1"/>
  <c r="O348" i="6"/>
  <c r="T348" i="6" s="1"/>
  <c r="R340" i="6"/>
  <c r="N340" i="6" s="1"/>
  <c r="Q340" i="6"/>
  <c r="P340" i="6"/>
  <c r="S340" i="6" s="1"/>
  <c r="O340" i="6"/>
  <c r="T340" i="6" s="1"/>
  <c r="R332" i="6"/>
  <c r="N332" i="6" s="1"/>
  <c r="Q332" i="6"/>
  <c r="P332" i="6"/>
  <c r="S332" i="6" s="1"/>
  <c r="O332" i="6"/>
  <c r="T332" i="6" s="1"/>
  <c r="R324" i="6"/>
  <c r="N324" i="6" s="1"/>
  <c r="Q324" i="6"/>
  <c r="P324" i="6"/>
  <c r="S324" i="6" s="1"/>
  <c r="O324" i="6"/>
  <c r="T324" i="6" s="1"/>
  <c r="R509" i="6"/>
  <c r="N509" i="6" s="1"/>
  <c r="P509" i="6"/>
  <c r="S509" i="6" s="1"/>
  <c r="O509" i="6"/>
  <c r="T509" i="6" s="1"/>
  <c r="Q509" i="6"/>
  <c r="O275" i="6"/>
  <c r="T275" i="6" s="1"/>
  <c r="R275" i="6"/>
  <c r="N275" i="6" s="1"/>
  <c r="Q275" i="6"/>
  <c r="P275" i="6"/>
  <c r="S275" i="6" s="1"/>
  <c r="R117" i="6"/>
  <c r="N117" i="6" s="1"/>
  <c r="Q117" i="6"/>
  <c r="P117" i="6"/>
  <c r="S117" i="6" s="1"/>
  <c r="O117" i="6"/>
  <c r="T117" i="6" s="1"/>
  <c r="R90" i="6"/>
  <c r="N90" i="6" s="1"/>
  <c r="Q90" i="6"/>
  <c r="P90" i="6"/>
  <c r="S90" i="6" s="1"/>
  <c r="O90" i="6"/>
  <c r="T90" i="6" s="1"/>
  <c r="O299" i="6"/>
  <c r="T299" i="6" s="1"/>
  <c r="R299" i="6"/>
  <c r="N299" i="6" s="1"/>
  <c r="Q299" i="6"/>
  <c r="P299" i="6"/>
  <c r="S299" i="6" s="1"/>
  <c r="O213" i="6"/>
  <c r="T213" i="6" s="1"/>
  <c r="R213" i="6"/>
  <c r="N213" i="6" s="1"/>
  <c r="Q213" i="6"/>
  <c r="P213" i="6"/>
  <c r="S213" i="6" s="1"/>
  <c r="R153" i="6"/>
  <c r="N153" i="6" s="1"/>
  <c r="O153" i="6"/>
  <c r="T153" i="6" s="1"/>
  <c r="Q153" i="6"/>
  <c r="P153" i="6"/>
  <c r="S153" i="6" s="1"/>
  <c r="F167" i="4"/>
  <c r="D167" i="4"/>
  <c r="F103" i="4"/>
  <c r="D103" i="4"/>
  <c r="F39" i="4"/>
  <c r="D39" i="4"/>
  <c r="O353" i="6"/>
  <c r="T353" i="6" s="1"/>
  <c r="R353" i="6"/>
  <c r="N353" i="6" s="1"/>
  <c r="Q353" i="6"/>
  <c r="P353" i="6"/>
  <c r="S353" i="6" s="1"/>
  <c r="R187" i="6"/>
  <c r="N187" i="6" s="1"/>
  <c r="P187" i="6"/>
  <c r="S187" i="6" s="1"/>
  <c r="O187" i="6"/>
  <c r="T187" i="6" s="1"/>
  <c r="Q187" i="6"/>
  <c r="R73" i="6"/>
  <c r="N73" i="6" s="1"/>
  <c r="Q73" i="6"/>
  <c r="P73" i="6"/>
  <c r="S73" i="6" s="1"/>
  <c r="O73" i="6"/>
  <c r="T73" i="6" s="1"/>
  <c r="N470" i="6"/>
  <c r="R252" i="6"/>
  <c r="N252" i="6" s="1"/>
  <c r="Q252" i="6"/>
  <c r="P252" i="6"/>
  <c r="S252" i="6" s="1"/>
  <c r="O252" i="6"/>
  <c r="T252" i="6" s="1"/>
  <c r="O201" i="6"/>
  <c r="T201" i="6" s="1"/>
  <c r="R201" i="6"/>
  <c r="N201" i="6" s="1"/>
  <c r="Q201" i="6"/>
  <c r="P201" i="6"/>
  <c r="S201" i="6" s="1"/>
  <c r="R83" i="6"/>
  <c r="N83" i="6" s="1"/>
  <c r="O83" i="6"/>
  <c r="T83" i="6" s="1"/>
  <c r="Q83" i="6"/>
  <c r="P83" i="6"/>
  <c r="S83" i="6" s="1"/>
  <c r="R308" i="6"/>
  <c r="N308" i="6" s="1"/>
  <c r="Q308" i="6"/>
  <c r="P308" i="6"/>
  <c r="S308" i="6" s="1"/>
  <c r="O308" i="6"/>
  <c r="T308" i="6" s="1"/>
  <c r="P229" i="6"/>
  <c r="S229" i="6" s="1"/>
  <c r="O229" i="6"/>
  <c r="T229" i="6" s="1"/>
  <c r="R229" i="6"/>
  <c r="N229" i="6" s="1"/>
  <c r="Q229" i="6"/>
  <c r="R161" i="6"/>
  <c r="N161" i="6" s="1"/>
  <c r="Q161" i="6"/>
  <c r="P161" i="6"/>
  <c r="S161" i="6" s="1"/>
  <c r="O161" i="6"/>
  <c r="T161" i="6" s="1"/>
  <c r="F163" i="4"/>
  <c r="D163" i="4"/>
  <c r="F99" i="4"/>
  <c r="D99" i="4"/>
  <c r="F35" i="4"/>
  <c r="D35" i="4"/>
  <c r="N497" i="6"/>
  <c r="P56" i="6"/>
  <c r="S56" i="6" s="1"/>
  <c r="O56" i="6"/>
  <c r="T56" i="6" s="1"/>
  <c r="R56" i="6"/>
  <c r="N56" i="6" s="1"/>
  <c r="A73" i="8" s="1"/>
  <c r="Q56" i="6"/>
  <c r="P24" i="6"/>
  <c r="S24" i="6" s="1"/>
  <c r="O24" i="6"/>
  <c r="T24" i="6" s="1"/>
  <c r="R24" i="6"/>
  <c r="N24" i="6" s="1"/>
  <c r="A41" i="8" s="1"/>
  <c r="Q24" i="6"/>
  <c r="F116" i="4"/>
  <c r="D116" i="4"/>
  <c r="P46" i="6"/>
  <c r="S46" i="6" s="1"/>
  <c r="O46" i="6"/>
  <c r="T46" i="6" s="1"/>
  <c r="R46" i="6"/>
  <c r="N46" i="6" s="1"/>
  <c r="A63" i="8" s="1"/>
  <c r="Q46" i="6"/>
  <c r="P14" i="6"/>
  <c r="S14" i="6" s="1"/>
  <c r="O14" i="6"/>
  <c r="T14" i="6" s="1"/>
  <c r="R14" i="6"/>
  <c r="N14" i="6" s="1"/>
  <c r="A31" i="8" s="1"/>
  <c r="Q14" i="6"/>
  <c r="D178" i="4"/>
  <c r="D160" i="4"/>
  <c r="F160" i="4"/>
  <c r="D105" i="4"/>
  <c r="F105" i="4"/>
  <c r="D50" i="4"/>
  <c r="D32" i="4"/>
  <c r="F32" i="4"/>
  <c r="F124" i="4"/>
  <c r="D124" i="4"/>
  <c r="R92" i="6"/>
  <c r="N92" i="6" s="1"/>
  <c r="Q92" i="6"/>
  <c r="P92" i="6"/>
  <c r="S92" i="6" s="1"/>
  <c r="O92" i="6"/>
  <c r="T92" i="6" s="1"/>
  <c r="D193" i="4"/>
  <c r="F193" i="4"/>
  <c r="D138" i="4"/>
  <c r="D120" i="4"/>
  <c r="F120" i="4"/>
  <c r="D65" i="4"/>
  <c r="F65" i="4"/>
  <c r="D197" i="4"/>
  <c r="D165" i="4"/>
  <c r="D133" i="4"/>
  <c r="D101" i="4"/>
  <c r="P1633" i="6"/>
  <c r="S1633" i="6" s="1"/>
  <c r="R1633" i="6"/>
  <c r="Q1633" i="6"/>
  <c r="O1633" i="6"/>
  <c r="T1633" i="6" s="1"/>
  <c r="R1407" i="6"/>
  <c r="Q1407" i="6"/>
  <c r="P1407" i="6"/>
  <c r="S1407" i="6" s="1"/>
  <c r="O1407" i="6"/>
  <c r="T1407" i="6" s="1"/>
  <c r="O1454" i="6"/>
  <c r="T1454" i="6" s="1"/>
  <c r="R1454" i="6"/>
  <c r="Q1454" i="6"/>
  <c r="P1454" i="6"/>
  <c r="S1454" i="6" s="1"/>
  <c r="R1369" i="6"/>
  <c r="Q1369" i="6"/>
  <c r="P1369" i="6"/>
  <c r="S1369" i="6" s="1"/>
  <c r="O1369" i="6"/>
  <c r="T1369" i="6" s="1"/>
  <c r="R1089" i="6"/>
  <c r="O1089" i="6"/>
  <c r="T1089" i="6" s="1"/>
  <c r="Q1089" i="6"/>
  <c r="P1089" i="6"/>
  <c r="S1089" i="6" s="1"/>
  <c r="P658" i="6"/>
  <c r="S658" i="6" s="1"/>
  <c r="Q658" i="6"/>
  <c r="O658" i="6"/>
  <c r="T658" i="6" s="1"/>
  <c r="R658" i="6"/>
  <c r="P715" i="6"/>
  <c r="S715" i="6" s="1"/>
  <c r="R715" i="6"/>
  <c r="Q715" i="6"/>
  <c r="O715" i="6"/>
  <c r="T715" i="6" s="1"/>
  <c r="R464" i="6"/>
  <c r="N464" i="6" s="1"/>
  <c r="Q464" i="6"/>
  <c r="P464" i="6"/>
  <c r="S464" i="6" s="1"/>
  <c r="O464" i="6"/>
  <c r="T464" i="6" s="1"/>
  <c r="R262" i="6"/>
  <c r="N262" i="6" s="1"/>
  <c r="Q262" i="6"/>
  <c r="P262" i="6"/>
  <c r="S262" i="6" s="1"/>
  <c r="O262" i="6"/>
  <c r="T262" i="6" s="1"/>
  <c r="R292" i="6"/>
  <c r="N292" i="6" s="1"/>
  <c r="Q292" i="6"/>
  <c r="P292" i="6"/>
  <c r="S292" i="6" s="1"/>
  <c r="O292" i="6"/>
  <c r="T292" i="6" s="1"/>
  <c r="D145" i="4"/>
  <c r="F145" i="4"/>
  <c r="R1963" i="6"/>
  <c r="Q1963" i="6"/>
  <c r="P1963" i="6"/>
  <c r="S1963" i="6" s="1"/>
  <c r="O1963" i="6"/>
  <c r="T1963" i="6" s="1"/>
  <c r="P1902" i="6"/>
  <c r="S1902" i="6" s="1"/>
  <c r="R1902" i="6"/>
  <c r="Q1902" i="6"/>
  <c r="O1902" i="6"/>
  <c r="T1902" i="6" s="1"/>
  <c r="P1893" i="6"/>
  <c r="S1893" i="6" s="1"/>
  <c r="Q1893" i="6"/>
  <c r="R1893" i="6"/>
  <c r="O1893" i="6"/>
  <c r="T1893" i="6" s="1"/>
  <c r="R1732" i="6"/>
  <c r="Q1732" i="6"/>
  <c r="O1732" i="6"/>
  <c r="T1732" i="6" s="1"/>
  <c r="P1732" i="6"/>
  <c r="S1732" i="6" s="1"/>
  <c r="R1743" i="6"/>
  <c r="Q1743" i="6"/>
  <c r="P1743" i="6"/>
  <c r="S1743" i="6" s="1"/>
  <c r="O1743" i="6"/>
  <c r="T1743" i="6" s="1"/>
  <c r="R1685" i="6"/>
  <c r="Q1685" i="6"/>
  <c r="P1685" i="6"/>
  <c r="S1685" i="6" s="1"/>
  <c r="O1685" i="6"/>
  <c r="T1685" i="6" s="1"/>
  <c r="P1653" i="6"/>
  <c r="S1653" i="6" s="1"/>
  <c r="O1653" i="6"/>
  <c r="T1653" i="6" s="1"/>
  <c r="R1653" i="6"/>
  <c r="Q1653" i="6"/>
  <c r="O1504" i="6"/>
  <c r="T1504" i="6" s="1"/>
  <c r="Q1504" i="6"/>
  <c r="P1504" i="6"/>
  <c r="S1504" i="6" s="1"/>
  <c r="R1504" i="6"/>
  <c r="O1458" i="6"/>
  <c r="T1458" i="6" s="1"/>
  <c r="Q1458" i="6"/>
  <c r="P1458" i="6"/>
  <c r="S1458" i="6" s="1"/>
  <c r="R1458" i="6"/>
  <c r="R1953" i="6"/>
  <c r="Q1953" i="6"/>
  <c r="P1953" i="6"/>
  <c r="S1953" i="6" s="1"/>
  <c r="O1953" i="6"/>
  <c r="T1953" i="6" s="1"/>
  <c r="R1921" i="6"/>
  <c r="P1921" i="6"/>
  <c r="S1921" i="6" s="1"/>
  <c r="Q1921" i="6"/>
  <c r="O1921" i="6"/>
  <c r="T1921" i="6" s="1"/>
  <c r="O1890" i="6"/>
  <c r="T1890" i="6" s="1"/>
  <c r="R1890" i="6"/>
  <c r="Q1890" i="6"/>
  <c r="P1890" i="6"/>
  <c r="S1890" i="6" s="1"/>
  <c r="O1872" i="6"/>
  <c r="T1872" i="6" s="1"/>
  <c r="Q1872" i="6"/>
  <c r="R1872" i="6"/>
  <c r="P1872" i="6"/>
  <c r="S1872" i="6" s="1"/>
  <c r="P1817" i="6"/>
  <c r="S1817" i="6" s="1"/>
  <c r="O1817" i="6"/>
  <c r="T1817" i="6" s="1"/>
  <c r="R1817" i="6"/>
  <c r="Q1817" i="6"/>
  <c r="R1746" i="6"/>
  <c r="Q1746" i="6"/>
  <c r="O1746" i="6"/>
  <c r="T1746" i="6" s="1"/>
  <c r="P1746" i="6"/>
  <c r="S1746" i="6" s="1"/>
  <c r="R1730" i="6"/>
  <c r="Q1730" i="6"/>
  <c r="O1730" i="6"/>
  <c r="T1730" i="6" s="1"/>
  <c r="P1730" i="6"/>
  <c r="S1730" i="6" s="1"/>
  <c r="R1760" i="6"/>
  <c r="O1760" i="6"/>
  <c r="T1760" i="6" s="1"/>
  <c r="Q1760" i="6"/>
  <c r="P1760" i="6"/>
  <c r="S1760" i="6" s="1"/>
  <c r="R1725" i="6"/>
  <c r="Q1725" i="6"/>
  <c r="P1725" i="6"/>
  <c r="S1725" i="6" s="1"/>
  <c r="O1725" i="6"/>
  <c r="T1725" i="6" s="1"/>
  <c r="R1684" i="6"/>
  <c r="O1684" i="6"/>
  <c r="T1684" i="6" s="1"/>
  <c r="Q1684" i="6"/>
  <c r="P1684" i="6"/>
  <c r="S1684" i="6" s="1"/>
  <c r="R1739" i="6"/>
  <c r="Q1739" i="6"/>
  <c r="P1739" i="6"/>
  <c r="S1739" i="6" s="1"/>
  <c r="O1739" i="6"/>
  <c r="T1739" i="6" s="1"/>
  <c r="R1672" i="6"/>
  <c r="O1672" i="6"/>
  <c r="T1672" i="6" s="1"/>
  <c r="Q1672" i="6"/>
  <c r="P1672" i="6"/>
  <c r="S1672" i="6" s="1"/>
  <c r="R1699" i="6"/>
  <c r="Q1699" i="6"/>
  <c r="P1699" i="6"/>
  <c r="S1699" i="6" s="1"/>
  <c r="O1699" i="6"/>
  <c r="T1699" i="6" s="1"/>
  <c r="Q1667" i="6"/>
  <c r="P1667" i="6"/>
  <c r="S1667" i="6" s="1"/>
  <c r="O1667" i="6"/>
  <c r="T1667" i="6" s="1"/>
  <c r="R1667" i="6"/>
  <c r="R1669" i="6"/>
  <c r="Q1669" i="6"/>
  <c r="P1669" i="6"/>
  <c r="S1669" i="6" s="1"/>
  <c r="O1669" i="6"/>
  <c r="T1669" i="6" s="1"/>
  <c r="P1647" i="6"/>
  <c r="S1647" i="6" s="1"/>
  <c r="R1647" i="6"/>
  <c r="Q1647" i="6"/>
  <c r="O1647" i="6"/>
  <c r="T1647" i="6" s="1"/>
  <c r="R1589" i="6"/>
  <c r="Q1589" i="6"/>
  <c r="P1589" i="6"/>
  <c r="S1589" i="6" s="1"/>
  <c r="O1589" i="6"/>
  <c r="T1589" i="6" s="1"/>
  <c r="P1643" i="6"/>
  <c r="S1643" i="6" s="1"/>
  <c r="Q1643" i="6"/>
  <c r="O1643" i="6"/>
  <c r="T1643" i="6" s="1"/>
  <c r="R1643" i="6"/>
  <c r="R1587" i="6"/>
  <c r="P1587" i="6"/>
  <c r="S1587" i="6" s="1"/>
  <c r="O1587" i="6"/>
  <c r="T1587" i="6" s="1"/>
  <c r="Q1587" i="6"/>
  <c r="O1500" i="6"/>
  <c r="T1500" i="6" s="1"/>
  <c r="R1500" i="6"/>
  <c r="Q1500" i="6"/>
  <c r="P1500" i="6"/>
  <c r="S1500" i="6" s="1"/>
  <c r="P1435" i="6"/>
  <c r="S1435" i="6" s="1"/>
  <c r="O1435" i="6"/>
  <c r="T1435" i="6" s="1"/>
  <c r="R1435" i="6"/>
  <c r="Q1435" i="6"/>
  <c r="R1405" i="6"/>
  <c r="Q1405" i="6"/>
  <c r="P1405" i="6"/>
  <c r="S1405" i="6" s="1"/>
  <c r="O1405" i="6"/>
  <c r="T1405" i="6" s="1"/>
  <c r="R1397" i="6"/>
  <c r="Q1397" i="6"/>
  <c r="P1397" i="6"/>
  <c r="S1397" i="6" s="1"/>
  <c r="O1397" i="6"/>
  <c r="T1397" i="6" s="1"/>
  <c r="R1389" i="6"/>
  <c r="Q1389" i="6"/>
  <c r="P1389" i="6"/>
  <c r="S1389" i="6" s="1"/>
  <c r="O1389" i="6"/>
  <c r="T1389" i="6" s="1"/>
  <c r="R1381" i="6"/>
  <c r="Q1381" i="6"/>
  <c r="P1381" i="6"/>
  <c r="S1381" i="6" s="1"/>
  <c r="O1381" i="6"/>
  <c r="T1381" i="6" s="1"/>
  <c r="R1373" i="6"/>
  <c r="Q1373" i="6"/>
  <c r="P1373" i="6"/>
  <c r="S1373" i="6" s="1"/>
  <c r="O1373" i="6"/>
  <c r="T1373" i="6" s="1"/>
  <c r="R1411" i="6"/>
  <c r="Q1411" i="6"/>
  <c r="P1411" i="6"/>
  <c r="S1411" i="6" s="1"/>
  <c r="O1411" i="6"/>
  <c r="T1411" i="6" s="1"/>
  <c r="R1423" i="6"/>
  <c r="Q1423" i="6"/>
  <c r="P1423" i="6"/>
  <c r="S1423" i="6" s="1"/>
  <c r="O1423" i="6"/>
  <c r="T1423" i="6" s="1"/>
  <c r="R1337" i="6"/>
  <c r="Q1337" i="6"/>
  <c r="P1337" i="6"/>
  <c r="S1337" i="6" s="1"/>
  <c r="O1337" i="6"/>
  <c r="T1337" i="6" s="1"/>
  <c r="R1265" i="6"/>
  <c r="Q1265" i="6"/>
  <c r="P1265" i="6"/>
  <c r="S1265" i="6" s="1"/>
  <c r="O1265" i="6"/>
  <c r="T1265" i="6" s="1"/>
  <c r="R1249" i="6"/>
  <c r="Q1249" i="6"/>
  <c r="P1249" i="6"/>
  <c r="S1249" i="6" s="1"/>
  <c r="O1249" i="6"/>
  <c r="T1249" i="6" s="1"/>
  <c r="R1233" i="6"/>
  <c r="Q1233" i="6"/>
  <c r="P1233" i="6"/>
  <c r="S1233" i="6" s="1"/>
  <c r="O1233" i="6"/>
  <c r="T1233" i="6" s="1"/>
  <c r="R1236" i="6"/>
  <c r="P1236" i="6"/>
  <c r="S1236" i="6" s="1"/>
  <c r="Q1236" i="6"/>
  <c r="O1236" i="6"/>
  <c r="T1236" i="6" s="1"/>
  <c r="P1214" i="6"/>
  <c r="S1214" i="6" s="1"/>
  <c r="Q1214" i="6"/>
  <c r="O1214" i="6"/>
  <c r="T1214" i="6" s="1"/>
  <c r="R1214" i="6"/>
  <c r="R1262" i="6"/>
  <c r="P1262" i="6"/>
  <c r="S1262" i="6" s="1"/>
  <c r="O1262" i="6"/>
  <c r="T1262" i="6" s="1"/>
  <c r="Q1262" i="6"/>
  <c r="R1230" i="6"/>
  <c r="P1230" i="6"/>
  <c r="S1230" i="6" s="1"/>
  <c r="O1230" i="6"/>
  <c r="T1230" i="6" s="1"/>
  <c r="Q1230" i="6"/>
  <c r="R1242" i="6"/>
  <c r="P1242" i="6"/>
  <c r="S1242" i="6" s="1"/>
  <c r="Q1242" i="6"/>
  <c r="O1242" i="6"/>
  <c r="T1242" i="6" s="1"/>
  <c r="P1188" i="6"/>
  <c r="S1188" i="6" s="1"/>
  <c r="R1188" i="6"/>
  <c r="Q1188" i="6"/>
  <c r="O1188" i="6"/>
  <c r="T1188" i="6" s="1"/>
  <c r="O1157" i="6"/>
  <c r="T1157" i="6" s="1"/>
  <c r="R1157" i="6"/>
  <c r="Q1157" i="6"/>
  <c r="P1157" i="6"/>
  <c r="S1157" i="6" s="1"/>
  <c r="R1268" i="6"/>
  <c r="P1268" i="6"/>
  <c r="S1268" i="6" s="1"/>
  <c r="Q1268" i="6"/>
  <c r="O1268" i="6"/>
  <c r="T1268" i="6" s="1"/>
  <c r="P1192" i="6"/>
  <c r="S1192" i="6" s="1"/>
  <c r="O1192" i="6"/>
  <c r="T1192" i="6" s="1"/>
  <c r="R1192" i="6"/>
  <c r="Q1192" i="6"/>
  <c r="P1152" i="6"/>
  <c r="S1152" i="6" s="1"/>
  <c r="Q1152" i="6"/>
  <c r="R1152" i="6"/>
  <c r="O1152" i="6"/>
  <c r="T1152" i="6" s="1"/>
  <c r="P1134" i="6"/>
  <c r="S1134" i="6" s="1"/>
  <c r="R1134" i="6"/>
  <c r="Q1134" i="6"/>
  <c r="O1134" i="6"/>
  <c r="T1134" i="6" s="1"/>
  <c r="P1144" i="6"/>
  <c r="S1144" i="6" s="1"/>
  <c r="Q1144" i="6"/>
  <c r="R1144" i="6"/>
  <c r="O1144" i="6"/>
  <c r="T1144" i="6" s="1"/>
  <c r="R1101" i="6"/>
  <c r="P1101" i="6"/>
  <c r="S1101" i="6" s="1"/>
  <c r="O1101" i="6"/>
  <c r="T1101" i="6" s="1"/>
  <c r="Q1101" i="6"/>
  <c r="R1258" i="6"/>
  <c r="P1258" i="6"/>
  <c r="S1258" i="6" s="1"/>
  <c r="Q1258" i="6"/>
  <c r="O1258" i="6"/>
  <c r="T1258" i="6" s="1"/>
  <c r="Q1048" i="6"/>
  <c r="P1048" i="6"/>
  <c r="S1048" i="6" s="1"/>
  <c r="R1048" i="6"/>
  <c r="O1048" i="6"/>
  <c r="T1048" i="6" s="1"/>
  <c r="R1039" i="6"/>
  <c r="O1039" i="6"/>
  <c r="T1039" i="6" s="1"/>
  <c r="P1039" i="6"/>
  <c r="S1039" i="6" s="1"/>
  <c r="Q1039" i="6"/>
  <c r="O1147" i="6"/>
  <c r="T1147" i="6" s="1"/>
  <c r="R1147" i="6"/>
  <c r="Q1147" i="6"/>
  <c r="P1147" i="6"/>
  <c r="S1147" i="6" s="1"/>
  <c r="R1107" i="6"/>
  <c r="P1107" i="6"/>
  <c r="S1107" i="6" s="1"/>
  <c r="O1107" i="6"/>
  <c r="T1107" i="6" s="1"/>
  <c r="Q1107" i="6"/>
  <c r="R1096" i="6"/>
  <c r="Q1096" i="6"/>
  <c r="P1096" i="6"/>
  <c r="S1096" i="6" s="1"/>
  <c r="O1096" i="6"/>
  <c r="T1096" i="6" s="1"/>
  <c r="R1057" i="6"/>
  <c r="O1057" i="6"/>
  <c r="T1057" i="6" s="1"/>
  <c r="Q1057" i="6"/>
  <c r="P1057" i="6"/>
  <c r="S1057" i="6" s="1"/>
  <c r="R1025" i="6"/>
  <c r="O1025" i="6"/>
  <c r="T1025" i="6" s="1"/>
  <c r="Q1025" i="6"/>
  <c r="P1025" i="6"/>
  <c r="S1025" i="6" s="1"/>
  <c r="O1011" i="6"/>
  <c r="T1011" i="6" s="1"/>
  <c r="P1011" i="6"/>
  <c r="S1011" i="6" s="1"/>
  <c r="R1011" i="6"/>
  <c r="Q1011" i="6"/>
  <c r="R860" i="6"/>
  <c r="Q860" i="6"/>
  <c r="P860" i="6"/>
  <c r="S860" i="6" s="1"/>
  <c r="O860" i="6"/>
  <c r="T860" i="6" s="1"/>
  <c r="R852" i="6"/>
  <c r="Q852" i="6"/>
  <c r="P852" i="6"/>
  <c r="S852" i="6" s="1"/>
  <c r="O852" i="6"/>
  <c r="T852" i="6" s="1"/>
  <c r="R844" i="6"/>
  <c r="Q844" i="6"/>
  <c r="P844" i="6"/>
  <c r="S844" i="6" s="1"/>
  <c r="O844" i="6"/>
  <c r="T844" i="6" s="1"/>
  <c r="R836" i="6"/>
  <c r="Q836" i="6"/>
  <c r="P836" i="6"/>
  <c r="S836" i="6" s="1"/>
  <c r="O836" i="6"/>
  <c r="T836" i="6" s="1"/>
  <c r="R828" i="6"/>
  <c r="Q828" i="6"/>
  <c r="P828" i="6"/>
  <c r="S828" i="6" s="1"/>
  <c r="O828" i="6"/>
  <c r="T828" i="6" s="1"/>
  <c r="R820" i="6"/>
  <c r="Q820" i="6"/>
  <c r="P820" i="6"/>
  <c r="S820" i="6" s="1"/>
  <c r="O820" i="6"/>
  <c r="T820" i="6" s="1"/>
  <c r="R812" i="6"/>
  <c r="Q812" i="6"/>
  <c r="P812" i="6"/>
  <c r="S812" i="6" s="1"/>
  <c r="O812" i="6"/>
  <c r="T812" i="6" s="1"/>
  <c r="R804" i="6"/>
  <c r="Q804" i="6"/>
  <c r="P804" i="6"/>
  <c r="S804" i="6" s="1"/>
  <c r="O804" i="6"/>
  <c r="T804" i="6" s="1"/>
  <c r="R796" i="6"/>
  <c r="Q796" i="6"/>
  <c r="P796" i="6"/>
  <c r="S796" i="6" s="1"/>
  <c r="O796" i="6"/>
  <c r="T796" i="6" s="1"/>
  <c r="R788" i="6"/>
  <c r="Q788" i="6"/>
  <c r="P788" i="6"/>
  <c r="S788" i="6" s="1"/>
  <c r="O788" i="6"/>
  <c r="T788" i="6" s="1"/>
  <c r="R1097" i="6"/>
  <c r="P1097" i="6"/>
  <c r="S1097" i="6" s="1"/>
  <c r="O1097" i="6"/>
  <c r="T1097" i="6" s="1"/>
  <c r="Q1097" i="6"/>
  <c r="P642" i="6"/>
  <c r="S642" i="6" s="1"/>
  <c r="Q642" i="6"/>
  <c r="O642" i="6"/>
  <c r="T642" i="6" s="1"/>
  <c r="R642" i="6"/>
  <c r="N642" i="6" s="1"/>
  <c r="R653" i="6"/>
  <c r="P653" i="6"/>
  <c r="S653" i="6" s="1"/>
  <c r="O653" i="6"/>
  <c r="T653" i="6" s="1"/>
  <c r="Q653" i="6"/>
  <c r="P855" i="6"/>
  <c r="S855" i="6" s="1"/>
  <c r="R855" i="6"/>
  <c r="Q855" i="6"/>
  <c r="O855" i="6"/>
  <c r="T855" i="6" s="1"/>
  <c r="P839" i="6"/>
  <c r="S839" i="6" s="1"/>
  <c r="R839" i="6"/>
  <c r="Q839" i="6"/>
  <c r="O839" i="6"/>
  <c r="T839" i="6" s="1"/>
  <c r="P823" i="6"/>
  <c r="S823" i="6" s="1"/>
  <c r="R823" i="6"/>
  <c r="Q823" i="6"/>
  <c r="O823" i="6"/>
  <c r="T823" i="6" s="1"/>
  <c r="P807" i="6"/>
  <c r="S807" i="6" s="1"/>
  <c r="R807" i="6"/>
  <c r="Q807" i="6"/>
  <c r="O807" i="6"/>
  <c r="T807" i="6" s="1"/>
  <c r="P791" i="6"/>
  <c r="S791" i="6" s="1"/>
  <c r="R791" i="6"/>
  <c r="Q791" i="6"/>
  <c r="O791" i="6"/>
  <c r="T791" i="6" s="1"/>
  <c r="R703" i="6"/>
  <c r="Q703" i="6"/>
  <c r="O703" i="6"/>
  <c r="T703" i="6" s="1"/>
  <c r="P703" i="6"/>
  <c r="S703" i="6" s="1"/>
  <c r="R639" i="6"/>
  <c r="N639" i="6" s="1"/>
  <c r="Q639" i="6"/>
  <c r="O639" i="6"/>
  <c r="T639" i="6" s="1"/>
  <c r="P639" i="6"/>
  <c r="S639" i="6" s="1"/>
  <c r="P777" i="6"/>
  <c r="S777" i="6" s="1"/>
  <c r="R777" i="6"/>
  <c r="Q777" i="6"/>
  <c r="O777" i="6"/>
  <c r="T777" i="6" s="1"/>
  <c r="P761" i="6"/>
  <c r="S761" i="6" s="1"/>
  <c r="R761" i="6"/>
  <c r="Q761" i="6"/>
  <c r="O761" i="6"/>
  <c r="T761" i="6" s="1"/>
  <c r="P745" i="6"/>
  <c r="S745" i="6" s="1"/>
  <c r="R745" i="6"/>
  <c r="Q745" i="6"/>
  <c r="O745" i="6"/>
  <c r="T745" i="6" s="1"/>
  <c r="P680" i="6"/>
  <c r="S680" i="6" s="1"/>
  <c r="Q680" i="6"/>
  <c r="R680" i="6"/>
  <c r="O680" i="6"/>
  <c r="T680" i="6" s="1"/>
  <c r="P619" i="6"/>
  <c r="S619" i="6" s="1"/>
  <c r="O619" i="6"/>
  <c r="T619" i="6" s="1"/>
  <c r="R619" i="6"/>
  <c r="N619" i="6" s="1"/>
  <c r="Q619" i="6"/>
  <c r="Q563" i="6"/>
  <c r="P563" i="6"/>
  <c r="S563" i="6" s="1"/>
  <c r="R563" i="6"/>
  <c r="N563" i="6" s="1"/>
  <c r="O563" i="6"/>
  <c r="T563" i="6" s="1"/>
  <c r="P631" i="6"/>
  <c r="S631" i="6" s="1"/>
  <c r="R631" i="6"/>
  <c r="N631" i="6" s="1"/>
  <c r="Q631" i="6"/>
  <c r="O631" i="6"/>
  <c r="T631" i="6" s="1"/>
  <c r="P710" i="6"/>
  <c r="S710" i="6" s="1"/>
  <c r="Q710" i="6"/>
  <c r="O710" i="6"/>
  <c r="T710" i="6" s="1"/>
  <c r="R710" i="6"/>
  <c r="P688" i="6"/>
  <c r="S688" i="6" s="1"/>
  <c r="Q688" i="6"/>
  <c r="R688" i="6"/>
  <c r="O688" i="6"/>
  <c r="T688" i="6" s="1"/>
  <c r="R539" i="6"/>
  <c r="N539" i="6" s="1"/>
  <c r="P539" i="6"/>
  <c r="S539" i="6" s="1"/>
  <c r="O539" i="6"/>
  <c r="T539" i="6" s="1"/>
  <c r="Q539" i="6"/>
  <c r="R527" i="6"/>
  <c r="N527" i="6" s="1"/>
  <c r="P527" i="6"/>
  <c r="S527" i="6" s="1"/>
  <c r="O527" i="6"/>
  <c r="T527" i="6" s="1"/>
  <c r="Q527" i="6"/>
  <c r="O478" i="6"/>
  <c r="T478" i="6" s="1"/>
  <c r="R478" i="6"/>
  <c r="N478" i="6" s="1"/>
  <c r="Q478" i="6"/>
  <c r="P478" i="6"/>
  <c r="S478" i="6" s="1"/>
  <c r="P485" i="6"/>
  <c r="S485" i="6" s="1"/>
  <c r="O485" i="6"/>
  <c r="T485" i="6" s="1"/>
  <c r="R485" i="6"/>
  <c r="N485" i="6" s="1"/>
  <c r="Q485" i="6"/>
  <c r="P463" i="6"/>
  <c r="S463" i="6" s="1"/>
  <c r="O463" i="6"/>
  <c r="T463" i="6" s="1"/>
  <c r="R463" i="6"/>
  <c r="N463" i="6" s="1"/>
  <c r="Q463" i="6"/>
  <c r="P707" i="6"/>
  <c r="S707" i="6" s="1"/>
  <c r="R707" i="6"/>
  <c r="Q707" i="6"/>
  <c r="O707" i="6"/>
  <c r="T707" i="6" s="1"/>
  <c r="R505" i="6"/>
  <c r="N505" i="6" s="1"/>
  <c r="P505" i="6"/>
  <c r="S505" i="6" s="1"/>
  <c r="O505" i="6"/>
  <c r="T505" i="6" s="1"/>
  <c r="Q505" i="6"/>
  <c r="R304" i="6"/>
  <c r="N304" i="6" s="1"/>
  <c r="P304" i="6"/>
  <c r="S304" i="6" s="1"/>
  <c r="O304" i="6"/>
  <c r="T304" i="6" s="1"/>
  <c r="Q304" i="6"/>
  <c r="R272" i="6"/>
  <c r="N272" i="6" s="1"/>
  <c r="P272" i="6"/>
  <c r="S272" i="6" s="1"/>
  <c r="O272" i="6"/>
  <c r="T272" i="6" s="1"/>
  <c r="Q272" i="6"/>
  <c r="R240" i="6"/>
  <c r="N240" i="6" s="1"/>
  <c r="P240" i="6"/>
  <c r="S240" i="6" s="1"/>
  <c r="O240" i="6"/>
  <c r="T240" i="6" s="1"/>
  <c r="Q240" i="6"/>
  <c r="P483" i="6"/>
  <c r="S483" i="6" s="1"/>
  <c r="O483" i="6"/>
  <c r="T483" i="6" s="1"/>
  <c r="R483" i="6"/>
  <c r="N483" i="6" s="1"/>
  <c r="Q483" i="6"/>
  <c r="R569" i="6"/>
  <c r="N569" i="6" s="1"/>
  <c r="Q569" i="6"/>
  <c r="P569" i="6"/>
  <c r="S569" i="6" s="1"/>
  <c r="O569" i="6"/>
  <c r="T569" i="6" s="1"/>
  <c r="R306" i="6"/>
  <c r="N306" i="6" s="1"/>
  <c r="Q306" i="6"/>
  <c r="P306" i="6"/>
  <c r="S306" i="6" s="1"/>
  <c r="O306" i="6"/>
  <c r="T306" i="6" s="1"/>
  <c r="R274" i="6"/>
  <c r="N274" i="6" s="1"/>
  <c r="Q274" i="6"/>
  <c r="P274" i="6"/>
  <c r="S274" i="6" s="1"/>
  <c r="O274" i="6"/>
  <c r="T274" i="6" s="1"/>
  <c r="R242" i="6"/>
  <c r="N242" i="6" s="1"/>
  <c r="Q242" i="6"/>
  <c r="P242" i="6"/>
  <c r="S242" i="6" s="1"/>
  <c r="O242" i="6"/>
  <c r="T242" i="6" s="1"/>
  <c r="R300" i="6"/>
  <c r="N300" i="6" s="1"/>
  <c r="Q300" i="6"/>
  <c r="P300" i="6"/>
  <c r="S300" i="6" s="1"/>
  <c r="O300" i="6"/>
  <c r="T300" i="6" s="1"/>
  <c r="R165" i="6"/>
  <c r="N165" i="6" s="1"/>
  <c r="Q165" i="6"/>
  <c r="P165" i="6"/>
  <c r="S165" i="6" s="1"/>
  <c r="O165" i="6"/>
  <c r="T165" i="6" s="1"/>
  <c r="P383" i="6"/>
  <c r="S383" i="6" s="1"/>
  <c r="O383" i="6"/>
  <c r="T383" i="6" s="1"/>
  <c r="R383" i="6"/>
  <c r="N383" i="6" s="1"/>
  <c r="Q383" i="6"/>
  <c r="R169" i="6"/>
  <c r="N169" i="6" s="1"/>
  <c r="O169" i="6"/>
  <c r="T169" i="6" s="1"/>
  <c r="Q169" i="6"/>
  <c r="P169" i="6"/>
  <c r="S169" i="6" s="1"/>
  <c r="F159" i="4"/>
  <c r="D159" i="4"/>
  <c r="F95" i="4"/>
  <c r="D95" i="4"/>
  <c r="F31" i="4"/>
  <c r="D31" i="4"/>
  <c r="R171" i="6"/>
  <c r="N171" i="6" s="1"/>
  <c r="P171" i="6"/>
  <c r="S171" i="6" s="1"/>
  <c r="O171" i="6"/>
  <c r="T171" i="6" s="1"/>
  <c r="Q171" i="6"/>
  <c r="R155" i="6"/>
  <c r="N155" i="6" s="1"/>
  <c r="P155" i="6"/>
  <c r="S155" i="6" s="1"/>
  <c r="O155" i="6"/>
  <c r="T155" i="6" s="1"/>
  <c r="Q155" i="6"/>
  <c r="R89" i="6"/>
  <c r="N89" i="6" s="1"/>
  <c r="Q89" i="6"/>
  <c r="P89" i="6"/>
  <c r="S89" i="6" s="1"/>
  <c r="O89" i="6"/>
  <c r="T89" i="6" s="1"/>
  <c r="O259" i="6"/>
  <c r="T259" i="6" s="1"/>
  <c r="R259" i="6"/>
  <c r="N259" i="6" s="1"/>
  <c r="Q259" i="6"/>
  <c r="P259" i="6"/>
  <c r="S259" i="6" s="1"/>
  <c r="R125" i="6"/>
  <c r="N125" i="6" s="1"/>
  <c r="Q125" i="6"/>
  <c r="P125" i="6"/>
  <c r="S125" i="6" s="1"/>
  <c r="O125" i="6"/>
  <c r="T125" i="6" s="1"/>
  <c r="P88" i="6"/>
  <c r="S88" i="6" s="1"/>
  <c r="O88" i="6"/>
  <c r="T88" i="6" s="1"/>
  <c r="R88" i="6"/>
  <c r="N88" i="6" s="1"/>
  <c r="Q88" i="6"/>
  <c r="P72" i="6"/>
  <c r="S72" i="6" s="1"/>
  <c r="O72" i="6"/>
  <c r="T72" i="6" s="1"/>
  <c r="R72" i="6"/>
  <c r="N72" i="6" s="1"/>
  <c r="Q72" i="6"/>
  <c r="O315" i="6"/>
  <c r="T315" i="6" s="1"/>
  <c r="R315" i="6"/>
  <c r="N315" i="6" s="1"/>
  <c r="Q315" i="6"/>
  <c r="P315" i="6"/>
  <c r="S315" i="6" s="1"/>
  <c r="O205" i="6"/>
  <c r="T205" i="6" s="1"/>
  <c r="R205" i="6"/>
  <c r="N205" i="6" s="1"/>
  <c r="Q205" i="6"/>
  <c r="P205" i="6"/>
  <c r="S205" i="6" s="1"/>
  <c r="R113" i="6"/>
  <c r="N113" i="6" s="1"/>
  <c r="Q113" i="6"/>
  <c r="P113" i="6"/>
  <c r="S113" i="6" s="1"/>
  <c r="O113" i="6"/>
  <c r="T113" i="6" s="1"/>
  <c r="F155" i="4"/>
  <c r="D155" i="4"/>
  <c r="F91" i="4"/>
  <c r="D91" i="4"/>
  <c r="F27" i="4"/>
  <c r="D27" i="4"/>
  <c r="F100" i="4"/>
  <c r="D100" i="4"/>
  <c r="O221" i="6"/>
  <c r="T221" i="6" s="1"/>
  <c r="R221" i="6"/>
  <c r="N221" i="6" s="1"/>
  <c r="Q221" i="6"/>
  <c r="P221" i="6"/>
  <c r="S221" i="6" s="1"/>
  <c r="D208" i="4"/>
  <c r="F208" i="4"/>
  <c r="D153" i="4"/>
  <c r="F153" i="4"/>
  <c r="D98" i="4"/>
  <c r="D80" i="4"/>
  <c r="F80" i="4"/>
  <c r="D25" i="4"/>
  <c r="F25" i="4"/>
  <c r="P60" i="6"/>
  <c r="S60" i="6" s="1"/>
  <c r="O60" i="6"/>
  <c r="T60" i="6" s="1"/>
  <c r="R60" i="6"/>
  <c r="N60" i="6" s="1"/>
  <c r="A77" i="8" s="1"/>
  <c r="Q60" i="6"/>
  <c r="P28" i="6"/>
  <c r="S28" i="6" s="1"/>
  <c r="O28" i="6"/>
  <c r="T28" i="6" s="1"/>
  <c r="R28" i="6"/>
  <c r="N28" i="6" s="1"/>
  <c r="A45" i="8" s="1"/>
  <c r="Q28" i="6"/>
  <c r="F108" i="4"/>
  <c r="D108" i="4"/>
  <c r="O329" i="6"/>
  <c r="T329" i="6" s="1"/>
  <c r="R329" i="6"/>
  <c r="N329" i="6" s="1"/>
  <c r="Q329" i="6"/>
  <c r="P329" i="6"/>
  <c r="S329" i="6" s="1"/>
  <c r="P58" i="6"/>
  <c r="S58" i="6" s="1"/>
  <c r="O58" i="6"/>
  <c r="T58" i="6" s="1"/>
  <c r="R58" i="6"/>
  <c r="N58" i="6" s="1"/>
  <c r="A75" i="8" s="1"/>
  <c r="Q58" i="6"/>
  <c r="P26" i="6"/>
  <c r="S26" i="6" s="1"/>
  <c r="O26" i="6"/>
  <c r="T26" i="6" s="1"/>
  <c r="R26" i="6"/>
  <c r="N26" i="6" s="1"/>
  <c r="A43" i="8" s="1"/>
  <c r="Q26" i="6"/>
  <c r="D186" i="4"/>
  <c r="D168" i="4"/>
  <c r="F168" i="4"/>
  <c r="D113" i="4"/>
  <c r="F113" i="4"/>
  <c r="D58" i="4"/>
  <c r="D40" i="4"/>
  <c r="F40" i="4"/>
  <c r="P1787" i="6"/>
  <c r="S1787" i="6" s="1"/>
  <c r="Q1787" i="6"/>
  <c r="R1787" i="6"/>
  <c r="O1787" i="6"/>
  <c r="T1787" i="6" s="1"/>
  <c r="R1700" i="6"/>
  <c r="O1700" i="6"/>
  <c r="T1700" i="6" s="1"/>
  <c r="Q1700" i="6"/>
  <c r="P1700" i="6"/>
  <c r="S1700" i="6" s="1"/>
  <c r="P1767" i="6"/>
  <c r="S1767" i="6" s="1"/>
  <c r="O1767" i="6"/>
  <c r="T1767" i="6" s="1"/>
  <c r="R1767" i="6"/>
  <c r="Q1767" i="6"/>
  <c r="R1399" i="6"/>
  <c r="Q1399" i="6"/>
  <c r="P1399" i="6"/>
  <c r="S1399" i="6" s="1"/>
  <c r="O1399" i="6"/>
  <c r="T1399" i="6" s="1"/>
  <c r="R1383" i="6"/>
  <c r="Q1383" i="6"/>
  <c r="P1383" i="6"/>
  <c r="S1383" i="6" s="1"/>
  <c r="O1383" i="6"/>
  <c r="T1383" i="6" s="1"/>
  <c r="R1375" i="6"/>
  <c r="Q1375" i="6"/>
  <c r="P1375" i="6"/>
  <c r="S1375" i="6" s="1"/>
  <c r="O1375" i="6"/>
  <c r="T1375" i="6" s="1"/>
  <c r="Q1217" i="6"/>
  <c r="P1217" i="6"/>
  <c r="S1217" i="6" s="1"/>
  <c r="O1217" i="6"/>
  <c r="T1217" i="6" s="1"/>
  <c r="R1217" i="6"/>
  <c r="P1210" i="6"/>
  <c r="S1210" i="6" s="1"/>
  <c r="R1210" i="6"/>
  <c r="Q1210" i="6"/>
  <c r="O1210" i="6"/>
  <c r="T1210" i="6" s="1"/>
  <c r="R1020" i="6"/>
  <c r="P1020" i="6"/>
  <c r="S1020" i="6" s="1"/>
  <c r="Q1020" i="6"/>
  <c r="O1020" i="6"/>
  <c r="T1020" i="6" s="1"/>
  <c r="R854" i="6"/>
  <c r="Q854" i="6"/>
  <c r="P854" i="6"/>
  <c r="S854" i="6" s="1"/>
  <c r="O854" i="6"/>
  <c r="T854" i="6" s="1"/>
  <c r="R790" i="6"/>
  <c r="Q790" i="6"/>
  <c r="P790" i="6"/>
  <c r="S790" i="6" s="1"/>
  <c r="O790" i="6"/>
  <c r="T790" i="6" s="1"/>
  <c r="P835" i="6"/>
  <c r="S835" i="6" s="1"/>
  <c r="R835" i="6"/>
  <c r="Q835" i="6"/>
  <c r="O835" i="6"/>
  <c r="T835" i="6" s="1"/>
  <c r="P803" i="6"/>
  <c r="S803" i="6" s="1"/>
  <c r="R803" i="6"/>
  <c r="Q803" i="6"/>
  <c r="O803" i="6"/>
  <c r="T803" i="6" s="1"/>
  <c r="P723" i="6"/>
  <c r="S723" i="6" s="1"/>
  <c r="R723" i="6"/>
  <c r="Q723" i="6"/>
  <c r="O723" i="6"/>
  <c r="T723" i="6" s="1"/>
  <c r="R282" i="6"/>
  <c r="N282" i="6" s="1"/>
  <c r="Q282" i="6"/>
  <c r="P282" i="6"/>
  <c r="S282" i="6" s="1"/>
  <c r="O282" i="6"/>
  <c r="T282" i="6" s="1"/>
  <c r="R268" i="6"/>
  <c r="N268" i="6" s="1"/>
  <c r="Q268" i="6"/>
  <c r="P268" i="6"/>
  <c r="S268" i="6" s="1"/>
  <c r="O268" i="6"/>
  <c r="T268" i="6" s="1"/>
  <c r="F47" i="4"/>
  <c r="D47" i="4"/>
  <c r="O283" i="6"/>
  <c r="T283" i="6" s="1"/>
  <c r="R283" i="6"/>
  <c r="N283" i="6" s="1"/>
  <c r="Q283" i="6"/>
  <c r="P283" i="6"/>
  <c r="S283" i="6" s="1"/>
  <c r="F107" i="4"/>
  <c r="D107" i="4"/>
  <c r="P1757" i="6"/>
  <c r="S1757" i="6" s="1"/>
  <c r="Q1757" i="6"/>
  <c r="O1757" i="6"/>
  <c r="T1757" i="6" s="1"/>
  <c r="R1757" i="6"/>
  <c r="Q1776" i="6"/>
  <c r="O1776" i="6"/>
  <c r="T1776" i="6" s="1"/>
  <c r="R1776" i="6"/>
  <c r="P1776" i="6"/>
  <c r="S1776" i="6" s="1"/>
  <c r="R1682" i="6"/>
  <c r="O1682" i="6"/>
  <c r="T1682" i="6" s="1"/>
  <c r="P1682" i="6"/>
  <c r="S1682" i="6" s="1"/>
  <c r="Q1682" i="6"/>
  <c r="R1677" i="6"/>
  <c r="Q1677" i="6"/>
  <c r="P1677" i="6"/>
  <c r="S1677" i="6" s="1"/>
  <c r="O1677" i="6"/>
  <c r="T1677" i="6" s="1"/>
  <c r="O1468" i="6"/>
  <c r="T1468" i="6" s="1"/>
  <c r="R1468" i="6"/>
  <c r="Q1468" i="6"/>
  <c r="P1468" i="6"/>
  <c r="S1468" i="6" s="1"/>
  <c r="R2003" i="6"/>
  <c r="P2003" i="6"/>
  <c r="S2003" i="6" s="1"/>
  <c r="O2003" i="6"/>
  <c r="T2003" i="6" s="1"/>
  <c r="Q2003" i="6"/>
  <c r="R1994" i="6"/>
  <c r="P1994" i="6"/>
  <c r="S1994" i="6" s="1"/>
  <c r="Q1994" i="6"/>
  <c r="O1994" i="6"/>
  <c r="T1994" i="6" s="1"/>
  <c r="R1957" i="6"/>
  <c r="Q1957" i="6"/>
  <c r="P1957" i="6"/>
  <c r="S1957" i="6" s="1"/>
  <c r="O1957" i="6"/>
  <c r="T1957" i="6" s="1"/>
  <c r="O1946" i="6"/>
  <c r="T1946" i="6" s="1"/>
  <c r="Q1946" i="6"/>
  <c r="R1946" i="6"/>
  <c r="P1946" i="6"/>
  <c r="S1946" i="6" s="1"/>
  <c r="O1933" i="6"/>
  <c r="T1933" i="6" s="1"/>
  <c r="P1933" i="6"/>
  <c r="S1933" i="6" s="1"/>
  <c r="R1933" i="6"/>
  <c r="Q1933" i="6"/>
  <c r="O1868" i="6"/>
  <c r="T1868" i="6" s="1"/>
  <c r="Q1868" i="6"/>
  <c r="R1868" i="6"/>
  <c r="P1868" i="6"/>
  <c r="S1868" i="6" s="1"/>
  <c r="R1899" i="6"/>
  <c r="Q1899" i="6"/>
  <c r="P1899" i="6"/>
  <c r="S1899" i="6" s="1"/>
  <c r="O1899" i="6"/>
  <c r="T1899" i="6" s="1"/>
  <c r="O1878" i="6"/>
  <c r="T1878" i="6" s="1"/>
  <c r="R1878" i="6"/>
  <c r="Q1878" i="6"/>
  <c r="P1878" i="6"/>
  <c r="S1878" i="6" s="1"/>
  <c r="P1797" i="6"/>
  <c r="S1797" i="6" s="1"/>
  <c r="R1797" i="6"/>
  <c r="O1797" i="6"/>
  <c r="T1797" i="6" s="1"/>
  <c r="Q1797" i="6"/>
  <c r="P1815" i="6"/>
  <c r="S1815" i="6" s="1"/>
  <c r="O1815" i="6"/>
  <c r="T1815" i="6" s="1"/>
  <c r="R1815" i="6"/>
  <c r="Q1815" i="6"/>
  <c r="O1762" i="6"/>
  <c r="T1762" i="6" s="1"/>
  <c r="Q1762" i="6"/>
  <c r="P1762" i="6"/>
  <c r="S1762" i="6" s="1"/>
  <c r="R1762" i="6"/>
  <c r="R1744" i="6"/>
  <c r="Q1744" i="6"/>
  <c r="O1744" i="6"/>
  <c r="T1744" i="6" s="1"/>
  <c r="P1744" i="6"/>
  <c r="S1744" i="6" s="1"/>
  <c r="R1728" i="6"/>
  <c r="Q1728" i="6"/>
  <c r="O1728" i="6"/>
  <c r="T1728" i="6" s="1"/>
  <c r="P1728" i="6"/>
  <c r="S1728" i="6" s="1"/>
  <c r="R1717" i="6"/>
  <c r="Q1717" i="6"/>
  <c r="P1717" i="6"/>
  <c r="S1717" i="6" s="1"/>
  <c r="O1717" i="6"/>
  <c r="T1717" i="6" s="1"/>
  <c r="P1756" i="6"/>
  <c r="S1756" i="6" s="1"/>
  <c r="R1756" i="6"/>
  <c r="Q1756" i="6"/>
  <c r="O1756" i="6"/>
  <c r="T1756" i="6" s="1"/>
  <c r="R1745" i="6"/>
  <c r="Q1745" i="6"/>
  <c r="P1745" i="6"/>
  <c r="S1745" i="6" s="1"/>
  <c r="O1745" i="6"/>
  <c r="T1745" i="6" s="1"/>
  <c r="R1720" i="6"/>
  <c r="O1720" i="6"/>
  <c r="T1720" i="6" s="1"/>
  <c r="Q1720" i="6"/>
  <c r="P1720" i="6"/>
  <c r="S1720" i="6" s="1"/>
  <c r="R1712" i="6"/>
  <c r="O1712" i="6"/>
  <c r="T1712" i="6" s="1"/>
  <c r="Q1712" i="6"/>
  <c r="P1712" i="6"/>
  <c r="S1712" i="6" s="1"/>
  <c r="R1704" i="6"/>
  <c r="O1704" i="6"/>
  <c r="T1704" i="6" s="1"/>
  <c r="Q1704" i="6"/>
  <c r="P1704" i="6"/>
  <c r="S1704" i="6" s="1"/>
  <c r="R1696" i="6"/>
  <c r="O1696" i="6"/>
  <c r="T1696" i="6" s="1"/>
  <c r="Q1696" i="6"/>
  <c r="P1696" i="6"/>
  <c r="S1696" i="6" s="1"/>
  <c r="R1733" i="6"/>
  <c r="O1733" i="6"/>
  <c r="T1733" i="6" s="1"/>
  <c r="Q1733" i="6"/>
  <c r="P1733" i="6"/>
  <c r="S1733" i="6" s="1"/>
  <c r="R1723" i="6"/>
  <c r="Q1723" i="6"/>
  <c r="P1723" i="6"/>
  <c r="S1723" i="6" s="1"/>
  <c r="O1723" i="6"/>
  <c r="T1723" i="6" s="1"/>
  <c r="R1714" i="6"/>
  <c r="O1714" i="6"/>
  <c r="T1714" i="6" s="1"/>
  <c r="Q1714" i="6"/>
  <c r="P1714" i="6"/>
  <c r="S1714" i="6" s="1"/>
  <c r="R1674" i="6"/>
  <c r="O1674" i="6"/>
  <c r="T1674" i="6" s="1"/>
  <c r="P1674" i="6"/>
  <c r="S1674" i="6" s="1"/>
  <c r="Q1674" i="6"/>
  <c r="R1751" i="6"/>
  <c r="P1751" i="6"/>
  <c r="S1751" i="6" s="1"/>
  <c r="O1751" i="6"/>
  <c r="T1751" i="6" s="1"/>
  <c r="Q1751" i="6"/>
  <c r="P1627" i="6"/>
  <c r="S1627" i="6" s="1"/>
  <c r="Q1627" i="6"/>
  <c r="O1627" i="6"/>
  <c r="T1627" i="6" s="1"/>
  <c r="R1627" i="6"/>
  <c r="P1605" i="6"/>
  <c r="S1605" i="6" s="1"/>
  <c r="Q1605" i="6"/>
  <c r="O1605" i="6"/>
  <c r="T1605" i="6" s="1"/>
  <c r="R1605" i="6"/>
  <c r="P1629" i="6"/>
  <c r="S1629" i="6" s="1"/>
  <c r="R1629" i="6"/>
  <c r="Q1629" i="6"/>
  <c r="O1629" i="6"/>
  <c r="T1629" i="6" s="1"/>
  <c r="P1655" i="6"/>
  <c r="S1655" i="6" s="1"/>
  <c r="O1655" i="6"/>
  <c r="T1655" i="6" s="1"/>
  <c r="R1655" i="6"/>
  <c r="Q1655" i="6"/>
  <c r="P1615" i="6"/>
  <c r="S1615" i="6" s="1"/>
  <c r="R1615" i="6"/>
  <c r="Q1615" i="6"/>
  <c r="O1615" i="6"/>
  <c r="T1615" i="6" s="1"/>
  <c r="R1439" i="6"/>
  <c r="Q1439" i="6"/>
  <c r="P1439" i="6"/>
  <c r="S1439" i="6" s="1"/>
  <c r="O1439" i="6"/>
  <c r="T1439" i="6" s="1"/>
  <c r="R1359" i="6"/>
  <c r="Q1359" i="6"/>
  <c r="P1359" i="6"/>
  <c r="S1359" i="6" s="1"/>
  <c r="O1359" i="6"/>
  <c r="T1359" i="6" s="1"/>
  <c r="R1347" i="6"/>
  <c r="Q1347" i="6"/>
  <c r="P1347" i="6"/>
  <c r="S1347" i="6" s="1"/>
  <c r="O1347" i="6"/>
  <c r="T1347" i="6" s="1"/>
  <c r="R1244" i="6"/>
  <c r="P1244" i="6"/>
  <c r="S1244" i="6" s="1"/>
  <c r="Q1244" i="6"/>
  <c r="O1244" i="6"/>
  <c r="T1244" i="6" s="1"/>
  <c r="Q1247" i="6"/>
  <c r="P1247" i="6"/>
  <c r="S1247" i="6" s="1"/>
  <c r="O1247" i="6"/>
  <c r="T1247" i="6" s="1"/>
  <c r="R1247" i="6"/>
  <c r="P1206" i="6"/>
  <c r="S1206" i="6" s="1"/>
  <c r="R1206" i="6"/>
  <c r="Q1206" i="6"/>
  <c r="O1206" i="6"/>
  <c r="T1206" i="6" s="1"/>
  <c r="P1133" i="6"/>
  <c r="S1133" i="6" s="1"/>
  <c r="R1133" i="6"/>
  <c r="Q1133" i="6"/>
  <c r="O1133" i="6"/>
  <c r="T1133" i="6" s="1"/>
  <c r="O1155" i="6"/>
  <c r="T1155" i="6" s="1"/>
  <c r="R1155" i="6"/>
  <c r="Q1155" i="6"/>
  <c r="P1155" i="6"/>
  <c r="S1155" i="6" s="1"/>
  <c r="R1021" i="6"/>
  <c r="O1021" i="6"/>
  <c r="T1021" i="6" s="1"/>
  <c r="Q1021" i="6"/>
  <c r="P1021" i="6"/>
  <c r="S1021" i="6" s="1"/>
  <c r="R1111" i="6"/>
  <c r="P1111" i="6"/>
  <c r="S1111" i="6" s="1"/>
  <c r="O1111" i="6"/>
  <c r="T1111" i="6" s="1"/>
  <c r="Q1111" i="6"/>
  <c r="Q1056" i="6"/>
  <c r="P1056" i="6"/>
  <c r="S1056" i="6" s="1"/>
  <c r="O1056" i="6"/>
  <c r="T1056" i="6" s="1"/>
  <c r="R1056" i="6"/>
  <c r="P1162" i="6"/>
  <c r="S1162" i="6" s="1"/>
  <c r="R1162" i="6"/>
  <c r="Q1162" i="6"/>
  <c r="O1162" i="6"/>
  <c r="T1162" i="6" s="1"/>
  <c r="O1001" i="6"/>
  <c r="T1001" i="6" s="1"/>
  <c r="R1001" i="6"/>
  <c r="Q1001" i="6"/>
  <c r="P1001" i="6"/>
  <c r="S1001" i="6" s="1"/>
  <c r="R1137" i="6"/>
  <c r="P1137" i="6"/>
  <c r="S1137" i="6" s="1"/>
  <c r="O1137" i="6"/>
  <c r="T1137" i="6" s="1"/>
  <c r="Q1137" i="6"/>
  <c r="R1083" i="6"/>
  <c r="O1083" i="6"/>
  <c r="T1083" i="6" s="1"/>
  <c r="Q1083" i="6"/>
  <c r="P1083" i="6"/>
  <c r="S1083" i="6" s="1"/>
  <c r="O979" i="6"/>
  <c r="T979" i="6" s="1"/>
  <c r="P979" i="6"/>
  <c r="S979" i="6" s="1"/>
  <c r="R979" i="6"/>
  <c r="Q979" i="6"/>
  <c r="R1091" i="6"/>
  <c r="O1091" i="6"/>
  <c r="T1091" i="6" s="1"/>
  <c r="Q1091" i="6"/>
  <c r="P1091" i="6"/>
  <c r="S1091" i="6" s="1"/>
  <c r="O1054" i="6"/>
  <c r="T1054" i="6" s="1"/>
  <c r="R1054" i="6"/>
  <c r="Q1054" i="6"/>
  <c r="P1054" i="6"/>
  <c r="S1054" i="6" s="1"/>
  <c r="R1051" i="6"/>
  <c r="O1051" i="6"/>
  <c r="T1051" i="6" s="1"/>
  <c r="Q1051" i="6"/>
  <c r="P1051" i="6"/>
  <c r="S1051" i="6" s="1"/>
  <c r="R1027" i="6"/>
  <c r="O1027" i="6"/>
  <c r="T1027" i="6" s="1"/>
  <c r="Q1027" i="6"/>
  <c r="P1027" i="6"/>
  <c r="S1027" i="6" s="1"/>
  <c r="O977" i="6"/>
  <c r="T977" i="6" s="1"/>
  <c r="Q977" i="6"/>
  <c r="P977" i="6"/>
  <c r="S977" i="6" s="1"/>
  <c r="R977" i="6"/>
  <c r="O991" i="6"/>
  <c r="T991" i="6" s="1"/>
  <c r="R991" i="6"/>
  <c r="Q991" i="6"/>
  <c r="P991" i="6"/>
  <c r="S991" i="6" s="1"/>
  <c r="R772" i="6"/>
  <c r="P772" i="6"/>
  <c r="S772" i="6" s="1"/>
  <c r="Q772" i="6"/>
  <c r="O772" i="6"/>
  <c r="T772" i="6" s="1"/>
  <c r="R756" i="6"/>
  <c r="P756" i="6"/>
  <c r="S756" i="6" s="1"/>
  <c r="Q756" i="6"/>
  <c r="O756" i="6"/>
  <c r="T756" i="6" s="1"/>
  <c r="P698" i="6"/>
  <c r="S698" i="6" s="1"/>
  <c r="Q698" i="6"/>
  <c r="O698" i="6"/>
  <c r="T698" i="6" s="1"/>
  <c r="R698" i="6"/>
  <c r="R699" i="6"/>
  <c r="Q699" i="6"/>
  <c r="P699" i="6"/>
  <c r="S699" i="6" s="1"/>
  <c r="O699" i="6"/>
  <c r="T699" i="6" s="1"/>
  <c r="R667" i="6"/>
  <c r="Q667" i="6"/>
  <c r="P667" i="6"/>
  <c r="S667" i="6" s="1"/>
  <c r="O667" i="6"/>
  <c r="T667" i="6" s="1"/>
  <c r="R693" i="6"/>
  <c r="P693" i="6"/>
  <c r="S693" i="6" s="1"/>
  <c r="O693" i="6"/>
  <c r="T693" i="6" s="1"/>
  <c r="Q693" i="6"/>
  <c r="P849" i="6"/>
  <c r="S849" i="6" s="1"/>
  <c r="R849" i="6"/>
  <c r="Q849" i="6"/>
  <c r="O849" i="6"/>
  <c r="T849" i="6" s="1"/>
  <c r="P833" i="6"/>
  <c r="S833" i="6" s="1"/>
  <c r="R833" i="6"/>
  <c r="Q833" i="6"/>
  <c r="O833" i="6"/>
  <c r="T833" i="6" s="1"/>
  <c r="P817" i="6"/>
  <c r="S817" i="6" s="1"/>
  <c r="R817" i="6"/>
  <c r="Q817" i="6"/>
  <c r="O817" i="6"/>
  <c r="T817" i="6" s="1"/>
  <c r="P801" i="6"/>
  <c r="S801" i="6" s="1"/>
  <c r="R801" i="6"/>
  <c r="Q801" i="6"/>
  <c r="O801" i="6"/>
  <c r="T801" i="6" s="1"/>
  <c r="P711" i="6"/>
  <c r="S711" i="6" s="1"/>
  <c r="R711" i="6"/>
  <c r="Q711" i="6"/>
  <c r="O711" i="6"/>
  <c r="T711" i="6" s="1"/>
  <c r="R663" i="6"/>
  <c r="Q663" i="6"/>
  <c r="O663" i="6"/>
  <c r="T663" i="6" s="1"/>
  <c r="P663" i="6"/>
  <c r="S663" i="6" s="1"/>
  <c r="P615" i="6"/>
  <c r="S615" i="6" s="1"/>
  <c r="O615" i="6"/>
  <c r="T615" i="6" s="1"/>
  <c r="R615" i="6"/>
  <c r="N615" i="6" s="1"/>
  <c r="Q615" i="6"/>
  <c r="P732" i="6"/>
  <c r="S732" i="6" s="1"/>
  <c r="R732" i="6"/>
  <c r="Q732" i="6"/>
  <c r="O732" i="6"/>
  <c r="T732" i="6" s="1"/>
  <c r="P696" i="6"/>
  <c r="S696" i="6" s="1"/>
  <c r="Q696" i="6"/>
  <c r="R696" i="6"/>
  <c r="O696" i="6"/>
  <c r="T696" i="6" s="1"/>
  <c r="Q583" i="6"/>
  <c r="P583" i="6"/>
  <c r="S583" i="6" s="1"/>
  <c r="R583" i="6"/>
  <c r="N583" i="6" s="1"/>
  <c r="O583" i="6"/>
  <c r="T583" i="6" s="1"/>
  <c r="Q551" i="6"/>
  <c r="P551" i="6"/>
  <c r="S551" i="6" s="1"/>
  <c r="R551" i="6"/>
  <c r="N551" i="6" s="1"/>
  <c r="O551" i="6"/>
  <c r="T551" i="6" s="1"/>
  <c r="P739" i="6"/>
  <c r="S739" i="6" s="1"/>
  <c r="R739" i="6"/>
  <c r="Q739" i="6"/>
  <c r="O739" i="6"/>
  <c r="T739" i="6" s="1"/>
  <c r="R607" i="6"/>
  <c r="N607" i="6" s="1"/>
  <c r="Q607" i="6"/>
  <c r="P607" i="6"/>
  <c r="S607" i="6" s="1"/>
  <c r="O607" i="6"/>
  <c r="T607" i="6" s="1"/>
  <c r="R599" i="6"/>
  <c r="N599" i="6" s="1"/>
  <c r="Q599" i="6"/>
  <c r="P599" i="6"/>
  <c r="S599" i="6" s="1"/>
  <c r="O599" i="6"/>
  <c r="T599" i="6" s="1"/>
  <c r="R591" i="6"/>
  <c r="N591" i="6" s="1"/>
  <c r="Q591" i="6"/>
  <c r="P591" i="6"/>
  <c r="S591" i="6" s="1"/>
  <c r="O591" i="6"/>
  <c r="T591" i="6" s="1"/>
  <c r="P664" i="6"/>
  <c r="S664" i="6" s="1"/>
  <c r="Q664" i="6"/>
  <c r="R664" i="6"/>
  <c r="O664" i="6"/>
  <c r="T664" i="6" s="1"/>
  <c r="R537" i="6"/>
  <c r="N537" i="6" s="1"/>
  <c r="P537" i="6"/>
  <c r="S537" i="6" s="1"/>
  <c r="O537" i="6"/>
  <c r="T537" i="6" s="1"/>
  <c r="Q537" i="6"/>
  <c r="P704" i="6"/>
  <c r="S704" i="6" s="1"/>
  <c r="Q704" i="6"/>
  <c r="O704" i="6"/>
  <c r="T704" i="6" s="1"/>
  <c r="R704" i="6"/>
  <c r="R531" i="6"/>
  <c r="N531" i="6" s="1"/>
  <c r="P531" i="6"/>
  <c r="S531" i="6" s="1"/>
  <c r="O531" i="6"/>
  <c r="T531" i="6" s="1"/>
  <c r="Q531" i="6"/>
  <c r="R499" i="6"/>
  <c r="N499" i="6" s="1"/>
  <c r="P499" i="6"/>
  <c r="S499" i="6" s="1"/>
  <c r="O499" i="6"/>
  <c r="T499" i="6" s="1"/>
  <c r="Q499" i="6"/>
  <c r="P487" i="6"/>
  <c r="S487" i="6" s="1"/>
  <c r="O487" i="6"/>
  <c r="T487" i="6" s="1"/>
  <c r="R487" i="6"/>
  <c r="N487" i="6" s="1"/>
  <c r="Q487" i="6"/>
  <c r="P455" i="6"/>
  <c r="S455" i="6" s="1"/>
  <c r="O455" i="6"/>
  <c r="T455" i="6" s="1"/>
  <c r="R455" i="6"/>
  <c r="N455" i="6" s="1"/>
  <c r="Q455" i="6"/>
  <c r="R378" i="6"/>
  <c r="N378" i="6" s="1"/>
  <c r="Q378" i="6"/>
  <c r="P378" i="6"/>
  <c r="S378" i="6" s="1"/>
  <c r="O378" i="6"/>
  <c r="T378" i="6" s="1"/>
  <c r="R370" i="6"/>
  <c r="N370" i="6" s="1"/>
  <c r="Q370" i="6"/>
  <c r="P370" i="6"/>
  <c r="S370" i="6" s="1"/>
  <c r="O370" i="6"/>
  <c r="T370" i="6" s="1"/>
  <c r="R362" i="6"/>
  <c r="N362" i="6" s="1"/>
  <c r="Q362" i="6"/>
  <c r="O362" i="6"/>
  <c r="T362" i="6" s="1"/>
  <c r="P362" i="6"/>
  <c r="S362" i="6" s="1"/>
  <c r="R354" i="6"/>
  <c r="N354" i="6" s="1"/>
  <c r="Q354" i="6"/>
  <c r="O354" i="6"/>
  <c r="T354" i="6" s="1"/>
  <c r="P354" i="6"/>
  <c r="S354" i="6" s="1"/>
  <c r="R346" i="6"/>
  <c r="N346" i="6" s="1"/>
  <c r="Q346" i="6"/>
  <c r="O346" i="6"/>
  <c r="T346" i="6" s="1"/>
  <c r="P346" i="6"/>
  <c r="S346" i="6" s="1"/>
  <c r="R338" i="6"/>
  <c r="N338" i="6" s="1"/>
  <c r="Q338" i="6"/>
  <c r="O338" i="6"/>
  <c r="T338" i="6" s="1"/>
  <c r="P338" i="6"/>
  <c r="S338" i="6" s="1"/>
  <c r="R330" i="6"/>
  <c r="N330" i="6" s="1"/>
  <c r="Q330" i="6"/>
  <c r="O330" i="6"/>
  <c r="T330" i="6" s="1"/>
  <c r="P330" i="6"/>
  <c r="S330" i="6" s="1"/>
  <c r="R322" i="6"/>
  <c r="N322" i="6" s="1"/>
  <c r="Q322" i="6"/>
  <c r="O322" i="6"/>
  <c r="T322" i="6" s="1"/>
  <c r="P322" i="6"/>
  <c r="S322" i="6" s="1"/>
  <c r="R501" i="6"/>
  <c r="N501" i="6" s="1"/>
  <c r="P501" i="6"/>
  <c r="S501" i="6" s="1"/>
  <c r="O501" i="6"/>
  <c r="T501" i="6" s="1"/>
  <c r="Q501" i="6"/>
  <c r="O307" i="6"/>
  <c r="T307" i="6" s="1"/>
  <c r="R307" i="6"/>
  <c r="N307" i="6" s="1"/>
  <c r="Q307" i="6"/>
  <c r="P307" i="6"/>
  <c r="S307" i="6" s="1"/>
  <c r="R183" i="6"/>
  <c r="N183" i="6" s="1"/>
  <c r="Q183" i="6"/>
  <c r="P183" i="6"/>
  <c r="S183" i="6" s="1"/>
  <c r="O183" i="6"/>
  <c r="T183" i="6" s="1"/>
  <c r="P231" i="6"/>
  <c r="S231" i="6" s="1"/>
  <c r="O231" i="6"/>
  <c r="T231" i="6" s="1"/>
  <c r="R231" i="6"/>
  <c r="N231" i="6" s="1"/>
  <c r="Q231" i="6"/>
  <c r="R185" i="6"/>
  <c r="N185" i="6" s="1"/>
  <c r="O185" i="6"/>
  <c r="T185" i="6" s="1"/>
  <c r="Q185" i="6"/>
  <c r="P185" i="6"/>
  <c r="S185" i="6" s="1"/>
  <c r="F151" i="4"/>
  <c r="D151" i="4"/>
  <c r="F87" i="4"/>
  <c r="D87" i="4"/>
  <c r="F23" i="4"/>
  <c r="D23" i="4"/>
  <c r="O215" i="6"/>
  <c r="T215" i="6" s="1"/>
  <c r="R215" i="6"/>
  <c r="N215" i="6" s="1"/>
  <c r="Q215" i="6"/>
  <c r="P215" i="6"/>
  <c r="S215" i="6" s="1"/>
  <c r="R139" i="6"/>
  <c r="N139" i="6" s="1"/>
  <c r="P139" i="6"/>
  <c r="S139" i="6" s="1"/>
  <c r="O139" i="6"/>
  <c r="T139" i="6" s="1"/>
  <c r="Q139" i="6"/>
  <c r="R284" i="6"/>
  <c r="N284" i="6" s="1"/>
  <c r="Q284" i="6"/>
  <c r="P284" i="6"/>
  <c r="S284" i="6" s="1"/>
  <c r="O284" i="6"/>
  <c r="T284" i="6" s="1"/>
  <c r="N479" i="6"/>
  <c r="P225" i="6"/>
  <c r="S225" i="6" s="1"/>
  <c r="O225" i="6"/>
  <c r="T225" i="6" s="1"/>
  <c r="R225" i="6"/>
  <c r="N225" i="6" s="1"/>
  <c r="Q225" i="6"/>
  <c r="O219" i="6"/>
  <c r="T219" i="6" s="1"/>
  <c r="R219" i="6"/>
  <c r="N219" i="6" s="1"/>
  <c r="Q219" i="6"/>
  <c r="P219" i="6"/>
  <c r="S219" i="6" s="1"/>
  <c r="R77" i="6"/>
  <c r="N77" i="6" s="1"/>
  <c r="P77" i="6"/>
  <c r="S77" i="6" s="1"/>
  <c r="O77" i="6"/>
  <c r="T77" i="6" s="1"/>
  <c r="Q77" i="6"/>
  <c r="P233" i="6"/>
  <c r="S233" i="6" s="1"/>
  <c r="O233" i="6"/>
  <c r="T233" i="6" s="1"/>
  <c r="R233" i="6"/>
  <c r="N233" i="6" s="1"/>
  <c r="Q233" i="6"/>
  <c r="F211" i="4"/>
  <c r="D211" i="4"/>
  <c r="F147" i="4"/>
  <c r="D147" i="4"/>
  <c r="F83" i="4"/>
  <c r="D83" i="4"/>
  <c r="F19" i="4"/>
  <c r="D19" i="4"/>
  <c r="P64" i="6"/>
  <c r="S64" i="6" s="1"/>
  <c r="O64" i="6"/>
  <c r="T64" i="6" s="1"/>
  <c r="R64" i="6"/>
  <c r="N64" i="6" s="1"/>
  <c r="A81" i="8" s="1"/>
  <c r="Q64" i="6"/>
  <c r="P32" i="6"/>
  <c r="S32" i="6" s="1"/>
  <c r="O32" i="6"/>
  <c r="T32" i="6" s="1"/>
  <c r="R32" i="6"/>
  <c r="N32" i="6" s="1"/>
  <c r="A49" i="8" s="1"/>
  <c r="Q32" i="6"/>
  <c r="F212" i="4"/>
  <c r="D212" i="4"/>
  <c r="F84" i="4"/>
  <c r="D84" i="4"/>
  <c r="P54" i="6"/>
  <c r="S54" i="6" s="1"/>
  <c r="O54" i="6"/>
  <c r="T54" i="6" s="1"/>
  <c r="R54" i="6"/>
  <c r="N54" i="6" s="1"/>
  <c r="A71" i="8" s="1"/>
  <c r="Q54" i="6"/>
  <c r="P22" i="6"/>
  <c r="S22" i="6" s="1"/>
  <c r="O22" i="6"/>
  <c r="T22" i="6" s="1"/>
  <c r="R22" i="6"/>
  <c r="N22" i="6" s="1"/>
  <c r="A39" i="8" s="1"/>
  <c r="Q22" i="6"/>
  <c r="D146" i="4"/>
  <c r="D128" i="4"/>
  <c r="F128" i="4"/>
  <c r="D73" i="4"/>
  <c r="F73" i="4"/>
  <c r="D18" i="4"/>
  <c r="F92" i="4"/>
  <c r="D92" i="4"/>
  <c r="D161" i="4"/>
  <c r="F161" i="4"/>
  <c r="D106" i="4"/>
  <c r="D88" i="4"/>
  <c r="F88" i="4"/>
  <c r="D33" i="4"/>
  <c r="F33" i="4"/>
  <c r="R115" i="6"/>
  <c r="N115" i="6" s="1"/>
  <c r="Q115" i="6"/>
  <c r="P115" i="6"/>
  <c r="S115" i="6" s="1"/>
  <c r="O115" i="6"/>
  <c r="T115" i="6" s="1"/>
  <c r="R81" i="6"/>
  <c r="N81" i="6" s="1"/>
  <c r="Q81" i="6"/>
  <c r="P81" i="6"/>
  <c r="S81" i="6" s="1"/>
  <c r="O81" i="6"/>
  <c r="T81" i="6" s="1"/>
  <c r="D189" i="4"/>
  <c r="D157" i="4"/>
  <c r="D125" i="4"/>
  <c r="D93" i="4"/>
  <c r="O988" i="6"/>
  <c r="T988" i="6" s="1"/>
  <c r="Q988" i="6"/>
  <c r="P988" i="6"/>
  <c r="S988" i="6" s="1"/>
  <c r="R988" i="6"/>
  <c r="P851" i="6"/>
  <c r="S851" i="6" s="1"/>
  <c r="R851" i="6"/>
  <c r="Q851" i="6"/>
  <c r="O851" i="6"/>
  <c r="T851" i="6" s="1"/>
  <c r="P781" i="6"/>
  <c r="S781" i="6" s="1"/>
  <c r="R781" i="6"/>
  <c r="Q781" i="6"/>
  <c r="O781" i="6"/>
  <c r="T781" i="6" s="1"/>
  <c r="R246" i="6"/>
  <c r="N246" i="6" s="1"/>
  <c r="Q246" i="6"/>
  <c r="P246" i="6"/>
  <c r="S246" i="6" s="1"/>
  <c r="O246" i="6"/>
  <c r="T246" i="6" s="1"/>
  <c r="O207" i="6"/>
  <c r="T207" i="6" s="1"/>
  <c r="R207" i="6"/>
  <c r="N207" i="6" s="1"/>
  <c r="P207" i="6"/>
  <c r="S207" i="6" s="1"/>
  <c r="Q207" i="6"/>
  <c r="R163" i="6"/>
  <c r="N163" i="6" s="1"/>
  <c r="Q163" i="6"/>
  <c r="P163" i="6"/>
  <c r="S163" i="6" s="1"/>
  <c r="O163" i="6"/>
  <c r="T163" i="6" s="1"/>
  <c r="R1983" i="6"/>
  <c r="Q1983" i="6"/>
  <c r="P1983" i="6"/>
  <c r="S1983" i="6" s="1"/>
  <c r="O1983" i="6"/>
  <c r="T1983" i="6" s="1"/>
  <c r="R1967" i="6"/>
  <c r="Q1967" i="6"/>
  <c r="P1967" i="6"/>
  <c r="S1967" i="6" s="1"/>
  <c r="O1967" i="6"/>
  <c r="T1967" i="6" s="1"/>
  <c r="Q1948" i="6"/>
  <c r="P1948" i="6"/>
  <c r="S1948" i="6" s="1"/>
  <c r="O1948" i="6"/>
  <c r="T1948" i="6" s="1"/>
  <c r="R1948" i="6"/>
  <c r="O1935" i="6"/>
  <c r="T1935" i="6" s="1"/>
  <c r="P1935" i="6"/>
  <c r="S1935" i="6" s="1"/>
  <c r="R1935" i="6"/>
  <c r="Q1935" i="6"/>
  <c r="Q1857" i="6"/>
  <c r="P1857" i="6"/>
  <c r="S1857" i="6" s="1"/>
  <c r="O1857" i="6"/>
  <c r="T1857" i="6" s="1"/>
  <c r="R1857" i="6"/>
  <c r="R1748" i="6"/>
  <c r="Q1748" i="6"/>
  <c r="O1748" i="6"/>
  <c r="T1748" i="6" s="1"/>
  <c r="P1748" i="6"/>
  <c r="S1748" i="6" s="1"/>
  <c r="P1803" i="6"/>
  <c r="S1803" i="6" s="1"/>
  <c r="R1803" i="6"/>
  <c r="Q1803" i="6"/>
  <c r="O1803" i="6"/>
  <c r="T1803" i="6" s="1"/>
  <c r="R1694" i="6"/>
  <c r="O1694" i="6"/>
  <c r="T1694" i="6" s="1"/>
  <c r="Q1694" i="6"/>
  <c r="P1694" i="6"/>
  <c r="S1694" i="6" s="1"/>
  <c r="O1450" i="6"/>
  <c r="T1450" i="6" s="1"/>
  <c r="P1450" i="6"/>
  <c r="S1450" i="6" s="1"/>
  <c r="R1450" i="6"/>
  <c r="Q1450" i="6"/>
  <c r="R1951" i="6"/>
  <c r="O1951" i="6"/>
  <c r="T1951" i="6" s="1"/>
  <c r="Q1951" i="6"/>
  <c r="P1951" i="6"/>
  <c r="S1951" i="6" s="1"/>
  <c r="R1961" i="6"/>
  <c r="Q1961" i="6"/>
  <c r="P1961" i="6"/>
  <c r="S1961" i="6" s="1"/>
  <c r="O1961" i="6"/>
  <c r="T1961" i="6" s="1"/>
  <c r="R2001" i="6"/>
  <c r="P2001" i="6"/>
  <c r="S2001" i="6" s="1"/>
  <c r="O2001" i="6"/>
  <c r="T2001" i="6" s="1"/>
  <c r="Q2001" i="6"/>
  <c r="R1947" i="6"/>
  <c r="Q1947" i="6"/>
  <c r="O1947" i="6"/>
  <c r="T1947" i="6" s="1"/>
  <c r="P1947" i="6"/>
  <c r="S1947" i="6" s="1"/>
  <c r="P1912" i="6"/>
  <c r="S1912" i="6" s="1"/>
  <c r="Q1912" i="6"/>
  <c r="R1912" i="6"/>
  <c r="O1912" i="6"/>
  <c r="T1912" i="6" s="1"/>
  <c r="P1926" i="6"/>
  <c r="S1926" i="6" s="1"/>
  <c r="Q1926" i="6"/>
  <c r="R1926" i="6"/>
  <c r="O1926" i="6"/>
  <c r="T1926" i="6" s="1"/>
  <c r="R1913" i="6"/>
  <c r="Q1913" i="6"/>
  <c r="O1913" i="6"/>
  <c r="T1913" i="6" s="1"/>
  <c r="P1913" i="6"/>
  <c r="S1913" i="6" s="1"/>
  <c r="O1892" i="6"/>
  <c r="T1892" i="6" s="1"/>
  <c r="P1892" i="6"/>
  <c r="S1892" i="6" s="1"/>
  <c r="R1892" i="6"/>
  <c r="Q1892" i="6"/>
  <c r="O1927" i="6"/>
  <c r="T1927" i="6" s="1"/>
  <c r="R1927" i="6"/>
  <c r="Q1927" i="6"/>
  <c r="P1927" i="6"/>
  <c r="S1927" i="6" s="1"/>
  <c r="P1906" i="6"/>
  <c r="S1906" i="6" s="1"/>
  <c r="R1906" i="6"/>
  <c r="O1906" i="6"/>
  <c r="T1906" i="6" s="1"/>
  <c r="Q1906" i="6"/>
  <c r="O1854" i="6"/>
  <c r="T1854" i="6" s="1"/>
  <c r="Q1854" i="6"/>
  <c r="P1854" i="6"/>
  <c r="S1854" i="6" s="1"/>
  <c r="R1854" i="6"/>
  <c r="O1876" i="6"/>
  <c r="T1876" i="6" s="1"/>
  <c r="P1876" i="6"/>
  <c r="S1876" i="6" s="1"/>
  <c r="R1876" i="6"/>
  <c r="Q1876" i="6"/>
  <c r="P1867" i="6"/>
  <c r="S1867" i="6" s="1"/>
  <c r="Q1867" i="6"/>
  <c r="O1867" i="6"/>
  <c r="T1867" i="6" s="1"/>
  <c r="R1867" i="6"/>
  <c r="P1813" i="6"/>
  <c r="S1813" i="6" s="1"/>
  <c r="O1813" i="6"/>
  <c r="T1813" i="6" s="1"/>
  <c r="R1813" i="6"/>
  <c r="Q1813" i="6"/>
  <c r="R1754" i="6"/>
  <c r="Q1754" i="6"/>
  <c r="O1754" i="6"/>
  <c r="T1754" i="6" s="1"/>
  <c r="P1754" i="6"/>
  <c r="S1754" i="6" s="1"/>
  <c r="R1742" i="6"/>
  <c r="Q1742" i="6"/>
  <c r="O1742" i="6"/>
  <c r="T1742" i="6" s="1"/>
  <c r="P1742" i="6"/>
  <c r="S1742" i="6" s="1"/>
  <c r="P1795" i="6"/>
  <c r="S1795" i="6" s="1"/>
  <c r="R1795" i="6"/>
  <c r="Q1795" i="6"/>
  <c r="O1795" i="6"/>
  <c r="T1795" i="6" s="1"/>
  <c r="P1765" i="6"/>
  <c r="S1765" i="6" s="1"/>
  <c r="O1765" i="6"/>
  <c r="T1765" i="6" s="1"/>
  <c r="R1765" i="6"/>
  <c r="Q1765" i="6"/>
  <c r="P1755" i="6"/>
  <c r="S1755" i="6" s="1"/>
  <c r="R1755" i="6"/>
  <c r="Q1755" i="6"/>
  <c r="O1755" i="6"/>
  <c r="T1755" i="6" s="1"/>
  <c r="R1709" i="6"/>
  <c r="Q1709" i="6"/>
  <c r="P1709" i="6"/>
  <c r="S1709" i="6" s="1"/>
  <c r="O1709" i="6"/>
  <c r="T1709" i="6" s="1"/>
  <c r="R1668" i="6"/>
  <c r="O1668" i="6"/>
  <c r="T1668" i="6" s="1"/>
  <c r="Q1668" i="6"/>
  <c r="P1668" i="6"/>
  <c r="S1668" i="6" s="1"/>
  <c r="R1718" i="6"/>
  <c r="O1718" i="6"/>
  <c r="T1718" i="6" s="1"/>
  <c r="Q1718" i="6"/>
  <c r="P1718" i="6"/>
  <c r="S1718" i="6" s="1"/>
  <c r="R1702" i="6"/>
  <c r="O1702" i="6"/>
  <c r="T1702" i="6" s="1"/>
  <c r="Q1702" i="6"/>
  <c r="P1702" i="6"/>
  <c r="S1702" i="6" s="1"/>
  <c r="R1729" i="6"/>
  <c r="Q1729" i="6"/>
  <c r="P1729" i="6"/>
  <c r="S1729" i="6" s="1"/>
  <c r="O1729" i="6"/>
  <c r="T1729" i="6" s="1"/>
  <c r="Q1691" i="6"/>
  <c r="P1691" i="6"/>
  <c r="S1691" i="6" s="1"/>
  <c r="O1691" i="6"/>
  <c r="T1691" i="6" s="1"/>
  <c r="R1691" i="6"/>
  <c r="P1623" i="6"/>
  <c r="S1623" i="6" s="1"/>
  <c r="R1623" i="6"/>
  <c r="Q1623" i="6"/>
  <c r="O1623" i="6"/>
  <c r="T1623" i="6" s="1"/>
  <c r="O1466" i="6"/>
  <c r="T1466" i="6" s="1"/>
  <c r="Q1466" i="6"/>
  <c r="P1466" i="6"/>
  <c r="S1466" i="6" s="1"/>
  <c r="R1466" i="6"/>
  <c r="O1524" i="6"/>
  <c r="T1524" i="6" s="1"/>
  <c r="R1524" i="6"/>
  <c r="Q1524" i="6"/>
  <c r="P1524" i="6"/>
  <c r="S1524" i="6" s="1"/>
  <c r="R1403" i="6"/>
  <c r="Q1403" i="6"/>
  <c r="P1403" i="6"/>
  <c r="S1403" i="6" s="1"/>
  <c r="O1403" i="6"/>
  <c r="T1403" i="6" s="1"/>
  <c r="R1395" i="6"/>
  <c r="Q1395" i="6"/>
  <c r="P1395" i="6"/>
  <c r="S1395" i="6" s="1"/>
  <c r="O1395" i="6"/>
  <c r="T1395" i="6" s="1"/>
  <c r="R1387" i="6"/>
  <c r="Q1387" i="6"/>
  <c r="P1387" i="6"/>
  <c r="S1387" i="6" s="1"/>
  <c r="O1387" i="6"/>
  <c r="T1387" i="6" s="1"/>
  <c r="R1379" i="6"/>
  <c r="Q1379" i="6"/>
  <c r="P1379" i="6"/>
  <c r="S1379" i="6" s="1"/>
  <c r="O1379" i="6"/>
  <c r="T1379" i="6" s="1"/>
  <c r="O1443" i="6"/>
  <c r="T1443" i="6" s="1"/>
  <c r="R1443" i="6"/>
  <c r="Q1443" i="6"/>
  <c r="P1443" i="6"/>
  <c r="S1443" i="6" s="1"/>
  <c r="R1361" i="6"/>
  <c r="Q1361" i="6"/>
  <c r="P1361" i="6"/>
  <c r="S1361" i="6" s="1"/>
  <c r="O1361" i="6"/>
  <c r="T1361" i="6" s="1"/>
  <c r="R1343" i="6"/>
  <c r="Q1343" i="6"/>
  <c r="P1343" i="6"/>
  <c r="S1343" i="6" s="1"/>
  <c r="O1343" i="6"/>
  <c r="T1343" i="6" s="1"/>
  <c r="R1357" i="6"/>
  <c r="Q1357" i="6"/>
  <c r="P1357" i="6"/>
  <c r="S1357" i="6" s="1"/>
  <c r="O1357" i="6"/>
  <c r="T1357" i="6" s="1"/>
  <c r="R1355" i="6"/>
  <c r="Q1355" i="6"/>
  <c r="P1355" i="6"/>
  <c r="S1355" i="6" s="1"/>
  <c r="O1355" i="6"/>
  <c r="T1355" i="6" s="1"/>
  <c r="R1252" i="6"/>
  <c r="P1252" i="6"/>
  <c r="S1252" i="6" s="1"/>
  <c r="Q1252" i="6"/>
  <c r="O1252" i="6"/>
  <c r="T1252" i="6" s="1"/>
  <c r="R1331" i="6"/>
  <c r="Q1331" i="6"/>
  <c r="P1331" i="6"/>
  <c r="S1331" i="6" s="1"/>
  <c r="O1331" i="6"/>
  <c r="T1331" i="6" s="1"/>
  <c r="R1238" i="6"/>
  <c r="P1238" i="6"/>
  <c r="S1238" i="6" s="1"/>
  <c r="O1238" i="6"/>
  <c r="T1238" i="6" s="1"/>
  <c r="Q1238" i="6"/>
  <c r="R1213" i="6"/>
  <c r="Q1213" i="6"/>
  <c r="O1213" i="6"/>
  <c r="T1213" i="6" s="1"/>
  <c r="P1213" i="6"/>
  <c r="S1213" i="6" s="1"/>
  <c r="R1363" i="6"/>
  <c r="Q1363" i="6"/>
  <c r="P1363" i="6"/>
  <c r="S1363" i="6" s="1"/>
  <c r="O1363" i="6"/>
  <c r="T1363" i="6" s="1"/>
  <c r="P1170" i="6"/>
  <c r="S1170" i="6" s="1"/>
  <c r="R1170" i="6"/>
  <c r="Q1170" i="6"/>
  <c r="O1170" i="6"/>
  <c r="T1170" i="6" s="1"/>
  <c r="R1211" i="6"/>
  <c r="Q1211" i="6"/>
  <c r="P1211" i="6"/>
  <c r="S1211" i="6" s="1"/>
  <c r="O1211" i="6"/>
  <c r="T1211" i="6" s="1"/>
  <c r="R1093" i="6"/>
  <c r="O1093" i="6"/>
  <c r="T1093" i="6" s="1"/>
  <c r="Q1093" i="6"/>
  <c r="P1093" i="6"/>
  <c r="S1093" i="6" s="1"/>
  <c r="R1029" i="6"/>
  <c r="O1029" i="6"/>
  <c r="T1029" i="6" s="1"/>
  <c r="Q1029" i="6"/>
  <c r="P1029" i="6"/>
  <c r="S1029" i="6" s="1"/>
  <c r="R1113" i="6"/>
  <c r="P1113" i="6"/>
  <c r="S1113" i="6" s="1"/>
  <c r="O1113" i="6"/>
  <c r="T1113" i="6" s="1"/>
  <c r="Q1113" i="6"/>
  <c r="R1100" i="6"/>
  <c r="Q1100" i="6"/>
  <c r="P1100" i="6"/>
  <c r="S1100" i="6" s="1"/>
  <c r="O1100" i="6"/>
  <c r="T1100" i="6" s="1"/>
  <c r="Q1064" i="6"/>
  <c r="P1064" i="6"/>
  <c r="S1064" i="6" s="1"/>
  <c r="R1064" i="6"/>
  <c r="O1064" i="6"/>
  <c r="T1064" i="6" s="1"/>
  <c r="R1023" i="6"/>
  <c r="O1023" i="6"/>
  <c r="T1023" i="6" s="1"/>
  <c r="Q1023" i="6"/>
  <c r="P1023" i="6"/>
  <c r="S1023" i="6" s="1"/>
  <c r="R1141" i="6"/>
  <c r="Q1141" i="6"/>
  <c r="P1141" i="6"/>
  <c r="S1141" i="6" s="1"/>
  <c r="O1141" i="6"/>
  <c r="T1141" i="6" s="1"/>
  <c r="P1132" i="6"/>
  <c r="S1132" i="6" s="1"/>
  <c r="R1132" i="6"/>
  <c r="O1132" i="6"/>
  <c r="T1132" i="6" s="1"/>
  <c r="Q1132" i="6"/>
  <c r="R1065" i="6"/>
  <c r="O1065" i="6"/>
  <c r="T1065" i="6" s="1"/>
  <c r="Q1065" i="6"/>
  <c r="P1065" i="6"/>
  <c r="S1065" i="6" s="1"/>
  <c r="R1033" i="6"/>
  <c r="O1033" i="6"/>
  <c r="T1033" i="6" s="1"/>
  <c r="Q1033" i="6"/>
  <c r="P1033" i="6"/>
  <c r="S1033" i="6" s="1"/>
  <c r="R1050" i="6"/>
  <c r="P1050" i="6"/>
  <c r="S1050" i="6" s="1"/>
  <c r="O1050" i="6"/>
  <c r="T1050" i="6" s="1"/>
  <c r="Q1050" i="6"/>
  <c r="Q1032" i="6"/>
  <c r="P1032" i="6"/>
  <c r="S1032" i="6" s="1"/>
  <c r="R1032" i="6"/>
  <c r="O1032" i="6"/>
  <c r="T1032" i="6" s="1"/>
  <c r="O995" i="6"/>
  <c r="T995" i="6" s="1"/>
  <c r="P995" i="6"/>
  <c r="S995" i="6" s="1"/>
  <c r="R995" i="6"/>
  <c r="Q995" i="6"/>
  <c r="O1012" i="6"/>
  <c r="T1012" i="6" s="1"/>
  <c r="Q1012" i="6"/>
  <c r="P1012" i="6"/>
  <c r="S1012" i="6" s="1"/>
  <c r="R1012" i="6"/>
  <c r="O1086" i="6"/>
  <c r="T1086" i="6" s="1"/>
  <c r="R1086" i="6"/>
  <c r="Q1086" i="6"/>
  <c r="P1086" i="6"/>
  <c r="S1086" i="6" s="1"/>
  <c r="R1074" i="6"/>
  <c r="P1074" i="6"/>
  <c r="S1074" i="6" s="1"/>
  <c r="O1074" i="6"/>
  <c r="T1074" i="6" s="1"/>
  <c r="Q1074" i="6"/>
  <c r="O961" i="6"/>
  <c r="T961" i="6" s="1"/>
  <c r="Q961" i="6"/>
  <c r="P961" i="6"/>
  <c r="S961" i="6" s="1"/>
  <c r="R961" i="6"/>
  <c r="R858" i="6"/>
  <c r="Q858" i="6"/>
  <c r="P858" i="6"/>
  <c r="S858" i="6" s="1"/>
  <c r="O858" i="6"/>
  <c r="T858" i="6" s="1"/>
  <c r="R850" i="6"/>
  <c r="Q850" i="6"/>
  <c r="P850" i="6"/>
  <c r="S850" i="6" s="1"/>
  <c r="O850" i="6"/>
  <c r="T850" i="6" s="1"/>
  <c r="R842" i="6"/>
  <c r="Q842" i="6"/>
  <c r="P842" i="6"/>
  <c r="S842" i="6" s="1"/>
  <c r="O842" i="6"/>
  <c r="T842" i="6" s="1"/>
  <c r="R834" i="6"/>
  <c r="Q834" i="6"/>
  <c r="P834" i="6"/>
  <c r="S834" i="6" s="1"/>
  <c r="O834" i="6"/>
  <c r="T834" i="6" s="1"/>
  <c r="R826" i="6"/>
  <c r="Q826" i="6"/>
  <c r="P826" i="6"/>
  <c r="S826" i="6" s="1"/>
  <c r="O826" i="6"/>
  <c r="T826" i="6" s="1"/>
  <c r="R818" i="6"/>
  <c r="Q818" i="6"/>
  <c r="P818" i="6"/>
  <c r="S818" i="6" s="1"/>
  <c r="O818" i="6"/>
  <c r="T818" i="6" s="1"/>
  <c r="R810" i="6"/>
  <c r="Q810" i="6"/>
  <c r="P810" i="6"/>
  <c r="S810" i="6" s="1"/>
  <c r="O810" i="6"/>
  <c r="T810" i="6" s="1"/>
  <c r="R802" i="6"/>
  <c r="Q802" i="6"/>
  <c r="P802" i="6"/>
  <c r="S802" i="6" s="1"/>
  <c r="O802" i="6"/>
  <c r="T802" i="6" s="1"/>
  <c r="R794" i="6"/>
  <c r="Q794" i="6"/>
  <c r="P794" i="6"/>
  <c r="S794" i="6" s="1"/>
  <c r="O794" i="6"/>
  <c r="T794" i="6" s="1"/>
  <c r="R786" i="6"/>
  <c r="Q786" i="6"/>
  <c r="P786" i="6"/>
  <c r="S786" i="6" s="1"/>
  <c r="O786" i="6"/>
  <c r="T786" i="6" s="1"/>
  <c r="P737" i="6"/>
  <c r="S737" i="6" s="1"/>
  <c r="R737" i="6"/>
  <c r="Q737" i="6"/>
  <c r="O737" i="6"/>
  <c r="T737" i="6" s="1"/>
  <c r="P705" i="6"/>
  <c r="S705" i="6" s="1"/>
  <c r="R705" i="6"/>
  <c r="Q705" i="6"/>
  <c r="O705" i="6"/>
  <c r="T705" i="6" s="1"/>
  <c r="P690" i="6"/>
  <c r="S690" i="6" s="1"/>
  <c r="Q690" i="6"/>
  <c r="O690" i="6"/>
  <c r="T690" i="6" s="1"/>
  <c r="R690" i="6"/>
  <c r="O999" i="6"/>
  <c r="T999" i="6" s="1"/>
  <c r="R999" i="6"/>
  <c r="Q999" i="6"/>
  <c r="P999" i="6"/>
  <c r="S999" i="6" s="1"/>
  <c r="P783" i="6"/>
  <c r="S783" i="6" s="1"/>
  <c r="R783" i="6"/>
  <c r="Q783" i="6"/>
  <c r="O783" i="6"/>
  <c r="T783" i="6" s="1"/>
  <c r="P779" i="6"/>
  <c r="S779" i="6" s="1"/>
  <c r="R779" i="6"/>
  <c r="Q779" i="6"/>
  <c r="O779" i="6"/>
  <c r="T779" i="6" s="1"/>
  <c r="P775" i="6"/>
  <c r="S775" i="6" s="1"/>
  <c r="R775" i="6"/>
  <c r="Q775" i="6"/>
  <c r="O775" i="6"/>
  <c r="T775" i="6" s="1"/>
  <c r="P771" i="6"/>
  <c r="S771" i="6" s="1"/>
  <c r="R771" i="6"/>
  <c r="Q771" i="6"/>
  <c r="O771" i="6"/>
  <c r="T771" i="6" s="1"/>
  <c r="P767" i="6"/>
  <c r="S767" i="6" s="1"/>
  <c r="R767" i="6"/>
  <c r="Q767" i="6"/>
  <c r="O767" i="6"/>
  <c r="T767" i="6" s="1"/>
  <c r="P763" i="6"/>
  <c r="S763" i="6" s="1"/>
  <c r="R763" i="6"/>
  <c r="Q763" i="6"/>
  <c r="O763" i="6"/>
  <c r="T763" i="6" s="1"/>
  <c r="P759" i="6"/>
  <c r="S759" i="6" s="1"/>
  <c r="R759" i="6"/>
  <c r="Q759" i="6"/>
  <c r="O759" i="6"/>
  <c r="T759" i="6" s="1"/>
  <c r="P755" i="6"/>
  <c r="S755" i="6" s="1"/>
  <c r="R755" i="6"/>
  <c r="Q755" i="6"/>
  <c r="O755" i="6"/>
  <c r="T755" i="6" s="1"/>
  <c r="P751" i="6"/>
  <c r="S751" i="6" s="1"/>
  <c r="R751" i="6"/>
  <c r="Q751" i="6"/>
  <c r="O751" i="6"/>
  <c r="T751" i="6" s="1"/>
  <c r="P747" i="6"/>
  <c r="S747" i="6" s="1"/>
  <c r="R747" i="6"/>
  <c r="Q747" i="6"/>
  <c r="O747" i="6"/>
  <c r="T747" i="6" s="1"/>
  <c r="P738" i="6"/>
  <c r="S738" i="6" s="1"/>
  <c r="R738" i="6"/>
  <c r="Q738" i="6"/>
  <c r="O738" i="6"/>
  <c r="T738" i="6" s="1"/>
  <c r="R669" i="6"/>
  <c r="P669" i="6"/>
  <c r="S669" i="6" s="1"/>
  <c r="O669" i="6"/>
  <c r="T669" i="6" s="1"/>
  <c r="Q669" i="6"/>
  <c r="P859" i="6"/>
  <c r="S859" i="6" s="1"/>
  <c r="R859" i="6"/>
  <c r="Q859" i="6"/>
  <c r="O859" i="6"/>
  <c r="T859" i="6" s="1"/>
  <c r="P843" i="6"/>
  <c r="S843" i="6" s="1"/>
  <c r="R843" i="6"/>
  <c r="Q843" i="6"/>
  <c r="O843" i="6"/>
  <c r="T843" i="6" s="1"/>
  <c r="P827" i="6"/>
  <c r="S827" i="6" s="1"/>
  <c r="R827" i="6"/>
  <c r="Q827" i="6"/>
  <c r="O827" i="6"/>
  <c r="T827" i="6" s="1"/>
  <c r="P811" i="6"/>
  <c r="S811" i="6" s="1"/>
  <c r="R811" i="6"/>
  <c r="Q811" i="6"/>
  <c r="O811" i="6"/>
  <c r="T811" i="6" s="1"/>
  <c r="P795" i="6"/>
  <c r="S795" i="6" s="1"/>
  <c r="R795" i="6"/>
  <c r="Q795" i="6"/>
  <c r="O795" i="6"/>
  <c r="T795" i="6" s="1"/>
  <c r="R687" i="6"/>
  <c r="Q687" i="6"/>
  <c r="O687" i="6"/>
  <c r="T687" i="6" s="1"/>
  <c r="P687" i="6"/>
  <c r="S687" i="6" s="1"/>
  <c r="P773" i="6"/>
  <c r="S773" i="6" s="1"/>
  <c r="R773" i="6"/>
  <c r="Q773" i="6"/>
  <c r="O773" i="6"/>
  <c r="T773" i="6" s="1"/>
  <c r="P757" i="6"/>
  <c r="S757" i="6" s="1"/>
  <c r="R757" i="6"/>
  <c r="Q757" i="6"/>
  <c r="O757" i="6"/>
  <c r="T757" i="6" s="1"/>
  <c r="R665" i="6"/>
  <c r="Q665" i="6"/>
  <c r="O665" i="6"/>
  <c r="T665" i="6" s="1"/>
  <c r="P665" i="6"/>
  <c r="S665" i="6" s="1"/>
  <c r="P640" i="6"/>
  <c r="S640" i="6" s="1"/>
  <c r="Q640" i="6"/>
  <c r="R640" i="6"/>
  <c r="N640" i="6" s="1"/>
  <c r="O640" i="6"/>
  <c r="T640" i="6" s="1"/>
  <c r="Q571" i="6"/>
  <c r="P571" i="6"/>
  <c r="S571" i="6" s="1"/>
  <c r="R571" i="6"/>
  <c r="N571" i="6" s="1"/>
  <c r="O571" i="6"/>
  <c r="T571" i="6" s="1"/>
  <c r="R673" i="6"/>
  <c r="Q673" i="6"/>
  <c r="O673" i="6"/>
  <c r="T673" i="6" s="1"/>
  <c r="P673" i="6"/>
  <c r="S673" i="6" s="1"/>
  <c r="R535" i="6"/>
  <c r="N535" i="6" s="1"/>
  <c r="P535" i="6"/>
  <c r="S535" i="6" s="1"/>
  <c r="O535" i="6"/>
  <c r="T535" i="6" s="1"/>
  <c r="Q535" i="6"/>
  <c r="R561" i="6"/>
  <c r="N561" i="6" s="1"/>
  <c r="Q561" i="6"/>
  <c r="P561" i="6"/>
  <c r="S561" i="6" s="1"/>
  <c r="O561" i="6"/>
  <c r="T561" i="6" s="1"/>
  <c r="R503" i="6"/>
  <c r="N503" i="6" s="1"/>
  <c r="P503" i="6"/>
  <c r="S503" i="6" s="1"/>
  <c r="O503" i="6"/>
  <c r="T503" i="6" s="1"/>
  <c r="Q503" i="6"/>
  <c r="R585" i="6"/>
  <c r="N585" i="6" s="1"/>
  <c r="Q585" i="6"/>
  <c r="P585" i="6"/>
  <c r="S585" i="6" s="1"/>
  <c r="O585" i="6"/>
  <c r="T585" i="6" s="1"/>
  <c r="Q543" i="6"/>
  <c r="P543" i="6"/>
  <c r="S543" i="6" s="1"/>
  <c r="R543" i="6"/>
  <c r="N543" i="6" s="1"/>
  <c r="O543" i="6"/>
  <c r="T543" i="6" s="1"/>
  <c r="R577" i="6"/>
  <c r="N577" i="6" s="1"/>
  <c r="Q577" i="6"/>
  <c r="P577" i="6"/>
  <c r="S577" i="6" s="1"/>
  <c r="O577" i="6"/>
  <c r="T577" i="6" s="1"/>
  <c r="R529" i="6"/>
  <c r="N529" i="6" s="1"/>
  <c r="P529" i="6"/>
  <c r="S529" i="6" s="1"/>
  <c r="O529" i="6"/>
  <c r="T529" i="6" s="1"/>
  <c r="Q529" i="6"/>
  <c r="R302" i="6"/>
  <c r="N302" i="6" s="1"/>
  <c r="Q302" i="6"/>
  <c r="P302" i="6"/>
  <c r="S302" i="6" s="1"/>
  <c r="O302" i="6"/>
  <c r="T302" i="6" s="1"/>
  <c r="R286" i="6"/>
  <c r="N286" i="6" s="1"/>
  <c r="Q286" i="6"/>
  <c r="P286" i="6"/>
  <c r="S286" i="6" s="1"/>
  <c r="O286" i="6"/>
  <c r="T286" i="6" s="1"/>
  <c r="R270" i="6"/>
  <c r="N270" i="6" s="1"/>
  <c r="Q270" i="6"/>
  <c r="P270" i="6"/>
  <c r="S270" i="6" s="1"/>
  <c r="O270" i="6"/>
  <c r="T270" i="6" s="1"/>
  <c r="R254" i="6"/>
  <c r="N254" i="6" s="1"/>
  <c r="Q254" i="6"/>
  <c r="P254" i="6"/>
  <c r="S254" i="6" s="1"/>
  <c r="O254" i="6"/>
  <c r="T254" i="6" s="1"/>
  <c r="R238" i="6"/>
  <c r="N238" i="6" s="1"/>
  <c r="Q238" i="6"/>
  <c r="P238" i="6"/>
  <c r="S238" i="6" s="1"/>
  <c r="O238" i="6"/>
  <c r="T238" i="6" s="1"/>
  <c r="R312" i="6"/>
  <c r="N312" i="6" s="1"/>
  <c r="P312" i="6"/>
  <c r="S312" i="6" s="1"/>
  <c r="O312" i="6"/>
  <c r="T312" i="6" s="1"/>
  <c r="Q312" i="6"/>
  <c r="R280" i="6"/>
  <c r="N280" i="6" s="1"/>
  <c r="P280" i="6"/>
  <c r="S280" i="6" s="1"/>
  <c r="O280" i="6"/>
  <c r="T280" i="6" s="1"/>
  <c r="Q280" i="6"/>
  <c r="R248" i="6"/>
  <c r="N248" i="6" s="1"/>
  <c r="P248" i="6"/>
  <c r="S248" i="6" s="1"/>
  <c r="O248" i="6"/>
  <c r="T248" i="6" s="1"/>
  <c r="Q248" i="6"/>
  <c r="R298" i="6"/>
  <c r="N298" i="6" s="1"/>
  <c r="Q298" i="6"/>
  <c r="P298" i="6"/>
  <c r="S298" i="6" s="1"/>
  <c r="O298" i="6"/>
  <c r="T298" i="6" s="1"/>
  <c r="R266" i="6"/>
  <c r="N266" i="6" s="1"/>
  <c r="Q266" i="6"/>
  <c r="P266" i="6"/>
  <c r="S266" i="6" s="1"/>
  <c r="O266" i="6"/>
  <c r="T266" i="6" s="1"/>
  <c r="O361" i="6"/>
  <c r="T361" i="6" s="1"/>
  <c r="R361" i="6"/>
  <c r="N361" i="6" s="1"/>
  <c r="Q361" i="6"/>
  <c r="P361" i="6"/>
  <c r="S361" i="6" s="1"/>
  <c r="R133" i="6"/>
  <c r="N133" i="6" s="1"/>
  <c r="Q133" i="6"/>
  <c r="P133" i="6"/>
  <c r="S133" i="6" s="1"/>
  <c r="O133" i="6"/>
  <c r="T133" i="6" s="1"/>
  <c r="R91" i="6"/>
  <c r="N91" i="6" s="1"/>
  <c r="Q91" i="6"/>
  <c r="P91" i="6"/>
  <c r="S91" i="6" s="1"/>
  <c r="O91" i="6"/>
  <c r="T91" i="6" s="1"/>
  <c r="R75" i="6"/>
  <c r="N75" i="6" s="1"/>
  <c r="Q75" i="6"/>
  <c r="P75" i="6"/>
  <c r="S75" i="6" s="1"/>
  <c r="O75" i="6"/>
  <c r="T75" i="6" s="1"/>
  <c r="O211" i="6"/>
  <c r="T211" i="6" s="1"/>
  <c r="R211" i="6"/>
  <c r="N211" i="6" s="1"/>
  <c r="Q211" i="6"/>
  <c r="P211" i="6"/>
  <c r="S211" i="6" s="1"/>
  <c r="R167" i="6"/>
  <c r="N167" i="6" s="1"/>
  <c r="Q167" i="6"/>
  <c r="P167" i="6"/>
  <c r="S167" i="6" s="1"/>
  <c r="O167" i="6"/>
  <c r="T167" i="6" s="1"/>
  <c r="R79" i="6"/>
  <c r="N79" i="6" s="1"/>
  <c r="Q79" i="6"/>
  <c r="P79" i="6"/>
  <c r="S79" i="6" s="1"/>
  <c r="O79" i="6"/>
  <c r="T79" i="6" s="1"/>
  <c r="F207" i="4"/>
  <c r="D207" i="4"/>
  <c r="F143" i="4"/>
  <c r="D143" i="4"/>
  <c r="F79" i="4"/>
  <c r="D79" i="4"/>
  <c r="N493" i="6"/>
  <c r="R123" i="6"/>
  <c r="N123" i="6" s="1"/>
  <c r="P123" i="6"/>
  <c r="S123" i="6" s="1"/>
  <c r="O123" i="6"/>
  <c r="T123" i="6" s="1"/>
  <c r="Q123" i="6"/>
  <c r="O291" i="6"/>
  <c r="T291" i="6" s="1"/>
  <c r="R291" i="6"/>
  <c r="N291" i="6" s="1"/>
  <c r="Q291" i="6"/>
  <c r="P291" i="6"/>
  <c r="S291" i="6" s="1"/>
  <c r="O217" i="6"/>
  <c r="T217" i="6" s="1"/>
  <c r="R217" i="6"/>
  <c r="N217" i="6" s="1"/>
  <c r="Q217" i="6"/>
  <c r="P217" i="6"/>
  <c r="S217" i="6" s="1"/>
  <c r="R173" i="6"/>
  <c r="N173" i="6" s="1"/>
  <c r="Q173" i="6"/>
  <c r="P173" i="6"/>
  <c r="S173" i="6" s="1"/>
  <c r="O173" i="6"/>
  <c r="T173" i="6" s="1"/>
  <c r="R93" i="6"/>
  <c r="N93" i="6" s="1"/>
  <c r="Q93" i="6"/>
  <c r="P93" i="6"/>
  <c r="S93" i="6" s="1"/>
  <c r="O93" i="6"/>
  <c r="T93" i="6" s="1"/>
  <c r="R193" i="6"/>
  <c r="N193" i="6" s="1"/>
  <c r="Q193" i="6"/>
  <c r="P193" i="6"/>
  <c r="S193" i="6" s="1"/>
  <c r="O193" i="6"/>
  <c r="T193" i="6" s="1"/>
  <c r="R145" i="6"/>
  <c r="N145" i="6" s="1"/>
  <c r="Q145" i="6"/>
  <c r="P145" i="6"/>
  <c r="S145" i="6" s="1"/>
  <c r="O145" i="6"/>
  <c r="T145" i="6" s="1"/>
  <c r="F203" i="4"/>
  <c r="D203" i="4"/>
  <c r="F139" i="4"/>
  <c r="D139" i="4"/>
  <c r="F75" i="4"/>
  <c r="D75" i="4"/>
  <c r="F196" i="4"/>
  <c r="D196" i="4"/>
  <c r="F68" i="4"/>
  <c r="D68" i="4"/>
  <c r="D194" i="4"/>
  <c r="D176" i="4"/>
  <c r="F176" i="4"/>
  <c r="D121" i="4"/>
  <c r="F121" i="4"/>
  <c r="D66" i="4"/>
  <c r="D48" i="4"/>
  <c r="F48" i="4"/>
  <c r="R147" i="6"/>
  <c r="N147" i="6" s="1"/>
  <c r="Q147" i="6"/>
  <c r="P147" i="6"/>
  <c r="S147" i="6" s="1"/>
  <c r="O147" i="6"/>
  <c r="T147" i="6" s="1"/>
  <c r="P68" i="6"/>
  <c r="S68" i="6" s="1"/>
  <c r="O68" i="6"/>
  <c r="T68" i="6" s="1"/>
  <c r="R68" i="6"/>
  <c r="N68" i="6" s="1"/>
  <c r="Q68" i="6"/>
  <c r="P36" i="6"/>
  <c r="S36" i="6" s="1"/>
  <c r="O36" i="6"/>
  <c r="T36" i="6" s="1"/>
  <c r="R36" i="6"/>
  <c r="N36" i="6" s="1"/>
  <c r="A53" i="8" s="1"/>
  <c r="Q36" i="6"/>
  <c r="F204" i="4"/>
  <c r="D204" i="4"/>
  <c r="F76" i="4"/>
  <c r="D76" i="4"/>
  <c r="P66" i="6"/>
  <c r="S66" i="6" s="1"/>
  <c r="O66" i="6"/>
  <c r="T66" i="6" s="1"/>
  <c r="R66" i="6"/>
  <c r="N66" i="6" s="1"/>
  <c r="Q66" i="6"/>
  <c r="P34" i="6"/>
  <c r="S34" i="6" s="1"/>
  <c r="O34" i="6"/>
  <c r="T34" i="6" s="1"/>
  <c r="R34" i="6"/>
  <c r="N34" i="6" s="1"/>
  <c r="A51" i="8" s="1"/>
  <c r="Q34" i="6"/>
  <c r="D209" i="4"/>
  <c r="F209" i="4"/>
  <c r="D154" i="4"/>
  <c r="D136" i="4"/>
  <c r="F136" i="4"/>
  <c r="D81" i="4"/>
  <c r="F81" i="4"/>
  <c r="D26" i="4"/>
  <c r="N458" i="6"/>
  <c r="R1706" i="6"/>
  <c r="O1706" i="6"/>
  <c r="T1706" i="6" s="1"/>
  <c r="Q1706" i="6"/>
  <c r="P1706" i="6"/>
  <c r="S1706" i="6" s="1"/>
  <c r="Q1675" i="6"/>
  <c r="P1675" i="6"/>
  <c r="S1675" i="6" s="1"/>
  <c r="O1675" i="6"/>
  <c r="T1675" i="6" s="1"/>
  <c r="R1675" i="6"/>
  <c r="O1145" i="6"/>
  <c r="T1145" i="6" s="1"/>
  <c r="R1145" i="6"/>
  <c r="P1145" i="6"/>
  <c r="S1145" i="6" s="1"/>
  <c r="Q1145" i="6"/>
  <c r="O972" i="6"/>
  <c r="T972" i="6" s="1"/>
  <c r="Q972" i="6"/>
  <c r="R972" i="6"/>
  <c r="P972" i="6"/>
  <c r="S972" i="6" s="1"/>
  <c r="R830" i="6"/>
  <c r="Q830" i="6"/>
  <c r="P830" i="6"/>
  <c r="S830" i="6" s="1"/>
  <c r="O830" i="6"/>
  <c r="T830" i="6" s="1"/>
  <c r="R814" i="6"/>
  <c r="Q814" i="6"/>
  <c r="P814" i="6"/>
  <c r="S814" i="6" s="1"/>
  <c r="O814" i="6"/>
  <c r="T814" i="6" s="1"/>
  <c r="R798" i="6"/>
  <c r="Q798" i="6"/>
  <c r="P798" i="6"/>
  <c r="S798" i="6" s="1"/>
  <c r="O798" i="6"/>
  <c r="T798" i="6" s="1"/>
  <c r="R637" i="6"/>
  <c r="N637" i="6" s="1"/>
  <c r="P637" i="6"/>
  <c r="S637" i="6" s="1"/>
  <c r="Q637" i="6"/>
  <c r="O637" i="6"/>
  <c r="T637" i="6" s="1"/>
  <c r="P749" i="6"/>
  <c r="S749" i="6" s="1"/>
  <c r="R749" i="6"/>
  <c r="Q749" i="6"/>
  <c r="O749" i="6"/>
  <c r="T749" i="6" s="1"/>
  <c r="R513" i="6"/>
  <c r="N513" i="6" s="1"/>
  <c r="P513" i="6"/>
  <c r="S513" i="6" s="1"/>
  <c r="O513" i="6"/>
  <c r="T513" i="6" s="1"/>
  <c r="Q513" i="6"/>
  <c r="R278" i="6"/>
  <c r="N278" i="6" s="1"/>
  <c r="Q278" i="6"/>
  <c r="P278" i="6"/>
  <c r="S278" i="6" s="1"/>
  <c r="O278" i="6"/>
  <c r="T278" i="6" s="1"/>
  <c r="R103" i="6"/>
  <c r="N103" i="6" s="1"/>
  <c r="Q103" i="6"/>
  <c r="P103" i="6"/>
  <c r="S103" i="6" s="1"/>
  <c r="O103" i="6"/>
  <c r="T103" i="6" s="1"/>
  <c r="F175" i="4"/>
  <c r="D175" i="4"/>
  <c r="F171" i="4"/>
  <c r="D171" i="4"/>
  <c r="D17" i="4"/>
  <c r="F17" i="4"/>
  <c r="R1979" i="6"/>
  <c r="Q1979" i="6"/>
  <c r="P1979" i="6"/>
  <c r="S1979" i="6" s="1"/>
  <c r="O1979" i="6"/>
  <c r="T1979" i="6" s="1"/>
  <c r="P1917" i="6"/>
  <c r="S1917" i="6" s="1"/>
  <c r="R1917" i="6"/>
  <c r="Q1917" i="6"/>
  <c r="O1917" i="6"/>
  <c r="T1917" i="6" s="1"/>
  <c r="Q1848" i="6"/>
  <c r="P1848" i="6"/>
  <c r="S1848" i="6" s="1"/>
  <c r="O1848" i="6"/>
  <c r="T1848" i="6" s="1"/>
  <c r="R1848" i="6"/>
  <c r="P1819" i="6"/>
  <c r="S1819" i="6" s="1"/>
  <c r="O1819" i="6"/>
  <c r="T1819" i="6" s="1"/>
  <c r="R1819" i="6"/>
  <c r="Q1819" i="6"/>
  <c r="R1731" i="6"/>
  <c r="Q1731" i="6"/>
  <c r="P1731" i="6"/>
  <c r="S1731" i="6" s="1"/>
  <c r="O1731" i="6"/>
  <c r="T1731" i="6" s="1"/>
  <c r="O1444" i="6"/>
  <c r="T1444" i="6" s="1"/>
  <c r="R1444" i="6"/>
  <c r="Q1444" i="6"/>
  <c r="P1444" i="6"/>
  <c r="S1444" i="6" s="1"/>
  <c r="P1985" i="6"/>
  <c r="S1985" i="6" s="1"/>
  <c r="R1985" i="6"/>
  <c r="Q1985" i="6"/>
  <c r="O1985" i="6"/>
  <c r="T1985" i="6" s="1"/>
  <c r="R1981" i="6"/>
  <c r="Q1981" i="6"/>
  <c r="P1981" i="6"/>
  <c r="S1981" i="6" s="1"/>
  <c r="O1981" i="6"/>
  <c r="T1981" i="6" s="1"/>
  <c r="R1977" i="6"/>
  <c r="Q1977" i="6"/>
  <c r="P1977" i="6"/>
  <c r="S1977" i="6" s="1"/>
  <c r="O1977" i="6"/>
  <c r="T1977" i="6" s="1"/>
  <c r="R1973" i="6"/>
  <c r="Q1973" i="6"/>
  <c r="O1973" i="6"/>
  <c r="T1973" i="6" s="1"/>
  <c r="P1973" i="6"/>
  <c r="S1973" i="6" s="1"/>
  <c r="R1969" i="6"/>
  <c r="Q1969" i="6"/>
  <c r="P1969" i="6"/>
  <c r="S1969" i="6" s="1"/>
  <c r="O1969" i="6"/>
  <c r="T1969" i="6" s="1"/>
  <c r="R1965" i="6"/>
  <c r="Q1965" i="6"/>
  <c r="P1965" i="6"/>
  <c r="S1965" i="6" s="1"/>
  <c r="O1965" i="6"/>
  <c r="T1965" i="6" s="1"/>
  <c r="P1989" i="6"/>
  <c r="S1989" i="6" s="1"/>
  <c r="R1989" i="6"/>
  <c r="Q1989" i="6"/>
  <c r="O1989" i="6"/>
  <c r="T1989" i="6" s="1"/>
  <c r="R1955" i="6"/>
  <c r="Q1955" i="6"/>
  <c r="P1955" i="6"/>
  <c r="S1955" i="6" s="1"/>
  <c r="O1955" i="6"/>
  <c r="T1955" i="6" s="1"/>
  <c r="O1939" i="6"/>
  <c r="T1939" i="6" s="1"/>
  <c r="R1939" i="6"/>
  <c r="Q1939" i="6"/>
  <c r="P1939" i="6"/>
  <c r="S1939" i="6" s="1"/>
  <c r="P1916" i="6"/>
  <c r="S1916" i="6" s="1"/>
  <c r="O1916" i="6"/>
  <c r="T1916" i="6" s="1"/>
  <c r="R1916" i="6"/>
  <c r="Q1916" i="6"/>
  <c r="Q1852" i="6"/>
  <c r="P1852" i="6"/>
  <c r="S1852" i="6" s="1"/>
  <c r="O1852" i="6"/>
  <c r="T1852" i="6" s="1"/>
  <c r="R1852" i="6"/>
  <c r="P1811" i="6"/>
  <c r="S1811" i="6" s="1"/>
  <c r="O1811" i="6"/>
  <c r="T1811" i="6" s="1"/>
  <c r="R1811" i="6"/>
  <c r="Q1811" i="6"/>
  <c r="P1773" i="6"/>
  <c r="S1773" i="6" s="1"/>
  <c r="Q1773" i="6"/>
  <c r="O1773" i="6"/>
  <c r="T1773" i="6" s="1"/>
  <c r="R1773" i="6"/>
  <c r="R1740" i="6"/>
  <c r="Q1740" i="6"/>
  <c r="O1740" i="6"/>
  <c r="T1740" i="6" s="1"/>
  <c r="P1740" i="6"/>
  <c r="S1740" i="6" s="1"/>
  <c r="P1771" i="6"/>
  <c r="S1771" i="6" s="1"/>
  <c r="R1771" i="6"/>
  <c r="Q1771" i="6"/>
  <c r="O1771" i="6"/>
  <c r="T1771" i="6" s="1"/>
  <c r="P1779" i="6"/>
  <c r="S1779" i="6" s="1"/>
  <c r="R1779" i="6"/>
  <c r="Q1779" i="6"/>
  <c r="O1779" i="6"/>
  <c r="T1779" i="6" s="1"/>
  <c r="R1724" i="6"/>
  <c r="O1724" i="6"/>
  <c r="T1724" i="6" s="1"/>
  <c r="Q1724" i="6"/>
  <c r="P1724" i="6"/>
  <c r="S1724" i="6" s="1"/>
  <c r="R1701" i="6"/>
  <c r="Q1701" i="6"/>
  <c r="P1701" i="6"/>
  <c r="S1701" i="6" s="1"/>
  <c r="O1701" i="6"/>
  <c r="T1701" i="6" s="1"/>
  <c r="R1692" i="6"/>
  <c r="O1692" i="6"/>
  <c r="T1692" i="6" s="1"/>
  <c r="Q1692" i="6"/>
  <c r="P1692" i="6"/>
  <c r="S1692" i="6" s="1"/>
  <c r="Q1764" i="6"/>
  <c r="P1764" i="6"/>
  <c r="S1764" i="6" s="1"/>
  <c r="R1764" i="6"/>
  <c r="O1764" i="6"/>
  <c r="T1764" i="6" s="1"/>
  <c r="R1741" i="6"/>
  <c r="Q1741" i="6"/>
  <c r="P1741" i="6"/>
  <c r="S1741" i="6" s="1"/>
  <c r="O1741" i="6"/>
  <c r="T1741" i="6" s="1"/>
  <c r="P1759" i="6"/>
  <c r="S1759" i="6" s="1"/>
  <c r="Q1759" i="6"/>
  <c r="O1759" i="6"/>
  <c r="T1759" i="6" s="1"/>
  <c r="R1759" i="6"/>
  <c r="R1680" i="6"/>
  <c r="O1680" i="6"/>
  <c r="T1680" i="6" s="1"/>
  <c r="Q1680" i="6"/>
  <c r="P1680" i="6"/>
  <c r="S1680" i="6" s="1"/>
  <c r="P1789" i="6"/>
  <c r="S1789" i="6" s="1"/>
  <c r="R1789" i="6"/>
  <c r="O1789" i="6"/>
  <c r="T1789" i="6" s="1"/>
  <c r="Q1789" i="6"/>
  <c r="R1747" i="6"/>
  <c r="Q1747" i="6"/>
  <c r="P1747" i="6"/>
  <c r="S1747" i="6" s="1"/>
  <c r="O1747" i="6"/>
  <c r="T1747" i="6" s="1"/>
  <c r="R1749" i="6"/>
  <c r="O1749" i="6"/>
  <c r="T1749" i="6" s="1"/>
  <c r="Q1749" i="6"/>
  <c r="P1749" i="6"/>
  <c r="S1749" i="6" s="1"/>
  <c r="R1707" i="6"/>
  <c r="Q1707" i="6"/>
  <c r="P1707" i="6"/>
  <c r="S1707" i="6" s="1"/>
  <c r="O1707" i="6"/>
  <c r="T1707" i="6" s="1"/>
  <c r="R1698" i="6"/>
  <c r="O1698" i="6"/>
  <c r="T1698" i="6" s="1"/>
  <c r="Q1698" i="6"/>
  <c r="P1698" i="6"/>
  <c r="S1698" i="6" s="1"/>
  <c r="R1666" i="6"/>
  <c r="O1666" i="6"/>
  <c r="T1666" i="6" s="1"/>
  <c r="P1666" i="6"/>
  <c r="S1666" i="6" s="1"/>
  <c r="Q1666" i="6"/>
  <c r="R1678" i="6"/>
  <c r="O1678" i="6"/>
  <c r="T1678" i="6" s="1"/>
  <c r="Q1678" i="6"/>
  <c r="P1678" i="6"/>
  <c r="S1678" i="6" s="1"/>
  <c r="P1639" i="6"/>
  <c r="S1639" i="6" s="1"/>
  <c r="R1639" i="6"/>
  <c r="Q1639" i="6"/>
  <c r="O1639" i="6"/>
  <c r="T1639" i="6" s="1"/>
  <c r="R1670" i="6"/>
  <c r="O1670" i="6"/>
  <c r="T1670" i="6" s="1"/>
  <c r="Q1670" i="6"/>
  <c r="P1670" i="6"/>
  <c r="S1670" i="6" s="1"/>
  <c r="P1635" i="6"/>
  <c r="S1635" i="6" s="1"/>
  <c r="Q1635" i="6"/>
  <c r="O1635" i="6"/>
  <c r="T1635" i="6" s="1"/>
  <c r="R1635" i="6"/>
  <c r="P1419" i="6"/>
  <c r="S1419" i="6" s="1"/>
  <c r="O1419" i="6"/>
  <c r="T1419" i="6" s="1"/>
  <c r="R1419" i="6"/>
  <c r="Q1419" i="6"/>
  <c r="Q1463" i="6"/>
  <c r="P1463" i="6"/>
  <c r="S1463" i="6" s="1"/>
  <c r="O1463" i="6"/>
  <c r="T1463" i="6" s="1"/>
  <c r="R1463" i="6"/>
  <c r="R1345" i="6"/>
  <c r="Q1345" i="6"/>
  <c r="P1345" i="6"/>
  <c r="S1345" i="6" s="1"/>
  <c r="O1345" i="6"/>
  <c r="T1345" i="6" s="1"/>
  <c r="R1367" i="6"/>
  <c r="Q1367" i="6"/>
  <c r="P1367" i="6"/>
  <c r="S1367" i="6" s="1"/>
  <c r="O1367" i="6"/>
  <c r="T1367" i="6" s="1"/>
  <c r="R1365" i="6"/>
  <c r="Q1365" i="6"/>
  <c r="P1365" i="6"/>
  <c r="S1365" i="6" s="1"/>
  <c r="O1365" i="6"/>
  <c r="T1365" i="6" s="1"/>
  <c r="R1264" i="6"/>
  <c r="P1264" i="6"/>
  <c r="S1264" i="6" s="1"/>
  <c r="Q1264" i="6"/>
  <c r="O1264" i="6"/>
  <c r="T1264" i="6" s="1"/>
  <c r="R1248" i="6"/>
  <c r="P1248" i="6"/>
  <c r="S1248" i="6" s="1"/>
  <c r="Q1248" i="6"/>
  <c r="O1248" i="6"/>
  <c r="T1248" i="6" s="1"/>
  <c r="R1232" i="6"/>
  <c r="P1232" i="6"/>
  <c r="S1232" i="6" s="1"/>
  <c r="Q1232" i="6"/>
  <c r="O1232" i="6"/>
  <c r="T1232" i="6" s="1"/>
  <c r="R1266" i="6"/>
  <c r="P1266" i="6"/>
  <c r="S1266" i="6" s="1"/>
  <c r="Q1266" i="6"/>
  <c r="O1266" i="6"/>
  <c r="T1266" i="6" s="1"/>
  <c r="R1260" i="6"/>
  <c r="P1260" i="6"/>
  <c r="S1260" i="6" s="1"/>
  <c r="Q1260" i="6"/>
  <c r="O1260" i="6"/>
  <c r="T1260" i="6" s="1"/>
  <c r="R1269" i="6"/>
  <c r="Q1269" i="6"/>
  <c r="P1269" i="6"/>
  <c r="S1269" i="6" s="1"/>
  <c r="O1269" i="6"/>
  <c r="T1269" i="6" s="1"/>
  <c r="Q1255" i="6"/>
  <c r="P1255" i="6"/>
  <c r="S1255" i="6" s="1"/>
  <c r="O1255" i="6"/>
  <c r="T1255" i="6" s="1"/>
  <c r="R1255" i="6"/>
  <c r="P1186" i="6"/>
  <c r="S1186" i="6" s="1"/>
  <c r="R1186" i="6"/>
  <c r="Q1186" i="6"/>
  <c r="O1186" i="6"/>
  <c r="T1186" i="6" s="1"/>
  <c r="R1250" i="6"/>
  <c r="P1250" i="6"/>
  <c r="S1250" i="6" s="1"/>
  <c r="Q1250" i="6"/>
  <c r="O1250" i="6"/>
  <c r="T1250" i="6" s="1"/>
  <c r="P1174" i="6"/>
  <c r="S1174" i="6" s="1"/>
  <c r="R1174" i="6"/>
  <c r="Q1174" i="6"/>
  <c r="O1174" i="6"/>
  <c r="T1174" i="6" s="1"/>
  <c r="R1234" i="6"/>
  <c r="P1234" i="6"/>
  <c r="S1234" i="6" s="1"/>
  <c r="Q1234" i="6"/>
  <c r="O1234" i="6"/>
  <c r="T1234" i="6" s="1"/>
  <c r="R1099" i="6"/>
  <c r="P1099" i="6"/>
  <c r="S1099" i="6" s="1"/>
  <c r="O1099" i="6"/>
  <c r="T1099" i="6" s="1"/>
  <c r="Q1099" i="6"/>
  <c r="R1085" i="6"/>
  <c r="O1085" i="6"/>
  <c r="T1085" i="6" s="1"/>
  <c r="Q1085" i="6"/>
  <c r="P1085" i="6"/>
  <c r="S1085" i="6" s="1"/>
  <c r="R1037" i="6"/>
  <c r="O1037" i="6"/>
  <c r="T1037" i="6" s="1"/>
  <c r="Q1037" i="6"/>
  <c r="P1037" i="6"/>
  <c r="S1037" i="6" s="1"/>
  <c r="Q1072" i="6"/>
  <c r="P1072" i="6"/>
  <c r="S1072" i="6" s="1"/>
  <c r="R1072" i="6"/>
  <c r="O1072" i="6"/>
  <c r="T1072" i="6" s="1"/>
  <c r="R1047" i="6"/>
  <c r="O1047" i="6"/>
  <c r="T1047" i="6" s="1"/>
  <c r="P1047" i="6"/>
  <c r="S1047" i="6" s="1"/>
  <c r="Q1047" i="6"/>
  <c r="R1112" i="6"/>
  <c r="Q1112" i="6"/>
  <c r="P1112" i="6"/>
  <c r="S1112" i="6" s="1"/>
  <c r="O1112" i="6"/>
  <c r="T1112" i="6" s="1"/>
  <c r="R1090" i="6"/>
  <c r="P1090" i="6"/>
  <c r="S1090" i="6" s="1"/>
  <c r="O1090" i="6"/>
  <c r="T1090" i="6" s="1"/>
  <c r="Q1090" i="6"/>
  <c r="R1082" i="6"/>
  <c r="P1082" i="6"/>
  <c r="S1082" i="6" s="1"/>
  <c r="O1082" i="6"/>
  <c r="T1082" i="6" s="1"/>
  <c r="Q1082" i="6"/>
  <c r="Q1203" i="6"/>
  <c r="P1203" i="6"/>
  <c r="S1203" i="6" s="1"/>
  <c r="R1203" i="6"/>
  <c r="O1203" i="6"/>
  <c r="T1203" i="6" s="1"/>
  <c r="O1030" i="6"/>
  <c r="T1030" i="6" s="1"/>
  <c r="R1030" i="6"/>
  <c r="Q1030" i="6"/>
  <c r="P1030" i="6"/>
  <c r="S1030" i="6" s="1"/>
  <c r="R1058" i="6"/>
  <c r="P1058" i="6"/>
  <c r="S1058" i="6" s="1"/>
  <c r="O1058" i="6"/>
  <c r="T1058" i="6" s="1"/>
  <c r="Q1058" i="6"/>
  <c r="O971" i="6"/>
  <c r="T971" i="6" s="1"/>
  <c r="P971" i="6"/>
  <c r="S971" i="6" s="1"/>
  <c r="R971" i="6"/>
  <c r="Q971" i="6"/>
  <c r="R1026" i="6"/>
  <c r="P1026" i="6"/>
  <c r="S1026" i="6" s="1"/>
  <c r="Q1026" i="6"/>
  <c r="O1026" i="6"/>
  <c r="T1026" i="6" s="1"/>
  <c r="R1042" i="6"/>
  <c r="P1042" i="6"/>
  <c r="S1042" i="6" s="1"/>
  <c r="O1042" i="6"/>
  <c r="T1042" i="6" s="1"/>
  <c r="Q1042" i="6"/>
  <c r="O1015" i="6"/>
  <c r="T1015" i="6" s="1"/>
  <c r="R1015" i="6"/>
  <c r="Q1015" i="6"/>
  <c r="P1015" i="6"/>
  <c r="S1015" i="6" s="1"/>
  <c r="O967" i="6"/>
  <c r="T967" i="6" s="1"/>
  <c r="R967" i="6"/>
  <c r="Q967" i="6"/>
  <c r="P967" i="6"/>
  <c r="S967" i="6" s="1"/>
  <c r="R784" i="6"/>
  <c r="P784" i="6"/>
  <c r="S784" i="6" s="1"/>
  <c r="Q784" i="6"/>
  <c r="O784" i="6"/>
  <c r="T784" i="6" s="1"/>
  <c r="R768" i="6"/>
  <c r="P768" i="6"/>
  <c r="S768" i="6" s="1"/>
  <c r="Q768" i="6"/>
  <c r="O768" i="6"/>
  <c r="T768" i="6" s="1"/>
  <c r="R752" i="6"/>
  <c r="P752" i="6"/>
  <c r="S752" i="6" s="1"/>
  <c r="Q752" i="6"/>
  <c r="O752" i="6"/>
  <c r="T752" i="6" s="1"/>
  <c r="P721" i="6"/>
  <c r="S721" i="6" s="1"/>
  <c r="R721" i="6"/>
  <c r="Q721" i="6"/>
  <c r="O721" i="6"/>
  <c r="T721" i="6" s="1"/>
  <c r="P682" i="6"/>
  <c r="S682" i="6" s="1"/>
  <c r="Q682" i="6"/>
  <c r="O682" i="6"/>
  <c r="T682" i="6" s="1"/>
  <c r="R682" i="6"/>
  <c r="P735" i="6"/>
  <c r="S735" i="6" s="1"/>
  <c r="R735" i="6"/>
  <c r="O735" i="6"/>
  <c r="T735" i="6" s="1"/>
  <c r="Q735" i="6"/>
  <c r="P726" i="6"/>
  <c r="S726" i="6" s="1"/>
  <c r="Q726" i="6"/>
  <c r="O726" i="6"/>
  <c r="T726" i="6" s="1"/>
  <c r="R726" i="6"/>
  <c r="R691" i="6"/>
  <c r="Q691" i="6"/>
  <c r="P691" i="6"/>
  <c r="S691" i="6" s="1"/>
  <c r="O691" i="6"/>
  <c r="T691" i="6" s="1"/>
  <c r="R659" i="6"/>
  <c r="Q659" i="6"/>
  <c r="P659" i="6"/>
  <c r="S659" i="6" s="1"/>
  <c r="O659" i="6"/>
  <c r="T659" i="6" s="1"/>
  <c r="P733" i="6"/>
  <c r="S733" i="6" s="1"/>
  <c r="R733" i="6"/>
  <c r="Q733" i="6"/>
  <c r="O733" i="6"/>
  <c r="T733" i="6" s="1"/>
  <c r="P722" i="6"/>
  <c r="S722" i="6" s="1"/>
  <c r="R722" i="6"/>
  <c r="O722" i="6"/>
  <c r="T722" i="6" s="1"/>
  <c r="Q722" i="6"/>
  <c r="R645" i="6"/>
  <c r="N645" i="6" s="1"/>
  <c r="P645" i="6"/>
  <c r="S645" i="6" s="1"/>
  <c r="O645" i="6"/>
  <c r="T645" i="6" s="1"/>
  <c r="Q645" i="6"/>
  <c r="P853" i="6"/>
  <c r="S853" i="6" s="1"/>
  <c r="R853" i="6"/>
  <c r="Q853" i="6"/>
  <c r="O853" i="6"/>
  <c r="T853" i="6" s="1"/>
  <c r="P837" i="6"/>
  <c r="S837" i="6" s="1"/>
  <c r="R837" i="6"/>
  <c r="Q837" i="6"/>
  <c r="O837" i="6"/>
  <c r="T837" i="6" s="1"/>
  <c r="P821" i="6"/>
  <c r="S821" i="6" s="1"/>
  <c r="R821" i="6"/>
  <c r="Q821" i="6"/>
  <c r="O821" i="6"/>
  <c r="T821" i="6" s="1"/>
  <c r="P805" i="6"/>
  <c r="S805" i="6" s="1"/>
  <c r="R805" i="6"/>
  <c r="Q805" i="6"/>
  <c r="O805" i="6"/>
  <c r="T805" i="6" s="1"/>
  <c r="P789" i="6"/>
  <c r="S789" i="6" s="1"/>
  <c r="R789" i="6"/>
  <c r="Q789" i="6"/>
  <c r="O789" i="6"/>
  <c r="T789" i="6" s="1"/>
  <c r="R647" i="6"/>
  <c r="N647" i="6" s="1"/>
  <c r="Q647" i="6"/>
  <c r="O647" i="6"/>
  <c r="T647" i="6" s="1"/>
  <c r="P647" i="6"/>
  <c r="S647" i="6" s="1"/>
  <c r="R681" i="6"/>
  <c r="Q681" i="6"/>
  <c r="O681" i="6"/>
  <c r="T681" i="6" s="1"/>
  <c r="P681" i="6"/>
  <c r="S681" i="6" s="1"/>
  <c r="Q559" i="6"/>
  <c r="P559" i="6"/>
  <c r="S559" i="6" s="1"/>
  <c r="R559" i="6"/>
  <c r="N559" i="6" s="1"/>
  <c r="O559" i="6"/>
  <c r="T559" i="6" s="1"/>
  <c r="P672" i="6"/>
  <c r="S672" i="6" s="1"/>
  <c r="Q672" i="6"/>
  <c r="R672" i="6"/>
  <c r="O672" i="6"/>
  <c r="T672" i="6" s="1"/>
  <c r="R641" i="6"/>
  <c r="N641" i="6" s="1"/>
  <c r="Q641" i="6"/>
  <c r="O641" i="6"/>
  <c r="T641" i="6" s="1"/>
  <c r="P641" i="6"/>
  <c r="S641" i="6" s="1"/>
  <c r="P648" i="6"/>
  <c r="S648" i="6" s="1"/>
  <c r="Q648" i="6"/>
  <c r="O648" i="6"/>
  <c r="T648" i="6" s="1"/>
  <c r="R648" i="6"/>
  <c r="N648" i="6" s="1"/>
  <c r="R613" i="6"/>
  <c r="N613" i="6" s="1"/>
  <c r="Q613" i="6"/>
  <c r="P613" i="6"/>
  <c r="S613" i="6" s="1"/>
  <c r="O613" i="6"/>
  <c r="T613" i="6" s="1"/>
  <c r="R605" i="6"/>
  <c r="N605" i="6" s="1"/>
  <c r="Q605" i="6"/>
  <c r="P605" i="6"/>
  <c r="S605" i="6" s="1"/>
  <c r="O605" i="6"/>
  <c r="T605" i="6" s="1"/>
  <c r="R597" i="6"/>
  <c r="N597" i="6" s="1"/>
  <c r="Q597" i="6"/>
  <c r="P597" i="6"/>
  <c r="S597" i="6" s="1"/>
  <c r="O597" i="6"/>
  <c r="T597" i="6" s="1"/>
  <c r="R589" i="6"/>
  <c r="N589" i="6" s="1"/>
  <c r="Q589" i="6"/>
  <c r="P589" i="6"/>
  <c r="S589" i="6" s="1"/>
  <c r="O589" i="6"/>
  <c r="T589" i="6" s="1"/>
  <c r="R649" i="6"/>
  <c r="Q649" i="6"/>
  <c r="O649" i="6"/>
  <c r="T649" i="6" s="1"/>
  <c r="P649" i="6"/>
  <c r="S649" i="6" s="1"/>
  <c r="R533" i="6"/>
  <c r="N533" i="6" s="1"/>
  <c r="P533" i="6"/>
  <c r="S533" i="6" s="1"/>
  <c r="O533" i="6"/>
  <c r="T533" i="6" s="1"/>
  <c r="Q533" i="6"/>
  <c r="R507" i="6"/>
  <c r="N507" i="6" s="1"/>
  <c r="P507" i="6"/>
  <c r="S507" i="6" s="1"/>
  <c r="O507" i="6"/>
  <c r="T507" i="6" s="1"/>
  <c r="Q507" i="6"/>
  <c r="R689" i="6"/>
  <c r="Q689" i="6"/>
  <c r="O689" i="6"/>
  <c r="T689" i="6" s="1"/>
  <c r="P689" i="6"/>
  <c r="S689" i="6" s="1"/>
  <c r="O452" i="6"/>
  <c r="T452" i="6" s="1"/>
  <c r="R452" i="6"/>
  <c r="N452" i="6" s="1"/>
  <c r="Q452" i="6"/>
  <c r="P452" i="6"/>
  <c r="S452" i="6" s="1"/>
  <c r="O448" i="6"/>
  <c r="T448" i="6" s="1"/>
  <c r="R448" i="6"/>
  <c r="N448" i="6" s="1"/>
  <c r="Q448" i="6"/>
  <c r="P448" i="6"/>
  <c r="S448" i="6" s="1"/>
  <c r="O444" i="6"/>
  <c r="T444" i="6" s="1"/>
  <c r="R444" i="6"/>
  <c r="N444" i="6" s="1"/>
  <c r="Q444" i="6"/>
  <c r="P444" i="6"/>
  <c r="S444" i="6" s="1"/>
  <c r="O440" i="6"/>
  <c r="T440" i="6" s="1"/>
  <c r="R440" i="6"/>
  <c r="N440" i="6" s="1"/>
  <c r="Q440" i="6"/>
  <c r="P440" i="6"/>
  <c r="S440" i="6" s="1"/>
  <c r="O436" i="6"/>
  <c r="T436" i="6" s="1"/>
  <c r="R436" i="6"/>
  <c r="N436" i="6" s="1"/>
  <c r="Q436" i="6"/>
  <c r="P436" i="6"/>
  <c r="S436" i="6" s="1"/>
  <c r="O432" i="6"/>
  <c r="T432" i="6" s="1"/>
  <c r="R432" i="6"/>
  <c r="N432" i="6" s="1"/>
  <c r="Q432" i="6"/>
  <c r="P432" i="6"/>
  <c r="S432" i="6" s="1"/>
  <c r="O428" i="6"/>
  <c r="T428" i="6" s="1"/>
  <c r="R428" i="6"/>
  <c r="N428" i="6" s="1"/>
  <c r="Q428" i="6"/>
  <c r="P428" i="6"/>
  <c r="S428" i="6" s="1"/>
  <c r="O424" i="6"/>
  <c r="T424" i="6" s="1"/>
  <c r="R424" i="6"/>
  <c r="N424" i="6" s="1"/>
  <c r="Q424" i="6"/>
  <c r="P424" i="6"/>
  <c r="S424" i="6" s="1"/>
  <c r="O420" i="6"/>
  <c r="T420" i="6" s="1"/>
  <c r="R420" i="6"/>
  <c r="N420" i="6" s="1"/>
  <c r="Q420" i="6"/>
  <c r="P420" i="6"/>
  <c r="S420" i="6" s="1"/>
  <c r="O416" i="6"/>
  <c r="T416" i="6" s="1"/>
  <c r="R416" i="6"/>
  <c r="N416" i="6" s="1"/>
  <c r="Q416" i="6"/>
  <c r="P416" i="6"/>
  <c r="S416" i="6" s="1"/>
  <c r="O412" i="6"/>
  <c r="T412" i="6" s="1"/>
  <c r="R412" i="6"/>
  <c r="N412" i="6" s="1"/>
  <c r="Q412" i="6"/>
  <c r="P412" i="6"/>
  <c r="S412" i="6" s="1"/>
  <c r="O408" i="6"/>
  <c r="T408" i="6" s="1"/>
  <c r="R408" i="6"/>
  <c r="N408" i="6" s="1"/>
  <c r="Q408" i="6"/>
  <c r="P408" i="6"/>
  <c r="S408" i="6" s="1"/>
  <c r="O404" i="6"/>
  <c r="T404" i="6" s="1"/>
  <c r="R404" i="6"/>
  <c r="N404" i="6" s="1"/>
  <c r="Q404" i="6"/>
  <c r="P404" i="6"/>
  <c r="S404" i="6" s="1"/>
  <c r="O400" i="6"/>
  <c r="T400" i="6" s="1"/>
  <c r="R400" i="6"/>
  <c r="N400" i="6" s="1"/>
  <c r="Q400" i="6"/>
  <c r="P400" i="6"/>
  <c r="S400" i="6" s="1"/>
  <c r="O396" i="6"/>
  <c r="T396" i="6" s="1"/>
  <c r="R396" i="6"/>
  <c r="N396" i="6" s="1"/>
  <c r="Q396" i="6"/>
  <c r="P396" i="6"/>
  <c r="S396" i="6" s="1"/>
  <c r="R392" i="6"/>
  <c r="N392" i="6" s="1"/>
  <c r="Q392" i="6"/>
  <c r="P392" i="6"/>
  <c r="S392" i="6" s="1"/>
  <c r="O392" i="6"/>
  <c r="T392" i="6" s="1"/>
  <c r="R388" i="6"/>
  <c r="N388" i="6" s="1"/>
  <c r="Q388" i="6"/>
  <c r="P388" i="6"/>
  <c r="S388" i="6" s="1"/>
  <c r="O388" i="6"/>
  <c r="T388" i="6" s="1"/>
  <c r="R384" i="6"/>
  <c r="N384" i="6" s="1"/>
  <c r="Q384" i="6"/>
  <c r="P384" i="6"/>
  <c r="S384" i="6" s="1"/>
  <c r="O384" i="6"/>
  <c r="T384" i="6" s="1"/>
  <c r="R376" i="6"/>
  <c r="N376" i="6" s="1"/>
  <c r="Q376" i="6"/>
  <c r="P376" i="6"/>
  <c r="S376" i="6" s="1"/>
  <c r="O376" i="6"/>
  <c r="T376" i="6" s="1"/>
  <c r="R368" i="6"/>
  <c r="N368" i="6" s="1"/>
  <c r="Q368" i="6"/>
  <c r="P368" i="6"/>
  <c r="S368" i="6" s="1"/>
  <c r="O368" i="6"/>
  <c r="T368" i="6" s="1"/>
  <c r="R360" i="6"/>
  <c r="N360" i="6" s="1"/>
  <c r="Q360" i="6"/>
  <c r="P360" i="6"/>
  <c r="S360" i="6" s="1"/>
  <c r="O360" i="6"/>
  <c r="T360" i="6" s="1"/>
  <c r="R352" i="6"/>
  <c r="N352" i="6" s="1"/>
  <c r="Q352" i="6"/>
  <c r="P352" i="6"/>
  <c r="S352" i="6" s="1"/>
  <c r="O352" i="6"/>
  <c r="T352" i="6" s="1"/>
  <c r="R344" i="6"/>
  <c r="N344" i="6" s="1"/>
  <c r="Q344" i="6"/>
  <c r="P344" i="6"/>
  <c r="S344" i="6" s="1"/>
  <c r="O344" i="6"/>
  <c r="T344" i="6" s="1"/>
  <c r="R336" i="6"/>
  <c r="N336" i="6" s="1"/>
  <c r="Q336" i="6"/>
  <c r="P336" i="6"/>
  <c r="S336" i="6" s="1"/>
  <c r="O336" i="6"/>
  <c r="T336" i="6" s="1"/>
  <c r="R328" i="6"/>
  <c r="N328" i="6" s="1"/>
  <c r="Q328" i="6"/>
  <c r="P328" i="6"/>
  <c r="S328" i="6" s="1"/>
  <c r="O328" i="6"/>
  <c r="T328" i="6" s="1"/>
  <c r="R320" i="6"/>
  <c r="N320" i="6" s="1"/>
  <c r="Q320" i="6"/>
  <c r="P320" i="6"/>
  <c r="S320" i="6" s="1"/>
  <c r="O320" i="6"/>
  <c r="T320" i="6" s="1"/>
  <c r="R525" i="6"/>
  <c r="N525" i="6" s="1"/>
  <c r="P525" i="6"/>
  <c r="S525" i="6" s="1"/>
  <c r="O525" i="6"/>
  <c r="T525" i="6" s="1"/>
  <c r="Q525" i="6"/>
  <c r="O490" i="6"/>
  <c r="T490" i="6" s="1"/>
  <c r="R490" i="6"/>
  <c r="N490" i="6" s="1"/>
  <c r="Q490" i="6"/>
  <c r="P490" i="6"/>
  <c r="S490" i="6" s="1"/>
  <c r="O209" i="6"/>
  <c r="T209" i="6" s="1"/>
  <c r="R209" i="6"/>
  <c r="N209" i="6" s="1"/>
  <c r="Q209" i="6"/>
  <c r="P209" i="6"/>
  <c r="S209" i="6" s="1"/>
  <c r="R195" i="6"/>
  <c r="N195" i="6" s="1"/>
  <c r="O195" i="6"/>
  <c r="T195" i="6" s="1"/>
  <c r="Q195" i="6"/>
  <c r="P195" i="6"/>
  <c r="S195" i="6" s="1"/>
  <c r="R181" i="6"/>
  <c r="N181" i="6" s="1"/>
  <c r="Q181" i="6"/>
  <c r="P181" i="6"/>
  <c r="S181" i="6" s="1"/>
  <c r="O181" i="6"/>
  <c r="T181" i="6" s="1"/>
  <c r="R151" i="6"/>
  <c r="N151" i="6" s="1"/>
  <c r="Q151" i="6"/>
  <c r="P151" i="6"/>
  <c r="S151" i="6" s="1"/>
  <c r="O151" i="6"/>
  <c r="T151" i="6" s="1"/>
  <c r="R74" i="6"/>
  <c r="N74" i="6" s="1"/>
  <c r="Q74" i="6"/>
  <c r="P74" i="6"/>
  <c r="S74" i="6" s="1"/>
  <c r="O74" i="6"/>
  <c r="T74" i="6" s="1"/>
  <c r="N468" i="6"/>
  <c r="P235" i="6"/>
  <c r="S235" i="6" s="1"/>
  <c r="O235" i="6"/>
  <c r="T235" i="6" s="1"/>
  <c r="R235" i="6"/>
  <c r="N235" i="6" s="1"/>
  <c r="Q235" i="6"/>
  <c r="F199" i="4"/>
  <c r="D199" i="4"/>
  <c r="F135" i="4"/>
  <c r="D135" i="4"/>
  <c r="F71" i="4"/>
  <c r="D71" i="4"/>
  <c r="O321" i="6"/>
  <c r="T321" i="6" s="1"/>
  <c r="R321" i="6"/>
  <c r="N321" i="6" s="1"/>
  <c r="Q321" i="6"/>
  <c r="P321" i="6"/>
  <c r="S321" i="6" s="1"/>
  <c r="O199" i="6"/>
  <c r="T199" i="6" s="1"/>
  <c r="R199" i="6"/>
  <c r="N199" i="6" s="1"/>
  <c r="Q199" i="6"/>
  <c r="P199" i="6"/>
  <c r="S199" i="6" s="1"/>
  <c r="R107" i="6"/>
  <c r="N107" i="6" s="1"/>
  <c r="P107" i="6"/>
  <c r="S107" i="6" s="1"/>
  <c r="O107" i="6"/>
  <c r="T107" i="6" s="1"/>
  <c r="Q107" i="6"/>
  <c r="R316" i="6"/>
  <c r="N316" i="6" s="1"/>
  <c r="Q316" i="6"/>
  <c r="P316" i="6"/>
  <c r="S316" i="6" s="1"/>
  <c r="O316" i="6"/>
  <c r="T316" i="6" s="1"/>
  <c r="R141" i="6"/>
  <c r="N141" i="6" s="1"/>
  <c r="Q141" i="6"/>
  <c r="P141" i="6"/>
  <c r="S141" i="6" s="1"/>
  <c r="O141" i="6"/>
  <c r="T141" i="6" s="1"/>
  <c r="O203" i="6"/>
  <c r="T203" i="6" s="1"/>
  <c r="R203" i="6"/>
  <c r="N203" i="6" s="1"/>
  <c r="Q203" i="6"/>
  <c r="P203" i="6"/>
  <c r="S203" i="6" s="1"/>
  <c r="R197" i="6"/>
  <c r="N197" i="6" s="1"/>
  <c r="Q197" i="6"/>
  <c r="P197" i="6"/>
  <c r="S197" i="6" s="1"/>
  <c r="O197" i="6"/>
  <c r="T197" i="6" s="1"/>
  <c r="R244" i="6"/>
  <c r="N244" i="6" s="1"/>
  <c r="Q244" i="6"/>
  <c r="P244" i="6"/>
  <c r="S244" i="6" s="1"/>
  <c r="O244" i="6"/>
  <c r="T244" i="6" s="1"/>
  <c r="R97" i="6"/>
  <c r="N97" i="6" s="1"/>
  <c r="Q97" i="6"/>
  <c r="P97" i="6"/>
  <c r="S97" i="6" s="1"/>
  <c r="O97" i="6"/>
  <c r="T97" i="6" s="1"/>
  <c r="R71" i="6"/>
  <c r="N71" i="6" s="1"/>
  <c r="Q71" i="6"/>
  <c r="P71" i="6"/>
  <c r="S71" i="6" s="1"/>
  <c r="O71" i="6"/>
  <c r="T71" i="6" s="1"/>
  <c r="F195" i="4"/>
  <c r="D195" i="4"/>
  <c r="F131" i="4"/>
  <c r="D131" i="4"/>
  <c r="F67" i="4"/>
  <c r="D67" i="4"/>
  <c r="P40" i="6"/>
  <c r="S40" i="6" s="1"/>
  <c r="O40" i="6"/>
  <c r="T40" i="6" s="1"/>
  <c r="R40" i="6"/>
  <c r="N40" i="6" s="1"/>
  <c r="A57" i="8" s="1"/>
  <c r="Q40" i="6"/>
  <c r="P8" i="6"/>
  <c r="S8" i="6" s="1"/>
  <c r="O8" i="6"/>
  <c r="T8" i="6" s="1"/>
  <c r="R8" i="6"/>
  <c r="N8" i="6" s="1"/>
  <c r="A25" i="8" s="1"/>
  <c r="Q8" i="6"/>
  <c r="F180" i="4"/>
  <c r="D180" i="4"/>
  <c r="F52" i="4"/>
  <c r="D52" i="4"/>
  <c r="P62" i="6"/>
  <c r="S62" i="6" s="1"/>
  <c r="O62" i="6"/>
  <c r="T62" i="6" s="1"/>
  <c r="R62" i="6"/>
  <c r="N62" i="6" s="1"/>
  <c r="A79" i="8" s="1"/>
  <c r="Q62" i="6"/>
  <c r="P30" i="6"/>
  <c r="S30" i="6" s="1"/>
  <c r="O30" i="6"/>
  <c r="T30" i="6" s="1"/>
  <c r="R30" i="6"/>
  <c r="N30" i="6" s="1"/>
  <c r="A47" i="8" s="1"/>
  <c r="Q30" i="6"/>
  <c r="D169" i="4"/>
  <c r="F169" i="4"/>
  <c r="D96" i="4"/>
  <c r="F96" i="4"/>
  <c r="D41" i="4"/>
  <c r="F41" i="4"/>
  <c r="F188" i="4"/>
  <c r="D188" i="4"/>
  <c r="F60" i="4"/>
  <c r="D60" i="4"/>
  <c r="D184" i="4"/>
  <c r="F184" i="4"/>
  <c r="D129" i="4"/>
  <c r="F129" i="4"/>
  <c r="D74" i="4"/>
  <c r="D56" i="4"/>
  <c r="F56" i="4"/>
  <c r="D181" i="4"/>
  <c r="D149" i="4"/>
  <c r="D117" i="4"/>
  <c r="D85" i="4"/>
  <c r="R1988" i="6"/>
  <c r="P1988" i="6"/>
  <c r="S1988" i="6" s="1"/>
  <c r="O1988" i="6"/>
  <c r="T1988" i="6" s="1"/>
  <c r="Q1988" i="6"/>
  <c r="P1997" i="6"/>
  <c r="S1997" i="6" s="1"/>
  <c r="O1997" i="6"/>
  <c r="T1997" i="6" s="1"/>
  <c r="R1997" i="6"/>
  <c r="Q1997" i="6"/>
  <c r="O1886" i="6"/>
  <c r="T1886" i="6" s="1"/>
  <c r="R1886" i="6"/>
  <c r="Q1886" i="6"/>
  <c r="P1886" i="6"/>
  <c r="S1886" i="6" s="1"/>
  <c r="O1850" i="6"/>
  <c r="T1850" i="6" s="1"/>
  <c r="Q1850" i="6"/>
  <c r="P1850" i="6"/>
  <c r="S1850" i="6" s="1"/>
  <c r="R1850" i="6"/>
  <c r="P1821" i="6"/>
  <c r="S1821" i="6" s="1"/>
  <c r="O1821" i="6"/>
  <c r="T1821" i="6" s="1"/>
  <c r="R1821" i="6"/>
  <c r="Q1821" i="6"/>
  <c r="R1734" i="6"/>
  <c r="Q1734" i="6"/>
  <c r="O1734" i="6"/>
  <c r="T1734" i="6" s="1"/>
  <c r="P1734" i="6"/>
  <c r="S1734" i="6" s="1"/>
  <c r="R1726" i="6"/>
  <c r="O1726" i="6"/>
  <c r="T1726" i="6" s="1"/>
  <c r="Q1726" i="6"/>
  <c r="P1726" i="6"/>
  <c r="S1726" i="6" s="1"/>
  <c r="R1715" i="6"/>
  <c r="Q1715" i="6"/>
  <c r="P1715" i="6"/>
  <c r="S1715" i="6" s="1"/>
  <c r="O1715" i="6"/>
  <c r="T1715" i="6" s="1"/>
  <c r="R1735" i="6"/>
  <c r="P1735" i="6"/>
  <c r="S1735" i="6" s="1"/>
  <c r="O1735" i="6"/>
  <c r="T1735" i="6" s="1"/>
  <c r="Q1735" i="6"/>
  <c r="P1146" i="6"/>
  <c r="S1146" i="6" s="1"/>
  <c r="Q1146" i="6"/>
  <c r="O1146" i="6"/>
  <c r="T1146" i="6" s="1"/>
  <c r="R1146" i="6"/>
  <c r="R1109" i="6"/>
  <c r="P1109" i="6"/>
  <c r="S1109" i="6" s="1"/>
  <c r="O1109" i="6"/>
  <c r="T1109" i="6" s="1"/>
  <c r="Q1109" i="6"/>
  <c r="O1009" i="6"/>
  <c r="T1009" i="6" s="1"/>
  <c r="R1009" i="6"/>
  <c r="Q1009" i="6"/>
  <c r="P1009" i="6"/>
  <c r="S1009" i="6" s="1"/>
  <c r="O1078" i="6"/>
  <c r="T1078" i="6" s="1"/>
  <c r="R1078" i="6"/>
  <c r="Q1078" i="6"/>
  <c r="P1078" i="6"/>
  <c r="S1078" i="6" s="1"/>
  <c r="R1066" i="6"/>
  <c r="P1066" i="6"/>
  <c r="S1066" i="6" s="1"/>
  <c r="O1066" i="6"/>
  <c r="T1066" i="6" s="1"/>
  <c r="Q1066" i="6"/>
  <c r="O964" i="6"/>
  <c r="T964" i="6" s="1"/>
  <c r="Q964" i="6"/>
  <c r="R964" i="6"/>
  <c r="P964" i="6"/>
  <c r="S964" i="6" s="1"/>
  <c r="P725" i="6"/>
  <c r="S725" i="6" s="1"/>
  <c r="R725" i="6"/>
  <c r="Q725" i="6"/>
  <c r="O725" i="6"/>
  <c r="T725" i="6" s="1"/>
  <c r="P627" i="6"/>
  <c r="S627" i="6" s="1"/>
  <c r="O627" i="6"/>
  <c r="T627" i="6" s="1"/>
  <c r="R627" i="6"/>
  <c r="N627" i="6" s="1"/>
  <c r="Q627" i="6"/>
  <c r="R697" i="6"/>
  <c r="Q697" i="6"/>
  <c r="O697" i="6"/>
  <c r="T697" i="6" s="1"/>
  <c r="P697" i="6"/>
  <c r="S697" i="6" s="1"/>
  <c r="R519" i="6"/>
  <c r="N519" i="6" s="1"/>
  <c r="P519" i="6"/>
  <c r="S519" i="6" s="1"/>
  <c r="O519" i="6"/>
  <c r="T519" i="6" s="1"/>
  <c r="Q519" i="6"/>
  <c r="R294" i="6"/>
  <c r="N294" i="6" s="1"/>
  <c r="Q294" i="6"/>
  <c r="P294" i="6"/>
  <c r="S294" i="6" s="1"/>
  <c r="O294" i="6"/>
  <c r="T294" i="6" s="1"/>
  <c r="R264" i="6"/>
  <c r="N264" i="6" s="1"/>
  <c r="P264" i="6"/>
  <c r="S264" i="6" s="1"/>
  <c r="O264" i="6"/>
  <c r="T264" i="6" s="1"/>
  <c r="Q264" i="6"/>
  <c r="R314" i="6"/>
  <c r="N314" i="6" s="1"/>
  <c r="Q314" i="6"/>
  <c r="P314" i="6"/>
  <c r="S314" i="6" s="1"/>
  <c r="O314" i="6"/>
  <c r="T314" i="6" s="1"/>
  <c r="R137" i="6"/>
  <c r="N137" i="6" s="1"/>
  <c r="O137" i="6"/>
  <c r="T137" i="6" s="1"/>
  <c r="Q137" i="6"/>
  <c r="P137" i="6"/>
  <c r="S137" i="6" s="1"/>
  <c r="P52" i="6"/>
  <c r="S52" i="6" s="1"/>
  <c r="O52" i="6"/>
  <c r="T52" i="6" s="1"/>
  <c r="R52" i="6"/>
  <c r="N52" i="6" s="1"/>
  <c r="A69" i="8" s="1"/>
  <c r="Q52" i="6"/>
  <c r="P20" i="6"/>
  <c r="S20" i="6" s="1"/>
  <c r="O20" i="6"/>
  <c r="T20" i="6" s="1"/>
  <c r="R20" i="6"/>
  <c r="N20" i="6" s="1"/>
  <c r="A37" i="8" s="1"/>
  <c r="Q20" i="6"/>
  <c r="P50" i="6"/>
  <c r="S50" i="6" s="1"/>
  <c r="O50" i="6"/>
  <c r="T50" i="6" s="1"/>
  <c r="R50" i="6"/>
  <c r="N50" i="6" s="1"/>
  <c r="A67" i="8" s="1"/>
  <c r="Q50" i="6"/>
  <c r="D72" i="4"/>
  <c r="F72" i="4"/>
  <c r="R1990" i="6"/>
  <c r="P1990" i="6"/>
  <c r="S1990" i="6" s="1"/>
  <c r="Q1990" i="6"/>
  <c r="O1990" i="6"/>
  <c r="T1990" i="6" s="1"/>
  <c r="P1987" i="6"/>
  <c r="S1987" i="6" s="1"/>
  <c r="R1987" i="6"/>
  <c r="Q1987" i="6"/>
  <c r="O1987" i="6"/>
  <c r="T1987" i="6" s="1"/>
  <c r="R1971" i="6"/>
  <c r="Q1971" i="6"/>
  <c r="P1971" i="6"/>
  <c r="S1971" i="6" s="1"/>
  <c r="O1971" i="6"/>
  <c r="T1971" i="6" s="1"/>
  <c r="O1880" i="6"/>
  <c r="T1880" i="6" s="1"/>
  <c r="R1880" i="6"/>
  <c r="Q1880" i="6"/>
  <c r="P1880" i="6"/>
  <c r="S1880" i="6" s="1"/>
  <c r="R1449" i="6"/>
  <c r="Q1449" i="6"/>
  <c r="P1449" i="6"/>
  <c r="S1449" i="6" s="1"/>
  <c r="O1449" i="6"/>
  <c r="T1449" i="6" s="1"/>
  <c r="P1999" i="6"/>
  <c r="S1999" i="6" s="1"/>
  <c r="O1999" i="6"/>
  <c r="T1999" i="6" s="1"/>
  <c r="Q1999" i="6"/>
  <c r="R1999" i="6"/>
  <c r="R1959" i="6"/>
  <c r="Q1959" i="6"/>
  <c r="P1959" i="6"/>
  <c r="S1959" i="6" s="1"/>
  <c r="O1959" i="6"/>
  <c r="T1959" i="6" s="1"/>
  <c r="R2000" i="6"/>
  <c r="P2000" i="6"/>
  <c r="S2000" i="6" s="1"/>
  <c r="O2000" i="6"/>
  <c r="T2000" i="6" s="1"/>
  <c r="Q2000" i="6"/>
  <c r="P1944" i="6"/>
  <c r="S1944" i="6" s="1"/>
  <c r="O1944" i="6"/>
  <c r="T1944" i="6" s="1"/>
  <c r="Q1944" i="6"/>
  <c r="R1944" i="6"/>
  <c r="P1900" i="6"/>
  <c r="S1900" i="6" s="1"/>
  <c r="Q1900" i="6"/>
  <c r="O1900" i="6"/>
  <c r="T1900" i="6" s="1"/>
  <c r="R1900" i="6"/>
  <c r="O1882" i="6"/>
  <c r="T1882" i="6" s="1"/>
  <c r="R1882" i="6"/>
  <c r="P1882" i="6"/>
  <c r="S1882" i="6" s="1"/>
  <c r="Q1882" i="6"/>
  <c r="P1809" i="6"/>
  <c r="S1809" i="6" s="1"/>
  <c r="O1809" i="6"/>
  <c r="T1809" i="6" s="1"/>
  <c r="R1809" i="6"/>
  <c r="Q1809" i="6"/>
  <c r="R1738" i="6"/>
  <c r="Q1738" i="6"/>
  <c r="O1738" i="6"/>
  <c r="T1738" i="6" s="1"/>
  <c r="P1738" i="6"/>
  <c r="S1738" i="6" s="1"/>
  <c r="Q1753" i="6"/>
  <c r="R1753" i="6"/>
  <c r="P1753" i="6"/>
  <c r="S1753" i="6" s="1"/>
  <c r="O1753" i="6"/>
  <c r="T1753" i="6" s="1"/>
  <c r="R1737" i="6"/>
  <c r="Q1737" i="6"/>
  <c r="P1737" i="6"/>
  <c r="S1737" i="6" s="1"/>
  <c r="O1737" i="6"/>
  <c r="T1737" i="6" s="1"/>
  <c r="R1716" i="6"/>
  <c r="O1716" i="6"/>
  <c r="T1716" i="6" s="1"/>
  <c r="Q1716" i="6"/>
  <c r="P1716" i="6"/>
  <c r="S1716" i="6" s="1"/>
  <c r="R1722" i="6"/>
  <c r="O1722" i="6"/>
  <c r="T1722" i="6" s="1"/>
  <c r="Q1722" i="6"/>
  <c r="P1722" i="6"/>
  <c r="S1722" i="6" s="1"/>
  <c r="Q1683" i="6"/>
  <c r="P1683" i="6"/>
  <c r="S1683" i="6" s="1"/>
  <c r="O1683" i="6"/>
  <c r="T1683" i="6" s="1"/>
  <c r="R1683" i="6"/>
  <c r="P1772" i="6"/>
  <c r="S1772" i="6" s="1"/>
  <c r="R1772" i="6"/>
  <c r="Q1772" i="6"/>
  <c r="O1772" i="6"/>
  <c r="T1772" i="6" s="1"/>
  <c r="P1641" i="6"/>
  <c r="S1641" i="6" s="1"/>
  <c r="R1641" i="6"/>
  <c r="Q1641" i="6"/>
  <c r="O1641" i="6"/>
  <c r="T1641" i="6" s="1"/>
  <c r="R1593" i="6"/>
  <c r="Q1593" i="6"/>
  <c r="P1593" i="6"/>
  <c r="S1593" i="6" s="1"/>
  <c r="O1593" i="6"/>
  <c r="T1593" i="6" s="1"/>
  <c r="P1651" i="6"/>
  <c r="S1651" i="6" s="1"/>
  <c r="Q1651" i="6"/>
  <c r="O1651" i="6"/>
  <c r="T1651" i="6" s="1"/>
  <c r="R1651" i="6"/>
  <c r="R1591" i="6"/>
  <c r="P1591" i="6"/>
  <c r="S1591" i="6" s="1"/>
  <c r="O1591" i="6"/>
  <c r="T1591" i="6" s="1"/>
  <c r="Q1591" i="6"/>
  <c r="O1508" i="6"/>
  <c r="T1508" i="6" s="1"/>
  <c r="R1508" i="6"/>
  <c r="Q1508" i="6"/>
  <c r="P1508" i="6"/>
  <c r="S1508" i="6" s="1"/>
  <c r="O1476" i="6"/>
  <c r="T1476" i="6" s="1"/>
  <c r="R1476" i="6"/>
  <c r="P1476" i="6"/>
  <c r="S1476" i="6" s="1"/>
  <c r="Q1476" i="6"/>
  <c r="R1455" i="6"/>
  <c r="Q1455" i="6"/>
  <c r="P1455" i="6"/>
  <c r="S1455" i="6" s="1"/>
  <c r="O1455" i="6"/>
  <c r="T1455" i="6" s="1"/>
  <c r="O1448" i="6"/>
  <c r="T1448" i="6" s="1"/>
  <c r="P1448" i="6"/>
  <c r="S1448" i="6" s="1"/>
  <c r="R1448" i="6"/>
  <c r="Q1448" i="6"/>
  <c r="R1401" i="6"/>
  <c r="Q1401" i="6"/>
  <c r="P1401" i="6"/>
  <c r="S1401" i="6" s="1"/>
  <c r="O1401" i="6"/>
  <c r="T1401" i="6" s="1"/>
  <c r="R1393" i="6"/>
  <c r="Q1393" i="6"/>
  <c r="P1393" i="6"/>
  <c r="S1393" i="6" s="1"/>
  <c r="O1393" i="6"/>
  <c r="T1393" i="6" s="1"/>
  <c r="R1385" i="6"/>
  <c r="Q1385" i="6"/>
  <c r="P1385" i="6"/>
  <c r="S1385" i="6" s="1"/>
  <c r="O1385" i="6"/>
  <c r="T1385" i="6" s="1"/>
  <c r="R1377" i="6"/>
  <c r="Q1377" i="6"/>
  <c r="P1377" i="6"/>
  <c r="S1377" i="6" s="1"/>
  <c r="O1377" i="6"/>
  <c r="T1377" i="6" s="1"/>
  <c r="R1431" i="6"/>
  <c r="Q1431" i="6"/>
  <c r="P1431" i="6"/>
  <c r="S1431" i="6" s="1"/>
  <c r="O1431" i="6"/>
  <c r="T1431" i="6" s="1"/>
  <c r="O1459" i="6"/>
  <c r="T1459" i="6" s="1"/>
  <c r="R1459" i="6"/>
  <c r="Q1459" i="6"/>
  <c r="P1459" i="6"/>
  <c r="S1459" i="6" s="1"/>
  <c r="R1341" i="6"/>
  <c r="Q1341" i="6"/>
  <c r="P1341" i="6"/>
  <c r="S1341" i="6" s="1"/>
  <c r="O1341" i="6"/>
  <c r="T1341" i="6" s="1"/>
  <c r="R1351" i="6"/>
  <c r="Q1351" i="6"/>
  <c r="P1351" i="6"/>
  <c r="S1351" i="6" s="1"/>
  <c r="O1351" i="6"/>
  <c r="T1351" i="6" s="1"/>
  <c r="R1349" i="6"/>
  <c r="Q1349" i="6"/>
  <c r="P1349" i="6"/>
  <c r="S1349" i="6" s="1"/>
  <c r="O1349" i="6"/>
  <c r="T1349" i="6" s="1"/>
  <c r="R1257" i="6"/>
  <c r="Q1257" i="6"/>
  <c r="P1257" i="6"/>
  <c r="S1257" i="6" s="1"/>
  <c r="O1257" i="6"/>
  <c r="T1257" i="6" s="1"/>
  <c r="R1241" i="6"/>
  <c r="Q1241" i="6"/>
  <c r="P1241" i="6"/>
  <c r="S1241" i="6" s="1"/>
  <c r="O1241" i="6"/>
  <c r="T1241" i="6" s="1"/>
  <c r="R1225" i="6"/>
  <c r="Q1225" i="6"/>
  <c r="P1225" i="6"/>
  <c r="S1225" i="6" s="1"/>
  <c r="O1225" i="6"/>
  <c r="T1225" i="6" s="1"/>
  <c r="O1273" i="6"/>
  <c r="T1273" i="6" s="1"/>
  <c r="R1273" i="6"/>
  <c r="Q1273" i="6"/>
  <c r="P1273" i="6"/>
  <c r="S1273" i="6" s="1"/>
  <c r="Q1219" i="6"/>
  <c r="P1219" i="6"/>
  <c r="S1219" i="6" s="1"/>
  <c r="R1219" i="6"/>
  <c r="O1219" i="6"/>
  <c r="T1219" i="6" s="1"/>
  <c r="R1246" i="6"/>
  <c r="P1246" i="6"/>
  <c r="S1246" i="6" s="1"/>
  <c r="O1246" i="6"/>
  <c r="T1246" i="6" s="1"/>
  <c r="Q1246" i="6"/>
  <c r="R1226" i="6"/>
  <c r="P1226" i="6"/>
  <c r="S1226" i="6" s="1"/>
  <c r="Q1226" i="6"/>
  <c r="O1226" i="6"/>
  <c r="T1226" i="6" s="1"/>
  <c r="P1196" i="6"/>
  <c r="S1196" i="6" s="1"/>
  <c r="O1196" i="6"/>
  <c r="T1196" i="6" s="1"/>
  <c r="R1196" i="6"/>
  <c r="Q1196" i="6"/>
  <c r="P1128" i="6"/>
  <c r="S1128" i="6" s="1"/>
  <c r="O1128" i="6"/>
  <c r="T1128" i="6" s="1"/>
  <c r="R1128" i="6"/>
  <c r="Q1128" i="6"/>
  <c r="P1168" i="6"/>
  <c r="S1168" i="6" s="1"/>
  <c r="R1168" i="6"/>
  <c r="Q1168" i="6"/>
  <c r="O1168" i="6"/>
  <c r="T1168" i="6" s="1"/>
  <c r="P1138" i="6"/>
  <c r="S1138" i="6" s="1"/>
  <c r="Q1138" i="6"/>
  <c r="R1138" i="6"/>
  <c r="O1138" i="6"/>
  <c r="T1138" i="6" s="1"/>
  <c r="R1117" i="6"/>
  <c r="P1117" i="6"/>
  <c r="S1117" i="6" s="1"/>
  <c r="O1117" i="6"/>
  <c r="T1117" i="6" s="1"/>
  <c r="Q1117" i="6"/>
  <c r="Q1104" i="6"/>
  <c r="P1104" i="6"/>
  <c r="S1104" i="6" s="1"/>
  <c r="O1104" i="6"/>
  <c r="T1104" i="6" s="1"/>
  <c r="R1104" i="6"/>
  <c r="R1077" i="6"/>
  <c r="O1077" i="6"/>
  <c r="T1077" i="6" s="1"/>
  <c r="Q1077" i="6"/>
  <c r="P1077" i="6"/>
  <c r="S1077" i="6" s="1"/>
  <c r="R1069" i="6"/>
  <c r="O1069" i="6"/>
  <c r="T1069" i="6" s="1"/>
  <c r="Q1069" i="6"/>
  <c r="P1069" i="6"/>
  <c r="S1069" i="6" s="1"/>
  <c r="R1061" i="6"/>
  <c r="O1061" i="6"/>
  <c r="T1061" i="6" s="1"/>
  <c r="Q1061" i="6"/>
  <c r="P1061" i="6"/>
  <c r="S1061" i="6" s="1"/>
  <c r="R1053" i="6"/>
  <c r="O1053" i="6"/>
  <c r="T1053" i="6" s="1"/>
  <c r="Q1053" i="6"/>
  <c r="P1053" i="6"/>
  <c r="S1053" i="6" s="1"/>
  <c r="R1045" i="6"/>
  <c r="O1045" i="6"/>
  <c r="T1045" i="6" s="1"/>
  <c r="Q1045" i="6"/>
  <c r="P1045" i="6"/>
  <c r="S1045" i="6" s="1"/>
  <c r="R1116" i="6"/>
  <c r="Q1116" i="6"/>
  <c r="P1116" i="6"/>
  <c r="S1116" i="6" s="1"/>
  <c r="O1116" i="6"/>
  <c r="T1116" i="6" s="1"/>
  <c r="Q1088" i="6"/>
  <c r="P1088" i="6"/>
  <c r="S1088" i="6" s="1"/>
  <c r="R1088" i="6"/>
  <c r="O1088" i="6"/>
  <c r="T1088" i="6" s="1"/>
  <c r="Q1080" i="6"/>
  <c r="P1080" i="6"/>
  <c r="S1080" i="6" s="1"/>
  <c r="R1080" i="6"/>
  <c r="O1080" i="6"/>
  <c r="T1080" i="6" s="1"/>
  <c r="R1055" i="6"/>
  <c r="O1055" i="6"/>
  <c r="T1055" i="6" s="1"/>
  <c r="P1055" i="6"/>
  <c r="S1055" i="6" s="1"/>
  <c r="Q1055" i="6"/>
  <c r="P1120" i="6"/>
  <c r="S1120" i="6" s="1"/>
  <c r="R1120" i="6"/>
  <c r="Q1120" i="6"/>
  <c r="O1120" i="6"/>
  <c r="T1120" i="6" s="1"/>
  <c r="R1073" i="6"/>
  <c r="O1073" i="6"/>
  <c r="T1073" i="6" s="1"/>
  <c r="Q1073" i="6"/>
  <c r="P1073" i="6"/>
  <c r="S1073" i="6" s="1"/>
  <c r="R1041" i="6"/>
  <c r="O1041" i="6"/>
  <c r="T1041" i="6" s="1"/>
  <c r="Q1041" i="6"/>
  <c r="P1041" i="6"/>
  <c r="S1041" i="6" s="1"/>
  <c r="P1136" i="6"/>
  <c r="S1136" i="6" s="1"/>
  <c r="R1136" i="6"/>
  <c r="Q1136" i="6"/>
  <c r="O1136" i="6"/>
  <c r="T1136" i="6" s="1"/>
  <c r="O993" i="6"/>
  <c r="T993" i="6" s="1"/>
  <c r="R993" i="6"/>
  <c r="Q993" i="6"/>
  <c r="P993" i="6"/>
  <c r="S993" i="6" s="1"/>
  <c r="R1103" i="6"/>
  <c r="P1103" i="6"/>
  <c r="S1103" i="6" s="1"/>
  <c r="O1103" i="6"/>
  <c r="T1103" i="6" s="1"/>
  <c r="Q1103" i="6"/>
  <c r="R1075" i="6"/>
  <c r="O1075" i="6"/>
  <c r="T1075" i="6" s="1"/>
  <c r="Q1075" i="6"/>
  <c r="P1075" i="6"/>
  <c r="S1075" i="6" s="1"/>
  <c r="O1046" i="6"/>
  <c r="T1046" i="6" s="1"/>
  <c r="R1046" i="6"/>
  <c r="Q1046" i="6"/>
  <c r="P1046" i="6"/>
  <c r="S1046" i="6" s="1"/>
  <c r="R1043" i="6"/>
  <c r="O1043" i="6"/>
  <c r="T1043" i="6" s="1"/>
  <c r="Q1043" i="6"/>
  <c r="P1043" i="6"/>
  <c r="S1043" i="6" s="1"/>
  <c r="Q1143" i="6"/>
  <c r="O1143" i="6"/>
  <c r="T1143" i="6" s="1"/>
  <c r="R1143" i="6"/>
  <c r="P1143" i="6"/>
  <c r="S1143" i="6" s="1"/>
  <c r="O1004" i="6"/>
  <c r="T1004" i="6" s="1"/>
  <c r="Q1004" i="6"/>
  <c r="P1004" i="6"/>
  <c r="S1004" i="6" s="1"/>
  <c r="R1004" i="6"/>
  <c r="R1110" i="6"/>
  <c r="Q1110" i="6"/>
  <c r="P1110" i="6"/>
  <c r="S1110" i="6" s="1"/>
  <c r="O1110" i="6"/>
  <c r="T1110" i="6" s="1"/>
  <c r="O1094" i="6"/>
  <c r="T1094" i="6" s="1"/>
  <c r="R1094" i="6"/>
  <c r="Q1094" i="6"/>
  <c r="P1094" i="6"/>
  <c r="S1094" i="6" s="1"/>
  <c r="R1018" i="6"/>
  <c r="P1018" i="6"/>
  <c r="S1018" i="6" s="1"/>
  <c r="O1018" i="6"/>
  <c r="T1018" i="6" s="1"/>
  <c r="Q1018" i="6"/>
  <c r="R1067" i="6"/>
  <c r="O1067" i="6"/>
  <c r="T1067" i="6" s="1"/>
  <c r="Q1067" i="6"/>
  <c r="P1067" i="6"/>
  <c r="S1067" i="6" s="1"/>
  <c r="O983" i="6"/>
  <c r="T983" i="6" s="1"/>
  <c r="R983" i="6"/>
  <c r="Q983" i="6"/>
  <c r="P983" i="6"/>
  <c r="S983" i="6" s="1"/>
  <c r="R856" i="6"/>
  <c r="Q856" i="6"/>
  <c r="P856" i="6"/>
  <c r="S856" i="6" s="1"/>
  <c r="O856" i="6"/>
  <c r="T856" i="6" s="1"/>
  <c r="R848" i="6"/>
  <c r="Q848" i="6"/>
  <c r="P848" i="6"/>
  <c r="S848" i="6" s="1"/>
  <c r="O848" i="6"/>
  <c r="T848" i="6" s="1"/>
  <c r="R840" i="6"/>
  <c r="Q840" i="6"/>
  <c r="P840" i="6"/>
  <c r="S840" i="6" s="1"/>
  <c r="O840" i="6"/>
  <c r="T840" i="6" s="1"/>
  <c r="R832" i="6"/>
  <c r="Q832" i="6"/>
  <c r="P832" i="6"/>
  <c r="S832" i="6" s="1"/>
  <c r="O832" i="6"/>
  <c r="T832" i="6" s="1"/>
  <c r="R824" i="6"/>
  <c r="Q824" i="6"/>
  <c r="P824" i="6"/>
  <c r="S824" i="6" s="1"/>
  <c r="O824" i="6"/>
  <c r="T824" i="6" s="1"/>
  <c r="R816" i="6"/>
  <c r="Q816" i="6"/>
  <c r="P816" i="6"/>
  <c r="S816" i="6" s="1"/>
  <c r="O816" i="6"/>
  <c r="T816" i="6" s="1"/>
  <c r="R808" i="6"/>
  <c r="Q808" i="6"/>
  <c r="P808" i="6"/>
  <c r="S808" i="6" s="1"/>
  <c r="O808" i="6"/>
  <c r="T808" i="6" s="1"/>
  <c r="R800" i="6"/>
  <c r="Q800" i="6"/>
  <c r="P800" i="6"/>
  <c r="S800" i="6" s="1"/>
  <c r="O800" i="6"/>
  <c r="T800" i="6" s="1"/>
  <c r="R792" i="6"/>
  <c r="Q792" i="6"/>
  <c r="P792" i="6"/>
  <c r="S792" i="6" s="1"/>
  <c r="O792" i="6"/>
  <c r="T792" i="6" s="1"/>
  <c r="R744" i="6"/>
  <c r="P744" i="6"/>
  <c r="S744" i="6" s="1"/>
  <c r="Q744" i="6"/>
  <c r="O744" i="6"/>
  <c r="T744" i="6" s="1"/>
  <c r="P728" i="6"/>
  <c r="S728" i="6" s="1"/>
  <c r="O728" i="6"/>
  <c r="T728" i="6" s="1"/>
  <c r="R728" i="6"/>
  <c r="Q728" i="6"/>
  <c r="P712" i="6"/>
  <c r="S712" i="6" s="1"/>
  <c r="O712" i="6"/>
  <c r="T712" i="6" s="1"/>
  <c r="R712" i="6"/>
  <c r="Q712" i="6"/>
  <c r="P674" i="6"/>
  <c r="S674" i="6" s="1"/>
  <c r="Q674" i="6"/>
  <c r="O674" i="6"/>
  <c r="T674" i="6" s="1"/>
  <c r="R674" i="6"/>
  <c r="P706" i="6"/>
  <c r="S706" i="6" s="1"/>
  <c r="R706" i="6"/>
  <c r="O706" i="6"/>
  <c r="T706" i="6" s="1"/>
  <c r="Q706" i="6"/>
  <c r="R685" i="6"/>
  <c r="P685" i="6"/>
  <c r="S685" i="6" s="1"/>
  <c r="O685" i="6"/>
  <c r="T685" i="6" s="1"/>
  <c r="Q685" i="6"/>
  <c r="P847" i="6"/>
  <c r="S847" i="6" s="1"/>
  <c r="R847" i="6"/>
  <c r="Q847" i="6"/>
  <c r="O847" i="6"/>
  <c r="T847" i="6" s="1"/>
  <c r="P831" i="6"/>
  <c r="S831" i="6" s="1"/>
  <c r="R831" i="6"/>
  <c r="Q831" i="6"/>
  <c r="O831" i="6"/>
  <c r="T831" i="6" s="1"/>
  <c r="P815" i="6"/>
  <c r="S815" i="6" s="1"/>
  <c r="R815" i="6"/>
  <c r="Q815" i="6"/>
  <c r="O815" i="6"/>
  <c r="T815" i="6" s="1"/>
  <c r="P799" i="6"/>
  <c r="S799" i="6" s="1"/>
  <c r="R799" i="6"/>
  <c r="Q799" i="6"/>
  <c r="O799" i="6"/>
  <c r="T799" i="6" s="1"/>
  <c r="R782" i="6"/>
  <c r="P782" i="6"/>
  <c r="S782" i="6" s="1"/>
  <c r="Q782" i="6"/>
  <c r="O782" i="6"/>
  <c r="T782" i="6" s="1"/>
  <c r="R778" i="6"/>
  <c r="P778" i="6"/>
  <c r="S778" i="6" s="1"/>
  <c r="Q778" i="6"/>
  <c r="O778" i="6"/>
  <c r="T778" i="6" s="1"/>
  <c r="R774" i="6"/>
  <c r="P774" i="6"/>
  <c r="S774" i="6" s="1"/>
  <c r="Q774" i="6"/>
  <c r="O774" i="6"/>
  <c r="T774" i="6" s="1"/>
  <c r="R770" i="6"/>
  <c r="P770" i="6"/>
  <c r="S770" i="6" s="1"/>
  <c r="Q770" i="6"/>
  <c r="O770" i="6"/>
  <c r="T770" i="6" s="1"/>
  <c r="R766" i="6"/>
  <c r="P766" i="6"/>
  <c r="S766" i="6" s="1"/>
  <c r="Q766" i="6"/>
  <c r="O766" i="6"/>
  <c r="T766" i="6" s="1"/>
  <c r="R762" i="6"/>
  <c r="P762" i="6"/>
  <c r="S762" i="6" s="1"/>
  <c r="Q762" i="6"/>
  <c r="O762" i="6"/>
  <c r="T762" i="6" s="1"/>
  <c r="R758" i="6"/>
  <c r="P758" i="6"/>
  <c r="S758" i="6" s="1"/>
  <c r="Q758" i="6"/>
  <c r="O758" i="6"/>
  <c r="T758" i="6" s="1"/>
  <c r="R754" i="6"/>
  <c r="P754" i="6"/>
  <c r="S754" i="6" s="1"/>
  <c r="Q754" i="6"/>
  <c r="O754" i="6"/>
  <c r="T754" i="6" s="1"/>
  <c r="R750" i="6"/>
  <c r="P750" i="6"/>
  <c r="S750" i="6" s="1"/>
  <c r="Q750" i="6"/>
  <c r="O750" i="6"/>
  <c r="T750" i="6" s="1"/>
  <c r="R746" i="6"/>
  <c r="P746" i="6"/>
  <c r="S746" i="6" s="1"/>
  <c r="Q746" i="6"/>
  <c r="O746" i="6"/>
  <c r="T746" i="6" s="1"/>
  <c r="P729" i="6"/>
  <c r="S729" i="6" s="1"/>
  <c r="R729" i="6"/>
  <c r="Q729" i="6"/>
  <c r="O729" i="6"/>
  <c r="T729" i="6" s="1"/>
  <c r="P713" i="6"/>
  <c r="S713" i="6" s="1"/>
  <c r="R713" i="6"/>
  <c r="O713" i="6"/>
  <c r="T713" i="6" s="1"/>
  <c r="Q713" i="6"/>
  <c r="R671" i="6"/>
  <c r="Q671" i="6"/>
  <c r="O671" i="6"/>
  <c r="T671" i="6" s="1"/>
  <c r="P671" i="6"/>
  <c r="S671" i="6" s="1"/>
  <c r="P785" i="6"/>
  <c r="S785" i="6" s="1"/>
  <c r="R785" i="6"/>
  <c r="Q785" i="6"/>
  <c r="O785" i="6"/>
  <c r="T785" i="6" s="1"/>
  <c r="P769" i="6"/>
  <c r="S769" i="6" s="1"/>
  <c r="R769" i="6"/>
  <c r="Q769" i="6"/>
  <c r="O769" i="6"/>
  <c r="T769" i="6" s="1"/>
  <c r="P753" i="6"/>
  <c r="S753" i="6" s="1"/>
  <c r="R753" i="6"/>
  <c r="Q753" i="6"/>
  <c r="O753" i="6"/>
  <c r="T753" i="6" s="1"/>
  <c r="P741" i="6"/>
  <c r="S741" i="6" s="1"/>
  <c r="R741" i="6"/>
  <c r="Q741" i="6"/>
  <c r="O741" i="6"/>
  <c r="T741" i="6" s="1"/>
  <c r="P709" i="6"/>
  <c r="S709" i="6" s="1"/>
  <c r="R709" i="6"/>
  <c r="Q709" i="6"/>
  <c r="O709" i="6"/>
  <c r="T709" i="6" s="1"/>
  <c r="P717" i="6"/>
  <c r="S717" i="6" s="1"/>
  <c r="R717" i="6"/>
  <c r="Q717" i="6"/>
  <c r="O717" i="6"/>
  <c r="T717" i="6" s="1"/>
  <c r="P633" i="6"/>
  <c r="S633" i="6" s="1"/>
  <c r="R633" i="6"/>
  <c r="N633" i="6" s="1"/>
  <c r="Q633" i="6"/>
  <c r="O633" i="6"/>
  <c r="T633" i="6" s="1"/>
  <c r="Q579" i="6"/>
  <c r="P579" i="6"/>
  <c r="S579" i="6" s="1"/>
  <c r="O579" i="6"/>
  <c r="T579" i="6" s="1"/>
  <c r="R579" i="6"/>
  <c r="N579" i="6" s="1"/>
  <c r="Q547" i="6"/>
  <c r="P547" i="6"/>
  <c r="S547" i="6" s="1"/>
  <c r="O547" i="6"/>
  <c r="T547" i="6" s="1"/>
  <c r="R547" i="6"/>
  <c r="N547" i="6" s="1"/>
  <c r="P716" i="6"/>
  <c r="S716" i="6" s="1"/>
  <c r="R716" i="6"/>
  <c r="Q716" i="6"/>
  <c r="O716" i="6"/>
  <c r="T716" i="6" s="1"/>
  <c r="R541" i="6"/>
  <c r="N541" i="6" s="1"/>
  <c r="P541" i="6"/>
  <c r="S541" i="6" s="1"/>
  <c r="O541" i="6"/>
  <c r="T541" i="6" s="1"/>
  <c r="Q541" i="6"/>
  <c r="R557" i="6"/>
  <c r="N557" i="6" s="1"/>
  <c r="Q557" i="6"/>
  <c r="P557" i="6"/>
  <c r="S557" i="6" s="1"/>
  <c r="O557" i="6"/>
  <c r="T557" i="6" s="1"/>
  <c r="R511" i="6"/>
  <c r="N511" i="6" s="1"/>
  <c r="P511" i="6"/>
  <c r="S511" i="6" s="1"/>
  <c r="O511" i="6"/>
  <c r="T511" i="6" s="1"/>
  <c r="Q511" i="6"/>
  <c r="R549" i="6"/>
  <c r="N549" i="6" s="1"/>
  <c r="Q549" i="6"/>
  <c r="P549" i="6"/>
  <c r="S549" i="6" s="1"/>
  <c r="O549" i="6"/>
  <c r="T549" i="6" s="1"/>
  <c r="R573" i="6"/>
  <c r="N573" i="6" s="1"/>
  <c r="Q573" i="6"/>
  <c r="P573" i="6"/>
  <c r="S573" i="6" s="1"/>
  <c r="O573" i="6"/>
  <c r="T573" i="6" s="1"/>
  <c r="R521" i="6"/>
  <c r="N521" i="6" s="1"/>
  <c r="P521" i="6"/>
  <c r="S521" i="6" s="1"/>
  <c r="O521" i="6"/>
  <c r="T521" i="6" s="1"/>
  <c r="Q521" i="6"/>
  <c r="P373" i="6"/>
  <c r="S373" i="6" s="1"/>
  <c r="O373" i="6"/>
  <c r="T373" i="6" s="1"/>
  <c r="R373" i="6"/>
  <c r="N373" i="6" s="1"/>
  <c r="Q373" i="6"/>
  <c r="R288" i="6"/>
  <c r="N288" i="6" s="1"/>
  <c r="P288" i="6"/>
  <c r="S288" i="6" s="1"/>
  <c r="O288" i="6"/>
  <c r="T288" i="6" s="1"/>
  <c r="Q288" i="6"/>
  <c r="R256" i="6"/>
  <c r="N256" i="6" s="1"/>
  <c r="P256" i="6"/>
  <c r="S256" i="6" s="1"/>
  <c r="O256" i="6"/>
  <c r="T256" i="6" s="1"/>
  <c r="Q256" i="6"/>
  <c r="R290" i="6"/>
  <c r="N290" i="6" s="1"/>
  <c r="Q290" i="6"/>
  <c r="P290" i="6"/>
  <c r="S290" i="6" s="1"/>
  <c r="O290" i="6"/>
  <c r="T290" i="6" s="1"/>
  <c r="R258" i="6"/>
  <c r="N258" i="6" s="1"/>
  <c r="Q258" i="6"/>
  <c r="P258" i="6"/>
  <c r="S258" i="6" s="1"/>
  <c r="O258" i="6"/>
  <c r="T258" i="6" s="1"/>
  <c r="R101" i="6"/>
  <c r="N101" i="6" s="1"/>
  <c r="Q101" i="6"/>
  <c r="P101" i="6"/>
  <c r="S101" i="6" s="1"/>
  <c r="O101" i="6"/>
  <c r="T101" i="6" s="1"/>
  <c r="R135" i="6"/>
  <c r="N135" i="6" s="1"/>
  <c r="Q135" i="6"/>
  <c r="P135" i="6"/>
  <c r="S135" i="6" s="1"/>
  <c r="O135" i="6"/>
  <c r="T135" i="6" s="1"/>
  <c r="R260" i="6"/>
  <c r="N260" i="6" s="1"/>
  <c r="Q260" i="6"/>
  <c r="P260" i="6"/>
  <c r="S260" i="6" s="1"/>
  <c r="O260" i="6"/>
  <c r="T260" i="6" s="1"/>
  <c r="R105" i="6"/>
  <c r="N105" i="6" s="1"/>
  <c r="O105" i="6"/>
  <c r="T105" i="6" s="1"/>
  <c r="Q105" i="6"/>
  <c r="P105" i="6"/>
  <c r="S105" i="6" s="1"/>
  <c r="F191" i="4"/>
  <c r="D191" i="4"/>
  <c r="F127" i="4"/>
  <c r="D127" i="4"/>
  <c r="F63" i="4"/>
  <c r="D63" i="4"/>
  <c r="O251" i="6"/>
  <c r="T251" i="6" s="1"/>
  <c r="R251" i="6"/>
  <c r="N251" i="6" s="1"/>
  <c r="Q251" i="6"/>
  <c r="P251" i="6"/>
  <c r="S251" i="6" s="1"/>
  <c r="R177" i="6"/>
  <c r="N177" i="6" s="1"/>
  <c r="Q177" i="6"/>
  <c r="P177" i="6"/>
  <c r="S177" i="6" s="1"/>
  <c r="O177" i="6"/>
  <c r="T177" i="6" s="1"/>
  <c r="F187" i="4"/>
  <c r="D187" i="4"/>
  <c r="F123" i="4"/>
  <c r="D123" i="4"/>
  <c r="F59" i="4"/>
  <c r="D59" i="4"/>
  <c r="F164" i="4"/>
  <c r="D164" i="4"/>
  <c r="F36" i="4"/>
  <c r="D36" i="4"/>
  <c r="D162" i="4"/>
  <c r="D144" i="4"/>
  <c r="F144" i="4"/>
  <c r="D89" i="4"/>
  <c r="F89" i="4"/>
  <c r="D34" i="4"/>
  <c r="P44" i="6"/>
  <c r="S44" i="6" s="1"/>
  <c r="O44" i="6"/>
  <c r="T44" i="6" s="1"/>
  <c r="R44" i="6"/>
  <c r="N44" i="6" s="1"/>
  <c r="A61" i="8" s="1"/>
  <c r="Q44" i="6"/>
  <c r="P12" i="6"/>
  <c r="S12" i="6" s="1"/>
  <c r="O12" i="6"/>
  <c r="T12" i="6" s="1"/>
  <c r="R12" i="6"/>
  <c r="N12" i="6" s="1"/>
  <c r="A29" i="8" s="1"/>
  <c r="Q12" i="6"/>
  <c r="F172" i="4"/>
  <c r="D172" i="4"/>
  <c r="F44" i="4"/>
  <c r="D44" i="4"/>
  <c r="P42" i="6"/>
  <c r="S42" i="6" s="1"/>
  <c r="O42" i="6"/>
  <c r="T42" i="6" s="1"/>
  <c r="R42" i="6"/>
  <c r="N42" i="6" s="1"/>
  <c r="A59" i="8" s="1"/>
  <c r="Q42" i="6"/>
  <c r="P10" i="6"/>
  <c r="S10" i="6" s="1"/>
  <c r="O10" i="6"/>
  <c r="T10" i="6" s="1"/>
  <c r="R10" i="6"/>
  <c r="N10" i="6" s="1"/>
  <c r="A27" i="8" s="1"/>
  <c r="Q10" i="6"/>
  <c r="D177" i="4"/>
  <c r="F177" i="4"/>
  <c r="D122" i="4"/>
  <c r="D104" i="4"/>
  <c r="F104" i="4"/>
  <c r="D49" i="4"/>
  <c r="F49" i="4"/>
  <c r="O1941" i="6"/>
  <c r="T1941" i="6" s="1"/>
  <c r="P1941" i="6"/>
  <c r="S1941" i="6" s="1"/>
  <c r="R1941" i="6"/>
  <c r="Q1941" i="6"/>
  <c r="R1750" i="6"/>
  <c r="Q1750" i="6"/>
  <c r="O1750" i="6"/>
  <c r="T1750" i="6" s="1"/>
  <c r="P1750" i="6"/>
  <c r="S1750" i="6" s="1"/>
  <c r="P1807" i="6"/>
  <c r="S1807" i="6" s="1"/>
  <c r="R1807" i="6"/>
  <c r="O1807" i="6"/>
  <c r="T1807" i="6" s="1"/>
  <c r="Q1807" i="6"/>
  <c r="P1609" i="6"/>
  <c r="S1609" i="6" s="1"/>
  <c r="R1609" i="6"/>
  <c r="Q1609" i="6"/>
  <c r="O1609" i="6"/>
  <c r="T1609" i="6" s="1"/>
  <c r="P1601" i="6"/>
  <c r="S1601" i="6" s="1"/>
  <c r="R1601" i="6"/>
  <c r="Q1601" i="6"/>
  <c r="O1601" i="6"/>
  <c r="T1601" i="6" s="1"/>
  <c r="O1460" i="6"/>
  <c r="T1460" i="6" s="1"/>
  <c r="R1460" i="6"/>
  <c r="Q1460" i="6"/>
  <c r="P1460" i="6"/>
  <c r="S1460" i="6" s="1"/>
  <c r="O1492" i="6"/>
  <c r="T1492" i="6" s="1"/>
  <c r="R1492" i="6"/>
  <c r="Q1492" i="6"/>
  <c r="P1492" i="6"/>
  <c r="S1492" i="6" s="1"/>
  <c r="O1123" i="6"/>
  <c r="T1123" i="6" s="1"/>
  <c r="P1123" i="6"/>
  <c r="S1123" i="6" s="1"/>
  <c r="R1123" i="6"/>
  <c r="Q1123" i="6"/>
  <c r="P1184" i="6"/>
  <c r="S1184" i="6" s="1"/>
  <c r="R1184" i="6"/>
  <c r="Q1184" i="6"/>
  <c r="O1184" i="6"/>
  <c r="T1184" i="6" s="1"/>
  <c r="P1154" i="6"/>
  <c r="S1154" i="6" s="1"/>
  <c r="Q1154" i="6"/>
  <c r="O1154" i="6"/>
  <c r="T1154" i="6" s="1"/>
  <c r="R1154" i="6"/>
  <c r="R838" i="6"/>
  <c r="Q838" i="6"/>
  <c r="P838" i="6"/>
  <c r="S838" i="6" s="1"/>
  <c r="O838" i="6"/>
  <c r="T838" i="6" s="1"/>
  <c r="R701" i="6"/>
  <c r="P701" i="6"/>
  <c r="S701" i="6" s="1"/>
  <c r="O701" i="6"/>
  <c r="T701" i="6" s="1"/>
  <c r="Q701" i="6"/>
  <c r="P819" i="6"/>
  <c r="S819" i="6" s="1"/>
  <c r="R819" i="6"/>
  <c r="Q819" i="6"/>
  <c r="O819" i="6"/>
  <c r="T819" i="6" s="1"/>
  <c r="R655" i="6"/>
  <c r="Q655" i="6"/>
  <c r="O655" i="6"/>
  <c r="T655" i="6" s="1"/>
  <c r="P655" i="6"/>
  <c r="S655" i="6" s="1"/>
  <c r="P765" i="6"/>
  <c r="S765" i="6" s="1"/>
  <c r="R765" i="6"/>
  <c r="Q765" i="6"/>
  <c r="O765" i="6"/>
  <c r="T765" i="6" s="1"/>
  <c r="Q555" i="6"/>
  <c r="P555" i="6"/>
  <c r="S555" i="6" s="1"/>
  <c r="R555" i="6"/>
  <c r="N555" i="6" s="1"/>
  <c r="O555" i="6"/>
  <c r="T555" i="6" s="1"/>
  <c r="O494" i="6"/>
  <c r="T494" i="6" s="1"/>
  <c r="R494" i="6"/>
  <c r="N494" i="6" s="1"/>
  <c r="Q494" i="6"/>
  <c r="P494" i="6"/>
  <c r="S494" i="6" s="1"/>
  <c r="R310" i="6"/>
  <c r="N310" i="6" s="1"/>
  <c r="Q310" i="6"/>
  <c r="P310" i="6"/>
  <c r="S310" i="6" s="1"/>
  <c r="O310" i="6"/>
  <c r="T310" i="6" s="1"/>
  <c r="R296" i="6"/>
  <c r="N296" i="6" s="1"/>
  <c r="P296" i="6"/>
  <c r="S296" i="6" s="1"/>
  <c r="O296" i="6"/>
  <c r="T296" i="6" s="1"/>
  <c r="Q296" i="6"/>
  <c r="F111" i="4"/>
  <c r="D111" i="4"/>
  <c r="F43" i="4"/>
  <c r="D43" i="4"/>
  <c r="F42" i="4"/>
  <c r="O1931" i="6"/>
  <c r="T1931" i="6" s="1"/>
  <c r="Q1931" i="6"/>
  <c r="P1931" i="6"/>
  <c r="S1931" i="6" s="1"/>
  <c r="R1931" i="6"/>
  <c r="P1793" i="6"/>
  <c r="S1793" i="6" s="1"/>
  <c r="R1793" i="6"/>
  <c r="Q1793" i="6"/>
  <c r="O1793" i="6"/>
  <c r="T1793" i="6" s="1"/>
  <c r="P1770" i="6"/>
  <c r="S1770" i="6" s="1"/>
  <c r="O1770" i="6"/>
  <c r="T1770" i="6" s="1"/>
  <c r="R1770" i="6"/>
  <c r="Q1770" i="6"/>
  <c r="R1686" i="6"/>
  <c r="O1686" i="6"/>
  <c r="T1686" i="6" s="1"/>
  <c r="Q1686" i="6"/>
  <c r="P1686" i="6"/>
  <c r="S1686" i="6" s="1"/>
  <c r="R1585" i="6"/>
  <c r="Q1585" i="6"/>
  <c r="P1585" i="6"/>
  <c r="S1585" i="6" s="1"/>
  <c r="O1585" i="6"/>
  <c r="T1585" i="6" s="1"/>
  <c r="O1472" i="6"/>
  <c r="T1472" i="6" s="1"/>
  <c r="Q1472" i="6"/>
  <c r="P1472" i="6"/>
  <c r="S1472" i="6" s="1"/>
  <c r="R1472" i="6"/>
  <c r="R2002" i="6"/>
  <c r="P2002" i="6"/>
  <c r="S2002" i="6" s="1"/>
  <c r="O2002" i="6"/>
  <c r="T2002" i="6" s="1"/>
  <c r="Q2002" i="6"/>
  <c r="R1992" i="6"/>
  <c r="P1992" i="6"/>
  <c r="S1992" i="6" s="1"/>
  <c r="O1992" i="6"/>
  <c r="T1992" i="6" s="1"/>
  <c r="Q1992" i="6"/>
  <c r="R1998" i="6"/>
  <c r="P1998" i="6"/>
  <c r="S1998" i="6" s="1"/>
  <c r="Q1998" i="6"/>
  <c r="O1998" i="6"/>
  <c r="T1998" i="6" s="1"/>
  <c r="P1956" i="6"/>
  <c r="S1956" i="6" s="1"/>
  <c r="R1956" i="6"/>
  <c r="Q1956" i="6"/>
  <c r="O1956" i="6"/>
  <c r="T1956" i="6" s="1"/>
  <c r="R1996" i="6"/>
  <c r="P1996" i="6"/>
  <c r="S1996" i="6" s="1"/>
  <c r="Q1996" i="6"/>
  <c r="O1996" i="6"/>
  <c r="T1996" i="6" s="1"/>
  <c r="R1949" i="6"/>
  <c r="O1949" i="6"/>
  <c r="T1949" i="6" s="1"/>
  <c r="Q1949" i="6"/>
  <c r="P1949" i="6"/>
  <c r="S1949" i="6" s="1"/>
  <c r="O1937" i="6"/>
  <c r="T1937" i="6" s="1"/>
  <c r="R1937" i="6"/>
  <c r="P1937" i="6"/>
  <c r="S1937" i="6" s="1"/>
  <c r="Q1937" i="6"/>
  <c r="O1943" i="6"/>
  <c r="T1943" i="6" s="1"/>
  <c r="R1943" i="6"/>
  <c r="Q1943" i="6"/>
  <c r="P1943" i="6"/>
  <c r="S1943" i="6" s="1"/>
  <c r="O1856" i="6"/>
  <c r="T1856" i="6" s="1"/>
  <c r="P1856" i="6"/>
  <c r="S1856" i="6" s="1"/>
  <c r="R1856" i="6"/>
  <c r="Q1856" i="6"/>
  <c r="O1866" i="6"/>
  <c r="T1866" i="6" s="1"/>
  <c r="P1866" i="6"/>
  <c r="S1866" i="6" s="1"/>
  <c r="R1866" i="6"/>
  <c r="Q1866" i="6"/>
  <c r="R1869" i="6"/>
  <c r="Q1869" i="6"/>
  <c r="O1869" i="6"/>
  <c r="T1869" i="6" s="1"/>
  <c r="P1869" i="6"/>
  <c r="S1869" i="6" s="1"/>
  <c r="O1888" i="6"/>
  <c r="T1888" i="6" s="1"/>
  <c r="Q1888" i="6"/>
  <c r="R1888" i="6"/>
  <c r="P1888" i="6"/>
  <c r="S1888" i="6" s="1"/>
  <c r="O1862" i="6"/>
  <c r="T1862" i="6" s="1"/>
  <c r="R1862" i="6"/>
  <c r="Q1862" i="6"/>
  <c r="P1862" i="6"/>
  <c r="S1862" i="6" s="1"/>
  <c r="R1752" i="6"/>
  <c r="Q1752" i="6"/>
  <c r="O1752" i="6"/>
  <c r="T1752" i="6" s="1"/>
  <c r="P1752" i="6"/>
  <c r="S1752" i="6" s="1"/>
  <c r="R1736" i="6"/>
  <c r="Q1736" i="6"/>
  <c r="O1736" i="6"/>
  <c r="T1736" i="6" s="1"/>
  <c r="P1736" i="6"/>
  <c r="S1736" i="6" s="1"/>
  <c r="P1777" i="6"/>
  <c r="S1777" i="6" s="1"/>
  <c r="Q1777" i="6"/>
  <c r="O1777" i="6"/>
  <c r="T1777" i="6" s="1"/>
  <c r="R1777" i="6"/>
  <c r="R1708" i="6"/>
  <c r="O1708" i="6"/>
  <c r="T1708" i="6" s="1"/>
  <c r="Q1708" i="6"/>
  <c r="P1708" i="6"/>
  <c r="S1708" i="6" s="1"/>
  <c r="R1676" i="6"/>
  <c r="O1676" i="6"/>
  <c r="T1676" i="6" s="1"/>
  <c r="Q1676" i="6"/>
  <c r="P1676" i="6"/>
  <c r="S1676" i="6" s="1"/>
  <c r="R1664" i="6"/>
  <c r="O1664" i="6"/>
  <c r="T1664" i="6" s="1"/>
  <c r="Q1664" i="6"/>
  <c r="P1664" i="6"/>
  <c r="S1664" i="6" s="1"/>
  <c r="R1690" i="6"/>
  <c r="O1690" i="6"/>
  <c r="T1690" i="6" s="1"/>
  <c r="P1690" i="6"/>
  <c r="S1690" i="6" s="1"/>
  <c r="Q1690" i="6"/>
  <c r="P1657" i="6"/>
  <c r="S1657" i="6" s="1"/>
  <c r="O1657" i="6"/>
  <c r="T1657" i="6" s="1"/>
  <c r="R1657" i="6"/>
  <c r="Q1657" i="6"/>
  <c r="P1613" i="6"/>
  <c r="S1613" i="6" s="1"/>
  <c r="R1613" i="6"/>
  <c r="Q1613" i="6"/>
  <c r="O1613" i="6"/>
  <c r="T1613" i="6" s="1"/>
  <c r="R1415" i="6"/>
  <c r="Q1415" i="6"/>
  <c r="P1415" i="6"/>
  <c r="S1415" i="6" s="1"/>
  <c r="O1415" i="6"/>
  <c r="T1415" i="6" s="1"/>
  <c r="R1427" i="6"/>
  <c r="Q1427" i="6"/>
  <c r="P1427" i="6"/>
  <c r="S1427" i="6" s="1"/>
  <c r="O1427" i="6"/>
  <c r="T1427" i="6" s="1"/>
  <c r="O1465" i="6"/>
  <c r="T1465" i="6" s="1"/>
  <c r="R1465" i="6"/>
  <c r="Q1465" i="6"/>
  <c r="P1465" i="6"/>
  <c r="S1465" i="6" s="1"/>
  <c r="R1339" i="6"/>
  <c r="Q1339" i="6"/>
  <c r="P1339" i="6"/>
  <c r="S1339" i="6" s="1"/>
  <c r="O1339" i="6"/>
  <c r="T1339" i="6" s="1"/>
  <c r="R1335" i="6"/>
  <c r="Q1335" i="6"/>
  <c r="P1335" i="6"/>
  <c r="S1335" i="6" s="1"/>
  <c r="O1335" i="6"/>
  <c r="T1335" i="6" s="1"/>
  <c r="R1333" i="6"/>
  <c r="Q1333" i="6"/>
  <c r="P1333" i="6"/>
  <c r="S1333" i="6" s="1"/>
  <c r="O1333" i="6"/>
  <c r="T1333" i="6" s="1"/>
  <c r="R1267" i="6"/>
  <c r="Q1267" i="6"/>
  <c r="P1267" i="6"/>
  <c r="S1267" i="6" s="1"/>
  <c r="O1267" i="6"/>
  <c r="T1267" i="6" s="1"/>
  <c r="Q1263" i="6"/>
  <c r="P1263" i="6"/>
  <c r="S1263" i="6" s="1"/>
  <c r="O1263" i="6"/>
  <c r="T1263" i="6" s="1"/>
  <c r="R1263" i="6"/>
  <c r="Q1231" i="6"/>
  <c r="P1231" i="6"/>
  <c r="S1231" i="6" s="1"/>
  <c r="O1231" i="6"/>
  <c r="T1231" i="6" s="1"/>
  <c r="R1231" i="6"/>
  <c r="P1208" i="6"/>
  <c r="S1208" i="6" s="1"/>
  <c r="R1208" i="6"/>
  <c r="Q1208" i="6"/>
  <c r="O1208" i="6"/>
  <c r="T1208" i="6" s="1"/>
  <c r="P1182" i="6"/>
  <c r="S1182" i="6" s="1"/>
  <c r="O1182" i="6"/>
  <c r="T1182" i="6" s="1"/>
  <c r="R1182" i="6"/>
  <c r="Q1182" i="6"/>
  <c r="P1222" i="6"/>
  <c r="S1222" i="6" s="1"/>
  <c r="R1222" i="6"/>
  <c r="Q1222" i="6"/>
  <c r="O1222" i="6"/>
  <c r="T1222" i="6" s="1"/>
  <c r="P1180" i="6"/>
  <c r="S1180" i="6" s="1"/>
  <c r="R1180" i="6"/>
  <c r="Q1180" i="6"/>
  <c r="O1180" i="6"/>
  <c r="T1180" i="6" s="1"/>
  <c r="P1160" i="6"/>
  <c r="S1160" i="6" s="1"/>
  <c r="Q1160" i="6"/>
  <c r="O1160" i="6"/>
  <c r="T1160" i="6" s="1"/>
  <c r="R1160" i="6"/>
  <c r="O1139" i="6"/>
  <c r="T1139" i="6" s="1"/>
  <c r="R1139" i="6"/>
  <c r="Q1139" i="6"/>
  <c r="P1139" i="6"/>
  <c r="S1139" i="6" s="1"/>
  <c r="R1063" i="6"/>
  <c r="O1063" i="6"/>
  <c r="T1063" i="6" s="1"/>
  <c r="P1063" i="6"/>
  <c r="S1063" i="6" s="1"/>
  <c r="Q1063" i="6"/>
  <c r="R1031" i="6"/>
  <c r="O1031" i="6"/>
  <c r="T1031" i="6" s="1"/>
  <c r="P1031" i="6"/>
  <c r="S1031" i="6" s="1"/>
  <c r="Q1031" i="6"/>
  <c r="R1017" i="6"/>
  <c r="O1017" i="6"/>
  <c r="T1017" i="6" s="1"/>
  <c r="Q1017" i="6"/>
  <c r="P1017" i="6"/>
  <c r="S1017" i="6" s="1"/>
  <c r="R1105" i="6"/>
  <c r="P1105" i="6"/>
  <c r="S1105" i="6" s="1"/>
  <c r="O1105" i="6"/>
  <c r="T1105" i="6" s="1"/>
  <c r="Q1105" i="6"/>
  <c r="O1003" i="6"/>
  <c r="T1003" i="6" s="1"/>
  <c r="P1003" i="6"/>
  <c r="S1003" i="6" s="1"/>
  <c r="R1003" i="6"/>
  <c r="Q1003" i="6"/>
  <c r="O963" i="6"/>
  <c r="T963" i="6" s="1"/>
  <c r="P963" i="6"/>
  <c r="S963" i="6" s="1"/>
  <c r="R963" i="6"/>
  <c r="Q963" i="6"/>
  <c r="P1024" i="6"/>
  <c r="S1024" i="6" s="1"/>
  <c r="R1024" i="6"/>
  <c r="Q1024" i="6"/>
  <c r="O1024" i="6"/>
  <c r="T1024" i="6" s="1"/>
  <c r="O996" i="6"/>
  <c r="T996" i="6" s="1"/>
  <c r="Q996" i="6"/>
  <c r="P996" i="6"/>
  <c r="S996" i="6" s="1"/>
  <c r="R996" i="6"/>
  <c r="R1034" i="6"/>
  <c r="P1034" i="6"/>
  <c r="S1034" i="6" s="1"/>
  <c r="O1034" i="6"/>
  <c r="T1034" i="6" s="1"/>
  <c r="Q1034" i="6"/>
  <c r="R1019" i="6"/>
  <c r="O1019" i="6"/>
  <c r="T1019" i="6" s="1"/>
  <c r="Q1019" i="6"/>
  <c r="P1019" i="6"/>
  <c r="S1019" i="6" s="1"/>
  <c r="O969" i="6"/>
  <c r="T969" i="6" s="1"/>
  <c r="Q969" i="6"/>
  <c r="P969" i="6"/>
  <c r="S969" i="6" s="1"/>
  <c r="R969" i="6"/>
  <c r="O980" i="6"/>
  <c r="T980" i="6" s="1"/>
  <c r="Q980" i="6"/>
  <c r="P980" i="6"/>
  <c r="S980" i="6" s="1"/>
  <c r="R980" i="6"/>
  <c r="R780" i="6"/>
  <c r="P780" i="6"/>
  <c r="S780" i="6" s="1"/>
  <c r="Q780" i="6"/>
  <c r="O780" i="6"/>
  <c r="T780" i="6" s="1"/>
  <c r="R764" i="6"/>
  <c r="P764" i="6"/>
  <c r="S764" i="6" s="1"/>
  <c r="Q764" i="6"/>
  <c r="O764" i="6"/>
  <c r="T764" i="6" s="1"/>
  <c r="R748" i="6"/>
  <c r="P748" i="6"/>
  <c r="S748" i="6" s="1"/>
  <c r="Q748" i="6"/>
  <c r="O748" i="6"/>
  <c r="T748" i="6" s="1"/>
  <c r="P666" i="6"/>
  <c r="S666" i="6" s="1"/>
  <c r="Q666" i="6"/>
  <c r="O666" i="6"/>
  <c r="T666" i="6" s="1"/>
  <c r="R666" i="6"/>
  <c r="R683" i="6"/>
  <c r="Q683" i="6"/>
  <c r="P683" i="6"/>
  <c r="S683" i="6" s="1"/>
  <c r="O683" i="6"/>
  <c r="T683" i="6" s="1"/>
  <c r="R651" i="6"/>
  <c r="Q651" i="6"/>
  <c r="P651" i="6"/>
  <c r="S651" i="6" s="1"/>
  <c r="O651" i="6"/>
  <c r="T651" i="6" s="1"/>
  <c r="P731" i="6"/>
  <c r="S731" i="6" s="1"/>
  <c r="R731" i="6"/>
  <c r="Q731" i="6"/>
  <c r="O731" i="6"/>
  <c r="T731" i="6" s="1"/>
  <c r="R661" i="6"/>
  <c r="P661" i="6"/>
  <c r="S661" i="6" s="1"/>
  <c r="O661" i="6"/>
  <c r="T661" i="6" s="1"/>
  <c r="Q661" i="6"/>
  <c r="P857" i="6"/>
  <c r="S857" i="6" s="1"/>
  <c r="R857" i="6"/>
  <c r="Q857" i="6"/>
  <c r="O857" i="6"/>
  <c r="T857" i="6" s="1"/>
  <c r="P841" i="6"/>
  <c r="S841" i="6" s="1"/>
  <c r="R841" i="6"/>
  <c r="Q841" i="6"/>
  <c r="O841" i="6"/>
  <c r="T841" i="6" s="1"/>
  <c r="P825" i="6"/>
  <c r="S825" i="6" s="1"/>
  <c r="R825" i="6"/>
  <c r="Q825" i="6"/>
  <c r="O825" i="6"/>
  <c r="T825" i="6" s="1"/>
  <c r="P809" i="6"/>
  <c r="S809" i="6" s="1"/>
  <c r="R809" i="6"/>
  <c r="Q809" i="6"/>
  <c r="O809" i="6"/>
  <c r="T809" i="6" s="1"/>
  <c r="P793" i="6"/>
  <c r="S793" i="6" s="1"/>
  <c r="R793" i="6"/>
  <c r="Q793" i="6"/>
  <c r="O793" i="6"/>
  <c r="T793" i="6" s="1"/>
  <c r="P727" i="6"/>
  <c r="S727" i="6" s="1"/>
  <c r="R727" i="6"/>
  <c r="Q727" i="6"/>
  <c r="O727" i="6"/>
  <c r="T727" i="6" s="1"/>
  <c r="R695" i="6"/>
  <c r="Q695" i="6"/>
  <c r="O695" i="6"/>
  <c r="T695" i="6" s="1"/>
  <c r="P695" i="6"/>
  <c r="S695" i="6" s="1"/>
  <c r="P656" i="6"/>
  <c r="S656" i="6" s="1"/>
  <c r="Q656" i="6"/>
  <c r="R656" i="6"/>
  <c r="O656" i="6"/>
  <c r="T656" i="6" s="1"/>
  <c r="Q567" i="6"/>
  <c r="P567" i="6"/>
  <c r="S567" i="6" s="1"/>
  <c r="R567" i="6"/>
  <c r="N567" i="6" s="1"/>
  <c r="O567" i="6"/>
  <c r="T567" i="6" s="1"/>
  <c r="R657" i="6"/>
  <c r="Q657" i="6"/>
  <c r="O657" i="6"/>
  <c r="T657" i="6" s="1"/>
  <c r="P657" i="6"/>
  <c r="S657" i="6" s="1"/>
  <c r="R611" i="6"/>
  <c r="N611" i="6" s="1"/>
  <c r="Q611" i="6"/>
  <c r="P611" i="6"/>
  <c r="S611" i="6" s="1"/>
  <c r="O611" i="6"/>
  <c r="T611" i="6" s="1"/>
  <c r="R603" i="6"/>
  <c r="N603" i="6" s="1"/>
  <c r="Q603" i="6"/>
  <c r="P603" i="6"/>
  <c r="S603" i="6" s="1"/>
  <c r="O603" i="6"/>
  <c r="T603" i="6" s="1"/>
  <c r="R595" i="6"/>
  <c r="N595" i="6" s="1"/>
  <c r="Q595" i="6"/>
  <c r="P595" i="6"/>
  <c r="S595" i="6" s="1"/>
  <c r="O595" i="6"/>
  <c r="T595" i="6" s="1"/>
  <c r="R587" i="6"/>
  <c r="N587" i="6" s="1"/>
  <c r="Q587" i="6"/>
  <c r="P587" i="6"/>
  <c r="S587" i="6" s="1"/>
  <c r="O587" i="6"/>
  <c r="T587" i="6" s="1"/>
  <c r="R565" i="6"/>
  <c r="N565" i="6" s="1"/>
  <c r="Q565" i="6"/>
  <c r="P565" i="6"/>
  <c r="S565" i="6" s="1"/>
  <c r="O565" i="6"/>
  <c r="T565" i="6" s="1"/>
  <c r="R515" i="6"/>
  <c r="N515" i="6" s="1"/>
  <c r="P515" i="6"/>
  <c r="S515" i="6" s="1"/>
  <c r="O515" i="6"/>
  <c r="T515" i="6" s="1"/>
  <c r="Q515" i="6"/>
  <c r="O492" i="6"/>
  <c r="T492" i="6" s="1"/>
  <c r="R492" i="6"/>
  <c r="N492" i="6" s="1"/>
  <c r="Q492" i="6"/>
  <c r="P492" i="6"/>
  <c r="S492" i="6" s="1"/>
  <c r="R472" i="6"/>
  <c r="N472" i="6" s="1"/>
  <c r="Q472" i="6"/>
  <c r="P472" i="6"/>
  <c r="S472" i="6" s="1"/>
  <c r="O472" i="6"/>
  <c r="T472" i="6" s="1"/>
  <c r="R382" i="6"/>
  <c r="N382" i="6" s="1"/>
  <c r="Q382" i="6"/>
  <c r="P382" i="6"/>
  <c r="S382" i="6" s="1"/>
  <c r="O382" i="6"/>
  <c r="T382" i="6" s="1"/>
  <c r="R374" i="6"/>
  <c r="N374" i="6" s="1"/>
  <c r="Q374" i="6"/>
  <c r="P374" i="6"/>
  <c r="S374" i="6" s="1"/>
  <c r="O374" i="6"/>
  <c r="T374" i="6" s="1"/>
  <c r="R366" i="6"/>
  <c r="N366" i="6" s="1"/>
  <c r="Q366" i="6"/>
  <c r="P366" i="6"/>
  <c r="S366" i="6" s="1"/>
  <c r="O366" i="6"/>
  <c r="T366" i="6" s="1"/>
  <c r="R358" i="6"/>
  <c r="N358" i="6" s="1"/>
  <c r="Q358" i="6"/>
  <c r="P358" i="6"/>
  <c r="S358" i="6" s="1"/>
  <c r="O358" i="6"/>
  <c r="T358" i="6" s="1"/>
  <c r="R350" i="6"/>
  <c r="N350" i="6" s="1"/>
  <c r="Q350" i="6"/>
  <c r="P350" i="6"/>
  <c r="S350" i="6" s="1"/>
  <c r="O350" i="6"/>
  <c r="T350" i="6" s="1"/>
  <c r="R342" i="6"/>
  <c r="N342" i="6" s="1"/>
  <c r="Q342" i="6"/>
  <c r="P342" i="6"/>
  <c r="S342" i="6" s="1"/>
  <c r="O342" i="6"/>
  <c r="T342" i="6" s="1"/>
  <c r="R334" i="6"/>
  <c r="N334" i="6" s="1"/>
  <c r="Q334" i="6"/>
  <c r="P334" i="6"/>
  <c r="S334" i="6" s="1"/>
  <c r="O334" i="6"/>
  <c r="T334" i="6" s="1"/>
  <c r="R326" i="6"/>
  <c r="N326" i="6" s="1"/>
  <c r="Q326" i="6"/>
  <c r="P326" i="6"/>
  <c r="S326" i="6" s="1"/>
  <c r="O326" i="6"/>
  <c r="T326" i="6" s="1"/>
  <c r="R318" i="6"/>
  <c r="N318" i="6" s="1"/>
  <c r="Q318" i="6"/>
  <c r="P318" i="6"/>
  <c r="S318" i="6" s="1"/>
  <c r="O318" i="6"/>
  <c r="T318" i="6" s="1"/>
  <c r="R517" i="6"/>
  <c r="N517" i="6" s="1"/>
  <c r="P517" i="6"/>
  <c r="S517" i="6" s="1"/>
  <c r="O517" i="6"/>
  <c r="T517" i="6" s="1"/>
  <c r="Q517" i="6"/>
  <c r="P377" i="6"/>
  <c r="S377" i="6" s="1"/>
  <c r="O377" i="6"/>
  <c r="T377" i="6" s="1"/>
  <c r="R377" i="6"/>
  <c r="N377" i="6" s="1"/>
  <c r="Q377" i="6"/>
  <c r="P379" i="6"/>
  <c r="S379" i="6" s="1"/>
  <c r="O379" i="6"/>
  <c r="T379" i="6" s="1"/>
  <c r="R379" i="6"/>
  <c r="N379" i="6" s="1"/>
  <c r="Q379" i="6"/>
  <c r="O243" i="6"/>
  <c r="T243" i="6" s="1"/>
  <c r="R243" i="6"/>
  <c r="N243" i="6" s="1"/>
  <c r="Q243" i="6"/>
  <c r="P243" i="6"/>
  <c r="S243" i="6" s="1"/>
  <c r="R149" i="6"/>
  <c r="N149" i="6" s="1"/>
  <c r="Q149" i="6"/>
  <c r="P149" i="6"/>
  <c r="S149" i="6" s="1"/>
  <c r="O149" i="6"/>
  <c r="T149" i="6" s="1"/>
  <c r="R119" i="6"/>
  <c r="N119" i="6" s="1"/>
  <c r="Q119" i="6"/>
  <c r="P119" i="6"/>
  <c r="S119" i="6" s="1"/>
  <c r="O119" i="6"/>
  <c r="T119" i="6" s="1"/>
  <c r="R85" i="6"/>
  <c r="N85" i="6" s="1"/>
  <c r="Q85" i="6"/>
  <c r="P85" i="6"/>
  <c r="S85" i="6" s="1"/>
  <c r="O85" i="6"/>
  <c r="T85" i="6" s="1"/>
  <c r="O267" i="6"/>
  <c r="T267" i="6" s="1"/>
  <c r="R267" i="6"/>
  <c r="N267" i="6" s="1"/>
  <c r="Q267" i="6"/>
  <c r="P267" i="6"/>
  <c r="S267" i="6" s="1"/>
  <c r="R121" i="6"/>
  <c r="N121" i="6" s="1"/>
  <c r="O121" i="6"/>
  <c r="T121" i="6" s="1"/>
  <c r="Q121" i="6"/>
  <c r="P121" i="6"/>
  <c r="S121" i="6" s="1"/>
  <c r="F183" i="4"/>
  <c r="D183" i="4"/>
  <c r="F119" i="4"/>
  <c r="D119" i="4"/>
  <c r="F55" i="4"/>
  <c r="D55" i="4"/>
  <c r="O337" i="6"/>
  <c r="T337" i="6" s="1"/>
  <c r="R337" i="6"/>
  <c r="N337" i="6" s="1"/>
  <c r="Q337" i="6"/>
  <c r="P337" i="6"/>
  <c r="S337" i="6" s="1"/>
  <c r="R189" i="6"/>
  <c r="N189" i="6" s="1"/>
  <c r="Q189" i="6"/>
  <c r="P189" i="6"/>
  <c r="S189" i="6" s="1"/>
  <c r="O189" i="6"/>
  <c r="T189" i="6" s="1"/>
  <c r="R109" i="6"/>
  <c r="N109" i="6" s="1"/>
  <c r="Q109" i="6"/>
  <c r="P109" i="6"/>
  <c r="S109" i="6" s="1"/>
  <c r="O109" i="6"/>
  <c r="T109" i="6" s="1"/>
  <c r="N495" i="6"/>
  <c r="P227" i="6"/>
  <c r="S227" i="6" s="1"/>
  <c r="O227" i="6"/>
  <c r="T227" i="6" s="1"/>
  <c r="R227" i="6"/>
  <c r="N227" i="6" s="1"/>
  <c r="Q227" i="6"/>
  <c r="P223" i="6"/>
  <c r="S223" i="6" s="1"/>
  <c r="O223" i="6"/>
  <c r="T223" i="6" s="1"/>
  <c r="R223" i="6"/>
  <c r="N223" i="6" s="1"/>
  <c r="Q223" i="6"/>
  <c r="R191" i="6"/>
  <c r="N191" i="6" s="1"/>
  <c r="Q191" i="6"/>
  <c r="P191" i="6"/>
  <c r="S191" i="6" s="1"/>
  <c r="O191" i="6"/>
  <c r="T191" i="6" s="1"/>
  <c r="R175" i="6"/>
  <c r="N175" i="6" s="1"/>
  <c r="Q175" i="6"/>
  <c r="P175" i="6"/>
  <c r="S175" i="6" s="1"/>
  <c r="O175" i="6"/>
  <c r="T175" i="6" s="1"/>
  <c r="R159" i="6"/>
  <c r="N159" i="6" s="1"/>
  <c r="Q159" i="6"/>
  <c r="P159" i="6"/>
  <c r="S159" i="6" s="1"/>
  <c r="O159" i="6"/>
  <c r="T159" i="6" s="1"/>
  <c r="R143" i="6"/>
  <c r="N143" i="6" s="1"/>
  <c r="Q143" i="6"/>
  <c r="P143" i="6"/>
  <c r="S143" i="6" s="1"/>
  <c r="O143" i="6"/>
  <c r="T143" i="6" s="1"/>
  <c r="R127" i="6"/>
  <c r="N127" i="6" s="1"/>
  <c r="Q127" i="6"/>
  <c r="P127" i="6"/>
  <c r="S127" i="6" s="1"/>
  <c r="O127" i="6"/>
  <c r="T127" i="6" s="1"/>
  <c r="R111" i="6"/>
  <c r="N111" i="6" s="1"/>
  <c r="Q111" i="6"/>
  <c r="P111" i="6"/>
  <c r="S111" i="6" s="1"/>
  <c r="O111" i="6"/>
  <c r="T111" i="6" s="1"/>
  <c r="R95" i="6"/>
  <c r="N95" i="6" s="1"/>
  <c r="Q95" i="6"/>
  <c r="P95" i="6"/>
  <c r="S95" i="6" s="1"/>
  <c r="O95" i="6"/>
  <c r="T95" i="6" s="1"/>
  <c r="F204" i="3"/>
  <c r="G6" i="3"/>
  <c r="R276" i="6"/>
  <c r="N276" i="6" s="1"/>
  <c r="Q276" i="6"/>
  <c r="P276" i="6"/>
  <c r="S276" i="6" s="1"/>
  <c r="O276" i="6"/>
  <c r="T276" i="6" s="1"/>
  <c r="R129" i="6"/>
  <c r="N129" i="6" s="1"/>
  <c r="Q129" i="6"/>
  <c r="P129" i="6"/>
  <c r="S129" i="6" s="1"/>
  <c r="O129" i="6"/>
  <c r="T129" i="6" s="1"/>
  <c r="F179" i="4"/>
  <c r="D179" i="4"/>
  <c r="F115" i="4"/>
  <c r="D115" i="4"/>
  <c r="F51" i="4"/>
  <c r="D51" i="4"/>
  <c r="N481" i="6"/>
  <c r="O345" i="6"/>
  <c r="T345" i="6" s="1"/>
  <c r="R345" i="6"/>
  <c r="N345" i="6" s="1"/>
  <c r="Q345" i="6"/>
  <c r="P345" i="6"/>
  <c r="S345" i="6" s="1"/>
  <c r="P48" i="6"/>
  <c r="S48" i="6" s="1"/>
  <c r="O48" i="6"/>
  <c r="T48" i="6" s="1"/>
  <c r="R48" i="6"/>
  <c r="N48" i="6" s="1"/>
  <c r="A65" i="8" s="1"/>
  <c r="Q48" i="6"/>
  <c r="P16" i="6"/>
  <c r="S16" i="6" s="1"/>
  <c r="O16" i="6"/>
  <c r="T16" i="6" s="1"/>
  <c r="R16" i="6"/>
  <c r="N16" i="6" s="1"/>
  <c r="A33" i="8" s="1"/>
  <c r="Q16" i="6"/>
  <c r="F148" i="4"/>
  <c r="D148" i="4"/>
  <c r="F20" i="4"/>
  <c r="D20" i="4"/>
  <c r="P38" i="6"/>
  <c r="S38" i="6" s="1"/>
  <c r="O38" i="6"/>
  <c r="T38" i="6" s="1"/>
  <c r="R38" i="6"/>
  <c r="N38" i="6" s="1"/>
  <c r="A55" i="8" s="1"/>
  <c r="Q38" i="6"/>
  <c r="P6" i="6"/>
  <c r="S6" i="6" s="1"/>
  <c r="O6" i="6"/>
  <c r="T6" i="6" s="1"/>
  <c r="R6" i="6"/>
  <c r="N6" i="6" s="1"/>
  <c r="A23" i="8" s="1"/>
  <c r="Q6" i="6"/>
  <c r="D192" i="4"/>
  <c r="F192" i="4"/>
  <c r="D137" i="4"/>
  <c r="F137" i="4"/>
  <c r="D64" i="4"/>
  <c r="F64" i="4"/>
  <c r="F156" i="4"/>
  <c r="D156" i="4"/>
  <c r="F28" i="4"/>
  <c r="D28" i="4"/>
  <c r="R99" i="6"/>
  <c r="N99" i="6" s="1"/>
  <c r="Q99" i="6"/>
  <c r="P99" i="6"/>
  <c r="S99" i="6" s="1"/>
  <c r="O99" i="6"/>
  <c r="T99" i="6" s="1"/>
  <c r="R179" i="6"/>
  <c r="N179" i="6" s="1"/>
  <c r="Q179" i="6"/>
  <c r="P179" i="6"/>
  <c r="S179" i="6" s="1"/>
  <c r="O179" i="6"/>
  <c r="T179" i="6" s="1"/>
  <c r="R76" i="6"/>
  <c r="N76" i="6" s="1"/>
  <c r="Q76" i="6"/>
  <c r="P76" i="6"/>
  <c r="S76" i="6" s="1"/>
  <c r="O76" i="6"/>
  <c r="T76" i="6" s="1"/>
  <c r="D152" i="4"/>
  <c r="F152" i="4"/>
  <c r="D97" i="4"/>
  <c r="F97" i="4"/>
  <c r="D24" i="4"/>
  <c r="F24" i="4"/>
  <c r="N474" i="6"/>
  <c r="C58" i="8" l="1"/>
  <c r="B60" i="8"/>
  <c r="F28" i="8"/>
  <c r="D60" i="8"/>
  <c r="B28" i="8"/>
  <c r="C28" i="8"/>
  <c r="E44" i="8"/>
  <c r="E34" i="8"/>
  <c r="F44" i="8"/>
  <c r="C42" i="8"/>
  <c r="B44" i="8"/>
  <c r="B42" i="8"/>
  <c r="C44" i="8"/>
  <c r="D42" i="8"/>
  <c r="E42" i="8"/>
  <c r="D30" i="8"/>
  <c r="F34" i="8"/>
  <c r="E30" i="8"/>
  <c r="F30" i="8"/>
  <c r="B40" i="8"/>
  <c r="C34" i="8"/>
  <c r="B34" i="8"/>
  <c r="E48" i="8"/>
  <c r="B58" i="8"/>
  <c r="F48" i="8"/>
  <c r="D58" i="8"/>
  <c r="B48" i="8"/>
  <c r="E58" i="8"/>
  <c r="C48" i="8"/>
  <c r="E26" i="8"/>
  <c r="F26" i="8"/>
  <c r="B64" i="8"/>
  <c r="E54" i="8"/>
  <c r="B68" i="8"/>
  <c r="D26" i="8"/>
  <c r="C62" i="8"/>
  <c r="B62" i="8"/>
  <c r="D62" i="8"/>
  <c r="E62" i="8"/>
  <c r="B46" i="8"/>
  <c r="E64" i="8"/>
  <c r="F46" i="8"/>
  <c r="F64" i="8"/>
  <c r="E38" i="8"/>
  <c r="C64" i="8"/>
  <c r="F38" i="8"/>
  <c r="D54" i="8"/>
  <c r="D74" i="8"/>
  <c r="F54" i="8"/>
  <c r="E32" i="8"/>
  <c r="B72" i="8"/>
  <c r="F32" i="8"/>
  <c r="B32" i="8"/>
  <c r="C54" i="8"/>
  <c r="C32" i="8"/>
  <c r="C46" i="8"/>
  <c r="D46" i="8"/>
  <c r="D24" i="8"/>
  <c r="B66" i="8"/>
  <c r="F66" i="8"/>
  <c r="F56" i="8"/>
  <c r="C38" i="8"/>
  <c r="B56" i="8"/>
  <c r="B38" i="8"/>
  <c r="C56" i="8"/>
  <c r="C26" i="8"/>
  <c r="D56" i="8"/>
  <c r="C68" i="8"/>
  <c r="C40" i="8"/>
  <c r="D68" i="8"/>
  <c r="D40" i="8"/>
  <c r="E68" i="8"/>
  <c r="E40" i="8"/>
  <c r="C78" i="8"/>
  <c r="B78" i="8"/>
  <c r="E52" i="8"/>
  <c r="D78" i="8"/>
  <c r="F52" i="8"/>
  <c r="E78" i="8"/>
  <c r="E24" i="8"/>
  <c r="B52" i="8"/>
  <c r="F24" i="8"/>
  <c r="C52" i="8"/>
  <c r="B24" i="8"/>
  <c r="F80" i="8"/>
  <c r="D36" i="8"/>
  <c r="B36" i="8"/>
  <c r="C36" i="8"/>
  <c r="E80" i="8"/>
  <c r="B80" i="8"/>
  <c r="C80" i="8"/>
  <c r="E36" i="8"/>
  <c r="D70" i="8"/>
  <c r="C74" i="8"/>
  <c r="E72" i="8"/>
  <c r="B74" i="8"/>
  <c r="F72" i="8"/>
  <c r="C66" i="8"/>
  <c r="E74" i="8"/>
  <c r="C72" i="8"/>
  <c r="D66" i="8"/>
  <c r="E70" i="8"/>
  <c r="F70" i="8"/>
  <c r="C50" i="8"/>
  <c r="B50" i="8"/>
  <c r="D50" i="8"/>
  <c r="E50" i="8"/>
  <c r="C70" i="8"/>
  <c r="B47" i="8"/>
  <c r="F47" i="8"/>
  <c r="D47" i="8"/>
  <c r="C47" i="8"/>
  <c r="E47" i="8"/>
  <c r="F57" i="8"/>
  <c r="E57" i="8"/>
  <c r="D57" i="8"/>
  <c r="C57" i="8"/>
  <c r="B57" i="8"/>
  <c r="B51" i="8"/>
  <c r="F51" i="8"/>
  <c r="D51" i="8"/>
  <c r="C51" i="8"/>
  <c r="E51" i="8"/>
  <c r="B39" i="8"/>
  <c r="F39" i="8"/>
  <c r="D39" i="8"/>
  <c r="C39" i="8"/>
  <c r="E39" i="8"/>
  <c r="F81" i="8"/>
  <c r="E81" i="8"/>
  <c r="D81" i="8"/>
  <c r="C81" i="8"/>
  <c r="B81" i="8"/>
  <c r="B35" i="8"/>
  <c r="F35" i="8"/>
  <c r="D35" i="8"/>
  <c r="C35" i="8"/>
  <c r="E35" i="8"/>
  <c r="F6" i="8"/>
  <c r="B43" i="8"/>
  <c r="F43" i="8"/>
  <c r="D43" i="8"/>
  <c r="C43" i="8"/>
  <c r="E43" i="8"/>
  <c r="B31" i="8"/>
  <c r="F31" i="8"/>
  <c r="D31" i="8"/>
  <c r="C31" i="8"/>
  <c r="E31" i="8"/>
  <c r="C7" i="8"/>
  <c r="B55" i="8"/>
  <c r="F55" i="8"/>
  <c r="D55" i="8"/>
  <c r="C55" i="8"/>
  <c r="E55" i="8"/>
  <c r="F33" i="8"/>
  <c r="E33" i="8"/>
  <c r="D33" i="8"/>
  <c r="C33" i="8"/>
  <c r="B33" i="8"/>
  <c r="F7" i="8"/>
  <c r="B27" i="8"/>
  <c r="F27" i="8"/>
  <c r="D27" i="8"/>
  <c r="C27" i="8"/>
  <c r="E27" i="8"/>
  <c r="F61" i="8"/>
  <c r="E61" i="8"/>
  <c r="D61" i="8"/>
  <c r="C61" i="8"/>
  <c r="B61" i="8"/>
  <c r="B67" i="8"/>
  <c r="F67" i="8"/>
  <c r="D67" i="8"/>
  <c r="C67" i="8"/>
  <c r="E67" i="8"/>
  <c r="F69" i="8"/>
  <c r="E69" i="8"/>
  <c r="D69" i="8"/>
  <c r="C69" i="8"/>
  <c r="B69" i="8"/>
  <c r="F77" i="8"/>
  <c r="E77" i="8"/>
  <c r="D77" i="8"/>
  <c r="C77" i="8"/>
  <c r="B77" i="8"/>
  <c r="F41" i="8"/>
  <c r="E41" i="8"/>
  <c r="D41" i="8"/>
  <c r="C41" i="8"/>
  <c r="B41" i="8"/>
  <c r="C8" i="8"/>
  <c r="E17" i="4"/>
  <c r="G17" i="4" s="1"/>
  <c r="G7" i="3"/>
  <c r="B79" i="8"/>
  <c r="F79" i="8"/>
  <c r="D79" i="8"/>
  <c r="C79" i="8"/>
  <c r="E79" i="8"/>
  <c r="F25" i="8"/>
  <c r="E25" i="8"/>
  <c r="D25" i="8"/>
  <c r="C25" i="8"/>
  <c r="B25" i="8"/>
  <c r="F53" i="8"/>
  <c r="E53" i="8"/>
  <c r="D53" i="8"/>
  <c r="C53" i="8"/>
  <c r="B53" i="8"/>
  <c r="B71" i="8"/>
  <c r="F71" i="8"/>
  <c r="D71" i="8"/>
  <c r="C71" i="8"/>
  <c r="E71" i="8"/>
  <c r="F49" i="8"/>
  <c r="E49" i="8"/>
  <c r="D49" i="8"/>
  <c r="C49" i="8"/>
  <c r="B49" i="8"/>
  <c r="C6" i="8"/>
  <c r="B75" i="8"/>
  <c r="F75" i="8"/>
  <c r="D75" i="8"/>
  <c r="C75" i="8"/>
  <c r="E75" i="8"/>
  <c r="B63" i="8"/>
  <c r="F63" i="8"/>
  <c r="D63" i="8"/>
  <c r="C63" i="8"/>
  <c r="E63" i="8"/>
  <c r="C5" i="8"/>
  <c r="B23" i="8"/>
  <c r="F23" i="8"/>
  <c r="D23" i="8"/>
  <c r="C23" i="8"/>
  <c r="E23" i="8"/>
  <c r="F65" i="8"/>
  <c r="E65" i="8"/>
  <c r="D65" i="8"/>
  <c r="C65" i="8"/>
  <c r="B65" i="8"/>
  <c r="F22" i="8"/>
  <c r="E22" i="8"/>
  <c r="D22" i="8"/>
  <c r="B22" i="8"/>
  <c r="C22" i="8"/>
  <c r="B59" i="8"/>
  <c r="F59" i="8"/>
  <c r="D59" i="8"/>
  <c r="C59" i="8"/>
  <c r="E59" i="8"/>
  <c r="F29" i="8"/>
  <c r="E29" i="8"/>
  <c r="D29" i="8"/>
  <c r="C29" i="8"/>
  <c r="B29" i="8"/>
  <c r="F37" i="8"/>
  <c r="E37" i="8"/>
  <c r="D37" i="8"/>
  <c r="C37" i="8"/>
  <c r="B37" i="8"/>
  <c r="F45" i="8"/>
  <c r="E45" i="8"/>
  <c r="D45" i="8"/>
  <c r="C45" i="8"/>
  <c r="B45" i="8"/>
  <c r="F73" i="8"/>
  <c r="E73" i="8"/>
  <c r="D73" i="8"/>
  <c r="C73" i="8"/>
  <c r="B73" i="8"/>
  <c r="F5" i="8"/>
  <c r="E18" i="4" l="1"/>
  <c r="G18" i="4" s="1"/>
  <c r="G8" i="3"/>
  <c r="G9" i="3" l="1"/>
  <c r="E19" i="4"/>
  <c r="G19" i="4" s="1"/>
  <c r="E20" i="4" l="1"/>
  <c r="G20" i="4" s="1"/>
  <c r="G10" i="3"/>
  <c r="E21" i="4" l="1"/>
  <c r="G21" i="4" s="1"/>
  <c r="G11" i="3"/>
  <c r="E22" i="4" l="1"/>
  <c r="G22" i="4" s="1"/>
  <c r="G12" i="3"/>
  <c r="G13" i="3" l="1"/>
  <c r="E23" i="4"/>
  <c r="G23" i="4" s="1"/>
  <c r="G14" i="3" l="1"/>
  <c r="E24" i="4"/>
  <c r="G24" i="4" s="1"/>
  <c r="E25" i="4" l="1"/>
  <c r="G25" i="4" s="1"/>
  <c r="G15" i="3"/>
  <c r="E26" i="4" l="1"/>
  <c r="G26" i="4" s="1"/>
  <c r="G16" i="3"/>
  <c r="G17" i="3" l="1"/>
  <c r="E27" i="4"/>
  <c r="G27" i="4" s="1"/>
  <c r="E28" i="4" l="1"/>
  <c r="G28" i="4" s="1"/>
  <c r="G18" i="3"/>
  <c r="E29" i="4" l="1"/>
  <c r="G29" i="4" s="1"/>
  <c r="G19" i="3"/>
  <c r="E30" i="4" l="1"/>
  <c r="G30" i="4" s="1"/>
  <c r="G20" i="3"/>
  <c r="G21" i="3" l="1"/>
  <c r="E31" i="4"/>
  <c r="G31" i="4" s="1"/>
  <c r="G22" i="3" l="1"/>
  <c r="E32" i="4"/>
  <c r="G32" i="4" s="1"/>
  <c r="E33" i="4" l="1"/>
  <c r="G33" i="4" s="1"/>
  <c r="G23" i="3"/>
  <c r="E34" i="4" l="1"/>
  <c r="G34" i="4" s="1"/>
  <c r="G24" i="3"/>
  <c r="G25" i="3" l="1"/>
  <c r="E35" i="4"/>
  <c r="G35" i="4" s="1"/>
  <c r="E36" i="4" l="1"/>
  <c r="G36" i="4" s="1"/>
  <c r="G26" i="3"/>
  <c r="E37" i="4" l="1"/>
  <c r="G37" i="4" s="1"/>
  <c r="G27" i="3"/>
  <c r="E38" i="4" l="1"/>
  <c r="G38" i="4" s="1"/>
  <c r="G28" i="3"/>
  <c r="G29" i="3" l="1"/>
  <c r="E39" i="4"/>
  <c r="G39" i="4" s="1"/>
  <c r="G30" i="3" l="1"/>
  <c r="E40" i="4"/>
  <c r="G40" i="4" s="1"/>
  <c r="E41" i="4" l="1"/>
  <c r="G41" i="4" s="1"/>
  <c r="G31" i="3"/>
  <c r="E42" i="4" l="1"/>
  <c r="G42" i="4" s="1"/>
  <c r="G32" i="3"/>
  <c r="G33" i="3" l="1"/>
  <c r="E43" i="4"/>
  <c r="G43" i="4" s="1"/>
  <c r="E44" i="4" l="1"/>
  <c r="G44" i="4" s="1"/>
  <c r="G34" i="3"/>
  <c r="E45" i="4" l="1"/>
  <c r="G45" i="4" s="1"/>
  <c r="G35" i="3"/>
  <c r="E46" i="4" l="1"/>
  <c r="G46" i="4" s="1"/>
  <c r="G36" i="3"/>
  <c r="G37" i="3" l="1"/>
  <c r="E47" i="4"/>
  <c r="G47" i="4" s="1"/>
  <c r="G38" i="3" l="1"/>
  <c r="E48" i="4"/>
  <c r="G48" i="4" s="1"/>
  <c r="E49" i="4" l="1"/>
  <c r="G49" i="4" s="1"/>
  <c r="G39" i="3"/>
  <c r="E50" i="4" l="1"/>
  <c r="G50" i="4" s="1"/>
  <c r="G40" i="3"/>
  <c r="G41" i="3" l="1"/>
  <c r="E51" i="4"/>
  <c r="G51" i="4" s="1"/>
  <c r="E52" i="4" l="1"/>
  <c r="G52" i="4" s="1"/>
  <c r="G42" i="3"/>
  <c r="E53" i="4" l="1"/>
  <c r="G53" i="4" s="1"/>
  <c r="G43" i="3"/>
  <c r="E54" i="4" l="1"/>
  <c r="G54" i="4" s="1"/>
  <c r="G44" i="3"/>
  <c r="G45" i="3" l="1"/>
  <c r="E55" i="4"/>
  <c r="G55" i="4" s="1"/>
  <c r="G46" i="3" l="1"/>
  <c r="E56" i="4"/>
  <c r="G56" i="4" s="1"/>
  <c r="E57" i="4" l="1"/>
  <c r="G57" i="4" s="1"/>
  <c r="G47" i="3"/>
  <c r="E58" i="4" l="1"/>
  <c r="G58" i="4" s="1"/>
  <c r="G48" i="3"/>
  <c r="G49" i="3" l="1"/>
  <c r="E59" i="4"/>
  <c r="G59" i="4" s="1"/>
  <c r="E60" i="4" l="1"/>
  <c r="G60" i="4" s="1"/>
  <c r="G50" i="3"/>
  <c r="E61" i="4" l="1"/>
  <c r="G61" i="4" s="1"/>
  <c r="G51" i="3"/>
  <c r="E62" i="4" l="1"/>
  <c r="G62" i="4" s="1"/>
  <c r="G52" i="3"/>
  <c r="G53" i="3" l="1"/>
  <c r="E63" i="4"/>
  <c r="G63" i="4" s="1"/>
  <c r="G54" i="3" l="1"/>
  <c r="E64" i="4"/>
  <c r="G64" i="4" s="1"/>
  <c r="E65" i="4" l="1"/>
  <c r="G65" i="4" s="1"/>
  <c r="G55" i="3"/>
  <c r="E66" i="4" l="1"/>
  <c r="G66" i="4" s="1"/>
  <c r="G56" i="3"/>
  <c r="G57" i="3" l="1"/>
  <c r="E67" i="4"/>
  <c r="G67" i="4" s="1"/>
  <c r="E68" i="4" l="1"/>
  <c r="G68" i="4" s="1"/>
  <c r="G58" i="3"/>
  <c r="E69" i="4" l="1"/>
  <c r="G69" i="4" s="1"/>
  <c r="G59" i="3"/>
  <c r="E70" i="4" l="1"/>
  <c r="G70" i="4" s="1"/>
  <c r="G60" i="3"/>
  <c r="G61" i="3" l="1"/>
  <c r="E71" i="4"/>
  <c r="G71" i="4" s="1"/>
  <c r="G62" i="3" l="1"/>
  <c r="E72" i="4"/>
  <c r="G72" i="4" s="1"/>
  <c r="E73" i="4" l="1"/>
  <c r="G73" i="4" s="1"/>
  <c r="G63" i="3"/>
  <c r="E74" i="4" l="1"/>
  <c r="G74" i="4" s="1"/>
  <c r="G64" i="3"/>
  <c r="G65" i="3" l="1"/>
  <c r="E75" i="4"/>
  <c r="G75" i="4" s="1"/>
  <c r="E76" i="4" l="1"/>
  <c r="G76" i="4" s="1"/>
  <c r="G66" i="3"/>
  <c r="E77" i="4" l="1"/>
  <c r="G77" i="4" s="1"/>
  <c r="G67" i="3"/>
  <c r="E78" i="4" l="1"/>
  <c r="G78" i="4" s="1"/>
  <c r="G68" i="3"/>
  <c r="G69" i="3" l="1"/>
  <c r="E79" i="4"/>
  <c r="G79" i="4" s="1"/>
  <c r="G70" i="3" l="1"/>
  <c r="E80" i="4"/>
  <c r="G80" i="4" s="1"/>
  <c r="E81" i="4" l="1"/>
  <c r="G81" i="4" s="1"/>
  <c r="G71" i="3"/>
  <c r="E82" i="4" l="1"/>
  <c r="G82" i="4" s="1"/>
  <c r="G72" i="3"/>
  <c r="G73" i="3" l="1"/>
  <c r="E83" i="4"/>
  <c r="G83" i="4" s="1"/>
  <c r="E84" i="4" l="1"/>
  <c r="G84" i="4" s="1"/>
  <c r="G74" i="3"/>
  <c r="E85" i="4" l="1"/>
  <c r="G85" i="4" s="1"/>
  <c r="G75" i="3"/>
  <c r="E86" i="4" l="1"/>
  <c r="G86" i="4" s="1"/>
  <c r="G76" i="3"/>
  <c r="G77" i="3" l="1"/>
  <c r="E87" i="4"/>
  <c r="G87" i="4" s="1"/>
  <c r="G78" i="3" l="1"/>
  <c r="E88" i="4"/>
  <c r="G88" i="4" s="1"/>
  <c r="E89" i="4" l="1"/>
  <c r="G89" i="4" s="1"/>
  <c r="G79" i="3"/>
  <c r="E90" i="4" l="1"/>
  <c r="G90" i="4" s="1"/>
  <c r="G80" i="3"/>
  <c r="G81" i="3" l="1"/>
  <c r="E91" i="4"/>
  <c r="G91" i="4" s="1"/>
  <c r="E92" i="4" l="1"/>
  <c r="G92" i="4" s="1"/>
  <c r="G82" i="3"/>
  <c r="E93" i="4" l="1"/>
  <c r="G93" i="4" s="1"/>
  <c r="G83" i="3"/>
  <c r="E94" i="4" l="1"/>
  <c r="G94" i="4" s="1"/>
  <c r="G84" i="3"/>
  <c r="G85" i="3" l="1"/>
  <c r="E95" i="4"/>
  <c r="G95" i="4" s="1"/>
  <c r="G86" i="3" l="1"/>
  <c r="E96" i="4"/>
  <c r="G96" i="4" s="1"/>
  <c r="E97" i="4" l="1"/>
  <c r="G97" i="4" s="1"/>
  <c r="G87" i="3"/>
  <c r="E98" i="4" l="1"/>
  <c r="G98" i="4" s="1"/>
  <c r="G88" i="3"/>
  <c r="G89" i="3" l="1"/>
  <c r="E99" i="4"/>
  <c r="G99" i="4" s="1"/>
  <c r="E100" i="4" l="1"/>
  <c r="G100" i="4" s="1"/>
  <c r="G90" i="3"/>
  <c r="E101" i="4" l="1"/>
  <c r="G101" i="4" s="1"/>
  <c r="G91" i="3"/>
  <c r="E102" i="4" l="1"/>
  <c r="G102" i="4" s="1"/>
  <c r="G92" i="3"/>
  <c r="G93" i="3" l="1"/>
  <c r="E103" i="4"/>
  <c r="G103" i="4" s="1"/>
  <c r="G94" i="3" l="1"/>
  <c r="E104" i="4"/>
  <c r="G104" i="4" s="1"/>
  <c r="E105" i="4" l="1"/>
  <c r="G105" i="4" s="1"/>
  <c r="G95" i="3"/>
  <c r="E106" i="4" l="1"/>
  <c r="G106" i="4" s="1"/>
  <c r="G96" i="3"/>
  <c r="G97" i="3" l="1"/>
  <c r="E107" i="4"/>
  <c r="G107" i="4" s="1"/>
  <c r="E108" i="4" l="1"/>
  <c r="G108" i="4" s="1"/>
  <c r="G98" i="3"/>
  <c r="E109" i="4" l="1"/>
  <c r="G109" i="4" s="1"/>
  <c r="G99" i="3"/>
  <c r="E110" i="4" l="1"/>
  <c r="G110" i="4" s="1"/>
  <c r="G100" i="3"/>
  <c r="G101" i="3" l="1"/>
  <c r="E111" i="4"/>
  <c r="G111" i="4" s="1"/>
  <c r="G102" i="3" l="1"/>
  <c r="E112" i="4"/>
  <c r="G112" i="4" s="1"/>
  <c r="E113" i="4" l="1"/>
  <c r="G113" i="4" s="1"/>
  <c r="G103" i="3"/>
  <c r="E114" i="4" l="1"/>
  <c r="G114" i="4" s="1"/>
  <c r="G104" i="3"/>
  <c r="G105" i="3" l="1"/>
  <c r="E115" i="4"/>
  <c r="G115" i="4" s="1"/>
  <c r="E116" i="4" l="1"/>
  <c r="G116" i="4" s="1"/>
  <c r="G106" i="3"/>
  <c r="E117" i="4" l="1"/>
  <c r="G117" i="4" s="1"/>
  <c r="G107" i="3"/>
  <c r="E118" i="4" l="1"/>
  <c r="G118" i="4" s="1"/>
  <c r="G108" i="3"/>
  <c r="G109" i="3" l="1"/>
  <c r="E119" i="4"/>
  <c r="G119" i="4" s="1"/>
  <c r="G110" i="3" l="1"/>
  <c r="E120" i="4"/>
  <c r="G120" i="4" s="1"/>
  <c r="E121" i="4" l="1"/>
  <c r="G121" i="4" s="1"/>
  <c r="G111" i="3"/>
  <c r="E122" i="4" l="1"/>
  <c r="G122" i="4" s="1"/>
  <c r="G112" i="3"/>
  <c r="G113" i="3" l="1"/>
  <c r="E123" i="4"/>
  <c r="G123" i="4" s="1"/>
  <c r="E124" i="4" l="1"/>
  <c r="G124" i="4" s="1"/>
  <c r="G114" i="3"/>
  <c r="E125" i="4" l="1"/>
  <c r="G125" i="4" s="1"/>
  <c r="G115" i="3"/>
  <c r="E126" i="4" l="1"/>
  <c r="G126" i="4" s="1"/>
  <c r="G116" i="3"/>
  <c r="G117" i="3" l="1"/>
  <c r="E127" i="4"/>
  <c r="G127" i="4" s="1"/>
  <c r="G118" i="3" l="1"/>
  <c r="E128" i="4"/>
  <c r="G128" i="4" s="1"/>
  <c r="E129" i="4" l="1"/>
  <c r="G129" i="4" s="1"/>
  <c r="G119" i="3"/>
  <c r="E130" i="4" l="1"/>
  <c r="G130" i="4" s="1"/>
  <c r="G120" i="3"/>
  <c r="G121" i="3" l="1"/>
  <c r="E131" i="4"/>
  <c r="G131" i="4" s="1"/>
  <c r="E132" i="4" l="1"/>
  <c r="G132" i="4" s="1"/>
  <c r="G122" i="3"/>
  <c r="E133" i="4" l="1"/>
  <c r="G133" i="4" s="1"/>
  <c r="G123" i="3"/>
  <c r="E134" i="4" l="1"/>
  <c r="G134" i="4" s="1"/>
  <c r="G124" i="3"/>
  <c r="G125" i="3" l="1"/>
  <c r="E135" i="4"/>
  <c r="G135" i="4" s="1"/>
  <c r="G126" i="3" l="1"/>
  <c r="E136" i="4"/>
  <c r="G136" i="4" s="1"/>
  <c r="E137" i="4" l="1"/>
  <c r="G137" i="4" s="1"/>
  <c r="G127" i="3"/>
  <c r="E138" i="4" l="1"/>
  <c r="G138" i="4" s="1"/>
  <c r="G128" i="3"/>
  <c r="G129" i="3" l="1"/>
  <c r="E139" i="4"/>
  <c r="G139" i="4" s="1"/>
  <c r="E140" i="4" l="1"/>
  <c r="G140" i="4" s="1"/>
  <c r="G130" i="3"/>
  <c r="E141" i="4" l="1"/>
  <c r="G141" i="4" s="1"/>
  <c r="G131" i="3"/>
  <c r="E142" i="4" l="1"/>
  <c r="G142" i="4" s="1"/>
  <c r="G132" i="3"/>
  <c r="G133" i="3" l="1"/>
  <c r="E143" i="4"/>
  <c r="G143" i="4" s="1"/>
  <c r="G134" i="3" l="1"/>
  <c r="E144" i="4"/>
  <c r="G144" i="4" s="1"/>
  <c r="E145" i="4" l="1"/>
  <c r="G145" i="4" s="1"/>
  <c r="G135" i="3"/>
  <c r="E146" i="4" l="1"/>
  <c r="G146" i="4" s="1"/>
  <c r="G136" i="3"/>
  <c r="G137" i="3" l="1"/>
  <c r="E147" i="4"/>
  <c r="G147" i="4" s="1"/>
  <c r="E148" i="4" l="1"/>
  <c r="G148" i="4" s="1"/>
  <c r="G138" i="3"/>
  <c r="E149" i="4" l="1"/>
  <c r="G149" i="4" s="1"/>
  <c r="G139" i="3"/>
  <c r="E150" i="4" l="1"/>
  <c r="G150" i="4" s="1"/>
  <c r="G140" i="3"/>
  <c r="G141" i="3" l="1"/>
  <c r="E151" i="4"/>
  <c r="G151" i="4" s="1"/>
  <c r="G142" i="3" l="1"/>
  <c r="E152" i="4"/>
  <c r="G152" i="4" s="1"/>
  <c r="E153" i="4" l="1"/>
  <c r="G153" i="4" s="1"/>
  <c r="G143" i="3"/>
  <c r="E154" i="4" l="1"/>
  <c r="G154" i="4" s="1"/>
  <c r="G144" i="3"/>
  <c r="G145" i="3" l="1"/>
  <c r="E155" i="4"/>
  <c r="G155" i="4" s="1"/>
  <c r="E156" i="4" l="1"/>
  <c r="G156" i="4" s="1"/>
  <c r="G146" i="3"/>
  <c r="E157" i="4" l="1"/>
  <c r="G157" i="4" s="1"/>
  <c r="G147" i="3"/>
  <c r="E158" i="4" l="1"/>
  <c r="G158" i="4" s="1"/>
  <c r="G148" i="3"/>
  <c r="G149" i="3" l="1"/>
  <c r="E159" i="4"/>
  <c r="G159" i="4" s="1"/>
  <c r="G150" i="3" l="1"/>
  <c r="E160" i="4"/>
  <c r="G160" i="4" s="1"/>
  <c r="E161" i="4" l="1"/>
  <c r="G161" i="4" s="1"/>
  <c r="G151" i="3"/>
  <c r="E162" i="4" l="1"/>
  <c r="G162" i="4" s="1"/>
  <c r="G152" i="3"/>
  <c r="G153" i="3" l="1"/>
  <c r="E163" i="4"/>
  <c r="G163" i="4" s="1"/>
  <c r="E164" i="4" l="1"/>
  <c r="G164" i="4" s="1"/>
  <c r="G154" i="3"/>
  <c r="E165" i="4" l="1"/>
  <c r="G165" i="4" s="1"/>
  <c r="G155" i="3"/>
  <c r="E166" i="4" l="1"/>
  <c r="G166" i="4" s="1"/>
  <c r="G156" i="3"/>
  <c r="G157" i="3" l="1"/>
  <c r="E167" i="4"/>
  <c r="G167" i="4" s="1"/>
  <c r="G158" i="3" l="1"/>
  <c r="E168" i="4"/>
  <c r="G168" i="4" s="1"/>
  <c r="E169" i="4" l="1"/>
  <c r="G169" i="4" s="1"/>
  <c r="G159" i="3"/>
  <c r="E170" i="4" l="1"/>
  <c r="G170" i="4" s="1"/>
  <c r="G160" i="3"/>
  <c r="G161" i="3" l="1"/>
  <c r="E171" i="4"/>
  <c r="G171" i="4" s="1"/>
  <c r="E172" i="4" l="1"/>
  <c r="G172" i="4" s="1"/>
  <c r="G162" i="3"/>
  <c r="E173" i="4" l="1"/>
  <c r="G173" i="4" s="1"/>
  <c r="G163" i="3"/>
  <c r="E174" i="4" l="1"/>
  <c r="G174" i="4" s="1"/>
  <c r="G164" i="3"/>
  <c r="G165" i="3" l="1"/>
  <c r="E175" i="4"/>
  <c r="G175" i="4" s="1"/>
  <c r="G166" i="3" l="1"/>
  <c r="E176" i="4"/>
  <c r="G176" i="4" s="1"/>
  <c r="E177" i="4" l="1"/>
  <c r="G177" i="4" s="1"/>
  <c r="G167" i="3"/>
  <c r="E178" i="4" l="1"/>
  <c r="G178" i="4" s="1"/>
  <c r="G168" i="3"/>
  <c r="G169" i="3" l="1"/>
  <c r="E179" i="4"/>
  <c r="G179" i="4" s="1"/>
  <c r="E180" i="4" l="1"/>
  <c r="G180" i="4" s="1"/>
  <c r="G170" i="3"/>
  <c r="E181" i="4" l="1"/>
  <c r="G181" i="4" s="1"/>
  <c r="G171" i="3"/>
  <c r="E182" i="4" l="1"/>
  <c r="G182" i="4" s="1"/>
  <c r="G172" i="3"/>
  <c r="G173" i="3" l="1"/>
  <c r="E183" i="4"/>
  <c r="G183" i="4" s="1"/>
  <c r="G174" i="3" l="1"/>
  <c r="E184" i="4"/>
  <c r="G184" i="4" s="1"/>
  <c r="E185" i="4" l="1"/>
  <c r="G185" i="4" s="1"/>
  <c r="G175" i="3"/>
  <c r="E186" i="4" l="1"/>
  <c r="G186" i="4" s="1"/>
  <c r="G176" i="3"/>
  <c r="G177" i="3" l="1"/>
  <c r="E187" i="4"/>
  <c r="G187" i="4" s="1"/>
  <c r="E188" i="4" l="1"/>
  <c r="G188" i="4" s="1"/>
  <c r="G178" i="3"/>
  <c r="E189" i="4" l="1"/>
  <c r="G189" i="4" s="1"/>
  <c r="G179" i="3"/>
  <c r="E190" i="4" l="1"/>
  <c r="G190" i="4" s="1"/>
  <c r="G180" i="3"/>
  <c r="G181" i="3" l="1"/>
  <c r="E191" i="4"/>
  <c r="G191" i="4" s="1"/>
  <c r="G182" i="3" l="1"/>
  <c r="E192" i="4"/>
  <c r="G192" i="4" s="1"/>
  <c r="E193" i="4" l="1"/>
  <c r="G193" i="4" s="1"/>
  <c r="G183" i="3"/>
  <c r="E194" i="4" l="1"/>
  <c r="G194" i="4" s="1"/>
  <c r="G184" i="3"/>
  <c r="G185" i="3" l="1"/>
  <c r="E195" i="4"/>
  <c r="G195" i="4" s="1"/>
  <c r="E196" i="4" l="1"/>
  <c r="G196" i="4" s="1"/>
  <c r="G186" i="3"/>
  <c r="E197" i="4" l="1"/>
  <c r="G197" i="4" s="1"/>
  <c r="G187" i="3"/>
  <c r="E198" i="4" l="1"/>
  <c r="G198" i="4" s="1"/>
  <c r="G188" i="3"/>
  <c r="G189" i="3" l="1"/>
  <c r="E199" i="4"/>
  <c r="G199" i="4" s="1"/>
  <c r="G190" i="3" l="1"/>
  <c r="E200" i="4"/>
  <c r="G200" i="4" s="1"/>
  <c r="E201" i="4" l="1"/>
  <c r="G201" i="4" s="1"/>
  <c r="G191" i="3"/>
  <c r="E202" i="4" l="1"/>
  <c r="G202" i="4" s="1"/>
  <c r="G192" i="3"/>
  <c r="G193" i="3" l="1"/>
  <c r="E203" i="4"/>
  <c r="G203" i="4" s="1"/>
  <c r="E204" i="4" l="1"/>
  <c r="G204" i="4" s="1"/>
  <c r="G194" i="3"/>
  <c r="E205" i="4" l="1"/>
  <c r="G205" i="4" s="1"/>
  <c r="G195" i="3"/>
  <c r="E206" i="4" l="1"/>
  <c r="G206" i="4" s="1"/>
  <c r="G196" i="3"/>
  <c r="G197" i="3" l="1"/>
  <c r="E207" i="4"/>
  <c r="G207" i="4" s="1"/>
  <c r="G198" i="3" l="1"/>
  <c r="E208" i="4"/>
  <c r="G208" i="4" s="1"/>
  <c r="E209" i="4" l="1"/>
  <c r="G209" i="4" s="1"/>
  <c r="G199" i="3"/>
  <c r="E210" i="4" l="1"/>
  <c r="G210" i="4" s="1"/>
  <c r="G200" i="3"/>
  <c r="G201" i="3" l="1"/>
  <c r="E211" i="4"/>
  <c r="G211" i="4" s="1"/>
  <c r="E212" i="4" l="1"/>
  <c r="G212" i="4" s="1"/>
  <c r="G202" i="3"/>
  <c r="E213" i="4" l="1"/>
  <c r="G213" i="4" s="1"/>
  <c r="G203" i="3"/>
  <c r="B9" i="4" l="1"/>
  <c r="E214" i="4"/>
  <c r="G214" i="4" s="1"/>
  <c r="G204" i="3"/>
  <c r="B10" i="4"/>
  <c r="B12" i="4"/>
  <c r="B1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H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Fornecedor real para consolidar vários itens em um único parceiro.</t>
        </r>
      </text>
    </comment>
    <comment ref="I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Use o mesmo lote/pedido para agrupar itens comprados juntos.</t>
        </r>
      </text>
    </comment>
    <comment ref="J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NF, contrato, pedido ou documento.</t>
        </r>
      </text>
    </comment>
    <comment ref="K1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Data prevista de caixa. Veio pelo fim da quinzena original, mas pode ser ajustada.</t>
        </r>
      </text>
    </comment>
    <comment ref="L1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Data efetiva do pagamento/recebimento.</t>
        </r>
      </text>
    </comment>
    <comment ref="M1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Valor efetivamente pago/recebido. Se ficar em branco, o fluxo usa o previsto.</t>
        </r>
      </text>
    </comment>
    <comment ref="N1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Forma de pagamento: Pix, Boleto, Cartão de Crédito, TED, Dinheiro etc.</t>
        </r>
      </text>
    </comment>
    <comment ref="O1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Instrumento específico: Cartão Itaú, Cartão Nubank, Conta Corrente Projeto etc.</t>
        </r>
      </text>
    </comment>
    <comment ref="P1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Conta de onde o dinheiro sai ou entra.</t>
        </r>
      </text>
    </comment>
    <comment ref="Q1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Data de vencimento da obrigação. Para cartão, use a data da fatura/parcela.</t>
        </r>
      </text>
    </comment>
    <comment ref="AJ1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Data esperada no extrato bancário/fatura. Se não ajustar, assume o vencimento.</t>
        </r>
      </text>
    </comment>
    <comment ref="AK1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Use Sim para movimentos que devem ser conciliados com extrato/fatura.</t>
        </r>
      </text>
    </comment>
    <comment ref="AL1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Chave de conciliação sugerida para cruzar com a aba EXTRATO_IMPORTADO.</t>
        </r>
      </text>
    </comment>
    <comment ref="AM1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Texto-resumo para facilitar a leitura do extrato e a conferência manual.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3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Preencha aqui o saldo inicial de caixa.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I4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Preencha com o ID_Concil da agenda quando identificar o lançamento no extrato.</t>
        </r>
      </text>
    </comment>
    <comment ref="J4" authorId="0" shapeId="0" xr:uid="{00000000-0006-0000-0600-000002000000}">
      <text>
        <r>
          <rPr>
            <sz val="11"/>
            <color theme="1"/>
            <rFont val="Calibri"/>
            <family val="2"/>
            <scheme val="minor"/>
          </rPr>
          <t>Opcional. Campo livre para sugestão/manual.</t>
        </r>
      </text>
    </comment>
    <comment ref="K4" authorId="0" shapeId="0" xr:uid="{00000000-0006-0000-0600-000003000000}">
      <text>
        <r>
          <rPr>
            <sz val="11"/>
            <color theme="1"/>
            <rFont val="Calibri"/>
            <family val="2"/>
            <scheme val="minor"/>
          </rPr>
          <t>Status do vínculo com a agenda.</t>
        </r>
      </text>
    </comment>
  </commentList>
</comments>
</file>

<file path=xl/sharedStrings.xml><?xml version="1.0" encoding="utf-8"?>
<sst xmlns="http://schemas.openxmlformats.org/spreadsheetml/2006/main" count="10091" uniqueCount="797">
  <si>
    <t>Fluxo de Caixa Diário — instruções rápidas</t>
  </si>
  <si>
    <t>Projeto</t>
  </si>
  <si>
    <t>SÃO FRANCISCO DE PAULA - RS</t>
  </si>
  <si>
    <t>Qtd. casas</t>
  </si>
  <si>
    <t>1.</t>
  </si>
  <si>
    <t>Use a aba BASE_CAIXA como base única para tabela dinâmica e análises.</t>
  </si>
  <si>
    <t>2.</t>
  </si>
  <si>
    <t>Preencha as colunas amarelas: Fornecedor, Lote_Pagto, Documento, Data_Prevista, Data_Realizada e Valor_Realizado.</t>
  </si>
  <si>
    <t>3.</t>
  </si>
  <si>
    <t>As linhas 251–257 e 259–266 foram classificadas como GESTÃO LOCAL.</t>
  </si>
  <si>
    <t>4.</t>
  </si>
  <si>
    <t>As linhas 269–271 foram classificadas como DESPESAS ACESSÓRIAS.</t>
  </si>
  <si>
    <t>5.</t>
  </si>
  <si>
    <t>As linhas 273–277 foram classificadas como CAPITAL DE GIRO.</t>
  </si>
  <si>
    <t>6.</t>
  </si>
  <si>
    <t>A aba FLUXO_DIARIO soma previsto pendente e realizado por dia.</t>
  </si>
  <si>
    <t>7.</t>
  </si>
  <si>
    <t>A aba SAUDE_FLUXO mostra indicadores de suficiência, saldo mínimo e dias críticos.</t>
  </si>
  <si>
    <t>Amarelo = edição manual</t>
  </si>
  <si>
    <t>Cinza claro = cálculo</t>
  </si>
  <si>
    <t>Nova arquitetura financeira: BASE_CAIXA (gerencial) + AGENDA_BANCARIA (o que deve aparecer no banco) + EXTRATO_IMPORTADO (onde você cola o extrato) + CONCILIACAO (resumo).</t>
  </si>
  <si>
    <t>Na BASE_CAIXA, preencha principalmente: Fornecedor, Lote_Pagto, Documento, Forma_Pagamento, Meio_Financeiro, Conta_Origem e Data_Vencimento.</t>
  </si>
  <si>
    <t>8.</t>
  </si>
  <si>
    <t>Para cartão de crédito, a Data_Vencimento deve refletir a data da fatura/parcela; a Data_Compensacao_Prevista é o dia em que você espera enxergar o efeito no extrato/fatura.</t>
  </si>
  <si>
    <t>9.</t>
  </si>
  <si>
    <t>Cole o extrato bruto na aba EXTRATO_IMPORTADO a partir da linha 2. Depois preencha o ID_Concil_Manual com a chave da AGENDA_BANCARIA quando identificar o lançamento.</t>
  </si>
  <si>
    <t>10.</t>
  </si>
  <si>
    <t>A aba CONCILIACAO resume quantos eventos estão conciliados, pendentes, vencidos, divergentes e quantos movimentos do extrato vieram sem previsão.</t>
  </si>
  <si>
    <t>ID</t>
  </si>
  <si>
    <t>Tipo_Fluxo</t>
  </si>
  <si>
    <t>Grupo</t>
  </si>
  <si>
    <t>Apropriacao</t>
  </si>
  <si>
    <t>Tipo</t>
  </si>
  <si>
    <t>Item</t>
  </si>
  <si>
    <t>Fornecedor</t>
  </si>
  <si>
    <t>Lote_Pagto</t>
  </si>
  <si>
    <t>Documento</t>
  </si>
  <si>
    <t>Categoria</t>
  </si>
  <si>
    <t>Conta_Sintetica</t>
  </si>
  <si>
    <t>Conta_Analitica</t>
  </si>
  <si>
    <t>Observacoes</t>
  </si>
  <si>
    <t>Linha_Origem</t>
  </si>
  <si>
    <t>Quinzena</t>
  </si>
  <si>
    <t>Periodo_Inicio</t>
  </si>
  <si>
    <t>Periodo_Fim</t>
  </si>
  <si>
    <t>Data_Prevista</t>
  </si>
  <si>
    <t>Valor_Previsto</t>
  </si>
  <si>
    <t>Data_Realizada</t>
  </si>
  <si>
    <t>Valor_Realizado</t>
  </si>
  <si>
    <t>Valor_Considerado</t>
  </si>
  <si>
    <t>Status</t>
  </si>
  <si>
    <t>%_Quinzena</t>
  </si>
  <si>
    <t>Valor_Origem_Linha</t>
  </si>
  <si>
    <t>Quant_Total_Origem</t>
  </si>
  <si>
    <t>Unidade_Origem</t>
  </si>
  <si>
    <t>Custo_Unit_Origem</t>
  </si>
  <si>
    <t>Info_Origem_Extra</t>
  </si>
  <si>
    <t>Aba_Origem</t>
  </si>
  <si>
    <t>Forma_Pagamento</t>
  </si>
  <si>
    <t>Meio_Financeiro</t>
  </si>
  <si>
    <t>Conta_Origem</t>
  </si>
  <si>
    <t>Data_Vencimento</t>
  </si>
  <si>
    <t>Data_Compensacao_Prevista</t>
  </si>
  <si>
    <t>Conciliar?</t>
  </si>
  <si>
    <t>ID_Concil</t>
  </si>
  <si>
    <t>Historico_Padrao_Extrato</t>
  </si>
  <si>
    <t>Entrada</t>
  </si>
  <si>
    <t>RECEITAS</t>
  </si>
  <si>
    <t>RECEITA CONTRATUAL</t>
  </si>
  <si>
    <t>MEDIÇÃO CONTRATUAL</t>
  </si>
  <si>
    <t>Entrada | MEDIÇÃO CONTRATUAL</t>
  </si>
  <si>
    <t>Entrada | RECEITAS | RECEITA CONTRATUAL</t>
  </si>
  <si>
    <t>Q1</t>
  </si>
  <si>
    <t>CUSTO CASA E CRONOGRAMA PAGAMEN</t>
  </si>
  <si>
    <t>Saída</t>
  </si>
  <si>
    <t>DESPESAS ACESSÓRIAS</t>
  </si>
  <si>
    <t>CAUÇÃO</t>
  </si>
  <si>
    <t>Saída | DESPESAS ACESSÓRIAS</t>
  </si>
  <si>
    <t>Saída | DESPESAS ACESSÓRIAS | DESPESAS ACESSÓRIAS</t>
  </si>
  <si>
    <t>mês</t>
  </si>
  <si>
    <t>LOGISTICA GESTÃO VISITA À OBRA</t>
  </si>
  <si>
    <t>SEGURO</t>
  </si>
  <si>
    <t>GESTÃO LOCAL</t>
  </si>
  <si>
    <t>MATERIAL</t>
  </si>
  <si>
    <t>Bebedouro</t>
  </si>
  <si>
    <t>Saída | GESTÃO LOCAL</t>
  </si>
  <si>
    <t>Saída | GESTÃO LOCAL | MATERIAL</t>
  </si>
  <si>
    <t>unidade</t>
  </si>
  <si>
    <t>C origem: MATERIAL</t>
  </si>
  <si>
    <t>Placa da obra</t>
  </si>
  <si>
    <t>ADMINISTRAÇAO</t>
  </si>
  <si>
    <t>TOPOGRAFO</t>
  </si>
  <si>
    <t>Saída | GESTÃO LOCAL | ADMINISTRAÇAO</t>
  </si>
  <si>
    <t>C origem: ADMINISTRAÇAO</t>
  </si>
  <si>
    <t>LOCAÇAO</t>
  </si>
  <si>
    <t>mobilização / desmobilzaçao containers</t>
  </si>
  <si>
    <t>Saída | GESTÃO LOCAL | LOCAÇAO</t>
  </si>
  <si>
    <t>C origem: LOCAÇAO</t>
  </si>
  <si>
    <t>PAREDES (102,5m² de área interna e externa) (44,38² de Laje)</t>
  </si>
  <si>
    <t>PAREDES COM CONCRETO</t>
  </si>
  <si>
    <t>FABRICA</t>
  </si>
  <si>
    <t>contrato industrializaçao paredes</t>
  </si>
  <si>
    <t>Saída | PAREDES (102,5m² de área interna e externa) (44,38² de Laje)</t>
  </si>
  <si>
    <t>Saída | PAREDES COM CONCRETO | FABRICA</t>
  </si>
  <si>
    <t>20</t>
  </si>
  <si>
    <t>B origem: PAREDES COM CONCRETO | C origem: FABRICA</t>
  </si>
  <si>
    <t>24</t>
  </si>
  <si>
    <t>RADIER - 44,38 M²</t>
  </si>
  <si>
    <t>RADIER</t>
  </si>
  <si>
    <t>MAO DE OBRA</t>
  </si>
  <si>
    <t>Mao de obra Terceirizada Radier</t>
  </si>
  <si>
    <t>Saída | RADIER - 44,38 M²</t>
  </si>
  <si>
    <t>Saída | RADIER | MAO DE OBRA</t>
  </si>
  <si>
    <t>vb</t>
  </si>
  <si>
    <t xml:space="preserve">B origem: RADIER | C origem: MAO DE OBRA </t>
  </si>
  <si>
    <t>MADEIRA</t>
  </si>
  <si>
    <t>ripas de 5cm x 2,7m de 25mm</t>
  </si>
  <si>
    <t>Saída | RADIER | MADEIRA</t>
  </si>
  <si>
    <t>pç</t>
  </si>
  <si>
    <t>B origem: RADIER | C origem: MADEIRA</t>
  </si>
  <si>
    <t>SERVIÇOS</t>
  </si>
  <si>
    <t>TOTALIZADOR CUSTO GLOBAIS OBRAS - MENSAL</t>
  </si>
  <si>
    <t>Saída | SERVIÇOS</t>
  </si>
  <si>
    <t>Saída | SERVIÇOS | SERVIÇOS</t>
  </si>
  <si>
    <t>CAPITAL DE GIRO</t>
  </si>
  <si>
    <t>EMPRÉSTIMOS / CAPITAL DE GIRO</t>
  </si>
  <si>
    <t>ITAU</t>
  </si>
  <si>
    <t>Saída | CAPITAL DE GIRO</t>
  </si>
  <si>
    <t>Saída | CAPITAL DE GIRO | EMPRÉSTIMOS / CAPITAL DE GIRO</t>
  </si>
  <si>
    <t>Q2</t>
  </si>
  <si>
    <t>C origem: 248000</t>
  </si>
  <si>
    <t>ESPERAS DE ESGOTO RADIER</t>
  </si>
  <si>
    <t>Tubos e conexoes</t>
  </si>
  <si>
    <t>Anel de vedação esg 100 mm</t>
  </si>
  <si>
    <t>Saída | ESPERAS DE ESGOTO RADIER</t>
  </si>
  <si>
    <t>Saída | ESPERAS DE ESGOTO RADIER | Tubos e conexoes</t>
  </si>
  <si>
    <t>B origem: ESPERAS DE ESGOTO RADIER | C origem: Tubos e conexoes</t>
  </si>
  <si>
    <t>Caixa Sifonada com grelha quadrada PVC DN 150x150x50 com junta soldável para ramal de esgoto sanitário</t>
  </si>
  <si>
    <t>Cola de cano PVC 175g</t>
  </si>
  <si>
    <t>Joelho 45º PVC DN 40mm branco rígido para esgoto sanitário predial</t>
  </si>
  <si>
    <t>Joelho 45º PVC DN 50mm branco rígido para esgoto sanitário predial</t>
  </si>
  <si>
    <t>Joelho 90º PVC DN 100mm branco rígido para esgoto sanitário predial</t>
  </si>
  <si>
    <t>Joelho 90º PVC DN 40mm branco rígido para esgoto sanitário predial</t>
  </si>
  <si>
    <t>Joelho 90º PVC DN 50mm branco junta elástica para esgoto sanitário</t>
  </si>
  <si>
    <t>Joelho 90º marrom DN 25mm soldável para água fria</t>
  </si>
  <si>
    <t>Junção de Redução invertica PVC DN 100x50mm branco rígido para esgoto sanitário predial</t>
  </si>
  <si>
    <t>Junção simples PVC DN 50x50mm branco rígido para esgoto sanitário predial</t>
  </si>
  <si>
    <t>Lixa ferro p/cano pvc 100</t>
  </si>
  <si>
    <t>Pasta lubrufucante 1 KG</t>
  </si>
  <si>
    <t>kg</t>
  </si>
  <si>
    <t>Ralo seco PVC DN100x40mm Junta soldável para esgoto sanitário predial</t>
  </si>
  <si>
    <t>TE DN 50x50mm PVC branco rígido para esgoto sanitário predial</t>
  </si>
  <si>
    <t>Tubo DN 25 mm, PVC Rígido Soldável Marrom</t>
  </si>
  <si>
    <t>Barra</t>
  </si>
  <si>
    <t>Tubo PVC DN 100mm branco rígido para esgoto sanitário</t>
  </si>
  <si>
    <t>m</t>
  </si>
  <si>
    <t>Tubo PVC DN 40mm branco rígido para esgoto sanitário</t>
  </si>
  <si>
    <t>Tubo PVC DN 50mm branco rígido para esgoto sanitário</t>
  </si>
  <si>
    <t>Tubo PVC DN 75mm branco rígido para esgoto sanitário</t>
  </si>
  <si>
    <t>ALMOXARIFADO</t>
  </si>
  <si>
    <t>Alojamento Arbnb (mestre, engenheiro. Tecnico)</t>
  </si>
  <si>
    <t>Aluguel container Banheiro</t>
  </si>
  <si>
    <t>Aluguel container almoxarifado</t>
  </si>
  <si>
    <t>Aluguel container escritorio</t>
  </si>
  <si>
    <t>COMPRADOR</t>
  </si>
  <si>
    <t>pra obra de 50 casa considera apenas encarregado</t>
  </si>
  <si>
    <t>ENGENHEIRO RESIDENTE - ( rateado em 3 canteiros) carro incluso</t>
  </si>
  <si>
    <t>FERRAGEM</t>
  </si>
  <si>
    <t>Arame Recozido bwg 18</t>
  </si>
  <si>
    <t>Saída | RADIER | FERRAGEM</t>
  </si>
  <si>
    <t>B origem: RADIER | C origem: FERRAGEM</t>
  </si>
  <si>
    <t>Aço - Tela Q-138 - 5.0 c/10 -  (245 x 600 cm) (frete de 300 + ipi de 133 incluido</t>
  </si>
  <si>
    <t>telas</t>
  </si>
  <si>
    <t>CONCRETO</t>
  </si>
  <si>
    <t>Bomba de concreto  ( Taxa divide 1 casa e 1 radier )</t>
  </si>
  <si>
    <t>Saída | RADIER | CONCRETO</t>
  </si>
  <si>
    <t>21 DIAS: uma diaria de bomba faz 3 radies por dia</t>
  </si>
  <si>
    <t>B origem: RADIER | C origem: CONCRETO</t>
  </si>
  <si>
    <t>Agregado</t>
  </si>
  <si>
    <t>Brita graduada (lastro para nivelamento) - 10 cm esp.; 15% penetração no solo</t>
  </si>
  <si>
    <t>Saída | RADIER | Agregado</t>
  </si>
  <si>
    <t>30/60 dias</t>
  </si>
  <si>
    <t>m³</t>
  </si>
  <si>
    <t>B origem: RADIER | C origem: Agregado</t>
  </si>
  <si>
    <t>INSUMO</t>
  </si>
  <si>
    <t>Cimento PortlanD CP IV 32 para limpeza da bomba</t>
  </si>
  <si>
    <t>Saída | RADIER | INSUMO</t>
  </si>
  <si>
    <t>B origem: RADIER | C origem: INSUMO</t>
  </si>
  <si>
    <t>Concreto Usinado fck - 25 Mpa ( Com perda de 10%) - SEM IMPERMEABILIZANTE - 140 +- 30 slump</t>
  </si>
  <si>
    <t>21 DIAS</t>
  </si>
  <si>
    <t>Desmoldante TECNOMOR</t>
  </si>
  <si>
    <t>litros</t>
  </si>
  <si>
    <t>SERVIÇO</t>
  </si>
  <si>
    <t>Ensaio compreesão corpo prova</t>
  </si>
  <si>
    <t>Saída | RADIER | SERVIÇO</t>
  </si>
  <si>
    <t>B origem: RADIER | C origem: SERVIÇO</t>
  </si>
  <si>
    <t>Espaçador tipo centopeia - 5 unid. por m² - 50 mm</t>
  </si>
  <si>
    <t>RATEIO</t>
  </si>
  <si>
    <t>Forma para Radier - chapa de compensado naval plastificado 14mm</t>
  </si>
  <si>
    <t>Saída | RADIER | RATEIO</t>
  </si>
  <si>
    <t>B origem: RADIER | C origem: RATEIO</t>
  </si>
  <si>
    <t>Forma para Radier - tabua pinus 25mm para montagem do gabarito 2,70 m x 15cm</t>
  </si>
  <si>
    <t>Lona 150 micras</t>
  </si>
  <si>
    <t>m²</t>
  </si>
  <si>
    <t>Placa vibratoria reversivél CR5</t>
  </si>
  <si>
    <t>Saída | RADIER | LOCAÇAO</t>
  </si>
  <si>
    <t>dia</t>
  </si>
  <si>
    <t>B origem: RADIER | C origem: LOCAÇAO</t>
  </si>
  <si>
    <t>Prego 17 x 27 cabeça dupla</t>
  </si>
  <si>
    <t>impermeabilizante para lateral das chapas de compensado (link no grupo)</t>
  </si>
  <si>
    <t>Q3</t>
  </si>
  <si>
    <t>AZULEJOS</t>
  </si>
  <si>
    <t>Mao de obra terceirizada assentamento Azulejo</t>
  </si>
  <si>
    <t>Saída | AZULEJOS</t>
  </si>
  <si>
    <t>Saída | AZULEJOS | MAO DE OBRA</t>
  </si>
  <si>
    <t>Faturamento para 45 dias após boletim fiscalizaçao</t>
  </si>
  <si>
    <t xml:space="preserve">B origem: AZULEJOS | C origem: MAO DE OBRA </t>
  </si>
  <si>
    <t>CAIXAS DE INSPEÇÃO E GORDURA</t>
  </si>
  <si>
    <t>MO Terceirizada Caixas de inspecao e gordura</t>
  </si>
  <si>
    <t>Saída | CAIXAS DE INSPEÇÃO E GORDURA</t>
  </si>
  <si>
    <t>Saída | CAIXAS DE INSPEÇÃO E GORDURA | MAO DE OBRA</t>
  </si>
  <si>
    <t xml:space="preserve">B origem: CAIXAS DE INSPEÇÃO E GORDURA | C origem: MAO DE OBRA </t>
  </si>
  <si>
    <t>CARTAO CREDITO SUCOPIRA</t>
  </si>
  <si>
    <t>C origem: 163000</t>
  </si>
  <si>
    <t>EMPRESTIMO BRADESCO</t>
  </si>
  <si>
    <t>C origem: 200000</t>
  </si>
  <si>
    <t>EMPRÉSTIMO EXTRA</t>
  </si>
  <si>
    <t>C origem: 59000</t>
  </si>
  <si>
    <t>NUBANK</t>
  </si>
  <si>
    <t>C origem: 50000</t>
  </si>
  <si>
    <t>COBERTURA</t>
  </si>
  <si>
    <t>Mao de obra terceirizada montagem e telhamento</t>
  </si>
  <si>
    <t>Saída | COBERTURA</t>
  </si>
  <si>
    <t>Saída | COBERTURA | MAO DE OBRA</t>
  </si>
  <si>
    <t xml:space="preserve">B origem: COBERTURA | C origem: MAO DE OBRA </t>
  </si>
  <si>
    <t>EMASSAMENTO INTERNO</t>
  </si>
  <si>
    <t>MASSA NIVELADORA</t>
  </si>
  <si>
    <t>Mao de obra terceirizada Emassamento e lixamento  interno paredes e teto</t>
  </si>
  <si>
    <t>Saída | EMASSAMENTO INTERNO</t>
  </si>
  <si>
    <t>Saída | MASSA NIVELADORA | MAO DE OBRA</t>
  </si>
  <si>
    <t xml:space="preserve">B origem: MASSA NIVELADORA | C origem: MAO DE OBRA </t>
  </si>
  <si>
    <t>TECNICO SEGURANÇA TRABALHO - ( rateado em 3 canteiros) carro incluso</t>
  </si>
  <si>
    <t>IMPERMEABILIZAÇÃO</t>
  </si>
  <si>
    <t>IMPERMEABILIZAÇAO INTERNA</t>
  </si>
  <si>
    <t>Mao de obra Impermeabilização de áreas úmidas</t>
  </si>
  <si>
    <t>Saída | IMPERMEABILIZAÇÃO</t>
  </si>
  <si>
    <t>Saída | IMPERMEABILIZAÇAO INTERNA | MAO DE OBRA</t>
  </si>
  <si>
    <t xml:space="preserve">B origem: IMPERMEABILIZAÇAO INTERNA | C origem: MAO DE OBRA </t>
  </si>
  <si>
    <t>Montagem de paredes pré-moldadas (içamento, prumo, alinhamento e escoramento com grauteamento) – até 35 t</t>
  </si>
  <si>
    <t>Saída | PAREDES COM CONCRETO | MAO DE OBRA</t>
  </si>
  <si>
    <t>45 dias após boletim fiscalizaçao</t>
  </si>
  <si>
    <t xml:space="preserve">B origem: PAREDES COM CONCRETO | C origem: MAO DE OBRA </t>
  </si>
  <si>
    <t>material CIMENTO : KIT Parede e Laje - FOB na Fabrica</t>
  </si>
  <si>
    <t>material FERRO: KIT Parede e Laje - FOB na Fabrica</t>
  </si>
  <si>
    <t>PISO E RODAPÉ</t>
  </si>
  <si>
    <t>Mao de obra terceirizada assentamento Ceramica</t>
  </si>
  <si>
    <t>Saída | PISO E RODAPÉ</t>
  </si>
  <si>
    <t>Saída | PISO E RODAPÉ | MAO DE OBRA</t>
  </si>
  <si>
    <t xml:space="preserve">B origem:  PISO E RODAPÉ | C origem: MAO DE OBRA </t>
  </si>
  <si>
    <t>SOLEIRAS</t>
  </si>
  <si>
    <t>PINGADEIRAS E SOLEIRAS</t>
  </si>
  <si>
    <t>Assentamento Soleira em basalto  0,84 x 0,125 x 0,02 - cozinha</t>
  </si>
  <si>
    <t>Saída | SOLEIRAS</t>
  </si>
  <si>
    <t>Saída | PINGADEIRAS E SOLEIRAS | MAO DE OBRA</t>
  </si>
  <si>
    <t xml:space="preserve">B origem: PINGADEIRAS E SOLEIRAS | C origem: MAO DE OBRA </t>
  </si>
  <si>
    <t>Assentamento Soleira em basalto  0,94 x 0,125 x 0,02 - entrada</t>
  </si>
  <si>
    <t>TEXTURA EXTERNA NA COR</t>
  </si>
  <si>
    <t>PINTURA EXT.</t>
  </si>
  <si>
    <t>Mao de obra terceirizada Textura externa</t>
  </si>
  <si>
    <t>Saída | TEXTURA EXTERNA NA COR</t>
  </si>
  <si>
    <t>Saída | PINTURA EXT. | MAO DE OBRA</t>
  </si>
  <si>
    <t xml:space="preserve">B origem: PINTURA EXT. | C origem: MAO DE OBRA </t>
  </si>
  <si>
    <t>Q4</t>
  </si>
  <si>
    <t>Argamassa colante AC I - Saco 20 Kg</t>
  </si>
  <si>
    <t>Saída | AZULEJOS | INSUMO</t>
  </si>
  <si>
    <t>cartão</t>
  </si>
  <si>
    <t>Sc</t>
  </si>
  <si>
    <t>B origem: AZULEJOS | C origem: INSUMO</t>
  </si>
  <si>
    <t>Espaçador cruzeta - 5mm (pacote com 100 unid)</t>
  </si>
  <si>
    <t>un</t>
  </si>
  <si>
    <t>Rejunte cimenticio</t>
  </si>
  <si>
    <t>REVESTIMENTO</t>
  </si>
  <si>
    <t>Revestimento Cerâmico PEI II - 20 X 20, cor,  (perda 10%)</t>
  </si>
  <si>
    <t>Saída | AZULEJOS | REVESTIMENTO</t>
  </si>
  <si>
    <t>B origem: AZULEJOS | C origem: REVESTIMENTO</t>
  </si>
  <si>
    <t>CAIXA D'ÁGUA E BARRILETES</t>
  </si>
  <si>
    <t>BARRILETE E RESERV.</t>
  </si>
  <si>
    <t>Adaptador soldável flange 25mm 3/4</t>
  </si>
  <si>
    <t>Saída | CAIXA D'ÁGUA E BARRILETES</t>
  </si>
  <si>
    <t>Saída | BARRILETE E RESERV. | Tubos e conexoes</t>
  </si>
  <si>
    <t>28/56/84</t>
  </si>
  <si>
    <t>peça</t>
  </si>
  <si>
    <t>B origem: BARRILETE E RESERV. | C origem: Tubos e conexoes</t>
  </si>
  <si>
    <t>Adaptador soldável flange 32 mm</t>
  </si>
  <si>
    <t>Bucha de redução soldável curta 32mm x 25mm</t>
  </si>
  <si>
    <t>Caixa D'Água Polietileno 500 Litros - FORTLEV</t>
  </si>
  <si>
    <t>Cola Pincel 175 g</t>
  </si>
  <si>
    <t>Curva 90° Soldável 25mm</t>
  </si>
  <si>
    <t>Joelho 90 soldavel 25 mm, PVC marrom, água fria</t>
  </si>
  <si>
    <t>Joelho 90 soldavel 32 mm, PVC marrom, água fria</t>
  </si>
  <si>
    <t>LuvaPVC soldavél - 32 mm</t>
  </si>
  <si>
    <t>Registro PVC Esfera Borboleta Soldável 25MM</t>
  </si>
  <si>
    <t>Registro PVC Esfera Borboleta Soldável 32MM</t>
  </si>
  <si>
    <t>TE PVC Soldável 32 MM</t>
  </si>
  <si>
    <t>Torneira Boia PVC Com Balão Plástico Para Caixa D'água 3/4"</t>
  </si>
  <si>
    <t>Tubo DN 32 mm, PVC Rígido Soldável Marrom</t>
  </si>
  <si>
    <t>EQUIPAMENTO</t>
  </si>
  <si>
    <t>Locação de miniescavadeira - nivelamento e abertura de valas para caixa de gordura e hidrosanitario do radier</t>
  </si>
  <si>
    <t>Saída | CAIXAS DE INSPEÇÃO E GORDURA | EQUIPAMENTO</t>
  </si>
  <si>
    <t>Faturamento para 30/60</t>
  </si>
  <si>
    <t>h</t>
  </si>
  <si>
    <t>B origem: CAIXAS DE INSPEÇÃO E GORDURA | C origem: EQUIPAMENTO</t>
  </si>
  <si>
    <t>TELHAS</t>
  </si>
  <si>
    <t>Cumeeira fibrocimento - 20º 6mm</t>
  </si>
  <si>
    <t>Saída | COBERTURA | TELHAS</t>
  </si>
  <si>
    <t>B origem: COBERTURA | C origem: TELHAS</t>
  </si>
  <si>
    <t>Estrutura SteelFrame com tesouras</t>
  </si>
  <si>
    <t>Saída | COBERTURA | FABRICA</t>
  </si>
  <si>
    <t>B origem: COBERTURA | C origem: FABRICA</t>
  </si>
  <si>
    <t>Parafuso telheiro 1/4" x 110 mm com arruela/vedante: 150 un.</t>
  </si>
  <si>
    <t>Saída | COBERTURA | FERRAGEM</t>
  </si>
  <si>
    <t>und</t>
  </si>
  <si>
    <t>B origem: COBERTURA | C origem: FERRAGEM</t>
  </si>
  <si>
    <t>Telha fibrocimento 6mm 2,44x1,1m</t>
  </si>
  <si>
    <t>TINTAS</t>
  </si>
  <si>
    <t>Lixa grao 150 -</t>
  </si>
  <si>
    <t>Saída | MASSA NIVELADORA | TINTAS</t>
  </si>
  <si>
    <t>metros</t>
  </si>
  <si>
    <t>B origem: MASSA NIVELADORA | C origem: TINTAS</t>
  </si>
  <si>
    <t>Massa fina acabamento 18kg - branca</t>
  </si>
  <si>
    <t>saco</t>
  </si>
  <si>
    <t>GRAUTEAMENTO</t>
  </si>
  <si>
    <t>Aditivo supercristalizante Penetron</t>
  </si>
  <si>
    <t>Saída | GRAUTEAMENTO</t>
  </si>
  <si>
    <t>Saída | GRAUTEAMENTO | INSUMO</t>
  </si>
  <si>
    <t>B origem: GRAUTEAMENTO | C origem: INSUMO</t>
  </si>
  <si>
    <t>Formas de tábua aparelhada de 20x2,5x540cm para fechamento de pilares</t>
  </si>
  <si>
    <t>Saída | GRAUTEAMENTO | MADEIRA</t>
  </si>
  <si>
    <t>B origem: GRAUTEAMENTO | C origem: MADEIRA</t>
  </si>
  <si>
    <t>Locação betoneira para bater o graute</t>
  </si>
  <si>
    <t>Saída | GRAUTEAMENTO | LOCAÇAO</t>
  </si>
  <si>
    <t>diaria</t>
  </si>
  <si>
    <t>B origem: GRAUTEAMENTO | C origem: LOCAÇAO</t>
  </si>
  <si>
    <t>graute:  areia grossa</t>
  </si>
  <si>
    <t>Saída | GRAUTEAMENTO | CONCRETO</t>
  </si>
  <si>
    <t>0,7m³ de graute por casa. 1m3= 12 saco cimento, 30 balde areia e 30 balde brita zero</t>
  </si>
  <si>
    <t>m3</t>
  </si>
  <si>
    <t>B origem: GRAUTEAMENTO | C origem: CONCRETO</t>
  </si>
  <si>
    <t>graute:  cimento PortlanD CP IV 32</t>
  </si>
  <si>
    <t>graute:  pedrisco (brita zero)</t>
  </si>
  <si>
    <t>Membrana líquida de poliuretano bicomponente 15Kg flexivel</t>
  </si>
  <si>
    <t>Saída | IMPERMEABILIZAÇAO INTERNA | INSUMO</t>
  </si>
  <si>
    <t>caixa</t>
  </si>
  <si>
    <t>B origem: IMPERMEABILIZAÇAO INTERNA | C origem: INSUMO</t>
  </si>
  <si>
    <t>Membrana líquida de poliuretano bicomponente 15Kg semi flexivel</t>
  </si>
  <si>
    <t>Tela de Poliester</t>
  </si>
  <si>
    <t>Icamento para montagem canteiro de obra - Guindaste</t>
  </si>
  <si>
    <t>Saída | PAREDES COM CONCRETO | LOCAÇAO</t>
  </si>
  <si>
    <t>30 DIAS</t>
  </si>
  <si>
    <t>B origem: PAREDES COM CONCRETO | C origem: LOCAÇAO</t>
  </si>
  <si>
    <t>TRANSPORTE</t>
  </si>
  <si>
    <t>Transporte de paredes e lajes (carreta + munck + carga/descarga) – até 120 km</t>
  </si>
  <si>
    <t>Saída | PAREDES COM CONCRETO | TRANSPORTE</t>
  </si>
  <si>
    <t>50% A VISTA E 50% FATURADO PRA 30 DIAS: 2 casas no bitrem (3k/viagem)e 4 lages de casa na vardeleia (4k/viagem)</t>
  </si>
  <si>
    <t>km</t>
  </si>
  <si>
    <t>B origem: PAREDES COM CONCRETO | C origem: TRANSPORTE</t>
  </si>
  <si>
    <t>mobilizaçao e desmobilização equipe montagem</t>
  </si>
  <si>
    <t>Argamassa colante AC I</t>
  </si>
  <si>
    <t>Saída | PISO E RODAPÉ | INSUMO</t>
  </si>
  <si>
    <t>B origem:  PISO E RODAPÉ | C origem: INSUMO</t>
  </si>
  <si>
    <t>Revestimento Cerâmico  PEI IV 35 x 35- cor,  (perda 15%) - inclui rodapé</t>
  </si>
  <si>
    <t>Saída | PISO E RODAPÉ | REVESTIMENTO</t>
  </si>
  <si>
    <t>B origem:  PISO E RODAPÉ | C origem: REVESTIMENTO</t>
  </si>
  <si>
    <t>RUFOS</t>
  </si>
  <si>
    <t>Rufos e calhas</t>
  </si>
  <si>
    <t>Saída | RUFOS</t>
  </si>
  <si>
    <t>metro</t>
  </si>
  <si>
    <t>Saída | PINGADEIRAS E SOLEIRAS | INSUMO</t>
  </si>
  <si>
    <t>sacoc</t>
  </si>
  <si>
    <t>B origem: PINGADEIRAS E SOLEIRAS | C origem: INSUMO</t>
  </si>
  <si>
    <t>Soleira em basalto  0,84 x 0,125 x 0,02 - cozinha</t>
  </si>
  <si>
    <t>Saída | PINGADEIRAS E SOLEIRAS | REVESTIMENTO</t>
  </si>
  <si>
    <t>B origem: PINGADEIRAS E SOLEIRAS | C origem: REVESTIMENTO</t>
  </si>
  <si>
    <t>Soleira em basalto  0,94 x 0,125 x 0,02 - entrada</t>
  </si>
  <si>
    <t>Textura elastomerica na cor</t>
  </si>
  <si>
    <t>Saída | PINTURA EXT. | TINTAS</t>
  </si>
  <si>
    <t>B origem: PINTURA EXT. | C origem: TINTAS</t>
  </si>
  <si>
    <t>Q5</t>
  </si>
  <si>
    <t>Areia grossa</t>
  </si>
  <si>
    <t>Saída | CAIXAS DE INSPEÇÃO E GORDURA | Agregado</t>
  </si>
  <si>
    <t>B origem: CAIXAS DE INSPEÇÃO E GORDURA | C origem: Agregado</t>
  </si>
  <si>
    <t>Pre moldado</t>
  </si>
  <si>
    <t>Caixa gordura 40x40x40 pre moldada com tampa</t>
  </si>
  <si>
    <t>Saída | CAIXAS DE INSPEÇÃO E GORDURA | Pre moldado</t>
  </si>
  <si>
    <t>B origem: CAIXAS DE INSPEÇÃO E GORDURA | C origem: Pre moldado</t>
  </si>
  <si>
    <t>Caixa inspecao 60x60x40 pre moldada com tampa</t>
  </si>
  <si>
    <t>Tubo pvc 100mm - Rede de Esgoto</t>
  </si>
  <si>
    <t>Saída | CAIXAS DE INSPEÇÃO E GORDURA | Tubos e conexoes</t>
  </si>
  <si>
    <t>B origem: CAIXAS DE INSPEÇÃO E GORDURA | C origem: Tubos e conexoes</t>
  </si>
  <si>
    <t>Tubo pvc 40mm - Rede de Esgoto</t>
  </si>
  <si>
    <t>Tubo pvc 50mm - Rede de Esgoto</t>
  </si>
  <si>
    <t>lastro de brita 01 - 10cm</t>
  </si>
  <si>
    <t>ENTRADA DE ÁGUA</t>
  </si>
  <si>
    <t>Kit cavalete e hidrômetro - padrão corsan</t>
  </si>
  <si>
    <t>Saída | ENTRADA DE ÁGUA</t>
  </si>
  <si>
    <t>Saída | ENTRADA DE ÁGUA | Pre moldado</t>
  </si>
  <si>
    <t>B origem: ENTRADA DE ÁGUA  | C origem: Pre moldado</t>
  </si>
  <si>
    <t>Mureta padrão corsan com caixa de polietileno padrão corsan instalada</t>
  </si>
  <si>
    <t>ESQUADRIAS EM ALUMINIO - JANELAS EXTERNAS</t>
  </si>
  <si>
    <t>Mao de obra terceirizada colocaçao de Esquadrias aluminio</t>
  </si>
  <si>
    <t>Saída | ESQUADRIAS EM ALUMINIO - JANELAS EXTERNAS</t>
  </si>
  <si>
    <t>Saída | ESQUADRIAS EM ALUMINIO - JANELAS EXTERNAS | MAO DE OBRA</t>
  </si>
  <si>
    <t xml:space="preserve">B origem: ESQUADRIAS EM ALUMINIO - JANELAS EXTERNAS | C origem: MAO DE OBRA </t>
  </si>
  <si>
    <t>PINTURA INTERNA</t>
  </si>
  <si>
    <t>Mao de obra terceirizada com equipamentos Pintura interna (2 demãos)</t>
  </si>
  <si>
    <t>Saída | PINTURA INTERNA</t>
  </si>
  <si>
    <t>Saída | PINTURA INTERNA | MAO DE OBRA</t>
  </si>
  <si>
    <t xml:space="preserve">B origem: PINTURA INTERNA | C origem: MAO DE OBRA </t>
  </si>
  <si>
    <t>PORTAS EXTERNAS</t>
  </si>
  <si>
    <t>ESQUADRA DE ALUMINO</t>
  </si>
  <si>
    <t>Mao de obra terceirizada colocaçao de Portas externa</t>
  </si>
  <si>
    <t>Saída | PORTAS EXTERNAS</t>
  </si>
  <si>
    <t>Saída | ESQUADRA DE ALUMINO | MAO DE OBRA</t>
  </si>
  <si>
    <t xml:space="preserve">B origem: ESQUADRA DE ALUMINO | C origem: MAO DE OBRA </t>
  </si>
  <si>
    <t>PORTAS INTERNAS</t>
  </si>
  <si>
    <t>ESQUADRIA DE MADEIRA</t>
  </si>
  <si>
    <t>Mao de obra terceirizada colocaçao de Portas interna</t>
  </si>
  <si>
    <t>Saída | PORTAS INTERNAS</t>
  </si>
  <si>
    <t>Saída | ESQUADRIA DE MADEIRA | MAO DE OBRA</t>
  </si>
  <si>
    <t xml:space="preserve">B origem: ESQUADRIA DE MADEIRA | C origem: MAO DE OBRA </t>
  </si>
  <si>
    <t>POSTE DE ENERGIA</t>
  </si>
  <si>
    <t>Instalação de Poste Padrão de Energia</t>
  </si>
  <si>
    <t>Saída | POSTE DE ENERGIA</t>
  </si>
  <si>
    <t>Saída | POSTE DE ENERGIA | Pre moldado</t>
  </si>
  <si>
    <t>B origem:  POSTE DE ENERGIA | C origem: Pre moldado</t>
  </si>
  <si>
    <t>Poste de Energia - padrão da concessionária local</t>
  </si>
  <si>
    <t>Q6</t>
  </si>
  <si>
    <t>CALÇADA DE ACESSO</t>
  </si>
  <si>
    <t>Brita 01 para espalhamento</t>
  </si>
  <si>
    <t>Saída | CALÇADA DE ACESSO</t>
  </si>
  <si>
    <t>Saída | CALÇADA DE ACESSO | Agregado</t>
  </si>
  <si>
    <t>B origem: CALÇADA DE ACESSO | C origem: Agregado</t>
  </si>
  <si>
    <t>Mao de obra calçada acesso</t>
  </si>
  <si>
    <t>Saída | CALÇADA DE ACESSO | MAO DE OBRA</t>
  </si>
  <si>
    <t xml:space="preserve">B origem: CALÇADA DE ACESSO | C origem: MAO DE OBRA </t>
  </si>
  <si>
    <t>Prego 17 x 27 cabeça simples</t>
  </si>
  <si>
    <t>Saída | CALÇADA DE ACESSO | FERRAGEM</t>
  </si>
  <si>
    <t>B origem: CALÇADA DE ACESSO | C origem: FERRAGEM</t>
  </si>
  <si>
    <t>Sarrafo 2,5x7,5x600cm em pinus</t>
  </si>
  <si>
    <t>Saída | CALÇADA DE ACESSO | MADEIRA</t>
  </si>
  <si>
    <t>B origem: CALÇADA DE ACESSO | C origem: MADEIRA</t>
  </si>
  <si>
    <t>Tela Q - 61 aço CA50 a c/10 4.2mm</t>
  </si>
  <si>
    <t>concreto usinado FCK 20 Mpa</t>
  </si>
  <si>
    <t>Saída | CALÇADA DE ACESSO | CONCRETO</t>
  </si>
  <si>
    <t>B origem: CALÇADA DE ACESSO | C origem: CONCRETO</t>
  </si>
  <si>
    <t>Bucha 6 mm para concreto</t>
  </si>
  <si>
    <t>Saída | ESQUADRIAS EM ALUMINIO - JANELAS EXTERNAS | INSUMO</t>
  </si>
  <si>
    <t>B origem: ESQUADRIAS EM ALUMINIO - JANELAS EXTERNAS | C origem: INSUMO</t>
  </si>
  <si>
    <t>Espuma Expansiva de Poliuretano 300ml</t>
  </si>
  <si>
    <t>Fita crepe 48 mm x 50 m</t>
  </si>
  <si>
    <t>Impermeabilizante bi componente semi flexível - IMPER TOP 512 ( 2 demaos - 1,8 kg/m²)</t>
  </si>
  <si>
    <t>ESQUADRIA</t>
  </si>
  <si>
    <t>PORTA ALCAPAO ALUM.BCO (37MM) 60 x 50</t>
  </si>
  <si>
    <t>Saída | ESQUADRIAS EM ALUMINIO - JANELAS EXTERNAS | ESQUADRIA</t>
  </si>
  <si>
    <t>B origem: ESQUADRIAS EM ALUMINIO - JANELAS EXTERNAS | C origem: ESQUADRIA</t>
  </si>
  <si>
    <t>Parafuso panela fenda/phillips 4,8 x 50 mm - INOX</t>
  </si>
  <si>
    <t>Selante acrilico c / 390 g - TECKBOND</t>
  </si>
  <si>
    <t>VITRO MAXIMO-AR ALUM.BCO (38MM) 60 X 60 MBOREAL</t>
  </si>
  <si>
    <t>VITRO SOFT AL.BC 2FL (53MM) 120 X 1,20</t>
  </si>
  <si>
    <t>LOUÇAS E METAIS</t>
  </si>
  <si>
    <t>Mao de obra cozinha e tanque completos</t>
  </si>
  <si>
    <t>Saída | LOUÇAS E METAIS</t>
  </si>
  <si>
    <t>Saída | LOUÇAS E METAIS | MAO DE OBRA</t>
  </si>
  <si>
    <t xml:space="preserve">B origem: LOUÇAS E METAIS | C origem: MAO DE OBRA </t>
  </si>
  <si>
    <t>Mao de obra loucas e metais Banheiro completo</t>
  </si>
  <si>
    <t>Fira crepe 50 mm x 50 m</t>
  </si>
  <si>
    <t>Saída | PINTURA INTERNA | TINTAS</t>
  </si>
  <si>
    <t>rolo</t>
  </si>
  <si>
    <t>B origem: PINTURA INTERNA | C origem: TINTAS</t>
  </si>
  <si>
    <t>TINTA ACRILICA CORALAR BRANCO 18 LITROS - laje (  cor BRANCA  ou similar) - 2 demaos</t>
  </si>
  <si>
    <t>balde</t>
  </si>
  <si>
    <t>Saída | ESQUADRA DE ALUMINO | INSUMO</t>
  </si>
  <si>
    <t>B origem: ESQUADRA DE ALUMINO | C origem: INSUMO</t>
  </si>
  <si>
    <t>PORTA LAMINADA AL.BCO SOFT (37MM) ESQUERDA. 215X120</t>
  </si>
  <si>
    <t>Saída | ESQUADRA DE ALUMINO | ESQUADRIA</t>
  </si>
  <si>
    <t>B origem: ESQUADRA DE ALUMINO | C origem: ESQUADRIA</t>
  </si>
  <si>
    <t>PORTA LAMINADA AL.BCO SOFT(37MM) DIR. 215X94</t>
  </si>
  <si>
    <t>Saída | ESQUADRA DE ALUMINO | FERRAGEM</t>
  </si>
  <si>
    <t>B origem: ESQUADRA DE ALUMINO | C origem: FERRAGEM</t>
  </si>
  <si>
    <t>ESPUMA EXPANSIVA DE POLIURETANO - 500 ML</t>
  </si>
  <si>
    <t>Saída | ESQUADRIA DE MADEIRA | INSUMO</t>
  </si>
  <si>
    <t>B origem: ESQUADRIA DE MADEIRA | C origem: INSUMO</t>
  </si>
  <si>
    <t>PORTA EM MADEIRA PINUS SECA EM ESTUFA P/ USO INTERNO  INCLUSO
DOBRADIÇA E FECHADURA SOPRANO</t>
  </si>
  <si>
    <t>Saída | ESQUADRIA DE MADEIRA | ESQUADRIA</t>
  </si>
  <si>
    <t>B origem: ESQUADRIA DE MADEIRA | C origem: ESQUADRIA</t>
  </si>
  <si>
    <t>Q7</t>
  </si>
  <si>
    <t>ELETRICA EFIAÇÃO + TOMADAS</t>
  </si>
  <si>
    <t>Mao de obra terceirizada Pontos eletricos completos  + quadro</t>
  </si>
  <si>
    <t>Saída | ELETRICA EFIAÇÃO + TOMADAS</t>
  </si>
  <si>
    <t>Saída | ELETRICA EFIAÇÃO + TOMADAS | MAO DE OBRA</t>
  </si>
  <si>
    <t xml:space="preserve">B origem: ELETRICA EFIAÇÃO + TOMADAS | C origem: MAO DE OBRA </t>
  </si>
  <si>
    <t>Mao de obra terceirizada colocaçao Espelhos, lampadas e testes</t>
  </si>
  <si>
    <t>LIMPEZA FINAL</t>
  </si>
  <si>
    <t>LIMPEZA FINAL DE OBRA</t>
  </si>
  <si>
    <t>DESINFETANTE 5L</t>
  </si>
  <si>
    <t>Saída | LIMPEZA FINAL</t>
  </si>
  <si>
    <t>Saída | LIMPEZA FINAL DE OBRA | MATERIAL</t>
  </si>
  <si>
    <t>B origem: LIMPEZA FINAL DE OBRA | C origem: MATERIAL</t>
  </si>
  <si>
    <t>DETERGENTE 5L</t>
  </si>
  <si>
    <t>Mao de obra terceirizada limpeza final</t>
  </si>
  <si>
    <t>m2</t>
  </si>
  <si>
    <t>ÁLCOOL 70 LIQUIDO 5L</t>
  </si>
  <si>
    <t>METAIS E ACABAMENTOS</t>
  </si>
  <si>
    <t>ACABAMENTO CROMADO PARA REGISTRO GAVETA 3/4 ( tanque, maquina, pia coz)</t>
  </si>
  <si>
    <t>Saída | METAIS E ACABAMENTOS | Tubos e conexoes</t>
  </si>
  <si>
    <t>B origem: METAIS E ACABAMENTOS | C origem: Tubos e conexoes</t>
  </si>
  <si>
    <t>ACABAMENTO CROMADO PARA REGISTRO pressao 3/4 ( tanque, maquina, pia coz)</t>
  </si>
  <si>
    <t>VASO SANITARIO</t>
  </si>
  <si>
    <t>Anel Vedação P/bacia Sanitária C/guia 100MM Preto Amanco</t>
  </si>
  <si>
    <t>Saída | VASO SANITARIO | Tubos e conexoes</t>
  </si>
  <si>
    <t>B origem: VASO SANITARIO | C origem: Tubos e conexoes</t>
  </si>
  <si>
    <t>LOUÇAS</t>
  </si>
  <si>
    <t>BACIA SANITARIA (VASO) C/ CAIXA ACOPLADA, DE LOUCA BRANCA EACIONAMENTO DUPLO</t>
  </si>
  <si>
    <t>Saída | VASO SANITARIO | LOUÇAS</t>
  </si>
  <si>
    <t>B origem: VASO SANITARIO | C origem: LOUÇAS</t>
  </si>
  <si>
    <t>BANCADA</t>
  </si>
  <si>
    <t>Bancada de mármore sintético 120x60</t>
  </si>
  <si>
    <t>Saída | LOUÇAS E METAIS | BANCADA</t>
  </si>
  <si>
    <t>B origem: LOUÇAS E METAIS | C origem: BANCADA</t>
  </si>
  <si>
    <t>LAVATORIO</t>
  </si>
  <si>
    <t>COLUNA P/ LAVATÓRIO BRANCO</t>
  </si>
  <si>
    <t>Saída | LAVATORIO | LOUÇAS</t>
  </si>
  <si>
    <t>B origem: LAVATORIO | C origem: LOUÇAS</t>
  </si>
  <si>
    <t>ENGATE FLEXÍVEL EM PLÁSTICO BRANCO, 1/2" X 40CM</t>
  </si>
  <si>
    <t>Saída | LAVATORIO | Tubos e conexoes</t>
  </si>
  <si>
    <t>B origem: LAVATORIO | C origem: Tubos e conexoes</t>
  </si>
  <si>
    <t>Grelha 100x100mm - chuveiro</t>
  </si>
  <si>
    <t>LAVATORIO LOUCA BRANCA C/ COLUNA 470 X 425 MM (SOMENTELAVATÓRIO)</t>
  </si>
  <si>
    <t>PARAFUSO PARA VASO E LAVATORIO / 8MM - COM BUCHA</t>
  </si>
  <si>
    <t>TANQUE</t>
  </si>
  <si>
    <t>Saída | TANQUE | Tubos e conexoes</t>
  </si>
  <si>
    <t>B origem: TANQUE | C origem: Tubos e conexoes</t>
  </si>
  <si>
    <t>METAL</t>
  </si>
  <si>
    <t>Porta Toalha de rosto em metal cromado para banheiro</t>
  </si>
  <si>
    <t>Saída | LOUÇAS E METAIS | METAL</t>
  </si>
  <si>
    <t>unid</t>
  </si>
  <si>
    <t>B origem: LOUÇAS E METAIS | C origem: METAL</t>
  </si>
  <si>
    <t>Porta grelha dn 100mm - Chuveiro</t>
  </si>
  <si>
    <t>Porta papel higiênico sem tampa, cromado</t>
  </si>
  <si>
    <t>Selante Acrílico Elastométrico Top Gun 300 ml TG140 Renner</t>
  </si>
  <si>
    <t>Saída | VASO SANITARIO | INSUMO</t>
  </si>
  <si>
    <t>B origem: VASO SANITARIO | C origem: INSUMO</t>
  </si>
  <si>
    <t>Saída | LAVATORIO | INSUMO</t>
  </si>
  <si>
    <t>B origem: LAVATORIO | C origem: INSUMO</t>
  </si>
  <si>
    <t>Sifão PVC Extensivo Corrugado Universal Para Lavatório E Tanque 7/8"-11/4" 740MM Branco Censi</t>
  </si>
  <si>
    <t>TANQUE LOUÇA BRANCO 20L , COM VALVULA DE SAIDA INTEGRADA 40MM</t>
  </si>
  <si>
    <t>Saída | TANQUE | LOUÇAS</t>
  </si>
  <si>
    <t>B origem: TANQUE | C origem: LOUÇAS</t>
  </si>
  <si>
    <t>Torneira Banheiro Lavatório Bancada 1193 Metal C-23 Cromada</t>
  </si>
  <si>
    <t>Saída | LAVATORIO | METAL</t>
  </si>
  <si>
    <t>B origem: LAVATORIO | C origem: METAL</t>
  </si>
  <si>
    <t>Torneira De Tanque / Jardim Luxo ¼ De Volta 100% Metal C-31</t>
  </si>
  <si>
    <t>Saída | TANQUE | METAL</t>
  </si>
  <si>
    <t>B origem: TANQUE | C origem: METAL</t>
  </si>
  <si>
    <t>Veda Rosca Teflon Veda Tubulações 18mm x 50M</t>
  </si>
  <si>
    <t>Válvula PVC Para Lavatório S/ladrao Amanco</t>
  </si>
  <si>
    <t>torneira cromada para pia da cozinha</t>
  </si>
  <si>
    <t>Q8</t>
  </si>
  <si>
    <t>ELETRICO</t>
  </si>
  <si>
    <t>Arandela do tipo meia-lua de sobrepor cor branca com lâmpada</t>
  </si>
  <si>
    <t>Saída | ELETRICA EFIAÇÃO + TOMADAS | ELETRICO</t>
  </si>
  <si>
    <t>B origem: ELETRICA EFIAÇÃO + TOMADAS | C origem: ELETRICO</t>
  </si>
  <si>
    <t>Arandela tipo tartaruga para uso externo com grade na cor branca com lampada</t>
  </si>
  <si>
    <t>CHUVEIRO, COM CANO, 3 TEMPERATURAS, 5500 W (110/220 V)</t>
  </si>
  <si>
    <t>1</t>
  </si>
  <si>
    <t>Cabo unipolar 1.5 mm² azul claro</t>
  </si>
  <si>
    <t>Cabo unipolar 1.5 mm² marrom</t>
  </si>
  <si>
    <t>Cabo unipolar 10 mm² azul claro</t>
  </si>
  <si>
    <t>Cabo unipolar 10 mm² marrom</t>
  </si>
  <si>
    <t>Cabo unipolar 10 mm² preto</t>
  </si>
  <si>
    <t>Cabo unipolar 10 mm² verde-amarelo</t>
  </si>
  <si>
    <t>Cabo unipolar 2.5 mm² azul claro</t>
  </si>
  <si>
    <t>Cabo unipolar 2.5 mm² marrom</t>
  </si>
  <si>
    <t>Cabo unipolar 2.5 mm² verde-amarelo</t>
  </si>
  <si>
    <t>Cabo unipolar 6 mm² azul claro</t>
  </si>
  <si>
    <t>Cabo unipolar 6 mm² marrom</t>
  </si>
  <si>
    <t>Cabo unipolar 6 mm² verde-amarelo</t>
  </si>
  <si>
    <t>Campainha Cigarra + 1 Tecla Campainha Pollar Radial</t>
  </si>
  <si>
    <t>Disjuntor unipolar termomagnético DIN 15A</t>
  </si>
  <si>
    <t>Disjuntor unipolar termomagnético DIN 60A</t>
  </si>
  <si>
    <t>Fita isolante preta 20 metros</t>
  </si>
  <si>
    <t>Interruptor 1 tecla simples</t>
  </si>
  <si>
    <t>Interruptor 1 tecla simples + tomada hexagonal NBR14136</t>
  </si>
  <si>
    <t>Interruptor 2 teclas simples</t>
  </si>
  <si>
    <t>Kit 1 Barramento Neutro + 1 Barramento Terra sem Proteção HC-004 80A | 12 Entradas</t>
  </si>
  <si>
    <t>Kit tampa quadro de distribuição 6 disjuntores</t>
  </si>
  <si>
    <t>LAMPADA LED 10 W B</t>
  </si>
  <si>
    <t>Placa 2x4" p/ 1 função redonda telefone</t>
  </si>
  <si>
    <t>Placa 2x4" tomada TV/SAT</t>
  </si>
  <si>
    <t>Placa p/ 1 função</t>
  </si>
  <si>
    <t>Placa p/ 2 funções</t>
  </si>
  <si>
    <t>Plafon branco para lampada soquete</t>
  </si>
  <si>
    <t>Tomada telefone redonda 4P</t>
  </si>
  <si>
    <t>Tomada universal retangular simples 2P+T 15A</t>
  </si>
  <si>
    <t>Q9</t>
  </si>
  <si>
    <t>Q10</t>
  </si>
  <si>
    <t>Fluxo de Caixa Diário (previsto pendente + realizado)</t>
  </si>
  <si>
    <t>Previsto entra apenas enquanto o lançamento estiver sem Data_Realizada; depois disso ele migra para o realizado.</t>
  </si>
  <si>
    <t>Saldo inicial de caixa</t>
  </si>
  <si>
    <t>Início</t>
  </si>
  <si>
    <t>Fim</t>
  </si>
  <si>
    <t>Data</t>
  </si>
  <si>
    <t>Entradas_Previstas_Pendentes</t>
  </si>
  <si>
    <t>Saidas_Previstas_Pendentes</t>
  </si>
  <si>
    <t>Entradas_Realizadas</t>
  </si>
  <si>
    <t>Saidas_Realizadas</t>
  </si>
  <si>
    <t>Movimento_Liquido_Dia</t>
  </si>
  <si>
    <t>Saldo_Acumulado</t>
  </si>
  <si>
    <t>Observacao</t>
  </si>
  <si>
    <t>TOTAL</t>
  </si>
  <si>
    <t>Saúde do Fluxo de Caixa</t>
  </si>
  <si>
    <t>Indicador</t>
  </si>
  <si>
    <t>Valor</t>
  </si>
  <si>
    <t>Observação</t>
  </si>
  <si>
    <t>Saldo inicial</t>
  </si>
  <si>
    <t>Preenchimento manual</t>
  </si>
  <si>
    <t>Entradas previstas pendentes</t>
  </si>
  <si>
    <t>Ainda não realizadas</t>
  </si>
  <si>
    <t>Saídas previstas pendentes</t>
  </si>
  <si>
    <t>Entradas realizadas</t>
  </si>
  <si>
    <t>Baixadas na base</t>
  </si>
  <si>
    <t>Saídas realizadas</t>
  </si>
  <si>
    <t>Caixa final projetado</t>
  </si>
  <si>
    <t>Saldo ao fim do horizonte</t>
  </si>
  <si>
    <t>Pior saldo projetado</t>
  </si>
  <si>
    <t>Menor saldo acumulado</t>
  </si>
  <si>
    <t>Data do pior saldo</t>
  </si>
  <si>
    <t>Quando o caixa fica mais pressionado</t>
  </si>
  <si>
    <t>Dias com saldo negativo</t>
  </si>
  <si>
    <t>Dias em que o caixa projetado fica abaixo de zero</t>
  </si>
  <si>
    <t>Cobertura de entradas vs saídas</t>
  </si>
  <si>
    <t>Acima de 1,0x é mais confortável</t>
  </si>
  <si>
    <t>Entradas Totais do Dia</t>
  </si>
  <si>
    <t>Saídas Totais do Dia</t>
  </si>
  <si>
    <t>Líquido do Dia</t>
  </si>
  <si>
    <t>Saldo Acumulado</t>
  </si>
  <si>
    <t>Cobertura do Dia</t>
  </si>
  <si>
    <t>MUNICÍPIO:</t>
  </si>
  <si>
    <t>CUSTO 1 CASA:</t>
  </si>
  <si>
    <t>QUANTIDADE CASAS</t>
  </si>
  <si>
    <t>ESCOPO</t>
  </si>
  <si>
    <t>MATERIAL CONSTRUÇÃO  CASA  44,33m2</t>
  </si>
  <si>
    <t>SEMANA INÍCIO OBRAS:</t>
  </si>
  <si>
    <t>64 CASAS</t>
  </si>
  <si>
    <t>DISTRIBUIÇÃO PAGAMENTO PERCENTUAL (%)</t>
  </si>
  <si>
    <t>DISTRIBUIÇÃO PAGAMENTO FINANCEIRO (R$)</t>
  </si>
  <si>
    <t>APROPIAÇÃO</t>
  </si>
  <si>
    <t>TIPO</t>
  </si>
  <si>
    <t>ITEM</t>
  </si>
  <si>
    <t>OBSERVAÇÕES</t>
  </si>
  <si>
    <t>QUANT. TOTAL</t>
  </si>
  <si>
    <t xml:space="preserve">UN. </t>
  </si>
  <si>
    <t>QUANT. UNIT</t>
  </si>
  <si>
    <t>CUSTO UNIT.</t>
  </si>
  <si>
    <t>CUSTO CASA</t>
  </si>
  <si>
    <t>CUSTO TOTAL</t>
  </si>
  <si>
    <t>Q. 1</t>
  </si>
  <si>
    <t>Q. 2</t>
  </si>
  <si>
    <t>Q. 3</t>
  </si>
  <si>
    <t>Q. 4</t>
  </si>
  <si>
    <t>Q. 5</t>
  </si>
  <si>
    <t>Q. 6</t>
  </si>
  <si>
    <t>Q. 7</t>
  </si>
  <si>
    <t>Q. 8</t>
  </si>
  <si>
    <t>Q. 9</t>
  </si>
  <si>
    <t>Q. 10</t>
  </si>
  <si>
    <t xml:space="preserve">MAO DE OBRA </t>
  </si>
  <si>
    <t>Mao de obra Terceirizada Hidrosanitario Radier</t>
  </si>
  <si>
    <t>EMPREITA: PAGTO EM 45 DIAS APÓS BOLETIM DE FISCALIZAÇÃO</t>
  </si>
  <si>
    <t>16 radiers por semana</t>
  </si>
  <si>
    <t xml:space="preserve">Brita graduada (lastro para nivelamento) - 10 cm esp.; 15% penetração no solo </t>
  </si>
  <si>
    <t xml:space="preserve">Desmoldante TECNOMOR </t>
  </si>
  <si>
    <t xml:space="preserve">litros </t>
  </si>
  <si>
    <t xml:space="preserve">Placa vibratoria reversivél CR5 </t>
  </si>
  <si>
    <t xml:space="preserve">20
</t>
  </si>
  <si>
    <t xml:space="preserve">24
</t>
  </si>
  <si>
    <t xml:space="preserve">graute:  cimento PortlanD CP IV 32 </t>
  </si>
  <si>
    <t>Lançamento, adensamento e acabamento de graute estrutural em pilares</t>
  </si>
  <si>
    <t xml:space="preserve"> Faturamento para 45 dias após boletim fiscalizaçao</t>
  </si>
  <si>
    <t xml:space="preserve">IMPERMEABILIZAÇÃO </t>
  </si>
  <si>
    <t xml:space="preserve">caixa </t>
  </si>
  <si>
    <t xml:space="preserve">Tela de Poliester </t>
  </si>
  <si>
    <t>Mao de obra Impermeabilização de junta </t>
  </si>
  <si>
    <t xml:space="preserve">Curva 90° Soldável 25mm </t>
  </si>
  <si>
    <t xml:space="preserve">Joelho 90 soldavel 25 mm, PVC marrom, água fria </t>
  </si>
  <si>
    <t xml:space="preserve">Joelho 90 soldavel 32 mm, PVC marrom, água fria </t>
  </si>
  <si>
    <t xml:space="preserve">Adaptador soldável flange 32 mm </t>
  </si>
  <si>
    <t>Bucha de redução soldável curta 32mm x 25mm </t>
  </si>
  <si>
    <t xml:space="preserve">Torneira Boia PVC Com Balão Plástico Para Caixa D'água 3/4" </t>
  </si>
  <si>
    <t>Mao de obra instalaçao Caixa de agua e barrilete</t>
  </si>
  <si>
    <t xml:space="preserve"> Faturamento para 30/60 </t>
  </si>
  <si>
    <t xml:space="preserve">lastro de brita 01 - 10cm </t>
  </si>
  <si>
    <t xml:space="preserve">AZULEJOS </t>
  </si>
  <si>
    <t xml:space="preserve">PISO E RODAPÉ </t>
  </si>
  <si>
    <t xml:space="preserve"> PISO E RODAPÉ</t>
  </si>
  <si>
    <t xml:space="preserve">Revestimento Cerâmico  PEI IV 35 x 35- cor,  (perda 15%) - inclui rodapé </t>
  </si>
  <si>
    <t>Mao de obra terceirizada colocaçao Rodape</t>
  </si>
  <si>
    <t>ml</t>
  </si>
  <si>
    <t xml:space="preserve">PORTAS INTERNAS </t>
  </si>
  <si>
    <t xml:space="preserve">Espuma Expansiva de Poliuretano 300ml </t>
  </si>
  <si>
    <t xml:space="preserve">Fita crepe 48 mm x 50 m </t>
  </si>
  <si>
    <t xml:space="preserve">PORTA ALCAPAO ALUM.BCO (37MM) 60 x 50 </t>
  </si>
  <si>
    <t>Espuma Expansiva de Poliuretano 300ml </t>
  </si>
  <si>
    <t xml:space="preserve">Impermeabilizante bi componente semi flexível - IMPER TOP 512 ( 2 demaos - 1,8 kg/m²) </t>
  </si>
  <si>
    <t xml:space="preserve">Lixa grao 150 - </t>
  </si>
  <si>
    <t xml:space="preserve">metros </t>
  </si>
  <si>
    <t xml:space="preserve">TINTA ACRILICA CORALAR BRANCO 18 LITROS - laje (  cor BRANCA  ou similar) - 2 demaos </t>
  </si>
  <si>
    <t xml:space="preserve">Mao de obra terceirizada com equipamentos Pintura interna (2 demãos) </t>
  </si>
  <si>
    <t xml:space="preserve">Fita isolante preta 20 metros </t>
  </si>
  <si>
    <t xml:space="preserve">CHUVEIRO, COM CANO, 3 TEMPERATURAS, 5500 W (110/220 V)                                  </t>
  </si>
  <si>
    <t xml:space="preserve">Kit tampa quadro de distribuição 6 disjuntores </t>
  </si>
  <si>
    <t xml:space="preserve">Plafon branco para lampada soquete </t>
  </si>
  <si>
    <t xml:space="preserve"> LAVATORIO LOUCA BRANCA C/ COLUNA 470 X 425 MM (SOMENTELAVATÓRIO)</t>
  </si>
  <si>
    <t xml:space="preserve">Bancada de mármore sintético 120x60 </t>
  </si>
  <si>
    <t xml:space="preserve">torneira cromada para pia da cozinha </t>
  </si>
  <si>
    <t xml:space="preserve"> POSTE DE ENERGIA</t>
  </si>
  <si>
    <t xml:space="preserve">ENTRADA DE ÁGUA </t>
  </si>
  <si>
    <t xml:space="preserve">Faturamento para 30/60 </t>
  </si>
  <si>
    <t xml:space="preserve">Prego 17 x 27 cabeça simples </t>
  </si>
  <si>
    <t xml:space="preserve">Brita 01 para espalhamento </t>
  </si>
  <si>
    <t>UNID.</t>
  </si>
  <si>
    <t>QTD UNIT</t>
  </si>
  <si>
    <t>CANTEIRO DE OBRA</t>
  </si>
  <si>
    <t xml:space="preserve">Bebedouro </t>
  </si>
  <si>
    <t>ADMINISTRAÇAO LOCAL</t>
  </si>
  <si>
    <t xml:space="preserve">MESTRE DE OBRA </t>
  </si>
  <si>
    <t xml:space="preserve">ALMOXARIFADO </t>
  </si>
  <si>
    <t>DESPESAS ACESSORIAS</t>
  </si>
  <si>
    <t>EMPRESTIMOS E CUSTO DE CAPITAL</t>
  </si>
  <si>
    <t xml:space="preserve">TOTALIZADOR CUSTOS ACESSÓRIOS </t>
  </si>
  <si>
    <t>TOTALIZADO CUSTOS MENSAIS</t>
  </si>
  <si>
    <t>CONSOLIDAÇÃO</t>
  </si>
  <si>
    <t>SALDO MENSAL</t>
  </si>
  <si>
    <t>SALDO ACUMULADO</t>
  </si>
  <si>
    <t>Agenda Bancária — movimentos esperados para aparecer no banco/fatura</t>
  </si>
  <si>
    <t>Esta aba traduz a BASE_CAIXA em eventos de extrato. Ela é o ponto de comparação com o extrato colado em EXTRATO_IMPORTADO.</t>
  </si>
  <si>
    <t>Base_ID</t>
  </si>
  <si>
    <t>Tipo_Movimento</t>
  </si>
  <si>
    <t>Valor_Esperado</t>
  </si>
  <si>
    <t>Fornecedor_Cliente</t>
  </si>
  <si>
    <t>Item_Resumo</t>
  </si>
  <si>
    <t>Status_Concil</t>
  </si>
  <si>
    <t>Data_Conciliada</t>
  </si>
  <si>
    <t>Valor_Conciliado</t>
  </si>
  <si>
    <t>Historico_Extrato_Real</t>
  </si>
  <si>
    <t>Linha_Extrato</t>
  </si>
  <si>
    <t>Diferenca_Valor</t>
  </si>
  <si>
    <t>Diferenca_Dias</t>
  </si>
  <si>
    <t>Extrato Importado — cole aqui o extrato bruto do banco/fatura</t>
  </si>
  <si>
    <t>Cole o extrato a partir da linha 2 ou da linha 4, preservando os cabeçalhos. Depois preencha o ID_Concil_Manual quando identificar qual item da agenda aquele movimento representa.</t>
  </si>
  <si>
    <t>Data_Mov</t>
  </si>
  <si>
    <t>Historico_Banco</t>
  </si>
  <si>
    <t>Documento_Banco</t>
  </si>
  <si>
    <t>Valor_Debito</t>
  </si>
  <si>
    <t>Valor_Credito</t>
  </si>
  <si>
    <t>Valor_Liquido</t>
  </si>
  <si>
    <t>Conta_Bancaria</t>
  </si>
  <si>
    <t>Forma_Extrato</t>
  </si>
  <si>
    <t>ID_Concil_Manual</t>
  </si>
  <si>
    <t>ID_Concil_Sugerido</t>
  </si>
  <si>
    <t>Conciliação Bancária — resumo operacional</t>
  </si>
  <si>
    <t>Use esta aba para enxergar rapidamente se o banco/fatura está batendo com a agenda financeira do projeto.</t>
  </si>
  <si>
    <t>Eventos na agenda</t>
  </si>
  <si>
    <t>Valor esperado na agenda</t>
  </si>
  <si>
    <t>Conciliados</t>
  </si>
  <si>
    <t>Valor conciliado</t>
  </si>
  <si>
    <t>Previstos ainda não vencidos</t>
  </si>
  <si>
    <t>Valor pendente</t>
  </si>
  <si>
    <t>Pendentes vencidos</t>
  </si>
  <si>
    <t>Valor divergente</t>
  </si>
  <si>
    <t>Divergentes</t>
  </si>
  <si>
    <t>Movimentos no extrato sem vínculo</t>
  </si>
  <si>
    <t>Como usar</t>
  </si>
  <si>
    <t>1) Preencha os novos campos financeiros na BASE_CAIXA.</t>
  </si>
  <si>
    <t>2) Confira a AGENDA_BANCARIA e veja o que deveria aparecer no banco/fatura.</t>
  </si>
  <si>
    <t>3) Cole o extrato em EXTRATO_IMPORTADO.</t>
  </si>
  <si>
    <t>4) Preencha o ID_Concil_Manual do extrato com o código da agenda.</t>
  </si>
  <si>
    <t>5) Volte aqui para enxergar pendências, divergências e itens sem previsão.</t>
  </si>
  <si>
    <t>Eventos divergentes / pendentes</t>
  </si>
  <si>
    <t>Data Prevista</t>
  </si>
  <si>
    <t>Valor Esperado</t>
  </si>
  <si>
    <t>Conta/Meio</t>
  </si>
  <si>
    <t>Histórico</t>
  </si>
  <si>
    <t>aporte investidor</t>
  </si>
  <si>
    <t>FM SOLUÇÕES EM BEBIDAS</t>
  </si>
  <si>
    <t>INVEST_01</t>
  </si>
  <si>
    <t>PIX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</si>
</sst>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R\$\ #,##0.00;[Red]\(\R\$\ #,##0.00\);\-"/>
    <numFmt numFmtId="165" formatCode="0.0%"/>
    <numFmt numFmtId="166" formatCode="0.0\x"/>
  </numFmts>
  <fonts count="10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name val="Calibri"/>
    </font>
    <font>
      <b/>
      <sz val="11"/>
      <color rgb="FF0000FF"/>
      <name val="Calibri"/>
    </font>
    <font>
      <b/>
      <sz val="11"/>
      <color rgb="FF000000"/>
      <name val="Calibri"/>
    </font>
    <font>
      <b/>
      <sz val="11"/>
      <color rgb="FFFFFFFF"/>
      <name val="Calibri"/>
    </font>
    <font>
      <sz val="11"/>
      <color rgb="FF0000FF"/>
      <name val="Calibri"/>
    </font>
    <font>
      <sz val="11"/>
      <color rgb="FF000000"/>
      <name val="Calibri"/>
    </font>
    <font>
      <sz val="11"/>
      <color rgb="FF008000"/>
      <name val="Calibri"/>
    </font>
    <font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A3041"/>
      </patternFill>
    </fill>
    <fill>
      <patternFill patternType="solid">
        <fgColor rgb="FFFFF2CC"/>
      </patternFill>
    </fill>
    <fill>
      <patternFill patternType="solid">
        <fgColor rgb="FFF8F8F8"/>
      </patternFill>
    </fill>
    <fill>
      <patternFill patternType="solid">
        <fgColor rgb="FFF2F2F2"/>
      </patternFill>
    </fill>
    <fill>
      <patternFill patternType="solid">
        <fgColor rgb="FFD9E2F3"/>
      </patternFill>
    </fill>
    <fill>
      <patternFill patternType="solid">
        <fgColor rgb="FFEAF2F8"/>
      </patternFill>
    </fill>
  </fills>
  <borders count="3">
    <border>
      <left/>
      <right/>
      <top/>
      <bottom/>
      <diagonal/>
    </border>
    <border>
      <left/>
      <right/>
      <top/>
      <bottom style="thin">
        <color rgb="FFC9C9C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3" fillId="3" borderId="0" xfId="0" applyFont="1" applyFill="1"/>
    <xf numFmtId="0" fontId="4" fillId="4" borderId="0" xfId="0" applyFont="1" applyFill="1"/>
    <xf numFmtId="0" fontId="6" fillId="3" borderId="1" xfId="0" applyFont="1" applyFill="1" applyBorder="1"/>
    <xf numFmtId="14" fontId="6" fillId="3" borderId="1" xfId="0" applyNumberFormat="1" applyFont="1" applyFill="1" applyBorder="1"/>
    <xf numFmtId="164" fontId="6" fillId="3" borderId="1" xfId="0" applyNumberFormat="1" applyFont="1" applyFill="1" applyBorder="1"/>
    <xf numFmtId="164" fontId="7" fillId="4" borderId="1" xfId="0" applyNumberFormat="1" applyFont="1" applyFill="1" applyBorder="1"/>
    <xf numFmtId="0" fontId="7" fillId="4" borderId="1" xfId="0" applyFont="1" applyFill="1" applyBorder="1"/>
    <xf numFmtId="164" fontId="3" fillId="3" borderId="0" xfId="0" applyNumberFormat="1" applyFont="1" applyFill="1"/>
    <xf numFmtId="14" fontId="0" fillId="0" borderId="0" xfId="0" applyNumberFormat="1"/>
    <xf numFmtId="0" fontId="5" fillId="2" borderId="0" xfId="0" applyFont="1" applyFill="1" applyAlignment="1">
      <alignment horizontal="center" vertical="center" wrapText="1"/>
    </xf>
    <xf numFmtId="14" fontId="0" fillId="0" borderId="1" xfId="0" applyNumberFormat="1" applyBorder="1"/>
    <xf numFmtId="164" fontId="0" fillId="0" borderId="1" xfId="0" applyNumberFormat="1" applyBorder="1"/>
    <xf numFmtId="14" fontId="0" fillId="5" borderId="1" xfId="0" applyNumberFormat="1" applyFill="1" applyBorder="1"/>
    <xf numFmtId="164" fontId="0" fillId="5" borderId="1" xfId="0" applyNumberFormat="1" applyFill="1" applyBorder="1"/>
    <xf numFmtId="0" fontId="2" fillId="6" borderId="0" xfId="0" applyFont="1" applyFill="1"/>
    <xf numFmtId="0" fontId="5" fillId="2" borderId="0" xfId="0" applyFont="1" applyFill="1"/>
    <xf numFmtId="0" fontId="9" fillId="0" borderId="0" xfId="0" applyFont="1"/>
    <xf numFmtId="164" fontId="0" fillId="4" borderId="0" xfId="0" applyNumberFormat="1" applyFill="1"/>
    <xf numFmtId="14" fontId="0" fillId="4" borderId="0" xfId="0" applyNumberFormat="1" applyFill="1"/>
    <xf numFmtId="1" fontId="0" fillId="4" borderId="0" xfId="0" applyNumberFormat="1" applyFill="1"/>
    <xf numFmtId="166" fontId="0" fillId="4" borderId="0" xfId="0" applyNumberFormat="1" applyFill="1"/>
    <xf numFmtId="0" fontId="5" fillId="2" borderId="0" xfId="0" applyFont="1" applyFill="1" applyAlignment="1">
      <alignment horizontal="center" wrapText="1"/>
    </xf>
    <xf numFmtId="166" fontId="0" fillId="0" borderId="1" xfId="0" applyNumberFormat="1" applyBorder="1"/>
    <xf numFmtId="0" fontId="0" fillId="0" borderId="1" xfId="0" applyBorder="1"/>
    <xf numFmtId="0" fontId="2" fillId="7" borderId="0" xfId="0" applyFont="1" applyFill="1"/>
    <xf numFmtId="164" fontId="2" fillId="7" borderId="0" xfId="0" applyNumberFormat="1" applyFont="1" applyFill="1"/>
    <xf numFmtId="14" fontId="2" fillId="7" borderId="0" xfId="0" applyNumberFormat="1" applyFont="1" applyFill="1"/>
    <xf numFmtId="0" fontId="2" fillId="2" borderId="0" xfId="0" applyFont="1" applyFill="1"/>
    <xf numFmtId="14" fontId="2" fillId="2" borderId="0" xfId="0" applyNumberFormat="1" applyFont="1" applyFill="1"/>
    <xf numFmtId="164" fontId="0" fillId="0" borderId="0" xfId="0" applyNumberFormat="1"/>
    <xf numFmtId="1" fontId="0" fillId="0" borderId="1" xfId="0" applyNumberFormat="1" applyBorder="1"/>
    <xf numFmtId="0" fontId="1" fillId="2" borderId="0" xfId="0" applyFont="1" applyFill="1"/>
    <xf numFmtId="0" fontId="0" fillId="0" borderId="0" xfId="0"/>
    <xf numFmtId="0" fontId="0" fillId="0" borderId="0" xfId="0" applyAlignment="1">
      <alignment wrapText="1"/>
    </xf>
    <xf numFmtId="0" fontId="5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4" fontId="8" fillId="0" borderId="2" xfId="0" applyNumberFormat="1" applyFont="1" applyBorder="1" applyAlignment="1">
      <alignment horizontal="center" vertical="center" wrapText="1"/>
    </xf>
    <xf numFmtId="14" fontId="6" fillId="3" borderId="2" xfId="0" applyNumberFormat="1" applyFont="1" applyFill="1" applyBorder="1" applyAlignment="1">
      <alignment horizontal="center" vertical="center" wrapText="1"/>
    </xf>
    <xf numFmtId="164" fontId="8" fillId="0" borderId="2" xfId="0" applyNumberFormat="1" applyFont="1" applyBorder="1" applyAlignment="1">
      <alignment horizontal="center" vertical="center" wrapText="1"/>
    </xf>
    <xf numFmtId="164" fontId="6" fillId="3" borderId="2" xfId="0" applyNumberFormat="1" applyFont="1" applyFill="1" applyBorder="1" applyAlignment="1">
      <alignment horizontal="center" vertical="center" wrapText="1"/>
    </xf>
    <xf numFmtId="164" fontId="7" fillId="4" borderId="2" xfId="0" applyNumberFormat="1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165" fontId="8" fillId="0" borderId="2" xfId="0" applyNumberFormat="1" applyFont="1" applyBorder="1" applyAlignment="1">
      <alignment horizontal="center" vertical="center" wrapText="1"/>
    </xf>
    <xf numFmtId="14" fontId="7" fillId="4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workbookViewId="0">
      <selection activeCell="D12" sqref="D11:D12"/>
    </sheetView>
  </sheetViews>
  <sheetFormatPr defaultRowHeight="14.4" x14ac:dyDescent="0.3"/>
  <cols>
    <col min="1" max="1" width="10" customWidth="1"/>
    <col min="2" max="2" width="95" customWidth="1"/>
    <col min="3" max="3" width="24" customWidth="1"/>
    <col min="4" max="4" width="12" customWidth="1"/>
    <col min="5" max="5" width="14" customWidth="1"/>
  </cols>
  <sheetData>
    <row r="1" spans="1:7" ht="18" x14ac:dyDescent="0.35">
      <c r="A1" s="34" t="s">
        <v>0</v>
      </c>
      <c r="B1" s="35"/>
      <c r="C1" s="35"/>
      <c r="D1" s="35"/>
      <c r="E1" s="35"/>
      <c r="F1" s="35"/>
      <c r="G1" s="35"/>
    </row>
    <row r="3" spans="1:7" x14ac:dyDescent="0.3">
      <c r="A3" s="1" t="s">
        <v>1</v>
      </c>
      <c r="B3" t="s">
        <v>2</v>
      </c>
      <c r="D3" s="1" t="s">
        <v>3</v>
      </c>
      <c r="E3">
        <v>64</v>
      </c>
    </row>
    <row r="5" spans="1:7" x14ac:dyDescent="0.3">
      <c r="A5" s="1" t="s">
        <v>4</v>
      </c>
      <c r="B5" s="2" t="s">
        <v>5</v>
      </c>
    </row>
    <row r="6" spans="1:7" ht="28.8" x14ac:dyDescent="0.3">
      <c r="A6" s="1" t="s">
        <v>6</v>
      </c>
      <c r="B6" s="2" t="s">
        <v>7</v>
      </c>
    </row>
    <row r="7" spans="1:7" x14ac:dyDescent="0.3">
      <c r="A7" s="1" t="s">
        <v>8</v>
      </c>
      <c r="B7" s="2" t="s">
        <v>9</v>
      </c>
    </row>
    <row r="8" spans="1:7" x14ac:dyDescent="0.3">
      <c r="A8" s="1" t="s">
        <v>10</v>
      </c>
      <c r="B8" s="2" t="s">
        <v>11</v>
      </c>
    </row>
    <row r="9" spans="1:7" x14ac:dyDescent="0.3">
      <c r="A9" s="1" t="s">
        <v>12</v>
      </c>
      <c r="B9" s="2" t="s">
        <v>13</v>
      </c>
    </row>
    <row r="10" spans="1:7" x14ac:dyDescent="0.3">
      <c r="A10" s="1" t="s">
        <v>14</v>
      </c>
      <c r="B10" s="2" t="s">
        <v>15</v>
      </c>
    </row>
    <row r="11" spans="1:7" x14ac:dyDescent="0.3">
      <c r="A11" s="1" t="s">
        <v>16</v>
      </c>
      <c r="B11" s="2" t="s">
        <v>17</v>
      </c>
    </row>
    <row r="14" spans="1:7" x14ac:dyDescent="0.3">
      <c r="A14" s="3" t="s">
        <v>18</v>
      </c>
      <c r="C14" s="4" t="s">
        <v>19</v>
      </c>
    </row>
    <row r="16" spans="1:7" ht="28.8" x14ac:dyDescent="0.3">
      <c r="A16" s="1" t="s">
        <v>14</v>
      </c>
      <c r="B16" s="2" t="s">
        <v>20</v>
      </c>
    </row>
    <row r="17" spans="1:2" ht="28.8" x14ac:dyDescent="0.3">
      <c r="A17" s="1" t="s">
        <v>16</v>
      </c>
      <c r="B17" s="2" t="s">
        <v>21</v>
      </c>
    </row>
    <row r="18" spans="1:2" ht="28.8" x14ac:dyDescent="0.3">
      <c r="A18" s="1" t="s">
        <v>22</v>
      </c>
      <c r="B18" s="2" t="s">
        <v>23</v>
      </c>
    </row>
    <row r="19" spans="1:2" ht="28.8" x14ac:dyDescent="0.3">
      <c r="A19" s="1" t="s">
        <v>24</v>
      </c>
      <c r="B19" s="2" t="s">
        <v>25</v>
      </c>
    </row>
    <row r="20" spans="1:2" ht="28.8" x14ac:dyDescent="0.3">
      <c r="A20" s="1" t="s">
        <v>26</v>
      </c>
      <c r="B20" s="2" t="s">
        <v>27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645"/>
  <sheetViews>
    <sheetView showGridLines="0" tabSelected="1" topLeftCell="Q1" zoomScale="85" zoomScaleNormal="85" workbookViewId="0">
      <pane ySplit="2208" topLeftCell="A640"/>
      <selection activeCell="W1" sqref="W1"/>
      <selection pane="bottomLeft" activeCell="AG644" sqref="AG644"/>
    </sheetView>
  </sheetViews>
  <sheetFormatPr defaultRowHeight="14.4" x14ac:dyDescent="0.3"/>
  <cols>
    <col min="1" max="1" width="8" style="38" customWidth="1"/>
    <col min="2" max="2" width="28" style="38" hidden="1" customWidth="1"/>
    <col min="3" max="3" width="12" style="38" customWidth="1"/>
    <col min="4" max="4" width="24" style="38" hidden="1" customWidth="1"/>
    <col min="5" max="5" width="13.88671875" style="38" customWidth="1"/>
    <col min="6" max="6" width="16.44140625" style="38" customWidth="1"/>
    <col min="7" max="7" width="38.5546875" style="38" customWidth="1"/>
    <col min="8" max="8" width="23.6640625" style="38" bestFit="1" customWidth="1"/>
    <col min="9" max="10" width="18" style="38" customWidth="1"/>
    <col min="11" max="12" width="12" style="38" customWidth="1"/>
    <col min="13" max="13" width="14" style="38" customWidth="1"/>
    <col min="14" max="16" width="18" style="38" customWidth="1"/>
    <col min="17" max="17" width="14" style="38" customWidth="1"/>
    <col min="18" max="18" width="24" style="38" customWidth="1"/>
    <col min="19" max="19" width="28" style="38" customWidth="1"/>
    <col min="20" max="20" width="42" style="38" customWidth="1"/>
    <col min="21" max="21" width="28" style="38" customWidth="1"/>
    <col min="22" max="22" width="12" style="38" customWidth="1"/>
    <col min="23" max="23" width="10" style="38" customWidth="1"/>
    <col min="24" max="25" width="12" style="38" customWidth="1"/>
    <col min="26" max="26" width="14" style="38" customWidth="1"/>
    <col min="27" max="27" width="15" style="38" customWidth="1"/>
    <col min="28" max="28" width="12" style="38" customWidth="1"/>
    <col min="29" max="29" width="10" style="38" customWidth="1"/>
    <col min="30" max="31" width="16" style="38" customWidth="1"/>
    <col min="32" max="32" width="14" style="38" customWidth="1"/>
    <col min="33" max="33" width="16" style="38" customWidth="1"/>
    <col min="34" max="34" width="28" style="38" customWidth="1"/>
    <col min="35" max="35" width="22" style="38" customWidth="1"/>
    <col min="36" max="36" width="20" style="38" customWidth="1"/>
    <col min="37" max="37" width="12" style="38" customWidth="1"/>
    <col min="38" max="38" width="18" style="38" customWidth="1"/>
    <col min="39" max="39" width="32" style="38" customWidth="1"/>
    <col min="40" max="16384" width="8.88671875" style="38"/>
  </cols>
  <sheetData>
    <row r="1" spans="1:39" ht="28.8" x14ac:dyDescent="0.3">
      <c r="A1" s="37" t="s">
        <v>28</v>
      </c>
      <c r="B1" s="37" t="s">
        <v>1</v>
      </c>
      <c r="C1" s="37" t="s">
        <v>29</v>
      </c>
      <c r="D1" s="37" t="s">
        <v>30</v>
      </c>
      <c r="E1" s="37" t="s">
        <v>31</v>
      </c>
      <c r="F1" s="37" t="s">
        <v>32</v>
      </c>
      <c r="G1" s="37" t="s">
        <v>33</v>
      </c>
      <c r="H1" s="37" t="s">
        <v>34</v>
      </c>
      <c r="I1" s="37" t="s">
        <v>35</v>
      </c>
      <c r="J1" s="37" t="s">
        <v>36</v>
      </c>
      <c r="K1" s="37" t="s">
        <v>45</v>
      </c>
      <c r="L1" s="37" t="s">
        <v>47</v>
      </c>
      <c r="M1" s="37" t="s">
        <v>48</v>
      </c>
      <c r="N1" s="37" t="s">
        <v>58</v>
      </c>
      <c r="O1" s="37" t="s">
        <v>59</v>
      </c>
      <c r="P1" s="37" t="s">
        <v>60</v>
      </c>
      <c r="Q1" s="37" t="s">
        <v>61</v>
      </c>
      <c r="R1" s="37" t="s">
        <v>37</v>
      </c>
      <c r="S1" s="37" t="s">
        <v>38</v>
      </c>
      <c r="T1" s="37" t="s">
        <v>39</v>
      </c>
      <c r="U1" s="37" t="s">
        <v>40</v>
      </c>
      <c r="V1" s="37" t="s">
        <v>41</v>
      </c>
      <c r="W1" s="37" t="s">
        <v>42</v>
      </c>
      <c r="X1" s="37" t="s">
        <v>43</v>
      </c>
      <c r="Y1" s="37" t="s">
        <v>44</v>
      </c>
      <c r="Z1" s="37" t="s">
        <v>46</v>
      </c>
      <c r="AA1" s="37" t="s">
        <v>49</v>
      </c>
      <c r="AB1" s="37" t="s">
        <v>50</v>
      </c>
      <c r="AC1" s="37" t="s">
        <v>51</v>
      </c>
      <c r="AD1" s="37" t="s">
        <v>52</v>
      </c>
      <c r="AE1" s="37" t="s">
        <v>53</v>
      </c>
      <c r="AF1" s="37" t="s">
        <v>54</v>
      </c>
      <c r="AG1" s="37" t="s">
        <v>55</v>
      </c>
      <c r="AH1" s="37" t="s">
        <v>56</v>
      </c>
      <c r="AI1" s="37" t="s">
        <v>57</v>
      </c>
      <c r="AJ1" s="37" t="s">
        <v>62</v>
      </c>
      <c r="AK1" s="37" t="s">
        <v>63</v>
      </c>
      <c r="AL1" s="37" t="s">
        <v>64</v>
      </c>
      <c r="AM1" s="37" t="s">
        <v>65</v>
      </c>
    </row>
    <row r="2" spans="1:39" ht="43.2" x14ac:dyDescent="0.3">
      <c r="A2" s="39">
        <v>1</v>
      </c>
      <c r="B2" s="39" t="s">
        <v>2</v>
      </c>
      <c r="C2" s="39" t="s">
        <v>66</v>
      </c>
      <c r="D2" s="39" t="s">
        <v>67</v>
      </c>
      <c r="E2" s="39" t="s">
        <v>67</v>
      </c>
      <c r="F2" s="39" t="s">
        <v>68</v>
      </c>
      <c r="G2" s="39" t="s">
        <v>69</v>
      </c>
      <c r="H2" s="40" t="s">
        <v>794</v>
      </c>
      <c r="I2" s="40" t="s">
        <v>795</v>
      </c>
      <c r="J2" s="40"/>
      <c r="K2" s="42">
        <v>46080</v>
      </c>
      <c r="L2" s="42">
        <v>2702</v>
      </c>
      <c r="M2" s="44">
        <v>720000</v>
      </c>
      <c r="N2" s="40" t="s">
        <v>796</v>
      </c>
      <c r="O2" s="40"/>
      <c r="P2" s="40"/>
      <c r="Q2" s="42">
        <f>IF(K2="","",K2)</f>
        <v>46080</v>
      </c>
      <c r="R2" s="39" t="s">
        <v>69</v>
      </c>
      <c r="S2" s="39" t="s">
        <v>70</v>
      </c>
      <c r="T2" s="39" t="s">
        <v>71</v>
      </c>
      <c r="U2" s="39" t="s">
        <v>793</v>
      </c>
      <c r="V2" s="39">
        <v>283</v>
      </c>
      <c r="W2" s="39" t="s">
        <v>72</v>
      </c>
      <c r="X2" s="41">
        <v>46090</v>
      </c>
      <c r="Y2" s="41">
        <v>46101</v>
      </c>
      <c r="Z2" s="43">
        <v>720000</v>
      </c>
      <c r="AA2" s="45">
        <f>IF(M2&lt;&gt;"",M2,Z2)</f>
        <v>720000</v>
      </c>
      <c r="AB2" s="46" t="str">
        <f>IF(L2&lt;&gt;"","Realizado","Previsto")</f>
        <v>Realizado</v>
      </c>
      <c r="AC2" s="47"/>
      <c r="AD2" s="43">
        <v>8079999.9191039996</v>
      </c>
      <c r="AE2" s="39"/>
      <c r="AF2" s="39"/>
      <c r="AG2" s="43"/>
      <c r="AH2" s="39"/>
      <c r="AI2" s="39" t="s">
        <v>73</v>
      </c>
      <c r="AJ2" s="48">
        <f>IF(Q2&lt;&gt;"",Q2,IF(K2&lt;&gt;"",K2,""))</f>
        <v>46080</v>
      </c>
      <c r="AK2" s="46" t="str">
        <f>IF(K2&lt;&gt;"","Sim","")</f>
        <v>Sim</v>
      </c>
      <c r="AL2" s="46" t="str">
        <f>IF(A2="","",TEXT(A2,"000000")&amp;"-"&amp;IF(C2="Entrada","CR","DB"))</f>
        <v>000001-CR</v>
      </c>
      <c r="AM2" s="46" t="str">
        <f>IF(A2="","",LEFT(IF(H2&lt;&gt;"",H2,G2)&amp;" | "&amp;G2&amp;" | "&amp;S2,60))</f>
        <v>FM SOLUÇÕES EM BEBIDAS | MEDIÇÃO CONTRATUAL | Entrada | MEDI</v>
      </c>
    </row>
    <row r="3" spans="1:39" ht="43.2" x14ac:dyDescent="0.3">
      <c r="A3" s="39">
        <v>2</v>
      </c>
      <c r="B3" s="39" t="s">
        <v>2</v>
      </c>
      <c r="C3" s="39" t="s">
        <v>74</v>
      </c>
      <c r="D3" s="39" t="s">
        <v>75</v>
      </c>
      <c r="E3" s="39" t="s">
        <v>75</v>
      </c>
      <c r="F3" s="39" t="s">
        <v>75</v>
      </c>
      <c r="G3" s="39" t="s">
        <v>76</v>
      </c>
      <c r="H3" s="40"/>
      <c r="I3" s="40"/>
      <c r="J3" s="40"/>
      <c r="K3" s="42">
        <v>46092</v>
      </c>
      <c r="L3" s="42"/>
      <c r="M3" s="44"/>
      <c r="N3" s="40"/>
      <c r="O3" s="40"/>
      <c r="P3" s="40"/>
      <c r="Q3" s="42">
        <f>IF(K3="","",K3)</f>
        <v>46092</v>
      </c>
      <c r="R3" s="39" t="s">
        <v>75</v>
      </c>
      <c r="S3" s="39" t="s">
        <v>77</v>
      </c>
      <c r="T3" s="39" t="s">
        <v>78</v>
      </c>
      <c r="U3" s="39"/>
      <c r="V3" s="39">
        <v>270</v>
      </c>
      <c r="W3" s="39" t="s">
        <v>72</v>
      </c>
      <c r="X3" s="41">
        <v>46090</v>
      </c>
      <c r="Y3" s="41">
        <v>46101</v>
      </c>
      <c r="Z3" s="43">
        <v>64000</v>
      </c>
      <c r="AA3" s="45">
        <f>IF(M3&lt;&gt;"",M3,Z3)</f>
        <v>64000</v>
      </c>
      <c r="AB3" s="46" t="str">
        <f>IF(L3&lt;&gt;"","Realizado","Previsto")</f>
        <v>Previsto</v>
      </c>
      <c r="AC3" s="47">
        <v>1</v>
      </c>
      <c r="AD3" s="43">
        <v>64000</v>
      </c>
      <c r="AE3" s="39"/>
      <c r="AF3" s="39" t="s">
        <v>79</v>
      </c>
      <c r="AG3" s="43">
        <v>64000</v>
      </c>
      <c r="AH3" s="39"/>
      <c r="AI3" s="39" t="s">
        <v>73</v>
      </c>
      <c r="AJ3" s="48">
        <f>IF(Q3&lt;&gt;"",Q3,IF(K3&lt;&gt;"",K3,""))</f>
        <v>46092</v>
      </c>
      <c r="AK3" s="46" t="str">
        <f>IF(K3&lt;&gt;"","Sim","")</f>
        <v>Sim</v>
      </c>
      <c r="AL3" s="46" t="str">
        <f>IF(A3="","",TEXT(A3,"000000")&amp;"-"&amp;IF(C3="Entrada","CR","DB"))</f>
        <v>000002-DB</v>
      </c>
      <c r="AM3" s="46" t="str">
        <f>IF(A3="","",LEFT(IF(H3&lt;&gt;"",H3,G3)&amp;" | "&amp;G3&amp;" | "&amp;S3,60))</f>
        <v>CAUÇÃO | CAUÇÃO | Saída | DESPESAS ACESSÓRIAS</v>
      </c>
    </row>
    <row r="4" spans="1:39" ht="43.2" x14ac:dyDescent="0.3">
      <c r="A4" s="39">
        <v>3</v>
      </c>
      <c r="B4" s="39" t="s">
        <v>2</v>
      </c>
      <c r="C4" s="39" t="s">
        <v>74</v>
      </c>
      <c r="D4" s="39" t="s">
        <v>75</v>
      </c>
      <c r="E4" s="39" t="s">
        <v>75</v>
      </c>
      <c r="F4" s="39" t="s">
        <v>75</v>
      </c>
      <c r="G4" s="39" t="s">
        <v>80</v>
      </c>
      <c r="H4" s="40"/>
      <c r="I4" s="40"/>
      <c r="J4" s="40"/>
      <c r="K4" s="42">
        <v>46090</v>
      </c>
      <c r="L4" s="42"/>
      <c r="M4" s="44"/>
      <c r="N4" s="40"/>
      <c r="O4" s="40"/>
      <c r="P4" s="40"/>
      <c r="Q4" s="42">
        <f>IF(K4="","",K4)</f>
        <v>46090</v>
      </c>
      <c r="R4" s="39" t="s">
        <v>75</v>
      </c>
      <c r="S4" s="39" t="s">
        <v>77</v>
      </c>
      <c r="T4" s="39" t="s">
        <v>78</v>
      </c>
      <c r="U4" s="39"/>
      <c r="V4" s="39">
        <v>271</v>
      </c>
      <c r="W4" s="39" t="s">
        <v>72</v>
      </c>
      <c r="X4" s="41">
        <v>46090</v>
      </c>
      <c r="Y4" s="41">
        <v>46101</v>
      </c>
      <c r="Z4" s="43">
        <v>16000</v>
      </c>
      <c r="AA4" s="45">
        <f>IF(M4&lt;&gt;"",M4,Z4)</f>
        <v>16000</v>
      </c>
      <c r="AB4" s="46" t="str">
        <f>IF(L4&lt;&gt;"","Realizado","Previsto")</f>
        <v>Previsto</v>
      </c>
      <c r="AC4" s="47">
        <v>0.4</v>
      </c>
      <c r="AD4" s="43">
        <v>40000</v>
      </c>
      <c r="AE4" s="39"/>
      <c r="AF4" s="39" t="s">
        <v>79</v>
      </c>
      <c r="AG4" s="43">
        <v>10000</v>
      </c>
      <c r="AH4" s="39"/>
      <c r="AI4" s="39" t="s">
        <v>73</v>
      </c>
      <c r="AJ4" s="48">
        <f>IF(Q4&lt;&gt;"",Q4,IF(K4&lt;&gt;"",K4,""))</f>
        <v>46090</v>
      </c>
      <c r="AK4" s="46" t="str">
        <f>IF(K4&lt;&gt;"","Sim","")</f>
        <v>Sim</v>
      </c>
      <c r="AL4" s="46" t="str">
        <f>IF(A4="","",TEXT(A4,"000000")&amp;"-"&amp;IF(C4="Entrada","CR","DB"))</f>
        <v>000003-DB</v>
      </c>
      <c r="AM4" s="46" t="str">
        <f>IF(A4="","",LEFT(IF(H4&lt;&gt;"",H4,G4)&amp;" | "&amp;G4&amp;" | "&amp;S4,60))</f>
        <v>LOGISTICA GESTÃO VISITA À OBRA | LOGISTICA GESTÃO VISITA À O</v>
      </c>
    </row>
    <row r="5" spans="1:39" ht="43.2" x14ac:dyDescent="0.3">
      <c r="A5" s="39">
        <v>4</v>
      </c>
      <c r="B5" s="39" t="s">
        <v>2</v>
      </c>
      <c r="C5" s="39" t="s">
        <v>74</v>
      </c>
      <c r="D5" s="39" t="s">
        <v>75</v>
      </c>
      <c r="E5" s="39" t="s">
        <v>75</v>
      </c>
      <c r="F5" s="39" t="s">
        <v>75</v>
      </c>
      <c r="G5" s="39" t="s">
        <v>81</v>
      </c>
      <c r="H5" s="40"/>
      <c r="I5" s="40"/>
      <c r="J5" s="40"/>
      <c r="K5" s="42">
        <v>46090</v>
      </c>
      <c r="L5" s="42"/>
      <c r="M5" s="44"/>
      <c r="N5" s="40"/>
      <c r="O5" s="40"/>
      <c r="P5" s="40"/>
      <c r="Q5" s="42">
        <f>IF(K5="","",K5)</f>
        <v>46090</v>
      </c>
      <c r="R5" s="39" t="s">
        <v>75</v>
      </c>
      <c r="S5" s="39" t="s">
        <v>77</v>
      </c>
      <c r="T5" s="39" t="s">
        <v>78</v>
      </c>
      <c r="U5" s="39"/>
      <c r="V5" s="39">
        <v>269</v>
      </c>
      <c r="W5" s="39" t="s">
        <v>72</v>
      </c>
      <c r="X5" s="41">
        <v>46090</v>
      </c>
      <c r="Y5" s="41">
        <v>46101</v>
      </c>
      <c r="Z5" s="43">
        <v>16000</v>
      </c>
      <c r="AA5" s="45">
        <f>IF(M5&lt;&gt;"",M5,Z5)</f>
        <v>16000</v>
      </c>
      <c r="AB5" s="46" t="str">
        <f>IF(L5&lt;&gt;"","Realizado","Previsto")</f>
        <v>Previsto</v>
      </c>
      <c r="AC5" s="47">
        <v>1</v>
      </c>
      <c r="AD5" s="43">
        <v>16000</v>
      </c>
      <c r="AE5" s="39"/>
      <c r="AF5" s="39" t="s">
        <v>79</v>
      </c>
      <c r="AG5" s="43">
        <v>16000</v>
      </c>
      <c r="AH5" s="39"/>
      <c r="AI5" s="39" t="s">
        <v>73</v>
      </c>
      <c r="AJ5" s="48">
        <f>IF(Q5&lt;&gt;"",Q5,IF(K5&lt;&gt;"",K5,""))</f>
        <v>46090</v>
      </c>
      <c r="AK5" s="46" t="str">
        <f>IF(K5&lt;&gt;"","Sim","")</f>
        <v>Sim</v>
      </c>
      <c r="AL5" s="46" t="str">
        <f>IF(A5="","",TEXT(A5,"000000")&amp;"-"&amp;IF(C5="Entrada","CR","DB"))</f>
        <v>000004-DB</v>
      </c>
      <c r="AM5" s="46" t="str">
        <f>IF(A5="","",LEFT(IF(H5&lt;&gt;"",H5,G5)&amp;" | "&amp;G5&amp;" | "&amp;S5,60))</f>
        <v>SEGURO | SEGURO | Saída | DESPESAS ACESSÓRIAS</v>
      </c>
    </row>
    <row r="6" spans="1:39" ht="43.2" x14ac:dyDescent="0.3">
      <c r="A6" s="39">
        <v>5</v>
      </c>
      <c r="B6" s="39" t="s">
        <v>2</v>
      </c>
      <c r="C6" s="39" t="s">
        <v>74</v>
      </c>
      <c r="D6" s="39" t="s">
        <v>82</v>
      </c>
      <c r="E6" s="39" t="s">
        <v>82</v>
      </c>
      <c r="F6" s="39" t="s">
        <v>83</v>
      </c>
      <c r="G6" s="39" t="s">
        <v>84</v>
      </c>
      <c r="H6" s="40"/>
      <c r="I6" s="40"/>
      <c r="J6" s="40"/>
      <c r="K6" s="42">
        <v>46092</v>
      </c>
      <c r="L6" s="42"/>
      <c r="M6" s="44"/>
      <c r="N6" s="40"/>
      <c r="O6" s="40"/>
      <c r="P6" s="40"/>
      <c r="Q6" s="42">
        <f>IF(K6="","",K6)</f>
        <v>46092</v>
      </c>
      <c r="R6" s="39" t="s">
        <v>82</v>
      </c>
      <c r="S6" s="39" t="s">
        <v>85</v>
      </c>
      <c r="T6" s="39" t="s">
        <v>86</v>
      </c>
      <c r="U6" s="39"/>
      <c r="V6" s="39">
        <v>257</v>
      </c>
      <c r="W6" s="39" t="s">
        <v>72</v>
      </c>
      <c r="X6" s="41">
        <v>46090</v>
      </c>
      <c r="Y6" s="41">
        <v>46101</v>
      </c>
      <c r="Z6" s="43">
        <v>2500</v>
      </c>
      <c r="AA6" s="45">
        <f>IF(M6&lt;&gt;"",M6,Z6)</f>
        <v>2500</v>
      </c>
      <c r="AB6" s="46" t="str">
        <f>IF(L6&lt;&gt;"","Realizado","Previsto")</f>
        <v>Previsto</v>
      </c>
      <c r="AC6" s="47">
        <v>1</v>
      </c>
      <c r="AD6" s="43">
        <v>2500</v>
      </c>
      <c r="AE6" s="39"/>
      <c r="AF6" s="39" t="s">
        <v>87</v>
      </c>
      <c r="AG6" s="43">
        <v>2500</v>
      </c>
      <c r="AH6" s="39" t="s">
        <v>88</v>
      </c>
      <c r="AI6" s="39" t="s">
        <v>73</v>
      </c>
      <c r="AJ6" s="48">
        <f>IF(Q6&lt;&gt;"",Q6,IF(K6&lt;&gt;"",K6,""))</f>
        <v>46092</v>
      </c>
      <c r="AK6" s="46" t="str">
        <f>IF(K6&lt;&gt;"","Sim","")</f>
        <v>Sim</v>
      </c>
      <c r="AL6" s="46" t="str">
        <f>IF(A6="","",TEXT(A6,"000000")&amp;"-"&amp;IF(C6="Entrada","CR","DB"))</f>
        <v>000005-DB</v>
      </c>
      <c r="AM6" s="46" t="str">
        <f>IF(A6="","",LEFT(IF(H6&lt;&gt;"",H6,G6)&amp;" | "&amp;G6&amp;" | "&amp;S6,60))</f>
        <v>Bebedouro | Bebedouro | Saída | GESTÃO LOCAL</v>
      </c>
    </row>
    <row r="7" spans="1:39" ht="43.2" x14ac:dyDescent="0.3">
      <c r="A7" s="39">
        <v>6</v>
      </c>
      <c r="B7" s="39" t="s">
        <v>2</v>
      </c>
      <c r="C7" s="39" t="s">
        <v>74</v>
      </c>
      <c r="D7" s="39" t="s">
        <v>82</v>
      </c>
      <c r="E7" s="39" t="s">
        <v>82</v>
      </c>
      <c r="F7" s="39" t="s">
        <v>83</v>
      </c>
      <c r="G7" s="39" t="s">
        <v>89</v>
      </c>
      <c r="H7" s="40"/>
      <c r="I7" s="40"/>
      <c r="J7" s="40"/>
      <c r="K7" s="42">
        <v>46092</v>
      </c>
      <c r="L7" s="42"/>
      <c r="M7" s="44"/>
      <c r="N7" s="40"/>
      <c r="O7" s="40"/>
      <c r="P7" s="40"/>
      <c r="Q7" s="42">
        <f>IF(K7="","",K7)</f>
        <v>46092</v>
      </c>
      <c r="R7" s="39" t="s">
        <v>82</v>
      </c>
      <c r="S7" s="39" t="s">
        <v>85</v>
      </c>
      <c r="T7" s="39" t="s">
        <v>86</v>
      </c>
      <c r="U7" s="39"/>
      <c r="V7" s="39">
        <v>256</v>
      </c>
      <c r="W7" s="39" t="s">
        <v>72</v>
      </c>
      <c r="X7" s="41">
        <v>46090</v>
      </c>
      <c r="Y7" s="41">
        <v>46101</v>
      </c>
      <c r="Z7" s="43">
        <v>2000</v>
      </c>
      <c r="AA7" s="45">
        <f>IF(M7&lt;&gt;"",M7,Z7)</f>
        <v>2000</v>
      </c>
      <c r="AB7" s="46" t="str">
        <f>IF(L7&lt;&gt;"","Realizado","Previsto")</f>
        <v>Previsto</v>
      </c>
      <c r="AC7" s="47">
        <v>1</v>
      </c>
      <c r="AD7" s="43">
        <v>2000</v>
      </c>
      <c r="AE7" s="39"/>
      <c r="AF7" s="39" t="s">
        <v>87</v>
      </c>
      <c r="AG7" s="43">
        <v>2000</v>
      </c>
      <c r="AH7" s="39" t="s">
        <v>88</v>
      </c>
      <c r="AI7" s="39" t="s">
        <v>73</v>
      </c>
      <c r="AJ7" s="48">
        <f>IF(Q7&lt;&gt;"",Q7,IF(K7&lt;&gt;"",K7,""))</f>
        <v>46092</v>
      </c>
      <c r="AK7" s="46" t="str">
        <f>IF(K7&lt;&gt;"","Sim","")</f>
        <v>Sim</v>
      </c>
      <c r="AL7" s="46" t="str">
        <f>IF(A7="","",TEXT(A7,"000000")&amp;"-"&amp;IF(C7="Entrada","CR","DB"))</f>
        <v>000006-DB</v>
      </c>
      <c r="AM7" s="46" t="str">
        <f>IF(A7="","",LEFT(IF(H7&lt;&gt;"",H7,G7)&amp;" | "&amp;G7&amp;" | "&amp;S7,60))</f>
        <v>Placa da obra | Placa da obra | Saída | GESTÃO LOCAL</v>
      </c>
    </row>
    <row r="8" spans="1:39" ht="43.2" x14ac:dyDescent="0.3">
      <c r="A8" s="39">
        <v>7</v>
      </c>
      <c r="B8" s="39" t="s">
        <v>2</v>
      </c>
      <c r="C8" s="39" t="s">
        <v>74</v>
      </c>
      <c r="D8" s="39" t="s">
        <v>82</v>
      </c>
      <c r="E8" s="39" t="s">
        <v>82</v>
      </c>
      <c r="F8" s="39" t="s">
        <v>90</v>
      </c>
      <c r="G8" s="39" t="s">
        <v>91</v>
      </c>
      <c r="H8" s="40"/>
      <c r="I8" s="40"/>
      <c r="J8" s="40"/>
      <c r="K8" s="42">
        <v>46101</v>
      </c>
      <c r="L8" s="42"/>
      <c r="M8" s="44"/>
      <c r="N8" s="40"/>
      <c r="O8" s="40"/>
      <c r="P8" s="40"/>
      <c r="Q8" s="42">
        <f>IF(K8="","",K8)</f>
        <v>46101</v>
      </c>
      <c r="R8" s="39" t="s">
        <v>82</v>
      </c>
      <c r="S8" s="39" t="s">
        <v>85</v>
      </c>
      <c r="T8" s="39" t="s">
        <v>92</v>
      </c>
      <c r="U8" s="39"/>
      <c r="V8" s="39">
        <v>260</v>
      </c>
      <c r="W8" s="39" t="s">
        <v>72</v>
      </c>
      <c r="X8" s="41">
        <v>46090</v>
      </c>
      <c r="Y8" s="41">
        <v>46101</v>
      </c>
      <c r="Z8" s="43">
        <v>6000</v>
      </c>
      <c r="AA8" s="45">
        <f>IF(M8&lt;&gt;"",M8,Z8)</f>
        <v>6000</v>
      </c>
      <c r="AB8" s="46" t="str">
        <f>IF(L8&lt;&gt;"","Realizado","Previsto")</f>
        <v>Previsto</v>
      </c>
      <c r="AC8" s="47">
        <v>1</v>
      </c>
      <c r="AD8" s="43">
        <v>6000</v>
      </c>
      <c r="AE8" s="39"/>
      <c r="AF8" s="39" t="s">
        <v>79</v>
      </c>
      <c r="AG8" s="43">
        <v>2000</v>
      </c>
      <c r="AH8" s="39" t="s">
        <v>93</v>
      </c>
      <c r="AI8" s="39" t="s">
        <v>73</v>
      </c>
      <c r="AJ8" s="48">
        <f>IF(Q8&lt;&gt;"",Q8,IF(K8&lt;&gt;"",K8,""))</f>
        <v>46101</v>
      </c>
      <c r="AK8" s="46" t="str">
        <f>IF(K8&lt;&gt;"","Sim","")</f>
        <v>Sim</v>
      </c>
      <c r="AL8" s="46" t="str">
        <f>IF(A8="","",TEXT(A8,"000000")&amp;"-"&amp;IF(C8="Entrada","CR","DB"))</f>
        <v>000007-DB</v>
      </c>
      <c r="AM8" s="46" t="str">
        <f>IF(A8="","",LEFT(IF(H8&lt;&gt;"",H8,G8)&amp;" | "&amp;G8&amp;" | "&amp;S8,60))</f>
        <v>TOPOGRAFO | TOPOGRAFO | Saída | GESTÃO LOCAL</v>
      </c>
    </row>
    <row r="9" spans="1:39" ht="43.2" x14ac:dyDescent="0.3">
      <c r="A9" s="39">
        <v>8</v>
      </c>
      <c r="B9" s="39" t="s">
        <v>2</v>
      </c>
      <c r="C9" s="39" t="s">
        <v>74</v>
      </c>
      <c r="D9" s="39" t="s">
        <v>82</v>
      </c>
      <c r="E9" s="39" t="s">
        <v>82</v>
      </c>
      <c r="F9" s="39" t="s">
        <v>94</v>
      </c>
      <c r="G9" s="39" t="s">
        <v>95</v>
      </c>
      <c r="H9" s="40"/>
      <c r="I9" s="40"/>
      <c r="J9" s="40"/>
      <c r="K9" s="42">
        <v>46101</v>
      </c>
      <c r="L9" s="42"/>
      <c r="M9" s="44"/>
      <c r="N9" s="40"/>
      <c r="O9" s="40"/>
      <c r="P9" s="40"/>
      <c r="Q9" s="42">
        <f>IF(K9="","",K9)</f>
        <v>46101</v>
      </c>
      <c r="R9" s="39" t="s">
        <v>82</v>
      </c>
      <c r="S9" s="39" t="s">
        <v>85</v>
      </c>
      <c r="T9" s="39" t="s">
        <v>96</v>
      </c>
      <c r="U9" s="39"/>
      <c r="V9" s="39">
        <v>253</v>
      </c>
      <c r="W9" s="39" t="s">
        <v>72</v>
      </c>
      <c r="X9" s="41">
        <v>46090</v>
      </c>
      <c r="Y9" s="41">
        <v>46101</v>
      </c>
      <c r="Z9" s="43">
        <v>6100</v>
      </c>
      <c r="AA9" s="45">
        <f>IF(M9&lt;&gt;"",M9,Z9)</f>
        <v>6100</v>
      </c>
      <c r="AB9" s="46" t="str">
        <f>IF(L9&lt;&gt;"","Realizado","Previsto")</f>
        <v>Previsto</v>
      </c>
      <c r="AC9" s="47">
        <v>0.5</v>
      </c>
      <c r="AD9" s="43">
        <v>12200</v>
      </c>
      <c r="AE9" s="39"/>
      <c r="AF9" s="39" t="s">
        <v>79</v>
      </c>
      <c r="AG9" s="43">
        <v>6100</v>
      </c>
      <c r="AH9" s="39" t="s">
        <v>97</v>
      </c>
      <c r="AI9" s="39" t="s">
        <v>73</v>
      </c>
      <c r="AJ9" s="48">
        <f>IF(Q9&lt;&gt;"",Q9,IF(K9&lt;&gt;"",K9,""))</f>
        <v>46101</v>
      </c>
      <c r="AK9" s="46" t="str">
        <f>IF(K9&lt;&gt;"","Sim","")</f>
        <v>Sim</v>
      </c>
      <c r="AL9" s="46" t="str">
        <f>IF(A9="","",TEXT(A9,"000000")&amp;"-"&amp;IF(C9="Entrada","CR","DB"))</f>
        <v>000008-DB</v>
      </c>
      <c r="AM9" s="46" t="str">
        <f>IF(A9="","",LEFT(IF(H9&lt;&gt;"",H9,G9)&amp;" | "&amp;G9&amp;" | "&amp;S9,60))</f>
        <v>mobilização / desmobilzaçao containers | mobilização / desmo</v>
      </c>
    </row>
    <row r="10" spans="1:39" ht="43.2" x14ac:dyDescent="0.3">
      <c r="A10" s="39">
        <v>9</v>
      </c>
      <c r="B10" s="39" t="s">
        <v>2</v>
      </c>
      <c r="C10" s="39" t="s">
        <v>74</v>
      </c>
      <c r="D10" s="39" t="s">
        <v>98</v>
      </c>
      <c r="E10" s="39" t="s">
        <v>99</v>
      </c>
      <c r="F10" s="39" t="s">
        <v>100</v>
      </c>
      <c r="G10" s="39" t="s">
        <v>101</v>
      </c>
      <c r="H10" s="40"/>
      <c r="I10" s="40"/>
      <c r="J10" s="40"/>
      <c r="K10" s="42">
        <v>46101</v>
      </c>
      <c r="L10" s="42"/>
      <c r="M10" s="44"/>
      <c r="N10" s="40"/>
      <c r="O10" s="40"/>
      <c r="P10" s="40"/>
      <c r="Q10" s="42">
        <f>IF(K10="","",K10)</f>
        <v>46101</v>
      </c>
      <c r="R10" s="39" t="s">
        <v>98</v>
      </c>
      <c r="S10" s="39" t="s">
        <v>102</v>
      </c>
      <c r="T10" s="39" t="s">
        <v>103</v>
      </c>
      <c r="U10" s="39" t="s">
        <v>104</v>
      </c>
      <c r="V10" s="39">
        <v>48</v>
      </c>
      <c r="W10" s="39" t="s">
        <v>72</v>
      </c>
      <c r="X10" s="41">
        <v>46090</v>
      </c>
      <c r="Y10" s="41">
        <v>46101</v>
      </c>
      <c r="Z10" s="43">
        <v>96000</v>
      </c>
      <c r="AA10" s="45">
        <f>IF(M10&lt;&gt;"",M10,Z10)</f>
        <v>96000</v>
      </c>
      <c r="AB10" s="46" t="str">
        <f>IF(L10&lt;&gt;"","Realizado","Previsto")</f>
        <v>Previsto</v>
      </c>
      <c r="AC10" s="47">
        <v>0.3</v>
      </c>
      <c r="AD10" s="43">
        <v>320000</v>
      </c>
      <c r="AE10" s="39">
        <v>20</v>
      </c>
      <c r="AF10" s="39" t="s">
        <v>87</v>
      </c>
      <c r="AG10" s="43">
        <v>16000</v>
      </c>
      <c r="AH10" s="39" t="s">
        <v>105</v>
      </c>
      <c r="AI10" s="39" t="s">
        <v>73</v>
      </c>
      <c r="AJ10" s="48">
        <f>IF(Q10&lt;&gt;"",Q10,IF(K10&lt;&gt;"",K10,""))</f>
        <v>46101</v>
      </c>
      <c r="AK10" s="46" t="str">
        <f>IF(K10&lt;&gt;"","Sim","")</f>
        <v>Sim</v>
      </c>
      <c r="AL10" s="46" t="str">
        <f>IF(A10="","",TEXT(A10,"000000")&amp;"-"&amp;IF(C10="Entrada","CR","DB"))</f>
        <v>000009-DB</v>
      </c>
      <c r="AM10" s="46" t="str">
        <f>IF(A10="","",LEFT(IF(H10&lt;&gt;"",H10,G10)&amp;" | "&amp;G10&amp;" | "&amp;S10,60))</f>
        <v>contrato industrializaçao paredes | contrato industrializaça</v>
      </c>
    </row>
    <row r="11" spans="1:39" ht="43.2" x14ac:dyDescent="0.3">
      <c r="A11" s="39">
        <v>10</v>
      </c>
      <c r="B11" s="39" t="s">
        <v>2</v>
      </c>
      <c r="C11" s="39" t="s">
        <v>74</v>
      </c>
      <c r="D11" s="39" t="s">
        <v>98</v>
      </c>
      <c r="E11" s="39" t="s">
        <v>99</v>
      </c>
      <c r="F11" s="39" t="s">
        <v>100</v>
      </c>
      <c r="G11" s="39" t="s">
        <v>101</v>
      </c>
      <c r="H11" s="40"/>
      <c r="I11" s="40"/>
      <c r="J11" s="40"/>
      <c r="K11" s="42">
        <v>46101</v>
      </c>
      <c r="L11" s="42"/>
      <c r="M11" s="44"/>
      <c r="N11" s="40"/>
      <c r="O11" s="40"/>
      <c r="P11" s="40"/>
      <c r="Q11" s="42">
        <f>IF(K11="","",K11)</f>
        <v>46101</v>
      </c>
      <c r="R11" s="39" t="s">
        <v>98</v>
      </c>
      <c r="S11" s="39" t="s">
        <v>102</v>
      </c>
      <c r="T11" s="39" t="s">
        <v>103</v>
      </c>
      <c r="U11" s="39" t="s">
        <v>104</v>
      </c>
      <c r="V11" s="39">
        <v>49</v>
      </c>
      <c r="W11" s="39" t="s">
        <v>72</v>
      </c>
      <c r="X11" s="41">
        <v>46090</v>
      </c>
      <c r="Y11" s="41">
        <v>46101</v>
      </c>
      <c r="Z11" s="43">
        <v>96000</v>
      </c>
      <c r="AA11" s="45">
        <f>IF(M11&lt;&gt;"",M11,Z11)</f>
        <v>96000</v>
      </c>
      <c r="AB11" s="46" t="str">
        <f>IF(L11&lt;&gt;"","Realizado","Previsto")</f>
        <v>Previsto</v>
      </c>
      <c r="AC11" s="47">
        <v>0.3</v>
      </c>
      <c r="AD11" s="43">
        <v>320000</v>
      </c>
      <c r="AE11" s="39">
        <v>20</v>
      </c>
      <c r="AF11" s="39" t="s">
        <v>87</v>
      </c>
      <c r="AG11" s="43">
        <v>16000</v>
      </c>
      <c r="AH11" s="39" t="s">
        <v>105</v>
      </c>
      <c r="AI11" s="39" t="s">
        <v>73</v>
      </c>
      <c r="AJ11" s="48">
        <f>IF(Q11&lt;&gt;"",Q11,IF(K11&lt;&gt;"",K11,""))</f>
        <v>46101</v>
      </c>
      <c r="AK11" s="46" t="str">
        <f>IF(K11&lt;&gt;"","Sim","")</f>
        <v>Sim</v>
      </c>
      <c r="AL11" s="46" t="str">
        <f>IF(A11="","",TEXT(A11,"000000")&amp;"-"&amp;IF(C11="Entrada","CR","DB"))</f>
        <v>000010-DB</v>
      </c>
      <c r="AM11" s="46" t="str">
        <f>IF(A11="","",LEFT(IF(H11&lt;&gt;"",H11,G11)&amp;" | "&amp;G11&amp;" | "&amp;S11,60))</f>
        <v>contrato industrializaçao paredes | contrato industrializaça</v>
      </c>
    </row>
    <row r="12" spans="1:39" ht="43.2" x14ac:dyDescent="0.3">
      <c r="A12" s="39">
        <v>11</v>
      </c>
      <c r="B12" s="39" t="s">
        <v>2</v>
      </c>
      <c r="C12" s="39" t="s">
        <v>74</v>
      </c>
      <c r="D12" s="39" t="s">
        <v>98</v>
      </c>
      <c r="E12" s="39" t="s">
        <v>99</v>
      </c>
      <c r="F12" s="39" t="s">
        <v>100</v>
      </c>
      <c r="G12" s="39" t="s">
        <v>101</v>
      </c>
      <c r="H12" s="40"/>
      <c r="I12" s="40"/>
      <c r="J12" s="40"/>
      <c r="K12" s="42">
        <v>46101</v>
      </c>
      <c r="L12" s="42"/>
      <c r="M12" s="44"/>
      <c r="N12" s="40"/>
      <c r="O12" s="40"/>
      <c r="P12" s="40"/>
      <c r="Q12" s="42">
        <f>IF(K12="","",K12)</f>
        <v>46101</v>
      </c>
      <c r="R12" s="39" t="s">
        <v>98</v>
      </c>
      <c r="S12" s="39" t="s">
        <v>102</v>
      </c>
      <c r="T12" s="39" t="s">
        <v>103</v>
      </c>
      <c r="U12" s="39" t="s">
        <v>106</v>
      </c>
      <c r="V12" s="39">
        <v>50</v>
      </c>
      <c r="W12" s="39" t="s">
        <v>72</v>
      </c>
      <c r="X12" s="41">
        <v>46090</v>
      </c>
      <c r="Y12" s="41">
        <v>46101</v>
      </c>
      <c r="Z12" s="43">
        <v>115200</v>
      </c>
      <c r="AA12" s="45">
        <f>IF(M12&lt;&gt;"",M12,Z12)</f>
        <v>115200</v>
      </c>
      <c r="AB12" s="46" t="str">
        <f>IF(L12&lt;&gt;"","Realizado","Previsto")</f>
        <v>Previsto</v>
      </c>
      <c r="AC12" s="47">
        <v>0.3</v>
      </c>
      <c r="AD12" s="43">
        <v>384000</v>
      </c>
      <c r="AE12" s="39">
        <v>24</v>
      </c>
      <c r="AF12" s="39" t="s">
        <v>87</v>
      </c>
      <c r="AG12" s="43">
        <v>16000</v>
      </c>
      <c r="AH12" s="39" t="s">
        <v>105</v>
      </c>
      <c r="AI12" s="39" t="s">
        <v>73</v>
      </c>
      <c r="AJ12" s="48">
        <f>IF(Q12&lt;&gt;"",Q12,IF(K12&lt;&gt;"",K12,""))</f>
        <v>46101</v>
      </c>
      <c r="AK12" s="46" t="str">
        <f>IF(K12&lt;&gt;"","Sim","")</f>
        <v>Sim</v>
      </c>
      <c r="AL12" s="46" t="str">
        <f>IF(A12="","",TEXT(A12,"000000")&amp;"-"&amp;IF(C12="Entrada","CR","DB"))</f>
        <v>000011-DB</v>
      </c>
      <c r="AM12" s="46" t="str">
        <f>IF(A12="","",LEFT(IF(H12&lt;&gt;"",H12,G12)&amp;" | "&amp;G12&amp;" | "&amp;S12,60))</f>
        <v>contrato industrializaçao paredes | contrato industrializaça</v>
      </c>
    </row>
    <row r="13" spans="1:39" ht="43.2" x14ac:dyDescent="0.3">
      <c r="A13" s="39">
        <v>12</v>
      </c>
      <c r="B13" s="39" t="s">
        <v>2</v>
      </c>
      <c r="C13" s="39" t="s">
        <v>74</v>
      </c>
      <c r="D13" s="39" t="s">
        <v>107</v>
      </c>
      <c r="E13" s="39" t="s">
        <v>108</v>
      </c>
      <c r="F13" s="39" t="s">
        <v>109</v>
      </c>
      <c r="G13" s="39" t="s">
        <v>110</v>
      </c>
      <c r="H13" s="40"/>
      <c r="I13" s="40"/>
      <c r="J13" s="40"/>
      <c r="K13" s="42">
        <v>46101</v>
      </c>
      <c r="L13" s="42"/>
      <c r="M13" s="44"/>
      <c r="N13" s="40"/>
      <c r="O13" s="40"/>
      <c r="P13" s="40"/>
      <c r="Q13" s="42">
        <f>IF(K13="","",K13)</f>
        <v>46101</v>
      </c>
      <c r="R13" s="39" t="s">
        <v>107</v>
      </c>
      <c r="S13" s="39" t="s">
        <v>111</v>
      </c>
      <c r="T13" s="39" t="s">
        <v>112</v>
      </c>
      <c r="U13" s="39"/>
      <c r="V13" s="39">
        <v>43</v>
      </c>
      <c r="W13" s="39" t="s">
        <v>72</v>
      </c>
      <c r="X13" s="41">
        <v>46090</v>
      </c>
      <c r="Y13" s="41">
        <v>46101</v>
      </c>
      <c r="Z13" s="43">
        <v>24750</v>
      </c>
      <c r="AA13" s="45">
        <f>IF(M13&lt;&gt;"",M13,Z13)</f>
        <v>24750</v>
      </c>
      <c r="AB13" s="46" t="str">
        <f>IF(L13&lt;&gt;"","Realizado","Previsto")</f>
        <v>Previsto</v>
      </c>
      <c r="AC13" s="47">
        <v>0.193359375</v>
      </c>
      <c r="AD13" s="43">
        <v>128000</v>
      </c>
      <c r="AE13" s="39">
        <v>64</v>
      </c>
      <c r="AF13" s="39" t="s">
        <v>113</v>
      </c>
      <c r="AG13" s="43">
        <v>2000</v>
      </c>
      <c r="AH13" s="39" t="s">
        <v>114</v>
      </c>
      <c r="AI13" s="39" t="s">
        <v>73</v>
      </c>
      <c r="AJ13" s="48">
        <f>IF(Q13&lt;&gt;"",Q13,IF(K13&lt;&gt;"",K13,""))</f>
        <v>46101</v>
      </c>
      <c r="AK13" s="46" t="str">
        <f>IF(K13&lt;&gt;"","Sim","")</f>
        <v>Sim</v>
      </c>
      <c r="AL13" s="46" t="str">
        <f>IF(A13="","",TEXT(A13,"000000")&amp;"-"&amp;IF(C13="Entrada","CR","DB"))</f>
        <v>000012-DB</v>
      </c>
      <c r="AM13" s="46" t="str">
        <f>IF(A13="","",LEFT(IF(H13&lt;&gt;"",H13,G13)&amp;" | "&amp;G13&amp;" | "&amp;S13,60))</f>
        <v>Mao de obra Terceirizada Radier | Mao de obra Terceirizada R</v>
      </c>
    </row>
    <row r="14" spans="1:39" ht="43.2" x14ac:dyDescent="0.3">
      <c r="A14" s="39">
        <v>13</v>
      </c>
      <c r="B14" s="39" t="s">
        <v>2</v>
      </c>
      <c r="C14" s="39" t="s">
        <v>74</v>
      </c>
      <c r="D14" s="39" t="s">
        <v>107</v>
      </c>
      <c r="E14" s="39" t="s">
        <v>108</v>
      </c>
      <c r="F14" s="39" t="s">
        <v>115</v>
      </c>
      <c r="G14" s="39" t="s">
        <v>116</v>
      </c>
      <c r="H14" s="40"/>
      <c r="I14" s="40"/>
      <c r="J14" s="40"/>
      <c r="K14" s="42">
        <v>46101</v>
      </c>
      <c r="L14" s="42"/>
      <c r="M14" s="44"/>
      <c r="N14" s="40"/>
      <c r="O14" s="40"/>
      <c r="P14" s="40"/>
      <c r="Q14" s="42">
        <f>IF(K14="","",K14)</f>
        <v>46101</v>
      </c>
      <c r="R14" s="39" t="s">
        <v>107</v>
      </c>
      <c r="S14" s="39" t="s">
        <v>111</v>
      </c>
      <c r="T14" s="39" t="s">
        <v>117</v>
      </c>
      <c r="U14" s="39"/>
      <c r="V14" s="39">
        <v>44</v>
      </c>
      <c r="W14" s="39" t="s">
        <v>72</v>
      </c>
      <c r="X14" s="41">
        <v>46090</v>
      </c>
      <c r="Y14" s="41">
        <v>46101</v>
      </c>
      <c r="Z14" s="43">
        <v>1689.6</v>
      </c>
      <c r="AA14" s="45">
        <f>IF(M14&lt;&gt;"",M14,Z14)</f>
        <v>1689.6</v>
      </c>
      <c r="AB14" s="46" t="str">
        <f>IF(L14&lt;&gt;"","Realizado","Previsto")</f>
        <v>Previsto</v>
      </c>
      <c r="AC14" s="47">
        <v>0.4</v>
      </c>
      <c r="AD14" s="43">
        <v>4224</v>
      </c>
      <c r="AE14" s="39">
        <v>704</v>
      </c>
      <c r="AF14" s="39" t="s">
        <v>118</v>
      </c>
      <c r="AG14" s="43">
        <v>6</v>
      </c>
      <c r="AH14" s="39" t="s">
        <v>119</v>
      </c>
      <c r="AI14" s="39" t="s">
        <v>73</v>
      </c>
      <c r="AJ14" s="48">
        <f>IF(Q14&lt;&gt;"",Q14,IF(K14&lt;&gt;"",K14,""))</f>
        <v>46101</v>
      </c>
      <c r="AK14" s="46" t="str">
        <f>IF(K14&lt;&gt;"","Sim","")</f>
        <v>Sim</v>
      </c>
      <c r="AL14" s="46" t="str">
        <f>IF(A14="","",TEXT(A14,"000000")&amp;"-"&amp;IF(C14="Entrada","CR","DB"))</f>
        <v>000013-DB</v>
      </c>
      <c r="AM14" s="46" t="str">
        <f>IF(A14="","",LEFT(IF(H14&lt;&gt;"",H14,G14)&amp;" | "&amp;G14&amp;" | "&amp;S14,60))</f>
        <v xml:space="preserve">ripas de 5cm x 2,7m de 25mm | ripas de 5cm x 2,7m de 25mm | </v>
      </c>
    </row>
    <row r="15" spans="1:39" ht="43.2" x14ac:dyDescent="0.3">
      <c r="A15" s="39">
        <v>14</v>
      </c>
      <c r="B15" s="39" t="s">
        <v>2</v>
      </c>
      <c r="C15" s="39" t="s">
        <v>74</v>
      </c>
      <c r="D15" s="39" t="s">
        <v>120</v>
      </c>
      <c r="E15" s="39" t="s">
        <v>120</v>
      </c>
      <c r="F15" s="39" t="s">
        <v>120</v>
      </c>
      <c r="G15" s="39" t="s">
        <v>121</v>
      </c>
      <c r="H15" s="40"/>
      <c r="I15" s="40"/>
      <c r="J15" s="40"/>
      <c r="K15" s="42">
        <v>46101</v>
      </c>
      <c r="L15" s="42"/>
      <c r="M15" s="44"/>
      <c r="N15" s="40"/>
      <c r="O15" s="40"/>
      <c r="P15" s="40"/>
      <c r="Q15" s="42">
        <f>IF(K15="","",K15)</f>
        <v>46101</v>
      </c>
      <c r="R15" s="39" t="s">
        <v>120</v>
      </c>
      <c r="S15" s="39" t="s">
        <v>122</v>
      </c>
      <c r="T15" s="39" t="s">
        <v>123</v>
      </c>
      <c r="U15" s="39"/>
      <c r="V15" s="39">
        <v>267</v>
      </c>
      <c r="W15" s="39" t="s">
        <v>72</v>
      </c>
      <c r="X15" s="41">
        <v>46090</v>
      </c>
      <c r="Y15" s="41">
        <v>46101</v>
      </c>
      <c r="Z15" s="43">
        <v>350239.6</v>
      </c>
      <c r="AA15" s="45">
        <f>IF(M15&lt;&gt;"",M15,Z15)</f>
        <v>350239.6</v>
      </c>
      <c r="AB15" s="46" t="str">
        <f>IF(L15&lt;&gt;"","Realizado","Previsto")</f>
        <v>Previsto</v>
      </c>
      <c r="AC15" s="47"/>
      <c r="AD15" s="43">
        <v>5780911.3615999985</v>
      </c>
      <c r="AE15" s="39"/>
      <c r="AF15" s="39" t="s">
        <v>79</v>
      </c>
      <c r="AG15" s="43"/>
      <c r="AH15" s="39"/>
      <c r="AI15" s="39" t="s">
        <v>73</v>
      </c>
      <c r="AJ15" s="48">
        <f>IF(Q15&lt;&gt;"",Q15,IF(K15&lt;&gt;"",K15,""))</f>
        <v>46101</v>
      </c>
      <c r="AK15" s="46" t="str">
        <f>IF(K15&lt;&gt;"","Sim","")</f>
        <v>Sim</v>
      </c>
      <c r="AL15" s="46" t="str">
        <f>IF(A15="","",TEXT(A15,"000000")&amp;"-"&amp;IF(C15="Entrada","CR","DB"))</f>
        <v>000014-DB</v>
      </c>
      <c r="AM15" s="46" t="str">
        <f>IF(A15="","",LEFT(IF(H15&lt;&gt;"",H15,G15)&amp;" | "&amp;G15&amp;" | "&amp;S15,60))</f>
        <v>TOTALIZADOR CUSTO GLOBAIS OBRAS - MENSAL | TOTALIZADOR CUSTO</v>
      </c>
    </row>
    <row r="16" spans="1:39" ht="43.2" x14ac:dyDescent="0.3">
      <c r="A16" s="39">
        <v>15</v>
      </c>
      <c r="B16" s="39" t="s">
        <v>2</v>
      </c>
      <c r="C16" s="39" t="s">
        <v>74</v>
      </c>
      <c r="D16" s="39" t="s">
        <v>124</v>
      </c>
      <c r="E16" s="39" t="s">
        <v>124</v>
      </c>
      <c r="F16" s="39" t="s">
        <v>125</v>
      </c>
      <c r="G16" s="39" t="s">
        <v>126</v>
      </c>
      <c r="H16" s="40"/>
      <c r="I16" s="40"/>
      <c r="J16" s="40"/>
      <c r="K16" s="42">
        <v>46115</v>
      </c>
      <c r="L16" s="42"/>
      <c r="M16" s="44"/>
      <c r="N16" s="40"/>
      <c r="O16" s="40"/>
      <c r="P16" s="40"/>
      <c r="Q16" s="42">
        <f>IF(K16="","",K16)</f>
        <v>46115</v>
      </c>
      <c r="R16" s="39" t="s">
        <v>124</v>
      </c>
      <c r="S16" s="39" t="s">
        <v>127</v>
      </c>
      <c r="T16" s="39" t="s">
        <v>128</v>
      </c>
      <c r="U16" s="39"/>
      <c r="V16" s="39">
        <v>273</v>
      </c>
      <c r="W16" s="39" t="s">
        <v>129</v>
      </c>
      <c r="X16" s="41">
        <v>46104</v>
      </c>
      <c r="Y16" s="41">
        <v>46115</v>
      </c>
      <c r="Z16" s="43">
        <v>19943.37</v>
      </c>
      <c r="AA16" s="45">
        <f>IF(M16&lt;&gt;"",M16,Z16)</f>
        <v>19943.37</v>
      </c>
      <c r="AB16" s="46" t="str">
        <f>IF(L16&lt;&gt;"","Realizado","Previsto")</f>
        <v>Previsto</v>
      </c>
      <c r="AC16" s="47"/>
      <c r="AD16" s="43">
        <v>307830.11</v>
      </c>
      <c r="AE16" s="39"/>
      <c r="AF16" s="39"/>
      <c r="AG16" s="43">
        <v>248</v>
      </c>
      <c r="AH16" s="39" t="s">
        <v>130</v>
      </c>
      <c r="AI16" s="39" t="s">
        <v>73</v>
      </c>
      <c r="AJ16" s="48">
        <f>IF(Q16&lt;&gt;"",Q16,IF(K16&lt;&gt;"",K16,""))</f>
        <v>46115</v>
      </c>
      <c r="AK16" s="46" t="str">
        <f>IF(K16&lt;&gt;"","Sim","")</f>
        <v>Sim</v>
      </c>
      <c r="AL16" s="46" t="str">
        <f>IF(A16="","",TEXT(A16,"000000")&amp;"-"&amp;IF(C16="Entrada","CR","DB"))</f>
        <v>000015-DB</v>
      </c>
      <c r="AM16" s="46" t="str">
        <f>IF(A16="","",LEFT(IF(H16&lt;&gt;"",H16,G16)&amp;" | "&amp;G16&amp;" | "&amp;S16,60))</f>
        <v>ITAU | ITAU | Saída | CAPITAL DE GIRO</v>
      </c>
    </row>
    <row r="17" spans="1:39" ht="43.2" x14ac:dyDescent="0.3">
      <c r="A17" s="39">
        <v>16</v>
      </c>
      <c r="B17" s="39" t="s">
        <v>2</v>
      </c>
      <c r="C17" s="39" t="s">
        <v>74</v>
      </c>
      <c r="D17" s="39" t="s">
        <v>131</v>
      </c>
      <c r="E17" s="39" t="s">
        <v>131</v>
      </c>
      <c r="F17" s="39" t="s">
        <v>132</v>
      </c>
      <c r="G17" s="39" t="s">
        <v>133</v>
      </c>
      <c r="H17" s="40"/>
      <c r="I17" s="40"/>
      <c r="J17" s="40"/>
      <c r="K17" s="42">
        <v>46115</v>
      </c>
      <c r="L17" s="42"/>
      <c r="M17" s="44"/>
      <c r="N17" s="40"/>
      <c r="O17" s="40"/>
      <c r="P17" s="40"/>
      <c r="Q17" s="42">
        <f>IF(K17="","",K17)</f>
        <v>46115</v>
      </c>
      <c r="R17" s="39" t="s">
        <v>131</v>
      </c>
      <c r="S17" s="39" t="s">
        <v>134</v>
      </c>
      <c r="T17" s="39" t="s">
        <v>135</v>
      </c>
      <c r="U17" s="39"/>
      <c r="V17" s="39">
        <v>21</v>
      </c>
      <c r="W17" s="39" t="s">
        <v>129</v>
      </c>
      <c r="X17" s="41">
        <v>46104</v>
      </c>
      <c r="Y17" s="41">
        <v>46115</v>
      </c>
      <c r="Z17" s="43">
        <v>47.872000000000007</v>
      </c>
      <c r="AA17" s="45">
        <f>IF(M17&lt;&gt;"",M17,Z17)</f>
        <v>47.872000000000007</v>
      </c>
      <c r="AB17" s="46" t="str">
        <f>IF(L17&lt;&gt;"","Realizado","Previsto")</f>
        <v>Previsto</v>
      </c>
      <c r="AC17" s="47">
        <v>0.34</v>
      </c>
      <c r="AD17" s="43">
        <v>140.80000000000001</v>
      </c>
      <c r="AE17" s="39">
        <v>64</v>
      </c>
      <c r="AF17" s="39" t="s">
        <v>87</v>
      </c>
      <c r="AG17" s="43">
        <v>2.2000000000000002</v>
      </c>
      <c r="AH17" s="39" t="s">
        <v>136</v>
      </c>
      <c r="AI17" s="39" t="s">
        <v>73</v>
      </c>
      <c r="AJ17" s="48">
        <f>IF(Q17&lt;&gt;"",Q17,IF(K17&lt;&gt;"",K17,""))</f>
        <v>46115</v>
      </c>
      <c r="AK17" s="46" t="str">
        <f>IF(K17&lt;&gt;"","Sim","")</f>
        <v>Sim</v>
      </c>
      <c r="AL17" s="46" t="str">
        <f>IF(A17="","",TEXT(A17,"000000")&amp;"-"&amp;IF(C17="Entrada","CR","DB"))</f>
        <v>000016-DB</v>
      </c>
      <c r="AM17" s="46" t="str">
        <f>IF(A17="","",LEFT(IF(H17&lt;&gt;"",H17,G17)&amp;" | "&amp;G17&amp;" | "&amp;S17,60))</f>
        <v>Anel de vedação esg 100 mm | Anel de vedação esg 100 mm | Sa</v>
      </c>
    </row>
    <row r="18" spans="1:39" ht="43.2" x14ac:dyDescent="0.3">
      <c r="A18" s="39">
        <v>17</v>
      </c>
      <c r="B18" s="39" t="s">
        <v>2</v>
      </c>
      <c r="C18" s="39" t="s">
        <v>74</v>
      </c>
      <c r="D18" s="39" t="s">
        <v>131</v>
      </c>
      <c r="E18" s="39" t="s">
        <v>131</v>
      </c>
      <c r="F18" s="39" t="s">
        <v>132</v>
      </c>
      <c r="G18" s="39" t="s">
        <v>137</v>
      </c>
      <c r="H18" s="40"/>
      <c r="I18" s="40"/>
      <c r="J18" s="40"/>
      <c r="K18" s="42">
        <v>46115</v>
      </c>
      <c r="L18" s="42"/>
      <c r="M18" s="44"/>
      <c r="N18" s="40"/>
      <c r="O18" s="40"/>
      <c r="P18" s="40"/>
      <c r="Q18" s="42">
        <f>IF(K18="","",K18)</f>
        <v>46115</v>
      </c>
      <c r="R18" s="39" t="s">
        <v>131</v>
      </c>
      <c r="S18" s="39" t="s">
        <v>134</v>
      </c>
      <c r="T18" s="39" t="s">
        <v>135</v>
      </c>
      <c r="U18" s="39"/>
      <c r="V18" s="39">
        <v>19</v>
      </c>
      <c r="W18" s="39" t="s">
        <v>129</v>
      </c>
      <c r="X18" s="41">
        <v>46104</v>
      </c>
      <c r="Y18" s="41">
        <v>46115</v>
      </c>
      <c r="Z18" s="43">
        <v>696.32</v>
      </c>
      <c r="AA18" s="45">
        <f>IF(M18&lt;&gt;"",M18,Z18)</f>
        <v>696.32</v>
      </c>
      <c r="AB18" s="46" t="str">
        <f>IF(L18&lt;&gt;"","Realizado","Previsto")</f>
        <v>Previsto</v>
      </c>
      <c r="AC18" s="47">
        <v>0.34</v>
      </c>
      <c r="AD18" s="43">
        <v>2048</v>
      </c>
      <c r="AE18" s="39">
        <v>64</v>
      </c>
      <c r="AF18" s="39" t="s">
        <v>87</v>
      </c>
      <c r="AG18" s="43">
        <v>32</v>
      </c>
      <c r="AH18" s="39" t="s">
        <v>136</v>
      </c>
      <c r="AI18" s="39" t="s">
        <v>73</v>
      </c>
      <c r="AJ18" s="48">
        <f>IF(Q18&lt;&gt;"",Q18,IF(K18&lt;&gt;"",K18,""))</f>
        <v>46115</v>
      </c>
      <c r="AK18" s="46" t="str">
        <f>IF(K18&lt;&gt;"","Sim","")</f>
        <v>Sim</v>
      </c>
      <c r="AL18" s="46" t="str">
        <f>IF(A18="","",TEXT(A18,"000000")&amp;"-"&amp;IF(C18="Entrada","CR","DB"))</f>
        <v>000017-DB</v>
      </c>
      <c r="AM18" s="46" t="str">
        <f>IF(A18="","",LEFT(IF(H18&lt;&gt;"",H18,G18)&amp;" | "&amp;G18&amp;" | "&amp;S18,60))</f>
        <v>Caixa Sifonada com grelha quadrada PVC DN 150x150x50 com jun</v>
      </c>
    </row>
    <row r="19" spans="1:39" ht="43.2" x14ac:dyDescent="0.3">
      <c r="A19" s="39">
        <v>18</v>
      </c>
      <c r="B19" s="39" t="s">
        <v>2</v>
      </c>
      <c r="C19" s="39" t="s">
        <v>74</v>
      </c>
      <c r="D19" s="39" t="s">
        <v>131</v>
      </c>
      <c r="E19" s="39" t="s">
        <v>131</v>
      </c>
      <c r="F19" s="39" t="s">
        <v>132</v>
      </c>
      <c r="G19" s="39" t="s">
        <v>138</v>
      </c>
      <c r="H19" s="40"/>
      <c r="I19" s="40"/>
      <c r="J19" s="40"/>
      <c r="K19" s="42">
        <v>46115</v>
      </c>
      <c r="L19" s="42"/>
      <c r="M19" s="44"/>
      <c r="N19" s="40"/>
      <c r="O19" s="40"/>
      <c r="P19" s="40"/>
      <c r="Q19" s="42">
        <f>IF(K19="","",K19)</f>
        <v>46115</v>
      </c>
      <c r="R19" s="39" t="s">
        <v>131</v>
      </c>
      <c r="S19" s="39" t="s">
        <v>134</v>
      </c>
      <c r="T19" s="39" t="s">
        <v>135</v>
      </c>
      <c r="U19" s="39"/>
      <c r="V19" s="39">
        <v>24</v>
      </c>
      <c r="W19" s="39" t="s">
        <v>129</v>
      </c>
      <c r="X19" s="41">
        <v>46104</v>
      </c>
      <c r="Y19" s="41">
        <v>46115</v>
      </c>
      <c r="Z19" s="43">
        <v>304.42239999999998</v>
      </c>
      <c r="AA19" s="45">
        <f>IF(M19&lt;&gt;"",M19,Z19)</f>
        <v>304.42239999999998</v>
      </c>
      <c r="AB19" s="46" t="str">
        <f>IF(L19&lt;&gt;"","Realizado","Previsto")</f>
        <v>Previsto</v>
      </c>
      <c r="AC19" s="47">
        <v>0.34</v>
      </c>
      <c r="AD19" s="43">
        <v>895.36</v>
      </c>
      <c r="AE19" s="39">
        <v>64</v>
      </c>
      <c r="AF19" s="39" t="s">
        <v>87</v>
      </c>
      <c r="AG19" s="43">
        <v>13.99</v>
      </c>
      <c r="AH19" s="39" t="s">
        <v>136</v>
      </c>
      <c r="AI19" s="39" t="s">
        <v>73</v>
      </c>
      <c r="AJ19" s="48">
        <f>IF(Q19&lt;&gt;"",Q19,IF(K19&lt;&gt;"",K19,""))</f>
        <v>46115</v>
      </c>
      <c r="AK19" s="46" t="str">
        <f>IF(K19&lt;&gt;"","Sim","")</f>
        <v>Sim</v>
      </c>
      <c r="AL19" s="46" t="str">
        <f>IF(A19="","",TEXT(A19,"000000")&amp;"-"&amp;IF(C19="Entrada","CR","DB"))</f>
        <v>000018-DB</v>
      </c>
      <c r="AM19" s="46" t="str">
        <f>IF(A19="","",LEFT(IF(H19&lt;&gt;"",H19,G19)&amp;" | "&amp;G19&amp;" | "&amp;S19,60))</f>
        <v>Cola de cano PVC 175g | Cola de cano PVC 175g | Saída | ESPE</v>
      </c>
    </row>
    <row r="20" spans="1:39" ht="43.2" x14ac:dyDescent="0.3">
      <c r="A20" s="39">
        <v>19</v>
      </c>
      <c r="B20" s="39" t="s">
        <v>2</v>
      </c>
      <c r="C20" s="39" t="s">
        <v>74</v>
      </c>
      <c r="D20" s="39" t="s">
        <v>131</v>
      </c>
      <c r="E20" s="39" t="s">
        <v>131</v>
      </c>
      <c r="F20" s="39" t="s">
        <v>132</v>
      </c>
      <c r="G20" s="39" t="s">
        <v>139</v>
      </c>
      <c r="H20" s="40"/>
      <c r="I20" s="40"/>
      <c r="J20" s="40"/>
      <c r="K20" s="42">
        <v>46115</v>
      </c>
      <c r="L20" s="42"/>
      <c r="M20" s="44"/>
      <c r="N20" s="40"/>
      <c r="O20" s="40"/>
      <c r="P20" s="40"/>
      <c r="Q20" s="42">
        <f>IF(K20="","",K20)</f>
        <v>46115</v>
      </c>
      <c r="R20" s="39" t="s">
        <v>131</v>
      </c>
      <c r="S20" s="39" t="s">
        <v>134</v>
      </c>
      <c r="T20" s="39" t="s">
        <v>135</v>
      </c>
      <c r="U20" s="39"/>
      <c r="V20" s="39">
        <v>13</v>
      </c>
      <c r="W20" s="39" t="s">
        <v>129</v>
      </c>
      <c r="X20" s="41">
        <v>46104</v>
      </c>
      <c r="Y20" s="41">
        <v>46115</v>
      </c>
      <c r="Z20" s="43">
        <v>30.463999999999999</v>
      </c>
      <c r="AA20" s="45">
        <f>IF(M20&lt;&gt;"",M20,Z20)</f>
        <v>30.463999999999999</v>
      </c>
      <c r="AB20" s="46" t="str">
        <f>IF(L20&lt;&gt;"","Realizado","Previsto")</f>
        <v>Previsto</v>
      </c>
      <c r="AC20" s="47">
        <v>0.34</v>
      </c>
      <c r="AD20" s="43">
        <v>89.6</v>
      </c>
      <c r="AE20" s="39">
        <v>64</v>
      </c>
      <c r="AF20" s="39" t="s">
        <v>87</v>
      </c>
      <c r="AG20" s="43">
        <v>1.4</v>
      </c>
      <c r="AH20" s="39" t="s">
        <v>136</v>
      </c>
      <c r="AI20" s="39" t="s">
        <v>73</v>
      </c>
      <c r="AJ20" s="48">
        <f>IF(Q20&lt;&gt;"",Q20,IF(K20&lt;&gt;"",K20,""))</f>
        <v>46115</v>
      </c>
      <c r="AK20" s="46" t="str">
        <f>IF(K20&lt;&gt;"","Sim","")</f>
        <v>Sim</v>
      </c>
      <c r="AL20" s="46" t="str">
        <f>IF(A20="","",TEXT(A20,"000000")&amp;"-"&amp;IF(C20="Entrada","CR","DB"))</f>
        <v>000019-DB</v>
      </c>
      <c r="AM20" s="46" t="str">
        <f>IF(A20="","",LEFT(IF(H20&lt;&gt;"",H20,G20)&amp;" | "&amp;G20&amp;" | "&amp;S20,60))</f>
        <v>Joelho 45º PVC DN 40mm branco rígido para esgoto sanitário p</v>
      </c>
    </row>
    <row r="21" spans="1:39" ht="43.2" x14ac:dyDescent="0.3">
      <c r="A21" s="39">
        <v>20</v>
      </c>
      <c r="B21" s="39" t="s">
        <v>2</v>
      </c>
      <c r="C21" s="39" t="s">
        <v>74</v>
      </c>
      <c r="D21" s="39" t="s">
        <v>131</v>
      </c>
      <c r="E21" s="39" t="s">
        <v>131</v>
      </c>
      <c r="F21" s="39" t="s">
        <v>132</v>
      </c>
      <c r="G21" s="39" t="s">
        <v>140</v>
      </c>
      <c r="H21" s="40"/>
      <c r="I21" s="40"/>
      <c r="J21" s="40"/>
      <c r="K21" s="42">
        <v>46115</v>
      </c>
      <c r="L21" s="42"/>
      <c r="M21" s="44"/>
      <c r="N21" s="40"/>
      <c r="O21" s="40"/>
      <c r="P21" s="40"/>
      <c r="Q21" s="42">
        <f>IF(K21="","",K21)</f>
        <v>46115</v>
      </c>
      <c r="R21" s="39" t="s">
        <v>131</v>
      </c>
      <c r="S21" s="39" t="s">
        <v>134</v>
      </c>
      <c r="T21" s="39" t="s">
        <v>135</v>
      </c>
      <c r="U21" s="39"/>
      <c r="V21" s="39">
        <v>15</v>
      </c>
      <c r="W21" s="39" t="s">
        <v>129</v>
      </c>
      <c r="X21" s="41">
        <v>46104</v>
      </c>
      <c r="Y21" s="41">
        <v>46115</v>
      </c>
      <c r="Z21" s="43">
        <v>130.56</v>
      </c>
      <c r="AA21" s="45">
        <f>IF(M21&lt;&gt;"",M21,Z21)</f>
        <v>130.56</v>
      </c>
      <c r="AB21" s="46" t="str">
        <f>IF(L21&lt;&gt;"","Realizado","Previsto")</f>
        <v>Previsto</v>
      </c>
      <c r="AC21" s="47">
        <v>0.34</v>
      </c>
      <c r="AD21" s="43">
        <v>384</v>
      </c>
      <c r="AE21" s="39">
        <v>64</v>
      </c>
      <c r="AF21" s="39" t="s">
        <v>87</v>
      </c>
      <c r="AG21" s="43">
        <v>6</v>
      </c>
      <c r="AH21" s="39" t="s">
        <v>136</v>
      </c>
      <c r="AI21" s="39" t="s">
        <v>73</v>
      </c>
      <c r="AJ21" s="48">
        <f>IF(Q21&lt;&gt;"",Q21,IF(K21&lt;&gt;"",K21,""))</f>
        <v>46115</v>
      </c>
      <c r="AK21" s="46" t="str">
        <f>IF(K21&lt;&gt;"","Sim","")</f>
        <v>Sim</v>
      </c>
      <c r="AL21" s="46" t="str">
        <f>IF(A21="","",TEXT(A21,"000000")&amp;"-"&amp;IF(C21="Entrada","CR","DB"))</f>
        <v>000020-DB</v>
      </c>
      <c r="AM21" s="46" t="str">
        <f>IF(A21="","",LEFT(IF(H21&lt;&gt;"",H21,G21)&amp;" | "&amp;G21&amp;" | "&amp;S21,60))</f>
        <v>Joelho 45º PVC DN 50mm branco rígido para esgoto sanitário p</v>
      </c>
    </row>
    <row r="22" spans="1:39" ht="43.2" x14ac:dyDescent="0.3">
      <c r="A22" s="39">
        <v>21</v>
      </c>
      <c r="B22" s="39" t="s">
        <v>2</v>
      </c>
      <c r="C22" s="39" t="s">
        <v>74</v>
      </c>
      <c r="D22" s="39" t="s">
        <v>131</v>
      </c>
      <c r="E22" s="39" t="s">
        <v>131</v>
      </c>
      <c r="F22" s="39" t="s">
        <v>132</v>
      </c>
      <c r="G22" s="39" t="s">
        <v>141</v>
      </c>
      <c r="H22" s="40"/>
      <c r="I22" s="40"/>
      <c r="J22" s="40"/>
      <c r="K22" s="42">
        <v>46115</v>
      </c>
      <c r="L22" s="42"/>
      <c r="M22" s="44"/>
      <c r="N22" s="40"/>
      <c r="O22" s="40"/>
      <c r="P22" s="40"/>
      <c r="Q22" s="42">
        <f>IF(K22="","",K22)</f>
        <v>46115</v>
      </c>
      <c r="R22" s="39" t="s">
        <v>131</v>
      </c>
      <c r="S22" s="39" t="s">
        <v>134</v>
      </c>
      <c r="T22" s="39" t="s">
        <v>135</v>
      </c>
      <c r="U22" s="39"/>
      <c r="V22" s="39">
        <v>11</v>
      </c>
      <c r="W22" s="39" t="s">
        <v>129</v>
      </c>
      <c r="X22" s="41">
        <v>46104</v>
      </c>
      <c r="Y22" s="41">
        <v>46115</v>
      </c>
      <c r="Z22" s="43">
        <v>304.42239999999998</v>
      </c>
      <c r="AA22" s="45">
        <f>IF(M22&lt;&gt;"",M22,Z22)</f>
        <v>304.42239999999998</v>
      </c>
      <c r="AB22" s="46" t="str">
        <f>IF(L22&lt;&gt;"","Realizado","Previsto")</f>
        <v>Previsto</v>
      </c>
      <c r="AC22" s="47">
        <v>0.34</v>
      </c>
      <c r="AD22" s="43">
        <v>895.36</v>
      </c>
      <c r="AE22" s="39">
        <v>64</v>
      </c>
      <c r="AF22" s="39" t="s">
        <v>87</v>
      </c>
      <c r="AG22" s="43">
        <v>13.99</v>
      </c>
      <c r="AH22" s="39" t="s">
        <v>136</v>
      </c>
      <c r="AI22" s="39" t="s">
        <v>73</v>
      </c>
      <c r="AJ22" s="48">
        <f>IF(Q22&lt;&gt;"",Q22,IF(K22&lt;&gt;"",K22,""))</f>
        <v>46115</v>
      </c>
      <c r="AK22" s="46" t="str">
        <f>IF(K22&lt;&gt;"","Sim","")</f>
        <v>Sim</v>
      </c>
      <c r="AL22" s="46" t="str">
        <f>IF(A22="","",TEXT(A22,"000000")&amp;"-"&amp;IF(C22="Entrada","CR","DB"))</f>
        <v>000021-DB</v>
      </c>
      <c r="AM22" s="46" t="str">
        <f>IF(A22="","",LEFT(IF(H22&lt;&gt;"",H22,G22)&amp;" | "&amp;G22&amp;" | "&amp;S22,60))</f>
        <v xml:space="preserve">Joelho 90º PVC DN 100mm branco rígido para esgoto sanitário </v>
      </c>
    </row>
    <row r="23" spans="1:39" ht="43.2" x14ac:dyDescent="0.3">
      <c r="A23" s="39">
        <v>22</v>
      </c>
      <c r="B23" s="39" t="s">
        <v>2</v>
      </c>
      <c r="C23" s="39" t="s">
        <v>74</v>
      </c>
      <c r="D23" s="39" t="s">
        <v>131</v>
      </c>
      <c r="E23" s="39" t="s">
        <v>131</v>
      </c>
      <c r="F23" s="39" t="s">
        <v>132</v>
      </c>
      <c r="G23" s="39" t="s">
        <v>142</v>
      </c>
      <c r="H23" s="40"/>
      <c r="I23" s="40"/>
      <c r="J23" s="40"/>
      <c r="K23" s="42">
        <v>46115</v>
      </c>
      <c r="L23" s="42"/>
      <c r="M23" s="44"/>
      <c r="N23" s="40"/>
      <c r="O23" s="40"/>
      <c r="P23" s="40"/>
      <c r="Q23" s="42">
        <f>IF(K23="","",K23)</f>
        <v>46115</v>
      </c>
      <c r="R23" s="39" t="s">
        <v>131</v>
      </c>
      <c r="S23" s="39" t="s">
        <v>134</v>
      </c>
      <c r="T23" s="39" t="s">
        <v>135</v>
      </c>
      <c r="U23" s="39"/>
      <c r="V23" s="39">
        <v>12</v>
      </c>
      <c r="W23" s="39" t="s">
        <v>129</v>
      </c>
      <c r="X23" s="41">
        <v>46104</v>
      </c>
      <c r="Y23" s="41">
        <v>46115</v>
      </c>
      <c r="Z23" s="43">
        <v>134.4768</v>
      </c>
      <c r="AA23" s="45">
        <f>IF(M23&lt;&gt;"",M23,Z23)</f>
        <v>134.4768</v>
      </c>
      <c r="AB23" s="46" t="str">
        <f>IF(L23&lt;&gt;"","Realizado","Previsto")</f>
        <v>Previsto</v>
      </c>
      <c r="AC23" s="47">
        <v>0.34</v>
      </c>
      <c r="AD23" s="43">
        <v>395.52</v>
      </c>
      <c r="AE23" s="39">
        <v>128</v>
      </c>
      <c r="AF23" s="39" t="s">
        <v>87</v>
      </c>
      <c r="AG23" s="43">
        <v>3.09</v>
      </c>
      <c r="AH23" s="39" t="s">
        <v>136</v>
      </c>
      <c r="AI23" s="39" t="s">
        <v>73</v>
      </c>
      <c r="AJ23" s="48">
        <f>IF(Q23&lt;&gt;"",Q23,IF(K23&lt;&gt;"",K23,""))</f>
        <v>46115</v>
      </c>
      <c r="AK23" s="46" t="str">
        <f>IF(K23&lt;&gt;"","Sim","")</f>
        <v>Sim</v>
      </c>
      <c r="AL23" s="46" t="str">
        <f>IF(A23="","",TEXT(A23,"000000")&amp;"-"&amp;IF(C23="Entrada","CR","DB"))</f>
        <v>000022-DB</v>
      </c>
      <c r="AM23" s="46" t="str">
        <f>IF(A23="","",LEFT(IF(H23&lt;&gt;"",H23,G23)&amp;" | "&amp;G23&amp;" | "&amp;S23,60))</f>
        <v>Joelho 90º PVC DN 40mm branco rígido para esgoto sanitário p</v>
      </c>
    </row>
    <row r="24" spans="1:39" ht="43.2" x14ac:dyDescent="0.3">
      <c r="A24" s="39">
        <v>23</v>
      </c>
      <c r="B24" s="39" t="s">
        <v>2</v>
      </c>
      <c r="C24" s="39" t="s">
        <v>74</v>
      </c>
      <c r="D24" s="39" t="s">
        <v>131</v>
      </c>
      <c r="E24" s="39" t="s">
        <v>131</v>
      </c>
      <c r="F24" s="39" t="s">
        <v>132</v>
      </c>
      <c r="G24" s="39" t="s">
        <v>143</v>
      </c>
      <c r="H24" s="40"/>
      <c r="I24" s="40"/>
      <c r="J24" s="40"/>
      <c r="K24" s="42">
        <v>46115</v>
      </c>
      <c r="L24" s="42"/>
      <c r="M24" s="44"/>
      <c r="N24" s="40"/>
      <c r="O24" s="40"/>
      <c r="P24" s="40"/>
      <c r="Q24" s="42">
        <f>IF(K24="","",K24)</f>
        <v>46115</v>
      </c>
      <c r="R24" s="39" t="s">
        <v>131</v>
      </c>
      <c r="S24" s="39" t="s">
        <v>134</v>
      </c>
      <c r="T24" s="39" t="s">
        <v>135</v>
      </c>
      <c r="U24" s="39"/>
      <c r="V24" s="39">
        <v>14</v>
      </c>
      <c r="W24" s="39" t="s">
        <v>129</v>
      </c>
      <c r="X24" s="41">
        <v>46104</v>
      </c>
      <c r="Y24" s="41">
        <v>46115</v>
      </c>
      <c r="Z24" s="43">
        <v>746.80320000000006</v>
      </c>
      <c r="AA24" s="45">
        <f>IF(M24&lt;&gt;"",M24,Z24)</f>
        <v>746.80320000000006</v>
      </c>
      <c r="AB24" s="46" t="str">
        <f>IF(L24&lt;&gt;"","Realizado","Previsto")</f>
        <v>Previsto</v>
      </c>
      <c r="AC24" s="47">
        <v>0.34</v>
      </c>
      <c r="AD24" s="43">
        <v>2196.48</v>
      </c>
      <c r="AE24" s="39">
        <v>384</v>
      </c>
      <c r="AF24" s="39" t="s">
        <v>87</v>
      </c>
      <c r="AG24" s="43">
        <v>5.72</v>
      </c>
      <c r="AH24" s="39" t="s">
        <v>136</v>
      </c>
      <c r="AI24" s="39" t="s">
        <v>73</v>
      </c>
      <c r="AJ24" s="48">
        <f>IF(Q24&lt;&gt;"",Q24,IF(K24&lt;&gt;"",K24,""))</f>
        <v>46115</v>
      </c>
      <c r="AK24" s="46" t="str">
        <f>IF(K24&lt;&gt;"","Sim","")</f>
        <v>Sim</v>
      </c>
      <c r="AL24" s="46" t="str">
        <f>IF(A24="","",TEXT(A24,"000000")&amp;"-"&amp;IF(C24="Entrada","CR","DB"))</f>
        <v>000023-DB</v>
      </c>
      <c r="AM24" s="46" t="str">
        <f>IF(A24="","",LEFT(IF(H24&lt;&gt;"",H24,G24)&amp;" | "&amp;G24&amp;" | "&amp;S24,60))</f>
        <v>Joelho 90º PVC DN 50mm branco junta elástica para esgoto san</v>
      </c>
    </row>
    <row r="25" spans="1:39" ht="43.2" x14ac:dyDescent="0.3">
      <c r="A25" s="39">
        <v>24</v>
      </c>
      <c r="B25" s="39" t="s">
        <v>2</v>
      </c>
      <c r="C25" s="39" t="s">
        <v>74</v>
      </c>
      <c r="D25" s="39" t="s">
        <v>131</v>
      </c>
      <c r="E25" s="39" t="s">
        <v>131</v>
      </c>
      <c r="F25" s="39" t="s">
        <v>132</v>
      </c>
      <c r="G25" s="39" t="s">
        <v>144</v>
      </c>
      <c r="H25" s="40"/>
      <c r="I25" s="40"/>
      <c r="J25" s="40"/>
      <c r="K25" s="42">
        <v>46115</v>
      </c>
      <c r="L25" s="42"/>
      <c r="M25" s="44"/>
      <c r="N25" s="40"/>
      <c r="O25" s="40"/>
      <c r="P25" s="40"/>
      <c r="Q25" s="42">
        <f>IF(K25="","",K25)</f>
        <v>46115</v>
      </c>
      <c r="R25" s="39" t="s">
        <v>131</v>
      </c>
      <c r="S25" s="39" t="s">
        <v>134</v>
      </c>
      <c r="T25" s="39" t="s">
        <v>135</v>
      </c>
      <c r="U25" s="39"/>
      <c r="V25" s="39">
        <v>25</v>
      </c>
      <c r="W25" s="39" t="s">
        <v>129</v>
      </c>
      <c r="X25" s="41">
        <v>46104</v>
      </c>
      <c r="Y25" s="41">
        <v>46115</v>
      </c>
      <c r="Z25" s="43">
        <v>41.344000000000001</v>
      </c>
      <c r="AA25" s="45">
        <f>IF(M25&lt;&gt;"",M25,Z25)</f>
        <v>41.344000000000001</v>
      </c>
      <c r="AB25" s="46" t="str">
        <f>IF(L25&lt;&gt;"","Realizado","Previsto")</f>
        <v>Previsto</v>
      </c>
      <c r="AC25" s="47">
        <v>0.34</v>
      </c>
      <c r="AD25" s="43">
        <v>121.6</v>
      </c>
      <c r="AE25" s="39">
        <v>128</v>
      </c>
      <c r="AF25" s="39" t="s">
        <v>87</v>
      </c>
      <c r="AG25" s="43">
        <v>0.95</v>
      </c>
      <c r="AH25" s="39" t="s">
        <v>136</v>
      </c>
      <c r="AI25" s="39" t="s">
        <v>73</v>
      </c>
      <c r="AJ25" s="48">
        <f>IF(Q25&lt;&gt;"",Q25,IF(K25&lt;&gt;"",K25,""))</f>
        <v>46115</v>
      </c>
      <c r="AK25" s="46" t="str">
        <f>IF(K25&lt;&gt;"","Sim","")</f>
        <v>Sim</v>
      </c>
      <c r="AL25" s="46" t="str">
        <f>IF(A25="","",TEXT(A25,"000000")&amp;"-"&amp;IF(C25="Entrada","CR","DB"))</f>
        <v>000024-DB</v>
      </c>
      <c r="AM25" s="46" t="str">
        <f>IF(A25="","",LEFT(IF(H25&lt;&gt;"",H25,G25)&amp;" | "&amp;G25&amp;" | "&amp;S25,60))</f>
        <v>Joelho 90º marrom DN 25mm soldável para água fria | Joelho 9</v>
      </c>
    </row>
    <row r="26" spans="1:39" ht="43.2" x14ac:dyDescent="0.3">
      <c r="A26" s="39">
        <v>25</v>
      </c>
      <c r="B26" s="39" t="s">
        <v>2</v>
      </c>
      <c r="C26" s="39" t="s">
        <v>74</v>
      </c>
      <c r="D26" s="39" t="s">
        <v>131</v>
      </c>
      <c r="E26" s="39" t="s">
        <v>131</v>
      </c>
      <c r="F26" s="39" t="s">
        <v>132</v>
      </c>
      <c r="G26" s="39" t="s">
        <v>145</v>
      </c>
      <c r="H26" s="40"/>
      <c r="I26" s="40"/>
      <c r="J26" s="40"/>
      <c r="K26" s="42">
        <v>46115</v>
      </c>
      <c r="L26" s="42"/>
      <c r="M26" s="44"/>
      <c r="N26" s="40"/>
      <c r="O26" s="40"/>
      <c r="P26" s="40"/>
      <c r="Q26" s="42">
        <f>IF(K26="","",K26)</f>
        <v>46115</v>
      </c>
      <c r="R26" s="39" t="s">
        <v>131</v>
      </c>
      <c r="S26" s="39" t="s">
        <v>134</v>
      </c>
      <c r="T26" s="39" t="s">
        <v>135</v>
      </c>
      <c r="U26" s="39"/>
      <c r="V26" s="39">
        <v>17</v>
      </c>
      <c r="W26" s="39" t="s">
        <v>129</v>
      </c>
      <c r="X26" s="41">
        <v>46104</v>
      </c>
      <c r="Y26" s="41">
        <v>46115</v>
      </c>
      <c r="Z26" s="43">
        <v>469.1456</v>
      </c>
      <c r="AA26" s="45">
        <f>IF(M26&lt;&gt;"",M26,Z26)</f>
        <v>469.1456</v>
      </c>
      <c r="AB26" s="46" t="str">
        <f>IF(L26&lt;&gt;"","Realizado","Previsto")</f>
        <v>Previsto</v>
      </c>
      <c r="AC26" s="47">
        <v>0.34</v>
      </c>
      <c r="AD26" s="43">
        <v>1379.84</v>
      </c>
      <c r="AE26" s="39">
        <v>64</v>
      </c>
      <c r="AF26" s="39" t="s">
        <v>87</v>
      </c>
      <c r="AG26" s="43">
        <v>21.56</v>
      </c>
      <c r="AH26" s="39" t="s">
        <v>136</v>
      </c>
      <c r="AI26" s="39" t="s">
        <v>73</v>
      </c>
      <c r="AJ26" s="48">
        <f>IF(Q26&lt;&gt;"",Q26,IF(K26&lt;&gt;"",K26,""))</f>
        <v>46115</v>
      </c>
      <c r="AK26" s="46" t="str">
        <f>IF(K26&lt;&gt;"","Sim","")</f>
        <v>Sim</v>
      </c>
      <c r="AL26" s="46" t="str">
        <f>IF(A26="","",TEXT(A26,"000000")&amp;"-"&amp;IF(C26="Entrada","CR","DB"))</f>
        <v>000025-DB</v>
      </c>
      <c r="AM26" s="46" t="str">
        <f>IF(A26="","",LEFT(IF(H26&lt;&gt;"",H26,G26)&amp;" | "&amp;G26&amp;" | "&amp;S26,60))</f>
        <v>Junção de Redução invertica PVC DN 100x50mm branco rígido pa</v>
      </c>
    </row>
    <row r="27" spans="1:39" ht="43.2" x14ac:dyDescent="0.3">
      <c r="A27" s="39">
        <v>26</v>
      </c>
      <c r="B27" s="39" t="s">
        <v>2</v>
      </c>
      <c r="C27" s="39" t="s">
        <v>74</v>
      </c>
      <c r="D27" s="39" t="s">
        <v>131</v>
      </c>
      <c r="E27" s="39" t="s">
        <v>131</v>
      </c>
      <c r="F27" s="39" t="s">
        <v>132</v>
      </c>
      <c r="G27" s="39" t="s">
        <v>146</v>
      </c>
      <c r="H27" s="40"/>
      <c r="I27" s="40"/>
      <c r="J27" s="40"/>
      <c r="K27" s="42">
        <v>46115</v>
      </c>
      <c r="L27" s="42"/>
      <c r="M27" s="44"/>
      <c r="N27" s="40"/>
      <c r="O27" s="40"/>
      <c r="P27" s="40"/>
      <c r="Q27" s="42">
        <f>IF(K27="","",K27)</f>
        <v>46115</v>
      </c>
      <c r="R27" s="39" t="s">
        <v>131</v>
      </c>
      <c r="S27" s="39" t="s">
        <v>134</v>
      </c>
      <c r="T27" s="39" t="s">
        <v>135</v>
      </c>
      <c r="U27" s="39"/>
      <c r="V27" s="39">
        <v>16</v>
      </c>
      <c r="W27" s="39" t="s">
        <v>129</v>
      </c>
      <c r="X27" s="41">
        <v>46104</v>
      </c>
      <c r="Y27" s="41">
        <v>46115</v>
      </c>
      <c r="Z27" s="43">
        <v>391.24480000000011</v>
      </c>
      <c r="AA27" s="45">
        <f>IF(M27&lt;&gt;"",M27,Z27)</f>
        <v>391.24480000000011</v>
      </c>
      <c r="AB27" s="46" t="str">
        <f>IF(L27&lt;&gt;"","Realizado","Previsto")</f>
        <v>Previsto</v>
      </c>
      <c r="AC27" s="47">
        <v>0.34</v>
      </c>
      <c r="AD27" s="43">
        <v>1150.72</v>
      </c>
      <c r="AE27" s="39">
        <v>64</v>
      </c>
      <c r="AF27" s="39" t="s">
        <v>87</v>
      </c>
      <c r="AG27" s="43">
        <v>17.98</v>
      </c>
      <c r="AH27" s="39" t="s">
        <v>136</v>
      </c>
      <c r="AI27" s="39" t="s">
        <v>73</v>
      </c>
      <c r="AJ27" s="48">
        <f>IF(Q27&lt;&gt;"",Q27,IF(K27&lt;&gt;"",K27,""))</f>
        <v>46115</v>
      </c>
      <c r="AK27" s="46" t="str">
        <f>IF(K27&lt;&gt;"","Sim","")</f>
        <v>Sim</v>
      </c>
      <c r="AL27" s="46" t="str">
        <f>IF(A27="","",TEXT(A27,"000000")&amp;"-"&amp;IF(C27="Entrada","CR","DB"))</f>
        <v>000026-DB</v>
      </c>
      <c r="AM27" s="46" t="str">
        <f>IF(A27="","",LEFT(IF(H27&lt;&gt;"",H27,G27)&amp;" | "&amp;G27&amp;" | "&amp;S27,60))</f>
        <v>Junção simples PVC DN 50x50mm branco rígido para esgoto sani</v>
      </c>
    </row>
    <row r="28" spans="1:39" ht="43.2" x14ac:dyDescent="0.3">
      <c r="A28" s="39">
        <v>27</v>
      </c>
      <c r="B28" s="39" t="s">
        <v>2</v>
      </c>
      <c r="C28" s="39" t="s">
        <v>74</v>
      </c>
      <c r="D28" s="39" t="s">
        <v>131</v>
      </c>
      <c r="E28" s="39" t="s">
        <v>131</v>
      </c>
      <c r="F28" s="39" t="s">
        <v>132</v>
      </c>
      <c r="G28" s="39" t="s">
        <v>147</v>
      </c>
      <c r="H28" s="40"/>
      <c r="I28" s="40"/>
      <c r="J28" s="40"/>
      <c r="K28" s="42">
        <v>46115</v>
      </c>
      <c r="L28" s="42"/>
      <c r="M28" s="44"/>
      <c r="N28" s="40"/>
      <c r="O28" s="40"/>
      <c r="P28" s="40"/>
      <c r="Q28" s="42">
        <f>IF(K28="","",K28)</f>
        <v>46115</v>
      </c>
      <c r="R28" s="39" t="s">
        <v>131</v>
      </c>
      <c r="S28" s="39" t="s">
        <v>134</v>
      </c>
      <c r="T28" s="39" t="s">
        <v>135</v>
      </c>
      <c r="U28" s="39"/>
      <c r="V28" s="39">
        <v>22</v>
      </c>
      <c r="W28" s="39" t="s">
        <v>129</v>
      </c>
      <c r="X28" s="41">
        <v>46104</v>
      </c>
      <c r="Y28" s="41">
        <v>46115</v>
      </c>
      <c r="Z28" s="43">
        <v>36.7744</v>
      </c>
      <c r="AA28" s="45">
        <f>IF(M28&lt;&gt;"",M28,Z28)</f>
        <v>36.7744</v>
      </c>
      <c r="AB28" s="46" t="str">
        <f>IF(L28&lt;&gt;"","Realizado","Previsto")</f>
        <v>Previsto</v>
      </c>
      <c r="AC28" s="47">
        <v>0.34</v>
      </c>
      <c r="AD28" s="43">
        <v>108.16</v>
      </c>
      <c r="AE28" s="39">
        <v>64</v>
      </c>
      <c r="AF28" s="39" t="s">
        <v>87</v>
      </c>
      <c r="AG28" s="43">
        <v>1.69</v>
      </c>
      <c r="AH28" s="39" t="s">
        <v>136</v>
      </c>
      <c r="AI28" s="39" t="s">
        <v>73</v>
      </c>
      <c r="AJ28" s="48">
        <f>IF(Q28&lt;&gt;"",Q28,IF(K28&lt;&gt;"",K28,""))</f>
        <v>46115</v>
      </c>
      <c r="AK28" s="46" t="str">
        <f>IF(K28&lt;&gt;"","Sim","")</f>
        <v>Sim</v>
      </c>
      <c r="AL28" s="46" t="str">
        <f>IF(A28="","",TEXT(A28,"000000")&amp;"-"&amp;IF(C28="Entrada","CR","DB"))</f>
        <v>000027-DB</v>
      </c>
      <c r="AM28" s="46" t="str">
        <f>IF(A28="","",LEFT(IF(H28&lt;&gt;"",H28,G28)&amp;" | "&amp;G28&amp;" | "&amp;S28,60))</f>
        <v>Lixa ferro p/cano pvc 100 | Lixa ferro p/cano pvc 100 | Saíd</v>
      </c>
    </row>
    <row r="29" spans="1:39" ht="43.2" x14ac:dyDescent="0.3">
      <c r="A29" s="39">
        <v>28</v>
      </c>
      <c r="B29" s="39" t="s">
        <v>2</v>
      </c>
      <c r="C29" s="39" t="s">
        <v>74</v>
      </c>
      <c r="D29" s="39" t="s">
        <v>131</v>
      </c>
      <c r="E29" s="39" t="s">
        <v>131</v>
      </c>
      <c r="F29" s="39" t="s">
        <v>132</v>
      </c>
      <c r="G29" s="39" t="s">
        <v>148</v>
      </c>
      <c r="H29" s="40"/>
      <c r="I29" s="40"/>
      <c r="J29" s="40"/>
      <c r="K29" s="42">
        <v>46115</v>
      </c>
      <c r="L29" s="42"/>
      <c r="M29" s="44"/>
      <c r="N29" s="40"/>
      <c r="O29" s="40"/>
      <c r="P29" s="40"/>
      <c r="Q29" s="42">
        <f>IF(K29="","",K29)</f>
        <v>46115</v>
      </c>
      <c r="R29" s="39" t="s">
        <v>131</v>
      </c>
      <c r="S29" s="39" t="s">
        <v>134</v>
      </c>
      <c r="T29" s="39" t="s">
        <v>135</v>
      </c>
      <c r="U29" s="39"/>
      <c r="V29" s="39">
        <v>23</v>
      </c>
      <c r="W29" s="39" t="s">
        <v>129</v>
      </c>
      <c r="X29" s="41">
        <v>46104</v>
      </c>
      <c r="Y29" s="41">
        <v>46115</v>
      </c>
      <c r="Z29" s="43">
        <v>305.80416000000002</v>
      </c>
      <c r="AA29" s="45">
        <f>IF(M29&lt;&gt;"",M29,Z29)</f>
        <v>305.80416000000002</v>
      </c>
      <c r="AB29" s="46" t="str">
        <f>IF(L29&lt;&gt;"","Realizado","Previsto")</f>
        <v>Previsto</v>
      </c>
      <c r="AC29" s="47">
        <v>0.34</v>
      </c>
      <c r="AD29" s="43">
        <v>899.42399999999998</v>
      </c>
      <c r="AE29" s="39">
        <v>9.6</v>
      </c>
      <c r="AF29" s="39" t="s">
        <v>149</v>
      </c>
      <c r="AG29" s="43">
        <v>93.69</v>
      </c>
      <c r="AH29" s="39" t="s">
        <v>136</v>
      </c>
      <c r="AI29" s="39" t="s">
        <v>73</v>
      </c>
      <c r="AJ29" s="48">
        <f>IF(Q29&lt;&gt;"",Q29,IF(K29&lt;&gt;"",K29,""))</f>
        <v>46115</v>
      </c>
      <c r="AK29" s="46" t="str">
        <f>IF(K29&lt;&gt;"","Sim","")</f>
        <v>Sim</v>
      </c>
      <c r="AL29" s="46" t="str">
        <f>IF(A29="","",TEXT(A29,"000000")&amp;"-"&amp;IF(C29="Entrada","CR","DB"))</f>
        <v>000028-DB</v>
      </c>
      <c r="AM29" s="46" t="str">
        <f>IF(A29="","",LEFT(IF(H29&lt;&gt;"",H29,G29)&amp;" | "&amp;G29&amp;" | "&amp;S29,60))</f>
        <v xml:space="preserve">Pasta lubrufucante 1 KG | Pasta lubrufucante 1 KG | Saída | </v>
      </c>
    </row>
    <row r="30" spans="1:39" ht="43.2" x14ac:dyDescent="0.3">
      <c r="A30" s="39">
        <v>29</v>
      </c>
      <c r="B30" s="39" t="s">
        <v>2</v>
      </c>
      <c r="C30" s="39" t="s">
        <v>74</v>
      </c>
      <c r="D30" s="39" t="s">
        <v>131</v>
      </c>
      <c r="E30" s="39" t="s">
        <v>131</v>
      </c>
      <c r="F30" s="39" t="s">
        <v>132</v>
      </c>
      <c r="G30" s="39" t="s">
        <v>150</v>
      </c>
      <c r="H30" s="40"/>
      <c r="I30" s="40"/>
      <c r="J30" s="40"/>
      <c r="K30" s="42">
        <v>46115</v>
      </c>
      <c r="L30" s="42"/>
      <c r="M30" s="44"/>
      <c r="N30" s="40"/>
      <c r="O30" s="40"/>
      <c r="P30" s="40"/>
      <c r="Q30" s="42">
        <f>IF(K30="","",K30)</f>
        <v>46115</v>
      </c>
      <c r="R30" s="39" t="s">
        <v>131</v>
      </c>
      <c r="S30" s="39" t="s">
        <v>134</v>
      </c>
      <c r="T30" s="39" t="s">
        <v>135</v>
      </c>
      <c r="U30" s="39"/>
      <c r="V30" s="39">
        <v>20</v>
      </c>
      <c r="W30" s="39" t="s">
        <v>129</v>
      </c>
      <c r="X30" s="41">
        <v>46104</v>
      </c>
      <c r="Y30" s="41">
        <v>46115</v>
      </c>
      <c r="Z30" s="43">
        <v>217.6</v>
      </c>
      <c r="AA30" s="45">
        <f>IF(M30&lt;&gt;"",M30,Z30)</f>
        <v>217.6</v>
      </c>
      <c r="AB30" s="46" t="str">
        <f>IF(L30&lt;&gt;"","Realizado","Previsto")</f>
        <v>Previsto</v>
      </c>
      <c r="AC30" s="47">
        <v>0.34</v>
      </c>
      <c r="AD30" s="43">
        <v>640</v>
      </c>
      <c r="AE30" s="39">
        <v>64</v>
      </c>
      <c r="AF30" s="39" t="s">
        <v>87</v>
      </c>
      <c r="AG30" s="43">
        <v>10</v>
      </c>
      <c r="AH30" s="39" t="s">
        <v>136</v>
      </c>
      <c r="AI30" s="39" t="s">
        <v>73</v>
      </c>
      <c r="AJ30" s="48">
        <f>IF(Q30&lt;&gt;"",Q30,IF(K30&lt;&gt;"",K30,""))</f>
        <v>46115</v>
      </c>
      <c r="AK30" s="46" t="str">
        <f>IF(K30&lt;&gt;"","Sim","")</f>
        <v>Sim</v>
      </c>
      <c r="AL30" s="46" t="str">
        <f>IF(A30="","",TEXT(A30,"000000")&amp;"-"&amp;IF(C30="Entrada","CR","DB"))</f>
        <v>000029-DB</v>
      </c>
      <c r="AM30" s="46" t="str">
        <f>IF(A30="","",LEFT(IF(H30&lt;&gt;"",H30,G30)&amp;" | "&amp;G30&amp;" | "&amp;S30,60))</f>
        <v>Ralo seco PVC DN100x40mm Junta soldável para esgoto sanitári</v>
      </c>
    </row>
    <row r="31" spans="1:39" ht="43.2" x14ac:dyDescent="0.3">
      <c r="A31" s="39">
        <v>30</v>
      </c>
      <c r="B31" s="39" t="s">
        <v>2</v>
      </c>
      <c r="C31" s="39" t="s">
        <v>74</v>
      </c>
      <c r="D31" s="39" t="s">
        <v>131</v>
      </c>
      <c r="E31" s="39" t="s">
        <v>131</v>
      </c>
      <c r="F31" s="39" t="s">
        <v>132</v>
      </c>
      <c r="G31" s="39" t="s">
        <v>151</v>
      </c>
      <c r="H31" s="40"/>
      <c r="I31" s="40"/>
      <c r="J31" s="40"/>
      <c r="K31" s="42">
        <v>46115</v>
      </c>
      <c r="L31" s="42"/>
      <c r="M31" s="44"/>
      <c r="N31" s="40"/>
      <c r="O31" s="40"/>
      <c r="P31" s="40"/>
      <c r="Q31" s="42">
        <f>IF(K31="","",K31)</f>
        <v>46115</v>
      </c>
      <c r="R31" s="39" t="s">
        <v>131</v>
      </c>
      <c r="S31" s="39" t="s">
        <v>134</v>
      </c>
      <c r="T31" s="39" t="s">
        <v>135</v>
      </c>
      <c r="U31" s="39"/>
      <c r="V31" s="39">
        <v>18</v>
      </c>
      <c r="W31" s="39" t="s">
        <v>129</v>
      </c>
      <c r="X31" s="41">
        <v>46104</v>
      </c>
      <c r="Y31" s="41">
        <v>46115</v>
      </c>
      <c r="Z31" s="43">
        <v>107.92959999999999</v>
      </c>
      <c r="AA31" s="45">
        <f>IF(M31&lt;&gt;"",M31,Z31)</f>
        <v>107.92959999999999</v>
      </c>
      <c r="AB31" s="46" t="str">
        <f>IF(L31&lt;&gt;"","Realizado","Previsto")</f>
        <v>Previsto</v>
      </c>
      <c r="AC31" s="47">
        <v>0.34</v>
      </c>
      <c r="AD31" s="43">
        <v>317.44</v>
      </c>
      <c r="AE31" s="39">
        <v>64</v>
      </c>
      <c r="AF31" s="39" t="s">
        <v>87</v>
      </c>
      <c r="AG31" s="43">
        <v>4.96</v>
      </c>
      <c r="AH31" s="39" t="s">
        <v>136</v>
      </c>
      <c r="AI31" s="39" t="s">
        <v>73</v>
      </c>
      <c r="AJ31" s="48">
        <f>IF(Q31&lt;&gt;"",Q31,IF(K31&lt;&gt;"",K31,""))</f>
        <v>46115</v>
      </c>
      <c r="AK31" s="46" t="str">
        <f>IF(K31&lt;&gt;"","Sim","")</f>
        <v>Sim</v>
      </c>
      <c r="AL31" s="46" t="str">
        <f>IF(A31="","",TEXT(A31,"000000")&amp;"-"&amp;IF(C31="Entrada","CR","DB"))</f>
        <v>000030-DB</v>
      </c>
      <c r="AM31" s="46" t="str">
        <f>IF(A31="","",LEFT(IF(H31&lt;&gt;"",H31,G31)&amp;" | "&amp;G31&amp;" | "&amp;S31,60))</f>
        <v>TE DN 50x50mm PVC branco rígido para esgoto sanitário predia</v>
      </c>
    </row>
    <row r="32" spans="1:39" ht="43.2" x14ac:dyDescent="0.3">
      <c r="A32" s="39">
        <v>31</v>
      </c>
      <c r="B32" s="39" t="s">
        <v>2</v>
      </c>
      <c r="C32" s="39" t="s">
        <v>74</v>
      </c>
      <c r="D32" s="39" t="s">
        <v>131</v>
      </c>
      <c r="E32" s="39" t="s">
        <v>131</v>
      </c>
      <c r="F32" s="39" t="s">
        <v>132</v>
      </c>
      <c r="G32" s="39" t="s">
        <v>152</v>
      </c>
      <c r="H32" s="40"/>
      <c r="I32" s="40"/>
      <c r="J32" s="40"/>
      <c r="K32" s="42">
        <v>46115</v>
      </c>
      <c r="L32" s="42"/>
      <c r="M32" s="44"/>
      <c r="N32" s="40"/>
      <c r="O32" s="40"/>
      <c r="P32" s="40"/>
      <c r="Q32" s="42">
        <f>IF(K32="","",K32)</f>
        <v>46115</v>
      </c>
      <c r="R32" s="39" t="s">
        <v>131</v>
      </c>
      <c r="S32" s="39" t="s">
        <v>134</v>
      </c>
      <c r="T32" s="39" t="s">
        <v>135</v>
      </c>
      <c r="U32" s="39"/>
      <c r="V32" s="39">
        <v>26</v>
      </c>
      <c r="W32" s="39" t="s">
        <v>129</v>
      </c>
      <c r="X32" s="41">
        <v>46104</v>
      </c>
      <c r="Y32" s="41">
        <v>46115</v>
      </c>
      <c r="Z32" s="43">
        <v>349.68320000000011</v>
      </c>
      <c r="AA32" s="45">
        <f>IF(M32&lt;&gt;"",M32,Z32)</f>
        <v>349.68320000000011</v>
      </c>
      <c r="AB32" s="46" t="str">
        <f>IF(L32&lt;&gt;"","Realizado","Previsto")</f>
        <v>Previsto</v>
      </c>
      <c r="AC32" s="47">
        <v>0.34</v>
      </c>
      <c r="AD32" s="43">
        <v>1028.48</v>
      </c>
      <c r="AE32" s="39">
        <v>64</v>
      </c>
      <c r="AF32" s="39" t="s">
        <v>153</v>
      </c>
      <c r="AG32" s="43">
        <v>16.07</v>
      </c>
      <c r="AH32" s="39" t="s">
        <v>136</v>
      </c>
      <c r="AI32" s="39" t="s">
        <v>73</v>
      </c>
      <c r="AJ32" s="48">
        <f>IF(Q32&lt;&gt;"",Q32,IF(K32&lt;&gt;"",K32,""))</f>
        <v>46115</v>
      </c>
      <c r="AK32" s="46" t="str">
        <f>IF(K32&lt;&gt;"","Sim","")</f>
        <v>Sim</v>
      </c>
      <c r="AL32" s="46" t="str">
        <f>IF(A32="","",TEXT(A32,"000000")&amp;"-"&amp;IF(C32="Entrada","CR","DB"))</f>
        <v>000031-DB</v>
      </c>
      <c r="AM32" s="46" t="str">
        <f>IF(A32="","",LEFT(IF(H32&lt;&gt;"",H32,G32)&amp;" | "&amp;G32&amp;" | "&amp;S32,60))</f>
        <v>Tubo DN 25 mm, PVC Rígido Soldável Marrom | Tubo DN 25 mm, P</v>
      </c>
    </row>
    <row r="33" spans="1:39" ht="43.2" x14ac:dyDescent="0.3">
      <c r="A33" s="39">
        <v>32</v>
      </c>
      <c r="B33" s="39" t="s">
        <v>2</v>
      </c>
      <c r="C33" s="39" t="s">
        <v>74</v>
      </c>
      <c r="D33" s="39" t="s">
        <v>131</v>
      </c>
      <c r="E33" s="39" t="s">
        <v>131</v>
      </c>
      <c r="F33" s="39" t="s">
        <v>132</v>
      </c>
      <c r="G33" s="39" t="s">
        <v>154</v>
      </c>
      <c r="H33" s="40"/>
      <c r="I33" s="40"/>
      <c r="J33" s="40"/>
      <c r="K33" s="42">
        <v>46115</v>
      </c>
      <c r="L33" s="42"/>
      <c r="M33" s="44"/>
      <c r="N33" s="40"/>
      <c r="O33" s="40"/>
      <c r="P33" s="40"/>
      <c r="Q33" s="42">
        <f>IF(K33="","",K33)</f>
        <v>46115</v>
      </c>
      <c r="R33" s="39" t="s">
        <v>131</v>
      </c>
      <c r="S33" s="39" t="s">
        <v>134</v>
      </c>
      <c r="T33" s="39" t="s">
        <v>135</v>
      </c>
      <c r="U33" s="39"/>
      <c r="V33" s="39">
        <v>10</v>
      </c>
      <c r="W33" s="39" t="s">
        <v>129</v>
      </c>
      <c r="X33" s="41">
        <v>46104</v>
      </c>
      <c r="Y33" s="41">
        <v>46115</v>
      </c>
      <c r="Z33" s="43">
        <v>764.99456000000021</v>
      </c>
      <c r="AA33" s="45">
        <f>IF(M33&lt;&gt;"",M33,Z33)</f>
        <v>764.99456000000021</v>
      </c>
      <c r="AB33" s="46" t="str">
        <f>IF(L33&lt;&gt;"","Realizado","Previsto")</f>
        <v>Previsto</v>
      </c>
      <c r="AC33" s="47">
        <v>0.34</v>
      </c>
      <c r="AD33" s="43">
        <v>2249.9839999999999</v>
      </c>
      <c r="AE33" s="39">
        <v>140.80000000000001</v>
      </c>
      <c r="AF33" s="39" t="s">
        <v>155</v>
      </c>
      <c r="AG33" s="43">
        <v>15.98</v>
      </c>
      <c r="AH33" s="39" t="s">
        <v>136</v>
      </c>
      <c r="AI33" s="39" t="s">
        <v>73</v>
      </c>
      <c r="AJ33" s="48">
        <f>IF(Q33&lt;&gt;"",Q33,IF(K33&lt;&gt;"",K33,""))</f>
        <v>46115</v>
      </c>
      <c r="AK33" s="46" t="str">
        <f>IF(K33&lt;&gt;"","Sim","")</f>
        <v>Sim</v>
      </c>
      <c r="AL33" s="46" t="str">
        <f>IF(A33="","",TEXT(A33,"000000")&amp;"-"&amp;IF(C33="Entrada","CR","DB"))</f>
        <v>000032-DB</v>
      </c>
      <c r="AM33" s="46" t="str">
        <f>IF(A33="","",LEFT(IF(H33&lt;&gt;"",H33,G33)&amp;" | "&amp;G33&amp;" | "&amp;S33,60))</f>
        <v>Tubo PVC DN 100mm branco rígido para esgoto sanitário | Tubo</v>
      </c>
    </row>
    <row r="34" spans="1:39" ht="43.2" x14ac:dyDescent="0.3">
      <c r="A34" s="39">
        <v>33</v>
      </c>
      <c r="B34" s="39" t="s">
        <v>2</v>
      </c>
      <c r="C34" s="39" t="s">
        <v>74</v>
      </c>
      <c r="D34" s="39" t="s">
        <v>131</v>
      </c>
      <c r="E34" s="39" t="s">
        <v>131</v>
      </c>
      <c r="F34" s="39" t="s">
        <v>132</v>
      </c>
      <c r="G34" s="39" t="s">
        <v>156</v>
      </c>
      <c r="H34" s="40"/>
      <c r="I34" s="40"/>
      <c r="J34" s="40"/>
      <c r="K34" s="42">
        <v>46115</v>
      </c>
      <c r="L34" s="42"/>
      <c r="M34" s="44"/>
      <c r="N34" s="40"/>
      <c r="O34" s="40"/>
      <c r="P34" s="40"/>
      <c r="Q34" s="42">
        <f>IF(K34="","",K34)</f>
        <v>46115</v>
      </c>
      <c r="R34" s="39" t="s">
        <v>131</v>
      </c>
      <c r="S34" s="39" t="s">
        <v>134</v>
      </c>
      <c r="T34" s="39" t="s">
        <v>135</v>
      </c>
      <c r="U34" s="39"/>
      <c r="V34" s="39">
        <v>7</v>
      </c>
      <c r="W34" s="39" t="s">
        <v>129</v>
      </c>
      <c r="X34" s="41">
        <v>46104</v>
      </c>
      <c r="Y34" s="41">
        <v>46115</v>
      </c>
      <c r="Z34" s="43">
        <v>143.73785599999999</v>
      </c>
      <c r="AA34" s="45">
        <f>IF(M34&lt;&gt;"",M34,Z34)</f>
        <v>143.73785599999999</v>
      </c>
      <c r="AB34" s="46" t="str">
        <f>IF(L34&lt;&gt;"","Realizado","Previsto")</f>
        <v>Previsto</v>
      </c>
      <c r="AC34" s="47">
        <v>0.34</v>
      </c>
      <c r="AD34" s="43">
        <v>422.75839999999999</v>
      </c>
      <c r="AE34" s="39">
        <v>117.76</v>
      </c>
      <c r="AF34" s="39" t="s">
        <v>155</v>
      </c>
      <c r="AG34" s="43">
        <v>3.59</v>
      </c>
      <c r="AH34" s="39" t="s">
        <v>136</v>
      </c>
      <c r="AI34" s="39" t="s">
        <v>73</v>
      </c>
      <c r="AJ34" s="48">
        <f>IF(Q34&lt;&gt;"",Q34,IF(K34&lt;&gt;"",K34,""))</f>
        <v>46115</v>
      </c>
      <c r="AK34" s="46" t="str">
        <f>IF(K34&lt;&gt;"","Sim","")</f>
        <v>Sim</v>
      </c>
      <c r="AL34" s="46" t="str">
        <f>IF(A34="","",TEXT(A34,"000000")&amp;"-"&amp;IF(C34="Entrada","CR","DB"))</f>
        <v>000033-DB</v>
      </c>
      <c r="AM34" s="46" t="str">
        <f>IF(A34="","",LEFT(IF(H34&lt;&gt;"",H34,G34)&amp;" | "&amp;G34&amp;" | "&amp;S34,60))</f>
        <v xml:space="preserve">Tubo PVC DN 40mm branco rígido para esgoto sanitário | Tubo </v>
      </c>
    </row>
    <row r="35" spans="1:39" ht="43.2" x14ac:dyDescent="0.3">
      <c r="A35" s="39">
        <v>34</v>
      </c>
      <c r="B35" s="39" t="s">
        <v>2</v>
      </c>
      <c r="C35" s="39" t="s">
        <v>74</v>
      </c>
      <c r="D35" s="39" t="s">
        <v>131</v>
      </c>
      <c r="E35" s="39" t="s">
        <v>131</v>
      </c>
      <c r="F35" s="39" t="s">
        <v>132</v>
      </c>
      <c r="G35" s="39" t="s">
        <v>157</v>
      </c>
      <c r="H35" s="40"/>
      <c r="I35" s="40"/>
      <c r="J35" s="40"/>
      <c r="K35" s="42">
        <v>46115</v>
      </c>
      <c r="L35" s="42"/>
      <c r="M35" s="44"/>
      <c r="N35" s="40"/>
      <c r="O35" s="40"/>
      <c r="P35" s="40"/>
      <c r="Q35" s="42">
        <f>IF(K35="","",K35)</f>
        <v>46115</v>
      </c>
      <c r="R35" s="39" t="s">
        <v>131</v>
      </c>
      <c r="S35" s="39" t="s">
        <v>134</v>
      </c>
      <c r="T35" s="39" t="s">
        <v>135</v>
      </c>
      <c r="U35" s="39"/>
      <c r="V35" s="39">
        <v>8</v>
      </c>
      <c r="W35" s="39" t="s">
        <v>129</v>
      </c>
      <c r="X35" s="41">
        <v>46104</v>
      </c>
      <c r="Y35" s="41">
        <v>46115</v>
      </c>
      <c r="Z35" s="43">
        <v>1131.663616</v>
      </c>
      <c r="AA35" s="45">
        <f>IF(M35&lt;&gt;"",M35,Z35)</f>
        <v>1131.663616</v>
      </c>
      <c r="AB35" s="46" t="str">
        <f>IF(L35&lt;&gt;"","Realizado","Previsto")</f>
        <v>Previsto</v>
      </c>
      <c r="AC35" s="47">
        <v>0.34</v>
      </c>
      <c r="AD35" s="43">
        <v>3328.4223999999999</v>
      </c>
      <c r="AE35" s="39">
        <v>584.96</v>
      </c>
      <c r="AF35" s="39" t="s">
        <v>155</v>
      </c>
      <c r="AG35" s="43">
        <v>5.69</v>
      </c>
      <c r="AH35" s="39" t="s">
        <v>136</v>
      </c>
      <c r="AI35" s="39" t="s">
        <v>73</v>
      </c>
      <c r="AJ35" s="48">
        <f>IF(Q35&lt;&gt;"",Q35,IF(K35&lt;&gt;"",K35,""))</f>
        <v>46115</v>
      </c>
      <c r="AK35" s="46" t="str">
        <f>IF(K35&lt;&gt;"","Sim","")</f>
        <v>Sim</v>
      </c>
      <c r="AL35" s="46" t="str">
        <f>IF(A35="","",TEXT(A35,"000000")&amp;"-"&amp;IF(C35="Entrada","CR","DB"))</f>
        <v>000034-DB</v>
      </c>
      <c r="AM35" s="46" t="str">
        <f>IF(A35="","",LEFT(IF(H35&lt;&gt;"",H35,G35)&amp;" | "&amp;G35&amp;" | "&amp;S35,60))</f>
        <v xml:space="preserve">Tubo PVC DN 50mm branco rígido para esgoto sanitário | Tubo </v>
      </c>
    </row>
    <row r="36" spans="1:39" ht="43.2" x14ac:dyDescent="0.3">
      <c r="A36" s="39">
        <v>35</v>
      </c>
      <c r="B36" s="39" t="s">
        <v>2</v>
      </c>
      <c r="C36" s="39" t="s">
        <v>74</v>
      </c>
      <c r="D36" s="39" t="s">
        <v>131</v>
      </c>
      <c r="E36" s="39" t="s">
        <v>131</v>
      </c>
      <c r="F36" s="39" t="s">
        <v>132</v>
      </c>
      <c r="G36" s="39" t="s">
        <v>158</v>
      </c>
      <c r="H36" s="40"/>
      <c r="I36" s="40"/>
      <c r="J36" s="40"/>
      <c r="K36" s="42">
        <v>46115</v>
      </c>
      <c r="L36" s="42"/>
      <c r="M36" s="44"/>
      <c r="N36" s="40"/>
      <c r="O36" s="40"/>
      <c r="P36" s="40"/>
      <c r="Q36" s="42">
        <f>IF(K36="","",K36)</f>
        <v>46115</v>
      </c>
      <c r="R36" s="39" t="s">
        <v>131</v>
      </c>
      <c r="S36" s="39" t="s">
        <v>134</v>
      </c>
      <c r="T36" s="39" t="s">
        <v>135</v>
      </c>
      <c r="U36" s="39"/>
      <c r="V36" s="39">
        <v>9</v>
      </c>
      <c r="W36" s="39" t="s">
        <v>129</v>
      </c>
      <c r="X36" s="41">
        <v>46104</v>
      </c>
      <c r="Y36" s="41">
        <v>46115</v>
      </c>
      <c r="Z36" s="43">
        <v>82.405120000000011</v>
      </c>
      <c r="AA36" s="45">
        <f>IF(M36&lt;&gt;"",M36,Z36)</f>
        <v>82.405120000000011</v>
      </c>
      <c r="AB36" s="46" t="str">
        <f>IF(L36&lt;&gt;"","Realizado","Previsto")</f>
        <v>Previsto</v>
      </c>
      <c r="AC36" s="47">
        <v>0.34</v>
      </c>
      <c r="AD36" s="43">
        <v>242.36799999999999</v>
      </c>
      <c r="AE36" s="39">
        <v>22.4</v>
      </c>
      <c r="AF36" s="39" t="s">
        <v>155</v>
      </c>
      <c r="AG36" s="43">
        <v>10.82</v>
      </c>
      <c r="AH36" s="39" t="s">
        <v>136</v>
      </c>
      <c r="AI36" s="39" t="s">
        <v>73</v>
      </c>
      <c r="AJ36" s="48">
        <f>IF(Q36&lt;&gt;"",Q36,IF(K36&lt;&gt;"",K36,""))</f>
        <v>46115</v>
      </c>
      <c r="AK36" s="46" t="str">
        <f>IF(K36&lt;&gt;"","Sim","")</f>
        <v>Sim</v>
      </c>
      <c r="AL36" s="46" t="str">
        <f>IF(A36="","",TEXT(A36,"000000")&amp;"-"&amp;IF(C36="Entrada","CR","DB"))</f>
        <v>000035-DB</v>
      </c>
      <c r="AM36" s="46" t="str">
        <f>IF(A36="","",LEFT(IF(H36&lt;&gt;"",H36,G36)&amp;" | "&amp;G36&amp;" | "&amp;S36,60))</f>
        <v xml:space="preserve">Tubo PVC DN 75mm branco rígido para esgoto sanitário | Tubo </v>
      </c>
    </row>
    <row r="37" spans="1:39" ht="43.2" x14ac:dyDescent="0.3">
      <c r="A37" s="39">
        <v>36</v>
      </c>
      <c r="B37" s="39" t="s">
        <v>2</v>
      </c>
      <c r="C37" s="39" t="s">
        <v>74</v>
      </c>
      <c r="D37" s="39" t="s">
        <v>82</v>
      </c>
      <c r="E37" s="39" t="s">
        <v>82</v>
      </c>
      <c r="F37" s="39" t="s">
        <v>90</v>
      </c>
      <c r="G37" s="39" t="s">
        <v>159</v>
      </c>
      <c r="H37" s="40"/>
      <c r="I37" s="40"/>
      <c r="J37" s="40"/>
      <c r="K37" s="42">
        <v>46115</v>
      </c>
      <c r="L37" s="42"/>
      <c r="M37" s="44"/>
      <c r="N37" s="40"/>
      <c r="O37" s="40"/>
      <c r="P37" s="40"/>
      <c r="Q37" s="42">
        <f>IF(K37="","",K37)</f>
        <v>46115</v>
      </c>
      <c r="R37" s="39" t="s">
        <v>82</v>
      </c>
      <c r="S37" s="39" t="s">
        <v>85</v>
      </c>
      <c r="T37" s="39" t="s">
        <v>92</v>
      </c>
      <c r="U37" s="39"/>
      <c r="V37" s="39">
        <v>264</v>
      </c>
      <c r="W37" s="39" t="s">
        <v>129</v>
      </c>
      <c r="X37" s="41">
        <v>46104</v>
      </c>
      <c r="Y37" s="41">
        <v>46115</v>
      </c>
      <c r="Z37" s="43">
        <v>7500</v>
      </c>
      <c r="AA37" s="45">
        <f>IF(M37&lt;&gt;"",M37,Z37)</f>
        <v>7500</v>
      </c>
      <c r="AB37" s="46" t="str">
        <f>IF(L37&lt;&gt;"","Realizado","Previsto")</f>
        <v>Previsto</v>
      </c>
      <c r="AC37" s="47">
        <v>0.25</v>
      </c>
      <c r="AD37" s="43">
        <v>30000</v>
      </c>
      <c r="AE37" s="39"/>
      <c r="AF37" s="39"/>
      <c r="AG37" s="43">
        <v>7500</v>
      </c>
      <c r="AH37" s="39" t="s">
        <v>93</v>
      </c>
      <c r="AI37" s="39" t="s">
        <v>73</v>
      </c>
      <c r="AJ37" s="48">
        <f>IF(Q37&lt;&gt;"",Q37,IF(K37&lt;&gt;"",K37,""))</f>
        <v>46115</v>
      </c>
      <c r="AK37" s="46" t="str">
        <f>IF(K37&lt;&gt;"","Sim","")</f>
        <v>Sim</v>
      </c>
      <c r="AL37" s="46" t="str">
        <f>IF(A37="","",TEXT(A37,"000000")&amp;"-"&amp;IF(C37="Entrada","CR","DB"))</f>
        <v>000036-DB</v>
      </c>
      <c r="AM37" s="46" t="str">
        <f>IF(A37="","",LEFT(IF(H37&lt;&gt;"",H37,G37)&amp;" | "&amp;G37&amp;" | "&amp;S37,60))</f>
        <v>ALMOXARIFADO | ALMOXARIFADO | Saída | GESTÃO LOCAL</v>
      </c>
    </row>
    <row r="38" spans="1:39" ht="43.2" x14ac:dyDescent="0.3">
      <c r="A38" s="39">
        <v>37</v>
      </c>
      <c r="B38" s="39" t="s">
        <v>2</v>
      </c>
      <c r="C38" s="39" t="s">
        <v>74</v>
      </c>
      <c r="D38" s="39" t="s">
        <v>82</v>
      </c>
      <c r="E38" s="39" t="s">
        <v>82</v>
      </c>
      <c r="F38" s="39" t="s">
        <v>90</v>
      </c>
      <c r="G38" s="39" t="s">
        <v>160</v>
      </c>
      <c r="H38" s="40"/>
      <c r="I38" s="40"/>
      <c r="J38" s="40"/>
      <c r="K38" s="42">
        <v>46115</v>
      </c>
      <c r="L38" s="42"/>
      <c r="M38" s="44"/>
      <c r="N38" s="40"/>
      <c r="O38" s="40"/>
      <c r="P38" s="40"/>
      <c r="Q38" s="42">
        <f>IF(K38="","",K38)</f>
        <v>46115</v>
      </c>
      <c r="R38" s="39" t="s">
        <v>82</v>
      </c>
      <c r="S38" s="39" t="s">
        <v>85</v>
      </c>
      <c r="T38" s="39" t="s">
        <v>92</v>
      </c>
      <c r="U38" s="39"/>
      <c r="V38" s="39">
        <v>265</v>
      </c>
      <c r="W38" s="39" t="s">
        <v>129</v>
      </c>
      <c r="X38" s="41">
        <v>46104</v>
      </c>
      <c r="Y38" s="41">
        <v>46115</v>
      </c>
      <c r="Z38" s="43">
        <v>3500</v>
      </c>
      <c r="AA38" s="45">
        <f>IF(M38&lt;&gt;"",M38,Z38)</f>
        <v>3500</v>
      </c>
      <c r="AB38" s="46" t="str">
        <f>IF(L38&lt;&gt;"","Realizado","Previsto")</f>
        <v>Previsto</v>
      </c>
      <c r="AC38" s="47">
        <v>0.25</v>
      </c>
      <c r="AD38" s="43">
        <v>14000</v>
      </c>
      <c r="AE38" s="39"/>
      <c r="AF38" s="39" t="s">
        <v>79</v>
      </c>
      <c r="AG38" s="43">
        <v>3500</v>
      </c>
      <c r="AH38" s="39" t="s">
        <v>93</v>
      </c>
      <c r="AI38" s="39" t="s">
        <v>73</v>
      </c>
      <c r="AJ38" s="48">
        <f>IF(Q38&lt;&gt;"",Q38,IF(K38&lt;&gt;"",K38,""))</f>
        <v>46115</v>
      </c>
      <c r="AK38" s="46" t="str">
        <f>IF(K38&lt;&gt;"","Sim","")</f>
        <v>Sim</v>
      </c>
      <c r="AL38" s="46" t="str">
        <f>IF(A38="","",TEXT(A38,"000000")&amp;"-"&amp;IF(C38="Entrada","CR","DB"))</f>
        <v>000037-DB</v>
      </c>
      <c r="AM38" s="46" t="str">
        <f>IF(A38="","",LEFT(IF(H38&lt;&gt;"",H38,G38)&amp;" | "&amp;G38&amp;" | "&amp;S38,60))</f>
        <v xml:space="preserve">Alojamento Arbnb (mestre, engenheiro. Tecnico) | Alojamento </v>
      </c>
    </row>
    <row r="39" spans="1:39" ht="43.2" x14ac:dyDescent="0.3">
      <c r="A39" s="39">
        <v>38</v>
      </c>
      <c r="B39" s="39" t="s">
        <v>2</v>
      </c>
      <c r="C39" s="39" t="s">
        <v>74</v>
      </c>
      <c r="D39" s="39" t="s">
        <v>82</v>
      </c>
      <c r="E39" s="39" t="s">
        <v>82</v>
      </c>
      <c r="F39" s="39" t="s">
        <v>94</v>
      </c>
      <c r="G39" s="39" t="s">
        <v>161</v>
      </c>
      <c r="H39" s="40"/>
      <c r="I39" s="40"/>
      <c r="J39" s="40"/>
      <c r="K39" s="42">
        <v>46115</v>
      </c>
      <c r="L39" s="42"/>
      <c r="M39" s="44"/>
      <c r="N39" s="40"/>
      <c r="O39" s="40"/>
      <c r="P39" s="40"/>
      <c r="Q39" s="42">
        <f>IF(K39="","",K39)</f>
        <v>46115</v>
      </c>
      <c r="R39" s="39" t="s">
        <v>82</v>
      </c>
      <c r="S39" s="39" t="s">
        <v>85</v>
      </c>
      <c r="T39" s="39" t="s">
        <v>96</v>
      </c>
      <c r="U39" s="39"/>
      <c r="V39" s="39">
        <v>252</v>
      </c>
      <c r="W39" s="39" t="s">
        <v>129</v>
      </c>
      <c r="X39" s="41">
        <v>46104</v>
      </c>
      <c r="Y39" s="41">
        <v>46115</v>
      </c>
      <c r="Z39" s="43">
        <v>1140</v>
      </c>
      <c r="AA39" s="45">
        <f>IF(M39&lt;&gt;"",M39,Z39)</f>
        <v>1140</v>
      </c>
      <c r="AB39" s="46" t="str">
        <f>IF(L39&lt;&gt;"","Realizado","Previsto")</f>
        <v>Previsto</v>
      </c>
      <c r="AC39" s="47">
        <v>0.25</v>
      </c>
      <c r="AD39" s="43">
        <v>4560</v>
      </c>
      <c r="AE39" s="39"/>
      <c r="AF39" s="39" t="s">
        <v>79</v>
      </c>
      <c r="AG39" s="43">
        <v>1140</v>
      </c>
      <c r="AH39" s="39" t="s">
        <v>97</v>
      </c>
      <c r="AI39" s="39" t="s">
        <v>73</v>
      </c>
      <c r="AJ39" s="48">
        <f>IF(Q39&lt;&gt;"",Q39,IF(K39&lt;&gt;"",K39,""))</f>
        <v>46115</v>
      </c>
      <c r="AK39" s="46" t="str">
        <f>IF(K39&lt;&gt;"","Sim","")</f>
        <v>Sim</v>
      </c>
      <c r="AL39" s="46" t="str">
        <f>IF(A39="","",TEXT(A39,"000000")&amp;"-"&amp;IF(C39="Entrada","CR","DB"))</f>
        <v>000038-DB</v>
      </c>
      <c r="AM39" s="46" t="str">
        <f>IF(A39="","",LEFT(IF(H39&lt;&gt;"",H39,G39)&amp;" | "&amp;G39&amp;" | "&amp;S39,60))</f>
        <v>Aluguel container Banheiro | Aluguel container Banheiro | Sa</v>
      </c>
    </row>
    <row r="40" spans="1:39" ht="43.2" x14ac:dyDescent="0.3">
      <c r="A40" s="39">
        <v>39</v>
      </c>
      <c r="B40" s="39" t="s">
        <v>2</v>
      </c>
      <c r="C40" s="39" t="s">
        <v>74</v>
      </c>
      <c r="D40" s="39" t="s">
        <v>82</v>
      </c>
      <c r="E40" s="39" t="s">
        <v>82</v>
      </c>
      <c r="F40" s="39" t="s">
        <v>94</v>
      </c>
      <c r="G40" s="39" t="s">
        <v>162</v>
      </c>
      <c r="H40" s="40"/>
      <c r="I40" s="40"/>
      <c r="J40" s="40"/>
      <c r="K40" s="42">
        <v>46115</v>
      </c>
      <c r="L40" s="42"/>
      <c r="M40" s="44"/>
      <c r="N40" s="40"/>
      <c r="O40" s="40"/>
      <c r="P40" s="40"/>
      <c r="Q40" s="42">
        <f>IF(K40="","",K40)</f>
        <v>46115</v>
      </c>
      <c r="R40" s="39" t="s">
        <v>82</v>
      </c>
      <c r="S40" s="39" t="s">
        <v>85</v>
      </c>
      <c r="T40" s="39" t="s">
        <v>96</v>
      </c>
      <c r="U40" s="39"/>
      <c r="V40" s="39">
        <v>254</v>
      </c>
      <c r="W40" s="39" t="s">
        <v>129</v>
      </c>
      <c r="X40" s="41">
        <v>46104</v>
      </c>
      <c r="Y40" s="41">
        <v>46115</v>
      </c>
      <c r="Z40" s="43">
        <v>400</v>
      </c>
      <c r="AA40" s="45">
        <f>IF(M40&lt;&gt;"",M40,Z40)</f>
        <v>400</v>
      </c>
      <c r="AB40" s="46" t="str">
        <f>IF(L40&lt;&gt;"","Realizado","Previsto")</f>
        <v>Previsto</v>
      </c>
      <c r="AC40" s="47">
        <v>0.25</v>
      </c>
      <c r="AD40" s="43">
        <v>1600</v>
      </c>
      <c r="AE40" s="39"/>
      <c r="AF40" s="39" t="s">
        <v>79</v>
      </c>
      <c r="AG40" s="43">
        <v>400</v>
      </c>
      <c r="AH40" s="39" t="s">
        <v>97</v>
      </c>
      <c r="AI40" s="39" t="s">
        <v>73</v>
      </c>
      <c r="AJ40" s="48">
        <f>IF(Q40&lt;&gt;"",Q40,IF(K40&lt;&gt;"",K40,""))</f>
        <v>46115</v>
      </c>
      <c r="AK40" s="46" t="str">
        <f>IF(K40&lt;&gt;"","Sim","")</f>
        <v>Sim</v>
      </c>
      <c r="AL40" s="46" t="str">
        <f>IF(A40="","",TEXT(A40,"000000")&amp;"-"&amp;IF(C40="Entrada","CR","DB"))</f>
        <v>000039-DB</v>
      </c>
      <c r="AM40" s="46" t="str">
        <f>IF(A40="","",LEFT(IF(H40&lt;&gt;"",H40,G40)&amp;" | "&amp;G40&amp;" | "&amp;S40,60))</f>
        <v>Aluguel container almoxarifado | Aluguel container almoxarif</v>
      </c>
    </row>
    <row r="41" spans="1:39" ht="43.2" x14ac:dyDescent="0.3">
      <c r="A41" s="39">
        <v>40</v>
      </c>
      <c r="B41" s="39" t="s">
        <v>2</v>
      </c>
      <c r="C41" s="39" t="s">
        <v>74</v>
      </c>
      <c r="D41" s="39" t="s">
        <v>82</v>
      </c>
      <c r="E41" s="39" t="s">
        <v>82</v>
      </c>
      <c r="F41" s="39" t="s">
        <v>94</v>
      </c>
      <c r="G41" s="39" t="s">
        <v>163</v>
      </c>
      <c r="H41" s="40"/>
      <c r="I41" s="40"/>
      <c r="J41" s="40"/>
      <c r="K41" s="42">
        <v>46115</v>
      </c>
      <c r="L41" s="42"/>
      <c r="M41" s="44"/>
      <c r="N41" s="40"/>
      <c r="O41" s="40"/>
      <c r="P41" s="40"/>
      <c r="Q41" s="42">
        <f>IF(K41="","",K41)</f>
        <v>46115</v>
      </c>
      <c r="R41" s="39" t="s">
        <v>82</v>
      </c>
      <c r="S41" s="39" t="s">
        <v>85</v>
      </c>
      <c r="T41" s="39" t="s">
        <v>96</v>
      </c>
      <c r="U41" s="39"/>
      <c r="V41" s="39">
        <v>255</v>
      </c>
      <c r="W41" s="39" t="s">
        <v>129</v>
      </c>
      <c r="X41" s="41">
        <v>46104</v>
      </c>
      <c r="Y41" s="41">
        <v>46115</v>
      </c>
      <c r="Z41" s="43">
        <v>900</v>
      </c>
      <c r="AA41" s="45">
        <f>IF(M41&lt;&gt;"",M41,Z41)</f>
        <v>900</v>
      </c>
      <c r="AB41" s="46" t="str">
        <f>IF(L41&lt;&gt;"","Realizado","Previsto")</f>
        <v>Previsto</v>
      </c>
      <c r="AC41" s="47">
        <v>0.25</v>
      </c>
      <c r="AD41" s="43">
        <v>3600</v>
      </c>
      <c r="AE41" s="39"/>
      <c r="AF41" s="39" t="s">
        <v>79</v>
      </c>
      <c r="AG41" s="43">
        <v>900</v>
      </c>
      <c r="AH41" s="39" t="s">
        <v>97</v>
      </c>
      <c r="AI41" s="39" t="s">
        <v>73</v>
      </c>
      <c r="AJ41" s="48">
        <f>IF(Q41&lt;&gt;"",Q41,IF(K41&lt;&gt;"",K41,""))</f>
        <v>46115</v>
      </c>
      <c r="AK41" s="46" t="str">
        <f>IF(K41&lt;&gt;"","Sim","")</f>
        <v>Sim</v>
      </c>
      <c r="AL41" s="46" t="str">
        <f>IF(A41="","",TEXT(A41,"000000")&amp;"-"&amp;IF(C41="Entrada","CR","DB"))</f>
        <v>000040-DB</v>
      </c>
      <c r="AM41" s="46" t="str">
        <f>IF(A41="","",LEFT(IF(H41&lt;&gt;"",H41,G41)&amp;" | "&amp;G41&amp;" | "&amp;S41,60))</f>
        <v xml:space="preserve">Aluguel container escritorio | Aluguel container escritorio </v>
      </c>
    </row>
    <row r="42" spans="1:39" ht="43.2" x14ac:dyDescent="0.3">
      <c r="A42" s="39">
        <v>41</v>
      </c>
      <c r="B42" s="39" t="s">
        <v>2</v>
      </c>
      <c r="C42" s="39" t="s">
        <v>74</v>
      </c>
      <c r="D42" s="39" t="s">
        <v>82</v>
      </c>
      <c r="E42" s="39" t="s">
        <v>82</v>
      </c>
      <c r="F42" s="39" t="s">
        <v>90</v>
      </c>
      <c r="G42" s="39" t="s">
        <v>164</v>
      </c>
      <c r="H42" s="40"/>
      <c r="I42" s="40"/>
      <c r="J42" s="40"/>
      <c r="K42" s="42">
        <v>46115</v>
      </c>
      <c r="L42" s="42"/>
      <c r="M42" s="44"/>
      <c r="N42" s="40"/>
      <c r="O42" s="40"/>
      <c r="P42" s="40"/>
      <c r="Q42" s="42">
        <f>IF(K42="","",K42)</f>
        <v>46115</v>
      </c>
      <c r="R42" s="39" t="s">
        <v>82</v>
      </c>
      <c r="S42" s="39" t="s">
        <v>85</v>
      </c>
      <c r="T42" s="39" t="s">
        <v>92</v>
      </c>
      <c r="U42" s="39" t="s">
        <v>165</v>
      </c>
      <c r="V42" s="39">
        <v>262</v>
      </c>
      <c r="W42" s="39" t="s">
        <v>129</v>
      </c>
      <c r="X42" s="41">
        <v>46104</v>
      </c>
      <c r="Y42" s="41">
        <v>46115</v>
      </c>
      <c r="Z42" s="43">
        <v>3000</v>
      </c>
      <c r="AA42" s="45">
        <f>IF(M42&lt;&gt;"",M42,Z42)</f>
        <v>3000</v>
      </c>
      <c r="AB42" s="46" t="str">
        <f>IF(L42&lt;&gt;"","Realizado","Previsto")</f>
        <v>Previsto</v>
      </c>
      <c r="AC42" s="47">
        <v>0.25</v>
      </c>
      <c r="AD42" s="43">
        <v>12000</v>
      </c>
      <c r="AE42" s="39"/>
      <c r="AF42" s="39" t="s">
        <v>79</v>
      </c>
      <c r="AG42" s="43">
        <v>3000</v>
      </c>
      <c r="AH42" s="39" t="s">
        <v>93</v>
      </c>
      <c r="AI42" s="39" t="s">
        <v>73</v>
      </c>
      <c r="AJ42" s="48">
        <f>IF(Q42&lt;&gt;"",Q42,IF(K42&lt;&gt;"",K42,""))</f>
        <v>46115</v>
      </c>
      <c r="AK42" s="46" t="str">
        <f>IF(K42&lt;&gt;"","Sim","")</f>
        <v>Sim</v>
      </c>
      <c r="AL42" s="46" t="str">
        <f>IF(A42="","",TEXT(A42,"000000")&amp;"-"&amp;IF(C42="Entrada","CR","DB"))</f>
        <v>000041-DB</v>
      </c>
      <c r="AM42" s="46" t="str">
        <f>IF(A42="","",LEFT(IF(H42&lt;&gt;"",H42,G42)&amp;" | "&amp;G42&amp;" | "&amp;S42,60))</f>
        <v>COMPRADOR | COMPRADOR | Saída | GESTÃO LOCAL</v>
      </c>
    </row>
    <row r="43" spans="1:39" ht="43.2" x14ac:dyDescent="0.3">
      <c r="A43" s="39">
        <v>42</v>
      </c>
      <c r="B43" s="39" t="s">
        <v>2</v>
      </c>
      <c r="C43" s="39" t="s">
        <v>74</v>
      </c>
      <c r="D43" s="39" t="s">
        <v>82</v>
      </c>
      <c r="E43" s="39" t="s">
        <v>82</v>
      </c>
      <c r="F43" s="39" t="s">
        <v>90</v>
      </c>
      <c r="G43" s="39" t="s">
        <v>166</v>
      </c>
      <c r="H43" s="40"/>
      <c r="I43" s="40"/>
      <c r="J43" s="40"/>
      <c r="K43" s="42">
        <v>46115</v>
      </c>
      <c r="L43" s="42"/>
      <c r="M43" s="44"/>
      <c r="N43" s="40"/>
      <c r="O43" s="40"/>
      <c r="P43" s="40"/>
      <c r="Q43" s="42">
        <f>IF(K43="","",K43)</f>
        <v>46115</v>
      </c>
      <c r="R43" s="39" t="s">
        <v>82</v>
      </c>
      <c r="S43" s="39" t="s">
        <v>85</v>
      </c>
      <c r="T43" s="39" t="s">
        <v>92</v>
      </c>
      <c r="U43" s="39"/>
      <c r="V43" s="39">
        <v>259</v>
      </c>
      <c r="W43" s="39" t="s">
        <v>129</v>
      </c>
      <c r="X43" s="41">
        <v>46104</v>
      </c>
      <c r="Y43" s="41">
        <v>46115</v>
      </c>
      <c r="Z43" s="43">
        <v>10000</v>
      </c>
      <c r="AA43" s="45">
        <f>IF(M43&lt;&gt;"",M43,Z43)</f>
        <v>10000</v>
      </c>
      <c r="AB43" s="46" t="str">
        <f>IF(L43&lt;&gt;"","Realizado","Previsto")</f>
        <v>Previsto</v>
      </c>
      <c r="AC43" s="47">
        <v>0.25</v>
      </c>
      <c r="AD43" s="43">
        <v>40000</v>
      </c>
      <c r="AE43" s="39"/>
      <c r="AF43" s="39" t="s">
        <v>79</v>
      </c>
      <c r="AG43" s="43">
        <v>10000</v>
      </c>
      <c r="AH43" s="39" t="s">
        <v>93</v>
      </c>
      <c r="AI43" s="39" t="s">
        <v>73</v>
      </c>
      <c r="AJ43" s="48">
        <f>IF(Q43&lt;&gt;"",Q43,IF(K43&lt;&gt;"",K43,""))</f>
        <v>46115</v>
      </c>
      <c r="AK43" s="46" t="str">
        <f>IF(K43&lt;&gt;"","Sim","")</f>
        <v>Sim</v>
      </c>
      <c r="AL43" s="46" t="str">
        <f>IF(A43="","",TEXT(A43,"000000")&amp;"-"&amp;IF(C43="Entrada","CR","DB"))</f>
        <v>000042-DB</v>
      </c>
      <c r="AM43" s="46" t="str">
        <f>IF(A43="","",LEFT(IF(H43&lt;&gt;"",H43,G43)&amp;" | "&amp;G43&amp;" | "&amp;S43,60))</f>
        <v>ENGENHEIRO RESIDENTE - ( rateado em 3 canteiros) carro inclu</v>
      </c>
    </row>
    <row r="44" spans="1:39" ht="43.2" x14ac:dyDescent="0.3">
      <c r="A44" s="39">
        <v>43</v>
      </c>
      <c r="B44" s="39" t="s">
        <v>2</v>
      </c>
      <c r="C44" s="39" t="s">
        <v>74</v>
      </c>
      <c r="D44" s="39" t="s">
        <v>107</v>
      </c>
      <c r="E44" s="39" t="s">
        <v>108</v>
      </c>
      <c r="F44" s="39" t="s">
        <v>167</v>
      </c>
      <c r="G44" s="39" t="s">
        <v>168</v>
      </c>
      <c r="H44" s="40"/>
      <c r="I44" s="40"/>
      <c r="J44" s="40"/>
      <c r="K44" s="42">
        <v>46115</v>
      </c>
      <c r="L44" s="42"/>
      <c r="M44" s="44"/>
      <c r="N44" s="40"/>
      <c r="O44" s="40"/>
      <c r="P44" s="40"/>
      <c r="Q44" s="42">
        <f>IF(K44="","",K44)</f>
        <v>46115</v>
      </c>
      <c r="R44" s="39" t="s">
        <v>107</v>
      </c>
      <c r="S44" s="39" t="s">
        <v>111</v>
      </c>
      <c r="T44" s="39" t="s">
        <v>169</v>
      </c>
      <c r="U44" s="39"/>
      <c r="V44" s="39">
        <v>36</v>
      </c>
      <c r="W44" s="39" t="s">
        <v>129</v>
      </c>
      <c r="X44" s="41">
        <v>46104</v>
      </c>
      <c r="Y44" s="41">
        <v>46115</v>
      </c>
      <c r="Z44" s="43">
        <v>192</v>
      </c>
      <c r="AA44" s="45">
        <f>IF(M44&lt;&gt;"",M44,Z44)</f>
        <v>192</v>
      </c>
      <c r="AB44" s="46" t="str">
        <f>IF(L44&lt;&gt;"","Realizado","Previsto")</f>
        <v>Previsto</v>
      </c>
      <c r="AC44" s="47">
        <v>0.5</v>
      </c>
      <c r="AD44" s="43">
        <v>384</v>
      </c>
      <c r="AE44" s="39">
        <v>32</v>
      </c>
      <c r="AF44" s="39" t="s">
        <v>149</v>
      </c>
      <c r="AG44" s="43">
        <v>12</v>
      </c>
      <c r="AH44" s="39" t="s">
        <v>170</v>
      </c>
      <c r="AI44" s="39" t="s">
        <v>73</v>
      </c>
      <c r="AJ44" s="48">
        <f>IF(Q44&lt;&gt;"",Q44,IF(K44&lt;&gt;"",K44,""))</f>
        <v>46115</v>
      </c>
      <c r="AK44" s="46" t="str">
        <f>IF(K44&lt;&gt;"","Sim","")</f>
        <v>Sim</v>
      </c>
      <c r="AL44" s="46" t="str">
        <f>IF(A44="","",TEXT(A44,"000000")&amp;"-"&amp;IF(C44="Entrada","CR","DB"))</f>
        <v>000043-DB</v>
      </c>
      <c r="AM44" s="46" t="str">
        <f>IF(A44="","",LEFT(IF(H44&lt;&gt;"",H44,G44)&amp;" | "&amp;G44&amp;" | "&amp;S44,60))</f>
        <v>Arame Recozido bwg 18 | Arame Recozido bwg 18 | Saída | RADI</v>
      </c>
    </row>
    <row r="45" spans="1:39" ht="43.2" x14ac:dyDescent="0.3">
      <c r="A45" s="39">
        <v>44</v>
      </c>
      <c r="B45" s="39" t="s">
        <v>2</v>
      </c>
      <c r="C45" s="39" t="s">
        <v>74</v>
      </c>
      <c r="D45" s="39" t="s">
        <v>107</v>
      </c>
      <c r="E45" s="39" t="s">
        <v>108</v>
      </c>
      <c r="F45" s="39" t="s">
        <v>167</v>
      </c>
      <c r="G45" s="39" t="s">
        <v>171</v>
      </c>
      <c r="H45" s="40"/>
      <c r="I45" s="40"/>
      <c r="J45" s="40"/>
      <c r="K45" s="42">
        <v>46115</v>
      </c>
      <c r="L45" s="42"/>
      <c r="M45" s="44"/>
      <c r="N45" s="40"/>
      <c r="O45" s="40"/>
      <c r="P45" s="40"/>
      <c r="Q45" s="42">
        <f>IF(K45="","",K45)</f>
        <v>46115</v>
      </c>
      <c r="R45" s="39" t="s">
        <v>107</v>
      </c>
      <c r="S45" s="39" t="s">
        <v>111</v>
      </c>
      <c r="T45" s="39" t="s">
        <v>169</v>
      </c>
      <c r="U45" s="39"/>
      <c r="V45" s="39">
        <v>34</v>
      </c>
      <c r="W45" s="39" t="s">
        <v>129</v>
      </c>
      <c r="X45" s="41">
        <v>46104</v>
      </c>
      <c r="Y45" s="41">
        <v>46115</v>
      </c>
      <c r="Z45" s="43">
        <v>40821.760000000002</v>
      </c>
      <c r="AA45" s="45">
        <f>IF(M45&lt;&gt;"",M45,Z45)</f>
        <v>40821.760000000002</v>
      </c>
      <c r="AB45" s="46" t="str">
        <f>IF(L45&lt;&gt;"","Realizado","Previsto")</f>
        <v>Previsto</v>
      </c>
      <c r="AC45" s="47">
        <v>0.34</v>
      </c>
      <c r="AD45" s="43">
        <v>120064</v>
      </c>
      <c r="AE45" s="39">
        <v>512</v>
      </c>
      <c r="AF45" s="39" t="s">
        <v>172</v>
      </c>
      <c r="AG45" s="43">
        <v>234.5</v>
      </c>
      <c r="AH45" s="39" t="s">
        <v>170</v>
      </c>
      <c r="AI45" s="39" t="s">
        <v>73</v>
      </c>
      <c r="AJ45" s="48">
        <f>IF(Q45&lt;&gt;"",Q45,IF(K45&lt;&gt;"",K45,""))</f>
        <v>46115</v>
      </c>
      <c r="AK45" s="46" t="str">
        <f>IF(K45&lt;&gt;"","Sim","")</f>
        <v>Sim</v>
      </c>
      <c r="AL45" s="46" t="str">
        <f>IF(A45="","",TEXT(A45,"000000")&amp;"-"&amp;IF(C45="Entrada","CR","DB"))</f>
        <v>000044-DB</v>
      </c>
      <c r="AM45" s="46" t="str">
        <f>IF(A45="","",LEFT(IF(H45&lt;&gt;"",H45,G45)&amp;" | "&amp;G45&amp;" | "&amp;S45,60))</f>
        <v xml:space="preserve">Aço - Tela Q-138 - 5.0 c/10 -  (245 x 600 cm) (frete de 300 </v>
      </c>
    </row>
    <row r="46" spans="1:39" ht="43.2" x14ac:dyDescent="0.3">
      <c r="A46" s="39">
        <v>45</v>
      </c>
      <c r="B46" s="39" t="s">
        <v>2</v>
      </c>
      <c r="C46" s="39" t="s">
        <v>74</v>
      </c>
      <c r="D46" s="39" t="s">
        <v>107</v>
      </c>
      <c r="E46" s="39" t="s">
        <v>108</v>
      </c>
      <c r="F46" s="39" t="s">
        <v>173</v>
      </c>
      <c r="G46" s="39" t="s">
        <v>174</v>
      </c>
      <c r="H46" s="40"/>
      <c r="I46" s="40"/>
      <c r="J46" s="40"/>
      <c r="K46" s="42">
        <v>46115</v>
      </c>
      <c r="L46" s="42"/>
      <c r="M46" s="44"/>
      <c r="N46" s="40"/>
      <c r="O46" s="40"/>
      <c r="P46" s="40"/>
      <c r="Q46" s="42">
        <f>IF(K46="","",K46)</f>
        <v>46115</v>
      </c>
      <c r="R46" s="39" t="s">
        <v>107</v>
      </c>
      <c r="S46" s="39" t="s">
        <v>111</v>
      </c>
      <c r="T46" s="39" t="s">
        <v>175</v>
      </c>
      <c r="U46" s="39" t="s">
        <v>176</v>
      </c>
      <c r="V46" s="39">
        <v>30</v>
      </c>
      <c r="W46" s="39" t="s">
        <v>129</v>
      </c>
      <c r="X46" s="41">
        <v>46104</v>
      </c>
      <c r="Y46" s="41">
        <v>46115</v>
      </c>
      <c r="Z46" s="43">
        <v>4400</v>
      </c>
      <c r="AA46" s="45">
        <f>IF(M46&lt;&gt;"",M46,Z46)</f>
        <v>4400</v>
      </c>
      <c r="AB46" s="46" t="str">
        <f>IF(L46&lt;&gt;"","Realizado","Previsto")</f>
        <v>Previsto</v>
      </c>
      <c r="AC46" s="47">
        <v>0.25</v>
      </c>
      <c r="AD46" s="43">
        <v>17600</v>
      </c>
      <c r="AE46" s="39">
        <v>8</v>
      </c>
      <c r="AF46" s="39" t="s">
        <v>113</v>
      </c>
      <c r="AG46" s="43">
        <v>2200</v>
      </c>
      <c r="AH46" s="39" t="s">
        <v>177</v>
      </c>
      <c r="AI46" s="39" t="s">
        <v>73</v>
      </c>
      <c r="AJ46" s="48">
        <f>IF(Q46&lt;&gt;"",Q46,IF(K46&lt;&gt;"",K46,""))</f>
        <v>46115</v>
      </c>
      <c r="AK46" s="46" t="str">
        <f>IF(K46&lt;&gt;"","Sim","")</f>
        <v>Sim</v>
      </c>
      <c r="AL46" s="46" t="str">
        <f>IF(A46="","",TEXT(A46,"000000")&amp;"-"&amp;IF(C46="Entrada","CR","DB"))</f>
        <v>000045-DB</v>
      </c>
      <c r="AM46" s="46" t="str">
        <f>IF(A46="","",LEFT(IF(H46&lt;&gt;"",H46,G46)&amp;" | "&amp;G46&amp;" | "&amp;S46,60))</f>
        <v>Bomba de concreto  ( Taxa divide 1 casa e 1 radier ) | Bomba</v>
      </c>
    </row>
    <row r="47" spans="1:39" ht="43.2" x14ac:dyDescent="0.3">
      <c r="A47" s="39">
        <v>46</v>
      </c>
      <c r="B47" s="39" t="s">
        <v>2</v>
      </c>
      <c r="C47" s="39" t="s">
        <v>74</v>
      </c>
      <c r="D47" s="39" t="s">
        <v>107</v>
      </c>
      <c r="E47" s="39" t="s">
        <v>108</v>
      </c>
      <c r="F47" s="39" t="s">
        <v>178</v>
      </c>
      <c r="G47" s="39" t="s">
        <v>179</v>
      </c>
      <c r="H47" s="40"/>
      <c r="I47" s="40"/>
      <c r="J47" s="40"/>
      <c r="K47" s="42">
        <v>46115</v>
      </c>
      <c r="L47" s="42"/>
      <c r="M47" s="44"/>
      <c r="N47" s="40"/>
      <c r="O47" s="40"/>
      <c r="P47" s="40"/>
      <c r="Q47" s="42">
        <f>IF(K47="","",K47)</f>
        <v>46115</v>
      </c>
      <c r="R47" s="39" t="s">
        <v>107</v>
      </c>
      <c r="S47" s="39" t="s">
        <v>111</v>
      </c>
      <c r="T47" s="39" t="s">
        <v>180</v>
      </c>
      <c r="U47" s="39" t="s">
        <v>181</v>
      </c>
      <c r="V47" s="39">
        <v>31</v>
      </c>
      <c r="W47" s="39" t="s">
        <v>129</v>
      </c>
      <c r="X47" s="41">
        <v>46104</v>
      </c>
      <c r="Y47" s="41">
        <v>46115</v>
      </c>
      <c r="Z47" s="43">
        <v>16921.486400000002</v>
      </c>
      <c r="AA47" s="45">
        <f>IF(M47&lt;&gt;"",M47,Z47)</f>
        <v>16921.486400000002</v>
      </c>
      <c r="AB47" s="46" t="str">
        <f>IF(L47&lt;&gt;"","Realizado","Previsto")</f>
        <v>Previsto</v>
      </c>
      <c r="AC47" s="47">
        <v>0.5</v>
      </c>
      <c r="AD47" s="43">
        <v>33842.972800000003</v>
      </c>
      <c r="AE47" s="39">
        <v>371.9008</v>
      </c>
      <c r="AF47" s="39" t="s">
        <v>182</v>
      </c>
      <c r="AG47" s="43">
        <v>91</v>
      </c>
      <c r="AH47" s="39" t="s">
        <v>183</v>
      </c>
      <c r="AI47" s="39" t="s">
        <v>73</v>
      </c>
      <c r="AJ47" s="48">
        <f>IF(Q47&lt;&gt;"",Q47,IF(K47&lt;&gt;"",K47,""))</f>
        <v>46115</v>
      </c>
      <c r="AK47" s="46" t="str">
        <f>IF(K47&lt;&gt;"","Sim","")</f>
        <v>Sim</v>
      </c>
      <c r="AL47" s="46" t="str">
        <f>IF(A47="","",TEXT(A47,"000000")&amp;"-"&amp;IF(C47="Entrada","CR","DB"))</f>
        <v>000046-DB</v>
      </c>
      <c r="AM47" s="46" t="str">
        <f>IF(A47="","",LEFT(IF(H47&lt;&gt;"",H47,G47)&amp;" | "&amp;G47&amp;" | "&amp;S47,60))</f>
        <v>Brita graduada (lastro para nivelamento) - 10 cm esp.; 15% p</v>
      </c>
    </row>
    <row r="48" spans="1:39" ht="43.2" x14ac:dyDescent="0.3">
      <c r="A48" s="39">
        <v>47</v>
      </c>
      <c r="B48" s="39" t="s">
        <v>2</v>
      </c>
      <c r="C48" s="39" t="s">
        <v>74</v>
      </c>
      <c r="D48" s="39" t="s">
        <v>107</v>
      </c>
      <c r="E48" s="39" t="s">
        <v>108</v>
      </c>
      <c r="F48" s="39" t="s">
        <v>184</v>
      </c>
      <c r="G48" s="39" t="s">
        <v>185</v>
      </c>
      <c r="H48" s="40"/>
      <c r="I48" s="40"/>
      <c r="J48" s="40"/>
      <c r="K48" s="42">
        <v>46115</v>
      </c>
      <c r="L48" s="42"/>
      <c r="M48" s="44"/>
      <c r="N48" s="40"/>
      <c r="O48" s="40"/>
      <c r="P48" s="40"/>
      <c r="Q48" s="42">
        <f>IF(K48="","",K48)</f>
        <v>46115</v>
      </c>
      <c r="R48" s="39" t="s">
        <v>107</v>
      </c>
      <c r="S48" s="39" t="s">
        <v>111</v>
      </c>
      <c r="T48" s="39" t="s">
        <v>186</v>
      </c>
      <c r="U48" s="39"/>
      <c r="V48" s="39">
        <v>37</v>
      </c>
      <c r="W48" s="39" t="s">
        <v>129</v>
      </c>
      <c r="X48" s="41">
        <v>46104</v>
      </c>
      <c r="Y48" s="41">
        <v>46115</v>
      </c>
      <c r="Z48" s="43">
        <v>261.33333333333331</v>
      </c>
      <c r="AA48" s="45">
        <f>IF(M48&lt;&gt;"",M48,Z48)</f>
        <v>261.33333333333331</v>
      </c>
      <c r="AB48" s="46" t="str">
        <f>IF(L48&lt;&gt;"","Realizado","Previsto")</f>
        <v>Previsto</v>
      </c>
      <c r="AC48" s="47">
        <v>0.5</v>
      </c>
      <c r="AD48" s="43">
        <v>522.66666666666663</v>
      </c>
      <c r="AE48" s="39">
        <v>10.66666666666667</v>
      </c>
      <c r="AF48" s="39" t="s">
        <v>149</v>
      </c>
      <c r="AG48" s="43">
        <v>49</v>
      </c>
      <c r="AH48" s="39" t="s">
        <v>187</v>
      </c>
      <c r="AI48" s="39" t="s">
        <v>73</v>
      </c>
      <c r="AJ48" s="48">
        <f>IF(Q48&lt;&gt;"",Q48,IF(K48&lt;&gt;"",K48,""))</f>
        <v>46115</v>
      </c>
      <c r="AK48" s="46" t="str">
        <f>IF(K48&lt;&gt;"","Sim","")</f>
        <v>Sim</v>
      </c>
      <c r="AL48" s="46" t="str">
        <f>IF(A48="","",TEXT(A48,"000000")&amp;"-"&amp;IF(C48="Entrada","CR","DB"))</f>
        <v>000047-DB</v>
      </c>
      <c r="AM48" s="46" t="str">
        <f>IF(A48="","",LEFT(IF(H48&lt;&gt;"",H48,G48)&amp;" | "&amp;G48&amp;" | "&amp;S48,60))</f>
        <v>Cimento PortlanD CP IV 32 para limpeza da bomba | Cimento Po</v>
      </c>
    </row>
    <row r="49" spans="1:39" ht="43.2" x14ac:dyDescent="0.3">
      <c r="A49" s="39">
        <v>48</v>
      </c>
      <c r="B49" s="39" t="s">
        <v>2</v>
      </c>
      <c r="C49" s="39" t="s">
        <v>74</v>
      </c>
      <c r="D49" s="39" t="s">
        <v>107</v>
      </c>
      <c r="E49" s="39" t="s">
        <v>108</v>
      </c>
      <c r="F49" s="39" t="s">
        <v>173</v>
      </c>
      <c r="G49" s="39" t="s">
        <v>188</v>
      </c>
      <c r="H49" s="40"/>
      <c r="I49" s="40"/>
      <c r="J49" s="40"/>
      <c r="K49" s="42">
        <v>46115</v>
      </c>
      <c r="L49" s="42"/>
      <c r="M49" s="44"/>
      <c r="N49" s="40"/>
      <c r="O49" s="40"/>
      <c r="P49" s="40"/>
      <c r="Q49" s="42">
        <f>IF(K49="","",K49)</f>
        <v>46115</v>
      </c>
      <c r="R49" s="39" t="s">
        <v>107</v>
      </c>
      <c r="S49" s="39" t="s">
        <v>111</v>
      </c>
      <c r="T49" s="39" t="s">
        <v>175</v>
      </c>
      <c r="U49" s="39" t="s">
        <v>189</v>
      </c>
      <c r="V49" s="39">
        <v>29</v>
      </c>
      <c r="W49" s="39" t="s">
        <v>129</v>
      </c>
      <c r="X49" s="41">
        <v>46104</v>
      </c>
      <c r="Y49" s="41">
        <v>46115</v>
      </c>
      <c r="Z49" s="43">
        <v>79635.199999999997</v>
      </c>
      <c r="AA49" s="45">
        <f>IF(M49&lt;&gt;"",M49,Z49)</f>
        <v>79635.199999999997</v>
      </c>
      <c r="AB49" s="46" t="str">
        <f>IF(L49&lt;&gt;"","Realizado","Previsto")</f>
        <v>Previsto</v>
      </c>
      <c r="AC49" s="47">
        <v>0.25</v>
      </c>
      <c r="AD49" s="43">
        <v>318540.79999999999</v>
      </c>
      <c r="AE49" s="39">
        <v>512</v>
      </c>
      <c r="AF49" s="39" t="s">
        <v>182</v>
      </c>
      <c r="AG49" s="43">
        <v>622.15</v>
      </c>
      <c r="AH49" s="39" t="s">
        <v>177</v>
      </c>
      <c r="AI49" s="39" t="s">
        <v>73</v>
      </c>
      <c r="AJ49" s="48">
        <f>IF(Q49&lt;&gt;"",Q49,IF(K49&lt;&gt;"",K49,""))</f>
        <v>46115</v>
      </c>
      <c r="AK49" s="46" t="str">
        <f>IF(K49&lt;&gt;"","Sim","")</f>
        <v>Sim</v>
      </c>
      <c r="AL49" s="46" t="str">
        <f>IF(A49="","",TEXT(A49,"000000")&amp;"-"&amp;IF(C49="Entrada","CR","DB"))</f>
        <v>000048-DB</v>
      </c>
      <c r="AM49" s="46" t="str">
        <f>IF(A49="","",LEFT(IF(H49&lt;&gt;"",H49,G49)&amp;" | "&amp;G49&amp;" | "&amp;S49,60))</f>
        <v>Concreto Usinado fck - 25 Mpa ( Com perda de 10%) - SEM IMPE</v>
      </c>
    </row>
    <row r="50" spans="1:39" ht="43.2" x14ac:dyDescent="0.3">
      <c r="A50" s="39">
        <v>49</v>
      </c>
      <c r="B50" s="39" t="s">
        <v>2</v>
      </c>
      <c r="C50" s="39" t="s">
        <v>74</v>
      </c>
      <c r="D50" s="39" t="s">
        <v>107</v>
      </c>
      <c r="E50" s="39" t="s">
        <v>108</v>
      </c>
      <c r="F50" s="39" t="s">
        <v>184</v>
      </c>
      <c r="G50" s="39" t="s">
        <v>190</v>
      </c>
      <c r="H50" s="40"/>
      <c r="I50" s="40"/>
      <c r="J50" s="40"/>
      <c r="K50" s="42">
        <v>46115</v>
      </c>
      <c r="L50" s="42"/>
      <c r="M50" s="44"/>
      <c r="N50" s="40"/>
      <c r="O50" s="40"/>
      <c r="P50" s="40"/>
      <c r="Q50" s="42">
        <f>IF(K50="","",K50)</f>
        <v>46115</v>
      </c>
      <c r="R50" s="39" t="s">
        <v>107</v>
      </c>
      <c r="S50" s="39" t="s">
        <v>111</v>
      </c>
      <c r="T50" s="39" t="s">
        <v>186</v>
      </c>
      <c r="U50" s="39"/>
      <c r="V50" s="39">
        <v>38</v>
      </c>
      <c r="W50" s="39" t="s">
        <v>129</v>
      </c>
      <c r="X50" s="41">
        <v>46104</v>
      </c>
      <c r="Y50" s="41">
        <v>46115</v>
      </c>
      <c r="Z50" s="43">
        <v>1248</v>
      </c>
      <c r="AA50" s="45">
        <f>IF(M50&lt;&gt;"",M50,Z50)</f>
        <v>1248</v>
      </c>
      <c r="AB50" s="46" t="str">
        <f>IF(L50&lt;&gt;"","Realizado","Previsto")</f>
        <v>Previsto</v>
      </c>
      <c r="AC50" s="47">
        <v>0.5</v>
      </c>
      <c r="AD50" s="43">
        <v>2496</v>
      </c>
      <c r="AE50" s="39">
        <v>96</v>
      </c>
      <c r="AF50" s="39" t="s">
        <v>191</v>
      </c>
      <c r="AG50" s="43">
        <v>26</v>
      </c>
      <c r="AH50" s="39" t="s">
        <v>187</v>
      </c>
      <c r="AI50" s="39" t="s">
        <v>73</v>
      </c>
      <c r="AJ50" s="48">
        <f>IF(Q50&lt;&gt;"",Q50,IF(K50&lt;&gt;"",K50,""))</f>
        <v>46115</v>
      </c>
      <c r="AK50" s="46" t="str">
        <f>IF(K50&lt;&gt;"","Sim","")</f>
        <v>Sim</v>
      </c>
      <c r="AL50" s="46" t="str">
        <f>IF(A50="","",TEXT(A50,"000000")&amp;"-"&amp;IF(C50="Entrada","CR","DB"))</f>
        <v>000049-DB</v>
      </c>
      <c r="AM50" s="46" t="str">
        <f>IF(A50="","",LEFT(IF(H50&lt;&gt;"",H50,G50)&amp;" | "&amp;G50&amp;" | "&amp;S50,60))</f>
        <v>Desmoldante TECNOMOR | Desmoldante TECNOMOR | Saída | RADIER</v>
      </c>
    </row>
    <row r="51" spans="1:39" ht="43.2" x14ac:dyDescent="0.3">
      <c r="A51" s="39">
        <v>50</v>
      </c>
      <c r="B51" s="39" t="s">
        <v>2</v>
      </c>
      <c r="C51" s="39" t="s">
        <v>74</v>
      </c>
      <c r="D51" s="39" t="s">
        <v>107</v>
      </c>
      <c r="E51" s="39" t="s">
        <v>108</v>
      </c>
      <c r="F51" s="39" t="s">
        <v>192</v>
      </c>
      <c r="G51" s="39" t="s">
        <v>193</v>
      </c>
      <c r="H51" s="40"/>
      <c r="I51" s="40"/>
      <c r="J51" s="40"/>
      <c r="K51" s="42">
        <v>46115</v>
      </c>
      <c r="L51" s="42"/>
      <c r="M51" s="44"/>
      <c r="N51" s="40"/>
      <c r="O51" s="40"/>
      <c r="P51" s="40"/>
      <c r="Q51" s="42">
        <f>IF(K51="","",K51)</f>
        <v>46115</v>
      </c>
      <c r="R51" s="39" t="s">
        <v>107</v>
      </c>
      <c r="S51" s="39" t="s">
        <v>111</v>
      </c>
      <c r="T51" s="39" t="s">
        <v>194</v>
      </c>
      <c r="U51" s="39"/>
      <c r="V51" s="39">
        <v>35</v>
      </c>
      <c r="W51" s="39" t="s">
        <v>129</v>
      </c>
      <c r="X51" s="41">
        <v>46104</v>
      </c>
      <c r="Y51" s="41">
        <v>46115</v>
      </c>
      <c r="Z51" s="43">
        <v>2240</v>
      </c>
      <c r="AA51" s="45">
        <f>IF(M51&lt;&gt;"",M51,Z51)</f>
        <v>2240</v>
      </c>
      <c r="AB51" s="46" t="str">
        <f>IF(L51&lt;&gt;"","Realizado","Previsto")</f>
        <v>Previsto</v>
      </c>
      <c r="AC51" s="47">
        <v>0.5</v>
      </c>
      <c r="AD51" s="43">
        <v>4480</v>
      </c>
      <c r="AE51" s="39">
        <v>64</v>
      </c>
      <c r="AF51" s="39" t="s">
        <v>87</v>
      </c>
      <c r="AG51" s="43">
        <v>70</v>
      </c>
      <c r="AH51" s="39" t="s">
        <v>195</v>
      </c>
      <c r="AI51" s="39" t="s">
        <v>73</v>
      </c>
      <c r="AJ51" s="48">
        <f>IF(Q51&lt;&gt;"",Q51,IF(K51&lt;&gt;"",K51,""))</f>
        <v>46115</v>
      </c>
      <c r="AK51" s="46" t="str">
        <f>IF(K51&lt;&gt;"","Sim","")</f>
        <v>Sim</v>
      </c>
      <c r="AL51" s="46" t="str">
        <f>IF(A51="","",TEXT(A51,"000000")&amp;"-"&amp;IF(C51="Entrada","CR","DB"))</f>
        <v>000050-DB</v>
      </c>
      <c r="AM51" s="46" t="str">
        <f>IF(A51="","",LEFT(IF(H51&lt;&gt;"",H51,G51)&amp;" | "&amp;G51&amp;" | "&amp;S51,60))</f>
        <v>Ensaio compreesão corpo prova | Ensaio compreesão corpo prov</v>
      </c>
    </row>
    <row r="52" spans="1:39" ht="43.2" x14ac:dyDescent="0.3">
      <c r="A52" s="39">
        <v>51</v>
      </c>
      <c r="B52" s="39" t="s">
        <v>2</v>
      </c>
      <c r="C52" s="39" t="s">
        <v>74</v>
      </c>
      <c r="D52" s="39" t="s">
        <v>107</v>
      </c>
      <c r="E52" s="39" t="s">
        <v>108</v>
      </c>
      <c r="F52" s="39" t="s">
        <v>184</v>
      </c>
      <c r="G52" s="39" t="s">
        <v>196</v>
      </c>
      <c r="H52" s="40"/>
      <c r="I52" s="40"/>
      <c r="J52" s="40"/>
      <c r="K52" s="42">
        <v>46115</v>
      </c>
      <c r="L52" s="42"/>
      <c r="M52" s="44"/>
      <c r="N52" s="40"/>
      <c r="O52" s="40"/>
      <c r="P52" s="40"/>
      <c r="Q52" s="42">
        <f>IF(K52="","",K52)</f>
        <v>46115</v>
      </c>
      <c r="R52" s="39" t="s">
        <v>107</v>
      </c>
      <c r="S52" s="39" t="s">
        <v>111</v>
      </c>
      <c r="T52" s="39" t="s">
        <v>186</v>
      </c>
      <c r="U52" s="39"/>
      <c r="V52" s="39">
        <v>33</v>
      </c>
      <c r="W52" s="39" t="s">
        <v>129</v>
      </c>
      <c r="X52" s="41">
        <v>46104</v>
      </c>
      <c r="Y52" s="41">
        <v>46115</v>
      </c>
      <c r="Z52" s="43">
        <v>8320</v>
      </c>
      <c r="AA52" s="45">
        <f>IF(M52&lt;&gt;"",M52,Z52)</f>
        <v>8320</v>
      </c>
      <c r="AB52" s="46" t="str">
        <f>IF(L52&lt;&gt;"","Realizado","Previsto")</f>
        <v>Previsto</v>
      </c>
      <c r="AC52" s="47">
        <v>0.5</v>
      </c>
      <c r="AD52" s="43">
        <v>16640</v>
      </c>
      <c r="AE52" s="39">
        <v>16640</v>
      </c>
      <c r="AF52" s="39" t="s">
        <v>87</v>
      </c>
      <c r="AG52" s="43">
        <v>1</v>
      </c>
      <c r="AH52" s="39" t="s">
        <v>187</v>
      </c>
      <c r="AI52" s="39" t="s">
        <v>73</v>
      </c>
      <c r="AJ52" s="48">
        <f>IF(Q52&lt;&gt;"",Q52,IF(K52&lt;&gt;"",K52,""))</f>
        <v>46115</v>
      </c>
      <c r="AK52" s="46" t="str">
        <f>IF(K52&lt;&gt;"","Sim","")</f>
        <v>Sim</v>
      </c>
      <c r="AL52" s="46" t="str">
        <f>IF(A52="","",TEXT(A52,"000000")&amp;"-"&amp;IF(C52="Entrada","CR","DB"))</f>
        <v>000051-DB</v>
      </c>
      <c r="AM52" s="46" t="str">
        <f>IF(A52="","",LEFT(IF(H52&lt;&gt;"",H52,G52)&amp;" | "&amp;G52&amp;" | "&amp;S52,60))</f>
        <v>Espaçador tipo centopeia - 5 unid. por m² - 50 mm | Espaçado</v>
      </c>
    </row>
    <row r="53" spans="1:39" ht="43.2" x14ac:dyDescent="0.3">
      <c r="A53" s="39">
        <v>52</v>
      </c>
      <c r="B53" s="39" t="s">
        <v>2</v>
      </c>
      <c r="C53" s="39" t="s">
        <v>74</v>
      </c>
      <c r="D53" s="39" t="s">
        <v>107</v>
      </c>
      <c r="E53" s="39" t="s">
        <v>108</v>
      </c>
      <c r="F53" s="39" t="s">
        <v>197</v>
      </c>
      <c r="G53" s="39" t="s">
        <v>198</v>
      </c>
      <c r="H53" s="40"/>
      <c r="I53" s="40"/>
      <c r="J53" s="40"/>
      <c r="K53" s="42">
        <v>46115</v>
      </c>
      <c r="L53" s="42"/>
      <c r="M53" s="44"/>
      <c r="N53" s="40"/>
      <c r="O53" s="40"/>
      <c r="P53" s="40"/>
      <c r="Q53" s="42">
        <f>IF(K53="","",K53)</f>
        <v>46115</v>
      </c>
      <c r="R53" s="39" t="s">
        <v>107</v>
      </c>
      <c r="S53" s="39" t="s">
        <v>111</v>
      </c>
      <c r="T53" s="39" t="s">
        <v>199</v>
      </c>
      <c r="U53" s="39"/>
      <c r="V53" s="39">
        <v>40</v>
      </c>
      <c r="W53" s="39" t="s">
        <v>129</v>
      </c>
      <c r="X53" s="41">
        <v>46104</v>
      </c>
      <c r="Y53" s="41">
        <v>46115</v>
      </c>
      <c r="Z53" s="43">
        <v>2419.1999999999998</v>
      </c>
      <c r="AA53" s="45">
        <f>IF(M53&lt;&gt;"",M53,Z53)</f>
        <v>2419.1999999999998</v>
      </c>
      <c r="AB53" s="46" t="str">
        <f>IF(L53&lt;&gt;"","Realizado","Previsto")</f>
        <v>Previsto</v>
      </c>
      <c r="AC53" s="47">
        <v>0.5</v>
      </c>
      <c r="AD53" s="43">
        <v>4838.4000000000005</v>
      </c>
      <c r="AE53" s="39">
        <v>35</v>
      </c>
      <c r="AF53" s="39" t="s">
        <v>87</v>
      </c>
      <c r="AG53" s="43">
        <v>138.24</v>
      </c>
      <c r="AH53" s="39" t="s">
        <v>200</v>
      </c>
      <c r="AI53" s="39" t="s">
        <v>73</v>
      </c>
      <c r="AJ53" s="48">
        <f>IF(Q53&lt;&gt;"",Q53,IF(K53&lt;&gt;"",K53,""))</f>
        <v>46115</v>
      </c>
      <c r="AK53" s="46" t="str">
        <f>IF(K53&lt;&gt;"","Sim","")</f>
        <v>Sim</v>
      </c>
      <c r="AL53" s="46" t="str">
        <f>IF(A53="","",TEXT(A53,"000000")&amp;"-"&amp;IF(C53="Entrada","CR","DB"))</f>
        <v>000052-DB</v>
      </c>
      <c r="AM53" s="46" t="str">
        <f>IF(A53="","",LEFT(IF(H53&lt;&gt;"",H53,G53)&amp;" | "&amp;G53&amp;" | "&amp;S53,60))</f>
        <v>Forma para Radier - chapa de compensado naval plastificado 1</v>
      </c>
    </row>
    <row r="54" spans="1:39" ht="43.2" x14ac:dyDescent="0.3">
      <c r="A54" s="39">
        <v>53</v>
      </c>
      <c r="B54" s="39" t="s">
        <v>2</v>
      </c>
      <c r="C54" s="39" t="s">
        <v>74</v>
      </c>
      <c r="D54" s="39" t="s">
        <v>107</v>
      </c>
      <c r="E54" s="39" t="s">
        <v>108</v>
      </c>
      <c r="F54" s="39" t="s">
        <v>197</v>
      </c>
      <c r="G54" s="39" t="s">
        <v>201</v>
      </c>
      <c r="H54" s="40"/>
      <c r="I54" s="40"/>
      <c r="J54" s="40"/>
      <c r="K54" s="42">
        <v>46115</v>
      </c>
      <c r="L54" s="42"/>
      <c r="M54" s="44"/>
      <c r="N54" s="40"/>
      <c r="O54" s="40"/>
      <c r="P54" s="40"/>
      <c r="Q54" s="42">
        <f>IF(K54="","",K54)</f>
        <v>46115</v>
      </c>
      <c r="R54" s="39" t="s">
        <v>107</v>
      </c>
      <c r="S54" s="39" t="s">
        <v>111</v>
      </c>
      <c r="T54" s="39" t="s">
        <v>199</v>
      </c>
      <c r="U54" s="39"/>
      <c r="V54" s="39">
        <v>41</v>
      </c>
      <c r="W54" s="39" t="s">
        <v>129</v>
      </c>
      <c r="X54" s="41">
        <v>46104</v>
      </c>
      <c r="Y54" s="41">
        <v>46115</v>
      </c>
      <c r="Z54" s="43">
        <v>1364</v>
      </c>
      <c r="AA54" s="45">
        <f>IF(M54&lt;&gt;"",M54,Z54)</f>
        <v>1364</v>
      </c>
      <c r="AB54" s="46" t="str">
        <f>IF(L54&lt;&gt;"","Realizado","Previsto")</f>
        <v>Previsto</v>
      </c>
      <c r="AC54" s="47">
        <v>0.5</v>
      </c>
      <c r="AD54" s="43">
        <v>2728</v>
      </c>
      <c r="AE54" s="39">
        <v>176</v>
      </c>
      <c r="AF54" s="39" t="s">
        <v>87</v>
      </c>
      <c r="AG54" s="43">
        <v>15.5</v>
      </c>
      <c r="AH54" s="39" t="s">
        <v>200</v>
      </c>
      <c r="AI54" s="39" t="s">
        <v>73</v>
      </c>
      <c r="AJ54" s="48">
        <f>IF(Q54&lt;&gt;"",Q54,IF(K54&lt;&gt;"",K54,""))</f>
        <v>46115</v>
      </c>
      <c r="AK54" s="46" t="str">
        <f>IF(K54&lt;&gt;"","Sim","")</f>
        <v>Sim</v>
      </c>
      <c r="AL54" s="46" t="str">
        <f>IF(A54="","",TEXT(A54,"000000")&amp;"-"&amp;IF(C54="Entrada","CR","DB"))</f>
        <v>000053-DB</v>
      </c>
      <c r="AM54" s="46" t="str">
        <f>IF(A54="","",LEFT(IF(H54&lt;&gt;"",H54,G54)&amp;" | "&amp;G54&amp;" | "&amp;S54,60))</f>
        <v>Forma para Radier - tabua pinus 25mm para montagem do gabari</v>
      </c>
    </row>
    <row r="55" spans="1:39" ht="43.2" x14ac:dyDescent="0.3">
      <c r="A55" s="39">
        <v>54</v>
      </c>
      <c r="B55" s="39" t="s">
        <v>2</v>
      </c>
      <c r="C55" s="39" t="s">
        <v>74</v>
      </c>
      <c r="D55" s="39" t="s">
        <v>107</v>
      </c>
      <c r="E55" s="39" t="s">
        <v>108</v>
      </c>
      <c r="F55" s="39" t="s">
        <v>184</v>
      </c>
      <c r="G55" s="39" t="s">
        <v>202</v>
      </c>
      <c r="H55" s="40"/>
      <c r="I55" s="40"/>
      <c r="J55" s="40"/>
      <c r="K55" s="42">
        <v>46115</v>
      </c>
      <c r="L55" s="42"/>
      <c r="M55" s="44"/>
      <c r="N55" s="40"/>
      <c r="O55" s="40"/>
      <c r="P55" s="40"/>
      <c r="Q55" s="42">
        <f>IF(K55="","",K55)</f>
        <v>46115</v>
      </c>
      <c r="R55" s="39" t="s">
        <v>107</v>
      </c>
      <c r="S55" s="39" t="s">
        <v>111</v>
      </c>
      <c r="T55" s="39" t="s">
        <v>186</v>
      </c>
      <c r="U55" s="39"/>
      <c r="V55" s="39">
        <v>32</v>
      </c>
      <c r="W55" s="39" t="s">
        <v>129</v>
      </c>
      <c r="X55" s="41">
        <v>46104</v>
      </c>
      <c r="Y55" s="41">
        <v>46115</v>
      </c>
      <c r="Z55" s="43">
        <v>4409.6000000000004</v>
      </c>
      <c r="AA55" s="45">
        <f>IF(M55&lt;&gt;"",M55,Z55)</f>
        <v>4409.6000000000004</v>
      </c>
      <c r="AB55" s="46" t="str">
        <f>IF(L55&lt;&gt;"","Realizado","Previsto")</f>
        <v>Previsto</v>
      </c>
      <c r="AC55" s="47">
        <v>0.5</v>
      </c>
      <c r="AD55" s="43">
        <v>8819.2000000000007</v>
      </c>
      <c r="AE55" s="39">
        <v>3392</v>
      </c>
      <c r="AF55" s="39" t="s">
        <v>203</v>
      </c>
      <c r="AG55" s="43">
        <v>2.6</v>
      </c>
      <c r="AH55" s="39" t="s">
        <v>187</v>
      </c>
      <c r="AI55" s="39" t="s">
        <v>73</v>
      </c>
      <c r="AJ55" s="48">
        <f>IF(Q55&lt;&gt;"",Q55,IF(K55&lt;&gt;"",K55,""))</f>
        <v>46115</v>
      </c>
      <c r="AK55" s="46" t="str">
        <f>IF(K55&lt;&gt;"","Sim","")</f>
        <v>Sim</v>
      </c>
      <c r="AL55" s="46" t="str">
        <f>IF(A55="","",TEXT(A55,"000000")&amp;"-"&amp;IF(C55="Entrada","CR","DB"))</f>
        <v>000054-DB</v>
      </c>
      <c r="AM55" s="46" t="str">
        <f>IF(A55="","",LEFT(IF(H55&lt;&gt;"",H55,G55)&amp;" | "&amp;G55&amp;" | "&amp;S55,60))</f>
        <v>Lona 150 micras | Lona 150 micras | Saída | RADIER - 44,38 M</v>
      </c>
    </row>
    <row r="56" spans="1:39" ht="43.2" x14ac:dyDescent="0.3">
      <c r="A56" s="39">
        <v>55</v>
      </c>
      <c r="B56" s="39" t="s">
        <v>2</v>
      </c>
      <c r="C56" s="39" t="s">
        <v>74</v>
      </c>
      <c r="D56" s="39" t="s">
        <v>107</v>
      </c>
      <c r="E56" s="39" t="s">
        <v>108</v>
      </c>
      <c r="F56" s="39" t="s">
        <v>109</v>
      </c>
      <c r="G56" s="39" t="s">
        <v>110</v>
      </c>
      <c r="H56" s="40"/>
      <c r="I56" s="40"/>
      <c r="J56" s="40"/>
      <c r="K56" s="42">
        <v>46115</v>
      </c>
      <c r="L56" s="42"/>
      <c r="M56" s="44"/>
      <c r="N56" s="40"/>
      <c r="O56" s="40"/>
      <c r="P56" s="40"/>
      <c r="Q56" s="42">
        <f>IF(K56="","",K56)</f>
        <v>46115</v>
      </c>
      <c r="R56" s="39" t="s">
        <v>107</v>
      </c>
      <c r="S56" s="39" t="s">
        <v>111</v>
      </c>
      <c r="T56" s="39" t="s">
        <v>112</v>
      </c>
      <c r="U56" s="39"/>
      <c r="V56" s="39">
        <v>43</v>
      </c>
      <c r="W56" s="39" t="s">
        <v>129</v>
      </c>
      <c r="X56" s="41">
        <v>46104</v>
      </c>
      <c r="Y56" s="41">
        <v>46115</v>
      </c>
      <c r="Z56" s="43">
        <v>41271.498933333343</v>
      </c>
      <c r="AA56" s="45">
        <f>IF(M56&lt;&gt;"",M56,Z56)</f>
        <v>41271.498933333343</v>
      </c>
      <c r="AB56" s="46" t="str">
        <f>IF(L56&lt;&gt;"","Realizado","Previsto")</f>
        <v>Previsto</v>
      </c>
      <c r="AC56" s="47">
        <v>0.32243358541666672</v>
      </c>
      <c r="AD56" s="43">
        <v>128000</v>
      </c>
      <c r="AE56" s="39">
        <v>64</v>
      </c>
      <c r="AF56" s="39" t="s">
        <v>113</v>
      </c>
      <c r="AG56" s="43">
        <v>2000</v>
      </c>
      <c r="AH56" s="39" t="s">
        <v>114</v>
      </c>
      <c r="AI56" s="39" t="s">
        <v>73</v>
      </c>
      <c r="AJ56" s="48">
        <f>IF(Q56&lt;&gt;"",Q56,IF(K56&lt;&gt;"",K56,""))</f>
        <v>46115</v>
      </c>
      <c r="AK56" s="46" t="str">
        <f>IF(K56&lt;&gt;"","Sim","")</f>
        <v>Sim</v>
      </c>
      <c r="AL56" s="46" t="str">
        <f>IF(A56="","",TEXT(A56,"000000")&amp;"-"&amp;IF(C56="Entrada","CR","DB"))</f>
        <v>000055-DB</v>
      </c>
      <c r="AM56" s="46" t="str">
        <f>IF(A56="","",LEFT(IF(H56&lt;&gt;"",H56,G56)&amp;" | "&amp;G56&amp;" | "&amp;S56,60))</f>
        <v>Mao de obra Terceirizada Radier | Mao de obra Terceirizada R</v>
      </c>
    </row>
    <row r="57" spans="1:39" ht="43.2" x14ac:dyDescent="0.3">
      <c r="A57" s="39">
        <v>56</v>
      </c>
      <c r="B57" s="39" t="s">
        <v>2</v>
      </c>
      <c r="C57" s="39" t="s">
        <v>74</v>
      </c>
      <c r="D57" s="39" t="s">
        <v>107</v>
      </c>
      <c r="E57" s="39" t="s">
        <v>108</v>
      </c>
      <c r="F57" s="39" t="s">
        <v>94</v>
      </c>
      <c r="G57" s="39" t="s">
        <v>204</v>
      </c>
      <c r="H57" s="40"/>
      <c r="I57" s="40"/>
      <c r="J57" s="40"/>
      <c r="K57" s="42">
        <v>46115</v>
      </c>
      <c r="L57" s="42"/>
      <c r="M57" s="44"/>
      <c r="N57" s="40"/>
      <c r="O57" s="40"/>
      <c r="P57" s="40"/>
      <c r="Q57" s="42">
        <f>IF(K57="","",K57)</f>
        <v>46115</v>
      </c>
      <c r="R57" s="39" t="s">
        <v>107</v>
      </c>
      <c r="S57" s="39" t="s">
        <v>111</v>
      </c>
      <c r="T57" s="39" t="s">
        <v>205</v>
      </c>
      <c r="U57" s="39"/>
      <c r="V57" s="39">
        <v>42</v>
      </c>
      <c r="W57" s="39" t="s">
        <v>129</v>
      </c>
      <c r="X57" s="41">
        <v>46104</v>
      </c>
      <c r="Y57" s="41">
        <v>46115</v>
      </c>
      <c r="Z57" s="43">
        <v>1600</v>
      </c>
      <c r="AA57" s="45">
        <f>IF(M57&lt;&gt;"",M57,Z57)</f>
        <v>1600</v>
      </c>
      <c r="AB57" s="46" t="str">
        <f>IF(L57&lt;&gt;"","Realizado","Previsto")</f>
        <v>Previsto</v>
      </c>
      <c r="AC57" s="47">
        <v>0.5</v>
      </c>
      <c r="AD57" s="43">
        <v>3200</v>
      </c>
      <c r="AE57" s="39">
        <v>21.333333333333329</v>
      </c>
      <c r="AF57" s="39" t="s">
        <v>206</v>
      </c>
      <c r="AG57" s="43">
        <v>150</v>
      </c>
      <c r="AH57" s="39" t="s">
        <v>207</v>
      </c>
      <c r="AI57" s="39" t="s">
        <v>73</v>
      </c>
      <c r="AJ57" s="48">
        <f>IF(Q57&lt;&gt;"",Q57,IF(K57&lt;&gt;"",K57,""))</f>
        <v>46115</v>
      </c>
      <c r="AK57" s="46" t="str">
        <f>IF(K57&lt;&gt;"","Sim","")</f>
        <v>Sim</v>
      </c>
      <c r="AL57" s="46" t="str">
        <f>IF(A57="","",TEXT(A57,"000000")&amp;"-"&amp;IF(C57="Entrada","CR","DB"))</f>
        <v>000056-DB</v>
      </c>
      <c r="AM57" s="46" t="str">
        <f>IF(A57="","",LEFT(IF(H57&lt;&gt;"",H57,G57)&amp;" | "&amp;G57&amp;" | "&amp;S57,60))</f>
        <v>Placa vibratoria reversivél CR5 | Placa vibratoria reversivé</v>
      </c>
    </row>
    <row r="58" spans="1:39" ht="43.2" x14ac:dyDescent="0.3">
      <c r="A58" s="39">
        <v>57</v>
      </c>
      <c r="B58" s="39" t="s">
        <v>2</v>
      </c>
      <c r="C58" s="39" t="s">
        <v>74</v>
      </c>
      <c r="D58" s="39" t="s">
        <v>107</v>
      </c>
      <c r="E58" s="39" t="s">
        <v>108</v>
      </c>
      <c r="F58" s="39" t="s">
        <v>167</v>
      </c>
      <c r="G58" s="39" t="s">
        <v>208</v>
      </c>
      <c r="H58" s="40"/>
      <c r="I58" s="40"/>
      <c r="J58" s="40"/>
      <c r="K58" s="42">
        <v>46115</v>
      </c>
      <c r="L58" s="42"/>
      <c r="M58" s="44"/>
      <c r="N58" s="40"/>
      <c r="O58" s="40"/>
      <c r="P58" s="40"/>
      <c r="Q58" s="42">
        <f>IF(K58="","",K58)</f>
        <v>46115</v>
      </c>
      <c r="R58" s="39" t="s">
        <v>107</v>
      </c>
      <c r="S58" s="39" t="s">
        <v>111</v>
      </c>
      <c r="T58" s="39" t="s">
        <v>169</v>
      </c>
      <c r="U58" s="39"/>
      <c r="V58" s="39">
        <v>46</v>
      </c>
      <c r="W58" s="39" t="s">
        <v>129</v>
      </c>
      <c r="X58" s="41">
        <v>46104</v>
      </c>
      <c r="Y58" s="41">
        <v>46115</v>
      </c>
      <c r="Z58" s="43">
        <v>917.5</v>
      </c>
      <c r="AA58" s="45">
        <f>IF(M58&lt;&gt;"",M58,Z58)</f>
        <v>917.5</v>
      </c>
      <c r="AB58" s="46" t="str">
        <f>IF(L58&lt;&gt;"","Realizado","Previsto")</f>
        <v>Previsto</v>
      </c>
      <c r="AC58" s="47">
        <v>0.5</v>
      </c>
      <c r="AD58" s="43">
        <v>1835</v>
      </c>
      <c r="AE58" s="39">
        <v>140</v>
      </c>
      <c r="AF58" s="39" t="s">
        <v>149</v>
      </c>
      <c r="AG58" s="43">
        <v>13.107142857142859</v>
      </c>
      <c r="AH58" s="39" t="s">
        <v>170</v>
      </c>
      <c r="AI58" s="39" t="s">
        <v>73</v>
      </c>
      <c r="AJ58" s="48">
        <f>IF(Q58&lt;&gt;"",Q58,IF(K58&lt;&gt;"",K58,""))</f>
        <v>46115</v>
      </c>
      <c r="AK58" s="46" t="str">
        <f>IF(K58&lt;&gt;"","Sim","")</f>
        <v>Sim</v>
      </c>
      <c r="AL58" s="46" t="str">
        <f>IF(A58="","",TEXT(A58,"000000")&amp;"-"&amp;IF(C58="Entrada","CR","DB"))</f>
        <v>000057-DB</v>
      </c>
      <c r="AM58" s="46" t="str">
        <f>IF(A58="","",LEFT(IF(H58&lt;&gt;"",H58,G58)&amp;" | "&amp;G58&amp;" | "&amp;S58,60))</f>
        <v>Prego 17 x 27 cabeça dupla | Prego 17 x 27 cabeça dupla | Sa</v>
      </c>
    </row>
    <row r="59" spans="1:39" ht="43.2" x14ac:dyDescent="0.3">
      <c r="A59" s="39">
        <v>58</v>
      </c>
      <c r="B59" s="39" t="s">
        <v>2</v>
      </c>
      <c r="C59" s="39" t="s">
        <v>74</v>
      </c>
      <c r="D59" s="39" t="s">
        <v>107</v>
      </c>
      <c r="E59" s="39" t="s">
        <v>108</v>
      </c>
      <c r="F59" s="39" t="s">
        <v>197</v>
      </c>
      <c r="G59" s="39" t="s">
        <v>209</v>
      </c>
      <c r="H59" s="40"/>
      <c r="I59" s="40"/>
      <c r="J59" s="40"/>
      <c r="K59" s="42">
        <v>46115</v>
      </c>
      <c r="L59" s="42"/>
      <c r="M59" s="44"/>
      <c r="N59" s="40"/>
      <c r="O59" s="40"/>
      <c r="P59" s="40"/>
      <c r="Q59" s="42">
        <f>IF(K59="","",K59)</f>
        <v>46115</v>
      </c>
      <c r="R59" s="39" t="s">
        <v>107</v>
      </c>
      <c r="S59" s="39" t="s">
        <v>111</v>
      </c>
      <c r="T59" s="39" t="s">
        <v>199</v>
      </c>
      <c r="U59" s="39"/>
      <c r="V59" s="39">
        <v>39</v>
      </c>
      <c r="W59" s="39" t="s">
        <v>129</v>
      </c>
      <c r="X59" s="41">
        <v>46104</v>
      </c>
      <c r="Y59" s="41">
        <v>46115</v>
      </c>
      <c r="Z59" s="43">
        <v>57</v>
      </c>
      <c r="AA59" s="45">
        <f>IF(M59&lt;&gt;"",M59,Z59)</f>
        <v>57</v>
      </c>
      <c r="AB59" s="46" t="str">
        <f>IF(L59&lt;&gt;"","Realizado","Previsto")</f>
        <v>Previsto</v>
      </c>
      <c r="AC59" s="47">
        <v>0.5</v>
      </c>
      <c r="AD59" s="43">
        <v>114</v>
      </c>
      <c r="AE59" s="39">
        <v>2</v>
      </c>
      <c r="AF59" s="39" t="s">
        <v>87</v>
      </c>
      <c r="AG59" s="43">
        <v>57</v>
      </c>
      <c r="AH59" s="39" t="s">
        <v>200</v>
      </c>
      <c r="AI59" s="39" t="s">
        <v>73</v>
      </c>
      <c r="AJ59" s="48">
        <f>IF(Q59&lt;&gt;"",Q59,IF(K59&lt;&gt;"",K59,""))</f>
        <v>46115</v>
      </c>
      <c r="AK59" s="46" t="str">
        <f>IF(K59&lt;&gt;"","Sim","")</f>
        <v>Sim</v>
      </c>
      <c r="AL59" s="46" t="str">
        <f>IF(A59="","",TEXT(A59,"000000")&amp;"-"&amp;IF(C59="Entrada","CR","DB"))</f>
        <v>000058-DB</v>
      </c>
      <c r="AM59" s="46" t="str">
        <f>IF(A59="","",LEFT(IF(H59&lt;&gt;"",H59,G59)&amp;" | "&amp;G59&amp;" | "&amp;S59,60))</f>
        <v>impermeabilizante para lateral das chapas de compensado (lin</v>
      </c>
    </row>
    <row r="60" spans="1:39" ht="43.2" x14ac:dyDescent="0.3">
      <c r="A60" s="39">
        <v>59</v>
      </c>
      <c r="B60" s="39" t="s">
        <v>2</v>
      </c>
      <c r="C60" s="39" t="s">
        <v>74</v>
      </c>
      <c r="D60" s="39" t="s">
        <v>107</v>
      </c>
      <c r="E60" s="39" t="s">
        <v>108</v>
      </c>
      <c r="F60" s="39" t="s">
        <v>115</v>
      </c>
      <c r="G60" s="39" t="s">
        <v>116</v>
      </c>
      <c r="H60" s="40"/>
      <c r="I60" s="40"/>
      <c r="J60" s="40"/>
      <c r="K60" s="42">
        <v>46115</v>
      </c>
      <c r="L60" s="42"/>
      <c r="M60" s="44"/>
      <c r="N60" s="40"/>
      <c r="O60" s="40"/>
      <c r="P60" s="40"/>
      <c r="Q60" s="42">
        <f>IF(K60="","",K60)</f>
        <v>46115</v>
      </c>
      <c r="R60" s="39" t="s">
        <v>107</v>
      </c>
      <c r="S60" s="39" t="s">
        <v>111</v>
      </c>
      <c r="T60" s="39" t="s">
        <v>117</v>
      </c>
      <c r="U60" s="39"/>
      <c r="V60" s="39">
        <v>44</v>
      </c>
      <c r="W60" s="39" t="s">
        <v>129</v>
      </c>
      <c r="X60" s="41">
        <v>46104</v>
      </c>
      <c r="Y60" s="41">
        <v>46115</v>
      </c>
      <c r="Z60" s="43">
        <v>1267.2</v>
      </c>
      <c r="AA60" s="45">
        <f>IF(M60&lt;&gt;"",M60,Z60)</f>
        <v>1267.2</v>
      </c>
      <c r="AB60" s="46" t="str">
        <f>IF(L60&lt;&gt;"","Realizado","Previsto")</f>
        <v>Previsto</v>
      </c>
      <c r="AC60" s="47">
        <v>0.3</v>
      </c>
      <c r="AD60" s="43">
        <v>4224</v>
      </c>
      <c r="AE60" s="39">
        <v>704</v>
      </c>
      <c r="AF60" s="39" t="s">
        <v>118</v>
      </c>
      <c r="AG60" s="43">
        <v>6</v>
      </c>
      <c r="AH60" s="39" t="s">
        <v>119</v>
      </c>
      <c r="AI60" s="39" t="s">
        <v>73</v>
      </c>
      <c r="AJ60" s="48">
        <f>IF(Q60&lt;&gt;"",Q60,IF(K60&lt;&gt;"",K60,""))</f>
        <v>46115</v>
      </c>
      <c r="AK60" s="46" t="str">
        <f>IF(K60&lt;&gt;"","Sim","")</f>
        <v>Sim</v>
      </c>
      <c r="AL60" s="46" t="str">
        <f>IF(A60="","",TEXT(A60,"000000")&amp;"-"&amp;IF(C60="Entrada","CR","DB"))</f>
        <v>000059-DB</v>
      </c>
      <c r="AM60" s="46" t="str">
        <f>IF(A60="","",LEFT(IF(H60&lt;&gt;"",H60,G60)&amp;" | "&amp;G60&amp;" | "&amp;S60,60))</f>
        <v xml:space="preserve">ripas de 5cm x 2,7m de 25mm | ripas de 5cm x 2,7m de 25mm | </v>
      </c>
    </row>
    <row r="61" spans="1:39" ht="43.2" x14ac:dyDescent="0.3">
      <c r="A61" s="39">
        <v>60</v>
      </c>
      <c r="B61" s="39" t="s">
        <v>2</v>
      </c>
      <c r="C61" s="39" t="s">
        <v>74</v>
      </c>
      <c r="D61" s="39" t="s">
        <v>120</v>
      </c>
      <c r="E61" s="39" t="s">
        <v>120</v>
      </c>
      <c r="F61" s="39" t="s">
        <v>120</v>
      </c>
      <c r="G61" s="39" t="s">
        <v>121</v>
      </c>
      <c r="H61" s="40"/>
      <c r="I61" s="40"/>
      <c r="J61" s="40"/>
      <c r="K61" s="42">
        <v>46115</v>
      </c>
      <c r="L61" s="42"/>
      <c r="M61" s="44"/>
      <c r="N61" s="40"/>
      <c r="O61" s="40"/>
      <c r="P61" s="40"/>
      <c r="Q61" s="42">
        <f>IF(K61="","",K61)</f>
        <v>46115</v>
      </c>
      <c r="R61" s="39" t="s">
        <v>120</v>
      </c>
      <c r="S61" s="39" t="s">
        <v>122</v>
      </c>
      <c r="T61" s="39" t="s">
        <v>123</v>
      </c>
      <c r="U61" s="39"/>
      <c r="V61" s="39">
        <v>267</v>
      </c>
      <c r="W61" s="39" t="s">
        <v>129</v>
      </c>
      <c r="X61" s="41">
        <v>46104</v>
      </c>
      <c r="Y61" s="41">
        <v>46115</v>
      </c>
      <c r="Z61" s="43">
        <v>240223.4463786667</v>
      </c>
      <c r="AA61" s="45">
        <f>IF(M61&lt;&gt;"",M61,Z61)</f>
        <v>240223.4463786667</v>
      </c>
      <c r="AB61" s="46" t="str">
        <f>IF(L61&lt;&gt;"","Realizado","Previsto")</f>
        <v>Previsto</v>
      </c>
      <c r="AC61" s="47"/>
      <c r="AD61" s="43">
        <v>5780911.3615999985</v>
      </c>
      <c r="AE61" s="39"/>
      <c r="AF61" s="39" t="s">
        <v>79</v>
      </c>
      <c r="AG61" s="43"/>
      <c r="AH61" s="39"/>
      <c r="AI61" s="39" t="s">
        <v>73</v>
      </c>
      <c r="AJ61" s="48">
        <f>IF(Q61&lt;&gt;"",Q61,IF(K61&lt;&gt;"",K61,""))</f>
        <v>46115</v>
      </c>
      <c r="AK61" s="46" t="str">
        <f>IF(K61&lt;&gt;"","Sim","")</f>
        <v>Sim</v>
      </c>
      <c r="AL61" s="46" t="str">
        <f>IF(A61="","",TEXT(A61,"000000")&amp;"-"&amp;IF(C61="Entrada","CR","DB"))</f>
        <v>000060-DB</v>
      </c>
      <c r="AM61" s="46" t="str">
        <f>IF(A61="","",LEFT(IF(H61&lt;&gt;"",H61,G61)&amp;" | "&amp;G61&amp;" | "&amp;S61,60))</f>
        <v>TOTALIZADOR CUSTO GLOBAIS OBRAS - MENSAL | TOTALIZADOR CUSTO</v>
      </c>
    </row>
    <row r="62" spans="1:39" ht="43.2" x14ac:dyDescent="0.3">
      <c r="A62" s="39">
        <v>61</v>
      </c>
      <c r="B62" s="39" t="s">
        <v>2</v>
      </c>
      <c r="C62" s="39" t="s">
        <v>66</v>
      </c>
      <c r="D62" s="39" t="s">
        <v>67</v>
      </c>
      <c r="E62" s="39" t="s">
        <v>67</v>
      </c>
      <c r="F62" s="39" t="s">
        <v>68</v>
      </c>
      <c r="G62" s="39" t="s">
        <v>69</v>
      </c>
      <c r="H62" s="40"/>
      <c r="I62" s="40"/>
      <c r="J62" s="40"/>
      <c r="K62" s="42">
        <v>46129</v>
      </c>
      <c r="L62" s="42"/>
      <c r="M62" s="44"/>
      <c r="N62" s="40"/>
      <c r="O62" s="40"/>
      <c r="P62" s="40"/>
      <c r="Q62" s="42">
        <f>IF(K62="","",K62)</f>
        <v>46129</v>
      </c>
      <c r="R62" s="39" t="s">
        <v>69</v>
      </c>
      <c r="S62" s="39" t="s">
        <v>70</v>
      </c>
      <c r="T62" s="39" t="s">
        <v>71</v>
      </c>
      <c r="U62" s="39"/>
      <c r="V62" s="39">
        <v>283</v>
      </c>
      <c r="W62" s="39" t="s">
        <v>210</v>
      </c>
      <c r="X62" s="41">
        <v>46118</v>
      </c>
      <c r="Y62" s="41">
        <v>46129</v>
      </c>
      <c r="Z62" s="43">
        <v>855077.76191999996</v>
      </c>
      <c r="AA62" s="45">
        <f>IF(M62&lt;&gt;"",M62,Z62)</f>
        <v>855077.76191999996</v>
      </c>
      <c r="AB62" s="46" t="str">
        <f>IF(L62&lt;&gt;"","Realizado","Previsto")</f>
        <v>Previsto</v>
      </c>
      <c r="AC62" s="47"/>
      <c r="AD62" s="43">
        <v>8079999.9191039996</v>
      </c>
      <c r="AE62" s="39"/>
      <c r="AF62" s="39"/>
      <c r="AG62" s="43"/>
      <c r="AH62" s="39"/>
      <c r="AI62" s="39" t="s">
        <v>73</v>
      </c>
      <c r="AJ62" s="48">
        <f>IF(Q62&lt;&gt;"",Q62,IF(K62&lt;&gt;"",K62,""))</f>
        <v>46129</v>
      </c>
      <c r="AK62" s="46" t="str">
        <f>IF(K62&lt;&gt;"","Sim","")</f>
        <v>Sim</v>
      </c>
      <c r="AL62" s="46" t="str">
        <f>IF(A62="","",TEXT(A62,"000000")&amp;"-"&amp;IF(C62="Entrada","CR","DB"))</f>
        <v>000061-CR</v>
      </c>
      <c r="AM62" s="46" t="str">
        <f>IF(A62="","",LEFT(IF(H62&lt;&gt;"",H62,G62)&amp;" | "&amp;G62&amp;" | "&amp;S62,60))</f>
        <v xml:space="preserve">MEDIÇÃO CONTRATUAL | MEDIÇÃO CONTRATUAL | Entrada | MEDIÇÃO </v>
      </c>
    </row>
    <row r="63" spans="1:39" ht="43.2" x14ac:dyDescent="0.3">
      <c r="A63" s="39">
        <v>62</v>
      </c>
      <c r="B63" s="39" t="s">
        <v>2</v>
      </c>
      <c r="C63" s="39" t="s">
        <v>74</v>
      </c>
      <c r="D63" s="39" t="s">
        <v>211</v>
      </c>
      <c r="E63" s="39" t="s">
        <v>211</v>
      </c>
      <c r="F63" s="39" t="s">
        <v>109</v>
      </c>
      <c r="G63" s="39" t="s">
        <v>212</v>
      </c>
      <c r="H63" s="40"/>
      <c r="I63" s="40"/>
      <c r="J63" s="40"/>
      <c r="K63" s="42">
        <v>46129</v>
      </c>
      <c r="L63" s="42"/>
      <c r="M63" s="44"/>
      <c r="N63" s="40"/>
      <c r="O63" s="40"/>
      <c r="P63" s="40"/>
      <c r="Q63" s="42">
        <f>IF(K63="","",K63)</f>
        <v>46129</v>
      </c>
      <c r="R63" s="39" t="s">
        <v>211</v>
      </c>
      <c r="S63" s="39" t="s">
        <v>213</v>
      </c>
      <c r="T63" s="39" t="s">
        <v>214</v>
      </c>
      <c r="U63" s="39" t="s">
        <v>215</v>
      </c>
      <c r="V63" s="39">
        <v>115</v>
      </c>
      <c r="W63" s="39" t="s">
        <v>210</v>
      </c>
      <c r="X63" s="41">
        <v>46118</v>
      </c>
      <c r="Y63" s="41">
        <v>46129</v>
      </c>
      <c r="Z63" s="43">
        <v>7510.9920000000002</v>
      </c>
      <c r="AA63" s="45">
        <f>IF(M63&lt;&gt;"",M63,Z63)</f>
        <v>7510.9920000000002</v>
      </c>
      <c r="AB63" s="46" t="str">
        <f>IF(L63&lt;&gt;"","Realizado","Previsto")</f>
        <v>Previsto</v>
      </c>
      <c r="AC63" s="47">
        <v>9.3700000000000006E-2</v>
      </c>
      <c r="AD63" s="43">
        <v>80160</v>
      </c>
      <c r="AE63" s="39">
        <v>1603.2</v>
      </c>
      <c r="AF63" s="39" t="s">
        <v>203</v>
      </c>
      <c r="AG63" s="43">
        <v>50</v>
      </c>
      <c r="AH63" s="39" t="s">
        <v>216</v>
      </c>
      <c r="AI63" s="39" t="s">
        <v>73</v>
      </c>
      <c r="AJ63" s="48">
        <f>IF(Q63&lt;&gt;"",Q63,IF(K63&lt;&gt;"",K63,""))</f>
        <v>46129</v>
      </c>
      <c r="AK63" s="46" t="str">
        <f>IF(K63&lt;&gt;"","Sim","")</f>
        <v>Sim</v>
      </c>
      <c r="AL63" s="46" t="str">
        <f>IF(A63="","",TEXT(A63,"000000")&amp;"-"&amp;IF(C63="Entrada","CR","DB"))</f>
        <v>000062-DB</v>
      </c>
      <c r="AM63" s="46" t="str">
        <f>IF(A63="","",LEFT(IF(H63&lt;&gt;"",H63,G63)&amp;" | "&amp;G63&amp;" | "&amp;S63,60))</f>
        <v xml:space="preserve">Mao de obra terceirizada assentamento Azulejo | Mao de obra </v>
      </c>
    </row>
    <row r="64" spans="1:39" ht="43.2" x14ac:dyDescent="0.3">
      <c r="A64" s="39">
        <v>63</v>
      </c>
      <c r="B64" s="39" t="s">
        <v>2</v>
      </c>
      <c r="C64" s="39" t="s">
        <v>74</v>
      </c>
      <c r="D64" s="39" t="s">
        <v>217</v>
      </c>
      <c r="E64" s="39" t="s">
        <v>217</v>
      </c>
      <c r="F64" s="39" t="s">
        <v>109</v>
      </c>
      <c r="G64" s="39" t="s">
        <v>218</v>
      </c>
      <c r="H64" s="40"/>
      <c r="I64" s="40"/>
      <c r="J64" s="40"/>
      <c r="K64" s="42">
        <v>46129</v>
      </c>
      <c r="L64" s="42"/>
      <c r="M64" s="44"/>
      <c r="N64" s="40"/>
      <c r="O64" s="40"/>
      <c r="P64" s="40"/>
      <c r="Q64" s="42">
        <f>IF(K64="","",K64)</f>
        <v>46129</v>
      </c>
      <c r="R64" s="39" t="s">
        <v>217</v>
      </c>
      <c r="S64" s="39" t="s">
        <v>219</v>
      </c>
      <c r="T64" s="39" t="s">
        <v>220</v>
      </c>
      <c r="U64" s="39" t="s">
        <v>215</v>
      </c>
      <c r="V64" s="39">
        <v>101</v>
      </c>
      <c r="W64" s="39" t="s">
        <v>210</v>
      </c>
      <c r="X64" s="41">
        <v>46118</v>
      </c>
      <c r="Y64" s="41">
        <v>46129</v>
      </c>
      <c r="Z64" s="43">
        <v>4917.3760000000002</v>
      </c>
      <c r="AA64" s="45">
        <f>IF(M64&lt;&gt;"",M64,Z64)</f>
        <v>4917.3760000000002</v>
      </c>
      <c r="AB64" s="46" t="str">
        <f>IF(L64&lt;&gt;"","Realizado","Previsto")</f>
        <v>Previsto</v>
      </c>
      <c r="AC64" s="47">
        <v>9.3700000000000006E-2</v>
      </c>
      <c r="AD64" s="43">
        <v>52480</v>
      </c>
      <c r="AE64" s="39">
        <v>64</v>
      </c>
      <c r="AF64" s="39" t="s">
        <v>113</v>
      </c>
      <c r="AG64" s="43">
        <v>820</v>
      </c>
      <c r="AH64" s="39" t="s">
        <v>221</v>
      </c>
      <c r="AI64" s="39" t="s">
        <v>73</v>
      </c>
      <c r="AJ64" s="48">
        <f>IF(Q64&lt;&gt;"",Q64,IF(K64&lt;&gt;"",K64,""))</f>
        <v>46129</v>
      </c>
      <c r="AK64" s="46" t="str">
        <f>IF(K64&lt;&gt;"","Sim","")</f>
        <v>Sim</v>
      </c>
      <c r="AL64" s="46" t="str">
        <f>IF(A64="","",TEXT(A64,"000000")&amp;"-"&amp;IF(C64="Entrada","CR","DB"))</f>
        <v>000063-DB</v>
      </c>
      <c r="AM64" s="46" t="str">
        <f>IF(A64="","",LEFT(IF(H64&lt;&gt;"",H64,G64)&amp;" | "&amp;G64&amp;" | "&amp;S64,60))</f>
        <v>MO Terceirizada Caixas de inspecao e gordura | MO Terceiriza</v>
      </c>
    </row>
    <row r="65" spans="1:39" ht="43.2" x14ac:dyDescent="0.3">
      <c r="A65" s="39">
        <v>64</v>
      </c>
      <c r="B65" s="39" t="s">
        <v>2</v>
      </c>
      <c r="C65" s="39" t="s">
        <v>74</v>
      </c>
      <c r="D65" s="39" t="s">
        <v>124</v>
      </c>
      <c r="E65" s="39" t="s">
        <v>124</v>
      </c>
      <c r="F65" s="39" t="s">
        <v>125</v>
      </c>
      <c r="G65" s="39" t="s">
        <v>222</v>
      </c>
      <c r="H65" s="40"/>
      <c r="I65" s="40"/>
      <c r="J65" s="40"/>
      <c r="K65" s="42">
        <v>46129</v>
      </c>
      <c r="L65" s="42"/>
      <c r="M65" s="44"/>
      <c r="N65" s="40"/>
      <c r="O65" s="40"/>
      <c r="P65" s="40"/>
      <c r="Q65" s="42">
        <f>IF(K65="","",K65)</f>
        <v>46129</v>
      </c>
      <c r="R65" s="39" t="s">
        <v>124</v>
      </c>
      <c r="S65" s="39" t="s">
        <v>127</v>
      </c>
      <c r="T65" s="39" t="s">
        <v>128</v>
      </c>
      <c r="U65" s="39"/>
      <c r="V65" s="39">
        <v>274</v>
      </c>
      <c r="W65" s="39" t="s">
        <v>210</v>
      </c>
      <c r="X65" s="41">
        <v>46118</v>
      </c>
      <c r="Y65" s="41">
        <v>46129</v>
      </c>
      <c r="Z65" s="43">
        <v>21190</v>
      </c>
      <c r="AA65" s="45">
        <f>IF(M65&lt;&gt;"",M65,Z65)</f>
        <v>21190</v>
      </c>
      <c r="AB65" s="46" t="str">
        <f>IF(L65&lt;&gt;"","Realizado","Previsto")</f>
        <v>Previsto</v>
      </c>
      <c r="AC65" s="47"/>
      <c r="AD65" s="43">
        <v>211900</v>
      </c>
      <c r="AE65" s="39"/>
      <c r="AF65" s="39"/>
      <c r="AG65" s="43"/>
      <c r="AH65" s="39" t="s">
        <v>223</v>
      </c>
      <c r="AI65" s="39" t="s">
        <v>73</v>
      </c>
      <c r="AJ65" s="48">
        <f>IF(Q65&lt;&gt;"",Q65,IF(K65&lt;&gt;"",K65,""))</f>
        <v>46129</v>
      </c>
      <c r="AK65" s="46" t="str">
        <f>IF(K65&lt;&gt;"","Sim","")</f>
        <v>Sim</v>
      </c>
      <c r="AL65" s="46" t="str">
        <f>IF(A65="","",TEXT(A65,"000000")&amp;"-"&amp;IF(C65="Entrada","CR","DB"))</f>
        <v>000064-DB</v>
      </c>
      <c r="AM65" s="46" t="str">
        <f>IF(A65="","",LEFT(IF(H65&lt;&gt;"",H65,G65)&amp;" | "&amp;G65&amp;" | "&amp;S65,60))</f>
        <v xml:space="preserve">CARTAO CREDITO SUCOPIRA | CARTAO CREDITO SUCOPIRA | Saída | </v>
      </c>
    </row>
    <row r="66" spans="1:39" ht="43.2" x14ac:dyDescent="0.3">
      <c r="A66" s="39">
        <v>65</v>
      </c>
      <c r="B66" s="39" t="s">
        <v>2</v>
      </c>
      <c r="C66" s="39" t="s">
        <v>74</v>
      </c>
      <c r="D66" s="39" t="s">
        <v>124</v>
      </c>
      <c r="E66" s="39" t="s">
        <v>124</v>
      </c>
      <c r="F66" s="39" t="s">
        <v>125</v>
      </c>
      <c r="G66" s="39" t="s">
        <v>224</v>
      </c>
      <c r="H66" s="40"/>
      <c r="I66" s="40"/>
      <c r="J66" s="40"/>
      <c r="K66" s="42">
        <v>46129</v>
      </c>
      <c r="L66" s="42"/>
      <c r="M66" s="44"/>
      <c r="N66" s="40"/>
      <c r="O66" s="40"/>
      <c r="P66" s="40"/>
      <c r="Q66" s="42">
        <f>IF(K66="","",K66)</f>
        <v>46129</v>
      </c>
      <c r="R66" s="39" t="s">
        <v>124</v>
      </c>
      <c r="S66" s="39" t="s">
        <v>127</v>
      </c>
      <c r="T66" s="39" t="s">
        <v>128</v>
      </c>
      <c r="U66" s="39"/>
      <c r="V66" s="39">
        <v>276</v>
      </c>
      <c r="W66" s="39" t="s">
        <v>210</v>
      </c>
      <c r="X66" s="41">
        <v>46118</v>
      </c>
      <c r="Y66" s="41">
        <v>46129</v>
      </c>
      <c r="Z66" s="43">
        <v>14716.35</v>
      </c>
      <c r="AA66" s="45">
        <f>IF(M66&lt;&gt;"",M66,Z66)</f>
        <v>14716.35</v>
      </c>
      <c r="AB66" s="46" t="str">
        <f>IF(L66&lt;&gt;"","Realizado","Previsto")</f>
        <v>Previsto</v>
      </c>
      <c r="AC66" s="47"/>
      <c r="AD66" s="43">
        <v>244149.05</v>
      </c>
      <c r="AE66" s="39"/>
      <c r="AF66" s="39"/>
      <c r="AG66" s="43"/>
      <c r="AH66" s="39" t="s">
        <v>225</v>
      </c>
      <c r="AI66" s="39" t="s">
        <v>73</v>
      </c>
      <c r="AJ66" s="48">
        <f>IF(Q66&lt;&gt;"",Q66,IF(K66&lt;&gt;"",K66,""))</f>
        <v>46129</v>
      </c>
      <c r="AK66" s="46" t="str">
        <f>IF(K66&lt;&gt;"","Sim","")</f>
        <v>Sim</v>
      </c>
      <c r="AL66" s="46" t="str">
        <f>IF(A66="","",TEXT(A66,"000000")&amp;"-"&amp;IF(C66="Entrada","CR","DB"))</f>
        <v>000065-DB</v>
      </c>
      <c r="AM66" s="46" t="str">
        <f>IF(A66="","",LEFT(IF(H66&lt;&gt;"",H66,G66)&amp;" | "&amp;G66&amp;" | "&amp;S66,60))</f>
        <v xml:space="preserve">EMPRESTIMO BRADESCO | EMPRESTIMO BRADESCO | Saída | CAPITAL </v>
      </c>
    </row>
    <row r="67" spans="1:39" ht="43.2" x14ac:dyDescent="0.3">
      <c r="A67" s="39">
        <v>66</v>
      </c>
      <c r="B67" s="39" t="s">
        <v>2</v>
      </c>
      <c r="C67" s="39" t="s">
        <v>74</v>
      </c>
      <c r="D67" s="39" t="s">
        <v>124</v>
      </c>
      <c r="E67" s="39" t="s">
        <v>124</v>
      </c>
      <c r="F67" s="39" t="s">
        <v>125</v>
      </c>
      <c r="G67" s="39" t="s">
        <v>226</v>
      </c>
      <c r="H67" s="40"/>
      <c r="I67" s="40"/>
      <c r="J67" s="40"/>
      <c r="K67" s="42">
        <v>46129</v>
      </c>
      <c r="L67" s="42"/>
      <c r="M67" s="44"/>
      <c r="N67" s="40"/>
      <c r="O67" s="40"/>
      <c r="P67" s="40"/>
      <c r="Q67" s="42">
        <f>IF(K67="","",K67)</f>
        <v>46129</v>
      </c>
      <c r="R67" s="39" t="s">
        <v>124</v>
      </c>
      <c r="S67" s="39" t="s">
        <v>127</v>
      </c>
      <c r="T67" s="39" t="s">
        <v>128</v>
      </c>
      <c r="U67" s="39"/>
      <c r="V67" s="39">
        <v>277</v>
      </c>
      <c r="W67" s="39" t="s">
        <v>210</v>
      </c>
      <c r="X67" s="41">
        <v>46118</v>
      </c>
      <c r="Y67" s="41">
        <v>46129</v>
      </c>
      <c r="Z67" s="43">
        <v>7670</v>
      </c>
      <c r="AA67" s="45">
        <f>IF(M67&lt;&gt;"",M67,Z67)</f>
        <v>7670</v>
      </c>
      <c r="AB67" s="46" t="str">
        <f>IF(L67&lt;&gt;"","Realizado","Previsto")</f>
        <v>Previsto</v>
      </c>
      <c r="AC67" s="47"/>
      <c r="AD67" s="43">
        <v>76700</v>
      </c>
      <c r="AE67" s="39"/>
      <c r="AF67" s="39"/>
      <c r="AG67" s="43"/>
      <c r="AH67" s="39" t="s">
        <v>227</v>
      </c>
      <c r="AI67" s="39" t="s">
        <v>73</v>
      </c>
      <c r="AJ67" s="48">
        <f>IF(Q67&lt;&gt;"",Q67,IF(K67&lt;&gt;"",K67,""))</f>
        <v>46129</v>
      </c>
      <c r="AK67" s="46" t="str">
        <f>IF(K67&lt;&gt;"","Sim","")</f>
        <v>Sim</v>
      </c>
      <c r="AL67" s="46" t="str">
        <f>IF(A67="","",TEXT(A67,"000000")&amp;"-"&amp;IF(C67="Entrada","CR","DB"))</f>
        <v>000066-DB</v>
      </c>
      <c r="AM67" s="46" t="str">
        <f>IF(A67="","",LEFT(IF(H67&lt;&gt;"",H67,G67)&amp;" | "&amp;G67&amp;" | "&amp;S67,60))</f>
        <v>EMPRÉSTIMO EXTRA | EMPRÉSTIMO EXTRA | Saída | CAPITAL DE GIR</v>
      </c>
    </row>
    <row r="68" spans="1:39" ht="43.2" x14ac:dyDescent="0.3">
      <c r="A68" s="39">
        <v>67</v>
      </c>
      <c r="B68" s="39" t="s">
        <v>2</v>
      </c>
      <c r="C68" s="39" t="s">
        <v>74</v>
      </c>
      <c r="D68" s="39" t="s">
        <v>124</v>
      </c>
      <c r="E68" s="39" t="s">
        <v>124</v>
      </c>
      <c r="F68" s="39" t="s">
        <v>125</v>
      </c>
      <c r="G68" s="39" t="s">
        <v>228</v>
      </c>
      <c r="H68" s="40"/>
      <c r="I68" s="40"/>
      <c r="J68" s="40"/>
      <c r="K68" s="42">
        <v>46129</v>
      </c>
      <c r="L68" s="42"/>
      <c r="M68" s="44"/>
      <c r="N68" s="40"/>
      <c r="O68" s="40"/>
      <c r="P68" s="40"/>
      <c r="Q68" s="42">
        <f>IF(K68="","",K68)</f>
        <v>46129</v>
      </c>
      <c r="R68" s="39" t="s">
        <v>124</v>
      </c>
      <c r="S68" s="39" t="s">
        <v>127</v>
      </c>
      <c r="T68" s="39" t="s">
        <v>128</v>
      </c>
      <c r="U68" s="39"/>
      <c r="V68" s="39">
        <v>275</v>
      </c>
      <c r="W68" s="39" t="s">
        <v>210</v>
      </c>
      <c r="X68" s="41">
        <v>46118</v>
      </c>
      <c r="Y68" s="41">
        <v>46129</v>
      </c>
      <c r="Z68" s="43">
        <v>4906.58</v>
      </c>
      <c r="AA68" s="45">
        <f>IF(M68&lt;&gt;"",M68,Z68)</f>
        <v>4906.58</v>
      </c>
      <c r="AB68" s="46" t="str">
        <f>IF(L68&lt;&gt;"","Realizado","Previsto")</f>
        <v>Previsto</v>
      </c>
      <c r="AC68" s="47"/>
      <c r="AD68" s="43">
        <v>62266.45</v>
      </c>
      <c r="AE68" s="39"/>
      <c r="AF68" s="39"/>
      <c r="AG68" s="43"/>
      <c r="AH68" s="39" t="s">
        <v>229</v>
      </c>
      <c r="AI68" s="39" t="s">
        <v>73</v>
      </c>
      <c r="AJ68" s="48">
        <f>IF(Q68&lt;&gt;"",Q68,IF(K68&lt;&gt;"",K68,""))</f>
        <v>46129</v>
      </c>
      <c r="AK68" s="46" t="str">
        <f>IF(K68&lt;&gt;"","Sim","")</f>
        <v>Sim</v>
      </c>
      <c r="AL68" s="46" t="str">
        <f>IF(A68="","",TEXT(A68,"000000")&amp;"-"&amp;IF(C68="Entrada","CR","DB"))</f>
        <v>000067-DB</v>
      </c>
      <c r="AM68" s="46" t="str">
        <f>IF(A68="","",LEFT(IF(H68&lt;&gt;"",H68,G68)&amp;" | "&amp;G68&amp;" | "&amp;S68,60))</f>
        <v>NUBANK | NUBANK | Saída | CAPITAL DE GIRO</v>
      </c>
    </row>
    <row r="69" spans="1:39" ht="43.2" x14ac:dyDescent="0.3">
      <c r="A69" s="39">
        <v>68</v>
      </c>
      <c r="B69" s="39" t="s">
        <v>2</v>
      </c>
      <c r="C69" s="39" t="s">
        <v>74</v>
      </c>
      <c r="D69" s="39" t="s">
        <v>230</v>
      </c>
      <c r="E69" s="39" t="s">
        <v>230</v>
      </c>
      <c r="F69" s="39" t="s">
        <v>109</v>
      </c>
      <c r="G69" s="39" t="s">
        <v>231</v>
      </c>
      <c r="H69" s="40"/>
      <c r="I69" s="40"/>
      <c r="J69" s="40"/>
      <c r="K69" s="42">
        <v>46129</v>
      </c>
      <c r="L69" s="42"/>
      <c r="M69" s="44"/>
      <c r="N69" s="40"/>
      <c r="O69" s="40"/>
      <c r="P69" s="40"/>
      <c r="Q69" s="42">
        <f>IF(K69="","",K69)</f>
        <v>46129</v>
      </c>
      <c r="R69" s="39" t="s">
        <v>230</v>
      </c>
      <c r="S69" s="39" t="s">
        <v>232</v>
      </c>
      <c r="T69" s="39" t="s">
        <v>233</v>
      </c>
      <c r="U69" s="39" t="s">
        <v>215</v>
      </c>
      <c r="V69" s="39">
        <v>107</v>
      </c>
      <c r="W69" s="39" t="s">
        <v>210</v>
      </c>
      <c r="X69" s="41">
        <v>46118</v>
      </c>
      <c r="Y69" s="41">
        <v>46129</v>
      </c>
      <c r="Z69" s="43">
        <v>9295.0400000000009</v>
      </c>
      <c r="AA69" s="45">
        <f>IF(M69&lt;&gt;"",M69,Z69)</f>
        <v>9295.0400000000009</v>
      </c>
      <c r="AB69" s="46" t="str">
        <f>IF(L69&lt;&gt;"","Realizado","Previsto")</f>
        <v>Previsto</v>
      </c>
      <c r="AC69" s="47">
        <v>9.3700000000000006E-2</v>
      </c>
      <c r="AD69" s="43">
        <v>99200</v>
      </c>
      <c r="AE69" s="39">
        <v>64</v>
      </c>
      <c r="AF69" s="39" t="s">
        <v>113</v>
      </c>
      <c r="AG69" s="43">
        <v>1550</v>
      </c>
      <c r="AH69" s="39" t="s">
        <v>234</v>
      </c>
      <c r="AI69" s="39" t="s">
        <v>73</v>
      </c>
      <c r="AJ69" s="48">
        <f>IF(Q69&lt;&gt;"",Q69,IF(K69&lt;&gt;"",K69,""))</f>
        <v>46129</v>
      </c>
      <c r="AK69" s="46" t="str">
        <f>IF(K69&lt;&gt;"","Sim","")</f>
        <v>Sim</v>
      </c>
      <c r="AL69" s="46" t="str">
        <f>IF(A69="","",TEXT(A69,"000000")&amp;"-"&amp;IF(C69="Entrada","CR","DB"))</f>
        <v>000068-DB</v>
      </c>
      <c r="AM69" s="46" t="str">
        <f>IF(A69="","",LEFT(IF(H69&lt;&gt;"",H69,G69)&amp;" | "&amp;G69&amp;" | "&amp;S69,60))</f>
        <v>Mao de obra terceirizada montagem e telhamento | Mao de obra</v>
      </c>
    </row>
    <row r="70" spans="1:39" ht="43.2" x14ac:dyDescent="0.3">
      <c r="A70" s="39">
        <v>69</v>
      </c>
      <c r="B70" s="39" t="s">
        <v>2</v>
      </c>
      <c r="C70" s="39" t="s">
        <v>74</v>
      </c>
      <c r="D70" s="39" t="s">
        <v>75</v>
      </c>
      <c r="E70" s="39" t="s">
        <v>75</v>
      </c>
      <c r="F70" s="39" t="s">
        <v>75</v>
      </c>
      <c r="G70" s="39" t="s">
        <v>80</v>
      </c>
      <c r="H70" s="40"/>
      <c r="I70" s="40"/>
      <c r="J70" s="40"/>
      <c r="K70" s="42">
        <v>46129</v>
      </c>
      <c r="L70" s="42"/>
      <c r="M70" s="44"/>
      <c r="N70" s="40"/>
      <c r="O70" s="40"/>
      <c r="P70" s="40"/>
      <c r="Q70" s="42">
        <f>IF(K70="","",K70)</f>
        <v>46129</v>
      </c>
      <c r="R70" s="39" t="s">
        <v>75</v>
      </c>
      <c r="S70" s="39" t="s">
        <v>77</v>
      </c>
      <c r="T70" s="39" t="s">
        <v>78</v>
      </c>
      <c r="U70" s="39"/>
      <c r="V70" s="39">
        <v>271</v>
      </c>
      <c r="W70" s="39" t="s">
        <v>210</v>
      </c>
      <c r="X70" s="41">
        <v>46118</v>
      </c>
      <c r="Y70" s="41">
        <v>46129</v>
      </c>
      <c r="Z70" s="43">
        <v>8000</v>
      </c>
      <c r="AA70" s="45">
        <f>IF(M70&lt;&gt;"",M70,Z70)</f>
        <v>8000</v>
      </c>
      <c r="AB70" s="46" t="str">
        <f>IF(L70&lt;&gt;"","Realizado","Previsto")</f>
        <v>Previsto</v>
      </c>
      <c r="AC70" s="47">
        <v>0.2</v>
      </c>
      <c r="AD70" s="43">
        <v>40000</v>
      </c>
      <c r="AE70" s="39"/>
      <c r="AF70" s="39" t="s">
        <v>79</v>
      </c>
      <c r="AG70" s="43">
        <v>10000</v>
      </c>
      <c r="AH70" s="39"/>
      <c r="AI70" s="39" t="s">
        <v>73</v>
      </c>
      <c r="AJ70" s="48">
        <f>IF(Q70&lt;&gt;"",Q70,IF(K70&lt;&gt;"",K70,""))</f>
        <v>46129</v>
      </c>
      <c r="AK70" s="46" t="str">
        <f>IF(K70&lt;&gt;"","Sim","")</f>
        <v>Sim</v>
      </c>
      <c r="AL70" s="46" t="str">
        <f>IF(A70="","",TEXT(A70,"000000")&amp;"-"&amp;IF(C70="Entrada","CR","DB"))</f>
        <v>000069-DB</v>
      </c>
      <c r="AM70" s="46" t="str">
        <f>IF(A70="","",LEFT(IF(H70&lt;&gt;"",H70,G70)&amp;" | "&amp;G70&amp;" | "&amp;S70,60))</f>
        <v>LOGISTICA GESTÃO VISITA À OBRA | LOGISTICA GESTÃO VISITA À O</v>
      </c>
    </row>
    <row r="71" spans="1:39" ht="43.2" x14ac:dyDescent="0.3">
      <c r="A71" s="39">
        <v>70</v>
      </c>
      <c r="B71" s="39" t="s">
        <v>2</v>
      </c>
      <c r="C71" s="39" t="s">
        <v>74</v>
      </c>
      <c r="D71" s="39" t="s">
        <v>235</v>
      </c>
      <c r="E71" s="39" t="s">
        <v>236</v>
      </c>
      <c r="F71" s="39" t="s">
        <v>109</v>
      </c>
      <c r="G71" s="39" t="s">
        <v>237</v>
      </c>
      <c r="H71" s="40"/>
      <c r="I71" s="40"/>
      <c r="J71" s="40"/>
      <c r="K71" s="42">
        <v>46129</v>
      </c>
      <c r="L71" s="42"/>
      <c r="M71" s="44"/>
      <c r="N71" s="40"/>
      <c r="O71" s="40"/>
      <c r="P71" s="40"/>
      <c r="Q71" s="42">
        <f>IF(K71="","",K71)</f>
        <v>46129</v>
      </c>
      <c r="R71" s="39" t="s">
        <v>235</v>
      </c>
      <c r="S71" s="39" t="s">
        <v>238</v>
      </c>
      <c r="T71" s="39" t="s">
        <v>239</v>
      </c>
      <c r="U71" s="39" t="s">
        <v>215</v>
      </c>
      <c r="V71" s="39">
        <v>156</v>
      </c>
      <c r="W71" s="39" t="s">
        <v>210</v>
      </c>
      <c r="X71" s="41">
        <v>46118</v>
      </c>
      <c r="Y71" s="41">
        <v>46129</v>
      </c>
      <c r="Z71" s="43">
        <v>6426.6506240000008</v>
      </c>
      <c r="AA71" s="45">
        <f>IF(M71&lt;&gt;"",M71,Z71)</f>
        <v>6426.6506240000008</v>
      </c>
      <c r="AB71" s="46" t="str">
        <f>IF(L71&lt;&gt;"","Realizado","Previsto")</f>
        <v>Previsto</v>
      </c>
      <c r="AC71" s="47">
        <v>9.3700000000000006E-2</v>
      </c>
      <c r="AD71" s="43">
        <v>68587.520000000004</v>
      </c>
      <c r="AE71" s="39">
        <v>8573.44</v>
      </c>
      <c r="AF71" s="39" t="s">
        <v>203</v>
      </c>
      <c r="AG71" s="43">
        <v>8</v>
      </c>
      <c r="AH71" s="39" t="s">
        <v>240</v>
      </c>
      <c r="AI71" s="39" t="s">
        <v>73</v>
      </c>
      <c r="AJ71" s="48">
        <f>IF(Q71&lt;&gt;"",Q71,IF(K71&lt;&gt;"",K71,""))</f>
        <v>46129</v>
      </c>
      <c r="AK71" s="46" t="str">
        <f>IF(K71&lt;&gt;"","Sim","")</f>
        <v>Sim</v>
      </c>
      <c r="AL71" s="46" t="str">
        <f>IF(A71="","",TEXT(A71,"000000")&amp;"-"&amp;IF(C71="Entrada","CR","DB"))</f>
        <v>000070-DB</v>
      </c>
      <c r="AM71" s="46" t="str">
        <f>IF(A71="","",LEFT(IF(H71&lt;&gt;"",H71,G71)&amp;" | "&amp;G71&amp;" | "&amp;S71,60))</f>
        <v>Mao de obra terceirizada Emassamento e lixamento  interno pa</v>
      </c>
    </row>
    <row r="72" spans="1:39" ht="43.2" x14ac:dyDescent="0.3">
      <c r="A72" s="39">
        <v>71</v>
      </c>
      <c r="B72" s="39" t="s">
        <v>2</v>
      </c>
      <c r="C72" s="39" t="s">
        <v>74</v>
      </c>
      <c r="D72" s="39" t="s">
        <v>82</v>
      </c>
      <c r="E72" s="39" t="s">
        <v>82</v>
      </c>
      <c r="F72" s="39" t="s">
        <v>90</v>
      </c>
      <c r="G72" s="39" t="s">
        <v>241</v>
      </c>
      <c r="H72" s="40"/>
      <c r="I72" s="40"/>
      <c r="J72" s="40"/>
      <c r="K72" s="42">
        <v>46129</v>
      </c>
      <c r="L72" s="42"/>
      <c r="M72" s="44"/>
      <c r="N72" s="40"/>
      <c r="O72" s="40"/>
      <c r="P72" s="40"/>
      <c r="Q72" s="42">
        <f>IF(K72="","",K72)</f>
        <v>46129</v>
      </c>
      <c r="R72" s="39" t="s">
        <v>82</v>
      </c>
      <c r="S72" s="39" t="s">
        <v>85</v>
      </c>
      <c r="T72" s="39" t="s">
        <v>92</v>
      </c>
      <c r="U72" s="39"/>
      <c r="V72" s="39">
        <v>263</v>
      </c>
      <c r="W72" s="39" t="s">
        <v>210</v>
      </c>
      <c r="X72" s="41">
        <v>46118</v>
      </c>
      <c r="Y72" s="41">
        <v>46129</v>
      </c>
      <c r="Z72" s="43">
        <v>3000</v>
      </c>
      <c r="AA72" s="45">
        <f>IF(M72&lt;&gt;"",M72,Z72)</f>
        <v>3000</v>
      </c>
      <c r="AB72" s="46" t="str">
        <f>IF(L72&lt;&gt;"","Realizado","Previsto")</f>
        <v>Previsto</v>
      </c>
      <c r="AC72" s="47">
        <v>0.25</v>
      </c>
      <c r="AD72" s="43">
        <v>12000</v>
      </c>
      <c r="AE72" s="39"/>
      <c r="AF72" s="39" t="s">
        <v>79</v>
      </c>
      <c r="AG72" s="43">
        <v>3000</v>
      </c>
      <c r="AH72" s="39" t="s">
        <v>93</v>
      </c>
      <c r="AI72" s="39" t="s">
        <v>73</v>
      </c>
      <c r="AJ72" s="48">
        <f>IF(Q72&lt;&gt;"",Q72,IF(K72&lt;&gt;"",K72,""))</f>
        <v>46129</v>
      </c>
      <c r="AK72" s="46" t="str">
        <f>IF(K72&lt;&gt;"","Sim","")</f>
        <v>Sim</v>
      </c>
      <c r="AL72" s="46" t="str">
        <f>IF(A72="","",TEXT(A72,"000000")&amp;"-"&amp;IF(C72="Entrada","CR","DB"))</f>
        <v>000071-DB</v>
      </c>
      <c r="AM72" s="46" t="str">
        <f>IF(A72="","",LEFT(IF(H72&lt;&gt;"",H72,G72)&amp;" | "&amp;G72&amp;" | "&amp;S72,60))</f>
        <v>TECNICO SEGURANÇA TRABALHO - ( rateado em 3 canteiros) carro</v>
      </c>
    </row>
    <row r="73" spans="1:39" ht="43.2" x14ac:dyDescent="0.3">
      <c r="A73" s="39">
        <v>72</v>
      </c>
      <c r="B73" s="39" t="s">
        <v>2</v>
      </c>
      <c r="C73" s="39" t="s">
        <v>74</v>
      </c>
      <c r="D73" s="39" t="s">
        <v>242</v>
      </c>
      <c r="E73" s="39" t="s">
        <v>243</v>
      </c>
      <c r="F73" s="39" t="s">
        <v>109</v>
      </c>
      <c r="G73" s="39" t="s">
        <v>244</v>
      </c>
      <c r="H73" s="40"/>
      <c r="I73" s="40"/>
      <c r="J73" s="40"/>
      <c r="K73" s="42">
        <v>46129</v>
      </c>
      <c r="L73" s="42"/>
      <c r="M73" s="44"/>
      <c r="N73" s="40"/>
      <c r="O73" s="40"/>
      <c r="P73" s="40"/>
      <c r="Q73" s="42">
        <f>IF(K73="","",K73)</f>
        <v>46129</v>
      </c>
      <c r="R73" s="39" t="s">
        <v>242</v>
      </c>
      <c r="S73" s="39" t="s">
        <v>245</v>
      </c>
      <c r="T73" s="39" t="s">
        <v>246</v>
      </c>
      <c r="U73" s="39" t="s">
        <v>215</v>
      </c>
      <c r="V73" s="39">
        <v>73</v>
      </c>
      <c r="W73" s="39" t="s">
        <v>210</v>
      </c>
      <c r="X73" s="41">
        <v>46118</v>
      </c>
      <c r="Y73" s="41">
        <v>46129</v>
      </c>
      <c r="Z73" s="43">
        <v>2518.6559999999999</v>
      </c>
      <c r="AA73" s="45">
        <f>IF(M73&lt;&gt;"",M73,Z73)</f>
        <v>2518.6559999999999</v>
      </c>
      <c r="AB73" s="46" t="str">
        <f>IF(L73&lt;&gt;"","Realizado","Previsto")</f>
        <v>Previsto</v>
      </c>
      <c r="AC73" s="47">
        <v>9.3700000000000006E-2</v>
      </c>
      <c r="AD73" s="43">
        <v>26880</v>
      </c>
      <c r="AE73" s="39">
        <v>64</v>
      </c>
      <c r="AF73" s="39" t="s">
        <v>113</v>
      </c>
      <c r="AG73" s="43">
        <v>420</v>
      </c>
      <c r="AH73" s="39" t="s">
        <v>247</v>
      </c>
      <c r="AI73" s="39" t="s">
        <v>73</v>
      </c>
      <c r="AJ73" s="48">
        <f>IF(Q73&lt;&gt;"",Q73,IF(K73&lt;&gt;"",K73,""))</f>
        <v>46129</v>
      </c>
      <c r="AK73" s="46" t="str">
        <f>IF(K73&lt;&gt;"","Sim","")</f>
        <v>Sim</v>
      </c>
      <c r="AL73" s="46" t="str">
        <f>IF(A73="","",TEXT(A73,"000000")&amp;"-"&amp;IF(C73="Entrada","CR","DB"))</f>
        <v>000072-DB</v>
      </c>
      <c r="AM73" s="46" t="str">
        <f>IF(A73="","",LEFT(IF(H73&lt;&gt;"",H73,G73)&amp;" | "&amp;G73&amp;" | "&amp;S73,60))</f>
        <v xml:space="preserve">Mao de obra Impermeabilização de áreas úmidas | Mao de obra </v>
      </c>
    </row>
    <row r="74" spans="1:39" ht="43.2" x14ac:dyDescent="0.3">
      <c r="A74" s="39">
        <v>73</v>
      </c>
      <c r="B74" s="39" t="s">
        <v>2</v>
      </c>
      <c r="C74" s="39" t="s">
        <v>74</v>
      </c>
      <c r="D74" s="39" t="s">
        <v>98</v>
      </c>
      <c r="E74" s="39" t="s">
        <v>99</v>
      </c>
      <c r="F74" s="39" t="s">
        <v>109</v>
      </c>
      <c r="G74" s="39" t="s">
        <v>248</v>
      </c>
      <c r="H74" s="40"/>
      <c r="I74" s="40"/>
      <c r="J74" s="40"/>
      <c r="K74" s="42">
        <v>46129</v>
      </c>
      <c r="L74" s="42"/>
      <c r="M74" s="44"/>
      <c r="N74" s="40"/>
      <c r="O74" s="40"/>
      <c r="P74" s="40"/>
      <c r="Q74" s="42">
        <f>IF(K74="","",K74)</f>
        <v>46129</v>
      </c>
      <c r="R74" s="39" t="s">
        <v>98</v>
      </c>
      <c r="S74" s="39" t="s">
        <v>102</v>
      </c>
      <c r="T74" s="39" t="s">
        <v>249</v>
      </c>
      <c r="U74" s="39" t="s">
        <v>250</v>
      </c>
      <c r="V74" s="39">
        <v>58</v>
      </c>
      <c r="W74" s="39" t="s">
        <v>210</v>
      </c>
      <c r="X74" s="41">
        <v>46118</v>
      </c>
      <c r="Y74" s="41">
        <v>46129</v>
      </c>
      <c r="Z74" s="43">
        <v>14991.964019200001</v>
      </c>
      <c r="AA74" s="45">
        <f>IF(M74&lt;&gt;"",M74,Z74)</f>
        <v>14991.964019200001</v>
      </c>
      <c r="AB74" s="46" t="str">
        <f>IF(L74&lt;&gt;"","Realizado","Previsto")</f>
        <v>Previsto</v>
      </c>
      <c r="AC74" s="47">
        <v>9.3700000000000006E-2</v>
      </c>
      <c r="AD74" s="43">
        <v>159999.61600000001</v>
      </c>
      <c r="AE74" s="39">
        <v>896</v>
      </c>
      <c r="AF74" s="39" t="s">
        <v>182</v>
      </c>
      <c r="AG74" s="43">
        <v>178.571</v>
      </c>
      <c r="AH74" s="39" t="s">
        <v>251</v>
      </c>
      <c r="AI74" s="39" t="s">
        <v>73</v>
      </c>
      <c r="AJ74" s="48">
        <f>IF(Q74&lt;&gt;"",Q74,IF(K74&lt;&gt;"",K74,""))</f>
        <v>46129</v>
      </c>
      <c r="AK74" s="46" t="str">
        <f>IF(K74&lt;&gt;"","Sim","")</f>
        <v>Sim</v>
      </c>
      <c r="AL74" s="46" t="str">
        <f>IF(A74="","",TEXT(A74,"000000")&amp;"-"&amp;IF(C74="Entrada","CR","DB"))</f>
        <v>000073-DB</v>
      </c>
      <c r="AM74" s="46" t="str">
        <f>IF(A74="","",LEFT(IF(H74&lt;&gt;"",H74,G74)&amp;" | "&amp;G74&amp;" | "&amp;S74,60))</f>
        <v>Montagem de paredes pré-moldadas (içamento, prumo, alinhamen</v>
      </c>
    </row>
    <row r="75" spans="1:39" ht="43.2" x14ac:dyDescent="0.3">
      <c r="A75" s="39">
        <v>74</v>
      </c>
      <c r="B75" s="39" t="s">
        <v>2</v>
      </c>
      <c r="C75" s="39" t="s">
        <v>74</v>
      </c>
      <c r="D75" s="39" t="s">
        <v>98</v>
      </c>
      <c r="E75" s="39" t="s">
        <v>99</v>
      </c>
      <c r="F75" s="39" t="s">
        <v>100</v>
      </c>
      <c r="G75" s="39" t="s">
        <v>101</v>
      </c>
      <c r="H75" s="40"/>
      <c r="I75" s="40"/>
      <c r="J75" s="40"/>
      <c r="K75" s="42">
        <v>46129</v>
      </c>
      <c r="L75" s="42"/>
      <c r="M75" s="44"/>
      <c r="N75" s="40"/>
      <c r="O75" s="40"/>
      <c r="P75" s="40"/>
      <c r="Q75" s="42">
        <f>IF(K75="","",K75)</f>
        <v>46129</v>
      </c>
      <c r="R75" s="39" t="s">
        <v>98</v>
      </c>
      <c r="S75" s="39" t="s">
        <v>102</v>
      </c>
      <c r="T75" s="39" t="s">
        <v>103</v>
      </c>
      <c r="U75" s="39" t="s">
        <v>104</v>
      </c>
      <c r="V75" s="39">
        <v>48</v>
      </c>
      <c r="W75" s="39" t="s">
        <v>210</v>
      </c>
      <c r="X75" s="41">
        <v>46118</v>
      </c>
      <c r="Y75" s="41">
        <v>46129</v>
      </c>
      <c r="Z75" s="43">
        <v>74656</v>
      </c>
      <c r="AA75" s="45">
        <f>IF(M75&lt;&gt;"",M75,Z75)</f>
        <v>74656</v>
      </c>
      <c r="AB75" s="46" t="str">
        <f>IF(L75&lt;&gt;"","Realizado","Previsto")</f>
        <v>Previsto</v>
      </c>
      <c r="AC75" s="47">
        <v>0.23330000000000001</v>
      </c>
      <c r="AD75" s="43">
        <v>320000</v>
      </c>
      <c r="AE75" s="39">
        <v>20</v>
      </c>
      <c r="AF75" s="39" t="s">
        <v>87</v>
      </c>
      <c r="AG75" s="43">
        <v>16000</v>
      </c>
      <c r="AH75" s="39" t="s">
        <v>105</v>
      </c>
      <c r="AI75" s="39" t="s">
        <v>73</v>
      </c>
      <c r="AJ75" s="48">
        <f>IF(Q75&lt;&gt;"",Q75,IF(K75&lt;&gt;"",K75,""))</f>
        <v>46129</v>
      </c>
      <c r="AK75" s="46" t="str">
        <f>IF(K75&lt;&gt;"","Sim","")</f>
        <v>Sim</v>
      </c>
      <c r="AL75" s="46" t="str">
        <f>IF(A75="","",TEXT(A75,"000000")&amp;"-"&amp;IF(C75="Entrada","CR","DB"))</f>
        <v>000074-DB</v>
      </c>
      <c r="AM75" s="46" t="str">
        <f>IF(A75="","",LEFT(IF(H75&lt;&gt;"",H75,G75)&amp;" | "&amp;G75&amp;" | "&amp;S75,60))</f>
        <v>contrato industrializaçao paredes | contrato industrializaça</v>
      </c>
    </row>
    <row r="76" spans="1:39" ht="43.2" x14ac:dyDescent="0.3">
      <c r="A76" s="39">
        <v>75</v>
      </c>
      <c r="B76" s="39" t="s">
        <v>2</v>
      </c>
      <c r="C76" s="39" t="s">
        <v>74</v>
      </c>
      <c r="D76" s="39" t="s">
        <v>98</v>
      </c>
      <c r="E76" s="39" t="s">
        <v>99</v>
      </c>
      <c r="F76" s="39" t="s">
        <v>100</v>
      </c>
      <c r="G76" s="39" t="s">
        <v>101</v>
      </c>
      <c r="H76" s="40"/>
      <c r="I76" s="40"/>
      <c r="J76" s="40"/>
      <c r="K76" s="42">
        <v>46129</v>
      </c>
      <c r="L76" s="42"/>
      <c r="M76" s="44"/>
      <c r="N76" s="40"/>
      <c r="O76" s="40"/>
      <c r="P76" s="40"/>
      <c r="Q76" s="42">
        <f>IF(K76="","",K76)</f>
        <v>46129</v>
      </c>
      <c r="R76" s="39" t="s">
        <v>98</v>
      </c>
      <c r="S76" s="39" t="s">
        <v>102</v>
      </c>
      <c r="T76" s="39" t="s">
        <v>103</v>
      </c>
      <c r="U76" s="39" t="s">
        <v>104</v>
      </c>
      <c r="V76" s="39">
        <v>49</v>
      </c>
      <c r="W76" s="39" t="s">
        <v>210</v>
      </c>
      <c r="X76" s="41">
        <v>46118</v>
      </c>
      <c r="Y76" s="41">
        <v>46129</v>
      </c>
      <c r="Z76" s="43">
        <v>74656</v>
      </c>
      <c r="AA76" s="45">
        <f>IF(M76&lt;&gt;"",M76,Z76)</f>
        <v>74656</v>
      </c>
      <c r="AB76" s="46" t="str">
        <f>IF(L76&lt;&gt;"","Realizado","Previsto")</f>
        <v>Previsto</v>
      </c>
      <c r="AC76" s="47">
        <v>0.23330000000000001</v>
      </c>
      <c r="AD76" s="43">
        <v>320000</v>
      </c>
      <c r="AE76" s="39">
        <v>20</v>
      </c>
      <c r="AF76" s="39" t="s">
        <v>87</v>
      </c>
      <c r="AG76" s="43">
        <v>16000</v>
      </c>
      <c r="AH76" s="39" t="s">
        <v>105</v>
      </c>
      <c r="AI76" s="39" t="s">
        <v>73</v>
      </c>
      <c r="AJ76" s="48">
        <f>IF(Q76&lt;&gt;"",Q76,IF(K76&lt;&gt;"",K76,""))</f>
        <v>46129</v>
      </c>
      <c r="AK76" s="46" t="str">
        <f>IF(K76&lt;&gt;"","Sim","")</f>
        <v>Sim</v>
      </c>
      <c r="AL76" s="46" t="str">
        <f>IF(A76="","",TEXT(A76,"000000")&amp;"-"&amp;IF(C76="Entrada","CR","DB"))</f>
        <v>000075-DB</v>
      </c>
      <c r="AM76" s="46" t="str">
        <f>IF(A76="","",LEFT(IF(H76&lt;&gt;"",H76,G76)&amp;" | "&amp;G76&amp;" | "&amp;S76,60))</f>
        <v>contrato industrializaçao paredes | contrato industrializaça</v>
      </c>
    </row>
    <row r="77" spans="1:39" ht="43.2" x14ac:dyDescent="0.3">
      <c r="A77" s="39">
        <v>76</v>
      </c>
      <c r="B77" s="39" t="s">
        <v>2</v>
      </c>
      <c r="C77" s="39" t="s">
        <v>74</v>
      </c>
      <c r="D77" s="39" t="s">
        <v>98</v>
      </c>
      <c r="E77" s="39" t="s">
        <v>99</v>
      </c>
      <c r="F77" s="39" t="s">
        <v>100</v>
      </c>
      <c r="G77" s="39" t="s">
        <v>101</v>
      </c>
      <c r="H77" s="40"/>
      <c r="I77" s="40"/>
      <c r="J77" s="40"/>
      <c r="K77" s="42">
        <v>46129</v>
      </c>
      <c r="L77" s="42"/>
      <c r="M77" s="44"/>
      <c r="N77" s="40"/>
      <c r="O77" s="40"/>
      <c r="P77" s="40"/>
      <c r="Q77" s="42">
        <f>IF(K77="","",K77)</f>
        <v>46129</v>
      </c>
      <c r="R77" s="39" t="s">
        <v>98</v>
      </c>
      <c r="S77" s="39" t="s">
        <v>102</v>
      </c>
      <c r="T77" s="39" t="s">
        <v>103</v>
      </c>
      <c r="U77" s="39" t="s">
        <v>106</v>
      </c>
      <c r="V77" s="39">
        <v>50</v>
      </c>
      <c r="W77" s="39" t="s">
        <v>210</v>
      </c>
      <c r="X77" s="41">
        <v>46118</v>
      </c>
      <c r="Y77" s="41">
        <v>46129</v>
      </c>
      <c r="Z77" s="43">
        <v>89587.199999999997</v>
      </c>
      <c r="AA77" s="45">
        <f>IF(M77&lt;&gt;"",M77,Z77)</f>
        <v>89587.199999999997</v>
      </c>
      <c r="AB77" s="46" t="str">
        <f>IF(L77&lt;&gt;"","Realizado","Previsto")</f>
        <v>Previsto</v>
      </c>
      <c r="AC77" s="47">
        <v>0.23330000000000001</v>
      </c>
      <c r="AD77" s="43">
        <v>384000</v>
      </c>
      <c r="AE77" s="39">
        <v>24</v>
      </c>
      <c r="AF77" s="39" t="s">
        <v>87</v>
      </c>
      <c r="AG77" s="43">
        <v>16000</v>
      </c>
      <c r="AH77" s="39" t="s">
        <v>105</v>
      </c>
      <c r="AI77" s="39" t="s">
        <v>73</v>
      </c>
      <c r="AJ77" s="48">
        <f>IF(Q77&lt;&gt;"",Q77,IF(K77&lt;&gt;"",K77,""))</f>
        <v>46129</v>
      </c>
      <c r="AK77" s="46" t="str">
        <f>IF(K77&lt;&gt;"","Sim","")</f>
        <v>Sim</v>
      </c>
      <c r="AL77" s="46" t="str">
        <f>IF(A77="","",TEXT(A77,"000000")&amp;"-"&amp;IF(C77="Entrada","CR","DB"))</f>
        <v>000076-DB</v>
      </c>
      <c r="AM77" s="46" t="str">
        <f>IF(A77="","",LEFT(IF(H77&lt;&gt;"",H77,G77)&amp;" | "&amp;G77&amp;" | "&amp;S77,60))</f>
        <v>contrato industrializaçao paredes | contrato industrializaça</v>
      </c>
    </row>
    <row r="78" spans="1:39" ht="43.2" x14ac:dyDescent="0.3">
      <c r="A78" s="39">
        <v>77</v>
      </c>
      <c r="B78" s="39" t="s">
        <v>2</v>
      </c>
      <c r="C78" s="39" t="s">
        <v>74</v>
      </c>
      <c r="D78" s="39" t="s">
        <v>98</v>
      </c>
      <c r="E78" s="39" t="s">
        <v>99</v>
      </c>
      <c r="F78" s="39" t="s">
        <v>100</v>
      </c>
      <c r="G78" s="39" t="s">
        <v>252</v>
      </c>
      <c r="H78" s="40"/>
      <c r="I78" s="40"/>
      <c r="J78" s="40"/>
      <c r="K78" s="42">
        <v>46129</v>
      </c>
      <c r="L78" s="42"/>
      <c r="M78" s="44"/>
      <c r="N78" s="40"/>
      <c r="O78" s="40"/>
      <c r="P78" s="40"/>
      <c r="Q78" s="42">
        <f>IF(K78="","",K78)</f>
        <v>46129</v>
      </c>
      <c r="R78" s="39" t="s">
        <v>98</v>
      </c>
      <c r="S78" s="39" t="s">
        <v>102</v>
      </c>
      <c r="T78" s="39" t="s">
        <v>103</v>
      </c>
      <c r="U78" s="39" t="s">
        <v>104</v>
      </c>
      <c r="V78" s="39">
        <v>54</v>
      </c>
      <c r="W78" s="39" t="s">
        <v>210</v>
      </c>
      <c r="X78" s="41">
        <v>46118</v>
      </c>
      <c r="Y78" s="41">
        <v>46129</v>
      </c>
      <c r="Z78" s="43">
        <v>38381.900689655173</v>
      </c>
      <c r="AA78" s="45">
        <f>IF(M78&lt;&gt;"",M78,Z78)</f>
        <v>38381.900689655173</v>
      </c>
      <c r="AB78" s="46" t="str">
        <f>IF(L78&lt;&gt;"","Realizado","Previsto")</f>
        <v>Previsto</v>
      </c>
      <c r="AC78" s="47">
        <v>0.2068965517241379</v>
      </c>
      <c r="AD78" s="43">
        <v>185512.52</v>
      </c>
      <c r="AE78" s="39">
        <v>20</v>
      </c>
      <c r="AF78" s="39" t="s">
        <v>87</v>
      </c>
      <c r="AG78" s="43">
        <v>9275.6260000000002</v>
      </c>
      <c r="AH78" s="39" t="s">
        <v>105</v>
      </c>
      <c r="AI78" s="39" t="s">
        <v>73</v>
      </c>
      <c r="AJ78" s="48">
        <f>IF(Q78&lt;&gt;"",Q78,IF(K78&lt;&gt;"",K78,""))</f>
        <v>46129</v>
      </c>
      <c r="AK78" s="46" t="str">
        <f>IF(K78&lt;&gt;"","Sim","")</f>
        <v>Sim</v>
      </c>
      <c r="AL78" s="46" t="str">
        <f>IF(A78="","",TEXT(A78,"000000")&amp;"-"&amp;IF(C78="Entrada","CR","DB"))</f>
        <v>000077-DB</v>
      </c>
      <c r="AM78" s="46" t="str">
        <f>IF(A78="","",LEFT(IF(H78&lt;&gt;"",H78,G78)&amp;" | "&amp;G78&amp;" | "&amp;S78,60))</f>
        <v>material CIMENTO : KIT Parede e Laje - FOB na Fabrica | mate</v>
      </c>
    </row>
    <row r="79" spans="1:39" ht="43.2" x14ac:dyDescent="0.3">
      <c r="A79" s="39">
        <v>78</v>
      </c>
      <c r="B79" s="39" t="s">
        <v>2</v>
      </c>
      <c r="C79" s="39" t="s">
        <v>74</v>
      </c>
      <c r="D79" s="39" t="s">
        <v>98</v>
      </c>
      <c r="E79" s="39" t="s">
        <v>99</v>
      </c>
      <c r="F79" s="39" t="s">
        <v>100</v>
      </c>
      <c r="G79" s="39" t="s">
        <v>252</v>
      </c>
      <c r="H79" s="40"/>
      <c r="I79" s="40"/>
      <c r="J79" s="40"/>
      <c r="K79" s="42">
        <v>46129</v>
      </c>
      <c r="L79" s="42"/>
      <c r="M79" s="44"/>
      <c r="N79" s="40"/>
      <c r="O79" s="40"/>
      <c r="P79" s="40"/>
      <c r="Q79" s="42">
        <f>IF(K79="","",K79)</f>
        <v>46129</v>
      </c>
      <c r="R79" s="39" t="s">
        <v>98</v>
      </c>
      <c r="S79" s="39" t="s">
        <v>102</v>
      </c>
      <c r="T79" s="39" t="s">
        <v>103</v>
      </c>
      <c r="U79" s="39" t="s">
        <v>104</v>
      </c>
      <c r="V79" s="39">
        <v>55</v>
      </c>
      <c r="W79" s="39" t="s">
        <v>210</v>
      </c>
      <c r="X79" s="41">
        <v>46118</v>
      </c>
      <c r="Y79" s="41">
        <v>46129</v>
      </c>
      <c r="Z79" s="43">
        <v>38381.900689655173</v>
      </c>
      <c r="AA79" s="45">
        <f>IF(M79&lt;&gt;"",M79,Z79)</f>
        <v>38381.900689655173</v>
      </c>
      <c r="AB79" s="46" t="str">
        <f>IF(L79&lt;&gt;"","Realizado","Previsto")</f>
        <v>Previsto</v>
      </c>
      <c r="AC79" s="47">
        <v>0.2068965517241379</v>
      </c>
      <c r="AD79" s="43">
        <v>185512.52</v>
      </c>
      <c r="AE79" s="39">
        <v>20</v>
      </c>
      <c r="AF79" s="39" t="s">
        <v>87</v>
      </c>
      <c r="AG79" s="43">
        <v>9275.6260000000002</v>
      </c>
      <c r="AH79" s="39" t="s">
        <v>105</v>
      </c>
      <c r="AI79" s="39" t="s">
        <v>73</v>
      </c>
      <c r="AJ79" s="48">
        <f>IF(Q79&lt;&gt;"",Q79,IF(K79&lt;&gt;"",K79,""))</f>
        <v>46129</v>
      </c>
      <c r="AK79" s="46" t="str">
        <f>IF(K79&lt;&gt;"","Sim","")</f>
        <v>Sim</v>
      </c>
      <c r="AL79" s="46" t="str">
        <f>IF(A79="","",TEXT(A79,"000000")&amp;"-"&amp;IF(C79="Entrada","CR","DB"))</f>
        <v>000078-DB</v>
      </c>
      <c r="AM79" s="46" t="str">
        <f>IF(A79="","",LEFT(IF(H79&lt;&gt;"",H79,G79)&amp;" | "&amp;G79&amp;" | "&amp;S79,60))</f>
        <v>material CIMENTO : KIT Parede e Laje - FOB na Fabrica | mate</v>
      </c>
    </row>
    <row r="80" spans="1:39" ht="43.2" x14ac:dyDescent="0.3">
      <c r="A80" s="39">
        <v>79</v>
      </c>
      <c r="B80" s="39" t="s">
        <v>2</v>
      </c>
      <c r="C80" s="39" t="s">
        <v>74</v>
      </c>
      <c r="D80" s="39" t="s">
        <v>98</v>
      </c>
      <c r="E80" s="39" t="s">
        <v>99</v>
      </c>
      <c r="F80" s="39" t="s">
        <v>100</v>
      </c>
      <c r="G80" s="39" t="s">
        <v>252</v>
      </c>
      <c r="H80" s="40"/>
      <c r="I80" s="40"/>
      <c r="J80" s="40"/>
      <c r="K80" s="42">
        <v>46129</v>
      </c>
      <c r="L80" s="42"/>
      <c r="M80" s="44"/>
      <c r="N80" s="40"/>
      <c r="O80" s="40"/>
      <c r="P80" s="40"/>
      <c r="Q80" s="42">
        <f>IF(K80="","",K80)</f>
        <v>46129</v>
      </c>
      <c r="R80" s="39" t="s">
        <v>98</v>
      </c>
      <c r="S80" s="39" t="s">
        <v>102</v>
      </c>
      <c r="T80" s="39" t="s">
        <v>103</v>
      </c>
      <c r="U80" s="39" t="s">
        <v>106</v>
      </c>
      <c r="V80" s="39">
        <v>56</v>
      </c>
      <c r="W80" s="39" t="s">
        <v>210</v>
      </c>
      <c r="X80" s="41">
        <v>46118</v>
      </c>
      <c r="Y80" s="41">
        <v>46129</v>
      </c>
      <c r="Z80" s="43">
        <v>46058.280827586197</v>
      </c>
      <c r="AA80" s="45">
        <f>IF(M80&lt;&gt;"",M80,Z80)</f>
        <v>46058.280827586197</v>
      </c>
      <c r="AB80" s="46" t="str">
        <f>IF(L80&lt;&gt;"","Realizado","Previsto")</f>
        <v>Previsto</v>
      </c>
      <c r="AC80" s="47">
        <v>0.2068965517241379</v>
      </c>
      <c r="AD80" s="43">
        <v>222615.024</v>
      </c>
      <c r="AE80" s="39">
        <v>24</v>
      </c>
      <c r="AF80" s="39" t="s">
        <v>87</v>
      </c>
      <c r="AG80" s="43">
        <v>9275.6260000000002</v>
      </c>
      <c r="AH80" s="39" t="s">
        <v>105</v>
      </c>
      <c r="AI80" s="39" t="s">
        <v>73</v>
      </c>
      <c r="AJ80" s="48">
        <f>IF(Q80&lt;&gt;"",Q80,IF(K80&lt;&gt;"",K80,""))</f>
        <v>46129</v>
      </c>
      <c r="AK80" s="46" t="str">
        <f>IF(K80&lt;&gt;"","Sim","")</f>
        <v>Sim</v>
      </c>
      <c r="AL80" s="46" t="str">
        <f>IF(A80="","",TEXT(A80,"000000")&amp;"-"&amp;IF(C80="Entrada","CR","DB"))</f>
        <v>000079-DB</v>
      </c>
      <c r="AM80" s="46" t="str">
        <f>IF(A80="","",LEFT(IF(H80&lt;&gt;"",H80,G80)&amp;" | "&amp;G80&amp;" | "&amp;S80,60))</f>
        <v>material CIMENTO : KIT Parede e Laje - FOB na Fabrica | mate</v>
      </c>
    </row>
    <row r="81" spans="1:39" ht="43.2" x14ac:dyDescent="0.3">
      <c r="A81" s="39">
        <v>80</v>
      </c>
      <c r="B81" s="39" t="s">
        <v>2</v>
      </c>
      <c r="C81" s="39" t="s">
        <v>74</v>
      </c>
      <c r="D81" s="39" t="s">
        <v>98</v>
      </c>
      <c r="E81" s="39" t="s">
        <v>99</v>
      </c>
      <c r="F81" s="39" t="s">
        <v>100</v>
      </c>
      <c r="G81" s="39" t="s">
        <v>253</v>
      </c>
      <c r="H81" s="40"/>
      <c r="I81" s="40"/>
      <c r="J81" s="40"/>
      <c r="K81" s="42">
        <v>46129</v>
      </c>
      <c r="L81" s="42"/>
      <c r="M81" s="44"/>
      <c r="N81" s="40"/>
      <c r="O81" s="40"/>
      <c r="P81" s="40"/>
      <c r="Q81" s="42">
        <f>IF(K81="","",K81)</f>
        <v>46129</v>
      </c>
      <c r="R81" s="39" t="s">
        <v>98</v>
      </c>
      <c r="S81" s="39" t="s">
        <v>102</v>
      </c>
      <c r="T81" s="39" t="s">
        <v>103</v>
      </c>
      <c r="U81" s="39" t="s">
        <v>104</v>
      </c>
      <c r="V81" s="39">
        <v>51</v>
      </c>
      <c r="W81" s="39" t="s">
        <v>210</v>
      </c>
      <c r="X81" s="41">
        <v>46118</v>
      </c>
      <c r="Y81" s="41">
        <v>46129</v>
      </c>
      <c r="Z81" s="43">
        <v>19437.767131594901</v>
      </c>
      <c r="AA81" s="45">
        <f>IF(M81&lt;&gt;"",M81,Z81)</f>
        <v>19437.767131594901</v>
      </c>
      <c r="AB81" s="46" t="str">
        <f>IF(L81&lt;&gt;"","Realizado","Previsto")</f>
        <v>Previsto</v>
      </c>
      <c r="AC81" s="47">
        <v>0.14453203961997169</v>
      </c>
      <c r="AD81" s="43">
        <v>134487.6</v>
      </c>
      <c r="AE81" s="39">
        <v>20</v>
      </c>
      <c r="AF81" s="39" t="s">
        <v>87</v>
      </c>
      <c r="AG81" s="43">
        <v>6724.38</v>
      </c>
      <c r="AH81" s="39" t="s">
        <v>105</v>
      </c>
      <c r="AI81" s="39" t="s">
        <v>73</v>
      </c>
      <c r="AJ81" s="48">
        <f>IF(Q81&lt;&gt;"",Q81,IF(K81&lt;&gt;"",K81,""))</f>
        <v>46129</v>
      </c>
      <c r="AK81" s="46" t="str">
        <f>IF(K81&lt;&gt;"","Sim","")</f>
        <v>Sim</v>
      </c>
      <c r="AL81" s="46" t="str">
        <f>IF(A81="","",TEXT(A81,"000000")&amp;"-"&amp;IF(C81="Entrada","CR","DB"))</f>
        <v>000080-DB</v>
      </c>
      <c r="AM81" s="46" t="str">
        <f>IF(A81="","",LEFT(IF(H81&lt;&gt;"",H81,G81)&amp;" | "&amp;G81&amp;" | "&amp;S81,60))</f>
        <v>material FERRO: KIT Parede e Laje - FOB na Fabrica | materia</v>
      </c>
    </row>
    <row r="82" spans="1:39" ht="43.2" x14ac:dyDescent="0.3">
      <c r="A82" s="39">
        <v>81</v>
      </c>
      <c r="B82" s="39" t="s">
        <v>2</v>
      </c>
      <c r="C82" s="39" t="s">
        <v>74</v>
      </c>
      <c r="D82" s="39" t="s">
        <v>98</v>
      </c>
      <c r="E82" s="39" t="s">
        <v>99</v>
      </c>
      <c r="F82" s="39" t="s">
        <v>100</v>
      </c>
      <c r="G82" s="39" t="s">
        <v>253</v>
      </c>
      <c r="H82" s="40"/>
      <c r="I82" s="40"/>
      <c r="J82" s="40"/>
      <c r="K82" s="42">
        <v>46129</v>
      </c>
      <c r="L82" s="42"/>
      <c r="M82" s="44"/>
      <c r="N82" s="40"/>
      <c r="O82" s="40"/>
      <c r="P82" s="40"/>
      <c r="Q82" s="42">
        <f>IF(K82="","",K82)</f>
        <v>46129</v>
      </c>
      <c r="R82" s="39" t="s">
        <v>98</v>
      </c>
      <c r="S82" s="39" t="s">
        <v>102</v>
      </c>
      <c r="T82" s="39" t="s">
        <v>103</v>
      </c>
      <c r="U82" s="39" t="s">
        <v>104</v>
      </c>
      <c r="V82" s="39">
        <v>52</v>
      </c>
      <c r="W82" s="39" t="s">
        <v>210</v>
      </c>
      <c r="X82" s="41">
        <v>46118</v>
      </c>
      <c r="Y82" s="41">
        <v>46129</v>
      </c>
      <c r="Z82" s="43">
        <v>19437.767131594901</v>
      </c>
      <c r="AA82" s="45">
        <f>IF(M82&lt;&gt;"",M82,Z82)</f>
        <v>19437.767131594901</v>
      </c>
      <c r="AB82" s="46" t="str">
        <f>IF(L82&lt;&gt;"","Realizado","Previsto")</f>
        <v>Previsto</v>
      </c>
      <c r="AC82" s="47">
        <v>0.14453203961997169</v>
      </c>
      <c r="AD82" s="43">
        <v>134487.6</v>
      </c>
      <c r="AE82" s="39">
        <v>20</v>
      </c>
      <c r="AF82" s="39" t="s">
        <v>87</v>
      </c>
      <c r="AG82" s="43">
        <v>6724.38</v>
      </c>
      <c r="AH82" s="39" t="s">
        <v>105</v>
      </c>
      <c r="AI82" s="39" t="s">
        <v>73</v>
      </c>
      <c r="AJ82" s="48">
        <f>IF(Q82&lt;&gt;"",Q82,IF(K82&lt;&gt;"",K82,""))</f>
        <v>46129</v>
      </c>
      <c r="AK82" s="46" t="str">
        <f>IF(K82&lt;&gt;"","Sim","")</f>
        <v>Sim</v>
      </c>
      <c r="AL82" s="46" t="str">
        <f>IF(A82="","",TEXT(A82,"000000")&amp;"-"&amp;IF(C82="Entrada","CR","DB"))</f>
        <v>000081-DB</v>
      </c>
      <c r="AM82" s="46" t="str">
        <f>IF(A82="","",LEFT(IF(H82&lt;&gt;"",H82,G82)&amp;" | "&amp;G82&amp;" | "&amp;S82,60))</f>
        <v>material FERRO: KIT Parede e Laje - FOB na Fabrica | materia</v>
      </c>
    </row>
    <row r="83" spans="1:39" ht="43.2" x14ac:dyDescent="0.3">
      <c r="A83" s="39">
        <v>82</v>
      </c>
      <c r="B83" s="39" t="s">
        <v>2</v>
      </c>
      <c r="C83" s="39" t="s">
        <v>74</v>
      </c>
      <c r="D83" s="39" t="s">
        <v>98</v>
      </c>
      <c r="E83" s="39" t="s">
        <v>99</v>
      </c>
      <c r="F83" s="39" t="s">
        <v>100</v>
      </c>
      <c r="G83" s="39" t="s">
        <v>253</v>
      </c>
      <c r="H83" s="40"/>
      <c r="I83" s="40"/>
      <c r="J83" s="40"/>
      <c r="K83" s="42">
        <v>46129</v>
      </c>
      <c r="L83" s="42"/>
      <c r="M83" s="44"/>
      <c r="N83" s="40"/>
      <c r="O83" s="40"/>
      <c r="P83" s="40"/>
      <c r="Q83" s="42">
        <f>IF(K83="","",K83)</f>
        <v>46129</v>
      </c>
      <c r="R83" s="39" t="s">
        <v>98</v>
      </c>
      <c r="S83" s="39" t="s">
        <v>102</v>
      </c>
      <c r="T83" s="39" t="s">
        <v>103</v>
      </c>
      <c r="U83" s="39" t="s">
        <v>106</v>
      </c>
      <c r="V83" s="39">
        <v>53</v>
      </c>
      <c r="W83" s="39" t="s">
        <v>210</v>
      </c>
      <c r="X83" s="41">
        <v>46118</v>
      </c>
      <c r="Y83" s="41">
        <v>46129</v>
      </c>
      <c r="Z83" s="43">
        <v>23325.320557913881</v>
      </c>
      <c r="AA83" s="45">
        <f>IF(M83&lt;&gt;"",M83,Z83)</f>
        <v>23325.320557913881</v>
      </c>
      <c r="AB83" s="46" t="str">
        <f>IF(L83&lt;&gt;"","Realizado","Previsto")</f>
        <v>Previsto</v>
      </c>
      <c r="AC83" s="47">
        <v>0.14453203961997169</v>
      </c>
      <c r="AD83" s="43">
        <v>161385.12</v>
      </c>
      <c r="AE83" s="39">
        <v>24</v>
      </c>
      <c r="AF83" s="39" t="s">
        <v>87</v>
      </c>
      <c r="AG83" s="43">
        <v>6724.38</v>
      </c>
      <c r="AH83" s="39" t="s">
        <v>105</v>
      </c>
      <c r="AI83" s="39" t="s">
        <v>73</v>
      </c>
      <c r="AJ83" s="48">
        <f>IF(Q83&lt;&gt;"",Q83,IF(K83&lt;&gt;"",K83,""))</f>
        <v>46129</v>
      </c>
      <c r="AK83" s="46" t="str">
        <f>IF(K83&lt;&gt;"","Sim","")</f>
        <v>Sim</v>
      </c>
      <c r="AL83" s="46" t="str">
        <f>IF(A83="","",TEXT(A83,"000000")&amp;"-"&amp;IF(C83="Entrada","CR","DB"))</f>
        <v>000082-DB</v>
      </c>
      <c r="AM83" s="46" t="str">
        <f>IF(A83="","",LEFT(IF(H83&lt;&gt;"",H83,G83)&amp;" | "&amp;G83&amp;" | "&amp;S83,60))</f>
        <v>material FERRO: KIT Parede e Laje - FOB na Fabrica | materia</v>
      </c>
    </row>
    <row r="84" spans="1:39" ht="43.2" x14ac:dyDescent="0.3">
      <c r="A84" s="39">
        <v>83</v>
      </c>
      <c r="B84" s="39" t="s">
        <v>2</v>
      </c>
      <c r="C84" s="39" t="s">
        <v>74</v>
      </c>
      <c r="D84" s="39" t="s">
        <v>254</v>
      </c>
      <c r="E84" s="39" t="s">
        <v>254</v>
      </c>
      <c r="F84" s="39" t="s">
        <v>109</v>
      </c>
      <c r="G84" s="39" t="s">
        <v>255</v>
      </c>
      <c r="H84" s="40"/>
      <c r="I84" s="40"/>
      <c r="J84" s="40"/>
      <c r="K84" s="42">
        <v>46129</v>
      </c>
      <c r="L84" s="42"/>
      <c r="M84" s="44"/>
      <c r="N84" s="40"/>
      <c r="O84" s="40"/>
      <c r="P84" s="40"/>
      <c r="Q84" s="42">
        <f>IF(K84="","",K84)</f>
        <v>46129</v>
      </c>
      <c r="R84" s="39" t="s">
        <v>254</v>
      </c>
      <c r="S84" s="39" t="s">
        <v>256</v>
      </c>
      <c r="T84" s="39" t="s">
        <v>257</v>
      </c>
      <c r="U84" s="39" t="s">
        <v>215</v>
      </c>
      <c r="V84" s="39">
        <v>121</v>
      </c>
      <c r="W84" s="39" t="s">
        <v>210</v>
      </c>
      <c r="X84" s="41">
        <v>46118</v>
      </c>
      <c r="Y84" s="41">
        <v>46129</v>
      </c>
      <c r="Z84" s="43">
        <v>8462.6841600000007</v>
      </c>
      <c r="AA84" s="45">
        <f>IF(M84&lt;&gt;"",M84,Z84)</f>
        <v>8462.6841600000007</v>
      </c>
      <c r="AB84" s="46" t="str">
        <f>IF(L84&lt;&gt;"","Realizado","Previsto")</f>
        <v>Previsto</v>
      </c>
      <c r="AC84" s="47">
        <v>9.3700000000000006E-2</v>
      </c>
      <c r="AD84" s="43">
        <v>90316.800000000003</v>
      </c>
      <c r="AE84" s="39">
        <v>2580.48</v>
      </c>
      <c r="AF84" s="39" t="s">
        <v>203</v>
      </c>
      <c r="AG84" s="43">
        <v>35</v>
      </c>
      <c r="AH84" s="39" t="s">
        <v>258</v>
      </c>
      <c r="AI84" s="39" t="s">
        <v>73</v>
      </c>
      <c r="AJ84" s="48">
        <f>IF(Q84&lt;&gt;"",Q84,IF(K84&lt;&gt;"",K84,""))</f>
        <v>46129</v>
      </c>
      <c r="AK84" s="46" t="str">
        <f>IF(K84&lt;&gt;"","Sim","")</f>
        <v>Sim</v>
      </c>
      <c r="AL84" s="46" t="str">
        <f>IF(A84="","",TEXT(A84,"000000")&amp;"-"&amp;IF(C84="Entrada","CR","DB"))</f>
        <v>000083-DB</v>
      </c>
      <c r="AM84" s="46" t="str">
        <f>IF(A84="","",LEFT(IF(H84&lt;&gt;"",H84,G84)&amp;" | "&amp;G84&amp;" | "&amp;S84,60))</f>
        <v>Mao de obra terceirizada assentamento Ceramica | Mao de obra</v>
      </c>
    </row>
    <row r="85" spans="1:39" ht="43.2" x14ac:dyDescent="0.3">
      <c r="A85" s="39">
        <v>84</v>
      </c>
      <c r="B85" s="39" t="s">
        <v>2</v>
      </c>
      <c r="C85" s="39" t="s">
        <v>74</v>
      </c>
      <c r="D85" s="39" t="s">
        <v>107</v>
      </c>
      <c r="E85" s="39" t="s">
        <v>108</v>
      </c>
      <c r="F85" s="39" t="s">
        <v>173</v>
      </c>
      <c r="G85" s="39" t="s">
        <v>174</v>
      </c>
      <c r="H85" s="40"/>
      <c r="I85" s="40"/>
      <c r="J85" s="40"/>
      <c r="K85" s="42">
        <v>46129</v>
      </c>
      <c r="L85" s="42"/>
      <c r="M85" s="44"/>
      <c r="N85" s="40"/>
      <c r="O85" s="40"/>
      <c r="P85" s="40"/>
      <c r="Q85" s="42">
        <f>IF(K85="","",K85)</f>
        <v>46129</v>
      </c>
      <c r="R85" s="39" t="s">
        <v>107</v>
      </c>
      <c r="S85" s="39" t="s">
        <v>111</v>
      </c>
      <c r="T85" s="39" t="s">
        <v>175</v>
      </c>
      <c r="U85" s="39" t="s">
        <v>176</v>
      </c>
      <c r="V85" s="39">
        <v>30</v>
      </c>
      <c r="W85" s="39" t="s">
        <v>210</v>
      </c>
      <c r="X85" s="41">
        <v>46118</v>
      </c>
      <c r="Y85" s="41">
        <v>46129</v>
      </c>
      <c r="Z85" s="43">
        <v>4400</v>
      </c>
      <c r="AA85" s="45">
        <f>IF(M85&lt;&gt;"",M85,Z85)</f>
        <v>4400</v>
      </c>
      <c r="AB85" s="46" t="str">
        <f>IF(L85&lt;&gt;"","Realizado","Previsto")</f>
        <v>Previsto</v>
      </c>
      <c r="AC85" s="47">
        <v>0.25</v>
      </c>
      <c r="AD85" s="43">
        <v>17600</v>
      </c>
      <c r="AE85" s="39">
        <v>8</v>
      </c>
      <c r="AF85" s="39" t="s">
        <v>113</v>
      </c>
      <c r="AG85" s="43">
        <v>2200</v>
      </c>
      <c r="AH85" s="39" t="s">
        <v>177</v>
      </c>
      <c r="AI85" s="39" t="s">
        <v>73</v>
      </c>
      <c r="AJ85" s="48">
        <f>IF(Q85&lt;&gt;"",Q85,IF(K85&lt;&gt;"",K85,""))</f>
        <v>46129</v>
      </c>
      <c r="AK85" s="46" t="str">
        <f>IF(K85&lt;&gt;"","Sim","")</f>
        <v>Sim</v>
      </c>
      <c r="AL85" s="46" t="str">
        <f>IF(A85="","",TEXT(A85,"000000")&amp;"-"&amp;IF(C85="Entrada","CR","DB"))</f>
        <v>000084-DB</v>
      </c>
      <c r="AM85" s="46" t="str">
        <f>IF(A85="","",LEFT(IF(H85&lt;&gt;"",H85,G85)&amp;" | "&amp;G85&amp;" | "&amp;S85,60))</f>
        <v>Bomba de concreto  ( Taxa divide 1 casa e 1 radier ) | Bomba</v>
      </c>
    </row>
    <row r="86" spans="1:39" ht="43.2" x14ac:dyDescent="0.3">
      <c r="A86" s="39">
        <v>85</v>
      </c>
      <c r="B86" s="39" t="s">
        <v>2</v>
      </c>
      <c r="C86" s="39" t="s">
        <v>74</v>
      </c>
      <c r="D86" s="39" t="s">
        <v>107</v>
      </c>
      <c r="E86" s="39" t="s">
        <v>108</v>
      </c>
      <c r="F86" s="39" t="s">
        <v>178</v>
      </c>
      <c r="G86" s="39" t="s">
        <v>179</v>
      </c>
      <c r="H86" s="40"/>
      <c r="I86" s="40"/>
      <c r="J86" s="40"/>
      <c r="K86" s="42">
        <v>46129</v>
      </c>
      <c r="L86" s="42"/>
      <c r="M86" s="44"/>
      <c r="N86" s="40"/>
      <c r="O86" s="40"/>
      <c r="P86" s="40"/>
      <c r="Q86" s="42">
        <f>IF(K86="","",K86)</f>
        <v>46129</v>
      </c>
      <c r="R86" s="39" t="s">
        <v>107</v>
      </c>
      <c r="S86" s="39" t="s">
        <v>111</v>
      </c>
      <c r="T86" s="39" t="s">
        <v>180</v>
      </c>
      <c r="U86" s="39" t="s">
        <v>181</v>
      </c>
      <c r="V86" s="39">
        <v>31</v>
      </c>
      <c r="W86" s="39" t="s">
        <v>210</v>
      </c>
      <c r="X86" s="41">
        <v>46118</v>
      </c>
      <c r="Y86" s="41">
        <v>46129</v>
      </c>
      <c r="Z86" s="43">
        <v>16921.486400000002</v>
      </c>
      <c r="AA86" s="45">
        <f>IF(M86&lt;&gt;"",M86,Z86)</f>
        <v>16921.486400000002</v>
      </c>
      <c r="AB86" s="46" t="str">
        <f>IF(L86&lt;&gt;"","Realizado","Previsto")</f>
        <v>Previsto</v>
      </c>
      <c r="AC86" s="47">
        <v>0.5</v>
      </c>
      <c r="AD86" s="43">
        <v>33842.972800000003</v>
      </c>
      <c r="AE86" s="39">
        <v>371.9008</v>
      </c>
      <c r="AF86" s="39" t="s">
        <v>182</v>
      </c>
      <c r="AG86" s="43">
        <v>91</v>
      </c>
      <c r="AH86" s="39" t="s">
        <v>183</v>
      </c>
      <c r="AI86" s="39" t="s">
        <v>73</v>
      </c>
      <c r="AJ86" s="48">
        <f>IF(Q86&lt;&gt;"",Q86,IF(K86&lt;&gt;"",K86,""))</f>
        <v>46129</v>
      </c>
      <c r="AK86" s="46" t="str">
        <f>IF(K86&lt;&gt;"","Sim","")</f>
        <v>Sim</v>
      </c>
      <c r="AL86" s="46" t="str">
        <f>IF(A86="","",TEXT(A86,"000000")&amp;"-"&amp;IF(C86="Entrada","CR","DB"))</f>
        <v>000085-DB</v>
      </c>
      <c r="AM86" s="46" t="str">
        <f>IF(A86="","",LEFT(IF(H86&lt;&gt;"",H86,G86)&amp;" | "&amp;G86&amp;" | "&amp;S86,60))</f>
        <v>Brita graduada (lastro para nivelamento) - 10 cm esp.; 15% p</v>
      </c>
    </row>
    <row r="87" spans="1:39" ht="43.2" x14ac:dyDescent="0.3">
      <c r="A87" s="39">
        <v>86</v>
      </c>
      <c r="B87" s="39" t="s">
        <v>2</v>
      </c>
      <c r="C87" s="39" t="s">
        <v>74</v>
      </c>
      <c r="D87" s="39" t="s">
        <v>107</v>
      </c>
      <c r="E87" s="39" t="s">
        <v>108</v>
      </c>
      <c r="F87" s="39" t="s">
        <v>173</v>
      </c>
      <c r="G87" s="39" t="s">
        <v>188</v>
      </c>
      <c r="H87" s="40"/>
      <c r="I87" s="40"/>
      <c r="J87" s="40"/>
      <c r="K87" s="42">
        <v>46129</v>
      </c>
      <c r="L87" s="42"/>
      <c r="M87" s="44"/>
      <c r="N87" s="40"/>
      <c r="O87" s="40"/>
      <c r="P87" s="40"/>
      <c r="Q87" s="42">
        <f>IF(K87="","",K87)</f>
        <v>46129</v>
      </c>
      <c r="R87" s="39" t="s">
        <v>107</v>
      </c>
      <c r="S87" s="39" t="s">
        <v>111</v>
      </c>
      <c r="T87" s="39" t="s">
        <v>175</v>
      </c>
      <c r="U87" s="39" t="s">
        <v>189</v>
      </c>
      <c r="V87" s="39">
        <v>29</v>
      </c>
      <c r="W87" s="39" t="s">
        <v>210</v>
      </c>
      <c r="X87" s="41">
        <v>46118</v>
      </c>
      <c r="Y87" s="41">
        <v>46129</v>
      </c>
      <c r="Z87" s="43">
        <v>79635.199999999997</v>
      </c>
      <c r="AA87" s="45">
        <f>IF(M87&lt;&gt;"",M87,Z87)</f>
        <v>79635.199999999997</v>
      </c>
      <c r="AB87" s="46" t="str">
        <f>IF(L87&lt;&gt;"","Realizado","Previsto")</f>
        <v>Previsto</v>
      </c>
      <c r="AC87" s="47">
        <v>0.25</v>
      </c>
      <c r="AD87" s="43">
        <v>318540.79999999999</v>
      </c>
      <c r="AE87" s="39">
        <v>512</v>
      </c>
      <c r="AF87" s="39" t="s">
        <v>182</v>
      </c>
      <c r="AG87" s="43">
        <v>622.15</v>
      </c>
      <c r="AH87" s="39" t="s">
        <v>177</v>
      </c>
      <c r="AI87" s="39" t="s">
        <v>73</v>
      </c>
      <c r="AJ87" s="48">
        <f>IF(Q87&lt;&gt;"",Q87,IF(K87&lt;&gt;"",K87,""))</f>
        <v>46129</v>
      </c>
      <c r="AK87" s="46" t="str">
        <f>IF(K87&lt;&gt;"","Sim","")</f>
        <v>Sim</v>
      </c>
      <c r="AL87" s="46" t="str">
        <f>IF(A87="","",TEXT(A87,"000000")&amp;"-"&amp;IF(C87="Entrada","CR","DB"))</f>
        <v>000086-DB</v>
      </c>
      <c r="AM87" s="46" t="str">
        <f>IF(A87="","",LEFT(IF(H87&lt;&gt;"",H87,G87)&amp;" | "&amp;G87&amp;" | "&amp;S87,60))</f>
        <v>Concreto Usinado fck - 25 Mpa ( Com perda de 10%) - SEM IMPE</v>
      </c>
    </row>
    <row r="88" spans="1:39" ht="43.2" x14ac:dyDescent="0.3">
      <c r="A88" s="39">
        <v>87</v>
      </c>
      <c r="B88" s="39" t="s">
        <v>2</v>
      </c>
      <c r="C88" s="39" t="s">
        <v>74</v>
      </c>
      <c r="D88" s="39" t="s">
        <v>107</v>
      </c>
      <c r="E88" s="39" t="s">
        <v>108</v>
      </c>
      <c r="F88" s="39" t="s">
        <v>192</v>
      </c>
      <c r="G88" s="39" t="s">
        <v>193</v>
      </c>
      <c r="H88" s="40"/>
      <c r="I88" s="40"/>
      <c r="J88" s="40"/>
      <c r="K88" s="42">
        <v>46129</v>
      </c>
      <c r="L88" s="42"/>
      <c r="M88" s="44"/>
      <c r="N88" s="40"/>
      <c r="O88" s="40"/>
      <c r="P88" s="40"/>
      <c r="Q88" s="42">
        <f>IF(K88="","",K88)</f>
        <v>46129</v>
      </c>
      <c r="R88" s="39" t="s">
        <v>107</v>
      </c>
      <c r="S88" s="39" t="s">
        <v>111</v>
      </c>
      <c r="T88" s="39" t="s">
        <v>194</v>
      </c>
      <c r="U88" s="39"/>
      <c r="V88" s="39">
        <v>35</v>
      </c>
      <c r="W88" s="39" t="s">
        <v>210</v>
      </c>
      <c r="X88" s="41">
        <v>46118</v>
      </c>
      <c r="Y88" s="41">
        <v>46129</v>
      </c>
      <c r="Z88" s="43">
        <v>2240</v>
      </c>
      <c r="AA88" s="45">
        <f>IF(M88&lt;&gt;"",M88,Z88)</f>
        <v>2240</v>
      </c>
      <c r="AB88" s="46" t="str">
        <f>IF(L88&lt;&gt;"","Realizado","Previsto")</f>
        <v>Previsto</v>
      </c>
      <c r="AC88" s="47">
        <v>0.5</v>
      </c>
      <c r="AD88" s="43">
        <v>4480</v>
      </c>
      <c r="AE88" s="39">
        <v>64</v>
      </c>
      <c r="AF88" s="39" t="s">
        <v>87</v>
      </c>
      <c r="AG88" s="43">
        <v>70</v>
      </c>
      <c r="AH88" s="39" t="s">
        <v>195</v>
      </c>
      <c r="AI88" s="39" t="s">
        <v>73</v>
      </c>
      <c r="AJ88" s="48">
        <f>IF(Q88&lt;&gt;"",Q88,IF(K88&lt;&gt;"",K88,""))</f>
        <v>46129</v>
      </c>
      <c r="AK88" s="46" t="str">
        <f>IF(K88&lt;&gt;"","Sim","")</f>
        <v>Sim</v>
      </c>
      <c r="AL88" s="46" t="str">
        <f>IF(A88="","",TEXT(A88,"000000")&amp;"-"&amp;IF(C88="Entrada","CR","DB"))</f>
        <v>000087-DB</v>
      </c>
      <c r="AM88" s="46" t="str">
        <f>IF(A88="","",LEFT(IF(H88&lt;&gt;"",H88,G88)&amp;" | "&amp;G88&amp;" | "&amp;S88,60))</f>
        <v>Ensaio compreesão corpo prova | Ensaio compreesão corpo prov</v>
      </c>
    </row>
    <row r="89" spans="1:39" ht="43.2" x14ac:dyDescent="0.3">
      <c r="A89" s="39">
        <v>88</v>
      </c>
      <c r="B89" s="39" t="s">
        <v>2</v>
      </c>
      <c r="C89" s="39" t="s">
        <v>74</v>
      </c>
      <c r="D89" s="39" t="s">
        <v>107</v>
      </c>
      <c r="E89" s="39" t="s">
        <v>108</v>
      </c>
      <c r="F89" s="39" t="s">
        <v>115</v>
      </c>
      <c r="G89" s="39" t="s">
        <v>116</v>
      </c>
      <c r="H89" s="40"/>
      <c r="I89" s="40"/>
      <c r="J89" s="40"/>
      <c r="K89" s="42">
        <v>46129</v>
      </c>
      <c r="L89" s="42"/>
      <c r="M89" s="44"/>
      <c r="N89" s="40"/>
      <c r="O89" s="40"/>
      <c r="P89" s="40"/>
      <c r="Q89" s="42">
        <f>IF(K89="","",K89)</f>
        <v>46129</v>
      </c>
      <c r="R89" s="39" t="s">
        <v>107</v>
      </c>
      <c r="S89" s="39" t="s">
        <v>111</v>
      </c>
      <c r="T89" s="39" t="s">
        <v>117</v>
      </c>
      <c r="U89" s="39"/>
      <c r="V89" s="39">
        <v>44</v>
      </c>
      <c r="W89" s="39" t="s">
        <v>210</v>
      </c>
      <c r="X89" s="41">
        <v>46118</v>
      </c>
      <c r="Y89" s="41">
        <v>46129</v>
      </c>
      <c r="Z89" s="43">
        <v>1267.2</v>
      </c>
      <c r="AA89" s="45">
        <f>IF(M89&lt;&gt;"",M89,Z89)</f>
        <v>1267.2</v>
      </c>
      <c r="AB89" s="46" t="str">
        <f>IF(L89&lt;&gt;"","Realizado","Previsto")</f>
        <v>Previsto</v>
      </c>
      <c r="AC89" s="47">
        <v>0.3</v>
      </c>
      <c r="AD89" s="43">
        <v>4224</v>
      </c>
      <c r="AE89" s="39">
        <v>704</v>
      </c>
      <c r="AF89" s="39" t="s">
        <v>118</v>
      </c>
      <c r="AG89" s="43">
        <v>6</v>
      </c>
      <c r="AH89" s="39" t="s">
        <v>119</v>
      </c>
      <c r="AI89" s="39" t="s">
        <v>73</v>
      </c>
      <c r="AJ89" s="48">
        <f>IF(Q89&lt;&gt;"",Q89,IF(K89&lt;&gt;"",K89,""))</f>
        <v>46129</v>
      </c>
      <c r="AK89" s="46" t="str">
        <f>IF(K89&lt;&gt;"","Sim","")</f>
        <v>Sim</v>
      </c>
      <c r="AL89" s="46" t="str">
        <f>IF(A89="","",TEXT(A89,"000000")&amp;"-"&amp;IF(C89="Entrada","CR","DB"))</f>
        <v>000088-DB</v>
      </c>
      <c r="AM89" s="46" t="str">
        <f>IF(A89="","",LEFT(IF(H89&lt;&gt;"",H89,G89)&amp;" | "&amp;G89&amp;" | "&amp;S89,60))</f>
        <v xml:space="preserve">ripas de 5cm x 2,7m de 25mm | ripas de 5cm x 2,7m de 25mm | </v>
      </c>
    </row>
    <row r="90" spans="1:39" ht="43.2" x14ac:dyDescent="0.3">
      <c r="A90" s="39">
        <v>89</v>
      </c>
      <c r="B90" s="39" t="s">
        <v>2</v>
      </c>
      <c r="C90" s="39" t="s">
        <v>74</v>
      </c>
      <c r="D90" s="39" t="s">
        <v>120</v>
      </c>
      <c r="E90" s="39" t="s">
        <v>120</v>
      </c>
      <c r="F90" s="39" t="s">
        <v>120</v>
      </c>
      <c r="G90" s="39" t="s">
        <v>121</v>
      </c>
      <c r="H90" s="40"/>
      <c r="I90" s="40"/>
      <c r="J90" s="40"/>
      <c r="K90" s="42">
        <v>46129</v>
      </c>
      <c r="L90" s="42"/>
      <c r="M90" s="44"/>
      <c r="N90" s="40"/>
      <c r="O90" s="40"/>
      <c r="P90" s="40"/>
      <c r="Q90" s="42">
        <f>IF(K90="","",K90)</f>
        <v>46129</v>
      </c>
      <c r="R90" s="39" t="s">
        <v>120</v>
      </c>
      <c r="S90" s="39" t="s">
        <v>122</v>
      </c>
      <c r="T90" s="39" t="s">
        <v>123</v>
      </c>
      <c r="U90" s="39"/>
      <c r="V90" s="39">
        <v>267</v>
      </c>
      <c r="W90" s="39" t="s">
        <v>210</v>
      </c>
      <c r="X90" s="41">
        <v>46118</v>
      </c>
      <c r="Y90" s="41">
        <v>46129</v>
      </c>
      <c r="Z90" s="43">
        <v>590384.72466319997</v>
      </c>
      <c r="AA90" s="45">
        <f>IF(M90&lt;&gt;"",M90,Z90)</f>
        <v>590384.72466319997</v>
      </c>
      <c r="AB90" s="46" t="str">
        <f>IF(L90&lt;&gt;"","Realizado","Previsto")</f>
        <v>Previsto</v>
      </c>
      <c r="AC90" s="47"/>
      <c r="AD90" s="43">
        <v>5780911.3615999985</v>
      </c>
      <c r="AE90" s="39"/>
      <c r="AF90" s="39" t="s">
        <v>79</v>
      </c>
      <c r="AG90" s="43"/>
      <c r="AH90" s="39"/>
      <c r="AI90" s="39" t="s">
        <v>73</v>
      </c>
      <c r="AJ90" s="48">
        <f>IF(Q90&lt;&gt;"",Q90,IF(K90&lt;&gt;"",K90,""))</f>
        <v>46129</v>
      </c>
      <c r="AK90" s="46" t="str">
        <f>IF(K90&lt;&gt;"","Sim","")</f>
        <v>Sim</v>
      </c>
      <c r="AL90" s="46" t="str">
        <f>IF(A90="","",TEXT(A90,"000000")&amp;"-"&amp;IF(C90="Entrada","CR","DB"))</f>
        <v>000089-DB</v>
      </c>
      <c r="AM90" s="46" t="str">
        <f>IF(A90="","",LEFT(IF(H90&lt;&gt;"",H90,G90)&amp;" | "&amp;G90&amp;" | "&amp;S90,60))</f>
        <v>TOTALIZADOR CUSTO GLOBAIS OBRAS - MENSAL | TOTALIZADOR CUSTO</v>
      </c>
    </row>
    <row r="91" spans="1:39" ht="43.2" x14ac:dyDescent="0.3">
      <c r="A91" s="39">
        <v>90</v>
      </c>
      <c r="B91" s="39" t="s">
        <v>2</v>
      </c>
      <c r="C91" s="39" t="s">
        <v>74</v>
      </c>
      <c r="D91" s="39" t="s">
        <v>259</v>
      </c>
      <c r="E91" s="39" t="s">
        <v>260</v>
      </c>
      <c r="F91" s="39" t="s">
        <v>109</v>
      </c>
      <c r="G91" s="39" t="s">
        <v>261</v>
      </c>
      <c r="H91" s="40"/>
      <c r="I91" s="40"/>
      <c r="J91" s="40"/>
      <c r="K91" s="42">
        <v>46129</v>
      </c>
      <c r="L91" s="42"/>
      <c r="M91" s="44"/>
      <c r="N91" s="40"/>
      <c r="O91" s="40"/>
      <c r="P91" s="40"/>
      <c r="Q91" s="42">
        <f>IF(K91="","",K91)</f>
        <v>46129</v>
      </c>
      <c r="R91" s="39" t="s">
        <v>259</v>
      </c>
      <c r="S91" s="39" t="s">
        <v>262</v>
      </c>
      <c r="T91" s="39" t="s">
        <v>263</v>
      </c>
      <c r="U91" s="39" t="s">
        <v>215</v>
      </c>
      <c r="V91" s="39">
        <v>128</v>
      </c>
      <c r="W91" s="39" t="s">
        <v>210</v>
      </c>
      <c r="X91" s="41">
        <v>46118</v>
      </c>
      <c r="Y91" s="41">
        <v>46129</v>
      </c>
      <c r="Z91" s="43">
        <v>299.83999999999997</v>
      </c>
      <c r="AA91" s="45">
        <f>IF(M91&lt;&gt;"",M91,Z91)</f>
        <v>299.83999999999997</v>
      </c>
      <c r="AB91" s="46" t="str">
        <f>IF(L91&lt;&gt;"","Realizado","Previsto")</f>
        <v>Previsto</v>
      </c>
      <c r="AC91" s="47">
        <v>9.3700000000000006E-2</v>
      </c>
      <c r="AD91" s="43">
        <v>3200</v>
      </c>
      <c r="AE91" s="39">
        <v>64</v>
      </c>
      <c r="AF91" s="39" t="s">
        <v>87</v>
      </c>
      <c r="AG91" s="43">
        <v>50</v>
      </c>
      <c r="AH91" s="39" t="s">
        <v>264</v>
      </c>
      <c r="AI91" s="39" t="s">
        <v>73</v>
      </c>
      <c r="AJ91" s="48">
        <f>IF(Q91&lt;&gt;"",Q91,IF(K91&lt;&gt;"",K91,""))</f>
        <v>46129</v>
      </c>
      <c r="AK91" s="46" t="str">
        <f>IF(K91&lt;&gt;"","Sim","")</f>
        <v>Sim</v>
      </c>
      <c r="AL91" s="46" t="str">
        <f>IF(A91="","",TEXT(A91,"000000")&amp;"-"&amp;IF(C91="Entrada","CR","DB"))</f>
        <v>000090-DB</v>
      </c>
      <c r="AM91" s="46" t="str">
        <f>IF(A91="","",LEFT(IF(H91&lt;&gt;"",H91,G91)&amp;" | "&amp;G91&amp;" | "&amp;S91,60))</f>
        <v>Assentamento Soleira em basalto  0,84 x 0,125 x 0,02 - cozin</v>
      </c>
    </row>
    <row r="92" spans="1:39" ht="43.2" x14ac:dyDescent="0.3">
      <c r="A92" s="39">
        <v>91</v>
      </c>
      <c r="B92" s="39" t="s">
        <v>2</v>
      </c>
      <c r="C92" s="39" t="s">
        <v>74</v>
      </c>
      <c r="D92" s="39" t="s">
        <v>259</v>
      </c>
      <c r="E92" s="39" t="s">
        <v>260</v>
      </c>
      <c r="F92" s="39" t="s">
        <v>109</v>
      </c>
      <c r="G92" s="39" t="s">
        <v>265</v>
      </c>
      <c r="H92" s="40"/>
      <c r="I92" s="40"/>
      <c r="J92" s="40"/>
      <c r="K92" s="42">
        <v>46129</v>
      </c>
      <c r="L92" s="42"/>
      <c r="M92" s="44"/>
      <c r="N92" s="40"/>
      <c r="O92" s="40"/>
      <c r="P92" s="40"/>
      <c r="Q92" s="42">
        <f>IF(K92="","",K92)</f>
        <v>46129</v>
      </c>
      <c r="R92" s="39" t="s">
        <v>259</v>
      </c>
      <c r="S92" s="39" t="s">
        <v>262</v>
      </c>
      <c r="T92" s="39" t="s">
        <v>263</v>
      </c>
      <c r="U92" s="39" t="s">
        <v>215</v>
      </c>
      <c r="V92" s="39">
        <v>127</v>
      </c>
      <c r="W92" s="39" t="s">
        <v>210</v>
      </c>
      <c r="X92" s="41">
        <v>46118</v>
      </c>
      <c r="Y92" s="41">
        <v>46129</v>
      </c>
      <c r="Z92" s="43">
        <v>299.83999999999997</v>
      </c>
      <c r="AA92" s="45">
        <f>IF(M92&lt;&gt;"",M92,Z92)</f>
        <v>299.83999999999997</v>
      </c>
      <c r="AB92" s="46" t="str">
        <f>IF(L92&lt;&gt;"","Realizado","Previsto")</f>
        <v>Previsto</v>
      </c>
      <c r="AC92" s="47">
        <v>9.3700000000000006E-2</v>
      </c>
      <c r="AD92" s="43">
        <v>3200</v>
      </c>
      <c r="AE92" s="39">
        <v>64</v>
      </c>
      <c r="AF92" s="39" t="s">
        <v>87</v>
      </c>
      <c r="AG92" s="43">
        <v>50</v>
      </c>
      <c r="AH92" s="39" t="s">
        <v>264</v>
      </c>
      <c r="AI92" s="39" t="s">
        <v>73</v>
      </c>
      <c r="AJ92" s="48">
        <f>IF(Q92&lt;&gt;"",Q92,IF(K92&lt;&gt;"",K92,""))</f>
        <v>46129</v>
      </c>
      <c r="AK92" s="46" t="str">
        <f>IF(K92&lt;&gt;"","Sim","")</f>
        <v>Sim</v>
      </c>
      <c r="AL92" s="46" t="str">
        <f>IF(A92="","",TEXT(A92,"000000")&amp;"-"&amp;IF(C92="Entrada","CR","DB"))</f>
        <v>000091-DB</v>
      </c>
      <c r="AM92" s="46" t="str">
        <f>IF(A92="","",LEFT(IF(H92&lt;&gt;"",H92,G92)&amp;" | "&amp;G92&amp;" | "&amp;S92,60))</f>
        <v>Assentamento Soleira em basalto  0,94 x 0,125 x 0,02 - entra</v>
      </c>
    </row>
    <row r="93" spans="1:39" ht="43.2" x14ac:dyDescent="0.3">
      <c r="A93" s="39">
        <v>92</v>
      </c>
      <c r="B93" s="39" t="s">
        <v>2</v>
      </c>
      <c r="C93" s="39" t="s">
        <v>74</v>
      </c>
      <c r="D93" s="39" t="s">
        <v>266</v>
      </c>
      <c r="E93" s="39" t="s">
        <v>267</v>
      </c>
      <c r="F93" s="39" t="s">
        <v>109</v>
      </c>
      <c r="G93" s="39" t="s">
        <v>268</v>
      </c>
      <c r="H93" s="40"/>
      <c r="I93" s="40"/>
      <c r="J93" s="40"/>
      <c r="K93" s="42">
        <v>46129</v>
      </c>
      <c r="L93" s="42"/>
      <c r="M93" s="44"/>
      <c r="N93" s="40"/>
      <c r="O93" s="40"/>
      <c r="P93" s="40"/>
      <c r="Q93" s="42">
        <f>IF(K93="","",K93)</f>
        <v>46129</v>
      </c>
      <c r="R93" s="39" t="s">
        <v>266</v>
      </c>
      <c r="S93" s="39" t="s">
        <v>269</v>
      </c>
      <c r="T93" s="39" t="s">
        <v>270</v>
      </c>
      <c r="U93" s="39" t="s">
        <v>215</v>
      </c>
      <c r="V93" s="39">
        <v>163</v>
      </c>
      <c r="W93" s="39" t="s">
        <v>210</v>
      </c>
      <c r="X93" s="41">
        <v>46118</v>
      </c>
      <c r="Y93" s="41">
        <v>46129</v>
      </c>
      <c r="Z93" s="43">
        <v>4275.6584320000002</v>
      </c>
      <c r="AA93" s="45">
        <f>IF(M93&lt;&gt;"",M93,Z93)</f>
        <v>4275.6584320000002</v>
      </c>
      <c r="AB93" s="46" t="str">
        <f>IF(L93&lt;&gt;"","Realizado","Previsto")</f>
        <v>Previsto</v>
      </c>
      <c r="AC93" s="47">
        <v>9.3700000000000006E-2</v>
      </c>
      <c r="AD93" s="43">
        <v>45631.360000000001</v>
      </c>
      <c r="AE93" s="39">
        <v>5564.8</v>
      </c>
      <c r="AF93" s="39" t="s">
        <v>203</v>
      </c>
      <c r="AG93" s="43">
        <v>8.1999999999999993</v>
      </c>
      <c r="AH93" s="39" t="s">
        <v>271</v>
      </c>
      <c r="AI93" s="39" t="s">
        <v>73</v>
      </c>
      <c r="AJ93" s="48">
        <f>IF(Q93&lt;&gt;"",Q93,IF(K93&lt;&gt;"",K93,""))</f>
        <v>46129</v>
      </c>
      <c r="AK93" s="46" t="str">
        <f>IF(K93&lt;&gt;"","Sim","")</f>
        <v>Sim</v>
      </c>
      <c r="AL93" s="46" t="str">
        <f>IF(A93="","",TEXT(A93,"000000")&amp;"-"&amp;IF(C93="Entrada","CR","DB"))</f>
        <v>000092-DB</v>
      </c>
      <c r="AM93" s="46" t="str">
        <f>IF(A93="","",LEFT(IF(H93&lt;&gt;"",H93,G93)&amp;" | "&amp;G93&amp;" | "&amp;S93,60))</f>
        <v>Mao de obra terceirizada Textura externa | Mao de obra terce</v>
      </c>
    </row>
    <row r="94" spans="1:39" ht="43.2" x14ac:dyDescent="0.3">
      <c r="A94" s="39">
        <v>93</v>
      </c>
      <c r="B94" s="39" t="s">
        <v>2</v>
      </c>
      <c r="C94" s="39" t="s">
        <v>66</v>
      </c>
      <c r="D94" s="39" t="s">
        <v>67</v>
      </c>
      <c r="E94" s="39" t="s">
        <v>67</v>
      </c>
      <c r="F94" s="39" t="s">
        <v>68</v>
      </c>
      <c r="G94" s="39" t="s">
        <v>69</v>
      </c>
      <c r="H94" s="40"/>
      <c r="I94" s="40"/>
      <c r="J94" s="40"/>
      <c r="K94" s="42">
        <v>46143</v>
      </c>
      <c r="L94" s="42"/>
      <c r="M94" s="44"/>
      <c r="N94" s="40"/>
      <c r="O94" s="40"/>
      <c r="P94" s="40"/>
      <c r="Q94" s="42">
        <f>IF(K94="","",K94)</f>
        <v>46143</v>
      </c>
      <c r="R94" s="39" t="s">
        <v>69</v>
      </c>
      <c r="S94" s="39" t="s">
        <v>70</v>
      </c>
      <c r="T94" s="39" t="s">
        <v>71</v>
      </c>
      <c r="U94" s="39"/>
      <c r="V94" s="39">
        <v>283</v>
      </c>
      <c r="W94" s="39" t="s">
        <v>272</v>
      </c>
      <c r="X94" s="41">
        <v>46132</v>
      </c>
      <c r="Y94" s="41">
        <v>46143</v>
      </c>
      <c r="Z94" s="43">
        <v>758705.10988800018</v>
      </c>
      <c r="AA94" s="45">
        <f>IF(M94&lt;&gt;"",M94,Z94)</f>
        <v>758705.10988800018</v>
      </c>
      <c r="AB94" s="46" t="str">
        <f>IF(L94&lt;&gt;"","Realizado","Previsto")</f>
        <v>Previsto</v>
      </c>
      <c r="AC94" s="47"/>
      <c r="AD94" s="43">
        <v>8079999.9191039996</v>
      </c>
      <c r="AE94" s="39"/>
      <c r="AF94" s="39"/>
      <c r="AG94" s="43"/>
      <c r="AH94" s="39"/>
      <c r="AI94" s="39" t="s">
        <v>73</v>
      </c>
      <c r="AJ94" s="48">
        <f>IF(Q94&lt;&gt;"",Q94,IF(K94&lt;&gt;"",K94,""))</f>
        <v>46143</v>
      </c>
      <c r="AK94" s="46" t="str">
        <f>IF(K94&lt;&gt;"","Sim","")</f>
        <v>Sim</v>
      </c>
      <c r="AL94" s="46" t="str">
        <f>IF(A94="","",TEXT(A94,"000000")&amp;"-"&amp;IF(C94="Entrada","CR","DB"))</f>
        <v>000093-CR</v>
      </c>
      <c r="AM94" s="46" t="str">
        <f>IF(A94="","",LEFT(IF(H94&lt;&gt;"",H94,G94)&amp;" | "&amp;G94&amp;" | "&amp;S94,60))</f>
        <v xml:space="preserve">MEDIÇÃO CONTRATUAL | MEDIÇÃO CONTRATUAL | Entrada | MEDIÇÃO </v>
      </c>
    </row>
    <row r="95" spans="1:39" ht="43.2" x14ac:dyDescent="0.3">
      <c r="A95" s="39">
        <v>94</v>
      </c>
      <c r="B95" s="39" t="s">
        <v>2</v>
      </c>
      <c r="C95" s="39" t="s">
        <v>74</v>
      </c>
      <c r="D95" s="39" t="s">
        <v>211</v>
      </c>
      <c r="E95" s="39" t="s">
        <v>211</v>
      </c>
      <c r="F95" s="39" t="s">
        <v>184</v>
      </c>
      <c r="G95" s="39" t="s">
        <v>273</v>
      </c>
      <c r="H95" s="40"/>
      <c r="I95" s="40"/>
      <c r="J95" s="40"/>
      <c r="K95" s="42">
        <v>46143</v>
      </c>
      <c r="L95" s="42"/>
      <c r="M95" s="44"/>
      <c r="N95" s="40"/>
      <c r="O95" s="40"/>
      <c r="P95" s="40"/>
      <c r="Q95" s="42">
        <f>IF(K95="","",K95)</f>
        <v>46143</v>
      </c>
      <c r="R95" s="39" t="s">
        <v>211</v>
      </c>
      <c r="S95" s="39" t="s">
        <v>213</v>
      </c>
      <c r="T95" s="39" t="s">
        <v>274</v>
      </c>
      <c r="U95" s="39" t="s">
        <v>275</v>
      </c>
      <c r="V95" s="39">
        <v>114</v>
      </c>
      <c r="W95" s="39" t="s">
        <v>272</v>
      </c>
      <c r="X95" s="41">
        <v>46132</v>
      </c>
      <c r="Y95" s="41">
        <v>46143</v>
      </c>
      <c r="Z95" s="43">
        <v>4345.6000000000004</v>
      </c>
      <c r="AA95" s="45">
        <f>IF(M95&lt;&gt;"",M95,Z95)</f>
        <v>4345.6000000000004</v>
      </c>
      <c r="AB95" s="46" t="str">
        <f>IF(L95&lt;&gt;"","Realizado","Previsto")</f>
        <v>Previsto</v>
      </c>
      <c r="AC95" s="47">
        <v>0.5</v>
      </c>
      <c r="AD95" s="43">
        <v>8691.2000000000007</v>
      </c>
      <c r="AE95" s="39">
        <v>640</v>
      </c>
      <c r="AF95" s="39" t="s">
        <v>276</v>
      </c>
      <c r="AG95" s="43">
        <v>13.58</v>
      </c>
      <c r="AH95" s="39" t="s">
        <v>277</v>
      </c>
      <c r="AI95" s="39" t="s">
        <v>73</v>
      </c>
      <c r="AJ95" s="48">
        <f>IF(Q95&lt;&gt;"",Q95,IF(K95&lt;&gt;"",K95,""))</f>
        <v>46143</v>
      </c>
      <c r="AK95" s="46" t="str">
        <f>IF(K95&lt;&gt;"","Sim","")</f>
        <v>Sim</v>
      </c>
      <c r="AL95" s="46" t="str">
        <f>IF(A95="","",TEXT(A95,"000000")&amp;"-"&amp;IF(C95="Entrada","CR","DB"))</f>
        <v>000094-DB</v>
      </c>
      <c r="AM95" s="46" t="str">
        <f>IF(A95="","",LEFT(IF(H95&lt;&gt;"",H95,G95)&amp;" | "&amp;G95&amp;" | "&amp;S95,60))</f>
        <v>Argamassa colante AC I - Saco 20 Kg | Argamassa colante AC I</v>
      </c>
    </row>
    <row r="96" spans="1:39" ht="43.2" x14ac:dyDescent="0.3">
      <c r="A96" s="39">
        <v>95</v>
      </c>
      <c r="B96" s="39" t="s">
        <v>2</v>
      </c>
      <c r="C96" s="39" t="s">
        <v>74</v>
      </c>
      <c r="D96" s="39" t="s">
        <v>211</v>
      </c>
      <c r="E96" s="39" t="s">
        <v>211</v>
      </c>
      <c r="F96" s="39" t="s">
        <v>184</v>
      </c>
      <c r="G96" s="39" t="s">
        <v>278</v>
      </c>
      <c r="H96" s="40"/>
      <c r="I96" s="40"/>
      <c r="J96" s="40"/>
      <c r="K96" s="42">
        <v>46143</v>
      </c>
      <c r="L96" s="42"/>
      <c r="M96" s="44"/>
      <c r="N96" s="40"/>
      <c r="O96" s="40"/>
      <c r="P96" s="40"/>
      <c r="Q96" s="42">
        <f>IF(K96="","",K96)</f>
        <v>46143</v>
      </c>
      <c r="R96" s="39" t="s">
        <v>211</v>
      </c>
      <c r="S96" s="39" t="s">
        <v>213</v>
      </c>
      <c r="T96" s="39" t="s">
        <v>274</v>
      </c>
      <c r="U96" s="39" t="s">
        <v>275</v>
      </c>
      <c r="V96" s="39">
        <v>112</v>
      </c>
      <c r="W96" s="39" t="s">
        <v>272</v>
      </c>
      <c r="X96" s="41">
        <v>46132</v>
      </c>
      <c r="Y96" s="41">
        <v>46143</v>
      </c>
      <c r="Z96" s="43">
        <v>134.4</v>
      </c>
      <c r="AA96" s="45">
        <f>IF(M96&lt;&gt;"",M96,Z96)</f>
        <v>134.4</v>
      </c>
      <c r="AB96" s="46" t="str">
        <f>IF(L96&lt;&gt;"","Realizado","Previsto")</f>
        <v>Previsto</v>
      </c>
      <c r="AC96" s="47">
        <v>0.5</v>
      </c>
      <c r="AD96" s="43">
        <v>268.8</v>
      </c>
      <c r="AE96" s="39">
        <v>64</v>
      </c>
      <c r="AF96" s="39" t="s">
        <v>279</v>
      </c>
      <c r="AG96" s="43">
        <v>4.2</v>
      </c>
      <c r="AH96" s="39" t="s">
        <v>277</v>
      </c>
      <c r="AI96" s="39" t="s">
        <v>73</v>
      </c>
      <c r="AJ96" s="48">
        <f>IF(Q96&lt;&gt;"",Q96,IF(K96&lt;&gt;"",K96,""))</f>
        <v>46143</v>
      </c>
      <c r="AK96" s="46" t="str">
        <f>IF(K96&lt;&gt;"","Sim","")</f>
        <v>Sim</v>
      </c>
      <c r="AL96" s="46" t="str">
        <f>IF(A96="","",TEXT(A96,"000000")&amp;"-"&amp;IF(C96="Entrada","CR","DB"))</f>
        <v>000095-DB</v>
      </c>
      <c r="AM96" s="46" t="str">
        <f>IF(A96="","",LEFT(IF(H96&lt;&gt;"",H96,G96)&amp;" | "&amp;G96&amp;" | "&amp;S96,60))</f>
        <v>Espaçador cruzeta - 5mm (pacote com 100 unid) | Espaçador cr</v>
      </c>
    </row>
    <row r="97" spans="1:39" ht="43.2" x14ac:dyDescent="0.3">
      <c r="A97" s="39">
        <v>96</v>
      </c>
      <c r="B97" s="39" t="s">
        <v>2</v>
      </c>
      <c r="C97" s="39" t="s">
        <v>74</v>
      </c>
      <c r="D97" s="39" t="s">
        <v>211</v>
      </c>
      <c r="E97" s="39" t="s">
        <v>211</v>
      </c>
      <c r="F97" s="39" t="s">
        <v>109</v>
      </c>
      <c r="G97" s="39" t="s">
        <v>212</v>
      </c>
      <c r="H97" s="40"/>
      <c r="I97" s="40"/>
      <c r="J97" s="40"/>
      <c r="K97" s="42">
        <v>46143</v>
      </c>
      <c r="L97" s="42"/>
      <c r="M97" s="44"/>
      <c r="N97" s="40"/>
      <c r="O97" s="40"/>
      <c r="P97" s="40"/>
      <c r="Q97" s="42">
        <f>IF(K97="","",K97)</f>
        <v>46143</v>
      </c>
      <c r="R97" s="39" t="s">
        <v>211</v>
      </c>
      <c r="S97" s="39" t="s">
        <v>213</v>
      </c>
      <c r="T97" s="39" t="s">
        <v>214</v>
      </c>
      <c r="U97" s="39" t="s">
        <v>215</v>
      </c>
      <c r="V97" s="39">
        <v>115</v>
      </c>
      <c r="W97" s="39" t="s">
        <v>272</v>
      </c>
      <c r="X97" s="41">
        <v>46132</v>
      </c>
      <c r="Y97" s="41">
        <v>46143</v>
      </c>
      <c r="Z97" s="43">
        <v>7519.0079999999998</v>
      </c>
      <c r="AA97" s="45">
        <f>IF(M97&lt;&gt;"",M97,Z97)</f>
        <v>7519.0079999999998</v>
      </c>
      <c r="AB97" s="46" t="str">
        <f>IF(L97&lt;&gt;"","Realizado","Previsto")</f>
        <v>Previsto</v>
      </c>
      <c r="AC97" s="47">
        <v>9.3799999999999994E-2</v>
      </c>
      <c r="AD97" s="43">
        <v>80160</v>
      </c>
      <c r="AE97" s="39">
        <v>1603.2</v>
      </c>
      <c r="AF97" s="39" t="s">
        <v>203</v>
      </c>
      <c r="AG97" s="43">
        <v>50</v>
      </c>
      <c r="AH97" s="39" t="s">
        <v>216</v>
      </c>
      <c r="AI97" s="39" t="s">
        <v>73</v>
      </c>
      <c r="AJ97" s="48">
        <f>IF(Q97&lt;&gt;"",Q97,IF(K97&lt;&gt;"",K97,""))</f>
        <v>46143</v>
      </c>
      <c r="AK97" s="46" t="str">
        <f>IF(K97&lt;&gt;"","Sim","")</f>
        <v>Sim</v>
      </c>
      <c r="AL97" s="46" t="str">
        <f>IF(A97="","",TEXT(A97,"000000")&amp;"-"&amp;IF(C97="Entrada","CR","DB"))</f>
        <v>000096-DB</v>
      </c>
      <c r="AM97" s="46" t="str">
        <f>IF(A97="","",LEFT(IF(H97&lt;&gt;"",H97,G97)&amp;" | "&amp;G97&amp;" | "&amp;S97,60))</f>
        <v xml:space="preserve">Mao de obra terceirizada assentamento Azulejo | Mao de obra </v>
      </c>
    </row>
    <row r="98" spans="1:39" ht="43.2" x14ac:dyDescent="0.3">
      <c r="A98" s="39">
        <v>97</v>
      </c>
      <c r="B98" s="39" t="s">
        <v>2</v>
      </c>
      <c r="C98" s="39" t="s">
        <v>74</v>
      </c>
      <c r="D98" s="39" t="s">
        <v>211</v>
      </c>
      <c r="E98" s="39" t="s">
        <v>211</v>
      </c>
      <c r="F98" s="39" t="s">
        <v>184</v>
      </c>
      <c r="G98" s="39" t="s">
        <v>280</v>
      </c>
      <c r="H98" s="40"/>
      <c r="I98" s="40"/>
      <c r="J98" s="40"/>
      <c r="K98" s="42">
        <v>46143</v>
      </c>
      <c r="L98" s="42"/>
      <c r="M98" s="44"/>
      <c r="N98" s="40"/>
      <c r="O98" s="40"/>
      <c r="P98" s="40"/>
      <c r="Q98" s="42">
        <f>IF(K98="","",K98)</f>
        <v>46143</v>
      </c>
      <c r="R98" s="39" t="s">
        <v>211</v>
      </c>
      <c r="S98" s="39" t="s">
        <v>213</v>
      </c>
      <c r="T98" s="39" t="s">
        <v>274</v>
      </c>
      <c r="U98" s="39" t="s">
        <v>275</v>
      </c>
      <c r="V98" s="39">
        <v>113</v>
      </c>
      <c r="W98" s="39" t="s">
        <v>272</v>
      </c>
      <c r="X98" s="41">
        <v>46132</v>
      </c>
      <c r="Y98" s="41">
        <v>46143</v>
      </c>
      <c r="Z98" s="43">
        <v>1104</v>
      </c>
      <c r="AA98" s="45">
        <f>IF(M98&lt;&gt;"",M98,Z98)</f>
        <v>1104</v>
      </c>
      <c r="AB98" s="46" t="str">
        <f>IF(L98&lt;&gt;"","Realizado","Previsto")</f>
        <v>Previsto</v>
      </c>
      <c r="AC98" s="47">
        <v>0.5</v>
      </c>
      <c r="AD98" s="43">
        <v>2208</v>
      </c>
      <c r="AE98" s="39">
        <v>320</v>
      </c>
      <c r="AF98" s="39" t="s">
        <v>149</v>
      </c>
      <c r="AG98" s="43">
        <v>6.9</v>
      </c>
      <c r="AH98" s="39" t="s">
        <v>277</v>
      </c>
      <c r="AI98" s="39" t="s">
        <v>73</v>
      </c>
      <c r="AJ98" s="48">
        <f>IF(Q98&lt;&gt;"",Q98,IF(K98&lt;&gt;"",K98,""))</f>
        <v>46143</v>
      </c>
      <c r="AK98" s="46" t="str">
        <f>IF(K98&lt;&gt;"","Sim","")</f>
        <v>Sim</v>
      </c>
      <c r="AL98" s="46" t="str">
        <f>IF(A98="","",TEXT(A98,"000000")&amp;"-"&amp;IF(C98="Entrada","CR","DB"))</f>
        <v>000097-DB</v>
      </c>
      <c r="AM98" s="46" t="str">
        <f>IF(A98="","",LEFT(IF(H98&lt;&gt;"",H98,G98)&amp;" | "&amp;G98&amp;" | "&amp;S98,60))</f>
        <v>Rejunte cimenticio | Rejunte cimenticio | Saída | AZULEJOS</v>
      </c>
    </row>
    <row r="99" spans="1:39" ht="43.2" x14ac:dyDescent="0.3">
      <c r="A99" s="39">
        <v>98</v>
      </c>
      <c r="B99" s="39" t="s">
        <v>2</v>
      </c>
      <c r="C99" s="39" t="s">
        <v>74</v>
      </c>
      <c r="D99" s="39" t="s">
        <v>211</v>
      </c>
      <c r="E99" s="39" t="s">
        <v>211</v>
      </c>
      <c r="F99" s="39" t="s">
        <v>281</v>
      </c>
      <c r="G99" s="39" t="s">
        <v>282</v>
      </c>
      <c r="H99" s="40"/>
      <c r="I99" s="40"/>
      <c r="J99" s="40"/>
      <c r="K99" s="42">
        <v>46143</v>
      </c>
      <c r="L99" s="42"/>
      <c r="M99" s="44"/>
      <c r="N99" s="40"/>
      <c r="O99" s="40"/>
      <c r="P99" s="40"/>
      <c r="Q99" s="42">
        <f>IF(K99="","",K99)</f>
        <v>46143</v>
      </c>
      <c r="R99" s="39" t="s">
        <v>211</v>
      </c>
      <c r="S99" s="39" t="s">
        <v>213</v>
      </c>
      <c r="T99" s="39" t="s">
        <v>283</v>
      </c>
      <c r="U99" s="39" t="s">
        <v>275</v>
      </c>
      <c r="V99" s="39">
        <v>111</v>
      </c>
      <c r="W99" s="39" t="s">
        <v>272</v>
      </c>
      <c r="X99" s="41">
        <v>46132</v>
      </c>
      <c r="Y99" s="41">
        <v>46143</v>
      </c>
      <c r="Z99" s="43">
        <v>8072.4160000000011</v>
      </c>
      <c r="AA99" s="45">
        <f>IF(M99&lt;&gt;"",M99,Z99)</f>
        <v>8072.4160000000011</v>
      </c>
      <c r="AB99" s="46" t="str">
        <f>IF(L99&lt;&gt;"","Realizado","Previsto")</f>
        <v>Previsto</v>
      </c>
      <c r="AC99" s="47">
        <v>0.34</v>
      </c>
      <c r="AD99" s="43">
        <v>23742.400000000001</v>
      </c>
      <c r="AE99" s="39">
        <v>1249.5999999999999</v>
      </c>
      <c r="AF99" s="39" t="s">
        <v>203</v>
      </c>
      <c r="AG99" s="43">
        <v>19</v>
      </c>
      <c r="AH99" s="39" t="s">
        <v>284</v>
      </c>
      <c r="AI99" s="39" t="s">
        <v>73</v>
      </c>
      <c r="AJ99" s="48">
        <f>IF(Q99&lt;&gt;"",Q99,IF(K99&lt;&gt;"",K99,""))</f>
        <v>46143</v>
      </c>
      <c r="AK99" s="46" t="str">
        <f>IF(K99&lt;&gt;"","Sim","")</f>
        <v>Sim</v>
      </c>
      <c r="AL99" s="46" t="str">
        <f>IF(A99="","",TEXT(A99,"000000")&amp;"-"&amp;IF(C99="Entrada","CR","DB"))</f>
        <v>000098-DB</v>
      </c>
      <c r="AM99" s="46" t="str">
        <f>IF(A99="","",LEFT(IF(H99&lt;&gt;"",H99,G99)&amp;" | "&amp;G99&amp;" | "&amp;S99,60))</f>
        <v xml:space="preserve">Revestimento Cerâmico PEI II - 20 X 20, cor,  (perda 10%) | </v>
      </c>
    </row>
    <row r="100" spans="1:39" ht="43.2" x14ac:dyDescent="0.3">
      <c r="A100" s="39">
        <v>99</v>
      </c>
      <c r="B100" s="39" t="s">
        <v>2</v>
      </c>
      <c r="C100" s="39" t="s">
        <v>74</v>
      </c>
      <c r="D100" s="39" t="s">
        <v>285</v>
      </c>
      <c r="E100" s="39" t="s">
        <v>286</v>
      </c>
      <c r="F100" s="39" t="s">
        <v>132</v>
      </c>
      <c r="G100" s="39" t="s">
        <v>287</v>
      </c>
      <c r="H100" s="40"/>
      <c r="I100" s="40"/>
      <c r="J100" s="40"/>
      <c r="K100" s="42">
        <v>46143</v>
      </c>
      <c r="L100" s="42"/>
      <c r="M100" s="44"/>
      <c r="N100" s="40"/>
      <c r="O100" s="40"/>
      <c r="P100" s="40"/>
      <c r="Q100" s="42">
        <f>IF(K100="","",K100)</f>
        <v>46143</v>
      </c>
      <c r="R100" s="39" t="s">
        <v>285</v>
      </c>
      <c r="S100" s="39" t="s">
        <v>288</v>
      </c>
      <c r="T100" s="39" t="s">
        <v>289</v>
      </c>
      <c r="U100" s="39" t="s">
        <v>290</v>
      </c>
      <c r="V100" s="39">
        <v>79</v>
      </c>
      <c r="W100" s="39" t="s">
        <v>272</v>
      </c>
      <c r="X100" s="41">
        <v>46132</v>
      </c>
      <c r="Y100" s="41">
        <v>46143</v>
      </c>
      <c r="Z100" s="43">
        <v>293.76</v>
      </c>
      <c r="AA100" s="45">
        <f>IF(M100&lt;&gt;"",M100,Z100)</f>
        <v>293.76</v>
      </c>
      <c r="AB100" s="46" t="str">
        <f>IF(L100&lt;&gt;"","Realizado","Previsto")</f>
        <v>Previsto</v>
      </c>
      <c r="AC100" s="47">
        <v>0.34</v>
      </c>
      <c r="AD100" s="43">
        <v>864</v>
      </c>
      <c r="AE100" s="39">
        <v>64</v>
      </c>
      <c r="AF100" s="39" t="s">
        <v>291</v>
      </c>
      <c r="AG100" s="43">
        <v>13.5</v>
      </c>
      <c r="AH100" s="39" t="s">
        <v>292</v>
      </c>
      <c r="AI100" s="39" t="s">
        <v>73</v>
      </c>
      <c r="AJ100" s="48">
        <f>IF(Q100&lt;&gt;"",Q100,IF(K100&lt;&gt;"",K100,""))</f>
        <v>46143</v>
      </c>
      <c r="AK100" s="46" t="str">
        <f>IF(K100&lt;&gt;"","Sim","")</f>
        <v>Sim</v>
      </c>
      <c r="AL100" s="46" t="str">
        <f>IF(A100="","",TEXT(A100,"000000")&amp;"-"&amp;IF(C100="Entrada","CR","DB"))</f>
        <v>000099-DB</v>
      </c>
      <c r="AM100" s="46" t="str">
        <f>IF(A100="","",LEFT(IF(H100&lt;&gt;"",H100,G100)&amp;" | "&amp;G100&amp;" | "&amp;S100,60))</f>
        <v>Adaptador soldável flange 25mm 3/4 | Adaptador soldável flan</v>
      </c>
    </row>
    <row r="101" spans="1:39" ht="43.2" x14ac:dyDescent="0.3">
      <c r="A101" s="39">
        <v>100</v>
      </c>
      <c r="B101" s="39" t="s">
        <v>2</v>
      </c>
      <c r="C101" s="39" t="s">
        <v>74</v>
      </c>
      <c r="D101" s="39" t="s">
        <v>285</v>
      </c>
      <c r="E101" s="39" t="s">
        <v>286</v>
      </c>
      <c r="F101" s="39" t="s">
        <v>132</v>
      </c>
      <c r="G101" s="39" t="s">
        <v>293</v>
      </c>
      <c r="H101" s="40"/>
      <c r="I101" s="40"/>
      <c r="J101" s="40"/>
      <c r="K101" s="42">
        <v>46143</v>
      </c>
      <c r="L101" s="42"/>
      <c r="M101" s="44"/>
      <c r="N101" s="40"/>
      <c r="O101" s="40"/>
      <c r="P101" s="40"/>
      <c r="Q101" s="42">
        <f>IF(K101="","",K101)</f>
        <v>46143</v>
      </c>
      <c r="R101" s="39" t="s">
        <v>285</v>
      </c>
      <c r="S101" s="39" t="s">
        <v>288</v>
      </c>
      <c r="T101" s="39" t="s">
        <v>289</v>
      </c>
      <c r="U101" s="39" t="s">
        <v>290</v>
      </c>
      <c r="V101" s="39">
        <v>82</v>
      </c>
      <c r="W101" s="39" t="s">
        <v>272</v>
      </c>
      <c r="X101" s="41">
        <v>46132</v>
      </c>
      <c r="Y101" s="41">
        <v>46143</v>
      </c>
      <c r="Z101" s="43">
        <v>572.07040000000006</v>
      </c>
      <c r="AA101" s="45">
        <f>IF(M101&lt;&gt;"",M101,Z101)</f>
        <v>572.07040000000006</v>
      </c>
      <c r="AB101" s="46" t="str">
        <f>IF(L101&lt;&gt;"","Realizado","Previsto")</f>
        <v>Previsto</v>
      </c>
      <c r="AC101" s="47">
        <v>0.34</v>
      </c>
      <c r="AD101" s="43">
        <v>1682.56</v>
      </c>
      <c r="AE101" s="39">
        <v>64</v>
      </c>
      <c r="AF101" s="39" t="s">
        <v>291</v>
      </c>
      <c r="AG101" s="43">
        <v>26.29</v>
      </c>
      <c r="AH101" s="39" t="s">
        <v>292</v>
      </c>
      <c r="AI101" s="39" t="s">
        <v>73</v>
      </c>
      <c r="AJ101" s="48">
        <f>IF(Q101&lt;&gt;"",Q101,IF(K101&lt;&gt;"",K101,""))</f>
        <v>46143</v>
      </c>
      <c r="AK101" s="46" t="str">
        <f>IF(K101&lt;&gt;"","Sim","")</f>
        <v>Sim</v>
      </c>
      <c r="AL101" s="46" t="str">
        <f>IF(A101="","",TEXT(A101,"000000")&amp;"-"&amp;IF(C101="Entrada","CR","DB"))</f>
        <v>000100-DB</v>
      </c>
      <c r="AM101" s="46" t="str">
        <f>IF(A101="","",LEFT(IF(H101&lt;&gt;"",H101,G101)&amp;" | "&amp;G101&amp;" | "&amp;S101,60))</f>
        <v xml:space="preserve">Adaptador soldável flange 32 mm | Adaptador soldável flange </v>
      </c>
    </row>
    <row r="102" spans="1:39" ht="43.2" x14ac:dyDescent="0.3">
      <c r="A102" s="39">
        <v>101</v>
      </c>
      <c r="B102" s="39" t="s">
        <v>2</v>
      </c>
      <c r="C102" s="39" t="s">
        <v>74</v>
      </c>
      <c r="D102" s="39" t="s">
        <v>285</v>
      </c>
      <c r="E102" s="39" t="s">
        <v>286</v>
      </c>
      <c r="F102" s="39" t="s">
        <v>132</v>
      </c>
      <c r="G102" s="39" t="s">
        <v>294</v>
      </c>
      <c r="H102" s="40"/>
      <c r="I102" s="40"/>
      <c r="J102" s="40"/>
      <c r="K102" s="42">
        <v>46143</v>
      </c>
      <c r="L102" s="42"/>
      <c r="M102" s="44"/>
      <c r="N102" s="40"/>
      <c r="O102" s="40"/>
      <c r="P102" s="40"/>
      <c r="Q102" s="42">
        <f>IF(K102="","",K102)</f>
        <v>46143</v>
      </c>
      <c r="R102" s="39" t="s">
        <v>285</v>
      </c>
      <c r="S102" s="39" t="s">
        <v>288</v>
      </c>
      <c r="T102" s="39" t="s">
        <v>289</v>
      </c>
      <c r="U102" s="39" t="s">
        <v>290</v>
      </c>
      <c r="V102" s="39">
        <v>85</v>
      </c>
      <c r="W102" s="39" t="s">
        <v>272</v>
      </c>
      <c r="X102" s="41">
        <v>46132</v>
      </c>
      <c r="Y102" s="41">
        <v>46143</v>
      </c>
      <c r="Z102" s="43">
        <v>34.816000000000003</v>
      </c>
      <c r="AA102" s="45">
        <f>IF(M102&lt;&gt;"",M102,Z102)</f>
        <v>34.816000000000003</v>
      </c>
      <c r="AB102" s="46" t="str">
        <f>IF(L102&lt;&gt;"","Realizado","Previsto")</f>
        <v>Previsto</v>
      </c>
      <c r="AC102" s="47">
        <v>0.34</v>
      </c>
      <c r="AD102" s="43">
        <v>102.4</v>
      </c>
      <c r="AE102" s="39">
        <v>64</v>
      </c>
      <c r="AF102" s="39" t="s">
        <v>291</v>
      </c>
      <c r="AG102" s="43">
        <v>1.6</v>
      </c>
      <c r="AH102" s="39" t="s">
        <v>292</v>
      </c>
      <c r="AI102" s="39" t="s">
        <v>73</v>
      </c>
      <c r="AJ102" s="48">
        <f>IF(Q102&lt;&gt;"",Q102,IF(K102&lt;&gt;"",K102,""))</f>
        <v>46143</v>
      </c>
      <c r="AK102" s="46" t="str">
        <f>IF(K102&lt;&gt;"","Sim","")</f>
        <v>Sim</v>
      </c>
      <c r="AL102" s="46" t="str">
        <f>IF(A102="","",TEXT(A102,"000000")&amp;"-"&amp;IF(C102="Entrada","CR","DB"))</f>
        <v>000101-DB</v>
      </c>
      <c r="AM102" s="46" t="str">
        <f>IF(A102="","",LEFT(IF(H102&lt;&gt;"",H102,G102)&amp;" | "&amp;G102&amp;" | "&amp;S102,60))</f>
        <v>Bucha de redução soldável curta 32mm x 25mm | Bucha de reduç</v>
      </c>
    </row>
    <row r="103" spans="1:39" ht="43.2" x14ac:dyDescent="0.3">
      <c r="A103" s="39">
        <v>102</v>
      </c>
      <c r="B103" s="39" t="s">
        <v>2</v>
      </c>
      <c r="C103" s="39" t="s">
        <v>74</v>
      </c>
      <c r="D103" s="39" t="s">
        <v>285</v>
      </c>
      <c r="E103" s="39" t="s">
        <v>286</v>
      </c>
      <c r="F103" s="39" t="s">
        <v>132</v>
      </c>
      <c r="G103" s="39" t="s">
        <v>295</v>
      </c>
      <c r="H103" s="40"/>
      <c r="I103" s="40"/>
      <c r="J103" s="40"/>
      <c r="K103" s="42">
        <v>46143</v>
      </c>
      <c r="L103" s="42"/>
      <c r="M103" s="44"/>
      <c r="N103" s="40"/>
      <c r="O103" s="40"/>
      <c r="P103" s="40"/>
      <c r="Q103" s="42">
        <f>IF(K103="","",K103)</f>
        <v>46143</v>
      </c>
      <c r="R103" s="39" t="s">
        <v>285</v>
      </c>
      <c r="S103" s="39" t="s">
        <v>288</v>
      </c>
      <c r="T103" s="39" t="s">
        <v>289</v>
      </c>
      <c r="U103" s="39" t="s">
        <v>290</v>
      </c>
      <c r="V103" s="39">
        <v>87</v>
      </c>
      <c r="W103" s="39" t="s">
        <v>272</v>
      </c>
      <c r="X103" s="41">
        <v>46132</v>
      </c>
      <c r="Y103" s="41">
        <v>46143</v>
      </c>
      <c r="Z103" s="43">
        <v>5220.2240000000002</v>
      </c>
      <c r="AA103" s="45">
        <f>IF(M103&lt;&gt;"",M103,Z103)</f>
        <v>5220.2240000000002</v>
      </c>
      <c r="AB103" s="46" t="str">
        <f>IF(L103&lt;&gt;"","Realizado","Previsto")</f>
        <v>Previsto</v>
      </c>
      <c r="AC103" s="47">
        <v>0.34</v>
      </c>
      <c r="AD103" s="43">
        <v>15353.6</v>
      </c>
      <c r="AE103" s="39">
        <v>64</v>
      </c>
      <c r="AF103" s="39" t="s">
        <v>87</v>
      </c>
      <c r="AG103" s="43">
        <v>239.9</v>
      </c>
      <c r="AH103" s="39" t="s">
        <v>292</v>
      </c>
      <c r="AI103" s="39" t="s">
        <v>73</v>
      </c>
      <c r="AJ103" s="48">
        <f>IF(Q103&lt;&gt;"",Q103,IF(K103&lt;&gt;"",K103,""))</f>
        <v>46143</v>
      </c>
      <c r="AK103" s="46" t="str">
        <f>IF(K103&lt;&gt;"","Sim","")</f>
        <v>Sim</v>
      </c>
      <c r="AL103" s="46" t="str">
        <f>IF(A103="","",TEXT(A103,"000000")&amp;"-"&amp;IF(C103="Entrada","CR","DB"))</f>
        <v>000102-DB</v>
      </c>
      <c r="AM103" s="46" t="str">
        <f>IF(A103="","",LEFT(IF(H103&lt;&gt;"",H103,G103)&amp;" | "&amp;G103&amp;" | "&amp;S103,60))</f>
        <v>Caixa D'Água Polietileno 500 Litros - FORTLEV | Caixa D'Água</v>
      </c>
    </row>
    <row r="104" spans="1:39" ht="43.2" x14ac:dyDescent="0.3">
      <c r="A104" s="39">
        <v>103</v>
      </c>
      <c r="B104" s="39" t="s">
        <v>2</v>
      </c>
      <c r="C104" s="39" t="s">
        <v>74</v>
      </c>
      <c r="D104" s="39" t="s">
        <v>285</v>
      </c>
      <c r="E104" s="39" t="s">
        <v>286</v>
      </c>
      <c r="F104" s="39" t="s">
        <v>132</v>
      </c>
      <c r="G104" s="39" t="s">
        <v>296</v>
      </c>
      <c r="H104" s="40"/>
      <c r="I104" s="40"/>
      <c r="J104" s="40"/>
      <c r="K104" s="42">
        <v>46143</v>
      </c>
      <c r="L104" s="42"/>
      <c r="M104" s="44"/>
      <c r="N104" s="40"/>
      <c r="O104" s="40"/>
      <c r="P104" s="40"/>
      <c r="Q104" s="42">
        <f>IF(K104="","",K104)</f>
        <v>46143</v>
      </c>
      <c r="R104" s="39" t="s">
        <v>285</v>
      </c>
      <c r="S104" s="39" t="s">
        <v>288</v>
      </c>
      <c r="T104" s="39" t="s">
        <v>289</v>
      </c>
      <c r="U104" s="39" t="s">
        <v>290</v>
      </c>
      <c r="V104" s="39">
        <v>86</v>
      </c>
      <c r="W104" s="39" t="s">
        <v>272</v>
      </c>
      <c r="X104" s="41">
        <v>46132</v>
      </c>
      <c r="Y104" s="41">
        <v>46143</v>
      </c>
      <c r="Z104" s="43">
        <v>97.267200000000003</v>
      </c>
      <c r="AA104" s="45">
        <f>IF(M104&lt;&gt;"",M104,Z104)</f>
        <v>97.267200000000003</v>
      </c>
      <c r="AB104" s="46" t="str">
        <f>IF(L104&lt;&gt;"","Realizado","Previsto")</f>
        <v>Previsto</v>
      </c>
      <c r="AC104" s="47">
        <v>0.34</v>
      </c>
      <c r="AD104" s="43">
        <v>286.08</v>
      </c>
      <c r="AE104" s="39">
        <v>19.2</v>
      </c>
      <c r="AF104" s="39" t="s">
        <v>87</v>
      </c>
      <c r="AG104" s="43">
        <v>14.9</v>
      </c>
      <c r="AH104" s="39" t="s">
        <v>292</v>
      </c>
      <c r="AI104" s="39" t="s">
        <v>73</v>
      </c>
      <c r="AJ104" s="48">
        <f>IF(Q104&lt;&gt;"",Q104,IF(K104&lt;&gt;"",K104,""))</f>
        <v>46143</v>
      </c>
      <c r="AK104" s="46" t="str">
        <f>IF(K104&lt;&gt;"","Sim","")</f>
        <v>Sim</v>
      </c>
      <c r="AL104" s="46" t="str">
        <f>IF(A104="","",TEXT(A104,"000000")&amp;"-"&amp;IF(C104="Entrada","CR","DB"))</f>
        <v>000103-DB</v>
      </c>
      <c r="AM104" s="46" t="str">
        <f>IF(A104="","",LEFT(IF(H104&lt;&gt;"",H104,G104)&amp;" | "&amp;G104&amp;" | "&amp;S104,60))</f>
        <v>Cola Pincel 175 g | Cola Pincel 175 g | Saída | CAIXA D'ÁGUA</v>
      </c>
    </row>
    <row r="105" spans="1:39" ht="43.2" x14ac:dyDescent="0.3">
      <c r="A105" s="39">
        <v>104</v>
      </c>
      <c r="B105" s="39" t="s">
        <v>2</v>
      </c>
      <c r="C105" s="39" t="s">
        <v>74</v>
      </c>
      <c r="D105" s="39" t="s">
        <v>285</v>
      </c>
      <c r="E105" s="39" t="s">
        <v>286</v>
      </c>
      <c r="F105" s="39" t="s">
        <v>132</v>
      </c>
      <c r="G105" s="39" t="s">
        <v>297</v>
      </c>
      <c r="H105" s="40"/>
      <c r="I105" s="40"/>
      <c r="J105" s="40"/>
      <c r="K105" s="42">
        <v>46143</v>
      </c>
      <c r="L105" s="42"/>
      <c r="M105" s="44"/>
      <c r="N105" s="40"/>
      <c r="O105" s="40"/>
      <c r="P105" s="40"/>
      <c r="Q105" s="42">
        <f>IF(K105="","",K105)</f>
        <v>46143</v>
      </c>
      <c r="R105" s="39" t="s">
        <v>285</v>
      </c>
      <c r="S105" s="39" t="s">
        <v>288</v>
      </c>
      <c r="T105" s="39" t="s">
        <v>289</v>
      </c>
      <c r="U105" s="39" t="s">
        <v>290</v>
      </c>
      <c r="V105" s="39">
        <v>76</v>
      </c>
      <c r="W105" s="39" t="s">
        <v>272</v>
      </c>
      <c r="X105" s="41">
        <v>46132</v>
      </c>
      <c r="Y105" s="41">
        <v>46143</v>
      </c>
      <c r="Z105" s="43">
        <v>71.155200000000008</v>
      </c>
      <c r="AA105" s="45">
        <f>IF(M105&lt;&gt;"",M105,Z105)</f>
        <v>71.155200000000008</v>
      </c>
      <c r="AB105" s="46" t="str">
        <f>IF(L105&lt;&gt;"","Realizado","Previsto")</f>
        <v>Previsto</v>
      </c>
      <c r="AC105" s="47">
        <v>0.34</v>
      </c>
      <c r="AD105" s="43">
        <v>209.28</v>
      </c>
      <c r="AE105" s="39">
        <v>64</v>
      </c>
      <c r="AF105" s="39" t="s">
        <v>291</v>
      </c>
      <c r="AG105" s="43">
        <v>3.27</v>
      </c>
      <c r="AH105" s="39" t="s">
        <v>292</v>
      </c>
      <c r="AI105" s="39" t="s">
        <v>73</v>
      </c>
      <c r="AJ105" s="48">
        <f>IF(Q105&lt;&gt;"",Q105,IF(K105&lt;&gt;"",K105,""))</f>
        <v>46143</v>
      </c>
      <c r="AK105" s="46" t="str">
        <f>IF(K105&lt;&gt;"","Sim","")</f>
        <v>Sim</v>
      </c>
      <c r="AL105" s="46" t="str">
        <f>IF(A105="","",TEXT(A105,"000000")&amp;"-"&amp;IF(C105="Entrada","CR","DB"))</f>
        <v>000104-DB</v>
      </c>
      <c r="AM105" s="46" t="str">
        <f>IF(A105="","",LEFT(IF(H105&lt;&gt;"",H105,G105)&amp;" | "&amp;G105&amp;" | "&amp;S105,60))</f>
        <v xml:space="preserve">Curva 90° Soldável 25mm | Curva 90° Soldável 25mm | Saída | </v>
      </c>
    </row>
    <row r="106" spans="1:39" ht="43.2" x14ac:dyDescent="0.3">
      <c r="A106" s="39">
        <v>105</v>
      </c>
      <c r="B106" s="39" t="s">
        <v>2</v>
      </c>
      <c r="C106" s="39" t="s">
        <v>74</v>
      </c>
      <c r="D106" s="39" t="s">
        <v>285</v>
      </c>
      <c r="E106" s="39" t="s">
        <v>286</v>
      </c>
      <c r="F106" s="39" t="s">
        <v>132</v>
      </c>
      <c r="G106" s="39" t="s">
        <v>298</v>
      </c>
      <c r="H106" s="40"/>
      <c r="I106" s="40"/>
      <c r="J106" s="40"/>
      <c r="K106" s="42">
        <v>46143</v>
      </c>
      <c r="L106" s="42"/>
      <c r="M106" s="44"/>
      <c r="N106" s="40"/>
      <c r="O106" s="40"/>
      <c r="P106" s="40"/>
      <c r="Q106" s="42">
        <f>IF(K106="","",K106)</f>
        <v>46143</v>
      </c>
      <c r="R106" s="39" t="s">
        <v>285</v>
      </c>
      <c r="S106" s="39" t="s">
        <v>288</v>
      </c>
      <c r="T106" s="39" t="s">
        <v>289</v>
      </c>
      <c r="U106" s="39" t="s">
        <v>290</v>
      </c>
      <c r="V106" s="39">
        <v>77</v>
      </c>
      <c r="W106" s="39" t="s">
        <v>272</v>
      </c>
      <c r="X106" s="41">
        <v>46132</v>
      </c>
      <c r="Y106" s="41">
        <v>46143</v>
      </c>
      <c r="Z106" s="43">
        <v>104.44799999999999</v>
      </c>
      <c r="AA106" s="45">
        <f>IF(M106&lt;&gt;"",M106,Z106)</f>
        <v>104.44799999999999</v>
      </c>
      <c r="AB106" s="46" t="str">
        <f>IF(L106&lt;&gt;"","Realizado","Previsto")</f>
        <v>Previsto</v>
      </c>
      <c r="AC106" s="47">
        <v>0.34</v>
      </c>
      <c r="AD106" s="43">
        <v>307.2</v>
      </c>
      <c r="AE106" s="39">
        <v>384</v>
      </c>
      <c r="AF106" s="39" t="s">
        <v>291</v>
      </c>
      <c r="AG106" s="43">
        <v>0.8</v>
      </c>
      <c r="AH106" s="39" t="s">
        <v>292</v>
      </c>
      <c r="AI106" s="39" t="s">
        <v>73</v>
      </c>
      <c r="AJ106" s="48">
        <f>IF(Q106&lt;&gt;"",Q106,IF(K106&lt;&gt;"",K106,""))</f>
        <v>46143</v>
      </c>
      <c r="AK106" s="46" t="str">
        <f>IF(K106&lt;&gt;"","Sim","")</f>
        <v>Sim</v>
      </c>
      <c r="AL106" s="46" t="str">
        <f>IF(A106="","",TEXT(A106,"000000")&amp;"-"&amp;IF(C106="Entrada","CR","DB"))</f>
        <v>000105-DB</v>
      </c>
      <c r="AM106" s="46" t="str">
        <f>IF(A106="","",LEFT(IF(H106&lt;&gt;"",H106,G106)&amp;" | "&amp;G106&amp;" | "&amp;S106,60))</f>
        <v xml:space="preserve">Joelho 90 soldavel 25 mm, PVC marrom, água fria | Joelho 90 </v>
      </c>
    </row>
    <row r="107" spans="1:39" ht="43.2" x14ac:dyDescent="0.3">
      <c r="A107" s="39">
        <v>106</v>
      </c>
      <c r="B107" s="39" t="s">
        <v>2</v>
      </c>
      <c r="C107" s="39" t="s">
        <v>74</v>
      </c>
      <c r="D107" s="39" t="s">
        <v>285</v>
      </c>
      <c r="E107" s="39" t="s">
        <v>286</v>
      </c>
      <c r="F107" s="39" t="s">
        <v>132</v>
      </c>
      <c r="G107" s="39" t="s">
        <v>299</v>
      </c>
      <c r="H107" s="40"/>
      <c r="I107" s="40"/>
      <c r="J107" s="40"/>
      <c r="K107" s="42">
        <v>46143</v>
      </c>
      <c r="L107" s="42"/>
      <c r="M107" s="44"/>
      <c r="N107" s="40"/>
      <c r="O107" s="40"/>
      <c r="P107" s="40"/>
      <c r="Q107" s="42">
        <f>IF(K107="","",K107)</f>
        <v>46143</v>
      </c>
      <c r="R107" s="39" t="s">
        <v>285</v>
      </c>
      <c r="S107" s="39" t="s">
        <v>288</v>
      </c>
      <c r="T107" s="39" t="s">
        <v>289</v>
      </c>
      <c r="U107" s="39" t="s">
        <v>290</v>
      </c>
      <c r="V107" s="39">
        <v>78</v>
      </c>
      <c r="W107" s="39" t="s">
        <v>272</v>
      </c>
      <c r="X107" s="41">
        <v>46132</v>
      </c>
      <c r="Y107" s="41">
        <v>46143</v>
      </c>
      <c r="Z107" s="43">
        <v>115.7632</v>
      </c>
      <c r="AA107" s="45">
        <f>IF(M107&lt;&gt;"",M107,Z107)</f>
        <v>115.7632</v>
      </c>
      <c r="AB107" s="46" t="str">
        <f>IF(L107&lt;&gt;"","Realizado","Previsto")</f>
        <v>Previsto</v>
      </c>
      <c r="AC107" s="47">
        <v>0.34</v>
      </c>
      <c r="AD107" s="43">
        <v>340.48</v>
      </c>
      <c r="AE107" s="39">
        <v>128</v>
      </c>
      <c r="AF107" s="39" t="s">
        <v>291</v>
      </c>
      <c r="AG107" s="43">
        <v>2.66</v>
      </c>
      <c r="AH107" s="39" t="s">
        <v>292</v>
      </c>
      <c r="AI107" s="39" t="s">
        <v>73</v>
      </c>
      <c r="AJ107" s="48">
        <f>IF(Q107&lt;&gt;"",Q107,IF(K107&lt;&gt;"",K107,""))</f>
        <v>46143</v>
      </c>
      <c r="AK107" s="46" t="str">
        <f>IF(K107&lt;&gt;"","Sim","")</f>
        <v>Sim</v>
      </c>
      <c r="AL107" s="46" t="str">
        <f>IF(A107="","",TEXT(A107,"000000")&amp;"-"&amp;IF(C107="Entrada","CR","DB"))</f>
        <v>000106-DB</v>
      </c>
      <c r="AM107" s="46" t="str">
        <f>IF(A107="","",LEFT(IF(H107&lt;&gt;"",H107,G107)&amp;" | "&amp;G107&amp;" | "&amp;S107,60))</f>
        <v xml:space="preserve">Joelho 90 soldavel 32 mm, PVC marrom, água fria | Joelho 90 </v>
      </c>
    </row>
    <row r="108" spans="1:39" ht="43.2" x14ac:dyDescent="0.3">
      <c r="A108" s="39">
        <v>107</v>
      </c>
      <c r="B108" s="39" t="s">
        <v>2</v>
      </c>
      <c r="C108" s="39" t="s">
        <v>74</v>
      </c>
      <c r="D108" s="39" t="s">
        <v>285</v>
      </c>
      <c r="E108" s="39" t="s">
        <v>286</v>
      </c>
      <c r="F108" s="39" t="s">
        <v>132</v>
      </c>
      <c r="G108" s="39" t="s">
        <v>300</v>
      </c>
      <c r="H108" s="40"/>
      <c r="I108" s="40"/>
      <c r="J108" s="40"/>
      <c r="K108" s="42">
        <v>46143</v>
      </c>
      <c r="L108" s="42"/>
      <c r="M108" s="44"/>
      <c r="N108" s="40"/>
      <c r="O108" s="40"/>
      <c r="P108" s="40"/>
      <c r="Q108" s="42">
        <f>IF(K108="","",K108)</f>
        <v>46143</v>
      </c>
      <c r="R108" s="39" t="s">
        <v>285</v>
      </c>
      <c r="S108" s="39" t="s">
        <v>288</v>
      </c>
      <c r="T108" s="39" t="s">
        <v>289</v>
      </c>
      <c r="U108" s="39" t="s">
        <v>290</v>
      </c>
      <c r="V108" s="39">
        <v>83</v>
      </c>
      <c r="W108" s="39" t="s">
        <v>272</v>
      </c>
      <c r="X108" s="41">
        <v>46132</v>
      </c>
      <c r="Y108" s="41">
        <v>46143</v>
      </c>
      <c r="Z108" s="43">
        <v>139.26400000000001</v>
      </c>
      <c r="AA108" s="45">
        <f>IF(M108&lt;&gt;"",M108,Z108)</f>
        <v>139.26400000000001</v>
      </c>
      <c r="AB108" s="46" t="str">
        <f>IF(L108&lt;&gt;"","Realizado","Previsto")</f>
        <v>Previsto</v>
      </c>
      <c r="AC108" s="47">
        <v>0.34</v>
      </c>
      <c r="AD108" s="43">
        <v>409.6</v>
      </c>
      <c r="AE108" s="39">
        <v>128</v>
      </c>
      <c r="AF108" s="39" t="s">
        <v>291</v>
      </c>
      <c r="AG108" s="43">
        <v>3.2</v>
      </c>
      <c r="AH108" s="39" t="s">
        <v>292</v>
      </c>
      <c r="AI108" s="39" t="s">
        <v>73</v>
      </c>
      <c r="AJ108" s="48">
        <f>IF(Q108&lt;&gt;"",Q108,IF(K108&lt;&gt;"",K108,""))</f>
        <v>46143</v>
      </c>
      <c r="AK108" s="46" t="str">
        <f>IF(K108&lt;&gt;"","Sim","")</f>
        <v>Sim</v>
      </c>
      <c r="AL108" s="46" t="str">
        <f>IF(A108="","",TEXT(A108,"000000")&amp;"-"&amp;IF(C108="Entrada","CR","DB"))</f>
        <v>000107-DB</v>
      </c>
      <c r="AM108" s="46" t="str">
        <f>IF(A108="","",LEFT(IF(H108&lt;&gt;"",H108,G108)&amp;" | "&amp;G108&amp;" | "&amp;S108,60))</f>
        <v xml:space="preserve">LuvaPVC soldavél - 32 mm | LuvaPVC soldavél - 32 mm | Saída </v>
      </c>
    </row>
    <row r="109" spans="1:39" ht="43.2" x14ac:dyDescent="0.3">
      <c r="A109" s="39">
        <v>108</v>
      </c>
      <c r="B109" s="39" t="s">
        <v>2</v>
      </c>
      <c r="C109" s="39" t="s">
        <v>74</v>
      </c>
      <c r="D109" s="39" t="s">
        <v>285</v>
      </c>
      <c r="E109" s="39" t="s">
        <v>286</v>
      </c>
      <c r="F109" s="39" t="s">
        <v>132</v>
      </c>
      <c r="G109" s="39" t="s">
        <v>301</v>
      </c>
      <c r="H109" s="40"/>
      <c r="I109" s="40"/>
      <c r="J109" s="40"/>
      <c r="K109" s="42">
        <v>46143</v>
      </c>
      <c r="L109" s="42"/>
      <c r="M109" s="44"/>
      <c r="N109" s="40"/>
      <c r="O109" s="40"/>
      <c r="P109" s="40"/>
      <c r="Q109" s="42">
        <f>IF(K109="","",K109)</f>
        <v>46143</v>
      </c>
      <c r="R109" s="39" t="s">
        <v>285</v>
      </c>
      <c r="S109" s="39" t="s">
        <v>288</v>
      </c>
      <c r="T109" s="39" t="s">
        <v>289</v>
      </c>
      <c r="U109" s="39" t="s">
        <v>290</v>
      </c>
      <c r="V109" s="39">
        <v>80</v>
      </c>
      <c r="W109" s="39" t="s">
        <v>272</v>
      </c>
      <c r="X109" s="41">
        <v>46132</v>
      </c>
      <c r="Y109" s="41">
        <v>46143</v>
      </c>
      <c r="Z109" s="43">
        <v>500.48</v>
      </c>
      <c r="AA109" s="45">
        <f>IF(M109&lt;&gt;"",M109,Z109)</f>
        <v>500.48</v>
      </c>
      <c r="AB109" s="46" t="str">
        <f>IF(L109&lt;&gt;"","Realizado","Previsto")</f>
        <v>Previsto</v>
      </c>
      <c r="AC109" s="47">
        <v>0.34</v>
      </c>
      <c r="AD109" s="43">
        <v>1472</v>
      </c>
      <c r="AE109" s="39">
        <v>64</v>
      </c>
      <c r="AF109" s="39" t="s">
        <v>291</v>
      </c>
      <c r="AG109" s="43">
        <v>23</v>
      </c>
      <c r="AH109" s="39" t="s">
        <v>292</v>
      </c>
      <c r="AI109" s="39" t="s">
        <v>73</v>
      </c>
      <c r="AJ109" s="48">
        <f>IF(Q109&lt;&gt;"",Q109,IF(K109&lt;&gt;"",K109,""))</f>
        <v>46143</v>
      </c>
      <c r="AK109" s="46" t="str">
        <f>IF(K109&lt;&gt;"","Sim","")</f>
        <v>Sim</v>
      </c>
      <c r="AL109" s="46" t="str">
        <f>IF(A109="","",TEXT(A109,"000000")&amp;"-"&amp;IF(C109="Entrada","CR","DB"))</f>
        <v>000108-DB</v>
      </c>
      <c r="AM109" s="46" t="str">
        <f>IF(A109="","",LEFT(IF(H109&lt;&gt;"",H109,G109)&amp;" | "&amp;G109&amp;" | "&amp;S109,60))</f>
        <v>Registro PVC Esfera Borboleta Soldável 25MM | Registro PVC E</v>
      </c>
    </row>
    <row r="110" spans="1:39" ht="43.2" x14ac:dyDescent="0.3">
      <c r="A110" s="39">
        <v>109</v>
      </c>
      <c r="B110" s="39" t="s">
        <v>2</v>
      </c>
      <c r="C110" s="39" t="s">
        <v>74</v>
      </c>
      <c r="D110" s="39" t="s">
        <v>285</v>
      </c>
      <c r="E110" s="39" t="s">
        <v>286</v>
      </c>
      <c r="F110" s="39" t="s">
        <v>132</v>
      </c>
      <c r="G110" s="39" t="s">
        <v>302</v>
      </c>
      <c r="H110" s="40"/>
      <c r="I110" s="40"/>
      <c r="J110" s="40"/>
      <c r="K110" s="42">
        <v>46143</v>
      </c>
      <c r="L110" s="42"/>
      <c r="M110" s="44"/>
      <c r="N110" s="40"/>
      <c r="O110" s="40"/>
      <c r="P110" s="40"/>
      <c r="Q110" s="42">
        <f>IF(K110="","",K110)</f>
        <v>46143</v>
      </c>
      <c r="R110" s="39" t="s">
        <v>285</v>
      </c>
      <c r="S110" s="39" t="s">
        <v>288</v>
      </c>
      <c r="T110" s="39" t="s">
        <v>289</v>
      </c>
      <c r="U110" s="39" t="s">
        <v>290</v>
      </c>
      <c r="V110" s="39">
        <v>81</v>
      </c>
      <c r="W110" s="39" t="s">
        <v>272</v>
      </c>
      <c r="X110" s="41">
        <v>46132</v>
      </c>
      <c r="Y110" s="41">
        <v>46143</v>
      </c>
      <c r="Z110" s="43">
        <v>652.80000000000007</v>
      </c>
      <c r="AA110" s="45">
        <f>IF(M110&lt;&gt;"",M110,Z110)</f>
        <v>652.80000000000007</v>
      </c>
      <c r="AB110" s="46" t="str">
        <f>IF(L110&lt;&gt;"","Realizado","Previsto")</f>
        <v>Previsto</v>
      </c>
      <c r="AC110" s="47">
        <v>0.34</v>
      </c>
      <c r="AD110" s="43">
        <v>1920</v>
      </c>
      <c r="AE110" s="39">
        <v>64</v>
      </c>
      <c r="AF110" s="39" t="s">
        <v>291</v>
      </c>
      <c r="AG110" s="43">
        <v>30</v>
      </c>
      <c r="AH110" s="39" t="s">
        <v>292</v>
      </c>
      <c r="AI110" s="39" t="s">
        <v>73</v>
      </c>
      <c r="AJ110" s="48">
        <f>IF(Q110&lt;&gt;"",Q110,IF(K110&lt;&gt;"",K110,""))</f>
        <v>46143</v>
      </c>
      <c r="AK110" s="46" t="str">
        <f>IF(K110&lt;&gt;"","Sim","")</f>
        <v>Sim</v>
      </c>
      <c r="AL110" s="46" t="str">
        <f>IF(A110="","",TEXT(A110,"000000")&amp;"-"&amp;IF(C110="Entrada","CR","DB"))</f>
        <v>000109-DB</v>
      </c>
      <c r="AM110" s="46" t="str">
        <f>IF(A110="","",LEFT(IF(H110&lt;&gt;"",H110,G110)&amp;" | "&amp;G110&amp;" | "&amp;S110,60))</f>
        <v>Registro PVC Esfera Borboleta Soldável 32MM | Registro PVC E</v>
      </c>
    </row>
    <row r="111" spans="1:39" ht="43.2" x14ac:dyDescent="0.3">
      <c r="A111" s="39">
        <v>110</v>
      </c>
      <c r="B111" s="39" t="s">
        <v>2</v>
      </c>
      <c r="C111" s="39" t="s">
        <v>74</v>
      </c>
      <c r="D111" s="39" t="s">
        <v>285</v>
      </c>
      <c r="E111" s="39" t="s">
        <v>286</v>
      </c>
      <c r="F111" s="39" t="s">
        <v>132</v>
      </c>
      <c r="G111" s="39" t="s">
        <v>303</v>
      </c>
      <c r="H111" s="40"/>
      <c r="I111" s="40"/>
      <c r="J111" s="40"/>
      <c r="K111" s="42">
        <v>46143</v>
      </c>
      <c r="L111" s="42"/>
      <c r="M111" s="44"/>
      <c r="N111" s="40"/>
      <c r="O111" s="40"/>
      <c r="P111" s="40"/>
      <c r="Q111" s="42">
        <f>IF(K111="","",K111)</f>
        <v>46143</v>
      </c>
      <c r="R111" s="39" t="s">
        <v>285</v>
      </c>
      <c r="S111" s="39" t="s">
        <v>288</v>
      </c>
      <c r="T111" s="39" t="s">
        <v>289</v>
      </c>
      <c r="U111" s="39" t="s">
        <v>290</v>
      </c>
      <c r="V111" s="39">
        <v>84</v>
      </c>
      <c r="W111" s="39" t="s">
        <v>272</v>
      </c>
      <c r="X111" s="41">
        <v>46132</v>
      </c>
      <c r="Y111" s="41">
        <v>46143</v>
      </c>
      <c r="Z111" s="43">
        <v>179.73759999999999</v>
      </c>
      <c r="AA111" s="45">
        <f>IF(M111&lt;&gt;"",M111,Z111)</f>
        <v>179.73759999999999</v>
      </c>
      <c r="AB111" s="46" t="str">
        <f>IF(L111&lt;&gt;"","Realizado","Previsto")</f>
        <v>Previsto</v>
      </c>
      <c r="AC111" s="47">
        <v>0.34</v>
      </c>
      <c r="AD111" s="43">
        <v>528.64</v>
      </c>
      <c r="AE111" s="39">
        <v>128</v>
      </c>
      <c r="AF111" s="39" t="s">
        <v>291</v>
      </c>
      <c r="AG111" s="43">
        <v>4.13</v>
      </c>
      <c r="AH111" s="39" t="s">
        <v>292</v>
      </c>
      <c r="AI111" s="39" t="s">
        <v>73</v>
      </c>
      <c r="AJ111" s="48">
        <f>IF(Q111&lt;&gt;"",Q111,IF(K111&lt;&gt;"",K111,""))</f>
        <v>46143</v>
      </c>
      <c r="AK111" s="46" t="str">
        <f>IF(K111&lt;&gt;"","Sim","")</f>
        <v>Sim</v>
      </c>
      <c r="AL111" s="46" t="str">
        <f>IF(A111="","",TEXT(A111,"000000")&amp;"-"&amp;IF(C111="Entrada","CR","DB"))</f>
        <v>000110-DB</v>
      </c>
      <c r="AM111" s="46" t="str">
        <f>IF(A111="","",LEFT(IF(H111&lt;&gt;"",H111,G111)&amp;" | "&amp;G111&amp;" | "&amp;S111,60))</f>
        <v>TE PVC Soldável 32 MM | TE PVC Soldável 32 MM | Saída | CAIX</v>
      </c>
    </row>
    <row r="112" spans="1:39" ht="43.2" x14ac:dyDescent="0.3">
      <c r="A112" s="39">
        <v>111</v>
      </c>
      <c r="B112" s="39" t="s">
        <v>2</v>
      </c>
      <c r="C112" s="39" t="s">
        <v>74</v>
      </c>
      <c r="D112" s="39" t="s">
        <v>285</v>
      </c>
      <c r="E112" s="39" t="s">
        <v>286</v>
      </c>
      <c r="F112" s="39" t="s">
        <v>132</v>
      </c>
      <c r="G112" s="39" t="s">
        <v>304</v>
      </c>
      <c r="H112" s="40"/>
      <c r="I112" s="40"/>
      <c r="J112" s="40"/>
      <c r="K112" s="42">
        <v>46143</v>
      </c>
      <c r="L112" s="42"/>
      <c r="M112" s="44"/>
      <c r="N112" s="40"/>
      <c r="O112" s="40"/>
      <c r="P112" s="40"/>
      <c r="Q112" s="42">
        <f>IF(K112="","",K112)</f>
        <v>46143</v>
      </c>
      <c r="R112" s="39" t="s">
        <v>285</v>
      </c>
      <c r="S112" s="39" t="s">
        <v>288</v>
      </c>
      <c r="T112" s="39" t="s">
        <v>289</v>
      </c>
      <c r="U112" s="39" t="s">
        <v>290</v>
      </c>
      <c r="V112" s="39">
        <v>88</v>
      </c>
      <c r="W112" s="39" t="s">
        <v>272</v>
      </c>
      <c r="X112" s="41">
        <v>46132</v>
      </c>
      <c r="Y112" s="41">
        <v>46143</v>
      </c>
      <c r="Z112" s="43">
        <v>1640.704</v>
      </c>
      <c r="AA112" s="45">
        <f>IF(M112&lt;&gt;"",M112,Z112)</f>
        <v>1640.704</v>
      </c>
      <c r="AB112" s="46" t="str">
        <f>IF(L112&lt;&gt;"","Realizado","Previsto")</f>
        <v>Previsto</v>
      </c>
      <c r="AC112" s="47">
        <v>0.34</v>
      </c>
      <c r="AD112" s="43">
        <v>4825.6000000000004</v>
      </c>
      <c r="AE112" s="39">
        <v>64</v>
      </c>
      <c r="AF112" s="39" t="s">
        <v>87</v>
      </c>
      <c r="AG112" s="43">
        <v>75.400000000000006</v>
      </c>
      <c r="AH112" s="39" t="s">
        <v>292</v>
      </c>
      <c r="AI112" s="39" t="s">
        <v>73</v>
      </c>
      <c r="AJ112" s="48">
        <f>IF(Q112&lt;&gt;"",Q112,IF(K112&lt;&gt;"",K112,""))</f>
        <v>46143</v>
      </c>
      <c r="AK112" s="46" t="str">
        <f>IF(K112&lt;&gt;"","Sim","")</f>
        <v>Sim</v>
      </c>
      <c r="AL112" s="46" t="str">
        <f>IF(A112="","",TEXT(A112,"000000")&amp;"-"&amp;IF(C112="Entrada","CR","DB"))</f>
        <v>000111-DB</v>
      </c>
      <c r="AM112" s="46" t="str">
        <f>IF(A112="","",LEFT(IF(H112&lt;&gt;"",H112,G112)&amp;" | "&amp;G112&amp;" | "&amp;S112,60))</f>
        <v xml:space="preserve">Torneira Boia PVC Com Balão Plástico Para Caixa D'água 3/4" </v>
      </c>
    </row>
    <row r="113" spans="1:39" ht="43.2" x14ac:dyDescent="0.3">
      <c r="A113" s="39">
        <v>112</v>
      </c>
      <c r="B113" s="39" t="s">
        <v>2</v>
      </c>
      <c r="C113" s="39" t="s">
        <v>74</v>
      </c>
      <c r="D113" s="39" t="s">
        <v>285</v>
      </c>
      <c r="E113" s="39" t="s">
        <v>286</v>
      </c>
      <c r="F113" s="39" t="s">
        <v>132</v>
      </c>
      <c r="G113" s="39" t="s">
        <v>152</v>
      </c>
      <c r="H113" s="40"/>
      <c r="I113" s="40"/>
      <c r="J113" s="40"/>
      <c r="K113" s="42">
        <v>46143</v>
      </c>
      <c r="L113" s="42"/>
      <c r="M113" s="44"/>
      <c r="N113" s="40"/>
      <c r="O113" s="40"/>
      <c r="P113" s="40"/>
      <c r="Q113" s="42">
        <f>IF(K113="","",K113)</f>
        <v>46143</v>
      </c>
      <c r="R113" s="39" t="s">
        <v>285</v>
      </c>
      <c r="S113" s="39" t="s">
        <v>288</v>
      </c>
      <c r="T113" s="39" t="s">
        <v>289</v>
      </c>
      <c r="U113" s="39" t="s">
        <v>290</v>
      </c>
      <c r="V113" s="39">
        <v>89</v>
      </c>
      <c r="W113" s="39" t="s">
        <v>272</v>
      </c>
      <c r="X113" s="41">
        <v>46132</v>
      </c>
      <c r="Y113" s="41">
        <v>46143</v>
      </c>
      <c r="Z113" s="43">
        <v>879.19104000000016</v>
      </c>
      <c r="AA113" s="45">
        <f>IF(M113&lt;&gt;"",M113,Z113)</f>
        <v>879.19104000000016</v>
      </c>
      <c r="AB113" s="46" t="str">
        <f>IF(L113&lt;&gt;"","Realizado","Previsto")</f>
        <v>Previsto</v>
      </c>
      <c r="AC113" s="47">
        <v>0.34</v>
      </c>
      <c r="AD113" s="43">
        <v>2585.8560000000002</v>
      </c>
      <c r="AE113" s="39">
        <v>94.720000000000013</v>
      </c>
      <c r="AF113" s="39" t="s">
        <v>153</v>
      </c>
      <c r="AG113" s="43">
        <v>27.3</v>
      </c>
      <c r="AH113" s="39" t="s">
        <v>292</v>
      </c>
      <c r="AI113" s="39" t="s">
        <v>73</v>
      </c>
      <c r="AJ113" s="48">
        <f>IF(Q113&lt;&gt;"",Q113,IF(K113&lt;&gt;"",K113,""))</f>
        <v>46143</v>
      </c>
      <c r="AK113" s="46" t="str">
        <f>IF(K113&lt;&gt;"","Sim","")</f>
        <v>Sim</v>
      </c>
      <c r="AL113" s="46" t="str">
        <f>IF(A113="","",TEXT(A113,"000000")&amp;"-"&amp;IF(C113="Entrada","CR","DB"))</f>
        <v>000112-DB</v>
      </c>
      <c r="AM113" s="46" t="str">
        <f>IF(A113="","",LEFT(IF(H113&lt;&gt;"",H113,G113)&amp;" | "&amp;G113&amp;" | "&amp;S113,60))</f>
        <v>Tubo DN 25 mm, PVC Rígido Soldável Marrom | Tubo DN 25 mm, P</v>
      </c>
    </row>
    <row r="114" spans="1:39" ht="43.2" x14ac:dyDescent="0.3">
      <c r="A114" s="39">
        <v>113</v>
      </c>
      <c r="B114" s="39" t="s">
        <v>2</v>
      </c>
      <c r="C114" s="39" t="s">
        <v>74</v>
      </c>
      <c r="D114" s="39" t="s">
        <v>285</v>
      </c>
      <c r="E114" s="39" t="s">
        <v>286</v>
      </c>
      <c r="F114" s="39" t="s">
        <v>132</v>
      </c>
      <c r="G114" s="39" t="s">
        <v>305</v>
      </c>
      <c r="H114" s="40"/>
      <c r="I114" s="40"/>
      <c r="J114" s="40"/>
      <c r="K114" s="42">
        <v>46143</v>
      </c>
      <c r="L114" s="42"/>
      <c r="M114" s="44"/>
      <c r="N114" s="40"/>
      <c r="O114" s="40"/>
      <c r="P114" s="40"/>
      <c r="Q114" s="42">
        <f>IF(K114="","",K114)</f>
        <v>46143</v>
      </c>
      <c r="R114" s="39" t="s">
        <v>285</v>
      </c>
      <c r="S114" s="39" t="s">
        <v>288</v>
      </c>
      <c r="T114" s="39" t="s">
        <v>289</v>
      </c>
      <c r="U114" s="39" t="s">
        <v>290</v>
      </c>
      <c r="V114" s="39">
        <v>90</v>
      </c>
      <c r="W114" s="39" t="s">
        <v>272</v>
      </c>
      <c r="X114" s="41">
        <v>46132</v>
      </c>
      <c r="Y114" s="41">
        <v>46143</v>
      </c>
      <c r="Z114" s="43">
        <v>1923.1487999999999</v>
      </c>
      <c r="AA114" s="45">
        <f>IF(M114&lt;&gt;"",M114,Z114)</f>
        <v>1923.1487999999999</v>
      </c>
      <c r="AB114" s="46" t="str">
        <f>IF(L114&lt;&gt;"","Realizado","Previsto")</f>
        <v>Previsto</v>
      </c>
      <c r="AC114" s="47">
        <v>0.34</v>
      </c>
      <c r="AD114" s="43">
        <v>5656.32</v>
      </c>
      <c r="AE114" s="39">
        <v>96</v>
      </c>
      <c r="AF114" s="39" t="s">
        <v>153</v>
      </c>
      <c r="AG114" s="43">
        <v>58.92</v>
      </c>
      <c r="AH114" s="39" t="s">
        <v>292</v>
      </c>
      <c r="AI114" s="39" t="s">
        <v>73</v>
      </c>
      <c r="AJ114" s="48">
        <f>IF(Q114&lt;&gt;"",Q114,IF(K114&lt;&gt;"",K114,""))</f>
        <v>46143</v>
      </c>
      <c r="AK114" s="46" t="str">
        <f>IF(K114&lt;&gt;"","Sim","")</f>
        <v>Sim</v>
      </c>
      <c r="AL114" s="46" t="str">
        <f>IF(A114="","",TEXT(A114,"000000")&amp;"-"&amp;IF(C114="Entrada","CR","DB"))</f>
        <v>000113-DB</v>
      </c>
      <c r="AM114" s="46" t="str">
        <f>IF(A114="","",LEFT(IF(H114&lt;&gt;"",H114,G114)&amp;" | "&amp;G114&amp;" | "&amp;S114,60))</f>
        <v>Tubo DN 32 mm, PVC Rígido Soldável Marrom | Tubo DN 32 mm, P</v>
      </c>
    </row>
    <row r="115" spans="1:39" ht="43.2" x14ac:dyDescent="0.3">
      <c r="A115" s="39">
        <v>114</v>
      </c>
      <c r="B115" s="39" t="s">
        <v>2</v>
      </c>
      <c r="C115" s="39" t="s">
        <v>74</v>
      </c>
      <c r="D115" s="39" t="s">
        <v>217</v>
      </c>
      <c r="E115" s="39" t="s">
        <v>217</v>
      </c>
      <c r="F115" s="39" t="s">
        <v>306</v>
      </c>
      <c r="G115" s="39" t="s">
        <v>307</v>
      </c>
      <c r="H115" s="40"/>
      <c r="I115" s="40"/>
      <c r="J115" s="40"/>
      <c r="K115" s="42">
        <v>46143</v>
      </c>
      <c r="L115" s="42"/>
      <c r="M115" s="44"/>
      <c r="N115" s="40"/>
      <c r="O115" s="40"/>
      <c r="P115" s="40"/>
      <c r="Q115" s="42">
        <f>IF(K115="","",K115)</f>
        <v>46143</v>
      </c>
      <c r="R115" s="39" t="s">
        <v>217</v>
      </c>
      <c r="S115" s="39" t="s">
        <v>219</v>
      </c>
      <c r="T115" s="39" t="s">
        <v>308</v>
      </c>
      <c r="U115" s="39" t="s">
        <v>309</v>
      </c>
      <c r="V115" s="39">
        <v>100</v>
      </c>
      <c r="W115" s="39" t="s">
        <v>272</v>
      </c>
      <c r="X115" s="41">
        <v>46132</v>
      </c>
      <c r="Y115" s="41">
        <v>46143</v>
      </c>
      <c r="Z115" s="43">
        <v>7744.0000000000009</v>
      </c>
      <c r="AA115" s="45">
        <f>IF(M115&lt;&gt;"",M115,Z115)</f>
        <v>7744.0000000000009</v>
      </c>
      <c r="AB115" s="46" t="str">
        <f>IF(L115&lt;&gt;"","Realizado","Previsto")</f>
        <v>Previsto</v>
      </c>
      <c r="AC115" s="47">
        <v>0.5</v>
      </c>
      <c r="AD115" s="43">
        <v>15488</v>
      </c>
      <c r="AE115" s="39">
        <v>70.400000000000006</v>
      </c>
      <c r="AF115" s="39" t="s">
        <v>310</v>
      </c>
      <c r="AG115" s="43">
        <v>220</v>
      </c>
      <c r="AH115" s="39" t="s">
        <v>311</v>
      </c>
      <c r="AI115" s="39" t="s">
        <v>73</v>
      </c>
      <c r="AJ115" s="48">
        <f>IF(Q115&lt;&gt;"",Q115,IF(K115&lt;&gt;"",K115,""))</f>
        <v>46143</v>
      </c>
      <c r="AK115" s="46" t="str">
        <f>IF(K115&lt;&gt;"","Sim","")</f>
        <v>Sim</v>
      </c>
      <c r="AL115" s="46" t="str">
        <f>IF(A115="","",TEXT(A115,"000000")&amp;"-"&amp;IF(C115="Entrada","CR","DB"))</f>
        <v>000114-DB</v>
      </c>
      <c r="AM115" s="46" t="str">
        <f>IF(A115="","",LEFT(IF(H115&lt;&gt;"",H115,G115)&amp;" | "&amp;G115&amp;" | "&amp;S115,60))</f>
        <v>Locação de miniescavadeira - nivelamento e abertura de valas</v>
      </c>
    </row>
    <row r="116" spans="1:39" ht="43.2" x14ac:dyDescent="0.3">
      <c r="A116" s="39">
        <v>115</v>
      </c>
      <c r="B116" s="39" t="s">
        <v>2</v>
      </c>
      <c r="C116" s="39" t="s">
        <v>74</v>
      </c>
      <c r="D116" s="39" t="s">
        <v>217</v>
      </c>
      <c r="E116" s="39" t="s">
        <v>217</v>
      </c>
      <c r="F116" s="39" t="s">
        <v>109</v>
      </c>
      <c r="G116" s="39" t="s">
        <v>218</v>
      </c>
      <c r="H116" s="40"/>
      <c r="I116" s="40"/>
      <c r="J116" s="40"/>
      <c r="K116" s="42">
        <v>46143</v>
      </c>
      <c r="L116" s="42"/>
      <c r="M116" s="44"/>
      <c r="N116" s="40"/>
      <c r="O116" s="40"/>
      <c r="P116" s="40"/>
      <c r="Q116" s="42">
        <f>IF(K116="","",K116)</f>
        <v>46143</v>
      </c>
      <c r="R116" s="39" t="s">
        <v>217</v>
      </c>
      <c r="S116" s="39" t="s">
        <v>219</v>
      </c>
      <c r="T116" s="39" t="s">
        <v>220</v>
      </c>
      <c r="U116" s="39" t="s">
        <v>215</v>
      </c>
      <c r="V116" s="39">
        <v>101</v>
      </c>
      <c r="W116" s="39" t="s">
        <v>272</v>
      </c>
      <c r="X116" s="41">
        <v>46132</v>
      </c>
      <c r="Y116" s="41">
        <v>46143</v>
      </c>
      <c r="Z116" s="43">
        <v>4922.6239999999998</v>
      </c>
      <c r="AA116" s="45">
        <f>IF(M116&lt;&gt;"",M116,Z116)</f>
        <v>4922.6239999999998</v>
      </c>
      <c r="AB116" s="46" t="str">
        <f>IF(L116&lt;&gt;"","Realizado","Previsto")</f>
        <v>Previsto</v>
      </c>
      <c r="AC116" s="47">
        <v>9.3799999999999994E-2</v>
      </c>
      <c r="AD116" s="43">
        <v>52480</v>
      </c>
      <c r="AE116" s="39">
        <v>64</v>
      </c>
      <c r="AF116" s="39" t="s">
        <v>113</v>
      </c>
      <c r="AG116" s="43">
        <v>820</v>
      </c>
      <c r="AH116" s="39" t="s">
        <v>221</v>
      </c>
      <c r="AI116" s="39" t="s">
        <v>73</v>
      </c>
      <c r="AJ116" s="48">
        <f>IF(Q116&lt;&gt;"",Q116,IF(K116&lt;&gt;"",K116,""))</f>
        <v>46143</v>
      </c>
      <c r="AK116" s="46" t="str">
        <f>IF(K116&lt;&gt;"","Sim","")</f>
        <v>Sim</v>
      </c>
      <c r="AL116" s="46" t="str">
        <f>IF(A116="","",TEXT(A116,"000000")&amp;"-"&amp;IF(C116="Entrada","CR","DB"))</f>
        <v>000115-DB</v>
      </c>
      <c r="AM116" s="46" t="str">
        <f>IF(A116="","",LEFT(IF(H116&lt;&gt;"",H116,G116)&amp;" | "&amp;G116&amp;" | "&amp;S116,60))</f>
        <v>MO Terceirizada Caixas de inspecao e gordura | MO Terceiriza</v>
      </c>
    </row>
    <row r="117" spans="1:39" ht="43.2" x14ac:dyDescent="0.3">
      <c r="A117" s="39">
        <v>116</v>
      </c>
      <c r="B117" s="39" t="s">
        <v>2</v>
      </c>
      <c r="C117" s="39" t="s">
        <v>74</v>
      </c>
      <c r="D117" s="39" t="s">
        <v>124</v>
      </c>
      <c r="E117" s="39" t="s">
        <v>124</v>
      </c>
      <c r="F117" s="39" t="s">
        <v>125</v>
      </c>
      <c r="G117" s="39" t="s">
        <v>222</v>
      </c>
      <c r="H117" s="40"/>
      <c r="I117" s="40"/>
      <c r="J117" s="40"/>
      <c r="K117" s="42">
        <v>46143</v>
      </c>
      <c r="L117" s="42"/>
      <c r="M117" s="44"/>
      <c r="N117" s="40"/>
      <c r="O117" s="40"/>
      <c r="P117" s="40"/>
      <c r="Q117" s="42">
        <f>IF(K117="","",K117)</f>
        <v>46143</v>
      </c>
      <c r="R117" s="39" t="s">
        <v>124</v>
      </c>
      <c r="S117" s="39" t="s">
        <v>127</v>
      </c>
      <c r="T117" s="39" t="s">
        <v>128</v>
      </c>
      <c r="U117" s="39"/>
      <c r="V117" s="39">
        <v>274</v>
      </c>
      <c r="W117" s="39" t="s">
        <v>272</v>
      </c>
      <c r="X117" s="41">
        <v>46132</v>
      </c>
      <c r="Y117" s="41">
        <v>46143</v>
      </c>
      <c r="Z117" s="43">
        <v>21190</v>
      </c>
      <c r="AA117" s="45">
        <f>IF(M117&lt;&gt;"",M117,Z117)</f>
        <v>21190</v>
      </c>
      <c r="AB117" s="46" t="str">
        <f>IF(L117&lt;&gt;"","Realizado","Previsto")</f>
        <v>Previsto</v>
      </c>
      <c r="AC117" s="47"/>
      <c r="AD117" s="43">
        <v>211900</v>
      </c>
      <c r="AE117" s="39"/>
      <c r="AF117" s="39"/>
      <c r="AG117" s="43"/>
      <c r="AH117" s="39" t="s">
        <v>223</v>
      </c>
      <c r="AI117" s="39" t="s">
        <v>73</v>
      </c>
      <c r="AJ117" s="48">
        <f>IF(Q117&lt;&gt;"",Q117,IF(K117&lt;&gt;"",K117,""))</f>
        <v>46143</v>
      </c>
      <c r="AK117" s="46" t="str">
        <f>IF(K117&lt;&gt;"","Sim","")</f>
        <v>Sim</v>
      </c>
      <c r="AL117" s="46" t="str">
        <f>IF(A117="","",TEXT(A117,"000000")&amp;"-"&amp;IF(C117="Entrada","CR","DB"))</f>
        <v>000116-DB</v>
      </c>
      <c r="AM117" s="46" t="str">
        <f>IF(A117="","",LEFT(IF(H117&lt;&gt;"",H117,G117)&amp;" | "&amp;G117&amp;" | "&amp;S117,60))</f>
        <v xml:space="preserve">CARTAO CREDITO SUCOPIRA | CARTAO CREDITO SUCOPIRA | Saída | </v>
      </c>
    </row>
    <row r="118" spans="1:39" ht="43.2" x14ac:dyDescent="0.3">
      <c r="A118" s="39">
        <v>117</v>
      </c>
      <c r="B118" s="39" t="s">
        <v>2</v>
      </c>
      <c r="C118" s="39" t="s">
        <v>74</v>
      </c>
      <c r="D118" s="39" t="s">
        <v>124</v>
      </c>
      <c r="E118" s="39" t="s">
        <v>124</v>
      </c>
      <c r="F118" s="39" t="s">
        <v>125</v>
      </c>
      <c r="G118" s="39" t="s">
        <v>226</v>
      </c>
      <c r="H118" s="40"/>
      <c r="I118" s="40"/>
      <c r="J118" s="40"/>
      <c r="K118" s="42">
        <v>46143</v>
      </c>
      <c r="L118" s="42"/>
      <c r="M118" s="44"/>
      <c r="N118" s="40"/>
      <c r="O118" s="40"/>
      <c r="P118" s="40"/>
      <c r="Q118" s="42">
        <f>IF(K118="","",K118)</f>
        <v>46143</v>
      </c>
      <c r="R118" s="39" t="s">
        <v>124</v>
      </c>
      <c r="S118" s="39" t="s">
        <v>127</v>
      </c>
      <c r="T118" s="39" t="s">
        <v>128</v>
      </c>
      <c r="U118" s="39"/>
      <c r="V118" s="39">
        <v>277</v>
      </c>
      <c r="W118" s="39" t="s">
        <v>272</v>
      </c>
      <c r="X118" s="41">
        <v>46132</v>
      </c>
      <c r="Y118" s="41">
        <v>46143</v>
      </c>
      <c r="Z118" s="43">
        <v>7670</v>
      </c>
      <c r="AA118" s="45">
        <f>IF(M118&lt;&gt;"",M118,Z118)</f>
        <v>7670</v>
      </c>
      <c r="AB118" s="46" t="str">
        <f>IF(L118&lt;&gt;"","Realizado","Previsto")</f>
        <v>Previsto</v>
      </c>
      <c r="AC118" s="47"/>
      <c r="AD118" s="43">
        <v>76700</v>
      </c>
      <c r="AE118" s="39"/>
      <c r="AF118" s="39"/>
      <c r="AG118" s="43"/>
      <c r="AH118" s="39" t="s">
        <v>227</v>
      </c>
      <c r="AI118" s="39" t="s">
        <v>73</v>
      </c>
      <c r="AJ118" s="48">
        <f>IF(Q118&lt;&gt;"",Q118,IF(K118&lt;&gt;"",K118,""))</f>
        <v>46143</v>
      </c>
      <c r="AK118" s="46" t="str">
        <f>IF(K118&lt;&gt;"","Sim","")</f>
        <v>Sim</v>
      </c>
      <c r="AL118" s="46" t="str">
        <f>IF(A118="","",TEXT(A118,"000000")&amp;"-"&amp;IF(C118="Entrada","CR","DB"))</f>
        <v>000117-DB</v>
      </c>
      <c r="AM118" s="46" t="str">
        <f>IF(A118="","",LEFT(IF(H118&lt;&gt;"",H118,G118)&amp;" | "&amp;G118&amp;" | "&amp;S118,60))</f>
        <v>EMPRÉSTIMO EXTRA | EMPRÉSTIMO EXTRA | Saída | CAPITAL DE GIR</v>
      </c>
    </row>
    <row r="119" spans="1:39" ht="43.2" x14ac:dyDescent="0.3">
      <c r="A119" s="39">
        <v>118</v>
      </c>
      <c r="B119" s="39" t="s">
        <v>2</v>
      </c>
      <c r="C119" s="39" t="s">
        <v>74</v>
      </c>
      <c r="D119" s="39" t="s">
        <v>124</v>
      </c>
      <c r="E119" s="39" t="s">
        <v>124</v>
      </c>
      <c r="F119" s="39" t="s">
        <v>125</v>
      </c>
      <c r="G119" s="39" t="s">
        <v>126</v>
      </c>
      <c r="H119" s="40"/>
      <c r="I119" s="40"/>
      <c r="J119" s="40"/>
      <c r="K119" s="42">
        <v>46143</v>
      </c>
      <c r="L119" s="42"/>
      <c r="M119" s="44"/>
      <c r="N119" s="40"/>
      <c r="O119" s="40"/>
      <c r="P119" s="40"/>
      <c r="Q119" s="42">
        <f>IF(K119="","",K119)</f>
        <v>46143</v>
      </c>
      <c r="R119" s="39" t="s">
        <v>124</v>
      </c>
      <c r="S119" s="39" t="s">
        <v>127</v>
      </c>
      <c r="T119" s="39" t="s">
        <v>128</v>
      </c>
      <c r="U119" s="39"/>
      <c r="V119" s="39">
        <v>273</v>
      </c>
      <c r="W119" s="39" t="s">
        <v>272</v>
      </c>
      <c r="X119" s="41">
        <v>46132</v>
      </c>
      <c r="Y119" s="41">
        <v>46143</v>
      </c>
      <c r="Z119" s="43">
        <v>19943.37</v>
      </c>
      <c r="AA119" s="45">
        <f>IF(M119&lt;&gt;"",M119,Z119)</f>
        <v>19943.37</v>
      </c>
      <c r="AB119" s="46" t="str">
        <f>IF(L119&lt;&gt;"","Realizado","Previsto")</f>
        <v>Previsto</v>
      </c>
      <c r="AC119" s="47"/>
      <c r="AD119" s="43">
        <v>307830.11</v>
      </c>
      <c r="AE119" s="39"/>
      <c r="AF119" s="39"/>
      <c r="AG119" s="43">
        <v>248</v>
      </c>
      <c r="AH119" s="39" t="s">
        <v>130</v>
      </c>
      <c r="AI119" s="39" t="s">
        <v>73</v>
      </c>
      <c r="AJ119" s="48">
        <f>IF(Q119&lt;&gt;"",Q119,IF(K119&lt;&gt;"",K119,""))</f>
        <v>46143</v>
      </c>
      <c r="AK119" s="46" t="str">
        <f>IF(K119&lt;&gt;"","Sim","")</f>
        <v>Sim</v>
      </c>
      <c r="AL119" s="46" t="str">
        <f>IF(A119="","",TEXT(A119,"000000")&amp;"-"&amp;IF(C119="Entrada","CR","DB"))</f>
        <v>000118-DB</v>
      </c>
      <c r="AM119" s="46" t="str">
        <f>IF(A119="","",LEFT(IF(H119&lt;&gt;"",H119,G119)&amp;" | "&amp;G119&amp;" | "&amp;S119,60))</f>
        <v>ITAU | ITAU | Saída | CAPITAL DE GIRO</v>
      </c>
    </row>
    <row r="120" spans="1:39" ht="43.2" x14ac:dyDescent="0.3">
      <c r="A120" s="39">
        <v>119</v>
      </c>
      <c r="B120" s="39" t="s">
        <v>2</v>
      </c>
      <c r="C120" s="39" t="s">
        <v>74</v>
      </c>
      <c r="D120" s="39" t="s">
        <v>230</v>
      </c>
      <c r="E120" s="39" t="s">
        <v>230</v>
      </c>
      <c r="F120" s="39" t="s">
        <v>312</v>
      </c>
      <c r="G120" s="39" t="s">
        <v>313</v>
      </c>
      <c r="H120" s="40"/>
      <c r="I120" s="40"/>
      <c r="J120" s="40"/>
      <c r="K120" s="42">
        <v>46143</v>
      </c>
      <c r="L120" s="42"/>
      <c r="M120" s="44"/>
      <c r="N120" s="40"/>
      <c r="O120" s="40"/>
      <c r="P120" s="40"/>
      <c r="Q120" s="42">
        <f>IF(K120="","",K120)</f>
        <v>46143</v>
      </c>
      <c r="R120" s="39" t="s">
        <v>230</v>
      </c>
      <c r="S120" s="39" t="s">
        <v>232</v>
      </c>
      <c r="T120" s="39" t="s">
        <v>314</v>
      </c>
      <c r="U120" s="39" t="s">
        <v>275</v>
      </c>
      <c r="V120" s="39">
        <v>105</v>
      </c>
      <c r="W120" s="39" t="s">
        <v>272</v>
      </c>
      <c r="X120" s="41">
        <v>46132</v>
      </c>
      <c r="Y120" s="41">
        <v>46143</v>
      </c>
      <c r="Z120" s="43">
        <v>6892.7999999999993</v>
      </c>
      <c r="AA120" s="45">
        <f>IF(M120&lt;&gt;"",M120,Z120)</f>
        <v>6892.7999999999993</v>
      </c>
      <c r="AB120" s="46" t="str">
        <f>IF(L120&lt;&gt;"","Realizado","Previsto")</f>
        <v>Previsto</v>
      </c>
      <c r="AC120" s="47">
        <v>0.5</v>
      </c>
      <c r="AD120" s="43">
        <v>13785.6</v>
      </c>
      <c r="AE120" s="39">
        <v>384</v>
      </c>
      <c r="AF120" s="39" t="s">
        <v>87</v>
      </c>
      <c r="AG120" s="43">
        <v>35.9</v>
      </c>
      <c r="AH120" s="39" t="s">
        <v>315</v>
      </c>
      <c r="AI120" s="39" t="s">
        <v>73</v>
      </c>
      <c r="AJ120" s="48">
        <f>IF(Q120&lt;&gt;"",Q120,IF(K120&lt;&gt;"",K120,""))</f>
        <v>46143</v>
      </c>
      <c r="AK120" s="46" t="str">
        <f>IF(K120&lt;&gt;"","Sim","")</f>
        <v>Sim</v>
      </c>
      <c r="AL120" s="46" t="str">
        <f>IF(A120="","",TEXT(A120,"000000")&amp;"-"&amp;IF(C120="Entrada","CR","DB"))</f>
        <v>000119-DB</v>
      </c>
      <c r="AM120" s="46" t="str">
        <f>IF(A120="","",LEFT(IF(H120&lt;&gt;"",H120,G120)&amp;" | "&amp;G120&amp;" | "&amp;S120,60))</f>
        <v>Cumeeira fibrocimento - 20º 6mm | Cumeeira fibrocimento - 20</v>
      </c>
    </row>
    <row r="121" spans="1:39" ht="43.2" x14ac:dyDescent="0.3">
      <c r="A121" s="39">
        <v>120</v>
      </c>
      <c r="B121" s="39" t="s">
        <v>2</v>
      </c>
      <c r="C121" s="39" t="s">
        <v>74</v>
      </c>
      <c r="D121" s="39" t="s">
        <v>230</v>
      </c>
      <c r="E121" s="39" t="s">
        <v>230</v>
      </c>
      <c r="F121" s="39" t="s">
        <v>100</v>
      </c>
      <c r="G121" s="39" t="s">
        <v>316</v>
      </c>
      <c r="H121" s="40"/>
      <c r="I121" s="40"/>
      <c r="J121" s="40"/>
      <c r="K121" s="42">
        <v>46143</v>
      </c>
      <c r="L121" s="42"/>
      <c r="M121" s="44"/>
      <c r="N121" s="40"/>
      <c r="O121" s="40"/>
      <c r="P121" s="40"/>
      <c r="Q121" s="42">
        <f>IF(K121="","",K121)</f>
        <v>46143</v>
      </c>
      <c r="R121" s="39" t="s">
        <v>230</v>
      </c>
      <c r="S121" s="39" t="s">
        <v>232</v>
      </c>
      <c r="T121" s="39" t="s">
        <v>317</v>
      </c>
      <c r="U121" s="39" t="s">
        <v>275</v>
      </c>
      <c r="V121" s="39">
        <v>103</v>
      </c>
      <c r="W121" s="39" t="s">
        <v>272</v>
      </c>
      <c r="X121" s="41">
        <v>46132</v>
      </c>
      <c r="Y121" s="41">
        <v>46143</v>
      </c>
      <c r="Z121" s="43">
        <v>59520</v>
      </c>
      <c r="AA121" s="45">
        <f>IF(M121&lt;&gt;"",M121,Z121)</f>
        <v>59520</v>
      </c>
      <c r="AB121" s="46" t="str">
        <f>IF(L121&lt;&gt;"","Realizado","Previsto")</f>
        <v>Previsto</v>
      </c>
      <c r="AC121" s="47">
        <v>0.3</v>
      </c>
      <c r="AD121" s="43">
        <v>198400</v>
      </c>
      <c r="AE121" s="39">
        <v>64</v>
      </c>
      <c r="AF121" s="39" t="s">
        <v>87</v>
      </c>
      <c r="AG121" s="43">
        <v>3100</v>
      </c>
      <c r="AH121" s="39" t="s">
        <v>318</v>
      </c>
      <c r="AI121" s="39" t="s">
        <v>73</v>
      </c>
      <c r="AJ121" s="48">
        <f>IF(Q121&lt;&gt;"",Q121,IF(K121&lt;&gt;"",K121,""))</f>
        <v>46143</v>
      </c>
      <c r="AK121" s="46" t="str">
        <f>IF(K121&lt;&gt;"","Sim","")</f>
        <v>Sim</v>
      </c>
      <c r="AL121" s="46" t="str">
        <f>IF(A121="","",TEXT(A121,"000000")&amp;"-"&amp;IF(C121="Entrada","CR","DB"))</f>
        <v>000120-DB</v>
      </c>
      <c r="AM121" s="46" t="str">
        <f>IF(A121="","",LEFT(IF(H121&lt;&gt;"",H121,G121)&amp;" | "&amp;G121&amp;" | "&amp;S121,60))</f>
        <v>Estrutura SteelFrame com tesouras | Estrutura SteelFrame com</v>
      </c>
    </row>
    <row r="122" spans="1:39" ht="43.2" x14ac:dyDescent="0.3">
      <c r="A122" s="39">
        <v>121</v>
      </c>
      <c r="B122" s="39" t="s">
        <v>2</v>
      </c>
      <c r="C122" s="39" t="s">
        <v>74</v>
      </c>
      <c r="D122" s="39" t="s">
        <v>230</v>
      </c>
      <c r="E122" s="39" t="s">
        <v>230</v>
      </c>
      <c r="F122" s="39" t="s">
        <v>109</v>
      </c>
      <c r="G122" s="39" t="s">
        <v>231</v>
      </c>
      <c r="H122" s="40"/>
      <c r="I122" s="40"/>
      <c r="J122" s="40"/>
      <c r="K122" s="42">
        <v>46143</v>
      </c>
      <c r="L122" s="42"/>
      <c r="M122" s="44"/>
      <c r="N122" s="40"/>
      <c r="O122" s="40"/>
      <c r="P122" s="40"/>
      <c r="Q122" s="42">
        <f>IF(K122="","",K122)</f>
        <v>46143</v>
      </c>
      <c r="R122" s="39" t="s">
        <v>230</v>
      </c>
      <c r="S122" s="39" t="s">
        <v>232</v>
      </c>
      <c r="T122" s="39" t="s">
        <v>233</v>
      </c>
      <c r="U122" s="39" t="s">
        <v>215</v>
      </c>
      <c r="V122" s="39">
        <v>107</v>
      </c>
      <c r="W122" s="39" t="s">
        <v>272</v>
      </c>
      <c r="X122" s="41">
        <v>46132</v>
      </c>
      <c r="Y122" s="41">
        <v>46143</v>
      </c>
      <c r="Z122" s="43">
        <v>9304.9599999999991</v>
      </c>
      <c r="AA122" s="45">
        <f>IF(M122&lt;&gt;"",M122,Z122)</f>
        <v>9304.9599999999991</v>
      </c>
      <c r="AB122" s="46" t="str">
        <f>IF(L122&lt;&gt;"","Realizado","Previsto")</f>
        <v>Previsto</v>
      </c>
      <c r="AC122" s="47">
        <v>9.3799999999999994E-2</v>
      </c>
      <c r="AD122" s="43">
        <v>99200</v>
      </c>
      <c r="AE122" s="39">
        <v>64</v>
      </c>
      <c r="AF122" s="39" t="s">
        <v>113</v>
      </c>
      <c r="AG122" s="43">
        <v>1550</v>
      </c>
      <c r="AH122" s="39" t="s">
        <v>234</v>
      </c>
      <c r="AI122" s="39" t="s">
        <v>73</v>
      </c>
      <c r="AJ122" s="48">
        <f>IF(Q122&lt;&gt;"",Q122,IF(K122&lt;&gt;"",K122,""))</f>
        <v>46143</v>
      </c>
      <c r="AK122" s="46" t="str">
        <f>IF(K122&lt;&gt;"","Sim","")</f>
        <v>Sim</v>
      </c>
      <c r="AL122" s="46" t="str">
        <f>IF(A122="","",TEXT(A122,"000000")&amp;"-"&amp;IF(C122="Entrada","CR","DB"))</f>
        <v>000121-DB</v>
      </c>
      <c r="AM122" s="46" t="str">
        <f>IF(A122="","",LEFT(IF(H122&lt;&gt;"",H122,G122)&amp;" | "&amp;G122&amp;" | "&amp;S122,60))</f>
        <v>Mao de obra terceirizada montagem e telhamento | Mao de obra</v>
      </c>
    </row>
    <row r="123" spans="1:39" ht="43.2" x14ac:dyDescent="0.3">
      <c r="A123" s="39">
        <v>122</v>
      </c>
      <c r="B123" s="39" t="s">
        <v>2</v>
      </c>
      <c r="C123" s="39" t="s">
        <v>74</v>
      </c>
      <c r="D123" s="39" t="s">
        <v>230</v>
      </c>
      <c r="E123" s="39" t="s">
        <v>230</v>
      </c>
      <c r="F123" s="39" t="s">
        <v>167</v>
      </c>
      <c r="G123" s="39" t="s">
        <v>319</v>
      </c>
      <c r="H123" s="40"/>
      <c r="I123" s="40"/>
      <c r="J123" s="40"/>
      <c r="K123" s="42">
        <v>46143</v>
      </c>
      <c r="L123" s="42"/>
      <c r="M123" s="44"/>
      <c r="N123" s="40"/>
      <c r="O123" s="40"/>
      <c r="P123" s="40"/>
      <c r="Q123" s="42">
        <f>IF(K123="","",K123)</f>
        <v>46143</v>
      </c>
      <c r="R123" s="39" t="s">
        <v>230</v>
      </c>
      <c r="S123" s="39" t="s">
        <v>232</v>
      </c>
      <c r="T123" s="39" t="s">
        <v>320</v>
      </c>
      <c r="U123" s="39" t="s">
        <v>275</v>
      </c>
      <c r="V123" s="39">
        <v>106</v>
      </c>
      <c r="W123" s="39" t="s">
        <v>272</v>
      </c>
      <c r="X123" s="41">
        <v>46132</v>
      </c>
      <c r="Y123" s="41">
        <v>46143</v>
      </c>
      <c r="Z123" s="43">
        <v>4188.8</v>
      </c>
      <c r="AA123" s="45">
        <f>IF(M123&lt;&gt;"",M123,Z123)</f>
        <v>4188.8</v>
      </c>
      <c r="AB123" s="46" t="str">
        <f>IF(L123&lt;&gt;"","Realizado","Previsto")</f>
        <v>Previsto</v>
      </c>
      <c r="AC123" s="47">
        <v>0.5</v>
      </c>
      <c r="AD123" s="43">
        <v>8377.6</v>
      </c>
      <c r="AE123" s="39">
        <v>7040</v>
      </c>
      <c r="AF123" s="39" t="s">
        <v>321</v>
      </c>
      <c r="AG123" s="43">
        <v>1.19</v>
      </c>
      <c r="AH123" s="39" t="s">
        <v>322</v>
      </c>
      <c r="AI123" s="39" t="s">
        <v>73</v>
      </c>
      <c r="AJ123" s="48">
        <f>IF(Q123&lt;&gt;"",Q123,IF(K123&lt;&gt;"",K123,""))</f>
        <v>46143</v>
      </c>
      <c r="AK123" s="46" t="str">
        <f>IF(K123&lt;&gt;"","Sim","")</f>
        <v>Sim</v>
      </c>
      <c r="AL123" s="46" t="str">
        <f>IF(A123="","",TEXT(A123,"000000")&amp;"-"&amp;IF(C123="Entrada","CR","DB"))</f>
        <v>000122-DB</v>
      </c>
      <c r="AM123" s="46" t="str">
        <f>IF(A123="","",LEFT(IF(H123&lt;&gt;"",H123,G123)&amp;" | "&amp;G123&amp;" | "&amp;S123,60))</f>
        <v>Parafuso telheiro 1/4" x 110 mm com arruela/vedante: 150 un.</v>
      </c>
    </row>
    <row r="124" spans="1:39" ht="43.2" x14ac:dyDescent="0.3">
      <c r="A124" s="39">
        <v>123</v>
      </c>
      <c r="B124" s="39" t="s">
        <v>2</v>
      </c>
      <c r="C124" s="39" t="s">
        <v>74</v>
      </c>
      <c r="D124" s="39" t="s">
        <v>230</v>
      </c>
      <c r="E124" s="39" t="s">
        <v>230</v>
      </c>
      <c r="F124" s="39" t="s">
        <v>312</v>
      </c>
      <c r="G124" s="39" t="s">
        <v>323</v>
      </c>
      <c r="H124" s="40"/>
      <c r="I124" s="40"/>
      <c r="J124" s="40"/>
      <c r="K124" s="42">
        <v>46143</v>
      </c>
      <c r="L124" s="42"/>
      <c r="M124" s="44"/>
      <c r="N124" s="40"/>
      <c r="O124" s="40"/>
      <c r="P124" s="40"/>
      <c r="Q124" s="42">
        <f>IF(K124="","",K124)</f>
        <v>46143</v>
      </c>
      <c r="R124" s="39" t="s">
        <v>230</v>
      </c>
      <c r="S124" s="39" t="s">
        <v>232</v>
      </c>
      <c r="T124" s="39" t="s">
        <v>314</v>
      </c>
      <c r="U124" s="39" t="s">
        <v>275</v>
      </c>
      <c r="V124" s="39">
        <v>104</v>
      </c>
      <c r="W124" s="39" t="s">
        <v>272</v>
      </c>
      <c r="X124" s="41">
        <v>46132</v>
      </c>
      <c r="Y124" s="41">
        <v>46143</v>
      </c>
      <c r="Z124" s="43">
        <v>38016</v>
      </c>
      <c r="AA124" s="45">
        <f>IF(M124&lt;&gt;"",M124,Z124)</f>
        <v>38016</v>
      </c>
      <c r="AB124" s="46" t="str">
        <f>IF(L124&lt;&gt;"","Realizado","Previsto")</f>
        <v>Previsto</v>
      </c>
      <c r="AC124" s="47">
        <v>0.5</v>
      </c>
      <c r="AD124" s="43">
        <v>76032</v>
      </c>
      <c r="AE124" s="39">
        <v>1536</v>
      </c>
      <c r="AF124" s="39" t="s">
        <v>87</v>
      </c>
      <c r="AG124" s="43">
        <v>49.5</v>
      </c>
      <c r="AH124" s="39" t="s">
        <v>315</v>
      </c>
      <c r="AI124" s="39" t="s">
        <v>73</v>
      </c>
      <c r="AJ124" s="48">
        <f>IF(Q124&lt;&gt;"",Q124,IF(K124&lt;&gt;"",K124,""))</f>
        <v>46143</v>
      </c>
      <c r="AK124" s="46" t="str">
        <f>IF(K124&lt;&gt;"","Sim","")</f>
        <v>Sim</v>
      </c>
      <c r="AL124" s="46" t="str">
        <f>IF(A124="","",TEXT(A124,"000000")&amp;"-"&amp;IF(C124="Entrada","CR","DB"))</f>
        <v>000123-DB</v>
      </c>
      <c r="AM124" s="46" t="str">
        <f>IF(A124="","",LEFT(IF(H124&lt;&gt;"",H124,G124)&amp;" | "&amp;G124&amp;" | "&amp;S124,60))</f>
        <v>Telha fibrocimento 6mm 2,44x1,1m | Telha fibrocimento 6mm 2,</v>
      </c>
    </row>
    <row r="125" spans="1:39" ht="43.2" x14ac:dyDescent="0.3">
      <c r="A125" s="39">
        <v>124</v>
      </c>
      <c r="B125" s="39" t="s">
        <v>2</v>
      </c>
      <c r="C125" s="39" t="s">
        <v>74</v>
      </c>
      <c r="D125" s="39" t="s">
        <v>235</v>
      </c>
      <c r="E125" s="39" t="s">
        <v>236</v>
      </c>
      <c r="F125" s="39" t="s">
        <v>324</v>
      </c>
      <c r="G125" s="39" t="s">
        <v>325</v>
      </c>
      <c r="H125" s="40"/>
      <c r="I125" s="40"/>
      <c r="J125" s="40"/>
      <c r="K125" s="42">
        <v>46143</v>
      </c>
      <c r="L125" s="42"/>
      <c r="M125" s="44"/>
      <c r="N125" s="40"/>
      <c r="O125" s="40"/>
      <c r="P125" s="40"/>
      <c r="Q125" s="42">
        <f>IF(K125="","",K125)</f>
        <v>46143</v>
      </c>
      <c r="R125" s="39" t="s">
        <v>235</v>
      </c>
      <c r="S125" s="39" t="s">
        <v>238</v>
      </c>
      <c r="T125" s="39" t="s">
        <v>326</v>
      </c>
      <c r="U125" s="39" t="s">
        <v>275</v>
      </c>
      <c r="V125" s="39">
        <v>155</v>
      </c>
      <c r="W125" s="39" t="s">
        <v>272</v>
      </c>
      <c r="X125" s="41">
        <v>46132</v>
      </c>
      <c r="Y125" s="41">
        <v>46143</v>
      </c>
      <c r="Z125" s="43">
        <v>1936.64</v>
      </c>
      <c r="AA125" s="45">
        <f>IF(M125&lt;&gt;"",M125,Z125)</f>
        <v>1936.64</v>
      </c>
      <c r="AB125" s="46" t="str">
        <f>IF(L125&lt;&gt;"","Realizado","Previsto")</f>
        <v>Previsto</v>
      </c>
      <c r="AC125" s="47">
        <v>0.34</v>
      </c>
      <c r="AD125" s="43">
        <v>5696</v>
      </c>
      <c r="AE125" s="39">
        <v>1600</v>
      </c>
      <c r="AF125" s="39" t="s">
        <v>327</v>
      </c>
      <c r="AG125" s="43">
        <v>3.56</v>
      </c>
      <c r="AH125" s="39" t="s">
        <v>328</v>
      </c>
      <c r="AI125" s="39" t="s">
        <v>73</v>
      </c>
      <c r="AJ125" s="48">
        <f>IF(Q125&lt;&gt;"",Q125,IF(K125&lt;&gt;"",K125,""))</f>
        <v>46143</v>
      </c>
      <c r="AK125" s="46" t="str">
        <f>IF(K125&lt;&gt;"","Sim","")</f>
        <v>Sim</v>
      </c>
      <c r="AL125" s="46" t="str">
        <f>IF(A125="","",TEXT(A125,"000000")&amp;"-"&amp;IF(C125="Entrada","CR","DB"))</f>
        <v>000124-DB</v>
      </c>
      <c r="AM125" s="46" t="str">
        <f>IF(A125="","",LEFT(IF(H125&lt;&gt;"",H125,G125)&amp;" | "&amp;G125&amp;" | "&amp;S125,60))</f>
        <v>Lixa grao 150 - | Lixa grao 150 - | Saída | EMASSAMENTO INTE</v>
      </c>
    </row>
    <row r="126" spans="1:39" ht="43.2" x14ac:dyDescent="0.3">
      <c r="A126" s="39">
        <v>125</v>
      </c>
      <c r="B126" s="39" t="s">
        <v>2</v>
      </c>
      <c r="C126" s="39" t="s">
        <v>74</v>
      </c>
      <c r="D126" s="39" t="s">
        <v>235</v>
      </c>
      <c r="E126" s="39" t="s">
        <v>236</v>
      </c>
      <c r="F126" s="39" t="s">
        <v>109</v>
      </c>
      <c r="G126" s="39" t="s">
        <v>237</v>
      </c>
      <c r="H126" s="40"/>
      <c r="I126" s="40"/>
      <c r="J126" s="40"/>
      <c r="K126" s="42">
        <v>46143</v>
      </c>
      <c r="L126" s="42"/>
      <c r="M126" s="44"/>
      <c r="N126" s="40"/>
      <c r="O126" s="40"/>
      <c r="P126" s="40"/>
      <c r="Q126" s="42">
        <f>IF(K126="","",K126)</f>
        <v>46143</v>
      </c>
      <c r="R126" s="39" t="s">
        <v>235</v>
      </c>
      <c r="S126" s="39" t="s">
        <v>238</v>
      </c>
      <c r="T126" s="39" t="s">
        <v>239</v>
      </c>
      <c r="U126" s="39" t="s">
        <v>215</v>
      </c>
      <c r="V126" s="39">
        <v>156</v>
      </c>
      <c r="W126" s="39" t="s">
        <v>272</v>
      </c>
      <c r="X126" s="41">
        <v>46132</v>
      </c>
      <c r="Y126" s="41">
        <v>46143</v>
      </c>
      <c r="Z126" s="43">
        <v>6433.509376</v>
      </c>
      <c r="AA126" s="45">
        <f>IF(M126&lt;&gt;"",M126,Z126)</f>
        <v>6433.509376</v>
      </c>
      <c r="AB126" s="46" t="str">
        <f>IF(L126&lt;&gt;"","Realizado","Previsto")</f>
        <v>Previsto</v>
      </c>
      <c r="AC126" s="47">
        <v>9.3799999999999994E-2</v>
      </c>
      <c r="AD126" s="43">
        <v>68587.520000000004</v>
      </c>
      <c r="AE126" s="39">
        <v>8573.44</v>
      </c>
      <c r="AF126" s="39" t="s">
        <v>203</v>
      </c>
      <c r="AG126" s="43">
        <v>8</v>
      </c>
      <c r="AH126" s="39" t="s">
        <v>240</v>
      </c>
      <c r="AI126" s="39" t="s">
        <v>73</v>
      </c>
      <c r="AJ126" s="48">
        <f>IF(Q126&lt;&gt;"",Q126,IF(K126&lt;&gt;"",K126,""))</f>
        <v>46143</v>
      </c>
      <c r="AK126" s="46" t="str">
        <f>IF(K126&lt;&gt;"","Sim","")</f>
        <v>Sim</v>
      </c>
      <c r="AL126" s="46" t="str">
        <f>IF(A126="","",TEXT(A126,"000000")&amp;"-"&amp;IF(C126="Entrada","CR","DB"))</f>
        <v>000125-DB</v>
      </c>
      <c r="AM126" s="46" t="str">
        <f>IF(A126="","",LEFT(IF(H126&lt;&gt;"",H126,G126)&amp;" | "&amp;G126&amp;" | "&amp;S126,60))</f>
        <v>Mao de obra terceirizada Emassamento e lixamento  interno pa</v>
      </c>
    </row>
    <row r="127" spans="1:39" ht="43.2" x14ac:dyDescent="0.3">
      <c r="A127" s="39">
        <v>126</v>
      </c>
      <c r="B127" s="39" t="s">
        <v>2</v>
      </c>
      <c r="C127" s="39" t="s">
        <v>74</v>
      </c>
      <c r="D127" s="39" t="s">
        <v>235</v>
      </c>
      <c r="E127" s="39" t="s">
        <v>236</v>
      </c>
      <c r="F127" s="39" t="s">
        <v>324</v>
      </c>
      <c r="G127" s="39" t="s">
        <v>329</v>
      </c>
      <c r="H127" s="40"/>
      <c r="I127" s="40"/>
      <c r="J127" s="40"/>
      <c r="K127" s="42">
        <v>46143</v>
      </c>
      <c r="L127" s="42"/>
      <c r="M127" s="44"/>
      <c r="N127" s="40"/>
      <c r="O127" s="40"/>
      <c r="P127" s="40"/>
      <c r="Q127" s="42">
        <f>IF(K127="","",K127)</f>
        <v>46143</v>
      </c>
      <c r="R127" s="39" t="s">
        <v>235</v>
      </c>
      <c r="S127" s="39" t="s">
        <v>238</v>
      </c>
      <c r="T127" s="39" t="s">
        <v>326</v>
      </c>
      <c r="U127" s="39" t="s">
        <v>275</v>
      </c>
      <c r="V127" s="39">
        <v>154</v>
      </c>
      <c r="W127" s="39" t="s">
        <v>272</v>
      </c>
      <c r="X127" s="41">
        <v>46132</v>
      </c>
      <c r="Y127" s="41">
        <v>46143</v>
      </c>
      <c r="Z127" s="43">
        <v>14035.2</v>
      </c>
      <c r="AA127" s="45">
        <f>IF(M127&lt;&gt;"",M127,Z127)</f>
        <v>14035.2</v>
      </c>
      <c r="AB127" s="46" t="str">
        <f>IF(L127&lt;&gt;"","Realizado","Previsto")</f>
        <v>Previsto</v>
      </c>
      <c r="AC127" s="47">
        <v>0.34</v>
      </c>
      <c r="AD127" s="43">
        <v>41280</v>
      </c>
      <c r="AE127" s="39">
        <v>960</v>
      </c>
      <c r="AF127" s="39" t="s">
        <v>330</v>
      </c>
      <c r="AG127" s="43">
        <v>43</v>
      </c>
      <c r="AH127" s="39" t="s">
        <v>328</v>
      </c>
      <c r="AI127" s="39" t="s">
        <v>73</v>
      </c>
      <c r="AJ127" s="48">
        <f>IF(Q127&lt;&gt;"",Q127,IF(K127&lt;&gt;"",K127,""))</f>
        <v>46143</v>
      </c>
      <c r="AK127" s="46" t="str">
        <f>IF(K127&lt;&gt;"","Sim","")</f>
        <v>Sim</v>
      </c>
      <c r="AL127" s="46" t="str">
        <f>IF(A127="","",TEXT(A127,"000000")&amp;"-"&amp;IF(C127="Entrada","CR","DB"))</f>
        <v>000126-DB</v>
      </c>
      <c r="AM127" s="46" t="str">
        <f>IF(A127="","",LEFT(IF(H127&lt;&gt;"",H127,G127)&amp;" | "&amp;G127&amp;" | "&amp;S127,60))</f>
        <v xml:space="preserve">Massa fina acabamento 18kg - branca | Massa fina acabamento </v>
      </c>
    </row>
    <row r="128" spans="1:39" ht="43.2" x14ac:dyDescent="0.3">
      <c r="A128" s="39">
        <v>127</v>
      </c>
      <c r="B128" s="39" t="s">
        <v>2</v>
      </c>
      <c r="C128" s="39" t="s">
        <v>74</v>
      </c>
      <c r="D128" s="39" t="s">
        <v>131</v>
      </c>
      <c r="E128" s="39" t="s">
        <v>131</v>
      </c>
      <c r="F128" s="39" t="s">
        <v>132</v>
      </c>
      <c r="G128" s="39" t="s">
        <v>133</v>
      </c>
      <c r="H128" s="40"/>
      <c r="I128" s="40"/>
      <c r="J128" s="40"/>
      <c r="K128" s="42">
        <v>46143</v>
      </c>
      <c r="L128" s="42"/>
      <c r="M128" s="44"/>
      <c r="N128" s="40"/>
      <c r="O128" s="40"/>
      <c r="P128" s="40"/>
      <c r="Q128" s="42">
        <f>IF(K128="","",K128)</f>
        <v>46143</v>
      </c>
      <c r="R128" s="39" t="s">
        <v>131</v>
      </c>
      <c r="S128" s="39" t="s">
        <v>134</v>
      </c>
      <c r="T128" s="39" t="s">
        <v>135</v>
      </c>
      <c r="U128" s="39"/>
      <c r="V128" s="39">
        <v>21</v>
      </c>
      <c r="W128" s="39" t="s">
        <v>272</v>
      </c>
      <c r="X128" s="41">
        <v>46132</v>
      </c>
      <c r="Y128" s="41">
        <v>46143</v>
      </c>
      <c r="Z128" s="43">
        <v>46.464000000000013</v>
      </c>
      <c r="AA128" s="45">
        <f>IF(M128&lt;&gt;"",M128,Z128)</f>
        <v>46.464000000000013</v>
      </c>
      <c r="AB128" s="46" t="str">
        <f>IF(L128&lt;&gt;"","Realizado","Previsto")</f>
        <v>Previsto</v>
      </c>
      <c r="AC128" s="47">
        <v>0.33</v>
      </c>
      <c r="AD128" s="43">
        <v>140.80000000000001</v>
      </c>
      <c r="AE128" s="39">
        <v>64</v>
      </c>
      <c r="AF128" s="39" t="s">
        <v>87</v>
      </c>
      <c r="AG128" s="43">
        <v>2.2000000000000002</v>
      </c>
      <c r="AH128" s="39" t="s">
        <v>136</v>
      </c>
      <c r="AI128" s="39" t="s">
        <v>73</v>
      </c>
      <c r="AJ128" s="48">
        <f>IF(Q128&lt;&gt;"",Q128,IF(K128&lt;&gt;"",K128,""))</f>
        <v>46143</v>
      </c>
      <c r="AK128" s="46" t="str">
        <f>IF(K128&lt;&gt;"","Sim","")</f>
        <v>Sim</v>
      </c>
      <c r="AL128" s="46" t="str">
        <f>IF(A128="","",TEXT(A128,"000000")&amp;"-"&amp;IF(C128="Entrada","CR","DB"))</f>
        <v>000127-DB</v>
      </c>
      <c r="AM128" s="46" t="str">
        <f>IF(A128="","",LEFT(IF(H128&lt;&gt;"",H128,G128)&amp;" | "&amp;G128&amp;" | "&amp;S128,60))</f>
        <v>Anel de vedação esg 100 mm | Anel de vedação esg 100 mm | Sa</v>
      </c>
    </row>
    <row r="129" spans="1:39" ht="43.2" x14ac:dyDescent="0.3">
      <c r="A129" s="39">
        <v>128</v>
      </c>
      <c r="B129" s="39" t="s">
        <v>2</v>
      </c>
      <c r="C129" s="39" t="s">
        <v>74</v>
      </c>
      <c r="D129" s="39" t="s">
        <v>131</v>
      </c>
      <c r="E129" s="39" t="s">
        <v>131</v>
      </c>
      <c r="F129" s="39" t="s">
        <v>132</v>
      </c>
      <c r="G129" s="39" t="s">
        <v>137</v>
      </c>
      <c r="H129" s="40"/>
      <c r="I129" s="40"/>
      <c r="J129" s="40"/>
      <c r="K129" s="42">
        <v>46143</v>
      </c>
      <c r="L129" s="42"/>
      <c r="M129" s="44"/>
      <c r="N129" s="40"/>
      <c r="O129" s="40"/>
      <c r="P129" s="40"/>
      <c r="Q129" s="42">
        <f>IF(K129="","",K129)</f>
        <v>46143</v>
      </c>
      <c r="R129" s="39" t="s">
        <v>131</v>
      </c>
      <c r="S129" s="39" t="s">
        <v>134</v>
      </c>
      <c r="T129" s="39" t="s">
        <v>135</v>
      </c>
      <c r="U129" s="39"/>
      <c r="V129" s="39">
        <v>19</v>
      </c>
      <c r="W129" s="39" t="s">
        <v>272</v>
      </c>
      <c r="X129" s="41">
        <v>46132</v>
      </c>
      <c r="Y129" s="41">
        <v>46143</v>
      </c>
      <c r="Z129" s="43">
        <v>675.84</v>
      </c>
      <c r="AA129" s="45">
        <f>IF(M129&lt;&gt;"",M129,Z129)</f>
        <v>675.84</v>
      </c>
      <c r="AB129" s="46" t="str">
        <f>IF(L129&lt;&gt;"","Realizado","Previsto")</f>
        <v>Previsto</v>
      </c>
      <c r="AC129" s="47">
        <v>0.33</v>
      </c>
      <c r="AD129" s="43">
        <v>2048</v>
      </c>
      <c r="AE129" s="39">
        <v>64</v>
      </c>
      <c r="AF129" s="39" t="s">
        <v>87</v>
      </c>
      <c r="AG129" s="43">
        <v>32</v>
      </c>
      <c r="AH129" s="39" t="s">
        <v>136</v>
      </c>
      <c r="AI129" s="39" t="s">
        <v>73</v>
      </c>
      <c r="AJ129" s="48">
        <f>IF(Q129&lt;&gt;"",Q129,IF(K129&lt;&gt;"",K129,""))</f>
        <v>46143</v>
      </c>
      <c r="AK129" s="46" t="str">
        <f>IF(K129&lt;&gt;"","Sim","")</f>
        <v>Sim</v>
      </c>
      <c r="AL129" s="46" t="str">
        <f>IF(A129="","",TEXT(A129,"000000")&amp;"-"&amp;IF(C129="Entrada","CR","DB"))</f>
        <v>000128-DB</v>
      </c>
      <c r="AM129" s="46" t="str">
        <f>IF(A129="","",LEFT(IF(H129&lt;&gt;"",H129,G129)&amp;" | "&amp;G129&amp;" | "&amp;S129,60))</f>
        <v>Caixa Sifonada com grelha quadrada PVC DN 150x150x50 com jun</v>
      </c>
    </row>
    <row r="130" spans="1:39" ht="43.2" x14ac:dyDescent="0.3">
      <c r="A130" s="39">
        <v>129</v>
      </c>
      <c r="B130" s="39" t="s">
        <v>2</v>
      </c>
      <c r="C130" s="39" t="s">
        <v>74</v>
      </c>
      <c r="D130" s="39" t="s">
        <v>131</v>
      </c>
      <c r="E130" s="39" t="s">
        <v>131</v>
      </c>
      <c r="F130" s="39" t="s">
        <v>132</v>
      </c>
      <c r="G130" s="39" t="s">
        <v>138</v>
      </c>
      <c r="H130" s="40"/>
      <c r="I130" s="40"/>
      <c r="J130" s="40"/>
      <c r="K130" s="42">
        <v>46143</v>
      </c>
      <c r="L130" s="42"/>
      <c r="M130" s="44"/>
      <c r="N130" s="40"/>
      <c r="O130" s="40"/>
      <c r="P130" s="40"/>
      <c r="Q130" s="42">
        <f>IF(K130="","",K130)</f>
        <v>46143</v>
      </c>
      <c r="R130" s="39" t="s">
        <v>131</v>
      </c>
      <c r="S130" s="39" t="s">
        <v>134</v>
      </c>
      <c r="T130" s="39" t="s">
        <v>135</v>
      </c>
      <c r="U130" s="39"/>
      <c r="V130" s="39">
        <v>24</v>
      </c>
      <c r="W130" s="39" t="s">
        <v>272</v>
      </c>
      <c r="X130" s="41">
        <v>46132</v>
      </c>
      <c r="Y130" s="41">
        <v>46143</v>
      </c>
      <c r="Z130" s="43">
        <v>295.46879999999999</v>
      </c>
      <c r="AA130" s="45">
        <f>IF(M130&lt;&gt;"",M130,Z130)</f>
        <v>295.46879999999999</v>
      </c>
      <c r="AB130" s="46" t="str">
        <f>IF(L130&lt;&gt;"","Realizado","Previsto")</f>
        <v>Previsto</v>
      </c>
      <c r="AC130" s="47">
        <v>0.33</v>
      </c>
      <c r="AD130" s="43">
        <v>895.36</v>
      </c>
      <c r="AE130" s="39">
        <v>64</v>
      </c>
      <c r="AF130" s="39" t="s">
        <v>87</v>
      </c>
      <c r="AG130" s="43">
        <v>13.99</v>
      </c>
      <c r="AH130" s="39" t="s">
        <v>136</v>
      </c>
      <c r="AI130" s="39" t="s">
        <v>73</v>
      </c>
      <c r="AJ130" s="48">
        <f>IF(Q130&lt;&gt;"",Q130,IF(K130&lt;&gt;"",K130,""))</f>
        <v>46143</v>
      </c>
      <c r="AK130" s="46" t="str">
        <f>IF(K130&lt;&gt;"","Sim","")</f>
        <v>Sim</v>
      </c>
      <c r="AL130" s="46" t="str">
        <f>IF(A130="","",TEXT(A130,"000000")&amp;"-"&amp;IF(C130="Entrada","CR","DB"))</f>
        <v>000129-DB</v>
      </c>
      <c r="AM130" s="46" t="str">
        <f>IF(A130="","",LEFT(IF(H130&lt;&gt;"",H130,G130)&amp;" | "&amp;G130&amp;" | "&amp;S130,60))</f>
        <v>Cola de cano PVC 175g | Cola de cano PVC 175g | Saída | ESPE</v>
      </c>
    </row>
    <row r="131" spans="1:39" ht="43.2" x14ac:dyDescent="0.3">
      <c r="A131" s="39">
        <v>130</v>
      </c>
      <c r="B131" s="39" t="s">
        <v>2</v>
      </c>
      <c r="C131" s="39" t="s">
        <v>74</v>
      </c>
      <c r="D131" s="39" t="s">
        <v>131</v>
      </c>
      <c r="E131" s="39" t="s">
        <v>131</v>
      </c>
      <c r="F131" s="39" t="s">
        <v>132</v>
      </c>
      <c r="G131" s="39" t="s">
        <v>139</v>
      </c>
      <c r="H131" s="40"/>
      <c r="I131" s="40"/>
      <c r="J131" s="40"/>
      <c r="K131" s="42">
        <v>46143</v>
      </c>
      <c r="L131" s="42"/>
      <c r="M131" s="44"/>
      <c r="N131" s="40"/>
      <c r="O131" s="40"/>
      <c r="P131" s="40"/>
      <c r="Q131" s="42">
        <f>IF(K131="","",K131)</f>
        <v>46143</v>
      </c>
      <c r="R131" s="39" t="s">
        <v>131</v>
      </c>
      <c r="S131" s="39" t="s">
        <v>134</v>
      </c>
      <c r="T131" s="39" t="s">
        <v>135</v>
      </c>
      <c r="U131" s="39"/>
      <c r="V131" s="39">
        <v>13</v>
      </c>
      <c r="W131" s="39" t="s">
        <v>272</v>
      </c>
      <c r="X131" s="41">
        <v>46132</v>
      </c>
      <c r="Y131" s="41">
        <v>46143</v>
      </c>
      <c r="Z131" s="43">
        <v>29.568000000000001</v>
      </c>
      <c r="AA131" s="45">
        <f>IF(M131&lt;&gt;"",M131,Z131)</f>
        <v>29.568000000000001</v>
      </c>
      <c r="AB131" s="46" t="str">
        <f>IF(L131&lt;&gt;"","Realizado","Previsto")</f>
        <v>Previsto</v>
      </c>
      <c r="AC131" s="47">
        <v>0.33</v>
      </c>
      <c r="AD131" s="43">
        <v>89.6</v>
      </c>
      <c r="AE131" s="39">
        <v>64</v>
      </c>
      <c r="AF131" s="39" t="s">
        <v>87</v>
      </c>
      <c r="AG131" s="43">
        <v>1.4</v>
      </c>
      <c r="AH131" s="39" t="s">
        <v>136</v>
      </c>
      <c r="AI131" s="39" t="s">
        <v>73</v>
      </c>
      <c r="AJ131" s="48">
        <f>IF(Q131&lt;&gt;"",Q131,IF(K131&lt;&gt;"",K131,""))</f>
        <v>46143</v>
      </c>
      <c r="AK131" s="46" t="str">
        <f>IF(K131&lt;&gt;"","Sim","")</f>
        <v>Sim</v>
      </c>
      <c r="AL131" s="46" t="str">
        <f>IF(A131="","",TEXT(A131,"000000")&amp;"-"&amp;IF(C131="Entrada","CR","DB"))</f>
        <v>000130-DB</v>
      </c>
      <c r="AM131" s="46" t="str">
        <f>IF(A131="","",LEFT(IF(H131&lt;&gt;"",H131,G131)&amp;" | "&amp;G131&amp;" | "&amp;S131,60))</f>
        <v>Joelho 45º PVC DN 40mm branco rígido para esgoto sanitário p</v>
      </c>
    </row>
    <row r="132" spans="1:39" ht="43.2" x14ac:dyDescent="0.3">
      <c r="A132" s="39">
        <v>131</v>
      </c>
      <c r="B132" s="39" t="s">
        <v>2</v>
      </c>
      <c r="C132" s="39" t="s">
        <v>74</v>
      </c>
      <c r="D132" s="39" t="s">
        <v>131</v>
      </c>
      <c r="E132" s="39" t="s">
        <v>131</v>
      </c>
      <c r="F132" s="39" t="s">
        <v>132</v>
      </c>
      <c r="G132" s="39" t="s">
        <v>140</v>
      </c>
      <c r="H132" s="40"/>
      <c r="I132" s="40"/>
      <c r="J132" s="40"/>
      <c r="K132" s="42">
        <v>46143</v>
      </c>
      <c r="L132" s="42"/>
      <c r="M132" s="44"/>
      <c r="N132" s="40"/>
      <c r="O132" s="40"/>
      <c r="P132" s="40"/>
      <c r="Q132" s="42">
        <f>IF(K132="","",K132)</f>
        <v>46143</v>
      </c>
      <c r="R132" s="39" t="s">
        <v>131</v>
      </c>
      <c r="S132" s="39" t="s">
        <v>134</v>
      </c>
      <c r="T132" s="39" t="s">
        <v>135</v>
      </c>
      <c r="U132" s="39"/>
      <c r="V132" s="39">
        <v>15</v>
      </c>
      <c r="W132" s="39" t="s">
        <v>272</v>
      </c>
      <c r="X132" s="41">
        <v>46132</v>
      </c>
      <c r="Y132" s="41">
        <v>46143</v>
      </c>
      <c r="Z132" s="43">
        <v>126.72</v>
      </c>
      <c r="AA132" s="45">
        <f>IF(M132&lt;&gt;"",M132,Z132)</f>
        <v>126.72</v>
      </c>
      <c r="AB132" s="46" t="str">
        <f>IF(L132&lt;&gt;"","Realizado","Previsto")</f>
        <v>Previsto</v>
      </c>
      <c r="AC132" s="47">
        <v>0.33</v>
      </c>
      <c r="AD132" s="43">
        <v>384</v>
      </c>
      <c r="AE132" s="39">
        <v>64</v>
      </c>
      <c r="AF132" s="39" t="s">
        <v>87</v>
      </c>
      <c r="AG132" s="43">
        <v>6</v>
      </c>
      <c r="AH132" s="39" t="s">
        <v>136</v>
      </c>
      <c r="AI132" s="39" t="s">
        <v>73</v>
      </c>
      <c r="AJ132" s="48">
        <f>IF(Q132&lt;&gt;"",Q132,IF(K132&lt;&gt;"",K132,""))</f>
        <v>46143</v>
      </c>
      <c r="AK132" s="46" t="str">
        <f>IF(K132&lt;&gt;"","Sim","")</f>
        <v>Sim</v>
      </c>
      <c r="AL132" s="46" t="str">
        <f>IF(A132="","",TEXT(A132,"000000")&amp;"-"&amp;IF(C132="Entrada","CR","DB"))</f>
        <v>000131-DB</v>
      </c>
      <c r="AM132" s="46" t="str">
        <f>IF(A132="","",LEFT(IF(H132&lt;&gt;"",H132,G132)&amp;" | "&amp;G132&amp;" | "&amp;S132,60))</f>
        <v>Joelho 45º PVC DN 50mm branco rígido para esgoto sanitário p</v>
      </c>
    </row>
    <row r="133" spans="1:39" ht="43.2" x14ac:dyDescent="0.3">
      <c r="A133" s="39">
        <v>132</v>
      </c>
      <c r="B133" s="39" t="s">
        <v>2</v>
      </c>
      <c r="C133" s="39" t="s">
        <v>74</v>
      </c>
      <c r="D133" s="39" t="s">
        <v>131</v>
      </c>
      <c r="E133" s="39" t="s">
        <v>131</v>
      </c>
      <c r="F133" s="39" t="s">
        <v>132</v>
      </c>
      <c r="G133" s="39" t="s">
        <v>141</v>
      </c>
      <c r="H133" s="40"/>
      <c r="I133" s="40"/>
      <c r="J133" s="40"/>
      <c r="K133" s="42">
        <v>46143</v>
      </c>
      <c r="L133" s="42"/>
      <c r="M133" s="44"/>
      <c r="N133" s="40"/>
      <c r="O133" s="40"/>
      <c r="P133" s="40"/>
      <c r="Q133" s="42">
        <f>IF(K133="","",K133)</f>
        <v>46143</v>
      </c>
      <c r="R133" s="39" t="s">
        <v>131</v>
      </c>
      <c r="S133" s="39" t="s">
        <v>134</v>
      </c>
      <c r="T133" s="39" t="s">
        <v>135</v>
      </c>
      <c r="U133" s="39"/>
      <c r="V133" s="39">
        <v>11</v>
      </c>
      <c r="W133" s="39" t="s">
        <v>272</v>
      </c>
      <c r="X133" s="41">
        <v>46132</v>
      </c>
      <c r="Y133" s="41">
        <v>46143</v>
      </c>
      <c r="Z133" s="43">
        <v>295.46879999999999</v>
      </c>
      <c r="AA133" s="45">
        <f>IF(M133&lt;&gt;"",M133,Z133)</f>
        <v>295.46879999999999</v>
      </c>
      <c r="AB133" s="46" t="str">
        <f>IF(L133&lt;&gt;"","Realizado","Previsto")</f>
        <v>Previsto</v>
      </c>
      <c r="AC133" s="47">
        <v>0.33</v>
      </c>
      <c r="AD133" s="43">
        <v>895.36</v>
      </c>
      <c r="AE133" s="39">
        <v>64</v>
      </c>
      <c r="AF133" s="39" t="s">
        <v>87</v>
      </c>
      <c r="AG133" s="43">
        <v>13.99</v>
      </c>
      <c r="AH133" s="39" t="s">
        <v>136</v>
      </c>
      <c r="AI133" s="39" t="s">
        <v>73</v>
      </c>
      <c r="AJ133" s="48">
        <f>IF(Q133&lt;&gt;"",Q133,IF(K133&lt;&gt;"",K133,""))</f>
        <v>46143</v>
      </c>
      <c r="AK133" s="46" t="str">
        <f>IF(K133&lt;&gt;"","Sim","")</f>
        <v>Sim</v>
      </c>
      <c r="AL133" s="46" t="str">
        <f>IF(A133="","",TEXT(A133,"000000")&amp;"-"&amp;IF(C133="Entrada","CR","DB"))</f>
        <v>000132-DB</v>
      </c>
      <c r="AM133" s="46" t="str">
        <f>IF(A133="","",LEFT(IF(H133&lt;&gt;"",H133,G133)&amp;" | "&amp;G133&amp;" | "&amp;S133,60))</f>
        <v xml:space="preserve">Joelho 90º PVC DN 100mm branco rígido para esgoto sanitário </v>
      </c>
    </row>
    <row r="134" spans="1:39" ht="43.2" x14ac:dyDescent="0.3">
      <c r="A134" s="39">
        <v>133</v>
      </c>
      <c r="B134" s="39" t="s">
        <v>2</v>
      </c>
      <c r="C134" s="39" t="s">
        <v>74</v>
      </c>
      <c r="D134" s="39" t="s">
        <v>131</v>
      </c>
      <c r="E134" s="39" t="s">
        <v>131</v>
      </c>
      <c r="F134" s="39" t="s">
        <v>132</v>
      </c>
      <c r="G134" s="39" t="s">
        <v>142</v>
      </c>
      <c r="H134" s="40"/>
      <c r="I134" s="40"/>
      <c r="J134" s="40"/>
      <c r="K134" s="42">
        <v>46143</v>
      </c>
      <c r="L134" s="42"/>
      <c r="M134" s="44"/>
      <c r="N134" s="40"/>
      <c r="O134" s="40"/>
      <c r="P134" s="40"/>
      <c r="Q134" s="42">
        <f>IF(K134="","",K134)</f>
        <v>46143</v>
      </c>
      <c r="R134" s="39" t="s">
        <v>131</v>
      </c>
      <c r="S134" s="39" t="s">
        <v>134</v>
      </c>
      <c r="T134" s="39" t="s">
        <v>135</v>
      </c>
      <c r="U134" s="39"/>
      <c r="V134" s="39">
        <v>12</v>
      </c>
      <c r="W134" s="39" t="s">
        <v>272</v>
      </c>
      <c r="X134" s="41">
        <v>46132</v>
      </c>
      <c r="Y134" s="41">
        <v>46143</v>
      </c>
      <c r="Z134" s="43">
        <v>130.52160000000001</v>
      </c>
      <c r="AA134" s="45">
        <f>IF(M134&lt;&gt;"",M134,Z134)</f>
        <v>130.52160000000001</v>
      </c>
      <c r="AB134" s="46" t="str">
        <f>IF(L134&lt;&gt;"","Realizado","Previsto")</f>
        <v>Previsto</v>
      </c>
      <c r="AC134" s="47">
        <v>0.33</v>
      </c>
      <c r="AD134" s="43">
        <v>395.52</v>
      </c>
      <c r="AE134" s="39">
        <v>128</v>
      </c>
      <c r="AF134" s="39" t="s">
        <v>87</v>
      </c>
      <c r="AG134" s="43">
        <v>3.09</v>
      </c>
      <c r="AH134" s="39" t="s">
        <v>136</v>
      </c>
      <c r="AI134" s="39" t="s">
        <v>73</v>
      </c>
      <c r="AJ134" s="48">
        <f>IF(Q134&lt;&gt;"",Q134,IF(K134&lt;&gt;"",K134,""))</f>
        <v>46143</v>
      </c>
      <c r="AK134" s="46" t="str">
        <f>IF(K134&lt;&gt;"","Sim","")</f>
        <v>Sim</v>
      </c>
      <c r="AL134" s="46" t="str">
        <f>IF(A134="","",TEXT(A134,"000000")&amp;"-"&amp;IF(C134="Entrada","CR","DB"))</f>
        <v>000133-DB</v>
      </c>
      <c r="AM134" s="46" t="str">
        <f>IF(A134="","",LEFT(IF(H134&lt;&gt;"",H134,G134)&amp;" | "&amp;G134&amp;" | "&amp;S134,60))</f>
        <v>Joelho 90º PVC DN 40mm branco rígido para esgoto sanitário p</v>
      </c>
    </row>
    <row r="135" spans="1:39" ht="43.2" x14ac:dyDescent="0.3">
      <c r="A135" s="39">
        <v>134</v>
      </c>
      <c r="B135" s="39" t="s">
        <v>2</v>
      </c>
      <c r="C135" s="39" t="s">
        <v>74</v>
      </c>
      <c r="D135" s="39" t="s">
        <v>131</v>
      </c>
      <c r="E135" s="39" t="s">
        <v>131</v>
      </c>
      <c r="F135" s="39" t="s">
        <v>132</v>
      </c>
      <c r="G135" s="39" t="s">
        <v>143</v>
      </c>
      <c r="H135" s="40"/>
      <c r="I135" s="40"/>
      <c r="J135" s="40"/>
      <c r="K135" s="42">
        <v>46143</v>
      </c>
      <c r="L135" s="42"/>
      <c r="M135" s="44"/>
      <c r="N135" s="40"/>
      <c r="O135" s="40"/>
      <c r="P135" s="40"/>
      <c r="Q135" s="42">
        <f>IF(K135="","",K135)</f>
        <v>46143</v>
      </c>
      <c r="R135" s="39" t="s">
        <v>131</v>
      </c>
      <c r="S135" s="39" t="s">
        <v>134</v>
      </c>
      <c r="T135" s="39" t="s">
        <v>135</v>
      </c>
      <c r="U135" s="39"/>
      <c r="V135" s="39">
        <v>14</v>
      </c>
      <c r="W135" s="39" t="s">
        <v>272</v>
      </c>
      <c r="X135" s="41">
        <v>46132</v>
      </c>
      <c r="Y135" s="41">
        <v>46143</v>
      </c>
      <c r="Z135" s="43">
        <v>724.83840000000009</v>
      </c>
      <c r="AA135" s="45">
        <f>IF(M135&lt;&gt;"",M135,Z135)</f>
        <v>724.83840000000009</v>
      </c>
      <c r="AB135" s="46" t="str">
        <f>IF(L135&lt;&gt;"","Realizado","Previsto")</f>
        <v>Previsto</v>
      </c>
      <c r="AC135" s="47">
        <v>0.33</v>
      </c>
      <c r="AD135" s="43">
        <v>2196.48</v>
      </c>
      <c r="AE135" s="39">
        <v>384</v>
      </c>
      <c r="AF135" s="39" t="s">
        <v>87</v>
      </c>
      <c r="AG135" s="43">
        <v>5.72</v>
      </c>
      <c r="AH135" s="39" t="s">
        <v>136</v>
      </c>
      <c r="AI135" s="39" t="s">
        <v>73</v>
      </c>
      <c r="AJ135" s="48">
        <f>IF(Q135&lt;&gt;"",Q135,IF(K135&lt;&gt;"",K135,""))</f>
        <v>46143</v>
      </c>
      <c r="AK135" s="46" t="str">
        <f>IF(K135&lt;&gt;"","Sim","")</f>
        <v>Sim</v>
      </c>
      <c r="AL135" s="46" t="str">
        <f>IF(A135="","",TEXT(A135,"000000")&amp;"-"&amp;IF(C135="Entrada","CR","DB"))</f>
        <v>000134-DB</v>
      </c>
      <c r="AM135" s="46" t="str">
        <f>IF(A135="","",LEFT(IF(H135&lt;&gt;"",H135,G135)&amp;" | "&amp;G135&amp;" | "&amp;S135,60))</f>
        <v>Joelho 90º PVC DN 50mm branco junta elástica para esgoto san</v>
      </c>
    </row>
    <row r="136" spans="1:39" ht="43.2" x14ac:dyDescent="0.3">
      <c r="A136" s="39">
        <v>135</v>
      </c>
      <c r="B136" s="39" t="s">
        <v>2</v>
      </c>
      <c r="C136" s="39" t="s">
        <v>74</v>
      </c>
      <c r="D136" s="39" t="s">
        <v>131</v>
      </c>
      <c r="E136" s="39" t="s">
        <v>131</v>
      </c>
      <c r="F136" s="39" t="s">
        <v>132</v>
      </c>
      <c r="G136" s="39" t="s">
        <v>144</v>
      </c>
      <c r="H136" s="40"/>
      <c r="I136" s="40"/>
      <c r="J136" s="40"/>
      <c r="K136" s="42">
        <v>46143</v>
      </c>
      <c r="L136" s="42"/>
      <c r="M136" s="44"/>
      <c r="N136" s="40"/>
      <c r="O136" s="40"/>
      <c r="P136" s="40"/>
      <c r="Q136" s="42">
        <f>IF(K136="","",K136)</f>
        <v>46143</v>
      </c>
      <c r="R136" s="39" t="s">
        <v>131</v>
      </c>
      <c r="S136" s="39" t="s">
        <v>134</v>
      </c>
      <c r="T136" s="39" t="s">
        <v>135</v>
      </c>
      <c r="U136" s="39"/>
      <c r="V136" s="39">
        <v>25</v>
      </c>
      <c r="W136" s="39" t="s">
        <v>272</v>
      </c>
      <c r="X136" s="41">
        <v>46132</v>
      </c>
      <c r="Y136" s="41">
        <v>46143</v>
      </c>
      <c r="Z136" s="43">
        <v>40.128</v>
      </c>
      <c r="AA136" s="45">
        <f>IF(M136&lt;&gt;"",M136,Z136)</f>
        <v>40.128</v>
      </c>
      <c r="AB136" s="46" t="str">
        <f>IF(L136&lt;&gt;"","Realizado","Previsto")</f>
        <v>Previsto</v>
      </c>
      <c r="AC136" s="47">
        <v>0.33</v>
      </c>
      <c r="AD136" s="43">
        <v>121.6</v>
      </c>
      <c r="AE136" s="39">
        <v>128</v>
      </c>
      <c r="AF136" s="39" t="s">
        <v>87</v>
      </c>
      <c r="AG136" s="43">
        <v>0.95</v>
      </c>
      <c r="AH136" s="39" t="s">
        <v>136</v>
      </c>
      <c r="AI136" s="39" t="s">
        <v>73</v>
      </c>
      <c r="AJ136" s="48">
        <f>IF(Q136&lt;&gt;"",Q136,IF(K136&lt;&gt;"",K136,""))</f>
        <v>46143</v>
      </c>
      <c r="AK136" s="46" t="str">
        <f>IF(K136&lt;&gt;"","Sim","")</f>
        <v>Sim</v>
      </c>
      <c r="AL136" s="46" t="str">
        <f>IF(A136="","",TEXT(A136,"000000")&amp;"-"&amp;IF(C136="Entrada","CR","DB"))</f>
        <v>000135-DB</v>
      </c>
      <c r="AM136" s="46" t="str">
        <f>IF(A136="","",LEFT(IF(H136&lt;&gt;"",H136,G136)&amp;" | "&amp;G136&amp;" | "&amp;S136,60))</f>
        <v>Joelho 90º marrom DN 25mm soldável para água fria | Joelho 9</v>
      </c>
    </row>
    <row r="137" spans="1:39" ht="43.2" x14ac:dyDescent="0.3">
      <c r="A137" s="39">
        <v>136</v>
      </c>
      <c r="B137" s="39" t="s">
        <v>2</v>
      </c>
      <c r="C137" s="39" t="s">
        <v>74</v>
      </c>
      <c r="D137" s="39" t="s">
        <v>131</v>
      </c>
      <c r="E137" s="39" t="s">
        <v>131</v>
      </c>
      <c r="F137" s="39" t="s">
        <v>132</v>
      </c>
      <c r="G137" s="39" t="s">
        <v>145</v>
      </c>
      <c r="H137" s="40"/>
      <c r="I137" s="40"/>
      <c r="J137" s="40"/>
      <c r="K137" s="42">
        <v>46143</v>
      </c>
      <c r="L137" s="42"/>
      <c r="M137" s="44"/>
      <c r="N137" s="40"/>
      <c r="O137" s="40"/>
      <c r="P137" s="40"/>
      <c r="Q137" s="42">
        <f>IF(K137="","",K137)</f>
        <v>46143</v>
      </c>
      <c r="R137" s="39" t="s">
        <v>131</v>
      </c>
      <c r="S137" s="39" t="s">
        <v>134</v>
      </c>
      <c r="T137" s="39" t="s">
        <v>135</v>
      </c>
      <c r="U137" s="39"/>
      <c r="V137" s="39">
        <v>17</v>
      </c>
      <c r="W137" s="39" t="s">
        <v>272</v>
      </c>
      <c r="X137" s="41">
        <v>46132</v>
      </c>
      <c r="Y137" s="41">
        <v>46143</v>
      </c>
      <c r="Z137" s="43">
        <v>455.34719999999999</v>
      </c>
      <c r="AA137" s="45">
        <f>IF(M137&lt;&gt;"",M137,Z137)</f>
        <v>455.34719999999999</v>
      </c>
      <c r="AB137" s="46" t="str">
        <f>IF(L137&lt;&gt;"","Realizado","Previsto")</f>
        <v>Previsto</v>
      </c>
      <c r="AC137" s="47">
        <v>0.33</v>
      </c>
      <c r="AD137" s="43">
        <v>1379.84</v>
      </c>
      <c r="AE137" s="39">
        <v>64</v>
      </c>
      <c r="AF137" s="39" t="s">
        <v>87</v>
      </c>
      <c r="AG137" s="43">
        <v>21.56</v>
      </c>
      <c r="AH137" s="39" t="s">
        <v>136</v>
      </c>
      <c r="AI137" s="39" t="s">
        <v>73</v>
      </c>
      <c r="AJ137" s="48">
        <f>IF(Q137&lt;&gt;"",Q137,IF(K137&lt;&gt;"",K137,""))</f>
        <v>46143</v>
      </c>
      <c r="AK137" s="46" t="str">
        <f>IF(K137&lt;&gt;"","Sim","")</f>
        <v>Sim</v>
      </c>
      <c r="AL137" s="46" t="str">
        <f>IF(A137="","",TEXT(A137,"000000")&amp;"-"&amp;IF(C137="Entrada","CR","DB"))</f>
        <v>000136-DB</v>
      </c>
      <c r="AM137" s="46" t="str">
        <f>IF(A137="","",LEFT(IF(H137&lt;&gt;"",H137,G137)&amp;" | "&amp;G137&amp;" | "&amp;S137,60))</f>
        <v>Junção de Redução invertica PVC DN 100x50mm branco rígido pa</v>
      </c>
    </row>
    <row r="138" spans="1:39" ht="43.2" x14ac:dyDescent="0.3">
      <c r="A138" s="39">
        <v>137</v>
      </c>
      <c r="B138" s="39" t="s">
        <v>2</v>
      </c>
      <c r="C138" s="39" t="s">
        <v>74</v>
      </c>
      <c r="D138" s="39" t="s">
        <v>131</v>
      </c>
      <c r="E138" s="39" t="s">
        <v>131</v>
      </c>
      <c r="F138" s="39" t="s">
        <v>132</v>
      </c>
      <c r="G138" s="39" t="s">
        <v>146</v>
      </c>
      <c r="H138" s="40"/>
      <c r="I138" s="40"/>
      <c r="J138" s="40"/>
      <c r="K138" s="42">
        <v>46143</v>
      </c>
      <c r="L138" s="42"/>
      <c r="M138" s="44"/>
      <c r="N138" s="40"/>
      <c r="O138" s="40"/>
      <c r="P138" s="40"/>
      <c r="Q138" s="42">
        <f>IF(K138="","",K138)</f>
        <v>46143</v>
      </c>
      <c r="R138" s="39" t="s">
        <v>131</v>
      </c>
      <c r="S138" s="39" t="s">
        <v>134</v>
      </c>
      <c r="T138" s="39" t="s">
        <v>135</v>
      </c>
      <c r="U138" s="39"/>
      <c r="V138" s="39">
        <v>16</v>
      </c>
      <c r="W138" s="39" t="s">
        <v>272</v>
      </c>
      <c r="X138" s="41">
        <v>46132</v>
      </c>
      <c r="Y138" s="41">
        <v>46143</v>
      </c>
      <c r="Z138" s="43">
        <v>379.73759999999999</v>
      </c>
      <c r="AA138" s="45">
        <f>IF(M138&lt;&gt;"",M138,Z138)</f>
        <v>379.73759999999999</v>
      </c>
      <c r="AB138" s="46" t="str">
        <f>IF(L138&lt;&gt;"","Realizado","Previsto")</f>
        <v>Previsto</v>
      </c>
      <c r="AC138" s="47">
        <v>0.33</v>
      </c>
      <c r="AD138" s="43">
        <v>1150.72</v>
      </c>
      <c r="AE138" s="39">
        <v>64</v>
      </c>
      <c r="AF138" s="39" t="s">
        <v>87</v>
      </c>
      <c r="AG138" s="43">
        <v>17.98</v>
      </c>
      <c r="AH138" s="39" t="s">
        <v>136</v>
      </c>
      <c r="AI138" s="39" t="s">
        <v>73</v>
      </c>
      <c r="AJ138" s="48">
        <f>IF(Q138&lt;&gt;"",Q138,IF(K138&lt;&gt;"",K138,""))</f>
        <v>46143</v>
      </c>
      <c r="AK138" s="46" t="str">
        <f>IF(K138&lt;&gt;"","Sim","")</f>
        <v>Sim</v>
      </c>
      <c r="AL138" s="46" t="str">
        <f>IF(A138="","",TEXT(A138,"000000")&amp;"-"&amp;IF(C138="Entrada","CR","DB"))</f>
        <v>000137-DB</v>
      </c>
      <c r="AM138" s="46" t="str">
        <f>IF(A138="","",LEFT(IF(H138&lt;&gt;"",H138,G138)&amp;" | "&amp;G138&amp;" | "&amp;S138,60))</f>
        <v>Junção simples PVC DN 50x50mm branco rígido para esgoto sani</v>
      </c>
    </row>
    <row r="139" spans="1:39" ht="43.2" x14ac:dyDescent="0.3">
      <c r="A139" s="39">
        <v>138</v>
      </c>
      <c r="B139" s="39" t="s">
        <v>2</v>
      </c>
      <c r="C139" s="39" t="s">
        <v>74</v>
      </c>
      <c r="D139" s="39" t="s">
        <v>131</v>
      </c>
      <c r="E139" s="39" t="s">
        <v>131</v>
      </c>
      <c r="F139" s="39" t="s">
        <v>132</v>
      </c>
      <c r="G139" s="39" t="s">
        <v>147</v>
      </c>
      <c r="H139" s="40"/>
      <c r="I139" s="40"/>
      <c r="J139" s="40"/>
      <c r="K139" s="42">
        <v>46143</v>
      </c>
      <c r="L139" s="42"/>
      <c r="M139" s="44"/>
      <c r="N139" s="40"/>
      <c r="O139" s="40"/>
      <c r="P139" s="40"/>
      <c r="Q139" s="42">
        <f>IF(K139="","",K139)</f>
        <v>46143</v>
      </c>
      <c r="R139" s="39" t="s">
        <v>131</v>
      </c>
      <c r="S139" s="39" t="s">
        <v>134</v>
      </c>
      <c r="T139" s="39" t="s">
        <v>135</v>
      </c>
      <c r="U139" s="39"/>
      <c r="V139" s="39">
        <v>22</v>
      </c>
      <c r="W139" s="39" t="s">
        <v>272</v>
      </c>
      <c r="X139" s="41">
        <v>46132</v>
      </c>
      <c r="Y139" s="41">
        <v>46143</v>
      </c>
      <c r="Z139" s="43">
        <v>35.692799999999998</v>
      </c>
      <c r="AA139" s="45">
        <f>IF(M139&lt;&gt;"",M139,Z139)</f>
        <v>35.692799999999998</v>
      </c>
      <c r="AB139" s="46" t="str">
        <f>IF(L139&lt;&gt;"","Realizado","Previsto")</f>
        <v>Previsto</v>
      </c>
      <c r="AC139" s="47">
        <v>0.33</v>
      </c>
      <c r="AD139" s="43">
        <v>108.16</v>
      </c>
      <c r="AE139" s="39">
        <v>64</v>
      </c>
      <c r="AF139" s="39" t="s">
        <v>87</v>
      </c>
      <c r="AG139" s="43">
        <v>1.69</v>
      </c>
      <c r="AH139" s="39" t="s">
        <v>136</v>
      </c>
      <c r="AI139" s="39" t="s">
        <v>73</v>
      </c>
      <c r="AJ139" s="48">
        <f>IF(Q139&lt;&gt;"",Q139,IF(K139&lt;&gt;"",K139,""))</f>
        <v>46143</v>
      </c>
      <c r="AK139" s="46" t="str">
        <f>IF(K139&lt;&gt;"","Sim","")</f>
        <v>Sim</v>
      </c>
      <c r="AL139" s="46" t="str">
        <f>IF(A139="","",TEXT(A139,"000000")&amp;"-"&amp;IF(C139="Entrada","CR","DB"))</f>
        <v>000138-DB</v>
      </c>
      <c r="AM139" s="46" t="str">
        <f>IF(A139="","",LEFT(IF(H139&lt;&gt;"",H139,G139)&amp;" | "&amp;G139&amp;" | "&amp;S139,60))</f>
        <v>Lixa ferro p/cano pvc 100 | Lixa ferro p/cano pvc 100 | Saíd</v>
      </c>
    </row>
    <row r="140" spans="1:39" ht="43.2" x14ac:dyDescent="0.3">
      <c r="A140" s="39">
        <v>139</v>
      </c>
      <c r="B140" s="39" t="s">
        <v>2</v>
      </c>
      <c r="C140" s="39" t="s">
        <v>74</v>
      </c>
      <c r="D140" s="39" t="s">
        <v>131</v>
      </c>
      <c r="E140" s="39" t="s">
        <v>131</v>
      </c>
      <c r="F140" s="39" t="s">
        <v>132</v>
      </c>
      <c r="G140" s="39" t="s">
        <v>148</v>
      </c>
      <c r="H140" s="40"/>
      <c r="I140" s="40"/>
      <c r="J140" s="40"/>
      <c r="K140" s="42">
        <v>46143</v>
      </c>
      <c r="L140" s="42"/>
      <c r="M140" s="44"/>
      <c r="N140" s="40"/>
      <c r="O140" s="40"/>
      <c r="P140" s="40"/>
      <c r="Q140" s="42">
        <f>IF(K140="","",K140)</f>
        <v>46143</v>
      </c>
      <c r="R140" s="39" t="s">
        <v>131</v>
      </c>
      <c r="S140" s="39" t="s">
        <v>134</v>
      </c>
      <c r="T140" s="39" t="s">
        <v>135</v>
      </c>
      <c r="U140" s="39"/>
      <c r="V140" s="39">
        <v>23</v>
      </c>
      <c r="W140" s="39" t="s">
        <v>272</v>
      </c>
      <c r="X140" s="41">
        <v>46132</v>
      </c>
      <c r="Y140" s="41">
        <v>46143</v>
      </c>
      <c r="Z140" s="43">
        <v>296.80991999999998</v>
      </c>
      <c r="AA140" s="45">
        <f>IF(M140&lt;&gt;"",M140,Z140)</f>
        <v>296.80991999999998</v>
      </c>
      <c r="AB140" s="46" t="str">
        <f>IF(L140&lt;&gt;"","Realizado","Previsto")</f>
        <v>Previsto</v>
      </c>
      <c r="AC140" s="47">
        <v>0.33</v>
      </c>
      <c r="AD140" s="43">
        <v>899.42399999999998</v>
      </c>
      <c r="AE140" s="39">
        <v>9.6</v>
      </c>
      <c r="AF140" s="39" t="s">
        <v>149</v>
      </c>
      <c r="AG140" s="43">
        <v>93.69</v>
      </c>
      <c r="AH140" s="39" t="s">
        <v>136</v>
      </c>
      <c r="AI140" s="39" t="s">
        <v>73</v>
      </c>
      <c r="AJ140" s="48">
        <f>IF(Q140&lt;&gt;"",Q140,IF(K140&lt;&gt;"",K140,""))</f>
        <v>46143</v>
      </c>
      <c r="AK140" s="46" t="str">
        <f>IF(K140&lt;&gt;"","Sim","")</f>
        <v>Sim</v>
      </c>
      <c r="AL140" s="46" t="str">
        <f>IF(A140="","",TEXT(A140,"000000")&amp;"-"&amp;IF(C140="Entrada","CR","DB"))</f>
        <v>000139-DB</v>
      </c>
      <c r="AM140" s="46" t="str">
        <f>IF(A140="","",LEFT(IF(H140&lt;&gt;"",H140,G140)&amp;" | "&amp;G140&amp;" | "&amp;S140,60))</f>
        <v xml:space="preserve">Pasta lubrufucante 1 KG | Pasta lubrufucante 1 KG | Saída | </v>
      </c>
    </row>
    <row r="141" spans="1:39" ht="43.2" x14ac:dyDescent="0.3">
      <c r="A141" s="39">
        <v>140</v>
      </c>
      <c r="B141" s="39" t="s">
        <v>2</v>
      </c>
      <c r="C141" s="39" t="s">
        <v>74</v>
      </c>
      <c r="D141" s="39" t="s">
        <v>131</v>
      </c>
      <c r="E141" s="39" t="s">
        <v>131</v>
      </c>
      <c r="F141" s="39" t="s">
        <v>132</v>
      </c>
      <c r="G141" s="39" t="s">
        <v>150</v>
      </c>
      <c r="H141" s="40"/>
      <c r="I141" s="40"/>
      <c r="J141" s="40"/>
      <c r="K141" s="42">
        <v>46143</v>
      </c>
      <c r="L141" s="42"/>
      <c r="M141" s="44"/>
      <c r="N141" s="40"/>
      <c r="O141" s="40"/>
      <c r="P141" s="40"/>
      <c r="Q141" s="42">
        <f>IF(K141="","",K141)</f>
        <v>46143</v>
      </c>
      <c r="R141" s="39" t="s">
        <v>131</v>
      </c>
      <c r="S141" s="39" t="s">
        <v>134</v>
      </c>
      <c r="T141" s="39" t="s">
        <v>135</v>
      </c>
      <c r="U141" s="39"/>
      <c r="V141" s="39">
        <v>20</v>
      </c>
      <c r="W141" s="39" t="s">
        <v>272</v>
      </c>
      <c r="X141" s="41">
        <v>46132</v>
      </c>
      <c r="Y141" s="41">
        <v>46143</v>
      </c>
      <c r="Z141" s="43">
        <v>211.2</v>
      </c>
      <c r="AA141" s="45">
        <f>IF(M141&lt;&gt;"",M141,Z141)</f>
        <v>211.2</v>
      </c>
      <c r="AB141" s="46" t="str">
        <f>IF(L141&lt;&gt;"","Realizado","Previsto")</f>
        <v>Previsto</v>
      </c>
      <c r="AC141" s="47">
        <v>0.33</v>
      </c>
      <c r="AD141" s="43">
        <v>640</v>
      </c>
      <c r="AE141" s="39">
        <v>64</v>
      </c>
      <c r="AF141" s="39" t="s">
        <v>87</v>
      </c>
      <c r="AG141" s="43">
        <v>10</v>
      </c>
      <c r="AH141" s="39" t="s">
        <v>136</v>
      </c>
      <c r="AI141" s="39" t="s">
        <v>73</v>
      </c>
      <c r="AJ141" s="48">
        <f>IF(Q141&lt;&gt;"",Q141,IF(K141&lt;&gt;"",K141,""))</f>
        <v>46143</v>
      </c>
      <c r="AK141" s="46" t="str">
        <f>IF(K141&lt;&gt;"","Sim","")</f>
        <v>Sim</v>
      </c>
      <c r="AL141" s="46" t="str">
        <f>IF(A141="","",TEXT(A141,"000000")&amp;"-"&amp;IF(C141="Entrada","CR","DB"))</f>
        <v>000140-DB</v>
      </c>
      <c r="AM141" s="46" t="str">
        <f>IF(A141="","",LEFT(IF(H141&lt;&gt;"",H141,G141)&amp;" | "&amp;G141&amp;" | "&amp;S141,60))</f>
        <v>Ralo seco PVC DN100x40mm Junta soldável para esgoto sanitári</v>
      </c>
    </row>
    <row r="142" spans="1:39" ht="43.2" x14ac:dyDescent="0.3">
      <c r="A142" s="39">
        <v>141</v>
      </c>
      <c r="B142" s="39" t="s">
        <v>2</v>
      </c>
      <c r="C142" s="39" t="s">
        <v>74</v>
      </c>
      <c r="D142" s="39" t="s">
        <v>131</v>
      </c>
      <c r="E142" s="39" t="s">
        <v>131</v>
      </c>
      <c r="F142" s="39" t="s">
        <v>132</v>
      </c>
      <c r="G142" s="39" t="s">
        <v>151</v>
      </c>
      <c r="H142" s="40"/>
      <c r="I142" s="40"/>
      <c r="J142" s="40"/>
      <c r="K142" s="42">
        <v>46143</v>
      </c>
      <c r="L142" s="42"/>
      <c r="M142" s="44"/>
      <c r="N142" s="40"/>
      <c r="O142" s="40"/>
      <c r="P142" s="40"/>
      <c r="Q142" s="42">
        <f>IF(K142="","",K142)</f>
        <v>46143</v>
      </c>
      <c r="R142" s="39" t="s">
        <v>131</v>
      </c>
      <c r="S142" s="39" t="s">
        <v>134</v>
      </c>
      <c r="T142" s="39" t="s">
        <v>135</v>
      </c>
      <c r="U142" s="39"/>
      <c r="V142" s="39">
        <v>18</v>
      </c>
      <c r="W142" s="39" t="s">
        <v>272</v>
      </c>
      <c r="X142" s="41">
        <v>46132</v>
      </c>
      <c r="Y142" s="41">
        <v>46143</v>
      </c>
      <c r="Z142" s="43">
        <v>104.7552</v>
      </c>
      <c r="AA142" s="45">
        <f>IF(M142&lt;&gt;"",M142,Z142)</f>
        <v>104.7552</v>
      </c>
      <c r="AB142" s="46" t="str">
        <f>IF(L142&lt;&gt;"","Realizado","Previsto")</f>
        <v>Previsto</v>
      </c>
      <c r="AC142" s="47">
        <v>0.33</v>
      </c>
      <c r="AD142" s="43">
        <v>317.44</v>
      </c>
      <c r="AE142" s="39">
        <v>64</v>
      </c>
      <c r="AF142" s="39" t="s">
        <v>87</v>
      </c>
      <c r="AG142" s="43">
        <v>4.96</v>
      </c>
      <c r="AH142" s="39" t="s">
        <v>136</v>
      </c>
      <c r="AI142" s="39" t="s">
        <v>73</v>
      </c>
      <c r="AJ142" s="48">
        <f>IF(Q142&lt;&gt;"",Q142,IF(K142&lt;&gt;"",K142,""))</f>
        <v>46143</v>
      </c>
      <c r="AK142" s="46" t="str">
        <f>IF(K142&lt;&gt;"","Sim","")</f>
        <v>Sim</v>
      </c>
      <c r="AL142" s="46" t="str">
        <f>IF(A142="","",TEXT(A142,"000000")&amp;"-"&amp;IF(C142="Entrada","CR","DB"))</f>
        <v>000141-DB</v>
      </c>
      <c r="AM142" s="46" t="str">
        <f>IF(A142="","",LEFT(IF(H142&lt;&gt;"",H142,G142)&amp;" | "&amp;G142&amp;" | "&amp;S142,60))</f>
        <v>TE DN 50x50mm PVC branco rígido para esgoto sanitário predia</v>
      </c>
    </row>
    <row r="143" spans="1:39" ht="43.2" x14ac:dyDescent="0.3">
      <c r="A143" s="39">
        <v>142</v>
      </c>
      <c r="B143" s="39" t="s">
        <v>2</v>
      </c>
      <c r="C143" s="39" t="s">
        <v>74</v>
      </c>
      <c r="D143" s="39" t="s">
        <v>131</v>
      </c>
      <c r="E143" s="39" t="s">
        <v>131</v>
      </c>
      <c r="F143" s="39" t="s">
        <v>132</v>
      </c>
      <c r="G143" s="39" t="s">
        <v>152</v>
      </c>
      <c r="H143" s="40"/>
      <c r="I143" s="40"/>
      <c r="J143" s="40"/>
      <c r="K143" s="42">
        <v>46143</v>
      </c>
      <c r="L143" s="42"/>
      <c r="M143" s="44"/>
      <c r="N143" s="40"/>
      <c r="O143" s="40"/>
      <c r="P143" s="40"/>
      <c r="Q143" s="42">
        <f>IF(K143="","",K143)</f>
        <v>46143</v>
      </c>
      <c r="R143" s="39" t="s">
        <v>131</v>
      </c>
      <c r="S143" s="39" t="s">
        <v>134</v>
      </c>
      <c r="T143" s="39" t="s">
        <v>135</v>
      </c>
      <c r="U143" s="39"/>
      <c r="V143" s="39">
        <v>26</v>
      </c>
      <c r="W143" s="39" t="s">
        <v>272</v>
      </c>
      <c r="X143" s="41">
        <v>46132</v>
      </c>
      <c r="Y143" s="41">
        <v>46143</v>
      </c>
      <c r="Z143" s="43">
        <v>339.39839999999998</v>
      </c>
      <c r="AA143" s="45">
        <f>IF(M143&lt;&gt;"",M143,Z143)</f>
        <v>339.39839999999998</v>
      </c>
      <c r="AB143" s="46" t="str">
        <f>IF(L143&lt;&gt;"","Realizado","Previsto")</f>
        <v>Previsto</v>
      </c>
      <c r="AC143" s="47">
        <v>0.33</v>
      </c>
      <c r="AD143" s="43">
        <v>1028.48</v>
      </c>
      <c r="AE143" s="39">
        <v>64</v>
      </c>
      <c r="AF143" s="39" t="s">
        <v>153</v>
      </c>
      <c r="AG143" s="43">
        <v>16.07</v>
      </c>
      <c r="AH143" s="39" t="s">
        <v>136</v>
      </c>
      <c r="AI143" s="39" t="s">
        <v>73</v>
      </c>
      <c r="AJ143" s="48">
        <f>IF(Q143&lt;&gt;"",Q143,IF(K143&lt;&gt;"",K143,""))</f>
        <v>46143</v>
      </c>
      <c r="AK143" s="46" t="str">
        <f>IF(K143&lt;&gt;"","Sim","")</f>
        <v>Sim</v>
      </c>
      <c r="AL143" s="46" t="str">
        <f>IF(A143="","",TEXT(A143,"000000")&amp;"-"&amp;IF(C143="Entrada","CR","DB"))</f>
        <v>000142-DB</v>
      </c>
      <c r="AM143" s="46" t="str">
        <f>IF(A143="","",LEFT(IF(H143&lt;&gt;"",H143,G143)&amp;" | "&amp;G143&amp;" | "&amp;S143,60))</f>
        <v>Tubo DN 25 mm, PVC Rígido Soldável Marrom | Tubo DN 25 mm, P</v>
      </c>
    </row>
    <row r="144" spans="1:39" ht="43.2" x14ac:dyDescent="0.3">
      <c r="A144" s="39">
        <v>143</v>
      </c>
      <c r="B144" s="39" t="s">
        <v>2</v>
      </c>
      <c r="C144" s="39" t="s">
        <v>74</v>
      </c>
      <c r="D144" s="39" t="s">
        <v>131</v>
      </c>
      <c r="E144" s="39" t="s">
        <v>131</v>
      </c>
      <c r="F144" s="39" t="s">
        <v>132</v>
      </c>
      <c r="G144" s="39" t="s">
        <v>154</v>
      </c>
      <c r="H144" s="40"/>
      <c r="I144" s="40"/>
      <c r="J144" s="40"/>
      <c r="K144" s="42">
        <v>46143</v>
      </c>
      <c r="L144" s="42"/>
      <c r="M144" s="44"/>
      <c r="N144" s="40"/>
      <c r="O144" s="40"/>
      <c r="P144" s="40"/>
      <c r="Q144" s="42">
        <f>IF(K144="","",K144)</f>
        <v>46143</v>
      </c>
      <c r="R144" s="39" t="s">
        <v>131</v>
      </c>
      <c r="S144" s="39" t="s">
        <v>134</v>
      </c>
      <c r="T144" s="39" t="s">
        <v>135</v>
      </c>
      <c r="U144" s="39"/>
      <c r="V144" s="39">
        <v>10</v>
      </c>
      <c r="W144" s="39" t="s">
        <v>272</v>
      </c>
      <c r="X144" s="41">
        <v>46132</v>
      </c>
      <c r="Y144" s="41">
        <v>46143</v>
      </c>
      <c r="Z144" s="43">
        <v>742.49472000000014</v>
      </c>
      <c r="AA144" s="45">
        <f>IF(M144&lt;&gt;"",M144,Z144)</f>
        <v>742.49472000000014</v>
      </c>
      <c r="AB144" s="46" t="str">
        <f>IF(L144&lt;&gt;"","Realizado","Previsto")</f>
        <v>Previsto</v>
      </c>
      <c r="AC144" s="47">
        <v>0.33</v>
      </c>
      <c r="AD144" s="43">
        <v>2249.9839999999999</v>
      </c>
      <c r="AE144" s="39">
        <v>140.80000000000001</v>
      </c>
      <c r="AF144" s="39" t="s">
        <v>155</v>
      </c>
      <c r="AG144" s="43">
        <v>15.98</v>
      </c>
      <c r="AH144" s="39" t="s">
        <v>136</v>
      </c>
      <c r="AI144" s="39" t="s">
        <v>73</v>
      </c>
      <c r="AJ144" s="48">
        <f>IF(Q144&lt;&gt;"",Q144,IF(K144&lt;&gt;"",K144,""))</f>
        <v>46143</v>
      </c>
      <c r="AK144" s="46" t="str">
        <f>IF(K144&lt;&gt;"","Sim","")</f>
        <v>Sim</v>
      </c>
      <c r="AL144" s="46" t="str">
        <f>IF(A144="","",TEXT(A144,"000000")&amp;"-"&amp;IF(C144="Entrada","CR","DB"))</f>
        <v>000143-DB</v>
      </c>
      <c r="AM144" s="46" t="str">
        <f>IF(A144="","",LEFT(IF(H144&lt;&gt;"",H144,G144)&amp;" | "&amp;G144&amp;" | "&amp;S144,60))</f>
        <v>Tubo PVC DN 100mm branco rígido para esgoto sanitário | Tubo</v>
      </c>
    </row>
    <row r="145" spans="1:39" ht="43.2" x14ac:dyDescent="0.3">
      <c r="A145" s="39">
        <v>144</v>
      </c>
      <c r="B145" s="39" t="s">
        <v>2</v>
      </c>
      <c r="C145" s="39" t="s">
        <v>74</v>
      </c>
      <c r="D145" s="39" t="s">
        <v>131</v>
      </c>
      <c r="E145" s="39" t="s">
        <v>131</v>
      </c>
      <c r="F145" s="39" t="s">
        <v>132</v>
      </c>
      <c r="G145" s="39" t="s">
        <v>156</v>
      </c>
      <c r="H145" s="40"/>
      <c r="I145" s="40"/>
      <c r="J145" s="40"/>
      <c r="K145" s="42">
        <v>46143</v>
      </c>
      <c r="L145" s="42"/>
      <c r="M145" s="44"/>
      <c r="N145" s="40"/>
      <c r="O145" s="40"/>
      <c r="P145" s="40"/>
      <c r="Q145" s="42">
        <f>IF(K145="","",K145)</f>
        <v>46143</v>
      </c>
      <c r="R145" s="39" t="s">
        <v>131</v>
      </c>
      <c r="S145" s="39" t="s">
        <v>134</v>
      </c>
      <c r="T145" s="39" t="s">
        <v>135</v>
      </c>
      <c r="U145" s="39"/>
      <c r="V145" s="39">
        <v>7</v>
      </c>
      <c r="W145" s="39" t="s">
        <v>272</v>
      </c>
      <c r="X145" s="41">
        <v>46132</v>
      </c>
      <c r="Y145" s="41">
        <v>46143</v>
      </c>
      <c r="Z145" s="43">
        <v>139.51027199999999</v>
      </c>
      <c r="AA145" s="45">
        <f>IF(M145&lt;&gt;"",M145,Z145)</f>
        <v>139.51027199999999</v>
      </c>
      <c r="AB145" s="46" t="str">
        <f>IF(L145&lt;&gt;"","Realizado","Previsto")</f>
        <v>Previsto</v>
      </c>
      <c r="AC145" s="47">
        <v>0.33</v>
      </c>
      <c r="AD145" s="43">
        <v>422.75839999999999</v>
      </c>
      <c r="AE145" s="39">
        <v>117.76</v>
      </c>
      <c r="AF145" s="39" t="s">
        <v>155</v>
      </c>
      <c r="AG145" s="43">
        <v>3.59</v>
      </c>
      <c r="AH145" s="39" t="s">
        <v>136</v>
      </c>
      <c r="AI145" s="39" t="s">
        <v>73</v>
      </c>
      <c r="AJ145" s="48">
        <f>IF(Q145&lt;&gt;"",Q145,IF(K145&lt;&gt;"",K145,""))</f>
        <v>46143</v>
      </c>
      <c r="AK145" s="46" t="str">
        <f>IF(K145&lt;&gt;"","Sim","")</f>
        <v>Sim</v>
      </c>
      <c r="AL145" s="46" t="str">
        <f>IF(A145="","",TEXT(A145,"000000")&amp;"-"&amp;IF(C145="Entrada","CR","DB"))</f>
        <v>000144-DB</v>
      </c>
      <c r="AM145" s="46" t="str">
        <f>IF(A145="","",LEFT(IF(H145&lt;&gt;"",H145,G145)&amp;" | "&amp;G145&amp;" | "&amp;S145,60))</f>
        <v xml:space="preserve">Tubo PVC DN 40mm branco rígido para esgoto sanitário | Tubo </v>
      </c>
    </row>
    <row r="146" spans="1:39" ht="43.2" x14ac:dyDescent="0.3">
      <c r="A146" s="39">
        <v>145</v>
      </c>
      <c r="B146" s="39" t="s">
        <v>2</v>
      </c>
      <c r="C146" s="39" t="s">
        <v>74</v>
      </c>
      <c r="D146" s="39" t="s">
        <v>131</v>
      </c>
      <c r="E146" s="39" t="s">
        <v>131</v>
      </c>
      <c r="F146" s="39" t="s">
        <v>132</v>
      </c>
      <c r="G146" s="39" t="s">
        <v>157</v>
      </c>
      <c r="H146" s="40"/>
      <c r="I146" s="40"/>
      <c r="J146" s="40"/>
      <c r="K146" s="42">
        <v>46143</v>
      </c>
      <c r="L146" s="42"/>
      <c r="M146" s="44"/>
      <c r="N146" s="40"/>
      <c r="O146" s="40"/>
      <c r="P146" s="40"/>
      <c r="Q146" s="42">
        <f>IF(K146="","",K146)</f>
        <v>46143</v>
      </c>
      <c r="R146" s="39" t="s">
        <v>131</v>
      </c>
      <c r="S146" s="39" t="s">
        <v>134</v>
      </c>
      <c r="T146" s="39" t="s">
        <v>135</v>
      </c>
      <c r="U146" s="39"/>
      <c r="V146" s="39">
        <v>8</v>
      </c>
      <c r="W146" s="39" t="s">
        <v>272</v>
      </c>
      <c r="X146" s="41">
        <v>46132</v>
      </c>
      <c r="Y146" s="41">
        <v>46143</v>
      </c>
      <c r="Z146" s="43">
        <v>1098.3793920000001</v>
      </c>
      <c r="AA146" s="45">
        <f>IF(M146&lt;&gt;"",M146,Z146)</f>
        <v>1098.3793920000001</v>
      </c>
      <c r="AB146" s="46" t="str">
        <f>IF(L146&lt;&gt;"","Realizado","Previsto")</f>
        <v>Previsto</v>
      </c>
      <c r="AC146" s="47">
        <v>0.33</v>
      </c>
      <c r="AD146" s="43">
        <v>3328.4223999999999</v>
      </c>
      <c r="AE146" s="39">
        <v>584.96</v>
      </c>
      <c r="AF146" s="39" t="s">
        <v>155</v>
      </c>
      <c r="AG146" s="43">
        <v>5.69</v>
      </c>
      <c r="AH146" s="39" t="s">
        <v>136</v>
      </c>
      <c r="AI146" s="39" t="s">
        <v>73</v>
      </c>
      <c r="AJ146" s="48">
        <f>IF(Q146&lt;&gt;"",Q146,IF(K146&lt;&gt;"",K146,""))</f>
        <v>46143</v>
      </c>
      <c r="AK146" s="46" t="str">
        <f>IF(K146&lt;&gt;"","Sim","")</f>
        <v>Sim</v>
      </c>
      <c r="AL146" s="46" t="str">
        <f>IF(A146="","",TEXT(A146,"000000")&amp;"-"&amp;IF(C146="Entrada","CR","DB"))</f>
        <v>000145-DB</v>
      </c>
      <c r="AM146" s="46" t="str">
        <f>IF(A146="","",LEFT(IF(H146&lt;&gt;"",H146,G146)&amp;" | "&amp;G146&amp;" | "&amp;S146,60))</f>
        <v xml:space="preserve">Tubo PVC DN 50mm branco rígido para esgoto sanitário | Tubo </v>
      </c>
    </row>
    <row r="147" spans="1:39" ht="43.2" x14ac:dyDescent="0.3">
      <c r="A147" s="39">
        <v>146</v>
      </c>
      <c r="B147" s="39" t="s">
        <v>2</v>
      </c>
      <c r="C147" s="39" t="s">
        <v>74</v>
      </c>
      <c r="D147" s="39" t="s">
        <v>131</v>
      </c>
      <c r="E147" s="39" t="s">
        <v>131</v>
      </c>
      <c r="F147" s="39" t="s">
        <v>132</v>
      </c>
      <c r="G147" s="39" t="s">
        <v>158</v>
      </c>
      <c r="H147" s="40"/>
      <c r="I147" s="40"/>
      <c r="J147" s="40"/>
      <c r="K147" s="42">
        <v>46143</v>
      </c>
      <c r="L147" s="42"/>
      <c r="M147" s="44"/>
      <c r="N147" s="40"/>
      <c r="O147" s="40"/>
      <c r="P147" s="40"/>
      <c r="Q147" s="42">
        <f>IF(K147="","",K147)</f>
        <v>46143</v>
      </c>
      <c r="R147" s="39" t="s">
        <v>131</v>
      </c>
      <c r="S147" s="39" t="s">
        <v>134</v>
      </c>
      <c r="T147" s="39" t="s">
        <v>135</v>
      </c>
      <c r="U147" s="39"/>
      <c r="V147" s="39">
        <v>9</v>
      </c>
      <c r="W147" s="39" t="s">
        <v>272</v>
      </c>
      <c r="X147" s="41">
        <v>46132</v>
      </c>
      <c r="Y147" s="41">
        <v>46143</v>
      </c>
      <c r="Z147" s="43">
        <v>79.981440000000006</v>
      </c>
      <c r="AA147" s="45">
        <f>IF(M147&lt;&gt;"",M147,Z147)</f>
        <v>79.981440000000006</v>
      </c>
      <c r="AB147" s="46" t="str">
        <f>IF(L147&lt;&gt;"","Realizado","Previsto")</f>
        <v>Previsto</v>
      </c>
      <c r="AC147" s="47">
        <v>0.33</v>
      </c>
      <c r="AD147" s="43">
        <v>242.36799999999999</v>
      </c>
      <c r="AE147" s="39">
        <v>22.4</v>
      </c>
      <c r="AF147" s="39" t="s">
        <v>155</v>
      </c>
      <c r="AG147" s="43">
        <v>10.82</v>
      </c>
      <c r="AH147" s="39" t="s">
        <v>136</v>
      </c>
      <c r="AI147" s="39" t="s">
        <v>73</v>
      </c>
      <c r="AJ147" s="48">
        <f>IF(Q147&lt;&gt;"",Q147,IF(K147&lt;&gt;"",K147,""))</f>
        <v>46143</v>
      </c>
      <c r="AK147" s="46" t="str">
        <f>IF(K147&lt;&gt;"","Sim","")</f>
        <v>Sim</v>
      </c>
      <c r="AL147" s="46" t="str">
        <f>IF(A147="","",TEXT(A147,"000000")&amp;"-"&amp;IF(C147="Entrada","CR","DB"))</f>
        <v>000146-DB</v>
      </c>
      <c r="AM147" s="46" t="str">
        <f>IF(A147="","",LEFT(IF(H147&lt;&gt;"",H147,G147)&amp;" | "&amp;G147&amp;" | "&amp;S147,60))</f>
        <v xml:space="preserve">Tubo PVC DN 75mm branco rígido para esgoto sanitário | Tubo </v>
      </c>
    </row>
    <row r="148" spans="1:39" ht="43.2" x14ac:dyDescent="0.3">
      <c r="A148" s="39">
        <v>147</v>
      </c>
      <c r="B148" s="39" t="s">
        <v>2</v>
      </c>
      <c r="C148" s="39" t="s">
        <v>74</v>
      </c>
      <c r="D148" s="39" t="s">
        <v>82</v>
      </c>
      <c r="E148" s="39" t="s">
        <v>82</v>
      </c>
      <c r="F148" s="39" t="s">
        <v>90</v>
      </c>
      <c r="G148" s="39" t="s">
        <v>159</v>
      </c>
      <c r="H148" s="40"/>
      <c r="I148" s="40"/>
      <c r="J148" s="40"/>
      <c r="K148" s="42">
        <v>46143</v>
      </c>
      <c r="L148" s="42"/>
      <c r="M148" s="44"/>
      <c r="N148" s="40"/>
      <c r="O148" s="40"/>
      <c r="P148" s="40"/>
      <c r="Q148" s="42">
        <f>IF(K148="","",K148)</f>
        <v>46143</v>
      </c>
      <c r="R148" s="39" t="s">
        <v>82</v>
      </c>
      <c r="S148" s="39" t="s">
        <v>85</v>
      </c>
      <c r="T148" s="39" t="s">
        <v>92</v>
      </c>
      <c r="U148" s="39"/>
      <c r="V148" s="39">
        <v>264</v>
      </c>
      <c r="W148" s="39" t="s">
        <v>272</v>
      </c>
      <c r="X148" s="41">
        <v>46132</v>
      </c>
      <c r="Y148" s="41">
        <v>46143</v>
      </c>
      <c r="Z148" s="43">
        <v>7500</v>
      </c>
      <c r="AA148" s="45">
        <f>IF(M148&lt;&gt;"",M148,Z148)</f>
        <v>7500</v>
      </c>
      <c r="AB148" s="46" t="str">
        <f>IF(L148&lt;&gt;"","Realizado","Previsto")</f>
        <v>Previsto</v>
      </c>
      <c r="AC148" s="47">
        <v>0.25</v>
      </c>
      <c r="AD148" s="43">
        <v>30000</v>
      </c>
      <c r="AE148" s="39"/>
      <c r="AF148" s="39"/>
      <c r="AG148" s="43">
        <v>7500</v>
      </c>
      <c r="AH148" s="39" t="s">
        <v>93</v>
      </c>
      <c r="AI148" s="39" t="s">
        <v>73</v>
      </c>
      <c r="AJ148" s="48">
        <f>IF(Q148&lt;&gt;"",Q148,IF(K148&lt;&gt;"",K148,""))</f>
        <v>46143</v>
      </c>
      <c r="AK148" s="46" t="str">
        <f>IF(K148&lt;&gt;"","Sim","")</f>
        <v>Sim</v>
      </c>
      <c r="AL148" s="46" t="str">
        <f>IF(A148="","",TEXT(A148,"000000")&amp;"-"&amp;IF(C148="Entrada","CR","DB"))</f>
        <v>000147-DB</v>
      </c>
      <c r="AM148" s="46" t="str">
        <f>IF(A148="","",LEFT(IF(H148&lt;&gt;"",H148,G148)&amp;" | "&amp;G148&amp;" | "&amp;S148,60))</f>
        <v>ALMOXARIFADO | ALMOXARIFADO | Saída | GESTÃO LOCAL</v>
      </c>
    </row>
    <row r="149" spans="1:39" ht="43.2" x14ac:dyDescent="0.3">
      <c r="A149" s="39">
        <v>148</v>
      </c>
      <c r="B149" s="39" t="s">
        <v>2</v>
      </c>
      <c r="C149" s="39" t="s">
        <v>74</v>
      </c>
      <c r="D149" s="39" t="s">
        <v>82</v>
      </c>
      <c r="E149" s="39" t="s">
        <v>82</v>
      </c>
      <c r="F149" s="39" t="s">
        <v>90</v>
      </c>
      <c r="G149" s="39" t="s">
        <v>160</v>
      </c>
      <c r="H149" s="40"/>
      <c r="I149" s="40"/>
      <c r="J149" s="40"/>
      <c r="K149" s="42">
        <v>46143</v>
      </c>
      <c r="L149" s="42"/>
      <c r="M149" s="44"/>
      <c r="N149" s="40"/>
      <c r="O149" s="40"/>
      <c r="P149" s="40"/>
      <c r="Q149" s="42">
        <f>IF(K149="","",K149)</f>
        <v>46143</v>
      </c>
      <c r="R149" s="39" t="s">
        <v>82</v>
      </c>
      <c r="S149" s="39" t="s">
        <v>85</v>
      </c>
      <c r="T149" s="39" t="s">
        <v>92</v>
      </c>
      <c r="U149" s="39"/>
      <c r="V149" s="39">
        <v>265</v>
      </c>
      <c r="W149" s="39" t="s">
        <v>272</v>
      </c>
      <c r="X149" s="41">
        <v>46132</v>
      </c>
      <c r="Y149" s="41">
        <v>46143</v>
      </c>
      <c r="Z149" s="43">
        <v>3500</v>
      </c>
      <c r="AA149" s="45">
        <f>IF(M149&lt;&gt;"",M149,Z149)</f>
        <v>3500</v>
      </c>
      <c r="AB149" s="46" t="str">
        <f>IF(L149&lt;&gt;"","Realizado","Previsto")</f>
        <v>Previsto</v>
      </c>
      <c r="AC149" s="47">
        <v>0.25</v>
      </c>
      <c r="AD149" s="43">
        <v>14000</v>
      </c>
      <c r="AE149" s="39"/>
      <c r="AF149" s="39" t="s">
        <v>79</v>
      </c>
      <c r="AG149" s="43">
        <v>3500</v>
      </c>
      <c r="AH149" s="39" t="s">
        <v>93</v>
      </c>
      <c r="AI149" s="39" t="s">
        <v>73</v>
      </c>
      <c r="AJ149" s="48">
        <f>IF(Q149&lt;&gt;"",Q149,IF(K149&lt;&gt;"",K149,""))</f>
        <v>46143</v>
      </c>
      <c r="AK149" s="46" t="str">
        <f>IF(K149&lt;&gt;"","Sim","")</f>
        <v>Sim</v>
      </c>
      <c r="AL149" s="46" t="str">
        <f>IF(A149="","",TEXT(A149,"000000")&amp;"-"&amp;IF(C149="Entrada","CR","DB"))</f>
        <v>000148-DB</v>
      </c>
      <c r="AM149" s="46" t="str">
        <f>IF(A149="","",LEFT(IF(H149&lt;&gt;"",H149,G149)&amp;" | "&amp;G149&amp;" | "&amp;S149,60))</f>
        <v xml:space="preserve">Alojamento Arbnb (mestre, engenheiro. Tecnico) | Alojamento </v>
      </c>
    </row>
    <row r="150" spans="1:39" ht="43.2" x14ac:dyDescent="0.3">
      <c r="A150" s="39">
        <v>149</v>
      </c>
      <c r="B150" s="39" t="s">
        <v>2</v>
      </c>
      <c r="C150" s="39" t="s">
        <v>74</v>
      </c>
      <c r="D150" s="39" t="s">
        <v>82</v>
      </c>
      <c r="E150" s="39" t="s">
        <v>82</v>
      </c>
      <c r="F150" s="39" t="s">
        <v>94</v>
      </c>
      <c r="G150" s="39" t="s">
        <v>161</v>
      </c>
      <c r="H150" s="40"/>
      <c r="I150" s="40"/>
      <c r="J150" s="40"/>
      <c r="K150" s="42">
        <v>46143</v>
      </c>
      <c r="L150" s="42"/>
      <c r="M150" s="44"/>
      <c r="N150" s="40"/>
      <c r="O150" s="40"/>
      <c r="P150" s="40"/>
      <c r="Q150" s="42">
        <f>IF(K150="","",K150)</f>
        <v>46143</v>
      </c>
      <c r="R150" s="39" t="s">
        <v>82</v>
      </c>
      <c r="S150" s="39" t="s">
        <v>85</v>
      </c>
      <c r="T150" s="39" t="s">
        <v>96</v>
      </c>
      <c r="U150" s="39"/>
      <c r="V150" s="39">
        <v>252</v>
      </c>
      <c r="W150" s="39" t="s">
        <v>272</v>
      </c>
      <c r="X150" s="41">
        <v>46132</v>
      </c>
      <c r="Y150" s="41">
        <v>46143</v>
      </c>
      <c r="Z150" s="43">
        <v>1140</v>
      </c>
      <c r="AA150" s="45">
        <f>IF(M150&lt;&gt;"",M150,Z150)</f>
        <v>1140</v>
      </c>
      <c r="AB150" s="46" t="str">
        <f>IF(L150&lt;&gt;"","Realizado","Previsto")</f>
        <v>Previsto</v>
      </c>
      <c r="AC150" s="47">
        <v>0.25</v>
      </c>
      <c r="AD150" s="43">
        <v>4560</v>
      </c>
      <c r="AE150" s="39"/>
      <c r="AF150" s="39" t="s">
        <v>79</v>
      </c>
      <c r="AG150" s="43">
        <v>1140</v>
      </c>
      <c r="AH150" s="39" t="s">
        <v>97</v>
      </c>
      <c r="AI150" s="39" t="s">
        <v>73</v>
      </c>
      <c r="AJ150" s="48">
        <f>IF(Q150&lt;&gt;"",Q150,IF(K150&lt;&gt;"",K150,""))</f>
        <v>46143</v>
      </c>
      <c r="AK150" s="46" t="str">
        <f>IF(K150&lt;&gt;"","Sim","")</f>
        <v>Sim</v>
      </c>
      <c r="AL150" s="46" t="str">
        <f>IF(A150="","",TEXT(A150,"000000")&amp;"-"&amp;IF(C150="Entrada","CR","DB"))</f>
        <v>000149-DB</v>
      </c>
      <c r="AM150" s="46" t="str">
        <f>IF(A150="","",LEFT(IF(H150&lt;&gt;"",H150,G150)&amp;" | "&amp;G150&amp;" | "&amp;S150,60))</f>
        <v>Aluguel container Banheiro | Aluguel container Banheiro | Sa</v>
      </c>
    </row>
    <row r="151" spans="1:39" ht="43.2" x14ac:dyDescent="0.3">
      <c r="A151" s="39">
        <v>150</v>
      </c>
      <c r="B151" s="39" t="s">
        <v>2</v>
      </c>
      <c r="C151" s="39" t="s">
        <v>74</v>
      </c>
      <c r="D151" s="39" t="s">
        <v>82</v>
      </c>
      <c r="E151" s="39" t="s">
        <v>82</v>
      </c>
      <c r="F151" s="39" t="s">
        <v>94</v>
      </c>
      <c r="G151" s="39" t="s">
        <v>162</v>
      </c>
      <c r="H151" s="40"/>
      <c r="I151" s="40"/>
      <c r="J151" s="40"/>
      <c r="K151" s="42">
        <v>46143</v>
      </c>
      <c r="L151" s="42"/>
      <c r="M151" s="44"/>
      <c r="N151" s="40"/>
      <c r="O151" s="40"/>
      <c r="P151" s="40"/>
      <c r="Q151" s="42">
        <f>IF(K151="","",K151)</f>
        <v>46143</v>
      </c>
      <c r="R151" s="39" t="s">
        <v>82</v>
      </c>
      <c r="S151" s="39" t="s">
        <v>85</v>
      </c>
      <c r="T151" s="39" t="s">
        <v>96</v>
      </c>
      <c r="U151" s="39"/>
      <c r="V151" s="39">
        <v>254</v>
      </c>
      <c r="W151" s="39" t="s">
        <v>272</v>
      </c>
      <c r="X151" s="41">
        <v>46132</v>
      </c>
      <c r="Y151" s="41">
        <v>46143</v>
      </c>
      <c r="Z151" s="43">
        <v>400</v>
      </c>
      <c r="AA151" s="45">
        <f>IF(M151&lt;&gt;"",M151,Z151)</f>
        <v>400</v>
      </c>
      <c r="AB151" s="46" t="str">
        <f>IF(L151&lt;&gt;"","Realizado","Previsto")</f>
        <v>Previsto</v>
      </c>
      <c r="AC151" s="47">
        <v>0.25</v>
      </c>
      <c r="AD151" s="43">
        <v>1600</v>
      </c>
      <c r="AE151" s="39"/>
      <c r="AF151" s="39" t="s">
        <v>79</v>
      </c>
      <c r="AG151" s="43">
        <v>400</v>
      </c>
      <c r="AH151" s="39" t="s">
        <v>97</v>
      </c>
      <c r="AI151" s="39" t="s">
        <v>73</v>
      </c>
      <c r="AJ151" s="48">
        <f>IF(Q151&lt;&gt;"",Q151,IF(K151&lt;&gt;"",K151,""))</f>
        <v>46143</v>
      </c>
      <c r="AK151" s="46" t="str">
        <f>IF(K151&lt;&gt;"","Sim","")</f>
        <v>Sim</v>
      </c>
      <c r="AL151" s="46" t="str">
        <f>IF(A151="","",TEXT(A151,"000000")&amp;"-"&amp;IF(C151="Entrada","CR","DB"))</f>
        <v>000150-DB</v>
      </c>
      <c r="AM151" s="46" t="str">
        <f>IF(A151="","",LEFT(IF(H151&lt;&gt;"",H151,G151)&amp;" | "&amp;G151&amp;" | "&amp;S151,60))</f>
        <v>Aluguel container almoxarifado | Aluguel container almoxarif</v>
      </c>
    </row>
    <row r="152" spans="1:39" ht="43.2" x14ac:dyDescent="0.3">
      <c r="A152" s="39">
        <v>151</v>
      </c>
      <c r="B152" s="39" t="s">
        <v>2</v>
      </c>
      <c r="C152" s="39" t="s">
        <v>74</v>
      </c>
      <c r="D152" s="39" t="s">
        <v>82</v>
      </c>
      <c r="E152" s="39" t="s">
        <v>82</v>
      </c>
      <c r="F152" s="39" t="s">
        <v>94</v>
      </c>
      <c r="G152" s="39" t="s">
        <v>163</v>
      </c>
      <c r="H152" s="40"/>
      <c r="I152" s="40"/>
      <c r="J152" s="40"/>
      <c r="K152" s="42">
        <v>46143</v>
      </c>
      <c r="L152" s="42"/>
      <c r="M152" s="44"/>
      <c r="N152" s="40"/>
      <c r="O152" s="40"/>
      <c r="P152" s="40"/>
      <c r="Q152" s="42">
        <f>IF(K152="","",K152)</f>
        <v>46143</v>
      </c>
      <c r="R152" s="39" t="s">
        <v>82</v>
      </c>
      <c r="S152" s="39" t="s">
        <v>85</v>
      </c>
      <c r="T152" s="39" t="s">
        <v>96</v>
      </c>
      <c r="U152" s="39"/>
      <c r="V152" s="39">
        <v>255</v>
      </c>
      <c r="W152" s="39" t="s">
        <v>272</v>
      </c>
      <c r="X152" s="41">
        <v>46132</v>
      </c>
      <c r="Y152" s="41">
        <v>46143</v>
      </c>
      <c r="Z152" s="43">
        <v>900</v>
      </c>
      <c r="AA152" s="45">
        <f>IF(M152&lt;&gt;"",M152,Z152)</f>
        <v>900</v>
      </c>
      <c r="AB152" s="46" t="str">
        <f>IF(L152&lt;&gt;"","Realizado","Previsto")</f>
        <v>Previsto</v>
      </c>
      <c r="AC152" s="47">
        <v>0.25</v>
      </c>
      <c r="AD152" s="43">
        <v>3600</v>
      </c>
      <c r="AE152" s="39"/>
      <c r="AF152" s="39" t="s">
        <v>79</v>
      </c>
      <c r="AG152" s="43">
        <v>900</v>
      </c>
      <c r="AH152" s="39" t="s">
        <v>97</v>
      </c>
      <c r="AI152" s="39" t="s">
        <v>73</v>
      </c>
      <c r="AJ152" s="48">
        <f>IF(Q152&lt;&gt;"",Q152,IF(K152&lt;&gt;"",K152,""))</f>
        <v>46143</v>
      </c>
      <c r="AK152" s="46" t="str">
        <f>IF(K152&lt;&gt;"","Sim","")</f>
        <v>Sim</v>
      </c>
      <c r="AL152" s="46" t="str">
        <f>IF(A152="","",TEXT(A152,"000000")&amp;"-"&amp;IF(C152="Entrada","CR","DB"))</f>
        <v>000151-DB</v>
      </c>
      <c r="AM152" s="46" t="str">
        <f>IF(A152="","",LEFT(IF(H152&lt;&gt;"",H152,G152)&amp;" | "&amp;G152&amp;" | "&amp;S152,60))</f>
        <v xml:space="preserve">Aluguel container escritorio | Aluguel container escritorio </v>
      </c>
    </row>
    <row r="153" spans="1:39" ht="43.2" x14ac:dyDescent="0.3">
      <c r="A153" s="39">
        <v>152</v>
      </c>
      <c r="B153" s="39" t="s">
        <v>2</v>
      </c>
      <c r="C153" s="39" t="s">
        <v>74</v>
      </c>
      <c r="D153" s="39" t="s">
        <v>82</v>
      </c>
      <c r="E153" s="39" t="s">
        <v>82</v>
      </c>
      <c r="F153" s="39" t="s">
        <v>90</v>
      </c>
      <c r="G153" s="39" t="s">
        <v>164</v>
      </c>
      <c r="H153" s="40"/>
      <c r="I153" s="40"/>
      <c r="J153" s="40"/>
      <c r="K153" s="42">
        <v>46143</v>
      </c>
      <c r="L153" s="42"/>
      <c r="M153" s="44"/>
      <c r="N153" s="40"/>
      <c r="O153" s="40"/>
      <c r="P153" s="40"/>
      <c r="Q153" s="42">
        <f>IF(K153="","",K153)</f>
        <v>46143</v>
      </c>
      <c r="R153" s="39" t="s">
        <v>82</v>
      </c>
      <c r="S153" s="39" t="s">
        <v>85</v>
      </c>
      <c r="T153" s="39" t="s">
        <v>92</v>
      </c>
      <c r="U153" s="39" t="s">
        <v>165</v>
      </c>
      <c r="V153" s="39">
        <v>262</v>
      </c>
      <c r="W153" s="39" t="s">
        <v>272</v>
      </c>
      <c r="X153" s="41">
        <v>46132</v>
      </c>
      <c r="Y153" s="41">
        <v>46143</v>
      </c>
      <c r="Z153" s="43">
        <v>3000</v>
      </c>
      <c r="AA153" s="45">
        <f>IF(M153&lt;&gt;"",M153,Z153)</f>
        <v>3000</v>
      </c>
      <c r="AB153" s="46" t="str">
        <f>IF(L153&lt;&gt;"","Realizado","Previsto")</f>
        <v>Previsto</v>
      </c>
      <c r="AC153" s="47">
        <v>0.25</v>
      </c>
      <c r="AD153" s="43">
        <v>12000</v>
      </c>
      <c r="AE153" s="39"/>
      <c r="AF153" s="39" t="s">
        <v>79</v>
      </c>
      <c r="AG153" s="43">
        <v>3000</v>
      </c>
      <c r="AH153" s="39" t="s">
        <v>93</v>
      </c>
      <c r="AI153" s="39" t="s">
        <v>73</v>
      </c>
      <c r="AJ153" s="48">
        <f>IF(Q153&lt;&gt;"",Q153,IF(K153&lt;&gt;"",K153,""))</f>
        <v>46143</v>
      </c>
      <c r="AK153" s="46" t="str">
        <f>IF(K153&lt;&gt;"","Sim","")</f>
        <v>Sim</v>
      </c>
      <c r="AL153" s="46" t="str">
        <f>IF(A153="","",TEXT(A153,"000000")&amp;"-"&amp;IF(C153="Entrada","CR","DB"))</f>
        <v>000152-DB</v>
      </c>
      <c r="AM153" s="46" t="str">
        <f>IF(A153="","",LEFT(IF(H153&lt;&gt;"",H153,G153)&amp;" | "&amp;G153&amp;" | "&amp;S153,60))</f>
        <v>COMPRADOR | COMPRADOR | Saída | GESTÃO LOCAL</v>
      </c>
    </row>
    <row r="154" spans="1:39" ht="43.2" x14ac:dyDescent="0.3">
      <c r="A154" s="39">
        <v>153</v>
      </c>
      <c r="B154" s="39" t="s">
        <v>2</v>
      </c>
      <c r="C154" s="39" t="s">
        <v>74</v>
      </c>
      <c r="D154" s="39" t="s">
        <v>82</v>
      </c>
      <c r="E154" s="39" t="s">
        <v>82</v>
      </c>
      <c r="F154" s="39" t="s">
        <v>90</v>
      </c>
      <c r="G154" s="39" t="s">
        <v>166</v>
      </c>
      <c r="H154" s="40"/>
      <c r="I154" s="40"/>
      <c r="J154" s="40"/>
      <c r="K154" s="42">
        <v>46143</v>
      </c>
      <c r="L154" s="42"/>
      <c r="M154" s="44"/>
      <c r="N154" s="40"/>
      <c r="O154" s="40"/>
      <c r="P154" s="40"/>
      <c r="Q154" s="42">
        <f>IF(K154="","",K154)</f>
        <v>46143</v>
      </c>
      <c r="R154" s="39" t="s">
        <v>82</v>
      </c>
      <c r="S154" s="39" t="s">
        <v>85</v>
      </c>
      <c r="T154" s="39" t="s">
        <v>92</v>
      </c>
      <c r="U154" s="39"/>
      <c r="V154" s="39">
        <v>259</v>
      </c>
      <c r="W154" s="39" t="s">
        <v>272</v>
      </c>
      <c r="X154" s="41">
        <v>46132</v>
      </c>
      <c r="Y154" s="41">
        <v>46143</v>
      </c>
      <c r="Z154" s="43">
        <v>10000</v>
      </c>
      <c r="AA154" s="45">
        <f>IF(M154&lt;&gt;"",M154,Z154)</f>
        <v>10000</v>
      </c>
      <c r="AB154" s="46" t="str">
        <f>IF(L154&lt;&gt;"","Realizado","Previsto")</f>
        <v>Previsto</v>
      </c>
      <c r="AC154" s="47">
        <v>0.25</v>
      </c>
      <c r="AD154" s="43">
        <v>40000</v>
      </c>
      <c r="AE154" s="39"/>
      <c r="AF154" s="39" t="s">
        <v>79</v>
      </c>
      <c r="AG154" s="43">
        <v>10000</v>
      </c>
      <c r="AH154" s="39" t="s">
        <v>93</v>
      </c>
      <c r="AI154" s="39" t="s">
        <v>73</v>
      </c>
      <c r="AJ154" s="48">
        <f>IF(Q154&lt;&gt;"",Q154,IF(K154&lt;&gt;"",K154,""))</f>
        <v>46143</v>
      </c>
      <c r="AK154" s="46" t="str">
        <f>IF(K154&lt;&gt;"","Sim","")</f>
        <v>Sim</v>
      </c>
      <c r="AL154" s="46" t="str">
        <f>IF(A154="","",TEXT(A154,"000000")&amp;"-"&amp;IF(C154="Entrada","CR","DB"))</f>
        <v>000153-DB</v>
      </c>
      <c r="AM154" s="46" t="str">
        <f>IF(A154="","",LEFT(IF(H154&lt;&gt;"",H154,G154)&amp;" | "&amp;G154&amp;" | "&amp;S154,60))</f>
        <v>ENGENHEIRO RESIDENTE - ( rateado em 3 canteiros) carro inclu</v>
      </c>
    </row>
    <row r="155" spans="1:39" ht="43.2" x14ac:dyDescent="0.3">
      <c r="A155" s="39">
        <v>154</v>
      </c>
      <c r="B155" s="39" t="s">
        <v>2</v>
      </c>
      <c r="C155" s="39" t="s">
        <v>74</v>
      </c>
      <c r="D155" s="39" t="s">
        <v>82</v>
      </c>
      <c r="E155" s="39" t="s">
        <v>82</v>
      </c>
      <c r="F155" s="39" t="s">
        <v>90</v>
      </c>
      <c r="G155" s="39" t="s">
        <v>241</v>
      </c>
      <c r="H155" s="40"/>
      <c r="I155" s="40"/>
      <c r="J155" s="40"/>
      <c r="K155" s="42">
        <v>46143</v>
      </c>
      <c r="L155" s="42"/>
      <c r="M155" s="44"/>
      <c r="N155" s="40"/>
      <c r="O155" s="40"/>
      <c r="P155" s="40"/>
      <c r="Q155" s="42">
        <f>IF(K155="","",K155)</f>
        <v>46143</v>
      </c>
      <c r="R155" s="39" t="s">
        <v>82</v>
      </c>
      <c r="S155" s="39" t="s">
        <v>85</v>
      </c>
      <c r="T155" s="39" t="s">
        <v>92</v>
      </c>
      <c r="U155" s="39"/>
      <c r="V155" s="39">
        <v>263</v>
      </c>
      <c r="W155" s="39" t="s">
        <v>272</v>
      </c>
      <c r="X155" s="41">
        <v>46132</v>
      </c>
      <c r="Y155" s="41">
        <v>46143</v>
      </c>
      <c r="Z155" s="43">
        <v>3000</v>
      </c>
      <c r="AA155" s="45">
        <f>IF(M155&lt;&gt;"",M155,Z155)</f>
        <v>3000</v>
      </c>
      <c r="AB155" s="46" t="str">
        <f>IF(L155&lt;&gt;"","Realizado","Previsto")</f>
        <v>Previsto</v>
      </c>
      <c r="AC155" s="47">
        <v>0.25</v>
      </c>
      <c r="AD155" s="43">
        <v>12000</v>
      </c>
      <c r="AE155" s="39"/>
      <c r="AF155" s="39" t="s">
        <v>79</v>
      </c>
      <c r="AG155" s="43">
        <v>3000</v>
      </c>
      <c r="AH155" s="39" t="s">
        <v>93</v>
      </c>
      <c r="AI155" s="39" t="s">
        <v>73</v>
      </c>
      <c r="AJ155" s="48">
        <f>IF(Q155&lt;&gt;"",Q155,IF(K155&lt;&gt;"",K155,""))</f>
        <v>46143</v>
      </c>
      <c r="AK155" s="46" t="str">
        <f>IF(K155&lt;&gt;"","Sim","")</f>
        <v>Sim</v>
      </c>
      <c r="AL155" s="46" t="str">
        <f>IF(A155="","",TEXT(A155,"000000")&amp;"-"&amp;IF(C155="Entrada","CR","DB"))</f>
        <v>000154-DB</v>
      </c>
      <c r="AM155" s="46" t="str">
        <f>IF(A155="","",LEFT(IF(H155&lt;&gt;"",H155,G155)&amp;" | "&amp;G155&amp;" | "&amp;S155,60))</f>
        <v>TECNICO SEGURANÇA TRABALHO - ( rateado em 3 canteiros) carro</v>
      </c>
    </row>
    <row r="156" spans="1:39" ht="43.2" x14ac:dyDescent="0.3">
      <c r="A156" s="39">
        <v>155</v>
      </c>
      <c r="B156" s="39" t="s">
        <v>2</v>
      </c>
      <c r="C156" s="39" t="s">
        <v>74</v>
      </c>
      <c r="D156" s="39" t="s">
        <v>331</v>
      </c>
      <c r="E156" s="39" t="s">
        <v>331</v>
      </c>
      <c r="F156" s="39" t="s">
        <v>184</v>
      </c>
      <c r="G156" s="39" t="s">
        <v>332</v>
      </c>
      <c r="H156" s="40"/>
      <c r="I156" s="40"/>
      <c r="J156" s="40"/>
      <c r="K156" s="42">
        <v>46143</v>
      </c>
      <c r="L156" s="42"/>
      <c r="M156" s="44"/>
      <c r="N156" s="40"/>
      <c r="O156" s="40"/>
      <c r="P156" s="40"/>
      <c r="Q156" s="42">
        <f>IF(K156="","",K156)</f>
        <v>46143</v>
      </c>
      <c r="R156" s="39" t="s">
        <v>331</v>
      </c>
      <c r="S156" s="39" t="s">
        <v>333</v>
      </c>
      <c r="T156" s="39" t="s">
        <v>334</v>
      </c>
      <c r="U156" s="39"/>
      <c r="V156" s="39">
        <v>67</v>
      </c>
      <c r="W156" s="39" t="s">
        <v>272</v>
      </c>
      <c r="X156" s="41">
        <v>46132</v>
      </c>
      <c r="Y156" s="41">
        <v>46143</v>
      </c>
      <c r="Z156" s="43">
        <v>4864</v>
      </c>
      <c r="AA156" s="45">
        <f>IF(M156&lt;&gt;"",M156,Z156)</f>
        <v>4864</v>
      </c>
      <c r="AB156" s="46" t="str">
        <f>IF(L156&lt;&gt;"","Realizado","Previsto")</f>
        <v>Previsto</v>
      </c>
      <c r="AC156" s="47">
        <v>0.5</v>
      </c>
      <c r="AD156" s="43">
        <v>9728</v>
      </c>
      <c r="AE156" s="39">
        <v>256</v>
      </c>
      <c r="AF156" s="39" t="s">
        <v>191</v>
      </c>
      <c r="AG156" s="43">
        <v>38</v>
      </c>
      <c r="AH156" s="39" t="s">
        <v>335</v>
      </c>
      <c r="AI156" s="39" t="s">
        <v>73</v>
      </c>
      <c r="AJ156" s="48">
        <f>IF(Q156&lt;&gt;"",Q156,IF(K156&lt;&gt;"",K156,""))</f>
        <v>46143</v>
      </c>
      <c r="AK156" s="46" t="str">
        <f>IF(K156&lt;&gt;"","Sim","")</f>
        <v>Sim</v>
      </c>
      <c r="AL156" s="46" t="str">
        <f>IF(A156="","",TEXT(A156,"000000")&amp;"-"&amp;IF(C156="Entrada","CR","DB"))</f>
        <v>000155-DB</v>
      </c>
      <c r="AM156" s="46" t="str">
        <f>IF(A156="","",LEFT(IF(H156&lt;&gt;"",H156,G156)&amp;" | "&amp;G156&amp;" | "&amp;S156,60))</f>
        <v>Aditivo supercristalizante Penetron | Aditivo supercristaliz</v>
      </c>
    </row>
    <row r="157" spans="1:39" ht="43.2" x14ac:dyDescent="0.3">
      <c r="A157" s="39">
        <v>156</v>
      </c>
      <c r="B157" s="39" t="s">
        <v>2</v>
      </c>
      <c r="C157" s="39" t="s">
        <v>74</v>
      </c>
      <c r="D157" s="39" t="s">
        <v>331</v>
      </c>
      <c r="E157" s="39" t="s">
        <v>331</v>
      </c>
      <c r="F157" s="39" t="s">
        <v>115</v>
      </c>
      <c r="G157" s="39" t="s">
        <v>336</v>
      </c>
      <c r="H157" s="40"/>
      <c r="I157" s="40"/>
      <c r="J157" s="40"/>
      <c r="K157" s="42">
        <v>46143</v>
      </c>
      <c r="L157" s="42"/>
      <c r="M157" s="44"/>
      <c r="N157" s="40"/>
      <c r="O157" s="40"/>
      <c r="P157" s="40"/>
      <c r="Q157" s="42">
        <f>IF(K157="","",K157)</f>
        <v>46143</v>
      </c>
      <c r="R157" s="39" t="s">
        <v>331</v>
      </c>
      <c r="S157" s="39" t="s">
        <v>333</v>
      </c>
      <c r="T157" s="39" t="s">
        <v>337</v>
      </c>
      <c r="U157" s="39"/>
      <c r="V157" s="39">
        <v>65</v>
      </c>
      <c r="W157" s="39" t="s">
        <v>272</v>
      </c>
      <c r="X157" s="41">
        <v>46132</v>
      </c>
      <c r="Y157" s="41">
        <v>46143</v>
      </c>
      <c r="Z157" s="43">
        <v>5538.1333333333332</v>
      </c>
      <c r="AA157" s="45">
        <f>IF(M157&lt;&gt;"",M157,Z157)</f>
        <v>5538.1333333333332</v>
      </c>
      <c r="AB157" s="46" t="str">
        <f>IF(L157&lt;&gt;"","Realizado","Previsto")</f>
        <v>Previsto</v>
      </c>
      <c r="AC157" s="47">
        <v>1</v>
      </c>
      <c r="AD157" s="43">
        <v>5538.1333333333332</v>
      </c>
      <c r="AE157" s="39">
        <v>170.66666666666671</v>
      </c>
      <c r="AF157" s="39" t="s">
        <v>87</v>
      </c>
      <c r="AG157" s="43">
        <v>32.450000000000003</v>
      </c>
      <c r="AH157" s="39" t="s">
        <v>338</v>
      </c>
      <c r="AI157" s="39" t="s">
        <v>73</v>
      </c>
      <c r="AJ157" s="48">
        <f>IF(Q157&lt;&gt;"",Q157,IF(K157&lt;&gt;"",K157,""))</f>
        <v>46143</v>
      </c>
      <c r="AK157" s="46" t="str">
        <f>IF(K157&lt;&gt;"","Sim","")</f>
        <v>Sim</v>
      </c>
      <c r="AL157" s="46" t="str">
        <f>IF(A157="","",TEXT(A157,"000000")&amp;"-"&amp;IF(C157="Entrada","CR","DB"))</f>
        <v>000156-DB</v>
      </c>
      <c r="AM157" s="46" t="str">
        <f>IF(A157="","",LEFT(IF(H157&lt;&gt;"",H157,G157)&amp;" | "&amp;G157&amp;" | "&amp;S157,60))</f>
        <v>Formas de tábua aparelhada de 20x2,5x540cm para fechamento d</v>
      </c>
    </row>
    <row r="158" spans="1:39" ht="43.2" x14ac:dyDescent="0.3">
      <c r="A158" s="39">
        <v>157</v>
      </c>
      <c r="B158" s="39" t="s">
        <v>2</v>
      </c>
      <c r="C158" s="39" t="s">
        <v>74</v>
      </c>
      <c r="D158" s="39" t="s">
        <v>331</v>
      </c>
      <c r="E158" s="39" t="s">
        <v>331</v>
      </c>
      <c r="F158" s="39" t="s">
        <v>94</v>
      </c>
      <c r="G158" s="39" t="s">
        <v>339</v>
      </c>
      <c r="H158" s="40"/>
      <c r="I158" s="40"/>
      <c r="J158" s="40"/>
      <c r="K158" s="42">
        <v>46143</v>
      </c>
      <c r="L158" s="42"/>
      <c r="M158" s="44"/>
      <c r="N158" s="40"/>
      <c r="O158" s="40"/>
      <c r="P158" s="40"/>
      <c r="Q158" s="42">
        <f>IF(K158="","",K158)</f>
        <v>46143</v>
      </c>
      <c r="R158" s="39" t="s">
        <v>331</v>
      </c>
      <c r="S158" s="39" t="s">
        <v>333</v>
      </c>
      <c r="T158" s="39" t="s">
        <v>340</v>
      </c>
      <c r="U158" s="39"/>
      <c r="V158" s="39">
        <v>66</v>
      </c>
      <c r="W158" s="39" t="s">
        <v>272</v>
      </c>
      <c r="X158" s="41">
        <v>46132</v>
      </c>
      <c r="Y158" s="41">
        <v>46143</v>
      </c>
      <c r="Z158" s="43">
        <v>630</v>
      </c>
      <c r="AA158" s="45">
        <f>IF(M158&lt;&gt;"",M158,Z158)</f>
        <v>630</v>
      </c>
      <c r="AB158" s="46" t="str">
        <f>IF(L158&lt;&gt;"","Realizado","Previsto")</f>
        <v>Previsto</v>
      </c>
      <c r="AC158" s="47">
        <v>0.3</v>
      </c>
      <c r="AD158" s="43">
        <v>2100</v>
      </c>
      <c r="AE158" s="39">
        <v>3</v>
      </c>
      <c r="AF158" s="39" t="s">
        <v>341</v>
      </c>
      <c r="AG158" s="43">
        <v>700</v>
      </c>
      <c r="AH158" s="39" t="s">
        <v>342</v>
      </c>
      <c r="AI158" s="39" t="s">
        <v>73</v>
      </c>
      <c r="AJ158" s="48">
        <f>IF(Q158&lt;&gt;"",Q158,IF(K158&lt;&gt;"",K158,""))</f>
        <v>46143</v>
      </c>
      <c r="AK158" s="46" t="str">
        <f>IF(K158&lt;&gt;"","Sim","")</f>
        <v>Sim</v>
      </c>
      <c r="AL158" s="46" t="str">
        <f>IF(A158="","",TEXT(A158,"000000")&amp;"-"&amp;IF(C158="Entrada","CR","DB"))</f>
        <v>000157-DB</v>
      </c>
      <c r="AM158" s="46" t="str">
        <f>IF(A158="","",LEFT(IF(H158&lt;&gt;"",H158,G158)&amp;" | "&amp;G158&amp;" | "&amp;S158,60))</f>
        <v>Locação betoneira para bater o graute | Locação betoneira pa</v>
      </c>
    </row>
    <row r="159" spans="1:39" ht="43.2" x14ac:dyDescent="0.3">
      <c r="A159" s="39">
        <v>158</v>
      </c>
      <c r="B159" s="39" t="s">
        <v>2</v>
      </c>
      <c r="C159" s="39" t="s">
        <v>74</v>
      </c>
      <c r="D159" s="39" t="s">
        <v>331</v>
      </c>
      <c r="E159" s="39" t="s">
        <v>331</v>
      </c>
      <c r="F159" s="39" t="s">
        <v>173</v>
      </c>
      <c r="G159" s="39" t="s">
        <v>343</v>
      </c>
      <c r="H159" s="40"/>
      <c r="I159" s="40"/>
      <c r="J159" s="40"/>
      <c r="K159" s="42">
        <v>46143</v>
      </c>
      <c r="L159" s="42"/>
      <c r="M159" s="44"/>
      <c r="N159" s="40"/>
      <c r="O159" s="40"/>
      <c r="P159" s="40"/>
      <c r="Q159" s="42">
        <f>IF(K159="","",K159)</f>
        <v>46143</v>
      </c>
      <c r="R159" s="39" t="s">
        <v>331</v>
      </c>
      <c r="S159" s="39" t="s">
        <v>333</v>
      </c>
      <c r="T159" s="39" t="s">
        <v>344</v>
      </c>
      <c r="U159" s="39" t="s">
        <v>345</v>
      </c>
      <c r="V159" s="39">
        <v>63</v>
      </c>
      <c r="W159" s="39" t="s">
        <v>272</v>
      </c>
      <c r="X159" s="41">
        <v>46132</v>
      </c>
      <c r="Y159" s="41">
        <v>46143</v>
      </c>
      <c r="Z159" s="43">
        <v>5376</v>
      </c>
      <c r="AA159" s="45">
        <f>IF(M159&lt;&gt;"",M159,Z159)</f>
        <v>5376</v>
      </c>
      <c r="AB159" s="46" t="str">
        <f>IF(L159&lt;&gt;"","Realizado","Previsto")</f>
        <v>Previsto</v>
      </c>
      <c r="AC159" s="47">
        <v>1</v>
      </c>
      <c r="AD159" s="43">
        <v>5376</v>
      </c>
      <c r="AE159" s="39">
        <v>38.4</v>
      </c>
      <c r="AF159" s="39" t="s">
        <v>346</v>
      </c>
      <c r="AG159" s="43">
        <v>140</v>
      </c>
      <c r="AH159" s="39" t="s">
        <v>347</v>
      </c>
      <c r="AI159" s="39" t="s">
        <v>73</v>
      </c>
      <c r="AJ159" s="48">
        <f>IF(Q159&lt;&gt;"",Q159,IF(K159&lt;&gt;"",K159,""))</f>
        <v>46143</v>
      </c>
      <c r="AK159" s="46" t="str">
        <f>IF(K159&lt;&gt;"","Sim","")</f>
        <v>Sim</v>
      </c>
      <c r="AL159" s="46" t="str">
        <f>IF(A159="","",TEXT(A159,"000000")&amp;"-"&amp;IF(C159="Entrada","CR","DB"))</f>
        <v>000158-DB</v>
      </c>
      <c r="AM159" s="46" t="str">
        <f>IF(A159="","",LEFT(IF(H159&lt;&gt;"",H159,G159)&amp;" | "&amp;G159&amp;" | "&amp;S159,60))</f>
        <v>graute:  areia grossa | graute:  areia grossa | Saída | GRAU</v>
      </c>
    </row>
    <row r="160" spans="1:39" ht="43.2" x14ac:dyDescent="0.3">
      <c r="A160" s="39">
        <v>159</v>
      </c>
      <c r="B160" s="39" t="s">
        <v>2</v>
      </c>
      <c r="C160" s="39" t="s">
        <v>74</v>
      </c>
      <c r="D160" s="39" t="s">
        <v>331</v>
      </c>
      <c r="E160" s="39" t="s">
        <v>331</v>
      </c>
      <c r="F160" s="39" t="s">
        <v>173</v>
      </c>
      <c r="G160" s="39" t="s">
        <v>348</v>
      </c>
      <c r="H160" s="40"/>
      <c r="I160" s="40"/>
      <c r="J160" s="40"/>
      <c r="K160" s="42">
        <v>46143</v>
      </c>
      <c r="L160" s="42"/>
      <c r="M160" s="44"/>
      <c r="N160" s="40"/>
      <c r="O160" s="40"/>
      <c r="P160" s="40"/>
      <c r="Q160" s="42">
        <f>IF(K160="","",K160)</f>
        <v>46143</v>
      </c>
      <c r="R160" s="39" t="s">
        <v>331</v>
      </c>
      <c r="S160" s="39" t="s">
        <v>333</v>
      </c>
      <c r="T160" s="39" t="s">
        <v>344</v>
      </c>
      <c r="U160" s="39" t="s">
        <v>345</v>
      </c>
      <c r="V160" s="39">
        <v>62</v>
      </c>
      <c r="W160" s="39" t="s">
        <v>272</v>
      </c>
      <c r="X160" s="41">
        <v>46132</v>
      </c>
      <c r="Y160" s="41">
        <v>46143</v>
      </c>
      <c r="Z160" s="43">
        <v>14112</v>
      </c>
      <c r="AA160" s="45">
        <f>IF(M160&lt;&gt;"",M160,Z160)</f>
        <v>14112</v>
      </c>
      <c r="AB160" s="46" t="str">
        <f>IF(L160&lt;&gt;"","Realizado","Previsto")</f>
        <v>Previsto</v>
      </c>
      <c r="AC160" s="47">
        <v>0.5</v>
      </c>
      <c r="AD160" s="43">
        <v>28224</v>
      </c>
      <c r="AE160" s="39">
        <v>576</v>
      </c>
      <c r="AF160" s="39" t="s">
        <v>330</v>
      </c>
      <c r="AG160" s="43">
        <v>49</v>
      </c>
      <c r="AH160" s="39" t="s">
        <v>347</v>
      </c>
      <c r="AI160" s="39" t="s">
        <v>73</v>
      </c>
      <c r="AJ160" s="48">
        <f>IF(Q160&lt;&gt;"",Q160,IF(K160&lt;&gt;"",K160,""))</f>
        <v>46143</v>
      </c>
      <c r="AK160" s="46" t="str">
        <f>IF(K160&lt;&gt;"","Sim","")</f>
        <v>Sim</v>
      </c>
      <c r="AL160" s="46" t="str">
        <f>IF(A160="","",TEXT(A160,"000000")&amp;"-"&amp;IF(C160="Entrada","CR","DB"))</f>
        <v>000159-DB</v>
      </c>
      <c r="AM160" s="46" t="str">
        <f>IF(A160="","",LEFT(IF(H160&lt;&gt;"",H160,G160)&amp;" | "&amp;G160&amp;" | "&amp;S160,60))</f>
        <v>graute:  cimento PortlanD CP IV 32 | graute:  cimento Portla</v>
      </c>
    </row>
    <row r="161" spans="1:39" ht="43.2" x14ac:dyDescent="0.3">
      <c r="A161" s="39">
        <v>160</v>
      </c>
      <c r="B161" s="39" t="s">
        <v>2</v>
      </c>
      <c r="C161" s="39" t="s">
        <v>74</v>
      </c>
      <c r="D161" s="39" t="s">
        <v>331</v>
      </c>
      <c r="E161" s="39" t="s">
        <v>331</v>
      </c>
      <c r="F161" s="39" t="s">
        <v>173</v>
      </c>
      <c r="G161" s="39" t="s">
        <v>349</v>
      </c>
      <c r="H161" s="40"/>
      <c r="I161" s="40"/>
      <c r="J161" s="40"/>
      <c r="K161" s="42">
        <v>46143</v>
      </c>
      <c r="L161" s="42"/>
      <c r="M161" s="44"/>
      <c r="N161" s="40"/>
      <c r="O161" s="40"/>
      <c r="P161" s="40"/>
      <c r="Q161" s="42">
        <f>IF(K161="","",K161)</f>
        <v>46143</v>
      </c>
      <c r="R161" s="39" t="s">
        <v>331</v>
      </c>
      <c r="S161" s="39" t="s">
        <v>333</v>
      </c>
      <c r="T161" s="39" t="s">
        <v>344</v>
      </c>
      <c r="U161" s="39" t="s">
        <v>345</v>
      </c>
      <c r="V161" s="39">
        <v>64</v>
      </c>
      <c r="W161" s="39" t="s">
        <v>272</v>
      </c>
      <c r="X161" s="41">
        <v>46132</v>
      </c>
      <c r="Y161" s="41">
        <v>46143</v>
      </c>
      <c r="Z161" s="43">
        <v>4992</v>
      </c>
      <c r="AA161" s="45">
        <f>IF(M161&lt;&gt;"",M161,Z161)</f>
        <v>4992</v>
      </c>
      <c r="AB161" s="46" t="str">
        <f>IF(L161&lt;&gt;"","Realizado","Previsto")</f>
        <v>Previsto</v>
      </c>
      <c r="AC161" s="47">
        <v>1</v>
      </c>
      <c r="AD161" s="43">
        <v>4992</v>
      </c>
      <c r="AE161" s="39">
        <v>38.4</v>
      </c>
      <c r="AF161" s="39" t="s">
        <v>346</v>
      </c>
      <c r="AG161" s="43">
        <v>130</v>
      </c>
      <c r="AH161" s="39" t="s">
        <v>347</v>
      </c>
      <c r="AI161" s="39" t="s">
        <v>73</v>
      </c>
      <c r="AJ161" s="48">
        <f>IF(Q161&lt;&gt;"",Q161,IF(K161&lt;&gt;"",K161,""))</f>
        <v>46143</v>
      </c>
      <c r="AK161" s="46" t="str">
        <f>IF(K161&lt;&gt;"","Sim","")</f>
        <v>Sim</v>
      </c>
      <c r="AL161" s="46" t="str">
        <f>IF(A161="","",TEXT(A161,"000000")&amp;"-"&amp;IF(C161="Entrada","CR","DB"))</f>
        <v>000160-DB</v>
      </c>
      <c r="AM161" s="46" t="str">
        <f>IF(A161="","",LEFT(IF(H161&lt;&gt;"",H161,G161)&amp;" | "&amp;G161&amp;" | "&amp;S161,60))</f>
        <v>graute:  pedrisco (brita zero) | graute:  pedrisco (brita ze</v>
      </c>
    </row>
    <row r="162" spans="1:39" ht="43.2" x14ac:dyDescent="0.3">
      <c r="A162" s="39">
        <v>161</v>
      </c>
      <c r="B162" s="39" t="s">
        <v>2</v>
      </c>
      <c r="C162" s="39" t="s">
        <v>74</v>
      </c>
      <c r="D162" s="39" t="s">
        <v>242</v>
      </c>
      <c r="E162" s="39" t="s">
        <v>243</v>
      </c>
      <c r="F162" s="39" t="s">
        <v>109</v>
      </c>
      <c r="G162" s="39" t="s">
        <v>244</v>
      </c>
      <c r="H162" s="40"/>
      <c r="I162" s="40"/>
      <c r="J162" s="40"/>
      <c r="K162" s="42">
        <v>46143</v>
      </c>
      <c r="L162" s="42"/>
      <c r="M162" s="44"/>
      <c r="N162" s="40"/>
      <c r="O162" s="40"/>
      <c r="P162" s="40"/>
      <c r="Q162" s="42">
        <f>IF(K162="","",K162)</f>
        <v>46143</v>
      </c>
      <c r="R162" s="39" t="s">
        <v>242</v>
      </c>
      <c r="S162" s="39" t="s">
        <v>245</v>
      </c>
      <c r="T162" s="39" t="s">
        <v>246</v>
      </c>
      <c r="U162" s="39" t="s">
        <v>215</v>
      </c>
      <c r="V162" s="39">
        <v>73</v>
      </c>
      <c r="W162" s="39" t="s">
        <v>272</v>
      </c>
      <c r="X162" s="41">
        <v>46132</v>
      </c>
      <c r="Y162" s="41">
        <v>46143</v>
      </c>
      <c r="Z162" s="43">
        <v>2521.3440000000001</v>
      </c>
      <c r="AA162" s="45">
        <f>IF(M162&lt;&gt;"",M162,Z162)</f>
        <v>2521.3440000000001</v>
      </c>
      <c r="AB162" s="46" t="str">
        <f>IF(L162&lt;&gt;"","Realizado","Previsto")</f>
        <v>Previsto</v>
      </c>
      <c r="AC162" s="47">
        <v>9.3799999999999994E-2</v>
      </c>
      <c r="AD162" s="43">
        <v>26880</v>
      </c>
      <c r="AE162" s="39">
        <v>64</v>
      </c>
      <c r="AF162" s="39" t="s">
        <v>113</v>
      </c>
      <c r="AG162" s="43">
        <v>420</v>
      </c>
      <c r="AH162" s="39" t="s">
        <v>247</v>
      </c>
      <c r="AI162" s="39" t="s">
        <v>73</v>
      </c>
      <c r="AJ162" s="48">
        <f>IF(Q162&lt;&gt;"",Q162,IF(K162&lt;&gt;"",K162,""))</f>
        <v>46143</v>
      </c>
      <c r="AK162" s="46" t="str">
        <f>IF(K162&lt;&gt;"","Sim","")</f>
        <v>Sim</v>
      </c>
      <c r="AL162" s="46" t="str">
        <f>IF(A162="","",TEXT(A162,"000000")&amp;"-"&amp;IF(C162="Entrada","CR","DB"))</f>
        <v>000161-DB</v>
      </c>
      <c r="AM162" s="46" t="str">
        <f>IF(A162="","",LEFT(IF(H162&lt;&gt;"",H162,G162)&amp;" | "&amp;G162&amp;" | "&amp;S162,60))</f>
        <v xml:space="preserve">Mao de obra Impermeabilização de áreas úmidas | Mao de obra </v>
      </c>
    </row>
    <row r="163" spans="1:39" ht="43.2" x14ac:dyDescent="0.3">
      <c r="A163" s="39">
        <v>162</v>
      </c>
      <c r="B163" s="39" t="s">
        <v>2</v>
      </c>
      <c r="C163" s="39" t="s">
        <v>74</v>
      </c>
      <c r="D163" s="39" t="s">
        <v>242</v>
      </c>
      <c r="E163" s="39" t="s">
        <v>243</v>
      </c>
      <c r="F163" s="39" t="s">
        <v>184</v>
      </c>
      <c r="G163" s="39" t="s">
        <v>350</v>
      </c>
      <c r="H163" s="40"/>
      <c r="I163" s="40"/>
      <c r="J163" s="40"/>
      <c r="K163" s="42">
        <v>46143</v>
      </c>
      <c r="L163" s="42"/>
      <c r="M163" s="44"/>
      <c r="N163" s="40"/>
      <c r="O163" s="40"/>
      <c r="P163" s="40"/>
      <c r="Q163" s="42">
        <f>IF(K163="","",K163)</f>
        <v>46143</v>
      </c>
      <c r="R163" s="39" t="s">
        <v>242</v>
      </c>
      <c r="S163" s="39" t="s">
        <v>245</v>
      </c>
      <c r="T163" s="39" t="s">
        <v>351</v>
      </c>
      <c r="U163" s="39"/>
      <c r="V163" s="39">
        <v>70</v>
      </c>
      <c r="W163" s="39" t="s">
        <v>272</v>
      </c>
      <c r="X163" s="41">
        <v>46132</v>
      </c>
      <c r="Y163" s="41">
        <v>46143</v>
      </c>
      <c r="Z163" s="43">
        <v>1440</v>
      </c>
      <c r="AA163" s="45">
        <f>IF(M163&lt;&gt;"",M163,Z163)</f>
        <v>1440</v>
      </c>
      <c r="AB163" s="46" t="str">
        <f>IF(L163&lt;&gt;"","Realizado","Previsto")</f>
        <v>Previsto</v>
      </c>
      <c r="AC163" s="47">
        <v>0.5</v>
      </c>
      <c r="AD163" s="43">
        <v>2880</v>
      </c>
      <c r="AE163" s="39">
        <v>64</v>
      </c>
      <c r="AF163" s="39" t="s">
        <v>352</v>
      </c>
      <c r="AG163" s="43">
        <v>45</v>
      </c>
      <c r="AH163" s="39" t="s">
        <v>353</v>
      </c>
      <c r="AI163" s="39" t="s">
        <v>73</v>
      </c>
      <c r="AJ163" s="48">
        <f>IF(Q163&lt;&gt;"",Q163,IF(K163&lt;&gt;"",K163,""))</f>
        <v>46143</v>
      </c>
      <c r="AK163" s="46" t="str">
        <f>IF(K163&lt;&gt;"","Sim","")</f>
        <v>Sim</v>
      </c>
      <c r="AL163" s="46" t="str">
        <f>IF(A163="","",TEXT(A163,"000000")&amp;"-"&amp;IF(C163="Entrada","CR","DB"))</f>
        <v>000162-DB</v>
      </c>
      <c r="AM163" s="46" t="str">
        <f>IF(A163="","",LEFT(IF(H163&lt;&gt;"",H163,G163)&amp;" | "&amp;G163&amp;" | "&amp;S163,60))</f>
        <v>Membrana líquida de poliuretano bicomponente 15Kg flexivel |</v>
      </c>
    </row>
    <row r="164" spans="1:39" ht="43.2" x14ac:dyDescent="0.3">
      <c r="A164" s="39">
        <v>163</v>
      </c>
      <c r="B164" s="39" t="s">
        <v>2</v>
      </c>
      <c r="C164" s="39" t="s">
        <v>74</v>
      </c>
      <c r="D164" s="39" t="s">
        <v>242</v>
      </c>
      <c r="E164" s="39" t="s">
        <v>243</v>
      </c>
      <c r="F164" s="39" t="s">
        <v>184</v>
      </c>
      <c r="G164" s="39" t="s">
        <v>354</v>
      </c>
      <c r="H164" s="40"/>
      <c r="I164" s="40"/>
      <c r="J164" s="40"/>
      <c r="K164" s="42">
        <v>46143</v>
      </c>
      <c r="L164" s="42"/>
      <c r="M164" s="44"/>
      <c r="N164" s="40"/>
      <c r="O164" s="40"/>
      <c r="P164" s="40"/>
      <c r="Q164" s="42">
        <f>IF(K164="","",K164)</f>
        <v>46143</v>
      </c>
      <c r="R164" s="39" t="s">
        <v>242</v>
      </c>
      <c r="S164" s="39" t="s">
        <v>245</v>
      </c>
      <c r="T164" s="39" t="s">
        <v>351</v>
      </c>
      <c r="U164" s="39"/>
      <c r="V164" s="39">
        <v>71</v>
      </c>
      <c r="W164" s="39" t="s">
        <v>272</v>
      </c>
      <c r="X164" s="41">
        <v>46132</v>
      </c>
      <c r="Y164" s="41">
        <v>46143</v>
      </c>
      <c r="Z164" s="43">
        <v>2880</v>
      </c>
      <c r="AA164" s="45">
        <f>IF(M164&lt;&gt;"",M164,Z164)</f>
        <v>2880</v>
      </c>
      <c r="AB164" s="46" t="str">
        <f>IF(L164&lt;&gt;"","Realizado","Previsto")</f>
        <v>Previsto</v>
      </c>
      <c r="AC164" s="47">
        <v>0.5</v>
      </c>
      <c r="AD164" s="43">
        <v>5760</v>
      </c>
      <c r="AE164" s="39">
        <v>128</v>
      </c>
      <c r="AF164" s="39" t="s">
        <v>352</v>
      </c>
      <c r="AG164" s="43">
        <v>45</v>
      </c>
      <c r="AH164" s="39" t="s">
        <v>353</v>
      </c>
      <c r="AI164" s="39" t="s">
        <v>73</v>
      </c>
      <c r="AJ164" s="48">
        <f>IF(Q164&lt;&gt;"",Q164,IF(K164&lt;&gt;"",K164,""))</f>
        <v>46143</v>
      </c>
      <c r="AK164" s="46" t="str">
        <f>IF(K164&lt;&gt;"","Sim","")</f>
        <v>Sim</v>
      </c>
      <c r="AL164" s="46" t="str">
        <f>IF(A164="","",TEXT(A164,"000000")&amp;"-"&amp;IF(C164="Entrada","CR","DB"))</f>
        <v>000163-DB</v>
      </c>
      <c r="AM164" s="46" t="str">
        <f>IF(A164="","",LEFT(IF(H164&lt;&gt;"",H164,G164)&amp;" | "&amp;G164&amp;" | "&amp;S164,60))</f>
        <v>Membrana líquida de poliuretano bicomponente 15Kg semi flexi</v>
      </c>
    </row>
    <row r="165" spans="1:39" ht="43.2" x14ac:dyDescent="0.3">
      <c r="A165" s="39">
        <v>164</v>
      </c>
      <c r="B165" s="39" t="s">
        <v>2</v>
      </c>
      <c r="C165" s="39" t="s">
        <v>74</v>
      </c>
      <c r="D165" s="39" t="s">
        <v>242</v>
      </c>
      <c r="E165" s="39" t="s">
        <v>243</v>
      </c>
      <c r="F165" s="39" t="s">
        <v>184</v>
      </c>
      <c r="G165" s="39" t="s">
        <v>355</v>
      </c>
      <c r="H165" s="40"/>
      <c r="I165" s="40"/>
      <c r="J165" s="40"/>
      <c r="K165" s="42">
        <v>46143</v>
      </c>
      <c r="L165" s="42"/>
      <c r="M165" s="44"/>
      <c r="N165" s="40"/>
      <c r="O165" s="40"/>
      <c r="P165" s="40"/>
      <c r="Q165" s="42">
        <f>IF(K165="","",K165)</f>
        <v>46143</v>
      </c>
      <c r="R165" s="39" t="s">
        <v>242</v>
      </c>
      <c r="S165" s="39" t="s">
        <v>245</v>
      </c>
      <c r="T165" s="39" t="s">
        <v>351</v>
      </c>
      <c r="U165" s="39"/>
      <c r="V165" s="39">
        <v>72</v>
      </c>
      <c r="W165" s="39" t="s">
        <v>272</v>
      </c>
      <c r="X165" s="41">
        <v>46132</v>
      </c>
      <c r="Y165" s="41">
        <v>46143</v>
      </c>
      <c r="Z165" s="43">
        <v>1127.5840000000001</v>
      </c>
      <c r="AA165" s="45">
        <f>IF(M165&lt;&gt;"",M165,Z165)</f>
        <v>1127.5840000000001</v>
      </c>
      <c r="AB165" s="46" t="str">
        <f>IF(L165&lt;&gt;"","Realizado","Previsto")</f>
        <v>Previsto</v>
      </c>
      <c r="AC165" s="47">
        <v>0.5</v>
      </c>
      <c r="AD165" s="43">
        <v>2255.1680000000001</v>
      </c>
      <c r="AE165" s="39">
        <v>320</v>
      </c>
      <c r="AF165" s="39" t="s">
        <v>203</v>
      </c>
      <c r="AG165" s="43">
        <v>7.0473999999999997</v>
      </c>
      <c r="AH165" s="39" t="s">
        <v>353</v>
      </c>
      <c r="AI165" s="39" t="s">
        <v>73</v>
      </c>
      <c r="AJ165" s="48">
        <f>IF(Q165&lt;&gt;"",Q165,IF(K165&lt;&gt;"",K165,""))</f>
        <v>46143</v>
      </c>
      <c r="AK165" s="46" t="str">
        <f>IF(K165&lt;&gt;"","Sim","")</f>
        <v>Sim</v>
      </c>
      <c r="AL165" s="46" t="str">
        <f>IF(A165="","",TEXT(A165,"000000")&amp;"-"&amp;IF(C165="Entrada","CR","DB"))</f>
        <v>000164-DB</v>
      </c>
      <c r="AM165" s="46" t="str">
        <f>IF(A165="","",LEFT(IF(H165&lt;&gt;"",H165,G165)&amp;" | "&amp;G165&amp;" | "&amp;S165,60))</f>
        <v>Tela de Poliester | Tela de Poliester | Saída | IMPERMEABILI</v>
      </c>
    </row>
    <row r="166" spans="1:39" ht="43.2" x14ac:dyDescent="0.3">
      <c r="A166" s="39">
        <v>165</v>
      </c>
      <c r="B166" s="39" t="s">
        <v>2</v>
      </c>
      <c r="C166" s="39" t="s">
        <v>74</v>
      </c>
      <c r="D166" s="39" t="s">
        <v>98</v>
      </c>
      <c r="E166" s="39" t="s">
        <v>99</v>
      </c>
      <c r="F166" s="39" t="s">
        <v>94</v>
      </c>
      <c r="G166" s="39" t="s">
        <v>356</v>
      </c>
      <c r="H166" s="40"/>
      <c r="I166" s="40"/>
      <c r="J166" s="40"/>
      <c r="K166" s="42">
        <v>46143</v>
      </c>
      <c r="L166" s="42"/>
      <c r="M166" s="44"/>
      <c r="N166" s="40"/>
      <c r="O166" s="40"/>
      <c r="P166" s="40"/>
      <c r="Q166" s="42">
        <f>IF(K166="","",K166)</f>
        <v>46143</v>
      </c>
      <c r="R166" s="39" t="s">
        <v>98</v>
      </c>
      <c r="S166" s="39" t="s">
        <v>102</v>
      </c>
      <c r="T166" s="39" t="s">
        <v>357</v>
      </c>
      <c r="U166" s="39" t="s">
        <v>358</v>
      </c>
      <c r="V166" s="39">
        <v>60</v>
      </c>
      <c r="W166" s="39" t="s">
        <v>272</v>
      </c>
      <c r="X166" s="41">
        <v>46132</v>
      </c>
      <c r="Y166" s="41">
        <v>46143</v>
      </c>
      <c r="Z166" s="43">
        <v>53760</v>
      </c>
      <c r="AA166" s="45">
        <f>IF(M166&lt;&gt;"",M166,Z166)</f>
        <v>53760</v>
      </c>
      <c r="AB166" s="46" t="str">
        <f>IF(L166&lt;&gt;"","Realizado","Previsto")</f>
        <v>Previsto</v>
      </c>
      <c r="AC166" s="47">
        <v>0.3</v>
      </c>
      <c r="AD166" s="43">
        <v>179200</v>
      </c>
      <c r="AE166" s="39">
        <v>64</v>
      </c>
      <c r="AF166" s="39" t="s">
        <v>341</v>
      </c>
      <c r="AG166" s="43">
        <v>2800</v>
      </c>
      <c r="AH166" s="39" t="s">
        <v>359</v>
      </c>
      <c r="AI166" s="39" t="s">
        <v>73</v>
      </c>
      <c r="AJ166" s="48">
        <f>IF(Q166&lt;&gt;"",Q166,IF(K166&lt;&gt;"",K166,""))</f>
        <v>46143</v>
      </c>
      <c r="AK166" s="46" t="str">
        <f>IF(K166&lt;&gt;"","Sim","")</f>
        <v>Sim</v>
      </c>
      <c r="AL166" s="46" t="str">
        <f>IF(A166="","",TEXT(A166,"000000")&amp;"-"&amp;IF(C166="Entrada","CR","DB"))</f>
        <v>000165-DB</v>
      </c>
      <c r="AM166" s="46" t="str">
        <f>IF(A166="","",LEFT(IF(H166&lt;&gt;"",H166,G166)&amp;" | "&amp;G166&amp;" | "&amp;S166,60))</f>
        <v>Icamento para montagem canteiro de obra - Guindaste | Icamen</v>
      </c>
    </row>
    <row r="167" spans="1:39" ht="43.2" x14ac:dyDescent="0.3">
      <c r="A167" s="39">
        <v>166</v>
      </c>
      <c r="B167" s="39" t="s">
        <v>2</v>
      </c>
      <c r="C167" s="39" t="s">
        <v>74</v>
      </c>
      <c r="D167" s="39" t="s">
        <v>98</v>
      </c>
      <c r="E167" s="39" t="s">
        <v>99</v>
      </c>
      <c r="F167" s="39" t="s">
        <v>109</v>
      </c>
      <c r="G167" s="39" t="s">
        <v>248</v>
      </c>
      <c r="H167" s="40"/>
      <c r="I167" s="40"/>
      <c r="J167" s="40"/>
      <c r="K167" s="42">
        <v>46143</v>
      </c>
      <c r="L167" s="42"/>
      <c r="M167" s="44"/>
      <c r="N167" s="40"/>
      <c r="O167" s="40"/>
      <c r="P167" s="40"/>
      <c r="Q167" s="42">
        <f>IF(K167="","",K167)</f>
        <v>46143</v>
      </c>
      <c r="R167" s="39" t="s">
        <v>98</v>
      </c>
      <c r="S167" s="39" t="s">
        <v>102</v>
      </c>
      <c r="T167" s="39" t="s">
        <v>249</v>
      </c>
      <c r="U167" s="39" t="s">
        <v>250</v>
      </c>
      <c r="V167" s="39">
        <v>58</v>
      </c>
      <c r="W167" s="39" t="s">
        <v>272</v>
      </c>
      <c r="X167" s="41">
        <v>46132</v>
      </c>
      <c r="Y167" s="41">
        <v>46143</v>
      </c>
      <c r="Z167" s="43">
        <v>15007.963980799999</v>
      </c>
      <c r="AA167" s="45">
        <f>IF(M167&lt;&gt;"",M167,Z167)</f>
        <v>15007.963980799999</v>
      </c>
      <c r="AB167" s="46" t="str">
        <f>IF(L167&lt;&gt;"","Realizado","Previsto")</f>
        <v>Previsto</v>
      </c>
      <c r="AC167" s="47">
        <v>9.3799999999999994E-2</v>
      </c>
      <c r="AD167" s="43">
        <v>159999.61600000001</v>
      </c>
      <c r="AE167" s="39">
        <v>896</v>
      </c>
      <c r="AF167" s="39" t="s">
        <v>182</v>
      </c>
      <c r="AG167" s="43">
        <v>178.571</v>
      </c>
      <c r="AH167" s="39" t="s">
        <v>251</v>
      </c>
      <c r="AI167" s="39" t="s">
        <v>73</v>
      </c>
      <c r="AJ167" s="48">
        <f>IF(Q167&lt;&gt;"",Q167,IF(K167&lt;&gt;"",K167,""))</f>
        <v>46143</v>
      </c>
      <c r="AK167" s="46" t="str">
        <f>IF(K167&lt;&gt;"","Sim","")</f>
        <v>Sim</v>
      </c>
      <c r="AL167" s="46" t="str">
        <f>IF(A167="","",TEXT(A167,"000000")&amp;"-"&amp;IF(C167="Entrada","CR","DB"))</f>
        <v>000166-DB</v>
      </c>
      <c r="AM167" s="46" t="str">
        <f>IF(A167="","",LEFT(IF(H167&lt;&gt;"",H167,G167)&amp;" | "&amp;G167&amp;" | "&amp;S167,60))</f>
        <v>Montagem de paredes pré-moldadas (içamento, prumo, alinhamen</v>
      </c>
    </row>
    <row r="168" spans="1:39" ht="57.6" x14ac:dyDescent="0.3">
      <c r="A168" s="39">
        <v>167</v>
      </c>
      <c r="B168" s="39" t="s">
        <v>2</v>
      </c>
      <c r="C168" s="39" t="s">
        <v>74</v>
      </c>
      <c r="D168" s="39" t="s">
        <v>98</v>
      </c>
      <c r="E168" s="39" t="s">
        <v>99</v>
      </c>
      <c r="F168" s="39" t="s">
        <v>360</v>
      </c>
      <c r="G168" s="39" t="s">
        <v>361</v>
      </c>
      <c r="H168" s="40"/>
      <c r="I168" s="40"/>
      <c r="J168" s="40"/>
      <c r="K168" s="42">
        <v>46143</v>
      </c>
      <c r="L168" s="42"/>
      <c r="M168" s="44"/>
      <c r="N168" s="40"/>
      <c r="O168" s="40"/>
      <c r="P168" s="40"/>
      <c r="Q168" s="42">
        <f>IF(K168="","",K168)</f>
        <v>46143</v>
      </c>
      <c r="R168" s="39" t="s">
        <v>98</v>
      </c>
      <c r="S168" s="39" t="s">
        <v>102</v>
      </c>
      <c r="T168" s="39" t="s">
        <v>362</v>
      </c>
      <c r="U168" s="39" t="s">
        <v>363</v>
      </c>
      <c r="V168" s="39">
        <v>59</v>
      </c>
      <c r="W168" s="39" t="s">
        <v>272</v>
      </c>
      <c r="X168" s="41">
        <v>46132</v>
      </c>
      <c r="Y168" s="41">
        <v>46143</v>
      </c>
      <c r="Z168" s="43">
        <v>48384</v>
      </c>
      <c r="AA168" s="45">
        <f>IF(M168&lt;&gt;"",M168,Z168)</f>
        <v>48384</v>
      </c>
      <c r="AB168" s="46" t="str">
        <f>IF(L168&lt;&gt;"","Realizado","Previsto")</f>
        <v>Previsto</v>
      </c>
      <c r="AC168" s="47">
        <v>0.3</v>
      </c>
      <c r="AD168" s="43">
        <v>161280</v>
      </c>
      <c r="AE168" s="39">
        <v>7680</v>
      </c>
      <c r="AF168" s="39" t="s">
        <v>364</v>
      </c>
      <c r="AG168" s="43">
        <v>21</v>
      </c>
      <c r="AH168" s="39" t="s">
        <v>365</v>
      </c>
      <c r="AI168" s="39" t="s">
        <v>73</v>
      </c>
      <c r="AJ168" s="48">
        <f>IF(Q168&lt;&gt;"",Q168,IF(K168&lt;&gt;"",K168,""))</f>
        <v>46143</v>
      </c>
      <c r="AK168" s="46" t="str">
        <f>IF(K168&lt;&gt;"","Sim","")</f>
        <v>Sim</v>
      </c>
      <c r="AL168" s="46" t="str">
        <f>IF(A168="","",TEXT(A168,"000000")&amp;"-"&amp;IF(C168="Entrada","CR","DB"))</f>
        <v>000167-DB</v>
      </c>
      <c r="AM168" s="46" t="str">
        <f>IF(A168="","",LEFT(IF(H168&lt;&gt;"",H168,G168)&amp;" | "&amp;G168&amp;" | "&amp;S168,60))</f>
        <v>Transporte de paredes e lajes (carreta + munck + carga/desca</v>
      </c>
    </row>
    <row r="169" spans="1:39" ht="43.2" x14ac:dyDescent="0.3">
      <c r="A169" s="39">
        <v>168</v>
      </c>
      <c r="B169" s="39" t="s">
        <v>2</v>
      </c>
      <c r="C169" s="39" t="s">
        <v>74</v>
      </c>
      <c r="D169" s="39" t="s">
        <v>98</v>
      </c>
      <c r="E169" s="39" t="s">
        <v>99</v>
      </c>
      <c r="F169" s="39" t="s">
        <v>100</v>
      </c>
      <c r="G169" s="39" t="s">
        <v>252</v>
      </c>
      <c r="H169" s="40"/>
      <c r="I169" s="40"/>
      <c r="J169" s="40"/>
      <c r="K169" s="42">
        <v>46143</v>
      </c>
      <c r="L169" s="42"/>
      <c r="M169" s="44"/>
      <c r="N169" s="40"/>
      <c r="O169" s="40"/>
      <c r="P169" s="40"/>
      <c r="Q169" s="42">
        <f>IF(K169="","",K169)</f>
        <v>46143</v>
      </c>
      <c r="R169" s="39" t="s">
        <v>98</v>
      </c>
      <c r="S169" s="39" t="s">
        <v>102</v>
      </c>
      <c r="T169" s="39" t="s">
        <v>103</v>
      </c>
      <c r="U169" s="39" t="s">
        <v>104</v>
      </c>
      <c r="V169" s="39">
        <v>54</v>
      </c>
      <c r="W169" s="39" t="s">
        <v>272</v>
      </c>
      <c r="X169" s="41">
        <v>46132</v>
      </c>
      <c r="Y169" s="41">
        <v>46143</v>
      </c>
      <c r="Z169" s="43">
        <v>38381.900689655173</v>
      </c>
      <c r="AA169" s="45">
        <f>IF(M169&lt;&gt;"",M169,Z169)</f>
        <v>38381.900689655173</v>
      </c>
      <c r="AB169" s="46" t="str">
        <f>IF(L169&lt;&gt;"","Realizado","Previsto")</f>
        <v>Previsto</v>
      </c>
      <c r="AC169" s="47">
        <v>0.2068965517241379</v>
      </c>
      <c r="AD169" s="43">
        <v>185512.52</v>
      </c>
      <c r="AE169" s="39">
        <v>20</v>
      </c>
      <c r="AF169" s="39" t="s">
        <v>87</v>
      </c>
      <c r="AG169" s="43">
        <v>9275.6260000000002</v>
      </c>
      <c r="AH169" s="39" t="s">
        <v>105</v>
      </c>
      <c r="AI169" s="39" t="s">
        <v>73</v>
      </c>
      <c r="AJ169" s="48">
        <f>IF(Q169&lt;&gt;"",Q169,IF(K169&lt;&gt;"",K169,""))</f>
        <v>46143</v>
      </c>
      <c r="AK169" s="46" t="str">
        <f>IF(K169&lt;&gt;"","Sim","")</f>
        <v>Sim</v>
      </c>
      <c r="AL169" s="46" t="str">
        <f>IF(A169="","",TEXT(A169,"000000")&amp;"-"&amp;IF(C169="Entrada","CR","DB"))</f>
        <v>000168-DB</v>
      </c>
      <c r="AM169" s="46" t="str">
        <f>IF(A169="","",LEFT(IF(H169&lt;&gt;"",H169,G169)&amp;" | "&amp;G169&amp;" | "&amp;S169,60))</f>
        <v>material CIMENTO : KIT Parede e Laje - FOB na Fabrica | mate</v>
      </c>
    </row>
    <row r="170" spans="1:39" ht="43.2" x14ac:dyDescent="0.3">
      <c r="A170" s="39">
        <v>169</v>
      </c>
      <c r="B170" s="39" t="s">
        <v>2</v>
      </c>
      <c r="C170" s="39" t="s">
        <v>74</v>
      </c>
      <c r="D170" s="39" t="s">
        <v>98</v>
      </c>
      <c r="E170" s="39" t="s">
        <v>99</v>
      </c>
      <c r="F170" s="39" t="s">
        <v>100</v>
      </c>
      <c r="G170" s="39" t="s">
        <v>252</v>
      </c>
      <c r="H170" s="40"/>
      <c r="I170" s="40"/>
      <c r="J170" s="40"/>
      <c r="K170" s="42">
        <v>46143</v>
      </c>
      <c r="L170" s="42"/>
      <c r="M170" s="44"/>
      <c r="N170" s="40"/>
      <c r="O170" s="40"/>
      <c r="P170" s="40"/>
      <c r="Q170" s="42">
        <f>IF(K170="","",K170)</f>
        <v>46143</v>
      </c>
      <c r="R170" s="39" t="s">
        <v>98</v>
      </c>
      <c r="S170" s="39" t="s">
        <v>102</v>
      </c>
      <c r="T170" s="39" t="s">
        <v>103</v>
      </c>
      <c r="U170" s="39" t="s">
        <v>104</v>
      </c>
      <c r="V170" s="39">
        <v>55</v>
      </c>
      <c r="W170" s="39" t="s">
        <v>272</v>
      </c>
      <c r="X170" s="41">
        <v>46132</v>
      </c>
      <c r="Y170" s="41">
        <v>46143</v>
      </c>
      <c r="Z170" s="43">
        <v>38381.900689655173</v>
      </c>
      <c r="AA170" s="45">
        <f>IF(M170&lt;&gt;"",M170,Z170)</f>
        <v>38381.900689655173</v>
      </c>
      <c r="AB170" s="46" t="str">
        <f>IF(L170&lt;&gt;"","Realizado","Previsto")</f>
        <v>Previsto</v>
      </c>
      <c r="AC170" s="47">
        <v>0.2068965517241379</v>
      </c>
      <c r="AD170" s="43">
        <v>185512.52</v>
      </c>
      <c r="AE170" s="39">
        <v>20</v>
      </c>
      <c r="AF170" s="39" t="s">
        <v>87</v>
      </c>
      <c r="AG170" s="43">
        <v>9275.6260000000002</v>
      </c>
      <c r="AH170" s="39" t="s">
        <v>105</v>
      </c>
      <c r="AI170" s="39" t="s">
        <v>73</v>
      </c>
      <c r="AJ170" s="48">
        <f>IF(Q170&lt;&gt;"",Q170,IF(K170&lt;&gt;"",K170,""))</f>
        <v>46143</v>
      </c>
      <c r="AK170" s="46" t="str">
        <f>IF(K170&lt;&gt;"","Sim","")</f>
        <v>Sim</v>
      </c>
      <c r="AL170" s="46" t="str">
        <f>IF(A170="","",TEXT(A170,"000000")&amp;"-"&amp;IF(C170="Entrada","CR","DB"))</f>
        <v>000169-DB</v>
      </c>
      <c r="AM170" s="46" t="str">
        <f>IF(A170="","",LEFT(IF(H170&lt;&gt;"",H170,G170)&amp;" | "&amp;G170&amp;" | "&amp;S170,60))</f>
        <v>material CIMENTO : KIT Parede e Laje - FOB na Fabrica | mate</v>
      </c>
    </row>
    <row r="171" spans="1:39" ht="43.2" x14ac:dyDescent="0.3">
      <c r="A171" s="39">
        <v>170</v>
      </c>
      <c r="B171" s="39" t="s">
        <v>2</v>
      </c>
      <c r="C171" s="39" t="s">
        <v>74</v>
      </c>
      <c r="D171" s="39" t="s">
        <v>98</v>
      </c>
      <c r="E171" s="39" t="s">
        <v>99</v>
      </c>
      <c r="F171" s="39" t="s">
        <v>100</v>
      </c>
      <c r="G171" s="39" t="s">
        <v>252</v>
      </c>
      <c r="H171" s="40"/>
      <c r="I171" s="40"/>
      <c r="J171" s="40"/>
      <c r="K171" s="42">
        <v>46143</v>
      </c>
      <c r="L171" s="42"/>
      <c r="M171" s="44"/>
      <c r="N171" s="40"/>
      <c r="O171" s="40"/>
      <c r="P171" s="40"/>
      <c r="Q171" s="42">
        <f>IF(K171="","",K171)</f>
        <v>46143</v>
      </c>
      <c r="R171" s="39" t="s">
        <v>98</v>
      </c>
      <c r="S171" s="39" t="s">
        <v>102</v>
      </c>
      <c r="T171" s="39" t="s">
        <v>103</v>
      </c>
      <c r="U171" s="39" t="s">
        <v>106</v>
      </c>
      <c r="V171" s="39">
        <v>56</v>
      </c>
      <c r="W171" s="39" t="s">
        <v>272</v>
      </c>
      <c r="X171" s="41">
        <v>46132</v>
      </c>
      <c r="Y171" s="41">
        <v>46143</v>
      </c>
      <c r="Z171" s="43">
        <v>46058.280827586197</v>
      </c>
      <c r="AA171" s="45">
        <f>IF(M171&lt;&gt;"",M171,Z171)</f>
        <v>46058.280827586197</v>
      </c>
      <c r="AB171" s="46" t="str">
        <f>IF(L171&lt;&gt;"","Realizado","Previsto")</f>
        <v>Previsto</v>
      </c>
      <c r="AC171" s="47">
        <v>0.2068965517241379</v>
      </c>
      <c r="AD171" s="43">
        <v>222615.024</v>
      </c>
      <c r="AE171" s="39">
        <v>24</v>
      </c>
      <c r="AF171" s="39" t="s">
        <v>87</v>
      </c>
      <c r="AG171" s="43">
        <v>9275.6260000000002</v>
      </c>
      <c r="AH171" s="39" t="s">
        <v>105</v>
      </c>
      <c r="AI171" s="39" t="s">
        <v>73</v>
      </c>
      <c r="AJ171" s="48">
        <f>IF(Q171&lt;&gt;"",Q171,IF(K171&lt;&gt;"",K171,""))</f>
        <v>46143</v>
      </c>
      <c r="AK171" s="46" t="str">
        <f>IF(K171&lt;&gt;"","Sim","")</f>
        <v>Sim</v>
      </c>
      <c r="AL171" s="46" t="str">
        <f>IF(A171="","",TEXT(A171,"000000")&amp;"-"&amp;IF(C171="Entrada","CR","DB"))</f>
        <v>000170-DB</v>
      </c>
      <c r="AM171" s="46" t="str">
        <f>IF(A171="","",LEFT(IF(H171&lt;&gt;"",H171,G171)&amp;" | "&amp;G171&amp;" | "&amp;S171,60))</f>
        <v>material CIMENTO : KIT Parede e Laje - FOB na Fabrica | mate</v>
      </c>
    </row>
    <row r="172" spans="1:39" ht="43.2" x14ac:dyDescent="0.3">
      <c r="A172" s="39">
        <v>171</v>
      </c>
      <c r="B172" s="39" t="s">
        <v>2</v>
      </c>
      <c r="C172" s="39" t="s">
        <v>74</v>
      </c>
      <c r="D172" s="39" t="s">
        <v>98</v>
      </c>
      <c r="E172" s="39" t="s">
        <v>99</v>
      </c>
      <c r="F172" s="39" t="s">
        <v>100</v>
      </c>
      <c r="G172" s="39" t="s">
        <v>253</v>
      </c>
      <c r="H172" s="40"/>
      <c r="I172" s="40"/>
      <c r="J172" s="40"/>
      <c r="K172" s="42">
        <v>46143</v>
      </c>
      <c r="L172" s="42"/>
      <c r="M172" s="44"/>
      <c r="N172" s="40"/>
      <c r="O172" s="40"/>
      <c r="P172" s="40"/>
      <c r="Q172" s="42">
        <f>IF(K172="","",K172)</f>
        <v>46143</v>
      </c>
      <c r="R172" s="39" t="s">
        <v>98</v>
      </c>
      <c r="S172" s="39" t="s">
        <v>102</v>
      </c>
      <c r="T172" s="39" t="s">
        <v>103</v>
      </c>
      <c r="U172" s="39" t="s">
        <v>104</v>
      </c>
      <c r="V172" s="39">
        <v>51</v>
      </c>
      <c r="W172" s="39" t="s">
        <v>272</v>
      </c>
      <c r="X172" s="41">
        <v>46132</v>
      </c>
      <c r="Y172" s="41">
        <v>46143</v>
      </c>
      <c r="Z172" s="43">
        <v>9718.8835657974523</v>
      </c>
      <c r="AA172" s="45">
        <f>IF(M172&lt;&gt;"",M172,Z172)</f>
        <v>9718.8835657974523</v>
      </c>
      <c r="AB172" s="46" t="str">
        <f>IF(L172&lt;&gt;"","Realizado","Previsto")</f>
        <v>Previsto</v>
      </c>
      <c r="AC172" s="47">
        <v>7.2266019809985843E-2</v>
      </c>
      <c r="AD172" s="43">
        <v>134487.6</v>
      </c>
      <c r="AE172" s="39">
        <v>20</v>
      </c>
      <c r="AF172" s="39" t="s">
        <v>87</v>
      </c>
      <c r="AG172" s="43">
        <v>6724.38</v>
      </c>
      <c r="AH172" s="39" t="s">
        <v>105</v>
      </c>
      <c r="AI172" s="39" t="s">
        <v>73</v>
      </c>
      <c r="AJ172" s="48">
        <f>IF(Q172&lt;&gt;"",Q172,IF(K172&lt;&gt;"",K172,""))</f>
        <v>46143</v>
      </c>
      <c r="AK172" s="46" t="str">
        <f>IF(K172&lt;&gt;"","Sim","")</f>
        <v>Sim</v>
      </c>
      <c r="AL172" s="46" t="str">
        <f>IF(A172="","",TEXT(A172,"000000")&amp;"-"&amp;IF(C172="Entrada","CR","DB"))</f>
        <v>000171-DB</v>
      </c>
      <c r="AM172" s="46" t="str">
        <f>IF(A172="","",LEFT(IF(H172&lt;&gt;"",H172,G172)&amp;" | "&amp;G172&amp;" | "&amp;S172,60))</f>
        <v>material FERRO: KIT Parede e Laje - FOB na Fabrica | materia</v>
      </c>
    </row>
    <row r="173" spans="1:39" ht="43.2" x14ac:dyDescent="0.3">
      <c r="A173" s="39">
        <v>172</v>
      </c>
      <c r="B173" s="39" t="s">
        <v>2</v>
      </c>
      <c r="C173" s="39" t="s">
        <v>74</v>
      </c>
      <c r="D173" s="39" t="s">
        <v>98</v>
      </c>
      <c r="E173" s="39" t="s">
        <v>99</v>
      </c>
      <c r="F173" s="39" t="s">
        <v>100</v>
      </c>
      <c r="G173" s="39" t="s">
        <v>253</v>
      </c>
      <c r="H173" s="40"/>
      <c r="I173" s="40"/>
      <c r="J173" s="40"/>
      <c r="K173" s="42">
        <v>46143</v>
      </c>
      <c r="L173" s="42"/>
      <c r="M173" s="44"/>
      <c r="N173" s="40"/>
      <c r="O173" s="40"/>
      <c r="P173" s="40"/>
      <c r="Q173" s="42">
        <f>IF(K173="","",K173)</f>
        <v>46143</v>
      </c>
      <c r="R173" s="39" t="s">
        <v>98</v>
      </c>
      <c r="S173" s="39" t="s">
        <v>102</v>
      </c>
      <c r="T173" s="39" t="s">
        <v>103</v>
      </c>
      <c r="U173" s="39" t="s">
        <v>104</v>
      </c>
      <c r="V173" s="39">
        <v>52</v>
      </c>
      <c r="W173" s="39" t="s">
        <v>272</v>
      </c>
      <c r="X173" s="41">
        <v>46132</v>
      </c>
      <c r="Y173" s="41">
        <v>46143</v>
      </c>
      <c r="Z173" s="43">
        <v>9718.8835657974523</v>
      </c>
      <c r="AA173" s="45">
        <f>IF(M173&lt;&gt;"",M173,Z173)</f>
        <v>9718.8835657974523</v>
      </c>
      <c r="AB173" s="46" t="str">
        <f>IF(L173&lt;&gt;"","Realizado","Previsto")</f>
        <v>Previsto</v>
      </c>
      <c r="AC173" s="47">
        <v>7.2266019809985843E-2</v>
      </c>
      <c r="AD173" s="43">
        <v>134487.6</v>
      </c>
      <c r="AE173" s="39">
        <v>20</v>
      </c>
      <c r="AF173" s="39" t="s">
        <v>87</v>
      </c>
      <c r="AG173" s="43">
        <v>6724.38</v>
      </c>
      <c r="AH173" s="39" t="s">
        <v>105</v>
      </c>
      <c r="AI173" s="39" t="s">
        <v>73</v>
      </c>
      <c r="AJ173" s="48">
        <f>IF(Q173&lt;&gt;"",Q173,IF(K173&lt;&gt;"",K173,""))</f>
        <v>46143</v>
      </c>
      <c r="AK173" s="46" t="str">
        <f>IF(K173&lt;&gt;"","Sim","")</f>
        <v>Sim</v>
      </c>
      <c r="AL173" s="46" t="str">
        <f>IF(A173="","",TEXT(A173,"000000")&amp;"-"&amp;IF(C173="Entrada","CR","DB"))</f>
        <v>000172-DB</v>
      </c>
      <c r="AM173" s="46" t="str">
        <f>IF(A173="","",LEFT(IF(H173&lt;&gt;"",H173,G173)&amp;" | "&amp;G173&amp;" | "&amp;S173,60))</f>
        <v>material FERRO: KIT Parede e Laje - FOB na Fabrica | materia</v>
      </c>
    </row>
    <row r="174" spans="1:39" ht="43.2" x14ac:dyDescent="0.3">
      <c r="A174" s="39">
        <v>173</v>
      </c>
      <c r="B174" s="39" t="s">
        <v>2</v>
      </c>
      <c r="C174" s="39" t="s">
        <v>74</v>
      </c>
      <c r="D174" s="39" t="s">
        <v>98</v>
      </c>
      <c r="E174" s="39" t="s">
        <v>99</v>
      </c>
      <c r="F174" s="39" t="s">
        <v>100</v>
      </c>
      <c r="G174" s="39" t="s">
        <v>253</v>
      </c>
      <c r="H174" s="40"/>
      <c r="I174" s="40"/>
      <c r="J174" s="40"/>
      <c r="K174" s="42">
        <v>46143</v>
      </c>
      <c r="L174" s="42"/>
      <c r="M174" s="44"/>
      <c r="N174" s="40"/>
      <c r="O174" s="40"/>
      <c r="P174" s="40"/>
      <c r="Q174" s="42">
        <f>IF(K174="","",K174)</f>
        <v>46143</v>
      </c>
      <c r="R174" s="39" t="s">
        <v>98</v>
      </c>
      <c r="S174" s="39" t="s">
        <v>102</v>
      </c>
      <c r="T174" s="39" t="s">
        <v>103</v>
      </c>
      <c r="U174" s="39" t="s">
        <v>106</v>
      </c>
      <c r="V174" s="39">
        <v>53</v>
      </c>
      <c r="W174" s="39" t="s">
        <v>272</v>
      </c>
      <c r="X174" s="41">
        <v>46132</v>
      </c>
      <c r="Y174" s="41">
        <v>46143</v>
      </c>
      <c r="Z174" s="43">
        <v>11662.660278956941</v>
      </c>
      <c r="AA174" s="45">
        <f>IF(M174&lt;&gt;"",M174,Z174)</f>
        <v>11662.660278956941</v>
      </c>
      <c r="AB174" s="46" t="str">
        <f>IF(L174&lt;&gt;"","Realizado","Previsto")</f>
        <v>Previsto</v>
      </c>
      <c r="AC174" s="47">
        <v>7.2266019809985843E-2</v>
      </c>
      <c r="AD174" s="43">
        <v>161385.12</v>
      </c>
      <c r="AE174" s="39">
        <v>24</v>
      </c>
      <c r="AF174" s="39" t="s">
        <v>87</v>
      </c>
      <c r="AG174" s="43">
        <v>6724.38</v>
      </c>
      <c r="AH174" s="39" t="s">
        <v>105</v>
      </c>
      <c r="AI174" s="39" t="s">
        <v>73</v>
      </c>
      <c r="AJ174" s="48">
        <f>IF(Q174&lt;&gt;"",Q174,IF(K174&lt;&gt;"",K174,""))</f>
        <v>46143</v>
      </c>
      <c r="AK174" s="46" t="str">
        <f>IF(K174&lt;&gt;"","Sim","")</f>
        <v>Sim</v>
      </c>
      <c r="AL174" s="46" t="str">
        <f>IF(A174="","",TEXT(A174,"000000")&amp;"-"&amp;IF(C174="Entrada","CR","DB"))</f>
        <v>000173-DB</v>
      </c>
      <c r="AM174" s="46" t="str">
        <f>IF(A174="","",LEFT(IF(H174&lt;&gt;"",H174,G174)&amp;" | "&amp;G174&amp;" | "&amp;S174,60))</f>
        <v>material FERRO: KIT Parede e Laje - FOB na Fabrica | materia</v>
      </c>
    </row>
    <row r="175" spans="1:39" ht="43.2" x14ac:dyDescent="0.3">
      <c r="A175" s="39">
        <v>174</v>
      </c>
      <c r="B175" s="39" t="s">
        <v>2</v>
      </c>
      <c r="C175" s="39" t="s">
        <v>74</v>
      </c>
      <c r="D175" s="39" t="s">
        <v>98</v>
      </c>
      <c r="E175" s="39" t="s">
        <v>99</v>
      </c>
      <c r="F175" s="39" t="s">
        <v>360</v>
      </c>
      <c r="G175" s="39" t="s">
        <v>366</v>
      </c>
      <c r="H175" s="40"/>
      <c r="I175" s="40"/>
      <c r="J175" s="40"/>
      <c r="K175" s="42">
        <v>46143</v>
      </c>
      <c r="L175" s="42"/>
      <c r="M175" s="44"/>
      <c r="N175" s="40"/>
      <c r="O175" s="40"/>
      <c r="P175" s="40"/>
      <c r="Q175" s="42">
        <f>IF(K175="","",K175)</f>
        <v>46143</v>
      </c>
      <c r="R175" s="39" t="s">
        <v>98</v>
      </c>
      <c r="S175" s="39" t="s">
        <v>102</v>
      </c>
      <c r="T175" s="39" t="s">
        <v>362</v>
      </c>
      <c r="U175" s="39" t="s">
        <v>250</v>
      </c>
      <c r="V175" s="39">
        <v>57</v>
      </c>
      <c r="W175" s="39" t="s">
        <v>272</v>
      </c>
      <c r="X175" s="41">
        <v>46132</v>
      </c>
      <c r="Y175" s="41">
        <v>46143</v>
      </c>
      <c r="Z175" s="43">
        <v>2245.3200000000002</v>
      </c>
      <c r="AA175" s="45">
        <f>IF(M175&lt;&gt;"",M175,Z175)</f>
        <v>2245.3200000000002</v>
      </c>
      <c r="AB175" s="46" t="str">
        <f>IF(L175&lt;&gt;"","Realizado","Previsto")</f>
        <v>Previsto</v>
      </c>
      <c r="AC175" s="47">
        <v>0.3</v>
      </c>
      <c r="AD175" s="43">
        <v>7484.4</v>
      </c>
      <c r="AE175" s="39">
        <v>6</v>
      </c>
      <c r="AF175" s="39" t="s">
        <v>182</v>
      </c>
      <c r="AG175" s="43">
        <v>1247.4000000000001</v>
      </c>
      <c r="AH175" s="39" t="s">
        <v>365</v>
      </c>
      <c r="AI175" s="39" t="s">
        <v>73</v>
      </c>
      <c r="AJ175" s="48">
        <f>IF(Q175&lt;&gt;"",Q175,IF(K175&lt;&gt;"",K175,""))</f>
        <v>46143</v>
      </c>
      <c r="AK175" s="46" t="str">
        <f>IF(K175&lt;&gt;"","Sim","")</f>
        <v>Sim</v>
      </c>
      <c r="AL175" s="46" t="str">
        <f>IF(A175="","",TEXT(A175,"000000")&amp;"-"&amp;IF(C175="Entrada","CR","DB"))</f>
        <v>000174-DB</v>
      </c>
      <c r="AM175" s="46" t="str">
        <f>IF(A175="","",LEFT(IF(H175&lt;&gt;"",H175,G175)&amp;" | "&amp;G175&amp;" | "&amp;S175,60))</f>
        <v>mobilizaçao e desmobilização equipe montagem | mobilizaçao e</v>
      </c>
    </row>
    <row r="176" spans="1:39" ht="43.2" x14ac:dyDescent="0.3">
      <c r="A176" s="39">
        <v>175</v>
      </c>
      <c r="B176" s="39" t="s">
        <v>2</v>
      </c>
      <c r="C176" s="39" t="s">
        <v>74</v>
      </c>
      <c r="D176" s="39" t="s">
        <v>254</v>
      </c>
      <c r="E176" s="39" t="s">
        <v>254</v>
      </c>
      <c r="F176" s="39" t="s">
        <v>184</v>
      </c>
      <c r="G176" s="39" t="s">
        <v>367</v>
      </c>
      <c r="H176" s="40"/>
      <c r="I176" s="40"/>
      <c r="J176" s="40"/>
      <c r="K176" s="42">
        <v>46143</v>
      </c>
      <c r="L176" s="42"/>
      <c r="M176" s="44"/>
      <c r="N176" s="40"/>
      <c r="O176" s="40"/>
      <c r="P176" s="40"/>
      <c r="Q176" s="42">
        <f>IF(K176="","",K176)</f>
        <v>46143</v>
      </c>
      <c r="R176" s="39" t="s">
        <v>254</v>
      </c>
      <c r="S176" s="39" t="s">
        <v>256</v>
      </c>
      <c r="T176" s="39" t="s">
        <v>368</v>
      </c>
      <c r="U176" s="39" t="s">
        <v>275</v>
      </c>
      <c r="V176" s="39">
        <v>119</v>
      </c>
      <c r="W176" s="39" t="s">
        <v>272</v>
      </c>
      <c r="X176" s="41">
        <v>46132</v>
      </c>
      <c r="Y176" s="41">
        <v>46143</v>
      </c>
      <c r="Z176" s="43">
        <v>7387.52</v>
      </c>
      <c r="AA176" s="45">
        <f>IF(M176&lt;&gt;"",M176,Z176)</f>
        <v>7387.52</v>
      </c>
      <c r="AB176" s="46" t="str">
        <f>IF(L176&lt;&gt;"","Realizado","Previsto")</f>
        <v>Previsto</v>
      </c>
      <c r="AC176" s="47">
        <v>0.5</v>
      </c>
      <c r="AD176" s="43">
        <v>14775.04</v>
      </c>
      <c r="AE176" s="39">
        <v>1088</v>
      </c>
      <c r="AF176" s="39" t="s">
        <v>330</v>
      </c>
      <c r="AG176" s="43">
        <v>13.58</v>
      </c>
      <c r="AH176" s="39" t="s">
        <v>369</v>
      </c>
      <c r="AI176" s="39" t="s">
        <v>73</v>
      </c>
      <c r="AJ176" s="48">
        <f>IF(Q176&lt;&gt;"",Q176,IF(K176&lt;&gt;"",K176,""))</f>
        <v>46143</v>
      </c>
      <c r="AK176" s="46" t="str">
        <f>IF(K176&lt;&gt;"","Sim","")</f>
        <v>Sim</v>
      </c>
      <c r="AL176" s="46" t="str">
        <f>IF(A176="","",TEXT(A176,"000000")&amp;"-"&amp;IF(C176="Entrada","CR","DB"))</f>
        <v>000175-DB</v>
      </c>
      <c r="AM176" s="46" t="str">
        <f>IF(A176="","",LEFT(IF(H176&lt;&gt;"",H176,G176)&amp;" | "&amp;G176&amp;" | "&amp;S176,60))</f>
        <v>Argamassa colante AC I | Argamassa colante AC I | Saída | PI</v>
      </c>
    </row>
    <row r="177" spans="1:39" ht="43.2" x14ac:dyDescent="0.3">
      <c r="A177" s="39">
        <v>176</v>
      </c>
      <c r="B177" s="39" t="s">
        <v>2</v>
      </c>
      <c r="C177" s="39" t="s">
        <v>74</v>
      </c>
      <c r="D177" s="39" t="s">
        <v>254</v>
      </c>
      <c r="E177" s="39" t="s">
        <v>254</v>
      </c>
      <c r="F177" s="39" t="s">
        <v>184</v>
      </c>
      <c r="G177" s="39" t="s">
        <v>278</v>
      </c>
      <c r="H177" s="40"/>
      <c r="I177" s="40"/>
      <c r="J177" s="40"/>
      <c r="K177" s="42">
        <v>46143</v>
      </c>
      <c r="L177" s="42"/>
      <c r="M177" s="44"/>
      <c r="N177" s="40"/>
      <c r="O177" s="40"/>
      <c r="P177" s="40"/>
      <c r="Q177" s="42">
        <f>IF(K177="","",K177)</f>
        <v>46143</v>
      </c>
      <c r="R177" s="39" t="s">
        <v>254</v>
      </c>
      <c r="S177" s="39" t="s">
        <v>256</v>
      </c>
      <c r="T177" s="39" t="s">
        <v>368</v>
      </c>
      <c r="U177" s="39" t="s">
        <v>275</v>
      </c>
      <c r="V177" s="39">
        <v>118</v>
      </c>
      <c r="W177" s="39" t="s">
        <v>272</v>
      </c>
      <c r="X177" s="41">
        <v>46132</v>
      </c>
      <c r="Y177" s="41">
        <v>46143</v>
      </c>
      <c r="Z177" s="43">
        <v>403.2</v>
      </c>
      <c r="AA177" s="45">
        <f>IF(M177&lt;&gt;"",M177,Z177)</f>
        <v>403.2</v>
      </c>
      <c r="AB177" s="46" t="str">
        <f>IF(L177&lt;&gt;"","Realizado","Previsto")</f>
        <v>Previsto</v>
      </c>
      <c r="AC177" s="47">
        <v>0.5</v>
      </c>
      <c r="AD177" s="43">
        <v>806.40000000000009</v>
      </c>
      <c r="AE177" s="39">
        <v>192</v>
      </c>
      <c r="AF177" s="39" t="s">
        <v>279</v>
      </c>
      <c r="AG177" s="43">
        <v>4.2</v>
      </c>
      <c r="AH177" s="39" t="s">
        <v>369</v>
      </c>
      <c r="AI177" s="39" t="s">
        <v>73</v>
      </c>
      <c r="AJ177" s="48">
        <f>IF(Q177&lt;&gt;"",Q177,IF(K177&lt;&gt;"",K177,""))</f>
        <v>46143</v>
      </c>
      <c r="AK177" s="46" t="str">
        <f>IF(K177&lt;&gt;"","Sim","")</f>
        <v>Sim</v>
      </c>
      <c r="AL177" s="46" t="str">
        <f>IF(A177="","",TEXT(A177,"000000")&amp;"-"&amp;IF(C177="Entrada","CR","DB"))</f>
        <v>000176-DB</v>
      </c>
      <c r="AM177" s="46" t="str">
        <f>IF(A177="","",LEFT(IF(H177&lt;&gt;"",H177,G177)&amp;" | "&amp;G177&amp;" | "&amp;S177,60))</f>
        <v>Espaçador cruzeta - 5mm (pacote com 100 unid) | Espaçador cr</v>
      </c>
    </row>
    <row r="178" spans="1:39" ht="43.2" x14ac:dyDescent="0.3">
      <c r="A178" s="39">
        <v>177</v>
      </c>
      <c r="B178" s="39" t="s">
        <v>2</v>
      </c>
      <c r="C178" s="39" t="s">
        <v>74</v>
      </c>
      <c r="D178" s="39" t="s">
        <v>254</v>
      </c>
      <c r="E178" s="39" t="s">
        <v>254</v>
      </c>
      <c r="F178" s="39" t="s">
        <v>109</v>
      </c>
      <c r="G178" s="39" t="s">
        <v>255</v>
      </c>
      <c r="H178" s="40"/>
      <c r="I178" s="40"/>
      <c r="J178" s="40"/>
      <c r="K178" s="42">
        <v>46143</v>
      </c>
      <c r="L178" s="42"/>
      <c r="M178" s="44"/>
      <c r="N178" s="40"/>
      <c r="O178" s="40"/>
      <c r="P178" s="40"/>
      <c r="Q178" s="42">
        <f>IF(K178="","",K178)</f>
        <v>46143</v>
      </c>
      <c r="R178" s="39" t="s">
        <v>254</v>
      </c>
      <c r="S178" s="39" t="s">
        <v>256</v>
      </c>
      <c r="T178" s="39" t="s">
        <v>257</v>
      </c>
      <c r="U178" s="39" t="s">
        <v>215</v>
      </c>
      <c r="V178" s="39">
        <v>121</v>
      </c>
      <c r="W178" s="39" t="s">
        <v>272</v>
      </c>
      <c r="X178" s="41">
        <v>46132</v>
      </c>
      <c r="Y178" s="41">
        <v>46143</v>
      </c>
      <c r="Z178" s="43">
        <v>8471.7158399999989</v>
      </c>
      <c r="AA178" s="45">
        <f>IF(M178&lt;&gt;"",M178,Z178)</f>
        <v>8471.7158399999989</v>
      </c>
      <c r="AB178" s="46" t="str">
        <f>IF(L178&lt;&gt;"","Realizado","Previsto")</f>
        <v>Previsto</v>
      </c>
      <c r="AC178" s="47">
        <v>9.3799999999999994E-2</v>
      </c>
      <c r="AD178" s="43">
        <v>90316.800000000003</v>
      </c>
      <c r="AE178" s="39">
        <v>2580.48</v>
      </c>
      <c r="AF178" s="39" t="s">
        <v>203</v>
      </c>
      <c r="AG178" s="43">
        <v>35</v>
      </c>
      <c r="AH178" s="39" t="s">
        <v>258</v>
      </c>
      <c r="AI178" s="39" t="s">
        <v>73</v>
      </c>
      <c r="AJ178" s="48">
        <f>IF(Q178&lt;&gt;"",Q178,IF(K178&lt;&gt;"",K178,""))</f>
        <v>46143</v>
      </c>
      <c r="AK178" s="46" t="str">
        <f>IF(K178&lt;&gt;"","Sim","")</f>
        <v>Sim</v>
      </c>
      <c r="AL178" s="46" t="str">
        <f>IF(A178="","",TEXT(A178,"000000")&amp;"-"&amp;IF(C178="Entrada","CR","DB"))</f>
        <v>000177-DB</v>
      </c>
      <c r="AM178" s="46" t="str">
        <f>IF(A178="","",LEFT(IF(H178&lt;&gt;"",H178,G178)&amp;" | "&amp;G178&amp;" | "&amp;S178,60))</f>
        <v>Mao de obra terceirizada assentamento Ceramica | Mao de obra</v>
      </c>
    </row>
    <row r="179" spans="1:39" ht="43.2" x14ac:dyDescent="0.3">
      <c r="A179" s="39">
        <v>178</v>
      </c>
      <c r="B179" s="39" t="s">
        <v>2</v>
      </c>
      <c r="C179" s="39" t="s">
        <v>74</v>
      </c>
      <c r="D179" s="39" t="s">
        <v>254</v>
      </c>
      <c r="E179" s="39" t="s">
        <v>254</v>
      </c>
      <c r="F179" s="39" t="s">
        <v>184</v>
      </c>
      <c r="G179" s="39" t="s">
        <v>280</v>
      </c>
      <c r="H179" s="40"/>
      <c r="I179" s="40"/>
      <c r="J179" s="40"/>
      <c r="K179" s="42">
        <v>46143</v>
      </c>
      <c r="L179" s="42"/>
      <c r="M179" s="44"/>
      <c r="N179" s="40"/>
      <c r="O179" s="40"/>
      <c r="P179" s="40"/>
      <c r="Q179" s="42">
        <f>IF(K179="","",K179)</f>
        <v>46143</v>
      </c>
      <c r="R179" s="39" t="s">
        <v>254</v>
      </c>
      <c r="S179" s="39" t="s">
        <v>256</v>
      </c>
      <c r="T179" s="39" t="s">
        <v>368</v>
      </c>
      <c r="U179" s="39" t="s">
        <v>275</v>
      </c>
      <c r="V179" s="39">
        <v>120</v>
      </c>
      <c r="W179" s="39" t="s">
        <v>272</v>
      </c>
      <c r="X179" s="41">
        <v>46132</v>
      </c>
      <c r="Y179" s="41">
        <v>46143</v>
      </c>
      <c r="Z179" s="43">
        <v>2496</v>
      </c>
      <c r="AA179" s="45">
        <f>IF(M179&lt;&gt;"",M179,Z179)</f>
        <v>2496</v>
      </c>
      <c r="AB179" s="46" t="str">
        <f>IF(L179&lt;&gt;"","Realizado","Previsto")</f>
        <v>Previsto</v>
      </c>
      <c r="AC179" s="47">
        <v>0.5</v>
      </c>
      <c r="AD179" s="43">
        <v>4992</v>
      </c>
      <c r="AE179" s="39">
        <v>960</v>
      </c>
      <c r="AF179" s="39" t="s">
        <v>149</v>
      </c>
      <c r="AG179" s="43">
        <v>5.2</v>
      </c>
      <c r="AH179" s="39" t="s">
        <v>369</v>
      </c>
      <c r="AI179" s="39" t="s">
        <v>73</v>
      </c>
      <c r="AJ179" s="48">
        <f>IF(Q179&lt;&gt;"",Q179,IF(K179&lt;&gt;"",K179,""))</f>
        <v>46143</v>
      </c>
      <c r="AK179" s="46" t="str">
        <f>IF(K179&lt;&gt;"","Sim","")</f>
        <v>Sim</v>
      </c>
      <c r="AL179" s="46" t="str">
        <f>IF(A179="","",TEXT(A179,"000000")&amp;"-"&amp;IF(C179="Entrada","CR","DB"))</f>
        <v>000178-DB</v>
      </c>
      <c r="AM179" s="46" t="str">
        <f>IF(A179="","",LEFT(IF(H179&lt;&gt;"",H179,G179)&amp;" | "&amp;G179&amp;" | "&amp;S179,60))</f>
        <v>Rejunte cimenticio | Rejunte cimenticio | Saída | PISO E ROD</v>
      </c>
    </row>
    <row r="180" spans="1:39" ht="43.2" x14ac:dyDescent="0.3">
      <c r="A180" s="39">
        <v>179</v>
      </c>
      <c r="B180" s="39" t="s">
        <v>2</v>
      </c>
      <c r="C180" s="39" t="s">
        <v>74</v>
      </c>
      <c r="D180" s="39" t="s">
        <v>254</v>
      </c>
      <c r="E180" s="39" t="s">
        <v>254</v>
      </c>
      <c r="F180" s="39" t="s">
        <v>281</v>
      </c>
      <c r="G180" s="39" t="s">
        <v>370</v>
      </c>
      <c r="H180" s="40"/>
      <c r="I180" s="40"/>
      <c r="J180" s="40"/>
      <c r="K180" s="42">
        <v>46143</v>
      </c>
      <c r="L180" s="42"/>
      <c r="M180" s="44"/>
      <c r="N180" s="40"/>
      <c r="O180" s="40"/>
      <c r="P180" s="40"/>
      <c r="Q180" s="42">
        <f>IF(K180="","",K180)</f>
        <v>46143</v>
      </c>
      <c r="R180" s="39" t="s">
        <v>254</v>
      </c>
      <c r="S180" s="39" t="s">
        <v>256</v>
      </c>
      <c r="T180" s="39" t="s">
        <v>371</v>
      </c>
      <c r="U180" s="39" t="s">
        <v>275</v>
      </c>
      <c r="V180" s="39">
        <v>117</v>
      </c>
      <c r="W180" s="39" t="s">
        <v>272</v>
      </c>
      <c r="X180" s="41">
        <v>46132</v>
      </c>
      <c r="Y180" s="41">
        <v>46143</v>
      </c>
      <c r="Z180" s="43">
        <v>13686.86592</v>
      </c>
      <c r="AA180" s="45">
        <f>IF(M180&lt;&gt;"",M180,Z180)</f>
        <v>13686.86592</v>
      </c>
      <c r="AB180" s="46" t="str">
        <f>IF(L180&lt;&gt;"","Realizado","Previsto")</f>
        <v>Previsto</v>
      </c>
      <c r="AC180" s="47">
        <v>0.34</v>
      </c>
      <c r="AD180" s="43">
        <v>40255.487999999998</v>
      </c>
      <c r="AE180" s="39">
        <v>2580.48</v>
      </c>
      <c r="AF180" s="39" t="s">
        <v>203</v>
      </c>
      <c r="AG180" s="43">
        <v>15.6</v>
      </c>
      <c r="AH180" s="39" t="s">
        <v>372</v>
      </c>
      <c r="AI180" s="39" t="s">
        <v>73</v>
      </c>
      <c r="AJ180" s="48">
        <f>IF(Q180&lt;&gt;"",Q180,IF(K180&lt;&gt;"",K180,""))</f>
        <v>46143</v>
      </c>
      <c r="AK180" s="46" t="str">
        <f>IF(K180&lt;&gt;"","Sim","")</f>
        <v>Sim</v>
      </c>
      <c r="AL180" s="46" t="str">
        <f>IF(A180="","",TEXT(A180,"000000")&amp;"-"&amp;IF(C180="Entrada","CR","DB"))</f>
        <v>000179-DB</v>
      </c>
      <c r="AM180" s="46" t="str">
        <f>IF(A180="","",LEFT(IF(H180&lt;&gt;"",H180,G180)&amp;" | "&amp;G180&amp;" | "&amp;S180,60))</f>
        <v>Revestimento Cerâmico  PEI IV 35 x 35- cor,  (perda 15%) - i</v>
      </c>
    </row>
    <row r="181" spans="1:39" ht="43.2" x14ac:dyDescent="0.3">
      <c r="A181" s="39">
        <v>180</v>
      </c>
      <c r="B181" s="39" t="s">
        <v>2</v>
      </c>
      <c r="C181" s="39" t="s">
        <v>74</v>
      </c>
      <c r="D181" s="39" t="s">
        <v>107</v>
      </c>
      <c r="E181" s="39" t="s">
        <v>108</v>
      </c>
      <c r="F181" s="39" t="s">
        <v>167</v>
      </c>
      <c r="G181" s="39" t="s">
        <v>168</v>
      </c>
      <c r="H181" s="40"/>
      <c r="I181" s="40"/>
      <c r="J181" s="40"/>
      <c r="K181" s="42">
        <v>46143</v>
      </c>
      <c r="L181" s="42"/>
      <c r="M181" s="44"/>
      <c r="N181" s="40"/>
      <c r="O181" s="40"/>
      <c r="P181" s="40"/>
      <c r="Q181" s="42">
        <f>IF(K181="","",K181)</f>
        <v>46143</v>
      </c>
      <c r="R181" s="39" t="s">
        <v>107</v>
      </c>
      <c r="S181" s="39" t="s">
        <v>111</v>
      </c>
      <c r="T181" s="39" t="s">
        <v>169</v>
      </c>
      <c r="U181" s="39"/>
      <c r="V181" s="39">
        <v>36</v>
      </c>
      <c r="W181" s="39" t="s">
        <v>272</v>
      </c>
      <c r="X181" s="41">
        <v>46132</v>
      </c>
      <c r="Y181" s="41">
        <v>46143</v>
      </c>
      <c r="Z181" s="43">
        <v>192</v>
      </c>
      <c r="AA181" s="45">
        <f>IF(M181&lt;&gt;"",M181,Z181)</f>
        <v>192</v>
      </c>
      <c r="AB181" s="46" t="str">
        <f>IF(L181&lt;&gt;"","Realizado","Previsto")</f>
        <v>Previsto</v>
      </c>
      <c r="AC181" s="47">
        <v>0.5</v>
      </c>
      <c r="AD181" s="43">
        <v>384</v>
      </c>
      <c r="AE181" s="39">
        <v>32</v>
      </c>
      <c r="AF181" s="39" t="s">
        <v>149</v>
      </c>
      <c r="AG181" s="43">
        <v>12</v>
      </c>
      <c r="AH181" s="39" t="s">
        <v>170</v>
      </c>
      <c r="AI181" s="39" t="s">
        <v>73</v>
      </c>
      <c r="AJ181" s="48">
        <f>IF(Q181&lt;&gt;"",Q181,IF(K181&lt;&gt;"",K181,""))</f>
        <v>46143</v>
      </c>
      <c r="AK181" s="46" t="str">
        <f>IF(K181&lt;&gt;"","Sim","")</f>
        <v>Sim</v>
      </c>
      <c r="AL181" s="46" t="str">
        <f>IF(A181="","",TEXT(A181,"000000")&amp;"-"&amp;IF(C181="Entrada","CR","DB"))</f>
        <v>000180-DB</v>
      </c>
      <c r="AM181" s="46" t="str">
        <f>IF(A181="","",LEFT(IF(H181&lt;&gt;"",H181,G181)&amp;" | "&amp;G181&amp;" | "&amp;S181,60))</f>
        <v>Arame Recozido bwg 18 | Arame Recozido bwg 18 | Saída | RADI</v>
      </c>
    </row>
    <row r="182" spans="1:39" ht="43.2" x14ac:dyDescent="0.3">
      <c r="A182" s="39">
        <v>181</v>
      </c>
      <c r="B182" s="39" t="s">
        <v>2</v>
      </c>
      <c r="C182" s="39" t="s">
        <v>74</v>
      </c>
      <c r="D182" s="39" t="s">
        <v>107</v>
      </c>
      <c r="E182" s="39" t="s">
        <v>108</v>
      </c>
      <c r="F182" s="39" t="s">
        <v>167</v>
      </c>
      <c r="G182" s="39" t="s">
        <v>171</v>
      </c>
      <c r="H182" s="40"/>
      <c r="I182" s="40"/>
      <c r="J182" s="40"/>
      <c r="K182" s="42">
        <v>46143</v>
      </c>
      <c r="L182" s="42"/>
      <c r="M182" s="44"/>
      <c r="N182" s="40"/>
      <c r="O182" s="40"/>
      <c r="P182" s="40"/>
      <c r="Q182" s="42">
        <f>IF(K182="","",K182)</f>
        <v>46143</v>
      </c>
      <c r="R182" s="39" t="s">
        <v>107</v>
      </c>
      <c r="S182" s="39" t="s">
        <v>111</v>
      </c>
      <c r="T182" s="39" t="s">
        <v>169</v>
      </c>
      <c r="U182" s="39"/>
      <c r="V182" s="39">
        <v>34</v>
      </c>
      <c r="W182" s="39" t="s">
        <v>272</v>
      </c>
      <c r="X182" s="41">
        <v>46132</v>
      </c>
      <c r="Y182" s="41">
        <v>46143</v>
      </c>
      <c r="Z182" s="43">
        <v>39621.120000000003</v>
      </c>
      <c r="AA182" s="45">
        <f>IF(M182&lt;&gt;"",M182,Z182)</f>
        <v>39621.120000000003</v>
      </c>
      <c r="AB182" s="46" t="str">
        <f>IF(L182&lt;&gt;"","Realizado","Previsto")</f>
        <v>Previsto</v>
      </c>
      <c r="AC182" s="47">
        <v>0.33</v>
      </c>
      <c r="AD182" s="43">
        <v>120064</v>
      </c>
      <c r="AE182" s="39">
        <v>512</v>
      </c>
      <c r="AF182" s="39" t="s">
        <v>172</v>
      </c>
      <c r="AG182" s="43">
        <v>234.5</v>
      </c>
      <c r="AH182" s="39" t="s">
        <v>170</v>
      </c>
      <c r="AI182" s="39" t="s">
        <v>73</v>
      </c>
      <c r="AJ182" s="48">
        <f>IF(Q182&lt;&gt;"",Q182,IF(K182&lt;&gt;"",K182,""))</f>
        <v>46143</v>
      </c>
      <c r="AK182" s="46" t="str">
        <f>IF(K182&lt;&gt;"","Sim","")</f>
        <v>Sim</v>
      </c>
      <c r="AL182" s="46" t="str">
        <f>IF(A182="","",TEXT(A182,"000000")&amp;"-"&amp;IF(C182="Entrada","CR","DB"))</f>
        <v>000181-DB</v>
      </c>
      <c r="AM182" s="46" t="str">
        <f>IF(A182="","",LEFT(IF(H182&lt;&gt;"",H182,G182)&amp;" | "&amp;G182&amp;" | "&amp;S182,60))</f>
        <v xml:space="preserve">Aço - Tela Q-138 - 5.0 c/10 -  (245 x 600 cm) (frete de 300 </v>
      </c>
    </row>
    <row r="183" spans="1:39" ht="43.2" x14ac:dyDescent="0.3">
      <c r="A183" s="39">
        <v>182</v>
      </c>
      <c r="B183" s="39" t="s">
        <v>2</v>
      </c>
      <c r="C183" s="39" t="s">
        <v>74</v>
      </c>
      <c r="D183" s="39" t="s">
        <v>107</v>
      </c>
      <c r="E183" s="39" t="s">
        <v>108</v>
      </c>
      <c r="F183" s="39" t="s">
        <v>173</v>
      </c>
      <c r="G183" s="39" t="s">
        <v>174</v>
      </c>
      <c r="H183" s="40"/>
      <c r="I183" s="40"/>
      <c r="J183" s="40"/>
      <c r="K183" s="42">
        <v>46143</v>
      </c>
      <c r="L183" s="42"/>
      <c r="M183" s="44"/>
      <c r="N183" s="40"/>
      <c r="O183" s="40"/>
      <c r="P183" s="40"/>
      <c r="Q183" s="42">
        <f>IF(K183="","",K183)</f>
        <v>46143</v>
      </c>
      <c r="R183" s="39" t="s">
        <v>107</v>
      </c>
      <c r="S183" s="39" t="s">
        <v>111</v>
      </c>
      <c r="T183" s="39" t="s">
        <v>175</v>
      </c>
      <c r="U183" s="39" t="s">
        <v>176</v>
      </c>
      <c r="V183" s="39">
        <v>30</v>
      </c>
      <c r="W183" s="39" t="s">
        <v>272</v>
      </c>
      <c r="X183" s="41">
        <v>46132</v>
      </c>
      <c r="Y183" s="41">
        <v>46143</v>
      </c>
      <c r="Z183" s="43">
        <v>4400</v>
      </c>
      <c r="AA183" s="45">
        <f>IF(M183&lt;&gt;"",M183,Z183)</f>
        <v>4400</v>
      </c>
      <c r="AB183" s="46" t="str">
        <f>IF(L183&lt;&gt;"","Realizado","Previsto")</f>
        <v>Previsto</v>
      </c>
      <c r="AC183" s="47">
        <v>0.25</v>
      </c>
      <c r="AD183" s="43">
        <v>17600</v>
      </c>
      <c r="AE183" s="39">
        <v>8</v>
      </c>
      <c r="AF183" s="39" t="s">
        <v>113</v>
      </c>
      <c r="AG183" s="43">
        <v>2200</v>
      </c>
      <c r="AH183" s="39" t="s">
        <v>177</v>
      </c>
      <c r="AI183" s="39" t="s">
        <v>73</v>
      </c>
      <c r="AJ183" s="48">
        <f>IF(Q183&lt;&gt;"",Q183,IF(K183&lt;&gt;"",K183,""))</f>
        <v>46143</v>
      </c>
      <c r="AK183" s="46" t="str">
        <f>IF(K183&lt;&gt;"","Sim","")</f>
        <v>Sim</v>
      </c>
      <c r="AL183" s="46" t="str">
        <f>IF(A183="","",TEXT(A183,"000000")&amp;"-"&amp;IF(C183="Entrada","CR","DB"))</f>
        <v>000182-DB</v>
      </c>
      <c r="AM183" s="46" t="str">
        <f>IF(A183="","",LEFT(IF(H183&lt;&gt;"",H183,G183)&amp;" | "&amp;G183&amp;" | "&amp;S183,60))</f>
        <v>Bomba de concreto  ( Taxa divide 1 casa e 1 radier ) | Bomba</v>
      </c>
    </row>
    <row r="184" spans="1:39" ht="43.2" x14ac:dyDescent="0.3">
      <c r="A184" s="39">
        <v>183</v>
      </c>
      <c r="B184" s="39" t="s">
        <v>2</v>
      </c>
      <c r="C184" s="39" t="s">
        <v>74</v>
      </c>
      <c r="D184" s="39" t="s">
        <v>107</v>
      </c>
      <c r="E184" s="39" t="s">
        <v>108</v>
      </c>
      <c r="F184" s="39" t="s">
        <v>184</v>
      </c>
      <c r="G184" s="39" t="s">
        <v>185</v>
      </c>
      <c r="H184" s="40"/>
      <c r="I184" s="40"/>
      <c r="J184" s="40"/>
      <c r="K184" s="42">
        <v>46143</v>
      </c>
      <c r="L184" s="42"/>
      <c r="M184" s="44"/>
      <c r="N184" s="40"/>
      <c r="O184" s="40"/>
      <c r="P184" s="40"/>
      <c r="Q184" s="42">
        <f>IF(K184="","",K184)</f>
        <v>46143</v>
      </c>
      <c r="R184" s="39" t="s">
        <v>107</v>
      </c>
      <c r="S184" s="39" t="s">
        <v>111</v>
      </c>
      <c r="T184" s="39" t="s">
        <v>186</v>
      </c>
      <c r="U184" s="39"/>
      <c r="V184" s="39">
        <v>37</v>
      </c>
      <c r="W184" s="39" t="s">
        <v>272</v>
      </c>
      <c r="X184" s="41">
        <v>46132</v>
      </c>
      <c r="Y184" s="41">
        <v>46143</v>
      </c>
      <c r="Z184" s="43">
        <v>261.33333333333331</v>
      </c>
      <c r="AA184" s="45">
        <f>IF(M184&lt;&gt;"",M184,Z184)</f>
        <v>261.33333333333331</v>
      </c>
      <c r="AB184" s="46" t="str">
        <f>IF(L184&lt;&gt;"","Realizado","Previsto")</f>
        <v>Previsto</v>
      </c>
      <c r="AC184" s="47">
        <v>0.5</v>
      </c>
      <c r="AD184" s="43">
        <v>522.66666666666663</v>
      </c>
      <c r="AE184" s="39">
        <v>10.66666666666667</v>
      </c>
      <c r="AF184" s="39" t="s">
        <v>149</v>
      </c>
      <c r="AG184" s="43">
        <v>49</v>
      </c>
      <c r="AH184" s="39" t="s">
        <v>187</v>
      </c>
      <c r="AI184" s="39" t="s">
        <v>73</v>
      </c>
      <c r="AJ184" s="48">
        <f>IF(Q184&lt;&gt;"",Q184,IF(K184&lt;&gt;"",K184,""))</f>
        <v>46143</v>
      </c>
      <c r="AK184" s="46" t="str">
        <f>IF(K184&lt;&gt;"","Sim","")</f>
        <v>Sim</v>
      </c>
      <c r="AL184" s="46" t="str">
        <f>IF(A184="","",TEXT(A184,"000000")&amp;"-"&amp;IF(C184="Entrada","CR","DB"))</f>
        <v>000183-DB</v>
      </c>
      <c r="AM184" s="46" t="str">
        <f>IF(A184="","",LEFT(IF(H184&lt;&gt;"",H184,G184)&amp;" | "&amp;G184&amp;" | "&amp;S184,60))</f>
        <v>Cimento PortlanD CP IV 32 para limpeza da bomba | Cimento Po</v>
      </c>
    </row>
    <row r="185" spans="1:39" ht="43.2" x14ac:dyDescent="0.3">
      <c r="A185" s="39">
        <v>184</v>
      </c>
      <c r="B185" s="39" t="s">
        <v>2</v>
      </c>
      <c r="C185" s="39" t="s">
        <v>74</v>
      </c>
      <c r="D185" s="39" t="s">
        <v>107</v>
      </c>
      <c r="E185" s="39" t="s">
        <v>108</v>
      </c>
      <c r="F185" s="39" t="s">
        <v>173</v>
      </c>
      <c r="G185" s="39" t="s">
        <v>188</v>
      </c>
      <c r="H185" s="40"/>
      <c r="I185" s="40"/>
      <c r="J185" s="40"/>
      <c r="K185" s="42">
        <v>46143</v>
      </c>
      <c r="L185" s="42"/>
      <c r="M185" s="44"/>
      <c r="N185" s="40"/>
      <c r="O185" s="40"/>
      <c r="P185" s="40"/>
      <c r="Q185" s="42">
        <f>IF(K185="","",K185)</f>
        <v>46143</v>
      </c>
      <c r="R185" s="39" t="s">
        <v>107</v>
      </c>
      <c r="S185" s="39" t="s">
        <v>111</v>
      </c>
      <c r="T185" s="39" t="s">
        <v>175</v>
      </c>
      <c r="U185" s="39" t="s">
        <v>189</v>
      </c>
      <c r="V185" s="39">
        <v>29</v>
      </c>
      <c r="W185" s="39" t="s">
        <v>272</v>
      </c>
      <c r="X185" s="41">
        <v>46132</v>
      </c>
      <c r="Y185" s="41">
        <v>46143</v>
      </c>
      <c r="Z185" s="43">
        <v>79635.199999999997</v>
      </c>
      <c r="AA185" s="45">
        <f>IF(M185&lt;&gt;"",M185,Z185)</f>
        <v>79635.199999999997</v>
      </c>
      <c r="AB185" s="46" t="str">
        <f>IF(L185&lt;&gt;"","Realizado","Previsto")</f>
        <v>Previsto</v>
      </c>
      <c r="AC185" s="47">
        <v>0.25</v>
      </c>
      <c r="AD185" s="43">
        <v>318540.79999999999</v>
      </c>
      <c r="AE185" s="39">
        <v>512</v>
      </c>
      <c r="AF185" s="39" t="s">
        <v>182</v>
      </c>
      <c r="AG185" s="43">
        <v>622.15</v>
      </c>
      <c r="AH185" s="39" t="s">
        <v>177</v>
      </c>
      <c r="AI185" s="39" t="s">
        <v>73</v>
      </c>
      <c r="AJ185" s="48">
        <f>IF(Q185&lt;&gt;"",Q185,IF(K185&lt;&gt;"",K185,""))</f>
        <v>46143</v>
      </c>
      <c r="AK185" s="46" t="str">
        <f>IF(K185&lt;&gt;"","Sim","")</f>
        <v>Sim</v>
      </c>
      <c r="AL185" s="46" t="str">
        <f>IF(A185="","",TEXT(A185,"000000")&amp;"-"&amp;IF(C185="Entrada","CR","DB"))</f>
        <v>000184-DB</v>
      </c>
      <c r="AM185" s="46" t="str">
        <f>IF(A185="","",LEFT(IF(H185&lt;&gt;"",H185,G185)&amp;" | "&amp;G185&amp;" | "&amp;S185,60))</f>
        <v>Concreto Usinado fck - 25 Mpa ( Com perda de 10%) - SEM IMPE</v>
      </c>
    </row>
    <row r="186" spans="1:39" ht="43.2" x14ac:dyDescent="0.3">
      <c r="A186" s="39">
        <v>185</v>
      </c>
      <c r="B186" s="39" t="s">
        <v>2</v>
      </c>
      <c r="C186" s="39" t="s">
        <v>74</v>
      </c>
      <c r="D186" s="39" t="s">
        <v>107</v>
      </c>
      <c r="E186" s="39" t="s">
        <v>108</v>
      </c>
      <c r="F186" s="39" t="s">
        <v>184</v>
      </c>
      <c r="G186" s="39" t="s">
        <v>190</v>
      </c>
      <c r="H186" s="40"/>
      <c r="I186" s="40"/>
      <c r="J186" s="40"/>
      <c r="K186" s="42">
        <v>46143</v>
      </c>
      <c r="L186" s="42"/>
      <c r="M186" s="44"/>
      <c r="N186" s="40"/>
      <c r="O186" s="40"/>
      <c r="P186" s="40"/>
      <c r="Q186" s="42">
        <f>IF(K186="","",K186)</f>
        <v>46143</v>
      </c>
      <c r="R186" s="39" t="s">
        <v>107</v>
      </c>
      <c r="S186" s="39" t="s">
        <v>111</v>
      </c>
      <c r="T186" s="39" t="s">
        <v>186</v>
      </c>
      <c r="U186" s="39"/>
      <c r="V186" s="39">
        <v>38</v>
      </c>
      <c r="W186" s="39" t="s">
        <v>272</v>
      </c>
      <c r="X186" s="41">
        <v>46132</v>
      </c>
      <c r="Y186" s="41">
        <v>46143</v>
      </c>
      <c r="Z186" s="43">
        <v>1248</v>
      </c>
      <c r="AA186" s="45">
        <f>IF(M186&lt;&gt;"",M186,Z186)</f>
        <v>1248</v>
      </c>
      <c r="AB186" s="46" t="str">
        <f>IF(L186&lt;&gt;"","Realizado","Previsto")</f>
        <v>Previsto</v>
      </c>
      <c r="AC186" s="47">
        <v>0.5</v>
      </c>
      <c r="AD186" s="43">
        <v>2496</v>
      </c>
      <c r="AE186" s="39">
        <v>96</v>
      </c>
      <c r="AF186" s="39" t="s">
        <v>191</v>
      </c>
      <c r="AG186" s="43">
        <v>26</v>
      </c>
      <c r="AH186" s="39" t="s">
        <v>187</v>
      </c>
      <c r="AI186" s="39" t="s">
        <v>73</v>
      </c>
      <c r="AJ186" s="48">
        <f>IF(Q186&lt;&gt;"",Q186,IF(K186&lt;&gt;"",K186,""))</f>
        <v>46143</v>
      </c>
      <c r="AK186" s="46" t="str">
        <f>IF(K186&lt;&gt;"","Sim","")</f>
        <v>Sim</v>
      </c>
      <c r="AL186" s="46" t="str">
        <f>IF(A186="","",TEXT(A186,"000000")&amp;"-"&amp;IF(C186="Entrada","CR","DB"))</f>
        <v>000185-DB</v>
      </c>
      <c r="AM186" s="46" t="str">
        <f>IF(A186="","",LEFT(IF(H186&lt;&gt;"",H186,G186)&amp;" | "&amp;G186&amp;" | "&amp;S186,60))</f>
        <v>Desmoldante TECNOMOR | Desmoldante TECNOMOR | Saída | RADIER</v>
      </c>
    </row>
    <row r="187" spans="1:39" ht="43.2" x14ac:dyDescent="0.3">
      <c r="A187" s="39">
        <v>186</v>
      </c>
      <c r="B187" s="39" t="s">
        <v>2</v>
      </c>
      <c r="C187" s="39" t="s">
        <v>74</v>
      </c>
      <c r="D187" s="39" t="s">
        <v>107</v>
      </c>
      <c r="E187" s="39" t="s">
        <v>108</v>
      </c>
      <c r="F187" s="39" t="s">
        <v>184</v>
      </c>
      <c r="G187" s="39" t="s">
        <v>196</v>
      </c>
      <c r="H187" s="40"/>
      <c r="I187" s="40"/>
      <c r="J187" s="40"/>
      <c r="K187" s="42">
        <v>46143</v>
      </c>
      <c r="L187" s="42"/>
      <c r="M187" s="44"/>
      <c r="N187" s="40"/>
      <c r="O187" s="40"/>
      <c r="P187" s="40"/>
      <c r="Q187" s="42">
        <f>IF(K187="","",K187)</f>
        <v>46143</v>
      </c>
      <c r="R187" s="39" t="s">
        <v>107</v>
      </c>
      <c r="S187" s="39" t="s">
        <v>111</v>
      </c>
      <c r="T187" s="39" t="s">
        <v>186</v>
      </c>
      <c r="U187" s="39"/>
      <c r="V187" s="39">
        <v>33</v>
      </c>
      <c r="W187" s="39" t="s">
        <v>272</v>
      </c>
      <c r="X187" s="41">
        <v>46132</v>
      </c>
      <c r="Y187" s="41">
        <v>46143</v>
      </c>
      <c r="Z187" s="43">
        <v>8320</v>
      </c>
      <c r="AA187" s="45">
        <f>IF(M187&lt;&gt;"",M187,Z187)</f>
        <v>8320</v>
      </c>
      <c r="AB187" s="46" t="str">
        <f>IF(L187&lt;&gt;"","Realizado","Previsto")</f>
        <v>Previsto</v>
      </c>
      <c r="AC187" s="47">
        <v>0.5</v>
      </c>
      <c r="AD187" s="43">
        <v>16640</v>
      </c>
      <c r="AE187" s="39">
        <v>16640</v>
      </c>
      <c r="AF187" s="39" t="s">
        <v>87</v>
      </c>
      <c r="AG187" s="43">
        <v>1</v>
      </c>
      <c r="AH187" s="39" t="s">
        <v>187</v>
      </c>
      <c r="AI187" s="39" t="s">
        <v>73</v>
      </c>
      <c r="AJ187" s="48">
        <f>IF(Q187&lt;&gt;"",Q187,IF(K187&lt;&gt;"",K187,""))</f>
        <v>46143</v>
      </c>
      <c r="AK187" s="46" t="str">
        <f>IF(K187&lt;&gt;"","Sim","")</f>
        <v>Sim</v>
      </c>
      <c r="AL187" s="46" t="str">
        <f>IF(A187="","",TEXT(A187,"000000")&amp;"-"&amp;IF(C187="Entrada","CR","DB"))</f>
        <v>000186-DB</v>
      </c>
      <c r="AM187" s="46" t="str">
        <f>IF(A187="","",LEFT(IF(H187&lt;&gt;"",H187,G187)&amp;" | "&amp;G187&amp;" | "&amp;S187,60))</f>
        <v>Espaçador tipo centopeia - 5 unid. por m² - 50 mm | Espaçado</v>
      </c>
    </row>
    <row r="188" spans="1:39" ht="43.2" x14ac:dyDescent="0.3">
      <c r="A188" s="39">
        <v>187</v>
      </c>
      <c r="B188" s="39" t="s">
        <v>2</v>
      </c>
      <c r="C188" s="39" t="s">
        <v>74</v>
      </c>
      <c r="D188" s="39" t="s">
        <v>107</v>
      </c>
      <c r="E188" s="39" t="s">
        <v>108</v>
      </c>
      <c r="F188" s="39" t="s">
        <v>197</v>
      </c>
      <c r="G188" s="39" t="s">
        <v>198</v>
      </c>
      <c r="H188" s="40"/>
      <c r="I188" s="40"/>
      <c r="J188" s="40"/>
      <c r="K188" s="42">
        <v>46143</v>
      </c>
      <c r="L188" s="42"/>
      <c r="M188" s="44"/>
      <c r="N188" s="40"/>
      <c r="O188" s="40"/>
      <c r="P188" s="40"/>
      <c r="Q188" s="42">
        <f>IF(K188="","",K188)</f>
        <v>46143</v>
      </c>
      <c r="R188" s="39" t="s">
        <v>107</v>
      </c>
      <c r="S188" s="39" t="s">
        <v>111</v>
      </c>
      <c r="T188" s="39" t="s">
        <v>199</v>
      </c>
      <c r="U188" s="39"/>
      <c r="V188" s="39">
        <v>40</v>
      </c>
      <c r="W188" s="39" t="s">
        <v>272</v>
      </c>
      <c r="X188" s="41">
        <v>46132</v>
      </c>
      <c r="Y188" s="41">
        <v>46143</v>
      </c>
      <c r="Z188" s="43">
        <v>2419.1999999999998</v>
      </c>
      <c r="AA188" s="45">
        <f>IF(M188&lt;&gt;"",M188,Z188)</f>
        <v>2419.1999999999998</v>
      </c>
      <c r="AB188" s="46" t="str">
        <f>IF(L188&lt;&gt;"","Realizado","Previsto")</f>
        <v>Previsto</v>
      </c>
      <c r="AC188" s="47">
        <v>0.5</v>
      </c>
      <c r="AD188" s="43">
        <v>4838.4000000000005</v>
      </c>
      <c r="AE188" s="39">
        <v>35</v>
      </c>
      <c r="AF188" s="39" t="s">
        <v>87</v>
      </c>
      <c r="AG188" s="43">
        <v>138.24</v>
      </c>
      <c r="AH188" s="39" t="s">
        <v>200</v>
      </c>
      <c r="AI188" s="39" t="s">
        <v>73</v>
      </c>
      <c r="AJ188" s="48">
        <f>IF(Q188&lt;&gt;"",Q188,IF(K188&lt;&gt;"",K188,""))</f>
        <v>46143</v>
      </c>
      <c r="AK188" s="46" t="str">
        <f>IF(K188&lt;&gt;"","Sim","")</f>
        <v>Sim</v>
      </c>
      <c r="AL188" s="46" t="str">
        <f>IF(A188="","",TEXT(A188,"000000")&amp;"-"&amp;IF(C188="Entrada","CR","DB"))</f>
        <v>000187-DB</v>
      </c>
      <c r="AM188" s="46" t="str">
        <f>IF(A188="","",LEFT(IF(H188&lt;&gt;"",H188,G188)&amp;" | "&amp;G188&amp;" | "&amp;S188,60))</f>
        <v>Forma para Radier - chapa de compensado naval plastificado 1</v>
      </c>
    </row>
    <row r="189" spans="1:39" ht="43.2" x14ac:dyDescent="0.3">
      <c r="A189" s="39">
        <v>188</v>
      </c>
      <c r="B189" s="39" t="s">
        <v>2</v>
      </c>
      <c r="C189" s="39" t="s">
        <v>74</v>
      </c>
      <c r="D189" s="39" t="s">
        <v>107</v>
      </c>
      <c r="E189" s="39" t="s">
        <v>108</v>
      </c>
      <c r="F189" s="39" t="s">
        <v>197</v>
      </c>
      <c r="G189" s="39" t="s">
        <v>201</v>
      </c>
      <c r="H189" s="40"/>
      <c r="I189" s="40"/>
      <c r="J189" s="40"/>
      <c r="K189" s="42">
        <v>46143</v>
      </c>
      <c r="L189" s="42"/>
      <c r="M189" s="44"/>
      <c r="N189" s="40"/>
      <c r="O189" s="40"/>
      <c r="P189" s="40"/>
      <c r="Q189" s="42">
        <f>IF(K189="","",K189)</f>
        <v>46143</v>
      </c>
      <c r="R189" s="39" t="s">
        <v>107</v>
      </c>
      <c r="S189" s="39" t="s">
        <v>111</v>
      </c>
      <c r="T189" s="39" t="s">
        <v>199</v>
      </c>
      <c r="U189" s="39"/>
      <c r="V189" s="39">
        <v>41</v>
      </c>
      <c r="W189" s="39" t="s">
        <v>272</v>
      </c>
      <c r="X189" s="41">
        <v>46132</v>
      </c>
      <c r="Y189" s="41">
        <v>46143</v>
      </c>
      <c r="Z189" s="43">
        <v>1364</v>
      </c>
      <c r="AA189" s="45">
        <f>IF(M189&lt;&gt;"",M189,Z189)</f>
        <v>1364</v>
      </c>
      <c r="AB189" s="46" t="str">
        <f>IF(L189&lt;&gt;"","Realizado","Previsto")</f>
        <v>Previsto</v>
      </c>
      <c r="AC189" s="47">
        <v>0.5</v>
      </c>
      <c r="AD189" s="43">
        <v>2728</v>
      </c>
      <c r="AE189" s="39">
        <v>176</v>
      </c>
      <c r="AF189" s="39" t="s">
        <v>87</v>
      </c>
      <c r="AG189" s="43">
        <v>15.5</v>
      </c>
      <c r="AH189" s="39" t="s">
        <v>200</v>
      </c>
      <c r="AI189" s="39" t="s">
        <v>73</v>
      </c>
      <c r="AJ189" s="48">
        <f>IF(Q189&lt;&gt;"",Q189,IF(K189&lt;&gt;"",K189,""))</f>
        <v>46143</v>
      </c>
      <c r="AK189" s="46" t="str">
        <f>IF(K189&lt;&gt;"","Sim","")</f>
        <v>Sim</v>
      </c>
      <c r="AL189" s="46" t="str">
        <f>IF(A189="","",TEXT(A189,"000000")&amp;"-"&amp;IF(C189="Entrada","CR","DB"))</f>
        <v>000188-DB</v>
      </c>
      <c r="AM189" s="46" t="str">
        <f>IF(A189="","",LEFT(IF(H189&lt;&gt;"",H189,G189)&amp;" | "&amp;G189&amp;" | "&amp;S189,60))</f>
        <v>Forma para Radier - tabua pinus 25mm para montagem do gabari</v>
      </c>
    </row>
    <row r="190" spans="1:39" ht="43.2" x14ac:dyDescent="0.3">
      <c r="A190" s="39">
        <v>189</v>
      </c>
      <c r="B190" s="39" t="s">
        <v>2</v>
      </c>
      <c r="C190" s="39" t="s">
        <v>74</v>
      </c>
      <c r="D190" s="39" t="s">
        <v>107</v>
      </c>
      <c r="E190" s="39" t="s">
        <v>108</v>
      </c>
      <c r="F190" s="39" t="s">
        <v>184</v>
      </c>
      <c r="G190" s="39" t="s">
        <v>202</v>
      </c>
      <c r="H190" s="40"/>
      <c r="I190" s="40"/>
      <c r="J190" s="40"/>
      <c r="K190" s="42">
        <v>46143</v>
      </c>
      <c r="L190" s="42"/>
      <c r="M190" s="44"/>
      <c r="N190" s="40"/>
      <c r="O190" s="40"/>
      <c r="P190" s="40"/>
      <c r="Q190" s="42">
        <f>IF(K190="","",K190)</f>
        <v>46143</v>
      </c>
      <c r="R190" s="39" t="s">
        <v>107</v>
      </c>
      <c r="S190" s="39" t="s">
        <v>111</v>
      </c>
      <c r="T190" s="39" t="s">
        <v>186</v>
      </c>
      <c r="U190" s="39"/>
      <c r="V190" s="39">
        <v>32</v>
      </c>
      <c r="W190" s="39" t="s">
        <v>272</v>
      </c>
      <c r="X190" s="41">
        <v>46132</v>
      </c>
      <c r="Y190" s="41">
        <v>46143</v>
      </c>
      <c r="Z190" s="43">
        <v>4409.6000000000004</v>
      </c>
      <c r="AA190" s="45">
        <f>IF(M190&lt;&gt;"",M190,Z190)</f>
        <v>4409.6000000000004</v>
      </c>
      <c r="AB190" s="46" t="str">
        <f>IF(L190&lt;&gt;"","Realizado","Previsto")</f>
        <v>Previsto</v>
      </c>
      <c r="AC190" s="47">
        <v>0.5</v>
      </c>
      <c r="AD190" s="43">
        <v>8819.2000000000007</v>
      </c>
      <c r="AE190" s="39">
        <v>3392</v>
      </c>
      <c r="AF190" s="39" t="s">
        <v>203</v>
      </c>
      <c r="AG190" s="43">
        <v>2.6</v>
      </c>
      <c r="AH190" s="39" t="s">
        <v>187</v>
      </c>
      <c r="AI190" s="39" t="s">
        <v>73</v>
      </c>
      <c r="AJ190" s="48">
        <f>IF(Q190&lt;&gt;"",Q190,IF(K190&lt;&gt;"",K190,""))</f>
        <v>46143</v>
      </c>
      <c r="AK190" s="46" t="str">
        <f>IF(K190&lt;&gt;"","Sim","")</f>
        <v>Sim</v>
      </c>
      <c r="AL190" s="46" t="str">
        <f>IF(A190="","",TEXT(A190,"000000")&amp;"-"&amp;IF(C190="Entrada","CR","DB"))</f>
        <v>000189-DB</v>
      </c>
      <c r="AM190" s="46" t="str">
        <f>IF(A190="","",LEFT(IF(H190&lt;&gt;"",H190,G190)&amp;" | "&amp;G190&amp;" | "&amp;S190,60))</f>
        <v>Lona 150 micras | Lona 150 micras | Saída | RADIER - 44,38 M</v>
      </c>
    </row>
    <row r="191" spans="1:39" ht="43.2" x14ac:dyDescent="0.3">
      <c r="A191" s="39">
        <v>190</v>
      </c>
      <c r="B191" s="39" t="s">
        <v>2</v>
      </c>
      <c r="C191" s="39" t="s">
        <v>74</v>
      </c>
      <c r="D191" s="39" t="s">
        <v>107</v>
      </c>
      <c r="E191" s="39" t="s">
        <v>108</v>
      </c>
      <c r="F191" s="39" t="s">
        <v>109</v>
      </c>
      <c r="G191" s="39" t="s">
        <v>110</v>
      </c>
      <c r="H191" s="40"/>
      <c r="I191" s="40"/>
      <c r="J191" s="40"/>
      <c r="K191" s="42">
        <v>46143</v>
      </c>
      <c r="L191" s="42"/>
      <c r="M191" s="44"/>
      <c r="N191" s="40"/>
      <c r="O191" s="40"/>
      <c r="P191" s="40"/>
      <c r="Q191" s="42">
        <f>IF(K191="","",K191)</f>
        <v>46143</v>
      </c>
      <c r="R191" s="39" t="s">
        <v>107</v>
      </c>
      <c r="S191" s="39" t="s">
        <v>111</v>
      </c>
      <c r="T191" s="39" t="s">
        <v>112</v>
      </c>
      <c r="U191" s="39"/>
      <c r="V191" s="39">
        <v>43</v>
      </c>
      <c r="W191" s="39" t="s">
        <v>272</v>
      </c>
      <c r="X191" s="41">
        <v>46132</v>
      </c>
      <c r="Y191" s="41">
        <v>46143</v>
      </c>
      <c r="Z191" s="43">
        <v>32000</v>
      </c>
      <c r="AA191" s="45">
        <f>IF(M191&lt;&gt;"",M191,Z191)</f>
        <v>32000</v>
      </c>
      <c r="AB191" s="46" t="str">
        <f>IF(L191&lt;&gt;"","Realizado","Previsto")</f>
        <v>Previsto</v>
      </c>
      <c r="AC191" s="47">
        <v>0.25</v>
      </c>
      <c r="AD191" s="43">
        <v>128000</v>
      </c>
      <c r="AE191" s="39">
        <v>64</v>
      </c>
      <c r="AF191" s="39" t="s">
        <v>113</v>
      </c>
      <c r="AG191" s="43">
        <v>2000</v>
      </c>
      <c r="AH191" s="39" t="s">
        <v>114</v>
      </c>
      <c r="AI191" s="39" t="s">
        <v>73</v>
      </c>
      <c r="AJ191" s="48">
        <f>IF(Q191&lt;&gt;"",Q191,IF(K191&lt;&gt;"",K191,""))</f>
        <v>46143</v>
      </c>
      <c r="AK191" s="46" t="str">
        <f>IF(K191&lt;&gt;"","Sim","")</f>
        <v>Sim</v>
      </c>
      <c r="AL191" s="46" t="str">
        <f>IF(A191="","",TEXT(A191,"000000")&amp;"-"&amp;IF(C191="Entrada","CR","DB"))</f>
        <v>000190-DB</v>
      </c>
      <c r="AM191" s="46" t="str">
        <f>IF(A191="","",LEFT(IF(H191&lt;&gt;"",H191,G191)&amp;" | "&amp;G191&amp;" | "&amp;S191,60))</f>
        <v>Mao de obra Terceirizada Radier | Mao de obra Terceirizada R</v>
      </c>
    </row>
    <row r="192" spans="1:39" ht="43.2" x14ac:dyDescent="0.3">
      <c r="A192" s="39">
        <v>191</v>
      </c>
      <c r="B192" s="39" t="s">
        <v>2</v>
      </c>
      <c r="C192" s="39" t="s">
        <v>74</v>
      </c>
      <c r="D192" s="39" t="s">
        <v>107</v>
      </c>
      <c r="E192" s="39" t="s">
        <v>108</v>
      </c>
      <c r="F192" s="39" t="s">
        <v>94</v>
      </c>
      <c r="G192" s="39" t="s">
        <v>204</v>
      </c>
      <c r="H192" s="40"/>
      <c r="I192" s="40"/>
      <c r="J192" s="40"/>
      <c r="K192" s="42">
        <v>46143</v>
      </c>
      <c r="L192" s="42"/>
      <c r="M192" s="44"/>
      <c r="N192" s="40"/>
      <c r="O192" s="40"/>
      <c r="P192" s="40"/>
      <c r="Q192" s="42">
        <f>IF(K192="","",K192)</f>
        <v>46143</v>
      </c>
      <c r="R192" s="39" t="s">
        <v>107</v>
      </c>
      <c r="S192" s="39" t="s">
        <v>111</v>
      </c>
      <c r="T192" s="39" t="s">
        <v>205</v>
      </c>
      <c r="U192" s="39"/>
      <c r="V192" s="39">
        <v>42</v>
      </c>
      <c r="W192" s="39" t="s">
        <v>272</v>
      </c>
      <c r="X192" s="41">
        <v>46132</v>
      </c>
      <c r="Y192" s="41">
        <v>46143</v>
      </c>
      <c r="Z192" s="43">
        <v>1600</v>
      </c>
      <c r="AA192" s="45">
        <f>IF(M192&lt;&gt;"",M192,Z192)</f>
        <v>1600</v>
      </c>
      <c r="AB192" s="46" t="str">
        <f>IF(L192&lt;&gt;"","Realizado","Previsto")</f>
        <v>Previsto</v>
      </c>
      <c r="AC192" s="47">
        <v>0.5</v>
      </c>
      <c r="AD192" s="43">
        <v>3200</v>
      </c>
      <c r="AE192" s="39">
        <v>21.333333333333329</v>
      </c>
      <c r="AF192" s="39" t="s">
        <v>206</v>
      </c>
      <c r="AG192" s="43">
        <v>150</v>
      </c>
      <c r="AH192" s="39" t="s">
        <v>207</v>
      </c>
      <c r="AI192" s="39" t="s">
        <v>73</v>
      </c>
      <c r="AJ192" s="48">
        <f>IF(Q192&lt;&gt;"",Q192,IF(K192&lt;&gt;"",K192,""))</f>
        <v>46143</v>
      </c>
      <c r="AK192" s="46" t="str">
        <f>IF(K192&lt;&gt;"","Sim","")</f>
        <v>Sim</v>
      </c>
      <c r="AL192" s="46" t="str">
        <f>IF(A192="","",TEXT(A192,"000000")&amp;"-"&amp;IF(C192="Entrada","CR","DB"))</f>
        <v>000191-DB</v>
      </c>
      <c r="AM192" s="46" t="str">
        <f>IF(A192="","",LEFT(IF(H192&lt;&gt;"",H192,G192)&amp;" | "&amp;G192&amp;" | "&amp;S192,60))</f>
        <v>Placa vibratoria reversivél CR5 | Placa vibratoria reversivé</v>
      </c>
    </row>
    <row r="193" spans="1:39" ht="43.2" x14ac:dyDescent="0.3">
      <c r="A193" s="39">
        <v>192</v>
      </c>
      <c r="B193" s="39" t="s">
        <v>2</v>
      </c>
      <c r="C193" s="39" t="s">
        <v>74</v>
      </c>
      <c r="D193" s="39" t="s">
        <v>107</v>
      </c>
      <c r="E193" s="39" t="s">
        <v>108</v>
      </c>
      <c r="F193" s="39" t="s">
        <v>167</v>
      </c>
      <c r="G193" s="39" t="s">
        <v>208</v>
      </c>
      <c r="H193" s="40"/>
      <c r="I193" s="40"/>
      <c r="J193" s="40"/>
      <c r="K193" s="42">
        <v>46143</v>
      </c>
      <c r="L193" s="42"/>
      <c r="M193" s="44"/>
      <c r="N193" s="40"/>
      <c r="O193" s="40"/>
      <c r="P193" s="40"/>
      <c r="Q193" s="42">
        <f>IF(K193="","",K193)</f>
        <v>46143</v>
      </c>
      <c r="R193" s="39" t="s">
        <v>107</v>
      </c>
      <c r="S193" s="39" t="s">
        <v>111</v>
      </c>
      <c r="T193" s="39" t="s">
        <v>169</v>
      </c>
      <c r="U193" s="39"/>
      <c r="V193" s="39">
        <v>46</v>
      </c>
      <c r="W193" s="39" t="s">
        <v>272</v>
      </c>
      <c r="X193" s="41">
        <v>46132</v>
      </c>
      <c r="Y193" s="41">
        <v>46143</v>
      </c>
      <c r="Z193" s="43">
        <v>917.5</v>
      </c>
      <c r="AA193" s="45">
        <f>IF(M193&lt;&gt;"",M193,Z193)</f>
        <v>917.5</v>
      </c>
      <c r="AB193" s="46" t="str">
        <f>IF(L193&lt;&gt;"","Realizado","Previsto")</f>
        <v>Previsto</v>
      </c>
      <c r="AC193" s="47">
        <v>0.5</v>
      </c>
      <c r="AD193" s="43">
        <v>1835</v>
      </c>
      <c r="AE193" s="39">
        <v>140</v>
      </c>
      <c r="AF193" s="39" t="s">
        <v>149</v>
      </c>
      <c r="AG193" s="43">
        <v>13.107142857142859</v>
      </c>
      <c r="AH193" s="39" t="s">
        <v>170</v>
      </c>
      <c r="AI193" s="39" t="s">
        <v>73</v>
      </c>
      <c r="AJ193" s="48">
        <f>IF(Q193&lt;&gt;"",Q193,IF(K193&lt;&gt;"",K193,""))</f>
        <v>46143</v>
      </c>
      <c r="AK193" s="46" t="str">
        <f>IF(K193&lt;&gt;"","Sim","")</f>
        <v>Sim</v>
      </c>
      <c r="AL193" s="46" t="str">
        <f>IF(A193="","",TEXT(A193,"000000")&amp;"-"&amp;IF(C193="Entrada","CR","DB"))</f>
        <v>000192-DB</v>
      </c>
      <c r="AM193" s="46" t="str">
        <f>IF(A193="","",LEFT(IF(H193&lt;&gt;"",H193,G193)&amp;" | "&amp;G193&amp;" | "&amp;S193,60))</f>
        <v>Prego 17 x 27 cabeça dupla | Prego 17 x 27 cabeça dupla | Sa</v>
      </c>
    </row>
    <row r="194" spans="1:39" ht="43.2" x14ac:dyDescent="0.3">
      <c r="A194" s="39">
        <v>193</v>
      </c>
      <c r="B194" s="39" t="s">
        <v>2</v>
      </c>
      <c r="C194" s="39" t="s">
        <v>74</v>
      </c>
      <c r="D194" s="39" t="s">
        <v>107</v>
      </c>
      <c r="E194" s="39" t="s">
        <v>108</v>
      </c>
      <c r="F194" s="39" t="s">
        <v>197</v>
      </c>
      <c r="G194" s="39" t="s">
        <v>209</v>
      </c>
      <c r="H194" s="40"/>
      <c r="I194" s="40"/>
      <c r="J194" s="40"/>
      <c r="K194" s="42">
        <v>46143</v>
      </c>
      <c r="L194" s="42"/>
      <c r="M194" s="44"/>
      <c r="N194" s="40"/>
      <c r="O194" s="40"/>
      <c r="P194" s="40"/>
      <c r="Q194" s="42">
        <f>IF(K194="","",K194)</f>
        <v>46143</v>
      </c>
      <c r="R194" s="39" t="s">
        <v>107</v>
      </c>
      <c r="S194" s="39" t="s">
        <v>111</v>
      </c>
      <c r="T194" s="39" t="s">
        <v>199</v>
      </c>
      <c r="U194" s="39"/>
      <c r="V194" s="39">
        <v>39</v>
      </c>
      <c r="W194" s="39" t="s">
        <v>272</v>
      </c>
      <c r="X194" s="41">
        <v>46132</v>
      </c>
      <c r="Y194" s="41">
        <v>46143</v>
      </c>
      <c r="Z194" s="43">
        <v>57</v>
      </c>
      <c r="AA194" s="45">
        <f>IF(M194&lt;&gt;"",M194,Z194)</f>
        <v>57</v>
      </c>
      <c r="AB194" s="46" t="str">
        <f>IF(L194&lt;&gt;"","Realizado","Previsto")</f>
        <v>Previsto</v>
      </c>
      <c r="AC194" s="47">
        <v>0.5</v>
      </c>
      <c r="AD194" s="43">
        <v>114</v>
      </c>
      <c r="AE194" s="39">
        <v>2</v>
      </c>
      <c r="AF194" s="39" t="s">
        <v>87</v>
      </c>
      <c r="AG194" s="43">
        <v>57</v>
      </c>
      <c r="AH194" s="39" t="s">
        <v>200</v>
      </c>
      <c r="AI194" s="39" t="s">
        <v>73</v>
      </c>
      <c r="AJ194" s="48">
        <f>IF(Q194&lt;&gt;"",Q194,IF(K194&lt;&gt;"",K194,""))</f>
        <v>46143</v>
      </c>
      <c r="AK194" s="46" t="str">
        <f>IF(K194&lt;&gt;"","Sim","")</f>
        <v>Sim</v>
      </c>
      <c r="AL194" s="46" t="str">
        <f>IF(A194="","",TEXT(A194,"000000")&amp;"-"&amp;IF(C194="Entrada","CR","DB"))</f>
        <v>000193-DB</v>
      </c>
      <c r="AM194" s="46" t="str">
        <f>IF(A194="","",LEFT(IF(H194&lt;&gt;"",H194,G194)&amp;" | "&amp;G194&amp;" | "&amp;S194,60))</f>
        <v>impermeabilizante para lateral das chapas de compensado (lin</v>
      </c>
    </row>
    <row r="195" spans="1:39" ht="43.2" x14ac:dyDescent="0.3">
      <c r="A195" s="39">
        <v>194</v>
      </c>
      <c r="B195" s="39" t="s">
        <v>2</v>
      </c>
      <c r="C195" s="39" t="s">
        <v>74</v>
      </c>
      <c r="D195" s="39" t="s">
        <v>373</v>
      </c>
      <c r="E195" s="39" t="s">
        <v>230</v>
      </c>
      <c r="F195" s="39" t="s">
        <v>100</v>
      </c>
      <c r="G195" s="39" t="s">
        <v>374</v>
      </c>
      <c r="H195" s="40"/>
      <c r="I195" s="40"/>
      <c r="J195" s="40"/>
      <c r="K195" s="42">
        <v>46143</v>
      </c>
      <c r="L195" s="42"/>
      <c r="M195" s="44"/>
      <c r="N195" s="40"/>
      <c r="O195" s="40"/>
      <c r="P195" s="40"/>
      <c r="Q195" s="42">
        <f>IF(K195="","",K195)</f>
        <v>46143</v>
      </c>
      <c r="R195" s="39" t="s">
        <v>373</v>
      </c>
      <c r="S195" s="39" t="s">
        <v>375</v>
      </c>
      <c r="T195" s="39" t="s">
        <v>317</v>
      </c>
      <c r="U195" s="39" t="s">
        <v>275</v>
      </c>
      <c r="V195" s="39">
        <v>109</v>
      </c>
      <c r="W195" s="39" t="s">
        <v>272</v>
      </c>
      <c r="X195" s="41">
        <v>46132</v>
      </c>
      <c r="Y195" s="41">
        <v>46143</v>
      </c>
      <c r="Z195" s="43">
        <v>57600</v>
      </c>
      <c r="AA195" s="45">
        <f>IF(M195&lt;&gt;"",M195,Z195)</f>
        <v>57600</v>
      </c>
      <c r="AB195" s="46" t="str">
        <f>IF(L195&lt;&gt;"","Realizado","Previsto")</f>
        <v>Previsto</v>
      </c>
      <c r="AC195" s="47">
        <v>0.5</v>
      </c>
      <c r="AD195" s="43">
        <v>115200</v>
      </c>
      <c r="AE195" s="39">
        <v>2304</v>
      </c>
      <c r="AF195" s="39" t="s">
        <v>376</v>
      </c>
      <c r="AG195" s="43">
        <v>50</v>
      </c>
      <c r="AH195" s="39" t="s">
        <v>318</v>
      </c>
      <c r="AI195" s="39" t="s">
        <v>73</v>
      </c>
      <c r="AJ195" s="48">
        <f>IF(Q195&lt;&gt;"",Q195,IF(K195&lt;&gt;"",K195,""))</f>
        <v>46143</v>
      </c>
      <c r="AK195" s="46" t="str">
        <f>IF(K195&lt;&gt;"","Sim","")</f>
        <v>Sim</v>
      </c>
      <c r="AL195" s="46" t="str">
        <f>IF(A195="","",TEXT(A195,"000000")&amp;"-"&amp;IF(C195="Entrada","CR","DB"))</f>
        <v>000194-DB</v>
      </c>
      <c r="AM195" s="46" t="str">
        <f>IF(A195="","",LEFT(IF(H195&lt;&gt;"",H195,G195)&amp;" | "&amp;G195&amp;" | "&amp;S195,60))</f>
        <v>Rufos e calhas | Rufos e calhas | Saída | RUFOS</v>
      </c>
    </row>
    <row r="196" spans="1:39" ht="43.2" x14ac:dyDescent="0.3">
      <c r="A196" s="39">
        <v>195</v>
      </c>
      <c r="B196" s="39" t="s">
        <v>2</v>
      </c>
      <c r="C196" s="39" t="s">
        <v>74</v>
      </c>
      <c r="D196" s="39" t="s">
        <v>120</v>
      </c>
      <c r="E196" s="39" t="s">
        <v>120</v>
      </c>
      <c r="F196" s="39" t="s">
        <v>120</v>
      </c>
      <c r="G196" s="39" t="s">
        <v>121</v>
      </c>
      <c r="H196" s="40"/>
      <c r="I196" s="40"/>
      <c r="J196" s="40"/>
      <c r="K196" s="42">
        <v>46143</v>
      </c>
      <c r="L196" s="42"/>
      <c r="M196" s="44"/>
      <c r="N196" s="40"/>
      <c r="O196" s="40"/>
      <c r="P196" s="40"/>
      <c r="Q196" s="42">
        <f>IF(K196="","",K196)</f>
        <v>46143</v>
      </c>
      <c r="R196" s="39" t="s">
        <v>120</v>
      </c>
      <c r="S196" s="39" t="s">
        <v>122</v>
      </c>
      <c r="T196" s="39" t="s">
        <v>123</v>
      </c>
      <c r="U196" s="39"/>
      <c r="V196" s="39">
        <v>267</v>
      </c>
      <c r="W196" s="39" t="s">
        <v>272</v>
      </c>
      <c r="X196" s="41">
        <v>46132</v>
      </c>
      <c r="Y196" s="41">
        <v>46143</v>
      </c>
      <c r="Z196" s="43">
        <v>839152.04295291519</v>
      </c>
      <c r="AA196" s="45">
        <f>IF(M196&lt;&gt;"",M196,Z196)</f>
        <v>839152.04295291519</v>
      </c>
      <c r="AB196" s="46" t="str">
        <f>IF(L196&lt;&gt;"","Realizado","Previsto")</f>
        <v>Previsto</v>
      </c>
      <c r="AC196" s="47"/>
      <c r="AD196" s="43">
        <v>5780911.3615999985</v>
      </c>
      <c r="AE196" s="39"/>
      <c r="AF196" s="39" t="s">
        <v>79</v>
      </c>
      <c r="AG196" s="43"/>
      <c r="AH196" s="39"/>
      <c r="AI196" s="39" t="s">
        <v>73</v>
      </c>
      <c r="AJ196" s="48">
        <f>IF(Q196&lt;&gt;"",Q196,IF(K196&lt;&gt;"",K196,""))</f>
        <v>46143</v>
      </c>
      <c r="AK196" s="46" t="str">
        <f>IF(K196&lt;&gt;"","Sim","")</f>
        <v>Sim</v>
      </c>
      <c r="AL196" s="46" t="str">
        <f>IF(A196="","",TEXT(A196,"000000")&amp;"-"&amp;IF(C196="Entrada","CR","DB"))</f>
        <v>000195-DB</v>
      </c>
      <c r="AM196" s="46" t="str">
        <f>IF(A196="","",LEFT(IF(H196&lt;&gt;"",H196,G196)&amp;" | "&amp;G196&amp;" | "&amp;S196,60))</f>
        <v>TOTALIZADOR CUSTO GLOBAIS OBRAS - MENSAL | TOTALIZADOR CUSTO</v>
      </c>
    </row>
    <row r="197" spans="1:39" ht="43.2" x14ac:dyDescent="0.3">
      <c r="A197" s="39">
        <v>196</v>
      </c>
      <c r="B197" s="39" t="s">
        <v>2</v>
      </c>
      <c r="C197" s="39" t="s">
        <v>74</v>
      </c>
      <c r="D197" s="39" t="s">
        <v>259</v>
      </c>
      <c r="E197" s="39" t="s">
        <v>260</v>
      </c>
      <c r="F197" s="39" t="s">
        <v>184</v>
      </c>
      <c r="G197" s="39" t="s">
        <v>367</v>
      </c>
      <c r="H197" s="40"/>
      <c r="I197" s="40"/>
      <c r="J197" s="40"/>
      <c r="K197" s="42">
        <v>46143</v>
      </c>
      <c r="L197" s="42"/>
      <c r="M197" s="44"/>
      <c r="N197" s="40"/>
      <c r="O197" s="40"/>
      <c r="P197" s="40"/>
      <c r="Q197" s="42">
        <f>IF(K197="","",K197)</f>
        <v>46143</v>
      </c>
      <c r="R197" s="39" t="s">
        <v>259</v>
      </c>
      <c r="S197" s="39" t="s">
        <v>262</v>
      </c>
      <c r="T197" s="39" t="s">
        <v>377</v>
      </c>
      <c r="U197" s="39" t="s">
        <v>275</v>
      </c>
      <c r="V197" s="39">
        <v>126</v>
      </c>
      <c r="W197" s="39" t="s">
        <v>272</v>
      </c>
      <c r="X197" s="41">
        <v>46132</v>
      </c>
      <c r="Y197" s="41">
        <v>46143</v>
      </c>
      <c r="Z197" s="43">
        <v>217.28</v>
      </c>
      <c r="AA197" s="45">
        <f>IF(M197&lt;&gt;"",M197,Z197)</f>
        <v>217.28</v>
      </c>
      <c r="AB197" s="46" t="str">
        <f>IF(L197&lt;&gt;"","Realizado","Previsto")</f>
        <v>Previsto</v>
      </c>
      <c r="AC197" s="47">
        <v>0.5</v>
      </c>
      <c r="AD197" s="43">
        <v>434.56</v>
      </c>
      <c r="AE197" s="39">
        <v>32</v>
      </c>
      <c r="AF197" s="39" t="s">
        <v>378</v>
      </c>
      <c r="AG197" s="43">
        <v>13.58</v>
      </c>
      <c r="AH197" s="39" t="s">
        <v>379</v>
      </c>
      <c r="AI197" s="39" t="s">
        <v>73</v>
      </c>
      <c r="AJ197" s="48">
        <f>IF(Q197&lt;&gt;"",Q197,IF(K197&lt;&gt;"",K197,""))</f>
        <v>46143</v>
      </c>
      <c r="AK197" s="46" t="str">
        <f>IF(K197&lt;&gt;"","Sim","")</f>
        <v>Sim</v>
      </c>
      <c r="AL197" s="46" t="str">
        <f>IF(A197="","",TEXT(A197,"000000")&amp;"-"&amp;IF(C197="Entrada","CR","DB"))</f>
        <v>000196-DB</v>
      </c>
      <c r="AM197" s="46" t="str">
        <f>IF(A197="","",LEFT(IF(H197&lt;&gt;"",H197,G197)&amp;" | "&amp;G197&amp;" | "&amp;S197,60))</f>
        <v>Argamassa colante AC I | Argamassa colante AC I | Saída | SO</v>
      </c>
    </row>
    <row r="198" spans="1:39" ht="43.2" x14ac:dyDescent="0.3">
      <c r="A198" s="39">
        <v>197</v>
      </c>
      <c r="B198" s="39" t="s">
        <v>2</v>
      </c>
      <c r="C198" s="39" t="s">
        <v>74</v>
      </c>
      <c r="D198" s="39" t="s">
        <v>259</v>
      </c>
      <c r="E198" s="39" t="s">
        <v>260</v>
      </c>
      <c r="F198" s="39" t="s">
        <v>109</v>
      </c>
      <c r="G198" s="39" t="s">
        <v>261</v>
      </c>
      <c r="H198" s="40"/>
      <c r="I198" s="40"/>
      <c r="J198" s="40"/>
      <c r="K198" s="42">
        <v>46143</v>
      </c>
      <c r="L198" s="42"/>
      <c r="M198" s="44"/>
      <c r="N198" s="40"/>
      <c r="O198" s="40"/>
      <c r="P198" s="40"/>
      <c r="Q198" s="42">
        <f>IF(K198="","",K198)</f>
        <v>46143</v>
      </c>
      <c r="R198" s="39" t="s">
        <v>259</v>
      </c>
      <c r="S198" s="39" t="s">
        <v>262</v>
      </c>
      <c r="T198" s="39" t="s">
        <v>263</v>
      </c>
      <c r="U198" s="39" t="s">
        <v>215</v>
      </c>
      <c r="V198" s="39">
        <v>128</v>
      </c>
      <c r="W198" s="39" t="s">
        <v>272</v>
      </c>
      <c r="X198" s="41">
        <v>46132</v>
      </c>
      <c r="Y198" s="41">
        <v>46143</v>
      </c>
      <c r="Z198" s="43">
        <v>300.16000000000003</v>
      </c>
      <c r="AA198" s="45">
        <f>IF(M198&lt;&gt;"",M198,Z198)</f>
        <v>300.16000000000003</v>
      </c>
      <c r="AB198" s="46" t="str">
        <f>IF(L198&lt;&gt;"","Realizado","Previsto")</f>
        <v>Previsto</v>
      </c>
      <c r="AC198" s="47">
        <v>9.3799999999999994E-2</v>
      </c>
      <c r="AD198" s="43">
        <v>3200</v>
      </c>
      <c r="AE198" s="39">
        <v>64</v>
      </c>
      <c r="AF198" s="39" t="s">
        <v>87</v>
      </c>
      <c r="AG198" s="43">
        <v>50</v>
      </c>
      <c r="AH198" s="39" t="s">
        <v>264</v>
      </c>
      <c r="AI198" s="39" t="s">
        <v>73</v>
      </c>
      <c r="AJ198" s="48">
        <f>IF(Q198&lt;&gt;"",Q198,IF(K198&lt;&gt;"",K198,""))</f>
        <v>46143</v>
      </c>
      <c r="AK198" s="46" t="str">
        <f>IF(K198&lt;&gt;"","Sim","")</f>
        <v>Sim</v>
      </c>
      <c r="AL198" s="46" t="str">
        <f>IF(A198="","",TEXT(A198,"000000")&amp;"-"&amp;IF(C198="Entrada","CR","DB"))</f>
        <v>000197-DB</v>
      </c>
      <c r="AM198" s="46" t="str">
        <f>IF(A198="","",LEFT(IF(H198&lt;&gt;"",H198,G198)&amp;" | "&amp;G198&amp;" | "&amp;S198,60))</f>
        <v>Assentamento Soleira em basalto  0,84 x 0,125 x 0,02 - cozin</v>
      </c>
    </row>
    <row r="199" spans="1:39" ht="43.2" x14ac:dyDescent="0.3">
      <c r="A199" s="39">
        <v>198</v>
      </c>
      <c r="B199" s="39" t="s">
        <v>2</v>
      </c>
      <c r="C199" s="39" t="s">
        <v>74</v>
      </c>
      <c r="D199" s="39" t="s">
        <v>259</v>
      </c>
      <c r="E199" s="39" t="s">
        <v>260</v>
      </c>
      <c r="F199" s="39" t="s">
        <v>109</v>
      </c>
      <c r="G199" s="39" t="s">
        <v>265</v>
      </c>
      <c r="H199" s="40"/>
      <c r="I199" s="40"/>
      <c r="J199" s="40"/>
      <c r="K199" s="42">
        <v>46143</v>
      </c>
      <c r="L199" s="42"/>
      <c r="M199" s="44"/>
      <c r="N199" s="40"/>
      <c r="O199" s="40"/>
      <c r="P199" s="40"/>
      <c r="Q199" s="42">
        <f>IF(K199="","",K199)</f>
        <v>46143</v>
      </c>
      <c r="R199" s="39" t="s">
        <v>259</v>
      </c>
      <c r="S199" s="39" t="s">
        <v>262</v>
      </c>
      <c r="T199" s="39" t="s">
        <v>263</v>
      </c>
      <c r="U199" s="39" t="s">
        <v>215</v>
      </c>
      <c r="V199" s="39">
        <v>127</v>
      </c>
      <c r="W199" s="39" t="s">
        <v>272</v>
      </c>
      <c r="X199" s="41">
        <v>46132</v>
      </c>
      <c r="Y199" s="41">
        <v>46143</v>
      </c>
      <c r="Z199" s="43">
        <v>300.16000000000003</v>
      </c>
      <c r="AA199" s="45">
        <f>IF(M199&lt;&gt;"",M199,Z199)</f>
        <v>300.16000000000003</v>
      </c>
      <c r="AB199" s="46" t="str">
        <f>IF(L199&lt;&gt;"","Realizado","Previsto")</f>
        <v>Previsto</v>
      </c>
      <c r="AC199" s="47">
        <v>9.3799999999999994E-2</v>
      </c>
      <c r="AD199" s="43">
        <v>3200</v>
      </c>
      <c r="AE199" s="39">
        <v>64</v>
      </c>
      <c r="AF199" s="39" t="s">
        <v>87</v>
      </c>
      <c r="AG199" s="43">
        <v>50</v>
      </c>
      <c r="AH199" s="39" t="s">
        <v>264</v>
      </c>
      <c r="AI199" s="39" t="s">
        <v>73</v>
      </c>
      <c r="AJ199" s="48">
        <f>IF(Q199&lt;&gt;"",Q199,IF(K199&lt;&gt;"",K199,""))</f>
        <v>46143</v>
      </c>
      <c r="AK199" s="46" t="str">
        <f>IF(K199&lt;&gt;"","Sim","")</f>
        <v>Sim</v>
      </c>
      <c r="AL199" s="46" t="str">
        <f>IF(A199="","",TEXT(A199,"000000")&amp;"-"&amp;IF(C199="Entrada","CR","DB"))</f>
        <v>000198-DB</v>
      </c>
      <c r="AM199" s="46" t="str">
        <f>IF(A199="","",LEFT(IF(H199&lt;&gt;"",H199,G199)&amp;" | "&amp;G199&amp;" | "&amp;S199,60))</f>
        <v>Assentamento Soleira em basalto  0,94 x 0,125 x 0,02 - entra</v>
      </c>
    </row>
    <row r="200" spans="1:39" ht="43.2" x14ac:dyDescent="0.3">
      <c r="A200" s="39">
        <v>199</v>
      </c>
      <c r="B200" s="39" t="s">
        <v>2</v>
      </c>
      <c r="C200" s="39" t="s">
        <v>74</v>
      </c>
      <c r="D200" s="39" t="s">
        <v>259</v>
      </c>
      <c r="E200" s="39" t="s">
        <v>260</v>
      </c>
      <c r="F200" s="39" t="s">
        <v>281</v>
      </c>
      <c r="G200" s="39" t="s">
        <v>380</v>
      </c>
      <c r="H200" s="40"/>
      <c r="I200" s="40"/>
      <c r="J200" s="40"/>
      <c r="K200" s="42">
        <v>46143</v>
      </c>
      <c r="L200" s="42"/>
      <c r="M200" s="44"/>
      <c r="N200" s="40"/>
      <c r="O200" s="40"/>
      <c r="P200" s="40"/>
      <c r="Q200" s="42">
        <f>IF(K200="","",K200)</f>
        <v>46143</v>
      </c>
      <c r="R200" s="39" t="s">
        <v>259</v>
      </c>
      <c r="S200" s="39" t="s">
        <v>262</v>
      </c>
      <c r="T200" s="39" t="s">
        <v>381</v>
      </c>
      <c r="U200" s="39" t="s">
        <v>275</v>
      </c>
      <c r="V200" s="39">
        <v>125</v>
      </c>
      <c r="W200" s="39" t="s">
        <v>272</v>
      </c>
      <c r="X200" s="41">
        <v>46132</v>
      </c>
      <c r="Y200" s="41">
        <v>46143</v>
      </c>
      <c r="Z200" s="43">
        <v>2240</v>
      </c>
      <c r="AA200" s="45">
        <f>IF(M200&lt;&gt;"",M200,Z200)</f>
        <v>2240</v>
      </c>
      <c r="AB200" s="46" t="str">
        <f>IF(L200&lt;&gt;"","Realizado","Previsto")</f>
        <v>Previsto</v>
      </c>
      <c r="AC200" s="47">
        <v>0.5</v>
      </c>
      <c r="AD200" s="43">
        <v>4480</v>
      </c>
      <c r="AE200" s="39">
        <v>64</v>
      </c>
      <c r="AF200" s="39" t="s">
        <v>87</v>
      </c>
      <c r="AG200" s="43">
        <v>70</v>
      </c>
      <c r="AH200" s="39" t="s">
        <v>382</v>
      </c>
      <c r="AI200" s="39" t="s">
        <v>73</v>
      </c>
      <c r="AJ200" s="48">
        <f>IF(Q200&lt;&gt;"",Q200,IF(K200&lt;&gt;"",K200,""))</f>
        <v>46143</v>
      </c>
      <c r="AK200" s="46" t="str">
        <f>IF(K200&lt;&gt;"","Sim","")</f>
        <v>Sim</v>
      </c>
      <c r="AL200" s="46" t="str">
        <f>IF(A200="","",TEXT(A200,"000000")&amp;"-"&amp;IF(C200="Entrada","CR","DB"))</f>
        <v>000199-DB</v>
      </c>
      <c r="AM200" s="46" t="str">
        <f>IF(A200="","",LEFT(IF(H200&lt;&gt;"",H200,G200)&amp;" | "&amp;G200&amp;" | "&amp;S200,60))</f>
        <v xml:space="preserve">Soleira em basalto  0,84 x 0,125 x 0,02 - cozinha | Soleira </v>
      </c>
    </row>
    <row r="201" spans="1:39" ht="43.2" x14ac:dyDescent="0.3">
      <c r="A201" s="39">
        <v>200</v>
      </c>
      <c r="B201" s="39" t="s">
        <v>2</v>
      </c>
      <c r="C201" s="39" t="s">
        <v>74</v>
      </c>
      <c r="D201" s="39" t="s">
        <v>259</v>
      </c>
      <c r="E201" s="39" t="s">
        <v>260</v>
      </c>
      <c r="F201" s="39" t="s">
        <v>281</v>
      </c>
      <c r="G201" s="39" t="s">
        <v>383</v>
      </c>
      <c r="H201" s="40"/>
      <c r="I201" s="40"/>
      <c r="J201" s="40"/>
      <c r="K201" s="42">
        <v>46143</v>
      </c>
      <c r="L201" s="42"/>
      <c r="M201" s="44"/>
      <c r="N201" s="40"/>
      <c r="O201" s="40"/>
      <c r="P201" s="40"/>
      <c r="Q201" s="42">
        <f>IF(K201="","",K201)</f>
        <v>46143</v>
      </c>
      <c r="R201" s="39" t="s">
        <v>259</v>
      </c>
      <c r="S201" s="39" t="s">
        <v>262</v>
      </c>
      <c r="T201" s="39" t="s">
        <v>381</v>
      </c>
      <c r="U201" s="39" t="s">
        <v>275</v>
      </c>
      <c r="V201" s="39">
        <v>124</v>
      </c>
      <c r="W201" s="39" t="s">
        <v>272</v>
      </c>
      <c r="X201" s="41">
        <v>46132</v>
      </c>
      <c r="Y201" s="41">
        <v>46143</v>
      </c>
      <c r="Z201" s="43">
        <v>2240</v>
      </c>
      <c r="AA201" s="45">
        <f>IF(M201&lt;&gt;"",M201,Z201)</f>
        <v>2240</v>
      </c>
      <c r="AB201" s="46" t="str">
        <f>IF(L201&lt;&gt;"","Realizado","Previsto")</f>
        <v>Previsto</v>
      </c>
      <c r="AC201" s="47">
        <v>0.5</v>
      </c>
      <c r="AD201" s="43">
        <v>4480</v>
      </c>
      <c r="AE201" s="39">
        <v>64</v>
      </c>
      <c r="AF201" s="39" t="s">
        <v>87</v>
      </c>
      <c r="AG201" s="43">
        <v>70</v>
      </c>
      <c r="AH201" s="39" t="s">
        <v>382</v>
      </c>
      <c r="AI201" s="39" t="s">
        <v>73</v>
      </c>
      <c r="AJ201" s="48">
        <f>IF(Q201&lt;&gt;"",Q201,IF(K201&lt;&gt;"",K201,""))</f>
        <v>46143</v>
      </c>
      <c r="AK201" s="46" t="str">
        <f>IF(K201&lt;&gt;"","Sim","")</f>
        <v>Sim</v>
      </c>
      <c r="AL201" s="46" t="str">
        <f>IF(A201="","",TEXT(A201,"000000")&amp;"-"&amp;IF(C201="Entrada","CR","DB"))</f>
        <v>000200-DB</v>
      </c>
      <c r="AM201" s="46" t="str">
        <f>IF(A201="","",LEFT(IF(H201&lt;&gt;"",H201,G201)&amp;" | "&amp;G201&amp;" | "&amp;S201,60))</f>
        <v xml:space="preserve">Soleira em basalto  0,94 x 0,125 x 0,02 - entrada | Soleira </v>
      </c>
    </row>
    <row r="202" spans="1:39" ht="43.2" x14ac:dyDescent="0.3">
      <c r="A202" s="39">
        <v>201</v>
      </c>
      <c r="B202" s="39" t="s">
        <v>2</v>
      </c>
      <c r="C202" s="39" t="s">
        <v>74</v>
      </c>
      <c r="D202" s="39" t="s">
        <v>266</v>
      </c>
      <c r="E202" s="39" t="s">
        <v>267</v>
      </c>
      <c r="F202" s="39" t="s">
        <v>109</v>
      </c>
      <c r="G202" s="39" t="s">
        <v>268</v>
      </c>
      <c r="H202" s="40"/>
      <c r="I202" s="40"/>
      <c r="J202" s="40"/>
      <c r="K202" s="42">
        <v>46143</v>
      </c>
      <c r="L202" s="42"/>
      <c r="M202" s="44"/>
      <c r="N202" s="40"/>
      <c r="O202" s="40"/>
      <c r="P202" s="40"/>
      <c r="Q202" s="42">
        <f>IF(K202="","",K202)</f>
        <v>46143</v>
      </c>
      <c r="R202" s="39" t="s">
        <v>266</v>
      </c>
      <c r="S202" s="39" t="s">
        <v>269</v>
      </c>
      <c r="T202" s="39" t="s">
        <v>270</v>
      </c>
      <c r="U202" s="39" t="s">
        <v>215</v>
      </c>
      <c r="V202" s="39">
        <v>163</v>
      </c>
      <c r="W202" s="39" t="s">
        <v>272</v>
      </c>
      <c r="X202" s="41">
        <v>46132</v>
      </c>
      <c r="Y202" s="41">
        <v>46143</v>
      </c>
      <c r="Z202" s="43">
        <v>4280.2215679999999</v>
      </c>
      <c r="AA202" s="45">
        <f>IF(M202&lt;&gt;"",M202,Z202)</f>
        <v>4280.2215679999999</v>
      </c>
      <c r="AB202" s="46" t="str">
        <f>IF(L202&lt;&gt;"","Realizado","Previsto")</f>
        <v>Previsto</v>
      </c>
      <c r="AC202" s="47">
        <v>9.3799999999999994E-2</v>
      </c>
      <c r="AD202" s="43">
        <v>45631.360000000001</v>
      </c>
      <c r="AE202" s="39">
        <v>5564.8</v>
      </c>
      <c r="AF202" s="39" t="s">
        <v>203</v>
      </c>
      <c r="AG202" s="43">
        <v>8.1999999999999993</v>
      </c>
      <c r="AH202" s="39" t="s">
        <v>271</v>
      </c>
      <c r="AI202" s="39" t="s">
        <v>73</v>
      </c>
      <c r="AJ202" s="48">
        <f>IF(Q202&lt;&gt;"",Q202,IF(K202&lt;&gt;"",K202,""))</f>
        <v>46143</v>
      </c>
      <c r="AK202" s="46" t="str">
        <f>IF(K202&lt;&gt;"","Sim","")</f>
        <v>Sim</v>
      </c>
      <c r="AL202" s="46" t="str">
        <f>IF(A202="","",TEXT(A202,"000000")&amp;"-"&amp;IF(C202="Entrada","CR","DB"))</f>
        <v>000201-DB</v>
      </c>
      <c r="AM202" s="46" t="str">
        <f>IF(A202="","",LEFT(IF(H202&lt;&gt;"",H202,G202)&amp;" | "&amp;G202&amp;" | "&amp;S202,60))</f>
        <v>Mao de obra terceirizada Textura externa | Mao de obra terce</v>
      </c>
    </row>
    <row r="203" spans="1:39" ht="43.2" x14ac:dyDescent="0.3">
      <c r="A203" s="39">
        <v>202</v>
      </c>
      <c r="B203" s="39" t="s">
        <v>2</v>
      </c>
      <c r="C203" s="39" t="s">
        <v>74</v>
      </c>
      <c r="D203" s="39" t="s">
        <v>266</v>
      </c>
      <c r="E203" s="39" t="s">
        <v>267</v>
      </c>
      <c r="F203" s="39" t="s">
        <v>324</v>
      </c>
      <c r="G203" s="39" t="s">
        <v>384</v>
      </c>
      <c r="H203" s="40"/>
      <c r="I203" s="40"/>
      <c r="J203" s="40"/>
      <c r="K203" s="42">
        <v>46143</v>
      </c>
      <c r="L203" s="42"/>
      <c r="M203" s="44"/>
      <c r="N203" s="40"/>
      <c r="O203" s="40"/>
      <c r="P203" s="40"/>
      <c r="Q203" s="42">
        <f>IF(K203="","",K203)</f>
        <v>46143</v>
      </c>
      <c r="R203" s="39" t="s">
        <v>266</v>
      </c>
      <c r="S203" s="39" t="s">
        <v>269</v>
      </c>
      <c r="T203" s="39" t="s">
        <v>385</v>
      </c>
      <c r="U203" s="39" t="s">
        <v>275</v>
      </c>
      <c r="V203" s="39">
        <v>162</v>
      </c>
      <c r="W203" s="39" t="s">
        <v>272</v>
      </c>
      <c r="X203" s="41">
        <v>46132</v>
      </c>
      <c r="Y203" s="41">
        <v>46143</v>
      </c>
      <c r="Z203" s="43">
        <v>24000</v>
      </c>
      <c r="AA203" s="45">
        <f>IF(M203&lt;&gt;"",M203,Z203)</f>
        <v>24000</v>
      </c>
      <c r="AB203" s="46" t="str">
        <f>IF(L203&lt;&gt;"","Realizado","Previsto")</f>
        <v>Previsto</v>
      </c>
      <c r="AC203" s="47">
        <v>0.5</v>
      </c>
      <c r="AD203" s="43">
        <v>48000</v>
      </c>
      <c r="AE203" s="39">
        <v>640</v>
      </c>
      <c r="AF203" s="39" t="s">
        <v>330</v>
      </c>
      <c r="AG203" s="43">
        <v>75</v>
      </c>
      <c r="AH203" s="39" t="s">
        <v>386</v>
      </c>
      <c r="AI203" s="39" t="s">
        <v>73</v>
      </c>
      <c r="AJ203" s="48">
        <f>IF(Q203&lt;&gt;"",Q203,IF(K203&lt;&gt;"",K203,""))</f>
        <v>46143</v>
      </c>
      <c r="AK203" s="46" t="str">
        <f>IF(K203&lt;&gt;"","Sim","")</f>
        <v>Sim</v>
      </c>
      <c r="AL203" s="46" t="str">
        <f>IF(A203="","",TEXT(A203,"000000")&amp;"-"&amp;IF(C203="Entrada","CR","DB"))</f>
        <v>000202-DB</v>
      </c>
      <c r="AM203" s="46" t="str">
        <f>IF(A203="","",LEFT(IF(H203&lt;&gt;"",H203,G203)&amp;" | "&amp;G203&amp;" | "&amp;S203,60))</f>
        <v xml:space="preserve">Textura elastomerica na cor | Textura elastomerica na cor | </v>
      </c>
    </row>
    <row r="204" spans="1:39" ht="43.2" x14ac:dyDescent="0.3">
      <c r="A204" s="39">
        <v>203</v>
      </c>
      <c r="B204" s="39" t="s">
        <v>2</v>
      </c>
      <c r="C204" s="39" t="s">
        <v>66</v>
      </c>
      <c r="D204" s="39" t="s">
        <v>67</v>
      </c>
      <c r="E204" s="39" t="s">
        <v>67</v>
      </c>
      <c r="F204" s="39" t="s">
        <v>68</v>
      </c>
      <c r="G204" s="39" t="s">
        <v>69</v>
      </c>
      <c r="H204" s="40"/>
      <c r="I204" s="40"/>
      <c r="J204" s="40"/>
      <c r="K204" s="42">
        <v>46157</v>
      </c>
      <c r="L204" s="42"/>
      <c r="M204" s="44"/>
      <c r="N204" s="40"/>
      <c r="O204" s="40"/>
      <c r="P204" s="40"/>
      <c r="Q204" s="42">
        <f>IF(K204="","",K204)</f>
        <v>46157</v>
      </c>
      <c r="R204" s="39" t="s">
        <v>69</v>
      </c>
      <c r="S204" s="39" t="s">
        <v>70</v>
      </c>
      <c r="T204" s="39" t="s">
        <v>71</v>
      </c>
      <c r="U204" s="39"/>
      <c r="V204" s="39">
        <v>283</v>
      </c>
      <c r="W204" s="39" t="s">
        <v>387</v>
      </c>
      <c r="X204" s="41">
        <v>46146</v>
      </c>
      <c r="Y204" s="41">
        <v>46157</v>
      </c>
      <c r="Z204" s="43">
        <v>1110679.830144</v>
      </c>
      <c r="AA204" s="45">
        <f>IF(M204&lt;&gt;"",M204,Z204)</f>
        <v>1110679.830144</v>
      </c>
      <c r="AB204" s="46" t="str">
        <f>IF(L204&lt;&gt;"","Realizado","Previsto")</f>
        <v>Previsto</v>
      </c>
      <c r="AC204" s="47"/>
      <c r="AD204" s="43">
        <v>8079999.9191039996</v>
      </c>
      <c r="AE204" s="39"/>
      <c r="AF204" s="39"/>
      <c r="AG204" s="43"/>
      <c r="AH204" s="39"/>
      <c r="AI204" s="39" t="s">
        <v>73</v>
      </c>
      <c r="AJ204" s="48">
        <f>IF(Q204&lt;&gt;"",Q204,IF(K204&lt;&gt;"",K204,""))</f>
        <v>46157</v>
      </c>
      <c r="AK204" s="46" t="str">
        <f>IF(K204&lt;&gt;"","Sim","")</f>
        <v>Sim</v>
      </c>
      <c r="AL204" s="46" t="str">
        <f>IF(A204="","",TEXT(A204,"000000")&amp;"-"&amp;IF(C204="Entrada","CR","DB"))</f>
        <v>000203-CR</v>
      </c>
      <c r="AM204" s="46" t="str">
        <f>IF(A204="","",LEFT(IF(H204&lt;&gt;"",H204,G204)&amp;" | "&amp;G204&amp;" | "&amp;S204,60))</f>
        <v xml:space="preserve">MEDIÇÃO CONTRATUAL | MEDIÇÃO CONTRATUAL | Entrada | MEDIÇÃO </v>
      </c>
    </row>
    <row r="205" spans="1:39" ht="43.2" x14ac:dyDescent="0.3">
      <c r="A205" s="39">
        <v>204</v>
      </c>
      <c r="B205" s="39" t="s">
        <v>2</v>
      </c>
      <c r="C205" s="39" t="s">
        <v>74</v>
      </c>
      <c r="D205" s="39" t="s">
        <v>211</v>
      </c>
      <c r="E205" s="39" t="s">
        <v>211</v>
      </c>
      <c r="F205" s="39" t="s">
        <v>109</v>
      </c>
      <c r="G205" s="39" t="s">
        <v>212</v>
      </c>
      <c r="H205" s="40"/>
      <c r="I205" s="40"/>
      <c r="J205" s="40"/>
      <c r="K205" s="42">
        <v>46157</v>
      </c>
      <c r="L205" s="42"/>
      <c r="M205" s="44"/>
      <c r="N205" s="40"/>
      <c r="O205" s="40"/>
      <c r="P205" s="40"/>
      <c r="Q205" s="42">
        <f>IF(K205="","",K205)</f>
        <v>46157</v>
      </c>
      <c r="R205" s="39" t="s">
        <v>211</v>
      </c>
      <c r="S205" s="39" t="s">
        <v>213</v>
      </c>
      <c r="T205" s="39" t="s">
        <v>214</v>
      </c>
      <c r="U205" s="39" t="s">
        <v>215</v>
      </c>
      <c r="V205" s="39">
        <v>115</v>
      </c>
      <c r="W205" s="39" t="s">
        <v>387</v>
      </c>
      <c r="X205" s="41">
        <v>46146</v>
      </c>
      <c r="Y205" s="41">
        <v>46157</v>
      </c>
      <c r="Z205" s="43">
        <v>27009.912</v>
      </c>
      <c r="AA205" s="45">
        <f>IF(M205&lt;&gt;"",M205,Z205)</f>
        <v>27009.912</v>
      </c>
      <c r="AB205" s="46" t="str">
        <f>IF(L205&lt;&gt;"","Realizado","Previsto")</f>
        <v>Previsto</v>
      </c>
      <c r="AC205" s="47">
        <v>0.33695000000000003</v>
      </c>
      <c r="AD205" s="43">
        <v>80160</v>
      </c>
      <c r="AE205" s="39">
        <v>1603.2</v>
      </c>
      <c r="AF205" s="39" t="s">
        <v>203</v>
      </c>
      <c r="AG205" s="43">
        <v>50</v>
      </c>
      <c r="AH205" s="39" t="s">
        <v>216</v>
      </c>
      <c r="AI205" s="39" t="s">
        <v>73</v>
      </c>
      <c r="AJ205" s="48">
        <f>IF(Q205&lt;&gt;"",Q205,IF(K205&lt;&gt;"",K205,""))</f>
        <v>46157</v>
      </c>
      <c r="AK205" s="46" t="str">
        <f>IF(K205&lt;&gt;"","Sim","")</f>
        <v>Sim</v>
      </c>
      <c r="AL205" s="46" t="str">
        <f>IF(A205="","",TEXT(A205,"000000")&amp;"-"&amp;IF(C205="Entrada","CR","DB"))</f>
        <v>000204-DB</v>
      </c>
      <c r="AM205" s="46" t="str">
        <f>IF(A205="","",LEFT(IF(H205&lt;&gt;"",H205,G205)&amp;" | "&amp;G205&amp;" | "&amp;S205,60))</f>
        <v xml:space="preserve">Mao de obra terceirizada assentamento Azulejo | Mao de obra </v>
      </c>
    </row>
    <row r="206" spans="1:39" ht="43.2" x14ac:dyDescent="0.3">
      <c r="A206" s="39">
        <v>205</v>
      </c>
      <c r="B206" s="39" t="s">
        <v>2</v>
      </c>
      <c r="C206" s="39" t="s">
        <v>74</v>
      </c>
      <c r="D206" s="39" t="s">
        <v>217</v>
      </c>
      <c r="E206" s="39" t="s">
        <v>217</v>
      </c>
      <c r="F206" s="39" t="s">
        <v>178</v>
      </c>
      <c r="G206" s="39" t="s">
        <v>388</v>
      </c>
      <c r="H206" s="40"/>
      <c r="I206" s="40"/>
      <c r="J206" s="40"/>
      <c r="K206" s="42">
        <v>46157</v>
      </c>
      <c r="L206" s="42"/>
      <c r="M206" s="44"/>
      <c r="N206" s="40"/>
      <c r="O206" s="40"/>
      <c r="P206" s="40"/>
      <c r="Q206" s="42">
        <f>IF(K206="","",K206)</f>
        <v>46157</v>
      </c>
      <c r="R206" s="39" t="s">
        <v>217</v>
      </c>
      <c r="S206" s="39" t="s">
        <v>219</v>
      </c>
      <c r="T206" s="39" t="s">
        <v>389</v>
      </c>
      <c r="U206" s="39" t="s">
        <v>309</v>
      </c>
      <c r="V206" s="39">
        <v>95</v>
      </c>
      <c r="W206" s="39" t="s">
        <v>387</v>
      </c>
      <c r="X206" s="41">
        <v>46146</v>
      </c>
      <c r="Y206" s="41">
        <v>46157</v>
      </c>
      <c r="Z206" s="43">
        <v>448.44799999999998</v>
      </c>
      <c r="AA206" s="45">
        <f>IF(M206&lt;&gt;"",M206,Z206)</f>
        <v>448.44799999999998</v>
      </c>
      <c r="AB206" s="46" t="str">
        <f>IF(L206&lt;&gt;"","Realizado","Previsto")</f>
        <v>Previsto</v>
      </c>
      <c r="AC206" s="47">
        <v>1</v>
      </c>
      <c r="AD206" s="43">
        <v>448.44799999999998</v>
      </c>
      <c r="AE206" s="39">
        <v>4.9279999999999999</v>
      </c>
      <c r="AF206" s="39" t="s">
        <v>182</v>
      </c>
      <c r="AG206" s="43">
        <v>91</v>
      </c>
      <c r="AH206" s="39" t="s">
        <v>390</v>
      </c>
      <c r="AI206" s="39" t="s">
        <v>73</v>
      </c>
      <c r="AJ206" s="48">
        <f>IF(Q206&lt;&gt;"",Q206,IF(K206&lt;&gt;"",K206,""))</f>
        <v>46157</v>
      </c>
      <c r="AK206" s="46" t="str">
        <f>IF(K206&lt;&gt;"","Sim","")</f>
        <v>Sim</v>
      </c>
      <c r="AL206" s="46" t="str">
        <f>IF(A206="","",TEXT(A206,"000000")&amp;"-"&amp;IF(C206="Entrada","CR","DB"))</f>
        <v>000205-DB</v>
      </c>
      <c r="AM206" s="46" t="str">
        <f>IF(A206="","",LEFT(IF(H206&lt;&gt;"",H206,G206)&amp;" | "&amp;G206&amp;" | "&amp;S206,60))</f>
        <v>Areia grossa | Areia grossa | Saída | CAIXAS DE INSPEÇÃO E G</v>
      </c>
    </row>
    <row r="207" spans="1:39" ht="43.2" x14ac:dyDescent="0.3">
      <c r="A207" s="39">
        <v>206</v>
      </c>
      <c r="B207" s="39" t="s">
        <v>2</v>
      </c>
      <c r="C207" s="39" t="s">
        <v>74</v>
      </c>
      <c r="D207" s="39" t="s">
        <v>217</v>
      </c>
      <c r="E207" s="39" t="s">
        <v>217</v>
      </c>
      <c r="F207" s="39" t="s">
        <v>391</v>
      </c>
      <c r="G207" s="39" t="s">
        <v>392</v>
      </c>
      <c r="H207" s="40"/>
      <c r="I207" s="40"/>
      <c r="J207" s="40"/>
      <c r="K207" s="42">
        <v>46157</v>
      </c>
      <c r="L207" s="42"/>
      <c r="M207" s="44"/>
      <c r="N207" s="40"/>
      <c r="O207" s="40"/>
      <c r="P207" s="40"/>
      <c r="Q207" s="42">
        <f>IF(K207="","",K207)</f>
        <v>46157</v>
      </c>
      <c r="R207" s="39" t="s">
        <v>217</v>
      </c>
      <c r="S207" s="39" t="s">
        <v>219</v>
      </c>
      <c r="T207" s="39" t="s">
        <v>393</v>
      </c>
      <c r="U207" s="39" t="s">
        <v>309</v>
      </c>
      <c r="V207" s="39">
        <v>94</v>
      </c>
      <c r="W207" s="39" t="s">
        <v>387</v>
      </c>
      <c r="X207" s="41">
        <v>46146</v>
      </c>
      <c r="Y207" s="41">
        <v>46157</v>
      </c>
      <c r="Z207" s="43">
        <v>5760</v>
      </c>
      <c r="AA207" s="45">
        <f>IF(M207&lt;&gt;"",M207,Z207)</f>
        <v>5760</v>
      </c>
      <c r="AB207" s="46" t="str">
        <f>IF(L207&lt;&gt;"","Realizado","Previsto")</f>
        <v>Previsto</v>
      </c>
      <c r="AC207" s="47">
        <v>1</v>
      </c>
      <c r="AD207" s="43">
        <v>5760</v>
      </c>
      <c r="AE207" s="39">
        <v>64</v>
      </c>
      <c r="AF207" s="39" t="s">
        <v>87</v>
      </c>
      <c r="AG207" s="43">
        <v>90</v>
      </c>
      <c r="AH207" s="39" t="s">
        <v>394</v>
      </c>
      <c r="AI207" s="39" t="s">
        <v>73</v>
      </c>
      <c r="AJ207" s="48">
        <f>IF(Q207&lt;&gt;"",Q207,IF(K207&lt;&gt;"",K207,""))</f>
        <v>46157</v>
      </c>
      <c r="AK207" s="46" t="str">
        <f>IF(K207&lt;&gt;"","Sim","")</f>
        <v>Sim</v>
      </c>
      <c r="AL207" s="46" t="str">
        <f>IF(A207="","",TEXT(A207,"000000")&amp;"-"&amp;IF(C207="Entrada","CR","DB"))</f>
        <v>000206-DB</v>
      </c>
      <c r="AM207" s="46" t="str">
        <f>IF(A207="","",LEFT(IF(H207&lt;&gt;"",H207,G207)&amp;" | "&amp;G207&amp;" | "&amp;S207,60))</f>
        <v>Caixa gordura 40x40x40 pre moldada com tampa | Caixa gordura</v>
      </c>
    </row>
    <row r="208" spans="1:39" ht="43.2" x14ac:dyDescent="0.3">
      <c r="A208" s="39">
        <v>207</v>
      </c>
      <c r="B208" s="39" t="s">
        <v>2</v>
      </c>
      <c r="C208" s="39" t="s">
        <v>74</v>
      </c>
      <c r="D208" s="39" t="s">
        <v>217</v>
      </c>
      <c r="E208" s="39" t="s">
        <v>217</v>
      </c>
      <c r="F208" s="39" t="s">
        <v>391</v>
      </c>
      <c r="G208" s="39" t="s">
        <v>395</v>
      </c>
      <c r="H208" s="40"/>
      <c r="I208" s="40"/>
      <c r="J208" s="40"/>
      <c r="K208" s="42">
        <v>46157</v>
      </c>
      <c r="L208" s="42"/>
      <c r="M208" s="44"/>
      <c r="N208" s="40"/>
      <c r="O208" s="40"/>
      <c r="P208" s="40"/>
      <c r="Q208" s="42">
        <f>IF(K208="","",K208)</f>
        <v>46157</v>
      </c>
      <c r="R208" s="39" t="s">
        <v>217</v>
      </c>
      <c r="S208" s="39" t="s">
        <v>219</v>
      </c>
      <c r="T208" s="39" t="s">
        <v>393</v>
      </c>
      <c r="U208" s="39" t="s">
        <v>309</v>
      </c>
      <c r="V208" s="39">
        <v>93</v>
      </c>
      <c r="W208" s="39" t="s">
        <v>387</v>
      </c>
      <c r="X208" s="41">
        <v>46146</v>
      </c>
      <c r="Y208" s="41">
        <v>46157</v>
      </c>
      <c r="Z208" s="43">
        <v>30720</v>
      </c>
      <c r="AA208" s="45">
        <f>IF(M208&lt;&gt;"",M208,Z208)</f>
        <v>30720</v>
      </c>
      <c r="AB208" s="46" t="str">
        <f>IF(L208&lt;&gt;"","Realizado","Previsto")</f>
        <v>Previsto</v>
      </c>
      <c r="AC208" s="47">
        <v>1</v>
      </c>
      <c r="AD208" s="43">
        <v>30720</v>
      </c>
      <c r="AE208" s="39">
        <v>192</v>
      </c>
      <c r="AF208" s="39" t="s">
        <v>87</v>
      </c>
      <c r="AG208" s="43">
        <v>160</v>
      </c>
      <c r="AH208" s="39" t="s">
        <v>394</v>
      </c>
      <c r="AI208" s="39" t="s">
        <v>73</v>
      </c>
      <c r="AJ208" s="48">
        <f>IF(Q208&lt;&gt;"",Q208,IF(K208&lt;&gt;"",K208,""))</f>
        <v>46157</v>
      </c>
      <c r="AK208" s="46" t="str">
        <f>IF(K208&lt;&gt;"","Sim","")</f>
        <v>Sim</v>
      </c>
      <c r="AL208" s="46" t="str">
        <f>IF(A208="","",TEXT(A208,"000000")&amp;"-"&amp;IF(C208="Entrada","CR","DB"))</f>
        <v>000207-DB</v>
      </c>
      <c r="AM208" s="46" t="str">
        <f>IF(A208="","",LEFT(IF(H208&lt;&gt;"",H208,G208)&amp;" | "&amp;G208&amp;" | "&amp;S208,60))</f>
        <v>Caixa inspecao 60x60x40 pre moldada com tampa | Caixa inspec</v>
      </c>
    </row>
    <row r="209" spans="1:39" ht="43.2" x14ac:dyDescent="0.3">
      <c r="A209" s="39">
        <v>208</v>
      </c>
      <c r="B209" s="39" t="s">
        <v>2</v>
      </c>
      <c r="C209" s="39" t="s">
        <v>74</v>
      </c>
      <c r="D209" s="39" t="s">
        <v>217</v>
      </c>
      <c r="E209" s="39" t="s">
        <v>217</v>
      </c>
      <c r="F209" s="39" t="s">
        <v>306</v>
      </c>
      <c r="G209" s="39" t="s">
        <v>307</v>
      </c>
      <c r="H209" s="40"/>
      <c r="I209" s="40"/>
      <c r="J209" s="40"/>
      <c r="K209" s="42">
        <v>46157</v>
      </c>
      <c r="L209" s="42"/>
      <c r="M209" s="44"/>
      <c r="N209" s="40"/>
      <c r="O209" s="40"/>
      <c r="P209" s="40"/>
      <c r="Q209" s="42">
        <f>IF(K209="","",K209)</f>
        <v>46157</v>
      </c>
      <c r="R209" s="39" t="s">
        <v>217</v>
      </c>
      <c r="S209" s="39" t="s">
        <v>219</v>
      </c>
      <c r="T209" s="39" t="s">
        <v>308</v>
      </c>
      <c r="U209" s="39" t="s">
        <v>309</v>
      </c>
      <c r="V209" s="39">
        <v>100</v>
      </c>
      <c r="W209" s="39" t="s">
        <v>387</v>
      </c>
      <c r="X209" s="41">
        <v>46146</v>
      </c>
      <c r="Y209" s="41">
        <v>46157</v>
      </c>
      <c r="Z209" s="43">
        <v>7744.0000000000009</v>
      </c>
      <c r="AA209" s="45">
        <f>IF(M209&lt;&gt;"",M209,Z209)</f>
        <v>7744.0000000000009</v>
      </c>
      <c r="AB209" s="46" t="str">
        <f>IF(L209&lt;&gt;"","Realizado","Previsto")</f>
        <v>Previsto</v>
      </c>
      <c r="AC209" s="47">
        <v>0.5</v>
      </c>
      <c r="AD209" s="43">
        <v>15488</v>
      </c>
      <c r="AE209" s="39">
        <v>70.400000000000006</v>
      </c>
      <c r="AF209" s="39" t="s">
        <v>310</v>
      </c>
      <c r="AG209" s="43">
        <v>220</v>
      </c>
      <c r="AH209" s="39" t="s">
        <v>311</v>
      </c>
      <c r="AI209" s="39" t="s">
        <v>73</v>
      </c>
      <c r="AJ209" s="48">
        <f>IF(Q209&lt;&gt;"",Q209,IF(K209&lt;&gt;"",K209,""))</f>
        <v>46157</v>
      </c>
      <c r="AK209" s="46" t="str">
        <f>IF(K209&lt;&gt;"","Sim","")</f>
        <v>Sim</v>
      </c>
      <c r="AL209" s="46" t="str">
        <f>IF(A209="","",TEXT(A209,"000000")&amp;"-"&amp;IF(C209="Entrada","CR","DB"))</f>
        <v>000208-DB</v>
      </c>
      <c r="AM209" s="46" t="str">
        <f>IF(A209="","",LEFT(IF(H209&lt;&gt;"",H209,G209)&amp;" | "&amp;G209&amp;" | "&amp;S209,60))</f>
        <v>Locação de miniescavadeira - nivelamento e abertura de valas</v>
      </c>
    </row>
    <row r="210" spans="1:39" ht="43.2" x14ac:dyDescent="0.3">
      <c r="A210" s="39">
        <v>209</v>
      </c>
      <c r="B210" s="39" t="s">
        <v>2</v>
      </c>
      <c r="C210" s="39" t="s">
        <v>74</v>
      </c>
      <c r="D210" s="39" t="s">
        <v>217</v>
      </c>
      <c r="E210" s="39" t="s">
        <v>217</v>
      </c>
      <c r="F210" s="39" t="s">
        <v>109</v>
      </c>
      <c r="G210" s="39" t="s">
        <v>218</v>
      </c>
      <c r="H210" s="40"/>
      <c r="I210" s="40"/>
      <c r="J210" s="40"/>
      <c r="K210" s="42">
        <v>46157</v>
      </c>
      <c r="L210" s="42"/>
      <c r="M210" s="44"/>
      <c r="N210" s="40"/>
      <c r="O210" s="40"/>
      <c r="P210" s="40"/>
      <c r="Q210" s="42">
        <f>IF(K210="","",K210)</f>
        <v>46157</v>
      </c>
      <c r="R210" s="39" t="s">
        <v>217</v>
      </c>
      <c r="S210" s="39" t="s">
        <v>219</v>
      </c>
      <c r="T210" s="39" t="s">
        <v>220</v>
      </c>
      <c r="U210" s="39" t="s">
        <v>215</v>
      </c>
      <c r="V210" s="39">
        <v>101</v>
      </c>
      <c r="W210" s="39" t="s">
        <v>387</v>
      </c>
      <c r="X210" s="41">
        <v>46146</v>
      </c>
      <c r="Y210" s="41">
        <v>46157</v>
      </c>
      <c r="Z210" s="43">
        <v>17683.135999999999</v>
      </c>
      <c r="AA210" s="45">
        <f>IF(M210&lt;&gt;"",M210,Z210)</f>
        <v>17683.135999999999</v>
      </c>
      <c r="AB210" s="46" t="str">
        <f>IF(L210&lt;&gt;"","Realizado","Previsto")</f>
        <v>Previsto</v>
      </c>
      <c r="AC210" s="47">
        <v>0.33695000000000003</v>
      </c>
      <c r="AD210" s="43">
        <v>52480</v>
      </c>
      <c r="AE210" s="39">
        <v>64</v>
      </c>
      <c r="AF210" s="39" t="s">
        <v>113</v>
      </c>
      <c r="AG210" s="43">
        <v>820</v>
      </c>
      <c r="AH210" s="39" t="s">
        <v>221</v>
      </c>
      <c r="AI210" s="39" t="s">
        <v>73</v>
      </c>
      <c r="AJ210" s="48">
        <f>IF(Q210&lt;&gt;"",Q210,IF(K210&lt;&gt;"",K210,""))</f>
        <v>46157</v>
      </c>
      <c r="AK210" s="46" t="str">
        <f>IF(K210&lt;&gt;"","Sim","")</f>
        <v>Sim</v>
      </c>
      <c r="AL210" s="46" t="str">
        <f>IF(A210="","",TEXT(A210,"000000")&amp;"-"&amp;IF(C210="Entrada","CR","DB"))</f>
        <v>000209-DB</v>
      </c>
      <c r="AM210" s="46" t="str">
        <f>IF(A210="","",LEFT(IF(H210&lt;&gt;"",H210,G210)&amp;" | "&amp;G210&amp;" | "&amp;S210,60))</f>
        <v>MO Terceirizada Caixas de inspecao e gordura | MO Terceiriza</v>
      </c>
    </row>
    <row r="211" spans="1:39" ht="43.2" x14ac:dyDescent="0.3">
      <c r="A211" s="39">
        <v>210</v>
      </c>
      <c r="B211" s="39" t="s">
        <v>2</v>
      </c>
      <c r="C211" s="39" t="s">
        <v>74</v>
      </c>
      <c r="D211" s="39" t="s">
        <v>217</v>
      </c>
      <c r="E211" s="39" t="s">
        <v>217</v>
      </c>
      <c r="F211" s="39" t="s">
        <v>132</v>
      </c>
      <c r="G211" s="39" t="s">
        <v>396</v>
      </c>
      <c r="H211" s="40"/>
      <c r="I211" s="40"/>
      <c r="J211" s="40"/>
      <c r="K211" s="42">
        <v>46157</v>
      </c>
      <c r="L211" s="42"/>
      <c r="M211" s="44"/>
      <c r="N211" s="40"/>
      <c r="O211" s="40"/>
      <c r="P211" s="40"/>
      <c r="Q211" s="42">
        <f>IF(K211="","",K211)</f>
        <v>46157</v>
      </c>
      <c r="R211" s="39" t="s">
        <v>217</v>
      </c>
      <c r="S211" s="39" t="s">
        <v>219</v>
      </c>
      <c r="T211" s="39" t="s">
        <v>397</v>
      </c>
      <c r="U211" s="39" t="s">
        <v>309</v>
      </c>
      <c r="V211" s="39">
        <v>97</v>
      </c>
      <c r="W211" s="39" t="s">
        <v>387</v>
      </c>
      <c r="X211" s="41">
        <v>46146</v>
      </c>
      <c r="Y211" s="41">
        <v>46157</v>
      </c>
      <c r="Z211" s="43">
        <v>4393.7791999999999</v>
      </c>
      <c r="AA211" s="45">
        <f>IF(M211&lt;&gt;"",M211,Z211)</f>
        <v>4393.7791999999999</v>
      </c>
      <c r="AB211" s="46" t="str">
        <f>IF(L211&lt;&gt;"","Realizado","Previsto")</f>
        <v>Previsto</v>
      </c>
      <c r="AC211" s="47">
        <v>0.34</v>
      </c>
      <c r="AD211" s="43">
        <v>12922.88</v>
      </c>
      <c r="AE211" s="39">
        <v>807.68</v>
      </c>
      <c r="AF211" s="39" t="s">
        <v>155</v>
      </c>
      <c r="AG211" s="43">
        <v>16</v>
      </c>
      <c r="AH211" s="39" t="s">
        <v>398</v>
      </c>
      <c r="AI211" s="39" t="s">
        <v>73</v>
      </c>
      <c r="AJ211" s="48">
        <f>IF(Q211&lt;&gt;"",Q211,IF(K211&lt;&gt;"",K211,""))</f>
        <v>46157</v>
      </c>
      <c r="AK211" s="46" t="str">
        <f>IF(K211&lt;&gt;"","Sim","")</f>
        <v>Sim</v>
      </c>
      <c r="AL211" s="46" t="str">
        <f>IF(A211="","",TEXT(A211,"000000")&amp;"-"&amp;IF(C211="Entrada","CR","DB"))</f>
        <v>000210-DB</v>
      </c>
      <c r="AM211" s="46" t="str">
        <f>IF(A211="","",LEFT(IF(H211&lt;&gt;"",H211,G211)&amp;" | "&amp;G211&amp;" | "&amp;S211,60))</f>
        <v>Tubo pvc 100mm - Rede de Esgoto | Tubo pvc 100mm - Rede de E</v>
      </c>
    </row>
    <row r="212" spans="1:39" ht="43.2" x14ac:dyDescent="0.3">
      <c r="A212" s="39">
        <v>211</v>
      </c>
      <c r="B212" s="39" t="s">
        <v>2</v>
      </c>
      <c r="C212" s="39" t="s">
        <v>74</v>
      </c>
      <c r="D212" s="39" t="s">
        <v>217</v>
      </c>
      <c r="E212" s="39" t="s">
        <v>217</v>
      </c>
      <c r="F212" s="39" t="s">
        <v>132</v>
      </c>
      <c r="G212" s="39" t="s">
        <v>399</v>
      </c>
      <c r="H212" s="40"/>
      <c r="I212" s="40"/>
      <c r="J212" s="40"/>
      <c r="K212" s="42">
        <v>46157</v>
      </c>
      <c r="L212" s="42"/>
      <c r="M212" s="44"/>
      <c r="N212" s="40"/>
      <c r="O212" s="40"/>
      <c r="P212" s="40"/>
      <c r="Q212" s="42">
        <f>IF(K212="","",K212)</f>
        <v>46157</v>
      </c>
      <c r="R212" s="39" t="s">
        <v>217</v>
      </c>
      <c r="S212" s="39" t="s">
        <v>219</v>
      </c>
      <c r="T212" s="39" t="s">
        <v>397</v>
      </c>
      <c r="U212" s="39" t="s">
        <v>309</v>
      </c>
      <c r="V212" s="39">
        <v>99</v>
      </c>
      <c r="W212" s="39" t="s">
        <v>387</v>
      </c>
      <c r="X212" s="41">
        <v>46146</v>
      </c>
      <c r="Y212" s="41">
        <v>46157</v>
      </c>
      <c r="Z212" s="43">
        <v>210.91968</v>
      </c>
      <c r="AA212" s="45">
        <f>IF(M212&lt;&gt;"",M212,Z212)</f>
        <v>210.91968</v>
      </c>
      <c r="AB212" s="46" t="str">
        <f>IF(L212&lt;&gt;"","Realizado","Previsto")</f>
        <v>Previsto</v>
      </c>
      <c r="AC212" s="47">
        <v>0.34</v>
      </c>
      <c r="AD212" s="43">
        <v>620.35199999999998</v>
      </c>
      <c r="AE212" s="39">
        <v>172.8</v>
      </c>
      <c r="AF212" s="39" t="s">
        <v>155</v>
      </c>
      <c r="AG212" s="43">
        <v>3.59</v>
      </c>
      <c r="AH212" s="39" t="s">
        <v>398</v>
      </c>
      <c r="AI212" s="39" t="s">
        <v>73</v>
      </c>
      <c r="AJ212" s="48">
        <f>IF(Q212&lt;&gt;"",Q212,IF(K212&lt;&gt;"",K212,""))</f>
        <v>46157</v>
      </c>
      <c r="AK212" s="46" t="str">
        <f>IF(K212&lt;&gt;"","Sim","")</f>
        <v>Sim</v>
      </c>
      <c r="AL212" s="46" t="str">
        <f>IF(A212="","",TEXT(A212,"000000")&amp;"-"&amp;IF(C212="Entrada","CR","DB"))</f>
        <v>000211-DB</v>
      </c>
      <c r="AM212" s="46" t="str">
        <f>IF(A212="","",LEFT(IF(H212&lt;&gt;"",H212,G212)&amp;" | "&amp;G212&amp;" | "&amp;S212,60))</f>
        <v>Tubo pvc 40mm - Rede de Esgoto | Tubo pvc 40mm - Rede de Esg</v>
      </c>
    </row>
    <row r="213" spans="1:39" ht="43.2" x14ac:dyDescent="0.3">
      <c r="A213" s="39">
        <v>212</v>
      </c>
      <c r="B213" s="39" t="s">
        <v>2</v>
      </c>
      <c r="C213" s="39" t="s">
        <v>74</v>
      </c>
      <c r="D213" s="39" t="s">
        <v>217</v>
      </c>
      <c r="E213" s="39" t="s">
        <v>217</v>
      </c>
      <c r="F213" s="39" t="s">
        <v>132</v>
      </c>
      <c r="G213" s="39" t="s">
        <v>400</v>
      </c>
      <c r="H213" s="40"/>
      <c r="I213" s="40"/>
      <c r="J213" s="40"/>
      <c r="K213" s="42">
        <v>46157</v>
      </c>
      <c r="L213" s="42"/>
      <c r="M213" s="44"/>
      <c r="N213" s="40"/>
      <c r="O213" s="40"/>
      <c r="P213" s="40"/>
      <c r="Q213" s="42">
        <f>IF(K213="","",K213)</f>
        <v>46157</v>
      </c>
      <c r="R213" s="39" t="s">
        <v>217</v>
      </c>
      <c r="S213" s="39" t="s">
        <v>219</v>
      </c>
      <c r="T213" s="39" t="s">
        <v>397</v>
      </c>
      <c r="U213" s="39" t="s">
        <v>309</v>
      </c>
      <c r="V213" s="39">
        <v>98</v>
      </c>
      <c r="W213" s="39" t="s">
        <v>387</v>
      </c>
      <c r="X213" s="41">
        <v>46146</v>
      </c>
      <c r="Y213" s="41">
        <v>46157</v>
      </c>
      <c r="Z213" s="43">
        <v>222.47424000000001</v>
      </c>
      <c r="AA213" s="45">
        <f>IF(M213&lt;&gt;"",M213,Z213)</f>
        <v>222.47424000000001</v>
      </c>
      <c r="AB213" s="46" t="str">
        <f>IF(L213&lt;&gt;"","Realizado","Previsto")</f>
        <v>Previsto</v>
      </c>
      <c r="AC213" s="47">
        <v>0.34</v>
      </c>
      <c r="AD213" s="43">
        <v>654.33600000000001</v>
      </c>
      <c r="AE213" s="39">
        <v>115.2</v>
      </c>
      <c r="AF213" s="39" t="s">
        <v>155</v>
      </c>
      <c r="AG213" s="43">
        <v>5.68</v>
      </c>
      <c r="AH213" s="39" t="s">
        <v>398</v>
      </c>
      <c r="AI213" s="39" t="s">
        <v>73</v>
      </c>
      <c r="AJ213" s="48">
        <f>IF(Q213&lt;&gt;"",Q213,IF(K213&lt;&gt;"",K213,""))</f>
        <v>46157</v>
      </c>
      <c r="AK213" s="46" t="str">
        <f>IF(K213&lt;&gt;"","Sim","")</f>
        <v>Sim</v>
      </c>
      <c r="AL213" s="46" t="str">
        <f>IF(A213="","",TEXT(A213,"000000")&amp;"-"&amp;IF(C213="Entrada","CR","DB"))</f>
        <v>000212-DB</v>
      </c>
      <c r="AM213" s="46" t="str">
        <f>IF(A213="","",LEFT(IF(H213&lt;&gt;"",H213,G213)&amp;" | "&amp;G213&amp;" | "&amp;S213,60))</f>
        <v>Tubo pvc 50mm - Rede de Esgoto | Tubo pvc 50mm - Rede de Esg</v>
      </c>
    </row>
    <row r="214" spans="1:39" ht="43.2" x14ac:dyDescent="0.3">
      <c r="A214" s="39">
        <v>213</v>
      </c>
      <c r="B214" s="39" t="s">
        <v>2</v>
      </c>
      <c r="C214" s="39" t="s">
        <v>74</v>
      </c>
      <c r="D214" s="39" t="s">
        <v>217</v>
      </c>
      <c r="E214" s="39" t="s">
        <v>217</v>
      </c>
      <c r="F214" s="39" t="s">
        <v>178</v>
      </c>
      <c r="G214" s="39" t="s">
        <v>401</v>
      </c>
      <c r="H214" s="40"/>
      <c r="I214" s="40"/>
      <c r="J214" s="40"/>
      <c r="K214" s="42">
        <v>46157</v>
      </c>
      <c r="L214" s="42"/>
      <c r="M214" s="44"/>
      <c r="N214" s="40"/>
      <c r="O214" s="40"/>
      <c r="P214" s="40"/>
      <c r="Q214" s="42">
        <f>IF(K214="","",K214)</f>
        <v>46157</v>
      </c>
      <c r="R214" s="39" t="s">
        <v>217</v>
      </c>
      <c r="S214" s="39" t="s">
        <v>219</v>
      </c>
      <c r="T214" s="39" t="s">
        <v>389</v>
      </c>
      <c r="U214" s="39" t="s">
        <v>309</v>
      </c>
      <c r="V214" s="39">
        <v>96</v>
      </c>
      <c r="W214" s="39" t="s">
        <v>387</v>
      </c>
      <c r="X214" s="41">
        <v>46146</v>
      </c>
      <c r="Y214" s="41">
        <v>46157</v>
      </c>
      <c r="Z214" s="43">
        <v>718.08</v>
      </c>
      <c r="AA214" s="45">
        <f>IF(M214&lt;&gt;"",M214,Z214)</f>
        <v>718.08</v>
      </c>
      <c r="AB214" s="46" t="str">
        <f>IF(L214&lt;&gt;"","Realizado","Previsto")</f>
        <v>Previsto</v>
      </c>
      <c r="AC214" s="47">
        <v>1</v>
      </c>
      <c r="AD214" s="43">
        <v>718.08</v>
      </c>
      <c r="AE214" s="39">
        <v>192</v>
      </c>
      <c r="AF214" s="39" t="s">
        <v>182</v>
      </c>
      <c r="AG214" s="43">
        <v>3.74</v>
      </c>
      <c r="AH214" s="39" t="s">
        <v>390</v>
      </c>
      <c r="AI214" s="39" t="s">
        <v>73</v>
      </c>
      <c r="AJ214" s="48">
        <f>IF(Q214&lt;&gt;"",Q214,IF(K214&lt;&gt;"",K214,""))</f>
        <v>46157</v>
      </c>
      <c r="AK214" s="46" t="str">
        <f>IF(K214&lt;&gt;"","Sim","")</f>
        <v>Sim</v>
      </c>
      <c r="AL214" s="46" t="str">
        <f>IF(A214="","",TEXT(A214,"000000")&amp;"-"&amp;IF(C214="Entrada","CR","DB"))</f>
        <v>000213-DB</v>
      </c>
      <c r="AM214" s="46" t="str">
        <f>IF(A214="","",LEFT(IF(H214&lt;&gt;"",H214,G214)&amp;" | "&amp;G214&amp;" | "&amp;S214,60))</f>
        <v>lastro de brita 01 - 10cm | lastro de brita 01 - 10cm | Saíd</v>
      </c>
    </row>
    <row r="215" spans="1:39" ht="43.2" x14ac:dyDescent="0.3">
      <c r="A215" s="39">
        <v>214</v>
      </c>
      <c r="B215" s="39" t="s">
        <v>2</v>
      </c>
      <c r="C215" s="39" t="s">
        <v>74</v>
      </c>
      <c r="D215" s="39" t="s">
        <v>124</v>
      </c>
      <c r="E215" s="39" t="s">
        <v>124</v>
      </c>
      <c r="F215" s="39" t="s">
        <v>125</v>
      </c>
      <c r="G215" s="39" t="s">
        <v>222</v>
      </c>
      <c r="H215" s="40"/>
      <c r="I215" s="40"/>
      <c r="J215" s="40"/>
      <c r="K215" s="42">
        <v>46157</v>
      </c>
      <c r="L215" s="42"/>
      <c r="M215" s="44"/>
      <c r="N215" s="40"/>
      <c r="O215" s="40"/>
      <c r="P215" s="40"/>
      <c r="Q215" s="42">
        <f>IF(K215="","",K215)</f>
        <v>46157</v>
      </c>
      <c r="R215" s="39" t="s">
        <v>124</v>
      </c>
      <c r="S215" s="39" t="s">
        <v>127</v>
      </c>
      <c r="T215" s="39" t="s">
        <v>128</v>
      </c>
      <c r="U215" s="39"/>
      <c r="V215" s="39">
        <v>274</v>
      </c>
      <c r="W215" s="39" t="s">
        <v>387</v>
      </c>
      <c r="X215" s="41">
        <v>46146</v>
      </c>
      <c r="Y215" s="41">
        <v>46157</v>
      </c>
      <c r="Z215" s="43">
        <v>21190</v>
      </c>
      <c r="AA215" s="45">
        <f>IF(M215&lt;&gt;"",M215,Z215)</f>
        <v>21190</v>
      </c>
      <c r="AB215" s="46" t="str">
        <f>IF(L215&lt;&gt;"","Realizado","Previsto")</f>
        <v>Previsto</v>
      </c>
      <c r="AC215" s="47"/>
      <c r="AD215" s="43">
        <v>211900</v>
      </c>
      <c r="AE215" s="39"/>
      <c r="AF215" s="39"/>
      <c r="AG215" s="43"/>
      <c r="AH215" s="39" t="s">
        <v>223</v>
      </c>
      <c r="AI215" s="39" t="s">
        <v>73</v>
      </c>
      <c r="AJ215" s="48">
        <f>IF(Q215&lt;&gt;"",Q215,IF(K215&lt;&gt;"",K215,""))</f>
        <v>46157</v>
      </c>
      <c r="AK215" s="46" t="str">
        <f>IF(K215&lt;&gt;"","Sim","")</f>
        <v>Sim</v>
      </c>
      <c r="AL215" s="46" t="str">
        <f>IF(A215="","",TEXT(A215,"000000")&amp;"-"&amp;IF(C215="Entrada","CR","DB"))</f>
        <v>000214-DB</v>
      </c>
      <c r="AM215" s="46" t="str">
        <f>IF(A215="","",LEFT(IF(H215&lt;&gt;"",H215,G215)&amp;" | "&amp;G215&amp;" | "&amp;S215,60))</f>
        <v xml:space="preserve">CARTAO CREDITO SUCOPIRA | CARTAO CREDITO SUCOPIRA | Saída | </v>
      </c>
    </row>
    <row r="216" spans="1:39" ht="43.2" x14ac:dyDescent="0.3">
      <c r="A216" s="39">
        <v>215</v>
      </c>
      <c r="B216" s="39" t="s">
        <v>2</v>
      </c>
      <c r="C216" s="39" t="s">
        <v>74</v>
      </c>
      <c r="D216" s="39" t="s">
        <v>124</v>
      </c>
      <c r="E216" s="39" t="s">
        <v>124</v>
      </c>
      <c r="F216" s="39" t="s">
        <v>125</v>
      </c>
      <c r="G216" s="39" t="s">
        <v>224</v>
      </c>
      <c r="H216" s="40"/>
      <c r="I216" s="40"/>
      <c r="J216" s="40"/>
      <c r="K216" s="42">
        <v>46157</v>
      </c>
      <c r="L216" s="42"/>
      <c r="M216" s="44"/>
      <c r="N216" s="40"/>
      <c r="O216" s="40"/>
      <c r="P216" s="40"/>
      <c r="Q216" s="42">
        <f>IF(K216="","",K216)</f>
        <v>46157</v>
      </c>
      <c r="R216" s="39" t="s">
        <v>124</v>
      </c>
      <c r="S216" s="39" t="s">
        <v>127</v>
      </c>
      <c r="T216" s="39" t="s">
        <v>128</v>
      </c>
      <c r="U216" s="39"/>
      <c r="V216" s="39">
        <v>276</v>
      </c>
      <c r="W216" s="39" t="s">
        <v>387</v>
      </c>
      <c r="X216" s="41">
        <v>46146</v>
      </c>
      <c r="Y216" s="41">
        <v>46157</v>
      </c>
      <c r="Z216" s="43">
        <v>14716.35</v>
      </c>
      <c r="AA216" s="45">
        <f>IF(M216&lt;&gt;"",M216,Z216)</f>
        <v>14716.35</v>
      </c>
      <c r="AB216" s="46" t="str">
        <f>IF(L216&lt;&gt;"","Realizado","Previsto")</f>
        <v>Previsto</v>
      </c>
      <c r="AC216" s="47"/>
      <c r="AD216" s="43">
        <v>244149.05</v>
      </c>
      <c r="AE216" s="39"/>
      <c r="AF216" s="39"/>
      <c r="AG216" s="43"/>
      <c r="AH216" s="39" t="s">
        <v>225</v>
      </c>
      <c r="AI216" s="39" t="s">
        <v>73</v>
      </c>
      <c r="AJ216" s="48">
        <f>IF(Q216&lt;&gt;"",Q216,IF(K216&lt;&gt;"",K216,""))</f>
        <v>46157</v>
      </c>
      <c r="AK216" s="46" t="str">
        <f>IF(K216&lt;&gt;"","Sim","")</f>
        <v>Sim</v>
      </c>
      <c r="AL216" s="46" t="str">
        <f>IF(A216="","",TEXT(A216,"000000")&amp;"-"&amp;IF(C216="Entrada","CR","DB"))</f>
        <v>000215-DB</v>
      </c>
      <c r="AM216" s="46" t="str">
        <f>IF(A216="","",LEFT(IF(H216&lt;&gt;"",H216,G216)&amp;" | "&amp;G216&amp;" | "&amp;S216,60))</f>
        <v xml:space="preserve">EMPRESTIMO BRADESCO | EMPRESTIMO BRADESCO | Saída | CAPITAL </v>
      </c>
    </row>
    <row r="217" spans="1:39" ht="43.2" x14ac:dyDescent="0.3">
      <c r="A217" s="39">
        <v>216</v>
      </c>
      <c r="B217" s="39" t="s">
        <v>2</v>
      </c>
      <c r="C217" s="39" t="s">
        <v>74</v>
      </c>
      <c r="D217" s="39" t="s">
        <v>124</v>
      </c>
      <c r="E217" s="39" t="s">
        <v>124</v>
      </c>
      <c r="F217" s="39" t="s">
        <v>125</v>
      </c>
      <c r="G217" s="39" t="s">
        <v>226</v>
      </c>
      <c r="H217" s="40"/>
      <c r="I217" s="40"/>
      <c r="J217" s="40"/>
      <c r="K217" s="42">
        <v>46157</v>
      </c>
      <c r="L217" s="42"/>
      <c r="M217" s="44"/>
      <c r="N217" s="40"/>
      <c r="O217" s="40"/>
      <c r="P217" s="40"/>
      <c r="Q217" s="42">
        <f>IF(K217="","",K217)</f>
        <v>46157</v>
      </c>
      <c r="R217" s="39" t="s">
        <v>124</v>
      </c>
      <c r="S217" s="39" t="s">
        <v>127</v>
      </c>
      <c r="T217" s="39" t="s">
        <v>128</v>
      </c>
      <c r="U217" s="39"/>
      <c r="V217" s="39">
        <v>277</v>
      </c>
      <c r="W217" s="39" t="s">
        <v>387</v>
      </c>
      <c r="X217" s="41">
        <v>46146</v>
      </c>
      <c r="Y217" s="41">
        <v>46157</v>
      </c>
      <c r="Z217" s="43">
        <v>7670</v>
      </c>
      <c r="AA217" s="45">
        <f>IF(M217&lt;&gt;"",M217,Z217)</f>
        <v>7670</v>
      </c>
      <c r="AB217" s="46" t="str">
        <f>IF(L217&lt;&gt;"","Realizado","Previsto")</f>
        <v>Previsto</v>
      </c>
      <c r="AC217" s="47"/>
      <c r="AD217" s="43">
        <v>76700</v>
      </c>
      <c r="AE217" s="39"/>
      <c r="AF217" s="39"/>
      <c r="AG217" s="43"/>
      <c r="AH217" s="39" t="s">
        <v>227</v>
      </c>
      <c r="AI217" s="39" t="s">
        <v>73</v>
      </c>
      <c r="AJ217" s="48">
        <f>IF(Q217&lt;&gt;"",Q217,IF(K217&lt;&gt;"",K217,""))</f>
        <v>46157</v>
      </c>
      <c r="AK217" s="46" t="str">
        <f>IF(K217&lt;&gt;"","Sim","")</f>
        <v>Sim</v>
      </c>
      <c r="AL217" s="46" t="str">
        <f>IF(A217="","",TEXT(A217,"000000")&amp;"-"&amp;IF(C217="Entrada","CR","DB"))</f>
        <v>000216-DB</v>
      </c>
      <c r="AM217" s="46" t="str">
        <f>IF(A217="","",LEFT(IF(H217&lt;&gt;"",H217,G217)&amp;" | "&amp;G217&amp;" | "&amp;S217,60))</f>
        <v>EMPRÉSTIMO EXTRA | EMPRÉSTIMO EXTRA | Saída | CAPITAL DE GIR</v>
      </c>
    </row>
    <row r="218" spans="1:39" ht="43.2" x14ac:dyDescent="0.3">
      <c r="A218" s="39">
        <v>217</v>
      </c>
      <c r="B218" s="39" t="s">
        <v>2</v>
      </c>
      <c r="C218" s="39" t="s">
        <v>74</v>
      </c>
      <c r="D218" s="39" t="s">
        <v>124</v>
      </c>
      <c r="E218" s="39" t="s">
        <v>124</v>
      </c>
      <c r="F218" s="39" t="s">
        <v>125</v>
      </c>
      <c r="G218" s="39" t="s">
        <v>228</v>
      </c>
      <c r="H218" s="40"/>
      <c r="I218" s="40"/>
      <c r="J218" s="40"/>
      <c r="K218" s="42">
        <v>46157</v>
      </c>
      <c r="L218" s="42"/>
      <c r="M218" s="44"/>
      <c r="N218" s="40"/>
      <c r="O218" s="40"/>
      <c r="P218" s="40"/>
      <c r="Q218" s="42">
        <f>IF(K218="","",K218)</f>
        <v>46157</v>
      </c>
      <c r="R218" s="39" t="s">
        <v>124</v>
      </c>
      <c r="S218" s="39" t="s">
        <v>127</v>
      </c>
      <c r="T218" s="39" t="s">
        <v>128</v>
      </c>
      <c r="U218" s="39"/>
      <c r="V218" s="39">
        <v>275</v>
      </c>
      <c r="W218" s="39" t="s">
        <v>387</v>
      </c>
      <c r="X218" s="41">
        <v>46146</v>
      </c>
      <c r="Y218" s="41">
        <v>46157</v>
      </c>
      <c r="Z218" s="43">
        <v>4906.58</v>
      </c>
      <c r="AA218" s="45">
        <f>IF(M218&lt;&gt;"",M218,Z218)</f>
        <v>4906.58</v>
      </c>
      <c r="AB218" s="46" t="str">
        <f>IF(L218&lt;&gt;"","Realizado","Previsto")</f>
        <v>Previsto</v>
      </c>
      <c r="AC218" s="47"/>
      <c r="AD218" s="43">
        <v>62266.45</v>
      </c>
      <c r="AE218" s="39"/>
      <c r="AF218" s="39"/>
      <c r="AG218" s="43"/>
      <c r="AH218" s="39" t="s">
        <v>229</v>
      </c>
      <c r="AI218" s="39" t="s">
        <v>73</v>
      </c>
      <c r="AJ218" s="48">
        <f>IF(Q218&lt;&gt;"",Q218,IF(K218&lt;&gt;"",K218,""))</f>
        <v>46157</v>
      </c>
      <c r="AK218" s="46" t="str">
        <f>IF(K218&lt;&gt;"","Sim","")</f>
        <v>Sim</v>
      </c>
      <c r="AL218" s="46" t="str">
        <f>IF(A218="","",TEXT(A218,"000000")&amp;"-"&amp;IF(C218="Entrada","CR","DB"))</f>
        <v>000217-DB</v>
      </c>
      <c r="AM218" s="46" t="str">
        <f>IF(A218="","",LEFT(IF(H218&lt;&gt;"",H218,G218)&amp;" | "&amp;G218&amp;" | "&amp;S218,60))</f>
        <v>NUBANK | NUBANK | Saída | CAPITAL DE GIRO</v>
      </c>
    </row>
    <row r="219" spans="1:39" ht="43.2" x14ac:dyDescent="0.3">
      <c r="A219" s="39">
        <v>218</v>
      </c>
      <c r="B219" s="39" t="s">
        <v>2</v>
      </c>
      <c r="C219" s="39" t="s">
        <v>74</v>
      </c>
      <c r="D219" s="39" t="s">
        <v>230</v>
      </c>
      <c r="E219" s="39" t="s">
        <v>230</v>
      </c>
      <c r="F219" s="39" t="s">
        <v>109</v>
      </c>
      <c r="G219" s="39" t="s">
        <v>231</v>
      </c>
      <c r="H219" s="40"/>
      <c r="I219" s="40"/>
      <c r="J219" s="40"/>
      <c r="K219" s="42">
        <v>46157</v>
      </c>
      <c r="L219" s="42"/>
      <c r="M219" s="44"/>
      <c r="N219" s="40"/>
      <c r="O219" s="40"/>
      <c r="P219" s="40"/>
      <c r="Q219" s="42">
        <f>IF(K219="","",K219)</f>
        <v>46157</v>
      </c>
      <c r="R219" s="39" t="s">
        <v>230</v>
      </c>
      <c r="S219" s="39" t="s">
        <v>232</v>
      </c>
      <c r="T219" s="39" t="s">
        <v>233</v>
      </c>
      <c r="U219" s="39" t="s">
        <v>215</v>
      </c>
      <c r="V219" s="39">
        <v>107</v>
      </c>
      <c r="W219" s="39" t="s">
        <v>387</v>
      </c>
      <c r="X219" s="41">
        <v>46146</v>
      </c>
      <c r="Y219" s="41">
        <v>46157</v>
      </c>
      <c r="Z219" s="43">
        <v>33425.440000000002</v>
      </c>
      <c r="AA219" s="45">
        <f>IF(M219&lt;&gt;"",M219,Z219)</f>
        <v>33425.440000000002</v>
      </c>
      <c r="AB219" s="46" t="str">
        <f>IF(L219&lt;&gt;"","Realizado","Previsto")</f>
        <v>Previsto</v>
      </c>
      <c r="AC219" s="47">
        <v>0.33695000000000003</v>
      </c>
      <c r="AD219" s="43">
        <v>99200</v>
      </c>
      <c r="AE219" s="39">
        <v>64</v>
      </c>
      <c r="AF219" s="39" t="s">
        <v>113</v>
      </c>
      <c r="AG219" s="43">
        <v>1550</v>
      </c>
      <c r="AH219" s="39" t="s">
        <v>234</v>
      </c>
      <c r="AI219" s="39" t="s">
        <v>73</v>
      </c>
      <c r="AJ219" s="48">
        <f>IF(Q219&lt;&gt;"",Q219,IF(K219&lt;&gt;"",K219,""))</f>
        <v>46157</v>
      </c>
      <c r="AK219" s="46" t="str">
        <f>IF(K219&lt;&gt;"","Sim","")</f>
        <v>Sim</v>
      </c>
      <c r="AL219" s="46" t="str">
        <f>IF(A219="","",TEXT(A219,"000000")&amp;"-"&amp;IF(C219="Entrada","CR","DB"))</f>
        <v>000218-DB</v>
      </c>
      <c r="AM219" s="46" t="str">
        <f>IF(A219="","",LEFT(IF(H219&lt;&gt;"",H219,G219)&amp;" | "&amp;G219&amp;" | "&amp;S219,60))</f>
        <v>Mao de obra terceirizada montagem e telhamento | Mao de obra</v>
      </c>
    </row>
    <row r="220" spans="1:39" ht="43.2" x14ac:dyDescent="0.3">
      <c r="A220" s="39">
        <v>219</v>
      </c>
      <c r="B220" s="39" t="s">
        <v>2</v>
      </c>
      <c r="C220" s="39" t="s">
        <v>74</v>
      </c>
      <c r="D220" s="39" t="s">
        <v>75</v>
      </c>
      <c r="E220" s="39" t="s">
        <v>75</v>
      </c>
      <c r="F220" s="39" t="s">
        <v>75</v>
      </c>
      <c r="G220" s="39" t="s">
        <v>80</v>
      </c>
      <c r="H220" s="40"/>
      <c r="I220" s="40"/>
      <c r="J220" s="40"/>
      <c r="K220" s="42">
        <v>46157</v>
      </c>
      <c r="L220" s="42"/>
      <c r="M220" s="44"/>
      <c r="N220" s="40"/>
      <c r="O220" s="40"/>
      <c r="P220" s="40"/>
      <c r="Q220" s="42">
        <f>IF(K220="","",K220)</f>
        <v>46157</v>
      </c>
      <c r="R220" s="39" t="s">
        <v>75</v>
      </c>
      <c r="S220" s="39" t="s">
        <v>77</v>
      </c>
      <c r="T220" s="39" t="s">
        <v>78</v>
      </c>
      <c r="U220" s="39"/>
      <c r="V220" s="39">
        <v>271</v>
      </c>
      <c r="W220" s="39" t="s">
        <v>387</v>
      </c>
      <c r="X220" s="41">
        <v>46146</v>
      </c>
      <c r="Y220" s="41">
        <v>46157</v>
      </c>
      <c r="Z220" s="43">
        <v>8000</v>
      </c>
      <c r="AA220" s="45">
        <f>IF(M220&lt;&gt;"",M220,Z220)</f>
        <v>8000</v>
      </c>
      <c r="AB220" s="46" t="str">
        <f>IF(L220&lt;&gt;"","Realizado","Previsto")</f>
        <v>Previsto</v>
      </c>
      <c r="AC220" s="47">
        <v>0.2</v>
      </c>
      <c r="AD220" s="43">
        <v>40000</v>
      </c>
      <c r="AE220" s="39"/>
      <c r="AF220" s="39" t="s">
        <v>79</v>
      </c>
      <c r="AG220" s="43">
        <v>10000</v>
      </c>
      <c r="AH220" s="39"/>
      <c r="AI220" s="39" t="s">
        <v>73</v>
      </c>
      <c r="AJ220" s="48">
        <f>IF(Q220&lt;&gt;"",Q220,IF(K220&lt;&gt;"",K220,""))</f>
        <v>46157</v>
      </c>
      <c r="AK220" s="46" t="str">
        <f>IF(K220&lt;&gt;"","Sim","")</f>
        <v>Sim</v>
      </c>
      <c r="AL220" s="46" t="str">
        <f>IF(A220="","",TEXT(A220,"000000")&amp;"-"&amp;IF(C220="Entrada","CR","DB"))</f>
        <v>000219-DB</v>
      </c>
      <c r="AM220" s="46" t="str">
        <f>IF(A220="","",LEFT(IF(H220&lt;&gt;"",H220,G220)&amp;" | "&amp;G220&amp;" | "&amp;S220,60))</f>
        <v>LOGISTICA GESTÃO VISITA À OBRA | LOGISTICA GESTÃO VISITA À O</v>
      </c>
    </row>
    <row r="221" spans="1:39" ht="43.2" x14ac:dyDescent="0.3">
      <c r="A221" s="39">
        <v>220</v>
      </c>
      <c r="B221" s="39" t="s">
        <v>2</v>
      </c>
      <c r="C221" s="39" t="s">
        <v>74</v>
      </c>
      <c r="D221" s="39" t="s">
        <v>235</v>
      </c>
      <c r="E221" s="39" t="s">
        <v>236</v>
      </c>
      <c r="F221" s="39" t="s">
        <v>109</v>
      </c>
      <c r="G221" s="39" t="s">
        <v>237</v>
      </c>
      <c r="H221" s="40"/>
      <c r="I221" s="40"/>
      <c r="J221" s="40"/>
      <c r="K221" s="42">
        <v>46157</v>
      </c>
      <c r="L221" s="42"/>
      <c r="M221" s="44"/>
      <c r="N221" s="40"/>
      <c r="O221" s="40"/>
      <c r="P221" s="40"/>
      <c r="Q221" s="42">
        <f>IF(K221="","",K221)</f>
        <v>46157</v>
      </c>
      <c r="R221" s="39" t="s">
        <v>235</v>
      </c>
      <c r="S221" s="39" t="s">
        <v>238</v>
      </c>
      <c r="T221" s="39" t="s">
        <v>239</v>
      </c>
      <c r="U221" s="39" t="s">
        <v>215</v>
      </c>
      <c r="V221" s="39">
        <v>156</v>
      </c>
      <c r="W221" s="39" t="s">
        <v>387</v>
      </c>
      <c r="X221" s="41">
        <v>46146</v>
      </c>
      <c r="Y221" s="41">
        <v>46157</v>
      </c>
      <c r="Z221" s="43">
        <v>23110.564864</v>
      </c>
      <c r="AA221" s="45">
        <f>IF(M221&lt;&gt;"",M221,Z221)</f>
        <v>23110.564864</v>
      </c>
      <c r="AB221" s="46" t="str">
        <f>IF(L221&lt;&gt;"","Realizado","Previsto")</f>
        <v>Previsto</v>
      </c>
      <c r="AC221" s="47">
        <v>0.33695000000000003</v>
      </c>
      <c r="AD221" s="43">
        <v>68587.520000000004</v>
      </c>
      <c r="AE221" s="39">
        <v>8573.44</v>
      </c>
      <c r="AF221" s="39" t="s">
        <v>203</v>
      </c>
      <c r="AG221" s="43">
        <v>8</v>
      </c>
      <c r="AH221" s="39" t="s">
        <v>240</v>
      </c>
      <c r="AI221" s="39" t="s">
        <v>73</v>
      </c>
      <c r="AJ221" s="48">
        <f>IF(Q221&lt;&gt;"",Q221,IF(K221&lt;&gt;"",K221,""))</f>
        <v>46157</v>
      </c>
      <c r="AK221" s="46" t="str">
        <f>IF(K221&lt;&gt;"","Sim","")</f>
        <v>Sim</v>
      </c>
      <c r="AL221" s="46" t="str">
        <f>IF(A221="","",TEXT(A221,"000000")&amp;"-"&amp;IF(C221="Entrada","CR","DB"))</f>
        <v>000220-DB</v>
      </c>
      <c r="AM221" s="46" t="str">
        <f>IF(A221="","",LEFT(IF(H221&lt;&gt;"",H221,G221)&amp;" | "&amp;G221&amp;" | "&amp;S221,60))</f>
        <v>Mao de obra terceirizada Emassamento e lixamento  interno pa</v>
      </c>
    </row>
    <row r="222" spans="1:39" ht="43.2" x14ac:dyDescent="0.3">
      <c r="A222" s="39">
        <v>221</v>
      </c>
      <c r="B222" s="39" t="s">
        <v>2</v>
      </c>
      <c r="C222" s="39" t="s">
        <v>74</v>
      </c>
      <c r="D222" s="39" t="s">
        <v>402</v>
      </c>
      <c r="E222" s="39" t="s">
        <v>402</v>
      </c>
      <c r="F222" s="39" t="s">
        <v>391</v>
      </c>
      <c r="G222" s="39" t="s">
        <v>403</v>
      </c>
      <c r="H222" s="40"/>
      <c r="I222" s="40"/>
      <c r="J222" s="40"/>
      <c r="K222" s="42">
        <v>46157</v>
      </c>
      <c r="L222" s="42"/>
      <c r="M222" s="44"/>
      <c r="N222" s="40"/>
      <c r="O222" s="40"/>
      <c r="P222" s="40"/>
      <c r="Q222" s="42">
        <f>IF(K222="","",K222)</f>
        <v>46157</v>
      </c>
      <c r="R222" s="39" t="s">
        <v>402</v>
      </c>
      <c r="S222" s="39" t="s">
        <v>404</v>
      </c>
      <c r="T222" s="39" t="s">
        <v>405</v>
      </c>
      <c r="U222" s="39"/>
      <c r="V222" s="39">
        <v>234</v>
      </c>
      <c r="W222" s="39" t="s">
        <v>387</v>
      </c>
      <c r="X222" s="41">
        <v>46146</v>
      </c>
      <c r="Y222" s="41">
        <v>46157</v>
      </c>
      <c r="Z222" s="43">
        <v>6544</v>
      </c>
      <c r="AA222" s="45">
        <f>IF(M222&lt;&gt;"",M222,Z222)</f>
        <v>6544</v>
      </c>
      <c r="AB222" s="46" t="str">
        <f>IF(L222&lt;&gt;"","Realizado","Previsto")</f>
        <v>Previsto</v>
      </c>
      <c r="AC222" s="47">
        <v>0.5</v>
      </c>
      <c r="AD222" s="43">
        <v>13088</v>
      </c>
      <c r="AE222" s="39">
        <v>64</v>
      </c>
      <c r="AF222" s="39" t="s">
        <v>87</v>
      </c>
      <c r="AG222" s="43">
        <v>204.5</v>
      </c>
      <c r="AH222" s="39" t="s">
        <v>406</v>
      </c>
      <c r="AI222" s="39" t="s">
        <v>73</v>
      </c>
      <c r="AJ222" s="48">
        <f>IF(Q222&lt;&gt;"",Q222,IF(K222&lt;&gt;"",K222,""))</f>
        <v>46157</v>
      </c>
      <c r="AK222" s="46" t="str">
        <f>IF(K222&lt;&gt;"","Sim","")</f>
        <v>Sim</v>
      </c>
      <c r="AL222" s="46" t="str">
        <f>IF(A222="","",TEXT(A222,"000000")&amp;"-"&amp;IF(C222="Entrada","CR","DB"))</f>
        <v>000221-DB</v>
      </c>
      <c r="AM222" s="46" t="str">
        <f>IF(A222="","",LEFT(IF(H222&lt;&gt;"",H222,G222)&amp;" | "&amp;G222&amp;" | "&amp;S222,60))</f>
        <v>Kit cavalete e hidrômetro - padrão corsan | Kit cavalete e h</v>
      </c>
    </row>
    <row r="223" spans="1:39" ht="43.2" x14ac:dyDescent="0.3">
      <c r="A223" s="39">
        <v>222</v>
      </c>
      <c r="B223" s="39" t="s">
        <v>2</v>
      </c>
      <c r="C223" s="39" t="s">
        <v>74</v>
      </c>
      <c r="D223" s="39" t="s">
        <v>402</v>
      </c>
      <c r="E223" s="39" t="s">
        <v>402</v>
      </c>
      <c r="F223" s="39" t="s">
        <v>391</v>
      </c>
      <c r="G223" s="39" t="s">
        <v>407</v>
      </c>
      <c r="H223" s="40"/>
      <c r="I223" s="40"/>
      <c r="J223" s="40"/>
      <c r="K223" s="42">
        <v>46157</v>
      </c>
      <c r="L223" s="42"/>
      <c r="M223" s="44"/>
      <c r="N223" s="40"/>
      <c r="O223" s="40"/>
      <c r="P223" s="40"/>
      <c r="Q223" s="42">
        <f>IF(K223="","",K223)</f>
        <v>46157</v>
      </c>
      <c r="R223" s="39" t="s">
        <v>402</v>
      </c>
      <c r="S223" s="39" t="s">
        <v>404</v>
      </c>
      <c r="T223" s="39" t="s">
        <v>405</v>
      </c>
      <c r="U223" s="39"/>
      <c r="V223" s="39">
        <v>235</v>
      </c>
      <c r="W223" s="39" t="s">
        <v>387</v>
      </c>
      <c r="X223" s="41">
        <v>46146</v>
      </c>
      <c r="Y223" s="41">
        <v>46157</v>
      </c>
      <c r="Z223" s="43">
        <v>17600</v>
      </c>
      <c r="AA223" s="45">
        <f>IF(M223&lt;&gt;"",M223,Z223)</f>
        <v>17600</v>
      </c>
      <c r="AB223" s="46" t="str">
        <f>IF(L223&lt;&gt;"","Realizado","Previsto")</f>
        <v>Previsto</v>
      </c>
      <c r="AC223" s="47">
        <v>0.5</v>
      </c>
      <c r="AD223" s="43">
        <v>35200</v>
      </c>
      <c r="AE223" s="39">
        <v>64</v>
      </c>
      <c r="AF223" s="39" t="s">
        <v>87</v>
      </c>
      <c r="AG223" s="43">
        <v>550</v>
      </c>
      <c r="AH223" s="39" t="s">
        <v>406</v>
      </c>
      <c r="AI223" s="39" t="s">
        <v>73</v>
      </c>
      <c r="AJ223" s="48">
        <f>IF(Q223&lt;&gt;"",Q223,IF(K223&lt;&gt;"",K223,""))</f>
        <v>46157</v>
      </c>
      <c r="AK223" s="46" t="str">
        <f>IF(K223&lt;&gt;"","Sim","")</f>
        <v>Sim</v>
      </c>
      <c r="AL223" s="46" t="str">
        <f>IF(A223="","",TEXT(A223,"000000")&amp;"-"&amp;IF(C223="Entrada","CR","DB"))</f>
        <v>000222-DB</v>
      </c>
      <c r="AM223" s="46" t="str">
        <f>IF(A223="","",LEFT(IF(H223&lt;&gt;"",H223,G223)&amp;" | "&amp;G223&amp;" | "&amp;S223,60))</f>
        <v xml:space="preserve">Mureta padrão corsan com caixa de polietileno padrão corsan </v>
      </c>
    </row>
    <row r="224" spans="1:39" ht="43.2" x14ac:dyDescent="0.3">
      <c r="A224" s="39">
        <v>223</v>
      </c>
      <c r="B224" s="39" t="s">
        <v>2</v>
      </c>
      <c r="C224" s="39" t="s">
        <v>74</v>
      </c>
      <c r="D224" s="39" t="s">
        <v>408</v>
      </c>
      <c r="E224" s="39" t="s">
        <v>408</v>
      </c>
      <c r="F224" s="39" t="s">
        <v>109</v>
      </c>
      <c r="G224" s="39" t="s">
        <v>409</v>
      </c>
      <c r="H224" s="40"/>
      <c r="I224" s="40"/>
      <c r="J224" s="40"/>
      <c r="K224" s="42">
        <v>46157</v>
      </c>
      <c r="L224" s="42"/>
      <c r="M224" s="44"/>
      <c r="N224" s="40"/>
      <c r="O224" s="40"/>
      <c r="P224" s="40"/>
      <c r="Q224" s="42">
        <f>IF(K224="","",K224)</f>
        <v>46157</v>
      </c>
      <c r="R224" s="39" t="s">
        <v>408</v>
      </c>
      <c r="S224" s="39" t="s">
        <v>410</v>
      </c>
      <c r="T224" s="39" t="s">
        <v>411</v>
      </c>
      <c r="U224" s="39" t="s">
        <v>215</v>
      </c>
      <c r="V224" s="39">
        <v>152</v>
      </c>
      <c r="W224" s="39" t="s">
        <v>387</v>
      </c>
      <c r="X224" s="41">
        <v>46146</v>
      </c>
      <c r="Y224" s="41">
        <v>46157</v>
      </c>
      <c r="Z224" s="43">
        <v>4497.6000000000004</v>
      </c>
      <c r="AA224" s="45">
        <f>IF(M224&lt;&gt;"",M224,Z224)</f>
        <v>4497.6000000000004</v>
      </c>
      <c r="AB224" s="46" t="str">
        <f>IF(L224&lt;&gt;"","Realizado","Previsto")</f>
        <v>Previsto</v>
      </c>
      <c r="AC224" s="47">
        <v>9.3700000000000006E-2</v>
      </c>
      <c r="AD224" s="43">
        <v>48000</v>
      </c>
      <c r="AE224" s="39">
        <v>320</v>
      </c>
      <c r="AF224" s="39" t="s">
        <v>87</v>
      </c>
      <c r="AG224" s="43">
        <v>150</v>
      </c>
      <c r="AH224" s="39" t="s">
        <v>412</v>
      </c>
      <c r="AI224" s="39" t="s">
        <v>73</v>
      </c>
      <c r="AJ224" s="48">
        <f>IF(Q224&lt;&gt;"",Q224,IF(K224&lt;&gt;"",K224,""))</f>
        <v>46157</v>
      </c>
      <c r="AK224" s="46" t="str">
        <f>IF(K224&lt;&gt;"","Sim","")</f>
        <v>Sim</v>
      </c>
      <c r="AL224" s="46" t="str">
        <f>IF(A224="","",TEXT(A224,"000000")&amp;"-"&amp;IF(C224="Entrada","CR","DB"))</f>
        <v>000223-DB</v>
      </c>
      <c r="AM224" s="46" t="str">
        <f>IF(A224="","",LEFT(IF(H224&lt;&gt;"",H224,G224)&amp;" | "&amp;G224&amp;" | "&amp;S224,60))</f>
        <v xml:space="preserve">Mao de obra terceirizada colocaçao de Esquadrias aluminio | </v>
      </c>
    </row>
    <row r="225" spans="1:39" ht="43.2" x14ac:dyDescent="0.3">
      <c r="A225" s="39">
        <v>224</v>
      </c>
      <c r="B225" s="39" t="s">
        <v>2</v>
      </c>
      <c r="C225" s="39" t="s">
        <v>74</v>
      </c>
      <c r="D225" s="39" t="s">
        <v>82</v>
      </c>
      <c r="E225" s="39" t="s">
        <v>82</v>
      </c>
      <c r="F225" s="39" t="s">
        <v>90</v>
      </c>
      <c r="G225" s="39" t="s">
        <v>241</v>
      </c>
      <c r="H225" s="40"/>
      <c r="I225" s="40"/>
      <c r="J225" s="40"/>
      <c r="K225" s="42">
        <v>46157</v>
      </c>
      <c r="L225" s="42"/>
      <c r="M225" s="44"/>
      <c r="N225" s="40"/>
      <c r="O225" s="40"/>
      <c r="P225" s="40"/>
      <c r="Q225" s="42">
        <f>IF(K225="","",K225)</f>
        <v>46157</v>
      </c>
      <c r="R225" s="39" t="s">
        <v>82</v>
      </c>
      <c r="S225" s="39" t="s">
        <v>85</v>
      </c>
      <c r="T225" s="39" t="s">
        <v>92</v>
      </c>
      <c r="U225" s="39"/>
      <c r="V225" s="39">
        <v>263</v>
      </c>
      <c r="W225" s="39" t="s">
        <v>387</v>
      </c>
      <c r="X225" s="41">
        <v>46146</v>
      </c>
      <c r="Y225" s="41">
        <v>46157</v>
      </c>
      <c r="Z225" s="43">
        <v>3000</v>
      </c>
      <c r="AA225" s="45">
        <f>IF(M225&lt;&gt;"",M225,Z225)</f>
        <v>3000</v>
      </c>
      <c r="AB225" s="46" t="str">
        <f>IF(L225&lt;&gt;"","Realizado","Previsto")</f>
        <v>Previsto</v>
      </c>
      <c r="AC225" s="47">
        <v>0.25</v>
      </c>
      <c r="AD225" s="43">
        <v>12000</v>
      </c>
      <c r="AE225" s="39"/>
      <c r="AF225" s="39" t="s">
        <v>79</v>
      </c>
      <c r="AG225" s="43">
        <v>3000</v>
      </c>
      <c r="AH225" s="39" t="s">
        <v>93</v>
      </c>
      <c r="AI225" s="39" t="s">
        <v>73</v>
      </c>
      <c r="AJ225" s="48">
        <f>IF(Q225&lt;&gt;"",Q225,IF(K225&lt;&gt;"",K225,""))</f>
        <v>46157</v>
      </c>
      <c r="AK225" s="46" t="str">
        <f>IF(K225&lt;&gt;"","Sim","")</f>
        <v>Sim</v>
      </c>
      <c r="AL225" s="46" t="str">
        <f>IF(A225="","",TEXT(A225,"000000")&amp;"-"&amp;IF(C225="Entrada","CR","DB"))</f>
        <v>000224-DB</v>
      </c>
      <c r="AM225" s="46" t="str">
        <f>IF(A225="","",LEFT(IF(H225&lt;&gt;"",H225,G225)&amp;" | "&amp;G225&amp;" | "&amp;S225,60))</f>
        <v>TECNICO SEGURANÇA TRABALHO - ( rateado em 3 canteiros) carro</v>
      </c>
    </row>
    <row r="226" spans="1:39" ht="43.2" x14ac:dyDescent="0.3">
      <c r="A226" s="39">
        <v>225</v>
      </c>
      <c r="B226" s="39" t="s">
        <v>2</v>
      </c>
      <c r="C226" s="39" t="s">
        <v>74</v>
      </c>
      <c r="D226" s="39" t="s">
        <v>331</v>
      </c>
      <c r="E226" s="39" t="s">
        <v>331</v>
      </c>
      <c r="F226" s="39" t="s">
        <v>94</v>
      </c>
      <c r="G226" s="39" t="s">
        <v>339</v>
      </c>
      <c r="H226" s="40"/>
      <c r="I226" s="40"/>
      <c r="J226" s="40"/>
      <c r="K226" s="42">
        <v>46157</v>
      </c>
      <c r="L226" s="42"/>
      <c r="M226" s="44"/>
      <c r="N226" s="40"/>
      <c r="O226" s="40"/>
      <c r="P226" s="40"/>
      <c r="Q226" s="42">
        <f>IF(K226="","",K226)</f>
        <v>46157</v>
      </c>
      <c r="R226" s="39" t="s">
        <v>331</v>
      </c>
      <c r="S226" s="39" t="s">
        <v>333</v>
      </c>
      <c r="T226" s="39" t="s">
        <v>340</v>
      </c>
      <c r="U226" s="39"/>
      <c r="V226" s="39">
        <v>66</v>
      </c>
      <c r="W226" s="39" t="s">
        <v>387</v>
      </c>
      <c r="X226" s="41">
        <v>46146</v>
      </c>
      <c r="Y226" s="41">
        <v>46157</v>
      </c>
      <c r="Z226" s="43">
        <v>630</v>
      </c>
      <c r="AA226" s="45">
        <f>IF(M226&lt;&gt;"",M226,Z226)</f>
        <v>630</v>
      </c>
      <c r="AB226" s="46" t="str">
        <f>IF(L226&lt;&gt;"","Realizado","Previsto")</f>
        <v>Previsto</v>
      </c>
      <c r="AC226" s="47">
        <v>0.3</v>
      </c>
      <c r="AD226" s="43">
        <v>2100</v>
      </c>
      <c r="AE226" s="39">
        <v>3</v>
      </c>
      <c r="AF226" s="39" t="s">
        <v>341</v>
      </c>
      <c r="AG226" s="43">
        <v>700</v>
      </c>
      <c r="AH226" s="39" t="s">
        <v>342</v>
      </c>
      <c r="AI226" s="39" t="s">
        <v>73</v>
      </c>
      <c r="AJ226" s="48">
        <f>IF(Q226&lt;&gt;"",Q226,IF(K226&lt;&gt;"",K226,""))</f>
        <v>46157</v>
      </c>
      <c r="AK226" s="46" t="str">
        <f>IF(K226&lt;&gt;"","Sim","")</f>
        <v>Sim</v>
      </c>
      <c r="AL226" s="46" t="str">
        <f>IF(A226="","",TEXT(A226,"000000")&amp;"-"&amp;IF(C226="Entrada","CR","DB"))</f>
        <v>000225-DB</v>
      </c>
      <c r="AM226" s="46" t="str">
        <f>IF(A226="","",LEFT(IF(H226&lt;&gt;"",H226,G226)&amp;" | "&amp;G226&amp;" | "&amp;S226,60))</f>
        <v>Locação betoneira para bater o graute | Locação betoneira pa</v>
      </c>
    </row>
    <row r="227" spans="1:39" ht="43.2" x14ac:dyDescent="0.3">
      <c r="A227" s="39">
        <v>226</v>
      </c>
      <c r="B227" s="39" t="s">
        <v>2</v>
      </c>
      <c r="C227" s="39" t="s">
        <v>74</v>
      </c>
      <c r="D227" s="39" t="s">
        <v>242</v>
      </c>
      <c r="E227" s="39" t="s">
        <v>243</v>
      </c>
      <c r="F227" s="39" t="s">
        <v>109</v>
      </c>
      <c r="G227" s="39" t="s">
        <v>244</v>
      </c>
      <c r="H227" s="40"/>
      <c r="I227" s="40"/>
      <c r="J227" s="40"/>
      <c r="K227" s="42">
        <v>46157</v>
      </c>
      <c r="L227" s="42"/>
      <c r="M227" s="44"/>
      <c r="N227" s="40"/>
      <c r="O227" s="40"/>
      <c r="P227" s="40"/>
      <c r="Q227" s="42">
        <f>IF(K227="","",K227)</f>
        <v>46157</v>
      </c>
      <c r="R227" s="39" t="s">
        <v>242</v>
      </c>
      <c r="S227" s="39" t="s">
        <v>245</v>
      </c>
      <c r="T227" s="39" t="s">
        <v>246</v>
      </c>
      <c r="U227" s="39" t="s">
        <v>215</v>
      </c>
      <c r="V227" s="39">
        <v>73</v>
      </c>
      <c r="W227" s="39" t="s">
        <v>387</v>
      </c>
      <c r="X227" s="41">
        <v>46146</v>
      </c>
      <c r="Y227" s="41">
        <v>46157</v>
      </c>
      <c r="Z227" s="43">
        <v>9057.2159999999985</v>
      </c>
      <c r="AA227" s="45">
        <f>IF(M227&lt;&gt;"",M227,Z227)</f>
        <v>9057.2159999999985</v>
      </c>
      <c r="AB227" s="46" t="str">
        <f>IF(L227&lt;&gt;"","Realizado","Previsto")</f>
        <v>Previsto</v>
      </c>
      <c r="AC227" s="47">
        <v>0.33695000000000003</v>
      </c>
      <c r="AD227" s="43">
        <v>26880</v>
      </c>
      <c r="AE227" s="39">
        <v>64</v>
      </c>
      <c r="AF227" s="39" t="s">
        <v>113</v>
      </c>
      <c r="AG227" s="43">
        <v>420</v>
      </c>
      <c r="AH227" s="39" t="s">
        <v>247</v>
      </c>
      <c r="AI227" s="39" t="s">
        <v>73</v>
      </c>
      <c r="AJ227" s="48">
        <f>IF(Q227&lt;&gt;"",Q227,IF(K227&lt;&gt;"",K227,""))</f>
        <v>46157</v>
      </c>
      <c r="AK227" s="46" t="str">
        <f>IF(K227&lt;&gt;"","Sim","")</f>
        <v>Sim</v>
      </c>
      <c r="AL227" s="46" t="str">
        <f>IF(A227="","",TEXT(A227,"000000")&amp;"-"&amp;IF(C227="Entrada","CR","DB"))</f>
        <v>000226-DB</v>
      </c>
      <c r="AM227" s="46" t="str">
        <f>IF(A227="","",LEFT(IF(H227&lt;&gt;"",H227,G227)&amp;" | "&amp;G227&amp;" | "&amp;S227,60))</f>
        <v xml:space="preserve">Mao de obra Impermeabilização de áreas úmidas | Mao de obra </v>
      </c>
    </row>
    <row r="228" spans="1:39" ht="43.2" x14ac:dyDescent="0.3">
      <c r="A228" s="39">
        <v>227</v>
      </c>
      <c r="B228" s="39" t="s">
        <v>2</v>
      </c>
      <c r="C228" s="39" t="s">
        <v>74</v>
      </c>
      <c r="D228" s="39" t="s">
        <v>98</v>
      </c>
      <c r="E228" s="39" t="s">
        <v>99</v>
      </c>
      <c r="F228" s="39" t="s">
        <v>94</v>
      </c>
      <c r="G228" s="39" t="s">
        <v>356</v>
      </c>
      <c r="H228" s="40"/>
      <c r="I228" s="40"/>
      <c r="J228" s="40"/>
      <c r="K228" s="42">
        <v>46157</v>
      </c>
      <c r="L228" s="42"/>
      <c r="M228" s="44"/>
      <c r="N228" s="40"/>
      <c r="O228" s="40"/>
      <c r="P228" s="40"/>
      <c r="Q228" s="42">
        <f>IF(K228="","",K228)</f>
        <v>46157</v>
      </c>
      <c r="R228" s="39" t="s">
        <v>98</v>
      </c>
      <c r="S228" s="39" t="s">
        <v>102</v>
      </c>
      <c r="T228" s="39" t="s">
        <v>357</v>
      </c>
      <c r="U228" s="39" t="s">
        <v>358</v>
      </c>
      <c r="V228" s="39">
        <v>60</v>
      </c>
      <c r="W228" s="39" t="s">
        <v>387</v>
      </c>
      <c r="X228" s="41">
        <v>46146</v>
      </c>
      <c r="Y228" s="41">
        <v>46157</v>
      </c>
      <c r="Z228" s="43">
        <v>53760</v>
      </c>
      <c r="AA228" s="45">
        <f>IF(M228&lt;&gt;"",M228,Z228)</f>
        <v>53760</v>
      </c>
      <c r="AB228" s="46" t="str">
        <f>IF(L228&lt;&gt;"","Realizado","Previsto")</f>
        <v>Previsto</v>
      </c>
      <c r="AC228" s="47">
        <v>0.3</v>
      </c>
      <c r="AD228" s="43">
        <v>179200</v>
      </c>
      <c r="AE228" s="39">
        <v>64</v>
      </c>
      <c r="AF228" s="39" t="s">
        <v>341</v>
      </c>
      <c r="AG228" s="43">
        <v>2800</v>
      </c>
      <c r="AH228" s="39" t="s">
        <v>359</v>
      </c>
      <c r="AI228" s="39" t="s">
        <v>73</v>
      </c>
      <c r="AJ228" s="48">
        <f>IF(Q228&lt;&gt;"",Q228,IF(K228&lt;&gt;"",K228,""))</f>
        <v>46157</v>
      </c>
      <c r="AK228" s="46" t="str">
        <f>IF(K228&lt;&gt;"","Sim","")</f>
        <v>Sim</v>
      </c>
      <c r="AL228" s="46" t="str">
        <f>IF(A228="","",TEXT(A228,"000000")&amp;"-"&amp;IF(C228="Entrada","CR","DB"))</f>
        <v>000227-DB</v>
      </c>
      <c r="AM228" s="46" t="str">
        <f>IF(A228="","",LEFT(IF(H228&lt;&gt;"",H228,G228)&amp;" | "&amp;G228&amp;" | "&amp;S228,60))</f>
        <v>Icamento para montagem canteiro de obra - Guindaste | Icamen</v>
      </c>
    </row>
    <row r="229" spans="1:39" ht="43.2" x14ac:dyDescent="0.3">
      <c r="A229" s="39">
        <v>228</v>
      </c>
      <c r="B229" s="39" t="s">
        <v>2</v>
      </c>
      <c r="C229" s="39" t="s">
        <v>74</v>
      </c>
      <c r="D229" s="39" t="s">
        <v>98</v>
      </c>
      <c r="E229" s="39" t="s">
        <v>99</v>
      </c>
      <c r="F229" s="39" t="s">
        <v>109</v>
      </c>
      <c r="G229" s="39" t="s">
        <v>248</v>
      </c>
      <c r="H229" s="40"/>
      <c r="I229" s="40"/>
      <c r="J229" s="40"/>
      <c r="K229" s="42">
        <v>46157</v>
      </c>
      <c r="L229" s="42"/>
      <c r="M229" s="44"/>
      <c r="N229" s="40"/>
      <c r="O229" s="40"/>
      <c r="P229" s="40"/>
      <c r="Q229" s="42">
        <f>IF(K229="","",K229)</f>
        <v>46157</v>
      </c>
      <c r="R229" s="39" t="s">
        <v>98</v>
      </c>
      <c r="S229" s="39" t="s">
        <v>102</v>
      </c>
      <c r="T229" s="39" t="s">
        <v>249</v>
      </c>
      <c r="U229" s="39" t="s">
        <v>250</v>
      </c>
      <c r="V229" s="39">
        <v>58</v>
      </c>
      <c r="W229" s="39" t="s">
        <v>387</v>
      </c>
      <c r="X229" s="41">
        <v>46146</v>
      </c>
      <c r="Y229" s="41">
        <v>46157</v>
      </c>
      <c r="Z229" s="43">
        <v>53911.8706112</v>
      </c>
      <c r="AA229" s="45">
        <f>IF(M229&lt;&gt;"",M229,Z229)</f>
        <v>53911.8706112</v>
      </c>
      <c r="AB229" s="46" t="str">
        <f>IF(L229&lt;&gt;"","Realizado","Previsto")</f>
        <v>Previsto</v>
      </c>
      <c r="AC229" s="47">
        <v>0.33695000000000003</v>
      </c>
      <c r="AD229" s="43">
        <v>159999.61600000001</v>
      </c>
      <c r="AE229" s="39">
        <v>896</v>
      </c>
      <c r="AF229" s="39" t="s">
        <v>182</v>
      </c>
      <c r="AG229" s="43">
        <v>178.571</v>
      </c>
      <c r="AH229" s="39" t="s">
        <v>251</v>
      </c>
      <c r="AI229" s="39" t="s">
        <v>73</v>
      </c>
      <c r="AJ229" s="48">
        <f>IF(Q229&lt;&gt;"",Q229,IF(K229&lt;&gt;"",K229,""))</f>
        <v>46157</v>
      </c>
      <c r="AK229" s="46" t="str">
        <f>IF(K229&lt;&gt;"","Sim","")</f>
        <v>Sim</v>
      </c>
      <c r="AL229" s="46" t="str">
        <f>IF(A229="","",TEXT(A229,"000000")&amp;"-"&amp;IF(C229="Entrada","CR","DB"))</f>
        <v>000228-DB</v>
      </c>
      <c r="AM229" s="46" t="str">
        <f>IF(A229="","",LEFT(IF(H229&lt;&gt;"",H229,G229)&amp;" | "&amp;G229&amp;" | "&amp;S229,60))</f>
        <v>Montagem de paredes pré-moldadas (içamento, prumo, alinhamen</v>
      </c>
    </row>
    <row r="230" spans="1:39" ht="57.6" x14ac:dyDescent="0.3">
      <c r="A230" s="39">
        <v>229</v>
      </c>
      <c r="B230" s="39" t="s">
        <v>2</v>
      </c>
      <c r="C230" s="39" t="s">
        <v>74</v>
      </c>
      <c r="D230" s="39" t="s">
        <v>98</v>
      </c>
      <c r="E230" s="39" t="s">
        <v>99</v>
      </c>
      <c r="F230" s="39" t="s">
        <v>360</v>
      </c>
      <c r="G230" s="39" t="s">
        <v>361</v>
      </c>
      <c r="H230" s="40"/>
      <c r="I230" s="40"/>
      <c r="J230" s="40"/>
      <c r="K230" s="42">
        <v>46157</v>
      </c>
      <c r="L230" s="42"/>
      <c r="M230" s="44"/>
      <c r="N230" s="40"/>
      <c r="O230" s="40"/>
      <c r="P230" s="40"/>
      <c r="Q230" s="42">
        <f>IF(K230="","",K230)</f>
        <v>46157</v>
      </c>
      <c r="R230" s="39" t="s">
        <v>98</v>
      </c>
      <c r="S230" s="39" t="s">
        <v>102</v>
      </c>
      <c r="T230" s="39" t="s">
        <v>362</v>
      </c>
      <c r="U230" s="39" t="s">
        <v>363</v>
      </c>
      <c r="V230" s="39">
        <v>59</v>
      </c>
      <c r="W230" s="39" t="s">
        <v>387</v>
      </c>
      <c r="X230" s="41">
        <v>46146</v>
      </c>
      <c r="Y230" s="41">
        <v>46157</v>
      </c>
      <c r="Z230" s="43">
        <v>48384</v>
      </c>
      <c r="AA230" s="45">
        <f>IF(M230&lt;&gt;"",M230,Z230)</f>
        <v>48384</v>
      </c>
      <c r="AB230" s="46" t="str">
        <f>IF(L230&lt;&gt;"","Realizado","Previsto")</f>
        <v>Previsto</v>
      </c>
      <c r="AC230" s="47">
        <v>0.3</v>
      </c>
      <c r="AD230" s="43">
        <v>161280</v>
      </c>
      <c r="AE230" s="39">
        <v>7680</v>
      </c>
      <c r="AF230" s="39" t="s">
        <v>364</v>
      </c>
      <c r="AG230" s="43">
        <v>21</v>
      </c>
      <c r="AH230" s="39" t="s">
        <v>365</v>
      </c>
      <c r="AI230" s="39" t="s">
        <v>73</v>
      </c>
      <c r="AJ230" s="48">
        <f>IF(Q230&lt;&gt;"",Q230,IF(K230&lt;&gt;"",K230,""))</f>
        <v>46157</v>
      </c>
      <c r="AK230" s="46" t="str">
        <f>IF(K230&lt;&gt;"","Sim","")</f>
        <v>Sim</v>
      </c>
      <c r="AL230" s="46" t="str">
        <f>IF(A230="","",TEXT(A230,"000000")&amp;"-"&amp;IF(C230="Entrada","CR","DB"))</f>
        <v>000229-DB</v>
      </c>
      <c r="AM230" s="46" t="str">
        <f>IF(A230="","",LEFT(IF(H230&lt;&gt;"",H230,G230)&amp;" | "&amp;G230&amp;" | "&amp;S230,60))</f>
        <v>Transporte de paredes e lajes (carreta + munck + carga/desca</v>
      </c>
    </row>
    <row r="231" spans="1:39" ht="43.2" x14ac:dyDescent="0.3">
      <c r="A231" s="39">
        <v>230</v>
      </c>
      <c r="B231" s="39" t="s">
        <v>2</v>
      </c>
      <c r="C231" s="39" t="s">
        <v>74</v>
      </c>
      <c r="D231" s="39" t="s">
        <v>98</v>
      </c>
      <c r="E231" s="39" t="s">
        <v>99</v>
      </c>
      <c r="F231" s="39" t="s">
        <v>100</v>
      </c>
      <c r="G231" s="39" t="s">
        <v>101</v>
      </c>
      <c r="H231" s="40"/>
      <c r="I231" s="40"/>
      <c r="J231" s="40"/>
      <c r="K231" s="42">
        <v>46157</v>
      </c>
      <c r="L231" s="42"/>
      <c r="M231" s="44"/>
      <c r="N231" s="40"/>
      <c r="O231" s="40"/>
      <c r="P231" s="40"/>
      <c r="Q231" s="42">
        <f>IF(K231="","",K231)</f>
        <v>46157</v>
      </c>
      <c r="R231" s="39" t="s">
        <v>98</v>
      </c>
      <c r="S231" s="39" t="s">
        <v>102</v>
      </c>
      <c r="T231" s="39" t="s">
        <v>103</v>
      </c>
      <c r="U231" s="39" t="s">
        <v>104</v>
      </c>
      <c r="V231" s="39">
        <v>48</v>
      </c>
      <c r="W231" s="39" t="s">
        <v>387</v>
      </c>
      <c r="X231" s="41">
        <v>46146</v>
      </c>
      <c r="Y231" s="41">
        <v>46157</v>
      </c>
      <c r="Z231" s="43">
        <v>74656</v>
      </c>
      <c r="AA231" s="45">
        <f>IF(M231&lt;&gt;"",M231,Z231)</f>
        <v>74656</v>
      </c>
      <c r="AB231" s="46" t="str">
        <f>IF(L231&lt;&gt;"","Realizado","Previsto")</f>
        <v>Previsto</v>
      </c>
      <c r="AC231" s="47">
        <v>0.23330000000000001</v>
      </c>
      <c r="AD231" s="43">
        <v>320000</v>
      </c>
      <c r="AE231" s="39">
        <v>20</v>
      </c>
      <c r="AF231" s="39" t="s">
        <v>87</v>
      </c>
      <c r="AG231" s="43">
        <v>16000</v>
      </c>
      <c r="AH231" s="39" t="s">
        <v>105</v>
      </c>
      <c r="AI231" s="39" t="s">
        <v>73</v>
      </c>
      <c r="AJ231" s="48">
        <f>IF(Q231&lt;&gt;"",Q231,IF(K231&lt;&gt;"",K231,""))</f>
        <v>46157</v>
      </c>
      <c r="AK231" s="46" t="str">
        <f>IF(K231&lt;&gt;"","Sim","")</f>
        <v>Sim</v>
      </c>
      <c r="AL231" s="46" t="str">
        <f>IF(A231="","",TEXT(A231,"000000")&amp;"-"&amp;IF(C231="Entrada","CR","DB"))</f>
        <v>000230-DB</v>
      </c>
      <c r="AM231" s="46" t="str">
        <f>IF(A231="","",LEFT(IF(H231&lt;&gt;"",H231,G231)&amp;" | "&amp;G231&amp;" | "&amp;S231,60))</f>
        <v>contrato industrializaçao paredes | contrato industrializaça</v>
      </c>
    </row>
    <row r="232" spans="1:39" ht="43.2" x14ac:dyDescent="0.3">
      <c r="A232" s="39">
        <v>231</v>
      </c>
      <c r="B232" s="39" t="s">
        <v>2</v>
      </c>
      <c r="C232" s="39" t="s">
        <v>74</v>
      </c>
      <c r="D232" s="39" t="s">
        <v>98</v>
      </c>
      <c r="E232" s="39" t="s">
        <v>99</v>
      </c>
      <c r="F232" s="39" t="s">
        <v>100</v>
      </c>
      <c r="G232" s="39" t="s">
        <v>101</v>
      </c>
      <c r="H232" s="40"/>
      <c r="I232" s="40"/>
      <c r="J232" s="40"/>
      <c r="K232" s="42">
        <v>46157</v>
      </c>
      <c r="L232" s="42"/>
      <c r="M232" s="44"/>
      <c r="N232" s="40"/>
      <c r="O232" s="40"/>
      <c r="P232" s="40"/>
      <c r="Q232" s="42">
        <f>IF(K232="","",K232)</f>
        <v>46157</v>
      </c>
      <c r="R232" s="39" t="s">
        <v>98</v>
      </c>
      <c r="S232" s="39" t="s">
        <v>102</v>
      </c>
      <c r="T232" s="39" t="s">
        <v>103</v>
      </c>
      <c r="U232" s="39" t="s">
        <v>104</v>
      </c>
      <c r="V232" s="39">
        <v>49</v>
      </c>
      <c r="W232" s="39" t="s">
        <v>387</v>
      </c>
      <c r="X232" s="41">
        <v>46146</v>
      </c>
      <c r="Y232" s="41">
        <v>46157</v>
      </c>
      <c r="Z232" s="43">
        <v>74656</v>
      </c>
      <c r="AA232" s="45">
        <f>IF(M232&lt;&gt;"",M232,Z232)</f>
        <v>74656</v>
      </c>
      <c r="AB232" s="46" t="str">
        <f>IF(L232&lt;&gt;"","Realizado","Previsto")</f>
        <v>Previsto</v>
      </c>
      <c r="AC232" s="47">
        <v>0.23330000000000001</v>
      </c>
      <c r="AD232" s="43">
        <v>320000</v>
      </c>
      <c r="AE232" s="39">
        <v>20</v>
      </c>
      <c r="AF232" s="39" t="s">
        <v>87</v>
      </c>
      <c r="AG232" s="43">
        <v>16000</v>
      </c>
      <c r="AH232" s="39" t="s">
        <v>105</v>
      </c>
      <c r="AI232" s="39" t="s">
        <v>73</v>
      </c>
      <c r="AJ232" s="48">
        <f>IF(Q232&lt;&gt;"",Q232,IF(K232&lt;&gt;"",K232,""))</f>
        <v>46157</v>
      </c>
      <c r="AK232" s="46" t="str">
        <f>IF(K232&lt;&gt;"","Sim","")</f>
        <v>Sim</v>
      </c>
      <c r="AL232" s="46" t="str">
        <f>IF(A232="","",TEXT(A232,"000000")&amp;"-"&amp;IF(C232="Entrada","CR","DB"))</f>
        <v>000231-DB</v>
      </c>
      <c r="AM232" s="46" t="str">
        <f>IF(A232="","",LEFT(IF(H232&lt;&gt;"",H232,G232)&amp;" | "&amp;G232&amp;" | "&amp;S232,60))</f>
        <v>contrato industrializaçao paredes | contrato industrializaça</v>
      </c>
    </row>
    <row r="233" spans="1:39" ht="43.2" x14ac:dyDescent="0.3">
      <c r="A233" s="39">
        <v>232</v>
      </c>
      <c r="B233" s="39" t="s">
        <v>2</v>
      </c>
      <c r="C233" s="39" t="s">
        <v>74</v>
      </c>
      <c r="D233" s="39" t="s">
        <v>98</v>
      </c>
      <c r="E233" s="39" t="s">
        <v>99</v>
      </c>
      <c r="F233" s="39" t="s">
        <v>100</v>
      </c>
      <c r="G233" s="39" t="s">
        <v>101</v>
      </c>
      <c r="H233" s="40"/>
      <c r="I233" s="40"/>
      <c r="J233" s="40"/>
      <c r="K233" s="42">
        <v>46157</v>
      </c>
      <c r="L233" s="42"/>
      <c r="M233" s="44"/>
      <c r="N233" s="40"/>
      <c r="O233" s="40"/>
      <c r="P233" s="40"/>
      <c r="Q233" s="42">
        <f>IF(K233="","",K233)</f>
        <v>46157</v>
      </c>
      <c r="R233" s="39" t="s">
        <v>98</v>
      </c>
      <c r="S233" s="39" t="s">
        <v>102</v>
      </c>
      <c r="T233" s="39" t="s">
        <v>103</v>
      </c>
      <c r="U233" s="39" t="s">
        <v>106</v>
      </c>
      <c r="V233" s="39">
        <v>50</v>
      </c>
      <c r="W233" s="39" t="s">
        <v>387</v>
      </c>
      <c r="X233" s="41">
        <v>46146</v>
      </c>
      <c r="Y233" s="41">
        <v>46157</v>
      </c>
      <c r="Z233" s="43">
        <v>89587.199999999997</v>
      </c>
      <c r="AA233" s="45">
        <f>IF(M233&lt;&gt;"",M233,Z233)</f>
        <v>89587.199999999997</v>
      </c>
      <c r="AB233" s="46" t="str">
        <f>IF(L233&lt;&gt;"","Realizado","Previsto")</f>
        <v>Previsto</v>
      </c>
      <c r="AC233" s="47">
        <v>0.23330000000000001</v>
      </c>
      <c r="AD233" s="43">
        <v>384000</v>
      </c>
      <c r="AE233" s="39">
        <v>24</v>
      </c>
      <c r="AF233" s="39" t="s">
        <v>87</v>
      </c>
      <c r="AG233" s="43">
        <v>16000</v>
      </c>
      <c r="AH233" s="39" t="s">
        <v>105</v>
      </c>
      <c r="AI233" s="39" t="s">
        <v>73</v>
      </c>
      <c r="AJ233" s="48">
        <f>IF(Q233&lt;&gt;"",Q233,IF(K233&lt;&gt;"",K233,""))</f>
        <v>46157</v>
      </c>
      <c r="AK233" s="46" t="str">
        <f>IF(K233&lt;&gt;"","Sim","")</f>
        <v>Sim</v>
      </c>
      <c r="AL233" s="46" t="str">
        <f>IF(A233="","",TEXT(A233,"000000")&amp;"-"&amp;IF(C233="Entrada","CR","DB"))</f>
        <v>000232-DB</v>
      </c>
      <c r="AM233" s="46" t="str">
        <f>IF(A233="","",LEFT(IF(H233&lt;&gt;"",H233,G233)&amp;" | "&amp;G233&amp;" | "&amp;S233,60))</f>
        <v>contrato industrializaçao paredes | contrato industrializaça</v>
      </c>
    </row>
    <row r="234" spans="1:39" ht="43.2" x14ac:dyDescent="0.3">
      <c r="A234" s="39">
        <v>233</v>
      </c>
      <c r="B234" s="39" t="s">
        <v>2</v>
      </c>
      <c r="C234" s="39" t="s">
        <v>74</v>
      </c>
      <c r="D234" s="39" t="s">
        <v>98</v>
      </c>
      <c r="E234" s="39" t="s">
        <v>99</v>
      </c>
      <c r="F234" s="39" t="s">
        <v>100</v>
      </c>
      <c r="G234" s="39" t="s">
        <v>252</v>
      </c>
      <c r="H234" s="40"/>
      <c r="I234" s="40"/>
      <c r="J234" s="40"/>
      <c r="K234" s="42">
        <v>46157</v>
      </c>
      <c r="L234" s="42"/>
      <c r="M234" s="44"/>
      <c r="N234" s="40"/>
      <c r="O234" s="40"/>
      <c r="P234" s="40"/>
      <c r="Q234" s="42">
        <f>IF(K234="","",K234)</f>
        <v>46157</v>
      </c>
      <c r="R234" s="39" t="s">
        <v>98</v>
      </c>
      <c r="S234" s="39" t="s">
        <v>102</v>
      </c>
      <c r="T234" s="39" t="s">
        <v>103</v>
      </c>
      <c r="U234" s="39" t="s">
        <v>104</v>
      </c>
      <c r="V234" s="39">
        <v>54</v>
      </c>
      <c r="W234" s="39" t="s">
        <v>387</v>
      </c>
      <c r="X234" s="41">
        <v>46146</v>
      </c>
      <c r="Y234" s="41">
        <v>46157</v>
      </c>
      <c r="Z234" s="43">
        <v>38381.900689655173</v>
      </c>
      <c r="AA234" s="45">
        <f>IF(M234&lt;&gt;"",M234,Z234)</f>
        <v>38381.900689655173</v>
      </c>
      <c r="AB234" s="46" t="str">
        <f>IF(L234&lt;&gt;"","Realizado","Previsto")</f>
        <v>Previsto</v>
      </c>
      <c r="AC234" s="47">
        <v>0.2068965517241379</v>
      </c>
      <c r="AD234" s="43">
        <v>185512.52</v>
      </c>
      <c r="AE234" s="39">
        <v>20</v>
      </c>
      <c r="AF234" s="39" t="s">
        <v>87</v>
      </c>
      <c r="AG234" s="43">
        <v>9275.6260000000002</v>
      </c>
      <c r="AH234" s="39" t="s">
        <v>105</v>
      </c>
      <c r="AI234" s="39" t="s">
        <v>73</v>
      </c>
      <c r="AJ234" s="48">
        <f>IF(Q234&lt;&gt;"",Q234,IF(K234&lt;&gt;"",K234,""))</f>
        <v>46157</v>
      </c>
      <c r="AK234" s="46" t="str">
        <f>IF(K234&lt;&gt;"","Sim","")</f>
        <v>Sim</v>
      </c>
      <c r="AL234" s="46" t="str">
        <f>IF(A234="","",TEXT(A234,"000000")&amp;"-"&amp;IF(C234="Entrada","CR","DB"))</f>
        <v>000233-DB</v>
      </c>
      <c r="AM234" s="46" t="str">
        <f>IF(A234="","",LEFT(IF(H234&lt;&gt;"",H234,G234)&amp;" | "&amp;G234&amp;" | "&amp;S234,60))</f>
        <v>material CIMENTO : KIT Parede e Laje - FOB na Fabrica | mate</v>
      </c>
    </row>
    <row r="235" spans="1:39" ht="43.2" x14ac:dyDescent="0.3">
      <c r="A235" s="39">
        <v>234</v>
      </c>
      <c r="B235" s="39" t="s">
        <v>2</v>
      </c>
      <c r="C235" s="39" t="s">
        <v>74</v>
      </c>
      <c r="D235" s="39" t="s">
        <v>98</v>
      </c>
      <c r="E235" s="39" t="s">
        <v>99</v>
      </c>
      <c r="F235" s="39" t="s">
        <v>100</v>
      </c>
      <c r="G235" s="39" t="s">
        <v>252</v>
      </c>
      <c r="H235" s="40"/>
      <c r="I235" s="40"/>
      <c r="J235" s="40"/>
      <c r="K235" s="42">
        <v>46157</v>
      </c>
      <c r="L235" s="42"/>
      <c r="M235" s="44"/>
      <c r="N235" s="40"/>
      <c r="O235" s="40"/>
      <c r="P235" s="40"/>
      <c r="Q235" s="42">
        <f>IF(K235="","",K235)</f>
        <v>46157</v>
      </c>
      <c r="R235" s="39" t="s">
        <v>98</v>
      </c>
      <c r="S235" s="39" t="s">
        <v>102</v>
      </c>
      <c r="T235" s="39" t="s">
        <v>103</v>
      </c>
      <c r="U235" s="39" t="s">
        <v>104</v>
      </c>
      <c r="V235" s="39">
        <v>55</v>
      </c>
      <c r="W235" s="39" t="s">
        <v>387</v>
      </c>
      <c r="X235" s="41">
        <v>46146</v>
      </c>
      <c r="Y235" s="41">
        <v>46157</v>
      </c>
      <c r="Z235" s="43">
        <v>38381.900689655173</v>
      </c>
      <c r="AA235" s="45">
        <f>IF(M235&lt;&gt;"",M235,Z235)</f>
        <v>38381.900689655173</v>
      </c>
      <c r="AB235" s="46" t="str">
        <f>IF(L235&lt;&gt;"","Realizado","Previsto")</f>
        <v>Previsto</v>
      </c>
      <c r="AC235" s="47">
        <v>0.2068965517241379</v>
      </c>
      <c r="AD235" s="43">
        <v>185512.52</v>
      </c>
      <c r="AE235" s="39">
        <v>20</v>
      </c>
      <c r="AF235" s="39" t="s">
        <v>87</v>
      </c>
      <c r="AG235" s="43">
        <v>9275.6260000000002</v>
      </c>
      <c r="AH235" s="39" t="s">
        <v>105</v>
      </c>
      <c r="AI235" s="39" t="s">
        <v>73</v>
      </c>
      <c r="AJ235" s="48">
        <f>IF(Q235&lt;&gt;"",Q235,IF(K235&lt;&gt;"",K235,""))</f>
        <v>46157</v>
      </c>
      <c r="AK235" s="46" t="str">
        <f>IF(K235&lt;&gt;"","Sim","")</f>
        <v>Sim</v>
      </c>
      <c r="AL235" s="46" t="str">
        <f>IF(A235="","",TEXT(A235,"000000")&amp;"-"&amp;IF(C235="Entrada","CR","DB"))</f>
        <v>000234-DB</v>
      </c>
      <c r="AM235" s="46" t="str">
        <f>IF(A235="","",LEFT(IF(H235&lt;&gt;"",H235,G235)&amp;" | "&amp;G235&amp;" | "&amp;S235,60))</f>
        <v>material CIMENTO : KIT Parede e Laje - FOB na Fabrica | mate</v>
      </c>
    </row>
    <row r="236" spans="1:39" ht="43.2" x14ac:dyDescent="0.3">
      <c r="A236" s="39">
        <v>235</v>
      </c>
      <c r="B236" s="39" t="s">
        <v>2</v>
      </c>
      <c r="C236" s="39" t="s">
        <v>74</v>
      </c>
      <c r="D236" s="39" t="s">
        <v>98</v>
      </c>
      <c r="E236" s="39" t="s">
        <v>99</v>
      </c>
      <c r="F236" s="39" t="s">
        <v>100</v>
      </c>
      <c r="G236" s="39" t="s">
        <v>252</v>
      </c>
      <c r="H236" s="40"/>
      <c r="I236" s="40"/>
      <c r="J236" s="40"/>
      <c r="K236" s="42">
        <v>46157</v>
      </c>
      <c r="L236" s="42"/>
      <c r="M236" s="44"/>
      <c r="N236" s="40"/>
      <c r="O236" s="40"/>
      <c r="P236" s="40"/>
      <c r="Q236" s="42">
        <f>IF(K236="","",K236)</f>
        <v>46157</v>
      </c>
      <c r="R236" s="39" t="s">
        <v>98</v>
      </c>
      <c r="S236" s="39" t="s">
        <v>102</v>
      </c>
      <c r="T236" s="39" t="s">
        <v>103</v>
      </c>
      <c r="U236" s="39" t="s">
        <v>106</v>
      </c>
      <c r="V236" s="39">
        <v>56</v>
      </c>
      <c r="W236" s="39" t="s">
        <v>387</v>
      </c>
      <c r="X236" s="41">
        <v>46146</v>
      </c>
      <c r="Y236" s="41">
        <v>46157</v>
      </c>
      <c r="Z236" s="43">
        <v>46058.280827586197</v>
      </c>
      <c r="AA236" s="45">
        <f>IF(M236&lt;&gt;"",M236,Z236)</f>
        <v>46058.280827586197</v>
      </c>
      <c r="AB236" s="46" t="str">
        <f>IF(L236&lt;&gt;"","Realizado","Previsto")</f>
        <v>Previsto</v>
      </c>
      <c r="AC236" s="47">
        <v>0.2068965517241379</v>
      </c>
      <c r="AD236" s="43">
        <v>222615.024</v>
      </c>
      <c r="AE236" s="39">
        <v>24</v>
      </c>
      <c r="AF236" s="39" t="s">
        <v>87</v>
      </c>
      <c r="AG236" s="43">
        <v>9275.6260000000002</v>
      </c>
      <c r="AH236" s="39" t="s">
        <v>105</v>
      </c>
      <c r="AI236" s="39" t="s">
        <v>73</v>
      </c>
      <c r="AJ236" s="48">
        <f>IF(Q236&lt;&gt;"",Q236,IF(K236&lt;&gt;"",K236,""))</f>
        <v>46157</v>
      </c>
      <c r="AK236" s="46" t="str">
        <f>IF(K236&lt;&gt;"","Sim","")</f>
        <v>Sim</v>
      </c>
      <c r="AL236" s="46" t="str">
        <f>IF(A236="","",TEXT(A236,"000000")&amp;"-"&amp;IF(C236="Entrada","CR","DB"))</f>
        <v>000235-DB</v>
      </c>
      <c r="AM236" s="46" t="str">
        <f>IF(A236="","",LEFT(IF(H236&lt;&gt;"",H236,G236)&amp;" | "&amp;G236&amp;" | "&amp;S236,60))</f>
        <v>material CIMENTO : KIT Parede e Laje - FOB na Fabrica | mate</v>
      </c>
    </row>
    <row r="237" spans="1:39" ht="43.2" x14ac:dyDescent="0.3">
      <c r="A237" s="39">
        <v>236</v>
      </c>
      <c r="B237" s="39" t="s">
        <v>2</v>
      </c>
      <c r="C237" s="39" t="s">
        <v>74</v>
      </c>
      <c r="D237" s="39" t="s">
        <v>98</v>
      </c>
      <c r="E237" s="39" t="s">
        <v>99</v>
      </c>
      <c r="F237" s="39" t="s">
        <v>100</v>
      </c>
      <c r="G237" s="39" t="s">
        <v>253</v>
      </c>
      <c r="H237" s="40"/>
      <c r="I237" s="40"/>
      <c r="J237" s="40"/>
      <c r="K237" s="42">
        <v>46157</v>
      </c>
      <c r="L237" s="42"/>
      <c r="M237" s="44"/>
      <c r="N237" s="40"/>
      <c r="O237" s="40"/>
      <c r="P237" s="40"/>
      <c r="Q237" s="42">
        <f>IF(K237="","",K237)</f>
        <v>46157</v>
      </c>
      <c r="R237" s="39" t="s">
        <v>98</v>
      </c>
      <c r="S237" s="39" t="s">
        <v>102</v>
      </c>
      <c r="T237" s="39" t="s">
        <v>103</v>
      </c>
      <c r="U237" s="39" t="s">
        <v>104</v>
      </c>
      <c r="V237" s="39">
        <v>51</v>
      </c>
      <c r="W237" s="39" t="s">
        <v>387</v>
      </c>
      <c r="X237" s="41">
        <v>46146</v>
      </c>
      <c r="Y237" s="41">
        <v>46157</v>
      </c>
      <c r="Z237" s="43">
        <v>40819.310976349298</v>
      </c>
      <c r="AA237" s="45">
        <f>IF(M237&lt;&gt;"",M237,Z237)</f>
        <v>40819.310976349298</v>
      </c>
      <c r="AB237" s="46" t="str">
        <f>IF(L237&lt;&gt;"","Realizado","Previsto")</f>
        <v>Previsto</v>
      </c>
      <c r="AC237" s="47">
        <v>0.30351728320194049</v>
      </c>
      <c r="AD237" s="43">
        <v>134487.6</v>
      </c>
      <c r="AE237" s="39">
        <v>20</v>
      </c>
      <c r="AF237" s="39" t="s">
        <v>87</v>
      </c>
      <c r="AG237" s="43">
        <v>6724.38</v>
      </c>
      <c r="AH237" s="39" t="s">
        <v>105</v>
      </c>
      <c r="AI237" s="39" t="s">
        <v>73</v>
      </c>
      <c r="AJ237" s="48">
        <f>IF(Q237&lt;&gt;"",Q237,IF(K237&lt;&gt;"",K237,""))</f>
        <v>46157</v>
      </c>
      <c r="AK237" s="46" t="str">
        <f>IF(K237&lt;&gt;"","Sim","")</f>
        <v>Sim</v>
      </c>
      <c r="AL237" s="46" t="str">
        <f>IF(A237="","",TEXT(A237,"000000")&amp;"-"&amp;IF(C237="Entrada","CR","DB"))</f>
        <v>000236-DB</v>
      </c>
      <c r="AM237" s="46" t="str">
        <f>IF(A237="","",LEFT(IF(H237&lt;&gt;"",H237,G237)&amp;" | "&amp;G237&amp;" | "&amp;S237,60))</f>
        <v>material FERRO: KIT Parede e Laje - FOB na Fabrica | materia</v>
      </c>
    </row>
    <row r="238" spans="1:39" ht="43.2" x14ac:dyDescent="0.3">
      <c r="A238" s="39">
        <v>237</v>
      </c>
      <c r="B238" s="39" t="s">
        <v>2</v>
      </c>
      <c r="C238" s="39" t="s">
        <v>74</v>
      </c>
      <c r="D238" s="39" t="s">
        <v>98</v>
      </c>
      <c r="E238" s="39" t="s">
        <v>99</v>
      </c>
      <c r="F238" s="39" t="s">
        <v>100</v>
      </c>
      <c r="G238" s="39" t="s">
        <v>253</v>
      </c>
      <c r="H238" s="40"/>
      <c r="I238" s="40"/>
      <c r="J238" s="40"/>
      <c r="K238" s="42">
        <v>46157</v>
      </c>
      <c r="L238" s="42"/>
      <c r="M238" s="44"/>
      <c r="N238" s="40"/>
      <c r="O238" s="40"/>
      <c r="P238" s="40"/>
      <c r="Q238" s="42">
        <f>IF(K238="","",K238)</f>
        <v>46157</v>
      </c>
      <c r="R238" s="39" t="s">
        <v>98</v>
      </c>
      <c r="S238" s="39" t="s">
        <v>102</v>
      </c>
      <c r="T238" s="39" t="s">
        <v>103</v>
      </c>
      <c r="U238" s="39" t="s">
        <v>104</v>
      </c>
      <c r="V238" s="39">
        <v>52</v>
      </c>
      <c r="W238" s="39" t="s">
        <v>387</v>
      </c>
      <c r="X238" s="41">
        <v>46146</v>
      </c>
      <c r="Y238" s="41">
        <v>46157</v>
      </c>
      <c r="Z238" s="43">
        <v>40819.310976349298</v>
      </c>
      <c r="AA238" s="45">
        <f>IF(M238&lt;&gt;"",M238,Z238)</f>
        <v>40819.310976349298</v>
      </c>
      <c r="AB238" s="46" t="str">
        <f>IF(L238&lt;&gt;"","Realizado","Previsto")</f>
        <v>Previsto</v>
      </c>
      <c r="AC238" s="47">
        <v>0.30351728320194049</v>
      </c>
      <c r="AD238" s="43">
        <v>134487.6</v>
      </c>
      <c r="AE238" s="39">
        <v>20</v>
      </c>
      <c r="AF238" s="39" t="s">
        <v>87</v>
      </c>
      <c r="AG238" s="43">
        <v>6724.38</v>
      </c>
      <c r="AH238" s="39" t="s">
        <v>105</v>
      </c>
      <c r="AI238" s="39" t="s">
        <v>73</v>
      </c>
      <c r="AJ238" s="48">
        <f>IF(Q238&lt;&gt;"",Q238,IF(K238&lt;&gt;"",K238,""))</f>
        <v>46157</v>
      </c>
      <c r="AK238" s="46" t="str">
        <f>IF(K238&lt;&gt;"","Sim","")</f>
        <v>Sim</v>
      </c>
      <c r="AL238" s="46" t="str">
        <f>IF(A238="","",TEXT(A238,"000000")&amp;"-"&amp;IF(C238="Entrada","CR","DB"))</f>
        <v>000237-DB</v>
      </c>
      <c r="AM238" s="46" t="str">
        <f>IF(A238="","",LEFT(IF(H238&lt;&gt;"",H238,G238)&amp;" | "&amp;G238&amp;" | "&amp;S238,60))</f>
        <v>material FERRO: KIT Parede e Laje - FOB na Fabrica | materia</v>
      </c>
    </row>
    <row r="239" spans="1:39" ht="43.2" x14ac:dyDescent="0.3">
      <c r="A239" s="39">
        <v>238</v>
      </c>
      <c r="B239" s="39" t="s">
        <v>2</v>
      </c>
      <c r="C239" s="39" t="s">
        <v>74</v>
      </c>
      <c r="D239" s="39" t="s">
        <v>98</v>
      </c>
      <c r="E239" s="39" t="s">
        <v>99</v>
      </c>
      <c r="F239" s="39" t="s">
        <v>100</v>
      </c>
      <c r="G239" s="39" t="s">
        <v>253</v>
      </c>
      <c r="H239" s="40"/>
      <c r="I239" s="40"/>
      <c r="J239" s="40"/>
      <c r="K239" s="42">
        <v>46157</v>
      </c>
      <c r="L239" s="42"/>
      <c r="M239" s="44"/>
      <c r="N239" s="40"/>
      <c r="O239" s="40"/>
      <c r="P239" s="40"/>
      <c r="Q239" s="42">
        <f>IF(K239="","",K239)</f>
        <v>46157</v>
      </c>
      <c r="R239" s="39" t="s">
        <v>98</v>
      </c>
      <c r="S239" s="39" t="s">
        <v>102</v>
      </c>
      <c r="T239" s="39" t="s">
        <v>103</v>
      </c>
      <c r="U239" s="39" t="s">
        <v>106</v>
      </c>
      <c r="V239" s="39">
        <v>53</v>
      </c>
      <c r="W239" s="39" t="s">
        <v>387</v>
      </c>
      <c r="X239" s="41">
        <v>46146</v>
      </c>
      <c r="Y239" s="41">
        <v>46157</v>
      </c>
      <c r="Z239" s="43">
        <v>48983.173171619157</v>
      </c>
      <c r="AA239" s="45">
        <f>IF(M239&lt;&gt;"",M239,Z239)</f>
        <v>48983.173171619157</v>
      </c>
      <c r="AB239" s="46" t="str">
        <f>IF(L239&lt;&gt;"","Realizado","Previsto")</f>
        <v>Previsto</v>
      </c>
      <c r="AC239" s="47">
        <v>0.30351728320194049</v>
      </c>
      <c r="AD239" s="43">
        <v>161385.12</v>
      </c>
      <c r="AE239" s="39">
        <v>24</v>
      </c>
      <c r="AF239" s="39" t="s">
        <v>87</v>
      </c>
      <c r="AG239" s="43">
        <v>6724.38</v>
      </c>
      <c r="AH239" s="39" t="s">
        <v>105</v>
      </c>
      <c r="AI239" s="39" t="s">
        <v>73</v>
      </c>
      <c r="AJ239" s="48">
        <f>IF(Q239&lt;&gt;"",Q239,IF(K239&lt;&gt;"",K239,""))</f>
        <v>46157</v>
      </c>
      <c r="AK239" s="46" t="str">
        <f>IF(K239&lt;&gt;"","Sim","")</f>
        <v>Sim</v>
      </c>
      <c r="AL239" s="46" t="str">
        <f>IF(A239="","",TEXT(A239,"000000")&amp;"-"&amp;IF(C239="Entrada","CR","DB"))</f>
        <v>000238-DB</v>
      </c>
      <c r="AM239" s="46" t="str">
        <f>IF(A239="","",LEFT(IF(H239&lt;&gt;"",H239,G239)&amp;" | "&amp;G239&amp;" | "&amp;S239,60))</f>
        <v>material FERRO: KIT Parede e Laje - FOB na Fabrica | materia</v>
      </c>
    </row>
    <row r="240" spans="1:39" ht="43.2" x14ac:dyDescent="0.3">
      <c r="A240" s="39">
        <v>239</v>
      </c>
      <c r="B240" s="39" t="s">
        <v>2</v>
      </c>
      <c r="C240" s="39" t="s">
        <v>74</v>
      </c>
      <c r="D240" s="39" t="s">
        <v>98</v>
      </c>
      <c r="E240" s="39" t="s">
        <v>99</v>
      </c>
      <c r="F240" s="39" t="s">
        <v>360</v>
      </c>
      <c r="G240" s="39" t="s">
        <v>366</v>
      </c>
      <c r="H240" s="40"/>
      <c r="I240" s="40"/>
      <c r="J240" s="40"/>
      <c r="K240" s="42">
        <v>46157</v>
      </c>
      <c r="L240" s="42"/>
      <c r="M240" s="44"/>
      <c r="N240" s="40"/>
      <c r="O240" s="40"/>
      <c r="P240" s="40"/>
      <c r="Q240" s="42">
        <f>IF(K240="","",K240)</f>
        <v>46157</v>
      </c>
      <c r="R240" s="39" t="s">
        <v>98</v>
      </c>
      <c r="S240" s="39" t="s">
        <v>102</v>
      </c>
      <c r="T240" s="39" t="s">
        <v>362</v>
      </c>
      <c r="U240" s="39" t="s">
        <v>250</v>
      </c>
      <c r="V240" s="39">
        <v>57</v>
      </c>
      <c r="W240" s="39" t="s">
        <v>387</v>
      </c>
      <c r="X240" s="41">
        <v>46146</v>
      </c>
      <c r="Y240" s="41">
        <v>46157</v>
      </c>
      <c r="Z240" s="43">
        <v>2245.3200000000002</v>
      </c>
      <c r="AA240" s="45">
        <f>IF(M240&lt;&gt;"",M240,Z240)</f>
        <v>2245.3200000000002</v>
      </c>
      <c r="AB240" s="46" t="str">
        <f>IF(L240&lt;&gt;"","Realizado","Previsto")</f>
        <v>Previsto</v>
      </c>
      <c r="AC240" s="47">
        <v>0.3</v>
      </c>
      <c r="AD240" s="43">
        <v>7484.4</v>
      </c>
      <c r="AE240" s="39">
        <v>6</v>
      </c>
      <c r="AF240" s="39" t="s">
        <v>182</v>
      </c>
      <c r="AG240" s="43">
        <v>1247.4000000000001</v>
      </c>
      <c r="AH240" s="39" t="s">
        <v>365</v>
      </c>
      <c r="AI240" s="39" t="s">
        <v>73</v>
      </c>
      <c r="AJ240" s="48">
        <f>IF(Q240&lt;&gt;"",Q240,IF(K240&lt;&gt;"",K240,""))</f>
        <v>46157</v>
      </c>
      <c r="AK240" s="46" t="str">
        <f>IF(K240&lt;&gt;"","Sim","")</f>
        <v>Sim</v>
      </c>
      <c r="AL240" s="46" t="str">
        <f>IF(A240="","",TEXT(A240,"000000")&amp;"-"&amp;IF(C240="Entrada","CR","DB"))</f>
        <v>000239-DB</v>
      </c>
      <c r="AM240" s="46" t="str">
        <f>IF(A240="","",LEFT(IF(H240&lt;&gt;"",H240,G240)&amp;" | "&amp;G240&amp;" | "&amp;S240,60))</f>
        <v>mobilizaçao e desmobilização equipe montagem | mobilizaçao e</v>
      </c>
    </row>
    <row r="241" spans="1:39" ht="43.2" x14ac:dyDescent="0.3">
      <c r="A241" s="39">
        <v>240</v>
      </c>
      <c r="B241" s="39" t="s">
        <v>2</v>
      </c>
      <c r="C241" s="39" t="s">
        <v>74</v>
      </c>
      <c r="D241" s="39" t="s">
        <v>413</v>
      </c>
      <c r="E241" s="39" t="s">
        <v>413</v>
      </c>
      <c r="F241" s="39" t="s">
        <v>109</v>
      </c>
      <c r="G241" s="39" t="s">
        <v>414</v>
      </c>
      <c r="H241" s="40"/>
      <c r="I241" s="40"/>
      <c r="J241" s="40"/>
      <c r="K241" s="42">
        <v>46157</v>
      </c>
      <c r="L241" s="42"/>
      <c r="M241" s="44"/>
      <c r="N241" s="40"/>
      <c r="O241" s="40"/>
      <c r="P241" s="40"/>
      <c r="Q241" s="42">
        <f>IF(K241="","",K241)</f>
        <v>46157</v>
      </c>
      <c r="R241" s="39" t="s">
        <v>413</v>
      </c>
      <c r="S241" s="39" t="s">
        <v>415</v>
      </c>
      <c r="T241" s="39" t="s">
        <v>416</v>
      </c>
      <c r="U241" s="39" t="s">
        <v>215</v>
      </c>
      <c r="V241" s="39">
        <v>160</v>
      </c>
      <c r="W241" s="39" t="s">
        <v>387</v>
      </c>
      <c r="X241" s="41">
        <v>46146</v>
      </c>
      <c r="Y241" s="41">
        <v>46157</v>
      </c>
      <c r="Z241" s="43">
        <v>8033.3132800000012</v>
      </c>
      <c r="AA241" s="45">
        <f>IF(M241&lt;&gt;"",M241,Z241)</f>
        <v>8033.3132800000012</v>
      </c>
      <c r="AB241" s="46" t="str">
        <f>IF(L241&lt;&gt;"","Realizado","Previsto")</f>
        <v>Previsto</v>
      </c>
      <c r="AC241" s="47">
        <v>9.3700000000000006E-2</v>
      </c>
      <c r="AD241" s="43">
        <v>85734.400000000009</v>
      </c>
      <c r="AE241" s="39">
        <v>8573.44</v>
      </c>
      <c r="AF241" s="39" t="s">
        <v>203</v>
      </c>
      <c r="AG241" s="43">
        <v>10</v>
      </c>
      <c r="AH241" s="39" t="s">
        <v>417</v>
      </c>
      <c r="AI241" s="39" t="s">
        <v>73</v>
      </c>
      <c r="AJ241" s="48">
        <f>IF(Q241&lt;&gt;"",Q241,IF(K241&lt;&gt;"",K241,""))</f>
        <v>46157</v>
      </c>
      <c r="AK241" s="46" t="str">
        <f>IF(K241&lt;&gt;"","Sim","")</f>
        <v>Sim</v>
      </c>
      <c r="AL241" s="46" t="str">
        <f>IF(A241="","",TEXT(A241,"000000")&amp;"-"&amp;IF(C241="Entrada","CR","DB"))</f>
        <v>000240-DB</v>
      </c>
      <c r="AM241" s="46" t="str">
        <f>IF(A241="","",LEFT(IF(H241&lt;&gt;"",H241,G241)&amp;" | "&amp;G241&amp;" | "&amp;S241,60))</f>
        <v>Mao de obra terceirizada com equipamentos Pintura interna (2</v>
      </c>
    </row>
    <row r="242" spans="1:39" ht="43.2" x14ac:dyDescent="0.3">
      <c r="A242" s="39">
        <v>241</v>
      </c>
      <c r="B242" s="39" t="s">
        <v>2</v>
      </c>
      <c r="C242" s="39" t="s">
        <v>74</v>
      </c>
      <c r="D242" s="39" t="s">
        <v>254</v>
      </c>
      <c r="E242" s="39" t="s">
        <v>254</v>
      </c>
      <c r="F242" s="39" t="s">
        <v>109</v>
      </c>
      <c r="G242" s="39" t="s">
        <v>255</v>
      </c>
      <c r="H242" s="40"/>
      <c r="I242" s="40"/>
      <c r="J242" s="40"/>
      <c r="K242" s="42">
        <v>46157</v>
      </c>
      <c r="L242" s="42"/>
      <c r="M242" s="44"/>
      <c r="N242" s="40"/>
      <c r="O242" s="40"/>
      <c r="P242" s="40"/>
      <c r="Q242" s="42">
        <f>IF(K242="","",K242)</f>
        <v>46157</v>
      </c>
      <c r="R242" s="39" t="s">
        <v>254</v>
      </c>
      <c r="S242" s="39" t="s">
        <v>256</v>
      </c>
      <c r="T242" s="39" t="s">
        <v>257</v>
      </c>
      <c r="U242" s="39" t="s">
        <v>215</v>
      </c>
      <c r="V242" s="39">
        <v>121</v>
      </c>
      <c r="W242" s="39" t="s">
        <v>387</v>
      </c>
      <c r="X242" s="41">
        <v>46146</v>
      </c>
      <c r="Y242" s="41">
        <v>46157</v>
      </c>
      <c r="Z242" s="43">
        <v>30432.245760000002</v>
      </c>
      <c r="AA242" s="45">
        <f>IF(M242&lt;&gt;"",M242,Z242)</f>
        <v>30432.245760000002</v>
      </c>
      <c r="AB242" s="46" t="str">
        <f>IF(L242&lt;&gt;"","Realizado","Previsto")</f>
        <v>Previsto</v>
      </c>
      <c r="AC242" s="47">
        <v>0.33695000000000003</v>
      </c>
      <c r="AD242" s="43">
        <v>90316.800000000003</v>
      </c>
      <c r="AE242" s="39">
        <v>2580.48</v>
      </c>
      <c r="AF242" s="39" t="s">
        <v>203</v>
      </c>
      <c r="AG242" s="43">
        <v>35</v>
      </c>
      <c r="AH242" s="39" t="s">
        <v>258</v>
      </c>
      <c r="AI242" s="39" t="s">
        <v>73</v>
      </c>
      <c r="AJ242" s="48">
        <f>IF(Q242&lt;&gt;"",Q242,IF(K242&lt;&gt;"",K242,""))</f>
        <v>46157</v>
      </c>
      <c r="AK242" s="46" t="str">
        <f>IF(K242&lt;&gt;"","Sim","")</f>
        <v>Sim</v>
      </c>
      <c r="AL242" s="46" t="str">
        <f>IF(A242="","",TEXT(A242,"000000")&amp;"-"&amp;IF(C242="Entrada","CR","DB"))</f>
        <v>000241-DB</v>
      </c>
      <c r="AM242" s="46" t="str">
        <f>IF(A242="","",LEFT(IF(H242&lt;&gt;"",H242,G242)&amp;" | "&amp;G242&amp;" | "&amp;S242,60))</f>
        <v>Mao de obra terceirizada assentamento Ceramica | Mao de obra</v>
      </c>
    </row>
    <row r="243" spans="1:39" ht="43.2" x14ac:dyDescent="0.3">
      <c r="A243" s="39">
        <v>242</v>
      </c>
      <c r="B243" s="39" t="s">
        <v>2</v>
      </c>
      <c r="C243" s="39" t="s">
        <v>74</v>
      </c>
      <c r="D243" s="39" t="s">
        <v>418</v>
      </c>
      <c r="E243" s="39" t="s">
        <v>419</v>
      </c>
      <c r="F243" s="39" t="s">
        <v>109</v>
      </c>
      <c r="G243" s="39" t="s">
        <v>420</v>
      </c>
      <c r="H243" s="40"/>
      <c r="I243" s="40"/>
      <c r="J243" s="40"/>
      <c r="K243" s="42">
        <v>46157</v>
      </c>
      <c r="L243" s="42"/>
      <c r="M243" s="44"/>
      <c r="N243" s="40"/>
      <c r="O243" s="40"/>
      <c r="P243" s="40"/>
      <c r="Q243" s="42">
        <f>IF(K243="","",K243)</f>
        <v>46157</v>
      </c>
      <c r="R243" s="39" t="s">
        <v>418</v>
      </c>
      <c r="S243" s="39" t="s">
        <v>421</v>
      </c>
      <c r="T243" s="39" t="s">
        <v>422</v>
      </c>
      <c r="U243" s="39" t="s">
        <v>215</v>
      </c>
      <c r="V243" s="39">
        <v>141</v>
      </c>
      <c r="W243" s="39" t="s">
        <v>387</v>
      </c>
      <c r="X243" s="41">
        <v>46146</v>
      </c>
      <c r="Y243" s="41">
        <v>46157</v>
      </c>
      <c r="Z243" s="43">
        <v>1799.04</v>
      </c>
      <c r="AA243" s="45">
        <f>IF(M243&lt;&gt;"",M243,Z243)</f>
        <v>1799.04</v>
      </c>
      <c r="AB243" s="46" t="str">
        <f>IF(L243&lt;&gt;"","Realizado","Previsto")</f>
        <v>Previsto</v>
      </c>
      <c r="AC243" s="47">
        <v>9.3700000000000006E-2</v>
      </c>
      <c r="AD243" s="43">
        <v>19200</v>
      </c>
      <c r="AE243" s="39">
        <v>128</v>
      </c>
      <c r="AF243" s="39" t="s">
        <v>87</v>
      </c>
      <c r="AG243" s="43">
        <v>150</v>
      </c>
      <c r="AH243" s="39" t="s">
        <v>423</v>
      </c>
      <c r="AI243" s="39" t="s">
        <v>73</v>
      </c>
      <c r="AJ243" s="48">
        <f>IF(Q243&lt;&gt;"",Q243,IF(K243&lt;&gt;"",K243,""))</f>
        <v>46157</v>
      </c>
      <c r="AK243" s="46" t="str">
        <f>IF(K243&lt;&gt;"","Sim","")</f>
        <v>Sim</v>
      </c>
      <c r="AL243" s="46" t="str">
        <f>IF(A243="","",TEXT(A243,"000000")&amp;"-"&amp;IF(C243="Entrada","CR","DB"))</f>
        <v>000242-DB</v>
      </c>
      <c r="AM243" s="46" t="str">
        <f>IF(A243="","",LEFT(IF(H243&lt;&gt;"",H243,G243)&amp;" | "&amp;G243&amp;" | "&amp;S243,60))</f>
        <v>Mao de obra terceirizada colocaçao de Portas externa | Mao d</v>
      </c>
    </row>
    <row r="244" spans="1:39" ht="43.2" x14ac:dyDescent="0.3">
      <c r="A244" s="39">
        <v>243</v>
      </c>
      <c r="B244" s="39" t="s">
        <v>2</v>
      </c>
      <c r="C244" s="39" t="s">
        <v>74</v>
      </c>
      <c r="D244" s="39" t="s">
        <v>424</v>
      </c>
      <c r="E244" s="39" t="s">
        <v>425</v>
      </c>
      <c r="F244" s="39" t="s">
        <v>109</v>
      </c>
      <c r="G244" s="39" t="s">
        <v>426</v>
      </c>
      <c r="H244" s="40"/>
      <c r="I244" s="40"/>
      <c r="J244" s="40"/>
      <c r="K244" s="42">
        <v>46157</v>
      </c>
      <c r="L244" s="42"/>
      <c r="M244" s="44"/>
      <c r="N244" s="40"/>
      <c r="O244" s="40"/>
      <c r="P244" s="40"/>
      <c r="Q244" s="42">
        <f>IF(K244="","",K244)</f>
        <v>46157</v>
      </c>
      <c r="R244" s="39" t="s">
        <v>424</v>
      </c>
      <c r="S244" s="39" t="s">
        <v>427</v>
      </c>
      <c r="T244" s="39" t="s">
        <v>428</v>
      </c>
      <c r="U244" s="39" t="s">
        <v>215</v>
      </c>
      <c r="V244" s="39">
        <v>132</v>
      </c>
      <c r="W244" s="39" t="s">
        <v>387</v>
      </c>
      <c r="X244" s="41">
        <v>46146</v>
      </c>
      <c r="Y244" s="41">
        <v>46157</v>
      </c>
      <c r="Z244" s="43">
        <v>2698.56</v>
      </c>
      <c r="AA244" s="45">
        <f>IF(M244&lt;&gt;"",M244,Z244)</f>
        <v>2698.56</v>
      </c>
      <c r="AB244" s="46" t="str">
        <f>IF(L244&lt;&gt;"","Realizado","Previsto")</f>
        <v>Previsto</v>
      </c>
      <c r="AC244" s="47">
        <v>9.3700000000000006E-2</v>
      </c>
      <c r="AD244" s="43">
        <v>28800</v>
      </c>
      <c r="AE244" s="39">
        <v>192</v>
      </c>
      <c r="AF244" s="39" t="s">
        <v>87</v>
      </c>
      <c r="AG244" s="43">
        <v>150</v>
      </c>
      <c r="AH244" s="39" t="s">
        <v>429</v>
      </c>
      <c r="AI244" s="39" t="s">
        <v>73</v>
      </c>
      <c r="AJ244" s="48">
        <f>IF(Q244&lt;&gt;"",Q244,IF(K244&lt;&gt;"",K244,""))</f>
        <v>46157</v>
      </c>
      <c r="AK244" s="46" t="str">
        <f>IF(K244&lt;&gt;"","Sim","")</f>
        <v>Sim</v>
      </c>
      <c r="AL244" s="46" t="str">
        <f>IF(A244="","",TEXT(A244,"000000")&amp;"-"&amp;IF(C244="Entrada","CR","DB"))</f>
        <v>000243-DB</v>
      </c>
      <c r="AM244" s="46" t="str">
        <f>IF(A244="","",LEFT(IF(H244&lt;&gt;"",H244,G244)&amp;" | "&amp;G244&amp;" | "&amp;S244,60))</f>
        <v>Mao de obra terceirizada colocaçao de Portas interna | Mao d</v>
      </c>
    </row>
    <row r="245" spans="1:39" ht="43.2" x14ac:dyDescent="0.3">
      <c r="A245" s="39">
        <v>244</v>
      </c>
      <c r="B245" s="39" t="s">
        <v>2</v>
      </c>
      <c r="C245" s="39" t="s">
        <v>74</v>
      </c>
      <c r="D245" s="39" t="s">
        <v>430</v>
      </c>
      <c r="E245" s="39" t="s">
        <v>430</v>
      </c>
      <c r="F245" s="39" t="s">
        <v>391</v>
      </c>
      <c r="G245" s="39" t="s">
        <v>431</v>
      </c>
      <c r="H245" s="40"/>
      <c r="I245" s="40"/>
      <c r="J245" s="40"/>
      <c r="K245" s="42">
        <v>46157</v>
      </c>
      <c r="L245" s="42"/>
      <c r="M245" s="44"/>
      <c r="N245" s="40"/>
      <c r="O245" s="40"/>
      <c r="P245" s="40"/>
      <c r="Q245" s="42">
        <f>IF(K245="","",K245)</f>
        <v>46157</v>
      </c>
      <c r="R245" s="39" t="s">
        <v>430</v>
      </c>
      <c r="S245" s="39" t="s">
        <v>432</v>
      </c>
      <c r="T245" s="39" t="s">
        <v>433</v>
      </c>
      <c r="U245" s="39"/>
      <c r="V245" s="39">
        <v>232</v>
      </c>
      <c r="W245" s="39" t="s">
        <v>387</v>
      </c>
      <c r="X245" s="41">
        <v>46146</v>
      </c>
      <c r="Y245" s="41">
        <v>46157</v>
      </c>
      <c r="Z245" s="43">
        <v>19200</v>
      </c>
      <c r="AA245" s="45">
        <f>IF(M245&lt;&gt;"",M245,Z245)</f>
        <v>19200</v>
      </c>
      <c r="AB245" s="46" t="str">
        <f>IF(L245&lt;&gt;"","Realizado","Previsto")</f>
        <v>Previsto</v>
      </c>
      <c r="AC245" s="47">
        <v>0.5</v>
      </c>
      <c r="AD245" s="43">
        <v>38400</v>
      </c>
      <c r="AE245" s="39">
        <v>64</v>
      </c>
      <c r="AF245" s="39" t="s">
        <v>87</v>
      </c>
      <c r="AG245" s="43">
        <v>600</v>
      </c>
      <c r="AH245" s="39" t="s">
        <v>434</v>
      </c>
      <c r="AI245" s="39" t="s">
        <v>73</v>
      </c>
      <c r="AJ245" s="48">
        <f>IF(Q245&lt;&gt;"",Q245,IF(K245&lt;&gt;"",K245,""))</f>
        <v>46157</v>
      </c>
      <c r="AK245" s="46" t="str">
        <f>IF(K245&lt;&gt;"","Sim","")</f>
        <v>Sim</v>
      </c>
      <c r="AL245" s="46" t="str">
        <f>IF(A245="","",TEXT(A245,"000000")&amp;"-"&amp;IF(C245="Entrada","CR","DB"))</f>
        <v>000244-DB</v>
      </c>
      <c r="AM245" s="46" t="str">
        <f>IF(A245="","",LEFT(IF(H245&lt;&gt;"",H245,G245)&amp;" | "&amp;G245&amp;" | "&amp;S245,60))</f>
        <v xml:space="preserve">Instalação de Poste Padrão de Energia | Instalação de Poste </v>
      </c>
    </row>
    <row r="246" spans="1:39" ht="43.2" x14ac:dyDescent="0.3">
      <c r="A246" s="39">
        <v>245</v>
      </c>
      <c r="B246" s="39" t="s">
        <v>2</v>
      </c>
      <c r="C246" s="39" t="s">
        <v>74</v>
      </c>
      <c r="D246" s="39" t="s">
        <v>430</v>
      </c>
      <c r="E246" s="39" t="s">
        <v>430</v>
      </c>
      <c r="F246" s="39" t="s">
        <v>391</v>
      </c>
      <c r="G246" s="39" t="s">
        <v>435</v>
      </c>
      <c r="H246" s="40"/>
      <c r="I246" s="40"/>
      <c r="J246" s="40"/>
      <c r="K246" s="42">
        <v>46157</v>
      </c>
      <c r="L246" s="42"/>
      <c r="M246" s="44"/>
      <c r="N246" s="40"/>
      <c r="O246" s="40"/>
      <c r="P246" s="40"/>
      <c r="Q246" s="42">
        <f>IF(K246="","",K246)</f>
        <v>46157</v>
      </c>
      <c r="R246" s="39" t="s">
        <v>430</v>
      </c>
      <c r="S246" s="39" t="s">
        <v>432</v>
      </c>
      <c r="T246" s="39" t="s">
        <v>433</v>
      </c>
      <c r="U246" s="39"/>
      <c r="V246" s="39">
        <v>231</v>
      </c>
      <c r="W246" s="39" t="s">
        <v>387</v>
      </c>
      <c r="X246" s="41">
        <v>46146</v>
      </c>
      <c r="Y246" s="41">
        <v>46157</v>
      </c>
      <c r="Z246" s="43">
        <v>32000</v>
      </c>
      <c r="AA246" s="45">
        <f>IF(M246&lt;&gt;"",M246,Z246)</f>
        <v>32000</v>
      </c>
      <c r="AB246" s="46" t="str">
        <f>IF(L246&lt;&gt;"","Realizado","Previsto")</f>
        <v>Previsto</v>
      </c>
      <c r="AC246" s="47">
        <v>0.5</v>
      </c>
      <c r="AD246" s="43">
        <v>64000</v>
      </c>
      <c r="AE246" s="39">
        <v>64</v>
      </c>
      <c r="AF246" s="39" t="s">
        <v>87</v>
      </c>
      <c r="AG246" s="43">
        <v>1000</v>
      </c>
      <c r="AH246" s="39" t="s">
        <v>434</v>
      </c>
      <c r="AI246" s="39" t="s">
        <v>73</v>
      </c>
      <c r="AJ246" s="48">
        <f>IF(Q246&lt;&gt;"",Q246,IF(K246&lt;&gt;"",K246,""))</f>
        <v>46157</v>
      </c>
      <c r="AK246" s="46" t="str">
        <f>IF(K246&lt;&gt;"","Sim","")</f>
        <v>Sim</v>
      </c>
      <c r="AL246" s="46" t="str">
        <f>IF(A246="","",TEXT(A246,"000000")&amp;"-"&amp;IF(C246="Entrada","CR","DB"))</f>
        <v>000245-DB</v>
      </c>
      <c r="AM246" s="46" t="str">
        <f>IF(A246="","",LEFT(IF(H246&lt;&gt;"",H246,G246)&amp;" | "&amp;G246&amp;" | "&amp;S246,60))</f>
        <v>Poste de Energia - padrão da concessionária local | Poste de</v>
      </c>
    </row>
    <row r="247" spans="1:39" ht="43.2" x14ac:dyDescent="0.3">
      <c r="A247" s="39">
        <v>246</v>
      </c>
      <c r="B247" s="39" t="s">
        <v>2</v>
      </c>
      <c r="C247" s="39" t="s">
        <v>74</v>
      </c>
      <c r="D247" s="39" t="s">
        <v>107</v>
      </c>
      <c r="E247" s="39" t="s">
        <v>108</v>
      </c>
      <c r="F247" s="39" t="s">
        <v>173</v>
      </c>
      <c r="G247" s="39" t="s">
        <v>174</v>
      </c>
      <c r="H247" s="40"/>
      <c r="I247" s="40"/>
      <c r="J247" s="40"/>
      <c r="K247" s="42">
        <v>46157</v>
      </c>
      <c r="L247" s="42"/>
      <c r="M247" s="44"/>
      <c r="N247" s="40"/>
      <c r="O247" s="40"/>
      <c r="P247" s="40"/>
      <c r="Q247" s="42">
        <f>IF(K247="","",K247)</f>
        <v>46157</v>
      </c>
      <c r="R247" s="39" t="s">
        <v>107</v>
      </c>
      <c r="S247" s="39" t="s">
        <v>111</v>
      </c>
      <c r="T247" s="39" t="s">
        <v>175</v>
      </c>
      <c r="U247" s="39" t="s">
        <v>176</v>
      </c>
      <c r="V247" s="39">
        <v>30</v>
      </c>
      <c r="W247" s="39" t="s">
        <v>387</v>
      </c>
      <c r="X247" s="41">
        <v>46146</v>
      </c>
      <c r="Y247" s="41">
        <v>46157</v>
      </c>
      <c r="Z247" s="43">
        <v>4400</v>
      </c>
      <c r="AA247" s="45">
        <f>IF(M247&lt;&gt;"",M247,Z247)</f>
        <v>4400</v>
      </c>
      <c r="AB247" s="46" t="str">
        <f>IF(L247&lt;&gt;"","Realizado","Previsto")</f>
        <v>Previsto</v>
      </c>
      <c r="AC247" s="47">
        <v>0.25</v>
      </c>
      <c r="AD247" s="43">
        <v>17600</v>
      </c>
      <c r="AE247" s="39">
        <v>8</v>
      </c>
      <c r="AF247" s="39" t="s">
        <v>113</v>
      </c>
      <c r="AG247" s="43">
        <v>2200</v>
      </c>
      <c r="AH247" s="39" t="s">
        <v>177</v>
      </c>
      <c r="AI247" s="39" t="s">
        <v>73</v>
      </c>
      <c r="AJ247" s="48">
        <f>IF(Q247&lt;&gt;"",Q247,IF(K247&lt;&gt;"",K247,""))</f>
        <v>46157</v>
      </c>
      <c r="AK247" s="46" t="str">
        <f>IF(K247&lt;&gt;"","Sim","")</f>
        <v>Sim</v>
      </c>
      <c r="AL247" s="46" t="str">
        <f>IF(A247="","",TEXT(A247,"000000")&amp;"-"&amp;IF(C247="Entrada","CR","DB"))</f>
        <v>000246-DB</v>
      </c>
      <c r="AM247" s="46" t="str">
        <f>IF(A247="","",LEFT(IF(H247&lt;&gt;"",H247,G247)&amp;" | "&amp;G247&amp;" | "&amp;S247,60))</f>
        <v>Bomba de concreto  ( Taxa divide 1 casa e 1 radier ) | Bomba</v>
      </c>
    </row>
    <row r="248" spans="1:39" ht="43.2" x14ac:dyDescent="0.3">
      <c r="A248" s="39">
        <v>247</v>
      </c>
      <c r="B248" s="39" t="s">
        <v>2</v>
      </c>
      <c r="C248" s="39" t="s">
        <v>74</v>
      </c>
      <c r="D248" s="39" t="s">
        <v>107</v>
      </c>
      <c r="E248" s="39" t="s">
        <v>108</v>
      </c>
      <c r="F248" s="39" t="s">
        <v>173</v>
      </c>
      <c r="G248" s="39" t="s">
        <v>188</v>
      </c>
      <c r="H248" s="40"/>
      <c r="I248" s="40"/>
      <c r="J248" s="40"/>
      <c r="K248" s="42">
        <v>46157</v>
      </c>
      <c r="L248" s="42"/>
      <c r="M248" s="44"/>
      <c r="N248" s="40"/>
      <c r="O248" s="40"/>
      <c r="P248" s="40"/>
      <c r="Q248" s="42">
        <f>IF(K248="","",K248)</f>
        <v>46157</v>
      </c>
      <c r="R248" s="39" t="s">
        <v>107</v>
      </c>
      <c r="S248" s="39" t="s">
        <v>111</v>
      </c>
      <c r="T248" s="39" t="s">
        <v>175</v>
      </c>
      <c r="U248" s="39" t="s">
        <v>189</v>
      </c>
      <c r="V248" s="39">
        <v>29</v>
      </c>
      <c r="W248" s="39" t="s">
        <v>387</v>
      </c>
      <c r="X248" s="41">
        <v>46146</v>
      </c>
      <c r="Y248" s="41">
        <v>46157</v>
      </c>
      <c r="Z248" s="43">
        <v>79635.199999999997</v>
      </c>
      <c r="AA248" s="45">
        <f>IF(M248&lt;&gt;"",M248,Z248)</f>
        <v>79635.199999999997</v>
      </c>
      <c r="AB248" s="46" t="str">
        <f>IF(L248&lt;&gt;"","Realizado","Previsto")</f>
        <v>Previsto</v>
      </c>
      <c r="AC248" s="47">
        <v>0.25</v>
      </c>
      <c r="AD248" s="43">
        <v>318540.79999999999</v>
      </c>
      <c r="AE248" s="39">
        <v>512</v>
      </c>
      <c r="AF248" s="39" t="s">
        <v>182</v>
      </c>
      <c r="AG248" s="43">
        <v>622.15</v>
      </c>
      <c r="AH248" s="39" t="s">
        <v>177</v>
      </c>
      <c r="AI248" s="39" t="s">
        <v>73</v>
      </c>
      <c r="AJ248" s="48">
        <f>IF(Q248&lt;&gt;"",Q248,IF(K248&lt;&gt;"",K248,""))</f>
        <v>46157</v>
      </c>
      <c r="AK248" s="46" t="str">
        <f>IF(K248&lt;&gt;"","Sim","")</f>
        <v>Sim</v>
      </c>
      <c r="AL248" s="46" t="str">
        <f>IF(A248="","",TEXT(A248,"000000")&amp;"-"&amp;IF(C248="Entrada","CR","DB"))</f>
        <v>000247-DB</v>
      </c>
      <c r="AM248" s="46" t="str">
        <f>IF(A248="","",LEFT(IF(H248&lt;&gt;"",H248,G248)&amp;" | "&amp;G248&amp;" | "&amp;S248,60))</f>
        <v>Concreto Usinado fck - 25 Mpa ( Com perda de 10%) - SEM IMPE</v>
      </c>
    </row>
    <row r="249" spans="1:39" ht="43.2" x14ac:dyDescent="0.3">
      <c r="A249" s="39">
        <v>248</v>
      </c>
      <c r="B249" s="39" t="s">
        <v>2</v>
      </c>
      <c r="C249" s="39" t="s">
        <v>74</v>
      </c>
      <c r="D249" s="39" t="s">
        <v>107</v>
      </c>
      <c r="E249" s="39" t="s">
        <v>108</v>
      </c>
      <c r="F249" s="39" t="s">
        <v>109</v>
      </c>
      <c r="G249" s="39" t="s">
        <v>110</v>
      </c>
      <c r="H249" s="40"/>
      <c r="I249" s="40"/>
      <c r="J249" s="40"/>
      <c r="K249" s="42">
        <v>46157</v>
      </c>
      <c r="L249" s="42"/>
      <c r="M249" s="44"/>
      <c r="N249" s="40"/>
      <c r="O249" s="40"/>
      <c r="P249" s="40"/>
      <c r="Q249" s="42">
        <f>IF(K249="","",K249)</f>
        <v>46157</v>
      </c>
      <c r="R249" s="39" t="s">
        <v>107</v>
      </c>
      <c r="S249" s="39" t="s">
        <v>111</v>
      </c>
      <c r="T249" s="39" t="s">
        <v>112</v>
      </c>
      <c r="U249" s="39"/>
      <c r="V249" s="39">
        <v>43</v>
      </c>
      <c r="W249" s="39" t="s">
        <v>387</v>
      </c>
      <c r="X249" s="41">
        <v>46146</v>
      </c>
      <c r="Y249" s="41">
        <v>46157</v>
      </c>
      <c r="Z249" s="43">
        <v>29978.50106666666</v>
      </c>
      <c r="AA249" s="45">
        <f>IF(M249&lt;&gt;"",M249,Z249)</f>
        <v>29978.50106666666</v>
      </c>
      <c r="AB249" s="46" t="str">
        <f>IF(L249&lt;&gt;"","Realizado","Previsto")</f>
        <v>Previsto</v>
      </c>
      <c r="AC249" s="47">
        <v>0.2342070395833333</v>
      </c>
      <c r="AD249" s="43">
        <v>128000</v>
      </c>
      <c r="AE249" s="39">
        <v>64</v>
      </c>
      <c r="AF249" s="39" t="s">
        <v>113</v>
      </c>
      <c r="AG249" s="43">
        <v>2000</v>
      </c>
      <c r="AH249" s="39" t="s">
        <v>114</v>
      </c>
      <c r="AI249" s="39" t="s">
        <v>73</v>
      </c>
      <c r="AJ249" s="48">
        <f>IF(Q249&lt;&gt;"",Q249,IF(K249&lt;&gt;"",K249,""))</f>
        <v>46157</v>
      </c>
      <c r="AK249" s="46" t="str">
        <f>IF(K249&lt;&gt;"","Sim","")</f>
        <v>Sim</v>
      </c>
      <c r="AL249" s="46" t="str">
        <f>IF(A249="","",TEXT(A249,"000000")&amp;"-"&amp;IF(C249="Entrada","CR","DB"))</f>
        <v>000248-DB</v>
      </c>
      <c r="AM249" s="46" t="str">
        <f>IF(A249="","",LEFT(IF(H249&lt;&gt;"",H249,G249)&amp;" | "&amp;G249&amp;" | "&amp;S249,60))</f>
        <v>Mao de obra Terceirizada Radier | Mao de obra Terceirizada R</v>
      </c>
    </row>
    <row r="250" spans="1:39" ht="43.2" x14ac:dyDescent="0.3">
      <c r="A250" s="39">
        <v>249</v>
      </c>
      <c r="B250" s="39" t="s">
        <v>2</v>
      </c>
      <c r="C250" s="39" t="s">
        <v>74</v>
      </c>
      <c r="D250" s="39" t="s">
        <v>120</v>
      </c>
      <c r="E250" s="39" t="s">
        <v>120</v>
      </c>
      <c r="F250" s="39" t="s">
        <v>120</v>
      </c>
      <c r="G250" s="39" t="s">
        <v>121</v>
      </c>
      <c r="H250" s="40"/>
      <c r="I250" s="40"/>
      <c r="J250" s="40"/>
      <c r="K250" s="42">
        <v>46157</v>
      </c>
      <c r="L250" s="42"/>
      <c r="M250" s="44"/>
      <c r="N250" s="40"/>
      <c r="O250" s="40"/>
      <c r="P250" s="40"/>
      <c r="Q250" s="42">
        <f>IF(K250="","",K250)</f>
        <v>46157</v>
      </c>
      <c r="R250" s="39" t="s">
        <v>120</v>
      </c>
      <c r="S250" s="39" t="s">
        <v>122</v>
      </c>
      <c r="T250" s="39" t="s">
        <v>123</v>
      </c>
      <c r="U250" s="39"/>
      <c r="V250" s="39">
        <v>267</v>
      </c>
      <c r="W250" s="39" t="s">
        <v>387</v>
      </c>
      <c r="X250" s="41">
        <v>46146</v>
      </c>
      <c r="Y250" s="41">
        <v>46157</v>
      </c>
      <c r="Z250" s="43">
        <v>1069128.6647850811</v>
      </c>
      <c r="AA250" s="45">
        <f>IF(M250&lt;&gt;"",M250,Z250)</f>
        <v>1069128.6647850811</v>
      </c>
      <c r="AB250" s="46" t="str">
        <f>IF(L250&lt;&gt;"","Realizado","Previsto")</f>
        <v>Previsto</v>
      </c>
      <c r="AC250" s="47"/>
      <c r="AD250" s="43">
        <v>5780911.3615999985</v>
      </c>
      <c r="AE250" s="39"/>
      <c r="AF250" s="39" t="s">
        <v>79</v>
      </c>
      <c r="AG250" s="43"/>
      <c r="AH250" s="39"/>
      <c r="AI250" s="39" t="s">
        <v>73</v>
      </c>
      <c r="AJ250" s="48">
        <f>IF(Q250&lt;&gt;"",Q250,IF(K250&lt;&gt;"",K250,""))</f>
        <v>46157</v>
      </c>
      <c r="AK250" s="46" t="str">
        <f>IF(K250&lt;&gt;"","Sim","")</f>
        <v>Sim</v>
      </c>
      <c r="AL250" s="46" t="str">
        <f>IF(A250="","",TEXT(A250,"000000")&amp;"-"&amp;IF(C250="Entrada","CR","DB"))</f>
        <v>000249-DB</v>
      </c>
      <c r="AM250" s="46" t="str">
        <f>IF(A250="","",LEFT(IF(H250&lt;&gt;"",H250,G250)&amp;" | "&amp;G250&amp;" | "&amp;S250,60))</f>
        <v>TOTALIZADOR CUSTO GLOBAIS OBRAS - MENSAL | TOTALIZADOR CUSTO</v>
      </c>
    </row>
    <row r="251" spans="1:39" ht="43.2" x14ac:dyDescent="0.3">
      <c r="A251" s="39">
        <v>250</v>
      </c>
      <c r="B251" s="39" t="s">
        <v>2</v>
      </c>
      <c r="C251" s="39" t="s">
        <v>74</v>
      </c>
      <c r="D251" s="39" t="s">
        <v>259</v>
      </c>
      <c r="E251" s="39" t="s">
        <v>260</v>
      </c>
      <c r="F251" s="39" t="s">
        <v>109</v>
      </c>
      <c r="G251" s="39" t="s">
        <v>261</v>
      </c>
      <c r="H251" s="40"/>
      <c r="I251" s="40"/>
      <c r="J251" s="40"/>
      <c r="K251" s="42">
        <v>46157</v>
      </c>
      <c r="L251" s="42"/>
      <c r="M251" s="44"/>
      <c r="N251" s="40"/>
      <c r="O251" s="40"/>
      <c r="P251" s="40"/>
      <c r="Q251" s="42">
        <f>IF(K251="","",K251)</f>
        <v>46157</v>
      </c>
      <c r="R251" s="39" t="s">
        <v>259</v>
      </c>
      <c r="S251" s="39" t="s">
        <v>262</v>
      </c>
      <c r="T251" s="39" t="s">
        <v>263</v>
      </c>
      <c r="U251" s="39" t="s">
        <v>215</v>
      </c>
      <c r="V251" s="39">
        <v>128</v>
      </c>
      <c r="W251" s="39" t="s">
        <v>387</v>
      </c>
      <c r="X251" s="41">
        <v>46146</v>
      </c>
      <c r="Y251" s="41">
        <v>46157</v>
      </c>
      <c r="Z251" s="43">
        <v>1078.24</v>
      </c>
      <c r="AA251" s="45">
        <f>IF(M251&lt;&gt;"",M251,Z251)</f>
        <v>1078.24</v>
      </c>
      <c r="AB251" s="46" t="str">
        <f>IF(L251&lt;&gt;"","Realizado","Previsto")</f>
        <v>Previsto</v>
      </c>
      <c r="AC251" s="47">
        <v>0.33695000000000003</v>
      </c>
      <c r="AD251" s="43">
        <v>3200</v>
      </c>
      <c r="AE251" s="39">
        <v>64</v>
      </c>
      <c r="AF251" s="39" t="s">
        <v>87</v>
      </c>
      <c r="AG251" s="43">
        <v>50</v>
      </c>
      <c r="AH251" s="39" t="s">
        <v>264</v>
      </c>
      <c r="AI251" s="39" t="s">
        <v>73</v>
      </c>
      <c r="AJ251" s="48">
        <f>IF(Q251&lt;&gt;"",Q251,IF(K251&lt;&gt;"",K251,""))</f>
        <v>46157</v>
      </c>
      <c r="AK251" s="46" t="str">
        <f>IF(K251&lt;&gt;"","Sim","")</f>
        <v>Sim</v>
      </c>
      <c r="AL251" s="46" t="str">
        <f>IF(A251="","",TEXT(A251,"000000")&amp;"-"&amp;IF(C251="Entrada","CR","DB"))</f>
        <v>000250-DB</v>
      </c>
      <c r="AM251" s="46" t="str">
        <f>IF(A251="","",LEFT(IF(H251&lt;&gt;"",H251,G251)&amp;" | "&amp;G251&amp;" | "&amp;S251,60))</f>
        <v>Assentamento Soleira em basalto  0,84 x 0,125 x 0,02 - cozin</v>
      </c>
    </row>
    <row r="252" spans="1:39" ht="43.2" x14ac:dyDescent="0.3">
      <c r="A252" s="39">
        <v>251</v>
      </c>
      <c r="B252" s="39" t="s">
        <v>2</v>
      </c>
      <c r="C252" s="39" t="s">
        <v>74</v>
      </c>
      <c r="D252" s="39" t="s">
        <v>259</v>
      </c>
      <c r="E252" s="39" t="s">
        <v>260</v>
      </c>
      <c r="F252" s="39" t="s">
        <v>109</v>
      </c>
      <c r="G252" s="39" t="s">
        <v>265</v>
      </c>
      <c r="H252" s="40"/>
      <c r="I252" s="40"/>
      <c r="J252" s="40"/>
      <c r="K252" s="42">
        <v>46157</v>
      </c>
      <c r="L252" s="42"/>
      <c r="M252" s="44"/>
      <c r="N252" s="40"/>
      <c r="O252" s="40"/>
      <c r="P252" s="40"/>
      <c r="Q252" s="42">
        <f>IF(K252="","",K252)</f>
        <v>46157</v>
      </c>
      <c r="R252" s="39" t="s">
        <v>259</v>
      </c>
      <c r="S252" s="39" t="s">
        <v>262</v>
      </c>
      <c r="T252" s="39" t="s">
        <v>263</v>
      </c>
      <c r="U252" s="39" t="s">
        <v>215</v>
      </c>
      <c r="V252" s="39">
        <v>127</v>
      </c>
      <c r="W252" s="39" t="s">
        <v>387</v>
      </c>
      <c r="X252" s="41">
        <v>46146</v>
      </c>
      <c r="Y252" s="41">
        <v>46157</v>
      </c>
      <c r="Z252" s="43">
        <v>1078.24</v>
      </c>
      <c r="AA252" s="45">
        <f>IF(M252&lt;&gt;"",M252,Z252)</f>
        <v>1078.24</v>
      </c>
      <c r="AB252" s="46" t="str">
        <f>IF(L252&lt;&gt;"","Realizado","Previsto")</f>
        <v>Previsto</v>
      </c>
      <c r="AC252" s="47">
        <v>0.33695000000000003</v>
      </c>
      <c r="AD252" s="43">
        <v>3200</v>
      </c>
      <c r="AE252" s="39">
        <v>64</v>
      </c>
      <c r="AF252" s="39" t="s">
        <v>87</v>
      </c>
      <c r="AG252" s="43">
        <v>50</v>
      </c>
      <c r="AH252" s="39" t="s">
        <v>264</v>
      </c>
      <c r="AI252" s="39" t="s">
        <v>73</v>
      </c>
      <c r="AJ252" s="48">
        <f>IF(Q252&lt;&gt;"",Q252,IF(K252&lt;&gt;"",K252,""))</f>
        <v>46157</v>
      </c>
      <c r="AK252" s="46" t="str">
        <f>IF(K252&lt;&gt;"","Sim","")</f>
        <v>Sim</v>
      </c>
      <c r="AL252" s="46" t="str">
        <f>IF(A252="","",TEXT(A252,"000000")&amp;"-"&amp;IF(C252="Entrada","CR","DB"))</f>
        <v>000251-DB</v>
      </c>
      <c r="AM252" s="46" t="str">
        <f>IF(A252="","",LEFT(IF(H252&lt;&gt;"",H252,G252)&amp;" | "&amp;G252&amp;" | "&amp;S252,60))</f>
        <v>Assentamento Soleira em basalto  0,94 x 0,125 x 0,02 - entra</v>
      </c>
    </row>
    <row r="253" spans="1:39" ht="43.2" x14ac:dyDescent="0.3">
      <c r="A253" s="39">
        <v>252</v>
      </c>
      <c r="B253" s="39" t="s">
        <v>2</v>
      </c>
      <c r="C253" s="39" t="s">
        <v>74</v>
      </c>
      <c r="D253" s="39" t="s">
        <v>266</v>
      </c>
      <c r="E253" s="39" t="s">
        <v>267</v>
      </c>
      <c r="F253" s="39" t="s">
        <v>109</v>
      </c>
      <c r="G253" s="39" t="s">
        <v>268</v>
      </c>
      <c r="H253" s="40"/>
      <c r="I253" s="40"/>
      <c r="J253" s="40"/>
      <c r="K253" s="42">
        <v>46157</v>
      </c>
      <c r="L253" s="42"/>
      <c r="M253" s="44"/>
      <c r="N253" s="40"/>
      <c r="O253" s="40"/>
      <c r="P253" s="40"/>
      <c r="Q253" s="42">
        <f>IF(K253="","",K253)</f>
        <v>46157</v>
      </c>
      <c r="R253" s="39" t="s">
        <v>266</v>
      </c>
      <c r="S253" s="39" t="s">
        <v>269</v>
      </c>
      <c r="T253" s="39" t="s">
        <v>270</v>
      </c>
      <c r="U253" s="39" t="s">
        <v>215</v>
      </c>
      <c r="V253" s="39">
        <v>163</v>
      </c>
      <c r="W253" s="39" t="s">
        <v>387</v>
      </c>
      <c r="X253" s="41">
        <v>46146</v>
      </c>
      <c r="Y253" s="41">
        <v>46157</v>
      </c>
      <c r="Z253" s="43">
        <v>15375.486752000001</v>
      </c>
      <c r="AA253" s="45">
        <f>IF(M253&lt;&gt;"",M253,Z253)</f>
        <v>15375.486752000001</v>
      </c>
      <c r="AB253" s="46" t="str">
        <f>IF(L253&lt;&gt;"","Realizado","Previsto")</f>
        <v>Previsto</v>
      </c>
      <c r="AC253" s="47">
        <v>0.33695000000000003</v>
      </c>
      <c r="AD253" s="43">
        <v>45631.360000000001</v>
      </c>
      <c r="AE253" s="39">
        <v>5564.8</v>
      </c>
      <c r="AF253" s="39" t="s">
        <v>203</v>
      </c>
      <c r="AG253" s="43">
        <v>8.1999999999999993</v>
      </c>
      <c r="AH253" s="39" t="s">
        <v>271</v>
      </c>
      <c r="AI253" s="39" t="s">
        <v>73</v>
      </c>
      <c r="AJ253" s="48">
        <f>IF(Q253&lt;&gt;"",Q253,IF(K253&lt;&gt;"",K253,""))</f>
        <v>46157</v>
      </c>
      <c r="AK253" s="46" t="str">
        <f>IF(K253&lt;&gt;"","Sim","")</f>
        <v>Sim</v>
      </c>
      <c r="AL253" s="46" t="str">
        <f>IF(A253="","",TEXT(A253,"000000")&amp;"-"&amp;IF(C253="Entrada","CR","DB"))</f>
        <v>000252-DB</v>
      </c>
      <c r="AM253" s="46" t="str">
        <f>IF(A253="","",LEFT(IF(H253&lt;&gt;"",H253,G253)&amp;" | "&amp;G253&amp;" | "&amp;S253,60))</f>
        <v>Mao de obra terceirizada Textura externa | Mao de obra terce</v>
      </c>
    </row>
    <row r="254" spans="1:39" ht="43.2" x14ac:dyDescent="0.3">
      <c r="A254" s="39">
        <v>253</v>
      </c>
      <c r="B254" s="39" t="s">
        <v>2</v>
      </c>
      <c r="C254" s="39" t="s">
        <v>66</v>
      </c>
      <c r="D254" s="39" t="s">
        <v>67</v>
      </c>
      <c r="E254" s="39" t="s">
        <v>67</v>
      </c>
      <c r="F254" s="39" t="s">
        <v>68</v>
      </c>
      <c r="G254" s="39" t="s">
        <v>69</v>
      </c>
      <c r="H254" s="40"/>
      <c r="I254" s="40"/>
      <c r="J254" s="40"/>
      <c r="K254" s="42">
        <v>46171</v>
      </c>
      <c r="L254" s="42"/>
      <c r="M254" s="44"/>
      <c r="N254" s="40"/>
      <c r="O254" s="40"/>
      <c r="P254" s="40"/>
      <c r="Q254" s="42">
        <f>IF(K254="","",K254)</f>
        <v>46171</v>
      </c>
      <c r="R254" s="39" t="s">
        <v>69</v>
      </c>
      <c r="S254" s="39" t="s">
        <v>70</v>
      </c>
      <c r="T254" s="39" t="s">
        <v>71</v>
      </c>
      <c r="U254" s="39"/>
      <c r="V254" s="39">
        <v>283</v>
      </c>
      <c r="W254" s="39" t="s">
        <v>436</v>
      </c>
      <c r="X254" s="41">
        <v>46160</v>
      </c>
      <c r="Y254" s="41">
        <v>46171</v>
      </c>
      <c r="Z254" s="43">
        <v>1219493.518464</v>
      </c>
      <c r="AA254" s="45">
        <f>IF(M254&lt;&gt;"",M254,Z254)</f>
        <v>1219493.518464</v>
      </c>
      <c r="AB254" s="46" t="str">
        <f>IF(L254&lt;&gt;"","Realizado","Previsto")</f>
        <v>Previsto</v>
      </c>
      <c r="AC254" s="47"/>
      <c r="AD254" s="43">
        <v>8079999.9191039996</v>
      </c>
      <c r="AE254" s="39"/>
      <c r="AF254" s="39"/>
      <c r="AG254" s="43"/>
      <c r="AH254" s="39"/>
      <c r="AI254" s="39" t="s">
        <v>73</v>
      </c>
      <c r="AJ254" s="48">
        <f>IF(Q254&lt;&gt;"",Q254,IF(K254&lt;&gt;"",K254,""))</f>
        <v>46171</v>
      </c>
      <c r="AK254" s="46" t="str">
        <f>IF(K254&lt;&gt;"","Sim","")</f>
        <v>Sim</v>
      </c>
      <c r="AL254" s="46" t="str">
        <f>IF(A254="","",TEXT(A254,"000000")&amp;"-"&amp;IF(C254="Entrada","CR","DB"))</f>
        <v>000253-CR</v>
      </c>
      <c r="AM254" s="46" t="str">
        <f>IF(A254="","",LEFT(IF(H254&lt;&gt;"",H254,G254)&amp;" | "&amp;G254&amp;" | "&amp;S254,60))</f>
        <v xml:space="preserve">MEDIÇÃO CONTRATUAL | MEDIÇÃO CONTRATUAL | Entrada | MEDIÇÃO </v>
      </c>
    </row>
    <row r="255" spans="1:39" ht="43.2" x14ac:dyDescent="0.3">
      <c r="A255" s="39">
        <v>254</v>
      </c>
      <c r="B255" s="39" t="s">
        <v>2</v>
      </c>
      <c r="C255" s="39" t="s">
        <v>74</v>
      </c>
      <c r="D255" s="39" t="s">
        <v>211</v>
      </c>
      <c r="E255" s="39" t="s">
        <v>211</v>
      </c>
      <c r="F255" s="39" t="s">
        <v>184</v>
      </c>
      <c r="G255" s="39" t="s">
        <v>273</v>
      </c>
      <c r="H255" s="40"/>
      <c r="I255" s="40"/>
      <c r="J255" s="40"/>
      <c r="K255" s="42">
        <v>46171</v>
      </c>
      <c r="L255" s="42"/>
      <c r="M255" s="44"/>
      <c r="N255" s="40"/>
      <c r="O255" s="40"/>
      <c r="P255" s="40"/>
      <c r="Q255" s="42">
        <f>IF(K255="","",K255)</f>
        <v>46171</v>
      </c>
      <c r="R255" s="39" t="s">
        <v>211</v>
      </c>
      <c r="S255" s="39" t="s">
        <v>213</v>
      </c>
      <c r="T255" s="39" t="s">
        <v>274</v>
      </c>
      <c r="U255" s="39" t="s">
        <v>275</v>
      </c>
      <c r="V255" s="39">
        <v>114</v>
      </c>
      <c r="W255" s="39" t="s">
        <v>436</v>
      </c>
      <c r="X255" s="41">
        <v>46160</v>
      </c>
      <c r="Y255" s="41">
        <v>46171</v>
      </c>
      <c r="Z255" s="43">
        <v>4345.6000000000004</v>
      </c>
      <c r="AA255" s="45">
        <f>IF(M255&lt;&gt;"",M255,Z255)</f>
        <v>4345.6000000000004</v>
      </c>
      <c r="AB255" s="46" t="str">
        <f>IF(L255&lt;&gt;"","Realizado","Previsto")</f>
        <v>Previsto</v>
      </c>
      <c r="AC255" s="47">
        <v>0.5</v>
      </c>
      <c r="AD255" s="43">
        <v>8691.2000000000007</v>
      </c>
      <c r="AE255" s="39">
        <v>640</v>
      </c>
      <c r="AF255" s="39" t="s">
        <v>276</v>
      </c>
      <c r="AG255" s="43">
        <v>13.58</v>
      </c>
      <c r="AH255" s="39" t="s">
        <v>277</v>
      </c>
      <c r="AI255" s="39" t="s">
        <v>73</v>
      </c>
      <c r="AJ255" s="48">
        <f>IF(Q255&lt;&gt;"",Q255,IF(K255&lt;&gt;"",K255,""))</f>
        <v>46171</v>
      </c>
      <c r="AK255" s="46" t="str">
        <f>IF(K255&lt;&gt;"","Sim","")</f>
        <v>Sim</v>
      </c>
      <c r="AL255" s="46" t="str">
        <f>IF(A255="","",TEXT(A255,"000000")&amp;"-"&amp;IF(C255="Entrada","CR","DB"))</f>
        <v>000254-DB</v>
      </c>
      <c r="AM255" s="46" t="str">
        <f>IF(A255="","",LEFT(IF(H255&lt;&gt;"",H255,G255)&amp;" | "&amp;G255&amp;" | "&amp;S255,60))</f>
        <v>Argamassa colante AC I - Saco 20 Kg | Argamassa colante AC I</v>
      </c>
    </row>
    <row r="256" spans="1:39" ht="43.2" x14ac:dyDescent="0.3">
      <c r="A256" s="39">
        <v>255</v>
      </c>
      <c r="B256" s="39" t="s">
        <v>2</v>
      </c>
      <c r="C256" s="39" t="s">
        <v>74</v>
      </c>
      <c r="D256" s="39" t="s">
        <v>211</v>
      </c>
      <c r="E256" s="39" t="s">
        <v>211</v>
      </c>
      <c r="F256" s="39" t="s">
        <v>184</v>
      </c>
      <c r="G256" s="39" t="s">
        <v>278</v>
      </c>
      <c r="H256" s="40"/>
      <c r="I256" s="40"/>
      <c r="J256" s="40"/>
      <c r="K256" s="42">
        <v>46171</v>
      </c>
      <c r="L256" s="42"/>
      <c r="M256" s="44"/>
      <c r="N256" s="40"/>
      <c r="O256" s="40"/>
      <c r="P256" s="40"/>
      <c r="Q256" s="42">
        <f>IF(K256="","",K256)</f>
        <v>46171</v>
      </c>
      <c r="R256" s="39" t="s">
        <v>211</v>
      </c>
      <c r="S256" s="39" t="s">
        <v>213</v>
      </c>
      <c r="T256" s="39" t="s">
        <v>274</v>
      </c>
      <c r="U256" s="39" t="s">
        <v>275</v>
      </c>
      <c r="V256" s="39">
        <v>112</v>
      </c>
      <c r="W256" s="39" t="s">
        <v>436</v>
      </c>
      <c r="X256" s="41">
        <v>46160</v>
      </c>
      <c r="Y256" s="41">
        <v>46171</v>
      </c>
      <c r="Z256" s="43">
        <v>134.4</v>
      </c>
      <c r="AA256" s="45">
        <f>IF(M256&lt;&gt;"",M256,Z256)</f>
        <v>134.4</v>
      </c>
      <c r="AB256" s="46" t="str">
        <f>IF(L256&lt;&gt;"","Realizado","Previsto")</f>
        <v>Previsto</v>
      </c>
      <c r="AC256" s="47">
        <v>0.5</v>
      </c>
      <c r="AD256" s="43">
        <v>268.8</v>
      </c>
      <c r="AE256" s="39">
        <v>64</v>
      </c>
      <c r="AF256" s="39" t="s">
        <v>279</v>
      </c>
      <c r="AG256" s="43">
        <v>4.2</v>
      </c>
      <c r="AH256" s="39" t="s">
        <v>277</v>
      </c>
      <c r="AI256" s="39" t="s">
        <v>73</v>
      </c>
      <c r="AJ256" s="48">
        <f>IF(Q256&lt;&gt;"",Q256,IF(K256&lt;&gt;"",K256,""))</f>
        <v>46171</v>
      </c>
      <c r="AK256" s="46" t="str">
        <f>IF(K256&lt;&gt;"","Sim","")</f>
        <v>Sim</v>
      </c>
      <c r="AL256" s="46" t="str">
        <f>IF(A256="","",TEXT(A256,"000000")&amp;"-"&amp;IF(C256="Entrada","CR","DB"))</f>
        <v>000255-DB</v>
      </c>
      <c r="AM256" s="46" t="str">
        <f>IF(A256="","",LEFT(IF(H256&lt;&gt;"",H256,G256)&amp;" | "&amp;G256&amp;" | "&amp;S256,60))</f>
        <v>Espaçador cruzeta - 5mm (pacote com 100 unid) | Espaçador cr</v>
      </c>
    </row>
    <row r="257" spans="1:39" ht="43.2" x14ac:dyDescent="0.3">
      <c r="A257" s="39">
        <v>256</v>
      </c>
      <c r="B257" s="39" t="s">
        <v>2</v>
      </c>
      <c r="C257" s="39" t="s">
        <v>74</v>
      </c>
      <c r="D257" s="39" t="s">
        <v>211</v>
      </c>
      <c r="E257" s="39" t="s">
        <v>211</v>
      </c>
      <c r="F257" s="39" t="s">
        <v>109</v>
      </c>
      <c r="G257" s="39" t="s">
        <v>212</v>
      </c>
      <c r="H257" s="40"/>
      <c r="I257" s="40"/>
      <c r="J257" s="40"/>
      <c r="K257" s="42">
        <v>46171</v>
      </c>
      <c r="L257" s="42"/>
      <c r="M257" s="44"/>
      <c r="N257" s="40"/>
      <c r="O257" s="40"/>
      <c r="P257" s="40"/>
      <c r="Q257" s="42">
        <f>IF(K257="","",K257)</f>
        <v>46171</v>
      </c>
      <c r="R257" s="39" t="s">
        <v>211</v>
      </c>
      <c r="S257" s="39" t="s">
        <v>213</v>
      </c>
      <c r="T257" s="39" t="s">
        <v>214</v>
      </c>
      <c r="U257" s="39" t="s">
        <v>215</v>
      </c>
      <c r="V257" s="39">
        <v>115</v>
      </c>
      <c r="W257" s="39" t="s">
        <v>436</v>
      </c>
      <c r="X257" s="41">
        <v>46160</v>
      </c>
      <c r="Y257" s="41">
        <v>46171</v>
      </c>
      <c r="Z257" s="43">
        <v>17835.599999999999</v>
      </c>
      <c r="AA257" s="45">
        <f>IF(M257&lt;&gt;"",M257,Z257)</f>
        <v>17835.599999999999</v>
      </c>
      <c r="AB257" s="46" t="str">
        <f>IF(L257&lt;&gt;"","Realizado","Previsto")</f>
        <v>Previsto</v>
      </c>
      <c r="AC257" s="47">
        <v>0.2225</v>
      </c>
      <c r="AD257" s="43">
        <v>80160</v>
      </c>
      <c r="AE257" s="39">
        <v>1603.2</v>
      </c>
      <c r="AF257" s="39" t="s">
        <v>203</v>
      </c>
      <c r="AG257" s="43">
        <v>50</v>
      </c>
      <c r="AH257" s="39" t="s">
        <v>216</v>
      </c>
      <c r="AI257" s="39" t="s">
        <v>73</v>
      </c>
      <c r="AJ257" s="48">
        <f>IF(Q257&lt;&gt;"",Q257,IF(K257&lt;&gt;"",K257,""))</f>
        <v>46171</v>
      </c>
      <c r="AK257" s="46" t="str">
        <f>IF(K257&lt;&gt;"","Sim","")</f>
        <v>Sim</v>
      </c>
      <c r="AL257" s="46" t="str">
        <f>IF(A257="","",TEXT(A257,"000000")&amp;"-"&amp;IF(C257="Entrada","CR","DB"))</f>
        <v>000256-DB</v>
      </c>
      <c r="AM257" s="46" t="str">
        <f>IF(A257="","",LEFT(IF(H257&lt;&gt;"",H257,G257)&amp;" | "&amp;G257&amp;" | "&amp;S257,60))</f>
        <v xml:space="preserve">Mao de obra terceirizada assentamento Azulejo | Mao de obra </v>
      </c>
    </row>
    <row r="258" spans="1:39" ht="43.2" x14ac:dyDescent="0.3">
      <c r="A258" s="39">
        <v>257</v>
      </c>
      <c r="B258" s="39" t="s">
        <v>2</v>
      </c>
      <c r="C258" s="39" t="s">
        <v>74</v>
      </c>
      <c r="D258" s="39" t="s">
        <v>211</v>
      </c>
      <c r="E258" s="39" t="s">
        <v>211</v>
      </c>
      <c r="F258" s="39" t="s">
        <v>184</v>
      </c>
      <c r="G258" s="39" t="s">
        <v>280</v>
      </c>
      <c r="H258" s="40"/>
      <c r="I258" s="40"/>
      <c r="J258" s="40"/>
      <c r="K258" s="42">
        <v>46171</v>
      </c>
      <c r="L258" s="42"/>
      <c r="M258" s="44"/>
      <c r="N258" s="40"/>
      <c r="O258" s="40"/>
      <c r="P258" s="40"/>
      <c r="Q258" s="42">
        <f>IF(K258="","",K258)</f>
        <v>46171</v>
      </c>
      <c r="R258" s="39" t="s">
        <v>211</v>
      </c>
      <c r="S258" s="39" t="s">
        <v>213</v>
      </c>
      <c r="T258" s="39" t="s">
        <v>274</v>
      </c>
      <c r="U258" s="39" t="s">
        <v>275</v>
      </c>
      <c r="V258" s="39">
        <v>113</v>
      </c>
      <c r="W258" s="39" t="s">
        <v>436</v>
      </c>
      <c r="X258" s="41">
        <v>46160</v>
      </c>
      <c r="Y258" s="41">
        <v>46171</v>
      </c>
      <c r="Z258" s="43">
        <v>1104</v>
      </c>
      <c r="AA258" s="45">
        <f>IF(M258&lt;&gt;"",M258,Z258)</f>
        <v>1104</v>
      </c>
      <c r="AB258" s="46" t="str">
        <f>IF(L258&lt;&gt;"","Realizado","Previsto")</f>
        <v>Previsto</v>
      </c>
      <c r="AC258" s="47">
        <v>0.5</v>
      </c>
      <c r="AD258" s="43">
        <v>2208</v>
      </c>
      <c r="AE258" s="39">
        <v>320</v>
      </c>
      <c r="AF258" s="39" t="s">
        <v>149</v>
      </c>
      <c r="AG258" s="43">
        <v>6.9</v>
      </c>
      <c r="AH258" s="39" t="s">
        <v>277</v>
      </c>
      <c r="AI258" s="39" t="s">
        <v>73</v>
      </c>
      <c r="AJ258" s="48">
        <f>IF(Q258&lt;&gt;"",Q258,IF(K258&lt;&gt;"",K258,""))</f>
        <v>46171</v>
      </c>
      <c r="AK258" s="46" t="str">
        <f>IF(K258&lt;&gt;"","Sim","")</f>
        <v>Sim</v>
      </c>
      <c r="AL258" s="46" t="str">
        <f>IF(A258="","",TEXT(A258,"000000")&amp;"-"&amp;IF(C258="Entrada","CR","DB"))</f>
        <v>000257-DB</v>
      </c>
      <c r="AM258" s="46" t="str">
        <f>IF(A258="","",LEFT(IF(H258&lt;&gt;"",H258,G258)&amp;" | "&amp;G258&amp;" | "&amp;S258,60))</f>
        <v>Rejunte cimenticio | Rejunte cimenticio | Saída | AZULEJOS</v>
      </c>
    </row>
    <row r="259" spans="1:39" ht="43.2" x14ac:dyDescent="0.3">
      <c r="A259" s="39">
        <v>258</v>
      </c>
      <c r="B259" s="39" t="s">
        <v>2</v>
      </c>
      <c r="C259" s="39" t="s">
        <v>74</v>
      </c>
      <c r="D259" s="39" t="s">
        <v>211</v>
      </c>
      <c r="E259" s="39" t="s">
        <v>211</v>
      </c>
      <c r="F259" s="39" t="s">
        <v>281</v>
      </c>
      <c r="G259" s="39" t="s">
        <v>282</v>
      </c>
      <c r="H259" s="40"/>
      <c r="I259" s="40"/>
      <c r="J259" s="40"/>
      <c r="K259" s="42">
        <v>46171</v>
      </c>
      <c r="L259" s="42"/>
      <c r="M259" s="44"/>
      <c r="N259" s="40"/>
      <c r="O259" s="40"/>
      <c r="P259" s="40"/>
      <c r="Q259" s="42">
        <f>IF(K259="","",K259)</f>
        <v>46171</v>
      </c>
      <c r="R259" s="39" t="s">
        <v>211</v>
      </c>
      <c r="S259" s="39" t="s">
        <v>213</v>
      </c>
      <c r="T259" s="39" t="s">
        <v>283</v>
      </c>
      <c r="U259" s="39" t="s">
        <v>275</v>
      </c>
      <c r="V259" s="39">
        <v>111</v>
      </c>
      <c r="W259" s="39" t="s">
        <v>436</v>
      </c>
      <c r="X259" s="41">
        <v>46160</v>
      </c>
      <c r="Y259" s="41">
        <v>46171</v>
      </c>
      <c r="Z259" s="43">
        <v>7834.9920000000011</v>
      </c>
      <c r="AA259" s="45">
        <f>IF(M259&lt;&gt;"",M259,Z259)</f>
        <v>7834.9920000000011</v>
      </c>
      <c r="AB259" s="46" t="str">
        <f>IF(L259&lt;&gt;"","Realizado","Previsto")</f>
        <v>Previsto</v>
      </c>
      <c r="AC259" s="47">
        <v>0.33</v>
      </c>
      <c r="AD259" s="43">
        <v>23742.400000000001</v>
      </c>
      <c r="AE259" s="39">
        <v>1249.5999999999999</v>
      </c>
      <c r="AF259" s="39" t="s">
        <v>203</v>
      </c>
      <c r="AG259" s="43">
        <v>19</v>
      </c>
      <c r="AH259" s="39" t="s">
        <v>284</v>
      </c>
      <c r="AI259" s="39" t="s">
        <v>73</v>
      </c>
      <c r="AJ259" s="48">
        <f>IF(Q259&lt;&gt;"",Q259,IF(K259&lt;&gt;"",K259,""))</f>
        <v>46171</v>
      </c>
      <c r="AK259" s="46" t="str">
        <f>IF(K259&lt;&gt;"","Sim","")</f>
        <v>Sim</v>
      </c>
      <c r="AL259" s="46" t="str">
        <f>IF(A259="","",TEXT(A259,"000000")&amp;"-"&amp;IF(C259="Entrada","CR","DB"))</f>
        <v>000258-DB</v>
      </c>
      <c r="AM259" s="46" t="str">
        <f>IF(A259="","",LEFT(IF(H259&lt;&gt;"",H259,G259)&amp;" | "&amp;G259&amp;" | "&amp;S259,60))</f>
        <v xml:space="preserve">Revestimento Cerâmico PEI II - 20 X 20, cor,  (perda 10%) | </v>
      </c>
    </row>
    <row r="260" spans="1:39" ht="43.2" x14ac:dyDescent="0.3">
      <c r="A260" s="39">
        <v>259</v>
      </c>
      <c r="B260" s="39" t="s">
        <v>2</v>
      </c>
      <c r="C260" s="39" t="s">
        <v>74</v>
      </c>
      <c r="D260" s="39" t="s">
        <v>285</v>
      </c>
      <c r="E260" s="39" t="s">
        <v>286</v>
      </c>
      <c r="F260" s="39" t="s">
        <v>132</v>
      </c>
      <c r="G260" s="39" t="s">
        <v>287</v>
      </c>
      <c r="H260" s="40"/>
      <c r="I260" s="40"/>
      <c r="J260" s="40"/>
      <c r="K260" s="42">
        <v>46171</v>
      </c>
      <c r="L260" s="42"/>
      <c r="M260" s="44"/>
      <c r="N260" s="40"/>
      <c r="O260" s="40"/>
      <c r="P260" s="40"/>
      <c r="Q260" s="42">
        <f>IF(K260="","",K260)</f>
        <v>46171</v>
      </c>
      <c r="R260" s="39" t="s">
        <v>285</v>
      </c>
      <c r="S260" s="39" t="s">
        <v>288</v>
      </c>
      <c r="T260" s="39" t="s">
        <v>289</v>
      </c>
      <c r="U260" s="39" t="s">
        <v>290</v>
      </c>
      <c r="V260" s="39">
        <v>79</v>
      </c>
      <c r="W260" s="39" t="s">
        <v>436</v>
      </c>
      <c r="X260" s="41">
        <v>46160</v>
      </c>
      <c r="Y260" s="41">
        <v>46171</v>
      </c>
      <c r="Z260" s="43">
        <v>285.12</v>
      </c>
      <c r="AA260" s="45">
        <f>IF(M260&lt;&gt;"",M260,Z260)</f>
        <v>285.12</v>
      </c>
      <c r="AB260" s="46" t="str">
        <f>IF(L260&lt;&gt;"","Realizado","Previsto")</f>
        <v>Previsto</v>
      </c>
      <c r="AC260" s="47">
        <v>0.33</v>
      </c>
      <c r="AD260" s="43">
        <v>864</v>
      </c>
      <c r="AE260" s="39">
        <v>64</v>
      </c>
      <c r="AF260" s="39" t="s">
        <v>291</v>
      </c>
      <c r="AG260" s="43">
        <v>13.5</v>
      </c>
      <c r="AH260" s="39" t="s">
        <v>292</v>
      </c>
      <c r="AI260" s="39" t="s">
        <v>73</v>
      </c>
      <c r="AJ260" s="48">
        <f>IF(Q260&lt;&gt;"",Q260,IF(K260&lt;&gt;"",K260,""))</f>
        <v>46171</v>
      </c>
      <c r="AK260" s="46" t="str">
        <f>IF(K260&lt;&gt;"","Sim","")</f>
        <v>Sim</v>
      </c>
      <c r="AL260" s="46" t="str">
        <f>IF(A260="","",TEXT(A260,"000000")&amp;"-"&amp;IF(C260="Entrada","CR","DB"))</f>
        <v>000259-DB</v>
      </c>
      <c r="AM260" s="46" t="str">
        <f>IF(A260="","",LEFT(IF(H260&lt;&gt;"",H260,G260)&amp;" | "&amp;G260&amp;" | "&amp;S260,60))</f>
        <v>Adaptador soldável flange 25mm 3/4 | Adaptador soldável flan</v>
      </c>
    </row>
    <row r="261" spans="1:39" ht="43.2" x14ac:dyDescent="0.3">
      <c r="A261" s="39">
        <v>260</v>
      </c>
      <c r="B261" s="39" t="s">
        <v>2</v>
      </c>
      <c r="C261" s="39" t="s">
        <v>74</v>
      </c>
      <c r="D261" s="39" t="s">
        <v>285</v>
      </c>
      <c r="E261" s="39" t="s">
        <v>286</v>
      </c>
      <c r="F261" s="39" t="s">
        <v>132</v>
      </c>
      <c r="G261" s="39" t="s">
        <v>293</v>
      </c>
      <c r="H261" s="40"/>
      <c r="I261" s="40"/>
      <c r="J261" s="40"/>
      <c r="K261" s="42">
        <v>46171</v>
      </c>
      <c r="L261" s="42"/>
      <c r="M261" s="44"/>
      <c r="N261" s="40"/>
      <c r="O261" s="40"/>
      <c r="P261" s="40"/>
      <c r="Q261" s="42">
        <f>IF(K261="","",K261)</f>
        <v>46171</v>
      </c>
      <c r="R261" s="39" t="s">
        <v>285</v>
      </c>
      <c r="S261" s="39" t="s">
        <v>288</v>
      </c>
      <c r="T261" s="39" t="s">
        <v>289</v>
      </c>
      <c r="U261" s="39" t="s">
        <v>290</v>
      </c>
      <c r="V261" s="39">
        <v>82</v>
      </c>
      <c r="W261" s="39" t="s">
        <v>436</v>
      </c>
      <c r="X261" s="41">
        <v>46160</v>
      </c>
      <c r="Y261" s="41">
        <v>46171</v>
      </c>
      <c r="Z261" s="43">
        <v>555.24480000000005</v>
      </c>
      <c r="AA261" s="45">
        <f>IF(M261&lt;&gt;"",M261,Z261)</f>
        <v>555.24480000000005</v>
      </c>
      <c r="AB261" s="46" t="str">
        <f>IF(L261&lt;&gt;"","Realizado","Previsto")</f>
        <v>Previsto</v>
      </c>
      <c r="AC261" s="47">
        <v>0.33</v>
      </c>
      <c r="AD261" s="43">
        <v>1682.56</v>
      </c>
      <c r="AE261" s="39">
        <v>64</v>
      </c>
      <c r="AF261" s="39" t="s">
        <v>291</v>
      </c>
      <c r="AG261" s="43">
        <v>26.29</v>
      </c>
      <c r="AH261" s="39" t="s">
        <v>292</v>
      </c>
      <c r="AI261" s="39" t="s">
        <v>73</v>
      </c>
      <c r="AJ261" s="48">
        <f>IF(Q261&lt;&gt;"",Q261,IF(K261&lt;&gt;"",K261,""))</f>
        <v>46171</v>
      </c>
      <c r="AK261" s="46" t="str">
        <f>IF(K261&lt;&gt;"","Sim","")</f>
        <v>Sim</v>
      </c>
      <c r="AL261" s="46" t="str">
        <f>IF(A261="","",TEXT(A261,"000000")&amp;"-"&amp;IF(C261="Entrada","CR","DB"))</f>
        <v>000260-DB</v>
      </c>
      <c r="AM261" s="46" t="str">
        <f>IF(A261="","",LEFT(IF(H261&lt;&gt;"",H261,G261)&amp;" | "&amp;G261&amp;" | "&amp;S261,60))</f>
        <v xml:space="preserve">Adaptador soldável flange 32 mm | Adaptador soldável flange </v>
      </c>
    </row>
    <row r="262" spans="1:39" ht="43.2" x14ac:dyDescent="0.3">
      <c r="A262" s="39">
        <v>261</v>
      </c>
      <c r="B262" s="39" t="s">
        <v>2</v>
      </c>
      <c r="C262" s="39" t="s">
        <v>74</v>
      </c>
      <c r="D262" s="39" t="s">
        <v>285</v>
      </c>
      <c r="E262" s="39" t="s">
        <v>286</v>
      </c>
      <c r="F262" s="39" t="s">
        <v>132</v>
      </c>
      <c r="G262" s="39" t="s">
        <v>294</v>
      </c>
      <c r="H262" s="40"/>
      <c r="I262" s="40"/>
      <c r="J262" s="40"/>
      <c r="K262" s="42">
        <v>46171</v>
      </c>
      <c r="L262" s="42"/>
      <c r="M262" s="44"/>
      <c r="N262" s="40"/>
      <c r="O262" s="40"/>
      <c r="P262" s="40"/>
      <c r="Q262" s="42">
        <f>IF(K262="","",K262)</f>
        <v>46171</v>
      </c>
      <c r="R262" s="39" t="s">
        <v>285</v>
      </c>
      <c r="S262" s="39" t="s">
        <v>288</v>
      </c>
      <c r="T262" s="39" t="s">
        <v>289</v>
      </c>
      <c r="U262" s="39" t="s">
        <v>290</v>
      </c>
      <c r="V262" s="39">
        <v>85</v>
      </c>
      <c r="W262" s="39" t="s">
        <v>436</v>
      </c>
      <c r="X262" s="41">
        <v>46160</v>
      </c>
      <c r="Y262" s="41">
        <v>46171</v>
      </c>
      <c r="Z262" s="43">
        <v>33.792000000000002</v>
      </c>
      <c r="AA262" s="45">
        <f>IF(M262&lt;&gt;"",M262,Z262)</f>
        <v>33.792000000000002</v>
      </c>
      <c r="AB262" s="46" t="str">
        <f>IF(L262&lt;&gt;"","Realizado","Previsto")</f>
        <v>Previsto</v>
      </c>
      <c r="AC262" s="47">
        <v>0.33</v>
      </c>
      <c r="AD262" s="43">
        <v>102.4</v>
      </c>
      <c r="AE262" s="39">
        <v>64</v>
      </c>
      <c r="AF262" s="39" t="s">
        <v>291</v>
      </c>
      <c r="AG262" s="43">
        <v>1.6</v>
      </c>
      <c r="AH262" s="39" t="s">
        <v>292</v>
      </c>
      <c r="AI262" s="39" t="s">
        <v>73</v>
      </c>
      <c r="AJ262" s="48">
        <f>IF(Q262&lt;&gt;"",Q262,IF(K262&lt;&gt;"",K262,""))</f>
        <v>46171</v>
      </c>
      <c r="AK262" s="46" t="str">
        <f>IF(K262&lt;&gt;"","Sim","")</f>
        <v>Sim</v>
      </c>
      <c r="AL262" s="46" t="str">
        <f>IF(A262="","",TEXT(A262,"000000")&amp;"-"&amp;IF(C262="Entrada","CR","DB"))</f>
        <v>000261-DB</v>
      </c>
      <c r="AM262" s="46" t="str">
        <f>IF(A262="","",LEFT(IF(H262&lt;&gt;"",H262,G262)&amp;" | "&amp;G262&amp;" | "&amp;S262,60))</f>
        <v>Bucha de redução soldável curta 32mm x 25mm | Bucha de reduç</v>
      </c>
    </row>
    <row r="263" spans="1:39" ht="43.2" x14ac:dyDescent="0.3">
      <c r="A263" s="39">
        <v>262</v>
      </c>
      <c r="B263" s="39" t="s">
        <v>2</v>
      </c>
      <c r="C263" s="39" t="s">
        <v>74</v>
      </c>
      <c r="D263" s="39" t="s">
        <v>285</v>
      </c>
      <c r="E263" s="39" t="s">
        <v>286</v>
      </c>
      <c r="F263" s="39" t="s">
        <v>132</v>
      </c>
      <c r="G263" s="39" t="s">
        <v>295</v>
      </c>
      <c r="H263" s="40"/>
      <c r="I263" s="40"/>
      <c r="J263" s="40"/>
      <c r="K263" s="42">
        <v>46171</v>
      </c>
      <c r="L263" s="42"/>
      <c r="M263" s="44"/>
      <c r="N263" s="40"/>
      <c r="O263" s="40"/>
      <c r="P263" s="40"/>
      <c r="Q263" s="42">
        <f>IF(K263="","",K263)</f>
        <v>46171</v>
      </c>
      <c r="R263" s="39" t="s">
        <v>285</v>
      </c>
      <c r="S263" s="39" t="s">
        <v>288</v>
      </c>
      <c r="T263" s="39" t="s">
        <v>289</v>
      </c>
      <c r="U263" s="39" t="s">
        <v>290</v>
      </c>
      <c r="V263" s="39">
        <v>87</v>
      </c>
      <c r="W263" s="39" t="s">
        <v>436</v>
      </c>
      <c r="X263" s="41">
        <v>46160</v>
      </c>
      <c r="Y263" s="41">
        <v>46171</v>
      </c>
      <c r="Z263" s="43">
        <v>5066.6880000000001</v>
      </c>
      <c r="AA263" s="45">
        <f>IF(M263&lt;&gt;"",M263,Z263)</f>
        <v>5066.6880000000001</v>
      </c>
      <c r="AB263" s="46" t="str">
        <f>IF(L263&lt;&gt;"","Realizado","Previsto")</f>
        <v>Previsto</v>
      </c>
      <c r="AC263" s="47">
        <v>0.33</v>
      </c>
      <c r="AD263" s="43">
        <v>15353.6</v>
      </c>
      <c r="AE263" s="39">
        <v>64</v>
      </c>
      <c r="AF263" s="39" t="s">
        <v>87</v>
      </c>
      <c r="AG263" s="43">
        <v>239.9</v>
      </c>
      <c r="AH263" s="39" t="s">
        <v>292</v>
      </c>
      <c r="AI263" s="39" t="s">
        <v>73</v>
      </c>
      <c r="AJ263" s="48">
        <f>IF(Q263&lt;&gt;"",Q263,IF(K263&lt;&gt;"",K263,""))</f>
        <v>46171</v>
      </c>
      <c r="AK263" s="46" t="str">
        <f>IF(K263&lt;&gt;"","Sim","")</f>
        <v>Sim</v>
      </c>
      <c r="AL263" s="46" t="str">
        <f>IF(A263="","",TEXT(A263,"000000")&amp;"-"&amp;IF(C263="Entrada","CR","DB"))</f>
        <v>000262-DB</v>
      </c>
      <c r="AM263" s="46" t="str">
        <f>IF(A263="","",LEFT(IF(H263&lt;&gt;"",H263,G263)&amp;" | "&amp;G263&amp;" | "&amp;S263,60))</f>
        <v>Caixa D'Água Polietileno 500 Litros - FORTLEV | Caixa D'Água</v>
      </c>
    </row>
    <row r="264" spans="1:39" ht="43.2" x14ac:dyDescent="0.3">
      <c r="A264" s="39">
        <v>263</v>
      </c>
      <c r="B264" s="39" t="s">
        <v>2</v>
      </c>
      <c r="C264" s="39" t="s">
        <v>74</v>
      </c>
      <c r="D264" s="39" t="s">
        <v>285</v>
      </c>
      <c r="E264" s="39" t="s">
        <v>286</v>
      </c>
      <c r="F264" s="39" t="s">
        <v>132</v>
      </c>
      <c r="G264" s="39" t="s">
        <v>296</v>
      </c>
      <c r="H264" s="40"/>
      <c r="I264" s="40"/>
      <c r="J264" s="40"/>
      <c r="K264" s="42">
        <v>46171</v>
      </c>
      <c r="L264" s="42"/>
      <c r="M264" s="44"/>
      <c r="N264" s="40"/>
      <c r="O264" s="40"/>
      <c r="P264" s="40"/>
      <c r="Q264" s="42">
        <f>IF(K264="","",K264)</f>
        <v>46171</v>
      </c>
      <c r="R264" s="39" t="s">
        <v>285</v>
      </c>
      <c r="S264" s="39" t="s">
        <v>288</v>
      </c>
      <c r="T264" s="39" t="s">
        <v>289</v>
      </c>
      <c r="U264" s="39" t="s">
        <v>290</v>
      </c>
      <c r="V264" s="39">
        <v>86</v>
      </c>
      <c r="W264" s="39" t="s">
        <v>436</v>
      </c>
      <c r="X264" s="41">
        <v>46160</v>
      </c>
      <c r="Y264" s="41">
        <v>46171</v>
      </c>
      <c r="Z264" s="43">
        <v>94.406400000000005</v>
      </c>
      <c r="AA264" s="45">
        <f>IF(M264&lt;&gt;"",M264,Z264)</f>
        <v>94.406400000000005</v>
      </c>
      <c r="AB264" s="46" t="str">
        <f>IF(L264&lt;&gt;"","Realizado","Previsto")</f>
        <v>Previsto</v>
      </c>
      <c r="AC264" s="47">
        <v>0.33</v>
      </c>
      <c r="AD264" s="43">
        <v>286.08</v>
      </c>
      <c r="AE264" s="39">
        <v>19.2</v>
      </c>
      <c r="AF264" s="39" t="s">
        <v>87</v>
      </c>
      <c r="AG264" s="43">
        <v>14.9</v>
      </c>
      <c r="AH264" s="39" t="s">
        <v>292</v>
      </c>
      <c r="AI264" s="39" t="s">
        <v>73</v>
      </c>
      <c r="AJ264" s="48">
        <f>IF(Q264&lt;&gt;"",Q264,IF(K264&lt;&gt;"",K264,""))</f>
        <v>46171</v>
      </c>
      <c r="AK264" s="46" t="str">
        <f>IF(K264&lt;&gt;"","Sim","")</f>
        <v>Sim</v>
      </c>
      <c r="AL264" s="46" t="str">
        <f>IF(A264="","",TEXT(A264,"000000")&amp;"-"&amp;IF(C264="Entrada","CR","DB"))</f>
        <v>000263-DB</v>
      </c>
      <c r="AM264" s="46" t="str">
        <f>IF(A264="","",LEFT(IF(H264&lt;&gt;"",H264,G264)&amp;" | "&amp;G264&amp;" | "&amp;S264,60))</f>
        <v>Cola Pincel 175 g | Cola Pincel 175 g | Saída | CAIXA D'ÁGUA</v>
      </c>
    </row>
    <row r="265" spans="1:39" ht="43.2" x14ac:dyDescent="0.3">
      <c r="A265" s="39">
        <v>264</v>
      </c>
      <c r="B265" s="39" t="s">
        <v>2</v>
      </c>
      <c r="C265" s="39" t="s">
        <v>74</v>
      </c>
      <c r="D265" s="39" t="s">
        <v>285</v>
      </c>
      <c r="E265" s="39" t="s">
        <v>286</v>
      </c>
      <c r="F265" s="39" t="s">
        <v>132</v>
      </c>
      <c r="G265" s="39" t="s">
        <v>297</v>
      </c>
      <c r="H265" s="40"/>
      <c r="I265" s="40"/>
      <c r="J265" s="40"/>
      <c r="K265" s="42">
        <v>46171</v>
      </c>
      <c r="L265" s="42"/>
      <c r="M265" s="44"/>
      <c r="N265" s="40"/>
      <c r="O265" s="40"/>
      <c r="P265" s="40"/>
      <c r="Q265" s="42">
        <f>IF(K265="","",K265)</f>
        <v>46171</v>
      </c>
      <c r="R265" s="39" t="s">
        <v>285</v>
      </c>
      <c r="S265" s="39" t="s">
        <v>288</v>
      </c>
      <c r="T265" s="39" t="s">
        <v>289</v>
      </c>
      <c r="U265" s="39" t="s">
        <v>290</v>
      </c>
      <c r="V265" s="39">
        <v>76</v>
      </c>
      <c r="W265" s="39" t="s">
        <v>436</v>
      </c>
      <c r="X265" s="41">
        <v>46160</v>
      </c>
      <c r="Y265" s="41">
        <v>46171</v>
      </c>
      <c r="Z265" s="43">
        <v>69.062399999999997</v>
      </c>
      <c r="AA265" s="45">
        <f>IF(M265&lt;&gt;"",M265,Z265)</f>
        <v>69.062399999999997</v>
      </c>
      <c r="AB265" s="46" t="str">
        <f>IF(L265&lt;&gt;"","Realizado","Previsto")</f>
        <v>Previsto</v>
      </c>
      <c r="AC265" s="47">
        <v>0.33</v>
      </c>
      <c r="AD265" s="43">
        <v>209.28</v>
      </c>
      <c r="AE265" s="39">
        <v>64</v>
      </c>
      <c r="AF265" s="39" t="s">
        <v>291</v>
      </c>
      <c r="AG265" s="43">
        <v>3.27</v>
      </c>
      <c r="AH265" s="39" t="s">
        <v>292</v>
      </c>
      <c r="AI265" s="39" t="s">
        <v>73</v>
      </c>
      <c r="AJ265" s="48">
        <f>IF(Q265&lt;&gt;"",Q265,IF(K265&lt;&gt;"",K265,""))</f>
        <v>46171</v>
      </c>
      <c r="AK265" s="46" t="str">
        <f>IF(K265&lt;&gt;"","Sim","")</f>
        <v>Sim</v>
      </c>
      <c r="AL265" s="46" t="str">
        <f>IF(A265="","",TEXT(A265,"000000")&amp;"-"&amp;IF(C265="Entrada","CR","DB"))</f>
        <v>000264-DB</v>
      </c>
      <c r="AM265" s="46" t="str">
        <f>IF(A265="","",LEFT(IF(H265&lt;&gt;"",H265,G265)&amp;" | "&amp;G265&amp;" | "&amp;S265,60))</f>
        <v xml:space="preserve">Curva 90° Soldável 25mm | Curva 90° Soldável 25mm | Saída | </v>
      </c>
    </row>
    <row r="266" spans="1:39" ht="43.2" x14ac:dyDescent="0.3">
      <c r="A266" s="39">
        <v>265</v>
      </c>
      <c r="B266" s="39" t="s">
        <v>2</v>
      </c>
      <c r="C266" s="39" t="s">
        <v>74</v>
      </c>
      <c r="D266" s="39" t="s">
        <v>285</v>
      </c>
      <c r="E266" s="39" t="s">
        <v>286</v>
      </c>
      <c r="F266" s="39" t="s">
        <v>132</v>
      </c>
      <c r="G266" s="39" t="s">
        <v>298</v>
      </c>
      <c r="H266" s="40"/>
      <c r="I266" s="40"/>
      <c r="J266" s="40"/>
      <c r="K266" s="42">
        <v>46171</v>
      </c>
      <c r="L266" s="42"/>
      <c r="M266" s="44"/>
      <c r="N266" s="40"/>
      <c r="O266" s="40"/>
      <c r="P266" s="40"/>
      <c r="Q266" s="42">
        <f>IF(K266="","",K266)</f>
        <v>46171</v>
      </c>
      <c r="R266" s="39" t="s">
        <v>285</v>
      </c>
      <c r="S266" s="39" t="s">
        <v>288</v>
      </c>
      <c r="T266" s="39" t="s">
        <v>289</v>
      </c>
      <c r="U266" s="39" t="s">
        <v>290</v>
      </c>
      <c r="V266" s="39">
        <v>77</v>
      </c>
      <c r="W266" s="39" t="s">
        <v>436</v>
      </c>
      <c r="X266" s="41">
        <v>46160</v>
      </c>
      <c r="Y266" s="41">
        <v>46171</v>
      </c>
      <c r="Z266" s="43">
        <v>101.376</v>
      </c>
      <c r="AA266" s="45">
        <f>IF(M266&lt;&gt;"",M266,Z266)</f>
        <v>101.376</v>
      </c>
      <c r="AB266" s="46" t="str">
        <f>IF(L266&lt;&gt;"","Realizado","Previsto")</f>
        <v>Previsto</v>
      </c>
      <c r="AC266" s="47">
        <v>0.33</v>
      </c>
      <c r="AD266" s="43">
        <v>307.2</v>
      </c>
      <c r="AE266" s="39">
        <v>384</v>
      </c>
      <c r="AF266" s="39" t="s">
        <v>291</v>
      </c>
      <c r="AG266" s="43">
        <v>0.8</v>
      </c>
      <c r="AH266" s="39" t="s">
        <v>292</v>
      </c>
      <c r="AI266" s="39" t="s">
        <v>73</v>
      </c>
      <c r="AJ266" s="48">
        <f>IF(Q266&lt;&gt;"",Q266,IF(K266&lt;&gt;"",K266,""))</f>
        <v>46171</v>
      </c>
      <c r="AK266" s="46" t="str">
        <f>IF(K266&lt;&gt;"","Sim","")</f>
        <v>Sim</v>
      </c>
      <c r="AL266" s="46" t="str">
        <f>IF(A266="","",TEXT(A266,"000000")&amp;"-"&amp;IF(C266="Entrada","CR","DB"))</f>
        <v>000265-DB</v>
      </c>
      <c r="AM266" s="46" t="str">
        <f>IF(A266="","",LEFT(IF(H266&lt;&gt;"",H266,G266)&amp;" | "&amp;G266&amp;" | "&amp;S266,60))</f>
        <v xml:space="preserve">Joelho 90 soldavel 25 mm, PVC marrom, água fria | Joelho 90 </v>
      </c>
    </row>
    <row r="267" spans="1:39" ht="43.2" x14ac:dyDescent="0.3">
      <c r="A267" s="39">
        <v>266</v>
      </c>
      <c r="B267" s="39" t="s">
        <v>2</v>
      </c>
      <c r="C267" s="39" t="s">
        <v>74</v>
      </c>
      <c r="D267" s="39" t="s">
        <v>285</v>
      </c>
      <c r="E267" s="39" t="s">
        <v>286</v>
      </c>
      <c r="F267" s="39" t="s">
        <v>132</v>
      </c>
      <c r="G267" s="39" t="s">
        <v>299</v>
      </c>
      <c r="H267" s="40"/>
      <c r="I267" s="40"/>
      <c r="J267" s="40"/>
      <c r="K267" s="42">
        <v>46171</v>
      </c>
      <c r="L267" s="42"/>
      <c r="M267" s="44"/>
      <c r="N267" s="40"/>
      <c r="O267" s="40"/>
      <c r="P267" s="40"/>
      <c r="Q267" s="42">
        <f>IF(K267="","",K267)</f>
        <v>46171</v>
      </c>
      <c r="R267" s="39" t="s">
        <v>285</v>
      </c>
      <c r="S267" s="39" t="s">
        <v>288</v>
      </c>
      <c r="T267" s="39" t="s">
        <v>289</v>
      </c>
      <c r="U267" s="39" t="s">
        <v>290</v>
      </c>
      <c r="V267" s="39">
        <v>78</v>
      </c>
      <c r="W267" s="39" t="s">
        <v>436</v>
      </c>
      <c r="X267" s="41">
        <v>46160</v>
      </c>
      <c r="Y267" s="41">
        <v>46171</v>
      </c>
      <c r="Z267" s="43">
        <v>112.3584</v>
      </c>
      <c r="AA267" s="45">
        <f>IF(M267&lt;&gt;"",M267,Z267)</f>
        <v>112.3584</v>
      </c>
      <c r="AB267" s="46" t="str">
        <f>IF(L267&lt;&gt;"","Realizado","Previsto")</f>
        <v>Previsto</v>
      </c>
      <c r="AC267" s="47">
        <v>0.33</v>
      </c>
      <c r="AD267" s="43">
        <v>340.48</v>
      </c>
      <c r="AE267" s="39">
        <v>128</v>
      </c>
      <c r="AF267" s="39" t="s">
        <v>291</v>
      </c>
      <c r="AG267" s="43">
        <v>2.66</v>
      </c>
      <c r="AH267" s="39" t="s">
        <v>292</v>
      </c>
      <c r="AI267" s="39" t="s">
        <v>73</v>
      </c>
      <c r="AJ267" s="48">
        <f>IF(Q267&lt;&gt;"",Q267,IF(K267&lt;&gt;"",K267,""))</f>
        <v>46171</v>
      </c>
      <c r="AK267" s="46" t="str">
        <f>IF(K267&lt;&gt;"","Sim","")</f>
        <v>Sim</v>
      </c>
      <c r="AL267" s="46" t="str">
        <f>IF(A267="","",TEXT(A267,"000000")&amp;"-"&amp;IF(C267="Entrada","CR","DB"))</f>
        <v>000266-DB</v>
      </c>
      <c r="AM267" s="46" t="str">
        <f>IF(A267="","",LEFT(IF(H267&lt;&gt;"",H267,G267)&amp;" | "&amp;G267&amp;" | "&amp;S267,60))</f>
        <v xml:space="preserve">Joelho 90 soldavel 32 mm, PVC marrom, água fria | Joelho 90 </v>
      </c>
    </row>
    <row r="268" spans="1:39" ht="43.2" x14ac:dyDescent="0.3">
      <c r="A268" s="39">
        <v>267</v>
      </c>
      <c r="B268" s="39" t="s">
        <v>2</v>
      </c>
      <c r="C268" s="39" t="s">
        <v>74</v>
      </c>
      <c r="D268" s="39" t="s">
        <v>285</v>
      </c>
      <c r="E268" s="39" t="s">
        <v>286</v>
      </c>
      <c r="F268" s="39" t="s">
        <v>132</v>
      </c>
      <c r="G268" s="39" t="s">
        <v>300</v>
      </c>
      <c r="H268" s="40"/>
      <c r="I268" s="40"/>
      <c r="J268" s="40"/>
      <c r="K268" s="42">
        <v>46171</v>
      </c>
      <c r="L268" s="42"/>
      <c r="M268" s="44"/>
      <c r="N268" s="40"/>
      <c r="O268" s="40"/>
      <c r="P268" s="40"/>
      <c r="Q268" s="42">
        <f>IF(K268="","",K268)</f>
        <v>46171</v>
      </c>
      <c r="R268" s="39" t="s">
        <v>285</v>
      </c>
      <c r="S268" s="39" t="s">
        <v>288</v>
      </c>
      <c r="T268" s="39" t="s">
        <v>289</v>
      </c>
      <c r="U268" s="39" t="s">
        <v>290</v>
      </c>
      <c r="V268" s="39">
        <v>83</v>
      </c>
      <c r="W268" s="39" t="s">
        <v>436</v>
      </c>
      <c r="X268" s="41">
        <v>46160</v>
      </c>
      <c r="Y268" s="41">
        <v>46171</v>
      </c>
      <c r="Z268" s="43">
        <v>135.16800000000001</v>
      </c>
      <c r="AA268" s="45">
        <f>IF(M268&lt;&gt;"",M268,Z268)</f>
        <v>135.16800000000001</v>
      </c>
      <c r="AB268" s="46" t="str">
        <f>IF(L268&lt;&gt;"","Realizado","Previsto")</f>
        <v>Previsto</v>
      </c>
      <c r="AC268" s="47">
        <v>0.33</v>
      </c>
      <c r="AD268" s="43">
        <v>409.6</v>
      </c>
      <c r="AE268" s="39">
        <v>128</v>
      </c>
      <c r="AF268" s="39" t="s">
        <v>291</v>
      </c>
      <c r="AG268" s="43">
        <v>3.2</v>
      </c>
      <c r="AH268" s="39" t="s">
        <v>292</v>
      </c>
      <c r="AI268" s="39" t="s">
        <v>73</v>
      </c>
      <c r="AJ268" s="48">
        <f>IF(Q268&lt;&gt;"",Q268,IF(K268&lt;&gt;"",K268,""))</f>
        <v>46171</v>
      </c>
      <c r="AK268" s="46" t="str">
        <f>IF(K268&lt;&gt;"","Sim","")</f>
        <v>Sim</v>
      </c>
      <c r="AL268" s="46" t="str">
        <f>IF(A268="","",TEXT(A268,"000000")&amp;"-"&amp;IF(C268="Entrada","CR","DB"))</f>
        <v>000267-DB</v>
      </c>
      <c r="AM268" s="46" t="str">
        <f>IF(A268="","",LEFT(IF(H268&lt;&gt;"",H268,G268)&amp;" | "&amp;G268&amp;" | "&amp;S268,60))</f>
        <v xml:space="preserve">LuvaPVC soldavél - 32 mm | LuvaPVC soldavél - 32 mm | Saída </v>
      </c>
    </row>
    <row r="269" spans="1:39" ht="43.2" x14ac:dyDescent="0.3">
      <c r="A269" s="39">
        <v>268</v>
      </c>
      <c r="B269" s="39" t="s">
        <v>2</v>
      </c>
      <c r="C269" s="39" t="s">
        <v>74</v>
      </c>
      <c r="D269" s="39" t="s">
        <v>285</v>
      </c>
      <c r="E269" s="39" t="s">
        <v>286</v>
      </c>
      <c r="F269" s="39" t="s">
        <v>132</v>
      </c>
      <c r="G269" s="39" t="s">
        <v>301</v>
      </c>
      <c r="H269" s="40"/>
      <c r="I269" s="40"/>
      <c r="J269" s="40"/>
      <c r="K269" s="42">
        <v>46171</v>
      </c>
      <c r="L269" s="42"/>
      <c r="M269" s="44"/>
      <c r="N269" s="40"/>
      <c r="O269" s="40"/>
      <c r="P269" s="40"/>
      <c r="Q269" s="42">
        <f>IF(K269="","",K269)</f>
        <v>46171</v>
      </c>
      <c r="R269" s="39" t="s">
        <v>285</v>
      </c>
      <c r="S269" s="39" t="s">
        <v>288</v>
      </c>
      <c r="T269" s="39" t="s">
        <v>289</v>
      </c>
      <c r="U269" s="39" t="s">
        <v>290</v>
      </c>
      <c r="V269" s="39">
        <v>80</v>
      </c>
      <c r="W269" s="39" t="s">
        <v>436</v>
      </c>
      <c r="X269" s="41">
        <v>46160</v>
      </c>
      <c r="Y269" s="41">
        <v>46171</v>
      </c>
      <c r="Z269" s="43">
        <v>485.76</v>
      </c>
      <c r="AA269" s="45">
        <f>IF(M269&lt;&gt;"",M269,Z269)</f>
        <v>485.76</v>
      </c>
      <c r="AB269" s="46" t="str">
        <f>IF(L269&lt;&gt;"","Realizado","Previsto")</f>
        <v>Previsto</v>
      </c>
      <c r="AC269" s="47">
        <v>0.33</v>
      </c>
      <c r="AD269" s="43">
        <v>1472</v>
      </c>
      <c r="AE269" s="39">
        <v>64</v>
      </c>
      <c r="AF269" s="39" t="s">
        <v>291</v>
      </c>
      <c r="AG269" s="43">
        <v>23</v>
      </c>
      <c r="AH269" s="39" t="s">
        <v>292</v>
      </c>
      <c r="AI269" s="39" t="s">
        <v>73</v>
      </c>
      <c r="AJ269" s="48">
        <f>IF(Q269&lt;&gt;"",Q269,IF(K269&lt;&gt;"",K269,""))</f>
        <v>46171</v>
      </c>
      <c r="AK269" s="46" t="str">
        <f>IF(K269&lt;&gt;"","Sim","")</f>
        <v>Sim</v>
      </c>
      <c r="AL269" s="46" t="str">
        <f>IF(A269="","",TEXT(A269,"000000")&amp;"-"&amp;IF(C269="Entrada","CR","DB"))</f>
        <v>000268-DB</v>
      </c>
      <c r="AM269" s="46" t="str">
        <f>IF(A269="","",LEFT(IF(H269&lt;&gt;"",H269,G269)&amp;" | "&amp;G269&amp;" | "&amp;S269,60))</f>
        <v>Registro PVC Esfera Borboleta Soldável 25MM | Registro PVC E</v>
      </c>
    </row>
    <row r="270" spans="1:39" ht="43.2" x14ac:dyDescent="0.3">
      <c r="A270" s="39">
        <v>269</v>
      </c>
      <c r="B270" s="39" t="s">
        <v>2</v>
      </c>
      <c r="C270" s="39" t="s">
        <v>74</v>
      </c>
      <c r="D270" s="39" t="s">
        <v>285</v>
      </c>
      <c r="E270" s="39" t="s">
        <v>286</v>
      </c>
      <c r="F270" s="39" t="s">
        <v>132</v>
      </c>
      <c r="G270" s="39" t="s">
        <v>302</v>
      </c>
      <c r="H270" s="40"/>
      <c r="I270" s="40"/>
      <c r="J270" s="40"/>
      <c r="K270" s="42">
        <v>46171</v>
      </c>
      <c r="L270" s="42"/>
      <c r="M270" s="44"/>
      <c r="N270" s="40"/>
      <c r="O270" s="40"/>
      <c r="P270" s="40"/>
      <c r="Q270" s="42">
        <f>IF(K270="","",K270)</f>
        <v>46171</v>
      </c>
      <c r="R270" s="39" t="s">
        <v>285</v>
      </c>
      <c r="S270" s="39" t="s">
        <v>288</v>
      </c>
      <c r="T270" s="39" t="s">
        <v>289</v>
      </c>
      <c r="U270" s="39" t="s">
        <v>290</v>
      </c>
      <c r="V270" s="39">
        <v>81</v>
      </c>
      <c r="W270" s="39" t="s">
        <v>436</v>
      </c>
      <c r="X270" s="41">
        <v>46160</v>
      </c>
      <c r="Y270" s="41">
        <v>46171</v>
      </c>
      <c r="Z270" s="43">
        <v>633.6</v>
      </c>
      <c r="AA270" s="45">
        <f>IF(M270&lt;&gt;"",M270,Z270)</f>
        <v>633.6</v>
      </c>
      <c r="AB270" s="46" t="str">
        <f>IF(L270&lt;&gt;"","Realizado","Previsto")</f>
        <v>Previsto</v>
      </c>
      <c r="AC270" s="47">
        <v>0.33</v>
      </c>
      <c r="AD270" s="43">
        <v>1920</v>
      </c>
      <c r="AE270" s="39">
        <v>64</v>
      </c>
      <c r="AF270" s="39" t="s">
        <v>291</v>
      </c>
      <c r="AG270" s="43">
        <v>30</v>
      </c>
      <c r="AH270" s="39" t="s">
        <v>292</v>
      </c>
      <c r="AI270" s="39" t="s">
        <v>73</v>
      </c>
      <c r="AJ270" s="48">
        <f>IF(Q270&lt;&gt;"",Q270,IF(K270&lt;&gt;"",K270,""))</f>
        <v>46171</v>
      </c>
      <c r="AK270" s="46" t="str">
        <f>IF(K270&lt;&gt;"","Sim","")</f>
        <v>Sim</v>
      </c>
      <c r="AL270" s="46" t="str">
        <f>IF(A270="","",TEXT(A270,"000000")&amp;"-"&amp;IF(C270="Entrada","CR","DB"))</f>
        <v>000269-DB</v>
      </c>
      <c r="AM270" s="46" t="str">
        <f>IF(A270="","",LEFT(IF(H270&lt;&gt;"",H270,G270)&amp;" | "&amp;G270&amp;" | "&amp;S270,60))</f>
        <v>Registro PVC Esfera Borboleta Soldável 32MM | Registro PVC E</v>
      </c>
    </row>
    <row r="271" spans="1:39" ht="43.2" x14ac:dyDescent="0.3">
      <c r="A271" s="39">
        <v>270</v>
      </c>
      <c r="B271" s="39" t="s">
        <v>2</v>
      </c>
      <c r="C271" s="39" t="s">
        <v>74</v>
      </c>
      <c r="D271" s="39" t="s">
        <v>285</v>
      </c>
      <c r="E271" s="39" t="s">
        <v>286</v>
      </c>
      <c r="F271" s="39" t="s">
        <v>132</v>
      </c>
      <c r="G271" s="39" t="s">
        <v>303</v>
      </c>
      <c r="H271" s="40"/>
      <c r="I271" s="40"/>
      <c r="J271" s="40"/>
      <c r="K271" s="42">
        <v>46171</v>
      </c>
      <c r="L271" s="42"/>
      <c r="M271" s="44"/>
      <c r="N271" s="40"/>
      <c r="O271" s="40"/>
      <c r="P271" s="40"/>
      <c r="Q271" s="42">
        <f>IF(K271="","",K271)</f>
        <v>46171</v>
      </c>
      <c r="R271" s="39" t="s">
        <v>285</v>
      </c>
      <c r="S271" s="39" t="s">
        <v>288</v>
      </c>
      <c r="T271" s="39" t="s">
        <v>289</v>
      </c>
      <c r="U271" s="39" t="s">
        <v>290</v>
      </c>
      <c r="V271" s="39">
        <v>84</v>
      </c>
      <c r="W271" s="39" t="s">
        <v>436</v>
      </c>
      <c r="X271" s="41">
        <v>46160</v>
      </c>
      <c r="Y271" s="41">
        <v>46171</v>
      </c>
      <c r="Z271" s="43">
        <v>174.4512</v>
      </c>
      <c r="AA271" s="45">
        <f>IF(M271&lt;&gt;"",M271,Z271)</f>
        <v>174.4512</v>
      </c>
      <c r="AB271" s="46" t="str">
        <f>IF(L271&lt;&gt;"","Realizado","Previsto")</f>
        <v>Previsto</v>
      </c>
      <c r="AC271" s="47">
        <v>0.33</v>
      </c>
      <c r="AD271" s="43">
        <v>528.64</v>
      </c>
      <c r="AE271" s="39">
        <v>128</v>
      </c>
      <c r="AF271" s="39" t="s">
        <v>291</v>
      </c>
      <c r="AG271" s="43">
        <v>4.13</v>
      </c>
      <c r="AH271" s="39" t="s">
        <v>292</v>
      </c>
      <c r="AI271" s="39" t="s">
        <v>73</v>
      </c>
      <c r="AJ271" s="48">
        <f>IF(Q271&lt;&gt;"",Q271,IF(K271&lt;&gt;"",K271,""))</f>
        <v>46171</v>
      </c>
      <c r="AK271" s="46" t="str">
        <f>IF(K271&lt;&gt;"","Sim","")</f>
        <v>Sim</v>
      </c>
      <c r="AL271" s="46" t="str">
        <f>IF(A271="","",TEXT(A271,"000000")&amp;"-"&amp;IF(C271="Entrada","CR","DB"))</f>
        <v>000270-DB</v>
      </c>
      <c r="AM271" s="46" t="str">
        <f>IF(A271="","",LEFT(IF(H271&lt;&gt;"",H271,G271)&amp;" | "&amp;G271&amp;" | "&amp;S271,60))</f>
        <v>TE PVC Soldável 32 MM | TE PVC Soldável 32 MM | Saída | CAIX</v>
      </c>
    </row>
    <row r="272" spans="1:39" ht="43.2" x14ac:dyDescent="0.3">
      <c r="A272" s="39">
        <v>271</v>
      </c>
      <c r="B272" s="39" t="s">
        <v>2</v>
      </c>
      <c r="C272" s="39" t="s">
        <v>74</v>
      </c>
      <c r="D272" s="39" t="s">
        <v>285</v>
      </c>
      <c r="E272" s="39" t="s">
        <v>286</v>
      </c>
      <c r="F272" s="39" t="s">
        <v>132</v>
      </c>
      <c r="G272" s="39" t="s">
        <v>304</v>
      </c>
      <c r="H272" s="40"/>
      <c r="I272" s="40"/>
      <c r="J272" s="40"/>
      <c r="K272" s="42">
        <v>46171</v>
      </c>
      <c r="L272" s="42"/>
      <c r="M272" s="44"/>
      <c r="N272" s="40"/>
      <c r="O272" s="40"/>
      <c r="P272" s="40"/>
      <c r="Q272" s="42">
        <f>IF(K272="","",K272)</f>
        <v>46171</v>
      </c>
      <c r="R272" s="39" t="s">
        <v>285</v>
      </c>
      <c r="S272" s="39" t="s">
        <v>288</v>
      </c>
      <c r="T272" s="39" t="s">
        <v>289</v>
      </c>
      <c r="U272" s="39" t="s">
        <v>290</v>
      </c>
      <c r="V272" s="39">
        <v>88</v>
      </c>
      <c r="W272" s="39" t="s">
        <v>436</v>
      </c>
      <c r="X272" s="41">
        <v>46160</v>
      </c>
      <c r="Y272" s="41">
        <v>46171</v>
      </c>
      <c r="Z272" s="43">
        <v>1592.4480000000001</v>
      </c>
      <c r="AA272" s="45">
        <f>IF(M272&lt;&gt;"",M272,Z272)</f>
        <v>1592.4480000000001</v>
      </c>
      <c r="AB272" s="46" t="str">
        <f>IF(L272&lt;&gt;"","Realizado","Previsto")</f>
        <v>Previsto</v>
      </c>
      <c r="AC272" s="47">
        <v>0.33</v>
      </c>
      <c r="AD272" s="43">
        <v>4825.6000000000004</v>
      </c>
      <c r="AE272" s="39">
        <v>64</v>
      </c>
      <c r="AF272" s="39" t="s">
        <v>87</v>
      </c>
      <c r="AG272" s="43">
        <v>75.400000000000006</v>
      </c>
      <c r="AH272" s="39" t="s">
        <v>292</v>
      </c>
      <c r="AI272" s="39" t="s">
        <v>73</v>
      </c>
      <c r="AJ272" s="48">
        <f>IF(Q272&lt;&gt;"",Q272,IF(K272&lt;&gt;"",K272,""))</f>
        <v>46171</v>
      </c>
      <c r="AK272" s="46" t="str">
        <f>IF(K272&lt;&gt;"","Sim","")</f>
        <v>Sim</v>
      </c>
      <c r="AL272" s="46" t="str">
        <f>IF(A272="","",TEXT(A272,"000000")&amp;"-"&amp;IF(C272="Entrada","CR","DB"))</f>
        <v>000271-DB</v>
      </c>
      <c r="AM272" s="46" t="str">
        <f>IF(A272="","",LEFT(IF(H272&lt;&gt;"",H272,G272)&amp;" | "&amp;G272&amp;" | "&amp;S272,60))</f>
        <v xml:space="preserve">Torneira Boia PVC Com Balão Plástico Para Caixa D'água 3/4" </v>
      </c>
    </row>
    <row r="273" spans="1:39" ht="43.2" x14ac:dyDescent="0.3">
      <c r="A273" s="39">
        <v>272</v>
      </c>
      <c r="B273" s="39" t="s">
        <v>2</v>
      </c>
      <c r="C273" s="39" t="s">
        <v>74</v>
      </c>
      <c r="D273" s="39" t="s">
        <v>285</v>
      </c>
      <c r="E273" s="39" t="s">
        <v>286</v>
      </c>
      <c r="F273" s="39" t="s">
        <v>132</v>
      </c>
      <c r="G273" s="39" t="s">
        <v>152</v>
      </c>
      <c r="H273" s="40"/>
      <c r="I273" s="40"/>
      <c r="J273" s="40"/>
      <c r="K273" s="42">
        <v>46171</v>
      </c>
      <c r="L273" s="42"/>
      <c r="M273" s="44"/>
      <c r="N273" s="40"/>
      <c r="O273" s="40"/>
      <c r="P273" s="40"/>
      <c r="Q273" s="42">
        <f>IF(K273="","",K273)</f>
        <v>46171</v>
      </c>
      <c r="R273" s="39" t="s">
        <v>285</v>
      </c>
      <c r="S273" s="39" t="s">
        <v>288</v>
      </c>
      <c r="T273" s="39" t="s">
        <v>289</v>
      </c>
      <c r="U273" s="39" t="s">
        <v>290</v>
      </c>
      <c r="V273" s="39">
        <v>89</v>
      </c>
      <c r="W273" s="39" t="s">
        <v>436</v>
      </c>
      <c r="X273" s="41">
        <v>46160</v>
      </c>
      <c r="Y273" s="41">
        <v>46171</v>
      </c>
      <c r="Z273" s="43">
        <v>853.33248000000015</v>
      </c>
      <c r="AA273" s="45">
        <f>IF(M273&lt;&gt;"",M273,Z273)</f>
        <v>853.33248000000015</v>
      </c>
      <c r="AB273" s="46" t="str">
        <f>IF(L273&lt;&gt;"","Realizado","Previsto")</f>
        <v>Previsto</v>
      </c>
      <c r="AC273" s="47">
        <v>0.33</v>
      </c>
      <c r="AD273" s="43">
        <v>2585.8560000000002</v>
      </c>
      <c r="AE273" s="39">
        <v>94.720000000000013</v>
      </c>
      <c r="AF273" s="39" t="s">
        <v>153</v>
      </c>
      <c r="AG273" s="43">
        <v>27.3</v>
      </c>
      <c r="AH273" s="39" t="s">
        <v>292</v>
      </c>
      <c r="AI273" s="39" t="s">
        <v>73</v>
      </c>
      <c r="AJ273" s="48">
        <f>IF(Q273&lt;&gt;"",Q273,IF(K273&lt;&gt;"",K273,""))</f>
        <v>46171</v>
      </c>
      <c r="AK273" s="46" t="str">
        <f>IF(K273&lt;&gt;"","Sim","")</f>
        <v>Sim</v>
      </c>
      <c r="AL273" s="46" t="str">
        <f>IF(A273="","",TEXT(A273,"000000")&amp;"-"&amp;IF(C273="Entrada","CR","DB"))</f>
        <v>000272-DB</v>
      </c>
      <c r="AM273" s="46" t="str">
        <f>IF(A273="","",LEFT(IF(H273&lt;&gt;"",H273,G273)&amp;" | "&amp;G273&amp;" | "&amp;S273,60))</f>
        <v>Tubo DN 25 mm, PVC Rígido Soldável Marrom | Tubo DN 25 mm, P</v>
      </c>
    </row>
    <row r="274" spans="1:39" ht="43.2" x14ac:dyDescent="0.3">
      <c r="A274" s="39">
        <v>273</v>
      </c>
      <c r="B274" s="39" t="s">
        <v>2</v>
      </c>
      <c r="C274" s="39" t="s">
        <v>74</v>
      </c>
      <c r="D274" s="39" t="s">
        <v>285</v>
      </c>
      <c r="E274" s="39" t="s">
        <v>286</v>
      </c>
      <c r="F274" s="39" t="s">
        <v>132</v>
      </c>
      <c r="G274" s="39" t="s">
        <v>305</v>
      </c>
      <c r="H274" s="40"/>
      <c r="I274" s="40"/>
      <c r="J274" s="40"/>
      <c r="K274" s="42">
        <v>46171</v>
      </c>
      <c r="L274" s="42"/>
      <c r="M274" s="44"/>
      <c r="N274" s="40"/>
      <c r="O274" s="40"/>
      <c r="P274" s="40"/>
      <c r="Q274" s="42">
        <f>IF(K274="","",K274)</f>
        <v>46171</v>
      </c>
      <c r="R274" s="39" t="s">
        <v>285</v>
      </c>
      <c r="S274" s="39" t="s">
        <v>288</v>
      </c>
      <c r="T274" s="39" t="s">
        <v>289</v>
      </c>
      <c r="U274" s="39" t="s">
        <v>290</v>
      </c>
      <c r="V274" s="39">
        <v>90</v>
      </c>
      <c r="W274" s="39" t="s">
        <v>436</v>
      </c>
      <c r="X274" s="41">
        <v>46160</v>
      </c>
      <c r="Y274" s="41">
        <v>46171</v>
      </c>
      <c r="Z274" s="43">
        <v>1866.5856000000001</v>
      </c>
      <c r="AA274" s="45">
        <f>IF(M274&lt;&gt;"",M274,Z274)</f>
        <v>1866.5856000000001</v>
      </c>
      <c r="AB274" s="46" t="str">
        <f>IF(L274&lt;&gt;"","Realizado","Previsto")</f>
        <v>Previsto</v>
      </c>
      <c r="AC274" s="47">
        <v>0.33</v>
      </c>
      <c r="AD274" s="43">
        <v>5656.32</v>
      </c>
      <c r="AE274" s="39">
        <v>96</v>
      </c>
      <c r="AF274" s="39" t="s">
        <v>153</v>
      </c>
      <c r="AG274" s="43">
        <v>58.92</v>
      </c>
      <c r="AH274" s="39" t="s">
        <v>292</v>
      </c>
      <c r="AI274" s="39" t="s">
        <v>73</v>
      </c>
      <c r="AJ274" s="48">
        <f>IF(Q274&lt;&gt;"",Q274,IF(K274&lt;&gt;"",K274,""))</f>
        <v>46171</v>
      </c>
      <c r="AK274" s="46" t="str">
        <f>IF(K274&lt;&gt;"","Sim","")</f>
        <v>Sim</v>
      </c>
      <c r="AL274" s="46" t="str">
        <f>IF(A274="","",TEXT(A274,"000000")&amp;"-"&amp;IF(C274="Entrada","CR","DB"))</f>
        <v>000273-DB</v>
      </c>
      <c r="AM274" s="46" t="str">
        <f>IF(A274="","",LEFT(IF(H274&lt;&gt;"",H274,G274)&amp;" | "&amp;G274&amp;" | "&amp;S274,60))</f>
        <v>Tubo DN 32 mm, PVC Rígido Soldável Marrom | Tubo DN 32 mm, P</v>
      </c>
    </row>
    <row r="275" spans="1:39" ht="43.2" x14ac:dyDescent="0.3">
      <c r="A275" s="39">
        <v>274</v>
      </c>
      <c r="B275" s="39" t="s">
        <v>2</v>
      </c>
      <c r="C275" s="39" t="s">
        <v>74</v>
      </c>
      <c r="D275" s="39" t="s">
        <v>217</v>
      </c>
      <c r="E275" s="39" t="s">
        <v>217</v>
      </c>
      <c r="F275" s="39" t="s">
        <v>109</v>
      </c>
      <c r="G275" s="39" t="s">
        <v>218</v>
      </c>
      <c r="H275" s="40"/>
      <c r="I275" s="40"/>
      <c r="J275" s="40"/>
      <c r="K275" s="42">
        <v>46171</v>
      </c>
      <c r="L275" s="42"/>
      <c r="M275" s="44"/>
      <c r="N275" s="40"/>
      <c r="O275" s="40"/>
      <c r="P275" s="40"/>
      <c r="Q275" s="42">
        <f>IF(K275="","",K275)</f>
        <v>46171</v>
      </c>
      <c r="R275" s="39" t="s">
        <v>217</v>
      </c>
      <c r="S275" s="39" t="s">
        <v>219</v>
      </c>
      <c r="T275" s="39" t="s">
        <v>220</v>
      </c>
      <c r="U275" s="39" t="s">
        <v>215</v>
      </c>
      <c r="V275" s="39">
        <v>101</v>
      </c>
      <c r="W275" s="39" t="s">
        <v>436</v>
      </c>
      <c r="X275" s="41">
        <v>46160</v>
      </c>
      <c r="Y275" s="41">
        <v>46171</v>
      </c>
      <c r="Z275" s="43">
        <v>11676.8</v>
      </c>
      <c r="AA275" s="45">
        <f>IF(M275&lt;&gt;"",M275,Z275)</f>
        <v>11676.8</v>
      </c>
      <c r="AB275" s="46" t="str">
        <f>IF(L275&lt;&gt;"","Realizado","Previsto")</f>
        <v>Previsto</v>
      </c>
      <c r="AC275" s="47">
        <v>0.2225</v>
      </c>
      <c r="AD275" s="43">
        <v>52480</v>
      </c>
      <c r="AE275" s="39">
        <v>64</v>
      </c>
      <c r="AF275" s="39" t="s">
        <v>113</v>
      </c>
      <c r="AG275" s="43">
        <v>820</v>
      </c>
      <c r="AH275" s="39" t="s">
        <v>221</v>
      </c>
      <c r="AI275" s="39" t="s">
        <v>73</v>
      </c>
      <c r="AJ275" s="48">
        <f>IF(Q275&lt;&gt;"",Q275,IF(K275&lt;&gt;"",K275,""))</f>
        <v>46171</v>
      </c>
      <c r="AK275" s="46" t="str">
        <f>IF(K275&lt;&gt;"","Sim","")</f>
        <v>Sim</v>
      </c>
      <c r="AL275" s="46" t="str">
        <f>IF(A275="","",TEXT(A275,"000000")&amp;"-"&amp;IF(C275="Entrada","CR","DB"))</f>
        <v>000274-DB</v>
      </c>
      <c r="AM275" s="46" t="str">
        <f>IF(A275="","",LEFT(IF(H275&lt;&gt;"",H275,G275)&amp;" | "&amp;G275&amp;" | "&amp;S275,60))</f>
        <v>MO Terceirizada Caixas de inspecao e gordura | MO Terceiriza</v>
      </c>
    </row>
    <row r="276" spans="1:39" ht="43.2" x14ac:dyDescent="0.3">
      <c r="A276" s="39">
        <v>275</v>
      </c>
      <c r="B276" s="39" t="s">
        <v>2</v>
      </c>
      <c r="C276" s="39" t="s">
        <v>74</v>
      </c>
      <c r="D276" s="39" t="s">
        <v>437</v>
      </c>
      <c r="E276" s="39" t="s">
        <v>437</v>
      </c>
      <c r="F276" s="39" t="s">
        <v>178</v>
      </c>
      <c r="G276" s="39" t="s">
        <v>438</v>
      </c>
      <c r="H276" s="40"/>
      <c r="I276" s="40"/>
      <c r="J276" s="40"/>
      <c r="K276" s="42">
        <v>46171</v>
      </c>
      <c r="L276" s="42"/>
      <c r="M276" s="44"/>
      <c r="N276" s="40"/>
      <c r="O276" s="40"/>
      <c r="P276" s="40"/>
      <c r="Q276" s="42">
        <f>IF(K276="","",K276)</f>
        <v>46171</v>
      </c>
      <c r="R276" s="39" t="s">
        <v>437</v>
      </c>
      <c r="S276" s="39" t="s">
        <v>439</v>
      </c>
      <c r="T276" s="39" t="s">
        <v>440</v>
      </c>
      <c r="U276" s="39" t="s">
        <v>309</v>
      </c>
      <c r="V276" s="39">
        <v>241</v>
      </c>
      <c r="W276" s="39" t="s">
        <v>436</v>
      </c>
      <c r="X276" s="41">
        <v>46160</v>
      </c>
      <c r="Y276" s="41">
        <v>46171</v>
      </c>
      <c r="Z276" s="43">
        <v>6240</v>
      </c>
      <c r="AA276" s="45">
        <f>IF(M276&lt;&gt;"",M276,Z276)</f>
        <v>6240</v>
      </c>
      <c r="AB276" s="46" t="str">
        <f>IF(L276&lt;&gt;"","Realizado","Previsto")</f>
        <v>Previsto</v>
      </c>
      <c r="AC276" s="47">
        <v>0.5</v>
      </c>
      <c r="AD276" s="43">
        <v>12480</v>
      </c>
      <c r="AE276" s="39">
        <v>96</v>
      </c>
      <c r="AF276" s="39" t="s">
        <v>182</v>
      </c>
      <c r="AG276" s="43">
        <v>130</v>
      </c>
      <c r="AH276" s="39" t="s">
        <v>441</v>
      </c>
      <c r="AI276" s="39" t="s">
        <v>73</v>
      </c>
      <c r="AJ276" s="48">
        <f>IF(Q276&lt;&gt;"",Q276,IF(K276&lt;&gt;"",K276,""))</f>
        <v>46171</v>
      </c>
      <c r="AK276" s="46" t="str">
        <f>IF(K276&lt;&gt;"","Sim","")</f>
        <v>Sim</v>
      </c>
      <c r="AL276" s="46" t="str">
        <f>IF(A276="","",TEXT(A276,"000000")&amp;"-"&amp;IF(C276="Entrada","CR","DB"))</f>
        <v>000275-DB</v>
      </c>
      <c r="AM276" s="46" t="str">
        <f>IF(A276="","",LEFT(IF(H276&lt;&gt;"",H276,G276)&amp;" | "&amp;G276&amp;" | "&amp;S276,60))</f>
        <v>Brita 01 para espalhamento | Brita 01 para espalhamento | Sa</v>
      </c>
    </row>
    <row r="277" spans="1:39" ht="43.2" x14ac:dyDescent="0.3">
      <c r="A277" s="39">
        <v>276</v>
      </c>
      <c r="B277" s="39" t="s">
        <v>2</v>
      </c>
      <c r="C277" s="39" t="s">
        <v>74</v>
      </c>
      <c r="D277" s="39" t="s">
        <v>437</v>
      </c>
      <c r="E277" s="39" t="s">
        <v>437</v>
      </c>
      <c r="F277" s="39" t="s">
        <v>109</v>
      </c>
      <c r="G277" s="39" t="s">
        <v>442</v>
      </c>
      <c r="H277" s="40"/>
      <c r="I277" s="40"/>
      <c r="J277" s="40"/>
      <c r="K277" s="42">
        <v>46171</v>
      </c>
      <c r="L277" s="42"/>
      <c r="M277" s="44"/>
      <c r="N277" s="40"/>
      <c r="O277" s="40"/>
      <c r="P277" s="40"/>
      <c r="Q277" s="42">
        <f>IF(K277="","",K277)</f>
        <v>46171</v>
      </c>
      <c r="R277" s="39" t="s">
        <v>437</v>
      </c>
      <c r="S277" s="39" t="s">
        <v>439</v>
      </c>
      <c r="T277" s="39" t="s">
        <v>443</v>
      </c>
      <c r="U277" s="39" t="s">
        <v>215</v>
      </c>
      <c r="V277" s="39">
        <v>242</v>
      </c>
      <c r="W277" s="39" t="s">
        <v>436</v>
      </c>
      <c r="X277" s="41">
        <v>46160</v>
      </c>
      <c r="Y277" s="41">
        <v>46171</v>
      </c>
      <c r="Z277" s="43">
        <v>2998.4</v>
      </c>
      <c r="AA277" s="45">
        <f>IF(M277&lt;&gt;"",M277,Z277)</f>
        <v>2998.4</v>
      </c>
      <c r="AB277" s="46" t="str">
        <f>IF(L277&lt;&gt;"","Realizado","Previsto")</f>
        <v>Previsto</v>
      </c>
      <c r="AC277" s="47">
        <v>9.3700000000000006E-2</v>
      </c>
      <c r="AD277" s="43">
        <v>32000</v>
      </c>
      <c r="AE277" s="39">
        <v>64</v>
      </c>
      <c r="AF277" s="39" t="s">
        <v>113</v>
      </c>
      <c r="AG277" s="43">
        <v>500</v>
      </c>
      <c r="AH277" s="39" t="s">
        <v>444</v>
      </c>
      <c r="AI277" s="39" t="s">
        <v>73</v>
      </c>
      <c r="AJ277" s="48">
        <f>IF(Q277&lt;&gt;"",Q277,IF(K277&lt;&gt;"",K277,""))</f>
        <v>46171</v>
      </c>
      <c r="AK277" s="46" t="str">
        <f>IF(K277&lt;&gt;"","Sim","")</f>
        <v>Sim</v>
      </c>
      <c r="AL277" s="46" t="str">
        <f>IF(A277="","",TEXT(A277,"000000")&amp;"-"&amp;IF(C277="Entrada","CR","DB"))</f>
        <v>000276-DB</v>
      </c>
      <c r="AM277" s="46" t="str">
        <f>IF(A277="","",LEFT(IF(H277&lt;&gt;"",H277,G277)&amp;" | "&amp;G277&amp;" | "&amp;S277,60))</f>
        <v>Mao de obra calçada acesso | Mao de obra calçada acesso | Sa</v>
      </c>
    </row>
    <row r="278" spans="1:39" ht="43.2" x14ac:dyDescent="0.3">
      <c r="A278" s="39">
        <v>277</v>
      </c>
      <c r="B278" s="39" t="s">
        <v>2</v>
      </c>
      <c r="C278" s="39" t="s">
        <v>74</v>
      </c>
      <c r="D278" s="39" t="s">
        <v>437</v>
      </c>
      <c r="E278" s="39" t="s">
        <v>437</v>
      </c>
      <c r="F278" s="39" t="s">
        <v>167</v>
      </c>
      <c r="G278" s="39" t="s">
        <v>445</v>
      </c>
      <c r="H278" s="40"/>
      <c r="I278" s="40"/>
      <c r="J278" s="40"/>
      <c r="K278" s="42">
        <v>46171</v>
      </c>
      <c r="L278" s="42"/>
      <c r="M278" s="44"/>
      <c r="N278" s="40"/>
      <c r="O278" s="40"/>
      <c r="P278" s="40"/>
      <c r="Q278" s="42">
        <f>IF(K278="","",K278)</f>
        <v>46171</v>
      </c>
      <c r="R278" s="39" t="s">
        <v>437</v>
      </c>
      <c r="S278" s="39" t="s">
        <v>439</v>
      </c>
      <c r="T278" s="39" t="s">
        <v>446</v>
      </c>
      <c r="U278" s="39" t="s">
        <v>309</v>
      </c>
      <c r="V278" s="39">
        <v>239</v>
      </c>
      <c r="W278" s="39" t="s">
        <v>436</v>
      </c>
      <c r="X278" s="41">
        <v>46160</v>
      </c>
      <c r="Y278" s="41">
        <v>46171</v>
      </c>
      <c r="Z278" s="43">
        <v>640</v>
      </c>
      <c r="AA278" s="45">
        <f>IF(M278&lt;&gt;"",M278,Z278)</f>
        <v>640</v>
      </c>
      <c r="AB278" s="46" t="str">
        <f>IF(L278&lt;&gt;"","Realizado","Previsto")</f>
        <v>Previsto</v>
      </c>
      <c r="AC278" s="47">
        <v>0.5</v>
      </c>
      <c r="AD278" s="43">
        <v>1280</v>
      </c>
      <c r="AE278" s="39">
        <v>64</v>
      </c>
      <c r="AF278" s="39" t="s">
        <v>149</v>
      </c>
      <c r="AG278" s="43">
        <v>20</v>
      </c>
      <c r="AH278" s="39" t="s">
        <v>447</v>
      </c>
      <c r="AI278" s="39" t="s">
        <v>73</v>
      </c>
      <c r="AJ278" s="48">
        <f>IF(Q278&lt;&gt;"",Q278,IF(K278&lt;&gt;"",K278,""))</f>
        <v>46171</v>
      </c>
      <c r="AK278" s="46" t="str">
        <f>IF(K278&lt;&gt;"","Sim","")</f>
        <v>Sim</v>
      </c>
      <c r="AL278" s="46" t="str">
        <f>IF(A278="","",TEXT(A278,"000000")&amp;"-"&amp;IF(C278="Entrada","CR","DB"))</f>
        <v>000277-DB</v>
      </c>
      <c r="AM278" s="46" t="str">
        <f>IF(A278="","",LEFT(IF(H278&lt;&gt;"",H278,G278)&amp;" | "&amp;G278&amp;" | "&amp;S278,60))</f>
        <v xml:space="preserve">Prego 17 x 27 cabeça simples | Prego 17 x 27 cabeça simples </v>
      </c>
    </row>
    <row r="279" spans="1:39" ht="43.2" x14ac:dyDescent="0.3">
      <c r="A279" s="39">
        <v>278</v>
      </c>
      <c r="B279" s="39" t="s">
        <v>2</v>
      </c>
      <c r="C279" s="39" t="s">
        <v>74</v>
      </c>
      <c r="D279" s="39" t="s">
        <v>437</v>
      </c>
      <c r="E279" s="39" t="s">
        <v>437</v>
      </c>
      <c r="F279" s="39" t="s">
        <v>115</v>
      </c>
      <c r="G279" s="39" t="s">
        <v>448</v>
      </c>
      <c r="H279" s="40"/>
      <c r="I279" s="40"/>
      <c r="J279" s="40"/>
      <c r="K279" s="42">
        <v>46171</v>
      </c>
      <c r="L279" s="42"/>
      <c r="M279" s="44"/>
      <c r="N279" s="40"/>
      <c r="O279" s="40"/>
      <c r="P279" s="40"/>
      <c r="Q279" s="42">
        <f>IF(K279="","",K279)</f>
        <v>46171</v>
      </c>
      <c r="R279" s="39" t="s">
        <v>437</v>
      </c>
      <c r="S279" s="39" t="s">
        <v>439</v>
      </c>
      <c r="T279" s="39" t="s">
        <v>449</v>
      </c>
      <c r="U279" s="39" t="s">
        <v>309</v>
      </c>
      <c r="V279" s="39">
        <v>237</v>
      </c>
      <c r="W279" s="39" t="s">
        <v>436</v>
      </c>
      <c r="X279" s="41">
        <v>46160</v>
      </c>
      <c r="Y279" s="41">
        <v>46171</v>
      </c>
      <c r="Z279" s="43">
        <v>1292.1600000000001</v>
      </c>
      <c r="AA279" s="45">
        <f>IF(M279&lt;&gt;"",M279,Z279)</f>
        <v>1292.1600000000001</v>
      </c>
      <c r="AB279" s="46" t="str">
        <f>IF(L279&lt;&gt;"","Realizado","Previsto")</f>
        <v>Previsto</v>
      </c>
      <c r="AC279" s="47">
        <v>0.5</v>
      </c>
      <c r="AD279" s="43">
        <v>2584.3200000000002</v>
      </c>
      <c r="AE279" s="39">
        <v>128</v>
      </c>
      <c r="AF279" s="39" t="s">
        <v>87</v>
      </c>
      <c r="AG279" s="43">
        <v>20.190000000000001</v>
      </c>
      <c r="AH279" s="39" t="s">
        <v>450</v>
      </c>
      <c r="AI279" s="39" t="s">
        <v>73</v>
      </c>
      <c r="AJ279" s="48">
        <f>IF(Q279&lt;&gt;"",Q279,IF(K279&lt;&gt;"",K279,""))</f>
        <v>46171</v>
      </c>
      <c r="AK279" s="46" t="str">
        <f>IF(K279&lt;&gt;"","Sim","")</f>
        <v>Sim</v>
      </c>
      <c r="AL279" s="46" t="str">
        <f>IF(A279="","",TEXT(A279,"000000")&amp;"-"&amp;IF(C279="Entrada","CR","DB"))</f>
        <v>000278-DB</v>
      </c>
      <c r="AM279" s="46" t="str">
        <f>IF(A279="","",LEFT(IF(H279&lt;&gt;"",H279,G279)&amp;" | "&amp;G279&amp;" | "&amp;S279,60))</f>
        <v>Sarrafo 2,5x7,5x600cm em pinus | Sarrafo 2,5x7,5x600cm em pi</v>
      </c>
    </row>
    <row r="280" spans="1:39" ht="43.2" x14ac:dyDescent="0.3">
      <c r="A280" s="39">
        <v>279</v>
      </c>
      <c r="B280" s="39" t="s">
        <v>2</v>
      </c>
      <c r="C280" s="39" t="s">
        <v>74</v>
      </c>
      <c r="D280" s="39" t="s">
        <v>437</v>
      </c>
      <c r="E280" s="39" t="s">
        <v>437</v>
      </c>
      <c r="F280" s="39" t="s">
        <v>167</v>
      </c>
      <c r="G280" s="39" t="s">
        <v>451</v>
      </c>
      <c r="H280" s="40"/>
      <c r="I280" s="40"/>
      <c r="J280" s="40"/>
      <c r="K280" s="42">
        <v>46171</v>
      </c>
      <c r="L280" s="42"/>
      <c r="M280" s="44"/>
      <c r="N280" s="40"/>
      <c r="O280" s="40"/>
      <c r="P280" s="40"/>
      <c r="Q280" s="42">
        <f>IF(K280="","",K280)</f>
        <v>46171</v>
      </c>
      <c r="R280" s="39" t="s">
        <v>437</v>
      </c>
      <c r="S280" s="39" t="s">
        <v>439</v>
      </c>
      <c r="T280" s="39" t="s">
        <v>446</v>
      </c>
      <c r="U280" s="39" t="s">
        <v>309</v>
      </c>
      <c r="V280" s="39">
        <v>240</v>
      </c>
      <c r="W280" s="39" t="s">
        <v>436</v>
      </c>
      <c r="X280" s="41">
        <v>46160</v>
      </c>
      <c r="Y280" s="41">
        <v>46171</v>
      </c>
      <c r="Z280" s="43">
        <v>3196.8</v>
      </c>
      <c r="AA280" s="45">
        <f>IF(M280&lt;&gt;"",M280,Z280)</f>
        <v>3196.8</v>
      </c>
      <c r="AB280" s="46" t="str">
        <f>IF(L280&lt;&gt;"","Realizado","Previsto")</f>
        <v>Previsto</v>
      </c>
      <c r="AC280" s="47">
        <v>0.5</v>
      </c>
      <c r="AD280" s="43">
        <v>6393.6</v>
      </c>
      <c r="AE280" s="39">
        <v>64</v>
      </c>
      <c r="AF280" s="39" t="s">
        <v>87</v>
      </c>
      <c r="AG280" s="43">
        <v>99.9</v>
      </c>
      <c r="AH280" s="39" t="s">
        <v>447</v>
      </c>
      <c r="AI280" s="39" t="s">
        <v>73</v>
      </c>
      <c r="AJ280" s="48">
        <f>IF(Q280&lt;&gt;"",Q280,IF(K280&lt;&gt;"",K280,""))</f>
        <v>46171</v>
      </c>
      <c r="AK280" s="46" t="str">
        <f>IF(K280&lt;&gt;"","Sim","")</f>
        <v>Sim</v>
      </c>
      <c r="AL280" s="46" t="str">
        <f>IF(A280="","",TEXT(A280,"000000")&amp;"-"&amp;IF(C280="Entrada","CR","DB"))</f>
        <v>000279-DB</v>
      </c>
      <c r="AM280" s="46" t="str">
        <f>IF(A280="","",LEFT(IF(H280&lt;&gt;"",H280,G280)&amp;" | "&amp;G280&amp;" | "&amp;S280,60))</f>
        <v>Tela Q - 61 aço CA50 a c/10 4.2mm | Tela Q - 61 aço CA50 a c</v>
      </c>
    </row>
    <row r="281" spans="1:39" ht="43.2" x14ac:dyDescent="0.3">
      <c r="A281" s="39">
        <v>280</v>
      </c>
      <c r="B281" s="39" t="s">
        <v>2</v>
      </c>
      <c r="C281" s="39" t="s">
        <v>74</v>
      </c>
      <c r="D281" s="39" t="s">
        <v>437</v>
      </c>
      <c r="E281" s="39" t="s">
        <v>437</v>
      </c>
      <c r="F281" s="39" t="s">
        <v>173</v>
      </c>
      <c r="G281" s="39" t="s">
        <v>452</v>
      </c>
      <c r="H281" s="40"/>
      <c r="I281" s="40"/>
      <c r="J281" s="40"/>
      <c r="K281" s="42">
        <v>46171</v>
      </c>
      <c r="L281" s="42"/>
      <c r="M281" s="44"/>
      <c r="N281" s="40"/>
      <c r="O281" s="40"/>
      <c r="P281" s="40"/>
      <c r="Q281" s="42">
        <f>IF(K281="","",K281)</f>
        <v>46171</v>
      </c>
      <c r="R281" s="39" t="s">
        <v>437</v>
      </c>
      <c r="S281" s="39" t="s">
        <v>439</v>
      </c>
      <c r="T281" s="39" t="s">
        <v>453</v>
      </c>
      <c r="U281" s="39" t="s">
        <v>309</v>
      </c>
      <c r="V281" s="39">
        <v>238</v>
      </c>
      <c r="W281" s="39" t="s">
        <v>436</v>
      </c>
      <c r="X281" s="41">
        <v>46160</v>
      </c>
      <c r="Y281" s="41">
        <v>46171</v>
      </c>
      <c r="Z281" s="43">
        <v>15872</v>
      </c>
      <c r="AA281" s="45">
        <f>IF(M281&lt;&gt;"",M281,Z281)</f>
        <v>15872</v>
      </c>
      <c r="AB281" s="46" t="str">
        <f>IF(L281&lt;&gt;"","Realizado","Previsto")</f>
        <v>Previsto</v>
      </c>
      <c r="AC281" s="47">
        <v>0.5</v>
      </c>
      <c r="AD281" s="43">
        <v>31744</v>
      </c>
      <c r="AE281" s="39">
        <v>51.2</v>
      </c>
      <c r="AF281" s="39" t="s">
        <v>182</v>
      </c>
      <c r="AG281" s="43">
        <v>620</v>
      </c>
      <c r="AH281" s="39" t="s">
        <v>454</v>
      </c>
      <c r="AI281" s="39" t="s">
        <v>73</v>
      </c>
      <c r="AJ281" s="48">
        <f>IF(Q281&lt;&gt;"",Q281,IF(K281&lt;&gt;"",K281,""))</f>
        <v>46171</v>
      </c>
      <c r="AK281" s="46" t="str">
        <f>IF(K281&lt;&gt;"","Sim","")</f>
        <v>Sim</v>
      </c>
      <c r="AL281" s="46" t="str">
        <f>IF(A281="","",TEXT(A281,"000000")&amp;"-"&amp;IF(C281="Entrada","CR","DB"))</f>
        <v>000280-DB</v>
      </c>
      <c r="AM281" s="46" t="str">
        <f>IF(A281="","",LEFT(IF(H281&lt;&gt;"",H281,G281)&amp;" | "&amp;G281&amp;" | "&amp;S281,60))</f>
        <v xml:space="preserve">concreto usinado FCK 20 Mpa | concreto usinado FCK 20 Mpa | </v>
      </c>
    </row>
    <row r="282" spans="1:39" ht="43.2" x14ac:dyDescent="0.3">
      <c r="A282" s="39">
        <v>281</v>
      </c>
      <c r="B282" s="39" t="s">
        <v>2</v>
      </c>
      <c r="C282" s="39" t="s">
        <v>74</v>
      </c>
      <c r="D282" s="39" t="s">
        <v>124</v>
      </c>
      <c r="E282" s="39" t="s">
        <v>124</v>
      </c>
      <c r="F282" s="39" t="s">
        <v>125</v>
      </c>
      <c r="G282" s="39" t="s">
        <v>222</v>
      </c>
      <c r="H282" s="40"/>
      <c r="I282" s="40"/>
      <c r="J282" s="40"/>
      <c r="K282" s="42">
        <v>46171</v>
      </c>
      <c r="L282" s="42"/>
      <c r="M282" s="44"/>
      <c r="N282" s="40"/>
      <c r="O282" s="40"/>
      <c r="P282" s="40"/>
      <c r="Q282" s="42">
        <f>IF(K282="","",K282)</f>
        <v>46171</v>
      </c>
      <c r="R282" s="39" t="s">
        <v>124</v>
      </c>
      <c r="S282" s="39" t="s">
        <v>127</v>
      </c>
      <c r="T282" s="39" t="s">
        <v>128</v>
      </c>
      <c r="U282" s="39"/>
      <c r="V282" s="39">
        <v>274</v>
      </c>
      <c r="W282" s="39" t="s">
        <v>436</v>
      </c>
      <c r="X282" s="41">
        <v>46160</v>
      </c>
      <c r="Y282" s="41">
        <v>46171</v>
      </c>
      <c r="Z282" s="43">
        <v>21190</v>
      </c>
      <c r="AA282" s="45">
        <f>IF(M282&lt;&gt;"",M282,Z282)</f>
        <v>21190</v>
      </c>
      <c r="AB282" s="46" t="str">
        <f>IF(L282&lt;&gt;"","Realizado","Previsto")</f>
        <v>Previsto</v>
      </c>
      <c r="AC282" s="47"/>
      <c r="AD282" s="43">
        <v>211900</v>
      </c>
      <c r="AE282" s="39"/>
      <c r="AF282" s="39"/>
      <c r="AG282" s="43"/>
      <c r="AH282" s="39" t="s">
        <v>223</v>
      </c>
      <c r="AI282" s="39" t="s">
        <v>73</v>
      </c>
      <c r="AJ282" s="48">
        <f>IF(Q282&lt;&gt;"",Q282,IF(K282&lt;&gt;"",K282,""))</f>
        <v>46171</v>
      </c>
      <c r="AK282" s="46" t="str">
        <f>IF(K282&lt;&gt;"","Sim","")</f>
        <v>Sim</v>
      </c>
      <c r="AL282" s="46" t="str">
        <f>IF(A282="","",TEXT(A282,"000000")&amp;"-"&amp;IF(C282="Entrada","CR","DB"))</f>
        <v>000281-DB</v>
      </c>
      <c r="AM282" s="46" t="str">
        <f>IF(A282="","",LEFT(IF(H282&lt;&gt;"",H282,G282)&amp;" | "&amp;G282&amp;" | "&amp;S282,60))</f>
        <v xml:space="preserve">CARTAO CREDITO SUCOPIRA | CARTAO CREDITO SUCOPIRA | Saída | </v>
      </c>
    </row>
    <row r="283" spans="1:39" ht="43.2" x14ac:dyDescent="0.3">
      <c r="A283" s="39">
        <v>282</v>
      </c>
      <c r="B283" s="39" t="s">
        <v>2</v>
      </c>
      <c r="C283" s="39" t="s">
        <v>74</v>
      </c>
      <c r="D283" s="39" t="s">
        <v>124</v>
      </c>
      <c r="E283" s="39" t="s">
        <v>124</v>
      </c>
      <c r="F283" s="39" t="s">
        <v>125</v>
      </c>
      <c r="G283" s="39" t="s">
        <v>226</v>
      </c>
      <c r="H283" s="40"/>
      <c r="I283" s="40"/>
      <c r="J283" s="40"/>
      <c r="K283" s="42">
        <v>46171</v>
      </c>
      <c r="L283" s="42"/>
      <c r="M283" s="44"/>
      <c r="N283" s="40"/>
      <c r="O283" s="40"/>
      <c r="P283" s="40"/>
      <c r="Q283" s="42">
        <f>IF(K283="","",K283)</f>
        <v>46171</v>
      </c>
      <c r="R283" s="39" t="s">
        <v>124</v>
      </c>
      <c r="S283" s="39" t="s">
        <v>127</v>
      </c>
      <c r="T283" s="39" t="s">
        <v>128</v>
      </c>
      <c r="U283" s="39"/>
      <c r="V283" s="39">
        <v>277</v>
      </c>
      <c r="W283" s="39" t="s">
        <v>436</v>
      </c>
      <c r="X283" s="41">
        <v>46160</v>
      </c>
      <c r="Y283" s="41">
        <v>46171</v>
      </c>
      <c r="Z283" s="43">
        <v>7670</v>
      </c>
      <c r="AA283" s="45">
        <f>IF(M283&lt;&gt;"",M283,Z283)</f>
        <v>7670</v>
      </c>
      <c r="AB283" s="46" t="str">
        <f>IF(L283&lt;&gt;"","Realizado","Previsto")</f>
        <v>Previsto</v>
      </c>
      <c r="AC283" s="47"/>
      <c r="AD283" s="43">
        <v>76700</v>
      </c>
      <c r="AE283" s="39"/>
      <c r="AF283" s="39"/>
      <c r="AG283" s="43"/>
      <c r="AH283" s="39" t="s">
        <v>227</v>
      </c>
      <c r="AI283" s="39" t="s">
        <v>73</v>
      </c>
      <c r="AJ283" s="48">
        <f>IF(Q283&lt;&gt;"",Q283,IF(K283&lt;&gt;"",K283,""))</f>
        <v>46171</v>
      </c>
      <c r="AK283" s="46" t="str">
        <f>IF(K283&lt;&gt;"","Sim","")</f>
        <v>Sim</v>
      </c>
      <c r="AL283" s="46" t="str">
        <f>IF(A283="","",TEXT(A283,"000000")&amp;"-"&amp;IF(C283="Entrada","CR","DB"))</f>
        <v>000282-DB</v>
      </c>
      <c r="AM283" s="46" t="str">
        <f>IF(A283="","",LEFT(IF(H283&lt;&gt;"",H283,G283)&amp;" | "&amp;G283&amp;" | "&amp;S283,60))</f>
        <v>EMPRÉSTIMO EXTRA | EMPRÉSTIMO EXTRA | Saída | CAPITAL DE GIR</v>
      </c>
    </row>
    <row r="284" spans="1:39" ht="43.2" x14ac:dyDescent="0.3">
      <c r="A284" s="39">
        <v>283</v>
      </c>
      <c r="B284" s="39" t="s">
        <v>2</v>
      </c>
      <c r="C284" s="39" t="s">
        <v>74</v>
      </c>
      <c r="D284" s="39" t="s">
        <v>124</v>
      </c>
      <c r="E284" s="39" t="s">
        <v>124</v>
      </c>
      <c r="F284" s="39" t="s">
        <v>125</v>
      </c>
      <c r="G284" s="39" t="s">
        <v>126</v>
      </c>
      <c r="H284" s="40"/>
      <c r="I284" s="40"/>
      <c r="J284" s="40"/>
      <c r="K284" s="42">
        <v>46171</v>
      </c>
      <c r="L284" s="42"/>
      <c r="M284" s="44"/>
      <c r="N284" s="40"/>
      <c r="O284" s="40"/>
      <c r="P284" s="40"/>
      <c r="Q284" s="42">
        <f>IF(K284="","",K284)</f>
        <v>46171</v>
      </c>
      <c r="R284" s="39" t="s">
        <v>124</v>
      </c>
      <c r="S284" s="39" t="s">
        <v>127</v>
      </c>
      <c r="T284" s="39" t="s">
        <v>128</v>
      </c>
      <c r="U284" s="39"/>
      <c r="V284" s="39">
        <v>273</v>
      </c>
      <c r="W284" s="39" t="s">
        <v>436</v>
      </c>
      <c r="X284" s="41">
        <v>46160</v>
      </c>
      <c r="Y284" s="41">
        <v>46171</v>
      </c>
      <c r="Z284" s="43">
        <v>19943.37</v>
      </c>
      <c r="AA284" s="45">
        <f>IF(M284&lt;&gt;"",M284,Z284)</f>
        <v>19943.37</v>
      </c>
      <c r="AB284" s="46" t="str">
        <f>IF(L284&lt;&gt;"","Realizado","Previsto")</f>
        <v>Previsto</v>
      </c>
      <c r="AC284" s="47"/>
      <c r="AD284" s="43">
        <v>307830.11</v>
      </c>
      <c r="AE284" s="39"/>
      <c r="AF284" s="39"/>
      <c r="AG284" s="43">
        <v>248</v>
      </c>
      <c r="AH284" s="39" t="s">
        <v>130</v>
      </c>
      <c r="AI284" s="39" t="s">
        <v>73</v>
      </c>
      <c r="AJ284" s="48">
        <f>IF(Q284&lt;&gt;"",Q284,IF(K284&lt;&gt;"",K284,""))</f>
        <v>46171</v>
      </c>
      <c r="AK284" s="46" t="str">
        <f>IF(K284&lt;&gt;"","Sim","")</f>
        <v>Sim</v>
      </c>
      <c r="AL284" s="46" t="str">
        <f>IF(A284="","",TEXT(A284,"000000")&amp;"-"&amp;IF(C284="Entrada","CR","DB"))</f>
        <v>000283-DB</v>
      </c>
      <c r="AM284" s="46" t="str">
        <f>IF(A284="","",LEFT(IF(H284&lt;&gt;"",H284,G284)&amp;" | "&amp;G284&amp;" | "&amp;S284,60))</f>
        <v>ITAU | ITAU | Saída | CAPITAL DE GIRO</v>
      </c>
    </row>
    <row r="285" spans="1:39" ht="43.2" x14ac:dyDescent="0.3">
      <c r="A285" s="39">
        <v>284</v>
      </c>
      <c r="B285" s="39" t="s">
        <v>2</v>
      </c>
      <c r="C285" s="39" t="s">
        <v>74</v>
      </c>
      <c r="D285" s="39" t="s">
        <v>230</v>
      </c>
      <c r="E285" s="39" t="s">
        <v>230</v>
      </c>
      <c r="F285" s="39" t="s">
        <v>312</v>
      </c>
      <c r="G285" s="39" t="s">
        <v>313</v>
      </c>
      <c r="H285" s="40"/>
      <c r="I285" s="40"/>
      <c r="J285" s="40"/>
      <c r="K285" s="42">
        <v>46171</v>
      </c>
      <c r="L285" s="42"/>
      <c r="M285" s="44"/>
      <c r="N285" s="40"/>
      <c r="O285" s="40"/>
      <c r="P285" s="40"/>
      <c r="Q285" s="42">
        <f>IF(K285="","",K285)</f>
        <v>46171</v>
      </c>
      <c r="R285" s="39" t="s">
        <v>230</v>
      </c>
      <c r="S285" s="39" t="s">
        <v>232</v>
      </c>
      <c r="T285" s="39" t="s">
        <v>314</v>
      </c>
      <c r="U285" s="39" t="s">
        <v>275</v>
      </c>
      <c r="V285" s="39">
        <v>105</v>
      </c>
      <c r="W285" s="39" t="s">
        <v>436</v>
      </c>
      <c r="X285" s="41">
        <v>46160</v>
      </c>
      <c r="Y285" s="41">
        <v>46171</v>
      </c>
      <c r="Z285" s="43">
        <v>6892.7999999999993</v>
      </c>
      <c r="AA285" s="45">
        <f>IF(M285&lt;&gt;"",M285,Z285)</f>
        <v>6892.7999999999993</v>
      </c>
      <c r="AB285" s="46" t="str">
        <f>IF(L285&lt;&gt;"","Realizado","Previsto")</f>
        <v>Previsto</v>
      </c>
      <c r="AC285" s="47">
        <v>0.5</v>
      </c>
      <c r="AD285" s="43">
        <v>13785.6</v>
      </c>
      <c r="AE285" s="39">
        <v>384</v>
      </c>
      <c r="AF285" s="39" t="s">
        <v>87</v>
      </c>
      <c r="AG285" s="43">
        <v>35.9</v>
      </c>
      <c r="AH285" s="39" t="s">
        <v>315</v>
      </c>
      <c r="AI285" s="39" t="s">
        <v>73</v>
      </c>
      <c r="AJ285" s="48">
        <f>IF(Q285&lt;&gt;"",Q285,IF(K285&lt;&gt;"",K285,""))</f>
        <v>46171</v>
      </c>
      <c r="AK285" s="46" t="str">
        <f>IF(K285&lt;&gt;"","Sim","")</f>
        <v>Sim</v>
      </c>
      <c r="AL285" s="46" t="str">
        <f>IF(A285="","",TEXT(A285,"000000")&amp;"-"&amp;IF(C285="Entrada","CR","DB"))</f>
        <v>000284-DB</v>
      </c>
      <c r="AM285" s="46" t="str">
        <f>IF(A285="","",LEFT(IF(H285&lt;&gt;"",H285,G285)&amp;" | "&amp;G285&amp;" | "&amp;S285,60))</f>
        <v>Cumeeira fibrocimento - 20º 6mm | Cumeeira fibrocimento - 20</v>
      </c>
    </row>
    <row r="286" spans="1:39" ht="43.2" x14ac:dyDescent="0.3">
      <c r="A286" s="39">
        <v>285</v>
      </c>
      <c r="B286" s="39" t="s">
        <v>2</v>
      </c>
      <c r="C286" s="39" t="s">
        <v>74</v>
      </c>
      <c r="D286" s="39" t="s">
        <v>230</v>
      </c>
      <c r="E286" s="39" t="s">
        <v>230</v>
      </c>
      <c r="F286" s="39" t="s">
        <v>100</v>
      </c>
      <c r="G286" s="39" t="s">
        <v>316</v>
      </c>
      <c r="H286" s="40"/>
      <c r="I286" s="40"/>
      <c r="J286" s="40"/>
      <c r="K286" s="42">
        <v>46171</v>
      </c>
      <c r="L286" s="42"/>
      <c r="M286" s="44"/>
      <c r="N286" s="40"/>
      <c r="O286" s="40"/>
      <c r="P286" s="40"/>
      <c r="Q286" s="42">
        <f>IF(K286="","",K286)</f>
        <v>46171</v>
      </c>
      <c r="R286" s="39" t="s">
        <v>230</v>
      </c>
      <c r="S286" s="39" t="s">
        <v>232</v>
      </c>
      <c r="T286" s="39" t="s">
        <v>317</v>
      </c>
      <c r="U286" s="39" t="s">
        <v>275</v>
      </c>
      <c r="V286" s="39">
        <v>103</v>
      </c>
      <c r="W286" s="39" t="s">
        <v>436</v>
      </c>
      <c r="X286" s="41">
        <v>46160</v>
      </c>
      <c r="Y286" s="41">
        <v>46171</v>
      </c>
      <c r="Z286" s="43">
        <v>119040</v>
      </c>
      <c r="AA286" s="45">
        <f>IF(M286&lt;&gt;"",M286,Z286)</f>
        <v>119040</v>
      </c>
      <c r="AB286" s="46" t="str">
        <f>IF(L286&lt;&gt;"","Realizado","Previsto")</f>
        <v>Previsto</v>
      </c>
      <c r="AC286" s="47">
        <v>0.6</v>
      </c>
      <c r="AD286" s="43">
        <v>198400</v>
      </c>
      <c r="AE286" s="39">
        <v>64</v>
      </c>
      <c r="AF286" s="39" t="s">
        <v>87</v>
      </c>
      <c r="AG286" s="43">
        <v>3100</v>
      </c>
      <c r="AH286" s="39" t="s">
        <v>318</v>
      </c>
      <c r="AI286" s="39" t="s">
        <v>73</v>
      </c>
      <c r="AJ286" s="48">
        <f>IF(Q286&lt;&gt;"",Q286,IF(K286&lt;&gt;"",K286,""))</f>
        <v>46171</v>
      </c>
      <c r="AK286" s="46" t="str">
        <f>IF(K286&lt;&gt;"","Sim","")</f>
        <v>Sim</v>
      </c>
      <c r="AL286" s="46" t="str">
        <f>IF(A286="","",TEXT(A286,"000000")&amp;"-"&amp;IF(C286="Entrada","CR","DB"))</f>
        <v>000285-DB</v>
      </c>
      <c r="AM286" s="46" t="str">
        <f>IF(A286="","",LEFT(IF(H286&lt;&gt;"",H286,G286)&amp;" | "&amp;G286&amp;" | "&amp;S286,60))</f>
        <v>Estrutura SteelFrame com tesouras | Estrutura SteelFrame com</v>
      </c>
    </row>
    <row r="287" spans="1:39" ht="43.2" x14ac:dyDescent="0.3">
      <c r="A287" s="39">
        <v>286</v>
      </c>
      <c r="B287" s="39" t="s">
        <v>2</v>
      </c>
      <c r="C287" s="39" t="s">
        <v>74</v>
      </c>
      <c r="D287" s="39" t="s">
        <v>230</v>
      </c>
      <c r="E287" s="39" t="s">
        <v>230</v>
      </c>
      <c r="F287" s="39" t="s">
        <v>109</v>
      </c>
      <c r="G287" s="39" t="s">
        <v>231</v>
      </c>
      <c r="H287" s="40"/>
      <c r="I287" s="40"/>
      <c r="J287" s="40"/>
      <c r="K287" s="42">
        <v>46171</v>
      </c>
      <c r="L287" s="42"/>
      <c r="M287" s="44"/>
      <c r="N287" s="40"/>
      <c r="O287" s="40"/>
      <c r="P287" s="40"/>
      <c r="Q287" s="42">
        <f>IF(K287="","",K287)</f>
        <v>46171</v>
      </c>
      <c r="R287" s="39" t="s">
        <v>230</v>
      </c>
      <c r="S287" s="39" t="s">
        <v>232</v>
      </c>
      <c r="T287" s="39" t="s">
        <v>233</v>
      </c>
      <c r="U287" s="39" t="s">
        <v>215</v>
      </c>
      <c r="V287" s="39">
        <v>107</v>
      </c>
      <c r="W287" s="39" t="s">
        <v>436</v>
      </c>
      <c r="X287" s="41">
        <v>46160</v>
      </c>
      <c r="Y287" s="41">
        <v>46171</v>
      </c>
      <c r="Z287" s="43">
        <v>22072</v>
      </c>
      <c r="AA287" s="45">
        <f>IF(M287&lt;&gt;"",M287,Z287)</f>
        <v>22072</v>
      </c>
      <c r="AB287" s="46" t="str">
        <f>IF(L287&lt;&gt;"","Realizado","Previsto")</f>
        <v>Previsto</v>
      </c>
      <c r="AC287" s="47">
        <v>0.2225</v>
      </c>
      <c r="AD287" s="43">
        <v>99200</v>
      </c>
      <c r="AE287" s="39">
        <v>64</v>
      </c>
      <c r="AF287" s="39" t="s">
        <v>113</v>
      </c>
      <c r="AG287" s="43">
        <v>1550</v>
      </c>
      <c r="AH287" s="39" t="s">
        <v>234</v>
      </c>
      <c r="AI287" s="39" t="s">
        <v>73</v>
      </c>
      <c r="AJ287" s="48">
        <f>IF(Q287&lt;&gt;"",Q287,IF(K287&lt;&gt;"",K287,""))</f>
        <v>46171</v>
      </c>
      <c r="AK287" s="46" t="str">
        <f>IF(K287&lt;&gt;"","Sim","")</f>
        <v>Sim</v>
      </c>
      <c r="AL287" s="46" t="str">
        <f>IF(A287="","",TEXT(A287,"000000")&amp;"-"&amp;IF(C287="Entrada","CR","DB"))</f>
        <v>000286-DB</v>
      </c>
      <c r="AM287" s="46" t="str">
        <f>IF(A287="","",LEFT(IF(H287&lt;&gt;"",H287,G287)&amp;" | "&amp;G287&amp;" | "&amp;S287,60))</f>
        <v>Mao de obra terceirizada montagem e telhamento | Mao de obra</v>
      </c>
    </row>
    <row r="288" spans="1:39" ht="43.2" x14ac:dyDescent="0.3">
      <c r="A288" s="39">
        <v>287</v>
      </c>
      <c r="B288" s="39" t="s">
        <v>2</v>
      </c>
      <c r="C288" s="39" t="s">
        <v>74</v>
      </c>
      <c r="D288" s="39" t="s">
        <v>230</v>
      </c>
      <c r="E288" s="39" t="s">
        <v>230</v>
      </c>
      <c r="F288" s="39" t="s">
        <v>167</v>
      </c>
      <c r="G288" s="39" t="s">
        <v>319</v>
      </c>
      <c r="H288" s="40"/>
      <c r="I288" s="40"/>
      <c r="J288" s="40"/>
      <c r="K288" s="42">
        <v>46171</v>
      </c>
      <c r="L288" s="42"/>
      <c r="M288" s="44"/>
      <c r="N288" s="40"/>
      <c r="O288" s="40"/>
      <c r="P288" s="40"/>
      <c r="Q288" s="42">
        <f>IF(K288="","",K288)</f>
        <v>46171</v>
      </c>
      <c r="R288" s="39" t="s">
        <v>230</v>
      </c>
      <c r="S288" s="39" t="s">
        <v>232</v>
      </c>
      <c r="T288" s="39" t="s">
        <v>320</v>
      </c>
      <c r="U288" s="39" t="s">
        <v>275</v>
      </c>
      <c r="V288" s="39">
        <v>106</v>
      </c>
      <c r="W288" s="39" t="s">
        <v>436</v>
      </c>
      <c r="X288" s="41">
        <v>46160</v>
      </c>
      <c r="Y288" s="41">
        <v>46171</v>
      </c>
      <c r="Z288" s="43">
        <v>4188.8</v>
      </c>
      <c r="AA288" s="45">
        <f>IF(M288&lt;&gt;"",M288,Z288)</f>
        <v>4188.8</v>
      </c>
      <c r="AB288" s="46" t="str">
        <f>IF(L288&lt;&gt;"","Realizado","Previsto")</f>
        <v>Previsto</v>
      </c>
      <c r="AC288" s="47">
        <v>0.5</v>
      </c>
      <c r="AD288" s="43">
        <v>8377.6</v>
      </c>
      <c r="AE288" s="39">
        <v>7040</v>
      </c>
      <c r="AF288" s="39" t="s">
        <v>321</v>
      </c>
      <c r="AG288" s="43">
        <v>1.19</v>
      </c>
      <c r="AH288" s="39" t="s">
        <v>322</v>
      </c>
      <c r="AI288" s="39" t="s">
        <v>73</v>
      </c>
      <c r="AJ288" s="48">
        <f>IF(Q288&lt;&gt;"",Q288,IF(K288&lt;&gt;"",K288,""))</f>
        <v>46171</v>
      </c>
      <c r="AK288" s="46" t="str">
        <f>IF(K288&lt;&gt;"","Sim","")</f>
        <v>Sim</v>
      </c>
      <c r="AL288" s="46" t="str">
        <f>IF(A288="","",TEXT(A288,"000000")&amp;"-"&amp;IF(C288="Entrada","CR","DB"))</f>
        <v>000287-DB</v>
      </c>
      <c r="AM288" s="46" t="str">
        <f>IF(A288="","",LEFT(IF(H288&lt;&gt;"",H288,G288)&amp;" | "&amp;G288&amp;" | "&amp;S288,60))</f>
        <v>Parafuso telheiro 1/4" x 110 mm com arruela/vedante: 150 un.</v>
      </c>
    </row>
    <row r="289" spans="1:39" ht="43.2" x14ac:dyDescent="0.3">
      <c r="A289" s="39">
        <v>288</v>
      </c>
      <c r="B289" s="39" t="s">
        <v>2</v>
      </c>
      <c r="C289" s="39" t="s">
        <v>74</v>
      </c>
      <c r="D289" s="39" t="s">
        <v>230</v>
      </c>
      <c r="E289" s="39" t="s">
        <v>230</v>
      </c>
      <c r="F289" s="39" t="s">
        <v>312</v>
      </c>
      <c r="G289" s="39" t="s">
        <v>323</v>
      </c>
      <c r="H289" s="40"/>
      <c r="I289" s="40"/>
      <c r="J289" s="40"/>
      <c r="K289" s="42">
        <v>46171</v>
      </c>
      <c r="L289" s="42"/>
      <c r="M289" s="44"/>
      <c r="N289" s="40"/>
      <c r="O289" s="40"/>
      <c r="P289" s="40"/>
      <c r="Q289" s="42">
        <f>IF(K289="","",K289)</f>
        <v>46171</v>
      </c>
      <c r="R289" s="39" t="s">
        <v>230</v>
      </c>
      <c r="S289" s="39" t="s">
        <v>232</v>
      </c>
      <c r="T289" s="39" t="s">
        <v>314</v>
      </c>
      <c r="U289" s="39" t="s">
        <v>275</v>
      </c>
      <c r="V289" s="39">
        <v>104</v>
      </c>
      <c r="W289" s="39" t="s">
        <v>436</v>
      </c>
      <c r="X289" s="41">
        <v>46160</v>
      </c>
      <c r="Y289" s="41">
        <v>46171</v>
      </c>
      <c r="Z289" s="43">
        <v>38016</v>
      </c>
      <c r="AA289" s="45">
        <f>IF(M289&lt;&gt;"",M289,Z289)</f>
        <v>38016</v>
      </c>
      <c r="AB289" s="46" t="str">
        <f>IF(L289&lt;&gt;"","Realizado","Previsto")</f>
        <v>Previsto</v>
      </c>
      <c r="AC289" s="47">
        <v>0.5</v>
      </c>
      <c r="AD289" s="43">
        <v>76032</v>
      </c>
      <c r="AE289" s="39">
        <v>1536</v>
      </c>
      <c r="AF289" s="39" t="s">
        <v>87</v>
      </c>
      <c r="AG289" s="43">
        <v>49.5</v>
      </c>
      <c r="AH289" s="39" t="s">
        <v>315</v>
      </c>
      <c r="AI289" s="39" t="s">
        <v>73</v>
      </c>
      <c r="AJ289" s="48">
        <f>IF(Q289&lt;&gt;"",Q289,IF(K289&lt;&gt;"",K289,""))</f>
        <v>46171</v>
      </c>
      <c r="AK289" s="46" t="str">
        <f>IF(K289&lt;&gt;"","Sim","")</f>
        <v>Sim</v>
      </c>
      <c r="AL289" s="46" t="str">
        <f>IF(A289="","",TEXT(A289,"000000")&amp;"-"&amp;IF(C289="Entrada","CR","DB"))</f>
        <v>000288-DB</v>
      </c>
      <c r="AM289" s="46" t="str">
        <f>IF(A289="","",LEFT(IF(H289&lt;&gt;"",H289,G289)&amp;" | "&amp;G289&amp;" | "&amp;S289,60))</f>
        <v>Telha fibrocimento 6mm 2,44x1,1m | Telha fibrocimento 6mm 2,</v>
      </c>
    </row>
    <row r="290" spans="1:39" ht="43.2" x14ac:dyDescent="0.3">
      <c r="A290" s="39">
        <v>289</v>
      </c>
      <c r="B290" s="39" t="s">
        <v>2</v>
      </c>
      <c r="C290" s="39" t="s">
        <v>74</v>
      </c>
      <c r="D290" s="39" t="s">
        <v>235</v>
      </c>
      <c r="E290" s="39" t="s">
        <v>236</v>
      </c>
      <c r="F290" s="39" t="s">
        <v>324</v>
      </c>
      <c r="G290" s="39" t="s">
        <v>325</v>
      </c>
      <c r="H290" s="40"/>
      <c r="I290" s="40"/>
      <c r="J290" s="40"/>
      <c r="K290" s="42">
        <v>46171</v>
      </c>
      <c r="L290" s="42"/>
      <c r="M290" s="44"/>
      <c r="N290" s="40"/>
      <c r="O290" s="40"/>
      <c r="P290" s="40"/>
      <c r="Q290" s="42">
        <f>IF(K290="","",K290)</f>
        <v>46171</v>
      </c>
      <c r="R290" s="39" t="s">
        <v>235</v>
      </c>
      <c r="S290" s="39" t="s">
        <v>238</v>
      </c>
      <c r="T290" s="39" t="s">
        <v>326</v>
      </c>
      <c r="U290" s="39" t="s">
        <v>275</v>
      </c>
      <c r="V290" s="39">
        <v>155</v>
      </c>
      <c r="W290" s="39" t="s">
        <v>436</v>
      </c>
      <c r="X290" s="41">
        <v>46160</v>
      </c>
      <c r="Y290" s="41">
        <v>46171</v>
      </c>
      <c r="Z290" s="43">
        <v>1879.68</v>
      </c>
      <c r="AA290" s="45">
        <f>IF(M290&lt;&gt;"",M290,Z290)</f>
        <v>1879.68</v>
      </c>
      <c r="AB290" s="46" t="str">
        <f>IF(L290&lt;&gt;"","Realizado","Previsto")</f>
        <v>Previsto</v>
      </c>
      <c r="AC290" s="47">
        <v>0.33</v>
      </c>
      <c r="AD290" s="43">
        <v>5696</v>
      </c>
      <c r="AE290" s="39">
        <v>1600</v>
      </c>
      <c r="AF290" s="39" t="s">
        <v>327</v>
      </c>
      <c r="AG290" s="43">
        <v>3.56</v>
      </c>
      <c r="AH290" s="39" t="s">
        <v>328</v>
      </c>
      <c r="AI290" s="39" t="s">
        <v>73</v>
      </c>
      <c r="AJ290" s="48">
        <f>IF(Q290&lt;&gt;"",Q290,IF(K290&lt;&gt;"",K290,""))</f>
        <v>46171</v>
      </c>
      <c r="AK290" s="46" t="str">
        <f>IF(K290&lt;&gt;"","Sim","")</f>
        <v>Sim</v>
      </c>
      <c r="AL290" s="46" t="str">
        <f>IF(A290="","",TEXT(A290,"000000")&amp;"-"&amp;IF(C290="Entrada","CR","DB"))</f>
        <v>000289-DB</v>
      </c>
      <c r="AM290" s="46" t="str">
        <f>IF(A290="","",LEFT(IF(H290&lt;&gt;"",H290,G290)&amp;" | "&amp;G290&amp;" | "&amp;S290,60))</f>
        <v>Lixa grao 150 - | Lixa grao 150 - | Saída | EMASSAMENTO INTE</v>
      </c>
    </row>
    <row r="291" spans="1:39" ht="43.2" x14ac:dyDescent="0.3">
      <c r="A291" s="39">
        <v>290</v>
      </c>
      <c r="B291" s="39" t="s">
        <v>2</v>
      </c>
      <c r="C291" s="39" t="s">
        <v>74</v>
      </c>
      <c r="D291" s="39" t="s">
        <v>235</v>
      </c>
      <c r="E291" s="39" t="s">
        <v>236</v>
      </c>
      <c r="F291" s="39" t="s">
        <v>109</v>
      </c>
      <c r="G291" s="39" t="s">
        <v>237</v>
      </c>
      <c r="H291" s="40"/>
      <c r="I291" s="40"/>
      <c r="J291" s="40"/>
      <c r="K291" s="42">
        <v>46171</v>
      </c>
      <c r="L291" s="42"/>
      <c r="M291" s="44"/>
      <c r="N291" s="40"/>
      <c r="O291" s="40"/>
      <c r="P291" s="40"/>
      <c r="Q291" s="42">
        <f>IF(K291="","",K291)</f>
        <v>46171</v>
      </c>
      <c r="R291" s="39" t="s">
        <v>235</v>
      </c>
      <c r="S291" s="39" t="s">
        <v>238</v>
      </c>
      <c r="T291" s="39" t="s">
        <v>239</v>
      </c>
      <c r="U291" s="39" t="s">
        <v>215</v>
      </c>
      <c r="V291" s="39">
        <v>156</v>
      </c>
      <c r="W291" s="39" t="s">
        <v>436</v>
      </c>
      <c r="X291" s="41">
        <v>46160</v>
      </c>
      <c r="Y291" s="41">
        <v>46171</v>
      </c>
      <c r="Z291" s="43">
        <v>15260.7232</v>
      </c>
      <c r="AA291" s="45">
        <f>IF(M291&lt;&gt;"",M291,Z291)</f>
        <v>15260.7232</v>
      </c>
      <c r="AB291" s="46" t="str">
        <f>IF(L291&lt;&gt;"","Realizado","Previsto")</f>
        <v>Previsto</v>
      </c>
      <c r="AC291" s="47">
        <v>0.2225</v>
      </c>
      <c r="AD291" s="43">
        <v>68587.520000000004</v>
      </c>
      <c r="AE291" s="39">
        <v>8573.44</v>
      </c>
      <c r="AF291" s="39" t="s">
        <v>203</v>
      </c>
      <c r="AG291" s="43">
        <v>8</v>
      </c>
      <c r="AH291" s="39" t="s">
        <v>240</v>
      </c>
      <c r="AI291" s="39" t="s">
        <v>73</v>
      </c>
      <c r="AJ291" s="48">
        <f>IF(Q291&lt;&gt;"",Q291,IF(K291&lt;&gt;"",K291,""))</f>
        <v>46171</v>
      </c>
      <c r="AK291" s="46" t="str">
        <f>IF(K291&lt;&gt;"","Sim","")</f>
        <v>Sim</v>
      </c>
      <c r="AL291" s="46" t="str">
        <f>IF(A291="","",TEXT(A291,"000000")&amp;"-"&amp;IF(C291="Entrada","CR","DB"))</f>
        <v>000290-DB</v>
      </c>
      <c r="AM291" s="46" t="str">
        <f>IF(A291="","",LEFT(IF(H291&lt;&gt;"",H291,G291)&amp;" | "&amp;G291&amp;" | "&amp;S291,60))</f>
        <v>Mao de obra terceirizada Emassamento e lixamento  interno pa</v>
      </c>
    </row>
    <row r="292" spans="1:39" ht="43.2" x14ac:dyDescent="0.3">
      <c r="A292" s="39">
        <v>291</v>
      </c>
      <c r="B292" s="39" t="s">
        <v>2</v>
      </c>
      <c r="C292" s="39" t="s">
        <v>74</v>
      </c>
      <c r="D292" s="39" t="s">
        <v>235</v>
      </c>
      <c r="E292" s="39" t="s">
        <v>236</v>
      </c>
      <c r="F292" s="39" t="s">
        <v>324</v>
      </c>
      <c r="G292" s="39" t="s">
        <v>329</v>
      </c>
      <c r="H292" s="40"/>
      <c r="I292" s="40"/>
      <c r="J292" s="40"/>
      <c r="K292" s="42">
        <v>46171</v>
      </c>
      <c r="L292" s="42"/>
      <c r="M292" s="44"/>
      <c r="N292" s="40"/>
      <c r="O292" s="40"/>
      <c r="P292" s="40"/>
      <c r="Q292" s="42">
        <f>IF(K292="","",K292)</f>
        <v>46171</v>
      </c>
      <c r="R292" s="39" t="s">
        <v>235</v>
      </c>
      <c r="S292" s="39" t="s">
        <v>238</v>
      </c>
      <c r="T292" s="39" t="s">
        <v>326</v>
      </c>
      <c r="U292" s="39" t="s">
        <v>275</v>
      </c>
      <c r="V292" s="39">
        <v>154</v>
      </c>
      <c r="W292" s="39" t="s">
        <v>436</v>
      </c>
      <c r="X292" s="41">
        <v>46160</v>
      </c>
      <c r="Y292" s="41">
        <v>46171</v>
      </c>
      <c r="Z292" s="43">
        <v>13622.4</v>
      </c>
      <c r="AA292" s="45">
        <f>IF(M292&lt;&gt;"",M292,Z292)</f>
        <v>13622.4</v>
      </c>
      <c r="AB292" s="46" t="str">
        <f>IF(L292&lt;&gt;"","Realizado","Previsto")</f>
        <v>Previsto</v>
      </c>
      <c r="AC292" s="47">
        <v>0.33</v>
      </c>
      <c r="AD292" s="43">
        <v>41280</v>
      </c>
      <c r="AE292" s="39">
        <v>960</v>
      </c>
      <c r="AF292" s="39" t="s">
        <v>330</v>
      </c>
      <c r="AG292" s="43">
        <v>43</v>
      </c>
      <c r="AH292" s="39" t="s">
        <v>328</v>
      </c>
      <c r="AI292" s="39" t="s">
        <v>73</v>
      </c>
      <c r="AJ292" s="48">
        <f>IF(Q292&lt;&gt;"",Q292,IF(K292&lt;&gt;"",K292,""))</f>
        <v>46171</v>
      </c>
      <c r="AK292" s="46" t="str">
        <f>IF(K292&lt;&gt;"","Sim","")</f>
        <v>Sim</v>
      </c>
      <c r="AL292" s="46" t="str">
        <f>IF(A292="","",TEXT(A292,"000000")&amp;"-"&amp;IF(C292="Entrada","CR","DB"))</f>
        <v>000291-DB</v>
      </c>
      <c r="AM292" s="46" t="str">
        <f>IF(A292="","",LEFT(IF(H292&lt;&gt;"",H292,G292)&amp;" | "&amp;G292&amp;" | "&amp;S292,60))</f>
        <v xml:space="preserve">Massa fina acabamento 18kg - branca | Massa fina acabamento </v>
      </c>
    </row>
    <row r="293" spans="1:39" ht="43.2" x14ac:dyDescent="0.3">
      <c r="A293" s="39">
        <v>292</v>
      </c>
      <c r="B293" s="39" t="s">
        <v>2</v>
      </c>
      <c r="C293" s="39" t="s">
        <v>74</v>
      </c>
      <c r="D293" s="39" t="s">
        <v>131</v>
      </c>
      <c r="E293" s="39" t="s">
        <v>131</v>
      </c>
      <c r="F293" s="39" t="s">
        <v>132</v>
      </c>
      <c r="G293" s="39" t="s">
        <v>133</v>
      </c>
      <c r="H293" s="40"/>
      <c r="I293" s="40"/>
      <c r="J293" s="40"/>
      <c r="K293" s="42">
        <v>46171</v>
      </c>
      <c r="L293" s="42"/>
      <c r="M293" s="44"/>
      <c r="N293" s="40"/>
      <c r="O293" s="40"/>
      <c r="P293" s="40"/>
      <c r="Q293" s="42">
        <f>IF(K293="","",K293)</f>
        <v>46171</v>
      </c>
      <c r="R293" s="39" t="s">
        <v>131</v>
      </c>
      <c r="S293" s="39" t="s">
        <v>134</v>
      </c>
      <c r="T293" s="39" t="s">
        <v>135</v>
      </c>
      <c r="U293" s="39"/>
      <c r="V293" s="39">
        <v>21</v>
      </c>
      <c r="W293" s="39" t="s">
        <v>436</v>
      </c>
      <c r="X293" s="41">
        <v>46160</v>
      </c>
      <c r="Y293" s="41">
        <v>46171</v>
      </c>
      <c r="Z293" s="43">
        <v>46.464000000000013</v>
      </c>
      <c r="AA293" s="45">
        <f>IF(M293&lt;&gt;"",M293,Z293)</f>
        <v>46.464000000000013</v>
      </c>
      <c r="AB293" s="46" t="str">
        <f>IF(L293&lt;&gt;"","Realizado","Previsto")</f>
        <v>Previsto</v>
      </c>
      <c r="AC293" s="47">
        <v>0.33</v>
      </c>
      <c r="AD293" s="43">
        <v>140.80000000000001</v>
      </c>
      <c r="AE293" s="39">
        <v>64</v>
      </c>
      <c r="AF293" s="39" t="s">
        <v>87</v>
      </c>
      <c r="AG293" s="43">
        <v>2.2000000000000002</v>
      </c>
      <c r="AH293" s="39" t="s">
        <v>136</v>
      </c>
      <c r="AI293" s="39" t="s">
        <v>73</v>
      </c>
      <c r="AJ293" s="48">
        <f>IF(Q293&lt;&gt;"",Q293,IF(K293&lt;&gt;"",K293,""))</f>
        <v>46171</v>
      </c>
      <c r="AK293" s="46" t="str">
        <f>IF(K293&lt;&gt;"","Sim","")</f>
        <v>Sim</v>
      </c>
      <c r="AL293" s="46" t="str">
        <f>IF(A293="","",TEXT(A293,"000000")&amp;"-"&amp;IF(C293="Entrada","CR","DB"))</f>
        <v>000292-DB</v>
      </c>
      <c r="AM293" s="46" t="str">
        <f>IF(A293="","",LEFT(IF(H293&lt;&gt;"",H293,G293)&amp;" | "&amp;G293&amp;" | "&amp;S293,60))</f>
        <v>Anel de vedação esg 100 mm | Anel de vedação esg 100 mm | Sa</v>
      </c>
    </row>
    <row r="294" spans="1:39" ht="43.2" x14ac:dyDescent="0.3">
      <c r="A294" s="39">
        <v>293</v>
      </c>
      <c r="B294" s="39" t="s">
        <v>2</v>
      </c>
      <c r="C294" s="39" t="s">
        <v>74</v>
      </c>
      <c r="D294" s="39" t="s">
        <v>131</v>
      </c>
      <c r="E294" s="39" t="s">
        <v>131</v>
      </c>
      <c r="F294" s="39" t="s">
        <v>132</v>
      </c>
      <c r="G294" s="39" t="s">
        <v>137</v>
      </c>
      <c r="H294" s="40"/>
      <c r="I294" s="40"/>
      <c r="J294" s="40"/>
      <c r="K294" s="42">
        <v>46171</v>
      </c>
      <c r="L294" s="42"/>
      <c r="M294" s="44"/>
      <c r="N294" s="40"/>
      <c r="O294" s="40"/>
      <c r="P294" s="40"/>
      <c r="Q294" s="42">
        <f>IF(K294="","",K294)</f>
        <v>46171</v>
      </c>
      <c r="R294" s="39" t="s">
        <v>131</v>
      </c>
      <c r="S294" s="39" t="s">
        <v>134</v>
      </c>
      <c r="T294" s="39" t="s">
        <v>135</v>
      </c>
      <c r="U294" s="39"/>
      <c r="V294" s="39">
        <v>19</v>
      </c>
      <c r="W294" s="39" t="s">
        <v>436</v>
      </c>
      <c r="X294" s="41">
        <v>46160</v>
      </c>
      <c r="Y294" s="41">
        <v>46171</v>
      </c>
      <c r="Z294" s="43">
        <v>675.84</v>
      </c>
      <c r="AA294" s="45">
        <f>IF(M294&lt;&gt;"",M294,Z294)</f>
        <v>675.84</v>
      </c>
      <c r="AB294" s="46" t="str">
        <f>IF(L294&lt;&gt;"","Realizado","Previsto")</f>
        <v>Previsto</v>
      </c>
      <c r="AC294" s="47">
        <v>0.33</v>
      </c>
      <c r="AD294" s="43">
        <v>2048</v>
      </c>
      <c r="AE294" s="39">
        <v>64</v>
      </c>
      <c r="AF294" s="39" t="s">
        <v>87</v>
      </c>
      <c r="AG294" s="43">
        <v>32</v>
      </c>
      <c r="AH294" s="39" t="s">
        <v>136</v>
      </c>
      <c r="AI294" s="39" t="s">
        <v>73</v>
      </c>
      <c r="AJ294" s="48">
        <f>IF(Q294&lt;&gt;"",Q294,IF(K294&lt;&gt;"",K294,""))</f>
        <v>46171</v>
      </c>
      <c r="AK294" s="46" t="str">
        <f>IF(K294&lt;&gt;"","Sim","")</f>
        <v>Sim</v>
      </c>
      <c r="AL294" s="46" t="str">
        <f>IF(A294="","",TEXT(A294,"000000")&amp;"-"&amp;IF(C294="Entrada","CR","DB"))</f>
        <v>000293-DB</v>
      </c>
      <c r="AM294" s="46" t="str">
        <f>IF(A294="","",LEFT(IF(H294&lt;&gt;"",H294,G294)&amp;" | "&amp;G294&amp;" | "&amp;S294,60))</f>
        <v>Caixa Sifonada com grelha quadrada PVC DN 150x150x50 com jun</v>
      </c>
    </row>
    <row r="295" spans="1:39" ht="43.2" x14ac:dyDescent="0.3">
      <c r="A295" s="39">
        <v>294</v>
      </c>
      <c r="B295" s="39" t="s">
        <v>2</v>
      </c>
      <c r="C295" s="39" t="s">
        <v>74</v>
      </c>
      <c r="D295" s="39" t="s">
        <v>131</v>
      </c>
      <c r="E295" s="39" t="s">
        <v>131</v>
      </c>
      <c r="F295" s="39" t="s">
        <v>132</v>
      </c>
      <c r="G295" s="39" t="s">
        <v>138</v>
      </c>
      <c r="H295" s="40"/>
      <c r="I295" s="40"/>
      <c r="J295" s="40"/>
      <c r="K295" s="42">
        <v>46171</v>
      </c>
      <c r="L295" s="42"/>
      <c r="M295" s="44"/>
      <c r="N295" s="40"/>
      <c r="O295" s="40"/>
      <c r="P295" s="40"/>
      <c r="Q295" s="42">
        <f>IF(K295="","",K295)</f>
        <v>46171</v>
      </c>
      <c r="R295" s="39" t="s">
        <v>131</v>
      </c>
      <c r="S295" s="39" t="s">
        <v>134</v>
      </c>
      <c r="T295" s="39" t="s">
        <v>135</v>
      </c>
      <c r="U295" s="39"/>
      <c r="V295" s="39">
        <v>24</v>
      </c>
      <c r="W295" s="39" t="s">
        <v>436</v>
      </c>
      <c r="X295" s="41">
        <v>46160</v>
      </c>
      <c r="Y295" s="41">
        <v>46171</v>
      </c>
      <c r="Z295" s="43">
        <v>295.46879999999999</v>
      </c>
      <c r="AA295" s="45">
        <f>IF(M295&lt;&gt;"",M295,Z295)</f>
        <v>295.46879999999999</v>
      </c>
      <c r="AB295" s="46" t="str">
        <f>IF(L295&lt;&gt;"","Realizado","Previsto")</f>
        <v>Previsto</v>
      </c>
      <c r="AC295" s="47">
        <v>0.33</v>
      </c>
      <c r="AD295" s="43">
        <v>895.36</v>
      </c>
      <c r="AE295" s="39">
        <v>64</v>
      </c>
      <c r="AF295" s="39" t="s">
        <v>87</v>
      </c>
      <c r="AG295" s="43">
        <v>13.99</v>
      </c>
      <c r="AH295" s="39" t="s">
        <v>136</v>
      </c>
      <c r="AI295" s="39" t="s">
        <v>73</v>
      </c>
      <c r="AJ295" s="48">
        <f>IF(Q295&lt;&gt;"",Q295,IF(K295&lt;&gt;"",K295,""))</f>
        <v>46171</v>
      </c>
      <c r="AK295" s="46" t="str">
        <f>IF(K295&lt;&gt;"","Sim","")</f>
        <v>Sim</v>
      </c>
      <c r="AL295" s="46" t="str">
        <f>IF(A295="","",TEXT(A295,"000000")&amp;"-"&amp;IF(C295="Entrada","CR","DB"))</f>
        <v>000294-DB</v>
      </c>
      <c r="AM295" s="46" t="str">
        <f>IF(A295="","",LEFT(IF(H295&lt;&gt;"",H295,G295)&amp;" | "&amp;G295&amp;" | "&amp;S295,60))</f>
        <v>Cola de cano PVC 175g | Cola de cano PVC 175g | Saída | ESPE</v>
      </c>
    </row>
    <row r="296" spans="1:39" ht="43.2" x14ac:dyDescent="0.3">
      <c r="A296" s="39">
        <v>295</v>
      </c>
      <c r="B296" s="39" t="s">
        <v>2</v>
      </c>
      <c r="C296" s="39" t="s">
        <v>74</v>
      </c>
      <c r="D296" s="39" t="s">
        <v>131</v>
      </c>
      <c r="E296" s="39" t="s">
        <v>131</v>
      </c>
      <c r="F296" s="39" t="s">
        <v>132</v>
      </c>
      <c r="G296" s="39" t="s">
        <v>139</v>
      </c>
      <c r="H296" s="40"/>
      <c r="I296" s="40"/>
      <c r="J296" s="40"/>
      <c r="K296" s="42">
        <v>46171</v>
      </c>
      <c r="L296" s="42"/>
      <c r="M296" s="44"/>
      <c r="N296" s="40"/>
      <c r="O296" s="40"/>
      <c r="P296" s="40"/>
      <c r="Q296" s="42">
        <f>IF(K296="","",K296)</f>
        <v>46171</v>
      </c>
      <c r="R296" s="39" t="s">
        <v>131</v>
      </c>
      <c r="S296" s="39" t="s">
        <v>134</v>
      </c>
      <c r="T296" s="39" t="s">
        <v>135</v>
      </c>
      <c r="U296" s="39"/>
      <c r="V296" s="39">
        <v>13</v>
      </c>
      <c r="W296" s="39" t="s">
        <v>436</v>
      </c>
      <c r="X296" s="41">
        <v>46160</v>
      </c>
      <c r="Y296" s="41">
        <v>46171</v>
      </c>
      <c r="Z296" s="43">
        <v>29.568000000000001</v>
      </c>
      <c r="AA296" s="45">
        <f>IF(M296&lt;&gt;"",M296,Z296)</f>
        <v>29.568000000000001</v>
      </c>
      <c r="AB296" s="46" t="str">
        <f>IF(L296&lt;&gt;"","Realizado","Previsto")</f>
        <v>Previsto</v>
      </c>
      <c r="AC296" s="47">
        <v>0.33</v>
      </c>
      <c r="AD296" s="43">
        <v>89.6</v>
      </c>
      <c r="AE296" s="39">
        <v>64</v>
      </c>
      <c r="AF296" s="39" t="s">
        <v>87</v>
      </c>
      <c r="AG296" s="43">
        <v>1.4</v>
      </c>
      <c r="AH296" s="39" t="s">
        <v>136</v>
      </c>
      <c r="AI296" s="39" t="s">
        <v>73</v>
      </c>
      <c r="AJ296" s="48">
        <f>IF(Q296&lt;&gt;"",Q296,IF(K296&lt;&gt;"",K296,""))</f>
        <v>46171</v>
      </c>
      <c r="AK296" s="46" t="str">
        <f>IF(K296&lt;&gt;"","Sim","")</f>
        <v>Sim</v>
      </c>
      <c r="AL296" s="46" t="str">
        <f>IF(A296="","",TEXT(A296,"000000")&amp;"-"&amp;IF(C296="Entrada","CR","DB"))</f>
        <v>000295-DB</v>
      </c>
      <c r="AM296" s="46" t="str">
        <f>IF(A296="","",LEFT(IF(H296&lt;&gt;"",H296,G296)&amp;" | "&amp;G296&amp;" | "&amp;S296,60))</f>
        <v>Joelho 45º PVC DN 40mm branco rígido para esgoto sanitário p</v>
      </c>
    </row>
    <row r="297" spans="1:39" ht="43.2" x14ac:dyDescent="0.3">
      <c r="A297" s="39">
        <v>296</v>
      </c>
      <c r="B297" s="39" t="s">
        <v>2</v>
      </c>
      <c r="C297" s="39" t="s">
        <v>74</v>
      </c>
      <c r="D297" s="39" t="s">
        <v>131</v>
      </c>
      <c r="E297" s="39" t="s">
        <v>131</v>
      </c>
      <c r="F297" s="39" t="s">
        <v>132</v>
      </c>
      <c r="G297" s="39" t="s">
        <v>140</v>
      </c>
      <c r="H297" s="40"/>
      <c r="I297" s="40"/>
      <c r="J297" s="40"/>
      <c r="K297" s="42">
        <v>46171</v>
      </c>
      <c r="L297" s="42"/>
      <c r="M297" s="44"/>
      <c r="N297" s="40"/>
      <c r="O297" s="40"/>
      <c r="P297" s="40"/>
      <c r="Q297" s="42">
        <f>IF(K297="","",K297)</f>
        <v>46171</v>
      </c>
      <c r="R297" s="39" t="s">
        <v>131</v>
      </c>
      <c r="S297" s="39" t="s">
        <v>134</v>
      </c>
      <c r="T297" s="39" t="s">
        <v>135</v>
      </c>
      <c r="U297" s="39"/>
      <c r="V297" s="39">
        <v>15</v>
      </c>
      <c r="W297" s="39" t="s">
        <v>436</v>
      </c>
      <c r="X297" s="41">
        <v>46160</v>
      </c>
      <c r="Y297" s="41">
        <v>46171</v>
      </c>
      <c r="Z297" s="43">
        <v>126.72</v>
      </c>
      <c r="AA297" s="45">
        <f>IF(M297&lt;&gt;"",M297,Z297)</f>
        <v>126.72</v>
      </c>
      <c r="AB297" s="46" t="str">
        <f>IF(L297&lt;&gt;"","Realizado","Previsto")</f>
        <v>Previsto</v>
      </c>
      <c r="AC297" s="47">
        <v>0.33</v>
      </c>
      <c r="AD297" s="43">
        <v>384</v>
      </c>
      <c r="AE297" s="39">
        <v>64</v>
      </c>
      <c r="AF297" s="39" t="s">
        <v>87</v>
      </c>
      <c r="AG297" s="43">
        <v>6</v>
      </c>
      <c r="AH297" s="39" t="s">
        <v>136</v>
      </c>
      <c r="AI297" s="39" t="s">
        <v>73</v>
      </c>
      <c r="AJ297" s="48">
        <f>IF(Q297&lt;&gt;"",Q297,IF(K297&lt;&gt;"",K297,""))</f>
        <v>46171</v>
      </c>
      <c r="AK297" s="46" t="str">
        <f>IF(K297&lt;&gt;"","Sim","")</f>
        <v>Sim</v>
      </c>
      <c r="AL297" s="46" t="str">
        <f>IF(A297="","",TEXT(A297,"000000")&amp;"-"&amp;IF(C297="Entrada","CR","DB"))</f>
        <v>000296-DB</v>
      </c>
      <c r="AM297" s="46" t="str">
        <f>IF(A297="","",LEFT(IF(H297&lt;&gt;"",H297,G297)&amp;" | "&amp;G297&amp;" | "&amp;S297,60))</f>
        <v>Joelho 45º PVC DN 50mm branco rígido para esgoto sanitário p</v>
      </c>
    </row>
    <row r="298" spans="1:39" ht="43.2" x14ac:dyDescent="0.3">
      <c r="A298" s="39">
        <v>297</v>
      </c>
      <c r="B298" s="39" t="s">
        <v>2</v>
      </c>
      <c r="C298" s="39" t="s">
        <v>74</v>
      </c>
      <c r="D298" s="39" t="s">
        <v>131</v>
      </c>
      <c r="E298" s="39" t="s">
        <v>131</v>
      </c>
      <c r="F298" s="39" t="s">
        <v>132</v>
      </c>
      <c r="G298" s="39" t="s">
        <v>141</v>
      </c>
      <c r="H298" s="40"/>
      <c r="I298" s="40"/>
      <c r="J298" s="40"/>
      <c r="K298" s="42">
        <v>46171</v>
      </c>
      <c r="L298" s="42"/>
      <c r="M298" s="44"/>
      <c r="N298" s="40"/>
      <c r="O298" s="40"/>
      <c r="P298" s="40"/>
      <c r="Q298" s="42">
        <f>IF(K298="","",K298)</f>
        <v>46171</v>
      </c>
      <c r="R298" s="39" t="s">
        <v>131</v>
      </c>
      <c r="S298" s="39" t="s">
        <v>134</v>
      </c>
      <c r="T298" s="39" t="s">
        <v>135</v>
      </c>
      <c r="U298" s="39"/>
      <c r="V298" s="39">
        <v>11</v>
      </c>
      <c r="W298" s="39" t="s">
        <v>436</v>
      </c>
      <c r="X298" s="41">
        <v>46160</v>
      </c>
      <c r="Y298" s="41">
        <v>46171</v>
      </c>
      <c r="Z298" s="43">
        <v>295.46879999999999</v>
      </c>
      <c r="AA298" s="45">
        <f>IF(M298&lt;&gt;"",M298,Z298)</f>
        <v>295.46879999999999</v>
      </c>
      <c r="AB298" s="46" t="str">
        <f>IF(L298&lt;&gt;"","Realizado","Previsto")</f>
        <v>Previsto</v>
      </c>
      <c r="AC298" s="47">
        <v>0.33</v>
      </c>
      <c r="AD298" s="43">
        <v>895.36</v>
      </c>
      <c r="AE298" s="39">
        <v>64</v>
      </c>
      <c r="AF298" s="39" t="s">
        <v>87</v>
      </c>
      <c r="AG298" s="43">
        <v>13.99</v>
      </c>
      <c r="AH298" s="39" t="s">
        <v>136</v>
      </c>
      <c r="AI298" s="39" t="s">
        <v>73</v>
      </c>
      <c r="AJ298" s="48">
        <f>IF(Q298&lt;&gt;"",Q298,IF(K298&lt;&gt;"",K298,""))</f>
        <v>46171</v>
      </c>
      <c r="AK298" s="46" t="str">
        <f>IF(K298&lt;&gt;"","Sim","")</f>
        <v>Sim</v>
      </c>
      <c r="AL298" s="46" t="str">
        <f>IF(A298="","",TEXT(A298,"000000")&amp;"-"&amp;IF(C298="Entrada","CR","DB"))</f>
        <v>000297-DB</v>
      </c>
      <c r="AM298" s="46" t="str">
        <f>IF(A298="","",LEFT(IF(H298&lt;&gt;"",H298,G298)&amp;" | "&amp;G298&amp;" | "&amp;S298,60))</f>
        <v xml:space="preserve">Joelho 90º PVC DN 100mm branco rígido para esgoto sanitário </v>
      </c>
    </row>
    <row r="299" spans="1:39" ht="43.2" x14ac:dyDescent="0.3">
      <c r="A299" s="39">
        <v>298</v>
      </c>
      <c r="B299" s="39" t="s">
        <v>2</v>
      </c>
      <c r="C299" s="39" t="s">
        <v>74</v>
      </c>
      <c r="D299" s="39" t="s">
        <v>131</v>
      </c>
      <c r="E299" s="39" t="s">
        <v>131</v>
      </c>
      <c r="F299" s="39" t="s">
        <v>132</v>
      </c>
      <c r="G299" s="39" t="s">
        <v>142</v>
      </c>
      <c r="H299" s="40"/>
      <c r="I299" s="40"/>
      <c r="J299" s="40"/>
      <c r="K299" s="42">
        <v>46171</v>
      </c>
      <c r="L299" s="42"/>
      <c r="M299" s="44"/>
      <c r="N299" s="40"/>
      <c r="O299" s="40"/>
      <c r="P299" s="40"/>
      <c r="Q299" s="42">
        <f>IF(K299="","",K299)</f>
        <v>46171</v>
      </c>
      <c r="R299" s="39" t="s">
        <v>131</v>
      </c>
      <c r="S299" s="39" t="s">
        <v>134</v>
      </c>
      <c r="T299" s="39" t="s">
        <v>135</v>
      </c>
      <c r="U299" s="39"/>
      <c r="V299" s="39">
        <v>12</v>
      </c>
      <c r="W299" s="39" t="s">
        <v>436</v>
      </c>
      <c r="X299" s="41">
        <v>46160</v>
      </c>
      <c r="Y299" s="41">
        <v>46171</v>
      </c>
      <c r="Z299" s="43">
        <v>130.52160000000001</v>
      </c>
      <c r="AA299" s="45">
        <f>IF(M299&lt;&gt;"",M299,Z299)</f>
        <v>130.52160000000001</v>
      </c>
      <c r="AB299" s="46" t="str">
        <f>IF(L299&lt;&gt;"","Realizado","Previsto")</f>
        <v>Previsto</v>
      </c>
      <c r="AC299" s="47">
        <v>0.33</v>
      </c>
      <c r="AD299" s="43">
        <v>395.52</v>
      </c>
      <c r="AE299" s="39">
        <v>128</v>
      </c>
      <c r="AF299" s="39" t="s">
        <v>87</v>
      </c>
      <c r="AG299" s="43">
        <v>3.09</v>
      </c>
      <c r="AH299" s="39" t="s">
        <v>136</v>
      </c>
      <c r="AI299" s="39" t="s">
        <v>73</v>
      </c>
      <c r="AJ299" s="48">
        <f>IF(Q299&lt;&gt;"",Q299,IF(K299&lt;&gt;"",K299,""))</f>
        <v>46171</v>
      </c>
      <c r="AK299" s="46" t="str">
        <f>IF(K299&lt;&gt;"","Sim","")</f>
        <v>Sim</v>
      </c>
      <c r="AL299" s="46" t="str">
        <f>IF(A299="","",TEXT(A299,"000000")&amp;"-"&amp;IF(C299="Entrada","CR","DB"))</f>
        <v>000298-DB</v>
      </c>
      <c r="AM299" s="46" t="str">
        <f>IF(A299="","",LEFT(IF(H299&lt;&gt;"",H299,G299)&amp;" | "&amp;G299&amp;" | "&amp;S299,60))</f>
        <v>Joelho 90º PVC DN 40mm branco rígido para esgoto sanitário p</v>
      </c>
    </row>
    <row r="300" spans="1:39" ht="43.2" x14ac:dyDescent="0.3">
      <c r="A300" s="39">
        <v>299</v>
      </c>
      <c r="B300" s="39" t="s">
        <v>2</v>
      </c>
      <c r="C300" s="39" t="s">
        <v>74</v>
      </c>
      <c r="D300" s="39" t="s">
        <v>131</v>
      </c>
      <c r="E300" s="39" t="s">
        <v>131</v>
      </c>
      <c r="F300" s="39" t="s">
        <v>132</v>
      </c>
      <c r="G300" s="39" t="s">
        <v>143</v>
      </c>
      <c r="H300" s="40"/>
      <c r="I300" s="40"/>
      <c r="J300" s="40"/>
      <c r="K300" s="42">
        <v>46171</v>
      </c>
      <c r="L300" s="42"/>
      <c r="M300" s="44"/>
      <c r="N300" s="40"/>
      <c r="O300" s="40"/>
      <c r="P300" s="40"/>
      <c r="Q300" s="42">
        <f>IF(K300="","",K300)</f>
        <v>46171</v>
      </c>
      <c r="R300" s="39" t="s">
        <v>131</v>
      </c>
      <c r="S300" s="39" t="s">
        <v>134</v>
      </c>
      <c r="T300" s="39" t="s">
        <v>135</v>
      </c>
      <c r="U300" s="39"/>
      <c r="V300" s="39">
        <v>14</v>
      </c>
      <c r="W300" s="39" t="s">
        <v>436</v>
      </c>
      <c r="X300" s="41">
        <v>46160</v>
      </c>
      <c r="Y300" s="41">
        <v>46171</v>
      </c>
      <c r="Z300" s="43">
        <v>724.83840000000009</v>
      </c>
      <c r="AA300" s="45">
        <f>IF(M300&lt;&gt;"",M300,Z300)</f>
        <v>724.83840000000009</v>
      </c>
      <c r="AB300" s="46" t="str">
        <f>IF(L300&lt;&gt;"","Realizado","Previsto")</f>
        <v>Previsto</v>
      </c>
      <c r="AC300" s="47">
        <v>0.33</v>
      </c>
      <c r="AD300" s="43">
        <v>2196.48</v>
      </c>
      <c r="AE300" s="39">
        <v>384</v>
      </c>
      <c r="AF300" s="39" t="s">
        <v>87</v>
      </c>
      <c r="AG300" s="43">
        <v>5.72</v>
      </c>
      <c r="AH300" s="39" t="s">
        <v>136</v>
      </c>
      <c r="AI300" s="39" t="s">
        <v>73</v>
      </c>
      <c r="AJ300" s="48">
        <f>IF(Q300&lt;&gt;"",Q300,IF(K300&lt;&gt;"",K300,""))</f>
        <v>46171</v>
      </c>
      <c r="AK300" s="46" t="str">
        <f>IF(K300&lt;&gt;"","Sim","")</f>
        <v>Sim</v>
      </c>
      <c r="AL300" s="46" t="str">
        <f>IF(A300="","",TEXT(A300,"000000")&amp;"-"&amp;IF(C300="Entrada","CR","DB"))</f>
        <v>000299-DB</v>
      </c>
      <c r="AM300" s="46" t="str">
        <f>IF(A300="","",LEFT(IF(H300&lt;&gt;"",H300,G300)&amp;" | "&amp;G300&amp;" | "&amp;S300,60))</f>
        <v>Joelho 90º PVC DN 50mm branco junta elástica para esgoto san</v>
      </c>
    </row>
    <row r="301" spans="1:39" ht="43.2" x14ac:dyDescent="0.3">
      <c r="A301" s="39">
        <v>300</v>
      </c>
      <c r="B301" s="39" t="s">
        <v>2</v>
      </c>
      <c r="C301" s="39" t="s">
        <v>74</v>
      </c>
      <c r="D301" s="39" t="s">
        <v>131</v>
      </c>
      <c r="E301" s="39" t="s">
        <v>131</v>
      </c>
      <c r="F301" s="39" t="s">
        <v>132</v>
      </c>
      <c r="G301" s="39" t="s">
        <v>144</v>
      </c>
      <c r="H301" s="40"/>
      <c r="I301" s="40"/>
      <c r="J301" s="40"/>
      <c r="K301" s="42">
        <v>46171</v>
      </c>
      <c r="L301" s="42"/>
      <c r="M301" s="44"/>
      <c r="N301" s="40"/>
      <c r="O301" s="40"/>
      <c r="P301" s="40"/>
      <c r="Q301" s="42">
        <f>IF(K301="","",K301)</f>
        <v>46171</v>
      </c>
      <c r="R301" s="39" t="s">
        <v>131</v>
      </c>
      <c r="S301" s="39" t="s">
        <v>134</v>
      </c>
      <c r="T301" s="39" t="s">
        <v>135</v>
      </c>
      <c r="U301" s="39"/>
      <c r="V301" s="39">
        <v>25</v>
      </c>
      <c r="W301" s="39" t="s">
        <v>436</v>
      </c>
      <c r="X301" s="41">
        <v>46160</v>
      </c>
      <c r="Y301" s="41">
        <v>46171</v>
      </c>
      <c r="Z301" s="43">
        <v>40.128</v>
      </c>
      <c r="AA301" s="45">
        <f>IF(M301&lt;&gt;"",M301,Z301)</f>
        <v>40.128</v>
      </c>
      <c r="AB301" s="46" t="str">
        <f>IF(L301&lt;&gt;"","Realizado","Previsto")</f>
        <v>Previsto</v>
      </c>
      <c r="AC301" s="47">
        <v>0.33</v>
      </c>
      <c r="AD301" s="43">
        <v>121.6</v>
      </c>
      <c r="AE301" s="39">
        <v>128</v>
      </c>
      <c r="AF301" s="39" t="s">
        <v>87</v>
      </c>
      <c r="AG301" s="43">
        <v>0.95</v>
      </c>
      <c r="AH301" s="39" t="s">
        <v>136</v>
      </c>
      <c r="AI301" s="39" t="s">
        <v>73</v>
      </c>
      <c r="AJ301" s="48">
        <f>IF(Q301&lt;&gt;"",Q301,IF(K301&lt;&gt;"",K301,""))</f>
        <v>46171</v>
      </c>
      <c r="AK301" s="46" t="str">
        <f>IF(K301&lt;&gt;"","Sim","")</f>
        <v>Sim</v>
      </c>
      <c r="AL301" s="46" t="str">
        <f>IF(A301="","",TEXT(A301,"000000")&amp;"-"&amp;IF(C301="Entrada","CR","DB"))</f>
        <v>000300-DB</v>
      </c>
      <c r="AM301" s="46" t="str">
        <f>IF(A301="","",LEFT(IF(H301&lt;&gt;"",H301,G301)&amp;" | "&amp;G301&amp;" | "&amp;S301,60))</f>
        <v>Joelho 90º marrom DN 25mm soldável para água fria | Joelho 9</v>
      </c>
    </row>
    <row r="302" spans="1:39" ht="43.2" x14ac:dyDescent="0.3">
      <c r="A302" s="39">
        <v>301</v>
      </c>
      <c r="B302" s="39" t="s">
        <v>2</v>
      </c>
      <c r="C302" s="39" t="s">
        <v>74</v>
      </c>
      <c r="D302" s="39" t="s">
        <v>131</v>
      </c>
      <c r="E302" s="39" t="s">
        <v>131</v>
      </c>
      <c r="F302" s="39" t="s">
        <v>132</v>
      </c>
      <c r="G302" s="39" t="s">
        <v>145</v>
      </c>
      <c r="H302" s="40"/>
      <c r="I302" s="40"/>
      <c r="J302" s="40"/>
      <c r="K302" s="42">
        <v>46171</v>
      </c>
      <c r="L302" s="42"/>
      <c r="M302" s="44"/>
      <c r="N302" s="40"/>
      <c r="O302" s="40"/>
      <c r="P302" s="40"/>
      <c r="Q302" s="42">
        <f>IF(K302="","",K302)</f>
        <v>46171</v>
      </c>
      <c r="R302" s="39" t="s">
        <v>131</v>
      </c>
      <c r="S302" s="39" t="s">
        <v>134</v>
      </c>
      <c r="T302" s="39" t="s">
        <v>135</v>
      </c>
      <c r="U302" s="39"/>
      <c r="V302" s="39">
        <v>17</v>
      </c>
      <c r="W302" s="39" t="s">
        <v>436</v>
      </c>
      <c r="X302" s="41">
        <v>46160</v>
      </c>
      <c r="Y302" s="41">
        <v>46171</v>
      </c>
      <c r="Z302" s="43">
        <v>455.34719999999999</v>
      </c>
      <c r="AA302" s="45">
        <f>IF(M302&lt;&gt;"",M302,Z302)</f>
        <v>455.34719999999999</v>
      </c>
      <c r="AB302" s="46" t="str">
        <f>IF(L302&lt;&gt;"","Realizado","Previsto")</f>
        <v>Previsto</v>
      </c>
      <c r="AC302" s="47">
        <v>0.33</v>
      </c>
      <c r="AD302" s="43">
        <v>1379.84</v>
      </c>
      <c r="AE302" s="39">
        <v>64</v>
      </c>
      <c r="AF302" s="39" t="s">
        <v>87</v>
      </c>
      <c r="AG302" s="43">
        <v>21.56</v>
      </c>
      <c r="AH302" s="39" t="s">
        <v>136</v>
      </c>
      <c r="AI302" s="39" t="s">
        <v>73</v>
      </c>
      <c r="AJ302" s="48">
        <f>IF(Q302&lt;&gt;"",Q302,IF(K302&lt;&gt;"",K302,""))</f>
        <v>46171</v>
      </c>
      <c r="AK302" s="46" t="str">
        <f>IF(K302&lt;&gt;"","Sim","")</f>
        <v>Sim</v>
      </c>
      <c r="AL302" s="46" t="str">
        <f>IF(A302="","",TEXT(A302,"000000")&amp;"-"&amp;IF(C302="Entrada","CR","DB"))</f>
        <v>000301-DB</v>
      </c>
      <c r="AM302" s="46" t="str">
        <f>IF(A302="","",LEFT(IF(H302&lt;&gt;"",H302,G302)&amp;" | "&amp;G302&amp;" | "&amp;S302,60))</f>
        <v>Junção de Redução invertica PVC DN 100x50mm branco rígido pa</v>
      </c>
    </row>
    <row r="303" spans="1:39" ht="43.2" x14ac:dyDescent="0.3">
      <c r="A303" s="39">
        <v>302</v>
      </c>
      <c r="B303" s="39" t="s">
        <v>2</v>
      </c>
      <c r="C303" s="39" t="s">
        <v>74</v>
      </c>
      <c r="D303" s="39" t="s">
        <v>131</v>
      </c>
      <c r="E303" s="39" t="s">
        <v>131</v>
      </c>
      <c r="F303" s="39" t="s">
        <v>132</v>
      </c>
      <c r="G303" s="39" t="s">
        <v>146</v>
      </c>
      <c r="H303" s="40"/>
      <c r="I303" s="40"/>
      <c r="J303" s="40"/>
      <c r="K303" s="42">
        <v>46171</v>
      </c>
      <c r="L303" s="42"/>
      <c r="M303" s="44"/>
      <c r="N303" s="40"/>
      <c r="O303" s="40"/>
      <c r="P303" s="40"/>
      <c r="Q303" s="42">
        <f>IF(K303="","",K303)</f>
        <v>46171</v>
      </c>
      <c r="R303" s="39" t="s">
        <v>131</v>
      </c>
      <c r="S303" s="39" t="s">
        <v>134</v>
      </c>
      <c r="T303" s="39" t="s">
        <v>135</v>
      </c>
      <c r="U303" s="39"/>
      <c r="V303" s="39">
        <v>16</v>
      </c>
      <c r="W303" s="39" t="s">
        <v>436</v>
      </c>
      <c r="X303" s="41">
        <v>46160</v>
      </c>
      <c r="Y303" s="41">
        <v>46171</v>
      </c>
      <c r="Z303" s="43">
        <v>379.73759999999999</v>
      </c>
      <c r="AA303" s="45">
        <f>IF(M303&lt;&gt;"",M303,Z303)</f>
        <v>379.73759999999999</v>
      </c>
      <c r="AB303" s="46" t="str">
        <f>IF(L303&lt;&gt;"","Realizado","Previsto")</f>
        <v>Previsto</v>
      </c>
      <c r="AC303" s="47">
        <v>0.33</v>
      </c>
      <c r="AD303" s="43">
        <v>1150.72</v>
      </c>
      <c r="AE303" s="39">
        <v>64</v>
      </c>
      <c r="AF303" s="39" t="s">
        <v>87</v>
      </c>
      <c r="AG303" s="43">
        <v>17.98</v>
      </c>
      <c r="AH303" s="39" t="s">
        <v>136</v>
      </c>
      <c r="AI303" s="39" t="s">
        <v>73</v>
      </c>
      <c r="AJ303" s="48">
        <f>IF(Q303&lt;&gt;"",Q303,IF(K303&lt;&gt;"",K303,""))</f>
        <v>46171</v>
      </c>
      <c r="AK303" s="46" t="str">
        <f>IF(K303&lt;&gt;"","Sim","")</f>
        <v>Sim</v>
      </c>
      <c r="AL303" s="46" t="str">
        <f>IF(A303="","",TEXT(A303,"000000")&amp;"-"&amp;IF(C303="Entrada","CR","DB"))</f>
        <v>000302-DB</v>
      </c>
      <c r="AM303" s="46" t="str">
        <f>IF(A303="","",LEFT(IF(H303&lt;&gt;"",H303,G303)&amp;" | "&amp;G303&amp;" | "&amp;S303,60))</f>
        <v>Junção simples PVC DN 50x50mm branco rígido para esgoto sani</v>
      </c>
    </row>
    <row r="304" spans="1:39" ht="43.2" x14ac:dyDescent="0.3">
      <c r="A304" s="39">
        <v>303</v>
      </c>
      <c r="B304" s="39" t="s">
        <v>2</v>
      </c>
      <c r="C304" s="39" t="s">
        <v>74</v>
      </c>
      <c r="D304" s="39" t="s">
        <v>131</v>
      </c>
      <c r="E304" s="39" t="s">
        <v>131</v>
      </c>
      <c r="F304" s="39" t="s">
        <v>132</v>
      </c>
      <c r="G304" s="39" t="s">
        <v>147</v>
      </c>
      <c r="H304" s="40"/>
      <c r="I304" s="40"/>
      <c r="J304" s="40"/>
      <c r="K304" s="42">
        <v>46171</v>
      </c>
      <c r="L304" s="42"/>
      <c r="M304" s="44"/>
      <c r="N304" s="40"/>
      <c r="O304" s="40"/>
      <c r="P304" s="40"/>
      <c r="Q304" s="42">
        <f>IF(K304="","",K304)</f>
        <v>46171</v>
      </c>
      <c r="R304" s="39" t="s">
        <v>131</v>
      </c>
      <c r="S304" s="39" t="s">
        <v>134</v>
      </c>
      <c r="T304" s="39" t="s">
        <v>135</v>
      </c>
      <c r="U304" s="39"/>
      <c r="V304" s="39">
        <v>22</v>
      </c>
      <c r="W304" s="39" t="s">
        <v>436</v>
      </c>
      <c r="X304" s="41">
        <v>46160</v>
      </c>
      <c r="Y304" s="41">
        <v>46171</v>
      </c>
      <c r="Z304" s="43">
        <v>35.692799999999998</v>
      </c>
      <c r="AA304" s="45">
        <f>IF(M304&lt;&gt;"",M304,Z304)</f>
        <v>35.692799999999998</v>
      </c>
      <c r="AB304" s="46" t="str">
        <f>IF(L304&lt;&gt;"","Realizado","Previsto")</f>
        <v>Previsto</v>
      </c>
      <c r="AC304" s="47">
        <v>0.33</v>
      </c>
      <c r="AD304" s="43">
        <v>108.16</v>
      </c>
      <c r="AE304" s="39">
        <v>64</v>
      </c>
      <c r="AF304" s="39" t="s">
        <v>87</v>
      </c>
      <c r="AG304" s="43">
        <v>1.69</v>
      </c>
      <c r="AH304" s="39" t="s">
        <v>136</v>
      </c>
      <c r="AI304" s="39" t="s">
        <v>73</v>
      </c>
      <c r="AJ304" s="48">
        <f>IF(Q304&lt;&gt;"",Q304,IF(K304&lt;&gt;"",K304,""))</f>
        <v>46171</v>
      </c>
      <c r="AK304" s="46" t="str">
        <f>IF(K304&lt;&gt;"","Sim","")</f>
        <v>Sim</v>
      </c>
      <c r="AL304" s="46" t="str">
        <f>IF(A304="","",TEXT(A304,"000000")&amp;"-"&amp;IF(C304="Entrada","CR","DB"))</f>
        <v>000303-DB</v>
      </c>
      <c r="AM304" s="46" t="str">
        <f>IF(A304="","",LEFT(IF(H304&lt;&gt;"",H304,G304)&amp;" | "&amp;G304&amp;" | "&amp;S304,60))</f>
        <v>Lixa ferro p/cano pvc 100 | Lixa ferro p/cano pvc 100 | Saíd</v>
      </c>
    </row>
    <row r="305" spans="1:39" ht="43.2" x14ac:dyDescent="0.3">
      <c r="A305" s="39">
        <v>304</v>
      </c>
      <c r="B305" s="39" t="s">
        <v>2</v>
      </c>
      <c r="C305" s="39" t="s">
        <v>74</v>
      </c>
      <c r="D305" s="39" t="s">
        <v>131</v>
      </c>
      <c r="E305" s="39" t="s">
        <v>131</v>
      </c>
      <c r="F305" s="39" t="s">
        <v>132</v>
      </c>
      <c r="G305" s="39" t="s">
        <v>148</v>
      </c>
      <c r="H305" s="40"/>
      <c r="I305" s="40"/>
      <c r="J305" s="40"/>
      <c r="K305" s="42">
        <v>46171</v>
      </c>
      <c r="L305" s="42"/>
      <c r="M305" s="44"/>
      <c r="N305" s="40"/>
      <c r="O305" s="40"/>
      <c r="P305" s="40"/>
      <c r="Q305" s="42">
        <f>IF(K305="","",K305)</f>
        <v>46171</v>
      </c>
      <c r="R305" s="39" t="s">
        <v>131</v>
      </c>
      <c r="S305" s="39" t="s">
        <v>134</v>
      </c>
      <c r="T305" s="39" t="s">
        <v>135</v>
      </c>
      <c r="U305" s="39"/>
      <c r="V305" s="39">
        <v>23</v>
      </c>
      <c r="W305" s="39" t="s">
        <v>436</v>
      </c>
      <c r="X305" s="41">
        <v>46160</v>
      </c>
      <c r="Y305" s="41">
        <v>46171</v>
      </c>
      <c r="Z305" s="43">
        <v>296.80991999999998</v>
      </c>
      <c r="AA305" s="45">
        <f>IF(M305&lt;&gt;"",M305,Z305)</f>
        <v>296.80991999999998</v>
      </c>
      <c r="AB305" s="46" t="str">
        <f>IF(L305&lt;&gt;"","Realizado","Previsto")</f>
        <v>Previsto</v>
      </c>
      <c r="AC305" s="47">
        <v>0.33</v>
      </c>
      <c r="AD305" s="43">
        <v>899.42399999999998</v>
      </c>
      <c r="AE305" s="39">
        <v>9.6</v>
      </c>
      <c r="AF305" s="39" t="s">
        <v>149</v>
      </c>
      <c r="AG305" s="43">
        <v>93.69</v>
      </c>
      <c r="AH305" s="39" t="s">
        <v>136</v>
      </c>
      <c r="AI305" s="39" t="s">
        <v>73</v>
      </c>
      <c r="AJ305" s="48">
        <f>IF(Q305&lt;&gt;"",Q305,IF(K305&lt;&gt;"",K305,""))</f>
        <v>46171</v>
      </c>
      <c r="AK305" s="46" t="str">
        <f>IF(K305&lt;&gt;"","Sim","")</f>
        <v>Sim</v>
      </c>
      <c r="AL305" s="46" t="str">
        <f>IF(A305="","",TEXT(A305,"000000")&amp;"-"&amp;IF(C305="Entrada","CR","DB"))</f>
        <v>000304-DB</v>
      </c>
      <c r="AM305" s="46" t="str">
        <f>IF(A305="","",LEFT(IF(H305&lt;&gt;"",H305,G305)&amp;" | "&amp;G305&amp;" | "&amp;S305,60))</f>
        <v xml:space="preserve">Pasta lubrufucante 1 KG | Pasta lubrufucante 1 KG | Saída | </v>
      </c>
    </row>
    <row r="306" spans="1:39" ht="43.2" x14ac:dyDescent="0.3">
      <c r="A306" s="39">
        <v>305</v>
      </c>
      <c r="B306" s="39" t="s">
        <v>2</v>
      </c>
      <c r="C306" s="39" t="s">
        <v>74</v>
      </c>
      <c r="D306" s="39" t="s">
        <v>131</v>
      </c>
      <c r="E306" s="39" t="s">
        <v>131</v>
      </c>
      <c r="F306" s="39" t="s">
        <v>132</v>
      </c>
      <c r="G306" s="39" t="s">
        <v>150</v>
      </c>
      <c r="H306" s="40"/>
      <c r="I306" s="40"/>
      <c r="J306" s="40"/>
      <c r="K306" s="42">
        <v>46171</v>
      </c>
      <c r="L306" s="42"/>
      <c r="M306" s="44"/>
      <c r="N306" s="40"/>
      <c r="O306" s="40"/>
      <c r="P306" s="40"/>
      <c r="Q306" s="42">
        <f>IF(K306="","",K306)</f>
        <v>46171</v>
      </c>
      <c r="R306" s="39" t="s">
        <v>131</v>
      </c>
      <c r="S306" s="39" t="s">
        <v>134</v>
      </c>
      <c r="T306" s="39" t="s">
        <v>135</v>
      </c>
      <c r="U306" s="39"/>
      <c r="V306" s="39">
        <v>20</v>
      </c>
      <c r="W306" s="39" t="s">
        <v>436</v>
      </c>
      <c r="X306" s="41">
        <v>46160</v>
      </c>
      <c r="Y306" s="41">
        <v>46171</v>
      </c>
      <c r="Z306" s="43">
        <v>211.2</v>
      </c>
      <c r="AA306" s="45">
        <f>IF(M306&lt;&gt;"",M306,Z306)</f>
        <v>211.2</v>
      </c>
      <c r="AB306" s="46" t="str">
        <f>IF(L306&lt;&gt;"","Realizado","Previsto")</f>
        <v>Previsto</v>
      </c>
      <c r="AC306" s="47">
        <v>0.33</v>
      </c>
      <c r="AD306" s="43">
        <v>640</v>
      </c>
      <c r="AE306" s="39">
        <v>64</v>
      </c>
      <c r="AF306" s="39" t="s">
        <v>87</v>
      </c>
      <c r="AG306" s="43">
        <v>10</v>
      </c>
      <c r="AH306" s="39" t="s">
        <v>136</v>
      </c>
      <c r="AI306" s="39" t="s">
        <v>73</v>
      </c>
      <c r="AJ306" s="48">
        <f>IF(Q306&lt;&gt;"",Q306,IF(K306&lt;&gt;"",K306,""))</f>
        <v>46171</v>
      </c>
      <c r="AK306" s="46" t="str">
        <f>IF(K306&lt;&gt;"","Sim","")</f>
        <v>Sim</v>
      </c>
      <c r="AL306" s="46" t="str">
        <f>IF(A306="","",TEXT(A306,"000000")&amp;"-"&amp;IF(C306="Entrada","CR","DB"))</f>
        <v>000305-DB</v>
      </c>
      <c r="AM306" s="46" t="str">
        <f>IF(A306="","",LEFT(IF(H306&lt;&gt;"",H306,G306)&amp;" | "&amp;G306&amp;" | "&amp;S306,60))</f>
        <v>Ralo seco PVC DN100x40mm Junta soldável para esgoto sanitári</v>
      </c>
    </row>
    <row r="307" spans="1:39" ht="43.2" x14ac:dyDescent="0.3">
      <c r="A307" s="39">
        <v>306</v>
      </c>
      <c r="B307" s="39" t="s">
        <v>2</v>
      </c>
      <c r="C307" s="39" t="s">
        <v>74</v>
      </c>
      <c r="D307" s="39" t="s">
        <v>131</v>
      </c>
      <c r="E307" s="39" t="s">
        <v>131</v>
      </c>
      <c r="F307" s="39" t="s">
        <v>132</v>
      </c>
      <c r="G307" s="39" t="s">
        <v>151</v>
      </c>
      <c r="H307" s="40"/>
      <c r="I307" s="40"/>
      <c r="J307" s="40"/>
      <c r="K307" s="42">
        <v>46171</v>
      </c>
      <c r="L307" s="42"/>
      <c r="M307" s="44"/>
      <c r="N307" s="40"/>
      <c r="O307" s="40"/>
      <c r="P307" s="40"/>
      <c r="Q307" s="42">
        <f>IF(K307="","",K307)</f>
        <v>46171</v>
      </c>
      <c r="R307" s="39" t="s">
        <v>131</v>
      </c>
      <c r="S307" s="39" t="s">
        <v>134</v>
      </c>
      <c r="T307" s="39" t="s">
        <v>135</v>
      </c>
      <c r="U307" s="39"/>
      <c r="V307" s="39">
        <v>18</v>
      </c>
      <c r="W307" s="39" t="s">
        <v>436</v>
      </c>
      <c r="X307" s="41">
        <v>46160</v>
      </c>
      <c r="Y307" s="41">
        <v>46171</v>
      </c>
      <c r="Z307" s="43">
        <v>104.7552</v>
      </c>
      <c r="AA307" s="45">
        <f>IF(M307&lt;&gt;"",M307,Z307)</f>
        <v>104.7552</v>
      </c>
      <c r="AB307" s="46" t="str">
        <f>IF(L307&lt;&gt;"","Realizado","Previsto")</f>
        <v>Previsto</v>
      </c>
      <c r="AC307" s="47">
        <v>0.33</v>
      </c>
      <c r="AD307" s="43">
        <v>317.44</v>
      </c>
      <c r="AE307" s="39">
        <v>64</v>
      </c>
      <c r="AF307" s="39" t="s">
        <v>87</v>
      </c>
      <c r="AG307" s="43">
        <v>4.96</v>
      </c>
      <c r="AH307" s="39" t="s">
        <v>136</v>
      </c>
      <c r="AI307" s="39" t="s">
        <v>73</v>
      </c>
      <c r="AJ307" s="48">
        <f>IF(Q307&lt;&gt;"",Q307,IF(K307&lt;&gt;"",K307,""))</f>
        <v>46171</v>
      </c>
      <c r="AK307" s="46" t="str">
        <f>IF(K307&lt;&gt;"","Sim","")</f>
        <v>Sim</v>
      </c>
      <c r="AL307" s="46" t="str">
        <f>IF(A307="","",TEXT(A307,"000000")&amp;"-"&amp;IF(C307="Entrada","CR","DB"))</f>
        <v>000306-DB</v>
      </c>
      <c r="AM307" s="46" t="str">
        <f>IF(A307="","",LEFT(IF(H307&lt;&gt;"",H307,G307)&amp;" | "&amp;G307&amp;" | "&amp;S307,60))</f>
        <v>TE DN 50x50mm PVC branco rígido para esgoto sanitário predia</v>
      </c>
    </row>
    <row r="308" spans="1:39" ht="43.2" x14ac:dyDescent="0.3">
      <c r="A308" s="39">
        <v>307</v>
      </c>
      <c r="B308" s="39" t="s">
        <v>2</v>
      </c>
      <c r="C308" s="39" t="s">
        <v>74</v>
      </c>
      <c r="D308" s="39" t="s">
        <v>131</v>
      </c>
      <c r="E308" s="39" t="s">
        <v>131</v>
      </c>
      <c r="F308" s="39" t="s">
        <v>132</v>
      </c>
      <c r="G308" s="39" t="s">
        <v>152</v>
      </c>
      <c r="H308" s="40"/>
      <c r="I308" s="40"/>
      <c r="J308" s="40"/>
      <c r="K308" s="42">
        <v>46171</v>
      </c>
      <c r="L308" s="42"/>
      <c r="M308" s="44"/>
      <c r="N308" s="40"/>
      <c r="O308" s="40"/>
      <c r="P308" s="40"/>
      <c r="Q308" s="42">
        <f>IF(K308="","",K308)</f>
        <v>46171</v>
      </c>
      <c r="R308" s="39" t="s">
        <v>131</v>
      </c>
      <c r="S308" s="39" t="s">
        <v>134</v>
      </c>
      <c r="T308" s="39" t="s">
        <v>135</v>
      </c>
      <c r="U308" s="39"/>
      <c r="V308" s="39">
        <v>26</v>
      </c>
      <c r="W308" s="39" t="s">
        <v>436</v>
      </c>
      <c r="X308" s="41">
        <v>46160</v>
      </c>
      <c r="Y308" s="41">
        <v>46171</v>
      </c>
      <c r="Z308" s="43">
        <v>339.39839999999998</v>
      </c>
      <c r="AA308" s="45">
        <f>IF(M308&lt;&gt;"",M308,Z308)</f>
        <v>339.39839999999998</v>
      </c>
      <c r="AB308" s="46" t="str">
        <f>IF(L308&lt;&gt;"","Realizado","Previsto")</f>
        <v>Previsto</v>
      </c>
      <c r="AC308" s="47">
        <v>0.33</v>
      </c>
      <c r="AD308" s="43">
        <v>1028.48</v>
      </c>
      <c r="AE308" s="39">
        <v>64</v>
      </c>
      <c r="AF308" s="39" t="s">
        <v>153</v>
      </c>
      <c r="AG308" s="43">
        <v>16.07</v>
      </c>
      <c r="AH308" s="39" t="s">
        <v>136</v>
      </c>
      <c r="AI308" s="39" t="s">
        <v>73</v>
      </c>
      <c r="AJ308" s="48">
        <f>IF(Q308&lt;&gt;"",Q308,IF(K308&lt;&gt;"",K308,""))</f>
        <v>46171</v>
      </c>
      <c r="AK308" s="46" t="str">
        <f>IF(K308&lt;&gt;"","Sim","")</f>
        <v>Sim</v>
      </c>
      <c r="AL308" s="46" t="str">
        <f>IF(A308="","",TEXT(A308,"000000")&amp;"-"&amp;IF(C308="Entrada","CR","DB"))</f>
        <v>000307-DB</v>
      </c>
      <c r="AM308" s="46" t="str">
        <f>IF(A308="","",LEFT(IF(H308&lt;&gt;"",H308,G308)&amp;" | "&amp;G308&amp;" | "&amp;S308,60))</f>
        <v>Tubo DN 25 mm, PVC Rígido Soldável Marrom | Tubo DN 25 mm, P</v>
      </c>
    </row>
    <row r="309" spans="1:39" ht="43.2" x14ac:dyDescent="0.3">
      <c r="A309" s="39">
        <v>308</v>
      </c>
      <c r="B309" s="39" t="s">
        <v>2</v>
      </c>
      <c r="C309" s="39" t="s">
        <v>74</v>
      </c>
      <c r="D309" s="39" t="s">
        <v>131</v>
      </c>
      <c r="E309" s="39" t="s">
        <v>131</v>
      </c>
      <c r="F309" s="39" t="s">
        <v>132</v>
      </c>
      <c r="G309" s="39" t="s">
        <v>154</v>
      </c>
      <c r="H309" s="40"/>
      <c r="I309" s="40"/>
      <c r="J309" s="40"/>
      <c r="K309" s="42">
        <v>46171</v>
      </c>
      <c r="L309" s="42"/>
      <c r="M309" s="44"/>
      <c r="N309" s="40"/>
      <c r="O309" s="40"/>
      <c r="P309" s="40"/>
      <c r="Q309" s="42">
        <f>IF(K309="","",K309)</f>
        <v>46171</v>
      </c>
      <c r="R309" s="39" t="s">
        <v>131</v>
      </c>
      <c r="S309" s="39" t="s">
        <v>134</v>
      </c>
      <c r="T309" s="39" t="s">
        <v>135</v>
      </c>
      <c r="U309" s="39"/>
      <c r="V309" s="39">
        <v>10</v>
      </c>
      <c r="W309" s="39" t="s">
        <v>436</v>
      </c>
      <c r="X309" s="41">
        <v>46160</v>
      </c>
      <c r="Y309" s="41">
        <v>46171</v>
      </c>
      <c r="Z309" s="43">
        <v>742.49472000000014</v>
      </c>
      <c r="AA309" s="45">
        <f>IF(M309&lt;&gt;"",M309,Z309)</f>
        <v>742.49472000000014</v>
      </c>
      <c r="AB309" s="46" t="str">
        <f>IF(L309&lt;&gt;"","Realizado","Previsto")</f>
        <v>Previsto</v>
      </c>
      <c r="AC309" s="47">
        <v>0.33</v>
      </c>
      <c r="AD309" s="43">
        <v>2249.9839999999999</v>
      </c>
      <c r="AE309" s="39">
        <v>140.80000000000001</v>
      </c>
      <c r="AF309" s="39" t="s">
        <v>155</v>
      </c>
      <c r="AG309" s="43">
        <v>15.98</v>
      </c>
      <c r="AH309" s="39" t="s">
        <v>136</v>
      </c>
      <c r="AI309" s="39" t="s">
        <v>73</v>
      </c>
      <c r="AJ309" s="48">
        <f>IF(Q309&lt;&gt;"",Q309,IF(K309&lt;&gt;"",K309,""))</f>
        <v>46171</v>
      </c>
      <c r="AK309" s="46" t="str">
        <f>IF(K309&lt;&gt;"","Sim","")</f>
        <v>Sim</v>
      </c>
      <c r="AL309" s="46" t="str">
        <f>IF(A309="","",TEXT(A309,"000000")&amp;"-"&amp;IF(C309="Entrada","CR","DB"))</f>
        <v>000308-DB</v>
      </c>
      <c r="AM309" s="46" t="str">
        <f>IF(A309="","",LEFT(IF(H309&lt;&gt;"",H309,G309)&amp;" | "&amp;G309&amp;" | "&amp;S309,60))</f>
        <v>Tubo PVC DN 100mm branco rígido para esgoto sanitário | Tubo</v>
      </c>
    </row>
    <row r="310" spans="1:39" ht="43.2" x14ac:dyDescent="0.3">
      <c r="A310" s="39">
        <v>309</v>
      </c>
      <c r="B310" s="39" t="s">
        <v>2</v>
      </c>
      <c r="C310" s="39" t="s">
        <v>74</v>
      </c>
      <c r="D310" s="39" t="s">
        <v>131</v>
      </c>
      <c r="E310" s="39" t="s">
        <v>131</v>
      </c>
      <c r="F310" s="39" t="s">
        <v>132</v>
      </c>
      <c r="G310" s="39" t="s">
        <v>156</v>
      </c>
      <c r="H310" s="40"/>
      <c r="I310" s="40"/>
      <c r="J310" s="40"/>
      <c r="K310" s="42">
        <v>46171</v>
      </c>
      <c r="L310" s="42"/>
      <c r="M310" s="44"/>
      <c r="N310" s="40"/>
      <c r="O310" s="40"/>
      <c r="P310" s="40"/>
      <c r="Q310" s="42">
        <f>IF(K310="","",K310)</f>
        <v>46171</v>
      </c>
      <c r="R310" s="39" t="s">
        <v>131</v>
      </c>
      <c r="S310" s="39" t="s">
        <v>134</v>
      </c>
      <c r="T310" s="39" t="s">
        <v>135</v>
      </c>
      <c r="U310" s="39"/>
      <c r="V310" s="39">
        <v>7</v>
      </c>
      <c r="W310" s="39" t="s">
        <v>436</v>
      </c>
      <c r="X310" s="41">
        <v>46160</v>
      </c>
      <c r="Y310" s="41">
        <v>46171</v>
      </c>
      <c r="Z310" s="43">
        <v>139.51027199999999</v>
      </c>
      <c r="AA310" s="45">
        <f>IF(M310&lt;&gt;"",M310,Z310)</f>
        <v>139.51027199999999</v>
      </c>
      <c r="AB310" s="46" t="str">
        <f>IF(L310&lt;&gt;"","Realizado","Previsto")</f>
        <v>Previsto</v>
      </c>
      <c r="AC310" s="47">
        <v>0.33</v>
      </c>
      <c r="AD310" s="43">
        <v>422.75839999999999</v>
      </c>
      <c r="AE310" s="39">
        <v>117.76</v>
      </c>
      <c r="AF310" s="39" t="s">
        <v>155</v>
      </c>
      <c r="AG310" s="43">
        <v>3.59</v>
      </c>
      <c r="AH310" s="39" t="s">
        <v>136</v>
      </c>
      <c r="AI310" s="39" t="s">
        <v>73</v>
      </c>
      <c r="AJ310" s="48">
        <f>IF(Q310&lt;&gt;"",Q310,IF(K310&lt;&gt;"",K310,""))</f>
        <v>46171</v>
      </c>
      <c r="AK310" s="46" t="str">
        <f>IF(K310&lt;&gt;"","Sim","")</f>
        <v>Sim</v>
      </c>
      <c r="AL310" s="46" t="str">
        <f>IF(A310="","",TEXT(A310,"000000")&amp;"-"&amp;IF(C310="Entrada","CR","DB"))</f>
        <v>000309-DB</v>
      </c>
      <c r="AM310" s="46" t="str">
        <f>IF(A310="","",LEFT(IF(H310&lt;&gt;"",H310,G310)&amp;" | "&amp;G310&amp;" | "&amp;S310,60))</f>
        <v xml:space="preserve">Tubo PVC DN 40mm branco rígido para esgoto sanitário | Tubo </v>
      </c>
    </row>
    <row r="311" spans="1:39" ht="43.2" x14ac:dyDescent="0.3">
      <c r="A311" s="39">
        <v>310</v>
      </c>
      <c r="B311" s="39" t="s">
        <v>2</v>
      </c>
      <c r="C311" s="39" t="s">
        <v>74</v>
      </c>
      <c r="D311" s="39" t="s">
        <v>131</v>
      </c>
      <c r="E311" s="39" t="s">
        <v>131</v>
      </c>
      <c r="F311" s="39" t="s">
        <v>132</v>
      </c>
      <c r="G311" s="39" t="s">
        <v>157</v>
      </c>
      <c r="H311" s="40"/>
      <c r="I311" s="40"/>
      <c r="J311" s="40"/>
      <c r="K311" s="42">
        <v>46171</v>
      </c>
      <c r="L311" s="42"/>
      <c r="M311" s="44"/>
      <c r="N311" s="40"/>
      <c r="O311" s="40"/>
      <c r="P311" s="40"/>
      <c r="Q311" s="42">
        <f>IF(K311="","",K311)</f>
        <v>46171</v>
      </c>
      <c r="R311" s="39" t="s">
        <v>131</v>
      </c>
      <c r="S311" s="39" t="s">
        <v>134</v>
      </c>
      <c r="T311" s="39" t="s">
        <v>135</v>
      </c>
      <c r="U311" s="39"/>
      <c r="V311" s="39">
        <v>8</v>
      </c>
      <c r="W311" s="39" t="s">
        <v>436</v>
      </c>
      <c r="X311" s="41">
        <v>46160</v>
      </c>
      <c r="Y311" s="41">
        <v>46171</v>
      </c>
      <c r="Z311" s="43">
        <v>1098.3793920000001</v>
      </c>
      <c r="AA311" s="45">
        <f>IF(M311&lt;&gt;"",M311,Z311)</f>
        <v>1098.3793920000001</v>
      </c>
      <c r="AB311" s="46" t="str">
        <f>IF(L311&lt;&gt;"","Realizado","Previsto")</f>
        <v>Previsto</v>
      </c>
      <c r="AC311" s="47">
        <v>0.33</v>
      </c>
      <c r="AD311" s="43">
        <v>3328.4223999999999</v>
      </c>
      <c r="AE311" s="39">
        <v>584.96</v>
      </c>
      <c r="AF311" s="39" t="s">
        <v>155</v>
      </c>
      <c r="AG311" s="43">
        <v>5.69</v>
      </c>
      <c r="AH311" s="39" t="s">
        <v>136</v>
      </c>
      <c r="AI311" s="39" t="s">
        <v>73</v>
      </c>
      <c r="AJ311" s="48">
        <f>IF(Q311&lt;&gt;"",Q311,IF(K311&lt;&gt;"",K311,""))</f>
        <v>46171</v>
      </c>
      <c r="AK311" s="46" t="str">
        <f>IF(K311&lt;&gt;"","Sim","")</f>
        <v>Sim</v>
      </c>
      <c r="AL311" s="46" t="str">
        <f>IF(A311="","",TEXT(A311,"000000")&amp;"-"&amp;IF(C311="Entrada","CR","DB"))</f>
        <v>000310-DB</v>
      </c>
      <c r="AM311" s="46" t="str">
        <f>IF(A311="","",LEFT(IF(H311&lt;&gt;"",H311,G311)&amp;" | "&amp;G311&amp;" | "&amp;S311,60))</f>
        <v xml:space="preserve">Tubo PVC DN 50mm branco rígido para esgoto sanitário | Tubo </v>
      </c>
    </row>
    <row r="312" spans="1:39" ht="43.2" x14ac:dyDescent="0.3">
      <c r="A312" s="39">
        <v>311</v>
      </c>
      <c r="B312" s="39" t="s">
        <v>2</v>
      </c>
      <c r="C312" s="39" t="s">
        <v>74</v>
      </c>
      <c r="D312" s="39" t="s">
        <v>131</v>
      </c>
      <c r="E312" s="39" t="s">
        <v>131</v>
      </c>
      <c r="F312" s="39" t="s">
        <v>132</v>
      </c>
      <c r="G312" s="39" t="s">
        <v>158</v>
      </c>
      <c r="H312" s="40"/>
      <c r="I312" s="40"/>
      <c r="J312" s="40"/>
      <c r="K312" s="42">
        <v>46171</v>
      </c>
      <c r="L312" s="42"/>
      <c r="M312" s="44"/>
      <c r="N312" s="40"/>
      <c r="O312" s="40"/>
      <c r="P312" s="40"/>
      <c r="Q312" s="42">
        <f>IF(K312="","",K312)</f>
        <v>46171</v>
      </c>
      <c r="R312" s="39" t="s">
        <v>131</v>
      </c>
      <c r="S312" s="39" t="s">
        <v>134</v>
      </c>
      <c r="T312" s="39" t="s">
        <v>135</v>
      </c>
      <c r="U312" s="39"/>
      <c r="V312" s="39">
        <v>9</v>
      </c>
      <c r="W312" s="39" t="s">
        <v>436</v>
      </c>
      <c r="X312" s="41">
        <v>46160</v>
      </c>
      <c r="Y312" s="41">
        <v>46171</v>
      </c>
      <c r="Z312" s="43">
        <v>79.981440000000006</v>
      </c>
      <c r="AA312" s="45">
        <f>IF(M312&lt;&gt;"",M312,Z312)</f>
        <v>79.981440000000006</v>
      </c>
      <c r="AB312" s="46" t="str">
        <f>IF(L312&lt;&gt;"","Realizado","Previsto")</f>
        <v>Previsto</v>
      </c>
      <c r="AC312" s="47">
        <v>0.33</v>
      </c>
      <c r="AD312" s="43">
        <v>242.36799999999999</v>
      </c>
      <c r="AE312" s="39">
        <v>22.4</v>
      </c>
      <c r="AF312" s="39" t="s">
        <v>155</v>
      </c>
      <c r="AG312" s="43">
        <v>10.82</v>
      </c>
      <c r="AH312" s="39" t="s">
        <v>136</v>
      </c>
      <c r="AI312" s="39" t="s">
        <v>73</v>
      </c>
      <c r="AJ312" s="48">
        <f>IF(Q312&lt;&gt;"",Q312,IF(K312&lt;&gt;"",K312,""))</f>
        <v>46171</v>
      </c>
      <c r="AK312" s="46" t="str">
        <f>IF(K312&lt;&gt;"","Sim","")</f>
        <v>Sim</v>
      </c>
      <c r="AL312" s="46" t="str">
        <f>IF(A312="","",TEXT(A312,"000000")&amp;"-"&amp;IF(C312="Entrada","CR","DB"))</f>
        <v>000311-DB</v>
      </c>
      <c r="AM312" s="46" t="str">
        <f>IF(A312="","",LEFT(IF(H312&lt;&gt;"",H312,G312)&amp;" | "&amp;G312&amp;" | "&amp;S312,60))</f>
        <v xml:space="preserve">Tubo PVC DN 75mm branco rígido para esgoto sanitário | Tubo </v>
      </c>
    </row>
    <row r="313" spans="1:39" ht="43.2" x14ac:dyDescent="0.3">
      <c r="A313" s="39">
        <v>312</v>
      </c>
      <c r="B313" s="39" t="s">
        <v>2</v>
      </c>
      <c r="C313" s="39" t="s">
        <v>74</v>
      </c>
      <c r="D313" s="39" t="s">
        <v>408</v>
      </c>
      <c r="E313" s="39" t="s">
        <v>408</v>
      </c>
      <c r="F313" s="39" t="s">
        <v>184</v>
      </c>
      <c r="G313" s="39" t="s">
        <v>455</v>
      </c>
      <c r="H313" s="40"/>
      <c r="I313" s="40"/>
      <c r="J313" s="40"/>
      <c r="K313" s="42">
        <v>46171</v>
      </c>
      <c r="L313" s="42"/>
      <c r="M313" s="44"/>
      <c r="N313" s="40"/>
      <c r="O313" s="40"/>
      <c r="P313" s="40"/>
      <c r="Q313" s="42">
        <f>IF(K313="","",K313)</f>
        <v>46171</v>
      </c>
      <c r="R313" s="39" t="s">
        <v>408</v>
      </c>
      <c r="S313" s="39" t="s">
        <v>410</v>
      </c>
      <c r="T313" s="39" t="s">
        <v>456</v>
      </c>
      <c r="U313" s="39" t="s">
        <v>275</v>
      </c>
      <c r="V313" s="39">
        <v>147</v>
      </c>
      <c r="W313" s="39" t="s">
        <v>436</v>
      </c>
      <c r="X313" s="41">
        <v>46160</v>
      </c>
      <c r="Y313" s="41">
        <v>46171</v>
      </c>
      <c r="Z313" s="43">
        <v>166.4</v>
      </c>
      <c r="AA313" s="45">
        <f>IF(M313&lt;&gt;"",M313,Z313)</f>
        <v>166.4</v>
      </c>
      <c r="AB313" s="46" t="str">
        <f>IF(L313&lt;&gt;"","Realizado","Previsto")</f>
        <v>Previsto</v>
      </c>
      <c r="AC313" s="47">
        <v>0.5</v>
      </c>
      <c r="AD313" s="43">
        <v>332.8</v>
      </c>
      <c r="AE313" s="39">
        <v>1664</v>
      </c>
      <c r="AF313" s="39" t="s">
        <v>87</v>
      </c>
      <c r="AG313" s="43">
        <v>0.2</v>
      </c>
      <c r="AH313" s="39" t="s">
        <v>457</v>
      </c>
      <c r="AI313" s="39" t="s">
        <v>73</v>
      </c>
      <c r="AJ313" s="48">
        <f>IF(Q313&lt;&gt;"",Q313,IF(K313&lt;&gt;"",K313,""))</f>
        <v>46171</v>
      </c>
      <c r="AK313" s="46" t="str">
        <f>IF(K313&lt;&gt;"","Sim","")</f>
        <v>Sim</v>
      </c>
      <c r="AL313" s="46" t="str">
        <f>IF(A313="","",TEXT(A313,"000000")&amp;"-"&amp;IF(C313="Entrada","CR","DB"))</f>
        <v>000312-DB</v>
      </c>
      <c r="AM313" s="46" t="str">
        <f>IF(A313="","",LEFT(IF(H313&lt;&gt;"",H313,G313)&amp;" | "&amp;G313&amp;" | "&amp;S313,60))</f>
        <v xml:space="preserve">Bucha 6 mm para concreto | Bucha 6 mm para concreto | Saída </v>
      </c>
    </row>
    <row r="314" spans="1:39" ht="43.2" x14ac:dyDescent="0.3">
      <c r="A314" s="39">
        <v>313</v>
      </c>
      <c r="B314" s="39" t="s">
        <v>2</v>
      </c>
      <c r="C314" s="39" t="s">
        <v>74</v>
      </c>
      <c r="D314" s="39" t="s">
        <v>408</v>
      </c>
      <c r="E314" s="39" t="s">
        <v>408</v>
      </c>
      <c r="F314" s="39" t="s">
        <v>184</v>
      </c>
      <c r="G314" s="39" t="s">
        <v>458</v>
      </c>
      <c r="H314" s="40"/>
      <c r="I314" s="40"/>
      <c r="J314" s="40"/>
      <c r="K314" s="42">
        <v>46171</v>
      </c>
      <c r="L314" s="42"/>
      <c r="M314" s="44"/>
      <c r="N314" s="40"/>
      <c r="O314" s="40"/>
      <c r="P314" s="40"/>
      <c r="Q314" s="42">
        <f>IF(K314="","",K314)</f>
        <v>46171</v>
      </c>
      <c r="R314" s="39" t="s">
        <v>408</v>
      </c>
      <c r="S314" s="39" t="s">
        <v>410</v>
      </c>
      <c r="T314" s="39" t="s">
        <v>456</v>
      </c>
      <c r="U314" s="39" t="s">
        <v>275</v>
      </c>
      <c r="V314" s="39">
        <v>146</v>
      </c>
      <c r="W314" s="39" t="s">
        <v>436</v>
      </c>
      <c r="X314" s="41">
        <v>46160</v>
      </c>
      <c r="Y314" s="41">
        <v>46171</v>
      </c>
      <c r="Z314" s="43">
        <v>812.8</v>
      </c>
      <c r="AA314" s="45">
        <f>IF(M314&lt;&gt;"",M314,Z314)</f>
        <v>812.8</v>
      </c>
      <c r="AB314" s="46" t="str">
        <f>IF(L314&lt;&gt;"","Realizado","Previsto")</f>
        <v>Previsto</v>
      </c>
      <c r="AC314" s="47">
        <v>0.5</v>
      </c>
      <c r="AD314" s="43">
        <v>1625.6</v>
      </c>
      <c r="AE314" s="39">
        <v>64</v>
      </c>
      <c r="AF314" s="39" t="s">
        <v>87</v>
      </c>
      <c r="AG314" s="43">
        <v>25.4</v>
      </c>
      <c r="AH314" s="39" t="s">
        <v>457</v>
      </c>
      <c r="AI314" s="39" t="s">
        <v>73</v>
      </c>
      <c r="AJ314" s="48">
        <f>IF(Q314&lt;&gt;"",Q314,IF(K314&lt;&gt;"",K314,""))</f>
        <v>46171</v>
      </c>
      <c r="AK314" s="46" t="str">
        <f>IF(K314&lt;&gt;"","Sim","")</f>
        <v>Sim</v>
      </c>
      <c r="AL314" s="46" t="str">
        <f>IF(A314="","",TEXT(A314,"000000")&amp;"-"&amp;IF(C314="Entrada","CR","DB"))</f>
        <v>000313-DB</v>
      </c>
      <c r="AM314" s="46" t="str">
        <f>IF(A314="","",LEFT(IF(H314&lt;&gt;"",H314,G314)&amp;" | "&amp;G314&amp;" | "&amp;S314,60))</f>
        <v xml:space="preserve">Espuma Expansiva de Poliuretano 300ml | Espuma Expansiva de </v>
      </c>
    </row>
    <row r="315" spans="1:39" ht="43.2" x14ac:dyDescent="0.3">
      <c r="A315" s="39">
        <v>314</v>
      </c>
      <c r="B315" s="39" t="s">
        <v>2</v>
      </c>
      <c r="C315" s="39" t="s">
        <v>74</v>
      </c>
      <c r="D315" s="39" t="s">
        <v>408</v>
      </c>
      <c r="E315" s="39" t="s">
        <v>408</v>
      </c>
      <c r="F315" s="39" t="s">
        <v>184</v>
      </c>
      <c r="G315" s="39" t="s">
        <v>459</v>
      </c>
      <c r="H315" s="40"/>
      <c r="I315" s="40"/>
      <c r="J315" s="40"/>
      <c r="K315" s="42">
        <v>46171</v>
      </c>
      <c r="L315" s="42"/>
      <c r="M315" s="44"/>
      <c r="N315" s="40"/>
      <c r="O315" s="40"/>
      <c r="P315" s="40"/>
      <c r="Q315" s="42">
        <f>IF(K315="","",K315)</f>
        <v>46171</v>
      </c>
      <c r="R315" s="39" t="s">
        <v>408</v>
      </c>
      <c r="S315" s="39" t="s">
        <v>410</v>
      </c>
      <c r="T315" s="39" t="s">
        <v>456</v>
      </c>
      <c r="U315" s="39" t="s">
        <v>275</v>
      </c>
      <c r="V315" s="39">
        <v>150</v>
      </c>
      <c r="W315" s="39" t="s">
        <v>436</v>
      </c>
      <c r="X315" s="41">
        <v>46160</v>
      </c>
      <c r="Y315" s="41">
        <v>46171</v>
      </c>
      <c r="Z315" s="43">
        <v>1145.5999999999999</v>
      </c>
      <c r="AA315" s="45">
        <f>IF(M315&lt;&gt;"",M315,Z315)</f>
        <v>1145.5999999999999</v>
      </c>
      <c r="AB315" s="46" t="str">
        <f>IF(L315&lt;&gt;"","Realizado","Previsto")</f>
        <v>Previsto</v>
      </c>
      <c r="AC315" s="47">
        <v>0.5</v>
      </c>
      <c r="AD315" s="43">
        <v>2291.1999999999998</v>
      </c>
      <c r="AE315" s="39">
        <v>128</v>
      </c>
      <c r="AF315" s="39" t="s">
        <v>87</v>
      </c>
      <c r="AG315" s="43">
        <v>17.899999999999999</v>
      </c>
      <c r="AH315" s="39" t="s">
        <v>457</v>
      </c>
      <c r="AI315" s="39" t="s">
        <v>73</v>
      </c>
      <c r="AJ315" s="48">
        <f>IF(Q315&lt;&gt;"",Q315,IF(K315&lt;&gt;"",K315,""))</f>
        <v>46171</v>
      </c>
      <c r="AK315" s="46" t="str">
        <f>IF(K315&lt;&gt;"","Sim","")</f>
        <v>Sim</v>
      </c>
      <c r="AL315" s="46" t="str">
        <f>IF(A315="","",TEXT(A315,"000000")&amp;"-"&amp;IF(C315="Entrada","CR","DB"))</f>
        <v>000314-DB</v>
      </c>
      <c r="AM315" s="46" t="str">
        <f>IF(A315="","",LEFT(IF(H315&lt;&gt;"",H315,G315)&amp;" | "&amp;G315&amp;" | "&amp;S315,60))</f>
        <v xml:space="preserve">Fita crepe 48 mm x 50 m | Fita crepe 48 mm x 50 m | Saída | </v>
      </c>
    </row>
    <row r="316" spans="1:39" ht="43.2" x14ac:dyDescent="0.3">
      <c r="A316" s="39">
        <v>315</v>
      </c>
      <c r="B316" s="39" t="s">
        <v>2</v>
      </c>
      <c r="C316" s="39" t="s">
        <v>74</v>
      </c>
      <c r="D316" s="39" t="s">
        <v>408</v>
      </c>
      <c r="E316" s="39" t="s">
        <v>408</v>
      </c>
      <c r="F316" s="39" t="s">
        <v>184</v>
      </c>
      <c r="G316" s="39" t="s">
        <v>460</v>
      </c>
      <c r="H316" s="40"/>
      <c r="I316" s="40"/>
      <c r="J316" s="40"/>
      <c r="K316" s="42">
        <v>46171</v>
      </c>
      <c r="L316" s="42"/>
      <c r="M316" s="44"/>
      <c r="N316" s="40"/>
      <c r="O316" s="40"/>
      <c r="P316" s="40"/>
      <c r="Q316" s="42">
        <f>IF(K316="","",K316)</f>
        <v>46171</v>
      </c>
      <c r="R316" s="39" t="s">
        <v>408</v>
      </c>
      <c r="S316" s="39" t="s">
        <v>410</v>
      </c>
      <c r="T316" s="39" t="s">
        <v>456</v>
      </c>
      <c r="U316" s="39" t="s">
        <v>275</v>
      </c>
      <c r="V316" s="39">
        <v>151</v>
      </c>
      <c r="W316" s="39" t="s">
        <v>436</v>
      </c>
      <c r="X316" s="41">
        <v>46160</v>
      </c>
      <c r="Y316" s="41">
        <v>46171</v>
      </c>
      <c r="Z316" s="43">
        <v>1488</v>
      </c>
      <c r="AA316" s="45">
        <f>IF(M316&lt;&gt;"",M316,Z316)</f>
        <v>1488</v>
      </c>
      <c r="AB316" s="46" t="str">
        <f>IF(L316&lt;&gt;"","Realizado","Previsto")</f>
        <v>Previsto</v>
      </c>
      <c r="AC316" s="47">
        <v>0.5</v>
      </c>
      <c r="AD316" s="43">
        <v>2976</v>
      </c>
      <c r="AE316" s="39">
        <v>960</v>
      </c>
      <c r="AF316" s="39" t="s">
        <v>149</v>
      </c>
      <c r="AG316" s="43">
        <v>3.1</v>
      </c>
      <c r="AH316" s="39" t="s">
        <v>457</v>
      </c>
      <c r="AI316" s="39" t="s">
        <v>73</v>
      </c>
      <c r="AJ316" s="48">
        <f>IF(Q316&lt;&gt;"",Q316,IF(K316&lt;&gt;"",K316,""))</f>
        <v>46171</v>
      </c>
      <c r="AK316" s="46" t="str">
        <f>IF(K316&lt;&gt;"","Sim","")</f>
        <v>Sim</v>
      </c>
      <c r="AL316" s="46" t="str">
        <f>IF(A316="","",TEXT(A316,"000000")&amp;"-"&amp;IF(C316="Entrada","CR","DB"))</f>
        <v>000315-DB</v>
      </c>
      <c r="AM316" s="46" t="str">
        <f>IF(A316="","",LEFT(IF(H316&lt;&gt;"",H316,G316)&amp;" | "&amp;G316&amp;" | "&amp;S316,60))</f>
        <v>Impermeabilizante bi componente semi flexível - IMPER TOP 51</v>
      </c>
    </row>
    <row r="317" spans="1:39" ht="43.2" x14ac:dyDescent="0.3">
      <c r="A317" s="39">
        <v>316</v>
      </c>
      <c r="B317" s="39" t="s">
        <v>2</v>
      </c>
      <c r="C317" s="39" t="s">
        <v>74</v>
      </c>
      <c r="D317" s="39" t="s">
        <v>408</v>
      </c>
      <c r="E317" s="39" t="s">
        <v>408</v>
      </c>
      <c r="F317" s="39" t="s">
        <v>109</v>
      </c>
      <c r="G317" s="39" t="s">
        <v>409</v>
      </c>
      <c r="H317" s="40"/>
      <c r="I317" s="40"/>
      <c r="J317" s="40"/>
      <c r="K317" s="42">
        <v>46171</v>
      </c>
      <c r="L317" s="42"/>
      <c r="M317" s="44"/>
      <c r="N317" s="40"/>
      <c r="O317" s="40"/>
      <c r="P317" s="40"/>
      <c r="Q317" s="42">
        <f>IF(K317="","",K317)</f>
        <v>46171</v>
      </c>
      <c r="R317" s="39" t="s">
        <v>408</v>
      </c>
      <c r="S317" s="39" t="s">
        <v>410</v>
      </c>
      <c r="T317" s="39" t="s">
        <v>411</v>
      </c>
      <c r="U317" s="39" t="s">
        <v>215</v>
      </c>
      <c r="V317" s="39">
        <v>152</v>
      </c>
      <c r="W317" s="39" t="s">
        <v>436</v>
      </c>
      <c r="X317" s="41">
        <v>46160</v>
      </c>
      <c r="Y317" s="41">
        <v>46171</v>
      </c>
      <c r="Z317" s="43">
        <v>4502.3999999999996</v>
      </c>
      <c r="AA317" s="45">
        <f>IF(M317&lt;&gt;"",M317,Z317)</f>
        <v>4502.3999999999996</v>
      </c>
      <c r="AB317" s="46" t="str">
        <f>IF(L317&lt;&gt;"","Realizado","Previsto")</f>
        <v>Previsto</v>
      </c>
      <c r="AC317" s="47">
        <v>9.3799999999999994E-2</v>
      </c>
      <c r="AD317" s="43">
        <v>48000</v>
      </c>
      <c r="AE317" s="39">
        <v>320</v>
      </c>
      <c r="AF317" s="39" t="s">
        <v>87</v>
      </c>
      <c r="AG317" s="43">
        <v>150</v>
      </c>
      <c r="AH317" s="39" t="s">
        <v>412</v>
      </c>
      <c r="AI317" s="39" t="s">
        <v>73</v>
      </c>
      <c r="AJ317" s="48">
        <f>IF(Q317&lt;&gt;"",Q317,IF(K317&lt;&gt;"",K317,""))</f>
        <v>46171</v>
      </c>
      <c r="AK317" s="46" t="str">
        <f>IF(K317&lt;&gt;"","Sim","")</f>
        <v>Sim</v>
      </c>
      <c r="AL317" s="46" t="str">
        <f>IF(A317="","",TEXT(A317,"000000")&amp;"-"&amp;IF(C317="Entrada","CR","DB"))</f>
        <v>000316-DB</v>
      </c>
      <c r="AM317" s="46" t="str">
        <f>IF(A317="","",LEFT(IF(H317&lt;&gt;"",H317,G317)&amp;" | "&amp;G317&amp;" | "&amp;S317,60))</f>
        <v xml:space="preserve">Mao de obra terceirizada colocaçao de Esquadrias aluminio | </v>
      </c>
    </row>
    <row r="318" spans="1:39" ht="43.2" x14ac:dyDescent="0.3">
      <c r="A318" s="39">
        <v>317</v>
      </c>
      <c r="B318" s="39" t="s">
        <v>2</v>
      </c>
      <c r="C318" s="39" t="s">
        <v>74</v>
      </c>
      <c r="D318" s="39" t="s">
        <v>408</v>
      </c>
      <c r="E318" s="39" t="s">
        <v>408</v>
      </c>
      <c r="F318" s="39" t="s">
        <v>461</v>
      </c>
      <c r="G318" s="39" t="s">
        <v>462</v>
      </c>
      <c r="H318" s="40"/>
      <c r="I318" s="40"/>
      <c r="J318" s="40"/>
      <c r="K318" s="42">
        <v>46171</v>
      </c>
      <c r="L318" s="42"/>
      <c r="M318" s="44"/>
      <c r="N318" s="40"/>
      <c r="O318" s="40"/>
      <c r="P318" s="40"/>
      <c r="Q318" s="42">
        <f>IF(K318="","",K318)</f>
        <v>46171</v>
      </c>
      <c r="R318" s="39" t="s">
        <v>408</v>
      </c>
      <c r="S318" s="39" t="s">
        <v>410</v>
      </c>
      <c r="T318" s="39" t="s">
        <v>463</v>
      </c>
      <c r="U318" s="39" t="s">
        <v>275</v>
      </c>
      <c r="V318" s="39">
        <v>145</v>
      </c>
      <c r="W318" s="39" t="s">
        <v>436</v>
      </c>
      <c r="X318" s="41">
        <v>46160</v>
      </c>
      <c r="Y318" s="41">
        <v>46171</v>
      </c>
      <c r="Z318" s="43">
        <v>8203.52</v>
      </c>
      <c r="AA318" s="45">
        <f>IF(M318&lt;&gt;"",M318,Z318)</f>
        <v>8203.52</v>
      </c>
      <c r="AB318" s="46" t="str">
        <f>IF(L318&lt;&gt;"","Realizado","Previsto")</f>
        <v>Previsto</v>
      </c>
      <c r="AC318" s="47">
        <v>0.34</v>
      </c>
      <c r="AD318" s="43">
        <v>24128</v>
      </c>
      <c r="AE318" s="39">
        <v>64</v>
      </c>
      <c r="AF318" s="39" t="s">
        <v>87</v>
      </c>
      <c r="AG318" s="43">
        <v>377</v>
      </c>
      <c r="AH318" s="39" t="s">
        <v>464</v>
      </c>
      <c r="AI318" s="39" t="s">
        <v>73</v>
      </c>
      <c r="AJ318" s="48">
        <f>IF(Q318&lt;&gt;"",Q318,IF(K318&lt;&gt;"",K318,""))</f>
        <v>46171</v>
      </c>
      <c r="AK318" s="46" t="str">
        <f>IF(K318&lt;&gt;"","Sim","")</f>
        <v>Sim</v>
      </c>
      <c r="AL318" s="46" t="str">
        <f>IF(A318="","",TEXT(A318,"000000")&amp;"-"&amp;IF(C318="Entrada","CR","DB"))</f>
        <v>000317-DB</v>
      </c>
      <c r="AM318" s="46" t="str">
        <f>IF(A318="","",LEFT(IF(H318&lt;&gt;"",H318,G318)&amp;" | "&amp;G318&amp;" | "&amp;S318,60))</f>
        <v>PORTA ALCAPAO ALUM.BCO (37MM) 60 x 50 | PORTA ALCAPAO ALUM.B</v>
      </c>
    </row>
    <row r="319" spans="1:39" ht="43.2" x14ac:dyDescent="0.3">
      <c r="A319" s="39">
        <v>318</v>
      </c>
      <c r="B319" s="39" t="s">
        <v>2</v>
      </c>
      <c r="C319" s="39" t="s">
        <v>74</v>
      </c>
      <c r="D319" s="39" t="s">
        <v>408</v>
      </c>
      <c r="E319" s="39" t="s">
        <v>408</v>
      </c>
      <c r="F319" s="39" t="s">
        <v>184</v>
      </c>
      <c r="G319" s="39" t="s">
        <v>465</v>
      </c>
      <c r="H319" s="40"/>
      <c r="I319" s="40"/>
      <c r="J319" s="40"/>
      <c r="K319" s="42">
        <v>46171</v>
      </c>
      <c r="L319" s="42"/>
      <c r="M319" s="44"/>
      <c r="N319" s="40"/>
      <c r="O319" s="40"/>
      <c r="P319" s="40"/>
      <c r="Q319" s="42">
        <f>IF(K319="","",K319)</f>
        <v>46171</v>
      </c>
      <c r="R319" s="39" t="s">
        <v>408</v>
      </c>
      <c r="S319" s="39" t="s">
        <v>410</v>
      </c>
      <c r="T319" s="39" t="s">
        <v>456</v>
      </c>
      <c r="U319" s="39" t="s">
        <v>275</v>
      </c>
      <c r="V319" s="39">
        <v>148</v>
      </c>
      <c r="W319" s="39" t="s">
        <v>436</v>
      </c>
      <c r="X319" s="41">
        <v>46160</v>
      </c>
      <c r="Y319" s="41">
        <v>46171</v>
      </c>
      <c r="Z319" s="43">
        <v>540.80000000000007</v>
      </c>
      <c r="AA319" s="45">
        <f>IF(M319&lt;&gt;"",M319,Z319)</f>
        <v>540.80000000000007</v>
      </c>
      <c r="AB319" s="46" t="str">
        <f>IF(L319&lt;&gt;"","Realizado","Previsto")</f>
        <v>Previsto</v>
      </c>
      <c r="AC319" s="47">
        <v>0.5</v>
      </c>
      <c r="AD319" s="43">
        <v>1081.5999999999999</v>
      </c>
      <c r="AE319" s="39">
        <v>1664</v>
      </c>
      <c r="AF319" s="39" t="s">
        <v>87</v>
      </c>
      <c r="AG319" s="43">
        <v>0.65</v>
      </c>
      <c r="AH319" s="39" t="s">
        <v>457</v>
      </c>
      <c r="AI319" s="39" t="s">
        <v>73</v>
      </c>
      <c r="AJ319" s="48">
        <f>IF(Q319&lt;&gt;"",Q319,IF(K319&lt;&gt;"",K319,""))</f>
        <v>46171</v>
      </c>
      <c r="AK319" s="46" t="str">
        <f>IF(K319&lt;&gt;"","Sim","")</f>
        <v>Sim</v>
      </c>
      <c r="AL319" s="46" t="str">
        <f>IF(A319="","",TEXT(A319,"000000")&amp;"-"&amp;IF(C319="Entrada","CR","DB"))</f>
        <v>000318-DB</v>
      </c>
      <c r="AM319" s="46" t="str">
        <f>IF(A319="","",LEFT(IF(H319&lt;&gt;"",H319,G319)&amp;" | "&amp;G319&amp;" | "&amp;S319,60))</f>
        <v>Parafuso panela fenda/phillips 4,8 x 50 mm - INOX | Parafuso</v>
      </c>
    </row>
    <row r="320" spans="1:39" ht="43.2" x14ac:dyDescent="0.3">
      <c r="A320" s="39">
        <v>319</v>
      </c>
      <c r="B320" s="39" t="s">
        <v>2</v>
      </c>
      <c r="C320" s="39" t="s">
        <v>74</v>
      </c>
      <c r="D320" s="39" t="s">
        <v>408</v>
      </c>
      <c r="E320" s="39" t="s">
        <v>408</v>
      </c>
      <c r="F320" s="39" t="s">
        <v>184</v>
      </c>
      <c r="G320" s="39" t="s">
        <v>466</v>
      </c>
      <c r="H320" s="40"/>
      <c r="I320" s="40"/>
      <c r="J320" s="40"/>
      <c r="K320" s="42">
        <v>46171</v>
      </c>
      <c r="L320" s="42"/>
      <c r="M320" s="44"/>
      <c r="N320" s="40"/>
      <c r="O320" s="40"/>
      <c r="P320" s="40"/>
      <c r="Q320" s="42">
        <f>IF(K320="","",K320)</f>
        <v>46171</v>
      </c>
      <c r="R320" s="39" t="s">
        <v>408</v>
      </c>
      <c r="S320" s="39" t="s">
        <v>410</v>
      </c>
      <c r="T320" s="39" t="s">
        <v>456</v>
      </c>
      <c r="U320" s="39" t="s">
        <v>275</v>
      </c>
      <c r="V320" s="39">
        <v>149</v>
      </c>
      <c r="W320" s="39" t="s">
        <v>436</v>
      </c>
      <c r="X320" s="41">
        <v>46160</v>
      </c>
      <c r="Y320" s="41">
        <v>46171</v>
      </c>
      <c r="Z320" s="43">
        <v>1920</v>
      </c>
      <c r="AA320" s="45">
        <f>IF(M320&lt;&gt;"",M320,Z320)</f>
        <v>1920</v>
      </c>
      <c r="AB320" s="46" t="str">
        <f>IF(L320&lt;&gt;"","Realizado","Previsto")</f>
        <v>Previsto</v>
      </c>
      <c r="AC320" s="47">
        <v>0.5</v>
      </c>
      <c r="AD320" s="43">
        <v>3840</v>
      </c>
      <c r="AE320" s="39">
        <v>256</v>
      </c>
      <c r="AF320" s="39" t="s">
        <v>87</v>
      </c>
      <c r="AG320" s="43">
        <v>15</v>
      </c>
      <c r="AH320" s="39" t="s">
        <v>457</v>
      </c>
      <c r="AI320" s="39" t="s">
        <v>73</v>
      </c>
      <c r="AJ320" s="48">
        <f>IF(Q320&lt;&gt;"",Q320,IF(K320&lt;&gt;"",K320,""))</f>
        <v>46171</v>
      </c>
      <c r="AK320" s="46" t="str">
        <f>IF(K320&lt;&gt;"","Sim","")</f>
        <v>Sim</v>
      </c>
      <c r="AL320" s="46" t="str">
        <f>IF(A320="","",TEXT(A320,"000000")&amp;"-"&amp;IF(C320="Entrada","CR","DB"))</f>
        <v>000319-DB</v>
      </c>
      <c r="AM320" s="46" t="str">
        <f>IF(A320="","",LEFT(IF(H320&lt;&gt;"",H320,G320)&amp;" | "&amp;G320&amp;" | "&amp;S320,60))</f>
        <v>Selante acrilico c / 390 g - TECKBOND | Selante acrilico c /</v>
      </c>
    </row>
    <row r="321" spans="1:39" ht="43.2" x14ac:dyDescent="0.3">
      <c r="A321" s="39">
        <v>320</v>
      </c>
      <c r="B321" s="39" t="s">
        <v>2</v>
      </c>
      <c r="C321" s="39" t="s">
        <v>74</v>
      </c>
      <c r="D321" s="39" t="s">
        <v>408</v>
      </c>
      <c r="E321" s="39" t="s">
        <v>408</v>
      </c>
      <c r="F321" s="39" t="s">
        <v>461</v>
      </c>
      <c r="G321" s="39" t="s">
        <v>467</v>
      </c>
      <c r="H321" s="40"/>
      <c r="I321" s="40"/>
      <c r="J321" s="40"/>
      <c r="K321" s="42">
        <v>46171</v>
      </c>
      <c r="L321" s="42"/>
      <c r="M321" s="44"/>
      <c r="N321" s="40"/>
      <c r="O321" s="40"/>
      <c r="P321" s="40"/>
      <c r="Q321" s="42">
        <f>IF(K321="","",K321)</f>
        <v>46171</v>
      </c>
      <c r="R321" s="39" t="s">
        <v>408</v>
      </c>
      <c r="S321" s="39" t="s">
        <v>410</v>
      </c>
      <c r="T321" s="39" t="s">
        <v>463</v>
      </c>
      <c r="U321" s="39" t="s">
        <v>275</v>
      </c>
      <c r="V321" s="39">
        <v>144</v>
      </c>
      <c r="W321" s="39" t="s">
        <v>436</v>
      </c>
      <c r="X321" s="41">
        <v>46160</v>
      </c>
      <c r="Y321" s="41">
        <v>46171</v>
      </c>
      <c r="Z321" s="43">
        <v>4025.6</v>
      </c>
      <c r="AA321" s="45">
        <f>IF(M321&lt;&gt;"",M321,Z321)</f>
        <v>4025.6</v>
      </c>
      <c r="AB321" s="46" t="str">
        <f>IF(L321&lt;&gt;"","Realizado","Previsto")</f>
        <v>Previsto</v>
      </c>
      <c r="AC321" s="47">
        <v>0.34</v>
      </c>
      <c r="AD321" s="43">
        <v>11840</v>
      </c>
      <c r="AE321" s="39">
        <v>64</v>
      </c>
      <c r="AF321" s="39" t="s">
        <v>87</v>
      </c>
      <c r="AG321" s="43">
        <v>185</v>
      </c>
      <c r="AH321" s="39" t="s">
        <v>464</v>
      </c>
      <c r="AI321" s="39" t="s">
        <v>73</v>
      </c>
      <c r="AJ321" s="48">
        <f>IF(Q321&lt;&gt;"",Q321,IF(K321&lt;&gt;"",K321,""))</f>
        <v>46171</v>
      </c>
      <c r="AK321" s="46" t="str">
        <f>IF(K321&lt;&gt;"","Sim","")</f>
        <v>Sim</v>
      </c>
      <c r="AL321" s="46" t="str">
        <f>IF(A321="","",TEXT(A321,"000000")&amp;"-"&amp;IF(C321="Entrada","CR","DB"))</f>
        <v>000320-DB</v>
      </c>
      <c r="AM321" s="46" t="str">
        <f>IF(A321="","",LEFT(IF(H321&lt;&gt;"",H321,G321)&amp;" | "&amp;G321&amp;" | "&amp;S321,60))</f>
        <v>VITRO MAXIMO-AR ALUM.BCO (38MM) 60 X 60 MBOREAL | VITRO MAXI</v>
      </c>
    </row>
    <row r="322" spans="1:39" ht="43.2" x14ac:dyDescent="0.3">
      <c r="A322" s="39">
        <v>321</v>
      </c>
      <c r="B322" s="39" t="s">
        <v>2</v>
      </c>
      <c r="C322" s="39" t="s">
        <v>74</v>
      </c>
      <c r="D322" s="39" t="s">
        <v>408</v>
      </c>
      <c r="E322" s="39" t="s">
        <v>408</v>
      </c>
      <c r="F322" s="39" t="s">
        <v>461</v>
      </c>
      <c r="G322" s="39" t="s">
        <v>468</v>
      </c>
      <c r="H322" s="40"/>
      <c r="I322" s="40"/>
      <c r="J322" s="40"/>
      <c r="K322" s="42">
        <v>46171</v>
      </c>
      <c r="L322" s="42"/>
      <c r="M322" s="44"/>
      <c r="N322" s="40"/>
      <c r="O322" s="40"/>
      <c r="P322" s="40"/>
      <c r="Q322" s="42">
        <f>IF(K322="","",K322)</f>
        <v>46171</v>
      </c>
      <c r="R322" s="39" t="s">
        <v>408</v>
      </c>
      <c r="S322" s="39" t="s">
        <v>410</v>
      </c>
      <c r="T322" s="39" t="s">
        <v>463</v>
      </c>
      <c r="U322" s="39" t="s">
        <v>275</v>
      </c>
      <c r="V322" s="39">
        <v>143</v>
      </c>
      <c r="W322" s="39" t="s">
        <v>436</v>
      </c>
      <c r="X322" s="41">
        <v>46160</v>
      </c>
      <c r="Y322" s="41">
        <v>46171</v>
      </c>
      <c r="Z322" s="43">
        <v>30028.799999999999</v>
      </c>
      <c r="AA322" s="45">
        <f>IF(M322&lt;&gt;"",M322,Z322)</f>
        <v>30028.799999999999</v>
      </c>
      <c r="AB322" s="46" t="str">
        <f>IF(L322&lt;&gt;"","Realizado","Previsto")</f>
        <v>Previsto</v>
      </c>
      <c r="AC322" s="47">
        <v>0.34</v>
      </c>
      <c r="AD322" s="43">
        <v>88320</v>
      </c>
      <c r="AE322" s="39">
        <v>192</v>
      </c>
      <c r="AF322" s="39" t="s">
        <v>87</v>
      </c>
      <c r="AG322" s="43">
        <v>460</v>
      </c>
      <c r="AH322" s="39" t="s">
        <v>464</v>
      </c>
      <c r="AI322" s="39" t="s">
        <v>73</v>
      </c>
      <c r="AJ322" s="48">
        <f>IF(Q322&lt;&gt;"",Q322,IF(K322&lt;&gt;"",K322,""))</f>
        <v>46171</v>
      </c>
      <c r="AK322" s="46" t="str">
        <f>IF(K322&lt;&gt;"","Sim","")</f>
        <v>Sim</v>
      </c>
      <c r="AL322" s="46" t="str">
        <f>IF(A322="","",TEXT(A322,"000000")&amp;"-"&amp;IF(C322="Entrada","CR","DB"))</f>
        <v>000321-DB</v>
      </c>
      <c r="AM322" s="46" t="str">
        <f>IF(A322="","",LEFT(IF(H322&lt;&gt;"",H322,G322)&amp;" | "&amp;G322&amp;" | "&amp;S322,60))</f>
        <v>VITRO SOFT AL.BC 2FL (53MM) 120 X 1,20 | VITRO SOFT AL.BC 2F</v>
      </c>
    </row>
    <row r="323" spans="1:39" ht="43.2" x14ac:dyDescent="0.3">
      <c r="A323" s="39">
        <v>322</v>
      </c>
      <c r="B323" s="39" t="s">
        <v>2</v>
      </c>
      <c r="C323" s="39" t="s">
        <v>74</v>
      </c>
      <c r="D323" s="39" t="s">
        <v>82</v>
      </c>
      <c r="E323" s="39" t="s">
        <v>82</v>
      </c>
      <c r="F323" s="39" t="s">
        <v>90</v>
      </c>
      <c r="G323" s="39" t="s">
        <v>159</v>
      </c>
      <c r="H323" s="40"/>
      <c r="I323" s="40"/>
      <c r="J323" s="40"/>
      <c r="K323" s="42">
        <v>46171</v>
      </c>
      <c r="L323" s="42"/>
      <c r="M323" s="44"/>
      <c r="N323" s="40"/>
      <c r="O323" s="40"/>
      <c r="P323" s="40"/>
      <c r="Q323" s="42">
        <f>IF(K323="","",K323)</f>
        <v>46171</v>
      </c>
      <c r="R323" s="39" t="s">
        <v>82</v>
      </c>
      <c r="S323" s="39" t="s">
        <v>85</v>
      </c>
      <c r="T323" s="39" t="s">
        <v>92</v>
      </c>
      <c r="U323" s="39"/>
      <c r="V323" s="39">
        <v>264</v>
      </c>
      <c r="W323" s="39" t="s">
        <v>436</v>
      </c>
      <c r="X323" s="41">
        <v>46160</v>
      </c>
      <c r="Y323" s="41">
        <v>46171</v>
      </c>
      <c r="Z323" s="43">
        <v>7500</v>
      </c>
      <c r="AA323" s="45">
        <f>IF(M323&lt;&gt;"",M323,Z323)</f>
        <v>7500</v>
      </c>
      <c r="AB323" s="46" t="str">
        <f>IF(L323&lt;&gt;"","Realizado","Previsto")</f>
        <v>Previsto</v>
      </c>
      <c r="AC323" s="47">
        <v>0.25</v>
      </c>
      <c r="AD323" s="43">
        <v>30000</v>
      </c>
      <c r="AE323" s="39"/>
      <c r="AF323" s="39"/>
      <c r="AG323" s="43">
        <v>7500</v>
      </c>
      <c r="AH323" s="39" t="s">
        <v>93</v>
      </c>
      <c r="AI323" s="39" t="s">
        <v>73</v>
      </c>
      <c r="AJ323" s="48">
        <f>IF(Q323&lt;&gt;"",Q323,IF(K323&lt;&gt;"",K323,""))</f>
        <v>46171</v>
      </c>
      <c r="AK323" s="46" t="str">
        <f>IF(K323&lt;&gt;"","Sim","")</f>
        <v>Sim</v>
      </c>
      <c r="AL323" s="46" t="str">
        <f>IF(A323="","",TEXT(A323,"000000")&amp;"-"&amp;IF(C323="Entrada","CR","DB"))</f>
        <v>000322-DB</v>
      </c>
      <c r="AM323" s="46" t="str">
        <f>IF(A323="","",LEFT(IF(H323&lt;&gt;"",H323,G323)&amp;" | "&amp;G323&amp;" | "&amp;S323,60))</f>
        <v>ALMOXARIFADO | ALMOXARIFADO | Saída | GESTÃO LOCAL</v>
      </c>
    </row>
    <row r="324" spans="1:39" ht="43.2" x14ac:dyDescent="0.3">
      <c r="A324" s="39">
        <v>323</v>
      </c>
      <c r="B324" s="39" t="s">
        <v>2</v>
      </c>
      <c r="C324" s="39" t="s">
        <v>74</v>
      </c>
      <c r="D324" s="39" t="s">
        <v>82</v>
      </c>
      <c r="E324" s="39" t="s">
        <v>82</v>
      </c>
      <c r="F324" s="39" t="s">
        <v>90</v>
      </c>
      <c r="G324" s="39" t="s">
        <v>160</v>
      </c>
      <c r="H324" s="40"/>
      <c r="I324" s="40"/>
      <c r="J324" s="40"/>
      <c r="K324" s="42">
        <v>46171</v>
      </c>
      <c r="L324" s="42"/>
      <c r="M324" s="44"/>
      <c r="N324" s="40"/>
      <c r="O324" s="40"/>
      <c r="P324" s="40"/>
      <c r="Q324" s="42">
        <f>IF(K324="","",K324)</f>
        <v>46171</v>
      </c>
      <c r="R324" s="39" t="s">
        <v>82</v>
      </c>
      <c r="S324" s="39" t="s">
        <v>85</v>
      </c>
      <c r="T324" s="39" t="s">
        <v>92</v>
      </c>
      <c r="U324" s="39"/>
      <c r="V324" s="39">
        <v>265</v>
      </c>
      <c r="W324" s="39" t="s">
        <v>436</v>
      </c>
      <c r="X324" s="41">
        <v>46160</v>
      </c>
      <c r="Y324" s="41">
        <v>46171</v>
      </c>
      <c r="Z324" s="43">
        <v>3500</v>
      </c>
      <c r="AA324" s="45">
        <f>IF(M324&lt;&gt;"",M324,Z324)</f>
        <v>3500</v>
      </c>
      <c r="AB324" s="46" t="str">
        <f>IF(L324&lt;&gt;"","Realizado","Previsto")</f>
        <v>Previsto</v>
      </c>
      <c r="AC324" s="47">
        <v>0.25</v>
      </c>
      <c r="AD324" s="43">
        <v>14000</v>
      </c>
      <c r="AE324" s="39"/>
      <c r="AF324" s="39" t="s">
        <v>79</v>
      </c>
      <c r="AG324" s="43">
        <v>3500</v>
      </c>
      <c r="AH324" s="39" t="s">
        <v>93</v>
      </c>
      <c r="AI324" s="39" t="s">
        <v>73</v>
      </c>
      <c r="AJ324" s="48">
        <f>IF(Q324&lt;&gt;"",Q324,IF(K324&lt;&gt;"",K324,""))</f>
        <v>46171</v>
      </c>
      <c r="AK324" s="46" t="str">
        <f>IF(K324&lt;&gt;"","Sim","")</f>
        <v>Sim</v>
      </c>
      <c r="AL324" s="46" t="str">
        <f>IF(A324="","",TEXT(A324,"000000")&amp;"-"&amp;IF(C324="Entrada","CR","DB"))</f>
        <v>000323-DB</v>
      </c>
      <c r="AM324" s="46" t="str">
        <f>IF(A324="","",LEFT(IF(H324&lt;&gt;"",H324,G324)&amp;" | "&amp;G324&amp;" | "&amp;S324,60))</f>
        <v xml:space="preserve">Alojamento Arbnb (mestre, engenheiro. Tecnico) | Alojamento </v>
      </c>
    </row>
    <row r="325" spans="1:39" ht="43.2" x14ac:dyDescent="0.3">
      <c r="A325" s="39">
        <v>324</v>
      </c>
      <c r="B325" s="39" t="s">
        <v>2</v>
      </c>
      <c r="C325" s="39" t="s">
        <v>74</v>
      </c>
      <c r="D325" s="39" t="s">
        <v>82</v>
      </c>
      <c r="E325" s="39" t="s">
        <v>82</v>
      </c>
      <c r="F325" s="39" t="s">
        <v>94</v>
      </c>
      <c r="G325" s="39" t="s">
        <v>161</v>
      </c>
      <c r="H325" s="40"/>
      <c r="I325" s="40"/>
      <c r="J325" s="40"/>
      <c r="K325" s="42">
        <v>46171</v>
      </c>
      <c r="L325" s="42"/>
      <c r="M325" s="44"/>
      <c r="N325" s="40"/>
      <c r="O325" s="40"/>
      <c r="P325" s="40"/>
      <c r="Q325" s="42">
        <f>IF(K325="","",K325)</f>
        <v>46171</v>
      </c>
      <c r="R325" s="39" t="s">
        <v>82</v>
      </c>
      <c r="S325" s="39" t="s">
        <v>85</v>
      </c>
      <c r="T325" s="39" t="s">
        <v>96</v>
      </c>
      <c r="U325" s="39"/>
      <c r="V325" s="39">
        <v>252</v>
      </c>
      <c r="W325" s="39" t="s">
        <v>436</v>
      </c>
      <c r="X325" s="41">
        <v>46160</v>
      </c>
      <c r="Y325" s="41">
        <v>46171</v>
      </c>
      <c r="Z325" s="43">
        <v>1140</v>
      </c>
      <c r="AA325" s="45">
        <f>IF(M325&lt;&gt;"",M325,Z325)</f>
        <v>1140</v>
      </c>
      <c r="AB325" s="46" t="str">
        <f>IF(L325&lt;&gt;"","Realizado","Previsto")</f>
        <v>Previsto</v>
      </c>
      <c r="AC325" s="47">
        <v>0.25</v>
      </c>
      <c r="AD325" s="43">
        <v>4560</v>
      </c>
      <c r="AE325" s="39"/>
      <c r="AF325" s="39" t="s">
        <v>79</v>
      </c>
      <c r="AG325" s="43">
        <v>1140</v>
      </c>
      <c r="AH325" s="39" t="s">
        <v>97</v>
      </c>
      <c r="AI325" s="39" t="s">
        <v>73</v>
      </c>
      <c r="AJ325" s="48">
        <f>IF(Q325&lt;&gt;"",Q325,IF(K325&lt;&gt;"",K325,""))</f>
        <v>46171</v>
      </c>
      <c r="AK325" s="46" t="str">
        <f>IF(K325&lt;&gt;"","Sim","")</f>
        <v>Sim</v>
      </c>
      <c r="AL325" s="46" t="str">
        <f>IF(A325="","",TEXT(A325,"000000")&amp;"-"&amp;IF(C325="Entrada","CR","DB"))</f>
        <v>000324-DB</v>
      </c>
      <c r="AM325" s="46" t="str">
        <f>IF(A325="","",LEFT(IF(H325&lt;&gt;"",H325,G325)&amp;" | "&amp;G325&amp;" | "&amp;S325,60))</f>
        <v>Aluguel container Banheiro | Aluguel container Banheiro | Sa</v>
      </c>
    </row>
    <row r="326" spans="1:39" ht="43.2" x14ac:dyDescent="0.3">
      <c r="A326" s="39">
        <v>325</v>
      </c>
      <c r="B326" s="39" t="s">
        <v>2</v>
      </c>
      <c r="C326" s="39" t="s">
        <v>74</v>
      </c>
      <c r="D326" s="39" t="s">
        <v>82</v>
      </c>
      <c r="E326" s="39" t="s">
        <v>82</v>
      </c>
      <c r="F326" s="39" t="s">
        <v>94</v>
      </c>
      <c r="G326" s="39" t="s">
        <v>162</v>
      </c>
      <c r="H326" s="40"/>
      <c r="I326" s="40"/>
      <c r="J326" s="40"/>
      <c r="K326" s="42">
        <v>46171</v>
      </c>
      <c r="L326" s="42"/>
      <c r="M326" s="44"/>
      <c r="N326" s="40"/>
      <c r="O326" s="40"/>
      <c r="P326" s="40"/>
      <c r="Q326" s="42">
        <f>IF(K326="","",K326)</f>
        <v>46171</v>
      </c>
      <c r="R326" s="39" t="s">
        <v>82</v>
      </c>
      <c r="S326" s="39" t="s">
        <v>85</v>
      </c>
      <c r="T326" s="39" t="s">
        <v>96</v>
      </c>
      <c r="U326" s="39"/>
      <c r="V326" s="39">
        <v>254</v>
      </c>
      <c r="W326" s="39" t="s">
        <v>436</v>
      </c>
      <c r="X326" s="41">
        <v>46160</v>
      </c>
      <c r="Y326" s="41">
        <v>46171</v>
      </c>
      <c r="Z326" s="43">
        <v>400</v>
      </c>
      <c r="AA326" s="45">
        <f>IF(M326&lt;&gt;"",M326,Z326)</f>
        <v>400</v>
      </c>
      <c r="AB326" s="46" t="str">
        <f>IF(L326&lt;&gt;"","Realizado","Previsto")</f>
        <v>Previsto</v>
      </c>
      <c r="AC326" s="47">
        <v>0.25</v>
      </c>
      <c r="AD326" s="43">
        <v>1600</v>
      </c>
      <c r="AE326" s="39"/>
      <c r="AF326" s="39" t="s">
        <v>79</v>
      </c>
      <c r="AG326" s="43">
        <v>400</v>
      </c>
      <c r="AH326" s="39" t="s">
        <v>97</v>
      </c>
      <c r="AI326" s="39" t="s">
        <v>73</v>
      </c>
      <c r="AJ326" s="48">
        <f>IF(Q326&lt;&gt;"",Q326,IF(K326&lt;&gt;"",K326,""))</f>
        <v>46171</v>
      </c>
      <c r="AK326" s="46" t="str">
        <f>IF(K326&lt;&gt;"","Sim","")</f>
        <v>Sim</v>
      </c>
      <c r="AL326" s="46" t="str">
        <f>IF(A326="","",TEXT(A326,"000000")&amp;"-"&amp;IF(C326="Entrada","CR","DB"))</f>
        <v>000325-DB</v>
      </c>
      <c r="AM326" s="46" t="str">
        <f>IF(A326="","",LEFT(IF(H326&lt;&gt;"",H326,G326)&amp;" | "&amp;G326&amp;" | "&amp;S326,60))</f>
        <v>Aluguel container almoxarifado | Aluguel container almoxarif</v>
      </c>
    </row>
    <row r="327" spans="1:39" ht="43.2" x14ac:dyDescent="0.3">
      <c r="A327" s="39">
        <v>326</v>
      </c>
      <c r="B327" s="39" t="s">
        <v>2</v>
      </c>
      <c r="C327" s="39" t="s">
        <v>74</v>
      </c>
      <c r="D327" s="39" t="s">
        <v>82</v>
      </c>
      <c r="E327" s="39" t="s">
        <v>82</v>
      </c>
      <c r="F327" s="39" t="s">
        <v>94</v>
      </c>
      <c r="G327" s="39" t="s">
        <v>163</v>
      </c>
      <c r="H327" s="40"/>
      <c r="I327" s="40"/>
      <c r="J327" s="40"/>
      <c r="K327" s="42">
        <v>46171</v>
      </c>
      <c r="L327" s="42"/>
      <c r="M327" s="44"/>
      <c r="N327" s="40"/>
      <c r="O327" s="40"/>
      <c r="P327" s="40"/>
      <c r="Q327" s="42">
        <f>IF(K327="","",K327)</f>
        <v>46171</v>
      </c>
      <c r="R327" s="39" t="s">
        <v>82</v>
      </c>
      <c r="S327" s="39" t="s">
        <v>85</v>
      </c>
      <c r="T327" s="39" t="s">
        <v>96</v>
      </c>
      <c r="U327" s="39"/>
      <c r="V327" s="39">
        <v>255</v>
      </c>
      <c r="W327" s="39" t="s">
        <v>436</v>
      </c>
      <c r="X327" s="41">
        <v>46160</v>
      </c>
      <c r="Y327" s="41">
        <v>46171</v>
      </c>
      <c r="Z327" s="43">
        <v>900</v>
      </c>
      <c r="AA327" s="45">
        <f>IF(M327&lt;&gt;"",M327,Z327)</f>
        <v>900</v>
      </c>
      <c r="AB327" s="46" t="str">
        <f>IF(L327&lt;&gt;"","Realizado","Previsto")</f>
        <v>Previsto</v>
      </c>
      <c r="AC327" s="47">
        <v>0.25</v>
      </c>
      <c r="AD327" s="43">
        <v>3600</v>
      </c>
      <c r="AE327" s="39"/>
      <c r="AF327" s="39" t="s">
        <v>79</v>
      </c>
      <c r="AG327" s="43">
        <v>900</v>
      </c>
      <c r="AH327" s="39" t="s">
        <v>97</v>
      </c>
      <c r="AI327" s="39" t="s">
        <v>73</v>
      </c>
      <c r="AJ327" s="48">
        <f>IF(Q327&lt;&gt;"",Q327,IF(K327&lt;&gt;"",K327,""))</f>
        <v>46171</v>
      </c>
      <c r="AK327" s="46" t="str">
        <f>IF(K327&lt;&gt;"","Sim","")</f>
        <v>Sim</v>
      </c>
      <c r="AL327" s="46" t="str">
        <f>IF(A327="","",TEXT(A327,"000000")&amp;"-"&amp;IF(C327="Entrada","CR","DB"))</f>
        <v>000326-DB</v>
      </c>
      <c r="AM327" s="46" t="str">
        <f>IF(A327="","",LEFT(IF(H327&lt;&gt;"",H327,G327)&amp;" | "&amp;G327&amp;" | "&amp;S327,60))</f>
        <v xml:space="preserve">Aluguel container escritorio | Aluguel container escritorio </v>
      </c>
    </row>
    <row r="328" spans="1:39" ht="43.2" x14ac:dyDescent="0.3">
      <c r="A328" s="39">
        <v>327</v>
      </c>
      <c r="B328" s="39" t="s">
        <v>2</v>
      </c>
      <c r="C328" s="39" t="s">
        <v>74</v>
      </c>
      <c r="D328" s="39" t="s">
        <v>82</v>
      </c>
      <c r="E328" s="39" t="s">
        <v>82</v>
      </c>
      <c r="F328" s="39" t="s">
        <v>90</v>
      </c>
      <c r="G328" s="39" t="s">
        <v>164</v>
      </c>
      <c r="H328" s="40"/>
      <c r="I328" s="40"/>
      <c r="J328" s="40"/>
      <c r="K328" s="42">
        <v>46171</v>
      </c>
      <c r="L328" s="42"/>
      <c r="M328" s="44"/>
      <c r="N328" s="40"/>
      <c r="O328" s="40"/>
      <c r="P328" s="40"/>
      <c r="Q328" s="42">
        <f>IF(K328="","",K328)</f>
        <v>46171</v>
      </c>
      <c r="R328" s="39" t="s">
        <v>82</v>
      </c>
      <c r="S328" s="39" t="s">
        <v>85</v>
      </c>
      <c r="T328" s="39" t="s">
        <v>92</v>
      </c>
      <c r="U328" s="39" t="s">
        <v>165</v>
      </c>
      <c r="V328" s="39">
        <v>262</v>
      </c>
      <c r="W328" s="39" t="s">
        <v>436</v>
      </c>
      <c r="X328" s="41">
        <v>46160</v>
      </c>
      <c r="Y328" s="41">
        <v>46171</v>
      </c>
      <c r="Z328" s="43">
        <v>3000</v>
      </c>
      <c r="AA328" s="45">
        <f>IF(M328&lt;&gt;"",M328,Z328)</f>
        <v>3000</v>
      </c>
      <c r="AB328" s="46" t="str">
        <f>IF(L328&lt;&gt;"","Realizado","Previsto")</f>
        <v>Previsto</v>
      </c>
      <c r="AC328" s="47">
        <v>0.25</v>
      </c>
      <c r="AD328" s="43">
        <v>12000</v>
      </c>
      <c r="AE328" s="39"/>
      <c r="AF328" s="39" t="s">
        <v>79</v>
      </c>
      <c r="AG328" s="43">
        <v>3000</v>
      </c>
      <c r="AH328" s="39" t="s">
        <v>93</v>
      </c>
      <c r="AI328" s="39" t="s">
        <v>73</v>
      </c>
      <c r="AJ328" s="48">
        <f>IF(Q328&lt;&gt;"",Q328,IF(K328&lt;&gt;"",K328,""))</f>
        <v>46171</v>
      </c>
      <c r="AK328" s="46" t="str">
        <f>IF(K328&lt;&gt;"","Sim","")</f>
        <v>Sim</v>
      </c>
      <c r="AL328" s="46" t="str">
        <f>IF(A328="","",TEXT(A328,"000000")&amp;"-"&amp;IF(C328="Entrada","CR","DB"))</f>
        <v>000327-DB</v>
      </c>
      <c r="AM328" s="46" t="str">
        <f>IF(A328="","",LEFT(IF(H328&lt;&gt;"",H328,G328)&amp;" | "&amp;G328&amp;" | "&amp;S328,60))</f>
        <v>COMPRADOR | COMPRADOR | Saída | GESTÃO LOCAL</v>
      </c>
    </row>
    <row r="329" spans="1:39" ht="43.2" x14ac:dyDescent="0.3">
      <c r="A329" s="39">
        <v>328</v>
      </c>
      <c r="B329" s="39" t="s">
        <v>2</v>
      </c>
      <c r="C329" s="39" t="s">
        <v>74</v>
      </c>
      <c r="D329" s="39" t="s">
        <v>82</v>
      </c>
      <c r="E329" s="39" t="s">
        <v>82</v>
      </c>
      <c r="F329" s="39" t="s">
        <v>90</v>
      </c>
      <c r="G329" s="39" t="s">
        <v>166</v>
      </c>
      <c r="H329" s="40"/>
      <c r="I329" s="40"/>
      <c r="J329" s="40"/>
      <c r="K329" s="42">
        <v>46171</v>
      </c>
      <c r="L329" s="42"/>
      <c r="M329" s="44"/>
      <c r="N329" s="40"/>
      <c r="O329" s="40"/>
      <c r="P329" s="40"/>
      <c r="Q329" s="42">
        <f>IF(K329="","",K329)</f>
        <v>46171</v>
      </c>
      <c r="R329" s="39" t="s">
        <v>82</v>
      </c>
      <c r="S329" s="39" t="s">
        <v>85</v>
      </c>
      <c r="T329" s="39" t="s">
        <v>92</v>
      </c>
      <c r="U329" s="39"/>
      <c r="V329" s="39">
        <v>259</v>
      </c>
      <c r="W329" s="39" t="s">
        <v>436</v>
      </c>
      <c r="X329" s="41">
        <v>46160</v>
      </c>
      <c r="Y329" s="41">
        <v>46171</v>
      </c>
      <c r="Z329" s="43">
        <v>10000</v>
      </c>
      <c r="AA329" s="45">
        <f>IF(M329&lt;&gt;"",M329,Z329)</f>
        <v>10000</v>
      </c>
      <c r="AB329" s="46" t="str">
        <f>IF(L329&lt;&gt;"","Realizado","Previsto")</f>
        <v>Previsto</v>
      </c>
      <c r="AC329" s="47">
        <v>0.25</v>
      </c>
      <c r="AD329" s="43">
        <v>40000</v>
      </c>
      <c r="AE329" s="39"/>
      <c r="AF329" s="39" t="s">
        <v>79</v>
      </c>
      <c r="AG329" s="43">
        <v>10000</v>
      </c>
      <c r="AH329" s="39" t="s">
        <v>93</v>
      </c>
      <c r="AI329" s="39" t="s">
        <v>73</v>
      </c>
      <c r="AJ329" s="48">
        <f>IF(Q329&lt;&gt;"",Q329,IF(K329&lt;&gt;"",K329,""))</f>
        <v>46171</v>
      </c>
      <c r="AK329" s="46" t="str">
        <f>IF(K329&lt;&gt;"","Sim","")</f>
        <v>Sim</v>
      </c>
      <c r="AL329" s="46" t="str">
        <f>IF(A329="","",TEXT(A329,"000000")&amp;"-"&amp;IF(C329="Entrada","CR","DB"))</f>
        <v>000328-DB</v>
      </c>
      <c r="AM329" s="46" t="str">
        <f>IF(A329="","",LEFT(IF(H329&lt;&gt;"",H329,G329)&amp;" | "&amp;G329&amp;" | "&amp;S329,60))</f>
        <v>ENGENHEIRO RESIDENTE - ( rateado em 3 canteiros) carro inclu</v>
      </c>
    </row>
    <row r="330" spans="1:39" ht="43.2" x14ac:dyDescent="0.3">
      <c r="A330" s="39">
        <v>329</v>
      </c>
      <c r="B330" s="39" t="s">
        <v>2</v>
      </c>
      <c r="C330" s="39" t="s">
        <v>74</v>
      </c>
      <c r="D330" s="39" t="s">
        <v>82</v>
      </c>
      <c r="E330" s="39" t="s">
        <v>82</v>
      </c>
      <c r="F330" s="39" t="s">
        <v>90</v>
      </c>
      <c r="G330" s="39" t="s">
        <v>241</v>
      </c>
      <c r="H330" s="40"/>
      <c r="I330" s="40"/>
      <c r="J330" s="40"/>
      <c r="K330" s="42">
        <v>46171</v>
      </c>
      <c r="L330" s="42"/>
      <c r="M330" s="44"/>
      <c r="N330" s="40"/>
      <c r="O330" s="40"/>
      <c r="P330" s="40"/>
      <c r="Q330" s="42">
        <f>IF(K330="","",K330)</f>
        <v>46171</v>
      </c>
      <c r="R330" s="39" t="s">
        <v>82</v>
      </c>
      <c r="S330" s="39" t="s">
        <v>85</v>
      </c>
      <c r="T330" s="39" t="s">
        <v>92</v>
      </c>
      <c r="U330" s="39"/>
      <c r="V330" s="39">
        <v>263</v>
      </c>
      <c r="W330" s="39" t="s">
        <v>436</v>
      </c>
      <c r="X330" s="41">
        <v>46160</v>
      </c>
      <c r="Y330" s="41">
        <v>46171</v>
      </c>
      <c r="Z330" s="43">
        <v>3000</v>
      </c>
      <c r="AA330" s="45">
        <f>IF(M330&lt;&gt;"",M330,Z330)</f>
        <v>3000</v>
      </c>
      <c r="AB330" s="46" t="str">
        <f>IF(L330&lt;&gt;"","Realizado","Previsto")</f>
        <v>Previsto</v>
      </c>
      <c r="AC330" s="47">
        <v>0.25</v>
      </c>
      <c r="AD330" s="43">
        <v>12000</v>
      </c>
      <c r="AE330" s="39"/>
      <c r="AF330" s="39" t="s">
        <v>79</v>
      </c>
      <c r="AG330" s="43">
        <v>3000</v>
      </c>
      <c r="AH330" s="39" t="s">
        <v>93</v>
      </c>
      <c r="AI330" s="39" t="s">
        <v>73</v>
      </c>
      <c r="AJ330" s="48">
        <f>IF(Q330&lt;&gt;"",Q330,IF(K330&lt;&gt;"",K330,""))</f>
        <v>46171</v>
      </c>
      <c r="AK330" s="46" t="str">
        <f>IF(K330&lt;&gt;"","Sim","")</f>
        <v>Sim</v>
      </c>
      <c r="AL330" s="46" t="str">
        <f>IF(A330="","",TEXT(A330,"000000")&amp;"-"&amp;IF(C330="Entrada","CR","DB"))</f>
        <v>000329-DB</v>
      </c>
      <c r="AM330" s="46" t="str">
        <f>IF(A330="","",LEFT(IF(H330&lt;&gt;"",H330,G330)&amp;" | "&amp;G330&amp;" | "&amp;S330,60))</f>
        <v>TECNICO SEGURANÇA TRABALHO - ( rateado em 3 canteiros) carro</v>
      </c>
    </row>
    <row r="331" spans="1:39" ht="43.2" x14ac:dyDescent="0.3">
      <c r="A331" s="39">
        <v>330</v>
      </c>
      <c r="B331" s="39" t="s">
        <v>2</v>
      </c>
      <c r="C331" s="39" t="s">
        <v>74</v>
      </c>
      <c r="D331" s="39" t="s">
        <v>331</v>
      </c>
      <c r="E331" s="39" t="s">
        <v>331</v>
      </c>
      <c r="F331" s="39" t="s">
        <v>184</v>
      </c>
      <c r="G331" s="39" t="s">
        <v>332</v>
      </c>
      <c r="H331" s="40"/>
      <c r="I331" s="40"/>
      <c r="J331" s="40"/>
      <c r="K331" s="42">
        <v>46171</v>
      </c>
      <c r="L331" s="42"/>
      <c r="M331" s="44"/>
      <c r="N331" s="40"/>
      <c r="O331" s="40"/>
      <c r="P331" s="40"/>
      <c r="Q331" s="42">
        <f>IF(K331="","",K331)</f>
        <v>46171</v>
      </c>
      <c r="R331" s="39" t="s">
        <v>331</v>
      </c>
      <c r="S331" s="39" t="s">
        <v>333</v>
      </c>
      <c r="T331" s="39" t="s">
        <v>334</v>
      </c>
      <c r="U331" s="39"/>
      <c r="V331" s="39">
        <v>67</v>
      </c>
      <c r="W331" s="39" t="s">
        <v>436</v>
      </c>
      <c r="X331" s="41">
        <v>46160</v>
      </c>
      <c r="Y331" s="41">
        <v>46171</v>
      </c>
      <c r="Z331" s="43">
        <v>4864</v>
      </c>
      <c r="AA331" s="45">
        <f>IF(M331&lt;&gt;"",M331,Z331)</f>
        <v>4864</v>
      </c>
      <c r="AB331" s="46" t="str">
        <f>IF(L331&lt;&gt;"","Realizado","Previsto")</f>
        <v>Previsto</v>
      </c>
      <c r="AC331" s="47">
        <v>0.5</v>
      </c>
      <c r="AD331" s="43">
        <v>9728</v>
      </c>
      <c r="AE331" s="39">
        <v>256</v>
      </c>
      <c r="AF331" s="39" t="s">
        <v>191</v>
      </c>
      <c r="AG331" s="43">
        <v>38</v>
      </c>
      <c r="AH331" s="39" t="s">
        <v>335</v>
      </c>
      <c r="AI331" s="39" t="s">
        <v>73</v>
      </c>
      <c r="AJ331" s="48">
        <f>IF(Q331&lt;&gt;"",Q331,IF(K331&lt;&gt;"",K331,""))</f>
        <v>46171</v>
      </c>
      <c r="AK331" s="46" t="str">
        <f>IF(K331&lt;&gt;"","Sim","")</f>
        <v>Sim</v>
      </c>
      <c r="AL331" s="46" t="str">
        <f>IF(A331="","",TEXT(A331,"000000")&amp;"-"&amp;IF(C331="Entrada","CR","DB"))</f>
        <v>000330-DB</v>
      </c>
      <c r="AM331" s="46" t="str">
        <f>IF(A331="","",LEFT(IF(H331&lt;&gt;"",H331,G331)&amp;" | "&amp;G331&amp;" | "&amp;S331,60))</f>
        <v>Aditivo supercristalizante Penetron | Aditivo supercristaliz</v>
      </c>
    </row>
    <row r="332" spans="1:39" ht="43.2" x14ac:dyDescent="0.3">
      <c r="A332" s="39">
        <v>331</v>
      </c>
      <c r="B332" s="39" t="s">
        <v>2</v>
      </c>
      <c r="C332" s="39" t="s">
        <v>74</v>
      </c>
      <c r="D332" s="39" t="s">
        <v>331</v>
      </c>
      <c r="E332" s="39" t="s">
        <v>331</v>
      </c>
      <c r="F332" s="39" t="s">
        <v>94</v>
      </c>
      <c r="G332" s="39" t="s">
        <v>339</v>
      </c>
      <c r="H332" s="40"/>
      <c r="I332" s="40"/>
      <c r="J332" s="40"/>
      <c r="K332" s="42">
        <v>46171</v>
      </c>
      <c r="L332" s="42"/>
      <c r="M332" s="44"/>
      <c r="N332" s="40"/>
      <c r="O332" s="40"/>
      <c r="P332" s="40"/>
      <c r="Q332" s="42">
        <f>IF(K332="","",K332)</f>
        <v>46171</v>
      </c>
      <c r="R332" s="39" t="s">
        <v>331</v>
      </c>
      <c r="S332" s="39" t="s">
        <v>333</v>
      </c>
      <c r="T332" s="39" t="s">
        <v>340</v>
      </c>
      <c r="U332" s="39"/>
      <c r="V332" s="39">
        <v>66</v>
      </c>
      <c r="W332" s="39" t="s">
        <v>436</v>
      </c>
      <c r="X332" s="41">
        <v>46160</v>
      </c>
      <c r="Y332" s="41">
        <v>46171</v>
      </c>
      <c r="Z332" s="43">
        <v>840</v>
      </c>
      <c r="AA332" s="45">
        <f>IF(M332&lt;&gt;"",M332,Z332)</f>
        <v>840</v>
      </c>
      <c r="AB332" s="46" t="str">
        <f>IF(L332&lt;&gt;"","Realizado","Previsto")</f>
        <v>Previsto</v>
      </c>
      <c r="AC332" s="47">
        <v>0.4</v>
      </c>
      <c r="AD332" s="43">
        <v>2100</v>
      </c>
      <c r="AE332" s="39">
        <v>3</v>
      </c>
      <c r="AF332" s="39" t="s">
        <v>341</v>
      </c>
      <c r="AG332" s="43">
        <v>700</v>
      </c>
      <c r="AH332" s="39" t="s">
        <v>342</v>
      </c>
      <c r="AI332" s="39" t="s">
        <v>73</v>
      </c>
      <c r="AJ332" s="48">
        <f>IF(Q332&lt;&gt;"",Q332,IF(K332&lt;&gt;"",K332,""))</f>
        <v>46171</v>
      </c>
      <c r="AK332" s="46" t="str">
        <f>IF(K332&lt;&gt;"","Sim","")</f>
        <v>Sim</v>
      </c>
      <c r="AL332" s="46" t="str">
        <f>IF(A332="","",TEXT(A332,"000000")&amp;"-"&amp;IF(C332="Entrada","CR","DB"))</f>
        <v>000331-DB</v>
      </c>
      <c r="AM332" s="46" t="str">
        <f>IF(A332="","",LEFT(IF(H332&lt;&gt;"",H332,G332)&amp;" | "&amp;G332&amp;" | "&amp;S332,60))</f>
        <v>Locação betoneira para bater o graute | Locação betoneira pa</v>
      </c>
    </row>
    <row r="333" spans="1:39" ht="43.2" x14ac:dyDescent="0.3">
      <c r="A333" s="39">
        <v>332</v>
      </c>
      <c r="B333" s="39" t="s">
        <v>2</v>
      </c>
      <c r="C333" s="39" t="s">
        <v>74</v>
      </c>
      <c r="D333" s="39" t="s">
        <v>331</v>
      </c>
      <c r="E333" s="39" t="s">
        <v>331</v>
      </c>
      <c r="F333" s="39" t="s">
        <v>173</v>
      </c>
      <c r="G333" s="39" t="s">
        <v>348</v>
      </c>
      <c r="H333" s="40"/>
      <c r="I333" s="40"/>
      <c r="J333" s="40"/>
      <c r="K333" s="42">
        <v>46171</v>
      </c>
      <c r="L333" s="42"/>
      <c r="M333" s="44"/>
      <c r="N333" s="40"/>
      <c r="O333" s="40"/>
      <c r="P333" s="40"/>
      <c r="Q333" s="42">
        <f>IF(K333="","",K333)</f>
        <v>46171</v>
      </c>
      <c r="R333" s="39" t="s">
        <v>331</v>
      </c>
      <c r="S333" s="39" t="s">
        <v>333</v>
      </c>
      <c r="T333" s="39" t="s">
        <v>344</v>
      </c>
      <c r="U333" s="39" t="s">
        <v>345</v>
      </c>
      <c r="V333" s="39">
        <v>62</v>
      </c>
      <c r="W333" s="39" t="s">
        <v>436</v>
      </c>
      <c r="X333" s="41">
        <v>46160</v>
      </c>
      <c r="Y333" s="41">
        <v>46171</v>
      </c>
      <c r="Z333" s="43">
        <v>14112</v>
      </c>
      <c r="AA333" s="45">
        <f>IF(M333&lt;&gt;"",M333,Z333)</f>
        <v>14112</v>
      </c>
      <c r="AB333" s="46" t="str">
        <f>IF(L333&lt;&gt;"","Realizado","Previsto")</f>
        <v>Previsto</v>
      </c>
      <c r="AC333" s="47">
        <v>0.5</v>
      </c>
      <c r="AD333" s="43">
        <v>28224</v>
      </c>
      <c r="AE333" s="39">
        <v>576</v>
      </c>
      <c r="AF333" s="39" t="s">
        <v>330</v>
      </c>
      <c r="AG333" s="43">
        <v>49</v>
      </c>
      <c r="AH333" s="39" t="s">
        <v>347</v>
      </c>
      <c r="AI333" s="39" t="s">
        <v>73</v>
      </c>
      <c r="AJ333" s="48">
        <f>IF(Q333&lt;&gt;"",Q333,IF(K333&lt;&gt;"",K333,""))</f>
        <v>46171</v>
      </c>
      <c r="AK333" s="46" t="str">
        <f>IF(K333&lt;&gt;"","Sim","")</f>
        <v>Sim</v>
      </c>
      <c r="AL333" s="46" t="str">
        <f>IF(A333="","",TEXT(A333,"000000")&amp;"-"&amp;IF(C333="Entrada","CR","DB"))</f>
        <v>000332-DB</v>
      </c>
      <c r="AM333" s="46" t="str">
        <f>IF(A333="","",LEFT(IF(H333&lt;&gt;"",H333,G333)&amp;" | "&amp;G333&amp;" | "&amp;S333,60))</f>
        <v>graute:  cimento PortlanD CP IV 32 | graute:  cimento Portla</v>
      </c>
    </row>
    <row r="334" spans="1:39" ht="43.2" x14ac:dyDescent="0.3">
      <c r="A334" s="39">
        <v>333</v>
      </c>
      <c r="B334" s="39" t="s">
        <v>2</v>
      </c>
      <c r="C334" s="39" t="s">
        <v>74</v>
      </c>
      <c r="D334" s="39" t="s">
        <v>242</v>
      </c>
      <c r="E334" s="39" t="s">
        <v>243</v>
      </c>
      <c r="F334" s="39" t="s">
        <v>109</v>
      </c>
      <c r="G334" s="39" t="s">
        <v>244</v>
      </c>
      <c r="H334" s="40"/>
      <c r="I334" s="40"/>
      <c r="J334" s="40"/>
      <c r="K334" s="42">
        <v>46171</v>
      </c>
      <c r="L334" s="42"/>
      <c r="M334" s="44"/>
      <c r="N334" s="40"/>
      <c r="O334" s="40"/>
      <c r="P334" s="40"/>
      <c r="Q334" s="42">
        <f>IF(K334="","",K334)</f>
        <v>46171</v>
      </c>
      <c r="R334" s="39" t="s">
        <v>242</v>
      </c>
      <c r="S334" s="39" t="s">
        <v>245</v>
      </c>
      <c r="T334" s="39" t="s">
        <v>246</v>
      </c>
      <c r="U334" s="39" t="s">
        <v>215</v>
      </c>
      <c r="V334" s="39">
        <v>73</v>
      </c>
      <c r="W334" s="39" t="s">
        <v>436</v>
      </c>
      <c r="X334" s="41">
        <v>46160</v>
      </c>
      <c r="Y334" s="41">
        <v>46171</v>
      </c>
      <c r="Z334" s="43">
        <v>5980.8</v>
      </c>
      <c r="AA334" s="45">
        <f>IF(M334&lt;&gt;"",M334,Z334)</f>
        <v>5980.8</v>
      </c>
      <c r="AB334" s="46" t="str">
        <f>IF(L334&lt;&gt;"","Realizado","Previsto")</f>
        <v>Previsto</v>
      </c>
      <c r="AC334" s="47">
        <v>0.2225</v>
      </c>
      <c r="AD334" s="43">
        <v>26880</v>
      </c>
      <c r="AE334" s="39">
        <v>64</v>
      </c>
      <c r="AF334" s="39" t="s">
        <v>113</v>
      </c>
      <c r="AG334" s="43">
        <v>420</v>
      </c>
      <c r="AH334" s="39" t="s">
        <v>247</v>
      </c>
      <c r="AI334" s="39" t="s">
        <v>73</v>
      </c>
      <c r="AJ334" s="48">
        <f>IF(Q334&lt;&gt;"",Q334,IF(K334&lt;&gt;"",K334,""))</f>
        <v>46171</v>
      </c>
      <c r="AK334" s="46" t="str">
        <f>IF(K334&lt;&gt;"","Sim","")</f>
        <v>Sim</v>
      </c>
      <c r="AL334" s="46" t="str">
        <f>IF(A334="","",TEXT(A334,"000000")&amp;"-"&amp;IF(C334="Entrada","CR","DB"))</f>
        <v>000333-DB</v>
      </c>
      <c r="AM334" s="46" t="str">
        <f>IF(A334="","",LEFT(IF(H334&lt;&gt;"",H334,G334)&amp;" | "&amp;G334&amp;" | "&amp;S334,60))</f>
        <v xml:space="preserve">Mao de obra Impermeabilização de áreas úmidas | Mao de obra </v>
      </c>
    </row>
    <row r="335" spans="1:39" ht="43.2" x14ac:dyDescent="0.3">
      <c r="A335" s="39">
        <v>334</v>
      </c>
      <c r="B335" s="39" t="s">
        <v>2</v>
      </c>
      <c r="C335" s="39" t="s">
        <v>74</v>
      </c>
      <c r="D335" s="39" t="s">
        <v>242</v>
      </c>
      <c r="E335" s="39" t="s">
        <v>243</v>
      </c>
      <c r="F335" s="39" t="s">
        <v>184</v>
      </c>
      <c r="G335" s="39" t="s">
        <v>350</v>
      </c>
      <c r="H335" s="40"/>
      <c r="I335" s="40"/>
      <c r="J335" s="40"/>
      <c r="K335" s="42">
        <v>46171</v>
      </c>
      <c r="L335" s="42"/>
      <c r="M335" s="44"/>
      <c r="N335" s="40"/>
      <c r="O335" s="40"/>
      <c r="P335" s="40"/>
      <c r="Q335" s="42">
        <f>IF(K335="","",K335)</f>
        <v>46171</v>
      </c>
      <c r="R335" s="39" t="s">
        <v>242</v>
      </c>
      <c r="S335" s="39" t="s">
        <v>245</v>
      </c>
      <c r="T335" s="39" t="s">
        <v>351</v>
      </c>
      <c r="U335" s="39"/>
      <c r="V335" s="39">
        <v>70</v>
      </c>
      <c r="W335" s="39" t="s">
        <v>436</v>
      </c>
      <c r="X335" s="41">
        <v>46160</v>
      </c>
      <c r="Y335" s="41">
        <v>46171</v>
      </c>
      <c r="Z335" s="43">
        <v>1440</v>
      </c>
      <c r="AA335" s="45">
        <f>IF(M335&lt;&gt;"",M335,Z335)</f>
        <v>1440</v>
      </c>
      <c r="AB335" s="46" t="str">
        <f>IF(L335&lt;&gt;"","Realizado","Previsto")</f>
        <v>Previsto</v>
      </c>
      <c r="AC335" s="47">
        <v>0.5</v>
      </c>
      <c r="AD335" s="43">
        <v>2880</v>
      </c>
      <c r="AE335" s="39">
        <v>64</v>
      </c>
      <c r="AF335" s="39" t="s">
        <v>352</v>
      </c>
      <c r="AG335" s="43">
        <v>45</v>
      </c>
      <c r="AH335" s="39" t="s">
        <v>353</v>
      </c>
      <c r="AI335" s="39" t="s">
        <v>73</v>
      </c>
      <c r="AJ335" s="48">
        <f>IF(Q335&lt;&gt;"",Q335,IF(K335&lt;&gt;"",K335,""))</f>
        <v>46171</v>
      </c>
      <c r="AK335" s="46" t="str">
        <f>IF(K335&lt;&gt;"","Sim","")</f>
        <v>Sim</v>
      </c>
      <c r="AL335" s="46" t="str">
        <f>IF(A335="","",TEXT(A335,"000000")&amp;"-"&amp;IF(C335="Entrada","CR","DB"))</f>
        <v>000334-DB</v>
      </c>
      <c r="AM335" s="46" t="str">
        <f>IF(A335="","",LEFT(IF(H335&lt;&gt;"",H335,G335)&amp;" | "&amp;G335&amp;" | "&amp;S335,60))</f>
        <v>Membrana líquida de poliuretano bicomponente 15Kg flexivel |</v>
      </c>
    </row>
    <row r="336" spans="1:39" ht="43.2" x14ac:dyDescent="0.3">
      <c r="A336" s="39">
        <v>335</v>
      </c>
      <c r="B336" s="39" t="s">
        <v>2</v>
      </c>
      <c r="C336" s="39" t="s">
        <v>74</v>
      </c>
      <c r="D336" s="39" t="s">
        <v>242</v>
      </c>
      <c r="E336" s="39" t="s">
        <v>243</v>
      </c>
      <c r="F336" s="39" t="s">
        <v>184</v>
      </c>
      <c r="G336" s="39" t="s">
        <v>354</v>
      </c>
      <c r="H336" s="40"/>
      <c r="I336" s="40"/>
      <c r="J336" s="40"/>
      <c r="K336" s="42">
        <v>46171</v>
      </c>
      <c r="L336" s="42"/>
      <c r="M336" s="44"/>
      <c r="N336" s="40"/>
      <c r="O336" s="40"/>
      <c r="P336" s="40"/>
      <c r="Q336" s="42">
        <f>IF(K336="","",K336)</f>
        <v>46171</v>
      </c>
      <c r="R336" s="39" t="s">
        <v>242</v>
      </c>
      <c r="S336" s="39" t="s">
        <v>245</v>
      </c>
      <c r="T336" s="39" t="s">
        <v>351</v>
      </c>
      <c r="U336" s="39"/>
      <c r="V336" s="39">
        <v>71</v>
      </c>
      <c r="W336" s="39" t="s">
        <v>436</v>
      </c>
      <c r="X336" s="41">
        <v>46160</v>
      </c>
      <c r="Y336" s="41">
        <v>46171</v>
      </c>
      <c r="Z336" s="43">
        <v>2880</v>
      </c>
      <c r="AA336" s="45">
        <f>IF(M336&lt;&gt;"",M336,Z336)</f>
        <v>2880</v>
      </c>
      <c r="AB336" s="46" t="str">
        <f>IF(L336&lt;&gt;"","Realizado","Previsto")</f>
        <v>Previsto</v>
      </c>
      <c r="AC336" s="47">
        <v>0.5</v>
      </c>
      <c r="AD336" s="43">
        <v>5760</v>
      </c>
      <c r="AE336" s="39">
        <v>128</v>
      </c>
      <c r="AF336" s="39" t="s">
        <v>352</v>
      </c>
      <c r="AG336" s="43">
        <v>45</v>
      </c>
      <c r="AH336" s="39" t="s">
        <v>353</v>
      </c>
      <c r="AI336" s="39" t="s">
        <v>73</v>
      </c>
      <c r="AJ336" s="48">
        <f>IF(Q336&lt;&gt;"",Q336,IF(K336&lt;&gt;"",K336,""))</f>
        <v>46171</v>
      </c>
      <c r="AK336" s="46" t="str">
        <f>IF(K336&lt;&gt;"","Sim","")</f>
        <v>Sim</v>
      </c>
      <c r="AL336" s="46" t="str">
        <f>IF(A336="","",TEXT(A336,"000000")&amp;"-"&amp;IF(C336="Entrada","CR","DB"))</f>
        <v>000335-DB</v>
      </c>
      <c r="AM336" s="46" t="str">
        <f>IF(A336="","",LEFT(IF(H336&lt;&gt;"",H336,G336)&amp;" | "&amp;G336&amp;" | "&amp;S336,60))</f>
        <v>Membrana líquida de poliuretano bicomponente 15Kg semi flexi</v>
      </c>
    </row>
    <row r="337" spans="1:39" ht="43.2" x14ac:dyDescent="0.3">
      <c r="A337" s="39">
        <v>336</v>
      </c>
      <c r="B337" s="39" t="s">
        <v>2</v>
      </c>
      <c r="C337" s="39" t="s">
        <v>74</v>
      </c>
      <c r="D337" s="39" t="s">
        <v>242</v>
      </c>
      <c r="E337" s="39" t="s">
        <v>243</v>
      </c>
      <c r="F337" s="39" t="s">
        <v>184</v>
      </c>
      <c r="G337" s="39" t="s">
        <v>355</v>
      </c>
      <c r="H337" s="40"/>
      <c r="I337" s="40"/>
      <c r="J337" s="40"/>
      <c r="K337" s="42">
        <v>46171</v>
      </c>
      <c r="L337" s="42"/>
      <c r="M337" s="44"/>
      <c r="N337" s="40"/>
      <c r="O337" s="40"/>
      <c r="P337" s="40"/>
      <c r="Q337" s="42">
        <f>IF(K337="","",K337)</f>
        <v>46171</v>
      </c>
      <c r="R337" s="39" t="s">
        <v>242</v>
      </c>
      <c r="S337" s="39" t="s">
        <v>245</v>
      </c>
      <c r="T337" s="39" t="s">
        <v>351</v>
      </c>
      <c r="U337" s="39"/>
      <c r="V337" s="39">
        <v>72</v>
      </c>
      <c r="W337" s="39" t="s">
        <v>436</v>
      </c>
      <c r="X337" s="41">
        <v>46160</v>
      </c>
      <c r="Y337" s="41">
        <v>46171</v>
      </c>
      <c r="Z337" s="43">
        <v>1127.5840000000001</v>
      </c>
      <c r="AA337" s="45">
        <f>IF(M337&lt;&gt;"",M337,Z337)</f>
        <v>1127.5840000000001</v>
      </c>
      <c r="AB337" s="46" t="str">
        <f>IF(L337&lt;&gt;"","Realizado","Previsto")</f>
        <v>Previsto</v>
      </c>
      <c r="AC337" s="47">
        <v>0.5</v>
      </c>
      <c r="AD337" s="43">
        <v>2255.1680000000001</v>
      </c>
      <c r="AE337" s="39">
        <v>320</v>
      </c>
      <c r="AF337" s="39" t="s">
        <v>203</v>
      </c>
      <c r="AG337" s="43">
        <v>7.0473999999999997</v>
      </c>
      <c r="AH337" s="39" t="s">
        <v>353</v>
      </c>
      <c r="AI337" s="39" t="s">
        <v>73</v>
      </c>
      <c r="AJ337" s="48">
        <f>IF(Q337&lt;&gt;"",Q337,IF(K337&lt;&gt;"",K337,""))</f>
        <v>46171</v>
      </c>
      <c r="AK337" s="46" t="str">
        <f>IF(K337&lt;&gt;"","Sim","")</f>
        <v>Sim</v>
      </c>
      <c r="AL337" s="46" t="str">
        <f>IF(A337="","",TEXT(A337,"000000")&amp;"-"&amp;IF(C337="Entrada","CR","DB"))</f>
        <v>000336-DB</v>
      </c>
      <c r="AM337" s="46" t="str">
        <f>IF(A337="","",LEFT(IF(H337&lt;&gt;"",H337,G337)&amp;" | "&amp;G337&amp;" | "&amp;S337,60))</f>
        <v>Tela de Poliester | Tela de Poliester | Saída | IMPERMEABILI</v>
      </c>
    </row>
    <row r="338" spans="1:39" ht="43.2" x14ac:dyDescent="0.3">
      <c r="A338" s="39">
        <v>337</v>
      </c>
      <c r="B338" s="39" t="s">
        <v>2</v>
      </c>
      <c r="C338" s="39" t="s">
        <v>74</v>
      </c>
      <c r="D338" s="39" t="s">
        <v>469</v>
      </c>
      <c r="E338" s="39" t="s">
        <v>469</v>
      </c>
      <c r="F338" s="39" t="s">
        <v>109</v>
      </c>
      <c r="G338" s="39" t="s">
        <v>470</v>
      </c>
      <c r="H338" s="40"/>
      <c r="I338" s="40"/>
      <c r="J338" s="40"/>
      <c r="K338" s="42">
        <v>46171</v>
      </c>
      <c r="L338" s="42"/>
      <c r="M338" s="44"/>
      <c r="N338" s="40"/>
      <c r="O338" s="40"/>
      <c r="P338" s="40"/>
      <c r="Q338" s="42">
        <f>IF(K338="","",K338)</f>
        <v>46171</v>
      </c>
      <c r="R338" s="39" t="s">
        <v>469</v>
      </c>
      <c r="S338" s="39" t="s">
        <v>471</v>
      </c>
      <c r="T338" s="39" t="s">
        <v>472</v>
      </c>
      <c r="U338" s="39" t="s">
        <v>215</v>
      </c>
      <c r="V338" s="39">
        <v>229</v>
      </c>
      <c r="W338" s="39" t="s">
        <v>436</v>
      </c>
      <c r="X338" s="41">
        <v>46160</v>
      </c>
      <c r="Y338" s="41">
        <v>46171</v>
      </c>
      <c r="Z338" s="43">
        <v>1799.04</v>
      </c>
      <c r="AA338" s="45">
        <f>IF(M338&lt;&gt;"",M338,Z338)</f>
        <v>1799.04</v>
      </c>
      <c r="AB338" s="46" t="str">
        <f>IF(L338&lt;&gt;"","Realizado","Previsto")</f>
        <v>Previsto</v>
      </c>
      <c r="AC338" s="47">
        <v>9.3700000000000006E-2</v>
      </c>
      <c r="AD338" s="43">
        <v>19200</v>
      </c>
      <c r="AE338" s="39">
        <v>64</v>
      </c>
      <c r="AF338" s="39" t="s">
        <v>113</v>
      </c>
      <c r="AG338" s="43">
        <v>300</v>
      </c>
      <c r="AH338" s="39" t="s">
        <v>473</v>
      </c>
      <c r="AI338" s="39" t="s">
        <v>73</v>
      </c>
      <c r="AJ338" s="48">
        <f>IF(Q338&lt;&gt;"",Q338,IF(K338&lt;&gt;"",K338,""))</f>
        <v>46171</v>
      </c>
      <c r="AK338" s="46" t="str">
        <f>IF(K338&lt;&gt;"","Sim","")</f>
        <v>Sim</v>
      </c>
      <c r="AL338" s="46" t="str">
        <f>IF(A338="","",TEXT(A338,"000000")&amp;"-"&amp;IF(C338="Entrada","CR","DB"))</f>
        <v>000337-DB</v>
      </c>
      <c r="AM338" s="46" t="str">
        <f>IF(A338="","",LEFT(IF(H338&lt;&gt;"",H338,G338)&amp;" | "&amp;G338&amp;" | "&amp;S338,60))</f>
        <v>Mao de obra cozinha e tanque completos | Mao de obra cozinha</v>
      </c>
    </row>
    <row r="339" spans="1:39" ht="43.2" x14ac:dyDescent="0.3">
      <c r="A339" s="39">
        <v>338</v>
      </c>
      <c r="B339" s="39" t="s">
        <v>2</v>
      </c>
      <c r="C339" s="39" t="s">
        <v>74</v>
      </c>
      <c r="D339" s="39" t="s">
        <v>469</v>
      </c>
      <c r="E339" s="39" t="s">
        <v>469</v>
      </c>
      <c r="F339" s="39" t="s">
        <v>109</v>
      </c>
      <c r="G339" s="39" t="s">
        <v>474</v>
      </c>
      <c r="H339" s="40"/>
      <c r="I339" s="40"/>
      <c r="J339" s="40"/>
      <c r="K339" s="42">
        <v>46171</v>
      </c>
      <c r="L339" s="42"/>
      <c r="M339" s="44"/>
      <c r="N339" s="40"/>
      <c r="O339" s="40"/>
      <c r="P339" s="40"/>
      <c r="Q339" s="42">
        <f>IF(K339="","",K339)</f>
        <v>46171</v>
      </c>
      <c r="R339" s="39" t="s">
        <v>469</v>
      </c>
      <c r="S339" s="39" t="s">
        <v>471</v>
      </c>
      <c r="T339" s="39" t="s">
        <v>472</v>
      </c>
      <c r="U339" s="39" t="s">
        <v>215</v>
      </c>
      <c r="V339" s="39">
        <v>228</v>
      </c>
      <c r="W339" s="39" t="s">
        <v>436</v>
      </c>
      <c r="X339" s="41">
        <v>46160</v>
      </c>
      <c r="Y339" s="41">
        <v>46171</v>
      </c>
      <c r="Z339" s="43">
        <v>1799.04</v>
      </c>
      <c r="AA339" s="45">
        <f>IF(M339&lt;&gt;"",M339,Z339)</f>
        <v>1799.04</v>
      </c>
      <c r="AB339" s="46" t="str">
        <f>IF(L339&lt;&gt;"","Realizado","Previsto")</f>
        <v>Previsto</v>
      </c>
      <c r="AC339" s="47">
        <v>9.3700000000000006E-2</v>
      </c>
      <c r="AD339" s="43">
        <v>19200</v>
      </c>
      <c r="AE339" s="39">
        <v>64</v>
      </c>
      <c r="AF339" s="39" t="s">
        <v>113</v>
      </c>
      <c r="AG339" s="43">
        <v>300</v>
      </c>
      <c r="AH339" s="39" t="s">
        <v>473</v>
      </c>
      <c r="AI339" s="39" t="s">
        <v>73</v>
      </c>
      <c r="AJ339" s="48">
        <f>IF(Q339&lt;&gt;"",Q339,IF(K339&lt;&gt;"",K339,""))</f>
        <v>46171</v>
      </c>
      <c r="AK339" s="46" t="str">
        <f>IF(K339&lt;&gt;"","Sim","")</f>
        <v>Sim</v>
      </c>
      <c r="AL339" s="46" t="str">
        <f>IF(A339="","",TEXT(A339,"000000")&amp;"-"&amp;IF(C339="Entrada","CR","DB"))</f>
        <v>000338-DB</v>
      </c>
      <c r="AM339" s="46" t="str">
        <f>IF(A339="","",LEFT(IF(H339&lt;&gt;"",H339,G339)&amp;" | "&amp;G339&amp;" | "&amp;S339,60))</f>
        <v xml:space="preserve">Mao de obra loucas e metais Banheiro completo | Mao de obra </v>
      </c>
    </row>
    <row r="340" spans="1:39" ht="43.2" x14ac:dyDescent="0.3">
      <c r="A340" s="39">
        <v>339</v>
      </c>
      <c r="B340" s="39" t="s">
        <v>2</v>
      </c>
      <c r="C340" s="39" t="s">
        <v>74</v>
      </c>
      <c r="D340" s="39" t="s">
        <v>98</v>
      </c>
      <c r="E340" s="39" t="s">
        <v>99</v>
      </c>
      <c r="F340" s="39" t="s">
        <v>94</v>
      </c>
      <c r="G340" s="39" t="s">
        <v>356</v>
      </c>
      <c r="H340" s="40"/>
      <c r="I340" s="40"/>
      <c r="J340" s="40"/>
      <c r="K340" s="42">
        <v>46171</v>
      </c>
      <c r="L340" s="42"/>
      <c r="M340" s="44"/>
      <c r="N340" s="40"/>
      <c r="O340" s="40"/>
      <c r="P340" s="40"/>
      <c r="Q340" s="42">
        <f>IF(K340="","",K340)</f>
        <v>46171</v>
      </c>
      <c r="R340" s="39" t="s">
        <v>98</v>
      </c>
      <c r="S340" s="39" t="s">
        <v>102</v>
      </c>
      <c r="T340" s="39" t="s">
        <v>357</v>
      </c>
      <c r="U340" s="39" t="s">
        <v>358</v>
      </c>
      <c r="V340" s="39">
        <v>60</v>
      </c>
      <c r="W340" s="39" t="s">
        <v>436</v>
      </c>
      <c r="X340" s="41">
        <v>46160</v>
      </c>
      <c r="Y340" s="41">
        <v>46171</v>
      </c>
      <c r="Z340" s="43">
        <v>71680</v>
      </c>
      <c r="AA340" s="45">
        <f>IF(M340&lt;&gt;"",M340,Z340)</f>
        <v>71680</v>
      </c>
      <c r="AB340" s="46" t="str">
        <f>IF(L340&lt;&gt;"","Realizado","Previsto")</f>
        <v>Previsto</v>
      </c>
      <c r="AC340" s="47">
        <v>0.4</v>
      </c>
      <c r="AD340" s="43">
        <v>179200</v>
      </c>
      <c r="AE340" s="39">
        <v>64</v>
      </c>
      <c r="AF340" s="39" t="s">
        <v>341</v>
      </c>
      <c r="AG340" s="43">
        <v>2800</v>
      </c>
      <c r="AH340" s="39" t="s">
        <v>359</v>
      </c>
      <c r="AI340" s="39" t="s">
        <v>73</v>
      </c>
      <c r="AJ340" s="48">
        <f>IF(Q340&lt;&gt;"",Q340,IF(K340&lt;&gt;"",K340,""))</f>
        <v>46171</v>
      </c>
      <c r="AK340" s="46" t="str">
        <f>IF(K340&lt;&gt;"","Sim","")</f>
        <v>Sim</v>
      </c>
      <c r="AL340" s="46" t="str">
        <f>IF(A340="","",TEXT(A340,"000000")&amp;"-"&amp;IF(C340="Entrada","CR","DB"))</f>
        <v>000339-DB</v>
      </c>
      <c r="AM340" s="46" t="str">
        <f>IF(A340="","",LEFT(IF(H340&lt;&gt;"",H340,G340)&amp;" | "&amp;G340&amp;" | "&amp;S340,60))</f>
        <v>Icamento para montagem canteiro de obra - Guindaste | Icamen</v>
      </c>
    </row>
    <row r="341" spans="1:39" ht="43.2" x14ac:dyDescent="0.3">
      <c r="A341" s="39">
        <v>340</v>
      </c>
      <c r="B341" s="39" t="s">
        <v>2</v>
      </c>
      <c r="C341" s="39" t="s">
        <v>74</v>
      </c>
      <c r="D341" s="39" t="s">
        <v>98</v>
      </c>
      <c r="E341" s="39" t="s">
        <v>99</v>
      </c>
      <c r="F341" s="39" t="s">
        <v>109</v>
      </c>
      <c r="G341" s="39" t="s">
        <v>248</v>
      </c>
      <c r="H341" s="40"/>
      <c r="I341" s="40"/>
      <c r="J341" s="40"/>
      <c r="K341" s="42">
        <v>46171</v>
      </c>
      <c r="L341" s="42"/>
      <c r="M341" s="44"/>
      <c r="N341" s="40"/>
      <c r="O341" s="40"/>
      <c r="P341" s="40"/>
      <c r="Q341" s="42">
        <f>IF(K341="","",K341)</f>
        <v>46171</v>
      </c>
      <c r="R341" s="39" t="s">
        <v>98</v>
      </c>
      <c r="S341" s="39" t="s">
        <v>102</v>
      </c>
      <c r="T341" s="39" t="s">
        <v>249</v>
      </c>
      <c r="U341" s="39" t="s">
        <v>250</v>
      </c>
      <c r="V341" s="39">
        <v>58</v>
      </c>
      <c r="W341" s="39" t="s">
        <v>436</v>
      </c>
      <c r="X341" s="41">
        <v>46160</v>
      </c>
      <c r="Y341" s="41">
        <v>46171</v>
      </c>
      <c r="Z341" s="43">
        <v>35599.914559999997</v>
      </c>
      <c r="AA341" s="45">
        <f>IF(M341&lt;&gt;"",M341,Z341)</f>
        <v>35599.914559999997</v>
      </c>
      <c r="AB341" s="46" t="str">
        <f>IF(L341&lt;&gt;"","Realizado","Previsto")</f>
        <v>Previsto</v>
      </c>
      <c r="AC341" s="47">
        <v>0.2225</v>
      </c>
      <c r="AD341" s="43">
        <v>159999.61600000001</v>
      </c>
      <c r="AE341" s="39">
        <v>896</v>
      </c>
      <c r="AF341" s="39" t="s">
        <v>182</v>
      </c>
      <c r="AG341" s="43">
        <v>178.571</v>
      </c>
      <c r="AH341" s="39" t="s">
        <v>251</v>
      </c>
      <c r="AI341" s="39" t="s">
        <v>73</v>
      </c>
      <c r="AJ341" s="48">
        <f>IF(Q341&lt;&gt;"",Q341,IF(K341&lt;&gt;"",K341,""))</f>
        <v>46171</v>
      </c>
      <c r="AK341" s="46" t="str">
        <f>IF(K341&lt;&gt;"","Sim","")</f>
        <v>Sim</v>
      </c>
      <c r="AL341" s="46" t="str">
        <f>IF(A341="","",TEXT(A341,"000000")&amp;"-"&amp;IF(C341="Entrada","CR","DB"))</f>
        <v>000340-DB</v>
      </c>
      <c r="AM341" s="46" t="str">
        <f>IF(A341="","",LEFT(IF(H341&lt;&gt;"",H341,G341)&amp;" | "&amp;G341&amp;" | "&amp;S341,60))</f>
        <v>Montagem de paredes pré-moldadas (içamento, prumo, alinhamen</v>
      </c>
    </row>
    <row r="342" spans="1:39" ht="57.6" x14ac:dyDescent="0.3">
      <c r="A342" s="39">
        <v>341</v>
      </c>
      <c r="B342" s="39" t="s">
        <v>2</v>
      </c>
      <c r="C342" s="39" t="s">
        <v>74</v>
      </c>
      <c r="D342" s="39" t="s">
        <v>98</v>
      </c>
      <c r="E342" s="39" t="s">
        <v>99</v>
      </c>
      <c r="F342" s="39" t="s">
        <v>360</v>
      </c>
      <c r="G342" s="39" t="s">
        <v>361</v>
      </c>
      <c r="H342" s="40"/>
      <c r="I342" s="40"/>
      <c r="J342" s="40"/>
      <c r="K342" s="42">
        <v>46171</v>
      </c>
      <c r="L342" s="42"/>
      <c r="M342" s="44"/>
      <c r="N342" s="40"/>
      <c r="O342" s="40"/>
      <c r="P342" s="40"/>
      <c r="Q342" s="42">
        <f>IF(K342="","",K342)</f>
        <v>46171</v>
      </c>
      <c r="R342" s="39" t="s">
        <v>98</v>
      </c>
      <c r="S342" s="39" t="s">
        <v>102</v>
      </c>
      <c r="T342" s="39" t="s">
        <v>362</v>
      </c>
      <c r="U342" s="39" t="s">
        <v>363</v>
      </c>
      <c r="V342" s="39">
        <v>59</v>
      </c>
      <c r="W342" s="39" t="s">
        <v>436</v>
      </c>
      <c r="X342" s="41">
        <v>46160</v>
      </c>
      <c r="Y342" s="41">
        <v>46171</v>
      </c>
      <c r="Z342" s="43">
        <v>64512</v>
      </c>
      <c r="AA342" s="45">
        <f>IF(M342&lt;&gt;"",M342,Z342)</f>
        <v>64512</v>
      </c>
      <c r="AB342" s="46" t="str">
        <f>IF(L342&lt;&gt;"","Realizado","Previsto")</f>
        <v>Previsto</v>
      </c>
      <c r="AC342" s="47">
        <v>0.4</v>
      </c>
      <c r="AD342" s="43">
        <v>161280</v>
      </c>
      <c r="AE342" s="39">
        <v>7680</v>
      </c>
      <c r="AF342" s="39" t="s">
        <v>364</v>
      </c>
      <c r="AG342" s="43">
        <v>21</v>
      </c>
      <c r="AH342" s="39" t="s">
        <v>365</v>
      </c>
      <c r="AI342" s="39" t="s">
        <v>73</v>
      </c>
      <c r="AJ342" s="48">
        <f>IF(Q342&lt;&gt;"",Q342,IF(K342&lt;&gt;"",K342,""))</f>
        <v>46171</v>
      </c>
      <c r="AK342" s="46" t="str">
        <f>IF(K342&lt;&gt;"","Sim","")</f>
        <v>Sim</v>
      </c>
      <c r="AL342" s="46" t="str">
        <f>IF(A342="","",TEXT(A342,"000000")&amp;"-"&amp;IF(C342="Entrada","CR","DB"))</f>
        <v>000341-DB</v>
      </c>
      <c r="AM342" s="46" t="str">
        <f>IF(A342="","",LEFT(IF(H342&lt;&gt;"",H342,G342)&amp;" | "&amp;G342&amp;" | "&amp;S342,60))</f>
        <v>Transporte de paredes e lajes (carreta + munck + carga/desca</v>
      </c>
    </row>
    <row r="343" spans="1:39" ht="43.2" x14ac:dyDescent="0.3">
      <c r="A343" s="39">
        <v>342</v>
      </c>
      <c r="B343" s="39" t="s">
        <v>2</v>
      </c>
      <c r="C343" s="39" t="s">
        <v>74</v>
      </c>
      <c r="D343" s="39" t="s">
        <v>98</v>
      </c>
      <c r="E343" s="39" t="s">
        <v>99</v>
      </c>
      <c r="F343" s="39" t="s">
        <v>100</v>
      </c>
      <c r="G343" s="39" t="s">
        <v>252</v>
      </c>
      <c r="H343" s="40"/>
      <c r="I343" s="40"/>
      <c r="J343" s="40"/>
      <c r="K343" s="42">
        <v>46171</v>
      </c>
      <c r="L343" s="42"/>
      <c r="M343" s="44"/>
      <c r="N343" s="40"/>
      <c r="O343" s="40"/>
      <c r="P343" s="40"/>
      <c r="Q343" s="42">
        <f>IF(K343="","",K343)</f>
        <v>46171</v>
      </c>
      <c r="R343" s="39" t="s">
        <v>98</v>
      </c>
      <c r="S343" s="39" t="s">
        <v>102</v>
      </c>
      <c r="T343" s="39" t="s">
        <v>103</v>
      </c>
      <c r="U343" s="39" t="s">
        <v>104</v>
      </c>
      <c r="V343" s="39">
        <v>54</v>
      </c>
      <c r="W343" s="39" t="s">
        <v>436</v>
      </c>
      <c r="X343" s="41">
        <v>46160</v>
      </c>
      <c r="Y343" s="41">
        <v>46171</v>
      </c>
      <c r="Z343" s="43">
        <v>38381.900689655173</v>
      </c>
      <c r="AA343" s="45">
        <f>IF(M343&lt;&gt;"",M343,Z343)</f>
        <v>38381.900689655173</v>
      </c>
      <c r="AB343" s="46" t="str">
        <f>IF(L343&lt;&gt;"","Realizado","Previsto")</f>
        <v>Previsto</v>
      </c>
      <c r="AC343" s="47">
        <v>0.2068965517241379</v>
      </c>
      <c r="AD343" s="43">
        <v>185512.52</v>
      </c>
      <c r="AE343" s="39">
        <v>20</v>
      </c>
      <c r="AF343" s="39" t="s">
        <v>87</v>
      </c>
      <c r="AG343" s="43">
        <v>9275.6260000000002</v>
      </c>
      <c r="AH343" s="39" t="s">
        <v>105</v>
      </c>
      <c r="AI343" s="39" t="s">
        <v>73</v>
      </c>
      <c r="AJ343" s="48">
        <f>IF(Q343&lt;&gt;"",Q343,IF(K343&lt;&gt;"",K343,""))</f>
        <v>46171</v>
      </c>
      <c r="AK343" s="46" t="str">
        <f>IF(K343&lt;&gt;"","Sim","")</f>
        <v>Sim</v>
      </c>
      <c r="AL343" s="46" t="str">
        <f>IF(A343="","",TEXT(A343,"000000")&amp;"-"&amp;IF(C343="Entrada","CR","DB"))</f>
        <v>000342-DB</v>
      </c>
      <c r="AM343" s="46" t="str">
        <f>IF(A343="","",LEFT(IF(H343&lt;&gt;"",H343,G343)&amp;" | "&amp;G343&amp;" | "&amp;S343,60))</f>
        <v>material CIMENTO : KIT Parede e Laje - FOB na Fabrica | mate</v>
      </c>
    </row>
    <row r="344" spans="1:39" ht="43.2" x14ac:dyDescent="0.3">
      <c r="A344" s="39">
        <v>343</v>
      </c>
      <c r="B344" s="39" t="s">
        <v>2</v>
      </c>
      <c r="C344" s="39" t="s">
        <v>74</v>
      </c>
      <c r="D344" s="39" t="s">
        <v>98</v>
      </c>
      <c r="E344" s="39" t="s">
        <v>99</v>
      </c>
      <c r="F344" s="39" t="s">
        <v>100</v>
      </c>
      <c r="G344" s="39" t="s">
        <v>252</v>
      </c>
      <c r="H344" s="40"/>
      <c r="I344" s="40"/>
      <c r="J344" s="40"/>
      <c r="K344" s="42">
        <v>46171</v>
      </c>
      <c r="L344" s="42"/>
      <c r="M344" s="44"/>
      <c r="N344" s="40"/>
      <c r="O344" s="40"/>
      <c r="P344" s="40"/>
      <c r="Q344" s="42">
        <f>IF(K344="","",K344)</f>
        <v>46171</v>
      </c>
      <c r="R344" s="39" t="s">
        <v>98</v>
      </c>
      <c r="S344" s="39" t="s">
        <v>102</v>
      </c>
      <c r="T344" s="39" t="s">
        <v>103</v>
      </c>
      <c r="U344" s="39" t="s">
        <v>104</v>
      </c>
      <c r="V344" s="39">
        <v>55</v>
      </c>
      <c r="W344" s="39" t="s">
        <v>436</v>
      </c>
      <c r="X344" s="41">
        <v>46160</v>
      </c>
      <c r="Y344" s="41">
        <v>46171</v>
      </c>
      <c r="Z344" s="43">
        <v>38381.900689655173</v>
      </c>
      <c r="AA344" s="45">
        <f>IF(M344&lt;&gt;"",M344,Z344)</f>
        <v>38381.900689655173</v>
      </c>
      <c r="AB344" s="46" t="str">
        <f>IF(L344&lt;&gt;"","Realizado","Previsto")</f>
        <v>Previsto</v>
      </c>
      <c r="AC344" s="47">
        <v>0.2068965517241379</v>
      </c>
      <c r="AD344" s="43">
        <v>185512.52</v>
      </c>
      <c r="AE344" s="39">
        <v>20</v>
      </c>
      <c r="AF344" s="39" t="s">
        <v>87</v>
      </c>
      <c r="AG344" s="43">
        <v>9275.6260000000002</v>
      </c>
      <c r="AH344" s="39" t="s">
        <v>105</v>
      </c>
      <c r="AI344" s="39" t="s">
        <v>73</v>
      </c>
      <c r="AJ344" s="48">
        <f>IF(Q344&lt;&gt;"",Q344,IF(K344&lt;&gt;"",K344,""))</f>
        <v>46171</v>
      </c>
      <c r="AK344" s="46" t="str">
        <f>IF(K344&lt;&gt;"","Sim","")</f>
        <v>Sim</v>
      </c>
      <c r="AL344" s="46" t="str">
        <f>IF(A344="","",TEXT(A344,"000000")&amp;"-"&amp;IF(C344="Entrada","CR","DB"))</f>
        <v>000343-DB</v>
      </c>
      <c r="AM344" s="46" t="str">
        <f>IF(A344="","",LEFT(IF(H344&lt;&gt;"",H344,G344)&amp;" | "&amp;G344&amp;" | "&amp;S344,60))</f>
        <v>material CIMENTO : KIT Parede e Laje - FOB na Fabrica | mate</v>
      </c>
    </row>
    <row r="345" spans="1:39" ht="43.2" x14ac:dyDescent="0.3">
      <c r="A345" s="39">
        <v>344</v>
      </c>
      <c r="B345" s="39" t="s">
        <v>2</v>
      </c>
      <c r="C345" s="39" t="s">
        <v>74</v>
      </c>
      <c r="D345" s="39" t="s">
        <v>98</v>
      </c>
      <c r="E345" s="39" t="s">
        <v>99</v>
      </c>
      <c r="F345" s="39" t="s">
        <v>100</v>
      </c>
      <c r="G345" s="39" t="s">
        <v>252</v>
      </c>
      <c r="H345" s="40"/>
      <c r="I345" s="40"/>
      <c r="J345" s="40"/>
      <c r="K345" s="42">
        <v>46171</v>
      </c>
      <c r="L345" s="42"/>
      <c r="M345" s="44"/>
      <c r="N345" s="40"/>
      <c r="O345" s="40"/>
      <c r="P345" s="40"/>
      <c r="Q345" s="42">
        <f>IF(K345="","",K345)</f>
        <v>46171</v>
      </c>
      <c r="R345" s="39" t="s">
        <v>98</v>
      </c>
      <c r="S345" s="39" t="s">
        <v>102</v>
      </c>
      <c r="T345" s="39" t="s">
        <v>103</v>
      </c>
      <c r="U345" s="39" t="s">
        <v>106</v>
      </c>
      <c r="V345" s="39">
        <v>56</v>
      </c>
      <c r="W345" s="39" t="s">
        <v>436</v>
      </c>
      <c r="X345" s="41">
        <v>46160</v>
      </c>
      <c r="Y345" s="41">
        <v>46171</v>
      </c>
      <c r="Z345" s="43">
        <v>46058.280827586197</v>
      </c>
      <c r="AA345" s="45">
        <f>IF(M345&lt;&gt;"",M345,Z345)</f>
        <v>46058.280827586197</v>
      </c>
      <c r="AB345" s="46" t="str">
        <f>IF(L345&lt;&gt;"","Realizado","Previsto")</f>
        <v>Previsto</v>
      </c>
      <c r="AC345" s="47">
        <v>0.2068965517241379</v>
      </c>
      <c r="AD345" s="43">
        <v>222615.024</v>
      </c>
      <c r="AE345" s="39">
        <v>24</v>
      </c>
      <c r="AF345" s="39" t="s">
        <v>87</v>
      </c>
      <c r="AG345" s="43">
        <v>9275.6260000000002</v>
      </c>
      <c r="AH345" s="39" t="s">
        <v>105</v>
      </c>
      <c r="AI345" s="39" t="s">
        <v>73</v>
      </c>
      <c r="AJ345" s="48">
        <f>IF(Q345&lt;&gt;"",Q345,IF(K345&lt;&gt;"",K345,""))</f>
        <v>46171</v>
      </c>
      <c r="AK345" s="46" t="str">
        <f>IF(K345&lt;&gt;"","Sim","")</f>
        <v>Sim</v>
      </c>
      <c r="AL345" s="46" t="str">
        <f>IF(A345="","",TEXT(A345,"000000")&amp;"-"&amp;IF(C345="Entrada","CR","DB"))</f>
        <v>000344-DB</v>
      </c>
      <c r="AM345" s="46" t="str">
        <f>IF(A345="","",LEFT(IF(H345&lt;&gt;"",H345,G345)&amp;" | "&amp;G345&amp;" | "&amp;S345,60))</f>
        <v>material CIMENTO : KIT Parede e Laje - FOB na Fabrica | mate</v>
      </c>
    </row>
    <row r="346" spans="1:39" ht="43.2" x14ac:dyDescent="0.3">
      <c r="A346" s="39">
        <v>345</v>
      </c>
      <c r="B346" s="39" t="s">
        <v>2</v>
      </c>
      <c r="C346" s="39" t="s">
        <v>74</v>
      </c>
      <c r="D346" s="39" t="s">
        <v>98</v>
      </c>
      <c r="E346" s="39" t="s">
        <v>99</v>
      </c>
      <c r="F346" s="39" t="s">
        <v>100</v>
      </c>
      <c r="G346" s="39" t="s">
        <v>253</v>
      </c>
      <c r="H346" s="40"/>
      <c r="I346" s="40"/>
      <c r="J346" s="40"/>
      <c r="K346" s="42">
        <v>46171</v>
      </c>
      <c r="L346" s="42"/>
      <c r="M346" s="44"/>
      <c r="N346" s="40"/>
      <c r="O346" s="40"/>
      <c r="P346" s="40"/>
      <c r="Q346" s="42">
        <f>IF(K346="","",K346)</f>
        <v>46171</v>
      </c>
      <c r="R346" s="39" t="s">
        <v>98</v>
      </c>
      <c r="S346" s="39" t="s">
        <v>102</v>
      </c>
      <c r="T346" s="39" t="s">
        <v>103</v>
      </c>
      <c r="U346" s="39" t="s">
        <v>104</v>
      </c>
      <c r="V346" s="39">
        <v>51</v>
      </c>
      <c r="W346" s="39" t="s">
        <v>436</v>
      </c>
      <c r="X346" s="41">
        <v>46160</v>
      </c>
      <c r="Y346" s="41">
        <v>46171</v>
      </c>
      <c r="Z346" s="43">
        <v>21381.5438447544</v>
      </c>
      <c r="AA346" s="45">
        <f>IF(M346&lt;&gt;"",M346,Z346)</f>
        <v>21381.5438447544</v>
      </c>
      <c r="AB346" s="46" t="str">
        <f>IF(L346&lt;&gt;"","Realizado","Previsto")</f>
        <v>Previsto</v>
      </c>
      <c r="AC346" s="47">
        <v>0.15898524358196889</v>
      </c>
      <c r="AD346" s="43">
        <v>134487.6</v>
      </c>
      <c r="AE346" s="39">
        <v>20</v>
      </c>
      <c r="AF346" s="39" t="s">
        <v>87</v>
      </c>
      <c r="AG346" s="43">
        <v>6724.38</v>
      </c>
      <c r="AH346" s="39" t="s">
        <v>105</v>
      </c>
      <c r="AI346" s="39" t="s">
        <v>73</v>
      </c>
      <c r="AJ346" s="48">
        <f>IF(Q346&lt;&gt;"",Q346,IF(K346&lt;&gt;"",K346,""))</f>
        <v>46171</v>
      </c>
      <c r="AK346" s="46" t="str">
        <f>IF(K346&lt;&gt;"","Sim","")</f>
        <v>Sim</v>
      </c>
      <c r="AL346" s="46" t="str">
        <f>IF(A346="","",TEXT(A346,"000000")&amp;"-"&amp;IF(C346="Entrada","CR","DB"))</f>
        <v>000345-DB</v>
      </c>
      <c r="AM346" s="46" t="str">
        <f>IF(A346="","",LEFT(IF(H346&lt;&gt;"",H346,G346)&amp;" | "&amp;G346&amp;" | "&amp;S346,60))</f>
        <v>material FERRO: KIT Parede e Laje - FOB na Fabrica | materia</v>
      </c>
    </row>
    <row r="347" spans="1:39" ht="43.2" x14ac:dyDescent="0.3">
      <c r="A347" s="39">
        <v>346</v>
      </c>
      <c r="B347" s="39" t="s">
        <v>2</v>
      </c>
      <c r="C347" s="39" t="s">
        <v>74</v>
      </c>
      <c r="D347" s="39" t="s">
        <v>98</v>
      </c>
      <c r="E347" s="39" t="s">
        <v>99</v>
      </c>
      <c r="F347" s="39" t="s">
        <v>100</v>
      </c>
      <c r="G347" s="39" t="s">
        <v>253</v>
      </c>
      <c r="H347" s="40"/>
      <c r="I347" s="40"/>
      <c r="J347" s="40"/>
      <c r="K347" s="42">
        <v>46171</v>
      </c>
      <c r="L347" s="42"/>
      <c r="M347" s="44"/>
      <c r="N347" s="40"/>
      <c r="O347" s="40"/>
      <c r="P347" s="40"/>
      <c r="Q347" s="42">
        <f>IF(K347="","",K347)</f>
        <v>46171</v>
      </c>
      <c r="R347" s="39" t="s">
        <v>98</v>
      </c>
      <c r="S347" s="39" t="s">
        <v>102</v>
      </c>
      <c r="T347" s="39" t="s">
        <v>103</v>
      </c>
      <c r="U347" s="39" t="s">
        <v>104</v>
      </c>
      <c r="V347" s="39">
        <v>52</v>
      </c>
      <c r="W347" s="39" t="s">
        <v>436</v>
      </c>
      <c r="X347" s="41">
        <v>46160</v>
      </c>
      <c r="Y347" s="41">
        <v>46171</v>
      </c>
      <c r="Z347" s="43">
        <v>21381.5438447544</v>
      </c>
      <c r="AA347" s="45">
        <f>IF(M347&lt;&gt;"",M347,Z347)</f>
        <v>21381.5438447544</v>
      </c>
      <c r="AB347" s="46" t="str">
        <f>IF(L347&lt;&gt;"","Realizado","Previsto")</f>
        <v>Previsto</v>
      </c>
      <c r="AC347" s="47">
        <v>0.15898524358196889</v>
      </c>
      <c r="AD347" s="43">
        <v>134487.6</v>
      </c>
      <c r="AE347" s="39">
        <v>20</v>
      </c>
      <c r="AF347" s="39" t="s">
        <v>87</v>
      </c>
      <c r="AG347" s="43">
        <v>6724.38</v>
      </c>
      <c r="AH347" s="39" t="s">
        <v>105</v>
      </c>
      <c r="AI347" s="39" t="s">
        <v>73</v>
      </c>
      <c r="AJ347" s="48">
        <f>IF(Q347&lt;&gt;"",Q347,IF(K347&lt;&gt;"",K347,""))</f>
        <v>46171</v>
      </c>
      <c r="AK347" s="46" t="str">
        <f>IF(K347&lt;&gt;"","Sim","")</f>
        <v>Sim</v>
      </c>
      <c r="AL347" s="46" t="str">
        <f>IF(A347="","",TEXT(A347,"000000")&amp;"-"&amp;IF(C347="Entrada","CR","DB"))</f>
        <v>000346-DB</v>
      </c>
      <c r="AM347" s="46" t="str">
        <f>IF(A347="","",LEFT(IF(H347&lt;&gt;"",H347,G347)&amp;" | "&amp;G347&amp;" | "&amp;S347,60))</f>
        <v>material FERRO: KIT Parede e Laje - FOB na Fabrica | materia</v>
      </c>
    </row>
    <row r="348" spans="1:39" ht="43.2" x14ac:dyDescent="0.3">
      <c r="A348" s="39">
        <v>347</v>
      </c>
      <c r="B348" s="39" t="s">
        <v>2</v>
      </c>
      <c r="C348" s="39" t="s">
        <v>74</v>
      </c>
      <c r="D348" s="39" t="s">
        <v>98</v>
      </c>
      <c r="E348" s="39" t="s">
        <v>99</v>
      </c>
      <c r="F348" s="39" t="s">
        <v>100</v>
      </c>
      <c r="G348" s="39" t="s">
        <v>253</v>
      </c>
      <c r="H348" s="40"/>
      <c r="I348" s="40"/>
      <c r="J348" s="40"/>
      <c r="K348" s="42">
        <v>46171</v>
      </c>
      <c r="L348" s="42"/>
      <c r="M348" s="44"/>
      <c r="N348" s="40"/>
      <c r="O348" s="40"/>
      <c r="P348" s="40"/>
      <c r="Q348" s="42">
        <f>IF(K348="","",K348)</f>
        <v>46171</v>
      </c>
      <c r="R348" s="39" t="s">
        <v>98</v>
      </c>
      <c r="S348" s="39" t="s">
        <v>102</v>
      </c>
      <c r="T348" s="39" t="s">
        <v>103</v>
      </c>
      <c r="U348" s="39" t="s">
        <v>106</v>
      </c>
      <c r="V348" s="39">
        <v>53</v>
      </c>
      <c r="W348" s="39" t="s">
        <v>436</v>
      </c>
      <c r="X348" s="41">
        <v>46160</v>
      </c>
      <c r="Y348" s="41">
        <v>46171</v>
      </c>
      <c r="Z348" s="43">
        <v>25657.852613705269</v>
      </c>
      <c r="AA348" s="45">
        <f>IF(M348&lt;&gt;"",M348,Z348)</f>
        <v>25657.852613705269</v>
      </c>
      <c r="AB348" s="46" t="str">
        <f>IF(L348&lt;&gt;"","Realizado","Previsto")</f>
        <v>Previsto</v>
      </c>
      <c r="AC348" s="47">
        <v>0.15898524358196889</v>
      </c>
      <c r="AD348" s="43">
        <v>161385.12</v>
      </c>
      <c r="AE348" s="39">
        <v>24</v>
      </c>
      <c r="AF348" s="39" t="s">
        <v>87</v>
      </c>
      <c r="AG348" s="43">
        <v>6724.38</v>
      </c>
      <c r="AH348" s="39" t="s">
        <v>105</v>
      </c>
      <c r="AI348" s="39" t="s">
        <v>73</v>
      </c>
      <c r="AJ348" s="48">
        <f>IF(Q348&lt;&gt;"",Q348,IF(K348&lt;&gt;"",K348,""))</f>
        <v>46171</v>
      </c>
      <c r="AK348" s="46" t="str">
        <f>IF(K348&lt;&gt;"","Sim","")</f>
        <v>Sim</v>
      </c>
      <c r="AL348" s="46" t="str">
        <f>IF(A348="","",TEXT(A348,"000000")&amp;"-"&amp;IF(C348="Entrada","CR","DB"))</f>
        <v>000347-DB</v>
      </c>
      <c r="AM348" s="46" t="str">
        <f>IF(A348="","",LEFT(IF(H348&lt;&gt;"",H348,G348)&amp;" | "&amp;G348&amp;" | "&amp;S348,60))</f>
        <v>material FERRO: KIT Parede e Laje - FOB na Fabrica | materia</v>
      </c>
    </row>
    <row r="349" spans="1:39" ht="43.2" x14ac:dyDescent="0.3">
      <c r="A349" s="39">
        <v>348</v>
      </c>
      <c r="B349" s="39" t="s">
        <v>2</v>
      </c>
      <c r="C349" s="39" t="s">
        <v>74</v>
      </c>
      <c r="D349" s="39" t="s">
        <v>98</v>
      </c>
      <c r="E349" s="39" t="s">
        <v>99</v>
      </c>
      <c r="F349" s="39" t="s">
        <v>360</v>
      </c>
      <c r="G349" s="39" t="s">
        <v>366</v>
      </c>
      <c r="H349" s="40"/>
      <c r="I349" s="40"/>
      <c r="J349" s="40"/>
      <c r="K349" s="42">
        <v>46171</v>
      </c>
      <c r="L349" s="42"/>
      <c r="M349" s="44"/>
      <c r="N349" s="40"/>
      <c r="O349" s="40"/>
      <c r="P349" s="40"/>
      <c r="Q349" s="42">
        <f>IF(K349="","",K349)</f>
        <v>46171</v>
      </c>
      <c r="R349" s="39" t="s">
        <v>98</v>
      </c>
      <c r="S349" s="39" t="s">
        <v>102</v>
      </c>
      <c r="T349" s="39" t="s">
        <v>362</v>
      </c>
      <c r="U349" s="39" t="s">
        <v>250</v>
      </c>
      <c r="V349" s="39">
        <v>57</v>
      </c>
      <c r="W349" s="39" t="s">
        <v>436</v>
      </c>
      <c r="X349" s="41">
        <v>46160</v>
      </c>
      <c r="Y349" s="41">
        <v>46171</v>
      </c>
      <c r="Z349" s="43">
        <v>2993.76</v>
      </c>
      <c r="AA349" s="45">
        <f>IF(M349&lt;&gt;"",M349,Z349)</f>
        <v>2993.76</v>
      </c>
      <c r="AB349" s="46" t="str">
        <f>IF(L349&lt;&gt;"","Realizado","Previsto")</f>
        <v>Previsto</v>
      </c>
      <c r="AC349" s="47">
        <v>0.4</v>
      </c>
      <c r="AD349" s="43">
        <v>7484.4</v>
      </c>
      <c r="AE349" s="39">
        <v>6</v>
      </c>
      <c r="AF349" s="39" t="s">
        <v>182</v>
      </c>
      <c r="AG349" s="43">
        <v>1247.4000000000001</v>
      </c>
      <c r="AH349" s="39" t="s">
        <v>365</v>
      </c>
      <c r="AI349" s="39" t="s">
        <v>73</v>
      </c>
      <c r="AJ349" s="48">
        <f>IF(Q349&lt;&gt;"",Q349,IF(K349&lt;&gt;"",K349,""))</f>
        <v>46171</v>
      </c>
      <c r="AK349" s="46" t="str">
        <f>IF(K349&lt;&gt;"","Sim","")</f>
        <v>Sim</v>
      </c>
      <c r="AL349" s="46" t="str">
        <f>IF(A349="","",TEXT(A349,"000000")&amp;"-"&amp;IF(C349="Entrada","CR","DB"))</f>
        <v>000348-DB</v>
      </c>
      <c r="AM349" s="46" t="str">
        <f>IF(A349="","",LEFT(IF(H349&lt;&gt;"",H349,G349)&amp;" | "&amp;G349&amp;" | "&amp;S349,60))</f>
        <v>mobilizaçao e desmobilização equipe montagem | mobilizaçao e</v>
      </c>
    </row>
    <row r="350" spans="1:39" ht="43.2" x14ac:dyDescent="0.3">
      <c r="A350" s="39">
        <v>349</v>
      </c>
      <c r="B350" s="39" t="s">
        <v>2</v>
      </c>
      <c r="C350" s="39" t="s">
        <v>74</v>
      </c>
      <c r="D350" s="39" t="s">
        <v>413</v>
      </c>
      <c r="E350" s="39" t="s">
        <v>413</v>
      </c>
      <c r="F350" s="39" t="s">
        <v>324</v>
      </c>
      <c r="G350" s="39" t="s">
        <v>475</v>
      </c>
      <c r="H350" s="40"/>
      <c r="I350" s="40"/>
      <c r="J350" s="40"/>
      <c r="K350" s="42">
        <v>46171</v>
      </c>
      <c r="L350" s="42"/>
      <c r="M350" s="44"/>
      <c r="N350" s="40"/>
      <c r="O350" s="40"/>
      <c r="P350" s="40"/>
      <c r="Q350" s="42">
        <f>IF(K350="","",K350)</f>
        <v>46171</v>
      </c>
      <c r="R350" s="39" t="s">
        <v>413</v>
      </c>
      <c r="S350" s="39" t="s">
        <v>415</v>
      </c>
      <c r="T350" s="39" t="s">
        <v>476</v>
      </c>
      <c r="U350" s="39" t="s">
        <v>275</v>
      </c>
      <c r="V350" s="39">
        <v>159</v>
      </c>
      <c r="W350" s="39" t="s">
        <v>436</v>
      </c>
      <c r="X350" s="41">
        <v>46160</v>
      </c>
      <c r="Y350" s="41">
        <v>46171</v>
      </c>
      <c r="Z350" s="43">
        <v>1164.8</v>
      </c>
      <c r="AA350" s="45">
        <f>IF(M350&lt;&gt;"",M350,Z350)</f>
        <v>1164.8</v>
      </c>
      <c r="AB350" s="46" t="str">
        <f>IF(L350&lt;&gt;"","Realizado","Previsto")</f>
        <v>Previsto</v>
      </c>
      <c r="AC350" s="47">
        <v>0.5</v>
      </c>
      <c r="AD350" s="43">
        <v>2329.6</v>
      </c>
      <c r="AE350" s="39">
        <v>128</v>
      </c>
      <c r="AF350" s="39" t="s">
        <v>477</v>
      </c>
      <c r="AG350" s="43">
        <v>18.2</v>
      </c>
      <c r="AH350" s="39" t="s">
        <v>478</v>
      </c>
      <c r="AI350" s="39" t="s">
        <v>73</v>
      </c>
      <c r="AJ350" s="48">
        <f>IF(Q350&lt;&gt;"",Q350,IF(K350&lt;&gt;"",K350,""))</f>
        <v>46171</v>
      </c>
      <c r="AK350" s="46" t="str">
        <f>IF(K350&lt;&gt;"","Sim","")</f>
        <v>Sim</v>
      </c>
      <c r="AL350" s="46" t="str">
        <f>IF(A350="","",TEXT(A350,"000000")&amp;"-"&amp;IF(C350="Entrada","CR","DB"))</f>
        <v>000349-DB</v>
      </c>
      <c r="AM350" s="46" t="str">
        <f>IF(A350="","",LEFT(IF(H350&lt;&gt;"",H350,G350)&amp;" | "&amp;G350&amp;" | "&amp;S350,60))</f>
        <v xml:space="preserve">Fira crepe 50 mm x 50 m | Fira crepe 50 mm x 50 m | Saída | </v>
      </c>
    </row>
    <row r="351" spans="1:39" ht="43.2" x14ac:dyDescent="0.3">
      <c r="A351" s="39">
        <v>350</v>
      </c>
      <c r="B351" s="39" t="s">
        <v>2</v>
      </c>
      <c r="C351" s="39" t="s">
        <v>74</v>
      </c>
      <c r="D351" s="39" t="s">
        <v>413</v>
      </c>
      <c r="E351" s="39" t="s">
        <v>413</v>
      </c>
      <c r="F351" s="39" t="s">
        <v>109</v>
      </c>
      <c r="G351" s="39" t="s">
        <v>414</v>
      </c>
      <c r="H351" s="40"/>
      <c r="I351" s="40"/>
      <c r="J351" s="40"/>
      <c r="K351" s="42">
        <v>46171</v>
      </c>
      <c r="L351" s="42"/>
      <c r="M351" s="44"/>
      <c r="N351" s="40"/>
      <c r="O351" s="40"/>
      <c r="P351" s="40"/>
      <c r="Q351" s="42">
        <f>IF(K351="","",K351)</f>
        <v>46171</v>
      </c>
      <c r="R351" s="39" t="s">
        <v>413</v>
      </c>
      <c r="S351" s="39" t="s">
        <v>415</v>
      </c>
      <c r="T351" s="39" t="s">
        <v>416</v>
      </c>
      <c r="U351" s="39" t="s">
        <v>215</v>
      </c>
      <c r="V351" s="39">
        <v>160</v>
      </c>
      <c r="W351" s="39" t="s">
        <v>436</v>
      </c>
      <c r="X351" s="41">
        <v>46160</v>
      </c>
      <c r="Y351" s="41">
        <v>46171</v>
      </c>
      <c r="Z351" s="43">
        <v>8041.8867200000004</v>
      </c>
      <c r="AA351" s="45">
        <f>IF(M351&lt;&gt;"",M351,Z351)</f>
        <v>8041.8867200000004</v>
      </c>
      <c r="AB351" s="46" t="str">
        <f>IF(L351&lt;&gt;"","Realizado","Previsto")</f>
        <v>Previsto</v>
      </c>
      <c r="AC351" s="47">
        <v>9.3799999999999994E-2</v>
      </c>
      <c r="AD351" s="43">
        <v>85734.400000000009</v>
      </c>
      <c r="AE351" s="39">
        <v>8573.44</v>
      </c>
      <c r="AF351" s="39" t="s">
        <v>203</v>
      </c>
      <c r="AG351" s="43">
        <v>10</v>
      </c>
      <c r="AH351" s="39" t="s">
        <v>417</v>
      </c>
      <c r="AI351" s="39" t="s">
        <v>73</v>
      </c>
      <c r="AJ351" s="48">
        <f>IF(Q351&lt;&gt;"",Q351,IF(K351&lt;&gt;"",K351,""))</f>
        <v>46171</v>
      </c>
      <c r="AK351" s="46" t="str">
        <f>IF(K351&lt;&gt;"","Sim","")</f>
        <v>Sim</v>
      </c>
      <c r="AL351" s="46" t="str">
        <f>IF(A351="","",TEXT(A351,"000000")&amp;"-"&amp;IF(C351="Entrada","CR","DB"))</f>
        <v>000350-DB</v>
      </c>
      <c r="AM351" s="46" t="str">
        <f>IF(A351="","",LEFT(IF(H351&lt;&gt;"",H351,G351)&amp;" | "&amp;G351&amp;" | "&amp;S351,60))</f>
        <v>Mao de obra terceirizada com equipamentos Pintura interna (2</v>
      </c>
    </row>
    <row r="352" spans="1:39" ht="43.2" x14ac:dyDescent="0.3">
      <c r="A352" s="39">
        <v>351</v>
      </c>
      <c r="B352" s="39" t="s">
        <v>2</v>
      </c>
      <c r="C352" s="39" t="s">
        <v>74</v>
      </c>
      <c r="D352" s="39" t="s">
        <v>413</v>
      </c>
      <c r="E352" s="39" t="s">
        <v>413</v>
      </c>
      <c r="F352" s="39" t="s">
        <v>324</v>
      </c>
      <c r="G352" s="39" t="s">
        <v>479</v>
      </c>
      <c r="H352" s="40"/>
      <c r="I352" s="40"/>
      <c r="J352" s="40"/>
      <c r="K352" s="42">
        <v>46171</v>
      </c>
      <c r="L352" s="42"/>
      <c r="M352" s="44"/>
      <c r="N352" s="40"/>
      <c r="O352" s="40"/>
      <c r="P352" s="40"/>
      <c r="Q352" s="42">
        <f>IF(K352="","",K352)</f>
        <v>46171</v>
      </c>
      <c r="R352" s="39" t="s">
        <v>413</v>
      </c>
      <c r="S352" s="39" t="s">
        <v>415</v>
      </c>
      <c r="T352" s="39" t="s">
        <v>476</v>
      </c>
      <c r="U352" s="39" t="s">
        <v>275</v>
      </c>
      <c r="V352" s="39">
        <v>158</v>
      </c>
      <c r="W352" s="39" t="s">
        <v>436</v>
      </c>
      <c r="X352" s="41">
        <v>46160</v>
      </c>
      <c r="Y352" s="41">
        <v>46171</v>
      </c>
      <c r="Z352" s="43">
        <v>17017.599999999999</v>
      </c>
      <c r="AA352" s="45">
        <f>IF(M352&lt;&gt;"",M352,Z352)</f>
        <v>17017.599999999999</v>
      </c>
      <c r="AB352" s="46" t="str">
        <f>IF(L352&lt;&gt;"","Realizado","Previsto")</f>
        <v>Previsto</v>
      </c>
      <c r="AC352" s="47">
        <v>0.5</v>
      </c>
      <c r="AD352" s="43">
        <v>34035.199999999997</v>
      </c>
      <c r="AE352" s="39">
        <v>128</v>
      </c>
      <c r="AF352" s="39" t="s">
        <v>480</v>
      </c>
      <c r="AG352" s="43">
        <v>265.89999999999998</v>
      </c>
      <c r="AH352" s="39" t="s">
        <v>478</v>
      </c>
      <c r="AI352" s="39" t="s">
        <v>73</v>
      </c>
      <c r="AJ352" s="48">
        <f>IF(Q352&lt;&gt;"",Q352,IF(K352&lt;&gt;"",K352,""))</f>
        <v>46171</v>
      </c>
      <c r="AK352" s="46" t="str">
        <f>IF(K352&lt;&gt;"","Sim","")</f>
        <v>Sim</v>
      </c>
      <c r="AL352" s="46" t="str">
        <f>IF(A352="","",TEXT(A352,"000000")&amp;"-"&amp;IF(C352="Entrada","CR","DB"))</f>
        <v>000351-DB</v>
      </c>
      <c r="AM352" s="46" t="str">
        <f>IF(A352="","",LEFT(IF(H352&lt;&gt;"",H352,G352)&amp;" | "&amp;G352&amp;" | "&amp;S352,60))</f>
        <v>TINTA ACRILICA CORALAR BRANCO 18 LITROS - laje (  cor BRANCA</v>
      </c>
    </row>
    <row r="353" spans="1:39" ht="43.2" x14ac:dyDescent="0.3">
      <c r="A353" s="39">
        <v>352</v>
      </c>
      <c r="B353" s="39" t="s">
        <v>2</v>
      </c>
      <c r="C353" s="39" t="s">
        <v>74</v>
      </c>
      <c r="D353" s="39" t="s">
        <v>254</v>
      </c>
      <c r="E353" s="39" t="s">
        <v>254</v>
      </c>
      <c r="F353" s="39" t="s">
        <v>184</v>
      </c>
      <c r="G353" s="39" t="s">
        <v>367</v>
      </c>
      <c r="H353" s="40"/>
      <c r="I353" s="40"/>
      <c r="J353" s="40"/>
      <c r="K353" s="42">
        <v>46171</v>
      </c>
      <c r="L353" s="42"/>
      <c r="M353" s="44"/>
      <c r="N353" s="40"/>
      <c r="O353" s="40"/>
      <c r="P353" s="40"/>
      <c r="Q353" s="42">
        <f>IF(K353="","",K353)</f>
        <v>46171</v>
      </c>
      <c r="R353" s="39" t="s">
        <v>254</v>
      </c>
      <c r="S353" s="39" t="s">
        <v>256</v>
      </c>
      <c r="T353" s="39" t="s">
        <v>368</v>
      </c>
      <c r="U353" s="39" t="s">
        <v>275</v>
      </c>
      <c r="V353" s="39">
        <v>119</v>
      </c>
      <c r="W353" s="39" t="s">
        <v>436</v>
      </c>
      <c r="X353" s="41">
        <v>46160</v>
      </c>
      <c r="Y353" s="41">
        <v>46171</v>
      </c>
      <c r="Z353" s="43">
        <v>7387.52</v>
      </c>
      <c r="AA353" s="45">
        <f>IF(M353&lt;&gt;"",M353,Z353)</f>
        <v>7387.52</v>
      </c>
      <c r="AB353" s="46" t="str">
        <f>IF(L353&lt;&gt;"","Realizado","Previsto")</f>
        <v>Previsto</v>
      </c>
      <c r="AC353" s="47">
        <v>0.5</v>
      </c>
      <c r="AD353" s="43">
        <v>14775.04</v>
      </c>
      <c r="AE353" s="39">
        <v>1088</v>
      </c>
      <c r="AF353" s="39" t="s">
        <v>330</v>
      </c>
      <c r="AG353" s="43">
        <v>13.58</v>
      </c>
      <c r="AH353" s="39" t="s">
        <v>369</v>
      </c>
      <c r="AI353" s="39" t="s">
        <v>73</v>
      </c>
      <c r="AJ353" s="48">
        <f>IF(Q353&lt;&gt;"",Q353,IF(K353&lt;&gt;"",K353,""))</f>
        <v>46171</v>
      </c>
      <c r="AK353" s="46" t="str">
        <f>IF(K353&lt;&gt;"","Sim","")</f>
        <v>Sim</v>
      </c>
      <c r="AL353" s="46" t="str">
        <f>IF(A353="","",TEXT(A353,"000000")&amp;"-"&amp;IF(C353="Entrada","CR","DB"))</f>
        <v>000352-DB</v>
      </c>
      <c r="AM353" s="46" t="str">
        <f>IF(A353="","",LEFT(IF(H353&lt;&gt;"",H353,G353)&amp;" | "&amp;G353&amp;" | "&amp;S353,60))</f>
        <v>Argamassa colante AC I | Argamassa colante AC I | Saída | PI</v>
      </c>
    </row>
    <row r="354" spans="1:39" ht="43.2" x14ac:dyDescent="0.3">
      <c r="A354" s="39">
        <v>353</v>
      </c>
      <c r="B354" s="39" t="s">
        <v>2</v>
      </c>
      <c r="C354" s="39" t="s">
        <v>74</v>
      </c>
      <c r="D354" s="39" t="s">
        <v>254</v>
      </c>
      <c r="E354" s="39" t="s">
        <v>254</v>
      </c>
      <c r="F354" s="39" t="s">
        <v>184</v>
      </c>
      <c r="G354" s="39" t="s">
        <v>278</v>
      </c>
      <c r="H354" s="40"/>
      <c r="I354" s="40"/>
      <c r="J354" s="40"/>
      <c r="K354" s="42">
        <v>46171</v>
      </c>
      <c r="L354" s="42"/>
      <c r="M354" s="44"/>
      <c r="N354" s="40"/>
      <c r="O354" s="40"/>
      <c r="P354" s="40"/>
      <c r="Q354" s="42">
        <f>IF(K354="","",K354)</f>
        <v>46171</v>
      </c>
      <c r="R354" s="39" t="s">
        <v>254</v>
      </c>
      <c r="S354" s="39" t="s">
        <v>256</v>
      </c>
      <c r="T354" s="39" t="s">
        <v>368</v>
      </c>
      <c r="U354" s="39" t="s">
        <v>275</v>
      </c>
      <c r="V354" s="39">
        <v>118</v>
      </c>
      <c r="W354" s="39" t="s">
        <v>436</v>
      </c>
      <c r="X354" s="41">
        <v>46160</v>
      </c>
      <c r="Y354" s="41">
        <v>46171</v>
      </c>
      <c r="Z354" s="43">
        <v>403.2</v>
      </c>
      <c r="AA354" s="45">
        <f>IF(M354&lt;&gt;"",M354,Z354)</f>
        <v>403.2</v>
      </c>
      <c r="AB354" s="46" t="str">
        <f>IF(L354&lt;&gt;"","Realizado","Previsto")</f>
        <v>Previsto</v>
      </c>
      <c r="AC354" s="47">
        <v>0.5</v>
      </c>
      <c r="AD354" s="43">
        <v>806.40000000000009</v>
      </c>
      <c r="AE354" s="39">
        <v>192</v>
      </c>
      <c r="AF354" s="39" t="s">
        <v>279</v>
      </c>
      <c r="AG354" s="43">
        <v>4.2</v>
      </c>
      <c r="AH354" s="39" t="s">
        <v>369</v>
      </c>
      <c r="AI354" s="39" t="s">
        <v>73</v>
      </c>
      <c r="AJ354" s="48">
        <f>IF(Q354&lt;&gt;"",Q354,IF(K354&lt;&gt;"",K354,""))</f>
        <v>46171</v>
      </c>
      <c r="AK354" s="46" t="str">
        <f>IF(K354&lt;&gt;"","Sim","")</f>
        <v>Sim</v>
      </c>
      <c r="AL354" s="46" t="str">
        <f>IF(A354="","",TEXT(A354,"000000")&amp;"-"&amp;IF(C354="Entrada","CR","DB"))</f>
        <v>000353-DB</v>
      </c>
      <c r="AM354" s="46" t="str">
        <f>IF(A354="","",LEFT(IF(H354&lt;&gt;"",H354,G354)&amp;" | "&amp;G354&amp;" | "&amp;S354,60))</f>
        <v>Espaçador cruzeta - 5mm (pacote com 100 unid) | Espaçador cr</v>
      </c>
    </row>
    <row r="355" spans="1:39" ht="43.2" x14ac:dyDescent="0.3">
      <c r="A355" s="39">
        <v>354</v>
      </c>
      <c r="B355" s="39" t="s">
        <v>2</v>
      </c>
      <c r="C355" s="39" t="s">
        <v>74</v>
      </c>
      <c r="D355" s="39" t="s">
        <v>254</v>
      </c>
      <c r="E355" s="39" t="s">
        <v>254</v>
      </c>
      <c r="F355" s="39" t="s">
        <v>109</v>
      </c>
      <c r="G355" s="39" t="s">
        <v>255</v>
      </c>
      <c r="H355" s="40"/>
      <c r="I355" s="40"/>
      <c r="J355" s="40"/>
      <c r="K355" s="42">
        <v>46171</v>
      </c>
      <c r="L355" s="42"/>
      <c r="M355" s="44"/>
      <c r="N355" s="40"/>
      <c r="O355" s="40"/>
      <c r="P355" s="40"/>
      <c r="Q355" s="42">
        <f>IF(K355="","",K355)</f>
        <v>46171</v>
      </c>
      <c r="R355" s="39" t="s">
        <v>254</v>
      </c>
      <c r="S355" s="39" t="s">
        <v>256</v>
      </c>
      <c r="T355" s="39" t="s">
        <v>257</v>
      </c>
      <c r="U355" s="39" t="s">
        <v>215</v>
      </c>
      <c r="V355" s="39">
        <v>121</v>
      </c>
      <c r="W355" s="39" t="s">
        <v>436</v>
      </c>
      <c r="X355" s="41">
        <v>46160</v>
      </c>
      <c r="Y355" s="41">
        <v>46171</v>
      </c>
      <c r="Z355" s="43">
        <v>20095.488000000001</v>
      </c>
      <c r="AA355" s="45">
        <f>IF(M355&lt;&gt;"",M355,Z355)</f>
        <v>20095.488000000001</v>
      </c>
      <c r="AB355" s="46" t="str">
        <f>IF(L355&lt;&gt;"","Realizado","Previsto")</f>
        <v>Previsto</v>
      </c>
      <c r="AC355" s="47">
        <v>0.2225</v>
      </c>
      <c r="AD355" s="43">
        <v>90316.800000000003</v>
      </c>
      <c r="AE355" s="39">
        <v>2580.48</v>
      </c>
      <c r="AF355" s="39" t="s">
        <v>203</v>
      </c>
      <c r="AG355" s="43">
        <v>35</v>
      </c>
      <c r="AH355" s="39" t="s">
        <v>258</v>
      </c>
      <c r="AI355" s="39" t="s">
        <v>73</v>
      </c>
      <c r="AJ355" s="48">
        <f>IF(Q355&lt;&gt;"",Q355,IF(K355&lt;&gt;"",K355,""))</f>
        <v>46171</v>
      </c>
      <c r="AK355" s="46" t="str">
        <f>IF(K355&lt;&gt;"","Sim","")</f>
        <v>Sim</v>
      </c>
      <c r="AL355" s="46" t="str">
        <f>IF(A355="","",TEXT(A355,"000000")&amp;"-"&amp;IF(C355="Entrada","CR","DB"))</f>
        <v>000354-DB</v>
      </c>
      <c r="AM355" s="46" t="str">
        <f>IF(A355="","",LEFT(IF(H355&lt;&gt;"",H355,G355)&amp;" | "&amp;G355&amp;" | "&amp;S355,60))</f>
        <v>Mao de obra terceirizada assentamento Ceramica | Mao de obra</v>
      </c>
    </row>
    <row r="356" spans="1:39" ht="43.2" x14ac:dyDescent="0.3">
      <c r="A356" s="39">
        <v>355</v>
      </c>
      <c r="B356" s="39" t="s">
        <v>2</v>
      </c>
      <c r="C356" s="39" t="s">
        <v>74</v>
      </c>
      <c r="D356" s="39" t="s">
        <v>254</v>
      </c>
      <c r="E356" s="39" t="s">
        <v>254</v>
      </c>
      <c r="F356" s="39" t="s">
        <v>184</v>
      </c>
      <c r="G356" s="39" t="s">
        <v>280</v>
      </c>
      <c r="H356" s="40"/>
      <c r="I356" s="40"/>
      <c r="J356" s="40"/>
      <c r="K356" s="42">
        <v>46171</v>
      </c>
      <c r="L356" s="42"/>
      <c r="M356" s="44"/>
      <c r="N356" s="40"/>
      <c r="O356" s="40"/>
      <c r="P356" s="40"/>
      <c r="Q356" s="42">
        <f>IF(K356="","",K356)</f>
        <v>46171</v>
      </c>
      <c r="R356" s="39" t="s">
        <v>254</v>
      </c>
      <c r="S356" s="39" t="s">
        <v>256</v>
      </c>
      <c r="T356" s="39" t="s">
        <v>368</v>
      </c>
      <c r="U356" s="39" t="s">
        <v>275</v>
      </c>
      <c r="V356" s="39">
        <v>120</v>
      </c>
      <c r="W356" s="39" t="s">
        <v>436</v>
      </c>
      <c r="X356" s="41">
        <v>46160</v>
      </c>
      <c r="Y356" s="41">
        <v>46171</v>
      </c>
      <c r="Z356" s="43">
        <v>2496</v>
      </c>
      <c r="AA356" s="45">
        <f>IF(M356&lt;&gt;"",M356,Z356)</f>
        <v>2496</v>
      </c>
      <c r="AB356" s="46" t="str">
        <f>IF(L356&lt;&gt;"","Realizado","Previsto")</f>
        <v>Previsto</v>
      </c>
      <c r="AC356" s="47">
        <v>0.5</v>
      </c>
      <c r="AD356" s="43">
        <v>4992</v>
      </c>
      <c r="AE356" s="39">
        <v>960</v>
      </c>
      <c r="AF356" s="39" t="s">
        <v>149</v>
      </c>
      <c r="AG356" s="43">
        <v>5.2</v>
      </c>
      <c r="AH356" s="39" t="s">
        <v>369</v>
      </c>
      <c r="AI356" s="39" t="s">
        <v>73</v>
      </c>
      <c r="AJ356" s="48">
        <f>IF(Q356&lt;&gt;"",Q356,IF(K356&lt;&gt;"",K356,""))</f>
        <v>46171</v>
      </c>
      <c r="AK356" s="46" t="str">
        <f>IF(K356&lt;&gt;"","Sim","")</f>
        <v>Sim</v>
      </c>
      <c r="AL356" s="46" t="str">
        <f>IF(A356="","",TEXT(A356,"000000")&amp;"-"&amp;IF(C356="Entrada","CR","DB"))</f>
        <v>000355-DB</v>
      </c>
      <c r="AM356" s="46" t="str">
        <f>IF(A356="","",LEFT(IF(H356&lt;&gt;"",H356,G356)&amp;" | "&amp;G356&amp;" | "&amp;S356,60))</f>
        <v>Rejunte cimenticio | Rejunte cimenticio | Saída | PISO E ROD</v>
      </c>
    </row>
    <row r="357" spans="1:39" ht="43.2" x14ac:dyDescent="0.3">
      <c r="A357" s="39">
        <v>356</v>
      </c>
      <c r="B357" s="39" t="s">
        <v>2</v>
      </c>
      <c r="C357" s="39" t="s">
        <v>74</v>
      </c>
      <c r="D357" s="39" t="s">
        <v>254</v>
      </c>
      <c r="E357" s="39" t="s">
        <v>254</v>
      </c>
      <c r="F357" s="39" t="s">
        <v>281</v>
      </c>
      <c r="G357" s="39" t="s">
        <v>370</v>
      </c>
      <c r="H357" s="40"/>
      <c r="I357" s="40"/>
      <c r="J357" s="40"/>
      <c r="K357" s="42">
        <v>46171</v>
      </c>
      <c r="L357" s="42"/>
      <c r="M357" s="44"/>
      <c r="N357" s="40"/>
      <c r="O357" s="40"/>
      <c r="P357" s="40"/>
      <c r="Q357" s="42">
        <f>IF(K357="","",K357)</f>
        <v>46171</v>
      </c>
      <c r="R357" s="39" t="s">
        <v>254</v>
      </c>
      <c r="S357" s="39" t="s">
        <v>256</v>
      </c>
      <c r="T357" s="39" t="s">
        <v>371</v>
      </c>
      <c r="U357" s="39" t="s">
        <v>275</v>
      </c>
      <c r="V357" s="39">
        <v>117</v>
      </c>
      <c r="W357" s="39" t="s">
        <v>436</v>
      </c>
      <c r="X357" s="41">
        <v>46160</v>
      </c>
      <c r="Y357" s="41">
        <v>46171</v>
      </c>
      <c r="Z357" s="43">
        <v>13284.311040000001</v>
      </c>
      <c r="AA357" s="45">
        <f>IF(M357&lt;&gt;"",M357,Z357)</f>
        <v>13284.311040000001</v>
      </c>
      <c r="AB357" s="46" t="str">
        <f>IF(L357&lt;&gt;"","Realizado","Previsto")</f>
        <v>Previsto</v>
      </c>
      <c r="AC357" s="47">
        <v>0.33</v>
      </c>
      <c r="AD357" s="43">
        <v>40255.487999999998</v>
      </c>
      <c r="AE357" s="39">
        <v>2580.48</v>
      </c>
      <c r="AF357" s="39" t="s">
        <v>203</v>
      </c>
      <c r="AG357" s="43">
        <v>15.6</v>
      </c>
      <c r="AH357" s="39" t="s">
        <v>372</v>
      </c>
      <c r="AI357" s="39" t="s">
        <v>73</v>
      </c>
      <c r="AJ357" s="48">
        <f>IF(Q357&lt;&gt;"",Q357,IF(K357&lt;&gt;"",K357,""))</f>
        <v>46171</v>
      </c>
      <c r="AK357" s="46" t="str">
        <f>IF(K357&lt;&gt;"","Sim","")</f>
        <v>Sim</v>
      </c>
      <c r="AL357" s="46" t="str">
        <f>IF(A357="","",TEXT(A357,"000000")&amp;"-"&amp;IF(C357="Entrada","CR","DB"))</f>
        <v>000356-DB</v>
      </c>
      <c r="AM357" s="46" t="str">
        <f>IF(A357="","",LEFT(IF(H357&lt;&gt;"",H357,G357)&amp;" | "&amp;G357&amp;" | "&amp;S357,60))</f>
        <v>Revestimento Cerâmico  PEI IV 35 x 35- cor,  (perda 15%) - i</v>
      </c>
    </row>
    <row r="358" spans="1:39" ht="43.2" x14ac:dyDescent="0.3">
      <c r="A358" s="39">
        <v>357</v>
      </c>
      <c r="B358" s="39" t="s">
        <v>2</v>
      </c>
      <c r="C358" s="39" t="s">
        <v>74</v>
      </c>
      <c r="D358" s="39" t="s">
        <v>418</v>
      </c>
      <c r="E358" s="39" t="s">
        <v>419</v>
      </c>
      <c r="F358" s="39" t="s">
        <v>184</v>
      </c>
      <c r="G358" s="39" t="s">
        <v>455</v>
      </c>
      <c r="H358" s="40"/>
      <c r="I358" s="40"/>
      <c r="J358" s="40"/>
      <c r="K358" s="42">
        <v>46171</v>
      </c>
      <c r="L358" s="42"/>
      <c r="M358" s="44"/>
      <c r="N358" s="40"/>
      <c r="O358" s="40"/>
      <c r="P358" s="40"/>
      <c r="Q358" s="42">
        <f>IF(K358="","",K358)</f>
        <v>46171</v>
      </c>
      <c r="R358" s="39" t="s">
        <v>418</v>
      </c>
      <c r="S358" s="39" t="s">
        <v>421</v>
      </c>
      <c r="T358" s="39" t="s">
        <v>481</v>
      </c>
      <c r="U358" s="39" t="s">
        <v>275</v>
      </c>
      <c r="V358" s="39">
        <v>137</v>
      </c>
      <c r="W358" s="39" t="s">
        <v>436</v>
      </c>
      <c r="X358" s="41">
        <v>46160</v>
      </c>
      <c r="Y358" s="41">
        <v>46171</v>
      </c>
      <c r="Z358" s="43">
        <v>38.400000000000013</v>
      </c>
      <c r="AA358" s="45">
        <f>IF(M358&lt;&gt;"",M358,Z358)</f>
        <v>38.400000000000013</v>
      </c>
      <c r="AB358" s="46" t="str">
        <f>IF(L358&lt;&gt;"","Realizado","Previsto")</f>
        <v>Previsto</v>
      </c>
      <c r="AC358" s="47">
        <v>0.5</v>
      </c>
      <c r="AD358" s="43">
        <v>76.800000000000011</v>
      </c>
      <c r="AE358" s="39">
        <v>384</v>
      </c>
      <c r="AF358" s="39" t="s">
        <v>87</v>
      </c>
      <c r="AG358" s="43">
        <v>0.2</v>
      </c>
      <c r="AH358" s="39" t="s">
        <v>482</v>
      </c>
      <c r="AI358" s="39" t="s">
        <v>73</v>
      </c>
      <c r="AJ358" s="48">
        <f>IF(Q358&lt;&gt;"",Q358,IF(K358&lt;&gt;"",K358,""))</f>
        <v>46171</v>
      </c>
      <c r="AK358" s="46" t="str">
        <f>IF(K358&lt;&gt;"","Sim","")</f>
        <v>Sim</v>
      </c>
      <c r="AL358" s="46" t="str">
        <f>IF(A358="","",TEXT(A358,"000000")&amp;"-"&amp;IF(C358="Entrada","CR","DB"))</f>
        <v>000357-DB</v>
      </c>
      <c r="AM358" s="46" t="str">
        <f>IF(A358="","",LEFT(IF(H358&lt;&gt;"",H358,G358)&amp;" | "&amp;G358&amp;" | "&amp;S358,60))</f>
        <v xml:space="preserve">Bucha 6 mm para concreto | Bucha 6 mm para concreto | Saída </v>
      </c>
    </row>
    <row r="359" spans="1:39" ht="43.2" x14ac:dyDescent="0.3">
      <c r="A359" s="39">
        <v>358</v>
      </c>
      <c r="B359" s="39" t="s">
        <v>2</v>
      </c>
      <c r="C359" s="39" t="s">
        <v>74</v>
      </c>
      <c r="D359" s="39" t="s">
        <v>418</v>
      </c>
      <c r="E359" s="39" t="s">
        <v>419</v>
      </c>
      <c r="F359" s="39" t="s">
        <v>184</v>
      </c>
      <c r="G359" s="39" t="s">
        <v>458</v>
      </c>
      <c r="H359" s="40"/>
      <c r="I359" s="40"/>
      <c r="J359" s="40"/>
      <c r="K359" s="42">
        <v>46171</v>
      </c>
      <c r="L359" s="42"/>
      <c r="M359" s="44"/>
      <c r="N359" s="40"/>
      <c r="O359" s="40"/>
      <c r="P359" s="40"/>
      <c r="Q359" s="42">
        <f>IF(K359="","",K359)</f>
        <v>46171</v>
      </c>
      <c r="R359" s="39" t="s">
        <v>418</v>
      </c>
      <c r="S359" s="39" t="s">
        <v>421</v>
      </c>
      <c r="T359" s="39" t="s">
        <v>481</v>
      </c>
      <c r="U359" s="39" t="s">
        <v>275</v>
      </c>
      <c r="V359" s="39">
        <v>136</v>
      </c>
      <c r="W359" s="39" t="s">
        <v>436</v>
      </c>
      <c r="X359" s="41">
        <v>46160</v>
      </c>
      <c r="Y359" s="41">
        <v>46171</v>
      </c>
      <c r="Z359" s="43">
        <v>1625.6</v>
      </c>
      <c r="AA359" s="45">
        <f>IF(M359&lt;&gt;"",M359,Z359)</f>
        <v>1625.6</v>
      </c>
      <c r="AB359" s="46" t="str">
        <f>IF(L359&lt;&gt;"","Realizado","Previsto")</f>
        <v>Previsto</v>
      </c>
      <c r="AC359" s="47">
        <v>0.5</v>
      </c>
      <c r="AD359" s="43">
        <v>3251.2</v>
      </c>
      <c r="AE359" s="39">
        <v>128</v>
      </c>
      <c r="AF359" s="39" t="s">
        <v>87</v>
      </c>
      <c r="AG359" s="43">
        <v>25.4</v>
      </c>
      <c r="AH359" s="39" t="s">
        <v>482</v>
      </c>
      <c r="AI359" s="39" t="s">
        <v>73</v>
      </c>
      <c r="AJ359" s="48">
        <f>IF(Q359&lt;&gt;"",Q359,IF(K359&lt;&gt;"",K359,""))</f>
        <v>46171</v>
      </c>
      <c r="AK359" s="46" t="str">
        <f>IF(K359&lt;&gt;"","Sim","")</f>
        <v>Sim</v>
      </c>
      <c r="AL359" s="46" t="str">
        <f>IF(A359="","",TEXT(A359,"000000")&amp;"-"&amp;IF(C359="Entrada","CR","DB"))</f>
        <v>000358-DB</v>
      </c>
      <c r="AM359" s="46" t="str">
        <f>IF(A359="","",LEFT(IF(H359&lt;&gt;"",H359,G359)&amp;" | "&amp;G359&amp;" | "&amp;S359,60))</f>
        <v xml:space="preserve">Espuma Expansiva de Poliuretano 300ml | Espuma Expansiva de </v>
      </c>
    </row>
    <row r="360" spans="1:39" ht="43.2" x14ac:dyDescent="0.3">
      <c r="A360" s="39">
        <v>359</v>
      </c>
      <c r="B360" s="39" t="s">
        <v>2</v>
      </c>
      <c r="C360" s="39" t="s">
        <v>74</v>
      </c>
      <c r="D360" s="39" t="s">
        <v>418</v>
      </c>
      <c r="E360" s="39" t="s">
        <v>419</v>
      </c>
      <c r="F360" s="39" t="s">
        <v>184</v>
      </c>
      <c r="G360" s="39" t="s">
        <v>459</v>
      </c>
      <c r="H360" s="40"/>
      <c r="I360" s="40"/>
      <c r="J360" s="40"/>
      <c r="K360" s="42">
        <v>46171</v>
      </c>
      <c r="L360" s="42"/>
      <c r="M360" s="44"/>
      <c r="N360" s="40"/>
      <c r="O360" s="40"/>
      <c r="P360" s="40"/>
      <c r="Q360" s="42">
        <f>IF(K360="","",K360)</f>
        <v>46171</v>
      </c>
      <c r="R360" s="39" t="s">
        <v>418</v>
      </c>
      <c r="S360" s="39" t="s">
        <v>421</v>
      </c>
      <c r="T360" s="39" t="s">
        <v>481</v>
      </c>
      <c r="U360" s="39" t="s">
        <v>275</v>
      </c>
      <c r="V360" s="39">
        <v>140</v>
      </c>
      <c r="W360" s="39" t="s">
        <v>436</v>
      </c>
      <c r="X360" s="41">
        <v>46160</v>
      </c>
      <c r="Y360" s="41">
        <v>46171</v>
      </c>
      <c r="Z360" s="43">
        <v>286.39999999999998</v>
      </c>
      <c r="AA360" s="45">
        <f>IF(M360&lt;&gt;"",M360,Z360)</f>
        <v>286.39999999999998</v>
      </c>
      <c r="AB360" s="46" t="str">
        <f>IF(L360&lt;&gt;"","Realizado","Previsto")</f>
        <v>Previsto</v>
      </c>
      <c r="AC360" s="47">
        <v>0.5</v>
      </c>
      <c r="AD360" s="43">
        <v>572.79999999999995</v>
      </c>
      <c r="AE360" s="39">
        <v>32</v>
      </c>
      <c r="AF360" s="39" t="s">
        <v>87</v>
      </c>
      <c r="AG360" s="43">
        <v>17.899999999999999</v>
      </c>
      <c r="AH360" s="39" t="s">
        <v>482</v>
      </c>
      <c r="AI360" s="39" t="s">
        <v>73</v>
      </c>
      <c r="AJ360" s="48">
        <f>IF(Q360&lt;&gt;"",Q360,IF(K360&lt;&gt;"",K360,""))</f>
        <v>46171</v>
      </c>
      <c r="AK360" s="46" t="str">
        <f>IF(K360&lt;&gt;"","Sim","")</f>
        <v>Sim</v>
      </c>
      <c r="AL360" s="46" t="str">
        <f>IF(A360="","",TEXT(A360,"000000")&amp;"-"&amp;IF(C360="Entrada","CR","DB"))</f>
        <v>000359-DB</v>
      </c>
      <c r="AM360" s="46" t="str">
        <f>IF(A360="","",LEFT(IF(H360&lt;&gt;"",H360,G360)&amp;" | "&amp;G360&amp;" | "&amp;S360,60))</f>
        <v xml:space="preserve">Fita crepe 48 mm x 50 m | Fita crepe 48 mm x 50 m | Saída | </v>
      </c>
    </row>
    <row r="361" spans="1:39" ht="43.2" x14ac:dyDescent="0.3">
      <c r="A361" s="39">
        <v>360</v>
      </c>
      <c r="B361" s="39" t="s">
        <v>2</v>
      </c>
      <c r="C361" s="39" t="s">
        <v>74</v>
      </c>
      <c r="D361" s="39" t="s">
        <v>418</v>
      </c>
      <c r="E361" s="39" t="s">
        <v>419</v>
      </c>
      <c r="F361" s="39" t="s">
        <v>109</v>
      </c>
      <c r="G361" s="39" t="s">
        <v>420</v>
      </c>
      <c r="H361" s="40"/>
      <c r="I361" s="40"/>
      <c r="J361" s="40"/>
      <c r="K361" s="42">
        <v>46171</v>
      </c>
      <c r="L361" s="42"/>
      <c r="M361" s="44"/>
      <c r="N361" s="40"/>
      <c r="O361" s="40"/>
      <c r="P361" s="40"/>
      <c r="Q361" s="42">
        <f>IF(K361="","",K361)</f>
        <v>46171</v>
      </c>
      <c r="R361" s="39" t="s">
        <v>418</v>
      </c>
      <c r="S361" s="39" t="s">
        <v>421</v>
      </c>
      <c r="T361" s="39" t="s">
        <v>422</v>
      </c>
      <c r="U361" s="39" t="s">
        <v>215</v>
      </c>
      <c r="V361" s="39">
        <v>141</v>
      </c>
      <c r="W361" s="39" t="s">
        <v>436</v>
      </c>
      <c r="X361" s="41">
        <v>46160</v>
      </c>
      <c r="Y361" s="41">
        <v>46171</v>
      </c>
      <c r="Z361" s="43">
        <v>1800.96</v>
      </c>
      <c r="AA361" s="45">
        <f>IF(M361&lt;&gt;"",M361,Z361)</f>
        <v>1800.96</v>
      </c>
      <c r="AB361" s="46" t="str">
        <f>IF(L361&lt;&gt;"","Realizado","Previsto")</f>
        <v>Previsto</v>
      </c>
      <c r="AC361" s="47">
        <v>9.3799999999999994E-2</v>
      </c>
      <c r="AD361" s="43">
        <v>19200</v>
      </c>
      <c r="AE361" s="39">
        <v>128</v>
      </c>
      <c r="AF361" s="39" t="s">
        <v>87</v>
      </c>
      <c r="AG361" s="43">
        <v>150</v>
      </c>
      <c r="AH361" s="39" t="s">
        <v>423</v>
      </c>
      <c r="AI361" s="39" t="s">
        <v>73</v>
      </c>
      <c r="AJ361" s="48">
        <f>IF(Q361&lt;&gt;"",Q361,IF(K361&lt;&gt;"",K361,""))</f>
        <v>46171</v>
      </c>
      <c r="AK361" s="46" t="str">
        <f>IF(K361&lt;&gt;"","Sim","")</f>
        <v>Sim</v>
      </c>
      <c r="AL361" s="46" t="str">
        <f>IF(A361="","",TEXT(A361,"000000")&amp;"-"&amp;IF(C361="Entrada","CR","DB"))</f>
        <v>000360-DB</v>
      </c>
      <c r="AM361" s="46" t="str">
        <f>IF(A361="","",LEFT(IF(H361&lt;&gt;"",H361,G361)&amp;" | "&amp;G361&amp;" | "&amp;S361,60))</f>
        <v>Mao de obra terceirizada colocaçao de Portas externa | Mao d</v>
      </c>
    </row>
    <row r="362" spans="1:39" ht="43.2" x14ac:dyDescent="0.3">
      <c r="A362" s="39">
        <v>361</v>
      </c>
      <c r="B362" s="39" t="s">
        <v>2</v>
      </c>
      <c r="C362" s="39" t="s">
        <v>74</v>
      </c>
      <c r="D362" s="39" t="s">
        <v>418</v>
      </c>
      <c r="E362" s="39" t="s">
        <v>419</v>
      </c>
      <c r="F362" s="39" t="s">
        <v>461</v>
      </c>
      <c r="G362" s="39" t="s">
        <v>483</v>
      </c>
      <c r="H362" s="40"/>
      <c r="I362" s="40"/>
      <c r="J362" s="40"/>
      <c r="K362" s="42">
        <v>46171</v>
      </c>
      <c r="L362" s="42"/>
      <c r="M362" s="44"/>
      <c r="N362" s="40"/>
      <c r="O362" s="40"/>
      <c r="P362" s="40"/>
      <c r="Q362" s="42">
        <f>IF(K362="","",K362)</f>
        <v>46171</v>
      </c>
      <c r="R362" s="39" t="s">
        <v>418</v>
      </c>
      <c r="S362" s="39" t="s">
        <v>421</v>
      </c>
      <c r="T362" s="39" t="s">
        <v>484</v>
      </c>
      <c r="U362" s="39" t="s">
        <v>275</v>
      </c>
      <c r="V362" s="39">
        <v>135</v>
      </c>
      <c r="W362" s="39" t="s">
        <v>436</v>
      </c>
      <c r="X362" s="41">
        <v>46160</v>
      </c>
      <c r="Y362" s="41">
        <v>46171</v>
      </c>
      <c r="Z362" s="43">
        <v>33371.136000000013</v>
      </c>
      <c r="AA362" s="45">
        <f>IF(M362&lt;&gt;"",M362,Z362)</f>
        <v>33371.136000000013</v>
      </c>
      <c r="AB362" s="46" t="str">
        <f>IF(L362&lt;&gt;"","Realizado","Previsto")</f>
        <v>Previsto</v>
      </c>
      <c r="AC362" s="47">
        <v>0.34</v>
      </c>
      <c r="AD362" s="43">
        <v>98150.400000000009</v>
      </c>
      <c r="AE362" s="39">
        <v>64</v>
      </c>
      <c r="AF362" s="39" t="s">
        <v>87</v>
      </c>
      <c r="AG362" s="43">
        <v>1533.6</v>
      </c>
      <c r="AH362" s="39" t="s">
        <v>485</v>
      </c>
      <c r="AI362" s="39" t="s">
        <v>73</v>
      </c>
      <c r="AJ362" s="48">
        <f>IF(Q362&lt;&gt;"",Q362,IF(K362&lt;&gt;"",K362,""))</f>
        <v>46171</v>
      </c>
      <c r="AK362" s="46" t="str">
        <f>IF(K362&lt;&gt;"","Sim","")</f>
        <v>Sim</v>
      </c>
      <c r="AL362" s="46" t="str">
        <f>IF(A362="","",TEXT(A362,"000000")&amp;"-"&amp;IF(C362="Entrada","CR","DB"))</f>
        <v>000361-DB</v>
      </c>
      <c r="AM362" s="46" t="str">
        <f>IF(A362="","",LEFT(IF(H362&lt;&gt;"",H362,G362)&amp;" | "&amp;G362&amp;" | "&amp;S362,60))</f>
        <v xml:space="preserve">PORTA LAMINADA AL.BCO SOFT (37MM) ESQUERDA. 215X120 | PORTA </v>
      </c>
    </row>
    <row r="363" spans="1:39" ht="43.2" x14ac:dyDescent="0.3">
      <c r="A363" s="39">
        <v>362</v>
      </c>
      <c r="B363" s="39" t="s">
        <v>2</v>
      </c>
      <c r="C363" s="39" t="s">
        <v>74</v>
      </c>
      <c r="D363" s="39" t="s">
        <v>418</v>
      </c>
      <c r="E363" s="39" t="s">
        <v>419</v>
      </c>
      <c r="F363" s="39" t="s">
        <v>461</v>
      </c>
      <c r="G363" s="39" t="s">
        <v>486</v>
      </c>
      <c r="H363" s="40"/>
      <c r="I363" s="40"/>
      <c r="J363" s="40"/>
      <c r="K363" s="42">
        <v>46171</v>
      </c>
      <c r="L363" s="42"/>
      <c r="M363" s="44"/>
      <c r="N363" s="40"/>
      <c r="O363" s="40"/>
      <c r="P363" s="40"/>
      <c r="Q363" s="42">
        <f>IF(K363="","",K363)</f>
        <v>46171</v>
      </c>
      <c r="R363" s="39" t="s">
        <v>418</v>
      </c>
      <c r="S363" s="39" t="s">
        <v>421</v>
      </c>
      <c r="T363" s="39" t="s">
        <v>484</v>
      </c>
      <c r="U363" s="39" t="s">
        <v>275</v>
      </c>
      <c r="V363" s="39">
        <v>134</v>
      </c>
      <c r="W363" s="39" t="s">
        <v>436</v>
      </c>
      <c r="X363" s="41">
        <v>46160</v>
      </c>
      <c r="Y363" s="41">
        <v>46171</v>
      </c>
      <c r="Z363" s="43">
        <v>13395.0208</v>
      </c>
      <c r="AA363" s="45">
        <f>IF(M363&lt;&gt;"",M363,Z363)</f>
        <v>13395.0208</v>
      </c>
      <c r="AB363" s="46" t="str">
        <f>IF(L363&lt;&gt;"","Realizado","Previsto")</f>
        <v>Previsto</v>
      </c>
      <c r="AC363" s="47">
        <v>0.34</v>
      </c>
      <c r="AD363" s="43">
        <v>39397.120000000003</v>
      </c>
      <c r="AE363" s="39">
        <v>64</v>
      </c>
      <c r="AF363" s="39" t="s">
        <v>87</v>
      </c>
      <c r="AG363" s="43">
        <v>615.58000000000004</v>
      </c>
      <c r="AH363" s="39" t="s">
        <v>485</v>
      </c>
      <c r="AI363" s="39" t="s">
        <v>73</v>
      </c>
      <c r="AJ363" s="48">
        <f>IF(Q363&lt;&gt;"",Q363,IF(K363&lt;&gt;"",K363,""))</f>
        <v>46171</v>
      </c>
      <c r="AK363" s="46" t="str">
        <f>IF(K363&lt;&gt;"","Sim","")</f>
        <v>Sim</v>
      </c>
      <c r="AL363" s="46" t="str">
        <f>IF(A363="","",TEXT(A363,"000000")&amp;"-"&amp;IF(C363="Entrada","CR","DB"))</f>
        <v>000362-DB</v>
      </c>
      <c r="AM363" s="46" t="str">
        <f>IF(A363="","",LEFT(IF(H363&lt;&gt;"",H363,G363)&amp;" | "&amp;G363&amp;" | "&amp;S363,60))</f>
        <v>PORTA LAMINADA AL.BCO SOFT(37MM) DIR. 215X94 | PORTA LAMINAD</v>
      </c>
    </row>
    <row r="364" spans="1:39" ht="43.2" x14ac:dyDescent="0.3">
      <c r="A364" s="39">
        <v>363</v>
      </c>
      <c r="B364" s="39" t="s">
        <v>2</v>
      </c>
      <c r="C364" s="39" t="s">
        <v>74</v>
      </c>
      <c r="D364" s="39" t="s">
        <v>418</v>
      </c>
      <c r="E364" s="39" t="s">
        <v>419</v>
      </c>
      <c r="F364" s="39" t="s">
        <v>167</v>
      </c>
      <c r="G364" s="39" t="s">
        <v>465</v>
      </c>
      <c r="H364" s="40"/>
      <c r="I364" s="40"/>
      <c r="J364" s="40"/>
      <c r="K364" s="42">
        <v>46171</v>
      </c>
      <c r="L364" s="42"/>
      <c r="M364" s="44"/>
      <c r="N364" s="40"/>
      <c r="O364" s="40"/>
      <c r="P364" s="40"/>
      <c r="Q364" s="42">
        <f>IF(K364="","",K364)</f>
        <v>46171</v>
      </c>
      <c r="R364" s="39" t="s">
        <v>418</v>
      </c>
      <c r="S364" s="39" t="s">
        <v>421</v>
      </c>
      <c r="T364" s="39" t="s">
        <v>487</v>
      </c>
      <c r="U364" s="39" t="s">
        <v>275</v>
      </c>
      <c r="V364" s="39">
        <v>138</v>
      </c>
      <c r="W364" s="39" t="s">
        <v>436</v>
      </c>
      <c r="X364" s="41">
        <v>46160</v>
      </c>
      <c r="Y364" s="41">
        <v>46171</v>
      </c>
      <c r="Z364" s="43">
        <v>124.8</v>
      </c>
      <c r="AA364" s="45">
        <f>IF(M364&lt;&gt;"",M364,Z364)</f>
        <v>124.8</v>
      </c>
      <c r="AB364" s="46" t="str">
        <f>IF(L364&lt;&gt;"","Realizado","Previsto")</f>
        <v>Previsto</v>
      </c>
      <c r="AC364" s="47">
        <v>0.5</v>
      </c>
      <c r="AD364" s="43">
        <v>249.6</v>
      </c>
      <c r="AE364" s="39">
        <v>384</v>
      </c>
      <c r="AF364" s="39" t="s">
        <v>87</v>
      </c>
      <c r="AG364" s="43">
        <v>0.65</v>
      </c>
      <c r="AH364" s="39" t="s">
        <v>488</v>
      </c>
      <c r="AI364" s="39" t="s">
        <v>73</v>
      </c>
      <c r="AJ364" s="48">
        <f>IF(Q364&lt;&gt;"",Q364,IF(K364&lt;&gt;"",K364,""))</f>
        <v>46171</v>
      </c>
      <c r="AK364" s="46" t="str">
        <f>IF(K364&lt;&gt;"","Sim","")</f>
        <v>Sim</v>
      </c>
      <c r="AL364" s="46" t="str">
        <f>IF(A364="","",TEXT(A364,"000000")&amp;"-"&amp;IF(C364="Entrada","CR","DB"))</f>
        <v>000363-DB</v>
      </c>
      <c r="AM364" s="46" t="str">
        <f>IF(A364="","",LEFT(IF(H364&lt;&gt;"",H364,G364)&amp;" | "&amp;G364&amp;" | "&amp;S364,60))</f>
        <v>Parafuso panela fenda/phillips 4,8 x 50 mm - INOX | Parafuso</v>
      </c>
    </row>
    <row r="365" spans="1:39" ht="43.2" x14ac:dyDescent="0.3">
      <c r="A365" s="39">
        <v>364</v>
      </c>
      <c r="B365" s="39" t="s">
        <v>2</v>
      </c>
      <c r="C365" s="39" t="s">
        <v>74</v>
      </c>
      <c r="D365" s="39" t="s">
        <v>418</v>
      </c>
      <c r="E365" s="39" t="s">
        <v>419</v>
      </c>
      <c r="F365" s="39" t="s">
        <v>184</v>
      </c>
      <c r="G365" s="39" t="s">
        <v>466</v>
      </c>
      <c r="H365" s="40"/>
      <c r="I365" s="40"/>
      <c r="J365" s="40"/>
      <c r="K365" s="42">
        <v>46171</v>
      </c>
      <c r="L365" s="42"/>
      <c r="M365" s="44"/>
      <c r="N365" s="40"/>
      <c r="O365" s="40"/>
      <c r="P365" s="40"/>
      <c r="Q365" s="42">
        <f>IF(K365="","",K365)</f>
        <v>46171</v>
      </c>
      <c r="R365" s="39" t="s">
        <v>418</v>
      </c>
      <c r="S365" s="39" t="s">
        <v>421</v>
      </c>
      <c r="T365" s="39" t="s">
        <v>481</v>
      </c>
      <c r="U365" s="39" t="s">
        <v>275</v>
      </c>
      <c r="V365" s="39">
        <v>139</v>
      </c>
      <c r="W365" s="39" t="s">
        <v>436</v>
      </c>
      <c r="X365" s="41">
        <v>46160</v>
      </c>
      <c r="Y365" s="41">
        <v>46171</v>
      </c>
      <c r="Z365" s="43">
        <v>480</v>
      </c>
      <c r="AA365" s="45">
        <f>IF(M365&lt;&gt;"",M365,Z365)</f>
        <v>480</v>
      </c>
      <c r="AB365" s="46" t="str">
        <f>IF(L365&lt;&gt;"","Realizado","Previsto")</f>
        <v>Previsto</v>
      </c>
      <c r="AC365" s="47">
        <v>0.5</v>
      </c>
      <c r="AD365" s="43">
        <v>960</v>
      </c>
      <c r="AE365" s="39">
        <v>64</v>
      </c>
      <c r="AF365" s="39" t="s">
        <v>87</v>
      </c>
      <c r="AG365" s="43">
        <v>15</v>
      </c>
      <c r="AH365" s="39" t="s">
        <v>482</v>
      </c>
      <c r="AI365" s="39" t="s">
        <v>73</v>
      </c>
      <c r="AJ365" s="48">
        <f>IF(Q365&lt;&gt;"",Q365,IF(K365&lt;&gt;"",K365,""))</f>
        <v>46171</v>
      </c>
      <c r="AK365" s="46" t="str">
        <f>IF(K365&lt;&gt;"","Sim","")</f>
        <v>Sim</v>
      </c>
      <c r="AL365" s="46" t="str">
        <f>IF(A365="","",TEXT(A365,"000000")&amp;"-"&amp;IF(C365="Entrada","CR","DB"))</f>
        <v>000364-DB</v>
      </c>
      <c r="AM365" s="46" t="str">
        <f>IF(A365="","",LEFT(IF(H365&lt;&gt;"",H365,G365)&amp;" | "&amp;G365&amp;" | "&amp;S365,60))</f>
        <v>Selante acrilico c / 390 g - TECKBOND | Selante acrilico c /</v>
      </c>
    </row>
    <row r="366" spans="1:39" ht="43.2" x14ac:dyDescent="0.3">
      <c r="A366" s="39">
        <v>365</v>
      </c>
      <c r="B366" s="39" t="s">
        <v>2</v>
      </c>
      <c r="C366" s="39" t="s">
        <v>74</v>
      </c>
      <c r="D366" s="39" t="s">
        <v>424</v>
      </c>
      <c r="E366" s="39" t="s">
        <v>425</v>
      </c>
      <c r="F366" s="39" t="s">
        <v>184</v>
      </c>
      <c r="G366" s="39" t="s">
        <v>489</v>
      </c>
      <c r="H366" s="40"/>
      <c r="I366" s="40"/>
      <c r="J366" s="40"/>
      <c r="K366" s="42">
        <v>46171</v>
      </c>
      <c r="L366" s="42"/>
      <c r="M366" s="44"/>
      <c r="N366" s="40"/>
      <c r="O366" s="40"/>
      <c r="P366" s="40"/>
      <c r="Q366" s="42">
        <f>IF(K366="","",K366)</f>
        <v>46171</v>
      </c>
      <c r="R366" s="39" t="s">
        <v>424</v>
      </c>
      <c r="S366" s="39" t="s">
        <v>427</v>
      </c>
      <c r="T366" s="39" t="s">
        <v>490</v>
      </c>
      <c r="U366" s="39" t="s">
        <v>275</v>
      </c>
      <c r="V366" s="39">
        <v>131</v>
      </c>
      <c r="W366" s="39" t="s">
        <v>436</v>
      </c>
      <c r="X366" s="41">
        <v>46160</v>
      </c>
      <c r="Y366" s="41">
        <v>46171</v>
      </c>
      <c r="Z366" s="43">
        <v>4000</v>
      </c>
      <c r="AA366" s="45">
        <f>IF(M366&lt;&gt;"",M366,Z366)</f>
        <v>4000</v>
      </c>
      <c r="AB366" s="46" t="str">
        <f>IF(L366&lt;&gt;"","Realizado","Previsto")</f>
        <v>Previsto</v>
      </c>
      <c r="AC366" s="47">
        <v>0.5</v>
      </c>
      <c r="AD366" s="43">
        <v>8000</v>
      </c>
      <c r="AE366" s="39">
        <v>320</v>
      </c>
      <c r="AF366" s="39" t="s">
        <v>87</v>
      </c>
      <c r="AG366" s="43">
        <v>25</v>
      </c>
      <c r="AH366" s="39" t="s">
        <v>491</v>
      </c>
      <c r="AI366" s="39" t="s">
        <v>73</v>
      </c>
      <c r="AJ366" s="48">
        <f>IF(Q366&lt;&gt;"",Q366,IF(K366&lt;&gt;"",K366,""))</f>
        <v>46171</v>
      </c>
      <c r="AK366" s="46" t="str">
        <f>IF(K366&lt;&gt;"","Sim","")</f>
        <v>Sim</v>
      </c>
      <c r="AL366" s="46" t="str">
        <f>IF(A366="","",TEXT(A366,"000000")&amp;"-"&amp;IF(C366="Entrada","CR","DB"))</f>
        <v>000365-DB</v>
      </c>
      <c r="AM366" s="46" t="str">
        <f>IF(A366="","",LEFT(IF(H366&lt;&gt;"",H366,G366)&amp;" | "&amp;G366&amp;" | "&amp;S366,60))</f>
        <v xml:space="preserve">ESPUMA EXPANSIVA DE POLIURETANO - 500 ML | ESPUMA EXPANSIVA </v>
      </c>
    </row>
    <row r="367" spans="1:39" ht="43.2" x14ac:dyDescent="0.3">
      <c r="A367" s="39">
        <v>366</v>
      </c>
      <c r="B367" s="39" t="s">
        <v>2</v>
      </c>
      <c r="C367" s="39" t="s">
        <v>74</v>
      </c>
      <c r="D367" s="39" t="s">
        <v>424</v>
      </c>
      <c r="E367" s="39" t="s">
        <v>425</v>
      </c>
      <c r="F367" s="39" t="s">
        <v>109</v>
      </c>
      <c r="G367" s="39" t="s">
        <v>426</v>
      </c>
      <c r="H367" s="40"/>
      <c r="I367" s="40"/>
      <c r="J367" s="40"/>
      <c r="K367" s="42">
        <v>46171</v>
      </c>
      <c r="L367" s="42"/>
      <c r="M367" s="44"/>
      <c r="N367" s="40"/>
      <c r="O367" s="40"/>
      <c r="P367" s="40"/>
      <c r="Q367" s="42">
        <f>IF(K367="","",K367)</f>
        <v>46171</v>
      </c>
      <c r="R367" s="39" t="s">
        <v>424</v>
      </c>
      <c r="S367" s="39" t="s">
        <v>427</v>
      </c>
      <c r="T367" s="39" t="s">
        <v>428</v>
      </c>
      <c r="U367" s="39" t="s">
        <v>215</v>
      </c>
      <c r="V367" s="39">
        <v>132</v>
      </c>
      <c r="W367" s="39" t="s">
        <v>436</v>
      </c>
      <c r="X367" s="41">
        <v>46160</v>
      </c>
      <c r="Y367" s="41">
        <v>46171</v>
      </c>
      <c r="Z367" s="43">
        <v>2701.44</v>
      </c>
      <c r="AA367" s="45">
        <f>IF(M367&lt;&gt;"",M367,Z367)</f>
        <v>2701.44</v>
      </c>
      <c r="AB367" s="46" t="str">
        <f>IF(L367&lt;&gt;"","Realizado","Previsto")</f>
        <v>Previsto</v>
      </c>
      <c r="AC367" s="47">
        <v>9.3799999999999994E-2</v>
      </c>
      <c r="AD367" s="43">
        <v>28800</v>
      </c>
      <c r="AE367" s="39">
        <v>192</v>
      </c>
      <c r="AF367" s="39" t="s">
        <v>87</v>
      </c>
      <c r="AG367" s="43">
        <v>150</v>
      </c>
      <c r="AH367" s="39" t="s">
        <v>429</v>
      </c>
      <c r="AI367" s="39" t="s">
        <v>73</v>
      </c>
      <c r="AJ367" s="48">
        <f>IF(Q367&lt;&gt;"",Q367,IF(K367&lt;&gt;"",K367,""))</f>
        <v>46171</v>
      </c>
      <c r="AK367" s="46" t="str">
        <f>IF(K367&lt;&gt;"","Sim","")</f>
        <v>Sim</v>
      </c>
      <c r="AL367" s="46" t="str">
        <f>IF(A367="","",TEXT(A367,"000000")&amp;"-"&amp;IF(C367="Entrada","CR","DB"))</f>
        <v>000366-DB</v>
      </c>
      <c r="AM367" s="46" t="str">
        <f>IF(A367="","",LEFT(IF(H367&lt;&gt;"",H367,G367)&amp;" | "&amp;G367&amp;" | "&amp;S367,60))</f>
        <v>Mao de obra terceirizada colocaçao de Portas interna | Mao d</v>
      </c>
    </row>
    <row r="368" spans="1:39" ht="43.2" x14ac:dyDescent="0.3">
      <c r="A368" s="39">
        <v>367</v>
      </c>
      <c r="B368" s="39" t="s">
        <v>2</v>
      </c>
      <c r="C368" s="39" t="s">
        <v>74</v>
      </c>
      <c r="D368" s="39" t="s">
        <v>424</v>
      </c>
      <c r="E368" s="39" t="s">
        <v>425</v>
      </c>
      <c r="F368" s="39" t="s">
        <v>461</v>
      </c>
      <c r="G368" s="39" t="s">
        <v>492</v>
      </c>
      <c r="H368" s="40"/>
      <c r="I368" s="40"/>
      <c r="J368" s="40"/>
      <c r="K368" s="42">
        <v>46171</v>
      </c>
      <c r="L368" s="42"/>
      <c r="M368" s="44"/>
      <c r="N368" s="40"/>
      <c r="O368" s="40"/>
      <c r="P368" s="40"/>
      <c r="Q368" s="42">
        <f>IF(K368="","",K368)</f>
        <v>46171</v>
      </c>
      <c r="R368" s="39" t="s">
        <v>424</v>
      </c>
      <c r="S368" s="39" t="s">
        <v>427</v>
      </c>
      <c r="T368" s="39" t="s">
        <v>493</v>
      </c>
      <c r="U368" s="39" t="s">
        <v>275</v>
      </c>
      <c r="V368" s="39">
        <v>130</v>
      </c>
      <c r="W368" s="39" t="s">
        <v>436</v>
      </c>
      <c r="X368" s="41">
        <v>46160</v>
      </c>
      <c r="Y368" s="41">
        <v>46171</v>
      </c>
      <c r="Z368" s="43">
        <v>25920</v>
      </c>
      <c r="AA368" s="45">
        <f>IF(M368&lt;&gt;"",M368,Z368)</f>
        <v>25920</v>
      </c>
      <c r="AB368" s="46" t="str">
        <f>IF(L368&lt;&gt;"","Realizado","Previsto")</f>
        <v>Previsto</v>
      </c>
      <c r="AC368" s="47">
        <v>0.5</v>
      </c>
      <c r="AD368" s="43">
        <v>51840</v>
      </c>
      <c r="AE368" s="39">
        <v>192</v>
      </c>
      <c r="AF368" s="39" t="s">
        <v>87</v>
      </c>
      <c r="AG368" s="43">
        <v>270</v>
      </c>
      <c r="AH368" s="39" t="s">
        <v>494</v>
      </c>
      <c r="AI368" s="39" t="s">
        <v>73</v>
      </c>
      <c r="AJ368" s="48">
        <f>IF(Q368&lt;&gt;"",Q368,IF(K368&lt;&gt;"",K368,""))</f>
        <v>46171</v>
      </c>
      <c r="AK368" s="46" t="str">
        <f>IF(K368&lt;&gt;"","Sim","")</f>
        <v>Sim</v>
      </c>
      <c r="AL368" s="46" t="str">
        <f>IF(A368="","",TEXT(A368,"000000")&amp;"-"&amp;IF(C368="Entrada","CR","DB"))</f>
        <v>000367-DB</v>
      </c>
      <c r="AM368" s="46" t="str">
        <f>IF(A368="","",LEFT(IF(H368&lt;&gt;"",H368,G368)&amp;" | "&amp;G368&amp;" | "&amp;S368,60))</f>
        <v>PORTA EM MADEIRA PINUS SECA EM ESTUFA P/ USO INTERNO  INCLUS</v>
      </c>
    </row>
    <row r="369" spans="1:39" ht="43.2" x14ac:dyDescent="0.3">
      <c r="A369" s="39">
        <v>368</v>
      </c>
      <c r="B369" s="39" t="s">
        <v>2</v>
      </c>
      <c r="C369" s="39" t="s">
        <v>74</v>
      </c>
      <c r="D369" s="39" t="s">
        <v>107</v>
      </c>
      <c r="E369" s="39" t="s">
        <v>108</v>
      </c>
      <c r="F369" s="39" t="s">
        <v>167</v>
      </c>
      <c r="G369" s="39" t="s">
        <v>171</v>
      </c>
      <c r="H369" s="40"/>
      <c r="I369" s="40"/>
      <c r="J369" s="40"/>
      <c r="K369" s="42">
        <v>46171</v>
      </c>
      <c r="L369" s="42"/>
      <c r="M369" s="44"/>
      <c r="N369" s="40"/>
      <c r="O369" s="40"/>
      <c r="P369" s="40"/>
      <c r="Q369" s="42">
        <f>IF(K369="","",K369)</f>
        <v>46171</v>
      </c>
      <c r="R369" s="39" t="s">
        <v>107</v>
      </c>
      <c r="S369" s="39" t="s">
        <v>111</v>
      </c>
      <c r="T369" s="39" t="s">
        <v>169</v>
      </c>
      <c r="U369" s="39"/>
      <c r="V369" s="39">
        <v>34</v>
      </c>
      <c r="W369" s="39" t="s">
        <v>436</v>
      </c>
      <c r="X369" s="41">
        <v>46160</v>
      </c>
      <c r="Y369" s="41">
        <v>46171</v>
      </c>
      <c r="Z369" s="43">
        <v>39621.120000000003</v>
      </c>
      <c r="AA369" s="45">
        <f>IF(M369&lt;&gt;"",M369,Z369)</f>
        <v>39621.120000000003</v>
      </c>
      <c r="AB369" s="46" t="str">
        <f>IF(L369&lt;&gt;"","Realizado","Previsto")</f>
        <v>Previsto</v>
      </c>
      <c r="AC369" s="47">
        <v>0.33</v>
      </c>
      <c r="AD369" s="43">
        <v>120064</v>
      </c>
      <c r="AE369" s="39">
        <v>512</v>
      </c>
      <c r="AF369" s="39" t="s">
        <v>172</v>
      </c>
      <c r="AG369" s="43">
        <v>234.5</v>
      </c>
      <c r="AH369" s="39" t="s">
        <v>170</v>
      </c>
      <c r="AI369" s="39" t="s">
        <v>73</v>
      </c>
      <c r="AJ369" s="48">
        <f>IF(Q369&lt;&gt;"",Q369,IF(K369&lt;&gt;"",K369,""))</f>
        <v>46171</v>
      </c>
      <c r="AK369" s="46" t="str">
        <f>IF(K369&lt;&gt;"","Sim","")</f>
        <v>Sim</v>
      </c>
      <c r="AL369" s="46" t="str">
        <f>IF(A369="","",TEXT(A369,"000000")&amp;"-"&amp;IF(C369="Entrada","CR","DB"))</f>
        <v>000368-DB</v>
      </c>
      <c r="AM369" s="46" t="str">
        <f>IF(A369="","",LEFT(IF(H369&lt;&gt;"",H369,G369)&amp;" | "&amp;G369&amp;" | "&amp;S369,60))</f>
        <v xml:space="preserve">Aço - Tela Q-138 - 5.0 c/10 -  (245 x 600 cm) (frete de 300 </v>
      </c>
    </row>
    <row r="370" spans="1:39" ht="43.2" x14ac:dyDescent="0.3">
      <c r="A370" s="39">
        <v>369</v>
      </c>
      <c r="B370" s="39" t="s">
        <v>2</v>
      </c>
      <c r="C370" s="39" t="s">
        <v>74</v>
      </c>
      <c r="D370" s="39" t="s">
        <v>373</v>
      </c>
      <c r="E370" s="39" t="s">
        <v>230</v>
      </c>
      <c r="F370" s="39" t="s">
        <v>100</v>
      </c>
      <c r="G370" s="39" t="s">
        <v>374</v>
      </c>
      <c r="H370" s="40"/>
      <c r="I370" s="40"/>
      <c r="J370" s="40"/>
      <c r="K370" s="42">
        <v>46171</v>
      </c>
      <c r="L370" s="42"/>
      <c r="M370" s="44"/>
      <c r="N370" s="40"/>
      <c r="O370" s="40"/>
      <c r="P370" s="40"/>
      <c r="Q370" s="42">
        <f>IF(K370="","",K370)</f>
        <v>46171</v>
      </c>
      <c r="R370" s="39" t="s">
        <v>373</v>
      </c>
      <c r="S370" s="39" t="s">
        <v>375</v>
      </c>
      <c r="T370" s="39" t="s">
        <v>317</v>
      </c>
      <c r="U370" s="39" t="s">
        <v>275</v>
      </c>
      <c r="V370" s="39">
        <v>109</v>
      </c>
      <c r="W370" s="39" t="s">
        <v>436</v>
      </c>
      <c r="X370" s="41">
        <v>46160</v>
      </c>
      <c r="Y370" s="41">
        <v>46171</v>
      </c>
      <c r="Z370" s="43">
        <v>57600</v>
      </c>
      <c r="AA370" s="45">
        <f>IF(M370&lt;&gt;"",M370,Z370)</f>
        <v>57600</v>
      </c>
      <c r="AB370" s="46" t="str">
        <f>IF(L370&lt;&gt;"","Realizado","Previsto")</f>
        <v>Previsto</v>
      </c>
      <c r="AC370" s="47">
        <v>0.5</v>
      </c>
      <c r="AD370" s="43">
        <v>115200</v>
      </c>
      <c r="AE370" s="39">
        <v>2304</v>
      </c>
      <c r="AF370" s="39" t="s">
        <v>376</v>
      </c>
      <c r="AG370" s="43">
        <v>50</v>
      </c>
      <c r="AH370" s="39" t="s">
        <v>318</v>
      </c>
      <c r="AI370" s="39" t="s">
        <v>73</v>
      </c>
      <c r="AJ370" s="48">
        <f>IF(Q370&lt;&gt;"",Q370,IF(K370&lt;&gt;"",K370,""))</f>
        <v>46171</v>
      </c>
      <c r="AK370" s="46" t="str">
        <f>IF(K370&lt;&gt;"","Sim","")</f>
        <v>Sim</v>
      </c>
      <c r="AL370" s="46" t="str">
        <f>IF(A370="","",TEXT(A370,"000000")&amp;"-"&amp;IF(C370="Entrada","CR","DB"))</f>
        <v>000369-DB</v>
      </c>
      <c r="AM370" s="46" t="str">
        <f>IF(A370="","",LEFT(IF(H370&lt;&gt;"",H370,G370)&amp;" | "&amp;G370&amp;" | "&amp;S370,60))</f>
        <v>Rufos e calhas | Rufos e calhas | Saída | RUFOS</v>
      </c>
    </row>
    <row r="371" spans="1:39" ht="43.2" x14ac:dyDescent="0.3">
      <c r="A371" s="39">
        <v>370</v>
      </c>
      <c r="B371" s="39" t="s">
        <v>2</v>
      </c>
      <c r="C371" s="39" t="s">
        <v>74</v>
      </c>
      <c r="D371" s="39" t="s">
        <v>120</v>
      </c>
      <c r="E371" s="39" t="s">
        <v>120</v>
      </c>
      <c r="F371" s="39" t="s">
        <v>120</v>
      </c>
      <c r="G371" s="39" t="s">
        <v>121</v>
      </c>
      <c r="H371" s="40"/>
      <c r="I371" s="40"/>
      <c r="J371" s="40"/>
      <c r="K371" s="42">
        <v>46171</v>
      </c>
      <c r="L371" s="42"/>
      <c r="M371" s="44"/>
      <c r="N371" s="40"/>
      <c r="O371" s="40"/>
      <c r="P371" s="40"/>
      <c r="Q371" s="42">
        <f>IF(K371="","",K371)</f>
        <v>46171</v>
      </c>
      <c r="R371" s="39" t="s">
        <v>120</v>
      </c>
      <c r="S371" s="39" t="s">
        <v>122</v>
      </c>
      <c r="T371" s="39" t="s">
        <v>123</v>
      </c>
      <c r="U371" s="39"/>
      <c r="V371" s="39">
        <v>267</v>
      </c>
      <c r="W371" s="39" t="s">
        <v>436</v>
      </c>
      <c r="X371" s="41">
        <v>46160</v>
      </c>
      <c r="Y371" s="41">
        <v>46171</v>
      </c>
      <c r="Z371" s="43">
        <v>1086725.894254111</v>
      </c>
      <c r="AA371" s="45">
        <f>IF(M371&lt;&gt;"",M371,Z371)</f>
        <v>1086725.894254111</v>
      </c>
      <c r="AB371" s="46" t="str">
        <f>IF(L371&lt;&gt;"","Realizado","Previsto")</f>
        <v>Previsto</v>
      </c>
      <c r="AC371" s="47"/>
      <c r="AD371" s="43">
        <v>5780911.3615999985</v>
      </c>
      <c r="AE371" s="39"/>
      <c r="AF371" s="39" t="s">
        <v>79</v>
      </c>
      <c r="AG371" s="43"/>
      <c r="AH371" s="39"/>
      <c r="AI371" s="39" t="s">
        <v>73</v>
      </c>
      <c r="AJ371" s="48">
        <f>IF(Q371&lt;&gt;"",Q371,IF(K371&lt;&gt;"",K371,""))</f>
        <v>46171</v>
      </c>
      <c r="AK371" s="46" t="str">
        <f>IF(K371&lt;&gt;"","Sim","")</f>
        <v>Sim</v>
      </c>
      <c r="AL371" s="46" t="str">
        <f>IF(A371="","",TEXT(A371,"000000")&amp;"-"&amp;IF(C371="Entrada","CR","DB"))</f>
        <v>000370-DB</v>
      </c>
      <c r="AM371" s="46" t="str">
        <f>IF(A371="","",LEFT(IF(H371&lt;&gt;"",H371,G371)&amp;" | "&amp;G371&amp;" | "&amp;S371,60))</f>
        <v>TOTALIZADOR CUSTO GLOBAIS OBRAS - MENSAL | TOTALIZADOR CUSTO</v>
      </c>
    </row>
    <row r="372" spans="1:39" ht="43.2" x14ac:dyDescent="0.3">
      <c r="A372" s="39">
        <v>371</v>
      </c>
      <c r="B372" s="39" t="s">
        <v>2</v>
      </c>
      <c r="C372" s="39" t="s">
        <v>74</v>
      </c>
      <c r="D372" s="39" t="s">
        <v>259</v>
      </c>
      <c r="E372" s="39" t="s">
        <v>260</v>
      </c>
      <c r="F372" s="39" t="s">
        <v>184</v>
      </c>
      <c r="G372" s="39" t="s">
        <v>367</v>
      </c>
      <c r="H372" s="40"/>
      <c r="I372" s="40"/>
      <c r="J372" s="40"/>
      <c r="K372" s="42">
        <v>46171</v>
      </c>
      <c r="L372" s="42"/>
      <c r="M372" s="44"/>
      <c r="N372" s="40"/>
      <c r="O372" s="40"/>
      <c r="P372" s="40"/>
      <c r="Q372" s="42">
        <f>IF(K372="","",K372)</f>
        <v>46171</v>
      </c>
      <c r="R372" s="39" t="s">
        <v>259</v>
      </c>
      <c r="S372" s="39" t="s">
        <v>262</v>
      </c>
      <c r="T372" s="39" t="s">
        <v>377</v>
      </c>
      <c r="U372" s="39" t="s">
        <v>275</v>
      </c>
      <c r="V372" s="39">
        <v>126</v>
      </c>
      <c r="W372" s="39" t="s">
        <v>436</v>
      </c>
      <c r="X372" s="41">
        <v>46160</v>
      </c>
      <c r="Y372" s="41">
        <v>46171</v>
      </c>
      <c r="Z372" s="43">
        <v>217.28</v>
      </c>
      <c r="AA372" s="45">
        <f>IF(M372&lt;&gt;"",M372,Z372)</f>
        <v>217.28</v>
      </c>
      <c r="AB372" s="46" t="str">
        <f>IF(L372&lt;&gt;"","Realizado","Previsto")</f>
        <v>Previsto</v>
      </c>
      <c r="AC372" s="47">
        <v>0.5</v>
      </c>
      <c r="AD372" s="43">
        <v>434.56</v>
      </c>
      <c r="AE372" s="39">
        <v>32</v>
      </c>
      <c r="AF372" s="39" t="s">
        <v>378</v>
      </c>
      <c r="AG372" s="43">
        <v>13.58</v>
      </c>
      <c r="AH372" s="39" t="s">
        <v>379</v>
      </c>
      <c r="AI372" s="39" t="s">
        <v>73</v>
      </c>
      <c r="AJ372" s="48">
        <f>IF(Q372&lt;&gt;"",Q372,IF(K372&lt;&gt;"",K372,""))</f>
        <v>46171</v>
      </c>
      <c r="AK372" s="46" t="str">
        <f>IF(K372&lt;&gt;"","Sim","")</f>
        <v>Sim</v>
      </c>
      <c r="AL372" s="46" t="str">
        <f>IF(A372="","",TEXT(A372,"000000")&amp;"-"&amp;IF(C372="Entrada","CR","DB"))</f>
        <v>000371-DB</v>
      </c>
      <c r="AM372" s="46" t="str">
        <f>IF(A372="","",LEFT(IF(H372&lt;&gt;"",H372,G372)&amp;" | "&amp;G372&amp;" | "&amp;S372,60))</f>
        <v>Argamassa colante AC I | Argamassa colante AC I | Saída | SO</v>
      </c>
    </row>
    <row r="373" spans="1:39" ht="43.2" x14ac:dyDescent="0.3">
      <c r="A373" s="39">
        <v>372</v>
      </c>
      <c r="B373" s="39" t="s">
        <v>2</v>
      </c>
      <c r="C373" s="39" t="s">
        <v>74</v>
      </c>
      <c r="D373" s="39" t="s">
        <v>259</v>
      </c>
      <c r="E373" s="39" t="s">
        <v>260</v>
      </c>
      <c r="F373" s="39" t="s">
        <v>109</v>
      </c>
      <c r="G373" s="39" t="s">
        <v>261</v>
      </c>
      <c r="H373" s="40"/>
      <c r="I373" s="40"/>
      <c r="J373" s="40"/>
      <c r="K373" s="42">
        <v>46171</v>
      </c>
      <c r="L373" s="42"/>
      <c r="M373" s="44"/>
      <c r="N373" s="40"/>
      <c r="O373" s="40"/>
      <c r="P373" s="40"/>
      <c r="Q373" s="42">
        <f>IF(K373="","",K373)</f>
        <v>46171</v>
      </c>
      <c r="R373" s="39" t="s">
        <v>259</v>
      </c>
      <c r="S373" s="39" t="s">
        <v>262</v>
      </c>
      <c r="T373" s="39" t="s">
        <v>263</v>
      </c>
      <c r="U373" s="39" t="s">
        <v>215</v>
      </c>
      <c r="V373" s="39">
        <v>128</v>
      </c>
      <c r="W373" s="39" t="s">
        <v>436</v>
      </c>
      <c r="X373" s="41">
        <v>46160</v>
      </c>
      <c r="Y373" s="41">
        <v>46171</v>
      </c>
      <c r="Z373" s="43">
        <v>712</v>
      </c>
      <c r="AA373" s="45">
        <f>IF(M373&lt;&gt;"",M373,Z373)</f>
        <v>712</v>
      </c>
      <c r="AB373" s="46" t="str">
        <f>IF(L373&lt;&gt;"","Realizado","Previsto")</f>
        <v>Previsto</v>
      </c>
      <c r="AC373" s="47">
        <v>0.2225</v>
      </c>
      <c r="AD373" s="43">
        <v>3200</v>
      </c>
      <c r="AE373" s="39">
        <v>64</v>
      </c>
      <c r="AF373" s="39" t="s">
        <v>87</v>
      </c>
      <c r="AG373" s="43">
        <v>50</v>
      </c>
      <c r="AH373" s="39" t="s">
        <v>264</v>
      </c>
      <c r="AI373" s="39" t="s">
        <v>73</v>
      </c>
      <c r="AJ373" s="48">
        <f>IF(Q373&lt;&gt;"",Q373,IF(K373&lt;&gt;"",K373,""))</f>
        <v>46171</v>
      </c>
      <c r="AK373" s="46" t="str">
        <f>IF(K373&lt;&gt;"","Sim","")</f>
        <v>Sim</v>
      </c>
      <c r="AL373" s="46" t="str">
        <f>IF(A373="","",TEXT(A373,"000000")&amp;"-"&amp;IF(C373="Entrada","CR","DB"))</f>
        <v>000372-DB</v>
      </c>
      <c r="AM373" s="46" t="str">
        <f>IF(A373="","",LEFT(IF(H373&lt;&gt;"",H373,G373)&amp;" | "&amp;G373&amp;" | "&amp;S373,60))</f>
        <v>Assentamento Soleira em basalto  0,84 x 0,125 x 0,02 - cozin</v>
      </c>
    </row>
    <row r="374" spans="1:39" ht="43.2" x14ac:dyDescent="0.3">
      <c r="A374" s="39">
        <v>373</v>
      </c>
      <c r="B374" s="39" t="s">
        <v>2</v>
      </c>
      <c r="C374" s="39" t="s">
        <v>74</v>
      </c>
      <c r="D374" s="39" t="s">
        <v>259</v>
      </c>
      <c r="E374" s="39" t="s">
        <v>260</v>
      </c>
      <c r="F374" s="39" t="s">
        <v>109</v>
      </c>
      <c r="G374" s="39" t="s">
        <v>265</v>
      </c>
      <c r="H374" s="40"/>
      <c r="I374" s="40"/>
      <c r="J374" s="40"/>
      <c r="K374" s="42">
        <v>46171</v>
      </c>
      <c r="L374" s="42"/>
      <c r="M374" s="44"/>
      <c r="N374" s="40"/>
      <c r="O374" s="40"/>
      <c r="P374" s="40"/>
      <c r="Q374" s="42">
        <f>IF(K374="","",K374)</f>
        <v>46171</v>
      </c>
      <c r="R374" s="39" t="s">
        <v>259</v>
      </c>
      <c r="S374" s="39" t="s">
        <v>262</v>
      </c>
      <c r="T374" s="39" t="s">
        <v>263</v>
      </c>
      <c r="U374" s="39" t="s">
        <v>215</v>
      </c>
      <c r="V374" s="39">
        <v>127</v>
      </c>
      <c r="W374" s="39" t="s">
        <v>436</v>
      </c>
      <c r="X374" s="41">
        <v>46160</v>
      </c>
      <c r="Y374" s="41">
        <v>46171</v>
      </c>
      <c r="Z374" s="43">
        <v>712</v>
      </c>
      <c r="AA374" s="45">
        <f>IF(M374&lt;&gt;"",M374,Z374)</f>
        <v>712</v>
      </c>
      <c r="AB374" s="46" t="str">
        <f>IF(L374&lt;&gt;"","Realizado","Previsto")</f>
        <v>Previsto</v>
      </c>
      <c r="AC374" s="47">
        <v>0.2225</v>
      </c>
      <c r="AD374" s="43">
        <v>3200</v>
      </c>
      <c r="AE374" s="39">
        <v>64</v>
      </c>
      <c r="AF374" s="39" t="s">
        <v>87</v>
      </c>
      <c r="AG374" s="43">
        <v>50</v>
      </c>
      <c r="AH374" s="39" t="s">
        <v>264</v>
      </c>
      <c r="AI374" s="39" t="s">
        <v>73</v>
      </c>
      <c r="AJ374" s="48">
        <f>IF(Q374&lt;&gt;"",Q374,IF(K374&lt;&gt;"",K374,""))</f>
        <v>46171</v>
      </c>
      <c r="AK374" s="46" t="str">
        <f>IF(K374&lt;&gt;"","Sim","")</f>
        <v>Sim</v>
      </c>
      <c r="AL374" s="46" t="str">
        <f>IF(A374="","",TEXT(A374,"000000")&amp;"-"&amp;IF(C374="Entrada","CR","DB"))</f>
        <v>000373-DB</v>
      </c>
      <c r="AM374" s="46" t="str">
        <f>IF(A374="","",LEFT(IF(H374&lt;&gt;"",H374,G374)&amp;" | "&amp;G374&amp;" | "&amp;S374,60))</f>
        <v>Assentamento Soleira em basalto  0,94 x 0,125 x 0,02 - entra</v>
      </c>
    </row>
    <row r="375" spans="1:39" ht="43.2" x14ac:dyDescent="0.3">
      <c r="A375" s="39">
        <v>374</v>
      </c>
      <c r="B375" s="39" t="s">
        <v>2</v>
      </c>
      <c r="C375" s="39" t="s">
        <v>74</v>
      </c>
      <c r="D375" s="39" t="s">
        <v>259</v>
      </c>
      <c r="E375" s="39" t="s">
        <v>260</v>
      </c>
      <c r="F375" s="39" t="s">
        <v>281</v>
      </c>
      <c r="G375" s="39" t="s">
        <v>380</v>
      </c>
      <c r="H375" s="40"/>
      <c r="I375" s="40"/>
      <c r="J375" s="40"/>
      <c r="K375" s="42">
        <v>46171</v>
      </c>
      <c r="L375" s="42"/>
      <c r="M375" s="44"/>
      <c r="N375" s="40"/>
      <c r="O375" s="40"/>
      <c r="P375" s="40"/>
      <c r="Q375" s="42">
        <f>IF(K375="","",K375)</f>
        <v>46171</v>
      </c>
      <c r="R375" s="39" t="s">
        <v>259</v>
      </c>
      <c r="S375" s="39" t="s">
        <v>262</v>
      </c>
      <c r="T375" s="39" t="s">
        <v>381</v>
      </c>
      <c r="U375" s="39" t="s">
        <v>275</v>
      </c>
      <c r="V375" s="39">
        <v>125</v>
      </c>
      <c r="W375" s="39" t="s">
        <v>436</v>
      </c>
      <c r="X375" s="41">
        <v>46160</v>
      </c>
      <c r="Y375" s="41">
        <v>46171</v>
      </c>
      <c r="Z375" s="43">
        <v>2240</v>
      </c>
      <c r="AA375" s="45">
        <f>IF(M375&lt;&gt;"",M375,Z375)</f>
        <v>2240</v>
      </c>
      <c r="AB375" s="46" t="str">
        <f>IF(L375&lt;&gt;"","Realizado","Previsto")</f>
        <v>Previsto</v>
      </c>
      <c r="AC375" s="47">
        <v>0.5</v>
      </c>
      <c r="AD375" s="43">
        <v>4480</v>
      </c>
      <c r="AE375" s="39">
        <v>64</v>
      </c>
      <c r="AF375" s="39" t="s">
        <v>87</v>
      </c>
      <c r="AG375" s="43">
        <v>70</v>
      </c>
      <c r="AH375" s="39" t="s">
        <v>382</v>
      </c>
      <c r="AI375" s="39" t="s">
        <v>73</v>
      </c>
      <c r="AJ375" s="48">
        <f>IF(Q375&lt;&gt;"",Q375,IF(K375&lt;&gt;"",K375,""))</f>
        <v>46171</v>
      </c>
      <c r="AK375" s="46" t="str">
        <f>IF(K375&lt;&gt;"","Sim","")</f>
        <v>Sim</v>
      </c>
      <c r="AL375" s="46" t="str">
        <f>IF(A375="","",TEXT(A375,"000000")&amp;"-"&amp;IF(C375="Entrada","CR","DB"))</f>
        <v>000374-DB</v>
      </c>
      <c r="AM375" s="46" t="str">
        <f>IF(A375="","",LEFT(IF(H375&lt;&gt;"",H375,G375)&amp;" | "&amp;G375&amp;" | "&amp;S375,60))</f>
        <v xml:space="preserve">Soleira em basalto  0,84 x 0,125 x 0,02 - cozinha | Soleira </v>
      </c>
    </row>
    <row r="376" spans="1:39" ht="43.2" x14ac:dyDescent="0.3">
      <c r="A376" s="39">
        <v>375</v>
      </c>
      <c r="B376" s="39" t="s">
        <v>2</v>
      </c>
      <c r="C376" s="39" t="s">
        <v>74</v>
      </c>
      <c r="D376" s="39" t="s">
        <v>259</v>
      </c>
      <c r="E376" s="39" t="s">
        <v>260</v>
      </c>
      <c r="F376" s="39" t="s">
        <v>281</v>
      </c>
      <c r="G376" s="39" t="s">
        <v>383</v>
      </c>
      <c r="H376" s="40"/>
      <c r="I376" s="40"/>
      <c r="J376" s="40"/>
      <c r="K376" s="42">
        <v>46171</v>
      </c>
      <c r="L376" s="42"/>
      <c r="M376" s="44"/>
      <c r="N376" s="40"/>
      <c r="O376" s="40"/>
      <c r="P376" s="40"/>
      <c r="Q376" s="42">
        <f>IF(K376="","",K376)</f>
        <v>46171</v>
      </c>
      <c r="R376" s="39" t="s">
        <v>259</v>
      </c>
      <c r="S376" s="39" t="s">
        <v>262</v>
      </c>
      <c r="T376" s="39" t="s">
        <v>381</v>
      </c>
      <c r="U376" s="39" t="s">
        <v>275</v>
      </c>
      <c r="V376" s="39">
        <v>124</v>
      </c>
      <c r="W376" s="39" t="s">
        <v>436</v>
      </c>
      <c r="X376" s="41">
        <v>46160</v>
      </c>
      <c r="Y376" s="41">
        <v>46171</v>
      </c>
      <c r="Z376" s="43">
        <v>2240</v>
      </c>
      <c r="AA376" s="45">
        <f>IF(M376&lt;&gt;"",M376,Z376)</f>
        <v>2240</v>
      </c>
      <c r="AB376" s="46" t="str">
        <f>IF(L376&lt;&gt;"","Realizado","Previsto")</f>
        <v>Previsto</v>
      </c>
      <c r="AC376" s="47">
        <v>0.5</v>
      </c>
      <c r="AD376" s="43">
        <v>4480</v>
      </c>
      <c r="AE376" s="39">
        <v>64</v>
      </c>
      <c r="AF376" s="39" t="s">
        <v>87</v>
      </c>
      <c r="AG376" s="43">
        <v>70</v>
      </c>
      <c r="AH376" s="39" t="s">
        <v>382</v>
      </c>
      <c r="AI376" s="39" t="s">
        <v>73</v>
      </c>
      <c r="AJ376" s="48">
        <f>IF(Q376&lt;&gt;"",Q376,IF(K376&lt;&gt;"",K376,""))</f>
        <v>46171</v>
      </c>
      <c r="AK376" s="46" t="str">
        <f>IF(K376&lt;&gt;"","Sim","")</f>
        <v>Sim</v>
      </c>
      <c r="AL376" s="46" t="str">
        <f>IF(A376="","",TEXT(A376,"000000")&amp;"-"&amp;IF(C376="Entrada","CR","DB"))</f>
        <v>000375-DB</v>
      </c>
      <c r="AM376" s="46" t="str">
        <f>IF(A376="","",LEFT(IF(H376&lt;&gt;"",H376,G376)&amp;" | "&amp;G376&amp;" | "&amp;S376,60))</f>
        <v xml:space="preserve">Soleira em basalto  0,94 x 0,125 x 0,02 - entrada | Soleira </v>
      </c>
    </row>
    <row r="377" spans="1:39" ht="43.2" x14ac:dyDescent="0.3">
      <c r="A377" s="39">
        <v>376</v>
      </c>
      <c r="B377" s="39" t="s">
        <v>2</v>
      </c>
      <c r="C377" s="39" t="s">
        <v>74</v>
      </c>
      <c r="D377" s="39" t="s">
        <v>266</v>
      </c>
      <c r="E377" s="39" t="s">
        <v>267</v>
      </c>
      <c r="F377" s="39" t="s">
        <v>109</v>
      </c>
      <c r="G377" s="39" t="s">
        <v>268</v>
      </c>
      <c r="H377" s="40"/>
      <c r="I377" s="40"/>
      <c r="J377" s="40"/>
      <c r="K377" s="42">
        <v>46171</v>
      </c>
      <c r="L377" s="42"/>
      <c r="M377" s="44"/>
      <c r="N377" s="40"/>
      <c r="O377" s="40"/>
      <c r="P377" s="40"/>
      <c r="Q377" s="42">
        <f>IF(K377="","",K377)</f>
        <v>46171</v>
      </c>
      <c r="R377" s="39" t="s">
        <v>266</v>
      </c>
      <c r="S377" s="39" t="s">
        <v>269</v>
      </c>
      <c r="T377" s="39" t="s">
        <v>270</v>
      </c>
      <c r="U377" s="39" t="s">
        <v>215</v>
      </c>
      <c r="V377" s="39">
        <v>163</v>
      </c>
      <c r="W377" s="39" t="s">
        <v>436</v>
      </c>
      <c r="X377" s="41">
        <v>46160</v>
      </c>
      <c r="Y377" s="41">
        <v>46171</v>
      </c>
      <c r="Z377" s="43">
        <v>10152.9776</v>
      </c>
      <c r="AA377" s="45">
        <f>IF(M377&lt;&gt;"",M377,Z377)</f>
        <v>10152.9776</v>
      </c>
      <c r="AB377" s="46" t="str">
        <f>IF(L377&lt;&gt;"","Realizado","Previsto")</f>
        <v>Previsto</v>
      </c>
      <c r="AC377" s="47">
        <v>0.2225</v>
      </c>
      <c r="AD377" s="43">
        <v>45631.360000000001</v>
      </c>
      <c r="AE377" s="39">
        <v>5564.8</v>
      </c>
      <c r="AF377" s="39" t="s">
        <v>203</v>
      </c>
      <c r="AG377" s="43">
        <v>8.1999999999999993</v>
      </c>
      <c r="AH377" s="39" t="s">
        <v>271</v>
      </c>
      <c r="AI377" s="39" t="s">
        <v>73</v>
      </c>
      <c r="AJ377" s="48">
        <f>IF(Q377&lt;&gt;"",Q377,IF(K377&lt;&gt;"",K377,""))</f>
        <v>46171</v>
      </c>
      <c r="AK377" s="46" t="str">
        <f>IF(K377&lt;&gt;"","Sim","")</f>
        <v>Sim</v>
      </c>
      <c r="AL377" s="46" t="str">
        <f>IF(A377="","",TEXT(A377,"000000")&amp;"-"&amp;IF(C377="Entrada","CR","DB"))</f>
        <v>000376-DB</v>
      </c>
      <c r="AM377" s="46" t="str">
        <f>IF(A377="","",LEFT(IF(H377&lt;&gt;"",H377,G377)&amp;" | "&amp;G377&amp;" | "&amp;S377,60))</f>
        <v>Mao de obra terceirizada Textura externa | Mao de obra terce</v>
      </c>
    </row>
    <row r="378" spans="1:39" ht="43.2" x14ac:dyDescent="0.3">
      <c r="A378" s="39">
        <v>377</v>
      </c>
      <c r="B378" s="39" t="s">
        <v>2</v>
      </c>
      <c r="C378" s="39" t="s">
        <v>74</v>
      </c>
      <c r="D378" s="39" t="s">
        <v>266</v>
      </c>
      <c r="E378" s="39" t="s">
        <v>267</v>
      </c>
      <c r="F378" s="39" t="s">
        <v>324</v>
      </c>
      <c r="G378" s="39" t="s">
        <v>384</v>
      </c>
      <c r="H378" s="40"/>
      <c r="I378" s="40"/>
      <c r="J378" s="40"/>
      <c r="K378" s="42">
        <v>46171</v>
      </c>
      <c r="L378" s="42"/>
      <c r="M378" s="44"/>
      <c r="N378" s="40"/>
      <c r="O378" s="40"/>
      <c r="P378" s="40"/>
      <c r="Q378" s="42">
        <f>IF(K378="","",K378)</f>
        <v>46171</v>
      </c>
      <c r="R378" s="39" t="s">
        <v>266</v>
      </c>
      <c r="S378" s="39" t="s">
        <v>269</v>
      </c>
      <c r="T378" s="39" t="s">
        <v>385</v>
      </c>
      <c r="U378" s="39" t="s">
        <v>275</v>
      </c>
      <c r="V378" s="39">
        <v>162</v>
      </c>
      <c r="W378" s="39" t="s">
        <v>436</v>
      </c>
      <c r="X378" s="41">
        <v>46160</v>
      </c>
      <c r="Y378" s="41">
        <v>46171</v>
      </c>
      <c r="Z378" s="43">
        <v>24000</v>
      </c>
      <c r="AA378" s="45">
        <f>IF(M378&lt;&gt;"",M378,Z378)</f>
        <v>24000</v>
      </c>
      <c r="AB378" s="46" t="str">
        <f>IF(L378&lt;&gt;"","Realizado","Previsto")</f>
        <v>Previsto</v>
      </c>
      <c r="AC378" s="47">
        <v>0.5</v>
      </c>
      <c r="AD378" s="43">
        <v>48000</v>
      </c>
      <c r="AE378" s="39">
        <v>640</v>
      </c>
      <c r="AF378" s="39" t="s">
        <v>330</v>
      </c>
      <c r="AG378" s="43">
        <v>75</v>
      </c>
      <c r="AH378" s="39" t="s">
        <v>386</v>
      </c>
      <c r="AI378" s="39" t="s">
        <v>73</v>
      </c>
      <c r="AJ378" s="48">
        <f>IF(Q378&lt;&gt;"",Q378,IF(K378&lt;&gt;"",K378,""))</f>
        <v>46171</v>
      </c>
      <c r="AK378" s="46" t="str">
        <f>IF(K378&lt;&gt;"","Sim","")</f>
        <v>Sim</v>
      </c>
      <c r="AL378" s="46" t="str">
        <f>IF(A378="","",TEXT(A378,"000000")&amp;"-"&amp;IF(C378="Entrada","CR","DB"))</f>
        <v>000377-DB</v>
      </c>
      <c r="AM378" s="46" t="str">
        <f>IF(A378="","",LEFT(IF(H378&lt;&gt;"",H378,G378)&amp;" | "&amp;G378&amp;" | "&amp;S378,60))</f>
        <v xml:space="preserve">Textura elastomerica na cor | Textura elastomerica na cor | </v>
      </c>
    </row>
    <row r="379" spans="1:39" ht="43.2" x14ac:dyDescent="0.3">
      <c r="A379" s="39">
        <v>378</v>
      </c>
      <c r="B379" s="39" t="s">
        <v>2</v>
      </c>
      <c r="C379" s="39" t="s">
        <v>66</v>
      </c>
      <c r="D379" s="39" t="s">
        <v>67</v>
      </c>
      <c r="E379" s="39" t="s">
        <v>67</v>
      </c>
      <c r="F379" s="39" t="s">
        <v>68</v>
      </c>
      <c r="G379" s="39" t="s">
        <v>69</v>
      </c>
      <c r="H379" s="40"/>
      <c r="I379" s="40"/>
      <c r="J379" s="40"/>
      <c r="K379" s="42">
        <v>46185</v>
      </c>
      <c r="L379" s="42"/>
      <c r="M379" s="44"/>
      <c r="N379" s="40"/>
      <c r="O379" s="40"/>
      <c r="P379" s="40"/>
      <c r="Q379" s="42">
        <f>IF(K379="","",K379)</f>
        <v>46185</v>
      </c>
      <c r="R379" s="39" t="s">
        <v>69</v>
      </c>
      <c r="S379" s="39" t="s">
        <v>70</v>
      </c>
      <c r="T379" s="39" t="s">
        <v>71</v>
      </c>
      <c r="U379" s="39"/>
      <c r="V379" s="39">
        <v>283</v>
      </c>
      <c r="W379" s="39" t="s">
        <v>495</v>
      </c>
      <c r="X379" s="41">
        <v>46174</v>
      </c>
      <c r="Y379" s="41">
        <v>46185</v>
      </c>
      <c r="Z379" s="43">
        <v>1842453.5438079999</v>
      </c>
      <c r="AA379" s="45">
        <f>IF(M379&lt;&gt;"",M379,Z379)</f>
        <v>1842453.5438079999</v>
      </c>
      <c r="AB379" s="46" t="str">
        <f>IF(L379&lt;&gt;"","Realizado","Previsto")</f>
        <v>Previsto</v>
      </c>
      <c r="AC379" s="47"/>
      <c r="AD379" s="43">
        <v>8079999.9191039996</v>
      </c>
      <c r="AE379" s="39"/>
      <c r="AF379" s="39"/>
      <c r="AG379" s="43"/>
      <c r="AH379" s="39"/>
      <c r="AI379" s="39" t="s">
        <v>73</v>
      </c>
      <c r="AJ379" s="48">
        <f>IF(Q379&lt;&gt;"",Q379,IF(K379&lt;&gt;"",K379,""))</f>
        <v>46185</v>
      </c>
      <c r="AK379" s="46" t="str">
        <f>IF(K379&lt;&gt;"","Sim","")</f>
        <v>Sim</v>
      </c>
      <c r="AL379" s="46" t="str">
        <f>IF(A379="","",TEXT(A379,"000000")&amp;"-"&amp;IF(C379="Entrada","CR","DB"))</f>
        <v>000378-CR</v>
      </c>
      <c r="AM379" s="46" t="str">
        <f>IF(A379="","",LEFT(IF(H379&lt;&gt;"",H379,G379)&amp;" | "&amp;G379&amp;" | "&amp;S379,60))</f>
        <v xml:space="preserve">MEDIÇÃO CONTRATUAL | MEDIÇÃO CONTRATUAL | Entrada | MEDIÇÃO </v>
      </c>
    </row>
    <row r="380" spans="1:39" ht="43.2" x14ac:dyDescent="0.3">
      <c r="A380" s="39">
        <v>379</v>
      </c>
      <c r="B380" s="39" t="s">
        <v>2</v>
      </c>
      <c r="C380" s="39" t="s">
        <v>74</v>
      </c>
      <c r="D380" s="39" t="s">
        <v>211</v>
      </c>
      <c r="E380" s="39" t="s">
        <v>211</v>
      </c>
      <c r="F380" s="39" t="s">
        <v>109</v>
      </c>
      <c r="G380" s="39" t="s">
        <v>212</v>
      </c>
      <c r="H380" s="40"/>
      <c r="I380" s="40"/>
      <c r="J380" s="40"/>
      <c r="K380" s="42">
        <v>46185</v>
      </c>
      <c r="L380" s="42"/>
      <c r="M380" s="44"/>
      <c r="N380" s="40"/>
      <c r="O380" s="40"/>
      <c r="P380" s="40"/>
      <c r="Q380" s="42">
        <f>IF(K380="","",K380)</f>
        <v>46185</v>
      </c>
      <c r="R380" s="39" t="s">
        <v>211</v>
      </c>
      <c r="S380" s="39" t="s">
        <v>213</v>
      </c>
      <c r="T380" s="39" t="s">
        <v>214</v>
      </c>
      <c r="U380" s="39" t="s">
        <v>215</v>
      </c>
      <c r="V380" s="39">
        <v>115</v>
      </c>
      <c r="W380" s="39" t="s">
        <v>495</v>
      </c>
      <c r="X380" s="41">
        <v>46174</v>
      </c>
      <c r="Y380" s="41">
        <v>46185</v>
      </c>
      <c r="Z380" s="43">
        <v>20284.488000000001</v>
      </c>
      <c r="AA380" s="45">
        <f>IF(M380&lt;&gt;"",M380,Z380)</f>
        <v>20284.488000000001</v>
      </c>
      <c r="AB380" s="46" t="str">
        <f>IF(L380&lt;&gt;"","Realizado","Previsto")</f>
        <v>Previsto</v>
      </c>
      <c r="AC380" s="47">
        <v>0.25305</v>
      </c>
      <c r="AD380" s="43">
        <v>80160</v>
      </c>
      <c r="AE380" s="39">
        <v>1603.2</v>
      </c>
      <c r="AF380" s="39" t="s">
        <v>203</v>
      </c>
      <c r="AG380" s="43">
        <v>50</v>
      </c>
      <c r="AH380" s="39" t="s">
        <v>216</v>
      </c>
      <c r="AI380" s="39" t="s">
        <v>73</v>
      </c>
      <c r="AJ380" s="48">
        <f>IF(Q380&lt;&gt;"",Q380,IF(K380&lt;&gt;"",K380,""))</f>
        <v>46185</v>
      </c>
      <c r="AK380" s="46" t="str">
        <f>IF(K380&lt;&gt;"","Sim","")</f>
        <v>Sim</v>
      </c>
      <c r="AL380" s="46" t="str">
        <f>IF(A380="","",TEXT(A380,"000000")&amp;"-"&amp;IF(C380="Entrada","CR","DB"))</f>
        <v>000379-DB</v>
      </c>
      <c r="AM380" s="46" t="str">
        <f>IF(A380="","",LEFT(IF(H380&lt;&gt;"",H380,G380)&amp;" | "&amp;G380&amp;" | "&amp;S380,60))</f>
        <v xml:space="preserve">Mao de obra terceirizada assentamento Azulejo | Mao de obra </v>
      </c>
    </row>
    <row r="381" spans="1:39" ht="43.2" x14ac:dyDescent="0.3">
      <c r="A381" s="39">
        <v>380</v>
      </c>
      <c r="B381" s="39" t="s">
        <v>2</v>
      </c>
      <c r="C381" s="39" t="s">
        <v>74</v>
      </c>
      <c r="D381" s="39" t="s">
        <v>217</v>
      </c>
      <c r="E381" s="39" t="s">
        <v>217</v>
      </c>
      <c r="F381" s="39" t="s">
        <v>109</v>
      </c>
      <c r="G381" s="39" t="s">
        <v>218</v>
      </c>
      <c r="H381" s="40"/>
      <c r="I381" s="40"/>
      <c r="J381" s="40"/>
      <c r="K381" s="42">
        <v>46185</v>
      </c>
      <c r="L381" s="42"/>
      <c r="M381" s="44"/>
      <c r="N381" s="40"/>
      <c r="O381" s="40"/>
      <c r="P381" s="40"/>
      <c r="Q381" s="42">
        <f>IF(K381="","",K381)</f>
        <v>46185</v>
      </c>
      <c r="R381" s="39" t="s">
        <v>217</v>
      </c>
      <c r="S381" s="39" t="s">
        <v>219</v>
      </c>
      <c r="T381" s="39" t="s">
        <v>220</v>
      </c>
      <c r="U381" s="39" t="s">
        <v>215</v>
      </c>
      <c r="V381" s="39">
        <v>101</v>
      </c>
      <c r="W381" s="39" t="s">
        <v>495</v>
      </c>
      <c r="X381" s="41">
        <v>46174</v>
      </c>
      <c r="Y381" s="41">
        <v>46185</v>
      </c>
      <c r="Z381" s="43">
        <v>13280.064</v>
      </c>
      <c r="AA381" s="45">
        <f>IF(M381&lt;&gt;"",M381,Z381)</f>
        <v>13280.064</v>
      </c>
      <c r="AB381" s="46" t="str">
        <f>IF(L381&lt;&gt;"","Realizado","Previsto")</f>
        <v>Previsto</v>
      </c>
      <c r="AC381" s="47">
        <v>0.25305</v>
      </c>
      <c r="AD381" s="43">
        <v>52480</v>
      </c>
      <c r="AE381" s="39">
        <v>64</v>
      </c>
      <c r="AF381" s="39" t="s">
        <v>113</v>
      </c>
      <c r="AG381" s="43">
        <v>820</v>
      </c>
      <c r="AH381" s="39" t="s">
        <v>221</v>
      </c>
      <c r="AI381" s="39" t="s">
        <v>73</v>
      </c>
      <c r="AJ381" s="48">
        <f>IF(Q381&lt;&gt;"",Q381,IF(K381&lt;&gt;"",K381,""))</f>
        <v>46185</v>
      </c>
      <c r="AK381" s="46" t="str">
        <f>IF(K381&lt;&gt;"","Sim","")</f>
        <v>Sim</v>
      </c>
      <c r="AL381" s="46" t="str">
        <f>IF(A381="","",TEXT(A381,"000000")&amp;"-"&amp;IF(C381="Entrada","CR","DB"))</f>
        <v>000380-DB</v>
      </c>
      <c r="AM381" s="46" t="str">
        <f>IF(A381="","",LEFT(IF(H381&lt;&gt;"",H381,G381)&amp;" | "&amp;G381&amp;" | "&amp;S381,60))</f>
        <v>MO Terceirizada Caixas de inspecao e gordura | MO Terceiriza</v>
      </c>
    </row>
    <row r="382" spans="1:39" ht="43.2" x14ac:dyDescent="0.3">
      <c r="A382" s="39">
        <v>381</v>
      </c>
      <c r="B382" s="39" t="s">
        <v>2</v>
      </c>
      <c r="C382" s="39" t="s">
        <v>74</v>
      </c>
      <c r="D382" s="39" t="s">
        <v>217</v>
      </c>
      <c r="E382" s="39" t="s">
        <v>217</v>
      </c>
      <c r="F382" s="39" t="s">
        <v>132</v>
      </c>
      <c r="G382" s="39" t="s">
        <v>396</v>
      </c>
      <c r="H382" s="40"/>
      <c r="I382" s="40"/>
      <c r="J382" s="40"/>
      <c r="K382" s="42">
        <v>46185</v>
      </c>
      <c r="L382" s="42"/>
      <c r="M382" s="44"/>
      <c r="N382" s="40"/>
      <c r="O382" s="40"/>
      <c r="P382" s="40"/>
      <c r="Q382" s="42">
        <f>IF(K382="","",K382)</f>
        <v>46185</v>
      </c>
      <c r="R382" s="39" t="s">
        <v>217</v>
      </c>
      <c r="S382" s="39" t="s">
        <v>219</v>
      </c>
      <c r="T382" s="39" t="s">
        <v>397</v>
      </c>
      <c r="U382" s="39" t="s">
        <v>309</v>
      </c>
      <c r="V382" s="39">
        <v>97</v>
      </c>
      <c r="W382" s="39" t="s">
        <v>495</v>
      </c>
      <c r="X382" s="41">
        <v>46174</v>
      </c>
      <c r="Y382" s="41">
        <v>46185</v>
      </c>
      <c r="Z382" s="43">
        <v>4264.5504000000001</v>
      </c>
      <c r="AA382" s="45">
        <f>IF(M382&lt;&gt;"",M382,Z382)</f>
        <v>4264.5504000000001</v>
      </c>
      <c r="AB382" s="46" t="str">
        <f>IF(L382&lt;&gt;"","Realizado","Previsto")</f>
        <v>Previsto</v>
      </c>
      <c r="AC382" s="47">
        <v>0.33</v>
      </c>
      <c r="AD382" s="43">
        <v>12922.88</v>
      </c>
      <c r="AE382" s="39">
        <v>807.68</v>
      </c>
      <c r="AF382" s="39" t="s">
        <v>155</v>
      </c>
      <c r="AG382" s="43">
        <v>16</v>
      </c>
      <c r="AH382" s="39" t="s">
        <v>398</v>
      </c>
      <c r="AI382" s="39" t="s">
        <v>73</v>
      </c>
      <c r="AJ382" s="48">
        <f>IF(Q382&lt;&gt;"",Q382,IF(K382&lt;&gt;"",K382,""))</f>
        <v>46185</v>
      </c>
      <c r="AK382" s="46" t="str">
        <f>IF(K382&lt;&gt;"","Sim","")</f>
        <v>Sim</v>
      </c>
      <c r="AL382" s="46" t="str">
        <f>IF(A382="","",TEXT(A382,"000000")&amp;"-"&amp;IF(C382="Entrada","CR","DB"))</f>
        <v>000381-DB</v>
      </c>
      <c r="AM382" s="46" t="str">
        <f>IF(A382="","",LEFT(IF(H382&lt;&gt;"",H382,G382)&amp;" | "&amp;G382&amp;" | "&amp;S382,60))</f>
        <v>Tubo pvc 100mm - Rede de Esgoto | Tubo pvc 100mm - Rede de E</v>
      </c>
    </row>
    <row r="383" spans="1:39" ht="43.2" x14ac:dyDescent="0.3">
      <c r="A383" s="39">
        <v>382</v>
      </c>
      <c r="B383" s="39" t="s">
        <v>2</v>
      </c>
      <c r="C383" s="39" t="s">
        <v>74</v>
      </c>
      <c r="D383" s="39" t="s">
        <v>217</v>
      </c>
      <c r="E383" s="39" t="s">
        <v>217</v>
      </c>
      <c r="F383" s="39" t="s">
        <v>132</v>
      </c>
      <c r="G383" s="39" t="s">
        <v>399</v>
      </c>
      <c r="H383" s="40"/>
      <c r="I383" s="40"/>
      <c r="J383" s="40"/>
      <c r="K383" s="42">
        <v>46185</v>
      </c>
      <c r="L383" s="42"/>
      <c r="M383" s="44"/>
      <c r="N383" s="40"/>
      <c r="O383" s="40"/>
      <c r="P383" s="40"/>
      <c r="Q383" s="42">
        <f>IF(K383="","",K383)</f>
        <v>46185</v>
      </c>
      <c r="R383" s="39" t="s">
        <v>217</v>
      </c>
      <c r="S383" s="39" t="s">
        <v>219</v>
      </c>
      <c r="T383" s="39" t="s">
        <v>397</v>
      </c>
      <c r="U383" s="39" t="s">
        <v>309</v>
      </c>
      <c r="V383" s="39">
        <v>99</v>
      </c>
      <c r="W383" s="39" t="s">
        <v>495</v>
      </c>
      <c r="X383" s="41">
        <v>46174</v>
      </c>
      <c r="Y383" s="41">
        <v>46185</v>
      </c>
      <c r="Z383" s="43">
        <v>204.71616</v>
      </c>
      <c r="AA383" s="45">
        <f>IF(M383&lt;&gt;"",M383,Z383)</f>
        <v>204.71616</v>
      </c>
      <c r="AB383" s="46" t="str">
        <f>IF(L383&lt;&gt;"","Realizado","Previsto")</f>
        <v>Previsto</v>
      </c>
      <c r="AC383" s="47">
        <v>0.33</v>
      </c>
      <c r="AD383" s="43">
        <v>620.35199999999998</v>
      </c>
      <c r="AE383" s="39">
        <v>172.8</v>
      </c>
      <c r="AF383" s="39" t="s">
        <v>155</v>
      </c>
      <c r="AG383" s="43">
        <v>3.59</v>
      </c>
      <c r="AH383" s="39" t="s">
        <v>398</v>
      </c>
      <c r="AI383" s="39" t="s">
        <v>73</v>
      </c>
      <c r="AJ383" s="48">
        <f>IF(Q383&lt;&gt;"",Q383,IF(K383&lt;&gt;"",K383,""))</f>
        <v>46185</v>
      </c>
      <c r="AK383" s="46" t="str">
        <f>IF(K383&lt;&gt;"","Sim","")</f>
        <v>Sim</v>
      </c>
      <c r="AL383" s="46" t="str">
        <f>IF(A383="","",TEXT(A383,"000000")&amp;"-"&amp;IF(C383="Entrada","CR","DB"))</f>
        <v>000382-DB</v>
      </c>
      <c r="AM383" s="46" t="str">
        <f>IF(A383="","",LEFT(IF(H383&lt;&gt;"",H383,G383)&amp;" | "&amp;G383&amp;" | "&amp;S383,60))</f>
        <v>Tubo pvc 40mm - Rede de Esgoto | Tubo pvc 40mm - Rede de Esg</v>
      </c>
    </row>
    <row r="384" spans="1:39" ht="43.2" x14ac:dyDescent="0.3">
      <c r="A384" s="39">
        <v>383</v>
      </c>
      <c r="B384" s="39" t="s">
        <v>2</v>
      </c>
      <c r="C384" s="39" t="s">
        <v>74</v>
      </c>
      <c r="D384" s="39" t="s">
        <v>217</v>
      </c>
      <c r="E384" s="39" t="s">
        <v>217</v>
      </c>
      <c r="F384" s="39" t="s">
        <v>132</v>
      </c>
      <c r="G384" s="39" t="s">
        <v>400</v>
      </c>
      <c r="H384" s="40"/>
      <c r="I384" s="40"/>
      <c r="J384" s="40"/>
      <c r="K384" s="42">
        <v>46185</v>
      </c>
      <c r="L384" s="42"/>
      <c r="M384" s="44"/>
      <c r="N384" s="40"/>
      <c r="O384" s="40"/>
      <c r="P384" s="40"/>
      <c r="Q384" s="42">
        <f>IF(K384="","",K384)</f>
        <v>46185</v>
      </c>
      <c r="R384" s="39" t="s">
        <v>217</v>
      </c>
      <c r="S384" s="39" t="s">
        <v>219</v>
      </c>
      <c r="T384" s="39" t="s">
        <v>397</v>
      </c>
      <c r="U384" s="39" t="s">
        <v>309</v>
      </c>
      <c r="V384" s="39">
        <v>98</v>
      </c>
      <c r="W384" s="39" t="s">
        <v>495</v>
      </c>
      <c r="X384" s="41">
        <v>46174</v>
      </c>
      <c r="Y384" s="41">
        <v>46185</v>
      </c>
      <c r="Z384" s="43">
        <v>215.93088</v>
      </c>
      <c r="AA384" s="45">
        <f>IF(M384&lt;&gt;"",M384,Z384)</f>
        <v>215.93088</v>
      </c>
      <c r="AB384" s="46" t="str">
        <f>IF(L384&lt;&gt;"","Realizado","Previsto")</f>
        <v>Previsto</v>
      </c>
      <c r="AC384" s="47">
        <v>0.33</v>
      </c>
      <c r="AD384" s="43">
        <v>654.33600000000001</v>
      </c>
      <c r="AE384" s="39">
        <v>115.2</v>
      </c>
      <c r="AF384" s="39" t="s">
        <v>155</v>
      </c>
      <c r="AG384" s="43">
        <v>5.68</v>
      </c>
      <c r="AH384" s="39" t="s">
        <v>398</v>
      </c>
      <c r="AI384" s="39" t="s">
        <v>73</v>
      </c>
      <c r="AJ384" s="48">
        <f>IF(Q384&lt;&gt;"",Q384,IF(K384&lt;&gt;"",K384,""))</f>
        <v>46185</v>
      </c>
      <c r="AK384" s="46" t="str">
        <f>IF(K384&lt;&gt;"","Sim","")</f>
        <v>Sim</v>
      </c>
      <c r="AL384" s="46" t="str">
        <f>IF(A384="","",TEXT(A384,"000000")&amp;"-"&amp;IF(C384="Entrada","CR","DB"))</f>
        <v>000383-DB</v>
      </c>
      <c r="AM384" s="46" t="str">
        <f>IF(A384="","",LEFT(IF(H384&lt;&gt;"",H384,G384)&amp;" | "&amp;G384&amp;" | "&amp;S384,60))</f>
        <v>Tubo pvc 50mm - Rede de Esgoto | Tubo pvc 50mm - Rede de Esg</v>
      </c>
    </row>
    <row r="385" spans="1:39" ht="43.2" x14ac:dyDescent="0.3">
      <c r="A385" s="39">
        <v>384</v>
      </c>
      <c r="B385" s="39" t="s">
        <v>2</v>
      </c>
      <c r="C385" s="39" t="s">
        <v>74</v>
      </c>
      <c r="D385" s="39" t="s">
        <v>437</v>
      </c>
      <c r="E385" s="39" t="s">
        <v>437</v>
      </c>
      <c r="F385" s="39" t="s">
        <v>178</v>
      </c>
      <c r="G385" s="39" t="s">
        <v>438</v>
      </c>
      <c r="H385" s="40"/>
      <c r="I385" s="40"/>
      <c r="J385" s="40"/>
      <c r="K385" s="42">
        <v>46185</v>
      </c>
      <c r="L385" s="42"/>
      <c r="M385" s="44"/>
      <c r="N385" s="40"/>
      <c r="O385" s="40"/>
      <c r="P385" s="40"/>
      <c r="Q385" s="42">
        <f>IF(K385="","",K385)</f>
        <v>46185</v>
      </c>
      <c r="R385" s="39" t="s">
        <v>437</v>
      </c>
      <c r="S385" s="39" t="s">
        <v>439</v>
      </c>
      <c r="T385" s="39" t="s">
        <v>440</v>
      </c>
      <c r="U385" s="39" t="s">
        <v>309</v>
      </c>
      <c r="V385" s="39">
        <v>241</v>
      </c>
      <c r="W385" s="39" t="s">
        <v>495</v>
      </c>
      <c r="X385" s="41">
        <v>46174</v>
      </c>
      <c r="Y385" s="41">
        <v>46185</v>
      </c>
      <c r="Z385" s="43">
        <v>6240</v>
      </c>
      <c r="AA385" s="45">
        <f>IF(M385&lt;&gt;"",M385,Z385)</f>
        <v>6240</v>
      </c>
      <c r="AB385" s="46" t="str">
        <f>IF(L385&lt;&gt;"","Realizado","Previsto")</f>
        <v>Previsto</v>
      </c>
      <c r="AC385" s="47">
        <v>0.5</v>
      </c>
      <c r="AD385" s="43">
        <v>12480</v>
      </c>
      <c r="AE385" s="39">
        <v>96</v>
      </c>
      <c r="AF385" s="39" t="s">
        <v>182</v>
      </c>
      <c r="AG385" s="43">
        <v>130</v>
      </c>
      <c r="AH385" s="39" t="s">
        <v>441</v>
      </c>
      <c r="AI385" s="39" t="s">
        <v>73</v>
      </c>
      <c r="AJ385" s="48">
        <f>IF(Q385&lt;&gt;"",Q385,IF(K385&lt;&gt;"",K385,""))</f>
        <v>46185</v>
      </c>
      <c r="AK385" s="46" t="str">
        <f>IF(K385&lt;&gt;"","Sim","")</f>
        <v>Sim</v>
      </c>
      <c r="AL385" s="46" t="str">
        <f>IF(A385="","",TEXT(A385,"000000")&amp;"-"&amp;IF(C385="Entrada","CR","DB"))</f>
        <v>000384-DB</v>
      </c>
      <c r="AM385" s="46" t="str">
        <f>IF(A385="","",LEFT(IF(H385&lt;&gt;"",H385,G385)&amp;" | "&amp;G385&amp;" | "&amp;S385,60))</f>
        <v>Brita 01 para espalhamento | Brita 01 para espalhamento | Sa</v>
      </c>
    </row>
    <row r="386" spans="1:39" ht="43.2" x14ac:dyDescent="0.3">
      <c r="A386" s="39">
        <v>385</v>
      </c>
      <c r="B386" s="39" t="s">
        <v>2</v>
      </c>
      <c r="C386" s="39" t="s">
        <v>74</v>
      </c>
      <c r="D386" s="39" t="s">
        <v>437</v>
      </c>
      <c r="E386" s="39" t="s">
        <v>437</v>
      </c>
      <c r="F386" s="39" t="s">
        <v>109</v>
      </c>
      <c r="G386" s="39" t="s">
        <v>442</v>
      </c>
      <c r="H386" s="40"/>
      <c r="I386" s="40"/>
      <c r="J386" s="40"/>
      <c r="K386" s="42">
        <v>46185</v>
      </c>
      <c r="L386" s="42"/>
      <c r="M386" s="44"/>
      <c r="N386" s="40"/>
      <c r="O386" s="40"/>
      <c r="P386" s="40"/>
      <c r="Q386" s="42">
        <f>IF(K386="","",K386)</f>
        <v>46185</v>
      </c>
      <c r="R386" s="39" t="s">
        <v>437</v>
      </c>
      <c r="S386" s="39" t="s">
        <v>439</v>
      </c>
      <c r="T386" s="39" t="s">
        <v>443</v>
      </c>
      <c r="U386" s="39" t="s">
        <v>215</v>
      </c>
      <c r="V386" s="39">
        <v>242</v>
      </c>
      <c r="W386" s="39" t="s">
        <v>495</v>
      </c>
      <c r="X386" s="41">
        <v>46174</v>
      </c>
      <c r="Y386" s="41">
        <v>46185</v>
      </c>
      <c r="Z386" s="43">
        <v>3001.6</v>
      </c>
      <c r="AA386" s="45">
        <f>IF(M386&lt;&gt;"",M386,Z386)</f>
        <v>3001.6</v>
      </c>
      <c r="AB386" s="46" t="str">
        <f>IF(L386&lt;&gt;"","Realizado","Previsto")</f>
        <v>Previsto</v>
      </c>
      <c r="AC386" s="47">
        <v>9.3799999999999994E-2</v>
      </c>
      <c r="AD386" s="43">
        <v>32000</v>
      </c>
      <c r="AE386" s="39">
        <v>64</v>
      </c>
      <c r="AF386" s="39" t="s">
        <v>113</v>
      </c>
      <c r="AG386" s="43">
        <v>500</v>
      </c>
      <c r="AH386" s="39" t="s">
        <v>444</v>
      </c>
      <c r="AI386" s="39" t="s">
        <v>73</v>
      </c>
      <c r="AJ386" s="48">
        <f>IF(Q386&lt;&gt;"",Q386,IF(K386&lt;&gt;"",K386,""))</f>
        <v>46185</v>
      </c>
      <c r="AK386" s="46" t="str">
        <f>IF(K386&lt;&gt;"","Sim","")</f>
        <v>Sim</v>
      </c>
      <c r="AL386" s="46" t="str">
        <f>IF(A386="","",TEXT(A386,"000000")&amp;"-"&amp;IF(C386="Entrada","CR","DB"))</f>
        <v>000385-DB</v>
      </c>
      <c r="AM386" s="46" t="str">
        <f>IF(A386="","",LEFT(IF(H386&lt;&gt;"",H386,G386)&amp;" | "&amp;G386&amp;" | "&amp;S386,60))</f>
        <v>Mao de obra calçada acesso | Mao de obra calçada acesso | Sa</v>
      </c>
    </row>
    <row r="387" spans="1:39" ht="43.2" x14ac:dyDescent="0.3">
      <c r="A387" s="39">
        <v>386</v>
      </c>
      <c r="B387" s="39" t="s">
        <v>2</v>
      </c>
      <c r="C387" s="39" t="s">
        <v>74</v>
      </c>
      <c r="D387" s="39" t="s">
        <v>437</v>
      </c>
      <c r="E387" s="39" t="s">
        <v>437</v>
      </c>
      <c r="F387" s="39" t="s">
        <v>167</v>
      </c>
      <c r="G387" s="39" t="s">
        <v>445</v>
      </c>
      <c r="H387" s="40"/>
      <c r="I387" s="40"/>
      <c r="J387" s="40"/>
      <c r="K387" s="42">
        <v>46185</v>
      </c>
      <c r="L387" s="42"/>
      <c r="M387" s="44"/>
      <c r="N387" s="40"/>
      <c r="O387" s="40"/>
      <c r="P387" s="40"/>
      <c r="Q387" s="42">
        <f>IF(K387="","",K387)</f>
        <v>46185</v>
      </c>
      <c r="R387" s="39" t="s">
        <v>437</v>
      </c>
      <c r="S387" s="39" t="s">
        <v>439</v>
      </c>
      <c r="T387" s="39" t="s">
        <v>446</v>
      </c>
      <c r="U387" s="39" t="s">
        <v>309</v>
      </c>
      <c r="V387" s="39">
        <v>239</v>
      </c>
      <c r="W387" s="39" t="s">
        <v>495</v>
      </c>
      <c r="X387" s="41">
        <v>46174</v>
      </c>
      <c r="Y387" s="41">
        <v>46185</v>
      </c>
      <c r="Z387" s="43">
        <v>640</v>
      </c>
      <c r="AA387" s="45">
        <f>IF(M387&lt;&gt;"",M387,Z387)</f>
        <v>640</v>
      </c>
      <c r="AB387" s="46" t="str">
        <f>IF(L387&lt;&gt;"","Realizado","Previsto")</f>
        <v>Previsto</v>
      </c>
      <c r="AC387" s="47">
        <v>0.5</v>
      </c>
      <c r="AD387" s="43">
        <v>1280</v>
      </c>
      <c r="AE387" s="39">
        <v>64</v>
      </c>
      <c r="AF387" s="39" t="s">
        <v>149</v>
      </c>
      <c r="AG387" s="43">
        <v>20</v>
      </c>
      <c r="AH387" s="39" t="s">
        <v>447</v>
      </c>
      <c r="AI387" s="39" t="s">
        <v>73</v>
      </c>
      <c r="AJ387" s="48">
        <f>IF(Q387&lt;&gt;"",Q387,IF(K387&lt;&gt;"",K387,""))</f>
        <v>46185</v>
      </c>
      <c r="AK387" s="46" t="str">
        <f>IF(K387&lt;&gt;"","Sim","")</f>
        <v>Sim</v>
      </c>
      <c r="AL387" s="46" t="str">
        <f>IF(A387="","",TEXT(A387,"000000")&amp;"-"&amp;IF(C387="Entrada","CR","DB"))</f>
        <v>000386-DB</v>
      </c>
      <c r="AM387" s="46" t="str">
        <f>IF(A387="","",LEFT(IF(H387&lt;&gt;"",H387,G387)&amp;" | "&amp;G387&amp;" | "&amp;S387,60))</f>
        <v xml:space="preserve">Prego 17 x 27 cabeça simples | Prego 17 x 27 cabeça simples </v>
      </c>
    </row>
    <row r="388" spans="1:39" ht="43.2" x14ac:dyDescent="0.3">
      <c r="A388" s="39">
        <v>387</v>
      </c>
      <c r="B388" s="39" t="s">
        <v>2</v>
      </c>
      <c r="C388" s="39" t="s">
        <v>74</v>
      </c>
      <c r="D388" s="39" t="s">
        <v>437</v>
      </c>
      <c r="E388" s="39" t="s">
        <v>437</v>
      </c>
      <c r="F388" s="39" t="s">
        <v>115</v>
      </c>
      <c r="G388" s="39" t="s">
        <v>448</v>
      </c>
      <c r="H388" s="40"/>
      <c r="I388" s="40"/>
      <c r="J388" s="40"/>
      <c r="K388" s="42">
        <v>46185</v>
      </c>
      <c r="L388" s="42"/>
      <c r="M388" s="44"/>
      <c r="N388" s="40"/>
      <c r="O388" s="40"/>
      <c r="P388" s="40"/>
      <c r="Q388" s="42">
        <f>IF(K388="","",K388)</f>
        <v>46185</v>
      </c>
      <c r="R388" s="39" t="s">
        <v>437</v>
      </c>
      <c r="S388" s="39" t="s">
        <v>439</v>
      </c>
      <c r="T388" s="39" t="s">
        <v>449</v>
      </c>
      <c r="U388" s="39" t="s">
        <v>309</v>
      </c>
      <c r="V388" s="39">
        <v>237</v>
      </c>
      <c r="W388" s="39" t="s">
        <v>495</v>
      </c>
      <c r="X388" s="41">
        <v>46174</v>
      </c>
      <c r="Y388" s="41">
        <v>46185</v>
      </c>
      <c r="Z388" s="43">
        <v>1292.1600000000001</v>
      </c>
      <c r="AA388" s="45">
        <f>IF(M388&lt;&gt;"",M388,Z388)</f>
        <v>1292.1600000000001</v>
      </c>
      <c r="AB388" s="46" t="str">
        <f>IF(L388&lt;&gt;"","Realizado","Previsto")</f>
        <v>Previsto</v>
      </c>
      <c r="AC388" s="47">
        <v>0.5</v>
      </c>
      <c r="AD388" s="43">
        <v>2584.3200000000002</v>
      </c>
      <c r="AE388" s="39">
        <v>128</v>
      </c>
      <c r="AF388" s="39" t="s">
        <v>87</v>
      </c>
      <c r="AG388" s="43">
        <v>20.190000000000001</v>
      </c>
      <c r="AH388" s="39" t="s">
        <v>450</v>
      </c>
      <c r="AI388" s="39" t="s">
        <v>73</v>
      </c>
      <c r="AJ388" s="48">
        <f>IF(Q388&lt;&gt;"",Q388,IF(K388&lt;&gt;"",K388,""))</f>
        <v>46185</v>
      </c>
      <c r="AK388" s="46" t="str">
        <f>IF(K388&lt;&gt;"","Sim","")</f>
        <v>Sim</v>
      </c>
      <c r="AL388" s="46" t="str">
        <f>IF(A388="","",TEXT(A388,"000000")&amp;"-"&amp;IF(C388="Entrada","CR","DB"))</f>
        <v>000387-DB</v>
      </c>
      <c r="AM388" s="46" t="str">
        <f>IF(A388="","",LEFT(IF(H388&lt;&gt;"",H388,G388)&amp;" | "&amp;G388&amp;" | "&amp;S388,60))</f>
        <v>Sarrafo 2,5x7,5x600cm em pinus | Sarrafo 2,5x7,5x600cm em pi</v>
      </c>
    </row>
    <row r="389" spans="1:39" ht="43.2" x14ac:dyDescent="0.3">
      <c r="A389" s="39">
        <v>388</v>
      </c>
      <c r="B389" s="39" t="s">
        <v>2</v>
      </c>
      <c r="C389" s="39" t="s">
        <v>74</v>
      </c>
      <c r="D389" s="39" t="s">
        <v>437</v>
      </c>
      <c r="E389" s="39" t="s">
        <v>437</v>
      </c>
      <c r="F389" s="39" t="s">
        <v>167</v>
      </c>
      <c r="G389" s="39" t="s">
        <v>451</v>
      </c>
      <c r="H389" s="40"/>
      <c r="I389" s="40"/>
      <c r="J389" s="40"/>
      <c r="K389" s="42">
        <v>46185</v>
      </c>
      <c r="L389" s="42"/>
      <c r="M389" s="44"/>
      <c r="N389" s="40"/>
      <c r="O389" s="40"/>
      <c r="P389" s="40"/>
      <c r="Q389" s="42">
        <f>IF(K389="","",K389)</f>
        <v>46185</v>
      </c>
      <c r="R389" s="39" t="s">
        <v>437</v>
      </c>
      <c r="S389" s="39" t="s">
        <v>439</v>
      </c>
      <c r="T389" s="39" t="s">
        <v>446</v>
      </c>
      <c r="U389" s="39" t="s">
        <v>309</v>
      </c>
      <c r="V389" s="39">
        <v>240</v>
      </c>
      <c r="W389" s="39" t="s">
        <v>495</v>
      </c>
      <c r="X389" s="41">
        <v>46174</v>
      </c>
      <c r="Y389" s="41">
        <v>46185</v>
      </c>
      <c r="Z389" s="43">
        <v>3196.8</v>
      </c>
      <c r="AA389" s="45">
        <f>IF(M389&lt;&gt;"",M389,Z389)</f>
        <v>3196.8</v>
      </c>
      <c r="AB389" s="46" t="str">
        <f>IF(L389&lt;&gt;"","Realizado","Previsto")</f>
        <v>Previsto</v>
      </c>
      <c r="AC389" s="47">
        <v>0.5</v>
      </c>
      <c r="AD389" s="43">
        <v>6393.6</v>
      </c>
      <c r="AE389" s="39">
        <v>64</v>
      </c>
      <c r="AF389" s="39" t="s">
        <v>87</v>
      </c>
      <c r="AG389" s="43">
        <v>99.9</v>
      </c>
      <c r="AH389" s="39" t="s">
        <v>447</v>
      </c>
      <c r="AI389" s="39" t="s">
        <v>73</v>
      </c>
      <c r="AJ389" s="48">
        <f>IF(Q389&lt;&gt;"",Q389,IF(K389&lt;&gt;"",K389,""))</f>
        <v>46185</v>
      </c>
      <c r="AK389" s="46" t="str">
        <f>IF(K389&lt;&gt;"","Sim","")</f>
        <v>Sim</v>
      </c>
      <c r="AL389" s="46" t="str">
        <f>IF(A389="","",TEXT(A389,"000000")&amp;"-"&amp;IF(C389="Entrada","CR","DB"))</f>
        <v>000388-DB</v>
      </c>
      <c r="AM389" s="46" t="str">
        <f>IF(A389="","",LEFT(IF(H389&lt;&gt;"",H389,G389)&amp;" | "&amp;G389&amp;" | "&amp;S389,60))</f>
        <v>Tela Q - 61 aço CA50 a c/10 4.2mm | Tela Q - 61 aço CA50 a c</v>
      </c>
    </row>
    <row r="390" spans="1:39" ht="43.2" x14ac:dyDescent="0.3">
      <c r="A390" s="39">
        <v>389</v>
      </c>
      <c r="B390" s="39" t="s">
        <v>2</v>
      </c>
      <c r="C390" s="39" t="s">
        <v>74</v>
      </c>
      <c r="D390" s="39" t="s">
        <v>437</v>
      </c>
      <c r="E390" s="39" t="s">
        <v>437</v>
      </c>
      <c r="F390" s="39" t="s">
        <v>173</v>
      </c>
      <c r="G390" s="39" t="s">
        <v>452</v>
      </c>
      <c r="H390" s="40"/>
      <c r="I390" s="40"/>
      <c r="J390" s="40"/>
      <c r="K390" s="42">
        <v>46185</v>
      </c>
      <c r="L390" s="42"/>
      <c r="M390" s="44"/>
      <c r="N390" s="40"/>
      <c r="O390" s="40"/>
      <c r="P390" s="40"/>
      <c r="Q390" s="42">
        <f>IF(K390="","",K390)</f>
        <v>46185</v>
      </c>
      <c r="R390" s="39" t="s">
        <v>437</v>
      </c>
      <c r="S390" s="39" t="s">
        <v>439</v>
      </c>
      <c r="T390" s="39" t="s">
        <v>453</v>
      </c>
      <c r="U390" s="39" t="s">
        <v>309</v>
      </c>
      <c r="V390" s="39">
        <v>238</v>
      </c>
      <c r="W390" s="39" t="s">
        <v>495</v>
      </c>
      <c r="X390" s="41">
        <v>46174</v>
      </c>
      <c r="Y390" s="41">
        <v>46185</v>
      </c>
      <c r="Z390" s="43">
        <v>15872</v>
      </c>
      <c r="AA390" s="45">
        <f>IF(M390&lt;&gt;"",M390,Z390)</f>
        <v>15872</v>
      </c>
      <c r="AB390" s="46" t="str">
        <f>IF(L390&lt;&gt;"","Realizado","Previsto")</f>
        <v>Previsto</v>
      </c>
      <c r="AC390" s="47">
        <v>0.5</v>
      </c>
      <c r="AD390" s="43">
        <v>31744</v>
      </c>
      <c r="AE390" s="39">
        <v>51.2</v>
      </c>
      <c r="AF390" s="39" t="s">
        <v>182</v>
      </c>
      <c r="AG390" s="43">
        <v>620</v>
      </c>
      <c r="AH390" s="39" t="s">
        <v>454</v>
      </c>
      <c r="AI390" s="39" t="s">
        <v>73</v>
      </c>
      <c r="AJ390" s="48">
        <f>IF(Q390&lt;&gt;"",Q390,IF(K390&lt;&gt;"",K390,""))</f>
        <v>46185</v>
      </c>
      <c r="AK390" s="46" t="str">
        <f>IF(K390&lt;&gt;"","Sim","")</f>
        <v>Sim</v>
      </c>
      <c r="AL390" s="46" t="str">
        <f>IF(A390="","",TEXT(A390,"000000")&amp;"-"&amp;IF(C390="Entrada","CR","DB"))</f>
        <v>000389-DB</v>
      </c>
      <c r="AM390" s="46" t="str">
        <f>IF(A390="","",LEFT(IF(H390&lt;&gt;"",H390,G390)&amp;" | "&amp;G390&amp;" | "&amp;S390,60))</f>
        <v xml:space="preserve">concreto usinado FCK 20 Mpa | concreto usinado FCK 20 Mpa | </v>
      </c>
    </row>
    <row r="391" spans="1:39" ht="43.2" x14ac:dyDescent="0.3">
      <c r="A391" s="39">
        <v>390</v>
      </c>
      <c r="B391" s="39" t="s">
        <v>2</v>
      </c>
      <c r="C391" s="39" t="s">
        <v>74</v>
      </c>
      <c r="D391" s="39" t="s">
        <v>124</v>
      </c>
      <c r="E391" s="39" t="s">
        <v>124</v>
      </c>
      <c r="F391" s="39" t="s">
        <v>125</v>
      </c>
      <c r="G391" s="39" t="s">
        <v>222</v>
      </c>
      <c r="H391" s="40"/>
      <c r="I391" s="40"/>
      <c r="J391" s="40"/>
      <c r="K391" s="42">
        <v>46185</v>
      </c>
      <c r="L391" s="42"/>
      <c r="M391" s="44"/>
      <c r="N391" s="40"/>
      <c r="O391" s="40"/>
      <c r="P391" s="40"/>
      <c r="Q391" s="42">
        <f>IF(K391="","",K391)</f>
        <v>46185</v>
      </c>
      <c r="R391" s="39" t="s">
        <v>124</v>
      </c>
      <c r="S391" s="39" t="s">
        <v>127</v>
      </c>
      <c r="T391" s="39" t="s">
        <v>128</v>
      </c>
      <c r="U391" s="39"/>
      <c r="V391" s="39">
        <v>274</v>
      </c>
      <c r="W391" s="39" t="s">
        <v>495</v>
      </c>
      <c r="X391" s="41">
        <v>46174</v>
      </c>
      <c r="Y391" s="41">
        <v>46185</v>
      </c>
      <c r="Z391" s="43">
        <v>21190</v>
      </c>
      <c r="AA391" s="45">
        <f>IF(M391&lt;&gt;"",M391,Z391)</f>
        <v>21190</v>
      </c>
      <c r="AB391" s="46" t="str">
        <f>IF(L391&lt;&gt;"","Realizado","Previsto")</f>
        <v>Previsto</v>
      </c>
      <c r="AC391" s="47"/>
      <c r="AD391" s="43">
        <v>211900</v>
      </c>
      <c r="AE391" s="39"/>
      <c r="AF391" s="39"/>
      <c r="AG391" s="43"/>
      <c r="AH391" s="39" t="s">
        <v>223</v>
      </c>
      <c r="AI391" s="39" t="s">
        <v>73</v>
      </c>
      <c r="AJ391" s="48">
        <f>IF(Q391&lt;&gt;"",Q391,IF(K391&lt;&gt;"",K391,""))</f>
        <v>46185</v>
      </c>
      <c r="AK391" s="46" t="str">
        <f>IF(K391&lt;&gt;"","Sim","")</f>
        <v>Sim</v>
      </c>
      <c r="AL391" s="46" t="str">
        <f>IF(A391="","",TEXT(A391,"000000")&amp;"-"&amp;IF(C391="Entrada","CR","DB"))</f>
        <v>000390-DB</v>
      </c>
      <c r="AM391" s="46" t="str">
        <f>IF(A391="","",LEFT(IF(H391&lt;&gt;"",H391,G391)&amp;" | "&amp;G391&amp;" | "&amp;S391,60))</f>
        <v xml:space="preserve">CARTAO CREDITO SUCOPIRA | CARTAO CREDITO SUCOPIRA | Saída | </v>
      </c>
    </row>
    <row r="392" spans="1:39" ht="43.2" x14ac:dyDescent="0.3">
      <c r="A392" s="39">
        <v>391</v>
      </c>
      <c r="B392" s="39" t="s">
        <v>2</v>
      </c>
      <c r="C392" s="39" t="s">
        <v>74</v>
      </c>
      <c r="D392" s="39" t="s">
        <v>124</v>
      </c>
      <c r="E392" s="39" t="s">
        <v>124</v>
      </c>
      <c r="F392" s="39" t="s">
        <v>125</v>
      </c>
      <c r="G392" s="39" t="s">
        <v>224</v>
      </c>
      <c r="H392" s="40"/>
      <c r="I392" s="40"/>
      <c r="J392" s="40"/>
      <c r="K392" s="42">
        <v>46185</v>
      </c>
      <c r="L392" s="42"/>
      <c r="M392" s="44"/>
      <c r="N392" s="40"/>
      <c r="O392" s="40"/>
      <c r="P392" s="40"/>
      <c r="Q392" s="42">
        <f>IF(K392="","",K392)</f>
        <v>46185</v>
      </c>
      <c r="R392" s="39" t="s">
        <v>124</v>
      </c>
      <c r="S392" s="39" t="s">
        <v>127</v>
      </c>
      <c r="T392" s="39" t="s">
        <v>128</v>
      </c>
      <c r="U392" s="39"/>
      <c r="V392" s="39">
        <v>276</v>
      </c>
      <c r="W392" s="39" t="s">
        <v>495</v>
      </c>
      <c r="X392" s="41">
        <v>46174</v>
      </c>
      <c r="Y392" s="41">
        <v>46185</v>
      </c>
      <c r="Z392" s="43">
        <v>214716.35</v>
      </c>
      <c r="AA392" s="45">
        <f>IF(M392&lt;&gt;"",M392,Z392)</f>
        <v>214716.35</v>
      </c>
      <c r="AB392" s="46" t="str">
        <f>IF(L392&lt;&gt;"","Realizado","Previsto")</f>
        <v>Previsto</v>
      </c>
      <c r="AC392" s="47"/>
      <c r="AD392" s="43">
        <v>244149.05</v>
      </c>
      <c r="AE392" s="39"/>
      <c r="AF392" s="39"/>
      <c r="AG392" s="43"/>
      <c r="AH392" s="39" t="s">
        <v>225</v>
      </c>
      <c r="AI392" s="39" t="s">
        <v>73</v>
      </c>
      <c r="AJ392" s="48">
        <f>IF(Q392&lt;&gt;"",Q392,IF(K392&lt;&gt;"",K392,""))</f>
        <v>46185</v>
      </c>
      <c r="AK392" s="46" t="str">
        <f>IF(K392&lt;&gt;"","Sim","")</f>
        <v>Sim</v>
      </c>
      <c r="AL392" s="46" t="str">
        <f>IF(A392="","",TEXT(A392,"000000")&amp;"-"&amp;IF(C392="Entrada","CR","DB"))</f>
        <v>000391-DB</v>
      </c>
      <c r="AM392" s="46" t="str">
        <f>IF(A392="","",LEFT(IF(H392&lt;&gt;"",H392,G392)&amp;" | "&amp;G392&amp;" | "&amp;S392,60))</f>
        <v xml:space="preserve">EMPRESTIMO BRADESCO | EMPRESTIMO BRADESCO | Saída | CAPITAL </v>
      </c>
    </row>
    <row r="393" spans="1:39" ht="43.2" x14ac:dyDescent="0.3">
      <c r="A393" s="39">
        <v>392</v>
      </c>
      <c r="B393" s="39" t="s">
        <v>2</v>
      </c>
      <c r="C393" s="39" t="s">
        <v>74</v>
      </c>
      <c r="D393" s="39" t="s">
        <v>124</v>
      </c>
      <c r="E393" s="39" t="s">
        <v>124</v>
      </c>
      <c r="F393" s="39" t="s">
        <v>125</v>
      </c>
      <c r="G393" s="39" t="s">
        <v>226</v>
      </c>
      <c r="H393" s="40"/>
      <c r="I393" s="40"/>
      <c r="J393" s="40"/>
      <c r="K393" s="42">
        <v>46185</v>
      </c>
      <c r="L393" s="42"/>
      <c r="M393" s="44"/>
      <c r="N393" s="40"/>
      <c r="O393" s="40"/>
      <c r="P393" s="40"/>
      <c r="Q393" s="42">
        <f>IF(K393="","",K393)</f>
        <v>46185</v>
      </c>
      <c r="R393" s="39" t="s">
        <v>124</v>
      </c>
      <c r="S393" s="39" t="s">
        <v>127</v>
      </c>
      <c r="T393" s="39" t="s">
        <v>128</v>
      </c>
      <c r="U393" s="39"/>
      <c r="V393" s="39">
        <v>277</v>
      </c>
      <c r="W393" s="39" t="s">
        <v>495</v>
      </c>
      <c r="X393" s="41">
        <v>46174</v>
      </c>
      <c r="Y393" s="41">
        <v>46185</v>
      </c>
      <c r="Z393" s="43">
        <v>7670</v>
      </c>
      <c r="AA393" s="45">
        <f>IF(M393&lt;&gt;"",M393,Z393)</f>
        <v>7670</v>
      </c>
      <c r="AB393" s="46" t="str">
        <f>IF(L393&lt;&gt;"","Realizado","Previsto")</f>
        <v>Previsto</v>
      </c>
      <c r="AC393" s="47"/>
      <c r="AD393" s="43">
        <v>76700</v>
      </c>
      <c r="AE393" s="39"/>
      <c r="AF393" s="39"/>
      <c r="AG393" s="43"/>
      <c r="AH393" s="39" t="s">
        <v>227</v>
      </c>
      <c r="AI393" s="39" t="s">
        <v>73</v>
      </c>
      <c r="AJ393" s="48">
        <f>IF(Q393&lt;&gt;"",Q393,IF(K393&lt;&gt;"",K393,""))</f>
        <v>46185</v>
      </c>
      <c r="AK393" s="46" t="str">
        <f>IF(K393&lt;&gt;"","Sim","")</f>
        <v>Sim</v>
      </c>
      <c r="AL393" s="46" t="str">
        <f>IF(A393="","",TEXT(A393,"000000")&amp;"-"&amp;IF(C393="Entrada","CR","DB"))</f>
        <v>000392-DB</v>
      </c>
      <c r="AM393" s="46" t="str">
        <f>IF(A393="","",LEFT(IF(H393&lt;&gt;"",H393,G393)&amp;" | "&amp;G393&amp;" | "&amp;S393,60))</f>
        <v>EMPRÉSTIMO EXTRA | EMPRÉSTIMO EXTRA | Saída | CAPITAL DE GIR</v>
      </c>
    </row>
    <row r="394" spans="1:39" ht="43.2" x14ac:dyDescent="0.3">
      <c r="A394" s="39">
        <v>393</v>
      </c>
      <c r="B394" s="39" t="s">
        <v>2</v>
      </c>
      <c r="C394" s="39" t="s">
        <v>74</v>
      </c>
      <c r="D394" s="39" t="s">
        <v>124</v>
      </c>
      <c r="E394" s="39" t="s">
        <v>124</v>
      </c>
      <c r="F394" s="39" t="s">
        <v>125</v>
      </c>
      <c r="G394" s="39" t="s">
        <v>126</v>
      </c>
      <c r="H394" s="40"/>
      <c r="I394" s="40"/>
      <c r="J394" s="40"/>
      <c r="K394" s="42">
        <v>46185</v>
      </c>
      <c r="L394" s="42"/>
      <c r="M394" s="44"/>
      <c r="N394" s="40"/>
      <c r="O394" s="40"/>
      <c r="P394" s="40"/>
      <c r="Q394" s="42">
        <f>IF(K394="","",K394)</f>
        <v>46185</v>
      </c>
      <c r="R394" s="39" t="s">
        <v>124</v>
      </c>
      <c r="S394" s="39" t="s">
        <v>127</v>
      </c>
      <c r="T394" s="39" t="s">
        <v>128</v>
      </c>
      <c r="U394" s="39"/>
      <c r="V394" s="39">
        <v>273</v>
      </c>
      <c r="W394" s="39" t="s">
        <v>495</v>
      </c>
      <c r="X394" s="41">
        <v>46174</v>
      </c>
      <c r="Y394" s="41">
        <v>46185</v>
      </c>
      <c r="Z394" s="43">
        <v>248000</v>
      </c>
      <c r="AA394" s="45">
        <f>IF(M394&lt;&gt;"",M394,Z394)</f>
        <v>248000</v>
      </c>
      <c r="AB394" s="46" t="str">
        <f>IF(L394&lt;&gt;"","Realizado","Previsto")</f>
        <v>Previsto</v>
      </c>
      <c r="AC394" s="47"/>
      <c r="AD394" s="43">
        <v>307830.11</v>
      </c>
      <c r="AE394" s="39"/>
      <c r="AF394" s="39"/>
      <c r="AG394" s="43">
        <v>248</v>
      </c>
      <c r="AH394" s="39" t="s">
        <v>130</v>
      </c>
      <c r="AI394" s="39" t="s">
        <v>73</v>
      </c>
      <c r="AJ394" s="48">
        <f>IF(Q394&lt;&gt;"",Q394,IF(K394&lt;&gt;"",K394,""))</f>
        <v>46185</v>
      </c>
      <c r="AK394" s="46" t="str">
        <f>IF(K394&lt;&gt;"","Sim","")</f>
        <v>Sim</v>
      </c>
      <c r="AL394" s="46" t="str">
        <f>IF(A394="","",TEXT(A394,"000000")&amp;"-"&amp;IF(C394="Entrada","CR","DB"))</f>
        <v>000393-DB</v>
      </c>
      <c r="AM394" s="46" t="str">
        <f>IF(A394="","",LEFT(IF(H394&lt;&gt;"",H394,G394)&amp;" | "&amp;G394&amp;" | "&amp;S394,60))</f>
        <v>ITAU | ITAU | Saída | CAPITAL DE GIRO</v>
      </c>
    </row>
    <row r="395" spans="1:39" ht="43.2" x14ac:dyDescent="0.3">
      <c r="A395" s="39">
        <v>394</v>
      </c>
      <c r="B395" s="39" t="s">
        <v>2</v>
      </c>
      <c r="C395" s="39" t="s">
        <v>74</v>
      </c>
      <c r="D395" s="39" t="s">
        <v>124</v>
      </c>
      <c r="E395" s="39" t="s">
        <v>124</v>
      </c>
      <c r="F395" s="39" t="s">
        <v>125</v>
      </c>
      <c r="G395" s="39" t="s">
        <v>228</v>
      </c>
      <c r="H395" s="40"/>
      <c r="I395" s="40"/>
      <c r="J395" s="40"/>
      <c r="K395" s="42">
        <v>46185</v>
      </c>
      <c r="L395" s="42"/>
      <c r="M395" s="44"/>
      <c r="N395" s="40"/>
      <c r="O395" s="40"/>
      <c r="P395" s="40"/>
      <c r="Q395" s="42">
        <f>IF(K395="","",K395)</f>
        <v>46185</v>
      </c>
      <c r="R395" s="39" t="s">
        <v>124</v>
      </c>
      <c r="S395" s="39" t="s">
        <v>127</v>
      </c>
      <c r="T395" s="39" t="s">
        <v>128</v>
      </c>
      <c r="U395" s="39"/>
      <c r="V395" s="39">
        <v>275</v>
      </c>
      <c r="W395" s="39" t="s">
        <v>495</v>
      </c>
      <c r="X395" s="41">
        <v>46174</v>
      </c>
      <c r="Y395" s="41">
        <v>46185</v>
      </c>
      <c r="Z395" s="43">
        <v>52453.29</v>
      </c>
      <c r="AA395" s="45">
        <f>IF(M395&lt;&gt;"",M395,Z395)</f>
        <v>52453.29</v>
      </c>
      <c r="AB395" s="46" t="str">
        <f>IF(L395&lt;&gt;"","Realizado","Previsto")</f>
        <v>Previsto</v>
      </c>
      <c r="AC395" s="47"/>
      <c r="AD395" s="43">
        <v>62266.45</v>
      </c>
      <c r="AE395" s="39"/>
      <c r="AF395" s="39"/>
      <c r="AG395" s="43"/>
      <c r="AH395" s="39" t="s">
        <v>229</v>
      </c>
      <c r="AI395" s="39" t="s">
        <v>73</v>
      </c>
      <c r="AJ395" s="48">
        <f>IF(Q395&lt;&gt;"",Q395,IF(K395&lt;&gt;"",K395,""))</f>
        <v>46185</v>
      </c>
      <c r="AK395" s="46" t="str">
        <f>IF(K395&lt;&gt;"","Sim","")</f>
        <v>Sim</v>
      </c>
      <c r="AL395" s="46" t="str">
        <f>IF(A395="","",TEXT(A395,"000000")&amp;"-"&amp;IF(C395="Entrada","CR","DB"))</f>
        <v>000394-DB</v>
      </c>
      <c r="AM395" s="46" t="str">
        <f>IF(A395="","",LEFT(IF(H395&lt;&gt;"",H395,G395)&amp;" | "&amp;G395&amp;" | "&amp;S395,60))</f>
        <v>NUBANK | NUBANK | Saída | CAPITAL DE GIRO</v>
      </c>
    </row>
    <row r="396" spans="1:39" ht="43.2" x14ac:dyDescent="0.3">
      <c r="A396" s="39">
        <v>395</v>
      </c>
      <c r="B396" s="39" t="s">
        <v>2</v>
      </c>
      <c r="C396" s="39" t="s">
        <v>74</v>
      </c>
      <c r="D396" s="39" t="s">
        <v>230</v>
      </c>
      <c r="E396" s="39" t="s">
        <v>230</v>
      </c>
      <c r="F396" s="39" t="s">
        <v>109</v>
      </c>
      <c r="G396" s="39" t="s">
        <v>231</v>
      </c>
      <c r="H396" s="40"/>
      <c r="I396" s="40"/>
      <c r="J396" s="40"/>
      <c r="K396" s="42">
        <v>46185</v>
      </c>
      <c r="L396" s="42"/>
      <c r="M396" s="44"/>
      <c r="N396" s="40"/>
      <c r="O396" s="40"/>
      <c r="P396" s="40"/>
      <c r="Q396" s="42">
        <f>IF(K396="","",K396)</f>
        <v>46185</v>
      </c>
      <c r="R396" s="39" t="s">
        <v>230</v>
      </c>
      <c r="S396" s="39" t="s">
        <v>232</v>
      </c>
      <c r="T396" s="39" t="s">
        <v>233</v>
      </c>
      <c r="U396" s="39" t="s">
        <v>215</v>
      </c>
      <c r="V396" s="39">
        <v>107</v>
      </c>
      <c r="W396" s="39" t="s">
        <v>495</v>
      </c>
      <c r="X396" s="41">
        <v>46174</v>
      </c>
      <c r="Y396" s="41">
        <v>46185</v>
      </c>
      <c r="Z396" s="43">
        <v>25102.560000000001</v>
      </c>
      <c r="AA396" s="45">
        <f>IF(M396&lt;&gt;"",M396,Z396)</f>
        <v>25102.560000000001</v>
      </c>
      <c r="AB396" s="46" t="str">
        <f>IF(L396&lt;&gt;"","Realizado","Previsto")</f>
        <v>Previsto</v>
      </c>
      <c r="AC396" s="47">
        <v>0.25305</v>
      </c>
      <c r="AD396" s="43">
        <v>99200</v>
      </c>
      <c r="AE396" s="39">
        <v>64</v>
      </c>
      <c r="AF396" s="39" t="s">
        <v>113</v>
      </c>
      <c r="AG396" s="43">
        <v>1550</v>
      </c>
      <c r="AH396" s="39" t="s">
        <v>234</v>
      </c>
      <c r="AI396" s="39" t="s">
        <v>73</v>
      </c>
      <c r="AJ396" s="48">
        <f>IF(Q396&lt;&gt;"",Q396,IF(K396&lt;&gt;"",K396,""))</f>
        <v>46185</v>
      </c>
      <c r="AK396" s="46" t="str">
        <f>IF(K396&lt;&gt;"","Sim","")</f>
        <v>Sim</v>
      </c>
      <c r="AL396" s="46" t="str">
        <f>IF(A396="","",TEXT(A396,"000000")&amp;"-"&amp;IF(C396="Entrada","CR","DB"))</f>
        <v>000395-DB</v>
      </c>
      <c r="AM396" s="46" t="str">
        <f>IF(A396="","",LEFT(IF(H396&lt;&gt;"",H396,G396)&amp;" | "&amp;G396&amp;" | "&amp;S396,60))</f>
        <v>Mao de obra terceirizada montagem e telhamento | Mao de obra</v>
      </c>
    </row>
    <row r="397" spans="1:39" ht="43.2" x14ac:dyDescent="0.3">
      <c r="A397" s="39">
        <v>396</v>
      </c>
      <c r="B397" s="39" t="s">
        <v>2</v>
      </c>
      <c r="C397" s="39" t="s">
        <v>74</v>
      </c>
      <c r="D397" s="39" t="s">
        <v>230</v>
      </c>
      <c r="E397" s="39" t="s">
        <v>230</v>
      </c>
      <c r="F397" s="39" t="s">
        <v>167</v>
      </c>
      <c r="G397" s="39" t="s">
        <v>319</v>
      </c>
      <c r="H397" s="40"/>
      <c r="I397" s="40"/>
      <c r="J397" s="40"/>
      <c r="K397" s="42">
        <v>46185</v>
      </c>
      <c r="L397" s="42"/>
      <c r="M397" s="44"/>
      <c r="N397" s="40"/>
      <c r="O397" s="40"/>
      <c r="P397" s="40"/>
      <c r="Q397" s="42">
        <f>IF(K397="","",K397)</f>
        <v>46185</v>
      </c>
      <c r="R397" s="39" t="s">
        <v>230</v>
      </c>
      <c r="S397" s="39" t="s">
        <v>232</v>
      </c>
      <c r="T397" s="39" t="s">
        <v>320</v>
      </c>
      <c r="U397" s="39" t="s">
        <v>275</v>
      </c>
      <c r="V397" s="39">
        <v>106</v>
      </c>
      <c r="W397" s="39" t="s">
        <v>495</v>
      </c>
      <c r="X397" s="41">
        <v>46174</v>
      </c>
      <c r="Y397" s="41">
        <v>46185</v>
      </c>
      <c r="Z397" s="43">
        <v>2932.16</v>
      </c>
      <c r="AA397" s="45">
        <f>IF(M397&lt;&gt;"",M397,Z397)</f>
        <v>2932.16</v>
      </c>
      <c r="AB397" s="46" t="str">
        <f>IF(L397&lt;&gt;"","Realizado","Previsto")</f>
        <v>Previsto</v>
      </c>
      <c r="AC397" s="47">
        <v>0.35</v>
      </c>
      <c r="AD397" s="43">
        <v>8377.6</v>
      </c>
      <c r="AE397" s="39">
        <v>7040</v>
      </c>
      <c r="AF397" s="39" t="s">
        <v>321</v>
      </c>
      <c r="AG397" s="43">
        <v>1.19</v>
      </c>
      <c r="AH397" s="39" t="s">
        <v>322</v>
      </c>
      <c r="AI397" s="39" t="s">
        <v>73</v>
      </c>
      <c r="AJ397" s="48">
        <f>IF(Q397&lt;&gt;"",Q397,IF(K397&lt;&gt;"",K397,""))</f>
        <v>46185</v>
      </c>
      <c r="AK397" s="46" t="str">
        <f>IF(K397&lt;&gt;"","Sim","")</f>
        <v>Sim</v>
      </c>
      <c r="AL397" s="46" t="str">
        <f>IF(A397="","",TEXT(A397,"000000")&amp;"-"&amp;IF(C397="Entrada","CR","DB"))</f>
        <v>000396-DB</v>
      </c>
      <c r="AM397" s="46" t="str">
        <f>IF(A397="","",LEFT(IF(H397&lt;&gt;"",H397,G397)&amp;" | "&amp;G397&amp;" | "&amp;S397,60))</f>
        <v>Parafuso telheiro 1/4" x 110 mm com arruela/vedante: 150 un.</v>
      </c>
    </row>
    <row r="398" spans="1:39" ht="43.2" x14ac:dyDescent="0.3">
      <c r="A398" s="39">
        <v>397</v>
      </c>
      <c r="B398" s="39" t="s">
        <v>2</v>
      </c>
      <c r="C398" s="39" t="s">
        <v>74</v>
      </c>
      <c r="D398" s="39" t="s">
        <v>75</v>
      </c>
      <c r="E398" s="39" t="s">
        <v>75</v>
      </c>
      <c r="F398" s="39" t="s">
        <v>75</v>
      </c>
      <c r="G398" s="39" t="s">
        <v>80</v>
      </c>
      <c r="H398" s="40"/>
      <c r="I398" s="40"/>
      <c r="J398" s="40"/>
      <c r="K398" s="42">
        <v>46185</v>
      </c>
      <c r="L398" s="42"/>
      <c r="M398" s="44"/>
      <c r="N398" s="40"/>
      <c r="O398" s="40"/>
      <c r="P398" s="40"/>
      <c r="Q398" s="42">
        <f>IF(K398="","",K398)</f>
        <v>46185</v>
      </c>
      <c r="R398" s="39" t="s">
        <v>75</v>
      </c>
      <c r="S398" s="39" t="s">
        <v>77</v>
      </c>
      <c r="T398" s="39" t="s">
        <v>78</v>
      </c>
      <c r="U398" s="39"/>
      <c r="V398" s="39">
        <v>271</v>
      </c>
      <c r="W398" s="39" t="s">
        <v>495</v>
      </c>
      <c r="X398" s="41">
        <v>46174</v>
      </c>
      <c r="Y398" s="41">
        <v>46185</v>
      </c>
      <c r="Z398" s="43">
        <v>8000</v>
      </c>
      <c r="AA398" s="45">
        <f>IF(M398&lt;&gt;"",M398,Z398)</f>
        <v>8000</v>
      </c>
      <c r="AB398" s="46" t="str">
        <f>IF(L398&lt;&gt;"","Realizado","Previsto")</f>
        <v>Previsto</v>
      </c>
      <c r="AC398" s="47">
        <v>0.2</v>
      </c>
      <c r="AD398" s="43">
        <v>40000</v>
      </c>
      <c r="AE398" s="39"/>
      <c r="AF398" s="39" t="s">
        <v>79</v>
      </c>
      <c r="AG398" s="43">
        <v>10000</v>
      </c>
      <c r="AH398" s="39"/>
      <c r="AI398" s="39" t="s">
        <v>73</v>
      </c>
      <c r="AJ398" s="48">
        <f>IF(Q398&lt;&gt;"",Q398,IF(K398&lt;&gt;"",K398,""))</f>
        <v>46185</v>
      </c>
      <c r="AK398" s="46" t="str">
        <f>IF(K398&lt;&gt;"","Sim","")</f>
        <v>Sim</v>
      </c>
      <c r="AL398" s="46" t="str">
        <f>IF(A398="","",TEXT(A398,"000000")&amp;"-"&amp;IF(C398="Entrada","CR","DB"))</f>
        <v>000397-DB</v>
      </c>
      <c r="AM398" s="46" t="str">
        <f>IF(A398="","",LEFT(IF(H398&lt;&gt;"",H398,G398)&amp;" | "&amp;G398&amp;" | "&amp;S398,60))</f>
        <v>LOGISTICA GESTÃO VISITA À OBRA | LOGISTICA GESTÃO VISITA À O</v>
      </c>
    </row>
    <row r="399" spans="1:39" ht="43.2" x14ac:dyDescent="0.3">
      <c r="A399" s="39">
        <v>398</v>
      </c>
      <c r="B399" s="39" t="s">
        <v>2</v>
      </c>
      <c r="C399" s="39" t="s">
        <v>74</v>
      </c>
      <c r="D399" s="39" t="s">
        <v>496</v>
      </c>
      <c r="E399" s="39" t="s">
        <v>496</v>
      </c>
      <c r="F399" s="39" t="s">
        <v>109</v>
      </c>
      <c r="G399" s="39" t="s">
        <v>497</v>
      </c>
      <c r="H399" s="40"/>
      <c r="I399" s="40"/>
      <c r="J399" s="40"/>
      <c r="K399" s="42">
        <v>46185</v>
      </c>
      <c r="L399" s="42"/>
      <c r="M399" s="44"/>
      <c r="N399" s="40"/>
      <c r="O399" s="40"/>
      <c r="P399" s="40"/>
      <c r="Q399" s="42">
        <f>IF(K399="","",K399)</f>
        <v>46185</v>
      </c>
      <c r="R399" s="39" t="s">
        <v>496</v>
      </c>
      <c r="S399" s="39" t="s">
        <v>498</v>
      </c>
      <c r="T399" s="39" t="s">
        <v>499</v>
      </c>
      <c r="U399" s="39" t="s">
        <v>215</v>
      </c>
      <c r="V399" s="39">
        <v>197</v>
      </c>
      <c r="W399" s="39" t="s">
        <v>495</v>
      </c>
      <c r="X399" s="41">
        <v>46174</v>
      </c>
      <c r="Y399" s="41">
        <v>46185</v>
      </c>
      <c r="Z399" s="43">
        <v>5247.2000000000007</v>
      </c>
      <c r="AA399" s="45">
        <f>IF(M399&lt;&gt;"",M399,Z399)</f>
        <v>5247.2000000000007</v>
      </c>
      <c r="AB399" s="46" t="str">
        <f>IF(L399&lt;&gt;"","Realizado","Previsto")</f>
        <v>Previsto</v>
      </c>
      <c r="AC399" s="47">
        <v>9.3700000000000006E-2</v>
      </c>
      <c r="AD399" s="43">
        <v>56000</v>
      </c>
      <c r="AE399" s="39">
        <v>1600</v>
      </c>
      <c r="AF399" s="39" t="s">
        <v>321</v>
      </c>
      <c r="AG399" s="43">
        <v>35</v>
      </c>
      <c r="AH399" s="39" t="s">
        <v>500</v>
      </c>
      <c r="AI399" s="39" t="s">
        <v>73</v>
      </c>
      <c r="AJ399" s="48">
        <f>IF(Q399&lt;&gt;"",Q399,IF(K399&lt;&gt;"",K399,""))</f>
        <v>46185</v>
      </c>
      <c r="AK399" s="46" t="str">
        <f>IF(K399&lt;&gt;"","Sim","")</f>
        <v>Sim</v>
      </c>
      <c r="AL399" s="46" t="str">
        <f>IF(A399="","",TEXT(A399,"000000")&amp;"-"&amp;IF(C399="Entrada","CR","DB"))</f>
        <v>000398-DB</v>
      </c>
      <c r="AM399" s="46" t="str">
        <f>IF(A399="","",LEFT(IF(H399&lt;&gt;"",H399,G399)&amp;" | "&amp;G399&amp;" | "&amp;S399,60))</f>
        <v>Mao de obra terceirizada Pontos eletricos completos  + quadr</v>
      </c>
    </row>
    <row r="400" spans="1:39" ht="43.2" x14ac:dyDescent="0.3">
      <c r="A400" s="39">
        <v>399</v>
      </c>
      <c r="B400" s="39" t="s">
        <v>2</v>
      </c>
      <c r="C400" s="39" t="s">
        <v>74</v>
      </c>
      <c r="D400" s="39" t="s">
        <v>496</v>
      </c>
      <c r="E400" s="39" t="s">
        <v>496</v>
      </c>
      <c r="F400" s="39" t="s">
        <v>109</v>
      </c>
      <c r="G400" s="39" t="s">
        <v>501</v>
      </c>
      <c r="H400" s="40"/>
      <c r="I400" s="40"/>
      <c r="J400" s="40"/>
      <c r="K400" s="42">
        <v>46185</v>
      </c>
      <c r="L400" s="42"/>
      <c r="M400" s="44"/>
      <c r="N400" s="40"/>
      <c r="O400" s="40"/>
      <c r="P400" s="40"/>
      <c r="Q400" s="42">
        <f>IF(K400="","",K400)</f>
        <v>46185</v>
      </c>
      <c r="R400" s="39" t="s">
        <v>496</v>
      </c>
      <c r="S400" s="39" t="s">
        <v>498</v>
      </c>
      <c r="T400" s="39" t="s">
        <v>499</v>
      </c>
      <c r="U400" s="39" t="s">
        <v>215</v>
      </c>
      <c r="V400" s="39">
        <v>198</v>
      </c>
      <c r="W400" s="39" t="s">
        <v>495</v>
      </c>
      <c r="X400" s="41">
        <v>46174</v>
      </c>
      <c r="Y400" s="41">
        <v>46185</v>
      </c>
      <c r="Z400" s="43">
        <v>2248.8000000000002</v>
      </c>
      <c r="AA400" s="45">
        <f>IF(M400&lt;&gt;"",M400,Z400)</f>
        <v>2248.8000000000002</v>
      </c>
      <c r="AB400" s="46" t="str">
        <f>IF(L400&lt;&gt;"","Realizado","Previsto")</f>
        <v>Previsto</v>
      </c>
      <c r="AC400" s="47">
        <v>9.3700000000000006E-2</v>
      </c>
      <c r="AD400" s="43">
        <v>24000</v>
      </c>
      <c r="AE400" s="39">
        <v>1600</v>
      </c>
      <c r="AF400" s="39" t="s">
        <v>321</v>
      </c>
      <c r="AG400" s="43">
        <v>15</v>
      </c>
      <c r="AH400" s="39" t="s">
        <v>500</v>
      </c>
      <c r="AI400" s="39" t="s">
        <v>73</v>
      </c>
      <c r="AJ400" s="48">
        <f>IF(Q400&lt;&gt;"",Q400,IF(K400&lt;&gt;"",K400,""))</f>
        <v>46185</v>
      </c>
      <c r="AK400" s="46" t="str">
        <f>IF(K400&lt;&gt;"","Sim","")</f>
        <v>Sim</v>
      </c>
      <c r="AL400" s="46" t="str">
        <f>IF(A400="","",TEXT(A400,"000000")&amp;"-"&amp;IF(C400="Entrada","CR","DB"))</f>
        <v>000399-DB</v>
      </c>
      <c r="AM400" s="46" t="str">
        <f>IF(A400="","",LEFT(IF(H400&lt;&gt;"",H400,G400)&amp;" | "&amp;G400&amp;" | "&amp;S400,60))</f>
        <v>Mao de obra terceirizada colocaçao Espelhos, lampadas e test</v>
      </c>
    </row>
    <row r="401" spans="1:39" ht="43.2" x14ac:dyDescent="0.3">
      <c r="A401" s="39">
        <v>400</v>
      </c>
      <c r="B401" s="39" t="s">
        <v>2</v>
      </c>
      <c r="C401" s="39" t="s">
        <v>74</v>
      </c>
      <c r="D401" s="39" t="s">
        <v>235</v>
      </c>
      <c r="E401" s="39" t="s">
        <v>236</v>
      </c>
      <c r="F401" s="39" t="s">
        <v>109</v>
      </c>
      <c r="G401" s="39" t="s">
        <v>237</v>
      </c>
      <c r="H401" s="40"/>
      <c r="I401" s="40"/>
      <c r="J401" s="40"/>
      <c r="K401" s="42">
        <v>46185</v>
      </c>
      <c r="L401" s="42"/>
      <c r="M401" s="44"/>
      <c r="N401" s="40"/>
      <c r="O401" s="40"/>
      <c r="P401" s="40"/>
      <c r="Q401" s="42">
        <f>IF(K401="","",K401)</f>
        <v>46185</v>
      </c>
      <c r="R401" s="39" t="s">
        <v>235</v>
      </c>
      <c r="S401" s="39" t="s">
        <v>238</v>
      </c>
      <c r="T401" s="39" t="s">
        <v>239</v>
      </c>
      <c r="U401" s="39" t="s">
        <v>215</v>
      </c>
      <c r="V401" s="39">
        <v>156</v>
      </c>
      <c r="W401" s="39" t="s">
        <v>495</v>
      </c>
      <c r="X401" s="41">
        <v>46174</v>
      </c>
      <c r="Y401" s="41">
        <v>46185</v>
      </c>
      <c r="Z401" s="43">
        <v>17356.071936</v>
      </c>
      <c r="AA401" s="45">
        <f>IF(M401&lt;&gt;"",M401,Z401)</f>
        <v>17356.071936</v>
      </c>
      <c r="AB401" s="46" t="str">
        <f>IF(L401&lt;&gt;"","Realizado","Previsto")</f>
        <v>Previsto</v>
      </c>
      <c r="AC401" s="47">
        <v>0.25305</v>
      </c>
      <c r="AD401" s="43">
        <v>68587.520000000004</v>
      </c>
      <c r="AE401" s="39">
        <v>8573.44</v>
      </c>
      <c r="AF401" s="39" t="s">
        <v>203</v>
      </c>
      <c r="AG401" s="43">
        <v>8</v>
      </c>
      <c r="AH401" s="39" t="s">
        <v>240</v>
      </c>
      <c r="AI401" s="39" t="s">
        <v>73</v>
      </c>
      <c r="AJ401" s="48">
        <f>IF(Q401&lt;&gt;"",Q401,IF(K401&lt;&gt;"",K401,""))</f>
        <v>46185</v>
      </c>
      <c r="AK401" s="46" t="str">
        <f>IF(K401&lt;&gt;"","Sim","")</f>
        <v>Sim</v>
      </c>
      <c r="AL401" s="46" t="str">
        <f>IF(A401="","",TEXT(A401,"000000")&amp;"-"&amp;IF(C401="Entrada","CR","DB"))</f>
        <v>000400-DB</v>
      </c>
      <c r="AM401" s="46" t="str">
        <f>IF(A401="","",LEFT(IF(H401&lt;&gt;"",H401,G401)&amp;" | "&amp;G401&amp;" | "&amp;S401,60))</f>
        <v>Mao de obra terceirizada Emassamento e lixamento  interno pa</v>
      </c>
    </row>
    <row r="402" spans="1:39" ht="43.2" x14ac:dyDescent="0.3">
      <c r="A402" s="39">
        <v>401</v>
      </c>
      <c r="B402" s="39" t="s">
        <v>2</v>
      </c>
      <c r="C402" s="39" t="s">
        <v>74</v>
      </c>
      <c r="D402" s="39" t="s">
        <v>402</v>
      </c>
      <c r="E402" s="39" t="s">
        <v>402</v>
      </c>
      <c r="F402" s="39" t="s">
        <v>391</v>
      </c>
      <c r="G402" s="39" t="s">
        <v>403</v>
      </c>
      <c r="H402" s="40"/>
      <c r="I402" s="40"/>
      <c r="J402" s="40"/>
      <c r="K402" s="42">
        <v>46185</v>
      </c>
      <c r="L402" s="42"/>
      <c r="M402" s="44"/>
      <c r="N402" s="40"/>
      <c r="O402" s="40"/>
      <c r="P402" s="40"/>
      <c r="Q402" s="42">
        <f>IF(K402="","",K402)</f>
        <v>46185</v>
      </c>
      <c r="R402" s="39" t="s">
        <v>402</v>
      </c>
      <c r="S402" s="39" t="s">
        <v>404</v>
      </c>
      <c r="T402" s="39" t="s">
        <v>405</v>
      </c>
      <c r="U402" s="39"/>
      <c r="V402" s="39">
        <v>234</v>
      </c>
      <c r="W402" s="39" t="s">
        <v>495</v>
      </c>
      <c r="X402" s="41">
        <v>46174</v>
      </c>
      <c r="Y402" s="41">
        <v>46185</v>
      </c>
      <c r="Z402" s="43">
        <v>6544</v>
      </c>
      <c r="AA402" s="45">
        <f>IF(M402&lt;&gt;"",M402,Z402)</f>
        <v>6544</v>
      </c>
      <c r="AB402" s="46" t="str">
        <f>IF(L402&lt;&gt;"","Realizado","Previsto")</f>
        <v>Previsto</v>
      </c>
      <c r="AC402" s="47">
        <v>0.5</v>
      </c>
      <c r="AD402" s="43">
        <v>13088</v>
      </c>
      <c r="AE402" s="39">
        <v>64</v>
      </c>
      <c r="AF402" s="39" t="s">
        <v>87</v>
      </c>
      <c r="AG402" s="43">
        <v>204.5</v>
      </c>
      <c r="AH402" s="39" t="s">
        <v>406</v>
      </c>
      <c r="AI402" s="39" t="s">
        <v>73</v>
      </c>
      <c r="AJ402" s="48">
        <f>IF(Q402&lt;&gt;"",Q402,IF(K402&lt;&gt;"",K402,""))</f>
        <v>46185</v>
      </c>
      <c r="AK402" s="46" t="str">
        <f>IF(K402&lt;&gt;"","Sim","")</f>
        <v>Sim</v>
      </c>
      <c r="AL402" s="46" t="str">
        <f>IF(A402="","",TEXT(A402,"000000")&amp;"-"&amp;IF(C402="Entrada","CR","DB"))</f>
        <v>000401-DB</v>
      </c>
      <c r="AM402" s="46" t="str">
        <f>IF(A402="","",LEFT(IF(H402&lt;&gt;"",H402,G402)&amp;" | "&amp;G402&amp;" | "&amp;S402,60))</f>
        <v>Kit cavalete e hidrômetro - padrão corsan | Kit cavalete e h</v>
      </c>
    </row>
    <row r="403" spans="1:39" ht="43.2" x14ac:dyDescent="0.3">
      <c r="A403" s="39">
        <v>402</v>
      </c>
      <c r="B403" s="39" t="s">
        <v>2</v>
      </c>
      <c r="C403" s="39" t="s">
        <v>74</v>
      </c>
      <c r="D403" s="39" t="s">
        <v>402</v>
      </c>
      <c r="E403" s="39" t="s">
        <v>402</v>
      </c>
      <c r="F403" s="39" t="s">
        <v>391</v>
      </c>
      <c r="G403" s="39" t="s">
        <v>407</v>
      </c>
      <c r="H403" s="40"/>
      <c r="I403" s="40"/>
      <c r="J403" s="40"/>
      <c r="K403" s="42">
        <v>46185</v>
      </c>
      <c r="L403" s="42"/>
      <c r="M403" s="44"/>
      <c r="N403" s="40"/>
      <c r="O403" s="40"/>
      <c r="P403" s="40"/>
      <c r="Q403" s="42">
        <f>IF(K403="","",K403)</f>
        <v>46185</v>
      </c>
      <c r="R403" s="39" t="s">
        <v>402</v>
      </c>
      <c r="S403" s="39" t="s">
        <v>404</v>
      </c>
      <c r="T403" s="39" t="s">
        <v>405</v>
      </c>
      <c r="U403" s="39"/>
      <c r="V403" s="39">
        <v>235</v>
      </c>
      <c r="W403" s="39" t="s">
        <v>495</v>
      </c>
      <c r="X403" s="41">
        <v>46174</v>
      </c>
      <c r="Y403" s="41">
        <v>46185</v>
      </c>
      <c r="Z403" s="43">
        <v>17600</v>
      </c>
      <c r="AA403" s="45">
        <f>IF(M403&lt;&gt;"",M403,Z403)</f>
        <v>17600</v>
      </c>
      <c r="AB403" s="46" t="str">
        <f>IF(L403&lt;&gt;"","Realizado","Previsto")</f>
        <v>Previsto</v>
      </c>
      <c r="AC403" s="47">
        <v>0.5</v>
      </c>
      <c r="AD403" s="43">
        <v>35200</v>
      </c>
      <c r="AE403" s="39">
        <v>64</v>
      </c>
      <c r="AF403" s="39" t="s">
        <v>87</v>
      </c>
      <c r="AG403" s="43">
        <v>550</v>
      </c>
      <c r="AH403" s="39" t="s">
        <v>406</v>
      </c>
      <c r="AI403" s="39" t="s">
        <v>73</v>
      </c>
      <c r="AJ403" s="48">
        <f>IF(Q403&lt;&gt;"",Q403,IF(K403&lt;&gt;"",K403,""))</f>
        <v>46185</v>
      </c>
      <c r="AK403" s="46" t="str">
        <f>IF(K403&lt;&gt;"","Sim","")</f>
        <v>Sim</v>
      </c>
      <c r="AL403" s="46" t="str">
        <f>IF(A403="","",TEXT(A403,"000000")&amp;"-"&amp;IF(C403="Entrada","CR","DB"))</f>
        <v>000402-DB</v>
      </c>
      <c r="AM403" s="46" t="str">
        <f>IF(A403="","",LEFT(IF(H403&lt;&gt;"",H403,G403)&amp;" | "&amp;G403&amp;" | "&amp;S403,60))</f>
        <v xml:space="preserve">Mureta padrão corsan com caixa de polietileno padrão corsan </v>
      </c>
    </row>
    <row r="404" spans="1:39" ht="43.2" x14ac:dyDescent="0.3">
      <c r="A404" s="39">
        <v>403</v>
      </c>
      <c r="B404" s="39" t="s">
        <v>2</v>
      </c>
      <c r="C404" s="39" t="s">
        <v>74</v>
      </c>
      <c r="D404" s="39" t="s">
        <v>408</v>
      </c>
      <c r="E404" s="39" t="s">
        <v>408</v>
      </c>
      <c r="F404" s="39" t="s">
        <v>109</v>
      </c>
      <c r="G404" s="39" t="s">
        <v>409</v>
      </c>
      <c r="H404" s="40"/>
      <c r="I404" s="40"/>
      <c r="J404" s="40"/>
      <c r="K404" s="42">
        <v>46185</v>
      </c>
      <c r="L404" s="42"/>
      <c r="M404" s="44"/>
      <c r="N404" s="40"/>
      <c r="O404" s="40"/>
      <c r="P404" s="40"/>
      <c r="Q404" s="42">
        <f>IF(K404="","",K404)</f>
        <v>46185</v>
      </c>
      <c r="R404" s="39" t="s">
        <v>408</v>
      </c>
      <c r="S404" s="39" t="s">
        <v>410</v>
      </c>
      <c r="T404" s="39" t="s">
        <v>411</v>
      </c>
      <c r="U404" s="39" t="s">
        <v>215</v>
      </c>
      <c r="V404" s="39">
        <v>152</v>
      </c>
      <c r="W404" s="39" t="s">
        <v>495</v>
      </c>
      <c r="X404" s="41">
        <v>46174</v>
      </c>
      <c r="Y404" s="41">
        <v>46185</v>
      </c>
      <c r="Z404" s="43">
        <v>16173.6</v>
      </c>
      <c r="AA404" s="45">
        <f>IF(M404&lt;&gt;"",M404,Z404)</f>
        <v>16173.6</v>
      </c>
      <c r="AB404" s="46" t="str">
        <f>IF(L404&lt;&gt;"","Realizado","Previsto")</f>
        <v>Previsto</v>
      </c>
      <c r="AC404" s="47">
        <v>0.33695000000000003</v>
      </c>
      <c r="AD404" s="43">
        <v>48000</v>
      </c>
      <c r="AE404" s="39">
        <v>320</v>
      </c>
      <c r="AF404" s="39" t="s">
        <v>87</v>
      </c>
      <c r="AG404" s="43">
        <v>150</v>
      </c>
      <c r="AH404" s="39" t="s">
        <v>412</v>
      </c>
      <c r="AI404" s="39" t="s">
        <v>73</v>
      </c>
      <c r="AJ404" s="48">
        <f>IF(Q404&lt;&gt;"",Q404,IF(K404&lt;&gt;"",K404,""))</f>
        <v>46185</v>
      </c>
      <c r="AK404" s="46" t="str">
        <f>IF(K404&lt;&gt;"","Sim","")</f>
        <v>Sim</v>
      </c>
      <c r="AL404" s="46" t="str">
        <f>IF(A404="","",TEXT(A404,"000000")&amp;"-"&amp;IF(C404="Entrada","CR","DB"))</f>
        <v>000403-DB</v>
      </c>
      <c r="AM404" s="46" t="str">
        <f>IF(A404="","",LEFT(IF(H404&lt;&gt;"",H404,G404)&amp;" | "&amp;G404&amp;" | "&amp;S404,60))</f>
        <v xml:space="preserve">Mao de obra terceirizada colocaçao de Esquadrias aluminio | </v>
      </c>
    </row>
    <row r="405" spans="1:39" ht="43.2" x14ac:dyDescent="0.3">
      <c r="A405" s="39">
        <v>404</v>
      </c>
      <c r="B405" s="39" t="s">
        <v>2</v>
      </c>
      <c r="C405" s="39" t="s">
        <v>74</v>
      </c>
      <c r="D405" s="39" t="s">
        <v>242</v>
      </c>
      <c r="E405" s="39" t="s">
        <v>243</v>
      </c>
      <c r="F405" s="39" t="s">
        <v>109</v>
      </c>
      <c r="G405" s="39" t="s">
        <v>244</v>
      </c>
      <c r="H405" s="40"/>
      <c r="I405" s="40"/>
      <c r="J405" s="40"/>
      <c r="K405" s="42">
        <v>46185</v>
      </c>
      <c r="L405" s="42"/>
      <c r="M405" s="44"/>
      <c r="N405" s="40"/>
      <c r="O405" s="40"/>
      <c r="P405" s="40"/>
      <c r="Q405" s="42">
        <f>IF(K405="","",K405)</f>
        <v>46185</v>
      </c>
      <c r="R405" s="39" t="s">
        <v>242</v>
      </c>
      <c r="S405" s="39" t="s">
        <v>245</v>
      </c>
      <c r="T405" s="39" t="s">
        <v>246</v>
      </c>
      <c r="U405" s="39" t="s">
        <v>215</v>
      </c>
      <c r="V405" s="39">
        <v>73</v>
      </c>
      <c r="W405" s="39" t="s">
        <v>495</v>
      </c>
      <c r="X405" s="41">
        <v>46174</v>
      </c>
      <c r="Y405" s="41">
        <v>46185</v>
      </c>
      <c r="Z405" s="43">
        <v>6801.9840000000004</v>
      </c>
      <c r="AA405" s="45">
        <f>IF(M405&lt;&gt;"",M405,Z405)</f>
        <v>6801.9840000000004</v>
      </c>
      <c r="AB405" s="46" t="str">
        <f>IF(L405&lt;&gt;"","Realizado","Previsto")</f>
        <v>Previsto</v>
      </c>
      <c r="AC405" s="47">
        <v>0.25305</v>
      </c>
      <c r="AD405" s="43">
        <v>26880</v>
      </c>
      <c r="AE405" s="39">
        <v>64</v>
      </c>
      <c r="AF405" s="39" t="s">
        <v>113</v>
      </c>
      <c r="AG405" s="43">
        <v>420</v>
      </c>
      <c r="AH405" s="39" t="s">
        <v>247</v>
      </c>
      <c r="AI405" s="39" t="s">
        <v>73</v>
      </c>
      <c r="AJ405" s="48">
        <f>IF(Q405&lt;&gt;"",Q405,IF(K405&lt;&gt;"",K405,""))</f>
        <v>46185</v>
      </c>
      <c r="AK405" s="46" t="str">
        <f>IF(K405&lt;&gt;"","Sim","")</f>
        <v>Sim</v>
      </c>
      <c r="AL405" s="46" t="str">
        <f>IF(A405="","",TEXT(A405,"000000")&amp;"-"&amp;IF(C405="Entrada","CR","DB"))</f>
        <v>000404-DB</v>
      </c>
      <c r="AM405" s="46" t="str">
        <f>IF(A405="","",LEFT(IF(H405&lt;&gt;"",H405,G405)&amp;" | "&amp;G405&amp;" | "&amp;S405,60))</f>
        <v xml:space="preserve">Mao de obra Impermeabilização de áreas úmidas | Mao de obra </v>
      </c>
    </row>
    <row r="406" spans="1:39" ht="43.2" x14ac:dyDescent="0.3">
      <c r="A406" s="39">
        <v>405</v>
      </c>
      <c r="B406" s="39" t="s">
        <v>2</v>
      </c>
      <c r="C406" s="39" t="s">
        <v>74</v>
      </c>
      <c r="D406" s="39" t="s">
        <v>502</v>
      </c>
      <c r="E406" s="39" t="s">
        <v>503</v>
      </c>
      <c r="F406" s="39" t="s">
        <v>83</v>
      </c>
      <c r="G406" s="39" t="s">
        <v>504</v>
      </c>
      <c r="H406" s="40"/>
      <c r="I406" s="40"/>
      <c r="J406" s="40"/>
      <c r="K406" s="42">
        <v>46185</v>
      </c>
      <c r="L406" s="42"/>
      <c r="M406" s="44"/>
      <c r="N406" s="40"/>
      <c r="O406" s="40"/>
      <c r="P406" s="40"/>
      <c r="Q406" s="42">
        <f>IF(K406="","",K406)</f>
        <v>46185</v>
      </c>
      <c r="R406" s="39" t="s">
        <v>502</v>
      </c>
      <c r="S406" s="39" t="s">
        <v>505</v>
      </c>
      <c r="T406" s="39" t="s">
        <v>506</v>
      </c>
      <c r="U406" s="39"/>
      <c r="V406" s="39">
        <v>246</v>
      </c>
      <c r="W406" s="39" t="s">
        <v>495</v>
      </c>
      <c r="X406" s="41">
        <v>46174</v>
      </c>
      <c r="Y406" s="41">
        <v>46185</v>
      </c>
      <c r="Z406" s="43">
        <v>246.88</v>
      </c>
      <c r="AA406" s="45">
        <f>IF(M406&lt;&gt;"",M406,Z406)</f>
        <v>246.88</v>
      </c>
      <c r="AB406" s="46" t="str">
        <f>IF(L406&lt;&gt;"","Realizado","Previsto")</f>
        <v>Previsto</v>
      </c>
      <c r="AC406" s="47">
        <v>0.5</v>
      </c>
      <c r="AD406" s="43">
        <v>493.76</v>
      </c>
      <c r="AE406" s="39">
        <v>32</v>
      </c>
      <c r="AF406" s="39" t="s">
        <v>87</v>
      </c>
      <c r="AG406" s="43">
        <v>15.43</v>
      </c>
      <c r="AH406" s="39" t="s">
        <v>507</v>
      </c>
      <c r="AI406" s="39" t="s">
        <v>73</v>
      </c>
      <c r="AJ406" s="48">
        <f>IF(Q406&lt;&gt;"",Q406,IF(K406&lt;&gt;"",K406,""))</f>
        <v>46185</v>
      </c>
      <c r="AK406" s="46" t="str">
        <f>IF(K406&lt;&gt;"","Sim","")</f>
        <v>Sim</v>
      </c>
      <c r="AL406" s="46" t="str">
        <f>IF(A406="","",TEXT(A406,"000000")&amp;"-"&amp;IF(C406="Entrada","CR","DB"))</f>
        <v>000405-DB</v>
      </c>
      <c r="AM406" s="46" t="str">
        <f>IF(A406="","",LEFT(IF(H406&lt;&gt;"",H406,G406)&amp;" | "&amp;G406&amp;" | "&amp;S406,60))</f>
        <v>DESINFETANTE 5L | DESINFETANTE 5L | Saída | LIMPEZA FINAL</v>
      </c>
    </row>
    <row r="407" spans="1:39" ht="43.2" x14ac:dyDescent="0.3">
      <c r="A407" s="39">
        <v>406</v>
      </c>
      <c r="B407" s="39" t="s">
        <v>2</v>
      </c>
      <c r="C407" s="39" t="s">
        <v>74</v>
      </c>
      <c r="D407" s="39" t="s">
        <v>502</v>
      </c>
      <c r="E407" s="39" t="s">
        <v>503</v>
      </c>
      <c r="F407" s="39" t="s">
        <v>83</v>
      </c>
      <c r="G407" s="39" t="s">
        <v>508</v>
      </c>
      <c r="H407" s="40"/>
      <c r="I407" s="40"/>
      <c r="J407" s="40"/>
      <c r="K407" s="42">
        <v>46185</v>
      </c>
      <c r="L407" s="42"/>
      <c r="M407" s="44"/>
      <c r="N407" s="40"/>
      <c r="O407" s="40"/>
      <c r="P407" s="40"/>
      <c r="Q407" s="42">
        <f>IF(K407="","",K407)</f>
        <v>46185</v>
      </c>
      <c r="R407" s="39" t="s">
        <v>502</v>
      </c>
      <c r="S407" s="39" t="s">
        <v>505</v>
      </c>
      <c r="T407" s="39" t="s">
        <v>506</v>
      </c>
      <c r="U407" s="39"/>
      <c r="V407" s="39">
        <v>244</v>
      </c>
      <c r="W407" s="39" t="s">
        <v>495</v>
      </c>
      <c r="X407" s="41">
        <v>46174</v>
      </c>
      <c r="Y407" s="41">
        <v>46185</v>
      </c>
      <c r="Z407" s="43">
        <v>250.72</v>
      </c>
      <c r="AA407" s="45">
        <f>IF(M407&lt;&gt;"",M407,Z407)</f>
        <v>250.72</v>
      </c>
      <c r="AB407" s="46" t="str">
        <f>IF(L407&lt;&gt;"","Realizado","Previsto")</f>
        <v>Previsto</v>
      </c>
      <c r="AC407" s="47">
        <v>0.5</v>
      </c>
      <c r="AD407" s="43">
        <v>501.44</v>
      </c>
      <c r="AE407" s="39">
        <v>32</v>
      </c>
      <c r="AF407" s="39" t="s">
        <v>87</v>
      </c>
      <c r="AG407" s="43">
        <v>15.67</v>
      </c>
      <c r="AH407" s="39" t="s">
        <v>507</v>
      </c>
      <c r="AI407" s="39" t="s">
        <v>73</v>
      </c>
      <c r="AJ407" s="48">
        <f>IF(Q407&lt;&gt;"",Q407,IF(K407&lt;&gt;"",K407,""))</f>
        <v>46185</v>
      </c>
      <c r="AK407" s="46" t="str">
        <f>IF(K407&lt;&gt;"","Sim","")</f>
        <v>Sim</v>
      </c>
      <c r="AL407" s="46" t="str">
        <f>IF(A407="","",TEXT(A407,"000000")&amp;"-"&amp;IF(C407="Entrada","CR","DB"))</f>
        <v>000406-DB</v>
      </c>
      <c r="AM407" s="46" t="str">
        <f>IF(A407="","",LEFT(IF(H407&lt;&gt;"",H407,G407)&amp;" | "&amp;G407&amp;" | "&amp;S407,60))</f>
        <v>DETERGENTE 5L | DETERGENTE 5L | Saída | LIMPEZA FINAL</v>
      </c>
    </row>
    <row r="408" spans="1:39" ht="43.2" x14ac:dyDescent="0.3">
      <c r="A408" s="39">
        <v>407</v>
      </c>
      <c r="B408" s="39" t="s">
        <v>2</v>
      </c>
      <c r="C408" s="39" t="s">
        <v>74</v>
      </c>
      <c r="D408" s="39" t="s">
        <v>502</v>
      </c>
      <c r="E408" s="39" t="s">
        <v>503</v>
      </c>
      <c r="F408" s="39" t="s">
        <v>83</v>
      </c>
      <c r="G408" s="39" t="s">
        <v>509</v>
      </c>
      <c r="H408" s="40"/>
      <c r="I408" s="40"/>
      <c r="J408" s="40"/>
      <c r="K408" s="42">
        <v>46185</v>
      </c>
      <c r="L408" s="42"/>
      <c r="M408" s="44"/>
      <c r="N408" s="40"/>
      <c r="O408" s="40"/>
      <c r="P408" s="40"/>
      <c r="Q408" s="42">
        <f>IF(K408="","",K408)</f>
        <v>46185</v>
      </c>
      <c r="R408" s="39" t="s">
        <v>502</v>
      </c>
      <c r="S408" s="39" t="s">
        <v>505</v>
      </c>
      <c r="T408" s="39" t="s">
        <v>506</v>
      </c>
      <c r="U408" s="39"/>
      <c r="V408" s="39">
        <v>247</v>
      </c>
      <c r="W408" s="39" t="s">
        <v>495</v>
      </c>
      <c r="X408" s="41">
        <v>46174</v>
      </c>
      <c r="Y408" s="41">
        <v>46185</v>
      </c>
      <c r="Z408" s="43">
        <v>931.48294400000009</v>
      </c>
      <c r="AA408" s="45">
        <f>IF(M408&lt;&gt;"",M408,Z408)</f>
        <v>931.48294400000009</v>
      </c>
      <c r="AB408" s="46" t="str">
        <f>IF(L408&lt;&gt;"","Realizado","Previsto")</f>
        <v>Previsto</v>
      </c>
      <c r="AC408" s="47">
        <v>9.3700000000000006E-2</v>
      </c>
      <c r="AD408" s="43">
        <v>9941.1200000000008</v>
      </c>
      <c r="AE408" s="39">
        <v>2840.32</v>
      </c>
      <c r="AF408" s="39" t="s">
        <v>510</v>
      </c>
      <c r="AG408" s="43">
        <v>3.5</v>
      </c>
      <c r="AH408" s="39" t="s">
        <v>507</v>
      </c>
      <c r="AI408" s="39" t="s">
        <v>73</v>
      </c>
      <c r="AJ408" s="48">
        <f>IF(Q408&lt;&gt;"",Q408,IF(K408&lt;&gt;"",K408,""))</f>
        <v>46185</v>
      </c>
      <c r="AK408" s="46" t="str">
        <f>IF(K408&lt;&gt;"","Sim","")</f>
        <v>Sim</v>
      </c>
      <c r="AL408" s="46" t="str">
        <f>IF(A408="","",TEXT(A408,"000000")&amp;"-"&amp;IF(C408="Entrada","CR","DB"))</f>
        <v>000407-DB</v>
      </c>
      <c r="AM408" s="46" t="str">
        <f>IF(A408="","",LEFT(IF(H408&lt;&gt;"",H408,G408)&amp;" | "&amp;G408&amp;" | "&amp;S408,60))</f>
        <v>Mao de obra terceirizada limpeza final | Mao de obra terceir</v>
      </c>
    </row>
    <row r="409" spans="1:39" ht="43.2" x14ac:dyDescent="0.3">
      <c r="A409" s="39">
        <v>408</v>
      </c>
      <c r="B409" s="39" t="s">
        <v>2</v>
      </c>
      <c r="C409" s="39" t="s">
        <v>74</v>
      </c>
      <c r="D409" s="39" t="s">
        <v>502</v>
      </c>
      <c r="E409" s="39" t="s">
        <v>503</v>
      </c>
      <c r="F409" s="39" t="s">
        <v>83</v>
      </c>
      <c r="G409" s="39" t="s">
        <v>511</v>
      </c>
      <c r="H409" s="40"/>
      <c r="I409" s="40"/>
      <c r="J409" s="40"/>
      <c r="K409" s="42">
        <v>46185</v>
      </c>
      <c r="L409" s="42"/>
      <c r="M409" s="44"/>
      <c r="N409" s="40"/>
      <c r="O409" s="40"/>
      <c r="P409" s="40"/>
      <c r="Q409" s="42">
        <f>IF(K409="","",K409)</f>
        <v>46185</v>
      </c>
      <c r="R409" s="39" t="s">
        <v>502</v>
      </c>
      <c r="S409" s="39" t="s">
        <v>505</v>
      </c>
      <c r="T409" s="39" t="s">
        <v>506</v>
      </c>
      <c r="U409" s="39"/>
      <c r="V409" s="39">
        <v>245</v>
      </c>
      <c r="W409" s="39" t="s">
        <v>495</v>
      </c>
      <c r="X409" s="41">
        <v>46174</v>
      </c>
      <c r="Y409" s="41">
        <v>46185</v>
      </c>
      <c r="Z409" s="43">
        <v>579.36</v>
      </c>
      <c r="AA409" s="45">
        <f>IF(M409&lt;&gt;"",M409,Z409)</f>
        <v>579.36</v>
      </c>
      <c r="AB409" s="46" t="str">
        <f>IF(L409&lt;&gt;"","Realizado","Previsto")</f>
        <v>Previsto</v>
      </c>
      <c r="AC409" s="47">
        <v>0.5</v>
      </c>
      <c r="AD409" s="43">
        <v>1158.72</v>
      </c>
      <c r="AE409" s="39">
        <v>32</v>
      </c>
      <c r="AF409" s="39" t="s">
        <v>87</v>
      </c>
      <c r="AG409" s="43">
        <v>36.21</v>
      </c>
      <c r="AH409" s="39" t="s">
        <v>507</v>
      </c>
      <c r="AI409" s="39" t="s">
        <v>73</v>
      </c>
      <c r="AJ409" s="48">
        <f>IF(Q409&lt;&gt;"",Q409,IF(K409&lt;&gt;"",K409,""))</f>
        <v>46185</v>
      </c>
      <c r="AK409" s="46" t="str">
        <f>IF(K409&lt;&gt;"","Sim","")</f>
        <v>Sim</v>
      </c>
      <c r="AL409" s="46" t="str">
        <f>IF(A409="","",TEXT(A409,"000000")&amp;"-"&amp;IF(C409="Entrada","CR","DB"))</f>
        <v>000408-DB</v>
      </c>
      <c r="AM409" s="46" t="str">
        <f>IF(A409="","",LEFT(IF(H409&lt;&gt;"",H409,G409)&amp;" | "&amp;G409&amp;" | "&amp;S409,60))</f>
        <v>ÁLCOOL 70 LIQUIDO 5L | ÁLCOOL 70 LIQUIDO 5L | Saída | LIMPEZ</v>
      </c>
    </row>
    <row r="410" spans="1:39" ht="43.2" x14ac:dyDescent="0.3">
      <c r="A410" s="39">
        <v>409</v>
      </c>
      <c r="B410" s="39" t="s">
        <v>2</v>
      </c>
      <c r="C410" s="39" t="s">
        <v>74</v>
      </c>
      <c r="D410" s="39" t="s">
        <v>469</v>
      </c>
      <c r="E410" s="39" t="s">
        <v>512</v>
      </c>
      <c r="F410" s="39" t="s">
        <v>132</v>
      </c>
      <c r="G410" s="39" t="s">
        <v>513</v>
      </c>
      <c r="H410" s="40"/>
      <c r="I410" s="40"/>
      <c r="J410" s="40"/>
      <c r="K410" s="42">
        <v>46185</v>
      </c>
      <c r="L410" s="42"/>
      <c r="M410" s="44"/>
      <c r="N410" s="40"/>
      <c r="O410" s="40"/>
      <c r="P410" s="40"/>
      <c r="Q410" s="42">
        <f>IF(K410="","",K410)</f>
        <v>46185</v>
      </c>
      <c r="R410" s="39" t="s">
        <v>469</v>
      </c>
      <c r="S410" s="39" t="s">
        <v>471</v>
      </c>
      <c r="T410" s="39" t="s">
        <v>514</v>
      </c>
      <c r="U410" s="39" t="s">
        <v>275</v>
      </c>
      <c r="V410" s="39">
        <v>218</v>
      </c>
      <c r="W410" s="39" t="s">
        <v>495</v>
      </c>
      <c r="X410" s="41">
        <v>46174</v>
      </c>
      <c r="Y410" s="41">
        <v>46185</v>
      </c>
      <c r="Z410" s="43">
        <v>1219.2</v>
      </c>
      <c r="AA410" s="45">
        <f>IF(M410&lt;&gt;"",M410,Z410)</f>
        <v>1219.2</v>
      </c>
      <c r="AB410" s="46" t="str">
        <f>IF(L410&lt;&gt;"","Realizado","Previsto")</f>
        <v>Previsto</v>
      </c>
      <c r="AC410" s="47">
        <v>0.5</v>
      </c>
      <c r="AD410" s="43">
        <v>2438.4</v>
      </c>
      <c r="AE410" s="39">
        <v>128</v>
      </c>
      <c r="AF410" s="39" t="s">
        <v>87</v>
      </c>
      <c r="AG410" s="43">
        <v>19.05</v>
      </c>
      <c r="AH410" s="39" t="s">
        <v>515</v>
      </c>
      <c r="AI410" s="39" t="s">
        <v>73</v>
      </c>
      <c r="AJ410" s="48">
        <f>IF(Q410&lt;&gt;"",Q410,IF(K410&lt;&gt;"",K410,""))</f>
        <v>46185</v>
      </c>
      <c r="AK410" s="46" t="str">
        <f>IF(K410&lt;&gt;"","Sim","")</f>
        <v>Sim</v>
      </c>
      <c r="AL410" s="46" t="str">
        <f>IF(A410="","",TEXT(A410,"000000")&amp;"-"&amp;IF(C410="Entrada","CR","DB"))</f>
        <v>000409-DB</v>
      </c>
      <c r="AM410" s="46" t="str">
        <f>IF(A410="","",LEFT(IF(H410&lt;&gt;"",H410,G410)&amp;" | "&amp;G410&amp;" | "&amp;S410,60))</f>
        <v>ACABAMENTO CROMADO PARA REGISTRO GAVETA 3/4 ( tanque, maquin</v>
      </c>
    </row>
    <row r="411" spans="1:39" ht="43.2" x14ac:dyDescent="0.3">
      <c r="A411" s="39">
        <v>410</v>
      </c>
      <c r="B411" s="39" t="s">
        <v>2</v>
      </c>
      <c r="C411" s="39" t="s">
        <v>74</v>
      </c>
      <c r="D411" s="39" t="s">
        <v>469</v>
      </c>
      <c r="E411" s="39" t="s">
        <v>512</v>
      </c>
      <c r="F411" s="39" t="s">
        <v>132</v>
      </c>
      <c r="G411" s="39" t="s">
        <v>516</v>
      </c>
      <c r="H411" s="40"/>
      <c r="I411" s="40"/>
      <c r="J411" s="40"/>
      <c r="K411" s="42">
        <v>46185</v>
      </c>
      <c r="L411" s="42"/>
      <c r="M411" s="44"/>
      <c r="N411" s="40"/>
      <c r="O411" s="40"/>
      <c r="P411" s="40"/>
      <c r="Q411" s="42">
        <f>IF(K411="","",K411)</f>
        <v>46185</v>
      </c>
      <c r="R411" s="39" t="s">
        <v>469</v>
      </c>
      <c r="S411" s="39" t="s">
        <v>471</v>
      </c>
      <c r="T411" s="39" t="s">
        <v>514</v>
      </c>
      <c r="U411" s="39" t="s">
        <v>275</v>
      </c>
      <c r="V411" s="39">
        <v>219</v>
      </c>
      <c r="W411" s="39" t="s">
        <v>495</v>
      </c>
      <c r="X411" s="41">
        <v>46174</v>
      </c>
      <c r="Y411" s="41">
        <v>46185</v>
      </c>
      <c r="Z411" s="43">
        <v>609.6</v>
      </c>
      <c r="AA411" s="45">
        <f>IF(M411&lt;&gt;"",M411,Z411)</f>
        <v>609.6</v>
      </c>
      <c r="AB411" s="46" t="str">
        <f>IF(L411&lt;&gt;"","Realizado","Previsto")</f>
        <v>Previsto</v>
      </c>
      <c r="AC411" s="47">
        <v>0.5</v>
      </c>
      <c r="AD411" s="43">
        <v>1219.2</v>
      </c>
      <c r="AE411" s="39">
        <v>64</v>
      </c>
      <c r="AF411" s="39" t="s">
        <v>87</v>
      </c>
      <c r="AG411" s="43">
        <v>19.05</v>
      </c>
      <c r="AH411" s="39" t="s">
        <v>515</v>
      </c>
      <c r="AI411" s="39" t="s">
        <v>73</v>
      </c>
      <c r="AJ411" s="48">
        <f>IF(Q411&lt;&gt;"",Q411,IF(K411&lt;&gt;"",K411,""))</f>
        <v>46185</v>
      </c>
      <c r="AK411" s="46" t="str">
        <f>IF(K411&lt;&gt;"","Sim","")</f>
        <v>Sim</v>
      </c>
      <c r="AL411" s="46" t="str">
        <f>IF(A411="","",TEXT(A411,"000000")&amp;"-"&amp;IF(C411="Entrada","CR","DB"))</f>
        <v>000410-DB</v>
      </c>
      <c r="AM411" s="46" t="str">
        <f>IF(A411="","",LEFT(IF(H411&lt;&gt;"",H411,G411)&amp;" | "&amp;G411&amp;" | "&amp;S411,60))</f>
        <v>ACABAMENTO CROMADO PARA REGISTRO pressao 3/4 ( tanque, maqui</v>
      </c>
    </row>
    <row r="412" spans="1:39" ht="43.2" x14ac:dyDescent="0.3">
      <c r="A412" s="39">
        <v>411</v>
      </c>
      <c r="B412" s="39" t="s">
        <v>2</v>
      </c>
      <c r="C412" s="39" t="s">
        <v>74</v>
      </c>
      <c r="D412" s="39" t="s">
        <v>469</v>
      </c>
      <c r="E412" s="39" t="s">
        <v>517</v>
      </c>
      <c r="F412" s="39" t="s">
        <v>132</v>
      </c>
      <c r="G412" s="39" t="s">
        <v>518</v>
      </c>
      <c r="H412" s="40"/>
      <c r="I412" s="40"/>
      <c r="J412" s="40"/>
      <c r="K412" s="42">
        <v>46185</v>
      </c>
      <c r="L412" s="42"/>
      <c r="M412" s="44"/>
      <c r="N412" s="40"/>
      <c r="O412" s="40"/>
      <c r="P412" s="40"/>
      <c r="Q412" s="42">
        <f>IF(K412="","",K412)</f>
        <v>46185</v>
      </c>
      <c r="R412" s="39" t="s">
        <v>469</v>
      </c>
      <c r="S412" s="39" t="s">
        <v>471</v>
      </c>
      <c r="T412" s="39" t="s">
        <v>519</v>
      </c>
      <c r="U412" s="39" t="s">
        <v>275</v>
      </c>
      <c r="V412" s="39">
        <v>204</v>
      </c>
      <c r="W412" s="39" t="s">
        <v>495</v>
      </c>
      <c r="X412" s="41">
        <v>46174</v>
      </c>
      <c r="Y412" s="41">
        <v>46185</v>
      </c>
      <c r="Z412" s="43">
        <v>229.44</v>
      </c>
      <c r="AA412" s="45">
        <f>IF(M412&lt;&gt;"",M412,Z412)</f>
        <v>229.44</v>
      </c>
      <c r="AB412" s="46" t="str">
        <f>IF(L412&lt;&gt;"","Realizado","Previsto")</f>
        <v>Previsto</v>
      </c>
      <c r="AC412" s="47">
        <v>0.5</v>
      </c>
      <c r="AD412" s="43">
        <v>458.88</v>
      </c>
      <c r="AE412" s="39">
        <v>64</v>
      </c>
      <c r="AF412" s="39" t="s">
        <v>87</v>
      </c>
      <c r="AG412" s="43">
        <v>7.17</v>
      </c>
      <c r="AH412" s="39" t="s">
        <v>520</v>
      </c>
      <c r="AI412" s="39" t="s">
        <v>73</v>
      </c>
      <c r="AJ412" s="48">
        <f>IF(Q412&lt;&gt;"",Q412,IF(K412&lt;&gt;"",K412,""))</f>
        <v>46185</v>
      </c>
      <c r="AK412" s="46" t="str">
        <f>IF(K412&lt;&gt;"","Sim","")</f>
        <v>Sim</v>
      </c>
      <c r="AL412" s="46" t="str">
        <f>IF(A412="","",TEXT(A412,"000000")&amp;"-"&amp;IF(C412="Entrada","CR","DB"))</f>
        <v>000411-DB</v>
      </c>
      <c r="AM412" s="46" t="str">
        <f>IF(A412="","",LEFT(IF(H412&lt;&gt;"",H412,G412)&amp;" | "&amp;G412&amp;" | "&amp;S412,60))</f>
        <v>Anel Vedação P/bacia Sanitária C/guia 100MM Preto Amanco | A</v>
      </c>
    </row>
    <row r="413" spans="1:39" ht="43.2" x14ac:dyDescent="0.3">
      <c r="A413" s="39">
        <v>412</v>
      </c>
      <c r="B413" s="39" t="s">
        <v>2</v>
      </c>
      <c r="C413" s="39" t="s">
        <v>74</v>
      </c>
      <c r="D413" s="39" t="s">
        <v>469</v>
      </c>
      <c r="E413" s="39" t="s">
        <v>517</v>
      </c>
      <c r="F413" s="39" t="s">
        <v>521</v>
      </c>
      <c r="G413" s="39" t="s">
        <v>522</v>
      </c>
      <c r="H413" s="40"/>
      <c r="I413" s="40"/>
      <c r="J413" s="40"/>
      <c r="K413" s="42">
        <v>46185</v>
      </c>
      <c r="L413" s="42"/>
      <c r="M413" s="44"/>
      <c r="N413" s="40"/>
      <c r="O413" s="40"/>
      <c r="P413" s="40"/>
      <c r="Q413" s="42">
        <f>IF(K413="","",K413)</f>
        <v>46185</v>
      </c>
      <c r="R413" s="39" t="s">
        <v>469</v>
      </c>
      <c r="S413" s="39" t="s">
        <v>471</v>
      </c>
      <c r="T413" s="39" t="s">
        <v>523</v>
      </c>
      <c r="U413" s="39" t="s">
        <v>275</v>
      </c>
      <c r="V413" s="39">
        <v>200</v>
      </c>
      <c r="W413" s="39" t="s">
        <v>495</v>
      </c>
      <c r="X413" s="41">
        <v>46174</v>
      </c>
      <c r="Y413" s="41">
        <v>46185</v>
      </c>
      <c r="Z413" s="43">
        <v>8319.0400000000009</v>
      </c>
      <c r="AA413" s="45">
        <f>IF(M413&lt;&gt;"",M413,Z413)</f>
        <v>8319.0400000000009</v>
      </c>
      <c r="AB413" s="46" t="str">
        <f>IF(L413&lt;&gt;"","Realizado","Previsto")</f>
        <v>Previsto</v>
      </c>
      <c r="AC413" s="47">
        <v>0.5</v>
      </c>
      <c r="AD413" s="43">
        <v>16638.080000000002</v>
      </c>
      <c r="AE413" s="39">
        <v>64</v>
      </c>
      <c r="AF413" s="39" t="s">
        <v>87</v>
      </c>
      <c r="AG413" s="43">
        <v>259.97000000000003</v>
      </c>
      <c r="AH413" s="39" t="s">
        <v>524</v>
      </c>
      <c r="AI413" s="39" t="s">
        <v>73</v>
      </c>
      <c r="AJ413" s="48">
        <f>IF(Q413&lt;&gt;"",Q413,IF(K413&lt;&gt;"",K413,""))</f>
        <v>46185</v>
      </c>
      <c r="AK413" s="46" t="str">
        <f>IF(K413&lt;&gt;"","Sim","")</f>
        <v>Sim</v>
      </c>
      <c r="AL413" s="46" t="str">
        <f>IF(A413="","",TEXT(A413,"000000")&amp;"-"&amp;IF(C413="Entrada","CR","DB"))</f>
        <v>000412-DB</v>
      </c>
      <c r="AM413" s="46" t="str">
        <f>IF(A413="","",LEFT(IF(H413&lt;&gt;"",H413,G413)&amp;" | "&amp;G413&amp;" | "&amp;S413,60))</f>
        <v>BACIA SANITARIA (VASO) C/ CAIXA ACOPLADA, DE LOUCA BRANCA EA</v>
      </c>
    </row>
    <row r="414" spans="1:39" ht="43.2" x14ac:dyDescent="0.3">
      <c r="A414" s="39">
        <v>413</v>
      </c>
      <c r="B414" s="39" t="s">
        <v>2</v>
      </c>
      <c r="C414" s="39" t="s">
        <v>74</v>
      </c>
      <c r="D414" s="39" t="s">
        <v>469</v>
      </c>
      <c r="E414" s="39" t="s">
        <v>469</v>
      </c>
      <c r="F414" s="39" t="s">
        <v>525</v>
      </c>
      <c r="G414" s="39" t="s">
        <v>526</v>
      </c>
      <c r="H414" s="40"/>
      <c r="I414" s="40"/>
      <c r="J414" s="40"/>
      <c r="K414" s="42">
        <v>46185</v>
      </c>
      <c r="L414" s="42"/>
      <c r="M414" s="44"/>
      <c r="N414" s="40"/>
      <c r="O414" s="40"/>
      <c r="P414" s="40"/>
      <c r="Q414" s="42">
        <f>IF(K414="","",K414)</f>
        <v>46185</v>
      </c>
      <c r="R414" s="39" t="s">
        <v>469</v>
      </c>
      <c r="S414" s="39" t="s">
        <v>471</v>
      </c>
      <c r="T414" s="39" t="s">
        <v>527</v>
      </c>
      <c r="U414" s="39" t="s">
        <v>275</v>
      </c>
      <c r="V414" s="39">
        <v>222</v>
      </c>
      <c r="W414" s="39" t="s">
        <v>495</v>
      </c>
      <c r="X414" s="41">
        <v>46174</v>
      </c>
      <c r="Y414" s="41">
        <v>46185</v>
      </c>
      <c r="Z414" s="43">
        <v>7996.8</v>
      </c>
      <c r="AA414" s="45">
        <f>IF(M414&lt;&gt;"",M414,Z414)</f>
        <v>7996.8</v>
      </c>
      <c r="AB414" s="46" t="str">
        <f>IF(L414&lt;&gt;"","Realizado","Previsto")</f>
        <v>Previsto</v>
      </c>
      <c r="AC414" s="47">
        <v>0.5</v>
      </c>
      <c r="AD414" s="43">
        <v>15993.6</v>
      </c>
      <c r="AE414" s="39">
        <v>64</v>
      </c>
      <c r="AF414" s="39" t="s">
        <v>87</v>
      </c>
      <c r="AG414" s="43">
        <v>249.9</v>
      </c>
      <c r="AH414" s="39" t="s">
        <v>528</v>
      </c>
      <c r="AI414" s="39" t="s">
        <v>73</v>
      </c>
      <c r="AJ414" s="48">
        <f>IF(Q414&lt;&gt;"",Q414,IF(K414&lt;&gt;"",K414,""))</f>
        <v>46185</v>
      </c>
      <c r="AK414" s="46" t="str">
        <f>IF(K414&lt;&gt;"","Sim","")</f>
        <v>Sim</v>
      </c>
      <c r="AL414" s="46" t="str">
        <f>IF(A414="","",TEXT(A414,"000000")&amp;"-"&amp;IF(C414="Entrada","CR","DB"))</f>
        <v>000413-DB</v>
      </c>
      <c r="AM414" s="46" t="str">
        <f>IF(A414="","",LEFT(IF(H414&lt;&gt;"",H414,G414)&amp;" | "&amp;G414&amp;" | "&amp;S414,60))</f>
        <v>Bancada de mármore sintético 120x60 | Bancada de mármore sin</v>
      </c>
    </row>
    <row r="415" spans="1:39" ht="43.2" x14ac:dyDescent="0.3">
      <c r="A415" s="39">
        <v>414</v>
      </c>
      <c r="B415" s="39" t="s">
        <v>2</v>
      </c>
      <c r="C415" s="39" t="s">
        <v>74</v>
      </c>
      <c r="D415" s="39" t="s">
        <v>469</v>
      </c>
      <c r="E415" s="39" t="s">
        <v>529</v>
      </c>
      <c r="F415" s="39" t="s">
        <v>521</v>
      </c>
      <c r="G415" s="39" t="s">
        <v>530</v>
      </c>
      <c r="H415" s="40"/>
      <c r="I415" s="40"/>
      <c r="J415" s="40"/>
      <c r="K415" s="42">
        <v>46185</v>
      </c>
      <c r="L415" s="42"/>
      <c r="M415" s="44"/>
      <c r="N415" s="40"/>
      <c r="O415" s="40"/>
      <c r="P415" s="40"/>
      <c r="Q415" s="42">
        <f>IF(K415="","",K415)</f>
        <v>46185</v>
      </c>
      <c r="R415" s="39" t="s">
        <v>469</v>
      </c>
      <c r="S415" s="39" t="s">
        <v>471</v>
      </c>
      <c r="T415" s="39" t="s">
        <v>531</v>
      </c>
      <c r="U415" s="39" t="s">
        <v>275</v>
      </c>
      <c r="V415" s="39">
        <v>202</v>
      </c>
      <c r="W415" s="39" t="s">
        <v>495</v>
      </c>
      <c r="X415" s="41">
        <v>46174</v>
      </c>
      <c r="Y415" s="41">
        <v>46185</v>
      </c>
      <c r="Z415" s="43">
        <v>2332.8000000000002</v>
      </c>
      <c r="AA415" s="45">
        <f>IF(M415&lt;&gt;"",M415,Z415)</f>
        <v>2332.8000000000002</v>
      </c>
      <c r="AB415" s="46" t="str">
        <f>IF(L415&lt;&gt;"","Realizado","Previsto")</f>
        <v>Previsto</v>
      </c>
      <c r="AC415" s="47">
        <v>0.5</v>
      </c>
      <c r="AD415" s="43">
        <v>4665.6000000000004</v>
      </c>
      <c r="AE415" s="39">
        <v>64</v>
      </c>
      <c r="AF415" s="39" t="s">
        <v>87</v>
      </c>
      <c r="AG415" s="43">
        <v>72.900000000000006</v>
      </c>
      <c r="AH415" s="39" t="s">
        <v>532</v>
      </c>
      <c r="AI415" s="39" t="s">
        <v>73</v>
      </c>
      <c r="AJ415" s="48">
        <f>IF(Q415&lt;&gt;"",Q415,IF(K415&lt;&gt;"",K415,""))</f>
        <v>46185</v>
      </c>
      <c r="AK415" s="46" t="str">
        <f>IF(K415&lt;&gt;"","Sim","")</f>
        <v>Sim</v>
      </c>
      <c r="AL415" s="46" t="str">
        <f>IF(A415="","",TEXT(A415,"000000")&amp;"-"&amp;IF(C415="Entrada","CR","DB"))</f>
        <v>000414-DB</v>
      </c>
      <c r="AM415" s="46" t="str">
        <f>IF(A415="","",LEFT(IF(H415&lt;&gt;"",H415,G415)&amp;" | "&amp;G415&amp;" | "&amp;S415,60))</f>
        <v>COLUNA P/ LAVATÓRIO BRANCO | COLUNA P/ LAVATÓRIO BRANCO | Sa</v>
      </c>
    </row>
    <row r="416" spans="1:39" ht="43.2" x14ac:dyDescent="0.3">
      <c r="A416" s="39">
        <v>415</v>
      </c>
      <c r="B416" s="39" t="s">
        <v>2</v>
      </c>
      <c r="C416" s="39" t="s">
        <v>74</v>
      </c>
      <c r="D416" s="39" t="s">
        <v>469</v>
      </c>
      <c r="E416" s="39" t="s">
        <v>517</v>
      </c>
      <c r="F416" s="39" t="s">
        <v>132</v>
      </c>
      <c r="G416" s="39" t="s">
        <v>533</v>
      </c>
      <c r="H416" s="40"/>
      <c r="I416" s="40"/>
      <c r="J416" s="40"/>
      <c r="K416" s="42">
        <v>46185</v>
      </c>
      <c r="L416" s="42"/>
      <c r="M416" s="44"/>
      <c r="N416" s="40"/>
      <c r="O416" s="40"/>
      <c r="P416" s="40"/>
      <c r="Q416" s="42">
        <f>IF(K416="","",K416)</f>
        <v>46185</v>
      </c>
      <c r="R416" s="39" t="s">
        <v>469</v>
      </c>
      <c r="S416" s="39" t="s">
        <v>471</v>
      </c>
      <c r="T416" s="39" t="s">
        <v>519</v>
      </c>
      <c r="U416" s="39" t="s">
        <v>275</v>
      </c>
      <c r="V416" s="39">
        <v>205</v>
      </c>
      <c r="W416" s="39" t="s">
        <v>495</v>
      </c>
      <c r="X416" s="41">
        <v>46174</v>
      </c>
      <c r="Y416" s="41">
        <v>46185</v>
      </c>
      <c r="Z416" s="43">
        <v>144</v>
      </c>
      <c r="AA416" s="45">
        <f>IF(M416&lt;&gt;"",M416,Z416)</f>
        <v>144</v>
      </c>
      <c r="AB416" s="46" t="str">
        <f>IF(L416&lt;&gt;"","Realizado","Previsto")</f>
        <v>Previsto</v>
      </c>
      <c r="AC416" s="47">
        <v>0.5</v>
      </c>
      <c r="AD416" s="43">
        <v>288</v>
      </c>
      <c r="AE416" s="39">
        <v>64</v>
      </c>
      <c r="AF416" s="39" t="s">
        <v>87</v>
      </c>
      <c r="AG416" s="43">
        <v>4.5</v>
      </c>
      <c r="AH416" s="39" t="s">
        <v>520</v>
      </c>
      <c r="AI416" s="39" t="s">
        <v>73</v>
      </c>
      <c r="AJ416" s="48">
        <f>IF(Q416&lt;&gt;"",Q416,IF(K416&lt;&gt;"",K416,""))</f>
        <v>46185</v>
      </c>
      <c r="AK416" s="46" t="str">
        <f>IF(K416&lt;&gt;"","Sim","")</f>
        <v>Sim</v>
      </c>
      <c r="AL416" s="46" t="str">
        <f>IF(A416="","",TEXT(A416,"000000")&amp;"-"&amp;IF(C416="Entrada","CR","DB"))</f>
        <v>000415-DB</v>
      </c>
      <c r="AM416" s="46" t="str">
        <f>IF(A416="","",LEFT(IF(H416&lt;&gt;"",H416,G416)&amp;" | "&amp;G416&amp;" | "&amp;S416,60))</f>
        <v>ENGATE FLEXÍVEL EM PLÁSTICO BRANCO, 1/2" X 40CM | ENGATE FLE</v>
      </c>
    </row>
    <row r="417" spans="1:39" ht="43.2" x14ac:dyDescent="0.3">
      <c r="A417" s="39">
        <v>416</v>
      </c>
      <c r="B417" s="39" t="s">
        <v>2</v>
      </c>
      <c r="C417" s="39" t="s">
        <v>74</v>
      </c>
      <c r="D417" s="39" t="s">
        <v>469</v>
      </c>
      <c r="E417" s="39" t="s">
        <v>529</v>
      </c>
      <c r="F417" s="39" t="s">
        <v>132</v>
      </c>
      <c r="G417" s="39" t="s">
        <v>533</v>
      </c>
      <c r="H417" s="40"/>
      <c r="I417" s="40"/>
      <c r="J417" s="40"/>
      <c r="K417" s="42">
        <v>46185</v>
      </c>
      <c r="L417" s="42"/>
      <c r="M417" s="44"/>
      <c r="N417" s="40"/>
      <c r="O417" s="40"/>
      <c r="P417" s="40"/>
      <c r="Q417" s="42">
        <f>IF(K417="","",K417)</f>
        <v>46185</v>
      </c>
      <c r="R417" s="39" t="s">
        <v>469</v>
      </c>
      <c r="S417" s="39" t="s">
        <v>471</v>
      </c>
      <c r="T417" s="39" t="s">
        <v>534</v>
      </c>
      <c r="U417" s="39" t="s">
        <v>275</v>
      </c>
      <c r="V417" s="39">
        <v>209</v>
      </c>
      <c r="W417" s="39" t="s">
        <v>495</v>
      </c>
      <c r="X417" s="41">
        <v>46174</v>
      </c>
      <c r="Y417" s="41">
        <v>46185</v>
      </c>
      <c r="Z417" s="43">
        <v>252.48</v>
      </c>
      <c r="AA417" s="45">
        <f>IF(M417&lt;&gt;"",M417,Z417)</f>
        <v>252.48</v>
      </c>
      <c r="AB417" s="46" t="str">
        <f>IF(L417&lt;&gt;"","Realizado","Previsto")</f>
        <v>Previsto</v>
      </c>
      <c r="AC417" s="47">
        <v>0.5</v>
      </c>
      <c r="AD417" s="43">
        <v>504.96</v>
      </c>
      <c r="AE417" s="39">
        <v>64</v>
      </c>
      <c r="AF417" s="39" t="s">
        <v>87</v>
      </c>
      <c r="AG417" s="43">
        <v>7.89</v>
      </c>
      <c r="AH417" s="39" t="s">
        <v>535</v>
      </c>
      <c r="AI417" s="39" t="s">
        <v>73</v>
      </c>
      <c r="AJ417" s="48">
        <f>IF(Q417&lt;&gt;"",Q417,IF(K417&lt;&gt;"",K417,""))</f>
        <v>46185</v>
      </c>
      <c r="AK417" s="46" t="str">
        <f>IF(K417&lt;&gt;"","Sim","")</f>
        <v>Sim</v>
      </c>
      <c r="AL417" s="46" t="str">
        <f>IF(A417="","",TEXT(A417,"000000")&amp;"-"&amp;IF(C417="Entrada","CR","DB"))</f>
        <v>000416-DB</v>
      </c>
      <c r="AM417" s="46" t="str">
        <f>IF(A417="","",LEFT(IF(H417&lt;&gt;"",H417,G417)&amp;" | "&amp;G417&amp;" | "&amp;S417,60))</f>
        <v>ENGATE FLEXÍVEL EM PLÁSTICO BRANCO, 1/2" X 40CM | ENGATE FLE</v>
      </c>
    </row>
    <row r="418" spans="1:39" ht="43.2" x14ac:dyDescent="0.3">
      <c r="A418" s="39">
        <v>417</v>
      </c>
      <c r="B418" s="39" t="s">
        <v>2</v>
      </c>
      <c r="C418" s="39" t="s">
        <v>74</v>
      </c>
      <c r="D418" s="39" t="s">
        <v>469</v>
      </c>
      <c r="E418" s="39" t="s">
        <v>512</v>
      </c>
      <c r="F418" s="39" t="s">
        <v>132</v>
      </c>
      <c r="G418" s="39" t="s">
        <v>536</v>
      </c>
      <c r="H418" s="40"/>
      <c r="I418" s="40"/>
      <c r="J418" s="40"/>
      <c r="K418" s="42">
        <v>46185</v>
      </c>
      <c r="L418" s="42"/>
      <c r="M418" s="44"/>
      <c r="N418" s="40"/>
      <c r="O418" s="40"/>
      <c r="P418" s="40"/>
      <c r="Q418" s="42">
        <f>IF(K418="","",K418)</f>
        <v>46185</v>
      </c>
      <c r="R418" s="39" t="s">
        <v>469</v>
      </c>
      <c r="S418" s="39" t="s">
        <v>471</v>
      </c>
      <c r="T418" s="39" t="s">
        <v>514</v>
      </c>
      <c r="U418" s="39" t="s">
        <v>275</v>
      </c>
      <c r="V418" s="39">
        <v>221</v>
      </c>
      <c r="W418" s="39" t="s">
        <v>495</v>
      </c>
      <c r="X418" s="41">
        <v>46174</v>
      </c>
      <c r="Y418" s="41">
        <v>46185</v>
      </c>
      <c r="Z418" s="43">
        <v>204.8</v>
      </c>
      <c r="AA418" s="45">
        <f>IF(M418&lt;&gt;"",M418,Z418)</f>
        <v>204.8</v>
      </c>
      <c r="AB418" s="46" t="str">
        <f>IF(L418&lt;&gt;"","Realizado","Previsto")</f>
        <v>Previsto</v>
      </c>
      <c r="AC418" s="47">
        <v>0.5</v>
      </c>
      <c r="AD418" s="43">
        <v>409.6</v>
      </c>
      <c r="AE418" s="39">
        <v>64</v>
      </c>
      <c r="AF418" s="39" t="s">
        <v>87</v>
      </c>
      <c r="AG418" s="43">
        <v>6.4</v>
      </c>
      <c r="AH418" s="39" t="s">
        <v>515</v>
      </c>
      <c r="AI418" s="39" t="s">
        <v>73</v>
      </c>
      <c r="AJ418" s="48">
        <f>IF(Q418&lt;&gt;"",Q418,IF(K418&lt;&gt;"",K418,""))</f>
        <v>46185</v>
      </c>
      <c r="AK418" s="46" t="str">
        <f>IF(K418&lt;&gt;"","Sim","")</f>
        <v>Sim</v>
      </c>
      <c r="AL418" s="46" t="str">
        <f>IF(A418="","",TEXT(A418,"000000")&amp;"-"&amp;IF(C418="Entrada","CR","DB"))</f>
        <v>000417-DB</v>
      </c>
      <c r="AM418" s="46" t="str">
        <f>IF(A418="","",LEFT(IF(H418&lt;&gt;"",H418,G418)&amp;" | "&amp;G418&amp;" | "&amp;S418,60))</f>
        <v xml:space="preserve">Grelha 100x100mm - chuveiro | Grelha 100x100mm - chuveiro | </v>
      </c>
    </row>
    <row r="419" spans="1:39" ht="43.2" x14ac:dyDescent="0.3">
      <c r="A419" s="39">
        <v>418</v>
      </c>
      <c r="B419" s="39" t="s">
        <v>2</v>
      </c>
      <c r="C419" s="39" t="s">
        <v>74</v>
      </c>
      <c r="D419" s="39" t="s">
        <v>469</v>
      </c>
      <c r="E419" s="39" t="s">
        <v>529</v>
      </c>
      <c r="F419" s="39" t="s">
        <v>521</v>
      </c>
      <c r="G419" s="39" t="s">
        <v>537</v>
      </c>
      <c r="H419" s="40"/>
      <c r="I419" s="40"/>
      <c r="J419" s="40"/>
      <c r="K419" s="42">
        <v>46185</v>
      </c>
      <c r="L419" s="42"/>
      <c r="M419" s="44"/>
      <c r="N419" s="40"/>
      <c r="O419" s="40"/>
      <c r="P419" s="40"/>
      <c r="Q419" s="42">
        <f>IF(K419="","",K419)</f>
        <v>46185</v>
      </c>
      <c r="R419" s="39" t="s">
        <v>469</v>
      </c>
      <c r="S419" s="39" t="s">
        <v>471</v>
      </c>
      <c r="T419" s="39" t="s">
        <v>531</v>
      </c>
      <c r="U419" s="39" t="s">
        <v>275</v>
      </c>
      <c r="V419" s="39">
        <v>201</v>
      </c>
      <c r="W419" s="39" t="s">
        <v>495</v>
      </c>
      <c r="X419" s="41">
        <v>46174</v>
      </c>
      <c r="Y419" s="41">
        <v>46185</v>
      </c>
      <c r="Z419" s="43">
        <v>2460.8000000000002</v>
      </c>
      <c r="AA419" s="45">
        <f>IF(M419&lt;&gt;"",M419,Z419)</f>
        <v>2460.8000000000002</v>
      </c>
      <c r="AB419" s="46" t="str">
        <f>IF(L419&lt;&gt;"","Realizado","Previsto")</f>
        <v>Previsto</v>
      </c>
      <c r="AC419" s="47">
        <v>0.5</v>
      </c>
      <c r="AD419" s="43">
        <v>4921.6000000000004</v>
      </c>
      <c r="AE419" s="39">
        <v>64</v>
      </c>
      <c r="AF419" s="39" t="s">
        <v>87</v>
      </c>
      <c r="AG419" s="43">
        <v>76.900000000000006</v>
      </c>
      <c r="AH419" s="39" t="s">
        <v>532</v>
      </c>
      <c r="AI419" s="39" t="s">
        <v>73</v>
      </c>
      <c r="AJ419" s="48">
        <f>IF(Q419&lt;&gt;"",Q419,IF(K419&lt;&gt;"",K419,""))</f>
        <v>46185</v>
      </c>
      <c r="AK419" s="46" t="str">
        <f>IF(K419&lt;&gt;"","Sim","")</f>
        <v>Sim</v>
      </c>
      <c r="AL419" s="46" t="str">
        <f>IF(A419="","",TEXT(A419,"000000")&amp;"-"&amp;IF(C419="Entrada","CR","DB"))</f>
        <v>000418-DB</v>
      </c>
      <c r="AM419" s="46" t="str">
        <f>IF(A419="","",LEFT(IF(H419&lt;&gt;"",H419,G419)&amp;" | "&amp;G419&amp;" | "&amp;S419,60))</f>
        <v>LAVATORIO LOUCA BRANCA C/ COLUNA 470 X 425 MM (SOMENTELAVATÓ</v>
      </c>
    </row>
    <row r="420" spans="1:39" ht="43.2" x14ac:dyDescent="0.3">
      <c r="A420" s="39">
        <v>419</v>
      </c>
      <c r="B420" s="39" t="s">
        <v>2</v>
      </c>
      <c r="C420" s="39" t="s">
        <v>74</v>
      </c>
      <c r="D420" s="39" t="s">
        <v>469</v>
      </c>
      <c r="E420" s="39" t="s">
        <v>469</v>
      </c>
      <c r="F420" s="39" t="s">
        <v>109</v>
      </c>
      <c r="G420" s="39" t="s">
        <v>470</v>
      </c>
      <c r="H420" s="40"/>
      <c r="I420" s="40"/>
      <c r="J420" s="40"/>
      <c r="K420" s="42">
        <v>46185</v>
      </c>
      <c r="L420" s="42"/>
      <c r="M420" s="44"/>
      <c r="N420" s="40"/>
      <c r="O420" s="40"/>
      <c r="P420" s="40"/>
      <c r="Q420" s="42">
        <f>IF(K420="","",K420)</f>
        <v>46185</v>
      </c>
      <c r="R420" s="39" t="s">
        <v>469</v>
      </c>
      <c r="S420" s="39" t="s">
        <v>471</v>
      </c>
      <c r="T420" s="39" t="s">
        <v>472</v>
      </c>
      <c r="U420" s="39" t="s">
        <v>215</v>
      </c>
      <c r="V420" s="39">
        <v>229</v>
      </c>
      <c r="W420" s="39" t="s">
        <v>495</v>
      </c>
      <c r="X420" s="41">
        <v>46174</v>
      </c>
      <c r="Y420" s="41">
        <v>46185</v>
      </c>
      <c r="Z420" s="43">
        <v>1800.96</v>
      </c>
      <c r="AA420" s="45">
        <f>IF(M420&lt;&gt;"",M420,Z420)</f>
        <v>1800.96</v>
      </c>
      <c r="AB420" s="46" t="str">
        <f>IF(L420&lt;&gt;"","Realizado","Previsto")</f>
        <v>Previsto</v>
      </c>
      <c r="AC420" s="47">
        <v>9.3799999999999994E-2</v>
      </c>
      <c r="AD420" s="43">
        <v>19200</v>
      </c>
      <c r="AE420" s="39">
        <v>64</v>
      </c>
      <c r="AF420" s="39" t="s">
        <v>113</v>
      </c>
      <c r="AG420" s="43">
        <v>300</v>
      </c>
      <c r="AH420" s="39" t="s">
        <v>473</v>
      </c>
      <c r="AI420" s="39" t="s">
        <v>73</v>
      </c>
      <c r="AJ420" s="48">
        <f>IF(Q420&lt;&gt;"",Q420,IF(K420&lt;&gt;"",K420,""))</f>
        <v>46185</v>
      </c>
      <c r="AK420" s="46" t="str">
        <f>IF(K420&lt;&gt;"","Sim","")</f>
        <v>Sim</v>
      </c>
      <c r="AL420" s="46" t="str">
        <f>IF(A420="","",TEXT(A420,"000000")&amp;"-"&amp;IF(C420="Entrada","CR","DB"))</f>
        <v>000419-DB</v>
      </c>
      <c r="AM420" s="46" t="str">
        <f>IF(A420="","",LEFT(IF(H420&lt;&gt;"",H420,G420)&amp;" | "&amp;G420&amp;" | "&amp;S420,60))</f>
        <v>Mao de obra cozinha e tanque completos | Mao de obra cozinha</v>
      </c>
    </row>
    <row r="421" spans="1:39" ht="43.2" x14ac:dyDescent="0.3">
      <c r="A421" s="39">
        <v>420</v>
      </c>
      <c r="B421" s="39" t="s">
        <v>2</v>
      </c>
      <c r="C421" s="39" t="s">
        <v>74</v>
      </c>
      <c r="D421" s="39" t="s">
        <v>469</v>
      </c>
      <c r="E421" s="39" t="s">
        <v>469</v>
      </c>
      <c r="F421" s="39" t="s">
        <v>109</v>
      </c>
      <c r="G421" s="39" t="s">
        <v>474</v>
      </c>
      <c r="H421" s="40"/>
      <c r="I421" s="40"/>
      <c r="J421" s="40"/>
      <c r="K421" s="42">
        <v>46185</v>
      </c>
      <c r="L421" s="42"/>
      <c r="M421" s="44"/>
      <c r="N421" s="40"/>
      <c r="O421" s="40"/>
      <c r="P421" s="40"/>
      <c r="Q421" s="42">
        <f>IF(K421="","",K421)</f>
        <v>46185</v>
      </c>
      <c r="R421" s="39" t="s">
        <v>469</v>
      </c>
      <c r="S421" s="39" t="s">
        <v>471</v>
      </c>
      <c r="T421" s="39" t="s">
        <v>472</v>
      </c>
      <c r="U421" s="39" t="s">
        <v>215</v>
      </c>
      <c r="V421" s="39">
        <v>228</v>
      </c>
      <c r="W421" s="39" t="s">
        <v>495</v>
      </c>
      <c r="X421" s="41">
        <v>46174</v>
      </c>
      <c r="Y421" s="41">
        <v>46185</v>
      </c>
      <c r="Z421" s="43">
        <v>1800.96</v>
      </c>
      <c r="AA421" s="45">
        <f>IF(M421&lt;&gt;"",M421,Z421)</f>
        <v>1800.96</v>
      </c>
      <c r="AB421" s="46" t="str">
        <f>IF(L421&lt;&gt;"","Realizado","Previsto")</f>
        <v>Previsto</v>
      </c>
      <c r="AC421" s="47">
        <v>9.3799999999999994E-2</v>
      </c>
      <c r="AD421" s="43">
        <v>19200</v>
      </c>
      <c r="AE421" s="39">
        <v>64</v>
      </c>
      <c r="AF421" s="39" t="s">
        <v>113</v>
      </c>
      <c r="AG421" s="43">
        <v>300</v>
      </c>
      <c r="AH421" s="39" t="s">
        <v>473</v>
      </c>
      <c r="AI421" s="39" t="s">
        <v>73</v>
      </c>
      <c r="AJ421" s="48">
        <f>IF(Q421&lt;&gt;"",Q421,IF(K421&lt;&gt;"",K421,""))</f>
        <v>46185</v>
      </c>
      <c r="AK421" s="46" t="str">
        <f>IF(K421&lt;&gt;"","Sim","")</f>
        <v>Sim</v>
      </c>
      <c r="AL421" s="46" t="str">
        <f>IF(A421="","",TEXT(A421,"000000")&amp;"-"&amp;IF(C421="Entrada","CR","DB"))</f>
        <v>000420-DB</v>
      </c>
      <c r="AM421" s="46" t="str">
        <f>IF(A421="","",LEFT(IF(H421&lt;&gt;"",H421,G421)&amp;" | "&amp;G421&amp;" | "&amp;S421,60))</f>
        <v xml:space="preserve">Mao de obra loucas e metais Banheiro completo | Mao de obra </v>
      </c>
    </row>
    <row r="422" spans="1:39" ht="43.2" x14ac:dyDescent="0.3">
      <c r="A422" s="39">
        <v>421</v>
      </c>
      <c r="B422" s="39" t="s">
        <v>2</v>
      </c>
      <c r="C422" s="39" t="s">
        <v>74</v>
      </c>
      <c r="D422" s="39" t="s">
        <v>469</v>
      </c>
      <c r="E422" s="39" t="s">
        <v>517</v>
      </c>
      <c r="F422" s="39" t="s">
        <v>132</v>
      </c>
      <c r="G422" s="39" t="s">
        <v>538</v>
      </c>
      <c r="H422" s="40"/>
      <c r="I422" s="40"/>
      <c r="J422" s="40"/>
      <c r="K422" s="42">
        <v>46185</v>
      </c>
      <c r="L422" s="42"/>
      <c r="M422" s="44"/>
      <c r="N422" s="40"/>
      <c r="O422" s="40"/>
      <c r="P422" s="40"/>
      <c r="Q422" s="42">
        <f>IF(K422="","",K422)</f>
        <v>46185</v>
      </c>
      <c r="R422" s="39" t="s">
        <v>469</v>
      </c>
      <c r="S422" s="39" t="s">
        <v>471</v>
      </c>
      <c r="T422" s="39" t="s">
        <v>519</v>
      </c>
      <c r="U422" s="39" t="s">
        <v>275</v>
      </c>
      <c r="V422" s="39">
        <v>206</v>
      </c>
      <c r="W422" s="39" t="s">
        <v>495</v>
      </c>
      <c r="X422" s="41">
        <v>46174</v>
      </c>
      <c r="Y422" s="41">
        <v>46185</v>
      </c>
      <c r="Z422" s="43">
        <v>466.24</v>
      </c>
      <c r="AA422" s="45">
        <f>IF(M422&lt;&gt;"",M422,Z422)</f>
        <v>466.24</v>
      </c>
      <c r="AB422" s="46" t="str">
        <f>IF(L422&lt;&gt;"","Realizado","Previsto")</f>
        <v>Previsto</v>
      </c>
      <c r="AC422" s="47">
        <v>0.5</v>
      </c>
      <c r="AD422" s="43">
        <v>932.48</v>
      </c>
      <c r="AE422" s="39">
        <v>64</v>
      </c>
      <c r="AF422" s="39" t="s">
        <v>87</v>
      </c>
      <c r="AG422" s="43">
        <v>14.57</v>
      </c>
      <c r="AH422" s="39" t="s">
        <v>520</v>
      </c>
      <c r="AI422" s="39" t="s">
        <v>73</v>
      </c>
      <c r="AJ422" s="48">
        <f>IF(Q422&lt;&gt;"",Q422,IF(K422&lt;&gt;"",K422,""))</f>
        <v>46185</v>
      </c>
      <c r="AK422" s="46" t="str">
        <f>IF(K422&lt;&gt;"","Sim","")</f>
        <v>Sim</v>
      </c>
      <c r="AL422" s="46" t="str">
        <f>IF(A422="","",TEXT(A422,"000000")&amp;"-"&amp;IF(C422="Entrada","CR","DB"))</f>
        <v>000421-DB</v>
      </c>
      <c r="AM422" s="46" t="str">
        <f>IF(A422="","",LEFT(IF(H422&lt;&gt;"",H422,G422)&amp;" | "&amp;G422&amp;" | "&amp;S422,60))</f>
        <v xml:space="preserve">PARAFUSO PARA VASO E LAVATORIO / 8MM - COM BUCHA | PARAFUSO </v>
      </c>
    </row>
    <row r="423" spans="1:39" ht="43.2" x14ac:dyDescent="0.3">
      <c r="A423" s="39">
        <v>422</v>
      </c>
      <c r="B423" s="39" t="s">
        <v>2</v>
      </c>
      <c r="C423" s="39" t="s">
        <v>74</v>
      </c>
      <c r="D423" s="39" t="s">
        <v>469</v>
      </c>
      <c r="E423" s="39" t="s">
        <v>529</v>
      </c>
      <c r="F423" s="39" t="s">
        <v>132</v>
      </c>
      <c r="G423" s="39" t="s">
        <v>538</v>
      </c>
      <c r="H423" s="40"/>
      <c r="I423" s="40"/>
      <c r="J423" s="40"/>
      <c r="K423" s="42">
        <v>46185</v>
      </c>
      <c r="L423" s="42"/>
      <c r="M423" s="44"/>
      <c r="N423" s="40"/>
      <c r="O423" s="40"/>
      <c r="P423" s="40"/>
      <c r="Q423" s="42">
        <f>IF(K423="","",K423)</f>
        <v>46185</v>
      </c>
      <c r="R423" s="39" t="s">
        <v>469</v>
      </c>
      <c r="S423" s="39" t="s">
        <v>471</v>
      </c>
      <c r="T423" s="39" t="s">
        <v>534</v>
      </c>
      <c r="U423" s="39" t="s">
        <v>275</v>
      </c>
      <c r="V423" s="39">
        <v>212</v>
      </c>
      <c r="W423" s="39" t="s">
        <v>495</v>
      </c>
      <c r="X423" s="41">
        <v>46174</v>
      </c>
      <c r="Y423" s="41">
        <v>46185</v>
      </c>
      <c r="Z423" s="43">
        <v>1056</v>
      </c>
      <c r="AA423" s="45">
        <f>IF(M423&lt;&gt;"",M423,Z423)</f>
        <v>1056</v>
      </c>
      <c r="AB423" s="46" t="str">
        <f>IF(L423&lt;&gt;"","Realizado","Previsto")</f>
        <v>Previsto</v>
      </c>
      <c r="AC423" s="47">
        <v>0.5</v>
      </c>
      <c r="AD423" s="43">
        <v>2112</v>
      </c>
      <c r="AE423" s="39">
        <v>128</v>
      </c>
      <c r="AF423" s="39" t="s">
        <v>87</v>
      </c>
      <c r="AG423" s="43">
        <v>16.5</v>
      </c>
      <c r="AH423" s="39" t="s">
        <v>535</v>
      </c>
      <c r="AI423" s="39" t="s">
        <v>73</v>
      </c>
      <c r="AJ423" s="48">
        <f>IF(Q423&lt;&gt;"",Q423,IF(K423&lt;&gt;"",K423,""))</f>
        <v>46185</v>
      </c>
      <c r="AK423" s="46" t="str">
        <f>IF(K423&lt;&gt;"","Sim","")</f>
        <v>Sim</v>
      </c>
      <c r="AL423" s="46" t="str">
        <f>IF(A423="","",TEXT(A423,"000000")&amp;"-"&amp;IF(C423="Entrada","CR","DB"))</f>
        <v>000422-DB</v>
      </c>
      <c r="AM423" s="46" t="str">
        <f>IF(A423="","",LEFT(IF(H423&lt;&gt;"",H423,G423)&amp;" | "&amp;G423&amp;" | "&amp;S423,60))</f>
        <v xml:space="preserve">PARAFUSO PARA VASO E LAVATORIO / 8MM - COM BUCHA | PARAFUSO </v>
      </c>
    </row>
    <row r="424" spans="1:39" ht="43.2" x14ac:dyDescent="0.3">
      <c r="A424" s="39">
        <v>423</v>
      </c>
      <c r="B424" s="39" t="s">
        <v>2</v>
      </c>
      <c r="C424" s="39" t="s">
        <v>74</v>
      </c>
      <c r="D424" s="39" t="s">
        <v>469</v>
      </c>
      <c r="E424" s="39" t="s">
        <v>539</v>
      </c>
      <c r="F424" s="39" t="s">
        <v>132</v>
      </c>
      <c r="G424" s="39" t="s">
        <v>538</v>
      </c>
      <c r="H424" s="40"/>
      <c r="I424" s="40"/>
      <c r="J424" s="40"/>
      <c r="K424" s="42">
        <v>46185</v>
      </c>
      <c r="L424" s="42"/>
      <c r="M424" s="44"/>
      <c r="N424" s="40"/>
      <c r="O424" s="40"/>
      <c r="P424" s="40"/>
      <c r="Q424" s="42">
        <f>IF(K424="","",K424)</f>
        <v>46185</v>
      </c>
      <c r="R424" s="39" t="s">
        <v>469</v>
      </c>
      <c r="S424" s="39" t="s">
        <v>471</v>
      </c>
      <c r="T424" s="39" t="s">
        <v>540</v>
      </c>
      <c r="U424" s="39" t="s">
        <v>275</v>
      </c>
      <c r="V424" s="39">
        <v>216</v>
      </c>
      <c r="W424" s="39" t="s">
        <v>495</v>
      </c>
      <c r="X424" s="41">
        <v>46174</v>
      </c>
      <c r="Y424" s="41">
        <v>46185</v>
      </c>
      <c r="Z424" s="43">
        <v>1056</v>
      </c>
      <c r="AA424" s="45">
        <f>IF(M424&lt;&gt;"",M424,Z424)</f>
        <v>1056</v>
      </c>
      <c r="AB424" s="46" t="str">
        <f>IF(L424&lt;&gt;"","Realizado","Previsto")</f>
        <v>Previsto</v>
      </c>
      <c r="AC424" s="47">
        <v>0.5</v>
      </c>
      <c r="AD424" s="43">
        <v>2112</v>
      </c>
      <c r="AE424" s="39">
        <v>128</v>
      </c>
      <c r="AF424" s="39" t="s">
        <v>87</v>
      </c>
      <c r="AG424" s="43">
        <v>16.5</v>
      </c>
      <c r="AH424" s="39" t="s">
        <v>541</v>
      </c>
      <c r="AI424" s="39" t="s">
        <v>73</v>
      </c>
      <c r="AJ424" s="48">
        <f>IF(Q424&lt;&gt;"",Q424,IF(K424&lt;&gt;"",K424,""))</f>
        <v>46185</v>
      </c>
      <c r="AK424" s="46" t="str">
        <f>IF(K424&lt;&gt;"","Sim","")</f>
        <v>Sim</v>
      </c>
      <c r="AL424" s="46" t="str">
        <f>IF(A424="","",TEXT(A424,"000000")&amp;"-"&amp;IF(C424="Entrada","CR","DB"))</f>
        <v>000423-DB</v>
      </c>
      <c r="AM424" s="46" t="str">
        <f>IF(A424="","",LEFT(IF(H424&lt;&gt;"",H424,G424)&amp;" | "&amp;G424&amp;" | "&amp;S424,60))</f>
        <v xml:space="preserve">PARAFUSO PARA VASO E LAVATORIO / 8MM - COM BUCHA | PARAFUSO </v>
      </c>
    </row>
    <row r="425" spans="1:39" ht="43.2" x14ac:dyDescent="0.3">
      <c r="A425" s="39">
        <v>424</v>
      </c>
      <c r="B425" s="39" t="s">
        <v>2</v>
      </c>
      <c r="C425" s="39" t="s">
        <v>74</v>
      </c>
      <c r="D425" s="39" t="s">
        <v>469</v>
      </c>
      <c r="E425" s="39" t="s">
        <v>469</v>
      </c>
      <c r="F425" s="39" t="s">
        <v>542</v>
      </c>
      <c r="G425" s="39" t="s">
        <v>543</v>
      </c>
      <c r="H425" s="40"/>
      <c r="I425" s="40"/>
      <c r="J425" s="40"/>
      <c r="K425" s="42">
        <v>46185</v>
      </c>
      <c r="L425" s="42"/>
      <c r="M425" s="44"/>
      <c r="N425" s="40"/>
      <c r="O425" s="40"/>
      <c r="P425" s="40"/>
      <c r="Q425" s="42">
        <f>IF(K425="","",K425)</f>
        <v>46185</v>
      </c>
      <c r="R425" s="39" t="s">
        <v>469</v>
      </c>
      <c r="S425" s="39" t="s">
        <v>471</v>
      </c>
      <c r="T425" s="39" t="s">
        <v>544</v>
      </c>
      <c r="U425" s="39" t="s">
        <v>275</v>
      </c>
      <c r="V425" s="39">
        <v>225</v>
      </c>
      <c r="W425" s="39" t="s">
        <v>495</v>
      </c>
      <c r="X425" s="41">
        <v>46174</v>
      </c>
      <c r="Y425" s="41">
        <v>46185</v>
      </c>
      <c r="Z425" s="43">
        <v>860.8</v>
      </c>
      <c r="AA425" s="45">
        <f>IF(M425&lt;&gt;"",M425,Z425)</f>
        <v>860.8</v>
      </c>
      <c r="AB425" s="46" t="str">
        <f>IF(L425&lt;&gt;"","Realizado","Previsto")</f>
        <v>Previsto</v>
      </c>
      <c r="AC425" s="47">
        <v>0.5</v>
      </c>
      <c r="AD425" s="43">
        <v>1721.6</v>
      </c>
      <c r="AE425" s="39">
        <v>64</v>
      </c>
      <c r="AF425" s="39" t="s">
        <v>545</v>
      </c>
      <c r="AG425" s="43">
        <v>26.9</v>
      </c>
      <c r="AH425" s="39" t="s">
        <v>546</v>
      </c>
      <c r="AI425" s="39" t="s">
        <v>73</v>
      </c>
      <c r="AJ425" s="48">
        <f>IF(Q425&lt;&gt;"",Q425,IF(K425&lt;&gt;"",K425,""))</f>
        <v>46185</v>
      </c>
      <c r="AK425" s="46" t="str">
        <f>IF(K425&lt;&gt;"","Sim","")</f>
        <v>Sim</v>
      </c>
      <c r="AL425" s="46" t="str">
        <f>IF(A425="","",TEXT(A425,"000000")&amp;"-"&amp;IF(C425="Entrada","CR","DB"))</f>
        <v>000424-DB</v>
      </c>
      <c r="AM425" s="46" t="str">
        <f>IF(A425="","",LEFT(IF(H425&lt;&gt;"",H425,G425)&amp;" | "&amp;G425&amp;" | "&amp;S425,60))</f>
        <v>Porta Toalha de rosto em metal cromado para banheiro | Porta</v>
      </c>
    </row>
    <row r="426" spans="1:39" ht="43.2" x14ac:dyDescent="0.3">
      <c r="A426" s="39">
        <v>425</v>
      </c>
      <c r="B426" s="39" t="s">
        <v>2</v>
      </c>
      <c r="C426" s="39" t="s">
        <v>74</v>
      </c>
      <c r="D426" s="39" t="s">
        <v>469</v>
      </c>
      <c r="E426" s="39" t="s">
        <v>512</v>
      </c>
      <c r="F426" s="39" t="s">
        <v>132</v>
      </c>
      <c r="G426" s="39" t="s">
        <v>547</v>
      </c>
      <c r="H426" s="40"/>
      <c r="I426" s="40"/>
      <c r="J426" s="40"/>
      <c r="K426" s="42">
        <v>46185</v>
      </c>
      <c r="L426" s="42"/>
      <c r="M426" s="44"/>
      <c r="N426" s="40"/>
      <c r="O426" s="40"/>
      <c r="P426" s="40"/>
      <c r="Q426" s="42">
        <f>IF(K426="","",K426)</f>
        <v>46185</v>
      </c>
      <c r="R426" s="39" t="s">
        <v>469</v>
      </c>
      <c r="S426" s="39" t="s">
        <v>471</v>
      </c>
      <c r="T426" s="39" t="s">
        <v>514</v>
      </c>
      <c r="U426" s="39" t="s">
        <v>275</v>
      </c>
      <c r="V426" s="39">
        <v>220</v>
      </c>
      <c r="W426" s="39" t="s">
        <v>495</v>
      </c>
      <c r="X426" s="41">
        <v>46174</v>
      </c>
      <c r="Y426" s="41">
        <v>46185</v>
      </c>
      <c r="Z426" s="43">
        <v>323.2</v>
      </c>
      <c r="AA426" s="45">
        <f>IF(M426&lt;&gt;"",M426,Z426)</f>
        <v>323.2</v>
      </c>
      <c r="AB426" s="46" t="str">
        <f>IF(L426&lt;&gt;"","Realizado","Previsto")</f>
        <v>Previsto</v>
      </c>
      <c r="AC426" s="47">
        <v>0.5</v>
      </c>
      <c r="AD426" s="43">
        <v>646.4</v>
      </c>
      <c r="AE426" s="39">
        <v>64</v>
      </c>
      <c r="AF426" s="39" t="s">
        <v>87</v>
      </c>
      <c r="AG426" s="43">
        <v>10.1</v>
      </c>
      <c r="AH426" s="39" t="s">
        <v>515</v>
      </c>
      <c r="AI426" s="39" t="s">
        <v>73</v>
      </c>
      <c r="AJ426" s="48">
        <f>IF(Q426&lt;&gt;"",Q426,IF(K426&lt;&gt;"",K426,""))</f>
        <v>46185</v>
      </c>
      <c r="AK426" s="46" t="str">
        <f>IF(K426&lt;&gt;"","Sim","")</f>
        <v>Sim</v>
      </c>
      <c r="AL426" s="46" t="str">
        <f>IF(A426="","",TEXT(A426,"000000")&amp;"-"&amp;IF(C426="Entrada","CR","DB"))</f>
        <v>000425-DB</v>
      </c>
      <c r="AM426" s="46" t="str">
        <f>IF(A426="","",LEFT(IF(H426&lt;&gt;"",H426,G426)&amp;" | "&amp;G426&amp;" | "&amp;S426,60))</f>
        <v>Porta grelha dn 100mm - Chuveiro | Porta grelha dn 100mm - C</v>
      </c>
    </row>
    <row r="427" spans="1:39" ht="43.2" x14ac:dyDescent="0.3">
      <c r="A427" s="39">
        <v>426</v>
      </c>
      <c r="B427" s="39" t="s">
        <v>2</v>
      </c>
      <c r="C427" s="39" t="s">
        <v>74</v>
      </c>
      <c r="D427" s="39" t="s">
        <v>469</v>
      </c>
      <c r="E427" s="39" t="s">
        <v>469</v>
      </c>
      <c r="F427" s="39" t="s">
        <v>542</v>
      </c>
      <c r="G427" s="39" t="s">
        <v>548</v>
      </c>
      <c r="H427" s="40"/>
      <c r="I427" s="40"/>
      <c r="J427" s="40"/>
      <c r="K427" s="42">
        <v>46185</v>
      </c>
      <c r="L427" s="42"/>
      <c r="M427" s="44"/>
      <c r="N427" s="40"/>
      <c r="O427" s="40"/>
      <c r="P427" s="40"/>
      <c r="Q427" s="42">
        <f>IF(K427="","",K427)</f>
        <v>46185</v>
      </c>
      <c r="R427" s="39" t="s">
        <v>469</v>
      </c>
      <c r="S427" s="39" t="s">
        <v>471</v>
      </c>
      <c r="T427" s="39" t="s">
        <v>544</v>
      </c>
      <c r="U427" s="39" t="s">
        <v>275</v>
      </c>
      <c r="V427" s="39">
        <v>226</v>
      </c>
      <c r="W427" s="39" t="s">
        <v>495</v>
      </c>
      <c r="X427" s="41">
        <v>46174</v>
      </c>
      <c r="Y427" s="41">
        <v>46185</v>
      </c>
      <c r="Z427" s="43">
        <v>1020.8</v>
      </c>
      <c r="AA427" s="45">
        <f>IF(M427&lt;&gt;"",M427,Z427)</f>
        <v>1020.8</v>
      </c>
      <c r="AB427" s="46" t="str">
        <f>IF(L427&lt;&gt;"","Realizado","Previsto")</f>
        <v>Previsto</v>
      </c>
      <c r="AC427" s="47">
        <v>0.5</v>
      </c>
      <c r="AD427" s="43">
        <v>2041.6</v>
      </c>
      <c r="AE427" s="39">
        <v>64</v>
      </c>
      <c r="AF427" s="39" t="s">
        <v>87</v>
      </c>
      <c r="AG427" s="43">
        <v>31.9</v>
      </c>
      <c r="AH427" s="39" t="s">
        <v>546</v>
      </c>
      <c r="AI427" s="39" t="s">
        <v>73</v>
      </c>
      <c r="AJ427" s="48">
        <f>IF(Q427&lt;&gt;"",Q427,IF(K427&lt;&gt;"",K427,""))</f>
        <v>46185</v>
      </c>
      <c r="AK427" s="46" t="str">
        <f>IF(K427&lt;&gt;"","Sim","")</f>
        <v>Sim</v>
      </c>
      <c r="AL427" s="46" t="str">
        <f>IF(A427="","",TEXT(A427,"000000")&amp;"-"&amp;IF(C427="Entrada","CR","DB"))</f>
        <v>000426-DB</v>
      </c>
      <c r="AM427" s="46" t="str">
        <f>IF(A427="","",LEFT(IF(H427&lt;&gt;"",H427,G427)&amp;" | "&amp;G427&amp;" | "&amp;S427,60))</f>
        <v>Porta papel higiênico sem tampa, cromado | Porta papel higiê</v>
      </c>
    </row>
    <row r="428" spans="1:39" ht="43.2" x14ac:dyDescent="0.3">
      <c r="A428" s="39">
        <v>427</v>
      </c>
      <c r="B428" s="39" t="s">
        <v>2</v>
      </c>
      <c r="C428" s="39" t="s">
        <v>74</v>
      </c>
      <c r="D428" s="39" t="s">
        <v>469</v>
      </c>
      <c r="E428" s="39" t="s">
        <v>517</v>
      </c>
      <c r="F428" s="39" t="s">
        <v>184</v>
      </c>
      <c r="G428" s="39" t="s">
        <v>549</v>
      </c>
      <c r="H428" s="40"/>
      <c r="I428" s="40"/>
      <c r="J428" s="40"/>
      <c r="K428" s="42">
        <v>46185</v>
      </c>
      <c r="L428" s="42"/>
      <c r="M428" s="44"/>
      <c r="N428" s="40"/>
      <c r="O428" s="40"/>
      <c r="P428" s="40"/>
      <c r="Q428" s="42">
        <f>IF(K428="","",K428)</f>
        <v>46185</v>
      </c>
      <c r="R428" s="39" t="s">
        <v>469</v>
      </c>
      <c r="S428" s="39" t="s">
        <v>471</v>
      </c>
      <c r="T428" s="39" t="s">
        <v>550</v>
      </c>
      <c r="U428" s="39" t="s">
        <v>275</v>
      </c>
      <c r="V428" s="39">
        <v>207</v>
      </c>
      <c r="W428" s="39" t="s">
        <v>495</v>
      </c>
      <c r="X428" s="41">
        <v>46174</v>
      </c>
      <c r="Y428" s="41">
        <v>46185</v>
      </c>
      <c r="Z428" s="43">
        <v>636.79999999999995</v>
      </c>
      <c r="AA428" s="45">
        <f>IF(M428&lt;&gt;"",M428,Z428)</f>
        <v>636.79999999999995</v>
      </c>
      <c r="AB428" s="46" t="str">
        <f>IF(L428&lt;&gt;"","Realizado","Previsto")</f>
        <v>Previsto</v>
      </c>
      <c r="AC428" s="47">
        <v>0.5</v>
      </c>
      <c r="AD428" s="43">
        <v>1273.5999999999999</v>
      </c>
      <c r="AE428" s="39">
        <v>32</v>
      </c>
      <c r="AF428" s="39" t="s">
        <v>87</v>
      </c>
      <c r="AG428" s="43">
        <v>39.799999999999997</v>
      </c>
      <c r="AH428" s="39" t="s">
        <v>551</v>
      </c>
      <c r="AI428" s="39" t="s">
        <v>73</v>
      </c>
      <c r="AJ428" s="48">
        <f>IF(Q428&lt;&gt;"",Q428,IF(K428&lt;&gt;"",K428,""))</f>
        <v>46185</v>
      </c>
      <c r="AK428" s="46" t="str">
        <f>IF(K428&lt;&gt;"","Sim","")</f>
        <v>Sim</v>
      </c>
      <c r="AL428" s="46" t="str">
        <f>IF(A428="","",TEXT(A428,"000000")&amp;"-"&amp;IF(C428="Entrada","CR","DB"))</f>
        <v>000427-DB</v>
      </c>
      <c r="AM428" s="46" t="str">
        <f>IF(A428="","",LEFT(IF(H428&lt;&gt;"",H428,G428)&amp;" | "&amp;G428&amp;" | "&amp;S428,60))</f>
        <v>Selante Acrílico Elastométrico Top Gun 300 ml TG140 Renner |</v>
      </c>
    </row>
    <row r="429" spans="1:39" ht="43.2" x14ac:dyDescent="0.3">
      <c r="A429" s="39">
        <v>428</v>
      </c>
      <c r="B429" s="39" t="s">
        <v>2</v>
      </c>
      <c r="C429" s="39" t="s">
        <v>74</v>
      </c>
      <c r="D429" s="39" t="s">
        <v>469</v>
      </c>
      <c r="E429" s="39" t="s">
        <v>529</v>
      </c>
      <c r="F429" s="39" t="s">
        <v>184</v>
      </c>
      <c r="G429" s="39" t="s">
        <v>549</v>
      </c>
      <c r="H429" s="40"/>
      <c r="I429" s="40"/>
      <c r="J429" s="40"/>
      <c r="K429" s="42">
        <v>46185</v>
      </c>
      <c r="L429" s="42"/>
      <c r="M429" s="44"/>
      <c r="N429" s="40"/>
      <c r="O429" s="40"/>
      <c r="P429" s="40"/>
      <c r="Q429" s="42">
        <f>IF(K429="","",K429)</f>
        <v>46185</v>
      </c>
      <c r="R429" s="39" t="s">
        <v>469</v>
      </c>
      <c r="S429" s="39" t="s">
        <v>471</v>
      </c>
      <c r="T429" s="39" t="s">
        <v>552</v>
      </c>
      <c r="U429" s="39" t="s">
        <v>275</v>
      </c>
      <c r="V429" s="39">
        <v>213</v>
      </c>
      <c r="W429" s="39" t="s">
        <v>495</v>
      </c>
      <c r="X429" s="41">
        <v>46174</v>
      </c>
      <c r="Y429" s="41">
        <v>46185</v>
      </c>
      <c r="Z429" s="43">
        <v>382.08</v>
      </c>
      <c r="AA429" s="45">
        <f>IF(M429&lt;&gt;"",M429,Z429)</f>
        <v>382.08</v>
      </c>
      <c r="AB429" s="46" t="str">
        <f>IF(L429&lt;&gt;"","Realizado","Previsto")</f>
        <v>Previsto</v>
      </c>
      <c r="AC429" s="47">
        <v>0.5</v>
      </c>
      <c r="AD429" s="43">
        <v>764.16</v>
      </c>
      <c r="AE429" s="39">
        <v>19.2</v>
      </c>
      <c r="AF429" s="39" t="s">
        <v>87</v>
      </c>
      <c r="AG429" s="43">
        <v>39.799999999999997</v>
      </c>
      <c r="AH429" s="39" t="s">
        <v>553</v>
      </c>
      <c r="AI429" s="39" t="s">
        <v>73</v>
      </c>
      <c r="AJ429" s="48">
        <f>IF(Q429&lt;&gt;"",Q429,IF(K429&lt;&gt;"",K429,""))</f>
        <v>46185</v>
      </c>
      <c r="AK429" s="46" t="str">
        <f>IF(K429&lt;&gt;"","Sim","")</f>
        <v>Sim</v>
      </c>
      <c r="AL429" s="46" t="str">
        <f>IF(A429="","",TEXT(A429,"000000")&amp;"-"&amp;IF(C429="Entrada","CR","DB"))</f>
        <v>000428-DB</v>
      </c>
      <c r="AM429" s="46" t="str">
        <f>IF(A429="","",LEFT(IF(H429&lt;&gt;"",H429,G429)&amp;" | "&amp;G429&amp;" | "&amp;S429,60))</f>
        <v>Selante Acrílico Elastométrico Top Gun 300 ml TG140 Renner |</v>
      </c>
    </row>
    <row r="430" spans="1:39" ht="43.2" x14ac:dyDescent="0.3">
      <c r="A430" s="39">
        <v>429</v>
      </c>
      <c r="B430" s="39" t="s">
        <v>2</v>
      </c>
      <c r="C430" s="39" t="s">
        <v>74</v>
      </c>
      <c r="D430" s="39" t="s">
        <v>469</v>
      </c>
      <c r="E430" s="39" t="s">
        <v>529</v>
      </c>
      <c r="F430" s="39" t="s">
        <v>132</v>
      </c>
      <c r="G430" s="39" t="s">
        <v>554</v>
      </c>
      <c r="H430" s="40"/>
      <c r="I430" s="40"/>
      <c r="J430" s="40"/>
      <c r="K430" s="42">
        <v>46185</v>
      </c>
      <c r="L430" s="42"/>
      <c r="M430" s="44"/>
      <c r="N430" s="40"/>
      <c r="O430" s="40"/>
      <c r="P430" s="40"/>
      <c r="Q430" s="42">
        <f>IF(K430="","",K430)</f>
        <v>46185</v>
      </c>
      <c r="R430" s="39" t="s">
        <v>469</v>
      </c>
      <c r="S430" s="39" t="s">
        <v>471</v>
      </c>
      <c r="T430" s="39" t="s">
        <v>534</v>
      </c>
      <c r="U430" s="39" t="s">
        <v>275</v>
      </c>
      <c r="V430" s="39">
        <v>210</v>
      </c>
      <c r="W430" s="39" t="s">
        <v>495</v>
      </c>
      <c r="X430" s="41">
        <v>46174</v>
      </c>
      <c r="Y430" s="41">
        <v>46185</v>
      </c>
      <c r="Z430" s="43">
        <v>479.68</v>
      </c>
      <c r="AA430" s="45">
        <f>IF(M430&lt;&gt;"",M430,Z430)</f>
        <v>479.68</v>
      </c>
      <c r="AB430" s="46" t="str">
        <f>IF(L430&lt;&gt;"","Realizado","Previsto")</f>
        <v>Previsto</v>
      </c>
      <c r="AC430" s="47">
        <v>0.5</v>
      </c>
      <c r="AD430" s="43">
        <v>959.36</v>
      </c>
      <c r="AE430" s="39">
        <v>64</v>
      </c>
      <c r="AF430" s="39" t="s">
        <v>87</v>
      </c>
      <c r="AG430" s="43">
        <v>14.99</v>
      </c>
      <c r="AH430" s="39" t="s">
        <v>535</v>
      </c>
      <c r="AI430" s="39" t="s">
        <v>73</v>
      </c>
      <c r="AJ430" s="48">
        <f>IF(Q430&lt;&gt;"",Q430,IF(K430&lt;&gt;"",K430,""))</f>
        <v>46185</v>
      </c>
      <c r="AK430" s="46" t="str">
        <f>IF(K430&lt;&gt;"","Sim","")</f>
        <v>Sim</v>
      </c>
      <c r="AL430" s="46" t="str">
        <f>IF(A430="","",TEXT(A430,"000000")&amp;"-"&amp;IF(C430="Entrada","CR","DB"))</f>
        <v>000429-DB</v>
      </c>
      <c r="AM430" s="46" t="str">
        <f>IF(A430="","",LEFT(IF(H430&lt;&gt;"",H430,G430)&amp;" | "&amp;G430&amp;" | "&amp;S430,60))</f>
        <v>Sifão PVC Extensivo Corrugado Universal Para Lavatório E Tan</v>
      </c>
    </row>
    <row r="431" spans="1:39" ht="43.2" x14ac:dyDescent="0.3">
      <c r="A431" s="39">
        <v>430</v>
      </c>
      <c r="B431" s="39" t="s">
        <v>2</v>
      </c>
      <c r="C431" s="39" t="s">
        <v>74</v>
      </c>
      <c r="D431" s="39" t="s">
        <v>469</v>
      </c>
      <c r="E431" s="39" t="s">
        <v>539</v>
      </c>
      <c r="F431" s="39" t="s">
        <v>132</v>
      </c>
      <c r="G431" s="39" t="s">
        <v>554</v>
      </c>
      <c r="H431" s="40"/>
      <c r="I431" s="40"/>
      <c r="J431" s="40"/>
      <c r="K431" s="42">
        <v>46185</v>
      </c>
      <c r="L431" s="42"/>
      <c r="M431" s="44"/>
      <c r="N431" s="40"/>
      <c r="O431" s="40"/>
      <c r="P431" s="40"/>
      <c r="Q431" s="42">
        <f>IF(K431="","",K431)</f>
        <v>46185</v>
      </c>
      <c r="R431" s="39" t="s">
        <v>469</v>
      </c>
      <c r="S431" s="39" t="s">
        <v>471</v>
      </c>
      <c r="T431" s="39" t="s">
        <v>540</v>
      </c>
      <c r="U431" s="39" t="s">
        <v>275</v>
      </c>
      <c r="V431" s="39">
        <v>215</v>
      </c>
      <c r="W431" s="39" t="s">
        <v>495</v>
      </c>
      <c r="X431" s="41">
        <v>46174</v>
      </c>
      <c r="Y431" s="41">
        <v>46185</v>
      </c>
      <c r="Z431" s="43">
        <v>959.36</v>
      </c>
      <c r="AA431" s="45">
        <f>IF(M431&lt;&gt;"",M431,Z431)</f>
        <v>959.36</v>
      </c>
      <c r="AB431" s="46" t="str">
        <f>IF(L431&lt;&gt;"","Realizado","Previsto")</f>
        <v>Previsto</v>
      </c>
      <c r="AC431" s="47">
        <v>0.5</v>
      </c>
      <c r="AD431" s="43">
        <v>1918.72</v>
      </c>
      <c r="AE431" s="39">
        <v>128</v>
      </c>
      <c r="AF431" s="39" t="s">
        <v>87</v>
      </c>
      <c r="AG431" s="43">
        <v>14.99</v>
      </c>
      <c r="AH431" s="39" t="s">
        <v>541</v>
      </c>
      <c r="AI431" s="39" t="s">
        <v>73</v>
      </c>
      <c r="AJ431" s="48">
        <f>IF(Q431&lt;&gt;"",Q431,IF(K431&lt;&gt;"",K431,""))</f>
        <v>46185</v>
      </c>
      <c r="AK431" s="46" t="str">
        <f>IF(K431&lt;&gt;"","Sim","")</f>
        <v>Sim</v>
      </c>
      <c r="AL431" s="46" t="str">
        <f>IF(A431="","",TEXT(A431,"000000")&amp;"-"&amp;IF(C431="Entrada","CR","DB"))</f>
        <v>000430-DB</v>
      </c>
      <c r="AM431" s="46" t="str">
        <f>IF(A431="","",LEFT(IF(H431&lt;&gt;"",H431,G431)&amp;" | "&amp;G431&amp;" | "&amp;S431,60))</f>
        <v>Sifão PVC Extensivo Corrugado Universal Para Lavatório E Tan</v>
      </c>
    </row>
    <row r="432" spans="1:39" ht="43.2" x14ac:dyDescent="0.3">
      <c r="A432" s="39">
        <v>431</v>
      </c>
      <c r="B432" s="39" t="s">
        <v>2</v>
      </c>
      <c r="C432" s="39" t="s">
        <v>74</v>
      </c>
      <c r="D432" s="39" t="s">
        <v>469</v>
      </c>
      <c r="E432" s="39" t="s">
        <v>539</v>
      </c>
      <c r="F432" s="39" t="s">
        <v>521</v>
      </c>
      <c r="G432" s="39" t="s">
        <v>555</v>
      </c>
      <c r="H432" s="40"/>
      <c r="I432" s="40"/>
      <c r="J432" s="40"/>
      <c r="K432" s="42">
        <v>46185</v>
      </c>
      <c r="L432" s="42"/>
      <c r="M432" s="44"/>
      <c r="N432" s="40"/>
      <c r="O432" s="40"/>
      <c r="P432" s="40"/>
      <c r="Q432" s="42">
        <f>IF(K432="","",K432)</f>
        <v>46185</v>
      </c>
      <c r="R432" s="39" t="s">
        <v>469</v>
      </c>
      <c r="S432" s="39" t="s">
        <v>471</v>
      </c>
      <c r="T432" s="39" t="s">
        <v>556</v>
      </c>
      <c r="U432" s="39" t="s">
        <v>275</v>
      </c>
      <c r="V432" s="39">
        <v>203</v>
      </c>
      <c r="W432" s="39" t="s">
        <v>495</v>
      </c>
      <c r="X432" s="41">
        <v>46174</v>
      </c>
      <c r="Y432" s="41">
        <v>46185</v>
      </c>
      <c r="Z432" s="43">
        <v>4872</v>
      </c>
      <c r="AA432" s="45">
        <f>IF(M432&lt;&gt;"",M432,Z432)</f>
        <v>4872</v>
      </c>
      <c r="AB432" s="46" t="str">
        <f>IF(L432&lt;&gt;"","Realizado","Previsto")</f>
        <v>Previsto</v>
      </c>
      <c r="AC432" s="47">
        <v>0.5</v>
      </c>
      <c r="AD432" s="43">
        <v>9744</v>
      </c>
      <c r="AE432" s="39">
        <v>64</v>
      </c>
      <c r="AF432" s="39" t="s">
        <v>87</v>
      </c>
      <c r="AG432" s="43">
        <v>152.25</v>
      </c>
      <c r="AH432" s="39" t="s">
        <v>557</v>
      </c>
      <c r="AI432" s="39" t="s">
        <v>73</v>
      </c>
      <c r="AJ432" s="48">
        <f>IF(Q432&lt;&gt;"",Q432,IF(K432&lt;&gt;"",K432,""))</f>
        <v>46185</v>
      </c>
      <c r="AK432" s="46" t="str">
        <f>IF(K432&lt;&gt;"","Sim","")</f>
        <v>Sim</v>
      </c>
      <c r="AL432" s="46" t="str">
        <f>IF(A432="","",TEXT(A432,"000000")&amp;"-"&amp;IF(C432="Entrada","CR","DB"))</f>
        <v>000431-DB</v>
      </c>
      <c r="AM432" s="46" t="str">
        <f>IF(A432="","",LEFT(IF(H432&lt;&gt;"",H432,G432)&amp;" | "&amp;G432&amp;" | "&amp;S432,60))</f>
        <v>TANQUE LOUÇA BRANCO 20L , COM VALVULA DE SAIDA INTEGRADA 40M</v>
      </c>
    </row>
    <row r="433" spans="1:39" ht="43.2" x14ac:dyDescent="0.3">
      <c r="A433" s="39">
        <v>432</v>
      </c>
      <c r="B433" s="39" t="s">
        <v>2</v>
      </c>
      <c r="C433" s="39" t="s">
        <v>74</v>
      </c>
      <c r="D433" s="39" t="s">
        <v>469</v>
      </c>
      <c r="E433" s="39" t="s">
        <v>529</v>
      </c>
      <c r="F433" s="39" t="s">
        <v>542</v>
      </c>
      <c r="G433" s="39" t="s">
        <v>558</v>
      </c>
      <c r="H433" s="40"/>
      <c r="I433" s="40"/>
      <c r="J433" s="40"/>
      <c r="K433" s="42">
        <v>46185</v>
      </c>
      <c r="L433" s="42"/>
      <c r="M433" s="44"/>
      <c r="N433" s="40"/>
      <c r="O433" s="40"/>
      <c r="P433" s="40"/>
      <c r="Q433" s="42">
        <f>IF(K433="","",K433)</f>
        <v>46185</v>
      </c>
      <c r="R433" s="39" t="s">
        <v>469</v>
      </c>
      <c r="S433" s="39" t="s">
        <v>471</v>
      </c>
      <c r="T433" s="39" t="s">
        <v>559</v>
      </c>
      <c r="U433" s="39" t="s">
        <v>275</v>
      </c>
      <c r="V433" s="39">
        <v>224</v>
      </c>
      <c r="W433" s="39" t="s">
        <v>495</v>
      </c>
      <c r="X433" s="41">
        <v>46174</v>
      </c>
      <c r="Y433" s="41">
        <v>46185</v>
      </c>
      <c r="Z433" s="43">
        <v>1286.4000000000001</v>
      </c>
      <c r="AA433" s="45">
        <f>IF(M433&lt;&gt;"",M433,Z433)</f>
        <v>1286.4000000000001</v>
      </c>
      <c r="AB433" s="46" t="str">
        <f>IF(L433&lt;&gt;"","Realizado","Previsto")</f>
        <v>Previsto</v>
      </c>
      <c r="AC433" s="47">
        <v>0.5</v>
      </c>
      <c r="AD433" s="43">
        <v>2572.8000000000002</v>
      </c>
      <c r="AE433" s="39">
        <v>64</v>
      </c>
      <c r="AF433" s="39" t="s">
        <v>87</v>
      </c>
      <c r="AG433" s="43">
        <v>40.200000000000003</v>
      </c>
      <c r="AH433" s="39" t="s">
        <v>560</v>
      </c>
      <c r="AI433" s="39" t="s">
        <v>73</v>
      </c>
      <c r="AJ433" s="48">
        <f>IF(Q433&lt;&gt;"",Q433,IF(K433&lt;&gt;"",K433,""))</f>
        <v>46185</v>
      </c>
      <c r="AK433" s="46" t="str">
        <f>IF(K433&lt;&gt;"","Sim","")</f>
        <v>Sim</v>
      </c>
      <c r="AL433" s="46" t="str">
        <f>IF(A433="","",TEXT(A433,"000000")&amp;"-"&amp;IF(C433="Entrada","CR","DB"))</f>
        <v>000432-DB</v>
      </c>
      <c r="AM433" s="46" t="str">
        <f>IF(A433="","",LEFT(IF(H433&lt;&gt;"",H433,G433)&amp;" | "&amp;G433&amp;" | "&amp;S433,60))</f>
        <v xml:space="preserve">Torneira Banheiro Lavatório Bancada 1193 Metal C-23 Cromada </v>
      </c>
    </row>
    <row r="434" spans="1:39" ht="43.2" x14ac:dyDescent="0.3">
      <c r="A434" s="39">
        <v>433</v>
      </c>
      <c r="B434" s="39" t="s">
        <v>2</v>
      </c>
      <c r="C434" s="39" t="s">
        <v>74</v>
      </c>
      <c r="D434" s="39" t="s">
        <v>469</v>
      </c>
      <c r="E434" s="39" t="s">
        <v>539</v>
      </c>
      <c r="F434" s="39" t="s">
        <v>542</v>
      </c>
      <c r="G434" s="39" t="s">
        <v>561</v>
      </c>
      <c r="H434" s="40"/>
      <c r="I434" s="40"/>
      <c r="J434" s="40"/>
      <c r="K434" s="42">
        <v>46185</v>
      </c>
      <c r="L434" s="42"/>
      <c r="M434" s="44"/>
      <c r="N434" s="40"/>
      <c r="O434" s="40"/>
      <c r="P434" s="40"/>
      <c r="Q434" s="42">
        <f>IF(K434="","",K434)</f>
        <v>46185</v>
      </c>
      <c r="R434" s="39" t="s">
        <v>469</v>
      </c>
      <c r="S434" s="39" t="s">
        <v>471</v>
      </c>
      <c r="T434" s="39" t="s">
        <v>562</v>
      </c>
      <c r="U434" s="39" t="s">
        <v>275</v>
      </c>
      <c r="V434" s="39">
        <v>223</v>
      </c>
      <c r="W434" s="39" t="s">
        <v>495</v>
      </c>
      <c r="X434" s="41">
        <v>46174</v>
      </c>
      <c r="Y434" s="41">
        <v>46185</v>
      </c>
      <c r="Z434" s="43">
        <v>1523.52</v>
      </c>
      <c r="AA434" s="45">
        <f>IF(M434&lt;&gt;"",M434,Z434)</f>
        <v>1523.52</v>
      </c>
      <c r="AB434" s="46" t="str">
        <f>IF(L434&lt;&gt;"","Realizado","Previsto")</f>
        <v>Previsto</v>
      </c>
      <c r="AC434" s="47">
        <v>0.5</v>
      </c>
      <c r="AD434" s="43">
        <v>3047.04</v>
      </c>
      <c r="AE434" s="39">
        <v>64</v>
      </c>
      <c r="AF434" s="39" t="s">
        <v>87</v>
      </c>
      <c r="AG434" s="43">
        <v>47.61</v>
      </c>
      <c r="AH434" s="39" t="s">
        <v>563</v>
      </c>
      <c r="AI434" s="39" t="s">
        <v>73</v>
      </c>
      <c r="AJ434" s="48">
        <f>IF(Q434&lt;&gt;"",Q434,IF(K434&lt;&gt;"",K434,""))</f>
        <v>46185</v>
      </c>
      <c r="AK434" s="46" t="str">
        <f>IF(K434&lt;&gt;"","Sim","")</f>
        <v>Sim</v>
      </c>
      <c r="AL434" s="46" t="str">
        <f>IF(A434="","",TEXT(A434,"000000")&amp;"-"&amp;IF(C434="Entrada","CR","DB"))</f>
        <v>000433-DB</v>
      </c>
      <c r="AM434" s="46" t="str">
        <f>IF(A434="","",LEFT(IF(H434&lt;&gt;"",H434,G434)&amp;" | "&amp;G434&amp;" | "&amp;S434,60))</f>
        <v xml:space="preserve">Torneira De Tanque / Jardim Luxo ¼ De Volta 100% Metal C-31 </v>
      </c>
    </row>
    <row r="435" spans="1:39" ht="43.2" x14ac:dyDescent="0.3">
      <c r="A435" s="39">
        <v>434</v>
      </c>
      <c r="B435" s="39" t="s">
        <v>2</v>
      </c>
      <c r="C435" s="39" t="s">
        <v>74</v>
      </c>
      <c r="D435" s="39" t="s">
        <v>469</v>
      </c>
      <c r="E435" s="39" t="s">
        <v>517</v>
      </c>
      <c r="F435" s="39" t="s">
        <v>132</v>
      </c>
      <c r="G435" s="39" t="s">
        <v>564</v>
      </c>
      <c r="H435" s="40"/>
      <c r="I435" s="40"/>
      <c r="J435" s="40"/>
      <c r="K435" s="42">
        <v>46185</v>
      </c>
      <c r="L435" s="42"/>
      <c r="M435" s="44"/>
      <c r="N435" s="40"/>
      <c r="O435" s="40"/>
      <c r="P435" s="40"/>
      <c r="Q435" s="42">
        <f>IF(K435="","",K435)</f>
        <v>46185</v>
      </c>
      <c r="R435" s="39" t="s">
        <v>469</v>
      </c>
      <c r="S435" s="39" t="s">
        <v>471</v>
      </c>
      <c r="T435" s="39" t="s">
        <v>519</v>
      </c>
      <c r="U435" s="39" t="s">
        <v>275</v>
      </c>
      <c r="V435" s="39">
        <v>208</v>
      </c>
      <c r="W435" s="39" t="s">
        <v>495</v>
      </c>
      <c r="X435" s="41">
        <v>46174</v>
      </c>
      <c r="Y435" s="41">
        <v>46185</v>
      </c>
      <c r="Z435" s="43">
        <v>114.24</v>
      </c>
      <c r="AA435" s="45">
        <f>IF(M435&lt;&gt;"",M435,Z435)</f>
        <v>114.24</v>
      </c>
      <c r="AB435" s="46" t="str">
        <f>IF(L435&lt;&gt;"","Realizado","Previsto")</f>
        <v>Previsto</v>
      </c>
      <c r="AC435" s="47">
        <v>0.5</v>
      </c>
      <c r="AD435" s="43">
        <v>228.48</v>
      </c>
      <c r="AE435" s="39">
        <v>19.2</v>
      </c>
      <c r="AF435" s="39" t="s">
        <v>87</v>
      </c>
      <c r="AG435" s="43">
        <v>11.9</v>
      </c>
      <c r="AH435" s="39" t="s">
        <v>520</v>
      </c>
      <c r="AI435" s="39" t="s">
        <v>73</v>
      </c>
      <c r="AJ435" s="48">
        <f>IF(Q435&lt;&gt;"",Q435,IF(K435&lt;&gt;"",K435,""))</f>
        <v>46185</v>
      </c>
      <c r="AK435" s="46" t="str">
        <f>IF(K435&lt;&gt;"","Sim","")</f>
        <v>Sim</v>
      </c>
      <c r="AL435" s="46" t="str">
        <f>IF(A435="","",TEXT(A435,"000000")&amp;"-"&amp;IF(C435="Entrada","CR","DB"))</f>
        <v>000434-DB</v>
      </c>
      <c r="AM435" s="46" t="str">
        <f>IF(A435="","",LEFT(IF(H435&lt;&gt;"",H435,G435)&amp;" | "&amp;G435&amp;" | "&amp;S435,60))</f>
        <v>Veda Rosca Teflon Veda Tubulações 18mm x 50M | Veda Rosca Te</v>
      </c>
    </row>
    <row r="436" spans="1:39" ht="43.2" x14ac:dyDescent="0.3">
      <c r="A436" s="39">
        <v>435</v>
      </c>
      <c r="B436" s="39" t="s">
        <v>2</v>
      </c>
      <c r="C436" s="39" t="s">
        <v>74</v>
      </c>
      <c r="D436" s="39" t="s">
        <v>469</v>
      </c>
      <c r="E436" s="39" t="s">
        <v>529</v>
      </c>
      <c r="F436" s="39" t="s">
        <v>132</v>
      </c>
      <c r="G436" s="39" t="s">
        <v>564</v>
      </c>
      <c r="H436" s="40"/>
      <c r="I436" s="40"/>
      <c r="J436" s="40"/>
      <c r="K436" s="42">
        <v>46185</v>
      </c>
      <c r="L436" s="42"/>
      <c r="M436" s="44"/>
      <c r="N436" s="40"/>
      <c r="O436" s="40"/>
      <c r="P436" s="40"/>
      <c r="Q436" s="42">
        <f>IF(K436="","",K436)</f>
        <v>46185</v>
      </c>
      <c r="R436" s="39" t="s">
        <v>469</v>
      </c>
      <c r="S436" s="39" t="s">
        <v>471</v>
      </c>
      <c r="T436" s="39" t="s">
        <v>534</v>
      </c>
      <c r="U436" s="39" t="s">
        <v>275</v>
      </c>
      <c r="V436" s="39">
        <v>214</v>
      </c>
      <c r="W436" s="39" t="s">
        <v>495</v>
      </c>
      <c r="X436" s="41">
        <v>46174</v>
      </c>
      <c r="Y436" s="41">
        <v>46185</v>
      </c>
      <c r="Z436" s="43">
        <v>76.160000000000011</v>
      </c>
      <c r="AA436" s="45">
        <f>IF(M436&lt;&gt;"",M436,Z436)</f>
        <v>76.160000000000011</v>
      </c>
      <c r="AB436" s="46" t="str">
        <f>IF(L436&lt;&gt;"","Realizado","Previsto")</f>
        <v>Previsto</v>
      </c>
      <c r="AC436" s="47">
        <v>0.5</v>
      </c>
      <c r="AD436" s="43">
        <v>152.32</v>
      </c>
      <c r="AE436" s="39">
        <v>12.8</v>
      </c>
      <c r="AF436" s="39" t="s">
        <v>87</v>
      </c>
      <c r="AG436" s="43">
        <v>11.9</v>
      </c>
      <c r="AH436" s="39" t="s">
        <v>535</v>
      </c>
      <c r="AI436" s="39" t="s">
        <v>73</v>
      </c>
      <c r="AJ436" s="48">
        <f>IF(Q436&lt;&gt;"",Q436,IF(K436&lt;&gt;"",K436,""))</f>
        <v>46185</v>
      </c>
      <c r="AK436" s="46" t="str">
        <f>IF(K436&lt;&gt;"","Sim","")</f>
        <v>Sim</v>
      </c>
      <c r="AL436" s="46" t="str">
        <f>IF(A436="","",TEXT(A436,"000000")&amp;"-"&amp;IF(C436="Entrada","CR","DB"))</f>
        <v>000435-DB</v>
      </c>
      <c r="AM436" s="46" t="str">
        <f>IF(A436="","",LEFT(IF(H436&lt;&gt;"",H436,G436)&amp;" | "&amp;G436&amp;" | "&amp;S436,60))</f>
        <v>Veda Rosca Teflon Veda Tubulações 18mm x 50M | Veda Rosca Te</v>
      </c>
    </row>
    <row r="437" spans="1:39" ht="43.2" x14ac:dyDescent="0.3">
      <c r="A437" s="39">
        <v>436</v>
      </c>
      <c r="B437" s="39" t="s">
        <v>2</v>
      </c>
      <c r="C437" s="39" t="s">
        <v>74</v>
      </c>
      <c r="D437" s="39" t="s">
        <v>469</v>
      </c>
      <c r="E437" s="39" t="s">
        <v>539</v>
      </c>
      <c r="F437" s="39" t="s">
        <v>132</v>
      </c>
      <c r="G437" s="39" t="s">
        <v>564</v>
      </c>
      <c r="H437" s="40"/>
      <c r="I437" s="40"/>
      <c r="J437" s="40"/>
      <c r="K437" s="42">
        <v>46185</v>
      </c>
      <c r="L437" s="42"/>
      <c r="M437" s="44"/>
      <c r="N437" s="40"/>
      <c r="O437" s="40"/>
      <c r="P437" s="40"/>
      <c r="Q437" s="42">
        <f>IF(K437="","",K437)</f>
        <v>46185</v>
      </c>
      <c r="R437" s="39" t="s">
        <v>469</v>
      </c>
      <c r="S437" s="39" t="s">
        <v>471</v>
      </c>
      <c r="T437" s="39" t="s">
        <v>540</v>
      </c>
      <c r="U437" s="39" t="s">
        <v>275</v>
      </c>
      <c r="V437" s="39">
        <v>217</v>
      </c>
      <c r="W437" s="39" t="s">
        <v>495</v>
      </c>
      <c r="X437" s="41">
        <v>46174</v>
      </c>
      <c r="Y437" s="41">
        <v>46185</v>
      </c>
      <c r="Z437" s="43">
        <v>76.160000000000011</v>
      </c>
      <c r="AA437" s="45">
        <f>IF(M437&lt;&gt;"",M437,Z437)</f>
        <v>76.160000000000011</v>
      </c>
      <c r="AB437" s="46" t="str">
        <f>IF(L437&lt;&gt;"","Realizado","Previsto")</f>
        <v>Previsto</v>
      </c>
      <c r="AC437" s="47">
        <v>0.5</v>
      </c>
      <c r="AD437" s="43">
        <v>152.32</v>
      </c>
      <c r="AE437" s="39">
        <v>12.8</v>
      </c>
      <c r="AF437" s="39" t="s">
        <v>87</v>
      </c>
      <c r="AG437" s="43">
        <v>11.9</v>
      </c>
      <c r="AH437" s="39" t="s">
        <v>541</v>
      </c>
      <c r="AI437" s="39" t="s">
        <v>73</v>
      </c>
      <c r="AJ437" s="48">
        <f>IF(Q437&lt;&gt;"",Q437,IF(K437&lt;&gt;"",K437,""))</f>
        <v>46185</v>
      </c>
      <c r="AK437" s="46" t="str">
        <f>IF(K437&lt;&gt;"","Sim","")</f>
        <v>Sim</v>
      </c>
      <c r="AL437" s="46" t="str">
        <f>IF(A437="","",TEXT(A437,"000000")&amp;"-"&amp;IF(C437="Entrada","CR","DB"))</f>
        <v>000436-DB</v>
      </c>
      <c r="AM437" s="46" t="str">
        <f>IF(A437="","",LEFT(IF(H437&lt;&gt;"",H437,G437)&amp;" | "&amp;G437&amp;" | "&amp;S437,60))</f>
        <v>Veda Rosca Teflon Veda Tubulações 18mm x 50M | Veda Rosca Te</v>
      </c>
    </row>
    <row r="438" spans="1:39" ht="43.2" x14ac:dyDescent="0.3">
      <c r="A438" s="39">
        <v>437</v>
      </c>
      <c r="B438" s="39" t="s">
        <v>2</v>
      </c>
      <c r="C438" s="39" t="s">
        <v>74</v>
      </c>
      <c r="D438" s="39" t="s">
        <v>469</v>
      </c>
      <c r="E438" s="39" t="s">
        <v>529</v>
      </c>
      <c r="F438" s="39" t="s">
        <v>132</v>
      </c>
      <c r="G438" s="39" t="s">
        <v>565</v>
      </c>
      <c r="H438" s="40"/>
      <c r="I438" s="40"/>
      <c r="J438" s="40"/>
      <c r="K438" s="42">
        <v>46185</v>
      </c>
      <c r="L438" s="42"/>
      <c r="M438" s="44"/>
      <c r="N438" s="40"/>
      <c r="O438" s="40"/>
      <c r="P438" s="40"/>
      <c r="Q438" s="42">
        <f>IF(K438="","",K438)</f>
        <v>46185</v>
      </c>
      <c r="R438" s="39" t="s">
        <v>469</v>
      </c>
      <c r="S438" s="39" t="s">
        <v>471</v>
      </c>
      <c r="T438" s="39" t="s">
        <v>534</v>
      </c>
      <c r="U438" s="39" t="s">
        <v>275</v>
      </c>
      <c r="V438" s="39">
        <v>211</v>
      </c>
      <c r="W438" s="39" t="s">
        <v>495</v>
      </c>
      <c r="X438" s="41">
        <v>46174</v>
      </c>
      <c r="Y438" s="41">
        <v>46185</v>
      </c>
      <c r="Z438" s="43">
        <v>152.96</v>
      </c>
      <c r="AA438" s="45">
        <f>IF(M438&lt;&gt;"",M438,Z438)</f>
        <v>152.96</v>
      </c>
      <c r="AB438" s="46" t="str">
        <f>IF(L438&lt;&gt;"","Realizado","Previsto")</f>
        <v>Previsto</v>
      </c>
      <c r="AC438" s="47">
        <v>0.5</v>
      </c>
      <c r="AD438" s="43">
        <v>305.92</v>
      </c>
      <c r="AE438" s="39">
        <v>64</v>
      </c>
      <c r="AF438" s="39" t="s">
        <v>87</v>
      </c>
      <c r="AG438" s="43">
        <v>4.78</v>
      </c>
      <c r="AH438" s="39" t="s">
        <v>535</v>
      </c>
      <c r="AI438" s="39" t="s">
        <v>73</v>
      </c>
      <c r="AJ438" s="48">
        <f>IF(Q438&lt;&gt;"",Q438,IF(K438&lt;&gt;"",K438,""))</f>
        <v>46185</v>
      </c>
      <c r="AK438" s="46" t="str">
        <f>IF(K438&lt;&gt;"","Sim","")</f>
        <v>Sim</v>
      </c>
      <c r="AL438" s="46" t="str">
        <f>IF(A438="","",TEXT(A438,"000000")&amp;"-"&amp;IF(C438="Entrada","CR","DB"))</f>
        <v>000437-DB</v>
      </c>
      <c r="AM438" s="46" t="str">
        <f>IF(A438="","",LEFT(IF(H438&lt;&gt;"",H438,G438)&amp;" | "&amp;G438&amp;" | "&amp;S438,60))</f>
        <v>Válvula PVC Para Lavatório S/ladrao Amanco | Válvula PVC Par</v>
      </c>
    </row>
    <row r="439" spans="1:39" ht="43.2" x14ac:dyDescent="0.3">
      <c r="A439" s="39">
        <v>438</v>
      </c>
      <c r="B439" s="39" t="s">
        <v>2</v>
      </c>
      <c r="C439" s="39" t="s">
        <v>74</v>
      </c>
      <c r="D439" s="39" t="s">
        <v>469</v>
      </c>
      <c r="E439" s="39" t="s">
        <v>469</v>
      </c>
      <c r="F439" s="39" t="s">
        <v>542</v>
      </c>
      <c r="G439" s="39" t="s">
        <v>566</v>
      </c>
      <c r="H439" s="40"/>
      <c r="I439" s="40"/>
      <c r="J439" s="40"/>
      <c r="K439" s="42">
        <v>46185</v>
      </c>
      <c r="L439" s="42"/>
      <c r="M439" s="44"/>
      <c r="N439" s="40"/>
      <c r="O439" s="40"/>
      <c r="P439" s="40"/>
      <c r="Q439" s="42">
        <f>IF(K439="","",K439)</f>
        <v>46185</v>
      </c>
      <c r="R439" s="39" t="s">
        <v>469</v>
      </c>
      <c r="S439" s="39" t="s">
        <v>471</v>
      </c>
      <c r="T439" s="39" t="s">
        <v>544</v>
      </c>
      <c r="U439" s="39" t="s">
        <v>275</v>
      </c>
      <c r="V439" s="39">
        <v>227</v>
      </c>
      <c r="W439" s="39" t="s">
        <v>495</v>
      </c>
      <c r="X439" s="41">
        <v>46174</v>
      </c>
      <c r="Y439" s="41">
        <v>46185</v>
      </c>
      <c r="Z439" s="43">
        <v>1820.8</v>
      </c>
      <c r="AA439" s="45">
        <f>IF(M439&lt;&gt;"",M439,Z439)</f>
        <v>1820.8</v>
      </c>
      <c r="AB439" s="46" t="str">
        <f>IF(L439&lt;&gt;"","Realizado","Previsto")</f>
        <v>Previsto</v>
      </c>
      <c r="AC439" s="47">
        <v>0.5</v>
      </c>
      <c r="AD439" s="43">
        <v>3641.6</v>
      </c>
      <c r="AE439" s="39">
        <v>64</v>
      </c>
      <c r="AF439" s="39" t="s">
        <v>87</v>
      </c>
      <c r="AG439" s="43">
        <v>56.9</v>
      </c>
      <c r="AH439" s="39" t="s">
        <v>546</v>
      </c>
      <c r="AI439" s="39" t="s">
        <v>73</v>
      </c>
      <c r="AJ439" s="48">
        <f>IF(Q439&lt;&gt;"",Q439,IF(K439&lt;&gt;"",K439,""))</f>
        <v>46185</v>
      </c>
      <c r="AK439" s="46" t="str">
        <f>IF(K439&lt;&gt;"","Sim","")</f>
        <v>Sim</v>
      </c>
      <c r="AL439" s="46" t="str">
        <f>IF(A439="","",TEXT(A439,"000000")&amp;"-"&amp;IF(C439="Entrada","CR","DB"))</f>
        <v>000438-DB</v>
      </c>
      <c r="AM439" s="46" t="str">
        <f>IF(A439="","",LEFT(IF(H439&lt;&gt;"",H439,G439)&amp;" | "&amp;G439&amp;" | "&amp;S439,60))</f>
        <v>torneira cromada para pia da cozinha | torneira cromada para</v>
      </c>
    </row>
    <row r="440" spans="1:39" ht="43.2" x14ac:dyDescent="0.3">
      <c r="A440" s="39">
        <v>439</v>
      </c>
      <c r="B440" s="39" t="s">
        <v>2</v>
      </c>
      <c r="C440" s="39" t="s">
        <v>74</v>
      </c>
      <c r="D440" s="39" t="s">
        <v>98</v>
      </c>
      <c r="E440" s="39" t="s">
        <v>99</v>
      </c>
      <c r="F440" s="39" t="s">
        <v>109</v>
      </c>
      <c r="G440" s="39" t="s">
        <v>248</v>
      </c>
      <c r="H440" s="40"/>
      <c r="I440" s="40"/>
      <c r="J440" s="40"/>
      <c r="K440" s="42">
        <v>46185</v>
      </c>
      <c r="L440" s="42"/>
      <c r="M440" s="44"/>
      <c r="N440" s="40"/>
      <c r="O440" s="40"/>
      <c r="P440" s="40"/>
      <c r="Q440" s="42">
        <f>IF(K440="","",K440)</f>
        <v>46185</v>
      </c>
      <c r="R440" s="39" t="s">
        <v>98</v>
      </c>
      <c r="S440" s="39" t="s">
        <v>102</v>
      </c>
      <c r="T440" s="39" t="s">
        <v>249</v>
      </c>
      <c r="U440" s="39" t="s">
        <v>250</v>
      </c>
      <c r="V440" s="39">
        <v>58</v>
      </c>
      <c r="W440" s="39" t="s">
        <v>495</v>
      </c>
      <c r="X440" s="41">
        <v>46174</v>
      </c>
      <c r="Y440" s="41">
        <v>46185</v>
      </c>
      <c r="Z440" s="43">
        <v>40487.902828799997</v>
      </c>
      <c r="AA440" s="45">
        <f>IF(M440&lt;&gt;"",M440,Z440)</f>
        <v>40487.902828799997</v>
      </c>
      <c r="AB440" s="46" t="str">
        <f>IF(L440&lt;&gt;"","Realizado","Previsto")</f>
        <v>Previsto</v>
      </c>
      <c r="AC440" s="47">
        <v>0.25305</v>
      </c>
      <c r="AD440" s="43">
        <v>159999.61600000001</v>
      </c>
      <c r="AE440" s="39">
        <v>896</v>
      </c>
      <c r="AF440" s="39" t="s">
        <v>182</v>
      </c>
      <c r="AG440" s="43">
        <v>178.571</v>
      </c>
      <c r="AH440" s="39" t="s">
        <v>251</v>
      </c>
      <c r="AI440" s="39" t="s">
        <v>73</v>
      </c>
      <c r="AJ440" s="48">
        <f>IF(Q440&lt;&gt;"",Q440,IF(K440&lt;&gt;"",K440,""))</f>
        <v>46185</v>
      </c>
      <c r="AK440" s="46" t="str">
        <f>IF(K440&lt;&gt;"","Sim","")</f>
        <v>Sim</v>
      </c>
      <c r="AL440" s="46" t="str">
        <f>IF(A440="","",TEXT(A440,"000000")&amp;"-"&amp;IF(C440="Entrada","CR","DB"))</f>
        <v>000439-DB</v>
      </c>
      <c r="AM440" s="46" t="str">
        <f>IF(A440="","",LEFT(IF(H440&lt;&gt;"",H440,G440)&amp;" | "&amp;G440&amp;" | "&amp;S440,60))</f>
        <v>Montagem de paredes pré-moldadas (içamento, prumo, alinhamen</v>
      </c>
    </row>
    <row r="441" spans="1:39" ht="43.2" x14ac:dyDescent="0.3">
      <c r="A441" s="39">
        <v>440</v>
      </c>
      <c r="B441" s="39" t="s">
        <v>2</v>
      </c>
      <c r="C441" s="39" t="s">
        <v>74</v>
      </c>
      <c r="D441" s="39" t="s">
        <v>98</v>
      </c>
      <c r="E441" s="39" t="s">
        <v>99</v>
      </c>
      <c r="F441" s="39" t="s">
        <v>100</v>
      </c>
      <c r="G441" s="39" t="s">
        <v>101</v>
      </c>
      <c r="H441" s="40"/>
      <c r="I441" s="40"/>
      <c r="J441" s="40"/>
      <c r="K441" s="42">
        <v>46185</v>
      </c>
      <c r="L441" s="42"/>
      <c r="M441" s="44"/>
      <c r="N441" s="40"/>
      <c r="O441" s="40"/>
      <c r="P441" s="40"/>
      <c r="Q441" s="42">
        <f>IF(K441="","",K441)</f>
        <v>46185</v>
      </c>
      <c r="R441" s="39" t="s">
        <v>98</v>
      </c>
      <c r="S441" s="39" t="s">
        <v>102</v>
      </c>
      <c r="T441" s="39" t="s">
        <v>103</v>
      </c>
      <c r="U441" s="39" t="s">
        <v>104</v>
      </c>
      <c r="V441" s="39">
        <v>48</v>
      </c>
      <c r="W441" s="39" t="s">
        <v>495</v>
      </c>
      <c r="X441" s="41">
        <v>46174</v>
      </c>
      <c r="Y441" s="41">
        <v>46185</v>
      </c>
      <c r="Z441" s="43">
        <v>74656</v>
      </c>
      <c r="AA441" s="45">
        <f>IF(M441&lt;&gt;"",M441,Z441)</f>
        <v>74656</v>
      </c>
      <c r="AB441" s="46" t="str">
        <f>IF(L441&lt;&gt;"","Realizado","Previsto")</f>
        <v>Previsto</v>
      </c>
      <c r="AC441" s="47">
        <v>0.23330000000000001</v>
      </c>
      <c r="AD441" s="43">
        <v>320000</v>
      </c>
      <c r="AE441" s="39">
        <v>20</v>
      </c>
      <c r="AF441" s="39" t="s">
        <v>87</v>
      </c>
      <c r="AG441" s="43">
        <v>16000</v>
      </c>
      <c r="AH441" s="39" t="s">
        <v>105</v>
      </c>
      <c r="AI441" s="39" t="s">
        <v>73</v>
      </c>
      <c r="AJ441" s="48">
        <f>IF(Q441&lt;&gt;"",Q441,IF(K441&lt;&gt;"",K441,""))</f>
        <v>46185</v>
      </c>
      <c r="AK441" s="46" t="str">
        <f>IF(K441&lt;&gt;"","Sim","")</f>
        <v>Sim</v>
      </c>
      <c r="AL441" s="46" t="str">
        <f>IF(A441="","",TEXT(A441,"000000")&amp;"-"&amp;IF(C441="Entrada","CR","DB"))</f>
        <v>000440-DB</v>
      </c>
      <c r="AM441" s="46" t="str">
        <f>IF(A441="","",LEFT(IF(H441&lt;&gt;"",H441,G441)&amp;" | "&amp;G441&amp;" | "&amp;S441,60))</f>
        <v>contrato industrializaçao paredes | contrato industrializaça</v>
      </c>
    </row>
    <row r="442" spans="1:39" ht="43.2" x14ac:dyDescent="0.3">
      <c r="A442" s="39">
        <v>441</v>
      </c>
      <c r="B442" s="39" t="s">
        <v>2</v>
      </c>
      <c r="C442" s="39" t="s">
        <v>74</v>
      </c>
      <c r="D442" s="39" t="s">
        <v>98</v>
      </c>
      <c r="E442" s="39" t="s">
        <v>99</v>
      </c>
      <c r="F442" s="39" t="s">
        <v>100</v>
      </c>
      <c r="G442" s="39" t="s">
        <v>101</v>
      </c>
      <c r="H442" s="40"/>
      <c r="I442" s="40"/>
      <c r="J442" s="40"/>
      <c r="K442" s="42">
        <v>46185</v>
      </c>
      <c r="L442" s="42"/>
      <c r="M442" s="44"/>
      <c r="N442" s="40"/>
      <c r="O442" s="40"/>
      <c r="P442" s="40"/>
      <c r="Q442" s="42">
        <f>IF(K442="","",K442)</f>
        <v>46185</v>
      </c>
      <c r="R442" s="39" t="s">
        <v>98</v>
      </c>
      <c r="S442" s="39" t="s">
        <v>102</v>
      </c>
      <c r="T442" s="39" t="s">
        <v>103</v>
      </c>
      <c r="U442" s="39" t="s">
        <v>104</v>
      </c>
      <c r="V442" s="39">
        <v>49</v>
      </c>
      <c r="W442" s="39" t="s">
        <v>495</v>
      </c>
      <c r="X442" s="41">
        <v>46174</v>
      </c>
      <c r="Y442" s="41">
        <v>46185</v>
      </c>
      <c r="Z442" s="43">
        <v>74656</v>
      </c>
      <c r="AA442" s="45">
        <f>IF(M442&lt;&gt;"",M442,Z442)</f>
        <v>74656</v>
      </c>
      <c r="AB442" s="46" t="str">
        <f>IF(L442&lt;&gt;"","Realizado","Previsto")</f>
        <v>Previsto</v>
      </c>
      <c r="AC442" s="47">
        <v>0.23330000000000001</v>
      </c>
      <c r="AD442" s="43">
        <v>320000</v>
      </c>
      <c r="AE442" s="39">
        <v>20</v>
      </c>
      <c r="AF442" s="39" t="s">
        <v>87</v>
      </c>
      <c r="AG442" s="43">
        <v>16000</v>
      </c>
      <c r="AH442" s="39" t="s">
        <v>105</v>
      </c>
      <c r="AI442" s="39" t="s">
        <v>73</v>
      </c>
      <c r="AJ442" s="48">
        <f>IF(Q442&lt;&gt;"",Q442,IF(K442&lt;&gt;"",K442,""))</f>
        <v>46185</v>
      </c>
      <c r="AK442" s="46" t="str">
        <f>IF(K442&lt;&gt;"","Sim","")</f>
        <v>Sim</v>
      </c>
      <c r="AL442" s="46" t="str">
        <f>IF(A442="","",TEXT(A442,"000000")&amp;"-"&amp;IF(C442="Entrada","CR","DB"))</f>
        <v>000441-DB</v>
      </c>
      <c r="AM442" s="46" t="str">
        <f>IF(A442="","",LEFT(IF(H442&lt;&gt;"",H442,G442)&amp;" | "&amp;G442&amp;" | "&amp;S442,60))</f>
        <v>contrato industrializaçao paredes | contrato industrializaça</v>
      </c>
    </row>
    <row r="443" spans="1:39" ht="43.2" x14ac:dyDescent="0.3">
      <c r="A443" s="39">
        <v>442</v>
      </c>
      <c r="B443" s="39" t="s">
        <v>2</v>
      </c>
      <c r="C443" s="39" t="s">
        <v>74</v>
      </c>
      <c r="D443" s="39" t="s">
        <v>98</v>
      </c>
      <c r="E443" s="39" t="s">
        <v>99</v>
      </c>
      <c r="F443" s="39" t="s">
        <v>100</v>
      </c>
      <c r="G443" s="39" t="s">
        <v>101</v>
      </c>
      <c r="H443" s="40"/>
      <c r="I443" s="40"/>
      <c r="J443" s="40"/>
      <c r="K443" s="42">
        <v>46185</v>
      </c>
      <c r="L443" s="42"/>
      <c r="M443" s="44"/>
      <c r="N443" s="40"/>
      <c r="O443" s="40"/>
      <c r="P443" s="40"/>
      <c r="Q443" s="42">
        <f>IF(K443="","",K443)</f>
        <v>46185</v>
      </c>
      <c r="R443" s="39" t="s">
        <v>98</v>
      </c>
      <c r="S443" s="39" t="s">
        <v>102</v>
      </c>
      <c r="T443" s="39" t="s">
        <v>103</v>
      </c>
      <c r="U443" s="39" t="s">
        <v>106</v>
      </c>
      <c r="V443" s="39">
        <v>50</v>
      </c>
      <c r="W443" s="39" t="s">
        <v>495</v>
      </c>
      <c r="X443" s="41">
        <v>46174</v>
      </c>
      <c r="Y443" s="41">
        <v>46185</v>
      </c>
      <c r="Z443" s="43">
        <v>89472</v>
      </c>
      <c r="AA443" s="45">
        <f>IF(M443&lt;&gt;"",M443,Z443)</f>
        <v>89472</v>
      </c>
      <c r="AB443" s="46" t="str">
        <f>IF(L443&lt;&gt;"","Realizado","Previsto")</f>
        <v>Previsto</v>
      </c>
      <c r="AC443" s="47">
        <v>0.23300000000000001</v>
      </c>
      <c r="AD443" s="43">
        <v>384000</v>
      </c>
      <c r="AE443" s="39">
        <v>24</v>
      </c>
      <c r="AF443" s="39" t="s">
        <v>87</v>
      </c>
      <c r="AG443" s="43">
        <v>16000</v>
      </c>
      <c r="AH443" s="39" t="s">
        <v>105</v>
      </c>
      <c r="AI443" s="39" t="s">
        <v>73</v>
      </c>
      <c r="AJ443" s="48">
        <f>IF(Q443&lt;&gt;"",Q443,IF(K443&lt;&gt;"",K443,""))</f>
        <v>46185</v>
      </c>
      <c r="AK443" s="46" t="str">
        <f>IF(K443&lt;&gt;"","Sim","")</f>
        <v>Sim</v>
      </c>
      <c r="AL443" s="46" t="str">
        <f>IF(A443="","",TEXT(A443,"000000")&amp;"-"&amp;IF(C443="Entrada","CR","DB"))</f>
        <v>000442-DB</v>
      </c>
      <c r="AM443" s="46" t="str">
        <f>IF(A443="","",LEFT(IF(H443&lt;&gt;"",H443,G443)&amp;" | "&amp;G443&amp;" | "&amp;S443,60))</f>
        <v>contrato industrializaçao paredes | contrato industrializaça</v>
      </c>
    </row>
    <row r="444" spans="1:39" ht="43.2" x14ac:dyDescent="0.3">
      <c r="A444" s="39">
        <v>443</v>
      </c>
      <c r="B444" s="39" t="s">
        <v>2</v>
      </c>
      <c r="C444" s="39" t="s">
        <v>74</v>
      </c>
      <c r="D444" s="39" t="s">
        <v>98</v>
      </c>
      <c r="E444" s="39" t="s">
        <v>99</v>
      </c>
      <c r="F444" s="39" t="s">
        <v>100</v>
      </c>
      <c r="G444" s="39" t="s">
        <v>252</v>
      </c>
      <c r="H444" s="40"/>
      <c r="I444" s="40"/>
      <c r="J444" s="40"/>
      <c r="K444" s="42">
        <v>46185</v>
      </c>
      <c r="L444" s="42"/>
      <c r="M444" s="44"/>
      <c r="N444" s="40"/>
      <c r="O444" s="40"/>
      <c r="P444" s="40"/>
      <c r="Q444" s="42">
        <f>IF(K444="","",K444)</f>
        <v>46185</v>
      </c>
      <c r="R444" s="39" t="s">
        <v>98</v>
      </c>
      <c r="S444" s="39" t="s">
        <v>102</v>
      </c>
      <c r="T444" s="39" t="s">
        <v>103</v>
      </c>
      <c r="U444" s="39" t="s">
        <v>104</v>
      </c>
      <c r="V444" s="39">
        <v>54</v>
      </c>
      <c r="W444" s="39" t="s">
        <v>495</v>
      </c>
      <c r="X444" s="41">
        <v>46174</v>
      </c>
      <c r="Y444" s="41">
        <v>46185</v>
      </c>
      <c r="Z444" s="43">
        <v>31984.91724137932</v>
      </c>
      <c r="AA444" s="45">
        <f>IF(M444&lt;&gt;"",M444,Z444)</f>
        <v>31984.91724137932</v>
      </c>
      <c r="AB444" s="46" t="str">
        <f>IF(L444&lt;&gt;"","Realizado","Previsto")</f>
        <v>Previsto</v>
      </c>
      <c r="AC444" s="47">
        <v>0.17241379310344829</v>
      </c>
      <c r="AD444" s="43">
        <v>185512.52</v>
      </c>
      <c r="AE444" s="39">
        <v>20</v>
      </c>
      <c r="AF444" s="39" t="s">
        <v>87</v>
      </c>
      <c r="AG444" s="43">
        <v>9275.6260000000002</v>
      </c>
      <c r="AH444" s="39" t="s">
        <v>105</v>
      </c>
      <c r="AI444" s="39" t="s">
        <v>73</v>
      </c>
      <c r="AJ444" s="48">
        <f>IF(Q444&lt;&gt;"",Q444,IF(K444&lt;&gt;"",K444,""))</f>
        <v>46185</v>
      </c>
      <c r="AK444" s="46" t="str">
        <f>IF(K444&lt;&gt;"","Sim","")</f>
        <v>Sim</v>
      </c>
      <c r="AL444" s="46" t="str">
        <f>IF(A444="","",TEXT(A444,"000000")&amp;"-"&amp;IF(C444="Entrada","CR","DB"))</f>
        <v>000443-DB</v>
      </c>
      <c r="AM444" s="46" t="str">
        <f>IF(A444="","",LEFT(IF(H444&lt;&gt;"",H444,G444)&amp;" | "&amp;G444&amp;" | "&amp;S444,60))</f>
        <v>material CIMENTO : KIT Parede e Laje - FOB na Fabrica | mate</v>
      </c>
    </row>
    <row r="445" spans="1:39" ht="43.2" x14ac:dyDescent="0.3">
      <c r="A445" s="39">
        <v>444</v>
      </c>
      <c r="B445" s="39" t="s">
        <v>2</v>
      </c>
      <c r="C445" s="39" t="s">
        <v>74</v>
      </c>
      <c r="D445" s="39" t="s">
        <v>98</v>
      </c>
      <c r="E445" s="39" t="s">
        <v>99</v>
      </c>
      <c r="F445" s="39" t="s">
        <v>100</v>
      </c>
      <c r="G445" s="39" t="s">
        <v>252</v>
      </c>
      <c r="H445" s="40"/>
      <c r="I445" s="40"/>
      <c r="J445" s="40"/>
      <c r="K445" s="42">
        <v>46185</v>
      </c>
      <c r="L445" s="42"/>
      <c r="M445" s="44"/>
      <c r="N445" s="40"/>
      <c r="O445" s="40"/>
      <c r="P445" s="40"/>
      <c r="Q445" s="42">
        <f>IF(K445="","",K445)</f>
        <v>46185</v>
      </c>
      <c r="R445" s="39" t="s">
        <v>98</v>
      </c>
      <c r="S445" s="39" t="s">
        <v>102</v>
      </c>
      <c r="T445" s="39" t="s">
        <v>103</v>
      </c>
      <c r="U445" s="39" t="s">
        <v>104</v>
      </c>
      <c r="V445" s="39">
        <v>55</v>
      </c>
      <c r="W445" s="39" t="s">
        <v>495</v>
      </c>
      <c r="X445" s="41">
        <v>46174</v>
      </c>
      <c r="Y445" s="41">
        <v>46185</v>
      </c>
      <c r="Z445" s="43">
        <v>31984.91724137932</v>
      </c>
      <c r="AA445" s="45">
        <f>IF(M445&lt;&gt;"",M445,Z445)</f>
        <v>31984.91724137932</v>
      </c>
      <c r="AB445" s="46" t="str">
        <f>IF(L445&lt;&gt;"","Realizado","Previsto")</f>
        <v>Previsto</v>
      </c>
      <c r="AC445" s="47">
        <v>0.17241379310344829</v>
      </c>
      <c r="AD445" s="43">
        <v>185512.52</v>
      </c>
      <c r="AE445" s="39">
        <v>20</v>
      </c>
      <c r="AF445" s="39" t="s">
        <v>87</v>
      </c>
      <c r="AG445" s="43">
        <v>9275.6260000000002</v>
      </c>
      <c r="AH445" s="39" t="s">
        <v>105</v>
      </c>
      <c r="AI445" s="39" t="s">
        <v>73</v>
      </c>
      <c r="AJ445" s="48">
        <f>IF(Q445&lt;&gt;"",Q445,IF(K445&lt;&gt;"",K445,""))</f>
        <v>46185</v>
      </c>
      <c r="AK445" s="46" t="str">
        <f>IF(K445&lt;&gt;"","Sim","")</f>
        <v>Sim</v>
      </c>
      <c r="AL445" s="46" t="str">
        <f>IF(A445="","",TEXT(A445,"000000")&amp;"-"&amp;IF(C445="Entrada","CR","DB"))</f>
        <v>000444-DB</v>
      </c>
      <c r="AM445" s="46" t="str">
        <f>IF(A445="","",LEFT(IF(H445&lt;&gt;"",H445,G445)&amp;" | "&amp;G445&amp;" | "&amp;S445,60))</f>
        <v>material CIMENTO : KIT Parede e Laje - FOB na Fabrica | mate</v>
      </c>
    </row>
    <row r="446" spans="1:39" ht="43.2" x14ac:dyDescent="0.3">
      <c r="A446" s="39">
        <v>445</v>
      </c>
      <c r="B446" s="39" t="s">
        <v>2</v>
      </c>
      <c r="C446" s="39" t="s">
        <v>74</v>
      </c>
      <c r="D446" s="39" t="s">
        <v>98</v>
      </c>
      <c r="E446" s="39" t="s">
        <v>99</v>
      </c>
      <c r="F446" s="39" t="s">
        <v>100</v>
      </c>
      <c r="G446" s="39" t="s">
        <v>252</v>
      </c>
      <c r="H446" s="40"/>
      <c r="I446" s="40"/>
      <c r="J446" s="40"/>
      <c r="K446" s="42">
        <v>46185</v>
      </c>
      <c r="L446" s="42"/>
      <c r="M446" s="44"/>
      <c r="N446" s="40"/>
      <c r="O446" s="40"/>
      <c r="P446" s="40"/>
      <c r="Q446" s="42">
        <f>IF(K446="","",K446)</f>
        <v>46185</v>
      </c>
      <c r="R446" s="39" t="s">
        <v>98</v>
      </c>
      <c r="S446" s="39" t="s">
        <v>102</v>
      </c>
      <c r="T446" s="39" t="s">
        <v>103</v>
      </c>
      <c r="U446" s="39" t="s">
        <v>106</v>
      </c>
      <c r="V446" s="39">
        <v>56</v>
      </c>
      <c r="W446" s="39" t="s">
        <v>495</v>
      </c>
      <c r="X446" s="41">
        <v>46174</v>
      </c>
      <c r="Y446" s="41">
        <v>46185</v>
      </c>
      <c r="Z446" s="43">
        <v>38381.900689655173</v>
      </c>
      <c r="AA446" s="45">
        <f>IF(M446&lt;&gt;"",M446,Z446)</f>
        <v>38381.900689655173</v>
      </c>
      <c r="AB446" s="46" t="str">
        <f>IF(L446&lt;&gt;"","Realizado","Previsto")</f>
        <v>Previsto</v>
      </c>
      <c r="AC446" s="47">
        <v>0.17241379310344829</v>
      </c>
      <c r="AD446" s="43">
        <v>222615.024</v>
      </c>
      <c r="AE446" s="39">
        <v>24</v>
      </c>
      <c r="AF446" s="39" t="s">
        <v>87</v>
      </c>
      <c r="AG446" s="43">
        <v>9275.6260000000002</v>
      </c>
      <c r="AH446" s="39" t="s">
        <v>105</v>
      </c>
      <c r="AI446" s="39" t="s">
        <v>73</v>
      </c>
      <c r="AJ446" s="48">
        <f>IF(Q446&lt;&gt;"",Q446,IF(K446&lt;&gt;"",K446,""))</f>
        <v>46185</v>
      </c>
      <c r="AK446" s="46" t="str">
        <f>IF(K446&lt;&gt;"","Sim","")</f>
        <v>Sim</v>
      </c>
      <c r="AL446" s="46" t="str">
        <f>IF(A446="","",TEXT(A446,"000000")&amp;"-"&amp;IF(C446="Entrada","CR","DB"))</f>
        <v>000445-DB</v>
      </c>
      <c r="AM446" s="46" t="str">
        <f>IF(A446="","",LEFT(IF(H446&lt;&gt;"",H446,G446)&amp;" | "&amp;G446&amp;" | "&amp;S446,60))</f>
        <v>material CIMENTO : KIT Parede e Laje - FOB na Fabrica | mate</v>
      </c>
    </row>
    <row r="447" spans="1:39" ht="43.2" x14ac:dyDescent="0.3">
      <c r="A447" s="39">
        <v>446</v>
      </c>
      <c r="B447" s="39" t="s">
        <v>2</v>
      </c>
      <c r="C447" s="39" t="s">
        <v>74</v>
      </c>
      <c r="D447" s="39" t="s">
        <v>98</v>
      </c>
      <c r="E447" s="39" t="s">
        <v>99</v>
      </c>
      <c r="F447" s="39" t="s">
        <v>100</v>
      </c>
      <c r="G447" s="39" t="s">
        <v>253</v>
      </c>
      <c r="H447" s="40"/>
      <c r="I447" s="40"/>
      <c r="J447" s="40"/>
      <c r="K447" s="42">
        <v>46185</v>
      </c>
      <c r="L447" s="42"/>
      <c r="M447" s="44"/>
      <c r="N447" s="40"/>
      <c r="O447" s="40"/>
      <c r="P447" s="40"/>
      <c r="Q447" s="42">
        <f>IF(K447="","",K447)</f>
        <v>46185</v>
      </c>
      <c r="R447" s="39" t="s">
        <v>98</v>
      </c>
      <c r="S447" s="39" t="s">
        <v>102</v>
      </c>
      <c r="T447" s="39" t="s">
        <v>103</v>
      </c>
      <c r="U447" s="39" t="s">
        <v>104</v>
      </c>
      <c r="V447" s="39">
        <v>51</v>
      </c>
      <c r="W447" s="39" t="s">
        <v>495</v>
      </c>
      <c r="X447" s="41">
        <v>46174</v>
      </c>
      <c r="Y447" s="41">
        <v>46185</v>
      </c>
      <c r="Z447" s="43">
        <v>33044.204123711337</v>
      </c>
      <c r="AA447" s="45">
        <f>IF(M447&lt;&gt;"",M447,Z447)</f>
        <v>33044.204123711337</v>
      </c>
      <c r="AB447" s="46" t="str">
        <f>IF(L447&lt;&gt;"","Realizado","Previsto")</f>
        <v>Previsto</v>
      </c>
      <c r="AC447" s="47">
        <v>0.24570446735395191</v>
      </c>
      <c r="AD447" s="43">
        <v>134487.6</v>
      </c>
      <c r="AE447" s="39">
        <v>20</v>
      </c>
      <c r="AF447" s="39" t="s">
        <v>87</v>
      </c>
      <c r="AG447" s="43">
        <v>6724.38</v>
      </c>
      <c r="AH447" s="39" t="s">
        <v>105</v>
      </c>
      <c r="AI447" s="39" t="s">
        <v>73</v>
      </c>
      <c r="AJ447" s="48">
        <f>IF(Q447&lt;&gt;"",Q447,IF(K447&lt;&gt;"",K447,""))</f>
        <v>46185</v>
      </c>
      <c r="AK447" s="46" t="str">
        <f>IF(K447&lt;&gt;"","Sim","")</f>
        <v>Sim</v>
      </c>
      <c r="AL447" s="46" t="str">
        <f>IF(A447="","",TEXT(A447,"000000")&amp;"-"&amp;IF(C447="Entrada","CR","DB"))</f>
        <v>000446-DB</v>
      </c>
      <c r="AM447" s="46" t="str">
        <f>IF(A447="","",LEFT(IF(H447&lt;&gt;"",H447,G447)&amp;" | "&amp;G447&amp;" | "&amp;S447,60))</f>
        <v>material FERRO: KIT Parede e Laje - FOB na Fabrica | materia</v>
      </c>
    </row>
    <row r="448" spans="1:39" ht="43.2" x14ac:dyDescent="0.3">
      <c r="A448" s="39">
        <v>447</v>
      </c>
      <c r="B448" s="39" t="s">
        <v>2</v>
      </c>
      <c r="C448" s="39" t="s">
        <v>74</v>
      </c>
      <c r="D448" s="39" t="s">
        <v>98</v>
      </c>
      <c r="E448" s="39" t="s">
        <v>99</v>
      </c>
      <c r="F448" s="39" t="s">
        <v>100</v>
      </c>
      <c r="G448" s="39" t="s">
        <v>253</v>
      </c>
      <c r="H448" s="40"/>
      <c r="I448" s="40"/>
      <c r="J448" s="40"/>
      <c r="K448" s="42">
        <v>46185</v>
      </c>
      <c r="L448" s="42"/>
      <c r="M448" s="44"/>
      <c r="N448" s="40"/>
      <c r="O448" s="40"/>
      <c r="P448" s="40"/>
      <c r="Q448" s="42">
        <f>IF(K448="","",K448)</f>
        <v>46185</v>
      </c>
      <c r="R448" s="39" t="s">
        <v>98</v>
      </c>
      <c r="S448" s="39" t="s">
        <v>102</v>
      </c>
      <c r="T448" s="39" t="s">
        <v>103</v>
      </c>
      <c r="U448" s="39" t="s">
        <v>104</v>
      </c>
      <c r="V448" s="39">
        <v>52</v>
      </c>
      <c r="W448" s="39" t="s">
        <v>495</v>
      </c>
      <c r="X448" s="41">
        <v>46174</v>
      </c>
      <c r="Y448" s="41">
        <v>46185</v>
      </c>
      <c r="Z448" s="43">
        <v>33044.204123711337</v>
      </c>
      <c r="AA448" s="45">
        <f>IF(M448&lt;&gt;"",M448,Z448)</f>
        <v>33044.204123711337</v>
      </c>
      <c r="AB448" s="46" t="str">
        <f>IF(L448&lt;&gt;"","Realizado","Previsto")</f>
        <v>Previsto</v>
      </c>
      <c r="AC448" s="47">
        <v>0.24570446735395191</v>
      </c>
      <c r="AD448" s="43">
        <v>134487.6</v>
      </c>
      <c r="AE448" s="39">
        <v>20</v>
      </c>
      <c r="AF448" s="39" t="s">
        <v>87</v>
      </c>
      <c r="AG448" s="43">
        <v>6724.38</v>
      </c>
      <c r="AH448" s="39" t="s">
        <v>105</v>
      </c>
      <c r="AI448" s="39" t="s">
        <v>73</v>
      </c>
      <c r="AJ448" s="48">
        <f>IF(Q448&lt;&gt;"",Q448,IF(K448&lt;&gt;"",K448,""))</f>
        <v>46185</v>
      </c>
      <c r="AK448" s="46" t="str">
        <f>IF(K448&lt;&gt;"","Sim","")</f>
        <v>Sim</v>
      </c>
      <c r="AL448" s="46" t="str">
        <f>IF(A448="","",TEXT(A448,"000000")&amp;"-"&amp;IF(C448="Entrada","CR","DB"))</f>
        <v>000447-DB</v>
      </c>
      <c r="AM448" s="46" t="str">
        <f>IF(A448="","",LEFT(IF(H448&lt;&gt;"",H448,G448)&amp;" | "&amp;G448&amp;" | "&amp;S448,60))</f>
        <v>material FERRO: KIT Parede e Laje - FOB na Fabrica | materia</v>
      </c>
    </row>
    <row r="449" spans="1:39" ht="43.2" x14ac:dyDescent="0.3">
      <c r="A449" s="39">
        <v>448</v>
      </c>
      <c r="B449" s="39" t="s">
        <v>2</v>
      </c>
      <c r="C449" s="39" t="s">
        <v>74</v>
      </c>
      <c r="D449" s="39" t="s">
        <v>98</v>
      </c>
      <c r="E449" s="39" t="s">
        <v>99</v>
      </c>
      <c r="F449" s="39" t="s">
        <v>100</v>
      </c>
      <c r="G449" s="39" t="s">
        <v>253</v>
      </c>
      <c r="H449" s="40"/>
      <c r="I449" s="40"/>
      <c r="J449" s="40"/>
      <c r="K449" s="42">
        <v>46185</v>
      </c>
      <c r="L449" s="42"/>
      <c r="M449" s="44"/>
      <c r="N449" s="40"/>
      <c r="O449" s="40"/>
      <c r="P449" s="40"/>
      <c r="Q449" s="42">
        <f>IF(K449="","",K449)</f>
        <v>46185</v>
      </c>
      <c r="R449" s="39" t="s">
        <v>98</v>
      </c>
      <c r="S449" s="39" t="s">
        <v>102</v>
      </c>
      <c r="T449" s="39" t="s">
        <v>103</v>
      </c>
      <c r="U449" s="39" t="s">
        <v>106</v>
      </c>
      <c r="V449" s="39">
        <v>53</v>
      </c>
      <c r="W449" s="39" t="s">
        <v>495</v>
      </c>
      <c r="X449" s="41">
        <v>46174</v>
      </c>
      <c r="Y449" s="41">
        <v>46185</v>
      </c>
      <c r="Z449" s="43">
        <v>39653.044948453608</v>
      </c>
      <c r="AA449" s="45">
        <f>IF(M449&lt;&gt;"",M449,Z449)</f>
        <v>39653.044948453608</v>
      </c>
      <c r="AB449" s="46" t="str">
        <f>IF(L449&lt;&gt;"","Realizado","Previsto")</f>
        <v>Previsto</v>
      </c>
      <c r="AC449" s="47">
        <v>0.24570446735395191</v>
      </c>
      <c r="AD449" s="43">
        <v>161385.12</v>
      </c>
      <c r="AE449" s="39">
        <v>24</v>
      </c>
      <c r="AF449" s="39" t="s">
        <v>87</v>
      </c>
      <c r="AG449" s="43">
        <v>6724.38</v>
      </c>
      <c r="AH449" s="39" t="s">
        <v>105</v>
      </c>
      <c r="AI449" s="39" t="s">
        <v>73</v>
      </c>
      <c r="AJ449" s="48">
        <f>IF(Q449&lt;&gt;"",Q449,IF(K449&lt;&gt;"",K449,""))</f>
        <v>46185</v>
      </c>
      <c r="AK449" s="46" t="str">
        <f>IF(K449&lt;&gt;"","Sim","")</f>
        <v>Sim</v>
      </c>
      <c r="AL449" s="46" t="str">
        <f>IF(A449="","",TEXT(A449,"000000")&amp;"-"&amp;IF(C449="Entrada","CR","DB"))</f>
        <v>000448-DB</v>
      </c>
      <c r="AM449" s="46" t="str">
        <f>IF(A449="","",LEFT(IF(H449&lt;&gt;"",H449,G449)&amp;" | "&amp;G449&amp;" | "&amp;S449,60))</f>
        <v>material FERRO: KIT Parede e Laje - FOB na Fabrica | materia</v>
      </c>
    </row>
    <row r="450" spans="1:39" ht="43.2" x14ac:dyDescent="0.3">
      <c r="A450" s="39">
        <v>449</v>
      </c>
      <c r="B450" s="39" t="s">
        <v>2</v>
      </c>
      <c r="C450" s="39" t="s">
        <v>74</v>
      </c>
      <c r="D450" s="39" t="s">
        <v>413</v>
      </c>
      <c r="E450" s="39" t="s">
        <v>413</v>
      </c>
      <c r="F450" s="39" t="s">
        <v>109</v>
      </c>
      <c r="G450" s="39" t="s">
        <v>414</v>
      </c>
      <c r="H450" s="40"/>
      <c r="I450" s="40"/>
      <c r="J450" s="40"/>
      <c r="K450" s="42">
        <v>46185</v>
      </c>
      <c r="L450" s="42"/>
      <c r="M450" s="44"/>
      <c r="N450" s="40"/>
      <c r="O450" s="40"/>
      <c r="P450" s="40"/>
      <c r="Q450" s="42">
        <f>IF(K450="","",K450)</f>
        <v>46185</v>
      </c>
      <c r="R450" s="39" t="s">
        <v>413</v>
      </c>
      <c r="S450" s="39" t="s">
        <v>415</v>
      </c>
      <c r="T450" s="39" t="s">
        <v>416</v>
      </c>
      <c r="U450" s="39" t="s">
        <v>215</v>
      </c>
      <c r="V450" s="39">
        <v>160</v>
      </c>
      <c r="W450" s="39" t="s">
        <v>495</v>
      </c>
      <c r="X450" s="41">
        <v>46174</v>
      </c>
      <c r="Y450" s="41">
        <v>46185</v>
      </c>
      <c r="Z450" s="43">
        <v>28888.20608</v>
      </c>
      <c r="AA450" s="45">
        <f>IF(M450&lt;&gt;"",M450,Z450)</f>
        <v>28888.20608</v>
      </c>
      <c r="AB450" s="46" t="str">
        <f>IF(L450&lt;&gt;"","Realizado","Previsto")</f>
        <v>Previsto</v>
      </c>
      <c r="AC450" s="47">
        <v>0.33695000000000003</v>
      </c>
      <c r="AD450" s="43">
        <v>85734.400000000009</v>
      </c>
      <c r="AE450" s="39">
        <v>8573.44</v>
      </c>
      <c r="AF450" s="39" t="s">
        <v>203</v>
      </c>
      <c r="AG450" s="43">
        <v>10</v>
      </c>
      <c r="AH450" s="39" t="s">
        <v>417</v>
      </c>
      <c r="AI450" s="39" t="s">
        <v>73</v>
      </c>
      <c r="AJ450" s="48">
        <f>IF(Q450&lt;&gt;"",Q450,IF(K450&lt;&gt;"",K450,""))</f>
        <v>46185</v>
      </c>
      <c r="AK450" s="46" t="str">
        <f>IF(K450&lt;&gt;"","Sim","")</f>
        <v>Sim</v>
      </c>
      <c r="AL450" s="46" t="str">
        <f>IF(A450="","",TEXT(A450,"000000")&amp;"-"&amp;IF(C450="Entrada","CR","DB"))</f>
        <v>000449-DB</v>
      </c>
      <c r="AM450" s="46" t="str">
        <f>IF(A450="","",LEFT(IF(H450&lt;&gt;"",H450,G450)&amp;" | "&amp;G450&amp;" | "&amp;S450,60))</f>
        <v>Mao de obra terceirizada com equipamentos Pintura interna (2</v>
      </c>
    </row>
    <row r="451" spans="1:39" ht="43.2" x14ac:dyDescent="0.3">
      <c r="A451" s="39">
        <v>450</v>
      </c>
      <c r="B451" s="39" t="s">
        <v>2</v>
      </c>
      <c r="C451" s="39" t="s">
        <v>74</v>
      </c>
      <c r="D451" s="39" t="s">
        <v>254</v>
      </c>
      <c r="E451" s="39" t="s">
        <v>254</v>
      </c>
      <c r="F451" s="39" t="s">
        <v>109</v>
      </c>
      <c r="G451" s="39" t="s">
        <v>255</v>
      </c>
      <c r="H451" s="40"/>
      <c r="I451" s="40"/>
      <c r="J451" s="40"/>
      <c r="K451" s="42">
        <v>46185</v>
      </c>
      <c r="L451" s="42"/>
      <c r="M451" s="44"/>
      <c r="N451" s="40"/>
      <c r="O451" s="40"/>
      <c r="P451" s="40"/>
      <c r="Q451" s="42">
        <f>IF(K451="","",K451)</f>
        <v>46185</v>
      </c>
      <c r="R451" s="39" t="s">
        <v>254</v>
      </c>
      <c r="S451" s="39" t="s">
        <v>256</v>
      </c>
      <c r="T451" s="39" t="s">
        <v>257</v>
      </c>
      <c r="U451" s="39" t="s">
        <v>215</v>
      </c>
      <c r="V451" s="39">
        <v>121</v>
      </c>
      <c r="W451" s="39" t="s">
        <v>495</v>
      </c>
      <c r="X451" s="41">
        <v>46174</v>
      </c>
      <c r="Y451" s="41">
        <v>46185</v>
      </c>
      <c r="Z451" s="43">
        <v>22854.666239999999</v>
      </c>
      <c r="AA451" s="45">
        <f>IF(M451&lt;&gt;"",M451,Z451)</f>
        <v>22854.666239999999</v>
      </c>
      <c r="AB451" s="46" t="str">
        <f>IF(L451&lt;&gt;"","Realizado","Previsto")</f>
        <v>Previsto</v>
      </c>
      <c r="AC451" s="47">
        <v>0.25305</v>
      </c>
      <c r="AD451" s="43">
        <v>90316.800000000003</v>
      </c>
      <c r="AE451" s="39">
        <v>2580.48</v>
      </c>
      <c r="AF451" s="39" t="s">
        <v>203</v>
      </c>
      <c r="AG451" s="43">
        <v>35</v>
      </c>
      <c r="AH451" s="39" t="s">
        <v>258</v>
      </c>
      <c r="AI451" s="39" t="s">
        <v>73</v>
      </c>
      <c r="AJ451" s="48">
        <f>IF(Q451&lt;&gt;"",Q451,IF(K451&lt;&gt;"",K451,""))</f>
        <v>46185</v>
      </c>
      <c r="AK451" s="46" t="str">
        <f>IF(K451&lt;&gt;"","Sim","")</f>
        <v>Sim</v>
      </c>
      <c r="AL451" s="46" t="str">
        <f>IF(A451="","",TEXT(A451,"000000")&amp;"-"&amp;IF(C451="Entrada","CR","DB"))</f>
        <v>000450-DB</v>
      </c>
      <c r="AM451" s="46" t="str">
        <f>IF(A451="","",LEFT(IF(H451&lt;&gt;"",H451,G451)&amp;" | "&amp;G451&amp;" | "&amp;S451,60))</f>
        <v>Mao de obra terceirizada assentamento Ceramica | Mao de obra</v>
      </c>
    </row>
    <row r="452" spans="1:39" ht="43.2" x14ac:dyDescent="0.3">
      <c r="A452" s="39">
        <v>451</v>
      </c>
      <c r="B452" s="39" t="s">
        <v>2</v>
      </c>
      <c r="C452" s="39" t="s">
        <v>74</v>
      </c>
      <c r="D452" s="39" t="s">
        <v>418</v>
      </c>
      <c r="E452" s="39" t="s">
        <v>419</v>
      </c>
      <c r="F452" s="39" t="s">
        <v>109</v>
      </c>
      <c r="G452" s="39" t="s">
        <v>420</v>
      </c>
      <c r="H452" s="40"/>
      <c r="I452" s="40"/>
      <c r="J452" s="40"/>
      <c r="K452" s="42">
        <v>46185</v>
      </c>
      <c r="L452" s="42"/>
      <c r="M452" s="44"/>
      <c r="N452" s="40"/>
      <c r="O452" s="40"/>
      <c r="P452" s="40"/>
      <c r="Q452" s="42">
        <f>IF(K452="","",K452)</f>
        <v>46185</v>
      </c>
      <c r="R452" s="39" t="s">
        <v>418</v>
      </c>
      <c r="S452" s="39" t="s">
        <v>421</v>
      </c>
      <c r="T452" s="39" t="s">
        <v>422</v>
      </c>
      <c r="U452" s="39" t="s">
        <v>215</v>
      </c>
      <c r="V452" s="39">
        <v>141</v>
      </c>
      <c r="W452" s="39" t="s">
        <v>495</v>
      </c>
      <c r="X452" s="41">
        <v>46174</v>
      </c>
      <c r="Y452" s="41">
        <v>46185</v>
      </c>
      <c r="Z452" s="43">
        <v>6469.44</v>
      </c>
      <c r="AA452" s="45">
        <f>IF(M452&lt;&gt;"",M452,Z452)</f>
        <v>6469.44</v>
      </c>
      <c r="AB452" s="46" t="str">
        <f>IF(L452&lt;&gt;"","Realizado","Previsto")</f>
        <v>Previsto</v>
      </c>
      <c r="AC452" s="47">
        <v>0.33695000000000003</v>
      </c>
      <c r="AD452" s="43">
        <v>19200</v>
      </c>
      <c r="AE452" s="39">
        <v>128</v>
      </c>
      <c r="AF452" s="39" t="s">
        <v>87</v>
      </c>
      <c r="AG452" s="43">
        <v>150</v>
      </c>
      <c r="AH452" s="39" t="s">
        <v>423</v>
      </c>
      <c r="AI452" s="39" t="s">
        <v>73</v>
      </c>
      <c r="AJ452" s="48">
        <f>IF(Q452&lt;&gt;"",Q452,IF(K452&lt;&gt;"",K452,""))</f>
        <v>46185</v>
      </c>
      <c r="AK452" s="46" t="str">
        <f>IF(K452&lt;&gt;"","Sim","")</f>
        <v>Sim</v>
      </c>
      <c r="AL452" s="46" t="str">
        <f>IF(A452="","",TEXT(A452,"000000")&amp;"-"&amp;IF(C452="Entrada","CR","DB"))</f>
        <v>000451-DB</v>
      </c>
      <c r="AM452" s="46" t="str">
        <f>IF(A452="","",LEFT(IF(H452&lt;&gt;"",H452,G452)&amp;" | "&amp;G452&amp;" | "&amp;S452,60))</f>
        <v>Mao de obra terceirizada colocaçao de Portas externa | Mao d</v>
      </c>
    </row>
    <row r="453" spans="1:39" ht="43.2" x14ac:dyDescent="0.3">
      <c r="A453" s="39">
        <v>452</v>
      </c>
      <c r="B453" s="39" t="s">
        <v>2</v>
      </c>
      <c r="C453" s="39" t="s">
        <v>74</v>
      </c>
      <c r="D453" s="39" t="s">
        <v>424</v>
      </c>
      <c r="E453" s="39" t="s">
        <v>425</v>
      </c>
      <c r="F453" s="39" t="s">
        <v>109</v>
      </c>
      <c r="G453" s="39" t="s">
        <v>426</v>
      </c>
      <c r="H453" s="40"/>
      <c r="I453" s="40"/>
      <c r="J453" s="40"/>
      <c r="K453" s="42">
        <v>46185</v>
      </c>
      <c r="L453" s="42"/>
      <c r="M453" s="44"/>
      <c r="N453" s="40"/>
      <c r="O453" s="40"/>
      <c r="P453" s="40"/>
      <c r="Q453" s="42">
        <f>IF(K453="","",K453)</f>
        <v>46185</v>
      </c>
      <c r="R453" s="39" t="s">
        <v>424</v>
      </c>
      <c r="S453" s="39" t="s">
        <v>427</v>
      </c>
      <c r="T453" s="39" t="s">
        <v>428</v>
      </c>
      <c r="U453" s="39" t="s">
        <v>215</v>
      </c>
      <c r="V453" s="39">
        <v>132</v>
      </c>
      <c r="W453" s="39" t="s">
        <v>495</v>
      </c>
      <c r="X453" s="41">
        <v>46174</v>
      </c>
      <c r="Y453" s="41">
        <v>46185</v>
      </c>
      <c r="Z453" s="43">
        <v>9704.16</v>
      </c>
      <c r="AA453" s="45">
        <f>IF(M453&lt;&gt;"",M453,Z453)</f>
        <v>9704.16</v>
      </c>
      <c r="AB453" s="46" t="str">
        <f>IF(L453&lt;&gt;"","Realizado","Previsto")</f>
        <v>Previsto</v>
      </c>
      <c r="AC453" s="47">
        <v>0.33695000000000003</v>
      </c>
      <c r="AD453" s="43">
        <v>28800</v>
      </c>
      <c r="AE453" s="39">
        <v>192</v>
      </c>
      <c r="AF453" s="39" t="s">
        <v>87</v>
      </c>
      <c r="AG453" s="43">
        <v>150</v>
      </c>
      <c r="AH453" s="39" t="s">
        <v>429</v>
      </c>
      <c r="AI453" s="39" t="s">
        <v>73</v>
      </c>
      <c r="AJ453" s="48">
        <f>IF(Q453&lt;&gt;"",Q453,IF(K453&lt;&gt;"",K453,""))</f>
        <v>46185</v>
      </c>
      <c r="AK453" s="46" t="str">
        <f>IF(K453&lt;&gt;"","Sim","")</f>
        <v>Sim</v>
      </c>
      <c r="AL453" s="46" t="str">
        <f>IF(A453="","",TEXT(A453,"000000")&amp;"-"&amp;IF(C453="Entrada","CR","DB"))</f>
        <v>000452-DB</v>
      </c>
      <c r="AM453" s="46" t="str">
        <f>IF(A453="","",LEFT(IF(H453&lt;&gt;"",H453,G453)&amp;" | "&amp;G453&amp;" | "&amp;S453,60))</f>
        <v>Mao de obra terceirizada colocaçao de Portas interna | Mao d</v>
      </c>
    </row>
    <row r="454" spans="1:39" ht="43.2" x14ac:dyDescent="0.3">
      <c r="A454" s="39">
        <v>453</v>
      </c>
      <c r="B454" s="39" t="s">
        <v>2</v>
      </c>
      <c r="C454" s="39" t="s">
        <v>74</v>
      </c>
      <c r="D454" s="39" t="s">
        <v>430</v>
      </c>
      <c r="E454" s="39" t="s">
        <v>430</v>
      </c>
      <c r="F454" s="39" t="s">
        <v>391</v>
      </c>
      <c r="G454" s="39" t="s">
        <v>431</v>
      </c>
      <c r="H454" s="40"/>
      <c r="I454" s="40"/>
      <c r="J454" s="40"/>
      <c r="K454" s="42">
        <v>46185</v>
      </c>
      <c r="L454" s="42"/>
      <c r="M454" s="44"/>
      <c r="N454" s="40"/>
      <c r="O454" s="40"/>
      <c r="P454" s="40"/>
      <c r="Q454" s="42">
        <f>IF(K454="","",K454)</f>
        <v>46185</v>
      </c>
      <c r="R454" s="39" t="s">
        <v>430</v>
      </c>
      <c r="S454" s="39" t="s">
        <v>432</v>
      </c>
      <c r="T454" s="39" t="s">
        <v>433</v>
      </c>
      <c r="U454" s="39"/>
      <c r="V454" s="39">
        <v>232</v>
      </c>
      <c r="W454" s="39" t="s">
        <v>495</v>
      </c>
      <c r="X454" s="41">
        <v>46174</v>
      </c>
      <c r="Y454" s="41">
        <v>46185</v>
      </c>
      <c r="Z454" s="43">
        <v>19200</v>
      </c>
      <c r="AA454" s="45">
        <f>IF(M454&lt;&gt;"",M454,Z454)</f>
        <v>19200</v>
      </c>
      <c r="AB454" s="46" t="str">
        <f>IF(L454&lt;&gt;"","Realizado","Previsto")</f>
        <v>Previsto</v>
      </c>
      <c r="AC454" s="47">
        <v>0.5</v>
      </c>
      <c r="AD454" s="43">
        <v>38400</v>
      </c>
      <c r="AE454" s="39">
        <v>64</v>
      </c>
      <c r="AF454" s="39" t="s">
        <v>87</v>
      </c>
      <c r="AG454" s="43">
        <v>600</v>
      </c>
      <c r="AH454" s="39" t="s">
        <v>434</v>
      </c>
      <c r="AI454" s="39" t="s">
        <v>73</v>
      </c>
      <c r="AJ454" s="48">
        <f>IF(Q454&lt;&gt;"",Q454,IF(K454&lt;&gt;"",K454,""))</f>
        <v>46185</v>
      </c>
      <c r="AK454" s="46" t="str">
        <f>IF(K454&lt;&gt;"","Sim","")</f>
        <v>Sim</v>
      </c>
      <c r="AL454" s="46" t="str">
        <f>IF(A454="","",TEXT(A454,"000000")&amp;"-"&amp;IF(C454="Entrada","CR","DB"))</f>
        <v>000453-DB</v>
      </c>
      <c r="AM454" s="46" t="str">
        <f>IF(A454="","",LEFT(IF(H454&lt;&gt;"",H454,G454)&amp;" | "&amp;G454&amp;" | "&amp;S454,60))</f>
        <v xml:space="preserve">Instalação de Poste Padrão de Energia | Instalação de Poste </v>
      </c>
    </row>
    <row r="455" spans="1:39" ht="43.2" x14ac:dyDescent="0.3">
      <c r="A455" s="39">
        <v>454</v>
      </c>
      <c r="B455" s="39" t="s">
        <v>2</v>
      </c>
      <c r="C455" s="39" t="s">
        <v>74</v>
      </c>
      <c r="D455" s="39" t="s">
        <v>430</v>
      </c>
      <c r="E455" s="39" t="s">
        <v>430</v>
      </c>
      <c r="F455" s="39" t="s">
        <v>391</v>
      </c>
      <c r="G455" s="39" t="s">
        <v>435</v>
      </c>
      <c r="H455" s="40"/>
      <c r="I455" s="40"/>
      <c r="J455" s="40"/>
      <c r="K455" s="42">
        <v>46185</v>
      </c>
      <c r="L455" s="42"/>
      <c r="M455" s="44"/>
      <c r="N455" s="40"/>
      <c r="O455" s="40"/>
      <c r="P455" s="40"/>
      <c r="Q455" s="42">
        <f>IF(K455="","",K455)</f>
        <v>46185</v>
      </c>
      <c r="R455" s="39" t="s">
        <v>430</v>
      </c>
      <c r="S455" s="39" t="s">
        <v>432</v>
      </c>
      <c r="T455" s="39" t="s">
        <v>433</v>
      </c>
      <c r="U455" s="39"/>
      <c r="V455" s="39">
        <v>231</v>
      </c>
      <c r="W455" s="39" t="s">
        <v>495</v>
      </c>
      <c r="X455" s="41">
        <v>46174</v>
      </c>
      <c r="Y455" s="41">
        <v>46185</v>
      </c>
      <c r="Z455" s="43">
        <v>32000</v>
      </c>
      <c r="AA455" s="45">
        <f>IF(M455&lt;&gt;"",M455,Z455)</f>
        <v>32000</v>
      </c>
      <c r="AB455" s="46" t="str">
        <f>IF(L455&lt;&gt;"","Realizado","Previsto")</f>
        <v>Previsto</v>
      </c>
      <c r="AC455" s="47">
        <v>0.5</v>
      </c>
      <c r="AD455" s="43">
        <v>64000</v>
      </c>
      <c r="AE455" s="39">
        <v>64</v>
      </c>
      <c r="AF455" s="39" t="s">
        <v>87</v>
      </c>
      <c r="AG455" s="43">
        <v>1000</v>
      </c>
      <c r="AH455" s="39" t="s">
        <v>434</v>
      </c>
      <c r="AI455" s="39" t="s">
        <v>73</v>
      </c>
      <c r="AJ455" s="48">
        <f>IF(Q455&lt;&gt;"",Q455,IF(K455&lt;&gt;"",K455,""))</f>
        <v>46185</v>
      </c>
      <c r="AK455" s="46" t="str">
        <f>IF(K455&lt;&gt;"","Sim","")</f>
        <v>Sim</v>
      </c>
      <c r="AL455" s="46" t="str">
        <f>IF(A455="","",TEXT(A455,"000000")&amp;"-"&amp;IF(C455="Entrada","CR","DB"))</f>
        <v>000454-DB</v>
      </c>
      <c r="AM455" s="46" t="str">
        <f>IF(A455="","",LEFT(IF(H455&lt;&gt;"",H455,G455)&amp;" | "&amp;G455&amp;" | "&amp;S455,60))</f>
        <v>Poste de Energia - padrão da concessionária local | Poste de</v>
      </c>
    </row>
    <row r="456" spans="1:39" ht="43.2" x14ac:dyDescent="0.3">
      <c r="A456" s="39">
        <v>455</v>
      </c>
      <c r="B456" s="39" t="s">
        <v>2</v>
      </c>
      <c r="C456" s="39" t="s">
        <v>74</v>
      </c>
      <c r="D456" s="39" t="s">
        <v>120</v>
      </c>
      <c r="E456" s="39" t="s">
        <v>120</v>
      </c>
      <c r="F456" s="39" t="s">
        <v>120</v>
      </c>
      <c r="G456" s="39" t="s">
        <v>121</v>
      </c>
      <c r="H456" s="40"/>
      <c r="I456" s="40"/>
      <c r="J456" s="40"/>
      <c r="K456" s="42">
        <v>46185</v>
      </c>
      <c r="L456" s="42"/>
      <c r="M456" s="44"/>
      <c r="N456" s="40"/>
      <c r="O456" s="40"/>
      <c r="P456" s="40"/>
      <c r="Q456" s="42">
        <f>IF(K456="","",K456)</f>
        <v>46185</v>
      </c>
      <c r="R456" s="39" t="s">
        <v>120</v>
      </c>
      <c r="S456" s="39" t="s">
        <v>122</v>
      </c>
      <c r="T456" s="39" t="s">
        <v>123</v>
      </c>
      <c r="U456" s="39"/>
      <c r="V456" s="39">
        <v>267</v>
      </c>
      <c r="W456" s="39" t="s">
        <v>495</v>
      </c>
      <c r="X456" s="41">
        <v>46174</v>
      </c>
      <c r="Y456" s="41">
        <v>46185</v>
      </c>
      <c r="Z456" s="43">
        <v>834689.30748509045</v>
      </c>
      <c r="AA456" s="45">
        <f>IF(M456&lt;&gt;"",M456,Z456)</f>
        <v>834689.30748509045</v>
      </c>
      <c r="AB456" s="46" t="str">
        <f>IF(L456&lt;&gt;"","Realizado","Previsto")</f>
        <v>Previsto</v>
      </c>
      <c r="AC456" s="47"/>
      <c r="AD456" s="43">
        <v>5780911.3615999985</v>
      </c>
      <c r="AE456" s="39"/>
      <c r="AF456" s="39" t="s">
        <v>79</v>
      </c>
      <c r="AG456" s="43"/>
      <c r="AH456" s="39"/>
      <c r="AI456" s="39" t="s">
        <v>73</v>
      </c>
      <c r="AJ456" s="48">
        <f>IF(Q456&lt;&gt;"",Q456,IF(K456&lt;&gt;"",K456,""))</f>
        <v>46185</v>
      </c>
      <c r="AK456" s="46" t="str">
        <f>IF(K456&lt;&gt;"","Sim","")</f>
        <v>Sim</v>
      </c>
      <c r="AL456" s="46" t="str">
        <f>IF(A456="","",TEXT(A456,"000000")&amp;"-"&amp;IF(C456="Entrada","CR","DB"))</f>
        <v>000455-DB</v>
      </c>
      <c r="AM456" s="46" t="str">
        <f>IF(A456="","",LEFT(IF(H456&lt;&gt;"",H456,G456)&amp;" | "&amp;G456&amp;" | "&amp;S456,60))</f>
        <v>TOTALIZADOR CUSTO GLOBAIS OBRAS - MENSAL | TOTALIZADOR CUSTO</v>
      </c>
    </row>
    <row r="457" spans="1:39" ht="43.2" x14ac:dyDescent="0.3">
      <c r="A457" s="39">
        <v>456</v>
      </c>
      <c r="B457" s="39" t="s">
        <v>2</v>
      </c>
      <c r="C457" s="39" t="s">
        <v>74</v>
      </c>
      <c r="D457" s="39" t="s">
        <v>259</v>
      </c>
      <c r="E457" s="39" t="s">
        <v>260</v>
      </c>
      <c r="F457" s="39" t="s">
        <v>109</v>
      </c>
      <c r="G457" s="39" t="s">
        <v>261</v>
      </c>
      <c r="H457" s="40"/>
      <c r="I457" s="40"/>
      <c r="J457" s="40"/>
      <c r="K457" s="42">
        <v>46185</v>
      </c>
      <c r="L457" s="42"/>
      <c r="M457" s="44"/>
      <c r="N457" s="40"/>
      <c r="O457" s="40"/>
      <c r="P457" s="40"/>
      <c r="Q457" s="42">
        <f>IF(K457="","",K457)</f>
        <v>46185</v>
      </c>
      <c r="R457" s="39" t="s">
        <v>259</v>
      </c>
      <c r="S457" s="39" t="s">
        <v>262</v>
      </c>
      <c r="T457" s="39" t="s">
        <v>263</v>
      </c>
      <c r="U457" s="39" t="s">
        <v>215</v>
      </c>
      <c r="V457" s="39">
        <v>128</v>
      </c>
      <c r="W457" s="39" t="s">
        <v>495</v>
      </c>
      <c r="X457" s="41">
        <v>46174</v>
      </c>
      <c r="Y457" s="41">
        <v>46185</v>
      </c>
      <c r="Z457" s="43">
        <v>809.76</v>
      </c>
      <c r="AA457" s="45">
        <f>IF(M457&lt;&gt;"",M457,Z457)</f>
        <v>809.76</v>
      </c>
      <c r="AB457" s="46" t="str">
        <f>IF(L457&lt;&gt;"","Realizado","Previsto")</f>
        <v>Previsto</v>
      </c>
      <c r="AC457" s="47">
        <v>0.25305</v>
      </c>
      <c r="AD457" s="43">
        <v>3200</v>
      </c>
      <c r="AE457" s="39">
        <v>64</v>
      </c>
      <c r="AF457" s="39" t="s">
        <v>87</v>
      </c>
      <c r="AG457" s="43">
        <v>50</v>
      </c>
      <c r="AH457" s="39" t="s">
        <v>264</v>
      </c>
      <c r="AI457" s="39" t="s">
        <v>73</v>
      </c>
      <c r="AJ457" s="48">
        <f>IF(Q457&lt;&gt;"",Q457,IF(K457&lt;&gt;"",K457,""))</f>
        <v>46185</v>
      </c>
      <c r="AK457" s="46" t="str">
        <f>IF(K457&lt;&gt;"","Sim","")</f>
        <v>Sim</v>
      </c>
      <c r="AL457" s="46" t="str">
        <f>IF(A457="","",TEXT(A457,"000000")&amp;"-"&amp;IF(C457="Entrada","CR","DB"))</f>
        <v>000456-DB</v>
      </c>
      <c r="AM457" s="46" t="str">
        <f>IF(A457="","",LEFT(IF(H457&lt;&gt;"",H457,G457)&amp;" | "&amp;G457&amp;" | "&amp;S457,60))</f>
        <v>Assentamento Soleira em basalto  0,84 x 0,125 x 0,02 - cozin</v>
      </c>
    </row>
    <row r="458" spans="1:39" ht="43.2" x14ac:dyDescent="0.3">
      <c r="A458" s="39">
        <v>457</v>
      </c>
      <c r="B458" s="39" t="s">
        <v>2</v>
      </c>
      <c r="C458" s="39" t="s">
        <v>74</v>
      </c>
      <c r="D458" s="39" t="s">
        <v>259</v>
      </c>
      <c r="E458" s="39" t="s">
        <v>260</v>
      </c>
      <c r="F458" s="39" t="s">
        <v>109</v>
      </c>
      <c r="G458" s="39" t="s">
        <v>265</v>
      </c>
      <c r="H458" s="40"/>
      <c r="I458" s="40"/>
      <c r="J458" s="40"/>
      <c r="K458" s="42">
        <v>46185</v>
      </c>
      <c r="L458" s="42"/>
      <c r="M458" s="44"/>
      <c r="N458" s="40"/>
      <c r="O458" s="40"/>
      <c r="P458" s="40"/>
      <c r="Q458" s="42">
        <f>IF(K458="","",K458)</f>
        <v>46185</v>
      </c>
      <c r="R458" s="39" t="s">
        <v>259</v>
      </c>
      <c r="S458" s="39" t="s">
        <v>262</v>
      </c>
      <c r="T458" s="39" t="s">
        <v>263</v>
      </c>
      <c r="U458" s="39" t="s">
        <v>215</v>
      </c>
      <c r="V458" s="39">
        <v>127</v>
      </c>
      <c r="W458" s="39" t="s">
        <v>495</v>
      </c>
      <c r="X458" s="41">
        <v>46174</v>
      </c>
      <c r="Y458" s="41">
        <v>46185</v>
      </c>
      <c r="Z458" s="43">
        <v>809.76</v>
      </c>
      <c r="AA458" s="45">
        <f>IF(M458&lt;&gt;"",M458,Z458)</f>
        <v>809.76</v>
      </c>
      <c r="AB458" s="46" t="str">
        <f>IF(L458&lt;&gt;"","Realizado","Previsto")</f>
        <v>Previsto</v>
      </c>
      <c r="AC458" s="47">
        <v>0.25305</v>
      </c>
      <c r="AD458" s="43">
        <v>3200</v>
      </c>
      <c r="AE458" s="39">
        <v>64</v>
      </c>
      <c r="AF458" s="39" t="s">
        <v>87</v>
      </c>
      <c r="AG458" s="43">
        <v>50</v>
      </c>
      <c r="AH458" s="39" t="s">
        <v>264</v>
      </c>
      <c r="AI458" s="39" t="s">
        <v>73</v>
      </c>
      <c r="AJ458" s="48">
        <f>IF(Q458&lt;&gt;"",Q458,IF(K458&lt;&gt;"",K458,""))</f>
        <v>46185</v>
      </c>
      <c r="AK458" s="46" t="str">
        <f>IF(K458&lt;&gt;"","Sim","")</f>
        <v>Sim</v>
      </c>
      <c r="AL458" s="46" t="str">
        <f>IF(A458="","",TEXT(A458,"000000")&amp;"-"&amp;IF(C458="Entrada","CR","DB"))</f>
        <v>000457-DB</v>
      </c>
      <c r="AM458" s="46" t="str">
        <f>IF(A458="","",LEFT(IF(H458&lt;&gt;"",H458,G458)&amp;" | "&amp;G458&amp;" | "&amp;S458,60))</f>
        <v>Assentamento Soleira em basalto  0,94 x 0,125 x 0,02 - entra</v>
      </c>
    </row>
    <row r="459" spans="1:39" ht="43.2" x14ac:dyDescent="0.3">
      <c r="A459" s="39">
        <v>458</v>
      </c>
      <c r="B459" s="39" t="s">
        <v>2</v>
      </c>
      <c r="C459" s="39" t="s">
        <v>74</v>
      </c>
      <c r="D459" s="39" t="s">
        <v>266</v>
      </c>
      <c r="E459" s="39" t="s">
        <v>267</v>
      </c>
      <c r="F459" s="39" t="s">
        <v>109</v>
      </c>
      <c r="G459" s="39" t="s">
        <v>268</v>
      </c>
      <c r="H459" s="40"/>
      <c r="I459" s="40"/>
      <c r="J459" s="40"/>
      <c r="K459" s="42">
        <v>46185</v>
      </c>
      <c r="L459" s="42"/>
      <c r="M459" s="44"/>
      <c r="N459" s="40"/>
      <c r="O459" s="40"/>
      <c r="P459" s="40"/>
      <c r="Q459" s="42">
        <f>IF(K459="","",K459)</f>
        <v>46185</v>
      </c>
      <c r="R459" s="39" t="s">
        <v>266</v>
      </c>
      <c r="S459" s="39" t="s">
        <v>269</v>
      </c>
      <c r="T459" s="39" t="s">
        <v>270</v>
      </c>
      <c r="U459" s="39" t="s">
        <v>215</v>
      </c>
      <c r="V459" s="39">
        <v>163</v>
      </c>
      <c r="W459" s="39" t="s">
        <v>495</v>
      </c>
      <c r="X459" s="41">
        <v>46174</v>
      </c>
      <c r="Y459" s="41">
        <v>46185</v>
      </c>
      <c r="Z459" s="43">
        <v>11547.015648000001</v>
      </c>
      <c r="AA459" s="45">
        <f>IF(M459&lt;&gt;"",M459,Z459)</f>
        <v>11547.015648000001</v>
      </c>
      <c r="AB459" s="46" t="str">
        <f>IF(L459&lt;&gt;"","Realizado","Previsto")</f>
        <v>Previsto</v>
      </c>
      <c r="AC459" s="47">
        <v>0.25305</v>
      </c>
      <c r="AD459" s="43">
        <v>45631.360000000001</v>
      </c>
      <c r="AE459" s="39">
        <v>5564.8</v>
      </c>
      <c r="AF459" s="39" t="s">
        <v>203</v>
      </c>
      <c r="AG459" s="43">
        <v>8.1999999999999993</v>
      </c>
      <c r="AH459" s="39" t="s">
        <v>271</v>
      </c>
      <c r="AI459" s="39" t="s">
        <v>73</v>
      </c>
      <c r="AJ459" s="48">
        <f>IF(Q459&lt;&gt;"",Q459,IF(K459&lt;&gt;"",K459,""))</f>
        <v>46185</v>
      </c>
      <c r="AK459" s="46" t="str">
        <f>IF(K459&lt;&gt;"","Sim","")</f>
        <v>Sim</v>
      </c>
      <c r="AL459" s="46" t="str">
        <f>IF(A459="","",TEXT(A459,"000000")&amp;"-"&amp;IF(C459="Entrada","CR","DB"))</f>
        <v>000458-DB</v>
      </c>
      <c r="AM459" s="46" t="str">
        <f>IF(A459="","",LEFT(IF(H459&lt;&gt;"",H459,G459)&amp;" | "&amp;G459&amp;" | "&amp;S459,60))</f>
        <v>Mao de obra terceirizada Textura externa | Mao de obra terce</v>
      </c>
    </row>
    <row r="460" spans="1:39" ht="43.2" x14ac:dyDescent="0.3">
      <c r="A460" s="39">
        <v>459</v>
      </c>
      <c r="B460" s="39" t="s">
        <v>2</v>
      </c>
      <c r="C460" s="39" t="s">
        <v>66</v>
      </c>
      <c r="D460" s="39" t="s">
        <v>67</v>
      </c>
      <c r="E460" s="39" t="s">
        <v>67</v>
      </c>
      <c r="F460" s="39" t="s">
        <v>68</v>
      </c>
      <c r="G460" s="39" t="s">
        <v>69</v>
      </c>
      <c r="H460" s="40"/>
      <c r="I460" s="40"/>
      <c r="J460" s="40"/>
      <c r="K460" s="42">
        <v>46199</v>
      </c>
      <c r="L460" s="42"/>
      <c r="M460" s="44"/>
      <c r="N460" s="40"/>
      <c r="O460" s="40"/>
      <c r="P460" s="40"/>
      <c r="Q460" s="42">
        <f>IF(K460="","",K460)</f>
        <v>46199</v>
      </c>
      <c r="R460" s="39" t="s">
        <v>69</v>
      </c>
      <c r="S460" s="39" t="s">
        <v>70</v>
      </c>
      <c r="T460" s="39" t="s">
        <v>71</v>
      </c>
      <c r="U460" s="39"/>
      <c r="V460" s="39">
        <v>283</v>
      </c>
      <c r="W460" s="39" t="s">
        <v>567</v>
      </c>
      <c r="X460" s="41">
        <v>46188</v>
      </c>
      <c r="Y460" s="41">
        <v>46199</v>
      </c>
      <c r="Z460" s="43">
        <v>838686.67072000005</v>
      </c>
      <c r="AA460" s="45">
        <f>IF(M460&lt;&gt;"",M460,Z460)</f>
        <v>838686.67072000005</v>
      </c>
      <c r="AB460" s="46" t="str">
        <f>IF(L460&lt;&gt;"","Realizado","Previsto")</f>
        <v>Previsto</v>
      </c>
      <c r="AC460" s="47"/>
      <c r="AD460" s="43">
        <v>8079999.9191039996</v>
      </c>
      <c r="AE460" s="39"/>
      <c r="AF460" s="39"/>
      <c r="AG460" s="43"/>
      <c r="AH460" s="39"/>
      <c r="AI460" s="39" t="s">
        <v>73</v>
      </c>
      <c r="AJ460" s="48">
        <f>IF(Q460&lt;&gt;"",Q460,IF(K460&lt;&gt;"",K460,""))</f>
        <v>46199</v>
      </c>
      <c r="AK460" s="46" t="str">
        <f>IF(K460&lt;&gt;"","Sim","")</f>
        <v>Sim</v>
      </c>
      <c r="AL460" s="46" t="str">
        <f>IF(A460="","",TEXT(A460,"000000")&amp;"-"&amp;IF(C460="Entrada","CR","DB"))</f>
        <v>000459-CR</v>
      </c>
      <c r="AM460" s="46" t="str">
        <f>IF(A460="","",LEFT(IF(H460&lt;&gt;"",H460,G460)&amp;" | "&amp;G460&amp;" | "&amp;S460,60))</f>
        <v xml:space="preserve">MEDIÇÃO CONTRATUAL | MEDIÇÃO CONTRATUAL | Entrada | MEDIÇÃO </v>
      </c>
    </row>
    <row r="461" spans="1:39" ht="43.2" x14ac:dyDescent="0.3">
      <c r="A461" s="39">
        <v>460</v>
      </c>
      <c r="B461" s="39" t="s">
        <v>2</v>
      </c>
      <c r="C461" s="39" t="s">
        <v>74</v>
      </c>
      <c r="D461" s="39" t="s">
        <v>211</v>
      </c>
      <c r="E461" s="39" t="s">
        <v>211</v>
      </c>
      <c r="F461" s="39" t="s">
        <v>281</v>
      </c>
      <c r="G461" s="39" t="s">
        <v>282</v>
      </c>
      <c r="H461" s="40"/>
      <c r="I461" s="40"/>
      <c r="J461" s="40"/>
      <c r="K461" s="42">
        <v>46199</v>
      </c>
      <c r="L461" s="42"/>
      <c r="M461" s="44"/>
      <c r="N461" s="40"/>
      <c r="O461" s="40"/>
      <c r="P461" s="40"/>
      <c r="Q461" s="42">
        <f>IF(K461="","",K461)</f>
        <v>46199</v>
      </c>
      <c r="R461" s="39" t="s">
        <v>211</v>
      </c>
      <c r="S461" s="39" t="s">
        <v>213</v>
      </c>
      <c r="T461" s="39" t="s">
        <v>283</v>
      </c>
      <c r="U461" s="39" t="s">
        <v>275</v>
      </c>
      <c r="V461" s="39">
        <v>111</v>
      </c>
      <c r="W461" s="39" t="s">
        <v>567</v>
      </c>
      <c r="X461" s="41">
        <v>46188</v>
      </c>
      <c r="Y461" s="41">
        <v>46199</v>
      </c>
      <c r="Z461" s="43">
        <v>7834.9920000000011</v>
      </c>
      <c r="AA461" s="45">
        <f>IF(M461&lt;&gt;"",M461,Z461)</f>
        <v>7834.9920000000011</v>
      </c>
      <c r="AB461" s="46" t="str">
        <f>IF(L461&lt;&gt;"","Realizado","Previsto")</f>
        <v>Previsto</v>
      </c>
      <c r="AC461" s="47">
        <v>0.33</v>
      </c>
      <c r="AD461" s="43">
        <v>23742.400000000001</v>
      </c>
      <c r="AE461" s="39">
        <v>1249.5999999999999</v>
      </c>
      <c r="AF461" s="39" t="s">
        <v>203</v>
      </c>
      <c r="AG461" s="43">
        <v>19</v>
      </c>
      <c r="AH461" s="39" t="s">
        <v>284</v>
      </c>
      <c r="AI461" s="39" t="s">
        <v>73</v>
      </c>
      <c r="AJ461" s="48">
        <f>IF(Q461&lt;&gt;"",Q461,IF(K461&lt;&gt;"",K461,""))</f>
        <v>46199</v>
      </c>
      <c r="AK461" s="46" t="str">
        <f>IF(K461&lt;&gt;"","Sim","")</f>
        <v>Sim</v>
      </c>
      <c r="AL461" s="46" t="str">
        <f>IF(A461="","",TEXT(A461,"000000")&amp;"-"&amp;IF(C461="Entrada","CR","DB"))</f>
        <v>000460-DB</v>
      </c>
      <c r="AM461" s="46" t="str">
        <f>IF(A461="","",LEFT(IF(H461&lt;&gt;"",H461,G461)&amp;" | "&amp;G461&amp;" | "&amp;S461,60))</f>
        <v xml:space="preserve">Revestimento Cerâmico PEI II - 20 X 20, cor,  (perda 10%) | </v>
      </c>
    </row>
    <row r="462" spans="1:39" ht="43.2" x14ac:dyDescent="0.3">
      <c r="A462" s="39">
        <v>461</v>
      </c>
      <c r="B462" s="39" t="s">
        <v>2</v>
      </c>
      <c r="C462" s="39" t="s">
        <v>74</v>
      </c>
      <c r="D462" s="39" t="s">
        <v>285</v>
      </c>
      <c r="E462" s="39" t="s">
        <v>286</v>
      </c>
      <c r="F462" s="39" t="s">
        <v>132</v>
      </c>
      <c r="G462" s="39" t="s">
        <v>287</v>
      </c>
      <c r="H462" s="40"/>
      <c r="I462" s="40"/>
      <c r="J462" s="40"/>
      <c r="K462" s="42">
        <v>46199</v>
      </c>
      <c r="L462" s="42"/>
      <c r="M462" s="44"/>
      <c r="N462" s="40"/>
      <c r="O462" s="40"/>
      <c r="P462" s="40"/>
      <c r="Q462" s="42">
        <f>IF(K462="","",K462)</f>
        <v>46199</v>
      </c>
      <c r="R462" s="39" t="s">
        <v>285</v>
      </c>
      <c r="S462" s="39" t="s">
        <v>288</v>
      </c>
      <c r="T462" s="39" t="s">
        <v>289</v>
      </c>
      <c r="U462" s="39" t="s">
        <v>290</v>
      </c>
      <c r="V462" s="39">
        <v>79</v>
      </c>
      <c r="W462" s="39" t="s">
        <v>567</v>
      </c>
      <c r="X462" s="41">
        <v>46188</v>
      </c>
      <c r="Y462" s="41">
        <v>46199</v>
      </c>
      <c r="Z462" s="43">
        <v>285.12</v>
      </c>
      <c r="AA462" s="45">
        <f>IF(M462&lt;&gt;"",M462,Z462)</f>
        <v>285.12</v>
      </c>
      <c r="AB462" s="46" t="str">
        <f>IF(L462&lt;&gt;"","Realizado","Previsto")</f>
        <v>Previsto</v>
      </c>
      <c r="AC462" s="47">
        <v>0.33</v>
      </c>
      <c r="AD462" s="43">
        <v>864</v>
      </c>
      <c r="AE462" s="39">
        <v>64</v>
      </c>
      <c r="AF462" s="39" t="s">
        <v>291</v>
      </c>
      <c r="AG462" s="43">
        <v>13.5</v>
      </c>
      <c r="AH462" s="39" t="s">
        <v>292</v>
      </c>
      <c r="AI462" s="39" t="s">
        <v>73</v>
      </c>
      <c r="AJ462" s="48">
        <f>IF(Q462&lt;&gt;"",Q462,IF(K462&lt;&gt;"",K462,""))</f>
        <v>46199</v>
      </c>
      <c r="AK462" s="46" t="str">
        <f>IF(K462&lt;&gt;"","Sim","")</f>
        <v>Sim</v>
      </c>
      <c r="AL462" s="46" t="str">
        <f>IF(A462="","",TEXT(A462,"000000")&amp;"-"&amp;IF(C462="Entrada","CR","DB"))</f>
        <v>000461-DB</v>
      </c>
      <c r="AM462" s="46" t="str">
        <f>IF(A462="","",LEFT(IF(H462&lt;&gt;"",H462,G462)&amp;" | "&amp;G462&amp;" | "&amp;S462,60))</f>
        <v>Adaptador soldável flange 25mm 3/4 | Adaptador soldável flan</v>
      </c>
    </row>
    <row r="463" spans="1:39" ht="43.2" x14ac:dyDescent="0.3">
      <c r="A463" s="39">
        <v>462</v>
      </c>
      <c r="B463" s="39" t="s">
        <v>2</v>
      </c>
      <c r="C463" s="39" t="s">
        <v>74</v>
      </c>
      <c r="D463" s="39" t="s">
        <v>285</v>
      </c>
      <c r="E463" s="39" t="s">
        <v>286</v>
      </c>
      <c r="F463" s="39" t="s">
        <v>132</v>
      </c>
      <c r="G463" s="39" t="s">
        <v>293</v>
      </c>
      <c r="H463" s="40"/>
      <c r="I463" s="40"/>
      <c r="J463" s="40"/>
      <c r="K463" s="42">
        <v>46199</v>
      </c>
      <c r="L463" s="42"/>
      <c r="M463" s="44"/>
      <c r="N463" s="40"/>
      <c r="O463" s="40"/>
      <c r="P463" s="40"/>
      <c r="Q463" s="42">
        <f>IF(K463="","",K463)</f>
        <v>46199</v>
      </c>
      <c r="R463" s="39" t="s">
        <v>285</v>
      </c>
      <c r="S463" s="39" t="s">
        <v>288</v>
      </c>
      <c r="T463" s="39" t="s">
        <v>289</v>
      </c>
      <c r="U463" s="39" t="s">
        <v>290</v>
      </c>
      <c r="V463" s="39">
        <v>82</v>
      </c>
      <c r="W463" s="39" t="s">
        <v>567</v>
      </c>
      <c r="X463" s="41">
        <v>46188</v>
      </c>
      <c r="Y463" s="41">
        <v>46199</v>
      </c>
      <c r="Z463" s="43">
        <v>555.24480000000005</v>
      </c>
      <c r="AA463" s="45">
        <f>IF(M463&lt;&gt;"",M463,Z463)</f>
        <v>555.24480000000005</v>
      </c>
      <c r="AB463" s="46" t="str">
        <f>IF(L463&lt;&gt;"","Realizado","Previsto")</f>
        <v>Previsto</v>
      </c>
      <c r="AC463" s="47">
        <v>0.33</v>
      </c>
      <c r="AD463" s="43">
        <v>1682.56</v>
      </c>
      <c r="AE463" s="39">
        <v>64</v>
      </c>
      <c r="AF463" s="39" t="s">
        <v>291</v>
      </c>
      <c r="AG463" s="43">
        <v>26.29</v>
      </c>
      <c r="AH463" s="39" t="s">
        <v>292</v>
      </c>
      <c r="AI463" s="39" t="s">
        <v>73</v>
      </c>
      <c r="AJ463" s="48">
        <f>IF(Q463&lt;&gt;"",Q463,IF(K463&lt;&gt;"",K463,""))</f>
        <v>46199</v>
      </c>
      <c r="AK463" s="46" t="str">
        <f>IF(K463&lt;&gt;"","Sim","")</f>
        <v>Sim</v>
      </c>
      <c r="AL463" s="46" t="str">
        <f>IF(A463="","",TEXT(A463,"000000")&amp;"-"&amp;IF(C463="Entrada","CR","DB"))</f>
        <v>000462-DB</v>
      </c>
      <c r="AM463" s="46" t="str">
        <f>IF(A463="","",LEFT(IF(H463&lt;&gt;"",H463,G463)&amp;" | "&amp;G463&amp;" | "&amp;S463,60))</f>
        <v xml:space="preserve">Adaptador soldável flange 32 mm | Adaptador soldável flange </v>
      </c>
    </row>
    <row r="464" spans="1:39" ht="43.2" x14ac:dyDescent="0.3">
      <c r="A464" s="39">
        <v>463</v>
      </c>
      <c r="B464" s="39" t="s">
        <v>2</v>
      </c>
      <c r="C464" s="39" t="s">
        <v>74</v>
      </c>
      <c r="D464" s="39" t="s">
        <v>285</v>
      </c>
      <c r="E464" s="39" t="s">
        <v>286</v>
      </c>
      <c r="F464" s="39" t="s">
        <v>132</v>
      </c>
      <c r="G464" s="39" t="s">
        <v>294</v>
      </c>
      <c r="H464" s="40"/>
      <c r="I464" s="40"/>
      <c r="J464" s="40"/>
      <c r="K464" s="42">
        <v>46199</v>
      </c>
      <c r="L464" s="42"/>
      <c r="M464" s="44"/>
      <c r="N464" s="40"/>
      <c r="O464" s="40"/>
      <c r="P464" s="40"/>
      <c r="Q464" s="42">
        <f>IF(K464="","",K464)</f>
        <v>46199</v>
      </c>
      <c r="R464" s="39" t="s">
        <v>285</v>
      </c>
      <c r="S464" s="39" t="s">
        <v>288</v>
      </c>
      <c r="T464" s="39" t="s">
        <v>289</v>
      </c>
      <c r="U464" s="39" t="s">
        <v>290</v>
      </c>
      <c r="V464" s="39">
        <v>85</v>
      </c>
      <c r="W464" s="39" t="s">
        <v>567</v>
      </c>
      <c r="X464" s="41">
        <v>46188</v>
      </c>
      <c r="Y464" s="41">
        <v>46199</v>
      </c>
      <c r="Z464" s="43">
        <v>33.792000000000002</v>
      </c>
      <c r="AA464" s="45">
        <f>IF(M464&lt;&gt;"",M464,Z464)</f>
        <v>33.792000000000002</v>
      </c>
      <c r="AB464" s="46" t="str">
        <f>IF(L464&lt;&gt;"","Realizado","Previsto")</f>
        <v>Previsto</v>
      </c>
      <c r="AC464" s="47">
        <v>0.33</v>
      </c>
      <c r="AD464" s="43">
        <v>102.4</v>
      </c>
      <c r="AE464" s="39">
        <v>64</v>
      </c>
      <c r="AF464" s="39" t="s">
        <v>291</v>
      </c>
      <c r="AG464" s="43">
        <v>1.6</v>
      </c>
      <c r="AH464" s="39" t="s">
        <v>292</v>
      </c>
      <c r="AI464" s="39" t="s">
        <v>73</v>
      </c>
      <c r="AJ464" s="48">
        <f>IF(Q464&lt;&gt;"",Q464,IF(K464&lt;&gt;"",K464,""))</f>
        <v>46199</v>
      </c>
      <c r="AK464" s="46" t="str">
        <f>IF(K464&lt;&gt;"","Sim","")</f>
        <v>Sim</v>
      </c>
      <c r="AL464" s="46" t="str">
        <f>IF(A464="","",TEXT(A464,"000000")&amp;"-"&amp;IF(C464="Entrada","CR","DB"))</f>
        <v>000463-DB</v>
      </c>
      <c r="AM464" s="46" t="str">
        <f>IF(A464="","",LEFT(IF(H464&lt;&gt;"",H464,G464)&amp;" | "&amp;G464&amp;" | "&amp;S464,60))</f>
        <v>Bucha de redução soldável curta 32mm x 25mm | Bucha de reduç</v>
      </c>
    </row>
    <row r="465" spans="1:39" ht="43.2" x14ac:dyDescent="0.3">
      <c r="A465" s="39">
        <v>464</v>
      </c>
      <c r="B465" s="39" t="s">
        <v>2</v>
      </c>
      <c r="C465" s="39" t="s">
        <v>74</v>
      </c>
      <c r="D465" s="39" t="s">
        <v>285</v>
      </c>
      <c r="E465" s="39" t="s">
        <v>286</v>
      </c>
      <c r="F465" s="39" t="s">
        <v>132</v>
      </c>
      <c r="G465" s="39" t="s">
        <v>295</v>
      </c>
      <c r="H465" s="40"/>
      <c r="I465" s="40"/>
      <c r="J465" s="40"/>
      <c r="K465" s="42">
        <v>46199</v>
      </c>
      <c r="L465" s="42"/>
      <c r="M465" s="44"/>
      <c r="N465" s="40"/>
      <c r="O465" s="40"/>
      <c r="P465" s="40"/>
      <c r="Q465" s="42">
        <f>IF(K465="","",K465)</f>
        <v>46199</v>
      </c>
      <c r="R465" s="39" t="s">
        <v>285</v>
      </c>
      <c r="S465" s="39" t="s">
        <v>288</v>
      </c>
      <c r="T465" s="39" t="s">
        <v>289</v>
      </c>
      <c r="U465" s="39" t="s">
        <v>290</v>
      </c>
      <c r="V465" s="39">
        <v>87</v>
      </c>
      <c r="W465" s="39" t="s">
        <v>567</v>
      </c>
      <c r="X465" s="41">
        <v>46188</v>
      </c>
      <c r="Y465" s="41">
        <v>46199</v>
      </c>
      <c r="Z465" s="43">
        <v>5066.6880000000001</v>
      </c>
      <c r="AA465" s="45">
        <f>IF(M465&lt;&gt;"",M465,Z465)</f>
        <v>5066.6880000000001</v>
      </c>
      <c r="AB465" s="46" t="str">
        <f>IF(L465&lt;&gt;"","Realizado","Previsto")</f>
        <v>Previsto</v>
      </c>
      <c r="AC465" s="47">
        <v>0.33</v>
      </c>
      <c r="AD465" s="43">
        <v>15353.6</v>
      </c>
      <c r="AE465" s="39">
        <v>64</v>
      </c>
      <c r="AF465" s="39" t="s">
        <v>87</v>
      </c>
      <c r="AG465" s="43">
        <v>239.9</v>
      </c>
      <c r="AH465" s="39" t="s">
        <v>292</v>
      </c>
      <c r="AI465" s="39" t="s">
        <v>73</v>
      </c>
      <c r="AJ465" s="48">
        <f>IF(Q465&lt;&gt;"",Q465,IF(K465&lt;&gt;"",K465,""))</f>
        <v>46199</v>
      </c>
      <c r="AK465" s="46" t="str">
        <f>IF(K465&lt;&gt;"","Sim","")</f>
        <v>Sim</v>
      </c>
      <c r="AL465" s="46" t="str">
        <f>IF(A465="","",TEXT(A465,"000000")&amp;"-"&amp;IF(C465="Entrada","CR","DB"))</f>
        <v>000464-DB</v>
      </c>
      <c r="AM465" s="46" t="str">
        <f>IF(A465="","",LEFT(IF(H465&lt;&gt;"",H465,G465)&amp;" | "&amp;G465&amp;" | "&amp;S465,60))</f>
        <v>Caixa D'Água Polietileno 500 Litros - FORTLEV | Caixa D'Água</v>
      </c>
    </row>
    <row r="466" spans="1:39" ht="43.2" x14ac:dyDescent="0.3">
      <c r="A466" s="39">
        <v>465</v>
      </c>
      <c r="B466" s="39" t="s">
        <v>2</v>
      </c>
      <c r="C466" s="39" t="s">
        <v>74</v>
      </c>
      <c r="D466" s="39" t="s">
        <v>285</v>
      </c>
      <c r="E466" s="39" t="s">
        <v>286</v>
      </c>
      <c r="F466" s="39" t="s">
        <v>132</v>
      </c>
      <c r="G466" s="39" t="s">
        <v>296</v>
      </c>
      <c r="H466" s="40"/>
      <c r="I466" s="40"/>
      <c r="J466" s="40"/>
      <c r="K466" s="42">
        <v>46199</v>
      </c>
      <c r="L466" s="42"/>
      <c r="M466" s="44"/>
      <c r="N466" s="40"/>
      <c r="O466" s="40"/>
      <c r="P466" s="40"/>
      <c r="Q466" s="42">
        <f>IF(K466="","",K466)</f>
        <v>46199</v>
      </c>
      <c r="R466" s="39" t="s">
        <v>285</v>
      </c>
      <c r="S466" s="39" t="s">
        <v>288</v>
      </c>
      <c r="T466" s="39" t="s">
        <v>289</v>
      </c>
      <c r="U466" s="39" t="s">
        <v>290</v>
      </c>
      <c r="V466" s="39">
        <v>86</v>
      </c>
      <c r="W466" s="39" t="s">
        <v>567</v>
      </c>
      <c r="X466" s="41">
        <v>46188</v>
      </c>
      <c r="Y466" s="41">
        <v>46199</v>
      </c>
      <c r="Z466" s="43">
        <v>94.406400000000005</v>
      </c>
      <c r="AA466" s="45">
        <f>IF(M466&lt;&gt;"",M466,Z466)</f>
        <v>94.406400000000005</v>
      </c>
      <c r="AB466" s="46" t="str">
        <f>IF(L466&lt;&gt;"","Realizado","Previsto")</f>
        <v>Previsto</v>
      </c>
      <c r="AC466" s="47">
        <v>0.33</v>
      </c>
      <c r="AD466" s="43">
        <v>286.08</v>
      </c>
      <c r="AE466" s="39">
        <v>19.2</v>
      </c>
      <c r="AF466" s="39" t="s">
        <v>87</v>
      </c>
      <c r="AG466" s="43">
        <v>14.9</v>
      </c>
      <c r="AH466" s="39" t="s">
        <v>292</v>
      </c>
      <c r="AI466" s="39" t="s">
        <v>73</v>
      </c>
      <c r="AJ466" s="48">
        <f>IF(Q466&lt;&gt;"",Q466,IF(K466&lt;&gt;"",K466,""))</f>
        <v>46199</v>
      </c>
      <c r="AK466" s="46" t="str">
        <f>IF(K466&lt;&gt;"","Sim","")</f>
        <v>Sim</v>
      </c>
      <c r="AL466" s="46" t="str">
        <f>IF(A466="","",TEXT(A466,"000000")&amp;"-"&amp;IF(C466="Entrada","CR","DB"))</f>
        <v>000465-DB</v>
      </c>
      <c r="AM466" s="46" t="str">
        <f>IF(A466="","",LEFT(IF(H466&lt;&gt;"",H466,G466)&amp;" | "&amp;G466&amp;" | "&amp;S466,60))</f>
        <v>Cola Pincel 175 g | Cola Pincel 175 g | Saída | CAIXA D'ÁGUA</v>
      </c>
    </row>
    <row r="467" spans="1:39" ht="43.2" x14ac:dyDescent="0.3">
      <c r="A467" s="39">
        <v>466</v>
      </c>
      <c r="B467" s="39" t="s">
        <v>2</v>
      </c>
      <c r="C467" s="39" t="s">
        <v>74</v>
      </c>
      <c r="D467" s="39" t="s">
        <v>285</v>
      </c>
      <c r="E467" s="39" t="s">
        <v>286</v>
      </c>
      <c r="F467" s="39" t="s">
        <v>132</v>
      </c>
      <c r="G467" s="39" t="s">
        <v>297</v>
      </c>
      <c r="H467" s="40"/>
      <c r="I467" s="40"/>
      <c r="J467" s="40"/>
      <c r="K467" s="42">
        <v>46199</v>
      </c>
      <c r="L467" s="42"/>
      <c r="M467" s="44"/>
      <c r="N467" s="40"/>
      <c r="O467" s="40"/>
      <c r="P467" s="40"/>
      <c r="Q467" s="42">
        <f>IF(K467="","",K467)</f>
        <v>46199</v>
      </c>
      <c r="R467" s="39" t="s">
        <v>285</v>
      </c>
      <c r="S467" s="39" t="s">
        <v>288</v>
      </c>
      <c r="T467" s="39" t="s">
        <v>289</v>
      </c>
      <c r="U467" s="39" t="s">
        <v>290</v>
      </c>
      <c r="V467" s="39">
        <v>76</v>
      </c>
      <c r="W467" s="39" t="s">
        <v>567</v>
      </c>
      <c r="X467" s="41">
        <v>46188</v>
      </c>
      <c r="Y467" s="41">
        <v>46199</v>
      </c>
      <c r="Z467" s="43">
        <v>69.062399999999997</v>
      </c>
      <c r="AA467" s="45">
        <f>IF(M467&lt;&gt;"",M467,Z467)</f>
        <v>69.062399999999997</v>
      </c>
      <c r="AB467" s="46" t="str">
        <f>IF(L467&lt;&gt;"","Realizado","Previsto")</f>
        <v>Previsto</v>
      </c>
      <c r="AC467" s="47">
        <v>0.33</v>
      </c>
      <c r="AD467" s="43">
        <v>209.28</v>
      </c>
      <c r="AE467" s="39">
        <v>64</v>
      </c>
      <c r="AF467" s="39" t="s">
        <v>291</v>
      </c>
      <c r="AG467" s="43">
        <v>3.27</v>
      </c>
      <c r="AH467" s="39" t="s">
        <v>292</v>
      </c>
      <c r="AI467" s="39" t="s">
        <v>73</v>
      </c>
      <c r="AJ467" s="48">
        <f>IF(Q467&lt;&gt;"",Q467,IF(K467&lt;&gt;"",K467,""))</f>
        <v>46199</v>
      </c>
      <c r="AK467" s="46" t="str">
        <f>IF(K467&lt;&gt;"","Sim","")</f>
        <v>Sim</v>
      </c>
      <c r="AL467" s="46" t="str">
        <f>IF(A467="","",TEXT(A467,"000000")&amp;"-"&amp;IF(C467="Entrada","CR","DB"))</f>
        <v>000466-DB</v>
      </c>
      <c r="AM467" s="46" t="str">
        <f>IF(A467="","",LEFT(IF(H467&lt;&gt;"",H467,G467)&amp;" | "&amp;G467&amp;" | "&amp;S467,60))</f>
        <v xml:space="preserve">Curva 90° Soldável 25mm | Curva 90° Soldável 25mm | Saída | </v>
      </c>
    </row>
    <row r="468" spans="1:39" ht="43.2" x14ac:dyDescent="0.3">
      <c r="A468" s="39">
        <v>467</v>
      </c>
      <c r="B468" s="39" t="s">
        <v>2</v>
      </c>
      <c r="C468" s="39" t="s">
        <v>74</v>
      </c>
      <c r="D468" s="39" t="s">
        <v>285</v>
      </c>
      <c r="E468" s="39" t="s">
        <v>286</v>
      </c>
      <c r="F468" s="39" t="s">
        <v>132</v>
      </c>
      <c r="G468" s="39" t="s">
        <v>298</v>
      </c>
      <c r="H468" s="40"/>
      <c r="I468" s="40"/>
      <c r="J468" s="40"/>
      <c r="K468" s="42">
        <v>46199</v>
      </c>
      <c r="L468" s="42"/>
      <c r="M468" s="44"/>
      <c r="N468" s="40"/>
      <c r="O468" s="40"/>
      <c r="P468" s="40"/>
      <c r="Q468" s="42">
        <f>IF(K468="","",K468)</f>
        <v>46199</v>
      </c>
      <c r="R468" s="39" t="s">
        <v>285</v>
      </c>
      <c r="S468" s="39" t="s">
        <v>288</v>
      </c>
      <c r="T468" s="39" t="s">
        <v>289</v>
      </c>
      <c r="U468" s="39" t="s">
        <v>290</v>
      </c>
      <c r="V468" s="39">
        <v>77</v>
      </c>
      <c r="W468" s="39" t="s">
        <v>567</v>
      </c>
      <c r="X468" s="41">
        <v>46188</v>
      </c>
      <c r="Y468" s="41">
        <v>46199</v>
      </c>
      <c r="Z468" s="43">
        <v>101.376</v>
      </c>
      <c r="AA468" s="45">
        <f>IF(M468&lt;&gt;"",M468,Z468)</f>
        <v>101.376</v>
      </c>
      <c r="AB468" s="46" t="str">
        <f>IF(L468&lt;&gt;"","Realizado","Previsto")</f>
        <v>Previsto</v>
      </c>
      <c r="AC468" s="47">
        <v>0.33</v>
      </c>
      <c r="AD468" s="43">
        <v>307.2</v>
      </c>
      <c r="AE468" s="39">
        <v>384</v>
      </c>
      <c r="AF468" s="39" t="s">
        <v>291</v>
      </c>
      <c r="AG468" s="43">
        <v>0.8</v>
      </c>
      <c r="AH468" s="39" t="s">
        <v>292</v>
      </c>
      <c r="AI468" s="39" t="s">
        <v>73</v>
      </c>
      <c r="AJ468" s="48">
        <f>IF(Q468&lt;&gt;"",Q468,IF(K468&lt;&gt;"",K468,""))</f>
        <v>46199</v>
      </c>
      <c r="AK468" s="46" t="str">
        <f>IF(K468&lt;&gt;"","Sim","")</f>
        <v>Sim</v>
      </c>
      <c r="AL468" s="46" t="str">
        <f>IF(A468="","",TEXT(A468,"000000")&amp;"-"&amp;IF(C468="Entrada","CR","DB"))</f>
        <v>000467-DB</v>
      </c>
      <c r="AM468" s="46" t="str">
        <f>IF(A468="","",LEFT(IF(H468&lt;&gt;"",H468,G468)&amp;" | "&amp;G468&amp;" | "&amp;S468,60))</f>
        <v xml:space="preserve">Joelho 90 soldavel 25 mm, PVC marrom, água fria | Joelho 90 </v>
      </c>
    </row>
    <row r="469" spans="1:39" ht="43.2" x14ac:dyDescent="0.3">
      <c r="A469" s="39">
        <v>468</v>
      </c>
      <c r="B469" s="39" t="s">
        <v>2</v>
      </c>
      <c r="C469" s="39" t="s">
        <v>74</v>
      </c>
      <c r="D469" s="39" t="s">
        <v>285</v>
      </c>
      <c r="E469" s="39" t="s">
        <v>286</v>
      </c>
      <c r="F469" s="39" t="s">
        <v>132</v>
      </c>
      <c r="G469" s="39" t="s">
        <v>299</v>
      </c>
      <c r="H469" s="40"/>
      <c r="I469" s="40"/>
      <c r="J469" s="40"/>
      <c r="K469" s="42">
        <v>46199</v>
      </c>
      <c r="L469" s="42"/>
      <c r="M469" s="44"/>
      <c r="N469" s="40"/>
      <c r="O469" s="40"/>
      <c r="P469" s="40"/>
      <c r="Q469" s="42">
        <f>IF(K469="","",K469)</f>
        <v>46199</v>
      </c>
      <c r="R469" s="39" t="s">
        <v>285</v>
      </c>
      <c r="S469" s="39" t="s">
        <v>288</v>
      </c>
      <c r="T469" s="39" t="s">
        <v>289</v>
      </c>
      <c r="U469" s="39" t="s">
        <v>290</v>
      </c>
      <c r="V469" s="39">
        <v>78</v>
      </c>
      <c r="W469" s="39" t="s">
        <v>567</v>
      </c>
      <c r="X469" s="41">
        <v>46188</v>
      </c>
      <c r="Y469" s="41">
        <v>46199</v>
      </c>
      <c r="Z469" s="43">
        <v>112.3584</v>
      </c>
      <c r="AA469" s="45">
        <f>IF(M469&lt;&gt;"",M469,Z469)</f>
        <v>112.3584</v>
      </c>
      <c r="AB469" s="46" t="str">
        <f>IF(L469&lt;&gt;"","Realizado","Previsto")</f>
        <v>Previsto</v>
      </c>
      <c r="AC469" s="47">
        <v>0.33</v>
      </c>
      <c r="AD469" s="43">
        <v>340.48</v>
      </c>
      <c r="AE469" s="39">
        <v>128</v>
      </c>
      <c r="AF469" s="39" t="s">
        <v>291</v>
      </c>
      <c r="AG469" s="43">
        <v>2.66</v>
      </c>
      <c r="AH469" s="39" t="s">
        <v>292</v>
      </c>
      <c r="AI469" s="39" t="s">
        <v>73</v>
      </c>
      <c r="AJ469" s="48">
        <f>IF(Q469&lt;&gt;"",Q469,IF(K469&lt;&gt;"",K469,""))</f>
        <v>46199</v>
      </c>
      <c r="AK469" s="46" t="str">
        <f>IF(K469&lt;&gt;"","Sim","")</f>
        <v>Sim</v>
      </c>
      <c r="AL469" s="46" t="str">
        <f>IF(A469="","",TEXT(A469,"000000")&amp;"-"&amp;IF(C469="Entrada","CR","DB"))</f>
        <v>000468-DB</v>
      </c>
      <c r="AM469" s="46" t="str">
        <f>IF(A469="","",LEFT(IF(H469&lt;&gt;"",H469,G469)&amp;" | "&amp;G469&amp;" | "&amp;S469,60))</f>
        <v xml:space="preserve">Joelho 90 soldavel 32 mm, PVC marrom, água fria | Joelho 90 </v>
      </c>
    </row>
    <row r="470" spans="1:39" ht="43.2" x14ac:dyDescent="0.3">
      <c r="A470" s="39">
        <v>469</v>
      </c>
      <c r="B470" s="39" t="s">
        <v>2</v>
      </c>
      <c r="C470" s="39" t="s">
        <v>74</v>
      </c>
      <c r="D470" s="39" t="s">
        <v>285</v>
      </c>
      <c r="E470" s="39" t="s">
        <v>286</v>
      </c>
      <c r="F470" s="39" t="s">
        <v>132</v>
      </c>
      <c r="G470" s="39" t="s">
        <v>300</v>
      </c>
      <c r="H470" s="40"/>
      <c r="I470" s="40"/>
      <c r="J470" s="40"/>
      <c r="K470" s="42">
        <v>46199</v>
      </c>
      <c r="L470" s="42"/>
      <c r="M470" s="44"/>
      <c r="N470" s="40"/>
      <c r="O470" s="40"/>
      <c r="P470" s="40"/>
      <c r="Q470" s="42">
        <f>IF(K470="","",K470)</f>
        <v>46199</v>
      </c>
      <c r="R470" s="39" t="s">
        <v>285</v>
      </c>
      <c r="S470" s="39" t="s">
        <v>288</v>
      </c>
      <c r="T470" s="39" t="s">
        <v>289</v>
      </c>
      <c r="U470" s="39" t="s">
        <v>290</v>
      </c>
      <c r="V470" s="39">
        <v>83</v>
      </c>
      <c r="W470" s="39" t="s">
        <v>567</v>
      </c>
      <c r="X470" s="41">
        <v>46188</v>
      </c>
      <c r="Y470" s="41">
        <v>46199</v>
      </c>
      <c r="Z470" s="43">
        <v>135.16800000000001</v>
      </c>
      <c r="AA470" s="45">
        <f>IF(M470&lt;&gt;"",M470,Z470)</f>
        <v>135.16800000000001</v>
      </c>
      <c r="AB470" s="46" t="str">
        <f>IF(L470&lt;&gt;"","Realizado","Previsto")</f>
        <v>Previsto</v>
      </c>
      <c r="AC470" s="47">
        <v>0.33</v>
      </c>
      <c r="AD470" s="43">
        <v>409.6</v>
      </c>
      <c r="AE470" s="39">
        <v>128</v>
      </c>
      <c r="AF470" s="39" t="s">
        <v>291</v>
      </c>
      <c r="AG470" s="43">
        <v>3.2</v>
      </c>
      <c r="AH470" s="39" t="s">
        <v>292</v>
      </c>
      <c r="AI470" s="39" t="s">
        <v>73</v>
      </c>
      <c r="AJ470" s="48">
        <f>IF(Q470&lt;&gt;"",Q470,IF(K470&lt;&gt;"",K470,""))</f>
        <v>46199</v>
      </c>
      <c r="AK470" s="46" t="str">
        <f>IF(K470&lt;&gt;"","Sim","")</f>
        <v>Sim</v>
      </c>
      <c r="AL470" s="46" t="str">
        <f>IF(A470="","",TEXT(A470,"000000")&amp;"-"&amp;IF(C470="Entrada","CR","DB"))</f>
        <v>000469-DB</v>
      </c>
      <c r="AM470" s="46" t="str">
        <f>IF(A470="","",LEFT(IF(H470&lt;&gt;"",H470,G470)&amp;" | "&amp;G470&amp;" | "&amp;S470,60))</f>
        <v xml:space="preserve">LuvaPVC soldavél - 32 mm | LuvaPVC soldavél - 32 mm | Saída </v>
      </c>
    </row>
    <row r="471" spans="1:39" ht="43.2" x14ac:dyDescent="0.3">
      <c r="A471" s="39">
        <v>470</v>
      </c>
      <c r="B471" s="39" t="s">
        <v>2</v>
      </c>
      <c r="C471" s="39" t="s">
        <v>74</v>
      </c>
      <c r="D471" s="39" t="s">
        <v>285</v>
      </c>
      <c r="E471" s="39" t="s">
        <v>286</v>
      </c>
      <c r="F471" s="39" t="s">
        <v>132</v>
      </c>
      <c r="G471" s="39" t="s">
        <v>301</v>
      </c>
      <c r="H471" s="40"/>
      <c r="I471" s="40"/>
      <c r="J471" s="40"/>
      <c r="K471" s="42">
        <v>46199</v>
      </c>
      <c r="L471" s="42"/>
      <c r="M471" s="44"/>
      <c r="N471" s="40"/>
      <c r="O471" s="40"/>
      <c r="P471" s="40"/>
      <c r="Q471" s="42">
        <f>IF(K471="","",K471)</f>
        <v>46199</v>
      </c>
      <c r="R471" s="39" t="s">
        <v>285</v>
      </c>
      <c r="S471" s="39" t="s">
        <v>288</v>
      </c>
      <c r="T471" s="39" t="s">
        <v>289</v>
      </c>
      <c r="U471" s="39" t="s">
        <v>290</v>
      </c>
      <c r="V471" s="39">
        <v>80</v>
      </c>
      <c r="W471" s="39" t="s">
        <v>567</v>
      </c>
      <c r="X471" s="41">
        <v>46188</v>
      </c>
      <c r="Y471" s="41">
        <v>46199</v>
      </c>
      <c r="Z471" s="43">
        <v>485.76</v>
      </c>
      <c r="AA471" s="45">
        <f>IF(M471&lt;&gt;"",M471,Z471)</f>
        <v>485.76</v>
      </c>
      <c r="AB471" s="46" t="str">
        <f>IF(L471&lt;&gt;"","Realizado","Previsto")</f>
        <v>Previsto</v>
      </c>
      <c r="AC471" s="47">
        <v>0.33</v>
      </c>
      <c r="AD471" s="43">
        <v>1472</v>
      </c>
      <c r="AE471" s="39">
        <v>64</v>
      </c>
      <c r="AF471" s="39" t="s">
        <v>291</v>
      </c>
      <c r="AG471" s="43">
        <v>23</v>
      </c>
      <c r="AH471" s="39" t="s">
        <v>292</v>
      </c>
      <c r="AI471" s="39" t="s">
        <v>73</v>
      </c>
      <c r="AJ471" s="48">
        <f>IF(Q471&lt;&gt;"",Q471,IF(K471&lt;&gt;"",K471,""))</f>
        <v>46199</v>
      </c>
      <c r="AK471" s="46" t="str">
        <f>IF(K471&lt;&gt;"","Sim","")</f>
        <v>Sim</v>
      </c>
      <c r="AL471" s="46" t="str">
        <f>IF(A471="","",TEXT(A471,"000000")&amp;"-"&amp;IF(C471="Entrada","CR","DB"))</f>
        <v>000470-DB</v>
      </c>
      <c r="AM471" s="46" t="str">
        <f>IF(A471="","",LEFT(IF(H471&lt;&gt;"",H471,G471)&amp;" | "&amp;G471&amp;" | "&amp;S471,60))</f>
        <v>Registro PVC Esfera Borboleta Soldável 25MM | Registro PVC E</v>
      </c>
    </row>
    <row r="472" spans="1:39" ht="43.2" x14ac:dyDescent="0.3">
      <c r="A472" s="39">
        <v>471</v>
      </c>
      <c r="B472" s="39" t="s">
        <v>2</v>
      </c>
      <c r="C472" s="39" t="s">
        <v>74</v>
      </c>
      <c r="D472" s="39" t="s">
        <v>285</v>
      </c>
      <c r="E472" s="39" t="s">
        <v>286</v>
      </c>
      <c r="F472" s="39" t="s">
        <v>132</v>
      </c>
      <c r="G472" s="39" t="s">
        <v>302</v>
      </c>
      <c r="H472" s="40"/>
      <c r="I472" s="40"/>
      <c r="J472" s="40"/>
      <c r="K472" s="42">
        <v>46199</v>
      </c>
      <c r="L472" s="42"/>
      <c r="M472" s="44"/>
      <c r="N472" s="40"/>
      <c r="O472" s="40"/>
      <c r="P472" s="40"/>
      <c r="Q472" s="42">
        <f>IF(K472="","",K472)</f>
        <v>46199</v>
      </c>
      <c r="R472" s="39" t="s">
        <v>285</v>
      </c>
      <c r="S472" s="39" t="s">
        <v>288</v>
      </c>
      <c r="T472" s="39" t="s">
        <v>289</v>
      </c>
      <c r="U472" s="39" t="s">
        <v>290</v>
      </c>
      <c r="V472" s="39">
        <v>81</v>
      </c>
      <c r="W472" s="39" t="s">
        <v>567</v>
      </c>
      <c r="X472" s="41">
        <v>46188</v>
      </c>
      <c r="Y472" s="41">
        <v>46199</v>
      </c>
      <c r="Z472" s="43">
        <v>633.6</v>
      </c>
      <c r="AA472" s="45">
        <f>IF(M472&lt;&gt;"",M472,Z472)</f>
        <v>633.6</v>
      </c>
      <c r="AB472" s="46" t="str">
        <f>IF(L472&lt;&gt;"","Realizado","Previsto")</f>
        <v>Previsto</v>
      </c>
      <c r="AC472" s="47">
        <v>0.33</v>
      </c>
      <c r="AD472" s="43">
        <v>1920</v>
      </c>
      <c r="AE472" s="39">
        <v>64</v>
      </c>
      <c r="AF472" s="39" t="s">
        <v>291</v>
      </c>
      <c r="AG472" s="43">
        <v>30</v>
      </c>
      <c r="AH472" s="39" t="s">
        <v>292</v>
      </c>
      <c r="AI472" s="39" t="s">
        <v>73</v>
      </c>
      <c r="AJ472" s="48">
        <f>IF(Q472&lt;&gt;"",Q472,IF(K472&lt;&gt;"",K472,""))</f>
        <v>46199</v>
      </c>
      <c r="AK472" s="46" t="str">
        <f>IF(K472&lt;&gt;"","Sim","")</f>
        <v>Sim</v>
      </c>
      <c r="AL472" s="46" t="str">
        <f>IF(A472="","",TEXT(A472,"000000")&amp;"-"&amp;IF(C472="Entrada","CR","DB"))</f>
        <v>000471-DB</v>
      </c>
      <c r="AM472" s="46" t="str">
        <f>IF(A472="","",LEFT(IF(H472&lt;&gt;"",H472,G472)&amp;" | "&amp;G472&amp;" | "&amp;S472,60))</f>
        <v>Registro PVC Esfera Borboleta Soldável 32MM | Registro PVC E</v>
      </c>
    </row>
    <row r="473" spans="1:39" ht="43.2" x14ac:dyDescent="0.3">
      <c r="A473" s="39">
        <v>472</v>
      </c>
      <c r="B473" s="39" t="s">
        <v>2</v>
      </c>
      <c r="C473" s="39" t="s">
        <v>74</v>
      </c>
      <c r="D473" s="39" t="s">
        <v>285</v>
      </c>
      <c r="E473" s="39" t="s">
        <v>286</v>
      </c>
      <c r="F473" s="39" t="s">
        <v>132</v>
      </c>
      <c r="G473" s="39" t="s">
        <v>303</v>
      </c>
      <c r="H473" s="40"/>
      <c r="I473" s="40"/>
      <c r="J473" s="40"/>
      <c r="K473" s="42">
        <v>46199</v>
      </c>
      <c r="L473" s="42"/>
      <c r="M473" s="44"/>
      <c r="N473" s="40"/>
      <c r="O473" s="40"/>
      <c r="P473" s="40"/>
      <c r="Q473" s="42">
        <f>IF(K473="","",K473)</f>
        <v>46199</v>
      </c>
      <c r="R473" s="39" t="s">
        <v>285</v>
      </c>
      <c r="S473" s="39" t="s">
        <v>288</v>
      </c>
      <c r="T473" s="39" t="s">
        <v>289</v>
      </c>
      <c r="U473" s="39" t="s">
        <v>290</v>
      </c>
      <c r="V473" s="39">
        <v>84</v>
      </c>
      <c r="W473" s="39" t="s">
        <v>567</v>
      </c>
      <c r="X473" s="41">
        <v>46188</v>
      </c>
      <c r="Y473" s="41">
        <v>46199</v>
      </c>
      <c r="Z473" s="43">
        <v>174.4512</v>
      </c>
      <c r="AA473" s="45">
        <f>IF(M473&lt;&gt;"",M473,Z473)</f>
        <v>174.4512</v>
      </c>
      <c r="AB473" s="46" t="str">
        <f>IF(L473&lt;&gt;"","Realizado","Previsto")</f>
        <v>Previsto</v>
      </c>
      <c r="AC473" s="47">
        <v>0.33</v>
      </c>
      <c r="AD473" s="43">
        <v>528.64</v>
      </c>
      <c r="AE473" s="39">
        <v>128</v>
      </c>
      <c r="AF473" s="39" t="s">
        <v>291</v>
      </c>
      <c r="AG473" s="43">
        <v>4.13</v>
      </c>
      <c r="AH473" s="39" t="s">
        <v>292</v>
      </c>
      <c r="AI473" s="39" t="s">
        <v>73</v>
      </c>
      <c r="AJ473" s="48">
        <f>IF(Q473&lt;&gt;"",Q473,IF(K473&lt;&gt;"",K473,""))</f>
        <v>46199</v>
      </c>
      <c r="AK473" s="46" t="str">
        <f>IF(K473&lt;&gt;"","Sim","")</f>
        <v>Sim</v>
      </c>
      <c r="AL473" s="46" t="str">
        <f>IF(A473="","",TEXT(A473,"000000")&amp;"-"&amp;IF(C473="Entrada","CR","DB"))</f>
        <v>000472-DB</v>
      </c>
      <c r="AM473" s="46" t="str">
        <f>IF(A473="","",LEFT(IF(H473&lt;&gt;"",H473,G473)&amp;" | "&amp;G473&amp;" | "&amp;S473,60))</f>
        <v>TE PVC Soldável 32 MM | TE PVC Soldável 32 MM | Saída | CAIX</v>
      </c>
    </row>
    <row r="474" spans="1:39" ht="43.2" x14ac:dyDescent="0.3">
      <c r="A474" s="39">
        <v>473</v>
      </c>
      <c r="B474" s="39" t="s">
        <v>2</v>
      </c>
      <c r="C474" s="39" t="s">
        <v>74</v>
      </c>
      <c r="D474" s="39" t="s">
        <v>285</v>
      </c>
      <c r="E474" s="39" t="s">
        <v>286</v>
      </c>
      <c r="F474" s="39" t="s">
        <v>132</v>
      </c>
      <c r="G474" s="39" t="s">
        <v>304</v>
      </c>
      <c r="H474" s="40"/>
      <c r="I474" s="40"/>
      <c r="J474" s="40"/>
      <c r="K474" s="42">
        <v>46199</v>
      </c>
      <c r="L474" s="42"/>
      <c r="M474" s="44"/>
      <c r="N474" s="40"/>
      <c r="O474" s="40"/>
      <c r="P474" s="40"/>
      <c r="Q474" s="42">
        <f>IF(K474="","",K474)</f>
        <v>46199</v>
      </c>
      <c r="R474" s="39" t="s">
        <v>285</v>
      </c>
      <c r="S474" s="39" t="s">
        <v>288</v>
      </c>
      <c r="T474" s="39" t="s">
        <v>289</v>
      </c>
      <c r="U474" s="39" t="s">
        <v>290</v>
      </c>
      <c r="V474" s="39">
        <v>88</v>
      </c>
      <c r="W474" s="39" t="s">
        <v>567</v>
      </c>
      <c r="X474" s="41">
        <v>46188</v>
      </c>
      <c r="Y474" s="41">
        <v>46199</v>
      </c>
      <c r="Z474" s="43">
        <v>1592.4480000000001</v>
      </c>
      <c r="AA474" s="45">
        <f>IF(M474&lt;&gt;"",M474,Z474)</f>
        <v>1592.4480000000001</v>
      </c>
      <c r="AB474" s="46" t="str">
        <f>IF(L474&lt;&gt;"","Realizado","Previsto")</f>
        <v>Previsto</v>
      </c>
      <c r="AC474" s="47">
        <v>0.33</v>
      </c>
      <c r="AD474" s="43">
        <v>4825.6000000000004</v>
      </c>
      <c r="AE474" s="39">
        <v>64</v>
      </c>
      <c r="AF474" s="39" t="s">
        <v>87</v>
      </c>
      <c r="AG474" s="43">
        <v>75.400000000000006</v>
      </c>
      <c r="AH474" s="39" t="s">
        <v>292</v>
      </c>
      <c r="AI474" s="39" t="s">
        <v>73</v>
      </c>
      <c r="AJ474" s="48">
        <f>IF(Q474&lt;&gt;"",Q474,IF(K474&lt;&gt;"",K474,""))</f>
        <v>46199</v>
      </c>
      <c r="AK474" s="46" t="str">
        <f>IF(K474&lt;&gt;"","Sim","")</f>
        <v>Sim</v>
      </c>
      <c r="AL474" s="46" t="str">
        <f>IF(A474="","",TEXT(A474,"000000")&amp;"-"&amp;IF(C474="Entrada","CR","DB"))</f>
        <v>000473-DB</v>
      </c>
      <c r="AM474" s="46" t="str">
        <f>IF(A474="","",LEFT(IF(H474&lt;&gt;"",H474,G474)&amp;" | "&amp;G474&amp;" | "&amp;S474,60))</f>
        <v xml:space="preserve">Torneira Boia PVC Com Balão Plástico Para Caixa D'água 3/4" </v>
      </c>
    </row>
    <row r="475" spans="1:39" ht="43.2" x14ac:dyDescent="0.3">
      <c r="A475" s="39">
        <v>474</v>
      </c>
      <c r="B475" s="39" t="s">
        <v>2</v>
      </c>
      <c r="C475" s="39" t="s">
        <v>74</v>
      </c>
      <c r="D475" s="39" t="s">
        <v>285</v>
      </c>
      <c r="E475" s="39" t="s">
        <v>286</v>
      </c>
      <c r="F475" s="39" t="s">
        <v>132</v>
      </c>
      <c r="G475" s="39" t="s">
        <v>152</v>
      </c>
      <c r="H475" s="40"/>
      <c r="I475" s="40"/>
      <c r="J475" s="40"/>
      <c r="K475" s="42">
        <v>46199</v>
      </c>
      <c r="L475" s="42"/>
      <c r="M475" s="44"/>
      <c r="N475" s="40"/>
      <c r="O475" s="40"/>
      <c r="P475" s="40"/>
      <c r="Q475" s="42">
        <f>IF(K475="","",K475)</f>
        <v>46199</v>
      </c>
      <c r="R475" s="39" t="s">
        <v>285</v>
      </c>
      <c r="S475" s="39" t="s">
        <v>288</v>
      </c>
      <c r="T475" s="39" t="s">
        <v>289</v>
      </c>
      <c r="U475" s="39" t="s">
        <v>290</v>
      </c>
      <c r="V475" s="39">
        <v>89</v>
      </c>
      <c r="W475" s="39" t="s">
        <v>567</v>
      </c>
      <c r="X475" s="41">
        <v>46188</v>
      </c>
      <c r="Y475" s="41">
        <v>46199</v>
      </c>
      <c r="Z475" s="43">
        <v>853.33248000000015</v>
      </c>
      <c r="AA475" s="45">
        <f>IF(M475&lt;&gt;"",M475,Z475)</f>
        <v>853.33248000000015</v>
      </c>
      <c r="AB475" s="46" t="str">
        <f>IF(L475&lt;&gt;"","Realizado","Previsto")</f>
        <v>Previsto</v>
      </c>
      <c r="AC475" s="47">
        <v>0.33</v>
      </c>
      <c r="AD475" s="43">
        <v>2585.8560000000002</v>
      </c>
      <c r="AE475" s="39">
        <v>94.720000000000013</v>
      </c>
      <c r="AF475" s="39" t="s">
        <v>153</v>
      </c>
      <c r="AG475" s="43">
        <v>27.3</v>
      </c>
      <c r="AH475" s="39" t="s">
        <v>292</v>
      </c>
      <c r="AI475" s="39" t="s">
        <v>73</v>
      </c>
      <c r="AJ475" s="48">
        <f>IF(Q475&lt;&gt;"",Q475,IF(K475&lt;&gt;"",K475,""))</f>
        <v>46199</v>
      </c>
      <c r="AK475" s="46" t="str">
        <f>IF(K475&lt;&gt;"","Sim","")</f>
        <v>Sim</v>
      </c>
      <c r="AL475" s="46" t="str">
        <f>IF(A475="","",TEXT(A475,"000000")&amp;"-"&amp;IF(C475="Entrada","CR","DB"))</f>
        <v>000474-DB</v>
      </c>
      <c r="AM475" s="46" t="str">
        <f>IF(A475="","",LEFT(IF(H475&lt;&gt;"",H475,G475)&amp;" | "&amp;G475&amp;" | "&amp;S475,60))</f>
        <v>Tubo DN 25 mm, PVC Rígido Soldável Marrom | Tubo DN 25 mm, P</v>
      </c>
    </row>
    <row r="476" spans="1:39" ht="43.2" x14ac:dyDescent="0.3">
      <c r="A476" s="39">
        <v>475</v>
      </c>
      <c r="B476" s="39" t="s">
        <v>2</v>
      </c>
      <c r="C476" s="39" t="s">
        <v>74</v>
      </c>
      <c r="D476" s="39" t="s">
        <v>285</v>
      </c>
      <c r="E476" s="39" t="s">
        <v>286</v>
      </c>
      <c r="F476" s="39" t="s">
        <v>132</v>
      </c>
      <c r="G476" s="39" t="s">
        <v>305</v>
      </c>
      <c r="H476" s="40"/>
      <c r="I476" s="40"/>
      <c r="J476" s="40"/>
      <c r="K476" s="42">
        <v>46199</v>
      </c>
      <c r="L476" s="42"/>
      <c r="M476" s="44"/>
      <c r="N476" s="40"/>
      <c r="O476" s="40"/>
      <c r="P476" s="40"/>
      <c r="Q476" s="42">
        <f>IF(K476="","",K476)</f>
        <v>46199</v>
      </c>
      <c r="R476" s="39" t="s">
        <v>285</v>
      </c>
      <c r="S476" s="39" t="s">
        <v>288</v>
      </c>
      <c r="T476" s="39" t="s">
        <v>289</v>
      </c>
      <c r="U476" s="39" t="s">
        <v>290</v>
      </c>
      <c r="V476" s="39">
        <v>90</v>
      </c>
      <c r="W476" s="39" t="s">
        <v>567</v>
      </c>
      <c r="X476" s="41">
        <v>46188</v>
      </c>
      <c r="Y476" s="41">
        <v>46199</v>
      </c>
      <c r="Z476" s="43">
        <v>1866.5856000000001</v>
      </c>
      <c r="AA476" s="45">
        <f>IF(M476&lt;&gt;"",M476,Z476)</f>
        <v>1866.5856000000001</v>
      </c>
      <c r="AB476" s="46" t="str">
        <f>IF(L476&lt;&gt;"","Realizado","Previsto")</f>
        <v>Previsto</v>
      </c>
      <c r="AC476" s="47">
        <v>0.33</v>
      </c>
      <c r="AD476" s="43">
        <v>5656.32</v>
      </c>
      <c r="AE476" s="39">
        <v>96</v>
      </c>
      <c r="AF476" s="39" t="s">
        <v>153</v>
      </c>
      <c r="AG476" s="43">
        <v>58.92</v>
      </c>
      <c r="AH476" s="39" t="s">
        <v>292</v>
      </c>
      <c r="AI476" s="39" t="s">
        <v>73</v>
      </c>
      <c r="AJ476" s="48">
        <f>IF(Q476&lt;&gt;"",Q476,IF(K476&lt;&gt;"",K476,""))</f>
        <v>46199</v>
      </c>
      <c r="AK476" s="46" t="str">
        <f>IF(K476&lt;&gt;"","Sim","")</f>
        <v>Sim</v>
      </c>
      <c r="AL476" s="46" t="str">
        <f>IF(A476="","",TEXT(A476,"000000")&amp;"-"&amp;IF(C476="Entrada","CR","DB"))</f>
        <v>000475-DB</v>
      </c>
      <c r="AM476" s="46" t="str">
        <f>IF(A476="","",LEFT(IF(H476&lt;&gt;"",H476,G476)&amp;" | "&amp;G476&amp;" | "&amp;S476,60))</f>
        <v>Tubo DN 32 mm, PVC Rígido Soldável Marrom | Tubo DN 32 mm, P</v>
      </c>
    </row>
    <row r="477" spans="1:39" ht="43.2" x14ac:dyDescent="0.3">
      <c r="A477" s="39">
        <v>476</v>
      </c>
      <c r="B477" s="39" t="s">
        <v>2</v>
      </c>
      <c r="C477" s="39" t="s">
        <v>74</v>
      </c>
      <c r="D477" s="39" t="s">
        <v>437</v>
      </c>
      <c r="E477" s="39" t="s">
        <v>437</v>
      </c>
      <c r="F477" s="39" t="s">
        <v>109</v>
      </c>
      <c r="G477" s="39" t="s">
        <v>442</v>
      </c>
      <c r="H477" s="40"/>
      <c r="I477" s="40"/>
      <c r="J477" s="40"/>
      <c r="K477" s="42">
        <v>46199</v>
      </c>
      <c r="L477" s="42"/>
      <c r="M477" s="44"/>
      <c r="N477" s="40"/>
      <c r="O477" s="40"/>
      <c r="P477" s="40"/>
      <c r="Q477" s="42">
        <f>IF(K477="","",K477)</f>
        <v>46199</v>
      </c>
      <c r="R477" s="39" t="s">
        <v>437</v>
      </c>
      <c r="S477" s="39" t="s">
        <v>439</v>
      </c>
      <c r="T477" s="39" t="s">
        <v>443</v>
      </c>
      <c r="U477" s="39" t="s">
        <v>215</v>
      </c>
      <c r="V477" s="39">
        <v>242</v>
      </c>
      <c r="W477" s="39" t="s">
        <v>567</v>
      </c>
      <c r="X477" s="41">
        <v>46188</v>
      </c>
      <c r="Y477" s="41">
        <v>46199</v>
      </c>
      <c r="Z477" s="43">
        <v>10782.4</v>
      </c>
      <c r="AA477" s="45">
        <f>IF(M477&lt;&gt;"",M477,Z477)</f>
        <v>10782.4</v>
      </c>
      <c r="AB477" s="46" t="str">
        <f>IF(L477&lt;&gt;"","Realizado","Previsto")</f>
        <v>Previsto</v>
      </c>
      <c r="AC477" s="47">
        <v>0.33695000000000003</v>
      </c>
      <c r="AD477" s="43">
        <v>32000</v>
      </c>
      <c r="AE477" s="39">
        <v>64</v>
      </c>
      <c r="AF477" s="39" t="s">
        <v>113</v>
      </c>
      <c r="AG477" s="43">
        <v>500</v>
      </c>
      <c r="AH477" s="39" t="s">
        <v>444</v>
      </c>
      <c r="AI477" s="39" t="s">
        <v>73</v>
      </c>
      <c r="AJ477" s="48">
        <f>IF(Q477&lt;&gt;"",Q477,IF(K477&lt;&gt;"",K477,""))</f>
        <v>46199</v>
      </c>
      <c r="AK477" s="46" t="str">
        <f>IF(K477&lt;&gt;"","Sim","")</f>
        <v>Sim</v>
      </c>
      <c r="AL477" s="46" t="str">
        <f>IF(A477="","",TEXT(A477,"000000")&amp;"-"&amp;IF(C477="Entrada","CR","DB"))</f>
        <v>000476-DB</v>
      </c>
      <c r="AM477" s="46" t="str">
        <f>IF(A477="","",LEFT(IF(H477&lt;&gt;"",H477,G477)&amp;" | "&amp;G477&amp;" | "&amp;S477,60))</f>
        <v>Mao de obra calçada acesso | Mao de obra calçada acesso | Sa</v>
      </c>
    </row>
    <row r="478" spans="1:39" ht="43.2" x14ac:dyDescent="0.3">
      <c r="A478" s="39">
        <v>477</v>
      </c>
      <c r="B478" s="39" t="s">
        <v>2</v>
      </c>
      <c r="C478" s="39" t="s">
        <v>74</v>
      </c>
      <c r="D478" s="39" t="s">
        <v>124</v>
      </c>
      <c r="E478" s="39" t="s">
        <v>124</v>
      </c>
      <c r="F478" s="39" t="s">
        <v>125</v>
      </c>
      <c r="G478" s="39" t="s">
        <v>222</v>
      </c>
      <c r="H478" s="40"/>
      <c r="I478" s="40"/>
      <c r="J478" s="40"/>
      <c r="K478" s="42">
        <v>46199</v>
      </c>
      <c r="L478" s="42"/>
      <c r="M478" s="44"/>
      <c r="N478" s="40"/>
      <c r="O478" s="40"/>
      <c r="P478" s="40"/>
      <c r="Q478" s="42">
        <f>IF(K478="","",K478)</f>
        <v>46199</v>
      </c>
      <c r="R478" s="39" t="s">
        <v>124</v>
      </c>
      <c r="S478" s="39" t="s">
        <v>127</v>
      </c>
      <c r="T478" s="39" t="s">
        <v>128</v>
      </c>
      <c r="U478" s="39"/>
      <c r="V478" s="39">
        <v>274</v>
      </c>
      <c r="W478" s="39" t="s">
        <v>567</v>
      </c>
      <c r="X478" s="41">
        <v>46188</v>
      </c>
      <c r="Y478" s="41">
        <v>46199</v>
      </c>
      <c r="Z478" s="43">
        <v>21190</v>
      </c>
      <c r="AA478" s="45">
        <f>IF(M478&lt;&gt;"",M478,Z478)</f>
        <v>21190</v>
      </c>
      <c r="AB478" s="46" t="str">
        <f>IF(L478&lt;&gt;"","Realizado","Previsto")</f>
        <v>Previsto</v>
      </c>
      <c r="AC478" s="47"/>
      <c r="AD478" s="43">
        <v>211900</v>
      </c>
      <c r="AE478" s="39"/>
      <c r="AF478" s="39"/>
      <c r="AG478" s="43"/>
      <c r="AH478" s="39" t="s">
        <v>223</v>
      </c>
      <c r="AI478" s="39" t="s">
        <v>73</v>
      </c>
      <c r="AJ478" s="48">
        <f>IF(Q478&lt;&gt;"",Q478,IF(K478&lt;&gt;"",K478,""))</f>
        <v>46199</v>
      </c>
      <c r="AK478" s="46" t="str">
        <f>IF(K478&lt;&gt;"","Sim","")</f>
        <v>Sim</v>
      </c>
      <c r="AL478" s="46" t="str">
        <f>IF(A478="","",TEXT(A478,"000000")&amp;"-"&amp;IF(C478="Entrada","CR","DB"))</f>
        <v>000477-DB</v>
      </c>
      <c r="AM478" s="46" t="str">
        <f>IF(A478="","",LEFT(IF(H478&lt;&gt;"",H478,G478)&amp;" | "&amp;G478&amp;" | "&amp;S478,60))</f>
        <v xml:space="preserve">CARTAO CREDITO SUCOPIRA | CARTAO CREDITO SUCOPIRA | Saída | </v>
      </c>
    </row>
    <row r="479" spans="1:39" ht="43.2" x14ac:dyDescent="0.3">
      <c r="A479" s="39">
        <v>478</v>
      </c>
      <c r="B479" s="39" t="s">
        <v>2</v>
      </c>
      <c r="C479" s="39" t="s">
        <v>74</v>
      </c>
      <c r="D479" s="39" t="s">
        <v>124</v>
      </c>
      <c r="E479" s="39" t="s">
        <v>124</v>
      </c>
      <c r="F479" s="39" t="s">
        <v>125</v>
      </c>
      <c r="G479" s="39" t="s">
        <v>226</v>
      </c>
      <c r="H479" s="40"/>
      <c r="I479" s="40"/>
      <c r="J479" s="40"/>
      <c r="K479" s="42">
        <v>46199</v>
      </c>
      <c r="L479" s="42"/>
      <c r="M479" s="44"/>
      <c r="N479" s="40"/>
      <c r="O479" s="40"/>
      <c r="P479" s="40"/>
      <c r="Q479" s="42">
        <f>IF(K479="","",K479)</f>
        <v>46199</v>
      </c>
      <c r="R479" s="39" t="s">
        <v>124</v>
      </c>
      <c r="S479" s="39" t="s">
        <v>127</v>
      </c>
      <c r="T479" s="39" t="s">
        <v>128</v>
      </c>
      <c r="U479" s="39"/>
      <c r="V479" s="39">
        <v>277</v>
      </c>
      <c r="W479" s="39" t="s">
        <v>567</v>
      </c>
      <c r="X479" s="41">
        <v>46188</v>
      </c>
      <c r="Y479" s="41">
        <v>46199</v>
      </c>
      <c r="Z479" s="43">
        <v>7670</v>
      </c>
      <c r="AA479" s="45">
        <f>IF(M479&lt;&gt;"",M479,Z479)</f>
        <v>7670</v>
      </c>
      <c r="AB479" s="46" t="str">
        <f>IF(L479&lt;&gt;"","Realizado","Previsto")</f>
        <v>Previsto</v>
      </c>
      <c r="AC479" s="47"/>
      <c r="AD479" s="43">
        <v>76700</v>
      </c>
      <c r="AE479" s="39"/>
      <c r="AF479" s="39"/>
      <c r="AG479" s="43"/>
      <c r="AH479" s="39" t="s">
        <v>227</v>
      </c>
      <c r="AI479" s="39" t="s">
        <v>73</v>
      </c>
      <c r="AJ479" s="48">
        <f>IF(Q479&lt;&gt;"",Q479,IF(K479&lt;&gt;"",K479,""))</f>
        <v>46199</v>
      </c>
      <c r="AK479" s="46" t="str">
        <f>IF(K479&lt;&gt;"","Sim","")</f>
        <v>Sim</v>
      </c>
      <c r="AL479" s="46" t="str">
        <f>IF(A479="","",TEXT(A479,"000000")&amp;"-"&amp;IF(C479="Entrada","CR","DB"))</f>
        <v>000478-DB</v>
      </c>
      <c r="AM479" s="46" t="str">
        <f>IF(A479="","",LEFT(IF(H479&lt;&gt;"",H479,G479)&amp;" | "&amp;G479&amp;" | "&amp;S479,60))</f>
        <v>EMPRÉSTIMO EXTRA | EMPRÉSTIMO EXTRA | Saída | CAPITAL DE GIR</v>
      </c>
    </row>
    <row r="480" spans="1:39" ht="43.2" x14ac:dyDescent="0.3">
      <c r="A480" s="39">
        <v>479</v>
      </c>
      <c r="B480" s="39" t="s">
        <v>2</v>
      </c>
      <c r="C480" s="39" t="s">
        <v>74</v>
      </c>
      <c r="D480" s="39" t="s">
        <v>496</v>
      </c>
      <c r="E480" s="39" t="s">
        <v>496</v>
      </c>
      <c r="F480" s="39" t="s">
        <v>568</v>
      </c>
      <c r="G480" s="39" t="s">
        <v>569</v>
      </c>
      <c r="H480" s="40"/>
      <c r="I480" s="40"/>
      <c r="J480" s="40"/>
      <c r="K480" s="42">
        <v>46199</v>
      </c>
      <c r="L480" s="42"/>
      <c r="M480" s="44"/>
      <c r="N480" s="40"/>
      <c r="O480" s="40"/>
      <c r="P480" s="40"/>
      <c r="Q480" s="42">
        <f>IF(K480="","",K480)</f>
        <v>46199</v>
      </c>
      <c r="R480" s="39" t="s">
        <v>496</v>
      </c>
      <c r="S480" s="39" t="s">
        <v>498</v>
      </c>
      <c r="T480" s="39" t="s">
        <v>570</v>
      </c>
      <c r="U480" s="39" t="s">
        <v>275</v>
      </c>
      <c r="V480" s="39">
        <v>195</v>
      </c>
      <c r="W480" s="39" t="s">
        <v>567</v>
      </c>
      <c r="X480" s="41">
        <v>46188</v>
      </c>
      <c r="Y480" s="41">
        <v>46199</v>
      </c>
      <c r="Z480" s="43">
        <v>668.8</v>
      </c>
      <c r="AA480" s="45">
        <f>IF(M480&lt;&gt;"",M480,Z480)</f>
        <v>668.8</v>
      </c>
      <c r="AB480" s="46" t="str">
        <f>IF(L480&lt;&gt;"","Realizado","Previsto")</f>
        <v>Previsto</v>
      </c>
      <c r="AC480" s="47">
        <v>0.5</v>
      </c>
      <c r="AD480" s="43">
        <v>1337.6</v>
      </c>
      <c r="AE480" s="39">
        <v>64</v>
      </c>
      <c r="AF480" s="39" t="s">
        <v>87</v>
      </c>
      <c r="AG480" s="43">
        <v>20.9</v>
      </c>
      <c r="AH480" s="39" t="s">
        <v>571</v>
      </c>
      <c r="AI480" s="39" t="s">
        <v>73</v>
      </c>
      <c r="AJ480" s="48">
        <f>IF(Q480&lt;&gt;"",Q480,IF(K480&lt;&gt;"",K480,""))</f>
        <v>46199</v>
      </c>
      <c r="AK480" s="46" t="str">
        <f>IF(K480&lt;&gt;"","Sim","")</f>
        <v>Sim</v>
      </c>
      <c r="AL480" s="46" t="str">
        <f>IF(A480="","",TEXT(A480,"000000")&amp;"-"&amp;IF(C480="Entrada","CR","DB"))</f>
        <v>000479-DB</v>
      </c>
      <c r="AM480" s="46" t="str">
        <f>IF(A480="","",LEFT(IF(H480&lt;&gt;"",H480,G480)&amp;" | "&amp;G480&amp;" | "&amp;S480,60))</f>
        <v>Arandela do tipo meia-lua de sobrepor cor branca com lâmpada</v>
      </c>
    </row>
    <row r="481" spans="1:39" ht="43.2" x14ac:dyDescent="0.3">
      <c r="A481" s="39">
        <v>480</v>
      </c>
      <c r="B481" s="39" t="s">
        <v>2</v>
      </c>
      <c r="C481" s="39" t="s">
        <v>74</v>
      </c>
      <c r="D481" s="39" t="s">
        <v>496</v>
      </c>
      <c r="E481" s="39" t="s">
        <v>496</v>
      </c>
      <c r="F481" s="39" t="s">
        <v>568</v>
      </c>
      <c r="G481" s="39" t="s">
        <v>572</v>
      </c>
      <c r="H481" s="40"/>
      <c r="I481" s="40"/>
      <c r="J481" s="40"/>
      <c r="K481" s="42">
        <v>46199</v>
      </c>
      <c r="L481" s="42"/>
      <c r="M481" s="44"/>
      <c r="N481" s="40"/>
      <c r="O481" s="40"/>
      <c r="P481" s="40"/>
      <c r="Q481" s="42">
        <f>IF(K481="","",K481)</f>
        <v>46199</v>
      </c>
      <c r="R481" s="39" t="s">
        <v>496</v>
      </c>
      <c r="S481" s="39" t="s">
        <v>498</v>
      </c>
      <c r="T481" s="39" t="s">
        <v>570</v>
      </c>
      <c r="U481" s="39" t="s">
        <v>275</v>
      </c>
      <c r="V481" s="39">
        <v>196</v>
      </c>
      <c r="W481" s="39" t="s">
        <v>567</v>
      </c>
      <c r="X481" s="41">
        <v>46188</v>
      </c>
      <c r="Y481" s="41">
        <v>46199</v>
      </c>
      <c r="Z481" s="43">
        <v>540.79999999999995</v>
      </c>
      <c r="AA481" s="45">
        <f>IF(M481&lt;&gt;"",M481,Z481)</f>
        <v>540.79999999999995</v>
      </c>
      <c r="AB481" s="46" t="str">
        <f>IF(L481&lt;&gt;"","Realizado","Previsto")</f>
        <v>Previsto</v>
      </c>
      <c r="AC481" s="47">
        <v>0.5</v>
      </c>
      <c r="AD481" s="43">
        <v>1081.5999999999999</v>
      </c>
      <c r="AE481" s="39">
        <v>64</v>
      </c>
      <c r="AF481" s="39" t="s">
        <v>87</v>
      </c>
      <c r="AG481" s="43">
        <v>16.899999999999999</v>
      </c>
      <c r="AH481" s="39" t="s">
        <v>571</v>
      </c>
      <c r="AI481" s="39" t="s">
        <v>73</v>
      </c>
      <c r="AJ481" s="48">
        <f>IF(Q481&lt;&gt;"",Q481,IF(K481&lt;&gt;"",K481,""))</f>
        <v>46199</v>
      </c>
      <c r="AK481" s="46" t="str">
        <f>IF(K481&lt;&gt;"","Sim","")</f>
        <v>Sim</v>
      </c>
      <c r="AL481" s="46" t="str">
        <f>IF(A481="","",TEXT(A481,"000000")&amp;"-"&amp;IF(C481="Entrada","CR","DB"))</f>
        <v>000480-DB</v>
      </c>
      <c r="AM481" s="46" t="str">
        <f>IF(A481="","",LEFT(IF(H481&lt;&gt;"",H481,G481)&amp;" | "&amp;G481&amp;" | "&amp;S481,60))</f>
        <v>Arandela tipo tartaruga para uso externo com grade na cor br</v>
      </c>
    </row>
    <row r="482" spans="1:39" ht="43.2" x14ac:dyDescent="0.3">
      <c r="A482" s="39">
        <v>481</v>
      </c>
      <c r="B482" s="39" t="s">
        <v>2</v>
      </c>
      <c r="C482" s="39" t="s">
        <v>74</v>
      </c>
      <c r="D482" s="39" t="s">
        <v>496</v>
      </c>
      <c r="E482" s="39" t="s">
        <v>496</v>
      </c>
      <c r="F482" s="39" t="s">
        <v>568</v>
      </c>
      <c r="G482" s="39" t="s">
        <v>573</v>
      </c>
      <c r="H482" s="40"/>
      <c r="I482" s="40"/>
      <c r="J482" s="40"/>
      <c r="K482" s="42">
        <v>46199</v>
      </c>
      <c r="L482" s="42"/>
      <c r="M482" s="44"/>
      <c r="N482" s="40"/>
      <c r="O482" s="40"/>
      <c r="P482" s="40"/>
      <c r="Q482" s="42">
        <f>IF(K482="","",K482)</f>
        <v>46199</v>
      </c>
      <c r="R482" s="39" t="s">
        <v>496</v>
      </c>
      <c r="S482" s="39" t="s">
        <v>498</v>
      </c>
      <c r="T482" s="39" t="s">
        <v>570</v>
      </c>
      <c r="U482" s="39" t="s">
        <v>275</v>
      </c>
      <c r="V482" s="39">
        <v>190</v>
      </c>
      <c r="W482" s="39" t="s">
        <v>567</v>
      </c>
      <c r="X482" s="41">
        <v>46188</v>
      </c>
      <c r="Y482" s="41">
        <v>46199</v>
      </c>
      <c r="Z482" s="43">
        <v>2104.96</v>
      </c>
      <c r="AA482" s="45">
        <f>IF(M482&lt;&gt;"",M482,Z482)</f>
        <v>2104.96</v>
      </c>
      <c r="AB482" s="46" t="str">
        <f>IF(L482&lt;&gt;"","Realizado","Previsto")</f>
        <v>Previsto</v>
      </c>
      <c r="AC482" s="47">
        <v>0.5</v>
      </c>
      <c r="AD482" s="43">
        <v>4209.92</v>
      </c>
      <c r="AE482" s="39">
        <v>64</v>
      </c>
      <c r="AF482" s="39" t="s">
        <v>574</v>
      </c>
      <c r="AG482" s="43">
        <v>65.78</v>
      </c>
      <c r="AH482" s="39" t="s">
        <v>571</v>
      </c>
      <c r="AI482" s="39" t="s">
        <v>73</v>
      </c>
      <c r="AJ482" s="48">
        <f>IF(Q482&lt;&gt;"",Q482,IF(K482&lt;&gt;"",K482,""))</f>
        <v>46199</v>
      </c>
      <c r="AK482" s="46" t="str">
        <f>IF(K482&lt;&gt;"","Sim","")</f>
        <v>Sim</v>
      </c>
      <c r="AL482" s="46" t="str">
        <f>IF(A482="","",TEXT(A482,"000000")&amp;"-"&amp;IF(C482="Entrada","CR","DB"))</f>
        <v>000481-DB</v>
      </c>
      <c r="AM482" s="46" t="str">
        <f>IF(A482="","",LEFT(IF(H482&lt;&gt;"",H482,G482)&amp;" | "&amp;G482&amp;" | "&amp;S482,60))</f>
        <v>CHUVEIRO, COM CANO, 3 TEMPERATURAS, 5500 W (110/220 V) | CHU</v>
      </c>
    </row>
    <row r="483" spans="1:39" ht="43.2" x14ac:dyDescent="0.3">
      <c r="A483" s="39">
        <v>482</v>
      </c>
      <c r="B483" s="39" t="s">
        <v>2</v>
      </c>
      <c r="C483" s="39" t="s">
        <v>74</v>
      </c>
      <c r="D483" s="39" t="s">
        <v>496</v>
      </c>
      <c r="E483" s="39" t="s">
        <v>496</v>
      </c>
      <c r="F483" s="39" t="s">
        <v>568</v>
      </c>
      <c r="G483" s="39" t="s">
        <v>575</v>
      </c>
      <c r="H483" s="40"/>
      <c r="I483" s="40"/>
      <c r="J483" s="40"/>
      <c r="K483" s="42">
        <v>46199</v>
      </c>
      <c r="L483" s="42"/>
      <c r="M483" s="44"/>
      <c r="N483" s="40"/>
      <c r="O483" s="40"/>
      <c r="P483" s="40"/>
      <c r="Q483" s="42">
        <f>IF(K483="","",K483)</f>
        <v>46199</v>
      </c>
      <c r="R483" s="39" t="s">
        <v>496</v>
      </c>
      <c r="S483" s="39" t="s">
        <v>498</v>
      </c>
      <c r="T483" s="39" t="s">
        <v>570</v>
      </c>
      <c r="U483" s="39" t="s">
        <v>275</v>
      </c>
      <c r="V483" s="39">
        <v>173</v>
      </c>
      <c r="W483" s="39" t="s">
        <v>567</v>
      </c>
      <c r="X483" s="41">
        <v>46188</v>
      </c>
      <c r="Y483" s="41">
        <v>46199</v>
      </c>
      <c r="Z483" s="43">
        <v>255.36</v>
      </c>
      <c r="AA483" s="45">
        <f>IF(M483&lt;&gt;"",M483,Z483)</f>
        <v>255.36</v>
      </c>
      <c r="AB483" s="46" t="str">
        <f>IF(L483&lt;&gt;"","Realizado","Previsto")</f>
        <v>Previsto</v>
      </c>
      <c r="AC483" s="47">
        <v>0.5</v>
      </c>
      <c r="AD483" s="43">
        <v>510.72</v>
      </c>
      <c r="AE483" s="39">
        <v>384</v>
      </c>
      <c r="AF483" s="39" t="s">
        <v>327</v>
      </c>
      <c r="AG483" s="43">
        <v>1.33</v>
      </c>
      <c r="AH483" s="39" t="s">
        <v>571</v>
      </c>
      <c r="AI483" s="39" t="s">
        <v>73</v>
      </c>
      <c r="AJ483" s="48">
        <f>IF(Q483&lt;&gt;"",Q483,IF(K483&lt;&gt;"",K483,""))</f>
        <v>46199</v>
      </c>
      <c r="AK483" s="46" t="str">
        <f>IF(K483&lt;&gt;"","Sim","")</f>
        <v>Sim</v>
      </c>
      <c r="AL483" s="46" t="str">
        <f>IF(A483="","",TEXT(A483,"000000")&amp;"-"&amp;IF(C483="Entrada","CR","DB"))</f>
        <v>000482-DB</v>
      </c>
      <c r="AM483" s="46" t="str">
        <f>IF(A483="","",LEFT(IF(H483&lt;&gt;"",H483,G483)&amp;" | "&amp;G483&amp;" | "&amp;S483,60))</f>
        <v>Cabo unipolar 1.5 mm² azul claro | Cabo unipolar 1.5 mm² azu</v>
      </c>
    </row>
    <row r="484" spans="1:39" ht="43.2" x14ac:dyDescent="0.3">
      <c r="A484" s="39">
        <v>483</v>
      </c>
      <c r="B484" s="39" t="s">
        <v>2</v>
      </c>
      <c r="C484" s="39" t="s">
        <v>74</v>
      </c>
      <c r="D484" s="39" t="s">
        <v>496</v>
      </c>
      <c r="E484" s="39" t="s">
        <v>496</v>
      </c>
      <c r="F484" s="39" t="s">
        <v>568</v>
      </c>
      <c r="G484" s="39" t="s">
        <v>576</v>
      </c>
      <c r="H484" s="40"/>
      <c r="I484" s="40"/>
      <c r="J484" s="40"/>
      <c r="K484" s="42">
        <v>46199</v>
      </c>
      <c r="L484" s="42"/>
      <c r="M484" s="44"/>
      <c r="N484" s="40"/>
      <c r="O484" s="40"/>
      <c r="P484" s="40"/>
      <c r="Q484" s="42">
        <f>IF(K484="","",K484)</f>
        <v>46199</v>
      </c>
      <c r="R484" s="39" t="s">
        <v>496</v>
      </c>
      <c r="S484" s="39" t="s">
        <v>498</v>
      </c>
      <c r="T484" s="39" t="s">
        <v>570</v>
      </c>
      <c r="U484" s="39" t="s">
        <v>275</v>
      </c>
      <c r="V484" s="39">
        <v>174</v>
      </c>
      <c r="W484" s="39" t="s">
        <v>567</v>
      </c>
      <c r="X484" s="41">
        <v>46188</v>
      </c>
      <c r="Y484" s="41">
        <v>46199</v>
      </c>
      <c r="Z484" s="43">
        <v>255.36</v>
      </c>
      <c r="AA484" s="45">
        <f>IF(M484&lt;&gt;"",M484,Z484)</f>
        <v>255.36</v>
      </c>
      <c r="AB484" s="46" t="str">
        <f>IF(L484&lt;&gt;"","Realizado","Previsto")</f>
        <v>Previsto</v>
      </c>
      <c r="AC484" s="47">
        <v>0.5</v>
      </c>
      <c r="AD484" s="43">
        <v>510.72</v>
      </c>
      <c r="AE484" s="39">
        <v>384</v>
      </c>
      <c r="AF484" s="39" t="s">
        <v>327</v>
      </c>
      <c r="AG484" s="43">
        <v>1.33</v>
      </c>
      <c r="AH484" s="39" t="s">
        <v>571</v>
      </c>
      <c r="AI484" s="39" t="s">
        <v>73</v>
      </c>
      <c r="AJ484" s="48">
        <f>IF(Q484&lt;&gt;"",Q484,IF(K484&lt;&gt;"",K484,""))</f>
        <v>46199</v>
      </c>
      <c r="AK484" s="46" t="str">
        <f>IF(K484&lt;&gt;"","Sim","")</f>
        <v>Sim</v>
      </c>
      <c r="AL484" s="46" t="str">
        <f>IF(A484="","",TEXT(A484,"000000")&amp;"-"&amp;IF(C484="Entrada","CR","DB"))</f>
        <v>000483-DB</v>
      </c>
      <c r="AM484" s="46" t="str">
        <f>IF(A484="","",LEFT(IF(H484&lt;&gt;"",H484,G484)&amp;" | "&amp;G484&amp;" | "&amp;S484,60))</f>
        <v xml:space="preserve">Cabo unipolar 1.5 mm² marrom | Cabo unipolar 1.5 mm² marrom </v>
      </c>
    </row>
    <row r="485" spans="1:39" ht="43.2" x14ac:dyDescent="0.3">
      <c r="A485" s="39">
        <v>484</v>
      </c>
      <c r="B485" s="39" t="s">
        <v>2</v>
      </c>
      <c r="C485" s="39" t="s">
        <v>74</v>
      </c>
      <c r="D485" s="39" t="s">
        <v>496</v>
      </c>
      <c r="E485" s="39" t="s">
        <v>496</v>
      </c>
      <c r="F485" s="39" t="s">
        <v>568</v>
      </c>
      <c r="G485" s="39" t="s">
        <v>577</v>
      </c>
      <c r="H485" s="40"/>
      <c r="I485" s="40"/>
      <c r="J485" s="40"/>
      <c r="K485" s="42">
        <v>46199</v>
      </c>
      <c r="L485" s="42"/>
      <c r="M485" s="44"/>
      <c r="N485" s="40"/>
      <c r="O485" s="40"/>
      <c r="P485" s="40"/>
      <c r="Q485" s="42">
        <f>IF(K485="","",K485)</f>
        <v>46199</v>
      </c>
      <c r="R485" s="39" t="s">
        <v>496</v>
      </c>
      <c r="S485" s="39" t="s">
        <v>498</v>
      </c>
      <c r="T485" s="39" t="s">
        <v>570</v>
      </c>
      <c r="U485" s="39" t="s">
        <v>275</v>
      </c>
      <c r="V485" s="39">
        <v>168</v>
      </c>
      <c r="W485" s="39" t="s">
        <v>567</v>
      </c>
      <c r="X485" s="41">
        <v>46188</v>
      </c>
      <c r="Y485" s="41">
        <v>46199</v>
      </c>
      <c r="Z485" s="43">
        <v>5804.8</v>
      </c>
      <c r="AA485" s="45">
        <f>IF(M485&lt;&gt;"",M485,Z485)</f>
        <v>5804.8</v>
      </c>
      <c r="AB485" s="46" t="str">
        <f>IF(L485&lt;&gt;"","Realizado","Previsto")</f>
        <v>Previsto</v>
      </c>
      <c r="AC485" s="47">
        <v>0.5</v>
      </c>
      <c r="AD485" s="43">
        <v>11609.6</v>
      </c>
      <c r="AE485" s="39">
        <v>1280</v>
      </c>
      <c r="AF485" s="39" t="s">
        <v>327</v>
      </c>
      <c r="AG485" s="43">
        <v>9.07</v>
      </c>
      <c r="AH485" s="39" t="s">
        <v>571</v>
      </c>
      <c r="AI485" s="39" t="s">
        <v>73</v>
      </c>
      <c r="AJ485" s="48">
        <f>IF(Q485&lt;&gt;"",Q485,IF(K485&lt;&gt;"",K485,""))</f>
        <v>46199</v>
      </c>
      <c r="AK485" s="46" t="str">
        <f>IF(K485&lt;&gt;"","Sim","")</f>
        <v>Sim</v>
      </c>
      <c r="AL485" s="46" t="str">
        <f>IF(A485="","",TEXT(A485,"000000")&amp;"-"&amp;IF(C485="Entrada","CR","DB"))</f>
        <v>000484-DB</v>
      </c>
      <c r="AM485" s="46" t="str">
        <f>IF(A485="","",LEFT(IF(H485&lt;&gt;"",H485,G485)&amp;" | "&amp;G485&amp;" | "&amp;S485,60))</f>
        <v xml:space="preserve">Cabo unipolar 10 mm² azul claro | Cabo unipolar 10 mm² azul </v>
      </c>
    </row>
    <row r="486" spans="1:39" ht="43.2" x14ac:dyDescent="0.3">
      <c r="A486" s="39">
        <v>485</v>
      </c>
      <c r="B486" s="39" t="s">
        <v>2</v>
      </c>
      <c r="C486" s="39" t="s">
        <v>74</v>
      </c>
      <c r="D486" s="39" t="s">
        <v>496</v>
      </c>
      <c r="E486" s="39" t="s">
        <v>496</v>
      </c>
      <c r="F486" s="39" t="s">
        <v>568</v>
      </c>
      <c r="G486" s="39" t="s">
        <v>578</v>
      </c>
      <c r="H486" s="40"/>
      <c r="I486" s="40"/>
      <c r="J486" s="40"/>
      <c r="K486" s="42">
        <v>46199</v>
      </c>
      <c r="L486" s="42"/>
      <c r="M486" s="44"/>
      <c r="N486" s="40"/>
      <c r="O486" s="40"/>
      <c r="P486" s="40"/>
      <c r="Q486" s="42">
        <f>IF(K486="","",K486)</f>
        <v>46199</v>
      </c>
      <c r="R486" s="39" t="s">
        <v>496</v>
      </c>
      <c r="S486" s="39" t="s">
        <v>498</v>
      </c>
      <c r="T486" s="39" t="s">
        <v>570</v>
      </c>
      <c r="U486" s="39" t="s">
        <v>275</v>
      </c>
      <c r="V486" s="39">
        <v>169</v>
      </c>
      <c r="W486" s="39" t="s">
        <v>567</v>
      </c>
      <c r="X486" s="41">
        <v>46188</v>
      </c>
      <c r="Y486" s="41">
        <v>46199</v>
      </c>
      <c r="Z486" s="43">
        <v>5804.8</v>
      </c>
      <c r="AA486" s="45">
        <f>IF(M486&lt;&gt;"",M486,Z486)</f>
        <v>5804.8</v>
      </c>
      <c r="AB486" s="46" t="str">
        <f>IF(L486&lt;&gt;"","Realizado","Previsto")</f>
        <v>Previsto</v>
      </c>
      <c r="AC486" s="47">
        <v>0.5</v>
      </c>
      <c r="AD486" s="43">
        <v>11609.6</v>
      </c>
      <c r="AE486" s="39">
        <v>1280</v>
      </c>
      <c r="AF486" s="39" t="s">
        <v>327</v>
      </c>
      <c r="AG486" s="43">
        <v>9.07</v>
      </c>
      <c r="AH486" s="39" t="s">
        <v>571</v>
      </c>
      <c r="AI486" s="39" t="s">
        <v>73</v>
      </c>
      <c r="AJ486" s="48">
        <f>IF(Q486&lt;&gt;"",Q486,IF(K486&lt;&gt;"",K486,""))</f>
        <v>46199</v>
      </c>
      <c r="AK486" s="46" t="str">
        <f>IF(K486&lt;&gt;"","Sim","")</f>
        <v>Sim</v>
      </c>
      <c r="AL486" s="46" t="str">
        <f>IF(A486="","",TEXT(A486,"000000")&amp;"-"&amp;IF(C486="Entrada","CR","DB"))</f>
        <v>000485-DB</v>
      </c>
      <c r="AM486" s="46" t="str">
        <f>IF(A486="","",LEFT(IF(H486&lt;&gt;"",H486,G486)&amp;" | "&amp;G486&amp;" | "&amp;S486,60))</f>
        <v xml:space="preserve">Cabo unipolar 10 mm² marrom | Cabo unipolar 10 mm² marrom | </v>
      </c>
    </row>
    <row r="487" spans="1:39" ht="43.2" x14ac:dyDescent="0.3">
      <c r="A487" s="39">
        <v>486</v>
      </c>
      <c r="B487" s="39" t="s">
        <v>2</v>
      </c>
      <c r="C487" s="39" t="s">
        <v>74</v>
      </c>
      <c r="D487" s="39" t="s">
        <v>496</v>
      </c>
      <c r="E487" s="39" t="s">
        <v>496</v>
      </c>
      <c r="F487" s="39" t="s">
        <v>568</v>
      </c>
      <c r="G487" s="39" t="s">
        <v>579</v>
      </c>
      <c r="H487" s="40"/>
      <c r="I487" s="40"/>
      <c r="J487" s="40"/>
      <c r="K487" s="42">
        <v>46199</v>
      </c>
      <c r="L487" s="42"/>
      <c r="M487" s="44"/>
      <c r="N487" s="40"/>
      <c r="O487" s="40"/>
      <c r="P487" s="40"/>
      <c r="Q487" s="42">
        <f>IF(K487="","",K487)</f>
        <v>46199</v>
      </c>
      <c r="R487" s="39" t="s">
        <v>496</v>
      </c>
      <c r="S487" s="39" t="s">
        <v>498</v>
      </c>
      <c r="T487" s="39" t="s">
        <v>570</v>
      </c>
      <c r="U487" s="39" t="s">
        <v>275</v>
      </c>
      <c r="V487" s="39">
        <v>170</v>
      </c>
      <c r="W487" s="39" t="s">
        <v>567</v>
      </c>
      <c r="X487" s="41">
        <v>46188</v>
      </c>
      <c r="Y487" s="41">
        <v>46199</v>
      </c>
      <c r="Z487" s="43">
        <v>5804.8</v>
      </c>
      <c r="AA487" s="45">
        <f>IF(M487&lt;&gt;"",M487,Z487)</f>
        <v>5804.8</v>
      </c>
      <c r="AB487" s="46" t="str">
        <f>IF(L487&lt;&gt;"","Realizado","Previsto")</f>
        <v>Previsto</v>
      </c>
      <c r="AC487" s="47">
        <v>0.5</v>
      </c>
      <c r="AD487" s="43">
        <v>11609.6</v>
      </c>
      <c r="AE487" s="39">
        <v>1280</v>
      </c>
      <c r="AF487" s="39" t="s">
        <v>327</v>
      </c>
      <c r="AG487" s="43">
        <v>9.07</v>
      </c>
      <c r="AH487" s="39" t="s">
        <v>571</v>
      </c>
      <c r="AI487" s="39" t="s">
        <v>73</v>
      </c>
      <c r="AJ487" s="48">
        <f>IF(Q487&lt;&gt;"",Q487,IF(K487&lt;&gt;"",K487,""))</f>
        <v>46199</v>
      </c>
      <c r="AK487" s="46" t="str">
        <f>IF(K487&lt;&gt;"","Sim","")</f>
        <v>Sim</v>
      </c>
      <c r="AL487" s="46" t="str">
        <f>IF(A487="","",TEXT(A487,"000000")&amp;"-"&amp;IF(C487="Entrada","CR","DB"))</f>
        <v>000486-DB</v>
      </c>
      <c r="AM487" s="46" t="str">
        <f>IF(A487="","",LEFT(IF(H487&lt;&gt;"",H487,G487)&amp;" | "&amp;G487&amp;" | "&amp;S487,60))</f>
        <v>Cabo unipolar 10 mm² preto | Cabo unipolar 10 mm² preto | Sa</v>
      </c>
    </row>
    <row r="488" spans="1:39" ht="43.2" x14ac:dyDescent="0.3">
      <c r="A488" s="39">
        <v>487</v>
      </c>
      <c r="B488" s="39" t="s">
        <v>2</v>
      </c>
      <c r="C488" s="39" t="s">
        <v>74</v>
      </c>
      <c r="D488" s="39" t="s">
        <v>496</v>
      </c>
      <c r="E488" s="39" t="s">
        <v>496</v>
      </c>
      <c r="F488" s="39" t="s">
        <v>568</v>
      </c>
      <c r="G488" s="39" t="s">
        <v>580</v>
      </c>
      <c r="H488" s="40"/>
      <c r="I488" s="40"/>
      <c r="J488" s="40"/>
      <c r="K488" s="42">
        <v>46199</v>
      </c>
      <c r="L488" s="42"/>
      <c r="M488" s="44"/>
      <c r="N488" s="40"/>
      <c r="O488" s="40"/>
      <c r="P488" s="40"/>
      <c r="Q488" s="42">
        <f>IF(K488="","",K488)</f>
        <v>46199</v>
      </c>
      <c r="R488" s="39" t="s">
        <v>496</v>
      </c>
      <c r="S488" s="39" t="s">
        <v>498</v>
      </c>
      <c r="T488" s="39" t="s">
        <v>570</v>
      </c>
      <c r="U488" s="39" t="s">
        <v>275</v>
      </c>
      <c r="V488" s="39">
        <v>171</v>
      </c>
      <c r="W488" s="39" t="s">
        <v>567</v>
      </c>
      <c r="X488" s="41">
        <v>46188</v>
      </c>
      <c r="Y488" s="41">
        <v>46199</v>
      </c>
      <c r="Z488" s="43">
        <v>5601.6320000000014</v>
      </c>
      <c r="AA488" s="45">
        <f>IF(M488&lt;&gt;"",M488,Z488)</f>
        <v>5601.6320000000014</v>
      </c>
      <c r="AB488" s="46" t="str">
        <f>IF(L488&lt;&gt;"","Realizado","Previsto")</f>
        <v>Previsto</v>
      </c>
      <c r="AC488" s="47">
        <v>0.5</v>
      </c>
      <c r="AD488" s="43">
        <v>11203.263999999999</v>
      </c>
      <c r="AE488" s="39">
        <v>1235.2</v>
      </c>
      <c r="AF488" s="39" t="s">
        <v>327</v>
      </c>
      <c r="AG488" s="43">
        <v>9.07</v>
      </c>
      <c r="AH488" s="39" t="s">
        <v>571</v>
      </c>
      <c r="AI488" s="39" t="s">
        <v>73</v>
      </c>
      <c r="AJ488" s="48">
        <f>IF(Q488&lt;&gt;"",Q488,IF(K488&lt;&gt;"",K488,""))</f>
        <v>46199</v>
      </c>
      <c r="AK488" s="46" t="str">
        <f>IF(K488&lt;&gt;"","Sim","")</f>
        <v>Sim</v>
      </c>
      <c r="AL488" s="46" t="str">
        <f>IF(A488="","",TEXT(A488,"000000")&amp;"-"&amp;IF(C488="Entrada","CR","DB"))</f>
        <v>000487-DB</v>
      </c>
      <c r="AM488" s="46" t="str">
        <f>IF(A488="","",LEFT(IF(H488&lt;&gt;"",H488,G488)&amp;" | "&amp;G488&amp;" | "&amp;S488,60))</f>
        <v>Cabo unipolar 10 mm² verde-amarelo | Cabo unipolar 10 mm² ve</v>
      </c>
    </row>
    <row r="489" spans="1:39" ht="43.2" x14ac:dyDescent="0.3">
      <c r="A489" s="39">
        <v>488</v>
      </c>
      <c r="B489" s="39" t="s">
        <v>2</v>
      </c>
      <c r="C489" s="39" t="s">
        <v>74</v>
      </c>
      <c r="D489" s="39" t="s">
        <v>496</v>
      </c>
      <c r="E489" s="39" t="s">
        <v>496</v>
      </c>
      <c r="F489" s="39" t="s">
        <v>568</v>
      </c>
      <c r="G489" s="39" t="s">
        <v>581</v>
      </c>
      <c r="H489" s="40"/>
      <c r="I489" s="40"/>
      <c r="J489" s="40"/>
      <c r="K489" s="42">
        <v>46199</v>
      </c>
      <c r="L489" s="42"/>
      <c r="M489" s="44"/>
      <c r="N489" s="40"/>
      <c r="O489" s="40"/>
      <c r="P489" s="40"/>
      <c r="Q489" s="42">
        <f>IF(K489="","",K489)</f>
        <v>46199</v>
      </c>
      <c r="R489" s="39" t="s">
        <v>496</v>
      </c>
      <c r="S489" s="39" t="s">
        <v>498</v>
      </c>
      <c r="T489" s="39" t="s">
        <v>570</v>
      </c>
      <c r="U489" s="39" t="s">
        <v>275</v>
      </c>
      <c r="V489" s="39">
        <v>165</v>
      </c>
      <c r="W489" s="39" t="s">
        <v>567</v>
      </c>
      <c r="X489" s="41">
        <v>46188</v>
      </c>
      <c r="Y489" s="41">
        <v>46199</v>
      </c>
      <c r="Z489" s="43">
        <v>7840.0000000000009</v>
      </c>
      <c r="AA489" s="45">
        <f>IF(M489&lt;&gt;"",M489,Z489)</f>
        <v>7840.0000000000009</v>
      </c>
      <c r="AB489" s="46" t="str">
        <f>IF(L489&lt;&gt;"","Realizado","Previsto")</f>
        <v>Previsto</v>
      </c>
      <c r="AC489" s="47">
        <v>0.5</v>
      </c>
      <c r="AD489" s="43">
        <v>15680</v>
      </c>
      <c r="AE489" s="39">
        <v>6400</v>
      </c>
      <c r="AF489" s="39" t="s">
        <v>327</v>
      </c>
      <c r="AG489" s="43">
        <v>2.4500000000000002</v>
      </c>
      <c r="AH489" s="39" t="s">
        <v>571</v>
      </c>
      <c r="AI489" s="39" t="s">
        <v>73</v>
      </c>
      <c r="AJ489" s="48">
        <f>IF(Q489&lt;&gt;"",Q489,IF(K489&lt;&gt;"",K489,""))</f>
        <v>46199</v>
      </c>
      <c r="AK489" s="46" t="str">
        <f>IF(K489&lt;&gt;"","Sim","")</f>
        <v>Sim</v>
      </c>
      <c r="AL489" s="46" t="str">
        <f>IF(A489="","",TEXT(A489,"000000")&amp;"-"&amp;IF(C489="Entrada","CR","DB"))</f>
        <v>000488-DB</v>
      </c>
      <c r="AM489" s="46" t="str">
        <f>IF(A489="","",LEFT(IF(H489&lt;&gt;"",H489,G489)&amp;" | "&amp;G489&amp;" | "&amp;S489,60))</f>
        <v>Cabo unipolar 2.5 mm² azul claro | Cabo unipolar 2.5 mm² azu</v>
      </c>
    </row>
    <row r="490" spans="1:39" ht="43.2" x14ac:dyDescent="0.3">
      <c r="A490" s="39">
        <v>489</v>
      </c>
      <c r="B490" s="39" t="s">
        <v>2</v>
      </c>
      <c r="C490" s="39" t="s">
        <v>74</v>
      </c>
      <c r="D490" s="39" t="s">
        <v>496</v>
      </c>
      <c r="E490" s="39" t="s">
        <v>496</v>
      </c>
      <c r="F490" s="39" t="s">
        <v>568</v>
      </c>
      <c r="G490" s="39" t="s">
        <v>582</v>
      </c>
      <c r="H490" s="40"/>
      <c r="I490" s="40"/>
      <c r="J490" s="40"/>
      <c r="K490" s="42">
        <v>46199</v>
      </c>
      <c r="L490" s="42"/>
      <c r="M490" s="44"/>
      <c r="N490" s="40"/>
      <c r="O490" s="40"/>
      <c r="P490" s="40"/>
      <c r="Q490" s="42">
        <f>IF(K490="","",K490)</f>
        <v>46199</v>
      </c>
      <c r="R490" s="39" t="s">
        <v>496</v>
      </c>
      <c r="S490" s="39" t="s">
        <v>498</v>
      </c>
      <c r="T490" s="39" t="s">
        <v>570</v>
      </c>
      <c r="U490" s="39" t="s">
        <v>275</v>
      </c>
      <c r="V490" s="39">
        <v>166</v>
      </c>
      <c r="W490" s="39" t="s">
        <v>567</v>
      </c>
      <c r="X490" s="41">
        <v>46188</v>
      </c>
      <c r="Y490" s="41">
        <v>46199</v>
      </c>
      <c r="Z490" s="43">
        <v>7840.0000000000009</v>
      </c>
      <c r="AA490" s="45">
        <f>IF(M490&lt;&gt;"",M490,Z490)</f>
        <v>7840.0000000000009</v>
      </c>
      <c r="AB490" s="46" t="str">
        <f>IF(L490&lt;&gt;"","Realizado","Previsto")</f>
        <v>Previsto</v>
      </c>
      <c r="AC490" s="47">
        <v>0.5</v>
      </c>
      <c r="AD490" s="43">
        <v>15680</v>
      </c>
      <c r="AE490" s="39">
        <v>6400</v>
      </c>
      <c r="AF490" s="39" t="s">
        <v>327</v>
      </c>
      <c r="AG490" s="43">
        <v>2.4500000000000002</v>
      </c>
      <c r="AH490" s="39" t="s">
        <v>571</v>
      </c>
      <c r="AI490" s="39" t="s">
        <v>73</v>
      </c>
      <c r="AJ490" s="48">
        <f>IF(Q490&lt;&gt;"",Q490,IF(K490&lt;&gt;"",K490,""))</f>
        <v>46199</v>
      </c>
      <c r="AK490" s="46" t="str">
        <f>IF(K490&lt;&gt;"","Sim","")</f>
        <v>Sim</v>
      </c>
      <c r="AL490" s="46" t="str">
        <f>IF(A490="","",TEXT(A490,"000000")&amp;"-"&amp;IF(C490="Entrada","CR","DB"))</f>
        <v>000489-DB</v>
      </c>
      <c r="AM490" s="46" t="str">
        <f>IF(A490="","",LEFT(IF(H490&lt;&gt;"",H490,G490)&amp;" | "&amp;G490&amp;" | "&amp;S490,60))</f>
        <v xml:space="preserve">Cabo unipolar 2.5 mm² marrom | Cabo unipolar 2.5 mm² marrom </v>
      </c>
    </row>
    <row r="491" spans="1:39" ht="43.2" x14ac:dyDescent="0.3">
      <c r="A491" s="39">
        <v>490</v>
      </c>
      <c r="B491" s="39" t="s">
        <v>2</v>
      </c>
      <c r="C491" s="39" t="s">
        <v>74</v>
      </c>
      <c r="D491" s="39" t="s">
        <v>496</v>
      </c>
      <c r="E491" s="39" t="s">
        <v>496</v>
      </c>
      <c r="F491" s="39" t="s">
        <v>568</v>
      </c>
      <c r="G491" s="39" t="s">
        <v>583</v>
      </c>
      <c r="H491" s="40"/>
      <c r="I491" s="40"/>
      <c r="J491" s="40"/>
      <c r="K491" s="42">
        <v>46199</v>
      </c>
      <c r="L491" s="42"/>
      <c r="M491" s="44"/>
      <c r="N491" s="40"/>
      <c r="O491" s="40"/>
      <c r="P491" s="40"/>
      <c r="Q491" s="42">
        <f>IF(K491="","",K491)</f>
        <v>46199</v>
      </c>
      <c r="R491" s="39" t="s">
        <v>496</v>
      </c>
      <c r="S491" s="39" t="s">
        <v>498</v>
      </c>
      <c r="T491" s="39" t="s">
        <v>570</v>
      </c>
      <c r="U491" s="39" t="s">
        <v>275</v>
      </c>
      <c r="V491" s="39">
        <v>167</v>
      </c>
      <c r="W491" s="39" t="s">
        <v>567</v>
      </c>
      <c r="X491" s="41">
        <v>46188</v>
      </c>
      <c r="Y491" s="41">
        <v>46199</v>
      </c>
      <c r="Z491" s="43">
        <v>7840.0000000000009</v>
      </c>
      <c r="AA491" s="45">
        <f>IF(M491&lt;&gt;"",M491,Z491)</f>
        <v>7840.0000000000009</v>
      </c>
      <c r="AB491" s="46" t="str">
        <f>IF(L491&lt;&gt;"","Realizado","Previsto")</f>
        <v>Previsto</v>
      </c>
      <c r="AC491" s="47">
        <v>0.5</v>
      </c>
      <c r="AD491" s="43">
        <v>15680</v>
      </c>
      <c r="AE491" s="39">
        <v>6400</v>
      </c>
      <c r="AF491" s="39" t="s">
        <v>327</v>
      </c>
      <c r="AG491" s="43">
        <v>2.4500000000000002</v>
      </c>
      <c r="AH491" s="39" t="s">
        <v>571</v>
      </c>
      <c r="AI491" s="39" t="s">
        <v>73</v>
      </c>
      <c r="AJ491" s="48">
        <f>IF(Q491&lt;&gt;"",Q491,IF(K491&lt;&gt;"",K491,""))</f>
        <v>46199</v>
      </c>
      <c r="AK491" s="46" t="str">
        <f>IF(K491&lt;&gt;"","Sim","")</f>
        <v>Sim</v>
      </c>
      <c r="AL491" s="46" t="str">
        <f>IF(A491="","",TEXT(A491,"000000")&amp;"-"&amp;IF(C491="Entrada","CR","DB"))</f>
        <v>000490-DB</v>
      </c>
      <c r="AM491" s="46" t="str">
        <f>IF(A491="","",LEFT(IF(H491&lt;&gt;"",H491,G491)&amp;" | "&amp;G491&amp;" | "&amp;S491,60))</f>
        <v xml:space="preserve">Cabo unipolar 2.5 mm² verde-amarelo | Cabo unipolar 2.5 mm² </v>
      </c>
    </row>
    <row r="492" spans="1:39" ht="43.2" x14ac:dyDescent="0.3">
      <c r="A492" s="39">
        <v>491</v>
      </c>
      <c r="B492" s="39" t="s">
        <v>2</v>
      </c>
      <c r="C492" s="39" t="s">
        <v>74</v>
      </c>
      <c r="D492" s="39" t="s">
        <v>496</v>
      </c>
      <c r="E492" s="39" t="s">
        <v>496</v>
      </c>
      <c r="F492" s="39" t="s">
        <v>568</v>
      </c>
      <c r="G492" s="39" t="s">
        <v>584</v>
      </c>
      <c r="H492" s="40"/>
      <c r="I492" s="40"/>
      <c r="J492" s="40"/>
      <c r="K492" s="42">
        <v>46199</v>
      </c>
      <c r="L492" s="42"/>
      <c r="M492" s="44"/>
      <c r="N492" s="40"/>
      <c r="O492" s="40"/>
      <c r="P492" s="40"/>
      <c r="Q492" s="42">
        <f>IF(K492="","",K492)</f>
        <v>46199</v>
      </c>
      <c r="R492" s="39" t="s">
        <v>496</v>
      </c>
      <c r="S492" s="39" t="s">
        <v>498</v>
      </c>
      <c r="T492" s="39" t="s">
        <v>570</v>
      </c>
      <c r="U492" s="39" t="s">
        <v>275</v>
      </c>
      <c r="V492" s="39">
        <v>175</v>
      </c>
      <c r="W492" s="39" t="s">
        <v>567</v>
      </c>
      <c r="X492" s="41">
        <v>46188</v>
      </c>
      <c r="Y492" s="41">
        <v>46199</v>
      </c>
      <c r="Z492" s="43">
        <v>444.16</v>
      </c>
      <c r="AA492" s="45">
        <f>IF(M492&lt;&gt;"",M492,Z492)</f>
        <v>444.16</v>
      </c>
      <c r="AB492" s="46" t="str">
        <f>IF(L492&lt;&gt;"","Realizado","Previsto")</f>
        <v>Previsto</v>
      </c>
      <c r="AC492" s="47">
        <v>0.5</v>
      </c>
      <c r="AD492" s="43">
        <v>888.32</v>
      </c>
      <c r="AE492" s="39">
        <v>256</v>
      </c>
      <c r="AF492" s="39" t="s">
        <v>327</v>
      </c>
      <c r="AG492" s="43">
        <v>3.47</v>
      </c>
      <c r="AH492" s="39" t="s">
        <v>571</v>
      </c>
      <c r="AI492" s="39" t="s">
        <v>73</v>
      </c>
      <c r="AJ492" s="48">
        <f>IF(Q492&lt;&gt;"",Q492,IF(K492&lt;&gt;"",K492,""))</f>
        <v>46199</v>
      </c>
      <c r="AK492" s="46" t="str">
        <f>IF(K492&lt;&gt;"","Sim","")</f>
        <v>Sim</v>
      </c>
      <c r="AL492" s="46" t="str">
        <f>IF(A492="","",TEXT(A492,"000000")&amp;"-"&amp;IF(C492="Entrada","CR","DB"))</f>
        <v>000491-DB</v>
      </c>
      <c r="AM492" s="46" t="str">
        <f>IF(A492="","",LEFT(IF(H492&lt;&gt;"",H492,G492)&amp;" | "&amp;G492&amp;" | "&amp;S492,60))</f>
        <v>Cabo unipolar 6 mm² azul claro | Cabo unipolar 6 mm² azul cl</v>
      </c>
    </row>
    <row r="493" spans="1:39" ht="43.2" x14ac:dyDescent="0.3">
      <c r="A493" s="39">
        <v>492</v>
      </c>
      <c r="B493" s="39" t="s">
        <v>2</v>
      </c>
      <c r="C493" s="39" t="s">
        <v>74</v>
      </c>
      <c r="D493" s="39" t="s">
        <v>496</v>
      </c>
      <c r="E493" s="39" t="s">
        <v>496</v>
      </c>
      <c r="F493" s="39" t="s">
        <v>568</v>
      </c>
      <c r="G493" s="39" t="s">
        <v>585</v>
      </c>
      <c r="H493" s="40"/>
      <c r="I493" s="40"/>
      <c r="J493" s="40"/>
      <c r="K493" s="42">
        <v>46199</v>
      </c>
      <c r="L493" s="42"/>
      <c r="M493" s="44"/>
      <c r="N493" s="40"/>
      <c r="O493" s="40"/>
      <c r="P493" s="40"/>
      <c r="Q493" s="42">
        <f>IF(K493="","",K493)</f>
        <v>46199</v>
      </c>
      <c r="R493" s="39" t="s">
        <v>496</v>
      </c>
      <c r="S493" s="39" t="s">
        <v>498</v>
      </c>
      <c r="T493" s="39" t="s">
        <v>570</v>
      </c>
      <c r="U493" s="39" t="s">
        <v>275</v>
      </c>
      <c r="V493" s="39">
        <v>176</v>
      </c>
      <c r="W493" s="39" t="s">
        <v>567</v>
      </c>
      <c r="X493" s="41">
        <v>46188</v>
      </c>
      <c r="Y493" s="41">
        <v>46199</v>
      </c>
      <c r="Z493" s="43">
        <v>444.16</v>
      </c>
      <c r="AA493" s="45">
        <f>IF(M493&lt;&gt;"",M493,Z493)</f>
        <v>444.16</v>
      </c>
      <c r="AB493" s="46" t="str">
        <f>IF(L493&lt;&gt;"","Realizado","Previsto")</f>
        <v>Previsto</v>
      </c>
      <c r="AC493" s="47">
        <v>0.5</v>
      </c>
      <c r="AD493" s="43">
        <v>888.32</v>
      </c>
      <c r="AE493" s="39">
        <v>256</v>
      </c>
      <c r="AF493" s="39" t="s">
        <v>327</v>
      </c>
      <c r="AG493" s="43">
        <v>3.47</v>
      </c>
      <c r="AH493" s="39" t="s">
        <v>571</v>
      </c>
      <c r="AI493" s="39" t="s">
        <v>73</v>
      </c>
      <c r="AJ493" s="48">
        <f>IF(Q493&lt;&gt;"",Q493,IF(K493&lt;&gt;"",K493,""))</f>
        <v>46199</v>
      </c>
      <c r="AK493" s="46" t="str">
        <f>IF(K493&lt;&gt;"","Sim","")</f>
        <v>Sim</v>
      </c>
      <c r="AL493" s="46" t="str">
        <f>IF(A493="","",TEXT(A493,"000000")&amp;"-"&amp;IF(C493="Entrada","CR","DB"))</f>
        <v>000492-DB</v>
      </c>
      <c r="AM493" s="46" t="str">
        <f>IF(A493="","",LEFT(IF(H493&lt;&gt;"",H493,G493)&amp;" | "&amp;G493&amp;" | "&amp;S493,60))</f>
        <v>Cabo unipolar 6 mm² marrom | Cabo unipolar 6 mm² marrom | Sa</v>
      </c>
    </row>
    <row r="494" spans="1:39" ht="43.2" x14ac:dyDescent="0.3">
      <c r="A494" s="39">
        <v>493</v>
      </c>
      <c r="B494" s="39" t="s">
        <v>2</v>
      </c>
      <c r="C494" s="39" t="s">
        <v>74</v>
      </c>
      <c r="D494" s="39" t="s">
        <v>496</v>
      </c>
      <c r="E494" s="39" t="s">
        <v>496</v>
      </c>
      <c r="F494" s="39" t="s">
        <v>568</v>
      </c>
      <c r="G494" s="39" t="s">
        <v>586</v>
      </c>
      <c r="H494" s="40"/>
      <c r="I494" s="40"/>
      <c r="J494" s="40"/>
      <c r="K494" s="42">
        <v>46199</v>
      </c>
      <c r="L494" s="42"/>
      <c r="M494" s="44"/>
      <c r="N494" s="40"/>
      <c r="O494" s="40"/>
      <c r="P494" s="40"/>
      <c r="Q494" s="42">
        <f>IF(K494="","",K494)</f>
        <v>46199</v>
      </c>
      <c r="R494" s="39" t="s">
        <v>496</v>
      </c>
      <c r="S494" s="39" t="s">
        <v>498</v>
      </c>
      <c r="T494" s="39" t="s">
        <v>570</v>
      </c>
      <c r="U494" s="39" t="s">
        <v>275</v>
      </c>
      <c r="V494" s="39">
        <v>177</v>
      </c>
      <c r="W494" s="39" t="s">
        <v>567</v>
      </c>
      <c r="X494" s="41">
        <v>46188</v>
      </c>
      <c r="Y494" s="41">
        <v>46199</v>
      </c>
      <c r="Z494" s="43">
        <v>444.16</v>
      </c>
      <c r="AA494" s="45">
        <f>IF(M494&lt;&gt;"",M494,Z494)</f>
        <v>444.16</v>
      </c>
      <c r="AB494" s="46" t="str">
        <f>IF(L494&lt;&gt;"","Realizado","Previsto")</f>
        <v>Previsto</v>
      </c>
      <c r="AC494" s="47">
        <v>0.5</v>
      </c>
      <c r="AD494" s="43">
        <v>888.32</v>
      </c>
      <c r="AE494" s="39">
        <v>256</v>
      </c>
      <c r="AF494" s="39" t="s">
        <v>327</v>
      </c>
      <c r="AG494" s="43">
        <v>3.47</v>
      </c>
      <c r="AH494" s="39" t="s">
        <v>571</v>
      </c>
      <c r="AI494" s="39" t="s">
        <v>73</v>
      </c>
      <c r="AJ494" s="48">
        <f>IF(Q494&lt;&gt;"",Q494,IF(K494&lt;&gt;"",K494,""))</f>
        <v>46199</v>
      </c>
      <c r="AK494" s="46" t="str">
        <f>IF(K494&lt;&gt;"","Sim","")</f>
        <v>Sim</v>
      </c>
      <c r="AL494" s="46" t="str">
        <f>IF(A494="","",TEXT(A494,"000000")&amp;"-"&amp;IF(C494="Entrada","CR","DB"))</f>
        <v>000493-DB</v>
      </c>
      <c r="AM494" s="46" t="str">
        <f>IF(A494="","",LEFT(IF(H494&lt;&gt;"",H494,G494)&amp;" | "&amp;G494&amp;" | "&amp;S494,60))</f>
        <v>Cabo unipolar 6 mm² verde-amarelo | Cabo unipolar 6 mm² verd</v>
      </c>
    </row>
    <row r="495" spans="1:39" ht="43.2" x14ac:dyDescent="0.3">
      <c r="A495" s="39">
        <v>494</v>
      </c>
      <c r="B495" s="39" t="s">
        <v>2</v>
      </c>
      <c r="C495" s="39" t="s">
        <v>74</v>
      </c>
      <c r="D495" s="39" t="s">
        <v>496</v>
      </c>
      <c r="E495" s="39" t="s">
        <v>496</v>
      </c>
      <c r="F495" s="39" t="s">
        <v>568</v>
      </c>
      <c r="G495" s="39" t="s">
        <v>587</v>
      </c>
      <c r="H495" s="40"/>
      <c r="I495" s="40"/>
      <c r="J495" s="40"/>
      <c r="K495" s="42">
        <v>46199</v>
      </c>
      <c r="L495" s="42"/>
      <c r="M495" s="44"/>
      <c r="N495" s="40"/>
      <c r="O495" s="40"/>
      <c r="P495" s="40"/>
      <c r="Q495" s="42">
        <f>IF(K495="","",K495)</f>
        <v>46199</v>
      </c>
      <c r="R495" s="39" t="s">
        <v>496</v>
      </c>
      <c r="S495" s="39" t="s">
        <v>498</v>
      </c>
      <c r="T495" s="39" t="s">
        <v>570</v>
      </c>
      <c r="U495" s="39" t="s">
        <v>275</v>
      </c>
      <c r="V495" s="39">
        <v>192</v>
      </c>
      <c r="W495" s="39" t="s">
        <v>567</v>
      </c>
      <c r="X495" s="41">
        <v>46188</v>
      </c>
      <c r="Y495" s="41">
        <v>46199</v>
      </c>
      <c r="Z495" s="43">
        <v>1276.8</v>
      </c>
      <c r="AA495" s="45">
        <f>IF(M495&lt;&gt;"",M495,Z495)</f>
        <v>1276.8</v>
      </c>
      <c r="AB495" s="46" t="str">
        <f>IF(L495&lt;&gt;"","Realizado","Previsto")</f>
        <v>Previsto</v>
      </c>
      <c r="AC495" s="47">
        <v>0.5</v>
      </c>
      <c r="AD495" s="43">
        <v>2553.6</v>
      </c>
      <c r="AE495" s="39">
        <v>64</v>
      </c>
      <c r="AF495" s="39" t="s">
        <v>87</v>
      </c>
      <c r="AG495" s="43">
        <v>39.9</v>
      </c>
      <c r="AH495" s="39" t="s">
        <v>571</v>
      </c>
      <c r="AI495" s="39" t="s">
        <v>73</v>
      </c>
      <c r="AJ495" s="48">
        <f>IF(Q495&lt;&gt;"",Q495,IF(K495&lt;&gt;"",K495,""))</f>
        <v>46199</v>
      </c>
      <c r="AK495" s="46" t="str">
        <f>IF(K495&lt;&gt;"","Sim","")</f>
        <v>Sim</v>
      </c>
      <c r="AL495" s="46" t="str">
        <f>IF(A495="","",TEXT(A495,"000000")&amp;"-"&amp;IF(C495="Entrada","CR","DB"))</f>
        <v>000494-DB</v>
      </c>
      <c r="AM495" s="46" t="str">
        <f>IF(A495="","",LEFT(IF(H495&lt;&gt;"",H495,G495)&amp;" | "&amp;G495&amp;" | "&amp;S495,60))</f>
        <v>Campainha Cigarra + 1 Tecla Campainha Pollar Radial | Campai</v>
      </c>
    </row>
    <row r="496" spans="1:39" ht="43.2" x14ac:dyDescent="0.3">
      <c r="A496" s="39">
        <v>495</v>
      </c>
      <c r="B496" s="39" t="s">
        <v>2</v>
      </c>
      <c r="C496" s="39" t="s">
        <v>74</v>
      </c>
      <c r="D496" s="39" t="s">
        <v>496</v>
      </c>
      <c r="E496" s="39" t="s">
        <v>496</v>
      </c>
      <c r="F496" s="39" t="s">
        <v>568</v>
      </c>
      <c r="G496" s="39" t="s">
        <v>588</v>
      </c>
      <c r="H496" s="40"/>
      <c r="I496" s="40"/>
      <c r="J496" s="40"/>
      <c r="K496" s="42">
        <v>46199</v>
      </c>
      <c r="L496" s="42"/>
      <c r="M496" s="44"/>
      <c r="N496" s="40"/>
      <c r="O496" s="40"/>
      <c r="P496" s="40"/>
      <c r="Q496" s="42">
        <f>IF(K496="","",K496)</f>
        <v>46199</v>
      </c>
      <c r="R496" s="39" t="s">
        <v>496</v>
      </c>
      <c r="S496" s="39" t="s">
        <v>498</v>
      </c>
      <c r="T496" s="39" t="s">
        <v>570</v>
      </c>
      <c r="U496" s="39" t="s">
        <v>275</v>
      </c>
      <c r="V496" s="39">
        <v>187</v>
      </c>
      <c r="W496" s="39" t="s">
        <v>567</v>
      </c>
      <c r="X496" s="41">
        <v>46188</v>
      </c>
      <c r="Y496" s="41">
        <v>46199</v>
      </c>
      <c r="Z496" s="43">
        <v>1142.4000000000001</v>
      </c>
      <c r="AA496" s="45">
        <f>IF(M496&lt;&gt;"",M496,Z496)</f>
        <v>1142.4000000000001</v>
      </c>
      <c r="AB496" s="46" t="str">
        <f>IF(L496&lt;&gt;"","Realizado","Previsto")</f>
        <v>Previsto</v>
      </c>
      <c r="AC496" s="47">
        <v>0.5</v>
      </c>
      <c r="AD496" s="43">
        <v>2284.8000000000002</v>
      </c>
      <c r="AE496" s="39">
        <v>192</v>
      </c>
      <c r="AF496" s="39" t="s">
        <v>87</v>
      </c>
      <c r="AG496" s="43">
        <v>11.9</v>
      </c>
      <c r="AH496" s="39" t="s">
        <v>571</v>
      </c>
      <c r="AI496" s="39" t="s">
        <v>73</v>
      </c>
      <c r="AJ496" s="48">
        <f>IF(Q496&lt;&gt;"",Q496,IF(K496&lt;&gt;"",K496,""))</f>
        <v>46199</v>
      </c>
      <c r="AK496" s="46" t="str">
        <f>IF(K496&lt;&gt;"","Sim","")</f>
        <v>Sim</v>
      </c>
      <c r="AL496" s="46" t="str">
        <f>IF(A496="","",TEXT(A496,"000000")&amp;"-"&amp;IF(C496="Entrada","CR","DB"))</f>
        <v>000495-DB</v>
      </c>
      <c r="AM496" s="46" t="str">
        <f>IF(A496="","",LEFT(IF(H496&lt;&gt;"",H496,G496)&amp;" | "&amp;G496&amp;" | "&amp;S496,60))</f>
        <v>Disjuntor unipolar termomagnético DIN 15A | Disjuntor unipol</v>
      </c>
    </row>
    <row r="497" spans="1:39" ht="43.2" x14ac:dyDescent="0.3">
      <c r="A497" s="39">
        <v>496</v>
      </c>
      <c r="B497" s="39" t="s">
        <v>2</v>
      </c>
      <c r="C497" s="39" t="s">
        <v>74</v>
      </c>
      <c r="D497" s="39" t="s">
        <v>496</v>
      </c>
      <c r="E497" s="39" t="s">
        <v>496</v>
      </c>
      <c r="F497" s="39" t="s">
        <v>568</v>
      </c>
      <c r="G497" s="39" t="s">
        <v>589</v>
      </c>
      <c r="H497" s="40"/>
      <c r="I497" s="40"/>
      <c r="J497" s="40"/>
      <c r="K497" s="42">
        <v>46199</v>
      </c>
      <c r="L497" s="42"/>
      <c r="M497" s="44"/>
      <c r="N497" s="40"/>
      <c r="O497" s="40"/>
      <c r="P497" s="40"/>
      <c r="Q497" s="42">
        <f>IF(K497="","",K497)</f>
        <v>46199</v>
      </c>
      <c r="R497" s="39" t="s">
        <v>496</v>
      </c>
      <c r="S497" s="39" t="s">
        <v>498</v>
      </c>
      <c r="T497" s="39" t="s">
        <v>570</v>
      </c>
      <c r="U497" s="39" t="s">
        <v>275</v>
      </c>
      <c r="V497" s="39">
        <v>188</v>
      </c>
      <c r="W497" s="39" t="s">
        <v>567</v>
      </c>
      <c r="X497" s="41">
        <v>46188</v>
      </c>
      <c r="Y497" s="41">
        <v>46199</v>
      </c>
      <c r="Z497" s="43">
        <v>482.24</v>
      </c>
      <c r="AA497" s="45">
        <f>IF(M497&lt;&gt;"",M497,Z497)</f>
        <v>482.24</v>
      </c>
      <c r="AB497" s="46" t="str">
        <f>IF(L497&lt;&gt;"","Realizado","Previsto")</f>
        <v>Previsto</v>
      </c>
      <c r="AC497" s="47">
        <v>0.5</v>
      </c>
      <c r="AD497" s="43">
        <v>964.48</v>
      </c>
      <c r="AE497" s="39">
        <v>64</v>
      </c>
      <c r="AF497" s="39" t="s">
        <v>87</v>
      </c>
      <c r="AG497" s="43">
        <v>15.07</v>
      </c>
      <c r="AH497" s="39" t="s">
        <v>571</v>
      </c>
      <c r="AI497" s="39" t="s">
        <v>73</v>
      </c>
      <c r="AJ497" s="48">
        <f>IF(Q497&lt;&gt;"",Q497,IF(K497&lt;&gt;"",K497,""))</f>
        <v>46199</v>
      </c>
      <c r="AK497" s="46" t="str">
        <f>IF(K497&lt;&gt;"","Sim","")</f>
        <v>Sim</v>
      </c>
      <c r="AL497" s="46" t="str">
        <f>IF(A497="","",TEXT(A497,"000000")&amp;"-"&amp;IF(C497="Entrada","CR","DB"))</f>
        <v>000496-DB</v>
      </c>
      <c r="AM497" s="46" t="str">
        <f>IF(A497="","",LEFT(IF(H497&lt;&gt;"",H497,G497)&amp;" | "&amp;G497&amp;" | "&amp;S497,60))</f>
        <v>Disjuntor unipolar termomagnético DIN 60A | Disjuntor unipol</v>
      </c>
    </row>
    <row r="498" spans="1:39" ht="43.2" x14ac:dyDescent="0.3">
      <c r="A498" s="39">
        <v>497</v>
      </c>
      <c r="B498" s="39" t="s">
        <v>2</v>
      </c>
      <c r="C498" s="39" t="s">
        <v>74</v>
      </c>
      <c r="D498" s="39" t="s">
        <v>496</v>
      </c>
      <c r="E498" s="39" t="s">
        <v>496</v>
      </c>
      <c r="F498" s="39" t="s">
        <v>568</v>
      </c>
      <c r="G498" s="39" t="s">
        <v>590</v>
      </c>
      <c r="H498" s="40"/>
      <c r="I498" s="40"/>
      <c r="J498" s="40"/>
      <c r="K498" s="42">
        <v>46199</v>
      </c>
      <c r="L498" s="42"/>
      <c r="M498" s="44"/>
      <c r="N498" s="40"/>
      <c r="O498" s="40"/>
      <c r="P498" s="40"/>
      <c r="Q498" s="42">
        <f>IF(K498="","",K498)</f>
        <v>46199</v>
      </c>
      <c r="R498" s="39" t="s">
        <v>496</v>
      </c>
      <c r="S498" s="39" t="s">
        <v>498</v>
      </c>
      <c r="T498" s="39" t="s">
        <v>570</v>
      </c>
      <c r="U498" s="39" t="s">
        <v>275</v>
      </c>
      <c r="V498" s="39">
        <v>172</v>
      </c>
      <c r="W498" s="39" t="s">
        <v>567</v>
      </c>
      <c r="X498" s="41">
        <v>46188</v>
      </c>
      <c r="Y498" s="41">
        <v>46199</v>
      </c>
      <c r="Z498" s="43">
        <v>1200</v>
      </c>
      <c r="AA498" s="45">
        <f>IF(M498&lt;&gt;"",M498,Z498)</f>
        <v>1200</v>
      </c>
      <c r="AB498" s="46" t="str">
        <f>IF(L498&lt;&gt;"","Realizado","Previsto")</f>
        <v>Previsto</v>
      </c>
      <c r="AC498" s="47">
        <v>0.5</v>
      </c>
      <c r="AD498" s="43">
        <v>2400</v>
      </c>
      <c r="AE498" s="39">
        <v>320</v>
      </c>
      <c r="AF498" s="39" t="s">
        <v>477</v>
      </c>
      <c r="AG498" s="43">
        <v>7.5</v>
      </c>
      <c r="AH498" s="39" t="s">
        <v>571</v>
      </c>
      <c r="AI498" s="39" t="s">
        <v>73</v>
      </c>
      <c r="AJ498" s="48">
        <f>IF(Q498&lt;&gt;"",Q498,IF(K498&lt;&gt;"",K498,""))</f>
        <v>46199</v>
      </c>
      <c r="AK498" s="46" t="str">
        <f>IF(K498&lt;&gt;"","Sim","")</f>
        <v>Sim</v>
      </c>
      <c r="AL498" s="46" t="str">
        <f>IF(A498="","",TEXT(A498,"000000")&amp;"-"&amp;IF(C498="Entrada","CR","DB"))</f>
        <v>000497-DB</v>
      </c>
      <c r="AM498" s="46" t="str">
        <f>IF(A498="","",LEFT(IF(H498&lt;&gt;"",H498,G498)&amp;" | "&amp;G498&amp;" | "&amp;S498,60))</f>
        <v>Fita isolante preta 20 metros | Fita isolante preta 20 metro</v>
      </c>
    </row>
    <row r="499" spans="1:39" ht="43.2" x14ac:dyDescent="0.3">
      <c r="A499" s="39">
        <v>498</v>
      </c>
      <c r="B499" s="39" t="s">
        <v>2</v>
      </c>
      <c r="C499" s="39" t="s">
        <v>74</v>
      </c>
      <c r="D499" s="39" t="s">
        <v>496</v>
      </c>
      <c r="E499" s="39" t="s">
        <v>496</v>
      </c>
      <c r="F499" s="39" t="s">
        <v>568</v>
      </c>
      <c r="G499" s="39" t="s">
        <v>591</v>
      </c>
      <c r="H499" s="40"/>
      <c r="I499" s="40"/>
      <c r="J499" s="40"/>
      <c r="K499" s="42">
        <v>46199</v>
      </c>
      <c r="L499" s="42"/>
      <c r="M499" s="44"/>
      <c r="N499" s="40"/>
      <c r="O499" s="40"/>
      <c r="P499" s="40"/>
      <c r="Q499" s="42">
        <f>IF(K499="","",K499)</f>
        <v>46199</v>
      </c>
      <c r="R499" s="39" t="s">
        <v>496</v>
      </c>
      <c r="S499" s="39" t="s">
        <v>498</v>
      </c>
      <c r="T499" s="39" t="s">
        <v>570</v>
      </c>
      <c r="U499" s="39" t="s">
        <v>275</v>
      </c>
      <c r="V499" s="39">
        <v>180</v>
      </c>
      <c r="W499" s="39" t="s">
        <v>567</v>
      </c>
      <c r="X499" s="41">
        <v>46188</v>
      </c>
      <c r="Y499" s="41">
        <v>46199</v>
      </c>
      <c r="Z499" s="43">
        <v>621.44000000000005</v>
      </c>
      <c r="AA499" s="45">
        <f>IF(M499&lt;&gt;"",M499,Z499)</f>
        <v>621.44000000000005</v>
      </c>
      <c r="AB499" s="46" t="str">
        <f>IF(L499&lt;&gt;"","Realizado","Previsto")</f>
        <v>Previsto</v>
      </c>
      <c r="AC499" s="47">
        <v>0.5</v>
      </c>
      <c r="AD499" s="43">
        <v>1242.8800000000001</v>
      </c>
      <c r="AE499" s="39">
        <v>128</v>
      </c>
      <c r="AF499" s="39" t="s">
        <v>87</v>
      </c>
      <c r="AG499" s="43">
        <v>9.7100000000000009</v>
      </c>
      <c r="AH499" s="39" t="s">
        <v>571</v>
      </c>
      <c r="AI499" s="39" t="s">
        <v>73</v>
      </c>
      <c r="AJ499" s="48">
        <f>IF(Q499&lt;&gt;"",Q499,IF(K499&lt;&gt;"",K499,""))</f>
        <v>46199</v>
      </c>
      <c r="AK499" s="46" t="str">
        <f>IF(K499&lt;&gt;"","Sim","")</f>
        <v>Sim</v>
      </c>
      <c r="AL499" s="46" t="str">
        <f>IF(A499="","",TEXT(A499,"000000")&amp;"-"&amp;IF(C499="Entrada","CR","DB"))</f>
        <v>000498-DB</v>
      </c>
      <c r="AM499" s="46" t="str">
        <f>IF(A499="","",LEFT(IF(H499&lt;&gt;"",H499,G499)&amp;" | "&amp;G499&amp;" | "&amp;S499,60))</f>
        <v xml:space="preserve">Interruptor 1 tecla simples | Interruptor 1 tecla simples | </v>
      </c>
    </row>
    <row r="500" spans="1:39" ht="43.2" x14ac:dyDescent="0.3">
      <c r="A500" s="39">
        <v>499</v>
      </c>
      <c r="B500" s="39" t="s">
        <v>2</v>
      </c>
      <c r="C500" s="39" t="s">
        <v>74</v>
      </c>
      <c r="D500" s="39" t="s">
        <v>496</v>
      </c>
      <c r="E500" s="39" t="s">
        <v>496</v>
      </c>
      <c r="F500" s="39" t="s">
        <v>568</v>
      </c>
      <c r="G500" s="39" t="s">
        <v>592</v>
      </c>
      <c r="H500" s="40"/>
      <c r="I500" s="40"/>
      <c r="J500" s="40"/>
      <c r="K500" s="42">
        <v>46199</v>
      </c>
      <c r="L500" s="42"/>
      <c r="M500" s="44"/>
      <c r="N500" s="40"/>
      <c r="O500" s="40"/>
      <c r="P500" s="40"/>
      <c r="Q500" s="42">
        <f>IF(K500="","",K500)</f>
        <v>46199</v>
      </c>
      <c r="R500" s="39" t="s">
        <v>496</v>
      </c>
      <c r="S500" s="39" t="s">
        <v>498</v>
      </c>
      <c r="T500" s="39" t="s">
        <v>570</v>
      </c>
      <c r="U500" s="39" t="s">
        <v>275</v>
      </c>
      <c r="V500" s="39">
        <v>181</v>
      </c>
      <c r="W500" s="39" t="s">
        <v>567</v>
      </c>
      <c r="X500" s="41">
        <v>46188</v>
      </c>
      <c r="Y500" s="41">
        <v>46199</v>
      </c>
      <c r="Z500" s="43">
        <v>1429.76</v>
      </c>
      <c r="AA500" s="45">
        <f>IF(M500&lt;&gt;"",M500,Z500)</f>
        <v>1429.76</v>
      </c>
      <c r="AB500" s="46" t="str">
        <f>IF(L500&lt;&gt;"","Realizado","Previsto")</f>
        <v>Previsto</v>
      </c>
      <c r="AC500" s="47">
        <v>0.5</v>
      </c>
      <c r="AD500" s="43">
        <v>2859.52</v>
      </c>
      <c r="AE500" s="39">
        <v>128</v>
      </c>
      <c r="AF500" s="39" t="s">
        <v>87</v>
      </c>
      <c r="AG500" s="43">
        <v>22.34</v>
      </c>
      <c r="AH500" s="39" t="s">
        <v>571</v>
      </c>
      <c r="AI500" s="39" t="s">
        <v>73</v>
      </c>
      <c r="AJ500" s="48">
        <f>IF(Q500&lt;&gt;"",Q500,IF(K500&lt;&gt;"",K500,""))</f>
        <v>46199</v>
      </c>
      <c r="AK500" s="46" t="str">
        <f>IF(K500&lt;&gt;"","Sim","")</f>
        <v>Sim</v>
      </c>
      <c r="AL500" s="46" t="str">
        <f>IF(A500="","",TEXT(A500,"000000")&amp;"-"&amp;IF(C500="Entrada","CR","DB"))</f>
        <v>000499-DB</v>
      </c>
      <c r="AM500" s="46" t="str">
        <f>IF(A500="","",LEFT(IF(H500&lt;&gt;"",H500,G500)&amp;" | "&amp;G500&amp;" | "&amp;S500,60))</f>
        <v>Interruptor 1 tecla simples + tomada hexagonal NBR14136 | In</v>
      </c>
    </row>
    <row r="501" spans="1:39" ht="43.2" x14ac:dyDescent="0.3">
      <c r="A501" s="39">
        <v>500</v>
      </c>
      <c r="B501" s="39" t="s">
        <v>2</v>
      </c>
      <c r="C501" s="39" t="s">
        <v>74</v>
      </c>
      <c r="D501" s="39" t="s">
        <v>496</v>
      </c>
      <c r="E501" s="39" t="s">
        <v>496</v>
      </c>
      <c r="F501" s="39" t="s">
        <v>568</v>
      </c>
      <c r="G501" s="39" t="s">
        <v>593</v>
      </c>
      <c r="H501" s="40"/>
      <c r="I501" s="40"/>
      <c r="J501" s="40"/>
      <c r="K501" s="42">
        <v>46199</v>
      </c>
      <c r="L501" s="42"/>
      <c r="M501" s="44"/>
      <c r="N501" s="40"/>
      <c r="O501" s="40"/>
      <c r="P501" s="40"/>
      <c r="Q501" s="42">
        <f>IF(K501="","",K501)</f>
        <v>46199</v>
      </c>
      <c r="R501" s="39" t="s">
        <v>496</v>
      </c>
      <c r="S501" s="39" t="s">
        <v>498</v>
      </c>
      <c r="T501" s="39" t="s">
        <v>570</v>
      </c>
      <c r="U501" s="39" t="s">
        <v>275</v>
      </c>
      <c r="V501" s="39">
        <v>182</v>
      </c>
      <c r="W501" s="39" t="s">
        <v>567</v>
      </c>
      <c r="X501" s="41">
        <v>46188</v>
      </c>
      <c r="Y501" s="41">
        <v>46199</v>
      </c>
      <c r="Z501" s="43">
        <v>1097.5999999999999</v>
      </c>
      <c r="AA501" s="45">
        <f>IF(M501&lt;&gt;"",M501,Z501)</f>
        <v>1097.5999999999999</v>
      </c>
      <c r="AB501" s="46" t="str">
        <f>IF(L501&lt;&gt;"","Realizado","Previsto")</f>
        <v>Previsto</v>
      </c>
      <c r="AC501" s="47">
        <v>0.5</v>
      </c>
      <c r="AD501" s="43">
        <v>2195.1999999999998</v>
      </c>
      <c r="AE501" s="39">
        <v>128</v>
      </c>
      <c r="AF501" s="39" t="s">
        <v>87</v>
      </c>
      <c r="AG501" s="43">
        <v>17.149999999999999</v>
      </c>
      <c r="AH501" s="39" t="s">
        <v>571</v>
      </c>
      <c r="AI501" s="39" t="s">
        <v>73</v>
      </c>
      <c r="AJ501" s="48">
        <f>IF(Q501&lt;&gt;"",Q501,IF(K501&lt;&gt;"",K501,""))</f>
        <v>46199</v>
      </c>
      <c r="AK501" s="46" t="str">
        <f>IF(K501&lt;&gt;"","Sim","")</f>
        <v>Sim</v>
      </c>
      <c r="AL501" s="46" t="str">
        <f>IF(A501="","",TEXT(A501,"000000")&amp;"-"&amp;IF(C501="Entrada","CR","DB"))</f>
        <v>000500-DB</v>
      </c>
      <c r="AM501" s="46" t="str">
        <f>IF(A501="","",LEFT(IF(H501&lt;&gt;"",H501,G501)&amp;" | "&amp;G501&amp;" | "&amp;S501,60))</f>
        <v xml:space="preserve">Interruptor 2 teclas simples | Interruptor 2 teclas simples </v>
      </c>
    </row>
    <row r="502" spans="1:39" ht="43.2" x14ac:dyDescent="0.3">
      <c r="A502" s="39">
        <v>501</v>
      </c>
      <c r="B502" s="39" t="s">
        <v>2</v>
      </c>
      <c r="C502" s="39" t="s">
        <v>74</v>
      </c>
      <c r="D502" s="39" t="s">
        <v>496</v>
      </c>
      <c r="E502" s="39" t="s">
        <v>496</v>
      </c>
      <c r="F502" s="39" t="s">
        <v>568</v>
      </c>
      <c r="G502" s="39" t="s">
        <v>594</v>
      </c>
      <c r="H502" s="40"/>
      <c r="I502" s="40"/>
      <c r="J502" s="40"/>
      <c r="K502" s="42">
        <v>46199</v>
      </c>
      <c r="L502" s="42"/>
      <c r="M502" s="44"/>
      <c r="N502" s="40"/>
      <c r="O502" s="40"/>
      <c r="P502" s="40"/>
      <c r="Q502" s="42">
        <f>IF(K502="","",K502)</f>
        <v>46199</v>
      </c>
      <c r="R502" s="39" t="s">
        <v>496</v>
      </c>
      <c r="S502" s="39" t="s">
        <v>498</v>
      </c>
      <c r="T502" s="39" t="s">
        <v>570</v>
      </c>
      <c r="U502" s="39" t="s">
        <v>275</v>
      </c>
      <c r="V502" s="39">
        <v>189</v>
      </c>
      <c r="W502" s="39" t="s">
        <v>567</v>
      </c>
      <c r="X502" s="41">
        <v>46188</v>
      </c>
      <c r="Y502" s="41">
        <v>46199</v>
      </c>
      <c r="Z502" s="43">
        <v>552</v>
      </c>
      <c r="AA502" s="45">
        <f>IF(M502&lt;&gt;"",M502,Z502)</f>
        <v>552</v>
      </c>
      <c r="AB502" s="46" t="str">
        <f>IF(L502&lt;&gt;"","Realizado","Previsto")</f>
        <v>Previsto</v>
      </c>
      <c r="AC502" s="47">
        <v>0.5</v>
      </c>
      <c r="AD502" s="43">
        <v>1104</v>
      </c>
      <c r="AE502" s="39">
        <v>64</v>
      </c>
      <c r="AF502" s="39" t="s">
        <v>87</v>
      </c>
      <c r="AG502" s="43">
        <v>17.25</v>
      </c>
      <c r="AH502" s="39" t="s">
        <v>571</v>
      </c>
      <c r="AI502" s="39" t="s">
        <v>73</v>
      </c>
      <c r="AJ502" s="48">
        <f>IF(Q502&lt;&gt;"",Q502,IF(K502&lt;&gt;"",K502,""))</f>
        <v>46199</v>
      </c>
      <c r="AK502" s="46" t="str">
        <f>IF(K502&lt;&gt;"","Sim","")</f>
        <v>Sim</v>
      </c>
      <c r="AL502" s="46" t="str">
        <f>IF(A502="","",TEXT(A502,"000000")&amp;"-"&amp;IF(C502="Entrada","CR","DB"))</f>
        <v>000501-DB</v>
      </c>
      <c r="AM502" s="46" t="str">
        <f>IF(A502="","",LEFT(IF(H502&lt;&gt;"",H502,G502)&amp;" | "&amp;G502&amp;" | "&amp;S502,60))</f>
        <v>Kit 1 Barramento Neutro + 1 Barramento Terra sem Proteção HC</v>
      </c>
    </row>
    <row r="503" spans="1:39" ht="43.2" x14ac:dyDescent="0.3">
      <c r="A503" s="39">
        <v>502</v>
      </c>
      <c r="B503" s="39" t="s">
        <v>2</v>
      </c>
      <c r="C503" s="39" t="s">
        <v>74</v>
      </c>
      <c r="D503" s="39" t="s">
        <v>496</v>
      </c>
      <c r="E503" s="39" t="s">
        <v>496</v>
      </c>
      <c r="F503" s="39" t="s">
        <v>568</v>
      </c>
      <c r="G503" s="39" t="s">
        <v>595</v>
      </c>
      <c r="H503" s="40"/>
      <c r="I503" s="40"/>
      <c r="J503" s="40"/>
      <c r="K503" s="42">
        <v>46199</v>
      </c>
      <c r="L503" s="42"/>
      <c r="M503" s="44"/>
      <c r="N503" s="40"/>
      <c r="O503" s="40"/>
      <c r="P503" s="40"/>
      <c r="Q503" s="42">
        <f>IF(K503="","",K503)</f>
        <v>46199</v>
      </c>
      <c r="R503" s="39" t="s">
        <v>496</v>
      </c>
      <c r="S503" s="39" t="s">
        <v>498</v>
      </c>
      <c r="T503" s="39" t="s">
        <v>570</v>
      </c>
      <c r="U503" s="39" t="s">
        <v>275</v>
      </c>
      <c r="V503" s="39">
        <v>191</v>
      </c>
      <c r="W503" s="39" t="s">
        <v>567</v>
      </c>
      <c r="X503" s="41">
        <v>46188</v>
      </c>
      <c r="Y503" s="41">
        <v>46199</v>
      </c>
      <c r="Z503" s="43">
        <v>4160</v>
      </c>
      <c r="AA503" s="45">
        <f>IF(M503&lt;&gt;"",M503,Z503)</f>
        <v>4160</v>
      </c>
      <c r="AB503" s="46" t="str">
        <f>IF(L503&lt;&gt;"","Realizado","Previsto")</f>
        <v>Previsto</v>
      </c>
      <c r="AC503" s="47">
        <v>0.5</v>
      </c>
      <c r="AD503" s="43">
        <v>8320</v>
      </c>
      <c r="AE503" s="39">
        <v>64</v>
      </c>
      <c r="AF503" s="39" t="s">
        <v>574</v>
      </c>
      <c r="AG503" s="43">
        <v>130</v>
      </c>
      <c r="AH503" s="39" t="s">
        <v>571</v>
      </c>
      <c r="AI503" s="39" t="s">
        <v>73</v>
      </c>
      <c r="AJ503" s="48">
        <f>IF(Q503&lt;&gt;"",Q503,IF(K503&lt;&gt;"",K503,""))</f>
        <v>46199</v>
      </c>
      <c r="AK503" s="46" t="str">
        <f>IF(K503&lt;&gt;"","Sim","")</f>
        <v>Sim</v>
      </c>
      <c r="AL503" s="46" t="str">
        <f>IF(A503="","",TEXT(A503,"000000")&amp;"-"&amp;IF(C503="Entrada","CR","DB"))</f>
        <v>000502-DB</v>
      </c>
      <c r="AM503" s="46" t="str">
        <f>IF(A503="","",LEFT(IF(H503&lt;&gt;"",H503,G503)&amp;" | "&amp;G503&amp;" | "&amp;S503,60))</f>
        <v>Kit tampa quadro de distribuição 6 disjuntores | Kit tampa q</v>
      </c>
    </row>
    <row r="504" spans="1:39" ht="43.2" x14ac:dyDescent="0.3">
      <c r="A504" s="39">
        <v>503</v>
      </c>
      <c r="B504" s="39" t="s">
        <v>2</v>
      </c>
      <c r="C504" s="39" t="s">
        <v>74</v>
      </c>
      <c r="D504" s="39" t="s">
        <v>496</v>
      </c>
      <c r="E504" s="39" t="s">
        <v>496</v>
      </c>
      <c r="F504" s="39" t="s">
        <v>568</v>
      </c>
      <c r="G504" s="39" t="s">
        <v>596</v>
      </c>
      <c r="H504" s="40"/>
      <c r="I504" s="40"/>
      <c r="J504" s="40"/>
      <c r="K504" s="42">
        <v>46199</v>
      </c>
      <c r="L504" s="42"/>
      <c r="M504" s="44"/>
      <c r="N504" s="40"/>
      <c r="O504" s="40"/>
      <c r="P504" s="40"/>
      <c r="Q504" s="42">
        <f>IF(K504="","",K504)</f>
        <v>46199</v>
      </c>
      <c r="R504" s="39" t="s">
        <v>496</v>
      </c>
      <c r="S504" s="39" t="s">
        <v>498</v>
      </c>
      <c r="T504" s="39" t="s">
        <v>570</v>
      </c>
      <c r="U504" s="39" t="s">
        <v>275</v>
      </c>
      <c r="V504" s="39">
        <v>194</v>
      </c>
      <c r="W504" s="39" t="s">
        <v>567</v>
      </c>
      <c r="X504" s="41">
        <v>46188</v>
      </c>
      <c r="Y504" s="41">
        <v>46199</v>
      </c>
      <c r="Z504" s="43">
        <v>1545.6</v>
      </c>
      <c r="AA504" s="45">
        <f>IF(M504&lt;&gt;"",M504,Z504)</f>
        <v>1545.6</v>
      </c>
      <c r="AB504" s="46" t="str">
        <f>IF(L504&lt;&gt;"","Realizado","Previsto")</f>
        <v>Previsto</v>
      </c>
      <c r="AC504" s="47">
        <v>0.5</v>
      </c>
      <c r="AD504" s="43">
        <v>3091.2</v>
      </c>
      <c r="AE504" s="39">
        <v>448</v>
      </c>
      <c r="AF504" s="39" t="s">
        <v>87</v>
      </c>
      <c r="AG504" s="43">
        <v>6.9</v>
      </c>
      <c r="AH504" s="39" t="s">
        <v>571</v>
      </c>
      <c r="AI504" s="39" t="s">
        <v>73</v>
      </c>
      <c r="AJ504" s="48">
        <f>IF(Q504&lt;&gt;"",Q504,IF(K504&lt;&gt;"",K504,""))</f>
        <v>46199</v>
      </c>
      <c r="AK504" s="46" t="str">
        <f>IF(K504&lt;&gt;"","Sim","")</f>
        <v>Sim</v>
      </c>
      <c r="AL504" s="46" t="str">
        <f>IF(A504="","",TEXT(A504,"000000")&amp;"-"&amp;IF(C504="Entrada","CR","DB"))</f>
        <v>000503-DB</v>
      </c>
      <c r="AM504" s="46" t="str">
        <f>IF(A504="","",LEFT(IF(H504&lt;&gt;"",H504,G504)&amp;" | "&amp;G504&amp;" | "&amp;S504,60))</f>
        <v>LAMPADA LED 10 W B | LAMPADA LED 10 W B | Saída | ELETRICA E</v>
      </c>
    </row>
    <row r="505" spans="1:39" ht="43.2" x14ac:dyDescent="0.3">
      <c r="A505" s="39">
        <v>504</v>
      </c>
      <c r="B505" s="39" t="s">
        <v>2</v>
      </c>
      <c r="C505" s="39" t="s">
        <v>74</v>
      </c>
      <c r="D505" s="39" t="s">
        <v>496</v>
      </c>
      <c r="E505" s="39" t="s">
        <v>496</v>
      </c>
      <c r="F505" s="39" t="s">
        <v>109</v>
      </c>
      <c r="G505" s="39" t="s">
        <v>497</v>
      </c>
      <c r="H505" s="40"/>
      <c r="I505" s="40"/>
      <c r="J505" s="40"/>
      <c r="K505" s="42">
        <v>46199</v>
      </c>
      <c r="L505" s="42"/>
      <c r="M505" s="44"/>
      <c r="N505" s="40"/>
      <c r="O505" s="40"/>
      <c r="P505" s="40"/>
      <c r="Q505" s="42">
        <f>IF(K505="","",K505)</f>
        <v>46199</v>
      </c>
      <c r="R505" s="39" t="s">
        <v>496</v>
      </c>
      <c r="S505" s="39" t="s">
        <v>498</v>
      </c>
      <c r="T505" s="39" t="s">
        <v>499</v>
      </c>
      <c r="U505" s="39" t="s">
        <v>215</v>
      </c>
      <c r="V505" s="39">
        <v>197</v>
      </c>
      <c r="W505" s="39" t="s">
        <v>567</v>
      </c>
      <c r="X505" s="41">
        <v>46188</v>
      </c>
      <c r="Y505" s="41">
        <v>46199</v>
      </c>
      <c r="Z505" s="43">
        <v>5252.7999999999993</v>
      </c>
      <c r="AA505" s="45">
        <f>IF(M505&lt;&gt;"",M505,Z505)</f>
        <v>5252.7999999999993</v>
      </c>
      <c r="AB505" s="46" t="str">
        <f>IF(L505&lt;&gt;"","Realizado","Previsto")</f>
        <v>Previsto</v>
      </c>
      <c r="AC505" s="47">
        <v>9.3799999999999994E-2</v>
      </c>
      <c r="AD505" s="43">
        <v>56000</v>
      </c>
      <c r="AE505" s="39">
        <v>1600</v>
      </c>
      <c r="AF505" s="39" t="s">
        <v>321</v>
      </c>
      <c r="AG505" s="43">
        <v>35</v>
      </c>
      <c r="AH505" s="39" t="s">
        <v>500</v>
      </c>
      <c r="AI505" s="39" t="s">
        <v>73</v>
      </c>
      <c r="AJ505" s="48">
        <f>IF(Q505&lt;&gt;"",Q505,IF(K505&lt;&gt;"",K505,""))</f>
        <v>46199</v>
      </c>
      <c r="AK505" s="46" t="str">
        <f>IF(K505&lt;&gt;"","Sim","")</f>
        <v>Sim</v>
      </c>
      <c r="AL505" s="46" t="str">
        <f>IF(A505="","",TEXT(A505,"000000")&amp;"-"&amp;IF(C505="Entrada","CR","DB"))</f>
        <v>000504-DB</v>
      </c>
      <c r="AM505" s="46" t="str">
        <f>IF(A505="","",LEFT(IF(H505&lt;&gt;"",H505,G505)&amp;" | "&amp;G505&amp;" | "&amp;S505,60))</f>
        <v>Mao de obra terceirizada Pontos eletricos completos  + quadr</v>
      </c>
    </row>
    <row r="506" spans="1:39" ht="43.2" x14ac:dyDescent="0.3">
      <c r="A506" s="39">
        <v>505</v>
      </c>
      <c r="B506" s="39" t="s">
        <v>2</v>
      </c>
      <c r="C506" s="39" t="s">
        <v>74</v>
      </c>
      <c r="D506" s="39" t="s">
        <v>496</v>
      </c>
      <c r="E506" s="39" t="s">
        <v>496</v>
      </c>
      <c r="F506" s="39" t="s">
        <v>109</v>
      </c>
      <c r="G506" s="39" t="s">
        <v>501</v>
      </c>
      <c r="H506" s="40"/>
      <c r="I506" s="40"/>
      <c r="J506" s="40"/>
      <c r="K506" s="42">
        <v>46199</v>
      </c>
      <c r="L506" s="42"/>
      <c r="M506" s="44"/>
      <c r="N506" s="40"/>
      <c r="O506" s="40"/>
      <c r="P506" s="40"/>
      <c r="Q506" s="42">
        <f>IF(K506="","",K506)</f>
        <v>46199</v>
      </c>
      <c r="R506" s="39" t="s">
        <v>496</v>
      </c>
      <c r="S506" s="39" t="s">
        <v>498</v>
      </c>
      <c r="T506" s="39" t="s">
        <v>499</v>
      </c>
      <c r="U506" s="39" t="s">
        <v>215</v>
      </c>
      <c r="V506" s="39">
        <v>198</v>
      </c>
      <c r="W506" s="39" t="s">
        <v>567</v>
      </c>
      <c r="X506" s="41">
        <v>46188</v>
      </c>
      <c r="Y506" s="41">
        <v>46199</v>
      </c>
      <c r="Z506" s="43">
        <v>2251.1999999999998</v>
      </c>
      <c r="AA506" s="45">
        <f>IF(M506&lt;&gt;"",M506,Z506)</f>
        <v>2251.1999999999998</v>
      </c>
      <c r="AB506" s="46" t="str">
        <f>IF(L506&lt;&gt;"","Realizado","Previsto")</f>
        <v>Previsto</v>
      </c>
      <c r="AC506" s="47">
        <v>9.3799999999999994E-2</v>
      </c>
      <c r="AD506" s="43">
        <v>24000</v>
      </c>
      <c r="AE506" s="39">
        <v>1600</v>
      </c>
      <c r="AF506" s="39" t="s">
        <v>321</v>
      </c>
      <c r="AG506" s="43">
        <v>15</v>
      </c>
      <c r="AH506" s="39" t="s">
        <v>500</v>
      </c>
      <c r="AI506" s="39" t="s">
        <v>73</v>
      </c>
      <c r="AJ506" s="48">
        <f>IF(Q506&lt;&gt;"",Q506,IF(K506&lt;&gt;"",K506,""))</f>
        <v>46199</v>
      </c>
      <c r="AK506" s="46" t="str">
        <f>IF(K506&lt;&gt;"","Sim","")</f>
        <v>Sim</v>
      </c>
      <c r="AL506" s="46" t="str">
        <f>IF(A506="","",TEXT(A506,"000000")&amp;"-"&amp;IF(C506="Entrada","CR","DB"))</f>
        <v>000505-DB</v>
      </c>
      <c r="AM506" s="46" t="str">
        <f>IF(A506="","",LEFT(IF(H506&lt;&gt;"",H506,G506)&amp;" | "&amp;G506&amp;" | "&amp;S506,60))</f>
        <v>Mao de obra terceirizada colocaçao Espelhos, lampadas e test</v>
      </c>
    </row>
    <row r="507" spans="1:39" ht="43.2" x14ac:dyDescent="0.3">
      <c r="A507" s="39">
        <v>506</v>
      </c>
      <c r="B507" s="39" t="s">
        <v>2</v>
      </c>
      <c r="C507" s="39" t="s">
        <v>74</v>
      </c>
      <c r="D507" s="39" t="s">
        <v>496</v>
      </c>
      <c r="E507" s="39" t="s">
        <v>496</v>
      </c>
      <c r="F507" s="39" t="s">
        <v>568</v>
      </c>
      <c r="G507" s="39" t="s">
        <v>597</v>
      </c>
      <c r="H507" s="40"/>
      <c r="I507" s="40"/>
      <c r="J507" s="40"/>
      <c r="K507" s="42">
        <v>46199</v>
      </c>
      <c r="L507" s="42"/>
      <c r="M507" s="44"/>
      <c r="N507" s="40"/>
      <c r="O507" s="40"/>
      <c r="P507" s="40"/>
      <c r="Q507" s="42">
        <f>IF(K507="","",K507)</f>
        <v>46199</v>
      </c>
      <c r="R507" s="39" t="s">
        <v>496</v>
      </c>
      <c r="S507" s="39" t="s">
        <v>498</v>
      </c>
      <c r="T507" s="39" t="s">
        <v>570</v>
      </c>
      <c r="U507" s="39" t="s">
        <v>275</v>
      </c>
      <c r="V507" s="39">
        <v>185</v>
      </c>
      <c r="W507" s="39" t="s">
        <v>567</v>
      </c>
      <c r="X507" s="41">
        <v>46188</v>
      </c>
      <c r="Y507" s="41">
        <v>46199</v>
      </c>
      <c r="Z507" s="43">
        <v>161.6</v>
      </c>
      <c r="AA507" s="45">
        <f>IF(M507&lt;&gt;"",M507,Z507)</f>
        <v>161.6</v>
      </c>
      <c r="AB507" s="46" t="str">
        <f>IF(L507&lt;&gt;"","Realizado","Previsto")</f>
        <v>Previsto</v>
      </c>
      <c r="AC507" s="47">
        <v>0.5</v>
      </c>
      <c r="AD507" s="43">
        <v>323.2</v>
      </c>
      <c r="AE507" s="39">
        <v>64</v>
      </c>
      <c r="AF507" s="39" t="s">
        <v>87</v>
      </c>
      <c r="AG507" s="43">
        <v>5.05</v>
      </c>
      <c r="AH507" s="39" t="s">
        <v>571</v>
      </c>
      <c r="AI507" s="39" t="s">
        <v>73</v>
      </c>
      <c r="AJ507" s="48">
        <f>IF(Q507&lt;&gt;"",Q507,IF(K507&lt;&gt;"",K507,""))</f>
        <v>46199</v>
      </c>
      <c r="AK507" s="46" t="str">
        <f>IF(K507&lt;&gt;"","Sim","")</f>
        <v>Sim</v>
      </c>
      <c r="AL507" s="46" t="str">
        <f>IF(A507="","",TEXT(A507,"000000")&amp;"-"&amp;IF(C507="Entrada","CR","DB"))</f>
        <v>000506-DB</v>
      </c>
      <c r="AM507" s="46" t="str">
        <f>IF(A507="","",LEFT(IF(H507&lt;&gt;"",H507,G507)&amp;" | "&amp;G507&amp;" | "&amp;S507,60))</f>
        <v>Placa 2x4" p/ 1 função redonda telefone | Placa 2x4" p/ 1 fu</v>
      </c>
    </row>
    <row r="508" spans="1:39" ht="43.2" x14ac:dyDescent="0.3">
      <c r="A508" s="39">
        <v>507</v>
      </c>
      <c r="B508" s="39" t="s">
        <v>2</v>
      </c>
      <c r="C508" s="39" t="s">
        <v>74</v>
      </c>
      <c r="D508" s="39" t="s">
        <v>496</v>
      </c>
      <c r="E508" s="39" t="s">
        <v>496</v>
      </c>
      <c r="F508" s="39" t="s">
        <v>568</v>
      </c>
      <c r="G508" s="39" t="s">
        <v>598</v>
      </c>
      <c r="H508" s="40"/>
      <c r="I508" s="40"/>
      <c r="J508" s="40"/>
      <c r="K508" s="42">
        <v>46199</v>
      </c>
      <c r="L508" s="42"/>
      <c r="M508" s="44"/>
      <c r="N508" s="40"/>
      <c r="O508" s="40"/>
      <c r="P508" s="40"/>
      <c r="Q508" s="42">
        <f>IF(K508="","",K508)</f>
        <v>46199</v>
      </c>
      <c r="R508" s="39" t="s">
        <v>496</v>
      </c>
      <c r="S508" s="39" t="s">
        <v>498</v>
      </c>
      <c r="T508" s="39" t="s">
        <v>570</v>
      </c>
      <c r="U508" s="39" t="s">
        <v>275</v>
      </c>
      <c r="V508" s="39">
        <v>184</v>
      </c>
      <c r="W508" s="39" t="s">
        <v>567</v>
      </c>
      <c r="X508" s="41">
        <v>46188</v>
      </c>
      <c r="Y508" s="41">
        <v>46199</v>
      </c>
      <c r="Z508" s="43">
        <v>415.68</v>
      </c>
      <c r="AA508" s="45">
        <f>IF(M508&lt;&gt;"",M508,Z508)</f>
        <v>415.68</v>
      </c>
      <c r="AB508" s="46" t="str">
        <f>IF(L508&lt;&gt;"","Realizado","Previsto")</f>
        <v>Previsto</v>
      </c>
      <c r="AC508" s="47">
        <v>0.5</v>
      </c>
      <c r="AD508" s="43">
        <v>831.36</v>
      </c>
      <c r="AE508" s="39">
        <v>64</v>
      </c>
      <c r="AF508" s="39" t="s">
        <v>87</v>
      </c>
      <c r="AG508" s="43">
        <v>12.99</v>
      </c>
      <c r="AH508" s="39" t="s">
        <v>571</v>
      </c>
      <c r="AI508" s="39" t="s">
        <v>73</v>
      </c>
      <c r="AJ508" s="48">
        <f>IF(Q508&lt;&gt;"",Q508,IF(K508&lt;&gt;"",K508,""))</f>
        <v>46199</v>
      </c>
      <c r="AK508" s="46" t="str">
        <f>IF(K508&lt;&gt;"","Sim","")</f>
        <v>Sim</v>
      </c>
      <c r="AL508" s="46" t="str">
        <f>IF(A508="","",TEXT(A508,"000000")&amp;"-"&amp;IF(C508="Entrada","CR","DB"))</f>
        <v>000507-DB</v>
      </c>
      <c r="AM508" s="46" t="str">
        <f>IF(A508="","",LEFT(IF(H508&lt;&gt;"",H508,G508)&amp;" | "&amp;G508&amp;" | "&amp;S508,60))</f>
        <v xml:space="preserve">Placa 2x4" tomada TV/SAT | Placa 2x4" tomada TV/SAT | Saída </v>
      </c>
    </row>
    <row r="509" spans="1:39" ht="43.2" x14ac:dyDescent="0.3">
      <c r="A509" s="39">
        <v>508</v>
      </c>
      <c r="B509" s="39" t="s">
        <v>2</v>
      </c>
      <c r="C509" s="39" t="s">
        <v>74</v>
      </c>
      <c r="D509" s="39" t="s">
        <v>496</v>
      </c>
      <c r="E509" s="39" t="s">
        <v>496</v>
      </c>
      <c r="F509" s="39" t="s">
        <v>568</v>
      </c>
      <c r="G509" s="39" t="s">
        <v>599</v>
      </c>
      <c r="H509" s="40"/>
      <c r="I509" s="40"/>
      <c r="J509" s="40"/>
      <c r="K509" s="42">
        <v>46199</v>
      </c>
      <c r="L509" s="42"/>
      <c r="M509" s="44"/>
      <c r="N509" s="40"/>
      <c r="O509" s="40"/>
      <c r="P509" s="40"/>
      <c r="Q509" s="42">
        <f>IF(K509="","",K509)</f>
        <v>46199</v>
      </c>
      <c r="R509" s="39" t="s">
        <v>496</v>
      </c>
      <c r="S509" s="39" t="s">
        <v>498</v>
      </c>
      <c r="T509" s="39" t="s">
        <v>570</v>
      </c>
      <c r="U509" s="39" t="s">
        <v>275</v>
      </c>
      <c r="V509" s="39">
        <v>178</v>
      </c>
      <c r="W509" s="39" t="s">
        <v>567</v>
      </c>
      <c r="X509" s="41">
        <v>46188</v>
      </c>
      <c r="Y509" s="41">
        <v>46199</v>
      </c>
      <c r="Z509" s="43">
        <v>3782.4</v>
      </c>
      <c r="AA509" s="45">
        <f>IF(M509&lt;&gt;"",M509,Z509)</f>
        <v>3782.4</v>
      </c>
      <c r="AB509" s="46" t="str">
        <f>IF(L509&lt;&gt;"","Realizado","Previsto")</f>
        <v>Previsto</v>
      </c>
      <c r="AC509" s="47">
        <v>0.5</v>
      </c>
      <c r="AD509" s="43">
        <v>7564.8</v>
      </c>
      <c r="AE509" s="39">
        <v>960</v>
      </c>
      <c r="AF509" s="39" t="s">
        <v>87</v>
      </c>
      <c r="AG509" s="43">
        <v>7.88</v>
      </c>
      <c r="AH509" s="39" t="s">
        <v>571</v>
      </c>
      <c r="AI509" s="39" t="s">
        <v>73</v>
      </c>
      <c r="AJ509" s="48">
        <f>IF(Q509&lt;&gt;"",Q509,IF(K509&lt;&gt;"",K509,""))</f>
        <v>46199</v>
      </c>
      <c r="AK509" s="46" t="str">
        <f>IF(K509&lt;&gt;"","Sim","")</f>
        <v>Sim</v>
      </c>
      <c r="AL509" s="46" t="str">
        <f>IF(A509="","",TEXT(A509,"000000")&amp;"-"&amp;IF(C509="Entrada","CR","DB"))</f>
        <v>000508-DB</v>
      </c>
      <c r="AM509" s="46" t="str">
        <f>IF(A509="","",LEFT(IF(H509&lt;&gt;"",H509,G509)&amp;" | "&amp;G509&amp;" | "&amp;S509,60))</f>
        <v>Placa p/ 1 função | Placa p/ 1 função | Saída | ELETRICA EFI</v>
      </c>
    </row>
    <row r="510" spans="1:39" ht="43.2" x14ac:dyDescent="0.3">
      <c r="A510" s="39">
        <v>509</v>
      </c>
      <c r="B510" s="39" t="s">
        <v>2</v>
      </c>
      <c r="C510" s="39" t="s">
        <v>74</v>
      </c>
      <c r="D510" s="39" t="s">
        <v>496</v>
      </c>
      <c r="E510" s="39" t="s">
        <v>496</v>
      </c>
      <c r="F510" s="39" t="s">
        <v>568</v>
      </c>
      <c r="G510" s="39" t="s">
        <v>600</v>
      </c>
      <c r="H510" s="40"/>
      <c r="I510" s="40"/>
      <c r="J510" s="40"/>
      <c r="K510" s="42">
        <v>46199</v>
      </c>
      <c r="L510" s="42"/>
      <c r="M510" s="44"/>
      <c r="N510" s="40"/>
      <c r="O510" s="40"/>
      <c r="P510" s="40"/>
      <c r="Q510" s="42">
        <f>IF(K510="","",K510)</f>
        <v>46199</v>
      </c>
      <c r="R510" s="39" t="s">
        <v>496</v>
      </c>
      <c r="S510" s="39" t="s">
        <v>498</v>
      </c>
      <c r="T510" s="39" t="s">
        <v>570</v>
      </c>
      <c r="U510" s="39" t="s">
        <v>275</v>
      </c>
      <c r="V510" s="39">
        <v>179</v>
      </c>
      <c r="W510" s="39" t="s">
        <v>567</v>
      </c>
      <c r="X510" s="41">
        <v>46188</v>
      </c>
      <c r="Y510" s="41">
        <v>46199</v>
      </c>
      <c r="Z510" s="43">
        <v>1219.8399999999999</v>
      </c>
      <c r="AA510" s="45">
        <f>IF(M510&lt;&gt;"",M510,Z510)</f>
        <v>1219.8399999999999</v>
      </c>
      <c r="AB510" s="46" t="str">
        <f>IF(L510&lt;&gt;"","Realizado","Previsto")</f>
        <v>Previsto</v>
      </c>
      <c r="AC510" s="47">
        <v>0.5</v>
      </c>
      <c r="AD510" s="43">
        <v>2439.6799999999998</v>
      </c>
      <c r="AE510" s="39">
        <v>256</v>
      </c>
      <c r="AF510" s="39" t="s">
        <v>87</v>
      </c>
      <c r="AG510" s="43">
        <v>9.5299999999999994</v>
      </c>
      <c r="AH510" s="39" t="s">
        <v>571</v>
      </c>
      <c r="AI510" s="39" t="s">
        <v>73</v>
      </c>
      <c r="AJ510" s="48">
        <f>IF(Q510&lt;&gt;"",Q510,IF(K510&lt;&gt;"",K510,""))</f>
        <v>46199</v>
      </c>
      <c r="AK510" s="46" t="str">
        <f>IF(K510&lt;&gt;"","Sim","")</f>
        <v>Sim</v>
      </c>
      <c r="AL510" s="46" t="str">
        <f>IF(A510="","",TEXT(A510,"000000")&amp;"-"&amp;IF(C510="Entrada","CR","DB"))</f>
        <v>000509-DB</v>
      </c>
      <c r="AM510" s="46" t="str">
        <f>IF(A510="","",LEFT(IF(H510&lt;&gt;"",H510,G510)&amp;" | "&amp;G510&amp;" | "&amp;S510,60))</f>
        <v>Placa p/ 2 funções | Placa p/ 2 funções | Saída | ELETRICA E</v>
      </c>
    </row>
    <row r="511" spans="1:39" ht="43.2" x14ac:dyDescent="0.3">
      <c r="A511" s="39">
        <v>510</v>
      </c>
      <c r="B511" s="39" t="s">
        <v>2</v>
      </c>
      <c r="C511" s="39" t="s">
        <v>74</v>
      </c>
      <c r="D511" s="39" t="s">
        <v>496</v>
      </c>
      <c r="E511" s="39" t="s">
        <v>496</v>
      </c>
      <c r="F511" s="39" t="s">
        <v>568</v>
      </c>
      <c r="G511" s="39" t="s">
        <v>601</v>
      </c>
      <c r="H511" s="40"/>
      <c r="I511" s="40"/>
      <c r="J511" s="40"/>
      <c r="K511" s="42">
        <v>46199</v>
      </c>
      <c r="L511" s="42"/>
      <c r="M511" s="44"/>
      <c r="N511" s="40"/>
      <c r="O511" s="40"/>
      <c r="P511" s="40"/>
      <c r="Q511" s="42">
        <f>IF(K511="","",K511)</f>
        <v>46199</v>
      </c>
      <c r="R511" s="39" t="s">
        <v>496</v>
      </c>
      <c r="S511" s="39" t="s">
        <v>498</v>
      </c>
      <c r="T511" s="39" t="s">
        <v>570</v>
      </c>
      <c r="U511" s="39" t="s">
        <v>275</v>
      </c>
      <c r="V511" s="39">
        <v>193</v>
      </c>
      <c r="W511" s="39" t="s">
        <v>567</v>
      </c>
      <c r="X511" s="41">
        <v>46188</v>
      </c>
      <c r="Y511" s="41">
        <v>46199</v>
      </c>
      <c r="Z511" s="43">
        <v>1682.24</v>
      </c>
      <c r="AA511" s="45">
        <f>IF(M511&lt;&gt;"",M511,Z511)</f>
        <v>1682.24</v>
      </c>
      <c r="AB511" s="46" t="str">
        <f>IF(L511&lt;&gt;"","Realizado","Previsto")</f>
        <v>Previsto</v>
      </c>
      <c r="AC511" s="47">
        <v>0.5</v>
      </c>
      <c r="AD511" s="43">
        <v>3364.48</v>
      </c>
      <c r="AE511" s="39">
        <v>448</v>
      </c>
      <c r="AF511" s="39" t="s">
        <v>87</v>
      </c>
      <c r="AG511" s="43">
        <v>7.51</v>
      </c>
      <c r="AH511" s="39" t="s">
        <v>571</v>
      </c>
      <c r="AI511" s="39" t="s">
        <v>73</v>
      </c>
      <c r="AJ511" s="48">
        <f>IF(Q511&lt;&gt;"",Q511,IF(K511&lt;&gt;"",K511,""))</f>
        <v>46199</v>
      </c>
      <c r="AK511" s="46" t="str">
        <f>IF(K511&lt;&gt;"","Sim","")</f>
        <v>Sim</v>
      </c>
      <c r="AL511" s="46" t="str">
        <f>IF(A511="","",TEXT(A511,"000000")&amp;"-"&amp;IF(C511="Entrada","CR","DB"))</f>
        <v>000510-DB</v>
      </c>
      <c r="AM511" s="46" t="str">
        <f>IF(A511="","",LEFT(IF(H511&lt;&gt;"",H511,G511)&amp;" | "&amp;G511&amp;" | "&amp;S511,60))</f>
        <v>Plafon branco para lampada soquete | Plafon branco para lamp</v>
      </c>
    </row>
    <row r="512" spans="1:39" ht="43.2" x14ac:dyDescent="0.3">
      <c r="A512" s="39">
        <v>511</v>
      </c>
      <c r="B512" s="39" t="s">
        <v>2</v>
      </c>
      <c r="C512" s="39" t="s">
        <v>74</v>
      </c>
      <c r="D512" s="39" t="s">
        <v>496</v>
      </c>
      <c r="E512" s="39" t="s">
        <v>496</v>
      </c>
      <c r="F512" s="39" t="s">
        <v>568</v>
      </c>
      <c r="G512" s="39" t="s">
        <v>602</v>
      </c>
      <c r="H512" s="40"/>
      <c r="I512" s="40"/>
      <c r="J512" s="40"/>
      <c r="K512" s="42">
        <v>46199</v>
      </c>
      <c r="L512" s="42"/>
      <c r="M512" s="44"/>
      <c r="N512" s="40"/>
      <c r="O512" s="40"/>
      <c r="P512" s="40"/>
      <c r="Q512" s="42">
        <f>IF(K512="","",K512)</f>
        <v>46199</v>
      </c>
      <c r="R512" s="39" t="s">
        <v>496</v>
      </c>
      <c r="S512" s="39" t="s">
        <v>498</v>
      </c>
      <c r="T512" s="39" t="s">
        <v>570</v>
      </c>
      <c r="U512" s="39" t="s">
        <v>275</v>
      </c>
      <c r="V512" s="39">
        <v>186</v>
      </c>
      <c r="W512" s="39" t="s">
        <v>567</v>
      </c>
      <c r="X512" s="41">
        <v>46188</v>
      </c>
      <c r="Y512" s="41">
        <v>46199</v>
      </c>
      <c r="Z512" s="43">
        <v>181.44</v>
      </c>
      <c r="AA512" s="45">
        <f>IF(M512&lt;&gt;"",M512,Z512)</f>
        <v>181.44</v>
      </c>
      <c r="AB512" s="46" t="str">
        <f>IF(L512&lt;&gt;"","Realizado","Previsto")</f>
        <v>Previsto</v>
      </c>
      <c r="AC512" s="47">
        <v>0.5</v>
      </c>
      <c r="AD512" s="43">
        <v>362.88</v>
      </c>
      <c r="AE512" s="39">
        <v>64</v>
      </c>
      <c r="AF512" s="39" t="s">
        <v>87</v>
      </c>
      <c r="AG512" s="43">
        <v>5.67</v>
      </c>
      <c r="AH512" s="39" t="s">
        <v>571</v>
      </c>
      <c r="AI512" s="39" t="s">
        <v>73</v>
      </c>
      <c r="AJ512" s="48">
        <f>IF(Q512&lt;&gt;"",Q512,IF(K512&lt;&gt;"",K512,""))</f>
        <v>46199</v>
      </c>
      <c r="AK512" s="46" t="str">
        <f>IF(K512&lt;&gt;"","Sim","")</f>
        <v>Sim</v>
      </c>
      <c r="AL512" s="46" t="str">
        <f>IF(A512="","",TEXT(A512,"000000")&amp;"-"&amp;IF(C512="Entrada","CR","DB"))</f>
        <v>000511-DB</v>
      </c>
      <c r="AM512" s="46" t="str">
        <f>IF(A512="","",LEFT(IF(H512&lt;&gt;"",H512,G512)&amp;" | "&amp;G512&amp;" | "&amp;S512,60))</f>
        <v>Tomada telefone redonda 4P | Tomada telefone redonda 4P | Sa</v>
      </c>
    </row>
    <row r="513" spans="1:39" ht="43.2" x14ac:dyDescent="0.3">
      <c r="A513" s="39">
        <v>512</v>
      </c>
      <c r="B513" s="39" t="s">
        <v>2</v>
      </c>
      <c r="C513" s="39" t="s">
        <v>74</v>
      </c>
      <c r="D513" s="39" t="s">
        <v>496</v>
      </c>
      <c r="E513" s="39" t="s">
        <v>496</v>
      </c>
      <c r="F513" s="39" t="s">
        <v>568</v>
      </c>
      <c r="G513" s="39" t="s">
        <v>603</v>
      </c>
      <c r="H513" s="40"/>
      <c r="I513" s="40"/>
      <c r="J513" s="40"/>
      <c r="K513" s="42">
        <v>46199</v>
      </c>
      <c r="L513" s="42"/>
      <c r="M513" s="44"/>
      <c r="N513" s="40"/>
      <c r="O513" s="40"/>
      <c r="P513" s="40"/>
      <c r="Q513" s="42">
        <f>IF(K513="","",K513)</f>
        <v>46199</v>
      </c>
      <c r="R513" s="39" t="s">
        <v>496</v>
      </c>
      <c r="S513" s="39" t="s">
        <v>498</v>
      </c>
      <c r="T513" s="39" t="s">
        <v>570</v>
      </c>
      <c r="U513" s="39" t="s">
        <v>275</v>
      </c>
      <c r="V513" s="39">
        <v>183</v>
      </c>
      <c r="W513" s="39" t="s">
        <v>567</v>
      </c>
      <c r="X513" s="41">
        <v>46188</v>
      </c>
      <c r="Y513" s="41">
        <v>46199</v>
      </c>
      <c r="Z513" s="43">
        <v>5104</v>
      </c>
      <c r="AA513" s="45">
        <f>IF(M513&lt;&gt;"",M513,Z513)</f>
        <v>5104</v>
      </c>
      <c r="AB513" s="46" t="str">
        <f>IF(L513&lt;&gt;"","Realizado","Previsto")</f>
        <v>Previsto</v>
      </c>
      <c r="AC513" s="47">
        <v>0.5</v>
      </c>
      <c r="AD513" s="43">
        <v>10208</v>
      </c>
      <c r="AE513" s="39">
        <v>704</v>
      </c>
      <c r="AF513" s="39" t="s">
        <v>87</v>
      </c>
      <c r="AG513" s="43">
        <v>14.5</v>
      </c>
      <c r="AH513" s="39" t="s">
        <v>571</v>
      </c>
      <c r="AI513" s="39" t="s">
        <v>73</v>
      </c>
      <c r="AJ513" s="48">
        <f>IF(Q513&lt;&gt;"",Q513,IF(K513&lt;&gt;"",K513,""))</f>
        <v>46199</v>
      </c>
      <c r="AK513" s="46" t="str">
        <f>IF(K513&lt;&gt;"","Sim","")</f>
        <v>Sim</v>
      </c>
      <c r="AL513" s="46" t="str">
        <f>IF(A513="","",TEXT(A513,"000000")&amp;"-"&amp;IF(C513="Entrada","CR","DB"))</f>
        <v>000512-DB</v>
      </c>
      <c r="AM513" s="46" t="str">
        <f>IF(A513="","",LEFT(IF(H513&lt;&gt;"",H513,G513)&amp;" | "&amp;G513&amp;" | "&amp;S513,60))</f>
        <v>Tomada universal retangular simples 2P+T 15A | Tomada univer</v>
      </c>
    </row>
    <row r="514" spans="1:39" ht="43.2" x14ac:dyDescent="0.3">
      <c r="A514" s="39">
        <v>513</v>
      </c>
      <c r="B514" s="39" t="s">
        <v>2</v>
      </c>
      <c r="C514" s="39" t="s">
        <v>74</v>
      </c>
      <c r="D514" s="39" t="s">
        <v>235</v>
      </c>
      <c r="E514" s="39" t="s">
        <v>236</v>
      </c>
      <c r="F514" s="39" t="s">
        <v>324</v>
      </c>
      <c r="G514" s="39" t="s">
        <v>325</v>
      </c>
      <c r="H514" s="40"/>
      <c r="I514" s="40"/>
      <c r="J514" s="40"/>
      <c r="K514" s="42">
        <v>46199</v>
      </c>
      <c r="L514" s="42"/>
      <c r="M514" s="44"/>
      <c r="N514" s="40"/>
      <c r="O514" s="40"/>
      <c r="P514" s="40"/>
      <c r="Q514" s="42">
        <f>IF(K514="","",K514)</f>
        <v>46199</v>
      </c>
      <c r="R514" s="39" t="s">
        <v>235</v>
      </c>
      <c r="S514" s="39" t="s">
        <v>238</v>
      </c>
      <c r="T514" s="39" t="s">
        <v>326</v>
      </c>
      <c r="U514" s="39" t="s">
        <v>275</v>
      </c>
      <c r="V514" s="39">
        <v>155</v>
      </c>
      <c r="W514" s="39" t="s">
        <v>567</v>
      </c>
      <c r="X514" s="41">
        <v>46188</v>
      </c>
      <c r="Y514" s="41">
        <v>46199</v>
      </c>
      <c r="Z514" s="43">
        <v>1879.68</v>
      </c>
      <c r="AA514" s="45">
        <f>IF(M514&lt;&gt;"",M514,Z514)</f>
        <v>1879.68</v>
      </c>
      <c r="AB514" s="46" t="str">
        <f>IF(L514&lt;&gt;"","Realizado","Previsto")</f>
        <v>Previsto</v>
      </c>
      <c r="AC514" s="47">
        <v>0.33</v>
      </c>
      <c r="AD514" s="43">
        <v>5696</v>
      </c>
      <c r="AE514" s="39">
        <v>1600</v>
      </c>
      <c r="AF514" s="39" t="s">
        <v>327</v>
      </c>
      <c r="AG514" s="43">
        <v>3.56</v>
      </c>
      <c r="AH514" s="39" t="s">
        <v>328</v>
      </c>
      <c r="AI514" s="39" t="s">
        <v>73</v>
      </c>
      <c r="AJ514" s="48">
        <f>IF(Q514&lt;&gt;"",Q514,IF(K514&lt;&gt;"",K514,""))</f>
        <v>46199</v>
      </c>
      <c r="AK514" s="46" t="str">
        <f>IF(K514&lt;&gt;"","Sim","")</f>
        <v>Sim</v>
      </c>
      <c r="AL514" s="46" t="str">
        <f>IF(A514="","",TEXT(A514,"000000")&amp;"-"&amp;IF(C514="Entrada","CR","DB"))</f>
        <v>000513-DB</v>
      </c>
      <c r="AM514" s="46" t="str">
        <f>IF(A514="","",LEFT(IF(H514&lt;&gt;"",H514,G514)&amp;" | "&amp;G514&amp;" | "&amp;S514,60))</f>
        <v>Lixa grao 150 - | Lixa grao 150 - | Saída | EMASSAMENTO INTE</v>
      </c>
    </row>
    <row r="515" spans="1:39" ht="43.2" x14ac:dyDescent="0.3">
      <c r="A515" s="39">
        <v>514</v>
      </c>
      <c r="B515" s="39" t="s">
        <v>2</v>
      </c>
      <c r="C515" s="39" t="s">
        <v>74</v>
      </c>
      <c r="D515" s="39" t="s">
        <v>235</v>
      </c>
      <c r="E515" s="39" t="s">
        <v>236</v>
      </c>
      <c r="F515" s="39" t="s">
        <v>324</v>
      </c>
      <c r="G515" s="39" t="s">
        <v>329</v>
      </c>
      <c r="H515" s="40"/>
      <c r="I515" s="40"/>
      <c r="J515" s="40"/>
      <c r="K515" s="42">
        <v>46199</v>
      </c>
      <c r="L515" s="42"/>
      <c r="M515" s="44"/>
      <c r="N515" s="40"/>
      <c r="O515" s="40"/>
      <c r="P515" s="40"/>
      <c r="Q515" s="42">
        <f>IF(K515="","",K515)</f>
        <v>46199</v>
      </c>
      <c r="R515" s="39" t="s">
        <v>235</v>
      </c>
      <c r="S515" s="39" t="s">
        <v>238</v>
      </c>
      <c r="T515" s="39" t="s">
        <v>326</v>
      </c>
      <c r="U515" s="39" t="s">
        <v>275</v>
      </c>
      <c r="V515" s="39">
        <v>154</v>
      </c>
      <c r="W515" s="39" t="s">
        <v>567</v>
      </c>
      <c r="X515" s="41">
        <v>46188</v>
      </c>
      <c r="Y515" s="41">
        <v>46199</v>
      </c>
      <c r="Z515" s="43">
        <v>13622.4</v>
      </c>
      <c r="AA515" s="45">
        <f>IF(M515&lt;&gt;"",M515,Z515)</f>
        <v>13622.4</v>
      </c>
      <c r="AB515" s="46" t="str">
        <f>IF(L515&lt;&gt;"","Realizado","Previsto")</f>
        <v>Previsto</v>
      </c>
      <c r="AC515" s="47">
        <v>0.33</v>
      </c>
      <c r="AD515" s="43">
        <v>41280</v>
      </c>
      <c r="AE515" s="39">
        <v>960</v>
      </c>
      <c r="AF515" s="39" t="s">
        <v>330</v>
      </c>
      <c r="AG515" s="43">
        <v>43</v>
      </c>
      <c r="AH515" s="39" t="s">
        <v>328</v>
      </c>
      <c r="AI515" s="39" t="s">
        <v>73</v>
      </c>
      <c r="AJ515" s="48">
        <f>IF(Q515&lt;&gt;"",Q515,IF(K515&lt;&gt;"",K515,""))</f>
        <v>46199</v>
      </c>
      <c r="AK515" s="46" t="str">
        <f>IF(K515&lt;&gt;"","Sim","")</f>
        <v>Sim</v>
      </c>
      <c r="AL515" s="46" t="str">
        <f>IF(A515="","",TEXT(A515,"000000")&amp;"-"&amp;IF(C515="Entrada","CR","DB"))</f>
        <v>000514-DB</v>
      </c>
      <c r="AM515" s="46" t="str">
        <f>IF(A515="","",LEFT(IF(H515&lt;&gt;"",H515,G515)&amp;" | "&amp;G515&amp;" | "&amp;S515,60))</f>
        <v xml:space="preserve">Massa fina acabamento 18kg - branca | Massa fina acabamento </v>
      </c>
    </row>
    <row r="516" spans="1:39" ht="43.2" x14ac:dyDescent="0.3">
      <c r="A516" s="39">
        <v>515</v>
      </c>
      <c r="B516" s="39" t="s">
        <v>2</v>
      </c>
      <c r="C516" s="39" t="s">
        <v>74</v>
      </c>
      <c r="D516" s="39" t="s">
        <v>408</v>
      </c>
      <c r="E516" s="39" t="s">
        <v>408</v>
      </c>
      <c r="F516" s="39" t="s">
        <v>184</v>
      </c>
      <c r="G516" s="39" t="s">
        <v>455</v>
      </c>
      <c r="H516" s="40"/>
      <c r="I516" s="40"/>
      <c r="J516" s="40"/>
      <c r="K516" s="42">
        <v>46199</v>
      </c>
      <c r="L516" s="42"/>
      <c r="M516" s="44"/>
      <c r="N516" s="40"/>
      <c r="O516" s="40"/>
      <c r="P516" s="40"/>
      <c r="Q516" s="42">
        <f>IF(K516="","",K516)</f>
        <v>46199</v>
      </c>
      <c r="R516" s="39" t="s">
        <v>408</v>
      </c>
      <c r="S516" s="39" t="s">
        <v>410</v>
      </c>
      <c r="T516" s="39" t="s">
        <v>456</v>
      </c>
      <c r="U516" s="39" t="s">
        <v>275</v>
      </c>
      <c r="V516" s="39">
        <v>147</v>
      </c>
      <c r="W516" s="39" t="s">
        <v>567</v>
      </c>
      <c r="X516" s="41">
        <v>46188</v>
      </c>
      <c r="Y516" s="41">
        <v>46199</v>
      </c>
      <c r="Z516" s="43">
        <v>166.4</v>
      </c>
      <c r="AA516" s="45">
        <f>IF(M516&lt;&gt;"",M516,Z516)</f>
        <v>166.4</v>
      </c>
      <c r="AB516" s="46" t="str">
        <f>IF(L516&lt;&gt;"","Realizado","Previsto")</f>
        <v>Previsto</v>
      </c>
      <c r="AC516" s="47">
        <v>0.5</v>
      </c>
      <c r="AD516" s="43">
        <v>332.8</v>
      </c>
      <c r="AE516" s="39">
        <v>1664</v>
      </c>
      <c r="AF516" s="39" t="s">
        <v>87</v>
      </c>
      <c r="AG516" s="43">
        <v>0.2</v>
      </c>
      <c r="AH516" s="39" t="s">
        <v>457</v>
      </c>
      <c r="AI516" s="39" t="s">
        <v>73</v>
      </c>
      <c r="AJ516" s="48">
        <f>IF(Q516&lt;&gt;"",Q516,IF(K516&lt;&gt;"",K516,""))</f>
        <v>46199</v>
      </c>
      <c r="AK516" s="46" t="str">
        <f>IF(K516&lt;&gt;"","Sim","")</f>
        <v>Sim</v>
      </c>
      <c r="AL516" s="46" t="str">
        <f>IF(A516="","",TEXT(A516,"000000")&amp;"-"&amp;IF(C516="Entrada","CR","DB"))</f>
        <v>000515-DB</v>
      </c>
      <c r="AM516" s="46" t="str">
        <f>IF(A516="","",LEFT(IF(H516&lt;&gt;"",H516,G516)&amp;" | "&amp;G516&amp;" | "&amp;S516,60))</f>
        <v xml:space="preserve">Bucha 6 mm para concreto | Bucha 6 mm para concreto | Saída </v>
      </c>
    </row>
    <row r="517" spans="1:39" ht="43.2" x14ac:dyDescent="0.3">
      <c r="A517" s="39">
        <v>516</v>
      </c>
      <c r="B517" s="39" t="s">
        <v>2</v>
      </c>
      <c r="C517" s="39" t="s">
        <v>74</v>
      </c>
      <c r="D517" s="39" t="s">
        <v>408</v>
      </c>
      <c r="E517" s="39" t="s">
        <v>408</v>
      </c>
      <c r="F517" s="39" t="s">
        <v>184</v>
      </c>
      <c r="G517" s="39" t="s">
        <v>458</v>
      </c>
      <c r="H517" s="40"/>
      <c r="I517" s="40"/>
      <c r="J517" s="40"/>
      <c r="K517" s="42">
        <v>46199</v>
      </c>
      <c r="L517" s="42"/>
      <c r="M517" s="44"/>
      <c r="N517" s="40"/>
      <c r="O517" s="40"/>
      <c r="P517" s="40"/>
      <c r="Q517" s="42">
        <f>IF(K517="","",K517)</f>
        <v>46199</v>
      </c>
      <c r="R517" s="39" t="s">
        <v>408</v>
      </c>
      <c r="S517" s="39" t="s">
        <v>410</v>
      </c>
      <c r="T517" s="39" t="s">
        <v>456</v>
      </c>
      <c r="U517" s="39" t="s">
        <v>275</v>
      </c>
      <c r="V517" s="39">
        <v>146</v>
      </c>
      <c r="W517" s="39" t="s">
        <v>567</v>
      </c>
      <c r="X517" s="41">
        <v>46188</v>
      </c>
      <c r="Y517" s="41">
        <v>46199</v>
      </c>
      <c r="Z517" s="43">
        <v>812.8</v>
      </c>
      <c r="AA517" s="45">
        <f>IF(M517&lt;&gt;"",M517,Z517)</f>
        <v>812.8</v>
      </c>
      <c r="AB517" s="46" t="str">
        <f>IF(L517&lt;&gt;"","Realizado","Previsto")</f>
        <v>Previsto</v>
      </c>
      <c r="AC517" s="47">
        <v>0.5</v>
      </c>
      <c r="AD517" s="43">
        <v>1625.6</v>
      </c>
      <c r="AE517" s="39">
        <v>64</v>
      </c>
      <c r="AF517" s="39" t="s">
        <v>87</v>
      </c>
      <c r="AG517" s="43">
        <v>25.4</v>
      </c>
      <c r="AH517" s="39" t="s">
        <v>457</v>
      </c>
      <c r="AI517" s="39" t="s">
        <v>73</v>
      </c>
      <c r="AJ517" s="48">
        <f>IF(Q517&lt;&gt;"",Q517,IF(K517&lt;&gt;"",K517,""))</f>
        <v>46199</v>
      </c>
      <c r="AK517" s="46" t="str">
        <f>IF(K517&lt;&gt;"","Sim","")</f>
        <v>Sim</v>
      </c>
      <c r="AL517" s="46" t="str">
        <f>IF(A517="","",TEXT(A517,"000000")&amp;"-"&amp;IF(C517="Entrada","CR","DB"))</f>
        <v>000516-DB</v>
      </c>
      <c r="AM517" s="46" t="str">
        <f>IF(A517="","",LEFT(IF(H517&lt;&gt;"",H517,G517)&amp;" | "&amp;G517&amp;" | "&amp;S517,60))</f>
        <v xml:space="preserve">Espuma Expansiva de Poliuretano 300ml | Espuma Expansiva de </v>
      </c>
    </row>
    <row r="518" spans="1:39" ht="43.2" x14ac:dyDescent="0.3">
      <c r="A518" s="39">
        <v>517</v>
      </c>
      <c r="B518" s="39" t="s">
        <v>2</v>
      </c>
      <c r="C518" s="39" t="s">
        <v>74</v>
      </c>
      <c r="D518" s="39" t="s">
        <v>408</v>
      </c>
      <c r="E518" s="39" t="s">
        <v>408</v>
      </c>
      <c r="F518" s="39" t="s">
        <v>184</v>
      </c>
      <c r="G518" s="39" t="s">
        <v>459</v>
      </c>
      <c r="H518" s="40"/>
      <c r="I518" s="40"/>
      <c r="J518" s="40"/>
      <c r="K518" s="42">
        <v>46199</v>
      </c>
      <c r="L518" s="42"/>
      <c r="M518" s="44"/>
      <c r="N518" s="40"/>
      <c r="O518" s="40"/>
      <c r="P518" s="40"/>
      <c r="Q518" s="42">
        <f>IF(K518="","",K518)</f>
        <v>46199</v>
      </c>
      <c r="R518" s="39" t="s">
        <v>408</v>
      </c>
      <c r="S518" s="39" t="s">
        <v>410</v>
      </c>
      <c r="T518" s="39" t="s">
        <v>456</v>
      </c>
      <c r="U518" s="39" t="s">
        <v>275</v>
      </c>
      <c r="V518" s="39">
        <v>150</v>
      </c>
      <c r="W518" s="39" t="s">
        <v>567</v>
      </c>
      <c r="X518" s="41">
        <v>46188</v>
      </c>
      <c r="Y518" s="41">
        <v>46199</v>
      </c>
      <c r="Z518" s="43">
        <v>1145.5999999999999</v>
      </c>
      <c r="AA518" s="45">
        <f>IF(M518&lt;&gt;"",M518,Z518)</f>
        <v>1145.5999999999999</v>
      </c>
      <c r="AB518" s="46" t="str">
        <f>IF(L518&lt;&gt;"","Realizado","Previsto")</f>
        <v>Previsto</v>
      </c>
      <c r="AC518" s="47">
        <v>0.5</v>
      </c>
      <c r="AD518" s="43">
        <v>2291.1999999999998</v>
      </c>
      <c r="AE518" s="39">
        <v>128</v>
      </c>
      <c r="AF518" s="39" t="s">
        <v>87</v>
      </c>
      <c r="AG518" s="43">
        <v>17.899999999999999</v>
      </c>
      <c r="AH518" s="39" t="s">
        <v>457</v>
      </c>
      <c r="AI518" s="39" t="s">
        <v>73</v>
      </c>
      <c r="AJ518" s="48">
        <f>IF(Q518&lt;&gt;"",Q518,IF(K518&lt;&gt;"",K518,""))</f>
        <v>46199</v>
      </c>
      <c r="AK518" s="46" t="str">
        <f>IF(K518&lt;&gt;"","Sim","")</f>
        <v>Sim</v>
      </c>
      <c r="AL518" s="46" t="str">
        <f>IF(A518="","",TEXT(A518,"000000")&amp;"-"&amp;IF(C518="Entrada","CR","DB"))</f>
        <v>000517-DB</v>
      </c>
      <c r="AM518" s="46" t="str">
        <f>IF(A518="","",LEFT(IF(H518&lt;&gt;"",H518,G518)&amp;" | "&amp;G518&amp;" | "&amp;S518,60))</f>
        <v xml:space="preserve">Fita crepe 48 mm x 50 m | Fita crepe 48 mm x 50 m | Saída | </v>
      </c>
    </row>
    <row r="519" spans="1:39" ht="43.2" x14ac:dyDescent="0.3">
      <c r="A519" s="39">
        <v>518</v>
      </c>
      <c r="B519" s="39" t="s">
        <v>2</v>
      </c>
      <c r="C519" s="39" t="s">
        <v>74</v>
      </c>
      <c r="D519" s="39" t="s">
        <v>408</v>
      </c>
      <c r="E519" s="39" t="s">
        <v>408</v>
      </c>
      <c r="F519" s="39" t="s">
        <v>184</v>
      </c>
      <c r="G519" s="39" t="s">
        <v>460</v>
      </c>
      <c r="H519" s="40"/>
      <c r="I519" s="40"/>
      <c r="J519" s="40"/>
      <c r="K519" s="42">
        <v>46199</v>
      </c>
      <c r="L519" s="42"/>
      <c r="M519" s="44"/>
      <c r="N519" s="40"/>
      <c r="O519" s="40"/>
      <c r="P519" s="40"/>
      <c r="Q519" s="42">
        <f>IF(K519="","",K519)</f>
        <v>46199</v>
      </c>
      <c r="R519" s="39" t="s">
        <v>408</v>
      </c>
      <c r="S519" s="39" t="s">
        <v>410</v>
      </c>
      <c r="T519" s="39" t="s">
        <v>456</v>
      </c>
      <c r="U519" s="39" t="s">
        <v>275</v>
      </c>
      <c r="V519" s="39">
        <v>151</v>
      </c>
      <c r="W519" s="39" t="s">
        <v>567</v>
      </c>
      <c r="X519" s="41">
        <v>46188</v>
      </c>
      <c r="Y519" s="41">
        <v>46199</v>
      </c>
      <c r="Z519" s="43">
        <v>1488</v>
      </c>
      <c r="AA519" s="45">
        <f>IF(M519&lt;&gt;"",M519,Z519)</f>
        <v>1488</v>
      </c>
      <c r="AB519" s="46" t="str">
        <f>IF(L519&lt;&gt;"","Realizado","Previsto")</f>
        <v>Previsto</v>
      </c>
      <c r="AC519" s="47">
        <v>0.5</v>
      </c>
      <c r="AD519" s="43">
        <v>2976</v>
      </c>
      <c r="AE519" s="39">
        <v>960</v>
      </c>
      <c r="AF519" s="39" t="s">
        <v>149</v>
      </c>
      <c r="AG519" s="43">
        <v>3.1</v>
      </c>
      <c r="AH519" s="39" t="s">
        <v>457</v>
      </c>
      <c r="AI519" s="39" t="s">
        <v>73</v>
      </c>
      <c r="AJ519" s="48">
        <f>IF(Q519&lt;&gt;"",Q519,IF(K519&lt;&gt;"",K519,""))</f>
        <v>46199</v>
      </c>
      <c r="AK519" s="46" t="str">
        <f>IF(K519&lt;&gt;"","Sim","")</f>
        <v>Sim</v>
      </c>
      <c r="AL519" s="46" t="str">
        <f>IF(A519="","",TEXT(A519,"000000")&amp;"-"&amp;IF(C519="Entrada","CR","DB"))</f>
        <v>000518-DB</v>
      </c>
      <c r="AM519" s="46" t="str">
        <f>IF(A519="","",LEFT(IF(H519&lt;&gt;"",H519,G519)&amp;" | "&amp;G519&amp;" | "&amp;S519,60))</f>
        <v>Impermeabilizante bi componente semi flexível - IMPER TOP 51</v>
      </c>
    </row>
    <row r="520" spans="1:39" ht="43.2" x14ac:dyDescent="0.3">
      <c r="A520" s="39">
        <v>519</v>
      </c>
      <c r="B520" s="39" t="s">
        <v>2</v>
      </c>
      <c r="C520" s="39" t="s">
        <v>74</v>
      </c>
      <c r="D520" s="39" t="s">
        <v>408</v>
      </c>
      <c r="E520" s="39" t="s">
        <v>408</v>
      </c>
      <c r="F520" s="39" t="s">
        <v>109</v>
      </c>
      <c r="G520" s="39" t="s">
        <v>409</v>
      </c>
      <c r="H520" s="40"/>
      <c r="I520" s="40"/>
      <c r="J520" s="40"/>
      <c r="K520" s="42">
        <v>46199</v>
      </c>
      <c r="L520" s="42"/>
      <c r="M520" s="44"/>
      <c r="N520" s="40"/>
      <c r="O520" s="40"/>
      <c r="P520" s="40"/>
      <c r="Q520" s="42">
        <f>IF(K520="","",K520)</f>
        <v>46199</v>
      </c>
      <c r="R520" s="39" t="s">
        <v>408</v>
      </c>
      <c r="S520" s="39" t="s">
        <v>410</v>
      </c>
      <c r="T520" s="39" t="s">
        <v>411</v>
      </c>
      <c r="U520" s="39" t="s">
        <v>215</v>
      </c>
      <c r="V520" s="39">
        <v>152</v>
      </c>
      <c r="W520" s="39" t="s">
        <v>567</v>
      </c>
      <c r="X520" s="41">
        <v>46188</v>
      </c>
      <c r="Y520" s="41">
        <v>46199</v>
      </c>
      <c r="Z520" s="43">
        <v>22826.400000000001</v>
      </c>
      <c r="AA520" s="45">
        <f>IF(M520&lt;&gt;"",M520,Z520)</f>
        <v>22826.400000000001</v>
      </c>
      <c r="AB520" s="46" t="str">
        <f>IF(L520&lt;&gt;"","Realizado","Previsto")</f>
        <v>Previsto</v>
      </c>
      <c r="AC520" s="47">
        <v>0.47554999999999997</v>
      </c>
      <c r="AD520" s="43">
        <v>48000</v>
      </c>
      <c r="AE520" s="39">
        <v>320</v>
      </c>
      <c r="AF520" s="39" t="s">
        <v>87</v>
      </c>
      <c r="AG520" s="43">
        <v>150</v>
      </c>
      <c r="AH520" s="39" t="s">
        <v>412</v>
      </c>
      <c r="AI520" s="39" t="s">
        <v>73</v>
      </c>
      <c r="AJ520" s="48">
        <f>IF(Q520&lt;&gt;"",Q520,IF(K520&lt;&gt;"",K520,""))</f>
        <v>46199</v>
      </c>
      <c r="AK520" s="46" t="str">
        <f>IF(K520&lt;&gt;"","Sim","")</f>
        <v>Sim</v>
      </c>
      <c r="AL520" s="46" t="str">
        <f>IF(A520="","",TEXT(A520,"000000")&amp;"-"&amp;IF(C520="Entrada","CR","DB"))</f>
        <v>000519-DB</v>
      </c>
      <c r="AM520" s="46" t="str">
        <f>IF(A520="","",LEFT(IF(H520&lt;&gt;"",H520,G520)&amp;" | "&amp;G520&amp;" | "&amp;S520,60))</f>
        <v xml:space="preserve">Mao de obra terceirizada colocaçao de Esquadrias aluminio | </v>
      </c>
    </row>
    <row r="521" spans="1:39" ht="43.2" x14ac:dyDescent="0.3">
      <c r="A521" s="39">
        <v>520</v>
      </c>
      <c r="B521" s="39" t="s">
        <v>2</v>
      </c>
      <c r="C521" s="39" t="s">
        <v>74</v>
      </c>
      <c r="D521" s="39" t="s">
        <v>408</v>
      </c>
      <c r="E521" s="39" t="s">
        <v>408</v>
      </c>
      <c r="F521" s="39" t="s">
        <v>461</v>
      </c>
      <c r="G521" s="39" t="s">
        <v>462</v>
      </c>
      <c r="H521" s="40"/>
      <c r="I521" s="40"/>
      <c r="J521" s="40"/>
      <c r="K521" s="42">
        <v>46199</v>
      </c>
      <c r="L521" s="42"/>
      <c r="M521" s="44"/>
      <c r="N521" s="40"/>
      <c r="O521" s="40"/>
      <c r="P521" s="40"/>
      <c r="Q521" s="42">
        <f>IF(K521="","",K521)</f>
        <v>46199</v>
      </c>
      <c r="R521" s="39" t="s">
        <v>408</v>
      </c>
      <c r="S521" s="39" t="s">
        <v>410</v>
      </c>
      <c r="T521" s="39" t="s">
        <v>463</v>
      </c>
      <c r="U521" s="39" t="s">
        <v>275</v>
      </c>
      <c r="V521" s="39">
        <v>145</v>
      </c>
      <c r="W521" s="39" t="s">
        <v>567</v>
      </c>
      <c r="X521" s="41">
        <v>46188</v>
      </c>
      <c r="Y521" s="41">
        <v>46199</v>
      </c>
      <c r="Z521" s="43">
        <v>7962.2400000000007</v>
      </c>
      <c r="AA521" s="45">
        <f>IF(M521&lt;&gt;"",M521,Z521)</f>
        <v>7962.2400000000007</v>
      </c>
      <c r="AB521" s="46" t="str">
        <f>IF(L521&lt;&gt;"","Realizado","Previsto")</f>
        <v>Previsto</v>
      </c>
      <c r="AC521" s="47">
        <v>0.33</v>
      </c>
      <c r="AD521" s="43">
        <v>24128</v>
      </c>
      <c r="AE521" s="39">
        <v>64</v>
      </c>
      <c r="AF521" s="39" t="s">
        <v>87</v>
      </c>
      <c r="AG521" s="43">
        <v>377</v>
      </c>
      <c r="AH521" s="39" t="s">
        <v>464</v>
      </c>
      <c r="AI521" s="39" t="s">
        <v>73</v>
      </c>
      <c r="AJ521" s="48">
        <f>IF(Q521&lt;&gt;"",Q521,IF(K521&lt;&gt;"",K521,""))</f>
        <v>46199</v>
      </c>
      <c r="AK521" s="46" t="str">
        <f>IF(K521&lt;&gt;"","Sim","")</f>
        <v>Sim</v>
      </c>
      <c r="AL521" s="46" t="str">
        <f>IF(A521="","",TEXT(A521,"000000")&amp;"-"&amp;IF(C521="Entrada","CR","DB"))</f>
        <v>000520-DB</v>
      </c>
      <c r="AM521" s="46" t="str">
        <f>IF(A521="","",LEFT(IF(H521&lt;&gt;"",H521,G521)&amp;" | "&amp;G521&amp;" | "&amp;S521,60))</f>
        <v>PORTA ALCAPAO ALUM.BCO (37MM) 60 x 50 | PORTA ALCAPAO ALUM.B</v>
      </c>
    </row>
    <row r="522" spans="1:39" ht="43.2" x14ac:dyDescent="0.3">
      <c r="A522" s="39">
        <v>521</v>
      </c>
      <c r="B522" s="39" t="s">
        <v>2</v>
      </c>
      <c r="C522" s="39" t="s">
        <v>74</v>
      </c>
      <c r="D522" s="39" t="s">
        <v>408</v>
      </c>
      <c r="E522" s="39" t="s">
        <v>408</v>
      </c>
      <c r="F522" s="39" t="s">
        <v>184</v>
      </c>
      <c r="G522" s="39" t="s">
        <v>465</v>
      </c>
      <c r="H522" s="40"/>
      <c r="I522" s="40"/>
      <c r="J522" s="40"/>
      <c r="K522" s="42">
        <v>46199</v>
      </c>
      <c r="L522" s="42"/>
      <c r="M522" s="44"/>
      <c r="N522" s="40"/>
      <c r="O522" s="40"/>
      <c r="P522" s="40"/>
      <c r="Q522" s="42">
        <f>IF(K522="","",K522)</f>
        <v>46199</v>
      </c>
      <c r="R522" s="39" t="s">
        <v>408</v>
      </c>
      <c r="S522" s="39" t="s">
        <v>410</v>
      </c>
      <c r="T522" s="39" t="s">
        <v>456</v>
      </c>
      <c r="U522" s="39" t="s">
        <v>275</v>
      </c>
      <c r="V522" s="39">
        <v>148</v>
      </c>
      <c r="W522" s="39" t="s">
        <v>567</v>
      </c>
      <c r="X522" s="41">
        <v>46188</v>
      </c>
      <c r="Y522" s="41">
        <v>46199</v>
      </c>
      <c r="Z522" s="43">
        <v>540.80000000000007</v>
      </c>
      <c r="AA522" s="45">
        <f>IF(M522&lt;&gt;"",M522,Z522)</f>
        <v>540.80000000000007</v>
      </c>
      <c r="AB522" s="46" t="str">
        <f>IF(L522&lt;&gt;"","Realizado","Previsto")</f>
        <v>Previsto</v>
      </c>
      <c r="AC522" s="47">
        <v>0.5</v>
      </c>
      <c r="AD522" s="43">
        <v>1081.5999999999999</v>
      </c>
      <c r="AE522" s="39">
        <v>1664</v>
      </c>
      <c r="AF522" s="39" t="s">
        <v>87</v>
      </c>
      <c r="AG522" s="43">
        <v>0.65</v>
      </c>
      <c r="AH522" s="39" t="s">
        <v>457</v>
      </c>
      <c r="AI522" s="39" t="s">
        <v>73</v>
      </c>
      <c r="AJ522" s="48">
        <f>IF(Q522&lt;&gt;"",Q522,IF(K522&lt;&gt;"",K522,""))</f>
        <v>46199</v>
      </c>
      <c r="AK522" s="46" t="str">
        <f>IF(K522&lt;&gt;"","Sim","")</f>
        <v>Sim</v>
      </c>
      <c r="AL522" s="46" t="str">
        <f>IF(A522="","",TEXT(A522,"000000")&amp;"-"&amp;IF(C522="Entrada","CR","DB"))</f>
        <v>000521-DB</v>
      </c>
      <c r="AM522" s="46" t="str">
        <f>IF(A522="","",LEFT(IF(H522&lt;&gt;"",H522,G522)&amp;" | "&amp;G522&amp;" | "&amp;S522,60))</f>
        <v>Parafuso panela fenda/phillips 4,8 x 50 mm - INOX | Parafuso</v>
      </c>
    </row>
    <row r="523" spans="1:39" ht="43.2" x14ac:dyDescent="0.3">
      <c r="A523" s="39">
        <v>522</v>
      </c>
      <c r="B523" s="39" t="s">
        <v>2</v>
      </c>
      <c r="C523" s="39" t="s">
        <v>74</v>
      </c>
      <c r="D523" s="39" t="s">
        <v>408</v>
      </c>
      <c r="E523" s="39" t="s">
        <v>408</v>
      </c>
      <c r="F523" s="39" t="s">
        <v>184</v>
      </c>
      <c r="G523" s="39" t="s">
        <v>466</v>
      </c>
      <c r="H523" s="40"/>
      <c r="I523" s="40"/>
      <c r="J523" s="40"/>
      <c r="K523" s="42">
        <v>46199</v>
      </c>
      <c r="L523" s="42"/>
      <c r="M523" s="44"/>
      <c r="N523" s="40"/>
      <c r="O523" s="40"/>
      <c r="P523" s="40"/>
      <c r="Q523" s="42">
        <f>IF(K523="","",K523)</f>
        <v>46199</v>
      </c>
      <c r="R523" s="39" t="s">
        <v>408</v>
      </c>
      <c r="S523" s="39" t="s">
        <v>410</v>
      </c>
      <c r="T523" s="39" t="s">
        <v>456</v>
      </c>
      <c r="U523" s="39" t="s">
        <v>275</v>
      </c>
      <c r="V523" s="39">
        <v>149</v>
      </c>
      <c r="W523" s="39" t="s">
        <v>567</v>
      </c>
      <c r="X523" s="41">
        <v>46188</v>
      </c>
      <c r="Y523" s="41">
        <v>46199</v>
      </c>
      <c r="Z523" s="43">
        <v>1920</v>
      </c>
      <c r="AA523" s="45">
        <f>IF(M523&lt;&gt;"",M523,Z523)</f>
        <v>1920</v>
      </c>
      <c r="AB523" s="46" t="str">
        <f>IF(L523&lt;&gt;"","Realizado","Previsto")</f>
        <v>Previsto</v>
      </c>
      <c r="AC523" s="47">
        <v>0.5</v>
      </c>
      <c r="AD523" s="43">
        <v>3840</v>
      </c>
      <c r="AE523" s="39">
        <v>256</v>
      </c>
      <c r="AF523" s="39" t="s">
        <v>87</v>
      </c>
      <c r="AG523" s="43">
        <v>15</v>
      </c>
      <c r="AH523" s="39" t="s">
        <v>457</v>
      </c>
      <c r="AI523" s="39" t="s">
        <v>73</v>
      </c>
      <c r="AJ523" s="48">
        <f>IF(Q523&lt;&gt;"",Q523,IF(K523&lt;&gt;"",K523,""))</f>
        <v>46199</v>
      </c>
      <c r="AK523" s="46" t="str">
        <f>IF(K523&lt;&gt;"","Sim","")</f>
        <v>Sim</v>
      </c>
      <c r="AL523" s="46" t="str">
        <f>IF(A523="","",TEXT(A523,"000000")&amp;"-"&amp;IF(C523="Entrada","CR","DB"))</f>
        <v>000522-DB</v>
      </c>
      <c r="AM523" s="46" t="str">
        <f>IF(A523="","",LEFT(IF(H523&lt;&gt;"",H523,G523)&amp;" | "&amp;G523&amp;" | "&amp;S523,60))</f>
        <v>Selante acrilico c / 390 g - TECKBOND | Selante acrilico c /</v>
      </c>
    </row>
    <row r="524" spans="1:39" ht="43.2" x14ac:dyDescent="0.3">
      <c r="A524" s="39">
        <v>523</v>
      </c>
      <c r="B524" s="39" t="s">
        <v>2</v>
      </c>
      <c r="C524" s="39" t="s">
        <v>74</v>
      </c>
      <c r="D524" s="39" t="s">
        <v>408</v>
      </c>
      <c r="E524" s="39" t="s">
        <v>408</v>
      </c>
      <c r="F524" s="39" t="s">
        <v>461</v>
      </c>
      <c r="G524" s="39" t="s">
        <v>467</v>
      </c>
      <c r="H524" s="40"/>
      <c r="I524" s="40"/>
      <c r="J524" s="40"/>
      <c r="K524" s="42">
        <v>46199</v>
      </c>
      <c r="L524" s="42"/>
      <c r="M524" s="44"/>
      <c r="N524" s="40"/>
      <c r="O524" s="40"/>
      <c r="P524" s="40"/>
      <c r="Q524" s="42">
        <f>IF(K524="","",K524)</f>
        <v>46199</v>
      </c>
      <c r="R524" s="39" t="s">
        <v>408</v>
      </c>
      <c r="S524" s="39" t="s">
        <v>410</v>
      </c>
      <c r="T524" s="39" t="s">
        <v>463</v>
      </c>
      <c r="U524" s="39" t="s">
        <v>275</v>
      </c>
      <c r="V524" s="39">
        <v>144</v>
      </c>
      <c r="W524" s="39" t="s">
        <v>567</v>
      </c>
      <c r="X524" s="41">
        <v>46188</v>
      </c>
      <c r="Y524" s="41">
        <v>46199</v>
      </c>
      <c r="Z524" s="43">
        <v>3907.2</v>
      </c>
      <c r="AA524" s="45">
        <f>IF(M524&lt;&gt;"",M524,Z524)</f>
        <v>3907.2</v>
      </c>
      <c r="AB524" s="46" t="str">
        <f>IF(L524&lt;&gt;"","Realizado","Previsto")</f>
        <v>Previsto</v>
      </c>
      <c r="AC524" s="47">
        <v>0.33</v>
      </c>
      <c r="AD524" s="43">
        <v>11840</v>
      </c>
      <c r="AE524" s="39">
        <v>64</v>
      </c>
      <c r="AF524" s="39" t="s">
        <v>87</v>
      </c>
      <c r="AG524" s="43">
        <v>185</v>
      </c>
      <c r="AH524" s="39" t="s">
        <v>464</v>
      </c>
      <c r="AI524" s="39" t="s">
        <v>73</v>
      </c>
      <c r="AJ524" s="48">
        <f>IF(Q524&lt;&gt;"",Q524,IF(K524&lt;&gt;"",K524,""))</f>
        <v>46199</v>
      </c>
      <c r="AK524" s="46" t="str">
        <f>IF(K524&lt;&gt;"","Sim","")</f>
        <v>Sim</v>
      </c>
      <c r="AL524" s="46" t="str">
        <f>IF(A524="","",TEXT(A524,"000000")&amp;"-"&amp;IF(C524="Entrada","CR","DB"))</f>
        <v>000523-DB</v>
      </c>
      <c r="AM524" s="46" t="str">
        <f>IF(A524="","",LEFT(IF(H524&lt;&gt;"",H524,G524)&amp;" | "&amp;G524&amp;" | "&amp;S524,60))</f>
        <v>VITRO MAXIMO-AR ALUM.BCO (38MM) 60 X 60 MBOREAL | VITRO MAXI</v>
      </c>
    </row>
    <row r="525" spans="1:39" ht="43.2" x14ac:dyDescent="0.3">
      <c r="A525" s="39">
        <v>524</v>
      </c>
      <c r="B525" s="39" t="s">
        <v>2</v>
      </c>
      <c r="C525" s="39" t="s">
        <v>74</v>
      </c>
      <c r="D525" s="39" t="s">
        <v>408</v>
      </c>
      <c r="E525" s="39" t="s">
        <v>408</v>
      </c>
      <c r="F525" s="39" t="s">
        <v>461</v>
      </c>
      <c r="G525" s="39" t="s">
        <v>468</v>
      </c>
      <c r="H525" s="40"/>
      <c r="I525" s="40"/>
      <c r="J525" s="40"/>
      <c r="K525" s="42">
        <v>46199</v>
      </c>
      <c r="L525" s="42"/>
      <c r="M525" s="44"/>
      <c r="N525" s="40"/>
      <c r="O525" s="40"/>
      <c r="P525" s="40"/>
      <c r="Q525" s="42">
        <f>IF(K525="","",K525)</f>
        <v>46199</v>
      </c>
      <c r="R525" s="39" t="s">
        <v>408</v>
      </c>
      <c r="S525" s="39" t="s">
        <v>410</v>
      </c>
      <c r="T525" s="39" t="s">
        <v>463</v>
      </c>
      <c r="U525" s="39" t="s">
        <v>275</v>
      </c>
      <c r="V525" s="39">
        <v>143</v>
      </c>
      <c r="W525" s="39" t="s">
        <v>567</v>
      </c>
      <c r="X525" s="41">
        <v>46188</v>
      </c>
      <c r="Y525" s="41">
        <v>46199</v>
      </c>
      <c r="Z525" s="43">
        <v>29145.599999999999</v>
      </c>
      <c r="AA525" s="45">
        <f>IF(M525&lt;&gt;"",M525,Z525)</f>
        <v>29145.599999999999</v>
      </c>
      <c r="AB525" s="46" t="str">
        <f>IF(L525&lt;&gt;"","Realizado","Previsto")</f>
        <v>Previsto</v>
      </c>
      <c r="AC525" s="47">
        <v>0.33</v>
      </c>
      <c r="AD525" s="43">
        <v>88320</v>
      </c>
      <c r="AE525" s="39">
        <v>192</v>
      </c>
      <c r="AF525" s="39" t="s">
        <v>87</v>
      </c>
      <c r="AG525" s="43">
        <v>460</v>
      </c>
      <c r="AH525" s="39" t="s">
        <v>464</v>
      </c>
      <c r="AI525" s="39" t="s">
        <v>73</v>
      </c>
      <c r="AJ525" s="48">
        <f>IF(Q525&lt;&gt;"",Q525,IF(K525&lt;&gt;"",K525,""))</f>
        <v>46199</v>
      </c>
      <c r="AK525" s="46" t="str">
        <f>IF(K525&lt;&gt;"","Sim","")</f>
        <v>Sim</v>
      </c>
      <c r="AL525" s="46" t="str">
        <f>IF(A525="","",TEXT(A525,"000000")&amp;"-"&amp;IF(C525="Entrada","CR","DB"))</f>
        <v>000524-DB</v>
      </c>
      <c r="AM525" s="46" t="str">
        <f>IF(A525="","",LEFT(IF(H525&lt;&gt;"",H525,G525)&amp;" | "&amp;G525&amp;" | "&amp;S525,60))</f>
        <v>VITRO SOFT AL.BC 2FL (53MM) 120 X 1,20 | VITRO SOFT AL.BC 2F</v>
      </c>
    </row>
    <row r="526" spans="1:39" ht="43.2" x14ac:dyDescent="0.3">
      <c r="A526" s="39">
        <v>525</v>
      </c>
      <c r="B526" s="39" t="s">
        <v>2</v>
      </c>
      <c r="C526" s="39" t="s">
        <v>74</v>
      </c>
      <c r="D526" s="39" t="s">
        <v>82</v>
      </c>
      <c r="E526" s="39" t="s">
        <v>82</v>
      </c>
      <c r="F526" s="39" t="s">
        <v>90</v>
      </c>
      <c r="G526" s="39" t="s">
        <v>159</v>
      </c>
      <c r="H526" s="40"/>
      <c r="I526" s="40"/>
      <c r="J526" s="40"/>
      <c r="K526" s="42">
        <v>46199</v>
      </c>
      <c r="L526" s="42"/>
      <c r="M526" s="44"/>
      <c r="N526" s="40"/>
      <c r="O526" s="40"/>
      <c r="P526" s="40"/>
      <c r="Q526" s="42">
        <f>IF(K526="","",K526)</f>
        <v>46199</v>
      </c>
      <c r="R526" s="39" t="s">
        <v>82</v>
      </c>
      <c r="S526" s="39" t="s">
        <v>85</v>
      </c>
      <c r="T526" s="39" t="s">
        <v>92</v>
      </c>
      <c r="U526" s="39"/>
      <c r="V526" s="39">
        <v>264</v>
      </c>
      <c r="W526" s="39" t="s">
        <v>567</v>
      </c>
      <c r="X526" s="41">
        <v>46188</v>
      </c>
      <c r="Y526" s="41">
        <v>46199</v>
      </c>
      <c r="Z526" s="43">
        <v>7500</v>
      </c>
      <c r="AA526" s="45">
        <f>IF(M526&lt;&gt;"",M526,Z526)</f>
        <v>7500</v>
      </c>
      <c r="AB526" s="46" t="str">
        <f>IF(L526&lt;&gt;"","Realizado","Previsto")</f>
        <v>Previsto</v>
      </c>
      <c r="AC526" s="47">
        <v>0.25</v>
      </c>
      <c r="AD526" s="43">
        <v>30000</v>
      </c>
      <c r="AE526" s="39"/>
      <c r="AF526" s="39"/>
      <c r="AG526" s="43">
        <v>7500</v>
      </c>
      <c r="AH526" s="39" t="s">
        <v>93</v>
      </c>
      <c r="AI526" s="39" t="s">
        <v>73</v>
      </c>
      <c r="AJ526" s="48">
        <f>IF(Q526&lt;&gt;"",Q526,IF(K526&lt;&gt;"",K526,""))</f>
        <v>46199</v>
      </c>
      <c r="AK526" s="46" t="str">
        <f>IF(K526&lt;&gt;"","Sim","")</f>
        <v>Sim</v>
      </c>
      <c r="AL526" s="46" t="str">
        <f>IF(A526="","",TEXT(A526,"000000")&amp;"-"&amp;IF(C526="Entrada","CR","DB"))</f>
        <v>000525-DB</v>
      </c>
      <c r="AM526" s="46" t="str">
        <f>IF(A526="","",LEFT(IF(H526&lt;&gt;"",H526,G526)&amp;" | "&amp;G526&amp;" | "&amp;S526,60))</f>
        <v>ALMOXARIFADO | ALMOXARIFADO | Saída | GESTÃO LOCAL</v>
      </c>
    </row>
    <row r="527" spans="1:39" ht="43.2" x14ac:dyDescent="0.3">
      <c r="A527" s="39">
        <v>526</v>
      </c>
      <c r="B527" s="39" t="s">
        <v>2</v>
      </c>
      <c r="C527" s="39" t="s">
        <v>74</v>
      </c>
      <c r="D527" s="39" t="s">
        <v>82</v>
      </c>
      <c r="E527" s="39" t="s">
        <v>82</v>
      </c>
      <c r="F527" s="39" t="s">
        <v>90</v>
      </c>
      <c r="G527" s="39" t="s">
        <v>160</v>
      </c>
      <c r="H527" s="40"/>
      <c r="I527" s="40"/>
      <c r="J527" s="40"/>
      <c r="K527" s="42">
        <v>46199</v>
      </c>
      <c r="L527" s="42"/>
      <c r="M527" s="44"/>
      <c r="N527" s="40"/>
      <c r="O527" s="40"/>
      <c r="P527" s="40"/>
      <c r="Q527" s="42">
        <f>IF(K527="","",K527)</f>
        <v>46199</v>
      </c>
      <c r="R527" s="39" t="s">
        <v>82</v>
      </c>
      <c r="S527" s="39" t="s">
        <v>85</v>
      </c>
      <c r="T527" s="39" t="s">
        <v>92</v>
      </c>
      <c r="U527" s="39"/>
      <c r="V527" s="39">
        <v>265</v>
      </c>
      <c r="W527" s="39" t="s">
        <v>567</v>
      </c>
      <c r="X527" s="41">
        <v>46188</v>
      </c>
      <c r="Y527" s="41">
        <v>46199</v>
      </c>
      <c r="Z527" s="43">
        <v>3500</v>
      </c>
      <c r="AA527" s="45">
        <f>IF(M527&lt;&gt;"",M527,Z527)</f>
        <v>3500</v>
      </c>
      <c r="AB527" s="46" t="str">
        <f>IF(L527&lt;&gt;"","Realizado","Previsto")</f>
        <v>Previsto</v>
      </c>
      <c r="AC527" s="47">
        <v>0.25</v>
      </c>
      <c r="AD527" s="43">
        <v>14000</v>
      </c>
      <c r="AE527" s="39"/>
      <c r="AF527" s="39" t="s">
        <v>79</v>
      </c>
      <c r="AG527" s="43">
        <v>3500</v>
      </c>
      <c r="AH527" s="39" t="s">
        <v>93</v>
      </c>
      <c r="AI527" s="39" t="s">
        <v>73</v>
      </c>
      <c r="AJ527" s="48">
        <f>IF(Q527&lt;&gt;"",Q527,IF(K527&lt;&gt;"",K527,""))</f>
        <v>46199</v>
      </c>
      <c r="AK527" s="46" t="str">
        <f>IF(K527&lt;&gt;"","Sim","")</f>
        <v>Sim</v>
      </c>
      <c r="AL527" s="46" t="str">
        <f>IF(A527="","",TEXT(A527,"000000")&amp;"-"&amp;IF(C527="Entrada","CR","DB"))</f>
        <v>000526-DB</v>
      </c>
      <c r="AM527" s="46" t="str">
        <f>IF(A527="","",LEFT(IF(H527&lt;&gt;"",H527,G527)&amp;" | "&amp;G527&amp;" | "&amp;S527,60))</f>
        <v xml:space="preserve">Alojamento Arbnb (mestre, engenheiro. Tecnico) | Alojamento </v>
      </c>
    </row>
    <row r="528" spans="1:39" ht="43.2" x14ac:dyDescent="0.3">
      <c r="A528" s="39">
        <v>527</v>
      </c>
      <c r="B528" s="39" t="s">
        <v>2</v>
      </c>
      <c r="C528" s="39" t="s">
        <v>74</v>
      </c>
      <c r="D528" s="39" t="s">
        <v>82</v>
      </c>
      <c r="E528" s="39" t="s">
        <v>82</v>
      </c>
      <c r="F528" s="39" t="s">
        <v>94</v>
      </c>
      <c r="G528" s="39" t="s">
        <v>161</v>
      </c>
      <c r="H528" s="40"/>
      <c r="I528" s="40"/>
      <c r="J528" s="40"/>
      <c r="K528" s="42">
        <v>46199</v>
      </c>
      <c r="L528" s="42"/>
      <c r="M528" s="44"/>
      <c r="N528" s="40"/>
      <c r="O528" s="40"/>
      <c r="P528" s="40"/>
      <c r="Q528" s="42">
        <f>IF(K528="","",K528)</f>
        <v>46199</v>
      </c>
      <c r="R528" s="39" t="s">
        <v>82</v>
      </c>
      <c r="S528" s="39" t="s">
        <v>85</v>
      </c>
      <c r="T528" s="39" t="s">
        <v>96</v>
      </c>
      <c r="U528" s="39"/>
      <c r="V528" s="39">
        <v>252</v>
      </c>
      <c r="W528" s="39" t="s">
        <v>567</v>
      </c>
      <c r="X528" s="41">
        <v>46188</v>
      </c>
      <c r="Y528" s="41">
        <v>46199</v>
      </c>
      <c r="Z528" s="43">
        <v>1140</v>
      </c>
      <c r="AA528" s="45">
        <f>IF(M528&lt;&gt;"",M528,Z528)</f>
        <v>1140</v>
      </c>
      <c r="AB528" s="46" t="str">
        <f>IF(L528&lt;&gt;"","Realizado","Previsto")</f>
        <v>Previsto</v>
      </c>
      <c r="AC528" s="47">
        <v>0.25</v>
      </c>
      <c r="AD528" s="43">
        <v>4560</v>
      </c>
      <c r="AE528" s="39"/>
      <c r="AF528" s="39" t="s">
        <v>79</v>
      </c>
      <c r="AG528" s="43">
        <v>1140</v>
      </c>
      <c r="AH528" s="39" t="s">
        <v>97</v>
      </c>
      <c r="AI528" s="39" t="s">
        <v>73</v>
      </c>
      <c r="AJ528" s="48">
        <f>IF(Q528&lt;&gt;"",Q528,IF(K528&lt;&gt;"",K528,""))</f>
        <v>46199</v>
      </c>
      <c r="AK528" s="46" t="str">
        <f>IF(K528&lt;&gt;"","Sim","")</f>
        <v>Sim</v>
      </c>
      <c r="AL528" s="46" t="str">
        <f>IF(A528="","",TEXT(A528,"000000")&amp;"-"&amp;IF(C528="Entrada","CR","DB"))</f>
        <v>000527-DB</v>
      </c>
      <c r="AM528" s="46" t="str">
        <f>IF(A528="","",LEFT(IF(H528&lt;&gt;"",H528,G528)&amp;" | "&amp;G528&amp;" | "&amp;S528,60))</f>
        <v>Aluguel container Banheiro | Aluguel container Banheiro | Sa</v>
      </c>
    </row>
    <row r="529" spans="1:39" ht="43.2" x14ac:dyDescent="0.3">
      <c r="A529" s="39">
        <v>528</v>
      </c>
      <c r="B529" s="39" t="s">
        <v>2</v>
      </c>
      <c r="C529" s="39" t="s">
        <v>74</v>
      </c>
      <c r="D529" s="39" t="s">
        <v>82</v>
      </c>
      <c r="E529" s="39" t="s">
        <v>82</v>
      </c>
      <c r="F529" s="39" t="s">
        <v>94</v>
      </c>
      <c r="G529" s="39" t="s">
        <v>162</v>
      </c>
      <c r="H529" s="40"/>
      <c r="I529" s="40"/>
      <c r="J529" s="40"/>
      <c r="K529" s="42">
        <v>46199</v>
      </c>
      <c r="L529" s="42"/>
      <c r="M529" s="44"/>
      <c r="N529" s="40"/>
      <c r="O529" s="40"/>
      <c r="P529" s="40"/>
      <c r="Q529" s="42">
        <f>IF(K529="","",K529)</f>
        <v>46199</v>
      </c>
      <c r="R529" s="39" t="s">
        <v>82</v>
      </c>
      <c r="S529" s="39" t="s">
        <v>85</v>
      </c>
      <c r="T529" s="39" t="s">
        <v>96</v>
      </c>
      <c r="U529" s="39"/>
      <c r="V529" s="39">
        <v>254</v>
      </c>
      <c r="W529" s="39" t="s">
        <v>567</v>
      </c>
      <c r="X529" s="41">
        <v>46188</v>
      </c>
      <c r="Y529" s="41">
        <v>46199</v>
      </c>
      <c r="Z529" s="43">
        <v>400</v>
      </c>
      <c r="AA529" s="45">
        <f>IF(M529&lt;&gt;"",M529,Z529)</f>
        <v>400</v>
      </c>
      <c r="AB529" s="46" t="str">
        <f>IF(L529&lt;&gt;"","Realizado","Previsto")</f>
        <v>Previsto</v>
      </c>
      <c r="AC529" s="47">
        <v>0.25</v>
      </c>
      <c r="AD529" s="43">
        <v>1600</v>
      </c>
      <c r="AE529" s="39"/>
      <c r="AF529" s="39" t="s">
        <v>79</v>
      </c>
      <c r="AG529" s="43">
        <v>400</v>
      </c>
      <c r="AH529" s="39" t="s">
        <v>97</v>
      </c>
      <c r="AI529" s="39" t="s">
        <v>73</v>
      </c>
      <c r="AJ529" s="48">
        <f>IF(Q529&lt;&gt;"",Q529,IF(K529&lt;&gt;"",K529,""))</f>
        <v>46199</v>
      </c>
      <c r="AK529" s="46" t="str">
        <f>IF(K529&lt;&gt;"","Sim","")</f>
        <v>Sim</v>
      </c>
      <c r="AL529" s="46" t="str">
        <f>IF(A529="","",TEXT(A529,"000000")&amp;"-"&amp;IF(C529="Entrada","CR","DB"))</f>
        <v>000528-DB</v>
      </c>
      <c r="AM529" s="46" t="str">
        <f>IF(A529="","",LEFT(IF(H529&lt;&gt;"",H529,G529)&amp;" | "&amp;G529&amp;" | "&amp;S529,60))</f>
        <v>Aluguel container almoxarifado | Aluguel container almoxarif</v>
      </c>
    </row>
    <row r="530" spans="1:39" ht="43.2" x14ac:dyDescent="0.3">
      <c r="A530" s="39">
        <v>529</v>
      </c>
      <c r="B530" s="39" t="s">
        <v>2</v>
      </c>
      <c r="C530" s="39" t="s">
        <v>74</v>
      </c>
      <c r="D530" s="39" t="s">
        <v>82</v>
      </c>
      <c r="E530" s="39" t="s">
        <v>82</v>
      </c>
      <c r="F530" s="39" t="s">
        <v>94</v>
      </c>
      <c r="G530" s="39" t="s">
        <v>163</v>
      </c>
      <c r="H530" s="40"/>
      <c r="I530" s="40"/>
      <c r="J530" s="40"/>
      <c r="K530" s="42">
        <v>46199</v>
      </c>
      <c r="L530" s="42"/>
      <c r="M530" s="44"/>
      <c r="N530" s="40"/>
      <c r="O530" s="40"/>
      <c r="P530" s="40"/>
      <c r="Q530" s="42">
        <f>IF(K530="","",K530)</f>
        <v>46199</v>
      </c>
      <c r="R530" s="39" t="s">
        <v>82</v>
      </c>
      <c r="S530" s="39" t="s">
        <v>85</v>
      </c>
      <c r="T530" s="39" t="s">
        <v>96</v>
      </c>
      <c r="U530" s="39"/>
      <c r="V530" s="39">
        <v>255</v>
      </c>
      <c r="W530" s="39" t="s">
        <v>567</v>
      </c>
      <c r="X530" s="41">
        <v>46188</v>
      </c>
      <c r="Y530" s="41">
        <v>46199</v>
      </c>
      <c r="Z530" s="43">
        <v>900</v>
      </c>
      <c r="AA530" s="45">
        <f>IF(M530&lt;&gt;"",M530,Z530)</f>
        <v>900</v>
      </c>
      <c r="AB530" s="46" t="str">
        <f>IF(L530&lt;&gt;"","Realizado","Previsto")</f>
        <v>Previsto</v>
      </c>
      <c r="AC530" s="47">
        <v>0.25</v>
      </c>
      <c r="AD530" s="43">
        <v>3600</v>
      </c>
      <c r="AE530" s="39"/>
      <c r="AF530" s="39" t="s">
        <v>79</v>
      </c>
      <c r="AG530" s="43">
        <v>900</v>
      </c>
      <c r="AH530" s="39" t="s">
        <v>97</v>
      </c>
      <c r="AI530" s="39" t="s">
        <v>73</v>
      </c>
      <c r="AJ530" s="48">
        <f>IF(Q530&lt;&gt;"",Q530,IF(K530&lt;&gt;"",K530,""))</f>
        <v>46199</v>
      </c>
      <c r="AK530" s="46" t="str">
        <f>IF(K530&lt;&gt;"","Sim","")</f>
        <v>Sim</v>
      </c>
      <c r="AL530" s="46" t="str">
        <f>IF(A530="","",TEXT(A530,"000000")&amp;"-"&amp;IF(C530="Entrada","CR","DB"))</f>
        <v>000529-DB</v>
      </c>
      <c r="AM530" s="46" t="str">
        <f>IF(A530="","",LEFT(IF(H530&lt;&gt;"",H530,G530)&amp;" | "&amp;G530&amp;" | "&amp;S530,60))</f>
        <v xml:space="preserve">Aluguel container escritorio | Aluguel container escritorio </v>
      </c>
    </row>
    <row r="531" spans="1:39" ht="43.2" x14ac:dyDescent="0.3">
      <c r="A531" s="39">
        <v>530</v>
      </c>
      <c r="B531" s="39" t="s">
        <v>2</v>
      </c>
      <c r="C531" s="39" t="s">
        <v>74</v>
      </c>
      <c r="D531" s="39" t="s">
        <v>82</v>
      </c>
      <c r="E531" s="39" t="s">
        <v>82</v>
      </c>
      <c r="F531" s="39" t="s">
        <v>90</v>
      </c>
      <c r="G531" s="39" t="s">
        <v>164</v>
      </c>
      <c r="H531" s="40"/>
      <c r="I531" s="40"/>
      <c r="J531" s="40"/>
      <c r="K531" s="42">
        <v>46199</v>
      </c>
      <c r="L531" s="42"/>
      <c r="M531" s="44"/>
      <c r="N531" s="40"/>
      <c r="O531" s="40"/>
      <c r="P531" s="40"/>
      <c r="Q531" s="42">
        <f>IF(K531="","",K531)</f>
        <v>46199</v>
      </c>
      <c r="R531" s="39" t="s">
        <v>82</v>
      </c>
      <c r="S531" s="39" t="s">
        <v>85</v>
      </c>
      <c r="T531" s="39" t="s">
        <v>92</v>
      </c>
      <c r="U531" s="39" t="s">
        <v>165</v>
      </c>
      <c r="V531" s="39">
        <v>262</v>
      </c>
      <c r="W531" s="39" t="s">
        <v>567</v>
      </c>
      <c r="X531" s="41">
        <v>46188</v>
      </c>
      <c r="Y531" s="41">
        <v>46199</v>
      </c>
      <c r="Z531" s="43">
        <v>3000</v>
      </c>
      <c r="AA531" s="45">
        <f>IF(M531&lt;&gt;"",M531,Z531)</f>
        <v>3000</v>
      </c>
      <c r="AB531" s="46" t="str">
        <f>IF(L531&lt;&gt;"","Realizado","Previsto")</f>
        <v>Previsto</v>
      </c>
      <c r="AC531" s="47">
        <v>0.25</v>
      </c>
      <c r="AD531" s="43">
        <v>12000</v>
      </c>
      <c r="AE531" s="39"/>
      <c r="AF531" s="39" t="s">
        <v>79</v>
      </c>
      <c r="AG531" s="43">
        <v>3000</v>
      </c>
      <c r="AH531" s="39" t="s">
        <v>93</v>
      </c>
      <c r="AI531" s="39" t="s">
        <v>73</v>
      </c>
      <c r="AJ531" s="48">
        <f>IF(Q531&lt;&gt;"",Q531,IF(K531&lt;&gt;"",K531,""))</f>
        <v>46199</v>
      </c>
      <c r="AK531" s="46" t="str">
        <f>IF(K531&lt;&gt;"","Sim","")</f>
        <v>Sim</v>
      </c>
      <c r="AL531" s="46" t="str">
        <f>IF(A531="","",TEXT(A531,"000000")&amp;"-"&amp;IF(C531="Entrada","CR","DB"))</f>
        <v>000530-DB</v>
      </c>
      <c r="AM531" s="46" t="str">
        <f>IF(A531="","",LEFT(IF(H531&lt;&gt;"",H531,G531)&amp;" | "&amp;G531&amp;" | "&amp;S531,60))</f>
        <v>COMPRADOR | COMPRADOR | Saída | GESTÃO LOCAL</v>
      </c>
    </row>
    <row r="532" spans="1:39" ht="43.2" x14ac:dyDescent="0.3">
      <c r="A532" s="39">
        <v>531</v>
      </c>
      <c r="B532" s="39" t="s">
        <v>2</v>
      </c>
      <c r="C532" s="39" t="s">
        <v>74</v>
      </c>
      <c r="D532" s="39" t="s">
        <v>82</v>
      </c>
      <c r="E532" s="39" t="s">
        <v>82</v>
      </c>
      <c r="F532" s="39" t="s">
        <v>90</v>
      </c>
      <c r="G532" s="39" t="s">
        <v>166</v>
      </c>
      <c r="H532" s="40"/>
      <c r="I532" s="40"/>
      <c r="J532" s="40"/>
      <c r="K532" s="42">
        <v>46199</v>
      </c>
      <c r="L532" s="42"/>
      <c r="M532" s="44"/>
      <c r="N532" s="40"/>
      <c r="O532" s="40"/>
      <c r="P532" s="40"/>
      <c r="Q532" s="42">
        <f>IF(K532="","",K532)</f>
        <v>46199</v>
      </c>
      <c r="R532" s="39" t="s">
        <v>82</v>
      </c>
      <c r="S532" s="39" t="s">
        <v>85</v>
      </c>
      <c r="T532" s="39" t="s">
        <v>92</v>
      </c>
      <c r="U532" s="39"/>
      <c r="V532" s="39">
        <v>259</v>
      </c>
      <c r="W532" s="39" t="s">
        <v>567</v>
      </c>
      <c r="X532" s="41">
        <v>46188</v>
      </c>
      <c r="Y532" s="41">
        <v>46199</v>
      </c>
      <c r="Z532" s="43">
        <v>10000</v>
      </c>
      <c r="AA532" s="45">
        <f>IF(M532&lt;&gt;"",M532,Z532)</f>
        <v>10000</v>
      </c>
      <c r="AB532" s="46" t="str">
        <f>IF(L532&lt;&gt;"","Realizado","Previsto")</f>
        <v>Previsto</v>
      </c>
      <c r="AC532" s="47">
        <v>0.25</v>
      </c>
      <c r="AD532" s="43">
        <v>40000</v>
      </c>
      <c r="AE532" s="39"/>
      <c r="AF532" s="39" t="s">
        <v>79</v>
      </c>
      <c r="AG532" s="43">
        <v>10000</v>
      </c>
      <c r="AH532" s="39" t="s">
        <v>93</v>
      </c>
      <c r="AI532" s="39" t="s">
        <v>73</v>
      </c>
      <c r="AJ532" s="48">
        <f>IF(Q532&lt;&gt;"",Q532,IF(K532&lt;&gt;"",K532,""))</f>
        <v>46199</v>
      </c>
      <c r="AK532" s="46" t="str">
        <f>IF(K532&lt;&gt;"","Sim","")</f>
        <v>Sim</v>
      </c>
      <c r="AL532" s="46" t="str">
        <f>IF(A532="","",TEXT(A532,"000000")&amp;"-"&amp;IF(C532="Entrada","CR","DB"))</f>
        <v>000531-DB</v>
      </c>
      <c r="AM532" s="46" t="str">
        <f>IF(A532="","",LEFT(IF(H532&lt;&gt;"",H532,G532)&amp;" | "&amp;G532&amp;" | "&amp;S532,60))</f>
        <v>ENGENHEIRO RESIDENTE - ( rateado em 3 canteiros) carro inclu</v>
      </c>
    </row>
    <row r="533" spans="1:39" ht="43.2" x14ac:dyDescent="0.3">
      <c r="A533" s="39">
        <v>532</v>
      </c>
      <c r="B533" s="39" t="s">
        <v>2</v>
      </c>
      <c r="C533" s="39" t="s">
        <v>74</v>
      </c>
      <c r="D533" s="39" t="s">
        <v>82</v>
      </c>
      <c r="E533" s="39" t="s">
        <v>82</v>
      </c>
      <c r="F533" s="39" t="s">
        <v>94</v>
      </c>
      <c r="G533" s="39" t="s">
        <v>95</v>
      </c>
      <c r="H533" s="40"/>
      <c r="I533" s="40"/>
      <c r="J533" s="40"/>
      <c r="K533" s="42">
        <v>46199</v>
      </c>
      <c r="L533" s="42"/>
      <c r="M533" s="44"/>
      <c r="N533" s="40"/>
      <c r="O533" s="40"/>
      <c r="P533" s="40"/>
      <c r="Q533" s="42">
        <f>IF(K533="","",K533)</f>
        <v>46199</v>
      </c>
      <c r="R533" s="39" t="s">
        <v>82</v>
      </c>
      <c r="S533" s="39" t="s">
        <v>85</v>
      </c>
      <c r="T533" s="39" t="s">
        <v>96</v>
      </c>
      <c r="U533" s="39"/>
      <c r="V533" s="39">
        <v>253</v>
      </c>
      <c r="W533" s="39" t="s">
        <v>567</v>
      </c>
      <c r="X533" s="41">
        <v>46188</v>
      </c>
      <c r="Y533" s="41">
        <v>46199</v>
      </c>
      <c r="Z533" s="43">
        <v>6100</v>
      </c>
      <c r="AA533" s="45">
        <f>IF(M533&lt;&gt;"",M533,Z533)</f>
        <v>6100</v>
      </c>
      <c r="AB533" s="46" t="str">
        <f>IF(L533&lt;&gt;"","Realizado","Previsto")</f>
        <v>Previsto</v>
      </c>
      <c r="AC533" s="47">
        <v>0.5</v>
      </c>
      <c r="AD533" s="43">
        <v>12200</v>
      </c>
      <c r="AE533" s="39"/>
      <c r="AF533" s="39" t="s">
        <v>79</v>
      </c>
      <c r="AG533" s="43">
        <v>6100</v>
      </c>
      <c r="AH533" s="39" t="s">
        <v>97</v>
      </c>
      <c r="AI533" s="39" t="s">
        <v>73</v>
      </c>
      <c r="AJ533" s="48">
        <f>IF(Q533&lt;&gt;"",Q533,IF(K533&lt;&gt;"",K533,""))</f>
        <v>46199</v>
      </c>
      <c r="AK533" s="46" t="str">
        <f>IF(K533&lt;&gt;"","Sim","")</f>
        <v>Sim</v>
      </c>
      <c r="AL533" s="46" t="str">
        <f>IF(A533="","",TEXT(A533,"000000")&amp;"-"&amp;IF(C533="Entrada","CR","DB"))</f>
        <v>000532-DB</v>
      </c>
      <c r="AM533" s="46" t="str">
        <f>IF(A533="","",LEFT(IF(H533&lt;&gt;"",H533,G533)&amp;" | "&amp;G533&amp;" | "&amp;S533,60))</f>
        <v>mobilização / desmobilzaçao containers | mobilização / desmo</v>
      </c>
    </row>
    <row r="534" spans="1:39" ht="43.2" x14ac:dyDescent="0.3">
      <c r="A534" s="39">
        <v>533</v>
      </c>
      <c r="B534" s="39" t="s">
        <v>2</v>
      </c>
      <c r="C534" s="39" t="s">
        <v>74</v>
      </c>
      <c r="D534" s="39" t="s">
        <v>502</v>
      </c>
      <c r="E534" s="39" t="s">
        <v>503</v>
      </c>
      <c r="F534" s="39" t="s">
        <v>83</v>
      </c>
      <c r="G534" s="39" t="s">
        <v>504</v>
      </c>
      <c r="H534" s="40"/>
      <c r="I534" s="40"/>
      <c r="J534" s="40"/>
      <c r="K534" s="42">
        <v>46199</v>
      </c>
      <c r="L534" s="42"/>
      <c r="M534" s="44"/>
      <c r="N534" s="40"/>
      <c r="O534" s="40"/>
      <c r="P534" s="40"/>
      <c r="Q534" s="42">
        <f>IF(K534="","",K534)</f>
        <v>46199</v>
      </c>
      <c r="R534" s="39" t="s">
        <v>502</v>
      </c>
      <c r="S534" s="39" t="s">
        <v>505</v>
      </c>
      <c r="T534" s="39" t="s">
        <v>506</v>
      </c>
      <c r="U534" s="39"/>
      <c r="V534" s="39">
        <v>246</v>
      </c>
      <c r="W534" s="39" t="s">
        <v>567</v>
      </c>
      <c r="X534" s="41">
        <v>46188</v>
      </c>
      <c r="Y534" s="41">
        <v>46199</v>
      </c>
      <c r="Z534" s="43">
        <v>246.88</v>
      </c>
      <c r="AA534" s="45">
        <f>IF(M534&lt;&gt;"",M534,Z534)</f>
        <v>246.88</v>
      </c>
      <c r="AB534" s="46" t="str">
        <f>IF(L534&lt;&gt;"","Realizado","Previsto")</f>
        <v>Previsto</v>
      </c>
      <c r="AC534" s="47">
        <v>0.5</v>
      </c>
      <c r="AD534" s="43">
        <v>493.76</v>
      </c>
      <c r="AE534" s="39">
        <v>32</v>
      </c>
      <c r="AF534" s="39" t="s">
        <v>87</v>
      </c>
      <c r="AG534" s="43">
        <v>15.43</v>
      </c>
      <c r="AH534" s="39" t="s">
        <v>507</v>
      </c>
      <c r="AI534" s="39" t="s">
        <v>73</v>
      </c>
      <c r="AJ534" s="48">
        <f>IF(Q534&lt;&gt;"",Q534,IF(K534&lt;&gt;"",K534,""))</f>
        <v>46199</v>
      </c>
      <c r="AK534" s="46" t="str">
        <f>IF(K534&lt;&gt;"","Sim","")</f>
        <v>Sim</v>
      </c>
      <c r="AL534" s="46" t="str">
        <f>IF(A534="","",TEXT(A534,"000000")&amp;"-"&amp;IF(C534="Entrada","CR","DB"))</f>
        <v>000533-DB</v>
      </c>
      <c r="AM534" s="46" t="str">
        <f>IF(A534="","",LEFT(IF(H534&lt;&gt;"",H534,G534)&amp;" | "&amp;G534&amp;" | "&amp;S534,60))</f>
        <v>DESINFETANTE 5L | DESINFETANTE 5L | Saída | LIMPEZA FINAL</v>
      </c>
    </row>
    <row r="535" spans="1:39" ht="43.2" x14ac:dyDescent="0.3">
      <c r="A535" s="39">
        <v>534</v>
      </c>
      <c r="B535" s="39" t="s">
        <v>2</v>
      </c>
      <c r="C535" s="39" t="s">
        <v>74</v>
      </c>
      <c r="D535" s="39" t="s">
        <v>502</v>
      </c>
      <c r="E535" s="39" t="s">
        <v>503</v>
      </c>
      <c r="F535" s="39" t="s">
        <v>83</v>
      </c>
      <c r="G535" s="39" t="s">
        <v>508</v>
      </c>
      <c r="H535" s="40"/>
      <c r="I535" s="40"/>
      <c r="J535" s="40"/>
      <c r="K535" s="42">
        <v>46199</v>
      </c>
      <c r="L535" s="42"/>
      <c r="M535" s="44"/>
      <c r="N535" s="40"/>
      <c r="O535" s="40"/>
      <c r="P535" s="40"/>
      <c r="Q535" s="42">
        <f>IF(K535="","",K535)</f>
        <v>46199</v>
      </c>
      <c r="R535" s="39" t="s">
        <v>502</v>
      </c>
      <c r="S535" s="39" t="s">
        <v>505</v>
      </c>
      <c r="T535" s="39" t="s">
        <v>506</v>
      </c>
      <c r="U535" s="39"/>
      <c r="V535" s="39">
        <v>244</v>
      </c>
      <c r="W535" s="39" t="s">
        <v>567</v>
      </c>
      <c r="X535" s="41">
        <v>46188</v>
      </c>
      <c r="Y535" s="41">
        <v>46199</v>
      </c>
      <c r="Z535" s="43">
        <v>250.72</v>
      </c>
      <c r="AA535" s="45">
        <f>IF(M535&lt;&gt;"",M535,Z535)</f>
        <v>250.72</v>
      </c>
      <c r="AB535" s="46" t="str">
        <f>IF(L535&lt;&gt;"","Realizado","Previsto")</f>
        <v>Previsto</v>
      </c>
      <c r="AC535" s="47">
        <v>0.5</v>
      </c>
      <c r="AD535" s="43">
        <v>501.44</v>
      </c>
      <c r="AE535" s="39">
        <v>32</v>
      </c>
      <c r="AF535" s="39" t="s">
        <v>87</v>
      </c>
      <c r="AG535" s="43">
        <v>15.67</v>
      </c>
      <c r="AH535" s="39" t="s">
        <v>507</v>
      </c>
      <c r="AI535" s="39" t="s">
        <v>73</v>
      </c>
      <c r="AJ535" s="48">
        <f>IF(Q535&lt;&gt;"",Q535,IF(K535&lt;&gt;"",K535,""))</f>
        <v>46199</v>
      </c>
      <c r="AK535" s="46" t="str">
        <f>IF(K535&lt;&gt;"","Sim","")</f>
        <v>Sim</v>
      </c>
      <c r="AL535" s="46" t="str">
        <f>IF(A535="","",TEXT(A535,"000000")&amp;"-"&amp;IF(C535="Entrada","CR","DB"))</f>
        <v>000534-DB</v>
      </c>
      <c r="AM535" s="46" t="str">
        <f>IF(A535="","",LEFT(IF(H535&lt;&gt;"",H535,G535)&amp;" | "&amp;G535&amp;" | "&amp;S535,60))</f>
        <v>DETERGENTE 5L | DETERGENTE 5L | Saída | LIMPEZA FINAL</v>
      </c>
    </row>
    <row r="536" spans="1:39" ht="43.2" x14ac:dyDescent="0.3">
      <c r="A536" s="39">
        <v>535</v>
      </c>
      <c r="B536" s="39" t="s">
        <v>2</v>
      </c>
      <c r="C536" s="39" t="s">
        <v>74</v>
      </c>
      <c r="D536" s="39" t="s">
        <v>502</v>
      </c>
      <c r="E536" s="39" t="s">
        <v>503</v>
      </c>
      <c r="F536" s="39" t="s">
        <v>83</v>
      </c>
      <c r="G536" s="39" t="s">
        <v>509</v>
      </c>
      <c r="H536" s="40"/>
      <c r="I536" s="40"/>
      <c r="J536" s="40"/>
      <c r="K536" s="42">
        <v>46199</v>
      </c>
      <c r="L536" s="42"/>
      <c r="M536" s="44"/>
      <c r="N536" s="40"/>
      <c r="O536" s="40"/>
      <c r="P536" s="40"/>
      <c r="Q536" s="42">
        <f>IF(K536="","",K536)</f>
        <v>46199</v>
      </c>
      <c r="R536" s="39" t="s">
        <v>502</v>
      </c>
      <c r="S536" s="39" t="s">
        <v>505</v>
      </c>
      <c r="T536" s="39" t="s">
        <v>506</v>
      </c>
      <c r="U536" s="39"/>
      <c r="V536" s="39">
        <v>247</v>
      </c>
      <c r="W536" s="39" t="s">
        <v>567</v>
      </c>
      <c r="X536" s="41">
        <v>46188</v>
      </c>
      <c r="Y536" s="41">
        <v>46199</v>
      </c>
      <c r="Z536" s="43">
        <v>932.47705600000006</v>
      </c>
      <c r="AA536" s="45">
        <f>IF(M536&lt;&gt;"",M536,Z536)</f>
        <v>932.47705600000006</v>
      </c>
      <c r="AB536" s="46" t="str">
        <f>IF(L536&lt;&gt;"","Realizado","Previsto")</f>
        <v>Previsto</v>
      </c>
      <c r="AC536" s="47">
        <v>9.3799999999999994E-2</v>
      </c>
      <c r="AD536" s="43">
        <v>9941.1200000000008</v>
      </c>
      <c r="AE536" s="39">
        <v>2840.32</v>
      </c>
      <c r="AF536" s="39" t="s">
        <v>510</v>
      </c>
      <c r="AG536" s="43">
        <v>3.5</v>
      </c>
      <c r="AH536" s="39" t="s">
        <v>507</v>
      </c>
      <c r="AI536" s="39" t="s">
        <v>73</v>
      </c>
      <c r="AJ536" s="48">
        <f>IF(Q536&lt;&gt;"",Q536,IF(K536&lt;&gt;"",K536,""))</f>
        <v>46199</v>
      </c>
      <c r="AK536" s="46" t="str">
        <f>IF(K536&lt;&gt;"","Sim","")</f>
        <v>Sim</v>
      </c>
      <c r="AL536" s="46" t="str">
        <f>IF(A536="","",TEXT(A536,"000000")&amp;"-"&amp;IF(C536="Entrada","CR","DB"))</f>
        <v>000535-DB</v>
      </c>
      <c r="AM536" s="46" t="str">
        <f>IF(A536="","",LEFT(IF(H536&lt;&gt;"",H536,G536)&amp;" | "&amp;G536&amp;" | "&amp;S536,60))</f>
        <v>Mao de obra terceirizada limpeza final | Mao de obra terceir</v>
      </c>
    </row>
    <row r="537" spans="1:39" ht="43.2" x14ac:dyDescent="0.3">
      <c r="A537" s="39">
        <v>536</v>
      </c>
      <c r="B537" s="39" t="s">
        <v>2</v>
      </c>
      <c r="C537" s="39" t="s">
        <v>74</v>
      </c>
      <c r="D537" s="39" t="s">
        <v>502</v>
      </c>
      <c r="E537" s="39" t="s">
        <v>503</v>
      </c>
      <c r="F537" s="39" t="s">
        <v>83</v>
      </c>
      <c r="G537" s="39" t="s">
        <v>511</v>
      </c>
      <c r="H537" s="40"/>
      <c r="I537" s="40"/>
      <c r="J537" s="40"/>
      <c r="K537" s="42">
        <v>46199</v>
      </c>
      <c r="L537" s="42"/>
      <c r="M537" s="44"/>
      <c r="N537" s="40"/>
      <c r="O537" s="40"/>
      <c r="P537" s="40"/>
      <c r="Q537" s="42">
        <f>IF(K537="","",K537)</f>
        <v>46199</v>
      </c>
      <c r="R537" s="39" t="s">
        <v>502</v>
      </c>
      <c r="S537" s="39" t="s">
        <v>505</v>
      </c>
      <c r="T537" s="39" t="s">
        <v>506</v>
      </c>
      <c r="U537" s="39"/>
      <c r="V537" s="39">
        <v>245</v>
      </c>
      <c r="W537" s="39" t="s">
        <v>567</v>
      </c>
      <c r="X537" s="41">
        <v>46188</v>
      </c>
      <c r="Y537" s="41">
        <v>46199</v>
      </c>
      <c r="Z537" s="43">
        <v>579.36</v>
      </c>
      <c r="AA537" s="45">
        <f>IF(M537&lt;&gt;"",M537,Z537)</f>
        <v>579.36</v>
      </c>
      <c r="AB537" s="46" t="str">
        <f>IF(L537&lt;&gt;"","Realizado","Previsto")</f>
        <v>Previsto</v>
      </c>
      <c r="AC537" s="47">
        <v>0.5</v>
      </c>
      <c r="AD537" s="43">
        <v>1158.72</v>
      </c>
      <c r="AE537" s="39">
        <v>32</v>
      </c>
      <c r="AF537" s="39" t="s">
        <v>87</v>
      </c>
      <c r="AG537" s="43">
        <v>36.21</v>
      </c>
      <c r="AH537" s="39" t="s">
        <v>507</v>
      </c>
      <c r="AI537" s="39" t="s">
        <v>73</v>
      </c>
      <c r="AJ537" s="48">
        <f>IF(Q537&lt;&gt;"",Q537,IF(K537&lt;&gt;"",K537,""))</f>
        <v>46199</v>
      </c>
      <c r="AK537" s="46" t="str">
        <f>IF(K537&lt;&gt;"","Sim","")</f>
        <v>Sim</v>
      </c>
      <c r="AL537" s="46" t="str">
        <f>IF(A537="","",TEXT(A537,"000000")&amp;"-"&amp;IF(C537="Entrada","CR","DB"))</f>
        <v>000536-DB</v>
      </c>
      <c r="AM537" s="46" t="str">
        <f>IF(A537="","",LEFT(IF(H537&lt;&gt;"",H537,G537)&amp;" | "&amp;G537&amp;" | "&amp;S537,60))</f>
        <v>ÁLCOOL 70 LIQUIDO 5L | ÁLCOOL 70 LIQUIDO 5L | Saída | LIMPEZ</v>
      </c>
    </row>
    <row r="538" spans="1:39" ht="43.2" x14ac:dyDescent="0.3">
      <c r="A538" s="39">
        <v>537</v>
      </c>
      <c r="B538" s="39" t="s">
        <v>2</v>
      </c>
      <c r="C538" s="39" t="s">
        <v>74</v>
      </c>
      <c r="D538" s="39" t="s">
        <v>469</v>
      </c>
      <c r="E538" s="39" t="s">
        <v>469</v>
      </c>
      <c r="F538" s="39" t="s">
        <v>109</v>
      </c>
      <c r="G538" s="39" t="s">
        <v>470</v>
      </c>
      <c r="H538" s="40"/>
      <c r="I538" s="40"/>
      <c r="J538" s="40"/>
      <c r="K538" s="42">
        <v>46199</v>
      </c>
      <c r="L538" s="42"/>
      <c r="M538" s="44"/>
      <c r="N538" s="40"/>
      <c r="O538" s="40"/>
      <c r="P538" s="40"/>
      <c r="Q538" s="42">
        <f>IF(K538="","",K538)</f>
        <v>46199</v>
      </c>
      <c r="R538" s="39" t="s">
        <v>469</v>
      </c>
      <c r="S538" s="39" t="s">
        <v>471</v>
      </c>
      <c r="T538" s="39" t="s">
        <v>472</v>
      </c>
      <c r="U538" s="39" t="s">
        <v>215</v>
      </c>
      <c r="V538" s="39">
        <v>229</v>
      </c>
      <c r="W538" s="39" t="s">
        <v>567</v>
      </c>
      <c r="X538" s="41">
        <v>46188</v>
      </c>
      <c r="Y538" s="41">
        <v>46199</v>
      </c>
      <c r="Z538" s="43">
        <v>6469.44</v>
      </c>
      <c r="AA538" s="45">
        <f>IF(M538&lt;&gt;"",M538,Z538)</f>
        <v>6469.44</v>
      </c>
      <c r="AB538" s="46" t="str">
        <f>IF(L538&lt;&gt;"","Realizado","Previsto")</f>
        <v>Previsto</v>
      </c>
      <c r="AC538" s="47">
        <v>0.33695000000000003</v>
      </c>
      <c r="AD538" s="43">
        <v>19200</v>
      </c>
      <c r="AE538" s="39">
        <v>64</v>
      </c>
      <c r="AF538" s="39" t="s">
        <v>113</v>
      </c>
      <c r="AG538" s="43">
        <v>300</v>
      </c>
      <c r="AH538" s="39" t="s">
        <v>473</v>
      </c>
      <c r="AI538" s="39" t="s">
        <v>73</v>
      </c>
      <c r="AJ538" s="48">
        <f>IF(Q538&lt;&gt;"",Q538,IF(K538&lt;&gt;"",K538,""))</f>
        <v>46199</v>
      </c>
      <c r="AK538" s="46" t="str">
        <f>IF(K538&lt;&gt;"","Sim","")</f>
        <v>Sim</v>
      </c>
      <c r="AL538" s="46" t="str">
        <f>IF(A538="","",TEXT(A538,"000000")&amp;"-"&amp;IF(C538="Entrada","CR","DB"))</f>
        <v>000537-DB</v>
      </c>
      <c r="AM538" s="46" t="str">
        <f>IF(A538="","",LEFT(IF(H538&lt;&gt;"",H538,G538)&amp;" | "&amp;G538&amp;" | "&amp;S538,60))</f>
        <v>Mao de obra cozinha e tanque completos | Mao de obra cozinha</v>
      </c>
    </row>
    <row r="539" spans="1:39" ht="43.2" x14ac:dyDescent="0.3">
      <c r="A539" s="39">
        <v>538</v>
      </c>
      <c r="B539" s="39" t="s">
        <v>2</v>
      </c>
      <c r="C539" s="39" t="s">
        <v>74</v>
      </c>
      <c r="D539" s="39" t="s">
        <v>469</v>
      </c>
      <c r="E539" s="39" t="s">
        <v>469</v>
      </c>
      <c r="F539" s="39" t="s">
        <v>109</v>
      </c>
      <c r="G539" s="39" t="s">
        <v>474</v>
      </c>
      <c r="H539" s="40"/>
      <c r="I539" s="40"/>
      <c r="J539" s="40"/>
      <c r="K539" s="42">
        <v>46199</v>
      </c>
      <c r="L539" s="42"/>
      <c r="M539" s="44"/>
      <c r="N539" s="40"/>
      <c r="O539" s="40"/>
      <c r="P539" s="40"/>
      <c r="Q539" s="42">
        <f>IF(K539="","",K539)</f>
        <v>46199</v>
      </c>
      <c r="R539" s="39" t="s">
        <v>469</v>
      </c>
      <c r="S539" s="39" t="s">
        <v>471</v>
      </c>
      <c r="T539" s="39" t="s">
        <v>472</v>
      </c>
      <c r="U539" s="39" t="s">
        <v>215</v>
      </c>
      <c r="V539" s="39">
        <v>228</v>
      </c>
      <c r="W539" s="39" t="s">
        <v>567</v>
      </c>
      <c r="X539" s="41">
        <v>46188</v>
      </c>
      <c r="Y539" s="41">
        <v>46199</v>
      </c>
      <c r="Z539" s="43">
        <v>6469.44</v>
      </c>
      <c r="AA539" s="45">
        <f>IF(M539&lt;&gt;"",M539,Z539)</f>
        <v>6469.44</v>
      </c>
      <c r="AB539" s="46" t="str">
        <f>IF(L539&lt;&gt;"","Realizado","Previsto")</f>
        <v>Previsto</v>
      </c>
      <c r="AC539" s="47">
        <v>0.33695000000000003</v>
      </c>
      <c r="AD539" s="43">
        <v>19200</v>
      </c>
      <c r="AE539" s="39">
        <v>64</v>
      </c>
      <c r="AF539" s="39" t="s">
        <v>113</v>
      </c>
      <c r="AG539" s="43">
        <v>300</v>
      </c>
      <c r="AH539" s="39" t="s">
        <v>473</v>
      </c>
      <c r="AI539" s="39" t="s">
        <v>73</v>
      </c>
      <c r="AJ539" s="48">
        <f>IF(Q539&lt;&gt;"",Q539,IF(K539&lt;&gt;"",K539,""))</f>
        <v>46199</v>
      </c>
      <c r="AK539" s="46" t="str">
        <f>IF(K539&lt;&gt;"","Sim","")</f>
        <v>Sim</v>
      </c>
      <c r="AL539" s="46" t="str">
        <f>IF(A539="","",TEXT(A539,"000000")&amp;"-"&amp;IF(C539="Entrada","CR","DB"))</f>
        <v>000538-DB</v>
      </c>
      <c r="AM539" s="46" t="str">
        <f>IF(A539="","",LEFT(IF(H539&lt;&gt;"",H539,G539)&amp;" | "&amp;G539&amp;" | "&amp;S539,60))</f>
        <v xml:space="preserve">Mao de obra loucas e metais Banheiro completo | Mao de obra </v>
      </c>
    </row>
    <row r="540" spans="1:39" ht="43.2" x14ac:dyDescent="0.3">
      <c r="A540" s="39">
        <v>539</v>
      </c>
      <c r="B540" s="39" t="s">
        <v>2</v>
      </c>
      <c r="C540" s="39" t="s">
        <v>74</v>
      </c>
      <c r="D540" s="39" t="s">
        <v>98</v>
      </c>
      <c r="E540" s="39" t="s">
        <v>99</v>
      </c>
      <c r="F540" s="39" t="s">
        <v>100</v>
      </c>
      <c r="G540" s="39" t="s">
        <v>253</v>
      </c>
      <c r="H540" s="40"/>
      <c r="I540" s="40"/>
      <c r="J540" s="40"/>
      <c r="K540" s="42">
        <v>46199</v>
      </c>
      <c r="L540" s="42"/>
      <c r="M540" s="44"/>
      <c r="N540" s="40"/>
      <c r="O540" s="40"/>
      <c r="P540" s="40"/>
      <c r="Q540" s="42">
        <f>IF(K540="","",K540)</f>
        <v>46199</v>
      </c>
      <c r="R540" s="39" t="s">
        <v>98</v>
      </c>
      <c r="S540" s="39" t="s">
        <v>102</v>
      </c>
      <c r="T540" s="39" t="s">
        <v>103</v>
      </c>
      <c r="U540" s="39" t="s">
        <v>104</v>
      </c>
      <c r="V540" s="39">
        <v>51</v>
      </c>
      <c r="W540" s="39" t="s">
        <v>567</v>
      </c>
      <c r="X540" s="41">
        <v>46188</v>
      </c>
      <c r="Y540" s="41">
        <v>46199</v>
      </c>
      <c r="Z540" s="43">
        <v>10085.890357792599</v>
      </c>
      <c r="AA540" s="45">
        <f>IF(M540&lt;&gt;"",M540,Z540)</f>
        <v>10085.890357792599</v>
      </c>
      <c r="AB540" s="46" t="str">
        <f>IF(L540&lt;&gt;"","Realizado","Previsto")</f>
        <v>Previsto</v>
      </c>
      <c r="AC540" s="47">
        <v>7.4994946432181117E-2</v>
      </c>
      <c r="AD540" s="43">
        <v>134487.6</v>
      </c>
      <c r="AE540" s="39">
        <v>20</v>
      </c>
      <c r="AF540" s="39" t="s">
        <v>87</v>
      </c>
      <c r="AG540" s="43">
        <v>6724.38</v>
      </c>
      <c r="AH540" s="39" t="s">
        <v>105</v>
      </c>
      <c r="AI540" s="39" t="s">
        <v>73</v>
      </c>
      <c r="AJ540" s="48">
        <f>IF(Q540&lt;&gt;"",Q540,IF(K540&lt;&gt;"",K540,""))</f>
        <v>46199</v>
      </c>
      <c r="AK540" s="46" t="str">
        <f>IF(K540&lt;&gt;"","Sim","")</f>
        <v>Sim</v>
      </c>
      <c r="AL540" s="46" t="str">
        <f>IF(A540="","",TEXT(A540,"000000")&amp;"-"&amp;IF(C540="Entrada","CR","DB"))</f>
        <v>000539-DB</v>
      </c>
      <c r="AM540" s="46" t="str">
        <f>IF(A540="","",LEFT(IF(H540&lt;&gt;"",H540,G540)&amp;" | "&amp;G540&amp;" | "&amp;S540,60))</f>
        <v>material FERRO: KIT Parede e Laje - FOB na Fabrica | materia</v>
      </c>
    </row>
    <row r="541" spans="1:39" ht="43.2" x14ac:dyDescent="0.3">
      <c r="A541" s="39">
        <v>540</v>
      </c>
      <c r="B541" s="39" t="s">
        <v>2</v>
      </c>
      <c r="C541" s="39" t="s">
        <v>74</v>
      </c>
      <c r="D541" s="39" t="s">
        <v>98</v>
      </c>
      <c r="E541" s="39" t="s">
        <v>99</v>
      </c>
      <c r="F541" s="39" t="s">
        <v>100</v>
      </c>
      <c r="G541" s="39" t="s">
        <v>253</v>
      </c>
      <c r="H541" s="40"/>
      <c r="I541" s="40"/>
      <c r="J541" s="40"/>
      <c r="K541" s="42">
        <v>46199</v>
      </c>
      <c r="L541" s="42"/>
      <c r="M541" s="44"/>
      <c r="N541" s="40"/>
      <c r="O541" s="40"/>
      <c r="P541" s="40"/>
      <c r="Q541" s="42">
        <f>IF(K541="","",K541)</f>
        <v>46199</v>
      </c>
      <c r="R541" s="39" t="s">
        <v>98</v>
      </c>
      <c r="S541" s="39" t="s">
        <v>102</v>
      </c>
      <c r="T541" s="39" t="s">
        <v>103</v>
      </c>
      <c r="U541" s="39" t="s">
        <v>104</v>
      </c>
      <c r="V541" s="39">
        <v>52</v>
      </c>
      <c r="W541" s="39" t="s">
        <v>567</v>
      </c>
      <c r="X541" s="41">
        <v>46188</v>
      </c>
      <c r="Y541" s="41">
        <v>46199</v>
      </c>
      <c r="Z541" s="43">
        <v>10085.890357792599</v>
      </c>
      <c r="AA541" s="45">
        <f>IF(M541&lt;&gt;"",M541,Z541)</f>
        <v>10085.890357792599</v>
      </c>
      <c r="AB541" s="46" t="str">
        <f>IF(L541&lt;&gt;"","Realizado","Previsto")</f>
        <v>Previsto</v>
      </c>
      <c r="AC541" s="47">
        <v>7.4994946432181117E-2</v>
      </c>
      <c r="AD541" s="43">
        <v>134487.6</v>
      </c>
      <c r="AE541" s="39">
        <v>20</v>
      </c>
      <c r="AF541" s="39" t="s">
        <v>87</v>
      </c>
      <c r="AG541" s="43">
        <v>6724.38</v>
      </c>
      <c r="AH541" s="39" t="s">
        <v>105</v>
      </c>
      <c r="AI541" s="39" t="s">
        <v>73</v>
      </c>
      <c r="AJ541" s="48">
        <f>IF(Q541&lt;&gt;"",Q541,IF(K541&lt;&gt;"",K541,""))</f>
        <v>46199</v>
      </c>
      <c r="AK541" s="46" t="str">
        <f>IF(K541&lt;&gt;"","Sim","")</f>
        <v>Sim</v>
      </c>
      <c r="AL541" s="46" t="str">
        <f>IF(A541="","",TEXT(A541,"000000")&amp;"-"&amp;IF(C541="Entrada","CR","DB"))</f>
        <v>000540-DB</v>
      </c>
      <c r="AM541" s="46" t="str">
        <f>IF(A541="","",LEFT(IF(H541&lt;&gt;"",H541,G541)&amp;" | "&amp;G541&amp;" | "&amp;S541,60))</f>
        <v>material FERRO: KIT Parede e Laje - FOB na Fabrica | materia</v>
      </c>
    </row>
    <row r="542" spans="1:39" ht="43.2" x14ac:dyDescent="0.3">
      <c r="A542" s="39">
        <v>541</v>
      </c>
      <c r="B542" s="39" t="s">
        <v>2</v>
      </c>
      <c r="C542" s="39" t="s">
        <v>74</v>
      </c>
      <c r="D542" s="39" t="s">
        <v>98</v>
      </c>
      <c r="E542" s="39" t="s">
        <v>99</v>
      </c>
      <c r="F542" s="39" t="s">
        <v>100</v>
      </c>
      <c r="G542" s="39" t="s">
        <v>253</v>
      </c>
      <c r="H542" s="40"/>
      <c r="I542" s="40"/>
      <c r="J542" s="40"/>
      <c r="K542" s="42">
        <v>46199</v>
      </c>
      <c r="L542" s="42"/>
      <c r="M542" s="44"/>
      <c r="N542" s="40"/>
      <c r="O542" s="40"/>
      <c r="P542" s="40"/>
      <c r="Q542" s="42">
        <f>IF(K542="","",K542)</f>
        <v>46199</v>
      </c>
      <c r="R542" s="39" t="s">
        <v>98</v>
      </c>
      <c r="S542" s="39" t="s">
        <v>102</v>
      </c>
      <c r="T542" s="39" t="s">
        <v>103</v>
      </c>
      <c r="U542" s="39" t="s">
        <v>106</v>
      </c>
      <c r="V542" s="39">
        <v>53</v>
      </c>
      <c r="W542" s="39" t="s">
        <v>567</v>
      </c>
      <c r="X542" s="41">
        <v>46188</v>
      </c>
      <c r="Y542" s="41">
        <v>46199</v>
      </c>
      <c r="Z542" s="43">
        <v>12103.06842935112</v>
      </c>
      <c r="AA542" s="45">
        <f>IF(M542&lt;&gt;"",M542,Z542)</f>
        <v>12103.06842935112</v>
      </c>
      <c r="AB542" s="46" t="str">
        <f>IF(L542&lt;&gt;"","Realizado","Previsto")</f>
        <v>Previsto</v>
      </c>
      <c r="AC542" s="47">
        <v>7.4994946432181117E-2</v>
      </c>
      <c r="AD542" s="43">
        <v>161385.12</v>
      </c>
      <c r="AE542" s="39">
        <v>24</v>
      </c>
      <c r="AF542" s="39" t="s">
        <v>87</v>
      </c>
      <c r="AG542" s="43">
        <v>6724.38</v>
      </c>
      <c r="AH542" s="39" t="s">
        <v>105</v>
      </c>
      <c r="AI542" s="39" t="s">
        <v>73</v>
      </c>
      <c r="AJ542" s="48">
        <f>IF(Q542&lt;&gt;"",Q542,IF(K542&lt;&gt;"",K542,""))</f>
        <v>46199</v>
      </c>
      <c r="AK542" s="46" t="str">
        <f>IF(K542&lt;&gt;"","Sim","")</f>
        <v>Sim</v>
      </c>
      <c r="AL542" s="46" t="str">
        <f>IF(A542="","",TEXT(A542,"000000")&amp;"-"&amp;IF(C542="Entrada","CR","DB"))</f>
        <v>000541-DB</v>
      </c>
      <c r="AM542" s="46" t="str">
        <f>IF(A542="","",LEFT(IF(H542&lt;&gt;"",H542,G542)&amp;" | "&amp;G542&amp;" | "&amp;S542,60))</f>
        <v>material FERRO: KIT Parede e Laje - FOB na Fabrica | materia</v>
      </c>
    </row>
    <row r="543" spans="1:39" ht="43.2" x14ac:dyDescent="0.3">
      <c r="A543" s="39">
        <v>542</v>
      </c>
      <c r="B543" s="39" t="s">
        <v>2</v>
      </c>
      <c r="C543" s="39" t="s">
        <v>74</v>
      </c>
      <c r="D543" s="39" t="s">
        <v>413</v>
      </c>
      <c r="E543" s="39" t="s">
        <v>413</v>
      </c>
      <c r="F543" s="39" t="s">
        <v>324</v>
      </c>
      <c r="G543" s="39" t="s">
        <v>475</v>
      </c>
      <c r="H543" s="40"/>
      <c r="I543" s="40"/>
      <c r="J543" s="40"/>
      <c r="K543" s="42">
        <v>46199</v>
      </c>
      <c r="L543" s="42"/>
      <c r="M543" s="44"/>
      <c r="N543" s="40"/>
      <c r="O543" s="40"/>
      <c r="P543" s="40"/>
      <c r="Q543" s="42">
        <f>IF(K543="","",K543)</f>
        <v>46199</v>
      </c>
      <c r="R543" s="39" t="s">
        <v>413</v>
      </c>
      <c r="S543" s="39" t="s">
        <v>415</v>
      </c>
      <c r="T543" s="39" t="s">
        <v>476</v>
      </c>
      <c r="U543" s="39" t="s">
        <v>275</v>
      </c>
      <c r="V543" s="39">
        <v>159</v>
      </c>
      <c r="W543" s="39" t="s">
        <v>567</v>
      </c>
      <c r="X543" s="41">
        <v>46188</v>
      </c>
      <c r="Y543" s="41">
        <v>46199</v>
      </c>
      <c r="Z543" s="43">
        <v>1164.8</v>
      </c>
      <c r="AA543" s="45">
        <f>IF(M543&lt;&gt;"",M543,Z543)</f>
        <v>1164.8</v>
      </c>
      <c r="AB543" s="46" t="str">
        <f>IF(L543&lt;&gt;"","Realizado","Previsto")</f>
        <v>Previsto</v>
      </c>
      <c r="AC543" s="47">
        <v>0.5</v>
      </c>
      <c r="AD543" s="43">
        <v>2329.6</v>
      </c>
      <c r="AE543" s="39">
        <v>128</v>
      </c>
      <c r="AF543" s="39" t="s">
        <v>477</v>
      </c>
      <c r="AG543" s="43">
        <v>18.2</v>
      </c>
      <c r="AH543" s="39" t="s">
        <v>478</v>
      </c>
      <c r="AI543" s="39" t="s">
        <v>73</v>
      </c>
      <c r="AJ543" s="48">
        <f>IF(Q543&lt;&gt;"",Q543,IF(K543&lt;&gt;"",K543,""))</f>
        <v>46199</v>
      </c>
      <c r="AK543" s="46" t="str">
        <f>IF(K543&lt;&gt;"","Sim","")</f>
        <v>Sim</v>
      </c>
      <c r="AL543" s="46" t="str">
        <f>IF(A543="","",TEXT(A543,"000000")&amp;"-"&amp;IF(C543="Entrada","CR","DB"))</f>
        <v>000542-DB</v>
      </c>
      <c r="AM543" s="46" t="str">
        <f>IF(A543="","",LEFT(IF(H543&lt;&gt;"",H543,G543)&amp;" | "&amp;G543&amp;" | "&amp;S543,60))</f>
        <v xml:space="preserve">Fira crepe 50 mm x 50 m | Fira crepe 50 mm x 50 m | Saída | </v>
      </c>
    </row>
    <row r="544" spans="1:39" ht="43.2" x14ac:dyDescent="0.3">
      <c r="A544" s="39">
        <v>543</v>
      </c>
      <c r="B544" s="39" t="s">
        <v>2</v>
      </c>
      <c r="C544" s="39" t="s">
        <v>74</v>
      </c>
      <c r="D544" s="39" t="s">
        <v>413</v>
      </c>
      <c r="E544" s="39" t="s">
        <v>413</v>
      </c>
      <c r="F544" s="39" t="s">
        <v>109</v>
      </c>
      <c r="G544" s="39" t="s">
        <v>414</v>
      </c>
      <c r="H544" s="40"/>
      <c r="I544" s="40"/>
      <c r="J544" s="40"/>
      <c r="K544" s="42">
        <v>46199</v>
      </c>
      <c r="L544" s="42"/>
      <c r="M544" s="44"/>
      <c r="N544" s="40"/>
      <c r="O544" s="40"/>
      <c r="P544" s="40"/>
      <c r="Q544" s="42">
        <f>IF(K544="","",K544)</f>
        <v>46199</v>
      </c>
      <c r="R544" s="39" t="s">
        <v>413</v>
      </c>
      <c r="S544" s="39" t="s">
        <v>415</v>
      </c>
      <c r="T544" s="39" t="s">
        <v>416</v>
      </c>
      <c r="U544" s="39" t="s">
        <v>215</v>
      </c>
      <c r="V544" s="39">
        <v>160</v>
      </c>
      <c r="W544" s="39" t="s">
        <v>567</v>
      </c>
      <c r="X544" s="41">
        <v>46188</v>
      </c>
      <c r="Y544" s="41">
        <v>46199</v>
      </c>
      <c r="Z544" s="43">
        <v>40770.993920000008</v>
      </c>
      <c r="AA544" s="45">
        <f>IF(M544&lt;&gt;"",M544,Z544)</f>
        <v>40770.993920000008</v>
      </c>
      <c r="AB544" s="46" t="str">
        <f>IF(L544&lt;&gt;"","Realizado","Previsto")</f>
        <v>Previsto</v>
      </c>
      <c r="AC544" s="47">
        <v>0.47554999999999997</v>
      </c>
      <c r="AD544" s="43">
        <v>85734.400000000009</v>
      </c>
      <c r="AE544" s="39">
        <v>8573.44</v>
      </c>
      <c r="AF544" s="39" t="s">
        <v>203</v>
      </c>
      <c r="AG544" s="43">
        <v>10</v>
      </c>
      <c r="AH544" s="39" t="s">
        <v>417</v>
      </c>
      <c r="AI544" s="39" t="s">
        <v>73</v>
      </c>
      <c r="AJ544" s="48">
        <f>IF(Q544&lt;&gt;"",Q544,IF(K544&lt;&gt;"",K544,""))</f>
        <v>46199</v>
      </c>
      <c r="AK544" s="46" t="str">
        <f>IF(K544&lt;&gt;"","Sim","")</f>
        <v>Sim</v>
      </c>
      <c r="AL544" s="46" t="str">
        <f>IF(A544="","",TEXT(A544,"000000")&amp;"-"&amp;IF(C544="Entrada","CR","DB"))</f>
        <v>000543-DB</v>
      </c>
      <c r="AM544" s="46" t="str">
        <f>IF(A544="","",LEFT(IF(H544&lt;&gt;"",H544,G544)&amp;" | "&amp;G544&amp;" | "&amp;S544,60))</f>
        <v>Mao de obra terceirizada com equipamentos Pintura interna (2</v>
      </c>
    </row>
    <row r="545" spans="1:39" ht="43.2" x14ac:dyDescent="0.3">
      <c r="A545" s="39">
        <v>544</v>
      </c>
      <c r="B545" s="39" t="s">
        <v>2</v>
      </c>
      <c r="C545" s="39" t="s">
        <v>74</v>
      </c>
      <c r="D545" s="39" t="s">
        <v>413</v>
      </c>
      <c r="E545" s="39" t="s">
        <v>413</v>
      </c>
      <c r="F545" s="39" t="s">
        <v>324</v>
      </c>
      <c r="G545" s="39" t="s">
        <v>479</v>
      </c>
      <c r="H545" s="40"/>
      <c r="I545" s="40"/>
      <c r="J545" s="40"/>
      <c r="K545" s="42">
        <v>46199</v>
      </c>
      <c r="L545" s="42"/>
      <c r="M545" s="44"/>
      <c r="N545" s="40"/>
      <c r="O545" s="40"/>
      <c r="P545" s="40"/>
      <c r="Q545" s="42">
        <f>IF(K545="","",K545)</f>
        <v>46199</v>
      </c>
      <c r="R545" s="39" t="s">
        <v>413</v>
      </c>
      <c r="S545" s="39" t="s">
        <v>415</v>
      </c>
      <c r="T545" s="39" t="s">
        <v>476</v>
      </c>
      <c r="U545" s="39" t="s">
        <v>275</v>
      </c>
      <c r="V545" s="39">
        <v>158</v>
      </c>
      <c r="W545" s="39" t="s">
        <v>567</v>
      </c>
      <c r="X545" s="41">
        <v>46188</v>
      </c>
      <c r="Y545" s="41">
        <v>46199</v>
      </c>
      <c r="Z545" s="43">
        <v>17017.599999999999</v>
      </c>
      <c r="AA545" s="45">
        <f>IF(M545&lt;&gt;"",M545,Z545)</f>
        <v>17017.599999999999</v>
      </c>
      <c r="AB545" s="46" t="str">
        <f>IF(L545&lt;&gt;"","Realizado","Previsto")</f>
        <v>Previsto</v>
      </c>
      <c r="AC545" s="47">
        <v>0.5</v>
      </c>
      <c r="AD545" s="43">
        <v>34035.199999999997</v>
      </c>
      <c r="AE545" s="39">
        <v>128</v>
      </c>
      <c r="AF545" s="39" t="s">
        <v>480</v>
      </c>
      <c r="AG545" s="43">
        <v>265.89999999999998</v>
      </c>
      <c r="AH545" s="39" t="s">
        <v>478</v>
      </c>
      <c r="AI545" s="39" t="s">
        <v>73</v>
      </c>
      <c r="AJ545" s="48">
        <f>IF(Q545&lt;&gt;"",Q545,IF(K545&lt;&gt;"",K545,""))</f>
        <v>46199</v>
      </c>
      <c r="AK545" s="46" t="str">
        <f>IF(K545&lt;&gt;"","Sim","")</f>
        <v>Sim</v>
      </c>
      <c r="AL545" s="46" t="str">
        <f>IF(A545="","",TEXT(A545,"000000")&amp;"-"&amp;IF(C545="Entrada","CR","DB"))</f>
        <v>000544-DB</v>
      </c>
      <c r="AM545" s="46" t="str">
        <f>IF(A545="","",LEFT(IF(H545&lt;&gt;"",H545,G545)&amp;" | "&amp;G545&amp;" | "&amp;S545,60))</f>
        <v>TINTA ACRILICA CORALAR BRANCO 18 LITROS - laje (  cor BRANCA</v>
      </c>
    </row>
    <row r="546" spans="1:39" ht="43.2" x14ac:dyDescent="0.3">
      <c r="A546" s="39">
        <v>545</v>
      </c>
      <c r="B546" s="39" t="s">
        <v>2</v>
      </c>
      <c r="C546" s="39" t="s">
        <v>74</v>
      </c>
      <c r="D546" s="39" t="s">
        <v>254</v>
      </c>
      <c r="E546" s="39" t="s">
        <v>254</v>
      </c>
      <c r="F546" s="39" t="s">
        <v>281</v>
      </c>
      <c r="G546" s="39" t="s">
        <v>370</v>
      </c>
      <c r="H546" s="40"/>
      <c r="I546" s="40"/>
      <c r="J546" s="40"/>
      <c r="K546" s="42">
        <v>46199</v>
      </c>
      <c r="L546" s="42"/>
      <c r="M546" s="44"/>
      <c r="N546" s="40"/>
      <c r="O546" s="40"/>
      <c r="P546" s="40"/>
      <c r="Q546" s="42">
        <f>IF(K546="","",K546)</f>
        <v>46199</v>
      </c>
      <c r="R546" s="39" t="s">
        <v>254</v>
      </c>
      <c r="S546" s="39" t="s">
        <v>256</v>
      </c>
      <c r="T546" s="39" t="s">
        <v>371</v>
      </c>
      <c r="U546" s="39" t="s">
        <v>275</v>
      </c>
      <c r="V546" s="39">
        <v>117</v>
      </c>
      <c r="W546" s="39" t="s">
        <v>567</v>
      </c>
      <c r="X546" s="41">
        <v>46188</v>
      </c>
      <c r="Y546" s="41">
        <v>46199</v>
      </c>
      <c r="Z546" s="43">
        <v>13284.311040000001</v>
      </c>
      <c r="AA546" s="45">
        <f>IF(M546&lt;&gt;"",M546,Z546)</f>
        <v>13284.311040000001</v>
      </c>
      <c r="AB546" s="46" t="str">
        <f>IF(L546&lt;&gt;"","Realizado","Previsto")</f>
        <v>Previsto</v>
      </c>
      <c r="AC546" s="47">
        <v>0.33</v>
      </c>
      <c r="AD546" s="43">
        <v>40255.487999999998</v>
      </c>
      <c r="AE546" s="39">
        <v>2580.48</v>
      </c>
      <c r="AF546" s="39" t="s">
        <v>203</v>
      </c>
      <c r="AG546" s="43">
        <v>15.6</v>
      </c>
      <c r="AH546" s="39" t="s">
        <v>372</v>
      </c>
      <c r="AI546" s="39" t="s">
        <v>73</v>
      </c>
      <c r="AJ546" s="48">
        <f>IF(Q546&lt;&gt;"",Q546,IF(K546&lt;&gt;"",K546,""))</f>
        <v>46199</v>
      </c>
      <c r="AK546" s="46" t="str">
        <f>IF(K546&lt;&gt;"","Sim","")</f>
        <v>Sim</v>
      </c>
      <c r="AL546" s="46" t="str">
        <f>IF(A546="","",TEXT(A546,"000000")&amp;"-"&amp;IF(C546="Entrada","CR","DB"))</f>
        <v>000545-DB</v>
      </c>
      <c r="AM546" s="46" t="str">
        <f>IF(A546="","",LEFT(IF(H546&lt;&gt;"",H546,G546)&amp;" | "&amp;G546&amp;" | "&amp;S546,60))</f>
        <v>Revestimento Cerâmico  PEI IV 35 x 35- cor,  (perda 15%) - i</v>
      </c>
    </row>
    <row r="547" spans="1:39" ht="43.2" x14ac:dyDescent="0.3">
      <c r="A547" s="39">
        <v>546</v>
      </c>
      <c r="B547" s="39" t="s">
        <v>2</v>
      </c>
      <c r="C547" s="39" t="s">
        <v>74</v>
      </c>
      <c r="D547" s="39" t="s">
        <v>418</v>
      </c>
      <c r="E547" s="39" t="s">
        <v>419</v>
      </c>
      <c r="F547" s="39" t="s">
        <v>184</v>
      </c>
      <c r="G547" s="39" t="s">
        <v>455</v>
      </c>
      <c r="H547" s="40"/>
      <c r="I547" s="40"/>
      <c r="J547" s="40"/>
      <c r="K547" s="42">
        <v>46199</v>
      </c>
      <c r="L547" s="42"/>
      <c r="M547" s="44"/>
      <c r="N547" s="40"/>
      <c r="O547" s="40"/>
      <c r="P547" s="40"/>
      <c r="Q547" s="42">
        <f>IF(K547="","",K547)</f>
        <v>46199</v>
      </c>
      <c r="R547" s="39" t="s">
        <v>418</v>
      </c>
      <c r="S547" s="39" t="s">
        <v>421</v>
      </c>
      <c r="T547" s="39" t="s">
        <v>481</v>
      </c>
      <c r="U547" s="39" t="s">
        <v>275</v>
      </c>
      <c r="V547" s="39">
        <v>137</v>
      </c>
      <c r="W547" s="39" t="s">
        <v>567</v>
      </c>
      <c r="X547" s="41">
        <v>46188</v>
      </c>
      <c r="Y547" s="41">
        <v>46199</v>
      </c>
      <c r="Z547" s="43">
        <v>38.400000000000013</v>
      </c>
      <c r="AA547" s="45">
        <f>IF(M547&lt;&gt;"",M547,Z547)</f>
        <v>38.400000000000013</v>
      </c>
      <c r="AB547" s="46" t="str">
        <f>IF(L547&lt;&gt;"","Realizado","Previsto")</f>
        <v>Previsto</v>
      </c>
      <c r="AC547" s="47">
        <v>0.5</v>
      </c>
      <c r="AD547" s="43">
        <v>76.800000000000011</v>
      </c>
      <c r="AE547" s="39">
        <v>384</v>
      </c>
      <c r="AF547" s="39" t="s">
        <v>87</v>
      </c>
      <c r="AG547" s="43">
        <v>0.2</v>
      </c>
      <c r="AH547" s="39" t="s">
        <v>482</v>
      </c>
      <c r="AI547" s="39" t="s">
        <v>73</v>
      </c>
      <c r="AJ547" s="48">
        <f>IF(Q547&lt;&gt;"",Q547,IF(K547&lt;&gt;"",K547,""))</f>
        <v>46199</v>
      </c>
      <c r="AK547" s="46" t="str">
        <f>IF(K547&lt;&gt;"","Sim","")</f>
        <v>Sim</v>
      </c>
      <c r="AL547" s="46" t="str">
        <f>IF(A547="","",TEXT(A547,"000000")&amp;"-"&amp;IF(C547="Entrada","CR","DB"))</f>
        <v>000546-DB</v>
      </c>
      <c r="AM547" s="46" t="str">
        <f>IF(A547="","",LEFT(IF(H547&lt;&gt;"",H547,G547)&amp;" | "&amp;G547&amp;" | "&amp;S547,60))</f>
        <v xml:space="preserve">Bucha 6 mm para concreto | Bucha 6 mm para concreto | Saída </v>
      </c>
    </row>
    <row r="548" spans="1:39" ht="43.2" x14ac:dyDescent="0.3">
      <c r="A548" s="39">
        <v>547</v>
      </c>
      <c r="B548" s="39" t="s">
        <v>2</v>
      </c>
      <c r="C548" s="39" t="s">
        <v>74</v>
      </c>
      <c r="D548" s="39" t="s">
        <v>418</v>
      </c>
      <c r="E548" s="39" t="s">
        <v>419</v>
      </c>
      <c r="F548" s="39" t="s">
        <v>184</v>
      </c>
      <c r="G548" s="39" t="s">
        <v>458</v>
      </c>
      <c r="H548" s="40"/>
      <c r="I548" s="40"/>
      <c r="J548" s="40"/>
      <c r="K548" s="42">
        <v>46199</v>
      </c>
      <c r="L548" s="42"/>
      <c r="M548" s="44"/>
      <c r="N548" s="40"/>
      <c r="O548" s="40"/>
      <c r="P548" s="40"/>
      <c r="Q548" s="42">
        <f>IF(K548="","",K548)</f>
        <v>46199</v>
      </c>
      <c r="R548" s="39" t="s">
        <v>418</v>
      </c>
      <c r="S548" s="39" t="s">
        <v>421</v>
      </c>
      <c r="T548" s="39" t="s">
        <v>481</v>
      </c>
      <c r="U548" s="39" t="s">
        <v>275</v>
      </c>
      <c r="V548" s="39">
        <v>136</v>
      </c>
      <c r="W548" s="39" t="s">
        <v>567</v>
      </c>
      <c r="X548" s="41">
        <v>46188</v>
      </c>
      <c r="Y548" s="41">
        <v>46199</v>
      </c>
      <c r="Z548" s="43">
        <v>1625.6</v>
      </c>
      <c r="AA548" s="45">
        <f>IF(M548&lt;&gt;"",M548,Z548)</f>
        <v>1625.6</v>
      </c>
      <c r="AB548" s="46" t="str">
        <f>IF(L548&lt;&gt;"","Realizado","Previsto")</f>
        <v>Previsto</v>
      </c>
      <c r="AC548" s="47">
        <v>0.5</v>
      </c>
      <c r="AD548" s="43">
        <v>3251.2</v>
      </c>
      <c r="AE548" s="39">
        <v>128</v>
      </c>
      <c r="AF548" s="39" t="s">
        <v>87</v>
      </c>
      <c r="AG548" s="43">
        <v>25.4</v>
      </c>
      <c r="AH548" s="39" t="s">
        <v>482</v>
      </c>
      <c r="AI548" s="39" t="s">
        <v>73</v>
      </c>
      <c r="AJ548" s="48">
        <f>IF(Q548&lt;&gt;"",Q548,IF(K548&lt;&gt;"",K548,""))</f>
        <v>46199</v>
      </c>
      <c r="AK548" s="46" t="str">
        <f>IF(K548&lt;&gt;"","Sim","")</f>
        <v>Sim</v>
      </c>
      <c r="AL548" s="46" t="str">
        <f>IF(A548="","",TEXT(A548,"000000")&amp;"-"&amp;IF(C548="Entrada","CR","DB"))</f>
        <v>000547-DB</v>
      </c>
      <c r="AM548" s="46" t="str">
        <f>IF(A548="","",LEFT(IF(H548&lt;&gt;"",H548,G548)&amp;" | "&amp;G548&amp;" | "&amp;S548,60))</f>
        <v xml:space="preserve">Espuma Expansiva de Poliuretano 300ml | Espuma Expansiva de </v>
      </c>
    </row>
    <row r="549" spans="1:39" ht="43.2" x14ac:dyDescent="0.3">
      <c r="A549" s="39">
        <v>548</v>
      </c>
      <c r="B549" s="39" t="s">
        <v>2</v>
      </c>
      <c r="C549" s="39" t="s">
        <v>74</v>
      </c>
      <c r="D549" s="39" t="s">
        <v>418</v>
      </c>
      <c r="E549" s="39" t="s">
        <v>419</v>
      </c>
      <c r="F549" s="39" t="s">
        <v>184</v>
      </c>
      <c r="G549" s="39" t="s">
        <v>459</v>
      </c>
      <c r="H549" s="40"/>
      <c r="I549" s="40"/>
      <c r="J549" s="40"/>
      <c r="K549" s="42">
        <v>46199</v>
      </c>
      <c r="L549" s="42"/>
      <c r="M549" s="44"/>
      <c r="N549" s="40"/>
      <c r="O549" s="40"/>
      <c r="P549" s="40"/>
      <c r="Q549" s="42">
        <f>IF(K549="","",K549)</f>
        <v>46199</v>
      </c>
      <c r="R549" s="39" t="s">
        <v>418</v>
      </c>
      <c r="S549" s="39" t="s">
        <v>421</v>
      </c>
      <c r="T549" s="39" t="s">
        <v>481</v>
      </c>
      <c r="U549" s="39" t="s">
        <v>275</v>
      </c>
      <c r="V549" s="39">
        <v>140</v>
      </c>
      <c r="W549" s="39" t="s">
        <v>567</v>
      </c>
      <c r="X549" s="41">
        <v>46188</v>
      </c>
      <c r="Y549" s="41">
        <v>46199</v>
      </c>
      <c r="Z549" s="43">
        <v>286.39999999999998</v>
      </c>
      <c r="AA549" s="45">
        <f>IF(M549&lt;&gt;"",M549,Z549)</f>
        <v>286.39999999999998</v>
      </c>
      <c r="AB549" s="46" t="str">
        <f>IF(L549&lt;&gt;"","Realizado","Previsto")</f>
        <v>Previsto</v>
      </c>
      <c r="AC549" s="47">
        <v>0.5</v>
      </c>
      <c r="AD549" s="43">
        <v>572.79999999999995</v>
      </c>
      <c r="AE549" s="39">
        <v>32</v>
      </c>
      <c r="AF549" s="39" t="s">
        <v>87</v>
      </c>
      <c r="AG549" s="43">
        <v>17.899999999999999</v>
      </c>
      <c r="AH549" s="39" t="s">
        <v>482</v>
      </c>
      <c r="AI549" s="39" t="s">
        <v>73</v>
      </c>
      <c r="AJ549" s="48">
        <f>IF(Q549&lt;&gt;"",Q549,IF(K549&lt;&gt;"",K549,""))</f>
        <v>46199</v>
      </c>
      <c r="AK549" s="46" t="str">
        <f>IF(K549&lt;&gt;"","Sim","")</f>
        <v>Sim</v>
      </c>
      <c r="AL549" s="46" t="str">
        <f>IF(A549="","",TEXT(A549,"000000")&amp;"-"&amp;IF(C549="Entrada","CR","DB"))</f>
        <v>000548-DB</v>
      </c>
      <c r="AM549" s="46" t="str">
        <f>IF(A549="","",LEFT(IF(H549&lt;&gt;"",H549,G549)&amp;" | "&amp;G549&amp;" | "&amp;S549,60))</f>
        <v xml:space="preserve">Fita crepe 48 mm x 50 m | Fita crepe 48 mm x 50 m | Saída | </v>
      </c>
    </row>
    <row r="550" spans="1:39" ht="43.2" x14ac:dyDescent="0.3">
      <c r="A550" s="39">
        <v>549</v>
      </c>
      <c r="B550" s="39" t="s">
        <v>2</v>
      </c>
      <c r="C550" s="39" t="s">
        <v>74</v>
      </c>
      <c r="D550" s="39" t="s">
        <v>418</v>
      </c>
      <c r="E550" s="39" t="s">
        <v>419</v>
      </c>
      <c r="F550" s="39" t="s">
        <v>109</v>
      </c>
      <c r="G550" s="39" t="s">
        <v>420</v>
      </c>
      <c r="H550" s="40"/>
      <c r="I550" s="40"/>
      <c r="J550" s="40"/>
      <c r="K550" s="42">
        <v>46199</v>
      </c>
      <c r="L550" s="42"/>
      <c r="M550" s="44"/>
      <c r="N550" s="40"/>
      <c r="O550" s="40"/>
      <c r="P550" s="40"/>
      <c r="Q550" s="42">
        <f>IF(K550="","",K550)</f>
        <v>46199</v>
      </c>
      <c r="R550" s="39" t="s">
        <v>418</v>
      </c>
      <c r="S550" s="39" t="s">
        <v>421</v>
      </c>
      <c r="T550" s="39" t="s">
        <v>422</v>
      </c>
      <c r="U550" s="39" t="s">
        <v>215</v>
      </c>
      <c r="V550" s="39">
        <v>141</v>
      </c>
      <c r="W550" s="39" t="s">
        <v>567</v>
      </c>
      <c r="X550" s="41">
        <v>46188</v>
      </c>
      <c r="Y550" s="41">
        <v>46199</v>
      </c>
      <c r="Z550" s="43">
        <v>9130.5600000000013</v>
      </c>
      <c r="AA550" s="45">
        <f>IF(M550&lt;&gt;"",M550,Z550)</f>
        <v>9130.5600000000013</v>
      </c>
      <c r="AB550" s="46" t="str">
        <f>IF(L550&lt;&gt;"","Realizado","Previsto")</f>
        <v>Previsto</v>
      </c>
      <c r="AC550" s="47">
        <v>0.47554999999999997</v>
      </c>
      <c r="AD550" s="43">
        <v>19200</v>
      </c>
      <c r="AE550" s="39">
        <v>128</v>
      </c>
      <c r="AF550" s="39" t="s">
        <v>87</v>
      </c>
      <c r="AG550" s="43">
        <v>150</v>
      </c>
      <c r="AH550" s="39" t="s">
        <v>423</v>
      </c>
      <c r="AI550" s="39" t="s">
        <v>73</v>
      </c>
      <c r="AJ550" s="48">
        <f>IF(Q550&lt;&gt;"",Q550,IF(K550&lt;&gt;"",K550,""))</f>
        <v>46199</v>
      </c>
      <c r="AK550" s="46" t="str">
        <f>IF(K550&lt;&gt;"","Sim","")</f>
        <v>Sim</v>
      </c>
      <c r="AL550" s="46" t="str">
        <f>IF(A550="","",TEXT(A550,"000000")&amp;"-"&amp;IF(C550="Entrada","CR","DB"))</f>
        <v>000549-DB</v>
      </c>
      <c r="AM550" s="46" t="str">
        <f>IF(A550="","",LEFT(IF(H550&lt;&gt;"",H550,G550)&amp;" | "&amp;G550&amp;" | "&amp;S550,60))</f>
        <v>Mao de obra terceirizada colocaçao de Portas externa | Mao d</v>
      </c>
    </row>
    <row r="551" spans="1:39" ht="43.2" x14ac:dyDescent="0.3">
      <c r="A551" s="39">
        <v>550</v>
      </c>
      <c r="B551" s="39" t="s">
        <v>2</v>
      </c>
      <c r="C551" s="39" t="s">
        <v>74</v>
      </c>
      <c r="D551" s="39" t="s">
        <v>418</v>
      </c>
      <c r="E551" s="39" t="s">
        <v>419</v>
      </c>
      <c r="F551" s="39" t="s">
        <v>461</v>
      </c>
      <c r="G551" s="39" t="s">
        <v>483</v>
      </c>
      <c r="H551" s="40"/>
      <c r="I551" s="40"/>
      <c r="J551" s="40"/>
      <c r="K551" s="42">
        <v>46199</v>
      </c>
      <c r="L551" s="42"/>
      <c r="M551" s="44"/>
      <c r="N551" s="40"/>
      <c r="O551" s="40"/>
      <c r="P551" s="40"/>
      <c r="Q551" s="42">
        <f>IF(K551="","",K551)</f>
        <v>46199</v>
      </c>
      <c r="R551" s="39" t="s">
        <v>418</v>
      </c>
      <c r="S551" s="39" t="s">
        <v>421</v>
      </c>
      <c r="T551" s="39" t="s">
        <v>484</v>
      </c>
      <c r="U551" s="39" t="s">
        <v>275</v>
      </c>
      <c r="V551" s="39">
        <v>135</v>
      </c>
      <c r="W551" s="39" t="s">
        <v>567</v>
      </c>
      <c r="X551" s="41">
        <v>46188</v>
      </c>
      <c r="Y551" s="41">
        <v>46199</v>
      </c>
      <c r="Z551" s="43">
        <v>32389.632000000009</v>
      </c>
      <c r="AA551" s="45">
        <f>IF(M551&lt;&gt;"",M551,Z551)</f>
        <v>32389.632000000009</v>
      </c>
      <c r="AB551" s="46" t="str">
        <f>IF(L551&lt;&gt;"","Realizado","Previsto")</f>
        <v>Previsto</v>
      </c>
      <c r="AC551" s="47">
        <v>0.33</v>
      </c>
      <c r="AD551" s="43">
        <v>98150.400000000009</v>
      </c>
      <c r="AE551" s="39">
        <v>64</v>
      </c>
      <c r="AF551" s="39" t="s">
        <v>87</v>
      </c>
      <c r="AG551" s="43">
        <v>1533.6</v>
      </c>
      <c r="AH551" s="39" t="s">
        <v>485</v>
      </c>
      <c r="AI551" s="39" t="s">
        <v>73</v>
      </c>
      <c r="AJ551" s="48">
        <f>IF(Q551&lt;&gt;"",Q551,IF(K551&lt;&gt;"",K551,""))</f>
        <v>46199</v>
      </c>
      <c r="AK551" s="46" t="str">
        <f>IF(K551&lt;&gt;"","Sim","")</f>
        <v>Sim</v>
      </c>
      <c r="AL551" s="46" t="str">
        <f>IF(A551="","",TEXT(A551,"000000")&amp;"-"&amp;IF(C551="Entrada","CR","DB"))</f>
        <v>000550-DB</v>
      </c>
      <c r="AM551" s="46" t="str">
        <f>IF(A551="","",LEFT(IF(H551&lt;&gt;"",H551,G551)&amp;" | "&amp;G551&amp;" | "&amp;S551,60))</f>
        <v xml:space="preserve">PORTA LAMINADA AL.BCO SOFT (37MM) ESQUERDA. 215X120 | PORTA </v>
      </c>
    </row>
    <row r="552" spans="1:39" ht="43.2" x14ac:dyDescent="0.3">
      <c r="A552" s="39">
        <v>551</v>
      </c>
      <c r="B552" s="39" t="s">
        <v>2</v>
      </c>
      <c r="C552" s="39" t="s">
        <v>74</v>
      </c>
      <c r="D552" s="39" t="s">
        <v>418</v>
      </c>
      <c r="E552" s="39" t="s">
        <v>419</v>
      </c>
      <c r="F552" s="39" t="s">
        <v>461</v>
      </c>
      <c r="G552" s="39" t="s">
        <v>486</v>
      </c>
      <c r="H552" s="40"/>
      <c r="I552" s="40"/>
      <c r="J552" s="40"/>
      <c r="K552" s="42">
        <v>46199</v>
      </c>
      <c r="L552" s="42"/>
      <c r="M552" s="44"/>
      <c r="N552" s="40"/>
      <c r="O552" s="40"/>
      <c r="P552" s="40"/>
      <c r="Q552" s="42">
        <f>IF(K552="","",K552)</f>
        <v>46199</v>
      </c>
      <c r="R552" s="39" t="s">
        <v>418</v>
      </c>
      <c r="S552" s="39" t="s">
        <v>421</v>
      </c>
      <c r="T552" s="39" t="s">
        <v>484</v>
      </c>
      <c r="U552" s="39" t="s">
        <v>275</v>
      </c>
      <c r="V552" s="39">
        <v>134</v>
      </c>
      <c r="W552" s="39" t="s">
        <v>567</v>
      </c>
      <c r="X552" s="41">
        <v>46188</v>
      </c>
      <c r="Y552" s="41">
        <v>46199</v>
      </c>
      <c r="Z552" s="43">
        <v>13001.0496</v>
      </c>
      <c r="AA552" s="45">
        <f>IF(M552&lt;&gt;"",M552,Z552)</f>
        <v>13001.0496</v>
      </c>
      <c r="AB552" s="46" t="str">
        <f>IF(L552&lt;&gt;"","Realizado","Previsto")</f>
        <v>Previsto</v>
      </c>
      <c r="AC552" s="47">
        <v>0.33</v>
      </c>
      <c r="AD552" s="43">
        <v>39397.120000000003</v>
      </c>
      <c r="AE552" s="39">
        <v>64</v>
      </c>
      <c r="AF552" s="39" t="s">
        <v>87</v>
      </c>
      <c r="AG552" s="43">
        <v>615.58000000000004</v>
      </c>
      <c r="AH552" s="39" t="s">
        <v>485</v>
      </c>
      <c r="AI552" s="39" t="s">
        <v>73</v>
      </c>
      <c r="AJ552" s="48">
        <f>IF(Q552&lt;&gt;"",Q552,IF(K552&lt;&gt;"",K552,""))</f>
        <v>46199</v>
      </c>
      <c r="AK552" s="46" t="str">
        <f>IF(K552&lt;&gt;"","Sim","")</f>
        <v>Sim</v>
      </c>
      <c r="AL552" s="46" t="str">
        <f>IF(A552="","",TEXT(A552,"000000")&amp;"-"&amp;IF(C552="Entrada","CR","DB"))</f>
        <v>000551-DB</v>
      </c>
      <c r="AM552" s="46" t="str">
        <f>IF(A552="","",LEFT(IF(H552&lt;&gt;"",H552,G552)&amp;" | "&amp;G552&amp;" | "&amp;S552,60))</f>
        <v>PORTA LAMINADA AL.BCO SOFT(37MM) DIR. 215X94 | PORTA LAMINAD</v>
      </c>
    </row>
    <row r="553" spans="1:39" ht="43.2" x14ac:dyDescent="0.3">
      <c r="A553" s="39">
        <v>552</v>
      </c>
      <c r="B553" s="39" t="s">
        <v>2</v>
      </c>
      <c r="C553" s="39" t="s">
        <v>74</v>
      </c>
      <c r="D553" s="39" t="s">
        <v>418</v>
      </c>
      <c r="E553" s="39" t="s">
        <v>419</v>
      </c>
      <c r="F553" s="39" t="s">
        <v>167</v>
      </c>
      <c r="G553" s="39" t="s">
        <v>465</v>
      </c>
      <c r="H553" s="40"/>
      <c r="I553" s="40"/>
      <c r="J553" s="40"/>
      <c r="K553" s="42">
        <v>46199</v>
      </c>
      <c r="L553" s="42"/>
      <c r="M553" s="44"/>
      <c r="N553" s="40"/>
      <c r="O553" s="40"/>
      <c r="P553" s="40"/>
      <c r="Q553" s="42">
        <f>IF(K553="","",K553)</f>
        <v>46199</v>
      </c>
      <c r="R553" s="39" t="s">
        <v>418</v>
      </c>
      <c r="S553" s="39" t="s">
        <v>421</v>
      </c>
      <c r="T553" s="39" t="s">
        <v>487</v>
      </c>
      <c r="U553" s="39" t="s">
        <v>275</v>
      </c>
      <c r="V553" s="39">
        <v>138</v>
      </c>
      <c r="W553" s="39" t="s">
        <v>567</v>
      </c>
      <c r="X553" s="41">
        <v>46188</v>
      </c>
      <c r="Y553" s="41">
        <v>46199</v>
      </c>
      <c r="Z553" s="43">
        <v>124.8</v>
      </c>
      <c r="AA553" s="45">
        <f>IF(M553&lt;&gt;"",M553,Z553)</f>
        <v>124.8</v>
      </c>
      <c r="AB553" s="46" t="str">
        <f>IF(L553&lt;&gt;"","Realizado","Previsto")</f>
        <v>Previsto</v>
      </c>
      <c r="AC553" s="47">
        <v>0.5</v>
      </c>
      <c r="AD553" s="43">
        <v>249.6</v>
      </c>
      <c r="AE553" s="39">
        <v>384</v>
      </c>
      <c r="AF553" s="39" t="s">
        <v>87</v>
      </c>
      <c r="AG553" s="43">
        <v>0.65</v>
      </c>
      <c r="AH553" s="39" t="s">
        <v>488</v>
      </c>
      <c r="AI553" s="39" t="s">
        <v>73</v>
      </c>
      <c r="AJ553" s="48">
        <f>IF(Q553&lt;&gt;"",Q553,IF(K553&lt;&gt;"",K553,""))</f>
        <v>46199</v>
      </c>
      <c r="AK553" s="46" t="str">
        <f>IF(K553&lt;&gt;"","Sim","")</f>
        <v>Sim</v>
      </c>
      <c r="AL553" s="46" t="str">
        <f>IF(A553="","",TEXT(A553,"000000")&amp;"-"&amp;IF(C553="Entrada","CR","DB"))</f>
        <v>000552-DB</v>
      </c>
      <c r="AM553" s="46" t="str">
        <f>IF(A553="","",LEFT(IF(H553&lt;&gt;"",H553,G553)&amp;" | "&amp;G553&amp;" | "&amp;S553,60))</f>
        <v>Parafuso panela fenda/phillips 4,8 x 50 mm - INOX | Parafuso</v>
      </c>
    </row>
    <row r="554" spans="1:39" ht="43.2" x14ac:dyDescent="0.3">
      <c r="A554" s="39">
        <v>553</v>
      </c>
      <c r="B554" s="39" t="s">
        <v>2</v>
      </c>
      <c r="C554" s="39" t="s">
        <v>74</v>
      </c>
      <c r="D554" s="39" t="s">
        <v>418</v>
      </c>
      <c r="E554" s="39" t="s">
        <v>419</v>
      </c>
      <c r="F554" s="39" t="s">
        <v>184</v>
      </c>
      <c r="G554" s="39" t="s">
        <v>466</v>
      </c>
      <c r="H554" s="40"/>
      <c r="I554" s="40"/>
      <c r="J554" s="40"/>
      <c r="K554" s="42">
        <v>46199</v>
      </c>
      <c r="L554" s="42"/>
      <c r="M554" s="44"/>
      <c r="N554" s="40"/>
      <c r="O554" s="40"/>
      <c r="P554" s="40"/>
      <c r="Q554" s="42">
        <f>IF(K554="","",K554)</f>
        <v>46199</v>
      </c>
      <c r="R554" s="39" t="s">
        <v>418</v>
      </c>
      <c r="S554" s="39" t="s">
        <v>421</v>
      </c>
      <c r="T554" s="39" t="s">
        <v>481</v>
      </c>
      <c r="U554" s="39" t="s">
        <v>275</v>
      </c>
      <c r="V554" s="39">
        <v>139</v>
      </c>
      <c r="W554" s="39" t="s">
        <v>567</v>
      </c>
      <c r="X554" s="41">
        <v>46188</v>
      </c>
      <c r="Y554" s="41">
        <v>46199</v>
      </c>
      <c r="Z554" s="43">
        <v>480</v>
      </c>
      <c r="AA554" s="45">
        <f>IF(M554&lt;&gt;"",M554,Z554)</f>
        <v>480</v>
      </c>
      <c r="AB554" s="46" t="str">
        <f>IF(L554&lt;&gt;"","Realizado","Previsto")</f>
        <v>Previsto</v>
      </c>
      <c r="AC554" s="47">
        <v>0.5</v>
      </c>
      <c r="AD554" s="43">
        <v>960</v>
      </c>
      <c r="AE554" s="39">
        <v>64</v>
      </c>
      <c r="AF554" s="39" t="s">
        <v>87</v>
      </c>
      <c r="AG554" s="43">
        <v>15</v>
      </c>
      <c r="AH554" s="39" t="s">
        <v>482</v>
      </c>
      <c r="AI554" s="39" t="s">
        <v>73</v>
      </c>
      <c r="AJ554" s="48">
        <f>IF(Q554&lt;&gt;"",Q554,IF(K554&lt;&gt;"",K554,""))</f>
        <v>46199</v>
      </c>
      <c r="AK554" s="46" t="str">
        <f>IF(K554&lt;&gt;"","Sim","")</f>
        <v>Sim</v>
      </c>
      <c r="AL554" s="46" t="str">
        <f>IF(A554="","",TEXT(A554,"000000")&amp;"-"&amp;IF(C554="Entrada","CR","DB"))</f>
        <v>000553-DB</v>
      </c>
      <c r="AM554" s="46" t="str">
        <f>IF(A554="","",LEFT(IF(H554&lt;&gt;"",H554,G554)&amp;" | "&amp;G554&amp;" | "&amp;S554,60))</f>
        <v>Selante acrilico c / 390 g - TECKBOND | Selante acrilico c /</v>
      </c>
    </row>
    <row r="555" spans="1:39" ht="43.2" x14ac:dyDescent="0.3">
      <c r="A555" s="39">
        <v>554</v>
      </c>
      <c r="B555" s="39" t="s">
        <v>2</v>
      </c>
      <c r="C555" s="39" t="s">
        <v>74</v>
      </c>
      <c r="D555" s="39" t="s">
        <v>424</v>
      </c>
      <c r="E555" s="39" t="s">
        <v>425</v>
      </c>
      <c r="F555" s="39" t="s">
        <v>184</v>
      </c>
      <c r="G555" s="39" t="s">
        <v>489</v>
      </c>
      <c r="H555" s="40"/>
      <c r="I555" s="40"/>
      <c r="J555" s="40"/>
      <c r="K555" s="42">
        <v>46199</v>
      </c>
      <c r="L555" s="42"/>
      <c r="M555" s="44"/>
      <c r="N555" s="40"/>
      <c r="O555" s="40"/>
      <c r="P555" s="40"/>
      <c r="Q555" s="42">
        <f>IF(K555="","",K555)</f>
        <v>46199</v>
      </c>
      <c r="R555" s="39" t="s">
        <v>424</v>
      </c>
      <c r="S555" s="39" t="s">
        <v>427</v>
      </c>
      <c r="T555" s="39" t="s">
        <v>490</v>
      </c>
      <c r="U555" s="39" t="s">
        <v>275</v>
      </c>
      <c r="V555" s="39">
        <v>131</v>
      </c>
      <c r="W555" s="39" t="s">
        <v>567</v>
      </c>
      <c r="X555" s="41">
        <v>46188</v>
      </c>
      <c r="Y555" s="41">
        <v>46199</v>
      </c>
      <c r="Z555" s="43">
        <v>4000</v>
      </c>
      <c r="AA555" s="45">
        <f>IF(M555&lt;&gt;"",M555,Z555)</f>
        <v>4000</v>
      </c>
      <c r="AB555" s="46" t="str">
        <f>IF(L555&lt;&gt;"","Realizado","Previsto")</f>
        <v>Previsto</v>
      </c>
      <c r="AC555" s="47">
        <v>0.5</v>
      </c>
      <c r="AD555" s="43">
        <v>8000</v>
      </c>
      <c r="AE555" s="39">
        <v>320</v>
      </c>
      <c r="AF555" s="39" t="s">
        <v>87</v>
      </c>
      <c r="AG555" s="43">
        <v>25</v>
      </c>
      <c r="AH555" s="39" t="s">
        <v>491</v>
      </c>
      <c r="AI555" s="39" t="s">
        <v>73</v>
      </c>
      <c r="AJ555" s="48">
        <f>IF(Q555&lt;&gt;"",Q555,IF(K555&lt;&gt;"",K555,""))</f>
        <v>46199</v>
      </c>
      <c r="AK555" s="46" t="str">
        <f>IF(K555&lt;&gt;"","Sim","")</f>
        <v>Sim</v>
      </c>
      <c r="AL555" s="46" t="str">
        <f>IF(A555="","",TEXT(A555,"000000")&amp;"-"&amp;IF(C555="Entrada","CR","DB"))</f>
        <v>000554-DB</v>
      </c>
      <c r="AM555" s="46" t="str">
        <f>IF(A555="","",LEFT(IF(H555&lt;&gt;"",H555,G555)&amp;" | "&amp;G555&amp;" | "&amp;S555,60))</f>
        <v xml:space="preserve">ESPUMA EXPANSIVA DE POLIURETANO - 500 ML | ESPUMA EXPANSIVA </v>
      </c>
    </row>
    <row r="556" spans="1:39" ht="43.2" x14ac:dyDescent="0.3">
      <c r="A556" s="39">
        <v>555</v>
      </c>
      <c r="B556" s="39" t="s">
        <v>2</v>
      </c>
      <c r="C556" s="39" t="s">
        <v>74</v>
      </c>
      <c r="D556" s="39" t="s">
        <v>424</v>
      </c>
      <c r="E556" s="39" t="s">
        <v>425</v>
      </c>
      <c r="F556" s="39" t="s">
        <v>109</v>
      </c>
      <c r="G556" s="39" t="s">
        <v>426</v>
      </c>
      <c r="H556" s="40"/>
      <c r="I556" s="40"/>
      <c r="J556" s="40"/>
      <c r="K556" s="42">
        <v>46199</v>
      </c>
      <c r="L556" s="42"/>
      <c r="M556" s="44"/>
      <c r="N556" s="40"/>
      <c r="O556" s="40"/>
      <c r="P556" s="40"/>
      <c r="Q556" s="42">
        <f>IF(K556="","",K556)</f>
        <v>46199</v>
      </c>
      <c r="R556" s="39" t="s">
        <v>424</v>
      </c>
      <c r="S556" s="39" t="s">
        <v>427</v>
      </c>
      <c r="T556" s="39" t="s">
        <v>428</v>
      </c>
      <c r="U556" s="39" t="s">
        <v>215</v>
      </c>
      <c r="V556" s="39">
        <v>132</v>
      </c>
      <c r="W556" s="39" t="s">
        <v>567</v>
      </c>
      <c r="X556" s="41">
        <v>46188</v>
      </c>
      <c r="Y556" s="41">
        <v>46199</v>
      </c>
      <c r="Z556" s="43">
        <v>13695.84</v>
      </c>
      <c r="AA556" s="45">
        <f>IF(M556&lt;&gt;"",M556,Z556)</f>
        <v>13695.84</v>
      </c>
      <c r="AB556" s="46" t="str">
        <f>IF(L556&lt;&gt;"","Realizado","Previsto")</f>
        <v>Previsto</v>
      </c>
      <c r="AC556" s="47">
        <v>0.47554999999999997</v>
      </c>
      <c r="AD556" s="43">
        <v>28800</v>
      </c>
      <c r="AE556" s="39">
        <v>192</v>
      </c>
      <c r="AF556" s="39" t="s">
        <v>87</v>
      </c>
      <c r="AG556" s="43">
        <v>150</v>
      </c>
      <c r="AH556" s="39" t="s">
        <v>429</v>
      </c>
      <c r="AI556" s="39" t="s">
        <v>73</v>
      </c>
      <c r="AJ556" s="48">
        <f>IF(Q556&lt;&gt;"",Q556,IF(K556&lt;&gt;"",K556,""))</f>
        <v>46199</v>
      </c>
      <c r="AK556" s="46" t="str">
        <f>IF(K556&lt;&gt;"","Sim","")</f>
        <v>Sim</v>
      </c>
      <c r="AL556" s="46" t="str">
        <f>IF(A556="","",TEXT(A556,"000000")&amp;"-"&amp;IF(C556="Entrada","CR","DB"))</f>
        <v>000555-DB</v>
      </c>
      <c r="AM556" s="46" t="str">
        <f>IF(A556="","",LEFT(IF(H556&lt;&gt;"",H556,G556)&amp;" | "&amp;G556&amp;" | "&amp;S556,60))</f>
        <v>Mao de obra terceirizada colocaçao de Portas interna | Mao d</v>
      </c>
    </row>
    <row r="557" spans="1:39" ht="43.2" x14ac:dyDescent="0.3">
      <c r="A557" s="39">
        <v>556</v>
      </c>
      <c r="B557" s="39" t="s">
        <v>2</v>
      </c>
      <c r="C557" s="39" t="s">
        <v>74</v>
      </c>
      <c r="D557" s="39" t="s">
        <v>424</v>
      </c>
      <c r="E557" s="39" t="s">
        <v>425</v>
      </c>
      <c r="F557" s="39" t="s">
        <v>461</v>
      </c>
      <c r="G557" s="39" t="s">
        <v>492</v>
      </c>
      <c r="H557" s="40"/>
      <c r="I557" s="40"/>
      <c r="J557" s="40"/>
      <c r="K557" s="42">
        <v>46199</v>
      </c>
      <c r="L557" s="42"/>
      <c r="M557" s="44"/>
      <c r="N557" s="40"/>
      <c r="O557" s="40"/>
      <c r="P557" s="40"/>
      <c r="Q557" s="42">
        <f>IF(K557="","",K557)</f>
        <v>46199</v>
      </c>
      <c r="R557" s="39" t="s">
        <v>424</v>
      </c>
      <c r="S557" s="39" t="s">
        <v>427</v>
      </c>
      <c r="T557" s="39" t="s">
        <v>493</v>
      </c>
      <c r="U557" s="39" t="s">
        <v>275</v>
      </c>
      <c r="V557" s="39">
        <v>130</v>
      </c>
      <c r="W557" s="39" t="s">
        <v>567</v>
      </c>
      <c r="X557" s="41">
        <v>46188</v>
      </c>
      <c r="Y557" s="41">
        <v>46199</v>
      </c>
      <c r="Z557" s="43">
        <v>25920</v>
      </c>
      <c r="AA557" s="45">
        <f>IF(M557&lt;&gt;"",M557,Z557)</f>
        <v>25920</v>
      </c>
      <c r="AB557" s="46" t="str">
        <f>IF(L557&lt;&gt;"","Realizado","Previsto")</f>
        <v>Previsto</v>
      </c>
      <c r="AC557" s="47">
        <v>0.5</v>
      </c>
      <c r="AD557" s="43">
        <v>51840</v>
      </c>
      <c r="AE557" s="39">
        <v>192</v>
      </c>
      <c r="AF557" s="39" t="s">
        <v>87</v>
      </c>
      <c r="AG557" s="43">
        <v>270</v>
      </c>
      <c r="AH557" s="39" t="s">
        <v>494</v>
      </c>
      <c r="AI557" s="39" t="s">
        <v>73</v>
      </c>
      <c r="AJ557" s="48">
        <f>IF(Q557&lt;&gt;"",Q557,IF(K557&lt;&gt;"",K557,""))</f>
        <v>46199</v>
      </c>
      <c r="AK557" s="46" t="str">
        <f>IF(K557&lt;&gt;"","Sim","")</f>
        <v>Sim</v>
      </c>
      <c r="AL557" s="46" t="str">
        <f>IF(A557="","",TEXT(A557,"000000")&amp;"-"&amp;IF(C557="Entrada","CR","DB"))</f>
        <v>000556-DB</v>
      </c>
      <c r="AM557" s="46" t="str">
        <f>IF(A557="","",LEFT(IF(H557&lt;&gt;"",H557,G557)&amp;" | "&amp;G557&amp;" | "&amp;S557,60))</f>
        <v>PORTA EM MADEIRA PINUS SECA EM ESTUFA P/ USO INTERNO  INCLUS</v>
      </c>
    </row>
    <row r="558" spans="1:39" ht="43.2" x14ac:dyDescent="0.3">
      <c r="A558" s="39">
        <v>557</v>
      </c>
      <c r="B558" s="39" t="s">
        <v>2</v>
      </c>
      <c r="C558" s="39" t="s">
        <v>74</v>
      </c>
      <c r="D558" s="39" t="s">
        <v>120</v>
      </c>
      <c r="E558" s="39" t="s">
        <v>120</v>
      </c>
      <c r="F558" s="39" t="s">
        <v>120</v>
      </c>
      <c r="G558" s="39" t="s">
        <v>121</v>
      </c>
      <c r="H558" s="40"/>
      <c r="I558" s="40"/>
      <c r="J558" s="40"/>
      <c r="K558" s="42">
        <v>46199</v>
      </c>
      <c r="L558" s="42"/>
      <c r="M558" s="44"/>
      <c r="N558" s="40"/>
      <c r="O558" s="40"/>
      <c r="P558" s="40"/>
      <c r="Q558" s="42">
        <f>IF(K558="","",K558)</f>
        <v>46199</v>
      </c>
      <c r="R558" s="39" t="s">
        <v>120</v>
      </c>
      <c r="S558" s="39" t="s">
        <v>122</v>
      </c>
      <c r="T558" s="39" t="s">
        <v>123</v>
      </c>
      <c r="U558" s="39"/>
      <c r="V558" s="39">
        <v>267</v>
      </c>
      <c r="W558" s="39" t="s">
        <v>567</v>
      </c>
      <c r="X558" s="41">
        <v>46188</v>
      </c>
      <c r="Y558" s="41">
        <v>46199</v>
      </c>
      <c r="Z558" s="43">
        <v>454039.89004093601</v>
      </c>
      <c r="AA558" s="45">
        <f>IF(M558&lt;&gt;"",M558,Z558)</f>
        <v>454039.89004093601</v>
      </c>
      <c r="AB558" s="46" t="str">
        <f>IF(L558&lt;&gt;"","Realizado","Previsto")</f>
        <v>Previsto</v>
      </c>
      <c r="AC558" s="47"/>
      <c r="AD558" s="43">
        <v>5780911.3615999985</v>
      </c>
      <c r="AE558" s="39"/>
      <c r="AF558" s="39" t="s">
        <v>79</v>
      </c>
      <c r="AG558" s="43"/>
      <c r="AH558" s="39"/>
      <c r="AI558" s="39" t="s">
        <v>73</v>
      </c>
      <c r="AJ558" s="48">
        <f>IF(Q558&lt;&gt;"",Q558,IF(K558&lt;&gt;"",K558,""))</f>
        <v>46199</v>
      </c>
      <c r="AK558" s="46" t="str">
        <f>IF(K558&lt;&gt;"","Sim","")</f>
        <v>Sim</v>
      </c>
      <c r="AL558" s="46" t="str">
        <f>IF(A558="","",TEXT(A558,"000000")&amp;"-"&amp;IF(C558="Entrada","CR","DB"))</f>
        <v>000557-DB</v>
      </c>
      <c r="AM558" s="46" t="str">
        <f>IF(A558="","",LEFT(IF(H558&lt;&gt;"",H558,G558)&amp;" | "&amp;G558&amp;" | "&amp;S558,60))</f>
        <v>TOTALIZADOR CUSTO GLOBAIS OBRAS - MENSAL | TOTALIZADOR CUSTO</v>
      </c>
    </row>
    <row r="559" spans="1:39" ht="43.2" x14ac:dyDescent="0.3">
      <c r="A559" s="39">
        <v>558</v>
      </c>
      <c r="B559" s="39" t="s">
        <v>2</v>
      </c>
      <c r="C559" s="39" t="s">
        <v>66</v>
      </c>
      <c r="D559" s="39" t="s">
        <v>67</v>
      </c>
      <c r="E559" s="39" t="s">
        <v>67</v>
      </c>
      <c r="F559" s="39" t="s">
        <v>68</v>
      </c>
      <c r="G559" s="39" t="s">
        <v>69</v>
      </c>
      <c r="H559" s="40"/>
      <c r="I559" s="40"/>
      <c r="J559" s="40"/>
      <c r="K559" s="42">
        <v>46213</v>
      </c>
      <c r="L559" s="42"/>
      <c r="M559" s="44"/>
      <c r="N559" s="40"/>
      <c r="O559" s="40"/>
      <c r="P559" s="40"/>
      <c r="Q559" s="42">
        <f>IF(K559="","",K559)</f>
        <v>46213</v>
      </c>
      <c r="R559" s="39" t="s">
        <v>69</v>
      </c>
      <c r="S559" s="39" t="s">
        <v>70</v>
      </c>
      <c r="T559" s="39" t="s">
        <v>71</v>
      </c>
      <c r="U559" s="39"/>
      <c r="V559" s="39">
        <v>283</v>
      </c>
      <c r="W559" s="39" t="s">
        <v>604</v>
      </c>
      <c r="X559" s="41">
        <v>46202</v>
      </c>
      <c r="Y559" s="41">
        <v>46213</v>
      </c>
      <c r="Z559" s="43">
        <v>419604.64831999998</v>
      </c>
      <c r="AA559" s="45">
        <f>IF(M559&lt;&gt;"",M559,Z559)</f>
        <v>419604.64831999998</v>
      </c>
      <c r="AB559" s="46" t="str">
        <f>IF(L559&lt;&gt;"","Realizado","Previsto")</f>
        <v>Previsto</v>
      </c>
      <c r="AC559" s="47"/>
      <c r="AD559" s="43">
        <v>8079999.9191039996</v>
      </c>
      <c r="AE559" s="39"/>
      <c r="AF559" s="39"/>
      <c r="AG559" s="43"/>
      <c r="AH559" s="39"/>
      <c r="AI559" s="39" t="s">
        <v>73</v>
      </c>
      <c r="AJ559" s="48">
        <f>IF(Q559&lt;&gt;"",Q559,IF(K559&lt;&gt;"",K559,""))</f>
        <v>46213</v>
      </c>
      <c r="AK559" s="46" t="str">
        <f>IF(K559&lt;&gt;"","Sim","")</f>
        <v>Sim</v>
      </c>
      <c r="AL559" s="46" t="str">
        <f>IF(A559="","",TEXT(A559,"000000")&amp;"-"&amp;IF(C559="Entrada","CR","DB"))</f>
        <v>000558-CR</v>
      </c>
      <c r="AM559" s="46" t="str">
        <f>IF(A559="","",LEFT(IF(H559&lt;&gt;"",H559,G559)&amp;" | "&amp;G559&amp;" | "&amp;S559,60))</f>
        <v xml:space="preserve">MEDIÇÃO CONTRATUAL | MEDIÇÃO CONTRATUAL | Entrada | MEDIÇÃO </v>
      </c>
    </row>
    <row r="560" spans="1:39" ht="43.2" x14ac:dyDescent="0.3">
      <c r="A560" s="39">
        <v>559</v>
      </c>
      <c r="B560" s="39" t="s">
        <v>2</v>
      </c>
      <c r="C560" s="39" t="s">
        <v>74</v>
      </c>
      <c r="D560" s="39" t="s">
        <v>217</v>
      </c>
      <c r="E560" s="39" t="s">
        <v>217</v>
      </c>
      <c r="F560" s="39" t="s">
        <v>132</v>
      </c>
      <c r="G560" s="39" t="s">
        <v>396</v>
      </c>
      <c r="H560" s="40"/>
      <c r="I560" s="40"/>
      <c r="J560" s="40"/>
      <c r="K560" s="42">
        <v>46213</v>
      </c>
      <c r="L560" s="42"/>
      <c r="M560" s="44"/>
      <c r="N560" s="40"/>
      <c r="O560" s="40"/>
      <c r="P560" s="40"/>
      <c r="Q560" s="42">
        <f>IF(K560="","",K560)</f>
        <v>46213</v>
      </c>
      <c r="R560" s="39" t="s">
        <v>217</v>
      </c>
      <c r="S560" s="39" t="s">
        <v>219</v>
      </c>
      <c r="T560" s="39" t="s">
        <v>397</v>
      </c>
      <c r="U560" s="39" t="s">
        <v>309</v>
      </c>
      <c r="V560" s="39">
        <v>97</v>
      </c>
      <c r="W560" s="39" t="s">
        <v>604</v>
      </c>
      <c r="X560" s="41">
        <v>46202</v>
      </c>
      <c r="Y560" s="41">
        <v>46213</v>
      </c>
      <c r="Z560" s="43">
        <v>4264.5504000000001</v>
      </c>
      <c r="AA560" s="45">
        <f>IF(M560&lt;&gt;"",M560,Z560)</f>
        <v>4264.5504000000001</v>
      </c>
      <c r="AB560" s="46" t="str">
        <f>IF(L560&lt;&gt;"","Realizado","Previsto")</f>
        <v>Previsto</v>
      </c>
      <c r="AC560" s="47">
        <v>0.33</v>
      </c>
      <c r="AD560" s="43">
        <v>12922.88</v>
      </c>
      <c r="AE560" s="39">
        <v>807.68</v>
      </c>
      <c r="AF560" s="39" t="s">
        <v>155</v>
      </c>
      <c r="AG560" s="43">
        <v>16</v>
      </c>
      <c r="AH560" s="39" t="s">
        <v>398</v>
      </c>
      <c r="AI560" s="39" t="s">
        <v>73</v>
      </c>
      <c r="AJ560" s="48">
        <f>IF(Q560&lt;&gt;"",Q560,IF(K560&lt;&gt;"",K560,""))</f>
        <v>46213</v>
      </c>
      <c r="AK560" s="46" t="str">
        <f>IF(K560&lt;&gt;"","Sim","")</f>
        <v>Sim</v>
      </c>
      <c r="AL560" s="46" t="str">
        <f>IF(A560="","",TEXT(A560,"000000")&amp;"-"&amp;IF(C560="Entrada","CR","DB"))</f>
        <v>000559-DB</v>
      </c>
      <c r="AM560" s="46" t="str">
        <f>IF(A560="","",LEFT(IF(H560&lt;&gt;"",H560,G560)&amp;" | "&amp;G560&amp;" | "&amp;S560,60))</f>
        <v>Tubo pvc 100mm - Rede de Esgoto | Tubo pvc 100mm - Rede de E</v>
      </c>
    </row>
    <row r="561" spans="1:39" ht="43.2" x14ac:dyDescent="0.3">
      <c r="A561" s="39">
        <v>560</v>
      </c>
      <c r="B561" s="39" t="s">
        <v>2</v>
      </c>
      <c r="C561" s="39" t="s">
        <v>74</v>
      </c>
      <c r="D561" s="39" t="s">
        <v>217</v>
      </c>
      <c r="E561" s="39" t="s">
        <v>217</v>
      </c>
      <c r="F561" s="39" t="s">
        <v>132</v>
      </c>
      <c r="G561" s="39" t="s">
        <v>399</v>
      </c>
      <c r="H561" s="40"/>
      <c r="I561" s="40"/>
      <c r="J561" s="40"/>
      <c r="K561" s="42">
        <v>46213</v>
      </c>
      <c r="L561" s="42"/>
      <c r="M561" s="44"/>
      <c r="N561" s="40"/>
      <c r="O561" s="40"/>
      <c r="P561" s="40"/>
      <c r="Q561" s="42">
        <f>IF(K561="","",K561)</f>
        <v>46213</v>
      </c>
      <c r="R561" s="39" t="s">
        <v>217</v>
      </c>
      <c r="S561" s="39" t="s">
        <v>219</v>
      </c>
      <c r="T561" s="39" t="s">
        <v>397</v>
      </c>
      <c r="U561" s="39" t="s">
        <v>309</v>
      </c>
      <c r="V561" s="39">
        <v>99</v>
      </c>
      <c r="W561" s="39" t="s">
        <v>604</v>
      </c>
      <c r="X561" s="41">
        <v>46202</v>
      </c>
      <c r="Y561" s="41">
        <v>46213</v>
      </c>
      <c r="Z561" s="43">
        <v>204.71616</v>
      </c>
      <c r="AA561" s="45">
        <f>IF(M561&lt;&gt;"",M561,Z561)</f>
        <v>204.71616</v>
      </c>
      <c r="AB561" s="46" t="str">
        <f>IF(L561&lt;&gt;"","Realizado","Previsto")</f>
        <v>Previsto</v>
      </c>
      <c r="AC561" s="47">
        <v>0.33</v>
      </c>
      <c r="AD561" s="43">
        <v>620.35199999999998</v>
      </c>
      <c r="AE561" s="39">
        <v>172.8</v>
      </c>
      <c r="AF561" s="39" t="s">
        <v>155</v>
      </c>
      <c r="AG561" s="43">
        <v>3.59</v>
      </c>
      <c r="AH561" s="39" t="s">
        <v>398</v>
      </c>
      <c r="AI561" s="39" t="s">
        <v>73</v>
      </c>
      <c r="AJ561" s="48">
        <f>IF(Q561&lt;&gt;"",Q561,IF(K561&lt;&gt;"",K561,""))</f>
        <v>46213</v>
      </c>
      <c r="AK561" s="46" t="str">
        <f>IF(K561&lt;&gt;"","Sim","")</f>
        <v>Sim</v>
      </c>
      <c r="AL561" s="46" t="str">
        <f>IF(A561="","",TEXT(A561,"000000")&amp;"-"&amp;IF(C561="Entrada","CR","DB"))</f>
        <v>000560-DB</v>
      </c>
      <c r="AM561" s="46" t="str">
        <f>IF(A561="","",LEFT(IF(H561&lt;&gt;"",H561,G561)&amp;" | "&amp;G561&amp;" | "&amp;S561,60))</f>
        <v>Tubo pvc 40mm - Rede de Esgoto | Tubo pvc 40mm - Rede de Esg</v>
      </c>
    </row>
    <row r="562" spans="1:39" ht="43.2" x14ac:dyDescent="0.3">
      <c r="A562" s="39">
        <v>561</v>
      </c>
      <c r="B562" s="39" t="s">
        <v>2</v>
      </c>
      <c r="C562" s="39" t="s">
        <v>74</v>
      </c>
      <c r="D562" s="39" t="s">
        <v>217</v>
      </c>
      <c r="E562" s="39" t="s">
        <v>217</v>
      </c>
      <c r="F562" s="39" t="s">
        <v>132</v>
      </c>
      <c r="G562" s="39" t="s">
        <v>400</v>
      </c>
      <c r="H562" s="40"/>
      <c r="I562" s="40"/>
      <c r="J562" s="40"/>
      <c r="K562" s="42">
        <v>46213</v>
      </c>
      <c r="L562" s="42"/>
      <c r="M562" s="44"/>
      <c r="N562" s="40"/>
      <c r="O562" s="40"/>
      <c r="P562" s="40"/>
      <c r="Q562" s="42">
        <f>IF(K562="","",K562)</f>
        <v>46213</v>
      </c>
      <c r="R562" s="39" t="s">
        <v>217</v>
      </c>
      <c r="S562" s="39" t="s">
        <v>219</v>
      </c>
      <c r="T562" s="39" t="s">
        <v>397</v>
      </c>
      <c r="U562" s="39" t="s">
        <v>309</v>
      </c>
      <c r="V562" s="39">
        <v>98</v>
      </c>
      <c r="W562" s="39" t="s">
        <v>604</v>
      </c>
      <c r="X562" s="41">
        <v>46202</v>
      </c>
      <c r="Y562" s="41">
        <v>46213</v>
      </c>
      <c r="Z562" s="43">
        <v>215.93088</v>
      </c>
      <c r="AA562" s="45">
        <f>IF(M562&lt;&gt;"",M562,Z562)</f>
        <v>215.93088</v>
      </c>
      <c r="AB562" s="46" t="str">
        <f>IF(L562&lt;&gt;"","Realizado","Previsto")</f>
        <v>Previsto</v>
      </c>
      <c r="AC562" s="47">
        <v>0.33</v>
      </c>
      <c r="AD562" s="43">
        <v>654.33600000000001</v>
      </c>
      <c r="AE562" s="39">
        <v>115.2</v>
      </c>
      <c r="AF562" s="39" t="s">
        <v>155</v>
      </c>
      <c r="AG562" s="43">
        <v>5.68</v>
      </c>
      <c r="AH562" s="39" t="s">
        <v>398</v>
      </c>
      <c r="AI562" s="39" t="s">
        <v>73</v>
      </c>
      <c r="AJ562" s="48">
        <f>IF(Q562&lt;&gt;"",Q562,IF(K562&lt;&gt;"",K562,""))</f>
        <v>46213</v>
      </c>
      <c r="AK562" s="46" t="str">
        <f>IF(K562&lt;&gt;"","Sim","")</f>
        <v>Sim</v>
      </c>
      <c r="AL562" s="46" t="str">
        <f>IF(A562="","",TEXT(A562,"000000")&amp;"-"&amp;IF(C562="Entrada","CR","DB"))</f>
        <v>000561-DB</v>
      </c>
      <c r="AM562" s="46" t="str">
        <f>IF(A562="","",LEFT(IF(H562&lt;&gt;"",H562,G562)&amp;" | "&amp;G562&amp;" | "&amp;S562,60))</f>
        <v>Tubo pvc 50mm - Rede de Esgoto | Tubo pvc 50mm - Rede de Esg</v>
      </c>
    </row>
    <row r="563" spans="1:39" ht="43.2" x14ac:dyDescent="0.3">
      <c r="A563" s="39">
        <v>562</v>
      </c>
      <c r="B563" s="39" t="s">
        <v>2</v>
      </c>
      <c r="C563" s="39" t="s">
        <v>74</v>
      </c>
      <c r="D563" s="39" t="s">
        <v>437</v>
      </c>
      <c r="E563" s="39" t="s">
        <v>437</v>
      </c>
      <c r="F563" s="39" t="s">
        <v>109</v>
      </c>
      <c r="G563" s="39" t="s">
        <v>442</v>
      </c>
      <c r="H563" s="40"/>
      <c r="I563" s="40"/>
      <c r="J563" s="40"/>
      <c r="K563" s="42">
        <v>46213</v>
      </c>
      <c r="L563" s="42"/>
      <c r="M563" s="44"/>
      <c r="N563" s="40"/>
      <c r="O563" s="40"/>
      <c r="P563" s="40"/>
      <c r="Q563" s="42">
        <f>IF(K563="","",K563)</f>
        <v>46213</v>
      </c>
      <c r="R563" s="39" t="s">
        <v>437</v>
      </c>
      <c r="S563" s="39" t="s">
        <v>439</v>
      </c>
      <c r="T563" s="39" t="s">
        <v>443</v>
      </c>
      <c r="U563" s="39" t="s">
        <v>215</v>
      </c>
      <c r="V563" s="39">
        <v>242</v>
      </c>
      <c r="W563" s="39" t="s">
        <v>604</v>
      </c>
      <c r="X563" s="41">
        <v>46202</v>
      </c>
      <c r="Y563" s="41">
        <v>46213</v>
      </c>
      <c r="Z563" s="43">
        <v>15217.6</v>
      </c>
      <c r="AA563" s="45">
        <f>IF(M563&lt;&gt;"",M563,Z563)</f>
        <v>15217.6</v>
      </c>
      <c r="AB563" s="46" t="str">
        <f>IF(L563&lt;&gt;"","Realizado","Previsto")</f>
        <v>Previsto</v>
      </c>
      <c r="AC563" s="47">
        <v>0.47554999999999997</v>
      </c>
      <c r="AD563" s="43">
        <v>32000</v>
      </c>
      <c r="AE563" s="39">
        <v>64</v>
      </c>
      <c r="AF563" s="39" t="s">
        <v>113</v>
      </c>
      <c r="AG563" s="43">
        <v>500</v>
      </c>
      <c r="AH563" s="39" t="s">
        <v>444</v>
      </c>
      <c r="AI563" s="39" t="s">
        <v>73</v>
      </c>
      <c r="AJ563" s="48">
        <f>IF(Q563&lt;&gt;"",Q563,IF(K563&lt;&gt;"",K563,""))</f>
        <v>46213</v>
      </c>
      <c r="AK563" s="46" t="str">
        <f>IF(K563&lt;&gt;"","Sim","")</f>
        <v>Sim</v>
      </c>
      <c r="AL563" s="46" t="str">
        <f>IF(A563="","",TEXT(A563,"000000")&amp;"-"&amp;IF(C563="Entrada","CR","DB"))</f>
        <v>000562-DB</v>
      </c>
      <c r="AM563" s="46" t="str">
        <f>IF(A563="","",LEFT(IF(H563&lt;&gt;"",H563,G563)&amp;" | "&amp;G563&amp;" | "&amp;S563,60))</f>
        <v>Mao de obra calçada acesso | Mao de obra calçada acesso | Sa</v>
      </c>
    </row>
    <row r="564" spans="1:39" ht="43.2" x14ac:dyDescent="0.3">
      <c r="A564" s="39">
        <v>563</v>
      </c>
      <c r="B564" s="39" t="s">
        <v>2</v>
      </c>
      <c r="C564" s="39" t="s">
        <v>74</v>
      </c>
      <c r="D564" s="39" t="s">
        <v>124</v>
      </c>
      <c r="E564" s="39" t="s">
        <v>124</v>
      </c>
      <c r="F564" s="39" t="s">
        <v>125</v>
      </c>
      <c r="G564" s="39" t="s">
        <v>222</v>
      </c>
      <c r="H564" s="40"/>
      <c r="I564" s="40"/>
      <c r="J564" s="40"/>
      <c r="K564" s="42">
        <v>46213</v>
      </c>
      <c r="L564" s="42"/>
      <c r="M564" s="44"/>
      <c r="N564" s="40"/>
      <c r="O564" s="40"/>
      <c r="P564" s="40"/>
      <c r="Q564" s="42">
        <f>IF(K564="","",K564)</f>
        <v>46213</v>
      </c>
      <c r="R564" s="39" t="s">
        <v>124</v>
      </c>
      <c r="S564" s="39" t="s">
        <v>127</v>
      </c>
      <c r="T564" s="39" t="s">
        <v>128</v>
      </c>
      <c r="U564" s="39"/>
      <c r="V564" s="39">
        <v>274</v>
      </c>
      <c r="W564" s="39" t="s">
        <v>604</v>
      </c>
      <c r="X564" s="41">
        <v>46202</v>
      </c>
      <c r="Y564" s="41">
        <v>46213</v>
      </c>
      <c r="Z564" s="43">
        <v>21190</v>
      </c>
      <c r="AA564" s="45">
        <f>IF(M564&lt;&gt;"",M564,Z564)</f>
        <v>21190</v>
      </c>
      <c r="AB564" s="46" t="str">
        <f>IF(L564&lt;&gt;"","Realizado","Previsto")</f>
        <v>Previsto</v>
      </c>
      <c r="AC564" s="47"/>
      <c r="AD564" s="43">
        <v>211900</v>
      </c>
      <c r="AE564" s="39"/>
      <c r="AF564" s="39"/>
      <c r="AG564" s="43"/>
      <c r="AH564" s="39" t="s">
        <v>223</v>
      </c>
      <c r="AI564" s="39" t="s">
        <v>73</v>
      </c>
      <c r="AJ564" s="48">
        <f>IF(Q564&lt;&gt;"",Q564,IF(K564&lt;&gt;"",K564,""))</f>
        <v>46213</v>
      </c>
      <c r="AK564" s="46" t="str">
        <f>IF(K564&lt;&gt;"","Sim","")</f>
        <v>Sim</v>
      </c>
      <c r="AL564" s="46" t="str">
        <f>IF(A564="","",TEXT(A564,"000000")&amp;"-"&amp;IF(C564="Entrada","CR","DB"))</f>
        <v>000563-DB</v>
      </c>
      <c r="AM564" s="46" t="str">
        <f>IF(A564="","",LEFT(IF(H564&lt;&gt;"",H564,G564)&amp;" | "&amp;G564&amp;" | "&amp;S564,60))</f>
        <v xml:space="preserve">CARTAO CREDITO SUCOPIRA | CARTAO CREDITO SUCOPIRA | Saída | </v>
      </c>
    </row>
    <row r="565" spans="1:39" ht="43.2" x14ac:dyDescent="0.3">
      <c r="A565" s="39">
        <v>564</v>
      </c>
      <c r="B565" s="39" t="s">
        <v>2</v>
      </c>
      <c r="C565" s="39" t="s">
        <v>74</v>
      </c>
      <c r="D565" s="39" t="s">
        <v>124</v>
      </c>
      <c r="E565" s="39" t="s">
        <v>124</v>
      </c>
      <c r="F565" s="39" t="s">
        <v>125</v>
      </c>
      <c r="G565" s="39" t="s">
        <v>226</v>
      </c>
      <c r="H565" s="40"/>
      <c r="I565" s="40"/>
      <c r="J565" s="40"/>
      <c r="K565" s="42">
        <v>46213</v>
      </c>
      <c r="L565" s="42"/>
      <c r="M565" s="44"/>
      <c r="N565" s="40"/>
      <c r="O565" s="40"/>
      <c r="P565" s="40"/>
      <c r="Q565" s="42">
        <f>IF(K565="","",K565)</f>
        <v>46213</v>
      </c>
      <c r="R565" s="39" t="s">
        <v>124</v>
      </c>
      <c r="S565" s="39" t="s">
        <v>127</v>
      </c>
      <c r="T565" s="39" t="s">
        <v>128</v>
      </c>
      <c r="U565" s="39"/>
      <c r="V565" s="39">
        <v>277</v>
      </c>
      <c r="W565" s="39" t="s">
        <v>604</v>
      </c>
      <c r="X565" s="41">
        <v>46202</v>
      </c>
      <c r="Y565" s="41">
        <v>46213</v>
      </c>
      <c r="Z565" s="43">
        <v>7670</v>
      </c>
      <c r="AA565" s="45">
        <f>IF(M565&lt;&gt;"",M565,Z565)</f>
        <v>7670</v>
      </c>
      <c r="AB565" s="46" t="str">
        <f>IF(L565&lt;&gt;"","Realizado","Previsto")</f>
        <v>Previsto</v>
      </c>
      <c r="AC565" s="47"/>
      <c r="AD565" s="43">
        <v>76700</v>
      </c>
      <c r="AE565" s="39"/>
      <c r="AF565" s="39"/>
      <c r="AG565" s="43"/>
      <c r="AH565" s="39" t="s">
        <v>227</v>
      </c>
      <c r="AI565" s="39" t="s">
        <v>73</v>
      </c>
      <c r="AJ565" s="48">
        <f>IF(Q565&lt;&gt;"",Q565,IF(K565&lt;&gt;"",K565,""))</f>
        <v>46213</v>
      </c>
      <c r="AK565" s="46" t="str">
        <f>IF(K565&lt;&gt;"","Sim","")</f>
        <v>Sim</v>
      </c>
      <c r="AL565" s="46" t="str">
        <f>IF(A565="","",TEXT(A565,"000000")&amp;"-"&amp;IF(C565="Entrada","CR","DB"))</f>
        <v>000564-DB</v>
      </c>
      <c r="AM565" s="46" t="str">
        <f>IF(A565="","",LEFT(IF(H565&lt;&gt;"",H565,G565)&amp;" | "&amp;G565&amp;" | "&amp;S565,60))</f>
        <v>EMPRÉSTIMO EXTRA | EMPRÉSTIMO EXTRA | Saída | CAPITAL DE GIR</v>
      </c>
    </row>
    <row r="566" spans="1:39" ht="43.2" x14ac:dyDescent="0.3">
      <c r="A566" s="39">
        <v>565</v>
      </c>
      <c r="B566" s="39" t="s">
        <v>2</v>
      </c>
      <c r="C566" s="39" t="s">
        <v>74</v>
      </c>
      <c r="D566" s="39" t="s">
        <v>496</v>
      </c>
      <c r="E566" s="39" t="s">
        <v>496</v>
      </c>
      <c r="F566" s="39" t="s">
        <v>109</v>
      </c>
      <c r="G566" s="39" t="s">
        <v>497</v>
      </c>
      <c r="H566" s="40"/>
      <c r="I566" s="40"/>
      <c r="J566" s="40"/>
      <c r="K566" s="42">
        <v>46213</v>
      </c>
      <c r="L566" s="42"/>
      <c r="M566" s="44"/>
      <c r="N566" s="40"/>
      <c r="O566" s="40"/>
      <c r="P566" s="40"/>
      <c r="Q566" s="42">
        <f>IF(K566="","",K566)</f>
        <v>46213</v>
      </c>
      <c r="R566" s="39" t="s">
        <v>496</v>
      </c>
      <c r="S566" s="39" t="s">
        <v>498</v>
      </c>
      <c r="T566" s="39" t="s">
        <v>499</v>
      </c>
      <c r="U566" s="39" t="s">
        <v>215</v>
      </c>
      <c r="V566" s="39">
        <v>197</v>
      </c>
      <c r="W566" s="39" t="s">
        <v>604</v>
      </c>
      <c r="X566" s="41">
        <v>46202</v>
      </c>
      <c r="Y566" s="41">
        <v>46213</v>
      </c>
      <c r="Z566" s="43">
        <v>18869.2</v>
      </c>
      <c r="AA566" s="45">
        <f>IF(M566&lt;&gt;"",M566,Z566)</f>
        <v>18869.2</v>
      </c>
      <c r="AB566" s="46" t="str">
        <f>IF(L566&lt;&gt;"","Realizado","Previsto")</f>
        <v>Previsto</v>
      </c>
      <c r="AC566" s="47">
        <v>0.33695000000000003</v>
      </c>
      <c r="AD566" s="43">
        <v>56000</v>
      </c>
      <c r="AE566" s="39">
        <v>1600</v>
      </c>
      <c r="AF566" s="39" t="s">
        <v>321</v>
      </c>
      <c r="AG566" s="43">
        <v>35</v>
      </c>
      <c r="AH566" s="39" t="s">
        <v>500</v>
      </c>
      <c r="AI566" s="39" t="s">
        <v>73</v>
      </c>
      <c r="AJ566" s="48">
        <f>IF(Q566&lt;&gt;"",Q566,IF(K566&lt;&gt;"",K566,""))</f>
        <v>46213</v>
      </c>
      <c r="AK566" s="46" t="str">
        <f>IF(K566&lt;&gt;"","Sim","")</f>
        <v>Sim</v>
      </c>
      <c r="AL566" s="46" t="str">
        <f>IF(A566="","",TEXT(A566,"000000")&amp;"-"&amp;IF(C566="Entrada","CR","DB"))</f>
        <v>000565-DB</v>
      </c>
      <c r="AM566" s="46" t="str">
        <f>IF(A566="","",LEFT(IF(H566&lt;&gt;"",H566,G566)&amp;" | "&amp;G566&amp;" | "&amp;S566,60))</f>
        <v>Mao de obra terceirizada Pontos eletricos completos  + quadr</v>
      </c>
    </row>
    <row r="567" spans="1:39" ht="43.2" x14ac:dyDescent="0.3">
      <c r="A567" s="39">
        <v>566</v>
      </c>
      <c r="B567" s="39" t="s">
        <v>2</v>
      </c>
      <c r="C567" s="39" t="s">
        <v>74</v>
      </c>
      <c r="D567" s="39" t="s">
        <v>496</v>
      </c>
      <c r="E567" s="39" t="s">
        <v>496</v>
      </c>
      <c r="F567" s="39" t="s">
        <v>109</v>
      </c>
      <c r="G567" s="39" t="s">
        <v>501</v>
      </c>
      <c r="H567" s="40"/>
      <c r="I567" s="40"/>
      <c r="J567" s="40"/>
      <c r="K567" s="42">
        <v>46213</v>
      </c>
      <c r="L567" s="42"/>
      <c r="M567" s="44"/>
      <c r="N567" s="40"/>
      <c r="O567" s="40"/>
      <c r="P567" s="40"/>
      <c r="Q567" s="42">
        <f>IF(K567="","",K567)</f>
        <v>46213</v>
      </c>
      <c r="R567" s="39" t="s">
        <v>496</v>
      </c>
      <c r="S567" s="39" t="s">
        <v>498</v>
      </c>
      <c r="T567" s="39" t="s">
        <v>499</v>
      </c>
      <c r="U567" s="39" t="s">
        <v>215</v>
      </c>
      <c r="V567" s="39">
        <v>198</v>
      </c>
      <c r="W567" s="39" t="s">
        <v>604</v>
      </c>
      <c r="X567" s="41">
        <v>46202</v>
      </c>
      <c r="Y567" s="41">
        <v>46213</v>
      </c>
      <c r="Z567" s="43">
        <v>8086.7999999999993</v>
      </c>
      <c r="AA567" s="45">
        <f>IF(M567&lt;&gt;"",M567,Z567)</f>
        <v>8086.7999999999993</v>
      </c>
      <c r="AB567" s="46" t="str">
        <f>IF(L567&lt;&gt;"","Realizado","Previsto")</f>
        <v>Previsto</v>
      </c>
      <c r="AC567" s="47">
        <v>0.33695000000000003</v>
      </c>
      <c r="AD567" s="43">
        <v>24000</v>
      </c>
      <c r="AE567" s="39">
        <v>1600</v>
      </c>
      <c r="AF567" s="39" t="s">
        <v>321</v>
      </c>
      <c r="AG567" s="43">
        <v>15</v>
      </c>
      <c r="AH567" s="39" t="s">
        <v>500</v>
      </c>
      <c r="AI567" s="39" t="s">
        <v>73</v>
      </c>
      <c r="AJ567" s="48">
        <f>IF(Q567&lt;&gt;"",Q567,IF(K567&lt;&gt;"",K567,""))</f>
        <v>46213</v>
      </c>
      <c r="AK567" s="46" t="str">
        <f>IF(K567&lt;&gt;"","Sim","")</f>
        <v>Sim</v>
      </c>
      <c r="AL567" s="46" t="str">
        <f>IF(A567="","",TEXT(A567,"000000")&amp;"-"&amp;IF(C567="Entrada","CR","DB"))</f>
        <v>000566-DB</v>
      </c>
      <c r="AM567" s="46" t="str">
        <f>IF(A567="","",LEFT(IF(H567&lt;&gt;"",H567,G567)&amp;" | "&amp;G567&amp;" | "&amp;S567,60))</f>
        <v>Mao de obra terceirizada colocaçao Espelhos, lampadas e test</v>
      </c>
    </row>
    <row r="568" spans="1:39" ht="43.2" x14ac:dyDescent="0.3">
      <c r="A568" s="39">
        <v>567</v>
      </c>
      <c r="B568" s="39" t="s">
        <v>2</v>
      </c>
      <c r="C568" s="39" t="s">
        <v>74</v>
      </c>
      <c r="D568" s="39" t="s">
        <v>502</v>
      </c>
      <c r="E568" s="39" t="s">
        <v>503</v>
      </c>
      <c r="F568" s="39" t="s">
        <v>83</v>
      </c>
      <c r="G568" s="39" t="s">
        <v>509</v>
      </c>
      <c r="H568" s="40"/>
      <c r="I568" s="40"/>
      <c r="J568" s="40"/>
      <c r="K568" s="42">
        <v>46213</v>
      </c>
      <c r="L568" s="42"/>
      <c r="M568" s="44"/>
      <c r="N568" s="40"/>
      <c r="O568" s="40"/>
      <c r="P568" s="40"/>
      <c r="Q568" s="42">
        <f>IF(K568="","",K568)</f>
        <v>46213</v>
      </c>
      <c r="R568" s="39" t="s">
        <v>502</v>
      </c>
      <c r="S568" s="39" t="s">
        <v>505</v>
      </c>
      <c r="T568" s="39" t="s">
        <v>506</v>
      </c>
      <c r="U568" s="39"/>
      <c r="V568" s="39">
        <v>247</v>
      </c>
      <c r="W568" s="39" t="s">
        <v>604</v>
      </c>
      <c r="X568" s="41">
        <v>46202</v>
      </c>
      <c r="Y568" s="41">
        <v>46213</v>
      </c>
      <c r="Z568" s="43">
        <v>3349.6603839999998</v>
      </c>
      <c r="AA568" s="45">
        <f>IF(M568&lt;&gt;"",M568,Z568)</f>
        <v>3349.6603839999998</v>
      </c>
      <c r="AB568" s="46" t="str">
        <f>IF(L568&lt;&gt;"","Realizado","Previsto")</f>
        <v>Previsto</v>
      </c>
      <c r="AC568" s="47">
        <v>0.33695000000000003</v>
      </c>
      <c r="AD568" s="43">
        <v>9941.1200000000008</v>
      </c>
      <c r="AE568" s="39">
        <v>2840.32</v>
      </c>
      <c r="AF568" s="39" t="s">
        <v>510</v>
      </c>
      <c r="AG568" s="43">
        <v>3.5</v>
      </c>
      <c r="AH568" s="39" t="s">
        <v>507</v>
      </c>
      <c r="AI568" s="39" t="s">
        <v>73</v>
      </c>
      <c r="AJ568" s="48">
        <f>IF(Q568&lt;&gt;"",Q568,IF(K568&lt;&gt;"",K568,""))</f>
        <v>46213</v>
      </c>
      <c r="AK568" s="46" t="str">
        <f>IF(K568&lt;&gt;"","Sim","")</f>
        <v>Sim</v>
      </c>
      <c r="AL568" s="46" t="str">
        <f>IF(A568="","",TEXT(A568,"000000")&amp;"-"&amp;IF(C568="Entrada","CR","DB"))</f>
        <v>000567-DB</v>
      </c>
      <c r="AM568" s="46" t="str">
        <f>IF(A568="","",LEFT(IF(H568&lt;&gt;"",H568,G568)&amp;" | "&amp;G568&amp;" | "&amp;S568,60))</f>
        <v>Mao de obra terceirizada limpeza final | Mao de obra terceir</v>
      </c>
    </row>
    <row r="569" spans="1:39" ht="43.2" x14ac:dyDescent="0.3">
      <c r="A569" s="39">
        <v>568</v>
      </c>
      <c r="B569" s="39" t="s">
        <v>2</v>
      </c>
      <c r="C569" s="39" t="s">
        <v>74</v>
      </c>
      <c r="D569" s="39" t="s">
        <v>469</v>
      </c>
      <c r="E569" s="39" t="s">
        <v>512</v>
      </c>
      <c r="F569" s="39" t="s">
        <v>132</v>
      </c>
      <c r="G569" s="39" t="s">
        <v>513</v>
      </c>
      <c r="H569" s="40"/>
      <c r="I569" s="40"/>
      <c r="J569" s="40"/>
      <c r="K569" s="42">
        <v>46213</v>
      </c>
      <c r="L569" s="42"/>
      <c r="M569" s="44"/>
      <c r="N569" s="40"/>
      <c r="O569" s="40"/>
      <c r="P569" s="40"/>
      <c r="Q569" s="42">
        <f>IF(K569="","",K569)</f>
        <v>46213</v>
      </c>
      <c r="R569" s="39" t="s">
        <v>469</v>
      </c>
      <c r="S569" s="39" t="s">
        <v>471</v>
      </c>
      <c r="T569" s="39" t="s">
        <v>514</v>
      </c>
      <c r="U569" s="39" t="s">
        <v>275</v>
      </c>
      <c r="V569" s="39">
        <v>218</v>
      </c>
      <c r="W569" s="39" t="s">
        <v>604</v>
      </c>
      <c r="X569" s="41">
        <v>46202</v>
      </c>
      <c r="Y569" s="41">
        <v>46213</v>
      </c>
      <c r="Z569" s="43">
        <v>1219.2</v>
      </c>
      <c r="AA569" s="45">
        <f>IF(M569&lt;&gt;"",M569,Z569)</f>
        <v>1219.2</v>
      </c>
      <c r="AB569" s="46" t="str">
        <f>IF(L569&lt;&gt;"","Realizado","Previsto")</f>
        <v>Previsto</v>
      </c>
      <c r="AC569" s="47">
        <v>0.5</v>
      </c>
      <c r="AD569" s="43">
        <v>2438.4</v>
      </c>
      <c r="AE569" s="39">
        <v>128</v>
      </c>
      <c r="AF569" s="39" t="s">
        <v>87</v>
      </c>
      <c r="AG569" s="43">
        <v>19.05</v>
      </c>
      <c r="AH569" s="39" t="s">
        <v>515</v>
      </c>
      <c r="AI569" s="39" t="s">
        <v>73</v>
      </c>
      <c r="AJ569" s="48">
        <f>IF(Q569&lt;&gt;"",Q569,IF(K569&lt;&gt;"",K569,""))</f>
        <v>46213</v>
      </c>
      <c r="AK569" s="46" t="str">
        <f>IF(K569&lt;&gt;"","Sim","")</f>
        <v>Sim</v>
      </c>
      <c r="AL569" s="46" t="str">
        <f>IF(A569="","",TEXT(A569,"000000")&amp;"-"&amp;IF(C569="Entrada","CR","DB"))</f>
        <v>000568-DB</v>
      </c>
      <c r="AM569" s="46" t="str">
        <f>IF(A569="","",LEFT(IF(H569&lt;&gt;"",H569,G569)&amp;" | "&amp;G569&amp;" | "&amp;S569,60))</f>
        <v>ACABAMENTO CROMADO PARA REGISTRO GAVETA 3/4 ( tanque, maquin</v>
      </c>
    </row>
    <row r="570" spans="1:39" ht="43.2" x14ac:dyDescent="0.3">
      <c r="A570" s="39">
        <v>569</v>
      </c>
      <c r="B570" s="39" t="s">
        <v>2</v>
      </c>
      <c r="C570" s="39" t="s">
        <v>74</v>
      </c>
      <c r="D570" s="39" t="s">
        <v>469</v>
      </c>
      <c r="E570" s="39" t="s">
        <v>512</v>
      </c>
      <c r="F570" s="39" t="s">
        <v>132</v>
      </c>
      <c r="G570" s="39" t="s">
        <v>516</v>
      </c>
      <c r="H570" s="40"/>
      <c r="I570" s="40"/>
      <c r="J570" s="40"/>
      <c r="K570" s="42">
        <v>46213</v>
      </c>
      <c r="L570" s="42"/>
      <c r="M570" s="44"/>
      <c r="N570" s="40"/>
      <c r="O570" s="40"/>
      <c r="P570" s="40"/>
      <c r="Q570" s="42">
        <f>IF(K570="","",K570)</f>
        <v>46213</v>
      </c>
      <c r="R570" s="39" t="s">
        <v>469</v>
      </c>
      <c r="S570" s="39" t="s">
        <v>471</v>
      </c>
      <c r="T570" s="39" t="s">
        <v>514</v>
      </c>
      <c r="U570" s="39" t="s">
        <v>275</v>
      </c>
      <c r="V570" s="39">
        <v>219</v>
      </c>
      <c r="W570" s="39" t="s">
        <v>604</v>
      </c>
      <c r="X570" s="41">
        <v>46202</v>
      </c>
      <c r="Y570" s="41">
        <v>46213</v>
      </c>
      <c r="Z570" s="43">
        <v>609.6</v>
      </c>
      <c r="AA570" s="45">
        <f>IF(M570&lt;&gt;"",M570,Z570)</f>
        <v>609.6</v>
      </c>
      <c r="AB570" s="46" t="str">
        <f>IF(L570&lt;&gt;"","Realizado","Previsto")</f>
        <v>Previsto</v>
      </c>
      <c r="AC570" s="47">
        <v>0.5</v>
      </c>
      <c r="AD570" s="43">
        <v>1219.2</v>
      </c>
      <c r="AE570" s="39">
        <v>64</v>
      </c>
      <c r="AF570" s="39" t="s">
        <v>87</v>
      </c>
      <c r="AG570" s="43">
        <v>19.05</v>
      </c>
      <c r="AH570" s="39" t="s">
        <v>515</v>
      </c>
      <c r="AI570" s="39" t="s">
        <v>73</v>
      </c>
      <c r="AJ570" s="48">
        <f>IF(Q570&lt;&gt;"",Q570,IF(K570&lt;&gt;"",K570,""))</f>
        <v>46213</v>
      </c>
      <c r="AK570" s="46" t="str">
        <f>IF(K570&lt;&gt;"","Sim","")</f>
        <v>Sim</v>
      </c>
      <c r="AL570" s="46" t="str">
        <f>IF(A570="","",TEXT(A570,"000000")&amp;"-"&amp;IF(C570="Entrada","CR","DB"))</f>
        <v>000569-DB</v>
      </c>
      <c r="AM570" s="46" t="str">
        <f>IF(A570="","",LEFT(IF(H570&lt;&gt;"",H570,G570)&amp;" | "&amp;G570&amp;" | "&amp;S570,60))</f>
        <v>ACABAMENTO CROMADO PARA REGISTRO pressao 3/4 ( tanque, maqui</v>
      </c>
    </row>
    <row r="571" spans="1:39" ht="43.2" x14ac:dyDescent="0.3">
      <c r="A571" s="39">
        <v>570</v>
      </c>
      <c r="B571" s="39" t="s">
        <v>2</v>
      </c>
      <c r="C571" s="39" t="s">
        <v>74</v>
      </c>
      <c r="D571" s="39" t="s">
        <v>469</v>
      </c>
      <c r="E571" s="39" t="s">
        <v>517</v>
      </c>
      <c r="F571" s="39" t="s">
        <v>132</v>
      </c>
      <c r="G571" s="39" t="s">
        <v>518</v>
      </c>
      <c r="H571" s="40"/>
      <c r="I571" s="40"/>
      <c r="J571" s="40"/>
      <c r="K571" s="42">
        <v>46213</v>
      </c>
      <c r="L571" s="42"/>
      <c r="M571" s="44"/>
      <c r="N571" s="40"/>
      <c r="O571" s="40"/>
      <c r="P571" s="40"/>
      <c r="Q571" s="42">
        <f>IF(K571="","",K571)</f>
        <v>46213</v>
      </c>
      <c r="R571" s="39" t="s">
        <v>469</v>
      </c>
      <c r="S571" s="39" t="s">
        <v>471</v>
      </c>
      <c r="T571" s="39" t="s">
        <v>519</v>
      </c>
      <c r="U571" s="39" t="s">
        <v>275</v>
      </c>
      <c r="V571" s="39">
        <v>204</v>
      </c>
      <c r="W571" s="39" t="s">
        <v>604</v>
      </c>
      <c r="X571" s="41">
        <v>46202</v>
      </c>
      <c r="Y571" s="41">
        <v>46213</v>
      </c>
      <c r="Z571" s="43">
        <v>229.44</v>
      </c>
      <c r="AA571" s="45">
        <f>IF(M571&lt;&gt;"",M571,Z571)</f>
        <v>229.44</v>
      </c>
      <c r="AB571" s="46" t="str">
        <f>IF(L571&lt;&gt;"","Realizado","Previsto")</f>
        <v>Previsto</v>
      </c>
      <c r="AC571" s="47">
        <v>0.5</v>
      </c>
      <c r="AD571" s="43">
        <v>458.88</v>
      </c>
      <c r="AE571" s="39">
        <v>64</v>
      </c>
      <c r="AF571" s="39" t="s">
        <v>87</v>
      </c>
      <c r="AG571" s="43">
        <v>7.17</v>
      </c>
      <c r="AH571" s="39" t="s">
        <v>520</v>
      </c>
      <c r="AI571" s="39" t="s">
        <v>73</v>
      </c>
      <c r="AJ571" s="48">
        <f>IF(Q571&lt;&gt;"",Q571,IF(K571&lt;&gt;"",K571,""))</f>
        <v>46213</v>
      </c>
      <c r="AK571" s="46" t="str">
        <f>IF(K571&lt;&gt;"","Sim","")</f>
        <v>Sim</v>
      </c>
      <c r="AL571" s="46" t="str">
        <f>IF(A571="","",TEXT(A571,"000000")&amp;"-"&amp;IF(C571="Entrada","CR","DB"))</f>
        <v>000570-DB</v>
      </c>
      <c r="AM571" s="46" t="str">
        <f>IF(A571="","",LEFT(IF(H571&lt;&gt;"",H571,G571)&amp;" | "&amp;G571&amp;" | "&amp;S571,60))</f>
        <v>Anel Vedação P/bacia Sanitária C/guia 100MM Preto Amanco | A</v>
      </c>
    </row>
    <row r="572" spans="1:39" ht="43.2" x14ac:dyDescent="0.3">
      <c r="A572" s="39">
        <v>571</v>
      </c>
      <c r="B572" s="39" t="s">
        <v>2</v>
      </c>
      <c r="C572" s="39" t="s">
        <v>74</v>
      </c>
      <c r="D572" s="39" t="s">
        <v>469</v>
      </c>
      <c r="E572" s="39" t="s">
        <v>517</v>
      </c>
      <c r="F572" s="39" t="s">
        <v>521</v>
      </c>
      <c r="G572" s="39" t="s">
        <v>522</v>
      </c>
      <c r="H572" s="40"/>
      <c r="I572" s="40"/>
      <c r="J572" s="40"/>
      <c r="K572" s="42">
        <v>46213</v>
      </c>
      <c r="L572" s="42"/>
      <c r="M572" s="44"/>
      <c r="N572" s="40"/>
      <c r="O572" s="40"/>
      <c r="P572" s="40"/>
      <c r="Q572" s="42">
        <f>IF(K572="","",K572)</f>
        <v>46213</v>
      </c>
      <c r="R572" s="39" t="s">
        <v>469</v>
      </c>
      <c r="S572" s="39" t="s">
        <v>471</v>
      </c>
      <c r="T572" s="39" t="s">
        <v>523</v>
      </c>
      <c r="U572" s="39" t="s">
        <v>275</v>
      </c>
      <c r="V572" s="39">
        <v>200</v>
      </c>
      <c r="W572" s="39" t="s">
        <v>604</v>
      </c>
      <c r="X572" s="41">
        <v>46202</v>
      </c>
      <c r="Y572" s="41">
        <v>46213</v>
      </c>
      <c r="Z572" s="43">
        <v>8319.0400000000009</v>
      </c>
      <c r="AA572" s="45">
        <f>IF(M572&lt;&gt;"",M572,Z572)</f>
        <v>8319.0400000000009</v>
      </c>
      <c r="AB572" s="46" t="str">
        <f>IF(L572&lt;&gt;"","Realizado","Previsto")</f>
        <v>Previsto</v>
      </c>
      <c r="AC572" s="47">
        <v>0.5</v>
      </c>
      <c r="AD572" s="43">
        <v>16638.080000000002</v>
      </c>
      <c r="AE572" s="39">
        <v>64</v>
      </c>
      <c r="AF572" s="39" t="s">
        <v>87</v>
      </c>
      <c r="AG572" s="43">
        <v>259.97000000000003</v>
      </c>
      <c r="AH572" s="39" t="s">
        <v>524</v>
      </c>
      <c r="AI572" s="39" t="s">
        <v>73</v>
      </c>
      <c r="AJ572" s="48">
        <f>IF(Q572&lt;&gt;"",Q572,IF(K572&lt;&gt;"",K572,""))</f>
        <v>46213</v>
      </c>
      <c r="AK572" s="46" t="str">
        <f>IF(K572&lt;&gt;"","Sim","")</f>
        <v>Sim</v>
      </c>
      <c r="AL572" s="46" t="str">
        <f>IF(A572="","",TEXT(A572,"000000")&amp;"-"&amp;IF(C572="Entrada","CR","DB"))</f>
        <v>000571-DB</v>
      </c>
      <c r="AM572" s="46" t="str">
        <f>IF(A572="","",LEFT(IF(H572&lt;&gt;"",H572,G572)&amp;" | "&amp;G572&amp;" | "&amp;S572,60))</f>
        <v>BACIA SANITARIA (VASO) C/ CAIXA ACOPLADA, DE LOUCA BRANCA EA</v>
      </c>
    </row>
    <row r="573" spans="1:39" ht="43.2" x14ac:dyDescent="0.3">
      <c r="A573" s="39">
        <v>572</v>
      </c>
      <c r="B573" s="39" t="s">
        <v>2</v>
      </c>
      <c r="C573" s="39" t="s">
        <v>74</v>
      </c>
      <c r="D573" s="39" t="s">
        <v>469</v>
      </c>
      <c r="E573" s="39" t="s">
        <v>469</v>
      </c>
      <c r="F573" s="39" t="s">
        <v>525</v>
      </c>
      <c r="G573" s="39" t="s">
        <v>526</v>
      </c>
      <c r="H573" s="40"/>
      <c r="I573" s="40"/>
      <c r="J573" s="40"/>
      <c r="K573" s="42">
        <v>46213</v>
      </c>
      <c r="L573" s="42"/>
      <c r="M573" s="44"/>
      <c r="N573" s="40"/>
      <c r="O573" s="40"/>
      <c r="P573" s="40"/>
      <c r="Q573" s="42">
        <f>IF(K573="","",K573)</f>
        <v>46213</v>
      </c>
      <c r="R573" s="39" t="s">
        <v>469</v>
      </c>
      <c r="S573" s="39" t="s">
        <v>471</v>
      </c>
      <c r="T573" s="39" t="s">
        <v>527</v>
      </c>
      <c r="U573" s="39" t="s">
        <v>275</v>
      </c>
      <c r="V573" s="39">
        <v>222</v>
      </c>
      <c r="W573" s="39" t="s">
        <v>604</v>
      </c>
      <c r="X573" s="41">
        <v>46202</v>
      </c>
      <c r="Y573" s="41">
        <v>46213</v>
      </c>
      <c r="Z573" s="43">
        <v>7996.8</v>
      </c>
      <c r="AA573" s="45">
        <f>IF(M573&lt;&gt;"",M573,Z573)</f>
        <v>7996.8</v>
      </c>
      <c r="AB573" s="46" t="str">
        <f>IF(L573&lt;&gt;"","Realizado","Previsto")</f>
        <v>Previsto</v>
      </c>
      <c r="AC573" s="47">
        <v>0.5</v>
      </c>
      <c r="AD573" s="43">
        <v>15993.6</v>
      </c>
      <c r="AE573" s="39">
        <v>64</v>
      </c>
      <c r="AF573" s="39" t="s">
        <v>87</v>
      </c>
      <c r="AG573" s="43">
        <v>249.9</v>
      </c>
      <c r="AH573" s="39" t="s">
        <v>528</v>
      </c>
      <c r="AI573" s="39" t="s">
        <v>73</v>
      </c>
      <c r="AJ573" s="48">
        <f>IF(Q573&lt;&gt;"",Q573,IF(K573&lt;&gt;"",K573,""))</f>
        <v>46213</v>
      </c>
      <c r="AK573" s="46" t="str">
        <f>IF(K573&lt;&gt;"","Sim","")</f>
        <v>Sim</v>
      </c>
      <c r="AL573" s="46" t="str">
        <f>IF(A573="","",TEXT(A573,"000000")&amp;"-"&amp;IF(C573="Entrada","CR","DB"))</f>
        <v>000572-DB</v>
      </c>
      <c r="AM573" s="46" t="str">
        <f>IF(A573="","",LEFT(IF(H573&lt;&gt;"",H573,G573)&amp;" | "&amp;G573&amp;" | "&amp;S573,60))</f>
        <v>Bancada de mármore sintético 120x60 | Bancada de mármore sin</v>
      </c>
    </row>
    <row r="574" spans="1:39" ht="43.2" x14ac:dyDescent="0.3">
      <c r="A574" s="39">
        <v>573</v>
      </c>
      <c r="B574" s="39" t="s">
        <v>2</v>
      </c>
      <c r="C574" s="39" t="s">
        <v>74</v>
      </c>
      <c r="D574" s="39" t="s">
        <v>469</v>
      </c>
      <c r="E574" s="39" t="s">
        <v>529</v>
      </c>
      <c r="F574" s="39" t="s">
        <v>521</v>
      </c>
      <c r="G574" s="39" t="s">
        <v>530</v>
      </c>
      <c r="H574" s="40"/>
      <c r="I574" s="40"/>
      <c r="J574" s="40"/>
      <c r="K574" s="42">
        <v>46213</v>
      </c>
      <c r="L574" s="42"/>
      <c r="M574" s="44"/>
      <c r="N574" s="40"/>
      <c r="O574" s="40"/>
      <c r="P574" s="40"/>
      <c r="Q574" s="42">
        <f>IF(K574="","",K574)</f>
        <v>46213</v>
      </c>
      <c r="R574" s="39" t="s">
        <v>469</v>
      </c>
      <c r="S574" s="39" t="s">
        <v>471</v>
      </c>
      <c r="T574" s="39" t="s">
        <v>531</v>
      </c>
      <c r="U574" s="39" t="s">
        <v>275</v>
      </c>
      <c r="V574" s="39">
        <v>202</v>
      </c>
      <c r="W574" s="39" t="s">
        <v>604</v>
      </c>
      <c r="X574" s="41">
        <v>46202</v>
      </c>
      <c r="Y574" s="41">
        <v>46213</v>
      </c>
      <c r="Z574" s="43">
        <v>2332.8000000000002</v>
      </c>
      <c r="AA574" s="45">
        <f>IF(M574&lt;&gt;"",M574,Z574)</f>
        <v>2332.8000000000002</v>
      </c>
      <c r="AB574" s="46" t="str">
        <f>IF(L574&lt;&gt;"","Realizado","Previsto")</f>
        <v>Previsto</v>
      </c>
      <c r="AC574" s="47">
        <v>0.5</v>
      </c>
      <c r="AD574" s="43">
        <v>4665.6000000000004</v>
      </c>
      <c r="AE574" s="39">
        <v>64</v>
      </c>
      <c r="AF574" s="39" t="s">
        <v>87</v>
      </c>
      <c r="AG574" s="43">
        <v>72.900000000000006</v>
      </c>
      <c r="AH574" s="39" t="s">
        <v>532</v>
      </c>
      <c r="AI574" s="39" t="s">
        <v>73</v>
      </c>
      <c r="AJ574" s="48">
        <f>IF(Q574&lt;&gt;"",Q574,IF(K574&lt;&gt;"",K574,""))</f>
        <v>46213</v>
      </c>
      <c r="AK574" s="46" t="str">
        <f>IF(K574&lt;&gt;"","Sim","")</f>
        <v>Sim</v>
      </c>
      <c r="AL574" s="46" t="str">
        <f>IF(A574="","",TEXT(A574,"000000")&amp;"-"&amp;IF(C574="Entrada","CR","DB"))</f>
        <v>000573-DB</v>
      </c>
      <c r="AM574" s="46" t="str">
        <f>IF(A574="","",LEFT(IF(H574&lt;&gt;"",H574,G574)&amp;" | "&amp;G574&amp;" | "&amp;S574,60))</f>
        <v>COLUNA P/ LAVATÓRIO BRANCO | COLUNA P/ LAVATÓRIO BRANCO | Sa</v>
      </c>
    </row>
    <row r="575" spans="1:39" ht="43.2" x14ac:dyDescent="0.3">
      <c r="A575" s="39">
        <v>574</v>
      </c>
      <c r="B575" s="39" t="s">
        <v>2</v>
      </c>
      <c r="C575" s="39" t="s">
        <v>74</v>
      </c>
      <c r="D575" s="39" t="s">
        <v>469</v>
      </c>
      <c r="E575" s="39" t="s">
        <v>517</v>
      </c>
      <c r="F575" s="39" t="s">
        <v>132</v>
      </c>
      <c r="G575" s="39" t="s">
        <v>533</v>
      </c>
      <c r="H575" s="40"/>
      <c r="I575" s="40"/>
      <c r="J575" s="40"/>
      <c r="K575" s="42">
        <v>46213</v>
      </c>
      <c r="L575" s="42"/>
      <c r="M575" s="44"/>
      <c r="N575" s="40"/>
      <c r="O575" s="40"/>
      <c r="P575" s="40"/>
      <c r="Q575" s="42">
        <f>IF(K575="","",K575)</f>
        <v>46213</v>
      </c>
      <c r="R575" s="39" t="s">
        <v>469</v>
      </c>
      <c r="S575" s="39" t="s">
        <v>471</v>
      </c>
      <c r="T575" s="39" t="s">
        <v>519</v>
      </c>
      <c r="U575" s="39" t="s">
        <v>275</v>
      </c>
      <c r="V575" s="39">
        <v>205</v>
      </c>
      <c r="W575" s="39" t="s">
        <v>604</v>
      </c>
      <c r="X575" s="41">
        <v>46202</v>
      </c>
      <c r="Y575" s="41">
        <v>46213</v>
      </c>
      <c r="Z575" s="43">
        <v>144</v>
      </c>
      <c r="AA575" s="45">
        <f>IF(M575&lt;&gt;"",M575,Z575)</f>
        <v>144</v>
      </c>
      <c r="AB575" s="46" t="str">
        <f>IF(L575&lt;&gt;"","Realizado","Previsto")</f>
        <v>Previsto</v>
      </c>
      <c r="AC575" s="47">
        <v>0.5</v>
      </c>
      <c r="AD575" s="43">
        <v>288</v>
      </c>
      <c r="AE575" s="39">
        <v>64</v>
      </c>
      <c r="AF575" s="39" t="s">
        <v>87</v>
      </c>
      <c r="AG575" s="43">
        <v>4.5</v>
      </c>
      <c r="AH575" s="39" t="s">
        <v>520</v>
      </c>
      <c r="AI575" s="39" t="s">
        <v>73</v>
      </c>
      <c r="AJ575" s="48">
        <f>IF(Q575&lt;&gt;"",Q575,IF(K575&lt;&gt;"",K575,""))</f>
        <v>46213</v>
      </c>
      <c r="AK575" s="46" t="str">
        <f>IF(K575&lt;&gt;"","Sim","")</f>
        <v>Sim</v>
      </c>
      <c r="AL575" s="46" t="str">
        <f>IF(A575="","",TEXT(A575,"000000")&amp;"-"&amp;IF(C575="Entrada","CR","DB"))</f>
        <v>000574-DB</v>
      </c>
      <c r="AM575" s="46" t="str">
        <f>IF(A575="","",LEFT(IF(H575&lt;&gt;"",H575,G575)&amp;" | "&amp;G575&amp;" | "&amp;S575,60))</f>
        <v>ENGATE FLEXÍVEL EM PLÁSTICO BRANCO, 1/2" X 40CM | ENGATE FLE</v>
      </c>
    </row>
    <row r="576" spans="1:39" ht="43.2" x14ac:dyDescent="0.3">
      <c r="A576" s="39">
        <v>575</v>
      </c>
      <c r="B576" s="39" t="s">
        <v>2</v>
      </c>
      <c r="C576" s="39" t="s">
        <v>74</v>
      </c>
      <c r="D576" s="39" t="s">
        <v>469</v>
      </c>
      <c r="E576" s="39" t="s">
        <v>529</v>
      </c>
      <c r="F576" s="39" t="s">
        <v>132</v>
      </c>
      <c r="G576" s="39" t="s">
        <v>533</v>
      </c>
      <c r="H576" s="40"/>
      <c r="I576" s="40"/>
      <c r="J576" s="40"/>
      <c r="K576" s="42">
        <v>46213</v>
      </c>
      <c r="L576" s="42"/>
      <c r="M576" s="44"/>
      <c r="N576" s="40"/>
      <c r="O576" s="40"/>
      <c r="P576" s="40"/>
      <c r="Q576" s="42">
        <f>IF(K576="","",K576)</f>
        <v>46213</v>
      </c>
      <c r="R576" s="39" t="s">
        <v>469</v>
      </c>
      <c r="S576" s="39" t="s">
        <v>471</v>
      </c>
      <c r="T576" s="39" t="s">
        <v>534</v>
      </c>
      <c r="U576" s="39" t="s">
        <v>275</v>
      </c>
      <c r="V576" s="39">
        <v>209</v>
      </c>
      <c r="W576" s="39" t="s">
        <v>604</v>
      </c>
      <c r="X576" s="41">
        <v>46202</v>
      </c>
      <c r="Y576" s="41">
        <v>46213</v>
      </c>
      <c r="Z576" s="43">
        <v>252.48</v>
      </c>
      <c r="AA576" s="45">
        <f>IF(M576&lt;&gt;"",M576,Z576)</f>
        <v>252.48</v>
      </c>
      <c r="AB576" s="46" t="str">
        <f>IF(L576&lt;&gt;"","Realizado","Previsto")</f>
        <v>Previsto</v>
      </c>
      <c r="AC576" s="47">
        <v>0.5</v>
      </c>
      <c r="AD576" s="43">
        <v>504.96</v>
      </c>
      <c r="AE576" s="39">
        <v>64</v>
      </c>
      <c r="AF576" s="39" t="s">
        <v>87</v>
      </c>
      <c r="AG576" s="43">
        <v>7.89</v>
      </c>
      <c r="AH576" s="39" t="s">
        <v>535</v>
      </c>
      <c r="AI576" s="39" t="s">
        <v>73</v>
      </c>
      <c r="AJ576" s="48">
        <f>IF(Q576&lt;&gt;"",Q576,IF(K576&lt;&gt;"",K576,""))</f>
        <v>46213</v>
      </c>
      <c r="AK576" s="46" t="str">
        <f>IF(K576&lt;&gt;"","Sim","")</f>
        <v>Sim</v>
      </c>
      <c r="AL576" s="46" t="str">
        <f>IF(A576="","",TEXT(A576,"000000")&amp;"-"&amp;IF(C576="Entrada","CR","DB"))</f>
        <v>000575-DB</v>
      </c>
      <c r="AM576" s="46" t="str">
        <f>IF(A576="","",LEFT(IF(H576&lt;&gt;"",H576,G576)&amp;" | "&amp;G576&amp;" | "&amp;S576,60))</f>
        <v>ENGATE FLEXÍVEL EM PLÁSTICO BRANCO, 1/2" X 40CM | ENGATE FLE</v>
      </c>
    </row>
    <row r="577" spans="1:39" ht="43.2" x14ac:dyDescent="0.3">
      <c r="A577" s="39">
        <v>576</v>
      </c>
      <c r="B577" s="39" t="s">
        <v>2</v>
      </c>
      <c r="C577" s="39" t="s">
        <v>74</v>
      </c>
      <c r="D577" s="39" t="s">
        <v>469</v>
      </c>
      <c r="E577" s="39" t="s">
        <v>512</v>
      </c>
      <c r="F577" s="39" t="s">
        <v>132</v>
      </c>
      <c r="G577" s="39" t="s">
        <v>536</v>
      </c>
      <c r="H577" s="40"/>
      <c r="I577" s="40"/>
      <c r="J577" s="40"/>
      <c r="K577" s="42">
        <v>46213</v>
      </c>
      <c r="L577" s="42"/>
      <c r="M577" s="44"/>
      <c r="N577" s="40"/>
      <c r="O577" s="40"/>
      <c r="P577" s="40"/>
      <c r="Q577" s="42">
        <f>IF(K577="","",K577)</f>
        <v>46213</v>
      </c>
      <c r="R577" s="39" t="s">
        <v>469</v>
      </c>
      <c r="S577" s="39" t="s">
        <v>471</v>
      </c>
      <c r="T577" s="39" t="s">
        <v>514</v>
      </c>
      <c r="U577" s="39" t="s">
        <v>275</v>
      </c>
      <c r="V577" s="39">
        <v>221</v>
      </c>
      <c r="W577" s="39" t="s">
        <v>604</v>
      </c>
      <c r="X577" s="41">
        <v>46202</v>
      </c>
      <c r="Y577" s="41">
        <v>46213</v>
      </c>
      <c r="Z577" s="43">
        <v>204.8</v>
      </c>
      <c r="AA577" s="45">
        <f>IF(M577&lt;&gt;"",M577,Z577)</f>
        <v>204.8</v>
      </c>
      <c r="AB577" s="46" t="str">
        <f>IF(L577&lt;&gt;"","Realizado","Previsto")</f>
        <v>Previsto</v>
      </c>
      <c r="AC577" s="47">
        <v>0.5</v>
      </c>
      <c r="AD577" s="43">
        <v>409.6</v>
      </c>
      <c r="AE577" s="39">
        <v>64</v>
      </c>
      <c r="AF577" s="39" t="s">
        <v>87</v>
      </c>
      <c r="AG577" s="43">
        <v>6.4</v>
      </c>
      <c r="AH577" s="39" t="s">
        <v>515</v>
      </c>
      <c r="AI577" s="39" t="s">
        <v>73</v>
      </c>
      <c r="AJ577" s="48">
        <f>IF(Q577&lt;&gt;"",Q577,IF(K577&lt;&gt;"",K577,""))</f>
        <v>46213</v>
      </c>
      <c r="AK577" s="46" t="str">
        <f>IF(K577&lt;&gt;"","Sim","")</f>
        <v>Sim</v>
      </c>
      <c r="AL577" s="46" t="str">
        <f>IF(A577="","",TEXT(A577,"000000")&amp;"-"&amp;IF(C577="Entrada","CR","DB"))</f>
        <v>000576-DB</v>
      </c>
      <c r="AM577" s="46" t="str">
        <f>IF(A577="","",LEFT(IF(H577&lt;&gt;"",H577,G577)&amp;" | "&amp;G577&amp;" | "&amp;S577,60))</f>
        <v xml:space="preserve">Grelha 100x100mm - chuveiro | Grelha 100x100mm - chuveiro | </v>
      </c>
    </row>
    <row r="578" spans="1:39" ht="43.2" x14ac:dyDescent="0.3">
      <c r="A578" s="39">
        <v>577</v>
      </c>
      <c r="B578" s="39" t="s">
        <v>2</v>
      </c>
      <c r="C578" s="39" t="s">
        <v>74</v>
      </c>
      <c r="D578" s="39" t="s">
        <v>469</v>
      </c>
      <c r="E578" s="39" t="s">
        <v>529</v>
      </c>
      <c r="F578" s="39" t="s">
        <v>521</v>
      </c>
      <c r="G578" s="39" t="s">
        <v>537</v>
      </c>
      <c r="H578" s="40"/>
      <c r="I578" s="40"/>
      <c r="J578" s="40"/>
      <c r="K578" s="42">
        <v>46213</v>
      </c>
      <c r="L578" s="42"/>
      <c r="M578" s="44"/>
      <c r="N578" s="40"/>
      <c r="O578" s="40"/>
      <c r="P578" s="40"/>
      <c r="Q578" s="42">
        <f>IF(K578="","",K578)</f>
        <v>46213</v>
      </c>
      <c r="R578" s="39" t="s">
        <v>469</v>
      </c>
      <c r="S578" s="39" t="s">
        <v>471</v>
      </c>
      <c r="T578" s="39" t="s">
        <v>531</v>
      </c>
      <c r="U578" s="39" t="s">
        <v>275</v>
      </c>
      <c r="V578" s="39">
        <v>201</v>
      </c>
      <c r="W578" s="39" t="s">
        <v>604</v>
      </c>
      <c r="X578" s="41">
        <v>46202</v>
      </c>
      <c r="Y578" s="41">
        <v>46213</v>
      </c>
      <c r="Z578" s="43">
        <v>2460.8000000000002</v>
      </c>
      <c r="AA578" s="45">
        <f>IF(M578&lt;&gt;"",M578,Z578)</f>
        <v>2460.8000000000002</v>
      </c>
      <c r="AB578" s="46" t="str">
        <f>IF(L578&lt;&gt;"","Realizado","Previsto")</f>
        <v>Previsto</v>
      </c>
      <c r="AC578" s="47">
        <v>0.5</v>
      </c>
      <c r="AD578" s="43">
        <v>4921.6000000000004</v>
      </c>
      <c r="AE578" s="39">
        <v>64</v>
      </c>
      <c r="AF578" s="39" t="s">
        <v>87</v>
      </c>
      <c r="AG578" s="43">
        <v>76.900000000000006</v>
      </c>
      <c r="AH578" s="39" t="s">
        <v>532</v>
      </c>
      <c r="AI578" s="39" t="s">
        <v>73</v>
      </c>
      <c r="AJ578" s="48">
        <f>IF(Q578&lt;&gt;"",Q578,IF(K578&lt;&gt;"",K578,""))</f>
        <v>46213</v>
      </c>
      <c r="AK578" s="46" t="str">
        <f>IF(K578&lt;&gt;"","Sim","")</f>
        <v>Sim</v>
      </c>
      <c r="AL578" s="46" t="str">
        <f>IF(A578="","",TEXT(A578,"000000")&amp;"-"&amp;IF(C578="Entrada","CR","DB"))</f>
        <v>000577-DB</v>
      </c>
      <c r="AM578" s="46" t="str">
        <f>IF(A578="","",LEFT(IF(H578&lt;&gt;"",H578,G578)&amp;" | "&amp;G578&amp;" | "&amp;S578,60))</f>
        <v>LAVATORIO LOUCA BRANCA C/ COLUNA 470 X 425 MM (SOMENTELAVATÓ</v>
      </c>
    </row>
    <row r="579" spans="1:39" ht="43.2" x14ac:dyDescent="0.3">
      <c r="A579" s="39">
        <v>578</v>
      </c>
      <c r="B579" s="39" t="s">
        <v>2</v>
      </c>
      <c r="C579" s="39" t="s">
        <v>74</v>
      </c>
      <c r="D579" s="39" t="s">
        <v>469</v>
      </c>
      <c r="E579" s="39" t="s">
        <v>469</v>
      </c>
      <c r="F579" s="39" t="s">
        <v>109</v>
      </c>
      <c r="G579" s="39" t="s">
        <v>470</v>
      </c>
      <c r="H579" s="40"/>
      <c r="I579" s="40"/>
      <c r="J579" s="40"/>
      <c r="K579" s="42">
        <v>46213</v>
      </c>
      <c r="L579" s="42"/>
      <c r="M579" s="44"/>
      <c r="N579" s="40"/>
      <c r="O579" s="40"/>
      <c r="P579" s="40"/>
      <c r="Q579" s="42">
        <f>IF(K579="","",K579)</f>
        <v>46213</v>
      </c>
      <c r="R579" s="39" t="s">
        <v>469</v>
      </c>
      <c r="S579" s="39" t="s">
        <v>471</v>
      </c>
      <c r="T579" s="39" t="s">
        <v>472</v>
      </c>
      <c r="U579" s="39" t="s">
        <v>215</v>
      </c>
      <c r="V579" s="39">
        <v>229</v>
      </c>
      <c r="W579" s="39" t="s">
        <v>604</v>
      </c>
      <c r="X579" s="41">
        <v>46202</v>
      </c>
      <c r="Y579" s="41">
        <v>46213</v>
      </c>
      <c r="Z579" s="43">
        <v>9130.5600000000013</v>
      </c>
      <c r="AA579" s="45">
        <f>IF(M579&lt;&gt;"",M579,Z579)</f>
        <v>9130.5600000000013</v>
      </c>
      <c r="AB579" s="46" t="str">
        <f>IF(L579&lt;&gt;"","Realizado","Previsto")</f>
        <v>Previsto</v>
      </c>
      <c r="AC579" s="47">
        <v>0.47554999999999997</v>
      </c>
      <c r="AD579" s="43">
        <v>19200</v>
      </c>
      <c r="AE579" s="39">
        <v>64</v>
      </c>
      <c r="AF579" s="39" t="s">
        <v>113</v>
      </c>
      <c r="AG579" s="43">
        <v>300</v>
      </c>
      <c r="AH579" s="39" t="s">
        <v>473</v>
      </c>
      <c r="AI579" s="39" t="s">
        <v>73</v>
      </c>
      <c r="AJ579" s="48">
        <f>IF(Q579&lt;&gt;"",Q579,IF(K579&lt;&gt;"",K579,""))</f>
        <v>46213</v>
      </c>
      <c r="AK579" s="46" t="str">
        <f>IF(K579&lt;&gt;"","Sim","")</f>
        <v>Sim</v>
      </c>
      <c r="AL579" s="46" t="str">
        <f>IF(A579="","",TEXT(A579,"000000")&amp;"-"&amp;IF(C579="Entrada","CR","DB"))</f>
        <v>000578-DB</v>
      </c>
      <c r="AM579" s="46" t="str">
        <f>IF(A579="","",LEFT(IF(H579&lt;&gt;"",H579,G579)&amp;" | "&amp;G579&amp;" | "&amp;S579,60))</f>
        <v>Mao de obra cozinha e tanque completos | Mao de obra cozinha</v>
      </c>
    </row>
    <row r="580" spans="1:39" ht="43.2" x14ac:dyDescent="0.3">
      <c r="A580" s="39">
        <v>579</v>
      </c>
      <c r="B580" s="39" t="s">
        <v>2</v>
      </c>
      <c r="C580" s="39" t="s">
        <v>74</v>
      </c>
      <c r="D580" s="39" t="s">
        <v>469</v>
      </c>
      <c r="E580" s="39" t="s">
        <v>469</v>
      </c>
      <c r="F580" s="39" t="s">
        <v>109</v>
      </c>
      <c r="G580" s="39" t="s">
        <v>474</v>
      </c>
      <c r="H580" s="40"/>
      <c r="I580" s="40"/>
      <c r="J580" s="40"/>
      <c r="K580" s="42">
        <v>46213</v>
      </c>
      <c r="L580" s="42"/>
      <c r="M580" s="44"/>
      <c r="N580" s="40"/>
      <c r="O580" s="40"/>
      <c r="P580" s="40"/>
      <c r="Q580" s="42">
        <f>IF(K580="","",K580)</f>
        <v>46213</v>
      </c>
      <c r="R580" s="39" t="s">
        <v>469</v>
      </c>
      <c r="S580" s="39" t="s">
        <v>471</v>
      </c>
      <c r="T580" s="39" t="s">
        <v>472</v>
      </c>
      <c r="U580" s="39" t="s">
        <v>215</v>
      </c>
      <c r="V580" s="39">
        <v>228</v>
      </c>
      <c r="W580" s="39" t="s">
        <v>604</v>
      </c>
      <c r="X580" s="41">
        <v>46202</v>
      </c>
      <c r="Y580" s="41">
        <v>46213</v>
      </c>
      <c r="Z580" s="43">
        <v>9130.5600000000013</v>
      </c>
      <c r="AA580" s="45">
        <f>IF(M580&lt;&gt;"",M580,Z580)</f>
        <v>9130.5600000000013</v>
      </c>
      <c r="AB580" s="46" t="str">
        <f>IF(L580&lt;&gt;"","Realizado","Previsto")</f>
        <v>Previsto</v>
      </c>
      <c r="AC580" s="47">
        <v>0.47554999999999997</v>
      </c>
      <c r="AD580" s="43">
        <v>19200</v>
      </c>
      <c r="AE580" s="39">
        <v>64</v>
      </c>
      <c r="AF580" s="39" t="s">
        <v>113</v>
      </c>
      <c r="AG580" s="43">
        <v>300</v>
      </c>
      <c r="AH580" s="39" t="s">
        <v>473</v>
      </c>
      <c r="AI580" s="39" t="s">
        <v>73</v>
      </c>
      <c r="AJ580" s="48">
        <f>IF(Q580&lt;&gt;"",Q580,IF(K580&lt;&gt;"",K580,""))</f>
        <v>46213</v>
      </c>
      <c r="AK580" s="46" t="str">
        <f>IF(K580&lt;&gt;"","Sim","")</f>
        <v>Sim</v>
      </c>
      <c r="AL580" s="46" t="str">
        <f>IF(A580="","",TEXT(A580,"000000")&amp;"-"&amp;IF(C580="Entrada","CR","DB"))</f>
        <v>000579-DB</v>
      </c>
      <c r="AM580" s="46" t="str">
        <f>IF(A580="","",LEFT(IF(H580&lt;&gt;"",H580,G580)&amp;" | "&amp;G580&amp;" | "&amp;S580,60))</f>
        <v xml:space="preserve">Mao de obra loucas e metais Banheiro completo | Mao de obra </v>
      </c>
    </row>
    <row r="581" spans="1:39" ht="43.2" x14ac:dyDescent="0.3">
      <c r="A581" s="39">
        <v>580</v>
      </c>
      <c r="B581" s="39" t="s">
        <v>2</v>
      </c>
      <c r="C581" s="39" t="s">
        <v>74</v>
      </c>
      <c r="D581" s="39" t="s">
        <v>469</v>
      </c>
      <c r="E581" s="39" t="s">
        <v>517</v>
      </c>
      <c r="F581" s="39" t="s">
        <v>132</v>
      </c>
      <c r="G581" s="39" t="s">
        <v>538</v>
      </c>
      <c r="H581" s="40"/>
      <c r="I581" s="40"/>
      <c r="J581" s="40"/>
      <c r="K581" s="42">
        <v>46213</v>
      </c>
      <c r="L581" s="42"/>
      <c r="M581" s="44"/>
      <c r="N581" s="40"/>
      <c r="O581" s="40"/>
      <c r="P581" s="40"/>
      <c r="Q581" s="42">
        <f>IF(K581="","",K581)</f>
        <v>46213</v>
      </c>
      <c r="R581" s="39" t="s">
        <v>469</v>
      </c>
      <c r="S581" s="39" t="s">
        <v>471</v>
      </c>
      <c r="T581" s="39" t="s">
        <v>519</v>
      </c>
      <c r="U581" s="39" t="s">
        <v>275</v>
      </c>
      <c r="V581" s="39">
        <v>206</v>
      </c>
      <c r="W581" s="39" t="s">
        <v>604</v>
      </c>
      <c r="X581" s="41">
        <v>46202</v>
      </c>
      <c r="Y581" s="41">
        <v>46213</v>
      </c>
      <c r="Z581" s="43">
        <v>466.24</v>
      </c>
      <c r="AA581" s="45">
        <f>IF(M581&lt;&gt;"",M581,Z581)</f>
        <v>466.24</v>
      </c>
      <c r="AB581" s="46" t="str">
        <f>IF(L581&lt;&gt;"","Realizado","Previsto")</f>
        <v>Previsto</v>
      </c>
      <c r="AC581" s="47">
        <v>0.5</v>
      </c>
      <c r="AD581" s="43">
        <v>932.48</v>
      </c>
      <c r="AE581" s="39">
        <v>64</v>
      </c>
      <c r="AF581" s="39" t="s">
        <v>87</v>
      </c>
      <c r="AG581" s="43">
        <v>14.57</v>
      </c>
      <c r="AH581" s="39" t="s">
        <v>520</v>
      </c>
      <c r="AI581" s="39" t="s">
        <v>73</v>
      </c>
      <c r="AJ581" s="48">
        <f>IF(Q581&lt;&gt;"",Q581,IF(K581&lt;&gt;"",K581,""))</f>
        <v>46213</v>
      </c>
      <c r="AK581" s="46" t="str">
        <f>IF(K581&lt;&gt;"","Sim","")</f>
        <v>Sim</v>
      </c>
      <c r="AL581" s="46" t="str">
        <f>IF(A581="","",TEXT(A581,"000000")&amp;"-"&amp;IF(C581="Entrada","CR","DB"))</f>
        <v>000580-DB</v>
      </c>
      <c r="AM581" s="46" t="str">
        <f>IF(A581="","",LEFT(IF(H581&lt;&gt;"",H581,G581)&amp;" | "&amp;G581&amp;" | "&amp;S581,60))</f>
        <v xml:space="preserve">PARAFUSO PARA VASO E LAVATORIO / 8MM - COM BUCHA | PARAFUSO </v>
      </c>
    </row>
    <row r="582" spans="1:39" ht="43.2" x14ac:dyDescent="0.3">
      <c r="A582" s="39">
        <v>581</v>
      </c>
      <c r="B582" s="39" t="s">
        <v>2</v>
      </c>
      <c r="C582" s="39" t="s">
        <v>74</v>
      </c>
      <c r="D582" s="39" t="s">
        <v>469</v>
      </c>
      <c r="E582" s="39" t="s">
        <v>529</v>
      </c>
      <c r="F582" s="39" t="s">
        <v>132</v>
      </c>
      <c r="G582" s="39" t="s">
        <v>538</v>
      </c>
      <c r="H582" s="40"/>
      <c r="I582" s="40"/>
      <c r="J582" s="40"/>
      <c r="K582" s="42">
        <v>46213</v>
      </c>
      <c r="L582" s="42"/>
      <c r="M582" s="44"/>
      <c r="N582" s="40"/>
      <c r="O582" s="40"/>
      <c r="P582" s="40"/>
      <c r="Q582" s="42">
        <f>IF(K582="","",K582)</f>
        <v>46213</v>
      </c>
      <c r="R582" s="39" t="s">
        <v>469</v>
      </c>
      <c r="S582" s="39" t="s">
        <v>471</v>
      </c>
      <c r="T582" s="39" t="s">
        <v>534</v>
      </c>
      <c r="U582" s="39" t="s">
        <v>275</v>
      </c>
      <c r="V582" s="39">
        <v>212</v>
      </c>
      <c r="W582" s="39" t="s">
        <v>604</v>
      </c>
      <c r="X582" s="41">
        <v>46202</v>
      </c>
      <c r="Y582" s="41">
        <v>46213</v>
      </c>
      <c r="Z582" s="43">
        <v>1056</v>
      </c>
      <c r="AA582" s="45">
        <f>IF(M582&lt;&gt;"",M582,Z582)</f>
        <v>1056</v>
      </c>
      <c r="AB582" s="46" t="str">
        <f>IF(L582&lt;&gt;"","Realizado","Previsto")</f>
        <v>Previsto</v>
      </c>
      <c r="AC582" s="47">
        <v>0.5</v>
      </c>
      <c r="AD582" s="43">
        <v>2112</v>
      </c>
      <c r="AE582" s="39">
        <v>128</v>
      </c>
      <c r="AF582" s="39" t="s">
        <v>87</v>
      </c>
      <c r="AG582" s="43">
        <v>16.5</v>
      </c>
      <c r="AH582" s="39" t="s">
        <v>535</v>
      </c>
      <c r="AI582" s="39" t="s">
        <v>73</v>
      </c>
      <c r="AJ582" s="48">
        <f>IF(Q582&lt;&gt;"",Q582,IF(K582&lt;&gt;"",K582,""))</f>
        <v>46213</v>
      </c>
      <c r="AK582" s="46" t="str">
        <f>IF(K582&lt;&gt;"","Sim","")</f>
        <v>Sim</v>
      </c>
      <c r="AL582" s="46" t="str">
        <f>IF(A582="","",TEXT(A582,"000000")&amp;"-"&amp;IF(C582="Entrada","CR","DB"))</f>
        <v>000581-DB</v>
      </c>
      <c r="AM582" s="46" t="str">
        <f>IF(A582="","",LEFT(IF(H582&lt;&gt;"",H582,G582)&amp;" | "&amp;G582&amp;" | "&amp;S582,60))</f>
        <v xml:space="preserve">PARAFUSO PARA VASO E LAVATORIO / 8MM - COM BUCHA | PARAFUSO </v>
      </c>
    </row>
    <row r="583" spans="1:39" ht="43.2" x14ac:dyDescent="0.3">
      <c r="A583" s="39">
        <v>582</v>
      </c>
      <c r="B583" s="39" t="s">
        <v>2</v>
      </c>
      <c r="C583" s="39" t="s">
        <v>74</v>
      </c>
      <c r="D583" s="39" t="s">
        <v>469</v>
      </c>
      <c r="E583" s="39" t="s">
        <v>539</v>
      </c>
      <c r="F583" s="39" t="s">
        <v>132</v>
      </c>
      <c r="G583" s="39" t="s">
        <v>538</v>
      </c>
      <c r="H583" s="40"/>
      <c r="I583" s="40"/>
      <c r="J583" s="40"/>
      <c r="K583" s="42">
        <v>46213</v>
      </c>
      <c r="L583" s="42"/>
      <c r="M583" s="44"/>
      <c r="N583" s="40"/>
      <c r="O583" s="40"/>
      <c r="P583" s="40"/>
      <c r="Q583" s="42">
        <f>IF(K583="","",K583)</f>
        <v>46213</v>
      </c>
      <c r="R583" s="39" t="s">
        <v>469</v>
      </c>
      <c r="S583" s="39" t="s">
        <v>471</v>
      </c>
      <c r="T583" s="39" t="s">
        <v>540</v>
      </c>
      <c r="U583" s="39" t="s">
        <v>275</v>
      </c>
      <c r="V583" s="39">
        <v>216</v>
      </c>
      <c r="W583" s="39" t="s">
        <v>604</v>
      </c>
      <c r="X583" s="41">
        <v>46202</v>
      </c>
      <c r="Y583" s="41">
        <v>46213</v>
      </c>
      <c r="Z583" s="43">
        <v>1056</v>
      </c>
      <c r="AA583" s="45">
        <f>IF(M583&lt;&gt;"",M583,Z583)</f>
        <v>1056</v>
      </c>
      <c r="AB583" s="46" t="str">
        <f>IF(L583&lt;&gt;"","Realizado","Previsto")</f>
        <v>Previsto</v>
      </c>
      <c r="AC583" s="47">
        <v>0.5</v>
      </c>
      <c r="AD583" s="43">
        <v>2112</v>
      </c>
      <c r="AE583" s="39">
        <v>128</v>
      </c>
      <c r="AF583" s="39" t="s">
        <v>87</v>
      </c>
      <c r="AG583" s="43">
        <v>16.5</v>
      </c>
      <c r="AH583" s="39" t="s">
        <v>541</v>
      </c>
      <c r="AI583" s="39" t="s">
        <v>73</v>
      </c>
      <c r="AJ583" s="48">
        <f>IF(Q583&lt;&gt;"",Q583,IF(K583&lt;&gt;"",K583,""))</f>
        <v>46213</v>
      </c>
      <c r="AK583" s="46" t="str">
        <f>IF(K583&lt;&gt;"","Sim","")</f>
        <v>Sim</v>
      </c>
      <c r="AL583" s="46" t="str">
        <f>IF(A583="","",TEXT(A583,"000000")&amp;"-"&amp;IF(C583="Entrada","CR","DB"))</f>
        <v>000582-DB</v>
      </c>
      <c r="AM583" s="46" t="str">
        <f>IF(A583="","",LEFT(IF(H583&lt;&gt;"",H583,G583)&amp;" | "&amp;G583&amp;" | "&amp;S583,60))</f>
        <v xml:space="preserve">PARAFUSO PARA VASO E LAVATORIO / 8MM - COM BUCHA | PARAFUSO </v>
      </c>
    </row>
    <row r="584" spans="1:39" ht="43.2" x14ac:dyDescent="0.3">
      <c r="A584" s="39">
        <v>583</v>
      </c>
      <c r="B584" s="39" t="s">
        <v>2</v>
      </c>
      <c r="C584" s="39" t="s">
        <v>74</v>
      </c>
      <c r="D584" s="39" t="s">
        <v>469</v>
      </c>
      <c r="E584" s="39" t="s">
        <v>469</v>
      </c>
      <c r="F584" s="39" t="s">
        <v>542</v>
      </c>
      <c r="G584" s="39" t="s">
        <v>543</v>
      </c>
      <c r="H584" s="40"/>
      <c r="I584" s="40"/>
      <c r="J584" s="40"/>
      <c r="K584" s="42">
        <v>46213</v>
      </c>
      <c r="L584" s="42"/>
      <c r="M584" s="44"/>
      <c r="N584" s="40"/>
      <c r="O584" s="40"/>
      <c r="P584" s="40"/>
      <c r="Q584" s="42">
        <f>IF(K584="","",K584)</f>
        <v>46213</v>
      </c>
      <c r="R584" s="39" t="s">
        <v>469</v>
      </c>
      <c r="S584" s="39" t="s">
        <v>471</v>
      </c>
      <c r="T584" s="39" t="s">
        <v>544</v>
      </c>
      <c r="U584" s="39" t="s">
        <v>275</v>
      </c>
      <c r="V584" s="39">
        <v>225</v>
      </c>
      <c r="W584" s="39" t="s">
        <v>604</v>
      </c>
      <c r="X584" s="41">
        <v>46202</v>
      </c>
      <c r="Y584" s="41">
        <v>46213</v>
      </c>
      <c r="Z584" s="43">
        <v>860.8</v>
      </c>
      <c r="AA584" s="45">
        <f>IF(M584&lt;&gt;"",M584,Z584)</f>
        <v>860.8</v>
      </c>
      <c r="AB584" s="46" t="str">
        <f>IF(L584&lt;&gt;"","Realizado","Previsto")</f>
        <v>Previsto</v>
      </c>
      <c r="AC584" s="47">
        <v>0.5</v>
      </c>
      <c r="AD584" s="43">
        <v>1721.6</v>
      </c>
      <c r="AE584" s="39">
        <v>64</v>
      </c>
      <c r="AF584" s="39" t="s">
        <v>545</v>
      </c>
      <c r="AG584" s="43">
        <v>26.9</v>
      </c>
      <c r="AH584" s="39" t="s">
        <v>546</v>
      </c>
      <c r="AI584" s="39" t="s">
        <v>73</v>
      </c>
      <c r="AJ584" s="48">
        <f>IF(Q584&lt;&gt;"",Q584,IF(K584&lt;&gt;"",K584,""))</f>
        <v>46213</v>
      </c>
      <c r="AK584" s="46" t="str">
        <f>IF(K584&lt;&gt;"","Sim","")</f>
        <v>Sim</v>
      </c>
      <c r="AL584" s="46" t="str">
        <f>IF(A584="","",TEXT(A584,"000000")&amp;"-"&amp;IF(C584="Entrada","CR","DB"))</f>
        <v>000583-DB</v>
      </c>
      <c r="AM584" s="46" t="str">
        <f>IF(A584="","",LEFT(IF(H584&lt;&gt;"",H584,G584)&amp;" | "&amp;G584&amp;" | "&amp;S584,60))</f>
        <v>Porta Toalha de rosto em metal cromado para banheiro | Porta</v>
      </c>
    </row>
    <row r="585" spans="1:39" ht="43.2" x14ac:dyDescent="0.3">
      <c r="A585" s="39">
        <v>584</v>
      </c>
      <c r="B585" s="39" t="s">
        <v>2</v>
      </c>
      <c r="C585" s="39" t="s">
        <v>74</v>
      </c>
      <c r="D585" s="39" t="s">
        <v>469</v>
      </c>
      <c r="E585" s="39" t="s">
        <v>512</v>
      </c>
      <c r="F585" s="39" t="s">
        <v>132</v>
      </c>
      <c r="G585" s="39" t="s">
        <v>547</v>
      </c>
      <c r="H585" s="40"/>
      <c r="I585" s="40"/>
      <c r="J585" s="40"/>
      <c r="K585" s="42">
        <v>46213</v>
      </c>
      <c r="L585" s="42"/>
      <c r="M585" s="44"/>
      <c r="N585" s="40"/>
      <c r="O585" s="40"/>
      <c r="P585" s="40"/>
      <c r="Q585" s="42">
        <f>IF(K585="","",K585)</f>
        <v>46213</v>
      </c>
      <c r="R585" s="39" t="s">
        <v>469</v>
      </c>
      <c r="S585" s="39" t="s">
        <v>471</v>
      </c>
      <c r="T585" s="39" t="s">
        <v>514</v>
      </c>
      <c r="U585" s="39" t="s">
        <v>275</v>
      </c>
      <c r="V585" s="39">
        <v>220</v>
      </c>
      <c r="W585" s="39" t="s">
        <v>604</v>
      </c>
      <c r="X585" s="41">
        <v>46202</v>
      </c>
      <c r="Y585" s="41">
        <v>46213</v>
      </c>
      <c r="Z585" s="43">
        <v>323.2</v>
      </c>
      <c r="AA585" s="45">
        <f>IF(M585&lt;&gt;"",M585,Z585)</f>
        <v>323.2</v>
      </c>
      <c r="AB585" s="46" t="str">
        <f>IF(L585&lt;&gt;"","Realizado","Previsto")</f>
        <v>Previsto</v>
      </c>
      <c r="AC585" s="47">
        <v>0.5</v>
      </c>
      <c r="AD585" s="43">
        <v>646.4</v>
      </c>
      <c r="AE585" s="39">
        <v>64</v>
      </c>
      <c r="AF585" s="39" t="s">
        <v>87</v>
      </c>
      <c r="AG585" s="43">
        <v>10.1</v>
      </c>
      <c r="AH585" s="39" t="s">
        <v>515</v>
      </c>
      <c r="AI585" s="39" t="s">
        <v>73</v>
      </c>
      <c r="AJ585" s="48">
        <f>IF(Q585&lt;&gt;"",Q585,IF(K585&lt;&gt;"",K585,""))</f>
        <v>46213</v>
      </c>
      <c r="AK585" s="46" t="str">
        <f>IF(K585&lt;&gt;"","Sim","")</f>
        <v>Sim</v>
      </c>
      <c r="AL585" s="46" t="str">
        <f>IF(A585="","",TEXT(A585,"000000")&amp;"-"&amp;IF(C585="Entrada","CR","DB"))</f>
        <v>000584-DB</v>
      </c>
      <c r="AM585" s="46" t="str">
        <f>IF(A585="","",LEFT(IF(H585&lt;&gt;"",H585,G585)&amp;" | "&amp;G585&amp;" | "&amp;S585,60))</f>
        <v>Porta grelha dn 100mm - Chuveiro | Porta grelha dn 100mm - C</v>
      </c>
    </row>
    <row r="586" spans="1:39" ht="43.2" x14ac:dyDescent="0.3">
      <c r="A586" s="39">
        <v>585</v>
      </c>
      <c r="B586" s="39" t="s">
        <v>2</v>
      </c>
      <c r="C586" s="39" t="s">
        <v>74</v>
      </c>
      <c r="D586" s="39" t="s">
        <v>469</v>
      </c>
      <c r="E586" s="39" t="s">
        <v>469</v>
      </c>
      <c r="F586" s="39" t="s">
        <v>542</v>
      </c>
      <c r="G586" s="39" t="s">
        <v>548</v>
      </c>
      <c r="H586" s="40"/>
      <c r="I586" s="40"/>
      <c r="J586" s="40"/>
      <c r="K586" s="42">
        <v>46213</v>
      </c>
      <c r="L586" s="42"/>
      <c r="M586" s="44"/>
      <c r="N586" s="40"/>
      <c r="O586" s="40"/>
      <c r="P586" s="40"/>
      <c r="Q586" s="42">
        <f>IF(K586="","",K586)</f>
        <v>46213</v>
      </c>
      <c r="R586" s="39" t="s">
        <v>469</v>
      </c>
      <c r="S586" s="39" t="s">
        <v>471</v>
      </c>
      <c r="T586" s="39" t="s">
        <v>544</v>
      </c>
      <c r="U586" s="39" t="s">
        <v>275</v>
      </c>
      <c r="V586" s="39">
        <v>226</v>
      </c>
      <c r="W586" s="39" t="s">
        <v>604</v>
      </c>
      <c r="X586" s="41">
        <v>46202</v>
      </c>
      <c r="Y586" s="41">
        <v>46213</v>
      </c>
      <c r="Z586" s="43">
        <v>1020.8</v>
      </c>
      <c r="AA586" s="45">
        <f>IF(M586&lt;&gt;"",M586,Z586)</f>
        <v>1020.8</v>
      </c>
      <c r="AB586" s="46" t="str">
        <f>IF(L586&lt;&gt;"","Realizado","Previsto")</f>
        <v>Previsto</v>
      </c>
      <c r="AC586" s="47">
        <v>0.5</v>
      </c>
      <c r="AD586" s="43">
        <v>2041.6</v>
      </c>
      <c r="AE586" s="39">
        <v>64</v>
      </c>
      <c r="AF586" s="39" t="s">
        <v>87</v>
      </c>
      <c r="AG586" s="43">
        <v>31.9</v>
      </c>
      <c r="AH586" s="39" t="s">
        <v>546</v>
      </c>
      <c r="AI586" s="39" t="s">
        <v>73</v>
      </c>
      <c r="AJ586" s="48">
        <f>IF(Q586&lt;&gt;"",Q586,IF(K586&lt;&gt;"",K586,""))</f>
        <v>46213</v>
      </c>
      <c r="AK586" s="46" t="str">
        <f>IF(K586&lt;&gt;"","Sim","")</f>
        <v>Sim</v>
      </c>
      <c r="AL586" s="46" t="str">
        <f>IF(A586="","",TEXT(A586,"000000")&amp;"-"&amp;IF(C586="Entrada","CR","DB"))</f>
        <v>000585-DB</v>
      </c>
      <c r="AM586" s="46" t="str">
        <f>IF(A586="","",LEFT(IF(H586&lt;&gt;"",H586,G586)&amp;" | "&amp;G586&amp;" | "&amp;S586,60))</f>
        <v>Porta papel higiênico sem tampa, cromado | Porta papel higiê</v>
      </c>
    </row>
    <row r="587" spans="1:39" ht="43.2" x14ac:dyDescent="0.3">
      <c r="A587" s="39">
        <v>586</v>
      </c>
      <c r="B587" s="39" t="s">
        <v>2</v>
      </c>
      <c r="C587" s="39" t="s">
        <v>74</v>
      </c>
      <c r="D587" s="39" t="s">
        <v>469</v>
      </c>
      <c r="E587" s="39" t="s">
        <v>517</v>
      </c>
      <c r="F587" s="39" t="s">
        <v>184</v>
      </c>
      <c r="G587" s="39" t="s">
        <v>549</v>
      </c>
      <c r="H587" s="40"/>
      <c r="I587" s="40"/>
      <c r="J587" s="40"/>
      <c r="K587" s="42">
        <v>46213</v>
      </c>
      <c r="L587" s="42"/>
      <c r="M587" s="44"/>
      <c r="N587" s="40"/>
      <c r="O587" s="40"/>
      <c r="P587" s="40"/>
      <c r="Q587" s="42">
        <f>IF(K587="","",K587)</f>
        <v>46213</v>
      </c>
      <c r="R587" s="39" t="s">
        <v>469</v>
      </c>
      <c r="S587" s="39" t="s">
        <v>471</v>
      </c>
      <c r="T587" s="39" t="s">
        <v>550</v>
      </c>
      <c r="U587" s="39" t="s">
        <v>275</v>
      </c>
      <c r="V587" s="39">
        <v>207</v>
      </c>
      <c r="W587" s="39" t="s">
        <v>604</v>
      </c>
      <c r="X587" s="41">
        <v>46202</v>
      </c>
      <c r="Y587" s="41">
        <v>46213</v>
      </c>
      <c r="Z587" s="43">
        <v>636.79999999999995</v>
      </c>
      <c r="AA587" s="45">
        <f>IF(M587&lt;&gt;"",M587,Z587)</f>
        <v>636.79999999999995</v>
      </c>
      <c r="AB587" s="46" t="str">
        <f>IF(L587&lt;&gt;"","Realizado","Previsto")</f>
        <v>Previsto</v>
      </c>
      <c r="AC587" s="47">
        <v>0.5</v>
      </c>
      <c r="AD587" s="43">
        <v>1273.5999999999999</v>
      </c>
      <c r="AE587" s="39">
        <v>32</v>
      </c>
      <c r="AF587" s="39" t="s">
        <v>87</v>
      </c>
      <c r="AG587" s="43">
        <v>39.799999999999997</v>
      </c>
      <c r="AH587" s="39" t="s">
        <v>551</v>
      </c>
      <c r="AI587" s="39" t="s">
        <v>73</v>
      </c>
      <c r="AJ587" s="48">
        <f>IF(Q587&lt;&gt;"",Q587,IF(K587&lt;&gt;"",K587,""))</f>
        <v>46213</v>
      </c>
      <c r="AK587" s="46" t="str">
        <f>IF(K587&lt;&gt;"","Sim","")</f>
        <v>Sim</v>
      </c>
      <c r="AL587" s="46" t="str">
        <f>IF(A587="","",TEXT(A587,"000000")&amp;"-"&amp;IF(C587="Entrada","CR","DB"))</f>
        <v>000586-DB</v>
      </c>
      <c r="AM587" s="46" t="str">
        <f>IF(A587="","",LEFT(IF(H587&lt;&gt;"",H587,G587)&amp;" | "&amp;G587&amp;" | "&amp;S587,60))</f>
        <v>Selante Acrílico Elastométrico Top Gun 300 ml TG140 Renner |</v>
      </c>
    </row>
    <row r="588" spans="1:39" ht="43.2" x14ac:dyDescent="0.3">
      <c r="A588" s="39">
        <v>587</v>
      </c>
      <c r="B588" s="39" t="s">
        <v>2</v>
      </c>
      <c r="C588" s="39" t="s">
        <v>74</v>
      </c>
      <c r="D588" s="39" t="s">
        <v>469</v>
      </c>
      <c r="E588" s="39" t="s">
        <v>529</v>
      </c>
      <c r="F588" s="39" t="s">
        <v>184</v>
      </c>
      <c r="G588" s="39" t="s">
        <v>549</v>
      </c>
      <c r="H588" s="40"/>
      <c r="I588" s="40"/>
      <c r="J588" s="40"/>
      <c r="K588" s="42">
        <v>46213</v>
      </c>
      <c r="L588" s="42"/>
      <c r="M588" s="44"/>
      <c r="N588" s="40"/>
      <c r="O588" s="40"/>
      <c r="P588" s="40"/>
      <c r="Q588" s="42">
        <f>IF(K588="","",K588)</f>
        <v>46213</v>
      </c>
      <c r="R588" s="39" t="s">
        <v>469</v>
      </c>
      <c r="S588" s="39" t="s">
        <v>471</v>
      </c>
      <c r="T588" s="39" t="s">
        <v>552</v>
      </c>
      <c r="U588" s="39" t="s">
        <v>275</v>
      </c>
      <c r="V588" s="39">
        <v>213</v>
      </c>
      <c r="W588" s="39" t="s">
        <v>604</v>
      </c>
      <c r="X588" s="41">
        <v>46202</v>
      </c>
      <c r="Y588" s="41">
        <v>46213</v>
      </c>
      <c r="Z588" s="43">
        <v>382.08</v>
      </c>
      <c r="AA588" s="45">
        <f>IF(M588&lt;&gt;"",M588,Z588)</f>
        <v>382.08</v>
      </c>
      <c r="AB588" s="46" t="str">
        <f>IF(L588&lt;&gt;"","Realizado","Previsto")</f>
        <v>Previsto</v>
      </c>
      <c r="AC588" s="47">
        <v>0.5</v>
      </c>
      <c r="AD588" s="43">
        <v>764.16</v>
      </c>
      <c r="AE588" s="39">
        <v>19.2</v>
      </c>
      <c r="AF588" s="39" t="s">
        <v>87</v>
      </c>
      <c r="AG588" s="43">
        <v>39.799999999999997</v>
      </c>
      <c r="AH588" s="39" t="s">
        <v>553</v>
      </c>
      <c r="AI588" s="39" t="s">
        <v>73</v>
      </c>
      <c r="AJ588" s="48">
        <f>IF(Q588&lt;&gt;"",Q588,IF(K588&lt;&gt;"",K588,""))</f>
        <v>46213</v>
      </c>
      <c r="AK588" s="46" t="str">
        <f>IF(K588&lt;&gt;"","Sim","")</f>
        <v>Sim</v>
      </c>
      <c r="AL588" s="46" t="str">
        <f>IF(A588="","",TEXT(A588,"000000")&amp;"-"&amp;IF(C588="Entrada","CR","DB"))</f>
        <v>000587-DB</v>
      </c>
      <c r="AM588" s="46" t="str">
        <f>IF(A588="","",LEFT(IF(H588&lt;&gt;"",H588,G588)&amp;" | "&amp;G588&amp;" | "&amp;S588,60))</f>
        <v>Selante Acrílico Elastométrico Top Gun 300 ml TG140 Renner |</v>
      </c>
    </row>
    <row r="589" spans="1:39" ht="43.2" x14ac:dyDescent="0.3">
      <c r="A589" s="39">
        <v>588</v>
      </c>
      <c r="B589" s="39" t="s">
        <v>2</v>
      </c>
      <c r="C589" s="39" t="s">
        <v>74</v>
      </c>
      <c r="D589" s="39" t="s">
        <v>469</v>
      </c>
      <c r="E589" s="39" t="s">
        <v>529</v>
      </c>
      <c r="F589" s="39" t="s">
        <v>132</v>
      </c>
      <c r="G589" s="39" t="s">
        <v>554</v>
      </c>
      <c r="H589" s="40"/>
      <c r="I589" s="40"/>
      <c r="J589" s="40"/>
      <c r="K589" s="42">
        <v>46213</v>
      </c>
      <c r="L589" s="42"/>
      <c r="M589" s="44"/>
      <c r="N589" s="40"/>
      <c r="O589" s="40"/>
      <c r="P589" s="40"/>
      <c r="Q589" s="42">
        <f>IF(K589="","",K589)</f>
        <v>46213</v>
      </c>
      <c r="R589" s="39" t="s">
        <v>469</v>
      </c>
      <c r="S589" s="39" t="s">
        <v>471</v>
      </c>
      <c r="T589" s="39" t="s">
        <v>534</v>
      </c>
      <c r="U589" s="39" t="s">
        <v>275</v>
      </c>
      <c r="V589" s="39">
        <v>210</v>
      </c>
      <c r="W589" s="39" t="s">
        <v>604</v>
      </c>
      <c r="X589" s="41">
        <v>46202</v>
      </c>
      <c r="Y589" s="41">
        <v>46213</v>
      </c>
      <c r="Z589" s="43">
        <v>479.68</v>
      </c>
      <c r="AA589" s="45">
        <f>IF(M589&lt;&gt;"",M589,Z589)</f>
        <v>479.68</v>
      </c>
      <c r="AB589" s="46" t="str">
        <f>IF(L589&lt;&gt;"","Realizado","Previsto")</f>
        <v>Previsto</v>
      </c>
      <c r="AC589" s="47">
        <v>0.5</v>
      </c>
      <c r="AD589" s="43">
        <v>959.36</v>
      </c>
      <c r="AE589" s="39">
        <v>64</v>
      </c>
      <c r="AF589" s="39" t="s">
        <v>87</v>
      </c>
      <c r="AG589" s="43">
        <v>14.99</v>
      </c>
      <c r="AH589" s="39" t="s">
        <v>535</v>
      </c>
      <c r="AI589" s="39" t="s">
        <v>73</v>
      </c>
      <c r="AJ589" s="48">
        <f>IF(Q589&lt;&gt;"",Q589,IF(K589&lt;&gt;"",K589,""))</f>
        <v>46213</v>
      </c>
      <c r="AK589" s="46" t="str">
        <f>IF(K589&lt;&gt;"","Sim","")</f>
        <v>Sim</v>
      </c>
      <c r="AL589" s="46" t="str">
        <f>IF(A589="","",TEXT(A589,"000000")&amp;"-"&amp;IF(C589="Entrada","CR","DB"))</f>
        <v>000588-DB</v>
      </c>
      <c r="AM589" s="46" t="str">
        <f>IF(A589="","",LEFT(IF(H589&lt;&gt;"",H589,G589)&amp;" | "&amp;G589&amp;" | "&amp;S589,60))</f>
        <v>Sifão PVC Extensivo Corrugado Universal Para Lavatório E Tan</v>
      </c>
    </row>
    <row r="590" spans="1:39" ht="43.2" x14ac:dyDescent="0.3">
      <c r="A590" s="39">
        <v>589</v>
      </c>
      <c r="B590" s="39" t="s">
        <v>2</v>
      </c>
      <c r="C590" s="39" t="s">
        <v>74</v>
      </c>
      <c r="D590" s="39" t="s">
        <v>469</v>
      </c>
      <c r="E590" s="39" t="s">
        <v>539</v>
      </c>
      <c r="F590" s="39" t="s">
        <v>132</v>
      </c>
      <c r="G590" s="39" t="s">
        <v>554</v>
      </c>
      <c r="H590" s="40"/>
      <c r="I590" s="40"/>
      <c r="J590" s="40"/>
      <c r="K590" s="42">
        <v>46213</v>
      </c>
      <c r="L590" s="42"/>
      <c r="M590" s="44"/>
      <c r="N590" s="40"/>
      <c r="O590" s="40"/>
      <c r="P590" s="40"/>
      <c r="Q590" s="42">
        <f>IF(K590="","",K590)</f>
        <v>46213</v>
      </c>
      <c r="R590" s="39" t="s">
        <v>469</v>
      </c>
      <c r="S590" s="39" t="s">
        <v>471</v>
      </c>
      <c r="T590" s="39" t="s">
        <v>540</v>
      </c>
      <c r="U590" s="39" t="s">
        <v>275</v>
      </c>
      <c r="V590" s="39">
        <v>215</v>
      </c>
      <c r="W590" s="39" t="s">
        <v>604</v>
      </c>
      <c r="X590" s="41">
        <v>46202</v>
      </c>
      <c r="Y590" s="41">
        <v>46213</v>
      </c>
      <c r="Z590" s="43">
        <v>959.36</v>
      </c>
      <c r="AA590" s="45">
        <f>IF(M590&lt;&gt;"",M590,Z590)</f>
        <v>959.36</v>
      </c>
      <c r="AB590" s="46" t="str">
        <f>IF(L590&lt;&gt;"","Realizado","Previsto")</f>
        <v>Previsto</v>
      </c>
      <c r="AC590" s="47">
        <v>0.5</v>
      </c>
      <c r="AD590" s="43">
        <v>1918.72</v>
      </c>
      <c r="AE590" s="39">
        <v>128</v>
      </c>
      <c r="AF590" s="39" t="s">
        <v>87</v>
      </c>
      <c r="AG590" s="43">
        <v>14.99</v>
      </c>
      <c r="AH590" s="39" t="s">
        <v>541</v>
      </c>
      <c r="AI590" s="39" t="s">
        <v>73</v>
      </c>
      <c r="AJ590" s="48">
        <f>IF(Q590&lt;&gt;"",Q590,IF(K590&lt;&gt;"",K590,""))</f>
        <v>46213</v>
      </c>
      <c r="AK590" s="46" t="str">
        <f>IF(K590&lt;&gt;"","Sim","")</f>
        <v>Sim</v>
      </c>
      <c r="AL590" s="46" t="str">
        <f>IF(A590="","",TEXT(A590,"000000")&amp;"-"&amp;IF(C590="Entrada","CR","DB"))</f>
        <v>000589-DB</v>
      </c>
      <c r="AM590" s="46" t="str">
        <f>IF(A590="","",LEFT(IF(H590&lt;&gt;"",H590,G590)&amp;" | "&amp;G590&amp;" | "&amp;S590,60))</f>
        <v>Sifão PVC Extensivo Corrugado Universal Para Lavatório E Tan</v>
      </c>
    </row>
    <row r="591" spans="1:39" ht="43.2" x14ac:dyDescent="0.3">
      <c r="A591" s="39">
        <v>590</v>
      </c>
      <c r="B591" s="39" t="s">
        <v>2</v>
      </c>
      <c r="C591" s="39" t="s">
        <v>74</v>
      </c>
      <c r="D591" s="39" t="s">
        <v>469</v>
      </c>
      <c r="E591" s="39" t="s">
        <v>539</v>
      </c>
      <c r="F591" s="39" t="s">
        <v>521</v>
      </c>
      <c r="G591" s="39" t="s">
        <v>555</v>
      </c>
      <c r="H591" s="40"/>
      <c r="I591" s="40"/>
      <c r="J591" s="40"/>
      <c r="K591" s="42">
        <v>46213</v>
      </c>
      <c r="L591" s="42"/>
      <c r="M591" s="44"/>
      <c r="N591" s="40"/>
      <c r="O591" s="40"/>
      <c r="P591" s="40"/>
      <c r="Q591" s="42">
        <f>IF(K591="","",K591)</f>
        <v>46213</v>
      </c>
      <c r="R591" s="39" t="s">
        <v>469</v>
      </c>
      <c r="S591" s="39" t="s">
        <v>471</v>
      </c>
      <c r="T591" s="39" t="s">
        <v>556</v>
      </c>
      <c r="U591" s="39" t="s">
        <v>275</v>
      </c>
      <c r="V591" s="39">
        <v>203</v>
      </c>
      <c r="W591" s="39" t="s">
        <v>604</v>
      </c>
      <c r="X591" s="41">
        <v>46202</v>
      </c>
      <c r="Y591" s="41">
        <v>46213</v>
      </c>
      <c r="Z591" s="43">
        <v>4872</v>
      </c>
      <c r="AA591" s="45">
        <f>IF(M591&lt;&gt;"",M591,Z591)</f>
        <v>4872</v>
      </c>
      <c r="AB591" s="46" t="str">
        <f>IF(L591&lt;&gt;"","Realizado","Previsto")</f>
        <v>Previsto</v>
      </c>
      <c r="AC591" s="47">
        <v>0.5</v>
      </c>
      <c r="AD591" s="43">
        <v>9744</v>
      </c>
      <c r="AE591" s="39">
        <v>64</v>
      </c>
      <c r="AF591" s="39" t="s">
        <v>87</v>
      </c>
      <c r="AG591" s="43">
        <v>152.25</v>
      </c>
      <c r="AH591" s="39" t="s">
        <v>557</v>
      </c>
      <c r="AI591" s="39" t="s">
        <v>73</v>
      </c>
      <c r="AJ591" s="48">
        <f>IF(Q591&lt;&gt;"",Q591,IF(K591&lt;&gt;"",K591,""))</f>
        <v>46213</v>
      </c>
      <c r="AK591" s="46" t="str">
        <f>IF(K591&lt;&gt;"","Sim","")</f>
        <v>Sim</v>
      </c>
      <c r="AL591" s="46" t="str">
        <f>IF(A591="","",TEXT(A591,"000000")&amp;"-"&amp;IF(C591="Entrada","CR","DB"))</f>
        <v>000590-DB</v>
      </c>
      <c r="AM591" s="46" t="str">
        <f>IF(A591="","",LEFT(IF(H591&lt;&gt;"",H591,G591)&amp;" | "&amp;G591&amp;" | "&amp;S591,60))</f>
        <v>TANQUE LOUÇA BRANCO 20L , COM VALVULA DE SAIDA INTEGRADA 40M</v>
      </c>
    </row>
    <row r="592" spans="1:39" ht="43.2" x14ac:dyDescent="0.3">
      <c r="A592" s="39">
        <v>591</v>
      </c>
      <c r="B592" s="39" t="s">
        <v>2</v>
      </c>
      <c r="C592" s="39" t="s">
        <v>74</v>
      </c>
      <c r="D592" s="39" t="s">
        <v>469</v>
      </c>
      <c r="E592" s="39" t="s">
        <v>529</v>
      </c>
      <c r="F592" s="39" t="s">
        <v>542</v>
      </c>
      <c r="G592" s="39" t="s">
        <v>558</v>
      </c>
      <c r="H592" s="40"/>
      <c r="I592" s="40"/>
      <c r="J592" s="40"/>
      <c r="K592" s="42">
        <v>46213</v>
      </c>
      <c r="L592" s="42"/>
      <c r="M592" s="44"/>
      <c r="N592" s="40"/>
      <c r="O592" s="40"/>
      <c r="P592" s="40"/>
      <c r="Q592" s="42">
        <f>IF(K592="","",K592)</f>
        <v>46213</v>
      </c>
      <c r="R592" s="39" t="s">
        <v>469</v>
      </c>
      <c r="S592" s="39" t="s">
        <v>471</v>
      </c>
      <c r="T592" s="39" t="s">
        <v>559</v>
      </c>
      <c r="U592" s="39" t="s">
        <v>275</v>
      </c>
      <c r="V592" s="39">
        <v>224</v>
      </c>
      <c r="W592" s="39" t="s">
        <v>604</v>
      </c>
      <c r="X592" s="41">
        <v>46202</v>
      </c>
      <c r="Y592" s="41">
        <v>46213</v>
      </c>
      <c r="Z592" s="43">
        <v>1286.4000000000001</v>
      </c>
      <c r="AA592" s="45">
        <f>IF(M592&lt;&gt;"",M592,Z592)</f>
        <v>1286.4000000000001</v>
      </c>
      <c r="AB592" s="46" t="str">
        <f>IF(L592&lt;&gt;"","Realizado","Previsto")</f>
        <v>Previsto</v>
      </c>
      <c r="AC592" s="47">
        <v>0.5</v>
      </c>
      <c r="AD592" s="43">
        <v>2572.8000000000002</v>
      </c>
      <c r="AE592" s="39">
        <v>64</v>
      </c>
      <c r="AF592" s="39" t="s">
        <v>87</v>
      </c>
      <c r="AG592" s="43">
        <v>40.200000000000003</v>
      </c>
      <c r="AH592" s="39" t="s">
        <v>560</v>
      </c>
      <c r="AI592" s="39" t="s">
        <v>73</v>
      </c>
      <c r="AJ592" s="48">
        <f>IF(Q592&lt;&gt;"",Q592,IF(K592&lt;&gt;"",K592,""))</f>
        <v>46213</v>
      </c>
      <c r="AK592" s="46" t="str">
        <f>IF(K592&lt;&gt;"","Sim","")</f>
        <v>Sim</v>
      </c>
      <c r="AL592" s="46" t="str">
        <f>IF(A592="","",TEXT(A592,"000000")&amp;"-"&amp;IF(C592="Entrada","CR","DB"))</f>
        <v>000591-DB</v>
      </c>
      <c r="AM592" s="46" t="str">
        <f>IF(A592="","",LEFT(IF(H592&lt;&gt;"",H592,G592)&amp;" | "&amp;G592&amp;" | "&amp;S592,60))</f>
        <v xml:space="preserve">Torneira Banheiro Lavatório Bancada 1193 Metal C-23 Cromada </v>
      </c>
    </row>
    <row r="593" spans="1:39" ht="43.2" x14ac:dyDescent="0.3">
      <c r="A593" s="39">
        <v>592</v>
      </c>
      <c r="B593" s="39" t="s">
        <v>2</v>
      </c>
      <c r="C593" s="39" t="s">
        <v>74</v>
      </c>
      <c r="D593" s="39" t="s">
        <v>469</v>
      </c>
      <c r="E593" s="39" t="s">
        <v>539</v>
      </c>
      <c r="F593" s="39" t="s">
        <v>542</v>
      </c>
      <c r="G593" s="39" t="s">
        <v>561</v>
      </c>
      <c r="H593" s="40"/>
      <c r="I593" s="40"/>
      <c r="J593" s="40"/>
      <c r="K593" s="42">
        <v>46213</v>
      </c>
      <c r="L593" s="42"/>
      <c r="M593" s="44"/>
      <c r="N593" s="40"/>
      <c r="O593" s="40"/>
      <c r="P593" s="40"/>
      <c r="Q593" s="42">
        <f>IF(K593="","",K593)</f>
        <v>46213</v>
      </c>
      <c r="R593" s="39" t="s">
        <v>469</v>
      </c>
      <c r="S593" s="39" t="s">
        <v>471</v>
      </c>
      <c r="T593" s="39" t="s">
        <v>562</v>
      </c>
      <c r="U593" s="39" t="s">
        <v>275</v>
      </c>
      <c r="V593" s="39">
        <v>223</v>
      </c>
      <c r="W593" s="39" t="s">
        <v>604</v>
      </c>
      <c r="X593" s="41">
        <v>46202</v>
      </c>
      <c r="Y593" s="41">
        <v>46213</v>
      </c>
      <c r="Z593" s="43">
        <v>1523.52</v>
      </c>
      <c r="AA593" s="45">
        <f>IF(M593&lt;&gt;"",M593,Z593)</f>
        <v>1523.52</v>
      </c>
      <c r="AB593" s="46" t="str">
        <f>IF(L593&lt;&gt;"","Realizado","Previsto")</f>
        <v>Previsto</v>
      </c>
      <c r="AC593" s="47">
        <v>0.5</v>
      </c>
      <c r="AD593" s="43">
        <v>3047.04</v>
      </c>
      <c r="AE593" s="39">
        <v>64</v>
      </c>
      <c r="AF593" s="39" t="s">
        <v>87</v>
      </c>
      <c r="AG593" s="43">
        <v>47.61</v>
      </c>
      <c r="AH593" s="39" t="s">
        <v>563</v>
      </c>
      <c r="AI593" s="39" t="s">
        <v>73</v>
      </c>
      <c r="AJ593" s="48">
        <f>IF(Q593&lt;&gt;"",Q593,IF(K593&lt;&gt;"",K593,""))</f>
        <v>46213</v>
      </c>
      <c r="AK593" s="46" t="str">
        <f>IF(K593&lt;&gt;"","Sim","")</f>
        <v>Sim</v>
      </c>
      <c r="AL593" s="46" t="str">
        <f>IF(A593="","",TEXT(A593,"000000")&amp;"-"&amp;IF(C593="Entrada","CR","DB"))</f>
        <v>000592-DB</v>
      </c>
      <c r="AM593" s="46" t="str">
        <f>IF(A593="","",LEFT(IF(H593&lt;&gt;"",H593,G593)&amp;" | "&amp;G593&amp;" | "&amp;S593,60))</f>
        <v xml:space="preserve">Torneira De Tanque / Jardim Luxo ¼ De Volta 100% Metal C-31 </v>
      </c>
    </row>
    <row r="594" spans="1:39" ht="43.2" x14ac:dyDescent="0.3">
      <c r="A594" s="39">
        <v>593</v>
      </c>
      <c r="B594" s="39" t="s">
        <v>2</v>
      </c>
      <c r="C594" s="39" t="s">
        <v>74</v>
      </c>
      <c r="D594" s="39" t="s">
        <v>469</v>
      </c>
      <c r="E594" s="39" t="s">
        <v>517</v>
      </c>
      <c r="F594" s="39" t="s">
        <v>132</v>
      </c>
      <c r="G594" s="39" t="s">
        <v>564</v>
      </c>
      <c r="H594" s="40"/>
      <c r="I594" s="40"/>
      <c r="J594" s="40"/>
      <c r="K594" s="42">
        <v>46213</v>
      </c>
      <c r="L594" s="42"/>
      <c r="M594" s="44"/>
      <c r="N594" s="40"/>
      <c r="O594" s="40"/>
      <c r="P594" s="40"/>
      <c r="Q594" s="42">
        <f>IF(K594="","",K594)</f>
        <v>46213</v>
      </c>
      <c r="R594" s="39" t="s">
        <v>469</v>
      </c>
      <c r="S594" s="39" t="s">
        <v>471</v>
      </c>
      <c r="T594" s="39" t="s">
        <v>519</v>
      </c>
      <c r="U594" s="39" t="s">
        <v>275</v>
      </c>
      <c r="V594" s="39">
        <v>208</v>
      </c>
      <c r="W594" s="39" t="s">
        <v>604</v>
      </c>
      <c r="X594" s="41">
        <v>46202</v>
      </c>
      <c r="Y594" s="41">
        <v>46213</v>
      </c>
      <c r="Z594" s="43">
        <v>114.24</v>
      </c>
      <c r="AA594" s="45">
        <f>IF(M594&lt;&gt;"",M594,Z594)</f>
        <v>114.24</v>
      </c>
      <c r="AB594" s="46" t="str">
        <f>IF(L594&lt;&gt;"","Realizado","Previsto")</f>
        <v>Previsto</v>
      </c>
      <c r="AC594" s="47">
        <v>0.5</v>
      </c>
      <c r="AD594" s="43">
        <v>228.48</v>
      </c>
      <c r="AE594" s="39">
        <v>19.2</v>
      </c>
      <c r="AF594" s="39" t="s">
        <v>87</v>
      </c>
      <c r="AG594" s="43">
        <v>11.9</v>
      </c>
      <c r="AH594" s="39" t="s">
        <v>520</v>
      </c>
      <c r="AI594" s="39" t="s">
        <v>73</v>
      </c>
      <c r="AJ594" s="48">
        <f>IF(Q594&lt;&gt;"",Q594,IF(K594&lt;&gt;"",K594,""))</f>
        <v>46213</v>
      </c>
      <c r="AK594" s="46" t="str">
        <f>IF(K594&lt;&gt;"","Sim","")</f>
        <v>Sim</v>
      </c>
      <c r="AL594" s="46" t="str">
        <f>IF(A594="","",TEXT(A594,"000000")&amp;"-"&amp;IF(C594="Entrada","CR","DB"))</f>
        <v>000593-DB</v>
      </c>
      <c r="AM594" s="46" t="str">
        <f>IF(A594="","",LEFT(IF(H594&lt;&gt;"",H594,G594)&amp;" | "&amp;G594&amp;" | "&amp;S594,60))</f>
        <v>Veda Rosca Teflon Veda Tubulações 18mm x 50M | Veda Rosca Te</v>
      </c>
    </row>
    <row r="595" spans="1:39" ht="43.2" x14ac:dyDescent="0.3">
      <c r="A595" s="39">
        <v>594</v>
      </c>
      <c r="B595" s="39" t="s">
        <v>2</v>
      </c>
      <c r="C595" s="39" t="s">
        <v>74</v>
      </c>
      <c r="D595" s="39" t="s">
        <v>469</v>
      </c>
      <c r="E595" s="39" t="s">
        <v>529</v>
      </c>
      <c r="F595" s="39" t="s">
        <v>132</v>
      </c>
      <c r="G595" s="39" t="s">
        <v>564</v>
      </c>
      <c r="H595" s="40"/>
      <c r="I595" s="40"/>
      <c r="J595" s="40"/>
      <c r="K595" s="42">
        <v>46213</v>
      </c>
      <c r="L595" s="42"/>
      <c r="M595" s="44"/>
      <c r="N595" s="40"/>
      <c r="O595" s="40"/>
      <c r="P595" s="40"/>
      <c r="Q595" s="42">
        <f>IF(K595="","",K595)</f>
        <v>46213</v>
      </c>
      <c r="R595" s="39" t="s">
        <v>469</v>
      </c>
      <c r="S595" s="39" t="s">
        <v>471</v>
      </c>
      <c r="T595" s="39" t="s">
        <v>534</v>
      </c>
      <c r="U595" s="39" t="s">
        <v>275</v>
      </c>
      <c r="V595" s="39">
        <v>214</v>
      </c>
      <c r="W595" s="39" t="s">
        <v>604</v>
      </c>
      <c r="X595" s="41">
        <v>46202</v>
      </c>
      <c r="Y595" s="41">
        <v>46213</v>
      </c>
      <c r="Z595" s="43">
        <v>76.160000000000011</v>
      </c>
      <c r="AA595" s="45">
        <f>IF(M595&lt;&gt;"",M595,Z595)</f>
        <v>76.160000000000011</v>
      </c>
      <c r="AB595" s="46" t="str">
        <f>IF(L595&lt;&gt;"","Realizado","Previsto")</f>
        <v>Previsto</v>
      </c>
      <c r="AC595" s="47">
        <v>0.5</v>
      </c>
      <c r="AD595" s="43">
        <v>152.32</v>
      </c>
      <c r="AE595" s="39">
        <v>12.8</v>
      </c>
      <c r="AF595" s="39" t="s">
        <v>87</v>
      </c>
      <c r="AG595" s="43">
        <v>11.9</v>
      </c>
      <c r="AH595" s="39" t="s">
        <v>535</v>
      </c>
      <c r="AI595" s="39" t="s">
        <v>73</v>
      </c>
      <c r="AJ595" s="48">
        <f>IF(Q595&lt;&gt;"",Q595,IF(K595&lt;&gt;"",K595,""))</f>
        <v>46213</v>
      </c>
      <c r="AK595" s="46" t="str">
        <f>IF(K595&lt;&gt;"","Sim","")</f>
        <v>Sim</v>
      </c>
      <c r="AL595" s="46" t="str">
        <f>IF(A595="","",TEXT(A595,"000000")&amp;"-"&amp;IF(C595="Entrada","CR","DB"))</f>
        <v>000594-DB</v>
      </c>
      <c r="AM595" s="46" t="str">
        <f>IF(A595="","",LEFT(IF(H595&lt;&gt;"",H595,G595)&amp;" | "&amp;G595&amp;" | "&amp;S595,60))</f>
        <v>Veda Rosca Teflon Veda Tubulações 18mm x 50M | Veda Rosca Te</v>
      </c>
    </row>
    <row r="596" spans="1:39" ht="43.2" x14ac:dyDescent="0.3">
      <c r="A596" s="39">
        <v>595</v>
      </c>
      <c r="B596" s="39" t="s">
        <v>2</v>
      </c>
      <c r="C596" s="39" t="s">
        <v>74</v>
      </c>
      <c r="D596" s="39" t="s">
        <v>469</v>
      </c>
      <c r="E596" s="39" t="s">
        <v>539</v>
      </c>
      <c r="F596" s="39" t="s">
        <v>132</v>
      </c>
      <c r="G596" s="39" t="s">
        <v>564</v>
      </c>
      <c r="H596" s="40"/>
      <c r="I596" s="40"/>
      <c r="J596" s="40"/>
      <c r="K596" s="42">
        <v>46213</v>
      </c>
      <c r="L596" s="42"/>
      <c r="M596" s="44"/>
      <c r="N596" s="40"/>
      <c r="O596" s="40"/>
      <c r="P596" s="40"/>
      <c r="Q596" s="42">
        <f>IF(K596="","",K596)</f>
        <v>46213</v>
      </c>
      <c r="R596" s="39" t="s">
        <v>469</v>
      </c>
      <c r="S596" s="39" t="s">
        <v>471</v>
      </c>
      <c r="T596" s="39" t="s">
        <v>540</v>
      </c>
      <c r="U596" s="39" t="s">
        <v>275</v>
      </c>
      <c r="V596" s="39">
        <v>217</v>
      </c>
      <c r="W596" s="39" t="s">
        <v>604</v>
      </c>
      <c r="X596" s="41">
        <v>46202</v>
      </c>
      <c r="Y596" s="41">
        <v>46213</v>
      </c>
      <c r="Z596" s="43">
        <v>76.160000000000011</v>
      </c>
      <c r="AA596" s="45">
        <f>IF(M596&lt;&gt;"",M596,Z596)</f>
        <v>76.160000000000011</v>
      </c>
      <c r="AB596" s="46" t="str">
        <f>IF(L596&lt;&gt;"","Realizado","Previsto")</f>
        <v>Previsto</v>
      </c>
      <c r="AC596" s="47">
        <v>0.5</v>
      </c>
      <c r="AD596" s="43">
        <v>152.32</v>
      </c>
      <c r="AE596" s="39">
        <v>12.8</v>
      </c>
      <c r="AF596" s="39" t="s">
        <v>87</v>
      </c>
      <c r="AG596" s="43">
        <v>11.9</v>
      </c>
      <c r="AH596" s="39" t="s">
        <v>541</v>
      </c>
      <c r="AI596" s="39" t="s">
        <v>73</v>
      </c>
      <c r="AJ596" s="48">
        <f>IF(Q596&lt;&gt;"",Q596,IF(K596&lt;&gt;"",K596,""))</f>
        <v>46213</v>
      </c>
      <c r="AK596" s="46" t="str">
        <f>IF(K596&lt;&gt;"","Sim","")</f>
        <v>Sim</v>
      </c>
      <c r="AL596" s="46" t="str">
        <f>IF(A596="","",TEXT(A596,"000000")&amp;"-"&amp;IF(C596="Entrada","CR","DB"))</f>
        <v>000595-DB</v>
      </c>
      <c r="AM596" s="46" t="str">
        <f>IF(A596="","",LEFT(IF(H596&lt;&gt;"",H596,G596)&amp;" | "&amp;G596&amp;" | "&amp;S596,60))</f>
        <v>Veda Rosca Teflon Veda Tubulações 18mm x 50M | Veda Rosca Te</v>
      </c>
    </row>
    <row r="597" spans="1:39" ht="43.2" x14ac:dyDescent="0.3">
      <c r="A597" s="39">
        <v>596</v>
      </c>
      <c r="B597" s="39" t="s">
        <v>2</v>
      </c>
      <c r="C597" s="39" t="s">
        <v>74</v>
      </c>
      <c r="D597" s="39" t="s">
        <v>469</v>
      </c>
      <c r="E597" s="39" t="s">
        <v>529</v>
      </c>
      <c r="F597" s="39" t="s">
        <v>132</v>
      </c>
      <c r="G597" s="39" t="s">
        <v>565</v>
      </c>
      <c r="H597" s="40"/>
      <c r="I597" s="40"/>
      <c r="J597" s="40"/>
      <c r="K597" s="42">
        <v>46213</v>
      </c>
      <c r="L597" s="42"/>
      <c r="M597" s="44"/>
      <c r="N597" s="40"/>
      <c r="O597" s="40"/>
      <c r="P597" s="40"/>
      <c r="Q597" s="42">
        <f>IF(K597="","",K597)</f>
        <v>46213</v>
      </c>
      <c r="R597" s="39" t="s">
        <v>469</v>
      </c>
      <c r="S597" s="39" t="s">
        <v>471</v>
      </c>
      <c r="T597" s="39" t="s">
        <v>534</v>
      </c>
      <c r="U597" s="39" t="s">
        <v>275</v>
      </c>
      <c r="V597" s="39">
        <v>211</v>
      </c>
      <c r="W597" s="39" t="s">
        <v>604</v>
      </c>
      <c r="X597" s="41">
        <v>46202</v>
      </c>
      <c r="Y597" s="41">
        <v>46213</v>
      </c>
      <c r="Z597" s="43">
        <v>152.96</v>
      </c>
      <c r="AA597" s="45">
        <f>IF(M597&lt;&gt;"",M597,Z597)</f>
        <v>152.96</v>
      </c>
      <c r="AB597" s="46" t="str">
        <f>IF(L597&lt;&gt;"","Realizado","Previsto")</f>
        <v>Previsto</v>
      </c>
      <c r="AC597" s="47">
        <v>0.5</v>
      </c>
      <c r="AD597" s="43">
        <v>305.92</v>
      </c>
      <c r="AE597" s="39">
        <v>64</v>
      </c>
      <c r="AF597" s="39" t="s">
        <v>87</v>
      </c>
      <c r="AG597" s="43">
        <v>4.78</v>
      </c>
      <c r="AH597" s="39" t="s">
        <v>535</v>
      </c>
      <c r="AI597" s="39" t="s">
        <v>73</v>
      </c>
      <c r="AJ597" s="48">
        <f>IF(Q597&lt;&gt;"",Q597,IF(K597&lt;&gt;"",K597,""))</f>
        <v>46213</v>
      </c>
      <c r="AK597" s="46" t="str">
        <f>IF(K597&lt;&gt;"","Sim","")</f>
        <v>Sim</v>
      </c>
      <c r="AL597" s="46" t="str">
        <f>IF(A597="","",TEXT(A597,"000000")&amp;"-"&amp;IF(C597="Entrada","CR","DB"))</f>
        <v>000596-DB</v>
      </c>
      <c r="AM597" s="46" t="str">
        <f>IF(A597="","",LEFT(IF(H597&lt;&gt;"",H597,G597)&amp;" | "&amp;G597&amp;" | "&amp;S597,60))</f>
        <v>Válvula PVC Para Lavatório S/ladrao Amanco | Válvula PVC Par</v>
      </c>
    </row>
    <row r="598" spans="1:39" ht="43.2" x14ac:dyDescent="0.3">
      <c r="A598" s="39">
        <v>597</v>
      </c>
      <c r="B598" s="39" t="s">
        <v>2</v>
      </c>
      <c r="C598" s="39" t="s">
        <v>74</v>
      </c>
      <c r="D598" s="39" t="s">
        <v>469</v>
      </c>
      <c r="E598" s="39" t="s">
        <v>469</v>
      </c>
      <c r="F598" s="39" t="s">
        <v>542</v>
      </c>
      <c r="G598" s="39" t="s">
        <v>566</v>
      </c>
      <c r="H598" s="40"/>
      <c r="I598" s="40"/>
      <c r="J598" s="40"/>
      <c r="K598" s="42">
        <v>46213</v>
      </c>
      <c r="L598" s="42"/>
      <c r="M598" s="44"/>
      <c r="N598" s="40"/>
      <c r="O598" s="40"/>
      <c r="P598" s="40"/>
      <c r="Q598" s="42">
        <f>IF(K598="","",K598)</f>
        <v>46213</v>
      </c>
      <c r="R598" s="39" t="s">
        <v>469</v>
      </c>
      <c r="S598" s="39" t="s">
        <v>471</v>
      </c>
      <c r="T598" s="39" t="s">
        <v>544</v>
      </c>
      <c r="U598" s="39" t="s">
        <v>275</v>
      </c>
      <c r="V598" s="39">
        <v>227</v>
      </c>
      <c r="W598" s="39" t="s">
        <v>604</v>
      </c>
      <c r="X598" s="41">
        <v>46202</v>
      </c>
      <c r="Y598" s="41">
        <v>46213</v>
      </c>
      <c r="Z598" s="43">
        <v>1820.8</v>
      </c>
      <c r="AA598" s="45">
        <f>IF(M598&lt;&gt;"",M598,Z598)</f>
        <v>1820.8</v>
      </c>
      <c r="AB598" s="46" t="str">
        <f>IF(L598&lt;&gt;"","Realizado","Previsto")</f>
        <v>Previsto</v>
      </c>
      <c r="AC598" s="47">
        <v>0.5</v>
      </c>
      <c r="AD598" s="43">
        <v>3641.6</v>
      </c>
      <c r="AE598" s="39">
        <v>64</v>
      </c>
      <c r="AF598" s="39" t="s">
        <v>87</v>
      </c>
      <c r="AG598" s="43">
        <v>56.9</v>
      </c>
      <c r="AH598" s="39" t="s">
        <v>546</v>
      </c>
      <c r="AI598" s="39" t="s">
        <v>73</v>
      </c>
      <c r="AJ598" s="48">
        <f>IF(Q598&lt;&gt;"",Q598,IF(K598&lt;&gt;"",K598,""))</f>
        <v>46213</v>
      </c>
      <c r="AK598" s="46" t="str">
        <f>IF(K598&lt;&gt;"","Sim","")</f>
        <v>Sim</v>
      </c>
      <c r="AL598" s="46" t="str">
        <f>IF(A598="","",TEXT(A598,"000000")&amp;"-"&amp;IF(C598="Entrada","CR","DB"))</f>
        <v>000597-DB</v>
      </c>
      <c r="AM598" s="46" t="str">
        <f>IF(A598="","",LEFT(IF(H598&lt;&gt;"",H598,G598)&amp;" | "&amp;G598&amp;" | "&amp;S598,60))</f>
        <v>torneira cromada para pia da cozinha | torneira cromada para</v>
      </c>
    </row>
    <row r="599" spans="1:39" ht="43.2" x14ac:dyDescent="0.3">
      <c r="A599" s="39">
        <v>598</v>
      </c>
      <c r="B599" s="39" t="s">
        <v>2</v>
      </c>
      <c r="C599" s="39" t="s">
        <v>74</v>
      </c>
      <c r="D599" s="39" t="s">
        <v>120</v>
      </c>
      <c r="E599" s="39" t="s">
        <v>120</v>
      </c>
      <c r="F599" s="39" t="s">
        <v>120</v>
      </c>
      <c r="G599" s="39" t="s">
        <v>121</v>
      </c>
      <c r="H599" s="40"/>
      <c r="I599" s="40"/>
      <c r="J599" s="40"/>
      <c r="K599" s="42">
        <v>46213</v>
      </c>
      <c r="L599" s="42"/>
      <c r="M599" s="44"/>
      <c r="N599" s="40"/>
      <c r="O599" s="40"/>
      <c r="P599" s="40"/>
      <c r="Q599" s="42">
        <f>IF(K599="","",K599)</f>
        <v>46213</v>
      </c>
      <c r="R599" s="39" t="s">
        <v>120</v>
      </c>
      <c r="S599" s="39" t="s">
        <v>122</v>
      </c>
      <c r="T599" s="39" t="s">
        <v>123</v>
      </c>
      <c r="U599" s="39"/>
      <c r="V599" s="39">
        <v>267</v>
      </c>
      <c r="W599" s="39" t="s">
        <v>604</v>
      </c>
      <c r="X599" s="41">
        <v>46202</v>
      </c>
      <c r="Y599" s="41">
        <v>46213</v>
      </c>
      <c r="Z599" s="43">
        <v>109401.737824</v>
      </c>
      <c r="AA599" s="45">
        <f>IF(M599&lt;&gt;"",M599,Z599)</f>
        <v>109401.737824</v>
      </c>
      <c r="AB599" s="46" t="str">
        <f>IF(L599&lt;&gt;"","Realizado","Previsto")</f>
        <v>Previsto</v>
      </c>
      <c r="AC599" s="47"/>
      <c r="AD599" s="43">
        <v>5780911.3615999985</v>
      </c>
      <c r="AE599" s="39"/>
      <c r="AF599" s="39" t="s">
        <v>79</v>
      </c>
      <c r="AG599" s="43"/>
      <c r="AH599" s="39"/>
      <c r="AI599" s="39" t="s">
        <v>73</v>
      </c>
      <c r="AJ599" s="48">
        <f>IF(Q599&lt;&gt;"",Q599,IF(K599&lt;&gt;"",K599,""))</f>
        <v>46213</v>
      </c>
      <c r="AK599" s="46" t="str">
        <f>IF(K599&lt;&gt;"","Sim","")</f>
        <v>Sim</v>
      </c>
      <c r="AL599" s="46" t="str">
        <f>IF(A599="","",TEXT(A599,"000000")&amp;"-"&amp;IF(C599="Entrada","CR","DB"))</f>
        <v>000598-DB</v>
      </c>
      <c r="AM599" s="46" t="str">
        <f>IF(A599="","",LEFT(IF(H599&lt;&gt;"",H599,G599)&amp;" | "&amp;G599&amp;" | "&amp;S599,60))</f>
        <v>TOTALIZADOR CUSTO GLOBAIS OBRAS - MENSAL | TOTALIZADOR CUSTO</v>
      </c>
    </row>
    <row r="600" spans="1:39" ht="43.2" x14ac:dyDescent="0.3">
      <c r="A600" s="39">
        <v>599</v>
      </c>
      <c r="B600" s="39" t="s">
        <v>2</v>
      </c>
      <c r="C600" s="39" t="s">
        <v>66</v>
      </c>
      <c r="D600" s="39" t="s">
        <v>67</v>
      </c>
      <c r="E600" s="39" t="s">
        <v>67</v>
      </c>
      <c r="F600" s="39" t="s">
        <v>68</v>
      </c>
      <c r="G600" s="39" t="s">
        <v>69</v>
      </c>
      <c r="H600" s="40"/>
      <c r="I600" s="40"/>
      <c r="J600" s="40"/>
      <c r="K600" s="42">
        <v>46227</v>
      </c>
      <c r="L600" s="42"/>
      <c r="M600" s="44"/>
      <c r="N600" s="40"/>
      <c r="O600" s="40"/>
      <c r="P600" s="40"/>
      <c r="Q600" s="42">
        <f>IF(K600="","",K600)</f>
        <v>46227</v>
      </c>
      <c r="R600" s="39" t="s">
        <v>69</v>
      </c>
      <c r="S600" s="39" t="s">
        <v>70</v>
      </c>
      <c r="T600" s="39" t="s">
        <v>71</v>
      </c>
      <c r="U600" s="39"/>
      <c r="V600" s="39">
        <v>283</v>
      </c>
      <c r="W600" s="39" t="s">
        <v>605</v>
      </c>
      <c r="X600" s="41">
        <v>46216</v>
      </c>
      <c r="Y600" s="41">
        <v>46227</v>
      </c>
      <c r="Z600" s="43">
        <v>315298.83584000001</v>
      </c>
      <c r="AA600" s="45">
        <f>IF(M600&lt;&gt;"",M600,Z600)</f>
        <v>315298.83584000001</v>
      </c>
      <c r="AB600" s="46" t="str">
        <f>IF(L600&lt;&gt;"","Realizado","Previsto")</f>
        <v>Previsto</v>
      </c>
      <c r="AC600" s="47"/>
      <c r="AD600" s="43">
        <v>8079999.9191039996</v>
      </c>
      <c r="AE600" s="39"/>
      <c r="AF600" s="39"/>
      <c r="AG600" s="43"/>
      <c r="AH600" s="39"/>
      <c r="AI600" s="39" t="s">
        <v>73</v>
      </c>
      <c r="AJ600" s="48">
        <f>IF(Q600&lt;&gt;"",Q600,IF(K600&lt;&gt;"",K600,""))</f>
        <v>46227</v>
      </c>
      <c r="AK600" s="46" t="str">
        <f>IF(K600&lt;&gt;"","Sim","")</f>
        <v>Sim</v>
      </c>
      <c r="AL600" s="46" t="str">
        <f>IF(A600="","",TEXT(A600,"000000")&amp;"-"&amp;IF(C600="Entrada","CR","DB"))</f>
        <v>000599-CR</v>
      </c>
      <c r="AM600" s="46" t="str">
        <f>IF(A600="","",LEFT(IF(H600&lt;&gt;"",H600,G600)&amp;" | "&amp;G600&amp;" | "&amp;S600,60))</f>
        <v xml:space="preserve">MEDIÇÃO CONTRATUAL | MEDIÇÃO CONTRATUAL | Entrada | MEDIÇÃO </v>
      </c>
    </row>
    <row r="601" spans="1:39" ht="43.2" x14ac:dyDescent="0.3">
      <c r="A601" s="39">
        <v>600</v>
      </c>
      <c r="B601" s="39" t="s">
        <v>2</v>
      </c>
      <c r="C601" s="39" t="s">
        <v>74</v>
      </c>
      <c r="D601" s="39" t="s">
        <v>124</v>
      </c>
      <c r="E601" s="39" t="s">
        <v>124</v>
      </c>
      <c r="F601" s="39" t="s">
        <v>125</v>
      </c>
      <c r="G601" s="39" t="s">
        <v>222</v>
      </c>
      <c r="H601" s="40"/>
      <c r="I601" s="40"/>
      <c r="J601" s="40"/>
      <c r="K601" s="42">
        <v>46227</v>
      </c>
      <c r="L601" s="42"/>
      <c r="M601" s="44"/>
      <c r="N601" s="40"/>
      <c r="O601" s="40"/>
      <c r="P601" s="40"/>
      <c r="Q601" s="42">
        <f>IF(K601="","",K601)</f>
        <v>46227</v>
      </c>
      <c r="R601" s="39" t="s">
        <v>124</v>
      </c>
      <c r="S601" s="39" t="s">
        <v>127</v>
      </c>
      <c r="T601" s="39" t="s">
        <v>128</v>
      </c>
      <c r="U601" s="39"/>
      <c r="V601" s="39">
        <v>274</v>
      </c>
      <c r="W601" s="39" t="s">
        <v>605</v>
      </c>
      <c r="X601" s="41">
        <v>46216</v>
      </c>
      <c r="Y601" s="41">
        <v>46227</v>
      </c>
      <c r="Z601" s="43">
        <v>63570</v>
      </c>
      <c r="AA601" s="45">
        <f>IF(M601&lt;&gt;"",M601,Z601)</f>
        <v>63570</v>
      </c>
      <c r="AB601" s="46" t="str">
        <f>IF(L601&lt;&gt;"","Realizado","Previsto")</f>
        <v>Previsto</v>
      </c>
      <c r="AC601" s="47"/>
      <c r="AD601" s="43">
        <v>211900</v>
      </c>
      <c r="AE601" s="39"/>
      <c r="AF601" s="39"/>
      <c r="AG601" s="43"/>
      <c r="AH601" s="39" t="s">
        <v>223</v>
      </c>
      <c r="AI601" s="39" t="s">
        <v>73</v>
      </c>
      <c r="AJ601" s="48">
        <f>IF(Q601&lt;&gt;"",Q601,IF(K601&lt;&gt;"",K601,""))</f>
        <v>46227</v>
      </c>
      <c r="AK601" s="46" t="str">
        <f>IF(K601&lt;&gt;"","Sim","")</f>
        <v>Sim</v>
      </c>
      <c r="AL601" s="46" t="str">
        <f>IF(A601="","",TEXT(A601,"000000")&amp;"-"&amp;IF(C601="Entrada","CR","DB"))</f>
        <v>000600-DB</v>
      </c>
      <c r="AM601" s="46" t="str">
        <f>IF(A601="","",LEFT(IF(H601&lt;&gt;"",H601,G601)&amp;" | "&amp;G601&amp;" | "&amp;S601,60))</f>
        <v xml:space="preserve">CARTAO CREDITO SUCOPIRA | CARTAO CREDITO SUCOPIRA | Saída | </v>
      </c>
    </row>
    <row r="602" spans="1:39" ht="43.2" x14ac:dyDescent="0.3">
      <c r="A602" s="39">
        <v>601</v>
      </c>
      <c r="B602" s="39" t="s">
        <v>2</v>
      </c>
      <c r="C602" s="39" t="s">
        <v>74</v>
      </c>
      <c r="D602" s="39" t="s">
        <v>124</v>
      </c>
      <c r="E602" s="39" t="s">
        <v>124</v>
      </c>
      <c r="F602" s="39" t="s">
        <v>125</v>
      </c>
      <c r="G602" s="39" t="s">
        <v>226</v>
      </c>
      <c r="H602" s="40"/>
      <c r="I602" s="40"/>
      <c r="J602" s="40"/>
      <c r="K602" s="42">
        <v>46227</v>
      </c>
      <c r="L602" s="42"/>
      <c r="M602" s="44"/>
      <c r="N602" s="40"/>
      <c r="O602" s="40"/>
      <c r="P602" s="40"/>
      <c r="Q602" s="42">
        <f>IF(K602="","",K602)</f>
        <v>46227</v>
      </c>
      <c r="R602" s="39" t="s">
        <v>124</v>
      </c>
      <c r="S602" s="39" t="s">
        <v>127</v>
      </c>
      <c r="T602" s="39" t="s">
        <v>128</v>
      </c>
      <c r="U602" s="39"/>
      <c r="V602" s="39">
        <v>277</v>
      </c>
      <c r="W602" s="39" t="s">
        <v>605</v>
      </c>
      <c r="X602" s="41">
        <v>46216</v>
      </c>
      <c r="Y602" s="41">
        <v>46227</v>
      </c>
      <c r="Z602" s="43">
        <v>23010</v>
      </c>
      <c r="AA602" s="45">
        <f>IF(M602&lt;&gt;"",M602,Z602)</f>
        <v>23010</v>
      </c>
      <c r="AB602" s="46" t="str">
        <f>IF(L602&lt;&gt;"","Realizado","Previsto")</f>
        <v>Previsto</v>
      </c>
      <c r="AC602" s="47"/>
      <c r="AD602" s="43">
        <v>76700</v>
      </c>
      <c r="AE602" s="39"/>
      <c r="AF602" s="39"/>
      <c r="AG602" s="43"/>
      <c r="AH602" s="39" t="s">
        <v>227</v>
      </c>
      <c r="AI602" s="39" t="s">
        <v>73</v>
      </c>
      <c r="AJ602" s="48">
        <f>IF(Q602&lt;&gt;"",Q602,IF(K602&lt;&gt;"",K602,""))</f>
        <v>46227</v>
      </c>
      <c r="AK602" s="46" t="str">
        <f>IF(K602&lt;&gt;"","Sim","")</f>
        <v>Sim</v>
      </c>
      <c r="AL602" s="46" t="str">
        <f>IF(A602="","",TEXT(A602,"000000")&amp;"-"&amp;IF(C602="Entrada","CR","DB"))</f>
        <v>000601-DB</v>
      </c>
      <c r="AM602" s="46" t="str">
        <f>IF(A602="","",LEFT(IF(H602&lt;&gt;"",H602,G602)&amp;" | "&amp;G602&amp;" | "&amp;S602,60))</f>
        <v>EMPRÉSTIMO EXTRA | EMPRÉSTIMO EXTRA | Saída | CAPITAL DE GIR</v>
      </c>
    </row>
    <row r="603" spans="1:39" ht="43.2" x14ac:dyDescent="0.3">
      <c r="A603" s="39">
        <v>602</v>
      </c>
      <c r="B603" s="39" t="s">
        <v>2</v>
      </c>
      <c r="C603" s="39" t="s">
        <v>74</v>
      </c>
      <c r="D603" s="39" t="s">
        <v>496</v>
      </c>
      <c r="E603" s="39" t="s">
        <v>496</v>
      </c>
      <c r="F603" s="39" t="s">
        <v>568</v>
      </c>
      <c r="G603" s="39" t="s">
        <v>569</v>
      </c>
      <c r="H603" s="40"/>
      <c r="I603" s="40"/>
      <c r="J603" s="40"/>
      <c r="K603" s="42">
        <v>46227</v>
      </c>
      <c r="L603" s="42"/>
      <c r="M603" s="44"/>
      <c r="N603" s="40"/>
      <c r="O603" s="40"/>
      <c r="P603" s="40"/>
      <c r="Q603" s="42">
        <f>IF(K603="","",K603)</f>
        <v>46227</v>
      </c>
      <c r="R603" s="39" t="s">
        <v>496</v>
      </c>
      <c r="S603" s="39" t="s">
        <v>498</v>
      </c>
      <c r="T603" s="39" t="s">
        <v>570</v>
      </c>
      <c r="U603" s="39" t="s">
        <v>275</v>
      </c>
      <c r="V603" s="39">
        <v>195</v>
      </c>
      <c r="W603" s="39" t="s">
        <v>605</v>
      </c>
      <c r="X603" s="41">
        <v>46216</v>
      </c>
      <c r="Y603" s="41">
        <v>46227</v>
      </c>
      <c r="Z603" s="43">
        <v>668.8</v>
      </c>
      <c r="AA603" s="45">
        <f>IF(M603&lt;&gt;"",M603,Z603)</f>
        <v>668.8</v>
      </c>
      <c r="AB603" s="46" t="str">
        <f>IF(L603&lt;&gt;"","Realizado","Previsto")</f>
        <v>Previsto</v>
      </c>
      <c r="AC603" s="47">
        <v>0.5</v>
      </c>
      <c r="AD603" s="43">
        <v>1337.6</v>
      </c>
      <c r="AE603" s="39">
        <v>64</v>
      </c>
      <c r="AF603" s="39" t="s">
        <v>87</v>
      </c>
      <c r="AG603" s="43">
        <v>20.9</v>
      </c>
      <c r="AH603" s="39" t="s">
        <v>571</v>
      </c>
      <c r="AI603" s="39" t="s">
        <v>73</v>
      </c>
      <c r="AJ603" s="48">
        <f>IF(Q603&lt;&gt;"",Q603,IF(K603&lt;&gt;"",K603,""))</f>
        <v>46227</v>
      </c>
      <c r="AK603" s="46" t="str">
        <f>IF(K603&lt;&gt;"","Sim","")</f>
        <v>Sim</v>
      </c>
      <c r="AL603" s="46" t="str">
        <f>IF(A603="","",TEXT(A603,"000000")&amp;"-"&amp;IF(C603="Entrada","CR","DB"))</f>
        <v>000602-DB</v>
      </c>
      <c r="AM603" s="46" t="str">
        <f>IF(A603="","",LEFT(IF(H603&lt;&gt;"",H603,G603)&amp;" | "&amp;G603&amp;" | "&amp;S603,60))</f>
        <v>Arandela do tipo meia-lua de sobrepor cor branca com lâmpada</v>
      </c>
    </row>
    <row r="604" spans="1:39" ht="43.2" x14ac:dyDescent="0.3">
      <c r="A604" s="39">
        <v>603</v>
      </c>
      <c r="B604" s="39" t="s">
        <v>2</v>
      </c>
      <c r="C604" s="39" t="s">
        <v>74</v>
      </c>
      <c r="D604" s="39" t="s">
        <v>496</v>
      </c>
      <c r="E604" s="39" t="s">
        <v>496</v>
      </c>
      <c r="F604" s="39" t="s">
        <v>568</v>
      </c>
      <c r="G604" s="39" t="s">
        <v>572</v>
      </c>
      <c r="H604" s="40"/>
      <c r="I604" s="40"/>
      <c r="J604" s="40"/>
      <c r="K604" s="42">
        <v>46227</v>
      </c>
      <c r="L604" s="42"/>
      <c r="M604" s="44"/>
      <c r="N604" s="40"/>
      <c r="O604" s="40"/>
      <c r="P604" s="40"/>
      <c r="Q604" s="42">
        <f>IF(K604="","",K604)</f>
        <v>46227</v>
      </c>
      <c r="R604" s="39" t="s">
        <v>496</v>
      </c>
      <c r="S604" s="39" t="s">
        <v>498</v>
      </c>
      <c r="T604" s="39" t="s">
        <v>570</v>
      </c>
      <c r="U604" s="39" t="s">
        <v>275</v>
      </c>
      <c r="V604" s="39">
        <v>196</v>
      </c>
      <c r="W604" s="39" t="s">
        <v>605</v>
      </c>
      <c r="X604" s="41">
        <v>46216</v>
      </c>
      <c r="Y604" s="41">
        <v>46227</v>
      </c>
      <c r="Z604" s="43">
        <v>540.79999999999995</v>
      </c>
      <c r="AA604" s="45">
        <f>IF(M604&lt;&gt;"",M604,Z604)</f>
        <v>540.79999999999995</v>
      </c>
      <c r="AB604" s="46" t="str">
        <f>IF(L604&lt;&gt;"","Realizado","Previsto")</f>
        <v>Previsto</v>
      </c>
      <c r="AC604" s="47">
        <v>0.5</v>
      </c>
      <c r="AD604" s="43">
        <v>1081.5999999999999</v>
      </c>
      <c r="AE604" s="39">
        <v>64</v>
      </c>
      <c r="AF604" s="39" t="s">
        <v>87</v>
      </c>
      <c r="AG604" s="43">
        <v>16.899999999999999</v>
      </c>
      <c r="AH604" s="39" t="s">
        <v>571</v>
      </c>
      <c r="AI604" s="39" t="s">
        <v>73</v>
      </c>
      <c r="AJ604" s="48">
        <f>IF(Q604&lt;&gt;"",Q604,IF(K604&lt;&gt;"",K604,""))</f>
        <v>46227</v>
      </c>
      <c r="AK604" s="46" t="str">
        <f>IF(K604&lt;&gt;"","Sim","")</f>
        <v>Sim</v>
      </c>
      <c r="AL604" s="46" t="str">
        <f>IF(A604="","",TEXT(A604,"000000")&amp;"-"&amp;IF(C604="Entrada","CR","DB"))</f>
        <v>000603-DB</v>
      </c>
      <c r="AM604" s="46" t="str">
        <f>IF(A604="","",LEFT(IF(H604&lt;&gt;"",H604,G604)&amp;" | "&amp;G604&amp;" | "&amp;S604,60))</f>
        <v>Arandela tipo tartaruga para uso externo com grade na cor br</v>
      </c>
    </row>
    <row r="605" spans="1:39" ht="43.2" x14ac:dyDescent="0.3">
      <c r="A605" s="39">
        <v>604</v>
      </c>
      <c r="B605" s="39" t="s">
        <v>2</v>
      </c>
      <c r="C605" s="39" t="s">
        <v>74</v>
      </c>
      <c r="D605" s="39" t="s">
        <v>496</v>
      </c>
      <c r="E605" s="39" t="s">
        <v>496</v>
      </c>
      <c r="F605" s="39" t="s">
        <v>568</v>
      </c>
      <c r="G605" s="39" t="s">
        <v>573</v>
      </c>
      <c r="H605" s="40"/>
      <c r="I605" s="40"/>
      <c r="J605" s="40"/>
      <c r="K605" s="42">
        <v>46227</v>
      </c>
      <c r="L605" s="42"/>
      <c r="M605" s="44"/>
      <c r="N605" s="40"/>
      <c r="O605" s="40"/>
      <c r="P605" s="40"/>
      <c r="Q605" s="42">
        <f>IF(K605="","",K605)</f>
        <v>46227</v>
      </c>
      <c r="R605" s="39" t="s">
        <v>496</v>
      </c>
      <c r="S605" s="39" t="s">
        <v>498</v>
      </c>
      <c r="T605" s="39" t="s">
        <v>570</v>
      </c>
      <c r="U605" s="39" t="s">
        <v>275</v>
      </c>
      <c r="V605" s="39">
        <v>190</v>
      </c>
      <c r="W605" s="39" t="s">
        <v>605</v>
      </c>
      <c r="X605" s="41">
        <v>46216</v>
      </c>
      <c r="Y605" s="41">
        <v>46227</v>
      </c>
      <c r="Z605" s="43">
        <v>2104.96</v>
      </c>
      <c r="AA605" s="45">
        <f>IF(M605&lt;&gt;"",M605,Z605)</f>
        <v>2104.96</v>
      </c>
      <c r="AB605" s="46" t="str">
        <f>IF(L605&lt;&gt;"","Realizado","Previsto")</f>
        <v>Previsto</v>
      </c>
      <c r="AC605" s="47">
        <v>0.5</v>
      </c>
      <c r="AD605" s="43">
        <v>4209.92</v>
      </c>
      <c r="AE605" s="39">
        <v>64</v>
      </c>
      <c r="AF605" s="39" t="s">
        <v>574</v>
      </c>
      <c r="AG605" s="43">
        <v>65.78</v>
      </c>
      <c r="AH605" s="39" t="s">
        <v>571</v>
      </c>
      <c r="AI605" s="39" t="s">
        <v>73</v>
      </c>
      <c r="AJ605" s="48">
        <f>IF(Q605&lt;&gt;"",Q605,IF(K605&lt;&gt;"",K605,""))</f>
        <v>46227</v>
      </c>
      <c r="AK605" s="46" t="str">
        <f>IF(K605&lt;&gt;"","Sim","")</f>
        <v>Sim</v>
      </c>
      <c r="AL605" s="46" t="str">
        <f>IF(A605="","",TEXT(A605,"000000")&amp;"-"&amp;IF(C605="Entrada","CR","DB"))</f>
        <v>000604-DB</v>
      </c>
      <c r="AM605" s="46" t="str">
        <f>IF(A605="","",LEFT(IF(H605&lt;&gt;"",H605,G605)&amp;" | "&amp;G605&amp;" | "&amp;S605,60))</f>
        <v>CHUVEIRO, COM CANO, 3 TEMPERATURAS, 5500 W (110/220 V) | CHU</v>
      </c>
    </row>
    <row r="606" spans="1:39" ht="43.2" x14ac:dyDescent="0.3">
      <c r="A606" s="39">
        <v>605</v>
      </c>
      <c r="B606" s="39" t="s">
        <v>2</v>
      </c>
      <c r="C606" s="39" t="s">
        <v>74</v>
      </c>
      <c r="D606" s="39" t="s">
        <v>496</v>
      </c>
      <c r="E606" s="39" t="s">
        <v>496</v>
      </c>
      <c r="F606" s="39" t="s">
        <v>568</v>
      </c>
      <c r="G606" s="39" t="s">
        <v>575</v>
      </c>
      <c r="H606" s="40"/>
      <c r="I606" s="40"/>
      <c r="J606" s="40"/>
      <c r="K606" s="42">
        <v>46227</v>
      </c>
      <c r="L606" s="42"/>
      <c r="M606" s="44"/>
      <c r="N606" s="40"/>
      <c r="O606" s="40"/>
      <c r="P606" s="40"/>
      <c r="Q606" s="42">
        <f>IF(K606="","",K606)</f>
        <v>46227</v>
      </c>
      <c r="R606" s="39" t="s">
        <v>496</v>
      </c>
      <c r="S606" s="39" t="s">
        <v>498</v>
      </c>
      <c r="T606" s="39" t="s">
        <v>570</v>
      </c>
      <c r="U606" s="39" t="s">
        <v>275</v>
      </c>
      <c r="V606" s="39">
        <v>173</v>
      </c>
      <c r="W606" s="39" t="s">
        <v>605</v>
      </c>
      <c r="X606" s="41">
        <v>46216</v>
      </c>
      <c r="Y606" s="41">
        <v>46227</v>
      </c>
      <c r="Z606" s="43">
        <v>255.36</v>
      </c>
      <c r="AA606" s="45">
        <f>IF(M606&lt;&gt;"",M606,Z606)</f>
        <v>255.36</v>
      </c>
      <c r="AB606" s="46" t="str">
        <f>IF(L606&lt;&gt;"","Realizado","Previsto")</f>
        <v>Previsto</v>
      </c>
      <c r="AC606" s="47">
        <v>0.5</v>
      </c>
      <c r="AD606" s="43">
        <v>510.72</v>
      </c>
      <c r="AE606" s="39">
        <v>384</v>
      </c>
      <c r="AF606" s="39" t="s">
        <v>327</v>
      </c>
      <c r="AG606" s="43">
        <v>1.33</v>
      </c>
      <c r="AH606" s="39" t="s">
        <v>571</v>
      </c>
      <c r="AI606" s="39" t="s">
        <v>73</v>
      </c>
      <c r="AJ606" s="48">
        <f>IF(Q606&lt;&gt;"",Q606,IF(K606&lt;&gt;"",K606,""))</f>
        <v>46227</v>
      </c>
      <c r="AK606" s="46" t="str">
        <f>IF(K606&lt;&gt;"","Sim","")</f>
        <v>Sim</v>
      </c>
      <c r="AL606" s="46" t="str">
        <f>IF(A606="","",TEXT(A606,"000000")&amp;"-"&amp;IF(C606="Entrada","CR","DB"))</f>
        <v>000605-DB</v>
      </c>
      <c r="AM606" s="46" t="str">
        <f>IF(A606="","",LEFT(IF(H606&lt;&gt;"",H606,G606)&amp;" | "&amp;G606&amp;" | "&amp;S606,60))</f>
        <v>Cabo unipolar 1.5 mm² azul claro | Cabo unipolar 1.5 mm² azu</v>
      </c>
    </row>
    <row r="607" spans="1:39" ht="43.2" x14ac:dyDescent="0.3">
      <c r="A607" s="39">
        <v>606</v>
      </c>
      <c r="B607" s="39" t="s">
        <v>2</v>
      </c>
      <c r="C607" s="39" t="s">
        <v>74</v>
      </c>
      <c r="D607" s="39" t="s">
        <v>496</v>
      </c>
      <c r="E607" s="39" t="s">
        <v>496</v>
      </c>
      <c r="F607" s="39" t="s">
        <v>568</v>
      </c>
      <c r="G607" s="39" t="s">
        <v>576</v>
      </c>
      <c r="H607" s="40"/>
      <c r="I607" s="40"/>
      <c r="J607" s="40"/>
      <c r="K607" s="42">
        <v>46227</v>
      </c>
      <c r="L607" s="42"/>
      <c r="M607" s="44"/>
      <c r="N607" s="40"/>
      <c r="O607" s="40"/>
      <c r="P607" s="40"/>
      <c r="Q607" s="42">
        <f>IF(K607="","",K607)</f>
        <v>46227</v>
      </c>
      <c r="R607" s="39" t="s">
        <v>496</v>
      </c>
      <c r="S607" s="39" t="s">
        <v>498</v>
      </c>
      <c r="T607" s="39" t="s">
        <v>570</v>
      </c>
      <c r="U607" s="39" t="s">
        <v>275</v>
      </c>
      <c r="V607" s="39">
        <v>174</v>
      </c>
      <c r="W607" s="39" t="s">
        <v>605</v>
      </c>
      <c r="X607" s="41">
        <v>46216</v>
      </c>
      <c r="Y607" s="41">
        <v>46227</v>
      </c>
      <c r="Z607" s="43">
        <v>255.36</v>
      </c>
      <c r="AA607" s="45">
        <f>IF(M607&lt;&gt;"",M607,Z607)</f>
        <v>255.36</v>
      </c>
      <c r="AB607" s="46" t="str">
        <f>IF(L607&lt;&gt;"","Realizado","Previsto")</f>
        <v>Previsto</v>
      </c>
      <c r="AC607" s="47">
        <v>0.5</v>
      </c>
      <c r="AD607" s="43">
        <v>510.72</v>
      </c>
      <c r="AE607" s="39">
        <v>384</v>
      </c>
      <c r="AF607" s="39" t="s">
        <v>327</v>
      </c>
      <c r="AG607" s="43">
        <v>1.33</v>
      </c>
      <c r="AH607" s="39" t="s">
        <v>571</v>
      </c>
      <c r="AI607" s="39" t="s">
        <v>73</v>
      </c>
      <c r="AJ607" s="48">
        <f>IF(Q607&lt;&gt;"",Q607,IF(K607&lt;&gt;"",K607,""))</f>
        <v>46227</v>
      </c>
      <c r="AK607" s="46" t="str">
        <f>IF(K607&lt;&gt;"","Sim","")</f>
        <v>Sim</v>
      </c>
      <c r="AL607" s="46" t="str">
        <f>IF(A607="","",TEXT(A607,"000000")&amp;"-"&amp;IF(C607="Entrada","CR","DB"))</f>
        <v>000606-DB</v>
      </c>
      <c r="AM607" s="46" t="str">
        <f>IF(A607="","",LEFT(IF(H607&lt;&gt;"",H607,G607)&amp;" | "&amp;G607&amp;" | "&amp;S607,60))</f>
        <v xml:space="preserve">Cabo unipolar 1.5 mm² marrom | Cabo unipolar 1.5 mm² marrom </v>
      </c>
    </row>
    <row r="608" spans="1:39" ht="43.2" x14ac:dyDescent="0.3">
      <c r="A608" s="39">
        <v>607</v>
      </c>
      <c r="B608" s="39" t="s">
        <v>2</v>
      </c>
      <c r="C608" s="39" t="s">
        <v>74</v>
      </c>
      <c r="D608" s="39" t="s">
        <v>496</v>
      </c>
      <c r="E608" s="39" t="s">
        <v>496</v>
      </c>
      <c r="F608" s="39" t="s">
        <v>568</v>
      </c>
      <c r="G608" s="39" t="s">
        <v>577</v>
      </c>
      <c r="H608" s="40"/>
      <c r="I608" s="40"/>
      <c r="J608" s="40"/>
      <c r="K608" s="42">
        <v>46227</v>
      </c>
      <c r="L608" s="42"/>
      <c r="M608" s="44"/>
      <c r="N608" s="40"/>
      <c r="O608" s="40"/>
      <c r="P608" s="40"/>
      <c r="Q608" s="42">
        <f>IF(K608="","",K608)</f>
        <v>46227</v>
      </c>
      <c r="R608" s="39" t="s">
        <v>496</v>
      </c>
      <c r="S608" s="39" t="s">
        <v>498</v>
      </c>
      <c r="T608" s="39" t="s">
        <v>570</v>
      </c>
      <c r="U608" s="39" t="s">
        <v>275</v>
      </c>
      <c r="V608" s="39">
        <v>168</v>
      </c>
      <c r="W608" s="39" t="s">
        <v>605</v>
      </c>
      <c r="X608" s="41">
        <v>46216</v>
      </c>
      <c r="Y608" s="41">
        <v>46227</v>
      </c>
      <c r="Z608" s="43">
        <v>5804.8</v>
      </c>
      <c r="AA608" s="45">
        <f>IF(M608&lt;&gt;"",M608,Z608)</f>
        <v>5804.8</v>
      </c>
      <c r="AB608" s="46" t="str">
        <f>IF(L608&lt;&gt;"","Realizado","Previsto")</f>
        <v>Previsto</v>
      </c>
      <c r="AC608" s="47">
        <v>0.5</v>
      </c>
      <c r="AD608" s="43">
        <v>11609.6</v>
      </c>
      <c r="AE608" s="39">
        <v>1280</v>
      </c>
      <c r="AF608" s="39" t="s">
        <v>327</v>
      </c>
      <c r="AG608" s="43">
        <v>9.07</v>
      </c>
      <c r="AH608" s="39" t="s">
        <v>571</v>
      </c>
      <c r="AI608" s="39" t="s">
        <v>73</v>
      </c>
      <c r="AJ608" s="48">
        <f>IF(Q608&lt;&gt;"",Q608,IF(K608&lt;&gt;"",K608,""))</f>
        <v>46227</v>
      </c>
      <c r="AK608" s="46" t="str">
        <f>IF(K608&lt;&gt;"","Sim","")</f>
        <v>Sim</v>
      </c>
      <c r="AL608" s="46" t="str">
        <f>IF(A608="","",TEXT(A608,"000000")&amp;"-"&amp;IF(C608="Entrada","CR","DB"))</f>
        <v>000607-DB</v>
      </c>
      <c r="AM608" s="46" t="str">
        <f>IF(A608="","",LEFT(IF(H608&lt;&gt;"",H608,G608)&amp;" | "&amp;G608&amp;" | "&amp;S608,60))</f>
        <v xml:space="preserve">Cabo unipolar 10 mm² azul claro | Cabo unipolar 10 mm² azul </v>
      </c>
    </row>
    <row r="609" spans="1:39" ht="43.2" x14ac:dyDescent="0.3">
      <c r="A609" s="39">
        <v>608</v>
      </c>
      <c r="B609" s="39" t="s">
        <v>2</v>
      </c>
      <c r="C609" s="39" t="s">
        <v>74</v>
      </c>
      <c r="D609" s="39" t="s">
        <v>496</v>
      </c>
      <c r="E609" s="39" t="s">
        <v>496</v>
      </c>
      <c r="F609" s="39" t="s">
        <v>568</v>
      </c>
      <c r="G609" s="39" t="s">
        <v>578</v>
      </c>
      <c r="H609" s="40"/>
      <c r="I609" s="40"/>
      <c r="J609" s="40"/>
      <c r="K609" s="42">
        <v>46227</v>
      </c>
      <c r="L609" s="42"/>
      <c r="M609" s="44"/>
      <c r="N609" s="40"/>
      <c r="O609" s="40"/>
      <c r="P609" s="40"/>
      <c r="Q609" s="42">
        <f>IF(K609="","",K609)</f>
        <v>46227</v>
      </c>
      <c r="R609" s="39" t="s">
        <v>496</v>
      </c>
      <c r="S609" s="39" t="s">
        <v>498</v>
      </c>
      <c r="T609" s="39" t="s">
        <v>570</v>
      </c>
      <c r="U609" s="39" t="s">
        <v>275</v>
      </c>
      <c r="V609" s="39">
        <v>169</v>
      </c>
      <c r="W609" s="39" t="s">
        <v>605</v>
      </c>
      <c r="X609" s="41">
        <v>46216</v>
      </c>
      <c r="Y609" s="41">
        <v>46227</v>
      </c>
      <c r="Z609" s="43">
        <v>5804.8</v>
      </c>
      <c r="AA609" s="45">
        <f>IF(M609&lt;&gt;"",M609,Z609)</f>
        <v>5804.8</v>
      </c>
      <c r="AB609" s="46" t="str">
        <f>IF(L609&lt;&gt;"","Realizado","Previsto")</f>
        <v>Previsto</v>
      </c>
      <c r="AC609" s="47">
        <v>0.5</v>
      </c>
      <c r="AD609" s="43">
        <v>11609.6</v>
      </c>
      <c r="AE609" s="39">
        <v>1280</v>
      </c>
      <c r="AF609" s="39" t="s">
        <v>327</v>
      </c>
      <c r="AG609" s="43">
        <v>9.07</v>
      </c>
      <c r="AH609" s="39" t="s">
        <v>571</v>
      </c>
      <c r="AI609" s="39" t="s">
        <v>73</v>
      </c>
      <c r="AJ609" s="48">
        <f>IF(Q609&lt;&gt;"",Q609,IF(K609&lt;&gt;"",K609,""))</f>
        <v>46227</v>
      </c>
      <c r="AK609" s="46" t="str">
        <f>IF(K609&lt;&gt;"","Sim","")</f>
        <v>Sim</v>
      </c>
      <c r="AL609" s="46" t="str">
        <f>IF(A609="","",TEXT(A609,"000000")&amp;"-"&amp;IF(C609="Entrada","CR","DB"))</f>
        <v>000608-DB</v>
      </c>
      <c r="AM609" s="46" t="str">
        <f>IF(A609="","",LEFT(IF(H609&lt;&gt;"",H609,G609)&amp;" | "&amp;G609&amp;" | "&amp;S609,60))</f>
        <v xml:space="preserve">Cabo unipolar 10 mm² marrom | Cabo unipolar 10 mm² marrom | </v>
      </c>
    </row>
    <row r="610" spans="1:39" ht="43.2" x14ac:dyDescent="0.3">
      <c r="A610" s="39">
        <v>609</v>
      </c>
      <c r="B610" s="39" t="s">
        <v>2</v>
      </c>
      <c r="C610" s="39" t="s">
        <v>74</v>
      </c>
      <c r="D610" s="39" t="s">
        <v>496</v>
      </c>
      <c r="E610" s="39" t="s">
        <v>496</v>
      </c>
      <c r="F610" s="39" t="s">
        <v>568</v>
      </c>
      <c r="G610" s="39" t="s">
        <v>579</v>
      </c>
      <c r="H610" s="40"/>
      <c r="I610" s="40"/>
      <c r="J610" s="40"/>
      <c r="K610" s="42">
        <v>46227</v>
      </c>
      <c r="L610" s="42"/>
      <c r="M610" s="44"/>
      <c r="N610" s="40"/>
      <c r="O610" s="40"/>
      <c r="P610" s="40"/>
      <c r="Q610" s="42">
        <f>IF(K610="","",K610)</f>
        <v>46227</v>
      </c>
      <c r="R610" s="39" t="s">
        <v>496</v>
      </c>
      <c r="S610" s="39" t="s">
        <v>498</v>
      </c>
      <c r="T610" s="39" t="s">
        <v>570</v>
      </c>
      <c r="U610" s="39" t="s">
        <v>275</v>
      </c>
      <c r="V610" s="39">
        <v>170</v>
      </c>
      <c r="W610" s="39" t="s">
        <v>605</v>
      </c>
      <c r="X610" s="41">
        <v>46216</v>
      </c>
      <c r="Y610" s="41">
        <v>46227</v>
      </c>
      <c r="Z610" s="43">
        <v>5804.8</v>
      </c>
      <c r="AA610" s="45">
        <f>IF(M610&lt;&gt;"",M610,Z610)</f>
        <v>5804.8</v>
      </c>
      <c r="AB610" s="46" t="str">
        <f>IF(L610&lt;&gt;"","Realizado","Previsto")</f>
        <v>Previsto</v>
      </c>
      <c r="AC610" s="47">
        <v>0.5</v>
      </c>
      <c r="AD610" s="43">
        <v>11609.6</v>
      </c>
      <c r="AE610" s="39">
        <v>1280</v>
      </c>
      <c r="AF610" s="39" t="s">
        <v>327</v>
      </c>
      <c r="AG610" s="43">
        <v>9.07</v>
      </c>
      <c r="AH610" s="39" t="s">
        <v>571</v>
      </c>
      <c r="AI610" s="39" t="s">
        <v>73</v>
      </c>
      <c r="AJ610" s="48">
        <f>IF(Q610&lt;&gt;"",Q610,IF(K610&lt;&gt;"",K610,""))</f>
        <v>46227</v>
      </c>
      <c r="AK610" s="46" t="str">
        <f>IF(K610&lt;&gt;"","Sim","")</f>
        <v>Sim</v>
      </c>
      <c r="AL610" s="46" t="str">
        <f>IF(A610="","",TEXT(A610,"000000")&amp;"-"&amp;IF(C610="Entrada","CR","DB"))</f>
        <v>000609-DB</v>
      </c>
      <c r="AM610" s="46" t="str">
        <f>IF(A610="","",LEFT(IF(H610&lt;&gt;"",H610,G610)&amp;" | "&amp;G610&amp;" | "&amp;S610,60))</f>
        <v>Cabo unipolar 10 mm² preto | Cabo unipolar 10 mm² preto | Sa</v>
      </c>
    </row>
    <row r="611" spans="1:39" ht="43.2" x14ac:dyDescent="0.3">
      <c r="A611" s="39">
        <v>610</v>
      </c>
      <c r="B611" s="39" t="s">
        <v>2</v>
      </c>
      <c r="C611" s="39" t="s">
        <v>74</v>
      </c>
      <c r="D611" s="39" t="s">
        <v>496</v>
      </c>
      <c r="E611" s="39" t="s">
        <v>496</v>
      </c>
      <c r="F611" s="39" t="s">
        <v>568</v>
      </c>
      <c r="G611" s="39" t="s">
        <v>580</v>
      </c>
      <c r="H611" s="40"/>
      <c r="I611" s="40"/>
      <c r="J611" s="40"/>
      <c r="K611" s="42">
        <v>46227</v>
      </c>
      <c r="L611" s="42"/>
      <c r="M611" s="44"/>
      <c r="N611" s="40"/>
      <c r="O611" s="40"/>
      <c r="P611" s="40"/>
      <c r="Q611" s="42">
        <f>IF(K611="","",K611)</f>
        <v>46227</v>
      </c>
      <c r="R611" s="39" t="s">
        <v>496</v>
      </c>
      <c r="S611" s="39" t="s">
        <v>498</v>
      </c>
      <c r="T611" s="39" t="s">
        <v>570</v>
      </c>
      <c r="U611" s="39" t="s">
        <v>275</v>
      </c>
      <c r="V611" s="39">
        <v>171</v>
      </c>
      <c r="W611" s="39" t="s">
        <v>605</v>
      </c>
      <c r="X611" s="41">
        <v>46216</v>
      </c>
      <c r="Y611" s="41">
        <v>46227</v>
      </c>
      <c r="Z611" s="43">
        <v>5601.6320000000014</v>
      </c>
      <c r="AA611" s="45">
        <f>IF(M611&lt;&gt;"",M611,Z611)</f>
        <v>5601.6320000000014</v>
      </c>
      <c r="AB611" s="46" t="str">
        <f>IF(L611&lt;&gt;"","Realizado","Previsto")</f>
        <v>Previsto</v>
      </c>
      <c r="AC611" s="47">
        <v>0.5</v>
      </c>
      <c r="AD611" s="43">
        <v>11203.263999999999</v>
      </c>
      <c r="AE611" s="39">
        <v>1235.2</v>
      </c>
      <c r="AF611" s="39" t="s">
        <v>327</v>
      </c>
      <c r="AG611" s="43">
        <v>9.07</v>
      </c>
      <c r="AH611" s="39" t="s">
        <v>571</v>
      </c>
      <c r="AI611" s="39" t="s">
        <v>73</v>
      </c>
      <c r="AJ611" s="48">
        <f>IF(Q611&lt;&gt;"",Q611,IF(K611&lt;&gt;"",K611,""))</f>
        <v>46227</v>
      </c>
      <c r="AK611" s="46" t="str">
        <f>IF(K611&lt;&gt;"","Sim","")</f>
        <v>Sim</v>
      </c>
      <c r="AL611" s="46" t="str">
        <f>IF(A611="","",TEXT(A611,"000000")&amp;"-"&amp;IF(C611="Entrada","CR","DB"))</f>
        <v>000610-DB</v>
      </c>
      <c r="AM611" s="46" t="str">
        <f>IF(A611="","",LEFT(IF(H611&lt;&gt;"",H611,G611)&amp;" | "&amp;G611&amp;" | "&amp;S611,60))</f>
        <v>Cabo unipolar 10 mm² verde-amarelo | Cabo unipolar 10 mm² ve</v>
      </c>
    </row>
    <row r="612" spans="1:39" ht="43.2" x14ac:dyDescent="0.3">
      <c r="A612" s="39">
        <v>611</v>
      </c>
      <c r="B612" s="39" t="s">
        <v>2</v>
      </c>
      <c r="C612" s="39" t="s">
        <v>74</v>
      </c>
      <c r="D612" s="39" t="s">
        <v>496</v>
      </c>
      <c r="E612" s="39" t="s">
        <v>496</v>
      </c>
      <c r="F612" s="39" t="s">
        <v>568</v>
      </c>
      <c r="G612" s="39" t="s">
        <v>581</v>
      </c>
      <c r="H612" s="40"/>
      <c r="I612" s="40"/>
      <c r="J612" s="40"/>
      <c r="K612" s="42">
        <v>46227</v>
      </c>
      <c r="L612" s="42"/>
      <c r="M612" s="44"/>
      <c r="N612" s="40"/>
      <c r="O612" s="40"/>
      <c r="P612" s="40"/>
      <c r="Q612" s="42">
        <f>IF(K612="","",K612)</f>
        <v>46227</v>
      </c>
      <c r="R612" s="39" t="s">
        <v>496</v>
      </c>
      <c r="S612" s="39" t="s">
        <v>498</v>
      </c>
      <c r="T612" s="39" t="s">
        <v>570</v>
      </c>
      <c r="U612" s="39" t="s">
        <v>275</v>
      </c>
      <c r="V612" s="39">
        <v>165</v>
      </c>
      <c r="W612" s="39" t="s">
        <v>605</v>
      </c>
      <c r="X612" s="41">
        <v>46216</v>
      </c>
      <c r="Y612" s="41">
        <v>46227</v>
      </c>
      <c r="Z612" s="43">
        <v>7840.0000000000009</v>
      </c>
      <c r="AA612" s="45">
        <f>IF(M612&lt;&gt;"",M612,Z612)</f>
        <v>7840.0000000000009</v>
      </c>
      <c r="AB612" s="46" t="str">
        <f>IF(L612&lt;&gt;"","Realizado","Previsto")</f>
        <v>Previsto</v>
      </c>
      <c r="AC612" s="47">
        <v>0.5</v>
      </c>
      <c r="AD612" s="43">
        <v>15680</v>
      </c>
      <c r="AE612" s="39">
        <v>6400</v>
      </c>
      <c r="AF612" s="39" t="s">
        <v>327</v>
      </c>
      <c r="AG612" s="43">
        <v>2.4500000000000002</v>
      </c>
      <c r="AH612" s="39" t="s">
        <v>571</v>
      </c>
      <c r="AI612" s="39" t="s">
        <v>73</v>
      </c>
      <c r="AJ612" s="48">
        <f>IF(Q612&lt;&gt;"",Q612,IF(K612&lt;&gt;"",K612,""))</f>
        <v>46227</v>
      </c>
      <c r="AK612" s="46" t="str">
        <f>IF(K612&lt;&gt;"","Sim","")</f>
        <v>Sim</v>
      </c>
      <c r="AL612" s="46" t="str">
        <f>IF(A612="","",TEXT(A612,"000000")&amp;"-"&amp;IF(C612="Entrada","CR","DB"))</f>
        <v>000611-DB</v>
      </c>
      <c r="AM612" s="46" t="str">
        <f>IF(A612="","",LEFT(IF(H612&lt;&gt;"",H612,G612)&amp;" | "&amp;G612&amp;" | "&amp;S612,60))</f>
        <v>Cabo unipolar 2.5 mm² azul claro | Cabo unipolar 2.5 mm² azu</v>
      </c>
    </row>
    <row r="613" spans="1:39" ht="43.2" x14ac:dyDescent="0.3">
      <c r="A613" s="39">
        <v>612</v>
      </c>
      <c r="B613" s="39" t="s">
        <v>2</v>
      </c>
      <c r="C613" s="39" t="s">
        <v>74</v>
      </c>
      <c r="D613" s="39" t="s">
        <v>496</v>
      </c>
      <c r="E613" s="39" t="s">
        <v>496</v>
      </c>
      <c r="F613" s="39" t="s">
        <v>568</v>
      </c>
      <c r="G613" s="39" t="s">
        <v>582</v>
      </c>
      <c r="H613" s="40"/>
      <c r="I613" s="40"/>
      <c r="J613" s="40"/>
      <c r="K613" s="42">
        <v>46227</v>
      </c>
      <c r="L613" s="42"/>
      <c r="M613" s="44"/>
      <c r="N613" s="40"/>
      <c r="O613" s="40"/>
      <c r="P613" s="40"/>
      <c r="Q613" s="42">
        <f>IF(K613="","",K613)</f>
        <v>46227</v>
      </c>
      <c r="R613" s="39" t="s">
        <v>496</v>
      </c>
      <c r="S613" s="39" t="s">
        <v>498</v>
      </c>
      <c r="T613" s="39" t="s">
        <v>570</v>
      </c>
      <c r="U613" s="39" t="s">
        <v>275</v>
      </c>
      <c r="V613" s="39">
        <v>166</v>
      </c>
      <c r="W613" s="39" t="s">
        <v>605</v>
      </c>
      <c r="X613" s="41">
        <v>46216</v>
      </c>
      <c r="Y613" s="41">
        <v>46227</v>
      </c>
      <c r="Z613" s="43">
        <v>7840.0000000000009</v>
      </c>
      <c r="AA613" s="45">
        <f>IF(M613&lt;&gt;"",M613,Z613)</f>
        <v>7840.0000000000009</v>
      </c>
      <c r="AB613" s="46" t="str">
        <f>IF(L613&lt;&gt;"","Realizado","Previsto")</f>
        <v>Previsto</v>
      </c>
      <c r="AC613" s="47">
        <v>0.5</v>
      </c>
      <c r="AD613" s="43">
        <v>15680</v>
      </c>
      <c r="AE613" s="39">
        <v>6400</v>
      </c>
      <c r="AF613" s="39" t="s">
        <v>327</v>
      </c>
      <c r="AG613" s="43">
        <v>2.4500000000000002</v>
      </c>
      <c r="AH613" s="39" t="s">
        <v>571</v>
      </c>
      <c r="AI613" s="39" t="s">
        <v>73</v>
      </c>
      <c r="AJ613" s="48">
        <f>IF(Q613&lt;&gt;"",Q613,IF(K613&lt;&gt;"",K613,""))</f>
        <v>46227</v>
      </c>
      <c r="AK613" s="46" t="str">
        <f>IF(K613&lt;&gt;"","Sim","")</f>
        <v>Sim</v>
      </c>
      <c r="AL613" s="46" t="str">
        <f>IF(A613="","",TEXT(A613,"000000")&amp;"-"&amp;IF(C613="Entrada","CR","DB"))</f>
        <v>000612-DB</v>
      </c>
      <c r="AM613" s="46" t="str">
        <f>IF(A613="","",LEFT(IF(H613&lt;&gt;"",H613,G613)&amp;" | "&amp;G613&amp;" | "&amp;S613,60))</f>
        <v xml:space="preserve">Cabo unipolar 2.5 mm² marrom | Cabo unipolar 2.5 mm² marrom </v>
      </c>
    </row>
    <row r="614" spans="1:39" ht="43.2" x14ac:dyDescent="0.3">
      <c r="A614" s="39">
        <v>613</v>
      </c>
      <c r="B614" s="39" t="s">
        <v>2</v>
      </c>
      <c r="C614" s="39" t="s">
        <v>74</v>
      </c>
      <c r="D614" s="39" t="s">
        <v>496</v>
      </c>
      <c r="E614" s="39" t="s">
        <v>496</v>
      </c>
      <c r="F614" s="39" t="s">
        <v>568</v>
      </c>
      <c r="G614" s="39" t="s">
        <v>583</v>
      </c>
      <c r="H614" s="40"/>
      <c r="I614" s="40"/>
      <c r="J614" s="40"/>
      <c r="K614" s="42">
        <v>46227</v>
      </c>
      <c r="L614" s="42"/>
      <c r="M614" s="44"/>
      <c r="N614" s="40"/>
      <c r="O614" s="40"/>
      <c r="P614" s="40"/>
      <c r="Q614" s="42">
        <f>IF(K614="","",K614)</f>
        <v>46227</v>
      </c>
      <c r="R614" s="39" t="s">
        <v>496</v>
      </c>
      <c r="S614" s="39" t="s">
        <v>498</v>
      </c>
      <c r="T614" s="39" t="s">
        <v>570</v>
      </c>
      <c r="U614" s="39" t="s">
        <v>275</v>
      </c>
      <c r="V614" s="39">
        <v>167</v>
      </c>
      <c r="W614" s="39" t="s">
        <v>605</v>
      </c>
      <c r="X614" s="41">
        <v>46216</v>
      </c>
      <c r="Y614" s="41">
        <v>46227</v>
      </c>
      <c r="Z614" s="43">
        <v>7840.0000000000009</v>
      </c>
      <c r="AA614" s="45">
        <f>IF(M614&lt;&gt;"",M614,Z614)</f>
        <v>7840.0000000000009</v>
      </c>
      <c r="AB614" s="46" t="str">
        <f>IF(L614&lt;&gt;"","Realizado","Previsto")</f>
        <v>Previsto</v>
      </c>
      <c r="AC614" s="47">
        <v>0.5</v>
      </c>
      <c r="AD614" s="43">
        <v>15680</v>
      </c>
      <c r="AE614" s="39">
        <v>6400</v>
      </c>
      <c r="AF614" s="39" t="s">
        <v>327</v>
      </c>
      <c r="AG614" s="43">
        <v>2.4500000000000002</v>
      </c>
      <c r="AH614" s="39" t="s">
        <v>571</v>
      </c>
      <c r="AI614" s="39" t="s">
        <v>73</v>
      </c>
      <c r="AJ614" s="48">
        <f>IF(Q614&lt;&gt;"",Q614,IF(K614&lt;&gt;"",K614,""))</f>
        <v>46227</v>
      </c>
      <c r="AK614" s="46" t="str">
        <f>IF(K614&lt;&gt;"","Sim","")</f>
        <v>Sim</v>
      </c>
      <c r="AL614" s="46" t="str">
        <f>IF(A614="","",TEXT(A614,"000000")&amp;"-"&amp;IF(C614="Entrada","CR","DB"))</f>
        <v>000613-DB</v>
      </c>
      <c r="AM614" s="46" t="str">
        <f>IF(A614="","",LEFT(IF(H614&lt;&gt;"",H614,G614)&amp;" | "&amp;G614&amp;" | "&amp;S614,60))</f>
        <v xml:space="preserve">Cabo unipolar 2.5 mm² verde-amarelo | Cabo unipolar 2.5 mm² </v>
      </c>
    </row>
    <row r="615" spans="1:39" ht="43.2" x14ac:dyDescent="0.3">
      <c r="A615" s="39">
        <v>614</v>
      </c>
      <c r="B615" s="39" t="s">
        <v>2</v>
      </c>
      <c r="C615" s="39" t="s">
        <v>74</v>
      </c>
      <c r="D615" s="39" t="s">
        <v>496</v>
      </c>
      <c r="E615" s="39" t="s">
        <v>496</v>
      </c>
      <c r="F615" s="39" t="s">
        <v>568</v>
      </c>
      <c r="G615" s="39" t="s">
        <v>584</v>
      </c>
      <c r="H615" s="40"/>
      <c r="I615" s="40"/>
      <c r="J615" s="40"/>
      <c r="K615" s="42">
        <v>46227</v>
      </c>
      <c r="L615" s="42"/>
      <c r="M615" s="44"/>
      <c r="N615" s="40"/>
      <c r="O615" s="40"/>
      <c r="P615" s="40"/>
      <c r="Q615" s="42">
        <f>IF(K615="","",K615)</f>
        <v>46227</v>
      </c>
      <c r="R615" s="39" t="s">
        <v>496</v>
      </c>
      <c r="S615" s="39" t="s">
        <v>498</v>
      </c>
      <c r="T615" s="39" t="s">
        <v>570</v>
      </c>
      <c r="U615" s="39" t="s">
        <v>275</v>
      </c>
      <c r="V615" s="39">
        <v>175</v>
      </c>
      <c r="W615" s="39" t="s">
        <v>605</v>
      </c>
      <c r="X615" s="41">
        <v>46216</v>
      </c>
      <c r="Y615" s="41">
        <v>46227</v>
      </c>
      <c r="Z615" s="43">
        <v>444.16</v>
      </c>
      <c r="AA615" s="45">
        <f>IF(M615&lt;&gt;"",M615,Z615)</f>
        <v>444.16</v>
      </c>
      <c r="AB615" s="46" t="str">
        <f>IF(L615&lt;&gt;"","Realizado","Previsto")</f>
        <v>Previsto</v>
      </c>
      <c r="AC615" s="47">
        <v>0.5</v>
      </c>
      <c r="AD615" s="43">
        <v>888.32</v>
      </c>
      <c r="AE615" s="39">
        <v>256</v>
      </c>
      <c r="AF615" s="39" t="s">
        <v>327</v>
      </c>
      <c r="AG615" s="43">
        <v>3.47</v>
      </c>
      <c r="AH615" s="39" t="s">
        <v>571</v>
      </c>
      <c r="AI615" s="39" t="s">
        <v>73</v>
      </c>
      <c r="AJ615" s="48">
        <f>IF(Q615&lt;&gt;"",Q615,IF(K615&lt;&gt;"",K615,""))</f>
        <v>46227</v>
      </c>
      <c r="AK615" s="46" t="str">
        <f>IF(K615&lt;&gt;"","Sim","")</f>
        <v>Sim</v>
      </c>
      <c r="AL615" s="46" t="str">
        <f>IF(A615="","",TEXT(A615,"000000")&amp;"-"&amp;IF(C615="Entrada","CR","DB"))</f>
        <v>000614-DB</v>
      </c>
      <c r="AM615" s="46" t="str">
        <f>IF(A615="","",LEFT(IF(H615&lt;&gt;"",H615,G615)&amp;" | "&amp;G615&amp;" | "&amp;S615,60))</f>
        <v>Cabo unipolar 6 mm² azul claro | Cabo unipolar 6 mm² azul cl</v>
      </c>
    </row>
    <row r="616" spans="1:39" ht="43.2" x14ac:dyDescent="0.3">
      <c r="A616" s="39">
        <v>615</v>
      </c>
      <c r="B616" s="39" t="s">
        <v>2</v>
      </c>
      <c r="C616" s="39" t="s">
        <v>74</v>
      </c>
      <c r="D616" s="39" t="s">
        <v>496</v>
      </c>
      <c r="E616" s="39" t="s">
        <v>496</v>
      </c>
      <c r="F616" s="39" t="s">
        <v>568</v>
      </c>
      <c r="G616" s="39" t="s">
        <v>585</v>
      </c>
      <c r="H616" s="40"/>
      <c r="I616" s="40"/>
      <c r="J616" s="40"/>
      <c r="K616" s="42">
        <v>46227</v>
      </c>
      <c r="L616" s="42"/>
      <c r="M616" s="44"/>
      <c r="N616" s="40"/>
      <c r="O616" s="40"/>
      <c r="P616" s="40"/>
      <c r="Q616" s="42">
        <f>IF(K616="","",K616)</f>
        <v>46227</v>
      </c>
      <c r="R616" s="39" t="s">
        <v>496</v>
      </c>
      <c r="S616" s="39" t="s">
        <v>498</v>
      </c>
      <c r="T616" s="39" t="s">
        <v>570</v>
      </c>
      <c r="U616" s="39" t="s">
        <v>275</v>
      </c>
      <c r="V616" s="39">
        <v>176</v>
      </c>
      <c r="W616" s="39" t="s">
        <v>605</v>
      </c>
      <c r="X616" s="41">
        <v>46216</v>
      </c>
      <c r="Y616" s="41">
        <v>46227</v>
      </c>
      <c r="Z616" s="43">
        <v>444.16</v>
      </c>
      <c r="AA616" s="45">
        <f>IF(M616&lt;&gt;"",M616,Z616)</f>
        <v>444.16</v>
      </c>
      <c r="AB616" s="46" t="str">
        <f>IF(L616&lt;&gt;"","Realizado","Previsto")</f>
        <v>Previsto</v>
      </c>
      <c r="AC616" s="47">
        <v>0.5</v>
      </c>
      <c r="AD616" s="43">
        <v>888.32</v>
      </c>
      <c r="AE616" s="39">
        <v>256</v>
      </c>
      <c r="AF616" s="39" t="s">
        <v>327</v>
      </c>
      <c r="AG616" s="43">
        <v>3.47</v>
      </c>
      <c r="AH616" s="39" t="s">
        <v>571</v>
      </c>
      <c r="AI616" s="39" t="s">
        <v>73</v>
      </c>
      <c r="AJ616" s="48">
        <f>IF(Q616&lt;&gt;"",Q616,IF(K616&lt;&gt;"",K616,""))</f>
        <v>46227</v>
      </c>
      <c r="AK616" s="46" t="str">
        <f>IF(K616&lt;&gt;"","Sim","")</f>
        <v>Sim</v>
      </c>
      <c r="AL616" s="46" t="str">
        <f>IF(A616="","",TEXT(A616,"000000")&amp;"-"&amp;IF(C616="Entrada","CR","DB"))</f>
        <v>000615-DB</v>
      </c>
      <c r="AM616" s="46" t="str">
        <f>IF(A616="","",LEFT(IF(H616&lt;&gt;"",H616,G616)&amp;" | "&amp;G616&amp;" | "&amp;S616,60))</f>
        <v>Cabo unipolar 6 mm² marrom | Cabo unipolar 6 mm² marrom | Sa</v>
      </c>
    </row>
    <row r="617" spans="1:39" ht="43.2" x14ac:dyDescent="0.3">
      <c r="A617" s="39">
        <v>616</v>
      </c>
      <c r="B617" s="39" t="s">
        <v>2</v>
      </c>
      <c r="C617" s="39" t="s">
        <v>74</v>
      </c>
      <c r="D617" s="39" t="s">
        <v>496</v>
      </c>
      <c r="E617" s="39" t="s">
        <v>496</v>
      </c>
      <c r="F617" s="39" t="s">
        <v>568</v>
      </c>
      <c r="G617" s="39" t="s">
        <v>586</v>
      </c>
      <c r="H617" s="40"/>
      <c r="I617" s="40"/>
      <c r="J617" s="40"/>
      <c r="K617" s="42">
        <v>46227</v>
      </c>
      <c r="L617" s="42"/>
      <c r="M617" s="44"/>
      <c r="N617" s="40"/>
      <c r="O617" s="40"/>
      <c r="P617" s="40"/>
      <c r="Q617" s="42">
        <f>IF(K617="","",K617)</f>
        <v>46227</v>
      </c>
      <c r="R617" s="39" t="s">
        <v>496</v>
      </c>
      <c r="S617" s="39" t="s">
        <v>498</v>
      </c>
      <c r="T617" s="39" t="s">
        <v>570</v>
      </c>
      <c r="U617" s="39" t="s">
        <v>275</v>
      </c>
      <c r="V617" s="39">
        <v>177</v>
      </c>
      <c r="W617" s="39" t="s">
        <v>605</v>
      </c>
      <c r="X617" s="41">
        <v>46216</v>
      </c>
      <c r="Y617" s="41">
        <v>46227</v>
      </c>
      <c r="Z617" s="43">
        <v>444.16</v>
      </c>
      <c r="AA617" s="45">
        <f>IF(M617&lt;&gt;"",M617,Z617)</f>
        <v>444.16</v>
      </c>
      <c r="AB617" s="46" t="str">
        <f>IF(L617&lt;&gt;"","Realizado","Previsto")</f>
        <v>Previsto</v>
      </c>
      <c r="AC617" s="47">
        <v>0.5</v>
      </c>
      <c r="AD617" s="43">
        <v>888.32</v>
      </c>
      <c r="AE617" s="39">
        <v>256</v>
      </c>
      <c r="AF617" s="39" t="s">
        <v>327</v>
      </c>
      <c r="AG617" s="43">
        <v>3.47</v>
      </c>
      <c r="AH617" s="39" t="s">
        <v>571</v>
      </c>
      <c r="AI617" s="39" t="s">
        <v>73</v>
      </c>
      <c r="AJ617" s="48">
        <f>IF(Q617&lt;&gt;"",Q617,IF(K617&lt;&gt;"",K617,""))</f>
        <v>46227</v>
      </c>
      <c r="AK617" s="46" t="str">
        <f>IF(K617&lt;&gt;"","Sim","")</f>
        <v>Sim</v>
      </c>
      <c r="AL617" s="46" t="str">
        <f>IF(A617="","",TEXT(A617,"000000")&amp;"-"&amp;IF(C617="Entrada","CR","DB"))</f>
        <v>000616-DB</v>
      </c>
      <c r="AM617" s="46" t="str">
        <f>IF(A617="","",LEFT(IF(H617&lt;&gt;"",H617,G617)&amp;" | "&amp;G617&amp;" | "&amp;S617,60))</f>
        <v>Cabo unipolar 6 mm² verde-amarelo | Cabo unipolar 6 mm² verd</v>
      </c>
    </row>
    <row r="618" spans="1:39" ht="43.2" x14ac:dyDescent="0.3">
      <c r="A618" s="39">
        <v>617</v>
      </c>
      <c r="B618" s="39" t="s">
        <v>2</v>
      </c>
      <c r="C618" s="39" t="s">
        <v>74</v>
      </c>
      <c r="D618" s="39" t="s">
        <v>496</v>
      </c>
      <c r="E618" s="39" t="s">
        <v>496</v>
      </c>
      <c r="F618" s="39" t="s">
        <v>568</v>
      </c>
      <c r="G618" s="39" t="s">
        <v>587</v>
      </c>
      <c r="H618" s="40"/>
      <c r="I618" s="40"/>
      <c r="J618" s="40"/>
      <c r="K618" s="42">
        <v>46227</v>
      </c>
      <c r="L618" s="42"/>
      <c r="M618" s="44"/>
      <c r="N618" s="40"/>
      <c r="O618" s="40"/>
      <c r="P618" s="40"/>
      <c r="Q618" s="42">
        <f>IF(K618="","",K618)</f>
        <v>46227</v>
      </c>
      <c r="R618" s="39" t="s">
        <v>496</v>
      </c>
      <c r="S618" s="39" t="s">
        <v>498</v>
      </c>
      <c r="T618" s="39" t="s">
        <v>570</v>
      </c>
      <c r="U618" s="39" t="s">
        <v>275</v>
      </c>
      <c r="V618" s="39">
        <v>192</v>
      </c>
      <c r="W618" s="39" t="s">
        <v>605</v>
      </c>
      <c r="X618" s="41">
        <v>46216</v>
      </c>
      <c r="Y618" s="41">
        <v>46227</v>
      </c>
      <c r="Z618" s="43">
        <v>1276.8</v>
      </c>
      <c r="AA618" s="45">
        <f>IF(M618&lt;&gt;"",M618,Z618)</f>
        <v>1276.8</v>
      </c>
      <c r="AB618" s="46" t="str">
        <f>IF(L618&lt;&gt;"","Realizado","Previsto")</f>
        <v>Previsto</v>
      </c>
      <c r="AC618" s="47">
        <v>0.5</v>
      </c>
      <c r="AD618" s="43">
        <v>2553.6</v>
      </c>
      <c r="AE618" s="39">
        <v>64</v>
      </c>
      <c r="AF618" s="39" t="s">
        <v>87</v>
      </c>
      <c r="AG618" s="43">
        <v>39.9</v>
      </c>
      <c r="AH618" s="39" t="s">
        <v>571</v>
      </c>
      <c r="AI618" s="39" t="s">
        <v>73</v>
      </c>
      <c r="AJ618" s="48">
        <f>IF(Q618&lt;&gt;"",Q618,IF(K618&lt;&gt;"",K618,""))</f>
        <v>46227</v>
      </c>
      <c r="AK618" s="46" t="str">
        <f>IF(K618&lt;&gt;"","Sim","")</f>
        <v>Sim</v>
      </c>
      <c r="AL618" s="46" t="str">
        <f>IF(A618="","",TEXT(A618,"000000")&amp;"-"&amp;IF(C618="Entrada","CR","DB"))</f>
        <v>000617-DB</v>
      </c>
      <c r="AM618" s="46" t="str">
        <f>IF(A618="","",LEFT(IF(H618&lt;&gt;"",H618,G618)&amp;" | "&amp;G618&amp;" | "&amp;S618,60))</f>
        <v>Campainha Cigarra + 1 Tecla Campainha Pollar Radial | Campai</v>
      </c>
    </row>
    <row r="619" spans="1:39" ht="43.2" x14ac:dyDescent="0.3">
      <c r="A619" s="39">
        <v>618</v>
      </c>
      <c r="B619" s="39" t="s">
        <v>2</v>
      </c>
      <c r="C619" s="39" t="s">
        <v>74</v>
      </c>
      <c r="D619" s="39" t="s">
        <v>496</v>
      </c>
      <c r="E619" s="39" t="s">
        <v>496</v>
      </c>
      <c r="F619" s="39" t="s">
        <v>568</v>
      </c>
      <c r="G619" s="39" t="s">
        <v>588</v>
      </c>
      <c r="H619" s="40"/>
      <c r="I619" s="40"/>
      <c r="J619" s="40"/>
      <c r="K619" s="42">
        <v>46227</v>
      </c>
      <c r="L619" s="42"/>
      <c r="M619" s="44"/>
      <c r="N619" s="40"/>
      <c r="O619" s="40"/>
      <c r="P619" s="40"/>
      <c r="Q619" s="42">
        <f>IF(K619="","",K619)</f>
        <v>46227</v>
      </c>
      <c r="R619" s="39" t="s">
        <v>496</v>
      </c>
      <c r="S619" s="39" t="s">
        <v>498</v>
      </c>
      <c r="T619" s="39" t="s">
        <v>570</v>
      </c>
      <c r="U619" s="39" t="s">
        <v>275</v>
      </c>
      <c r="V619" s="39">
        <v>187</v>
      </c>
      <c r="W619" s="39" t="s">
        <v>605</v>
      </c>
      <c r="X619" s="41">
        <v>46216</v>
      </c>
      <c r="Y619" s="41">
        <v>46227</v>
      </c>
      <c r="Z619" s="43">
        <v>1142.4000000000001</v>
      </c>
      <c r="AA619" s="45">
        <f>IF(M619&lt;&gt;"",M619,Z619)</f>
        <v>1142.4000000000001</v>
      </c>
      <c r="AB619" s="46" t="str">
        <f>IF(L619&lt;&gt;"","Realizado","Previsto")</f>
        <v>Previsto</v>
      </c>
      <c r="AC619" s="47">
        <v>0.5</v>
      </c>
      <c r="AD619" s="43">
        <v>2284.8000000000002</v>
      </c>
      <c r="AE619" s="39">
        <v>192</v>
      </c>
      <c r="AF619" s="39" t="s">
        <v>87</v>
      </c>
      <c r="AG619" s="43">
        <v>11.9</v>
      </c>
      <c r="AH619" s="39" t="s">
        <v>571</v>
      </c>
      <c r="AI619" s="39" t="s">
        <v>73</v>
      </c>
      <c r="AJ619" s="48">
        <f>IF(Q619&lt;&gt;"",Q619,IF(K619&lt;&gt;"",K619,""))</f>
        <v>46227</v>
      </c>
      <c r="AK619" s="46" t="str">
        <f>IF(K619&lt;&gt;"","Sim","")</f>
        <v>Sim</v>
      </c>
      <c r="AL619" s="46" t="str">
        <f>IF(A619="","",TEXT(A619,"000000")&amp;"-"&amp;IF(C619="Entrada","CR","DB"))</f>
        <v>000618-DB</v>
      </c>
      <c r="AM619" s="46" t="str">
        <f>IF(A619="","",LEFT(IF(H619&lt;&gt;"",H619,G619)&amp;" | "&amp;G619&amp;" | "&amp;S619,60))</f>
        <v>Disjuntor unipolar termomagnético DIN 15A | Disjuntor unipol</v>
      </c>
    </row>
    <row r="620" spans="1:39" ht="43.2" x14ac:dyDescent="0.3">
      <c r="A620" s="39">
        <v>619</v>
      </c>
      <c r="B620" s="39" t="s">
        <v>2</v>
      </c>
      <c r="C620" s="39" t="s">
        <v>74</v>
      </c>
      <c r="D620" s="39" t="s">
        <v>496</v>
      </c>
      <c r="E620" s="39" t="s">
        <v>496</v>
      </c>
      <c r="F620" s="39" t="s">
        <v>568</v>
      </c>
      <c r="G620" s="39" t="s">
        <v>589</v>
      </c>
      <c r="H620" s="40"/>
      <c r="I620" s="40"/>
      <c r="J620" s="40"/>
      <c r="K620" s="42">
        <v>46227</v>
      </c>
      <c r="L620" s="42"/>
      <c r="M620" s="44"/>
      <c r="N620" s="40"/>
      <c r="O620" s="40"/>
      <c r="P620" s="40"/>
      <c r="Q620" s="42">
        <f>IF(K620="","",K620)</f>
        <v>46227</v>
      </c>
      <c r="R620" s="39" t="s">
        <v>496</v>
      </c>
      <c r="S620" s="39" t="s">
        <v>498</v>
      </c>
      <c r="T620" s="39" t="s">
        <v>570</v>
      </c>
      <c r="U620" s="39" t="s">
        <v>275</v>
      </c>
      <c r="V620" s="39">
        <v>188</v>
      </c>
      <c r="W620" s="39" t="s">
        <v>605</v>
      </c>
      <c r="X620" s="41">
        <v>46216</v>
      </c>
      <c r="Y620" s="41">
        <v>46227</v>
      </c>
      <c r="Z620" s="43">
        <v>482.24</v>
      </c>
      <c r="AA620" s="45">
        <f>IF(M620&lt;&gt;"",M620,Z620)</f>
        <v>482.24</v>
      </c>
      <c r="AB620" s="46" t="str">
        <f>IF(L620&lt;&gt;"","Realizado","Previsto")</f>
        <v>Previsto</v>
      </c>
      <c r="AC620" s="47">
        <v>0.5</v>
      </c>
      <c r="AD620" s="43">
        <v>964.48</v>
      </c>
      <c r="AE620" s="39">
        <v>64</v>
      </c>
      <c r="AF620" s="39" t="s">
        <v>87</v>
      </c>
      <c r="AG620" s="43">
        <v>15.07</v>
      </c>
      <c r="AH620" s="39" t="s">
        <v>571</v>
      </c>
      <c r="AI620" s="39" t="s">
        <v>73</v>
      </c>
      <c r="AJ620" s="48">
        <f>IF(Q620&lt;&gt;"",Q620,IF(K620&lt;&gt;"",K620,""))</f>
        <v>46227</v>
      </c>
      <c r="AK620" s="46" t="str">
        <f>IF(K620&lt;&gt;"","Sim","")</f>
        <v>Sim</v>
      </c>
      <c r="AL620" s="46" t="str">
        <f>IF(A620="","",TEXT(A620,"000000")&amp;"-"&amp;IF(C620="Entrada","CR","DB"))</f>
        <v>000619-DB</v>
      </c>
      <c r="AM620" s="46" t="str">
        <f>IF(A620="","",LEFT(IF(H620&lt;&gt;"",H620,G620)&amp;" | "&amp;G620&amp;" | "&amp;S620,60))</f>
        <v>Disjuntor unipolar termomagnético DIN 60A | Disjuntor unipol</v>
      </c>
    </row>
    <row r="621" spans="1:39" ht="43.2" x14ac:dyDescent="0.3">
      <c r="A621" s="39">
        <v>620</v>
      </c>
      <c r="B621" s="39" t="s">
        <v>2</v>
      </c>
      <c r="C621" s="39" t="s">
        <v>74</v>
      </c>
      <c r="D621" s="39" t="s">
        <v>496</v>
      </c>
      <c r="E621" s="39" t="s">
        <v>496</v>
      </c>
      <c r="F621" s="39" t="s">
        <v>568</v>
      </c>
      <c r="G621" s="39" t="s">
        <v>590</v>
      </c>
      <c r="H621" s="40"/>
      <c r="I621" s="40"/>
      <c r="J621" s="40"/>
      <c r="K621" s="42">
        <v>46227</v>
      </c>
      <c r="L621" s="42"/>
      <c r="M621" s="44"/>
      <c r="N621" s="40"/>
      <c r="O621" s="40"/>
      <c r="P621" s="40"/>
      <c r="Q621" s="42">
        <f>IF(K621="","",K621)</f>
        <v>46227</v>
      </c>
      <c r="R621" s="39" t="s">
        <v>496</v>
      </c>
      <c r="S621" s="39" t="s">
        <v>498</v>
      </c>
      <c r="T621" s="39" t="s">
        <v>570</v>
      </c>
      <c r="U621" s="39" t="s">
        <v>275</v>
      </c>
      <c r="V621" s="39">
        <v>172</v>
      </c>
      <c r="W621" s="39" t="s">
        <v>605</v>
      </c>
      <c r="X621" s="41">
        <v>46216</v>
      </c>
      <c r="Y621" s="41">
        <v>46227</v>
      </c>
      <c r="Z621" s="43">
        <v>1200</v>
      </c>
      <c r="AA621" s="45">
        <f>IF(M621&lt;&gt;"",M621,Z621)</f>
        <v>1200</v>
      </c>
      <c r="AB621" s="46" t="str">
        <f>IF(L621&lt;&gt;"","Realizado","Previsto")</f>
        <v>Previsto</v>
      </c>
      <c r="AC621" s="47">
        <v>0.5</v>
      </c>
      <c r="AD621" s="43">
        <v>2400</v>
      </c>
      <c r="AE621" s="39">
        <v>320</v>
      </c>
      <c r="AF621" s="39" t="s">
        <v>477</v>
      </c>
      <c r="AG621" s="43">
        <v>7.5</v>
      </c>
      <c r="AH621" s="39" t="s">
        <v>571</v>
      </c>
      <c r="AI621" s="39" t="s">
        <v>73</v>
      </c>
      <c r="AJ621" s="48">
        <f>IF(Q621&lt;&gt;"",Q621,IF(K621&lt;&gt;"",K621,""))</f>
        <v>46227</v>
      </c>
      <c r="AK621" s="46" t="str">
        <f>IF(K621&lt;&gt;"","Sim","")</f>
        <v>Sim</v>
      </c>
      <c r="AL621" s="46" t="str">
        <f>IF(A621="","",TEXT(A621,"000000")&amp;"-"&amp;IF(C621="Entrada","CR","DB"))</f>
        <v>000620-DB</v>
      </c>
      <c r="AM621" s="46" t="str">
        <f>IF(A621="","",LEFT(IF(H621&lt;&gt;"",H621,G621)&amp;" | "&amp;G621&amp;" | "&amp;S621,60))</f>
        <v>Fita isolante preta 20 metros | Fita isolante preta 20 metro</v>
      </c>
    </row>
    <row r="622" spans="1:39" ht="43.2" x14ac:dyDescent="0.3">
      <c r="A622" s="39">
        <v>621</v>
      </c>
      <c r="B622" s="39" t="s">
        <v>2</v>
      </c>
      <c r="C622" s="39" t="s">
        <v>74</v>
      </c>
      <c r="D622" s="39" t="s">
        <v>496</v>
      </c>
      <c r="E622" s="39" t="s">
        <v>496</v>
      </c>
      <c r="F622" s="39" t="s">
        <v>568</v>
      </c>
      <c r="G622" s="39" t="s">
        <v>591</v>
      </c>
      <c r="H622" s="40"/>
      <c r="I622" s="40"/>
      <c r="J622" s="40"/>
      <c r="K622" s="42">
        <v>46227</v>
      </c>
      <c r="L622" s="42"/>
      <c r="M622" s="44"/>
      <c r="N622" s="40"/>
      <c r="O622" s="40"/>
      <c r="P622" s="40"/>
      <c r="Q622" s="42">
        <f>IF(K622="","",K622)</f>
        <v>46227</v>
      </c>
      <c r="R622" s="39" t="s">
        <v>496</v>
      </c>
      <c r="S622" s="39" t="s">
        <v>498</v>
      </c>
      <c r="T622" s="39" t="s">
        <v>570</v>
      </c>
      <c r="U622" s="39" t="s">
        <v>275</v>
      </c>
      <c r="V622" s="39">
        <v>180</v>
      </c>
      <c r="W622" s="39" t="s">
        <v>605</v>
      </c>
      <c r="X622" s="41">
        <v>46216</v>
      </c>
      <c r="Y622" s="41">
        <v>46227</v>
      </c>
      <c r="Z622" s="43">
        <v>621.44000000000005</v>
      </c>
      <c r="AA622" s="45">
        <f>IF(M622&lt;&gt;"",M622,Z622)</f>
        <v>621.44000000000005</v>
      </c>
      <c r="AB622" s="46" t="str">
        <f>IF(L622&lt;&gt;"","Realizado","Previsto")</f>
        <v>Previsto</v>
      </c>
      <c r="AC622" s="47">
        <v>0.5</v>
      </c>
      <c r="AD622" s="43">
        <v>1242.8800000000001</v>
      </c>
      <c r="AE622" s="39">
        <v>128</v>
      </c>
      <c r="AF622" s="39" t="s">
        <v>87</v>
      </c>
      <c r="AG622" s="43">
        <v>9.7100000000000009</v>
      </c>
      <c r="AH622" s="39" t="s">
        <v>571</v>
      </c>
      <c r="AI622" s="39" t="s">
        <v>73</v>
      </c>
      <c r="AJ622" s="48">
        <f>IF(Q622&lt;&gt;"",Q622,IF(K622&lt;&gt;"",K622,""))</f>
        <v>46227</v>
      </c>
      <c r="AK622" s="46" t="str">
        <f>IF(K622&lt;&gt;"","Sim","")</f>
        <v>Sim</v>
      </c>
      <c r="AL622" s="46" t="str">
        <f>IF(A622="","",TEXT(A622,"000000")&amp;"-"&amp;IF(C622="Entrada","CR","DB"))</f>
        <v>000621-DB</v>
      </c>
      <c r="AM622" s="46" t="str">
        <f>IF(A622="","",LEFT(IF(H622&lt;&gt;"",H622,G622)&amp;" | "&amp;G622&amp;" | "&amp;S622,60))</f>
        <v xml:space="preserve">Interruptor 1 tecla simples | Interruptor 1 tecla simples | </v>
      </c>
    </row>
    <row r="623" spans="1:39" ht="43.2" x14ac:dyDescent="0.3">
      <c r="A623" s="39">
        <v>622</v>
      </c>
      <c r="B623" s="39" t="s">
        <v>2</v>
      </c>
      <c r="C623" s="39" t="s">
        <v>74</v>
      </c>
      <c r="D623" s="39" t="s">
        <v>496</v>
      </c>
      <c r="E623" s="39" t="s">
        <v>496</v>
      </c>
      <c r="F623" s="39" t="s">
        <v>568</v>
      </c>
      <c r="G623" s="39" t="s">
        <v>592</v>
      </c>
      <c r="H623" s="40"/>
      <c r="I623" s="40"/>
      <c r="J623" s="40"/>
      <c r="K623" s="42">
        <v>46227</v>
      </c>
      <c r="L623" s="42"/>
      <c r="M623" s="44"/>
      <c r="N623" s="40"/>
      <c r="O623" s="40"/>
      <c r="P623" s="40"/>
      <c r="Q623" s="42">
        <f>IF(K623="","",K623)</f>
        <v>46227</v>
      </c>
      <c r="R623" s="39" t="s">
        <v>496</v>
      </c>
      <c r="S623" s="39" t="s">
        <v>498</v>
      </c>
      <c r="T623" s="39" t="s">
        <v>570</v>
      </c>
      <c r="U623" s="39" t="s">
        <v>275</v>
      </c>
      <c r="V623" s="39">
        <v>181</v>
      </c>
      <c r="W623" s="39" t="s">
        <v>605</v>
      </c>
      <c r="X623" s="41">
        <v>46216</v>
      </c>
      <c r="Y623" s="41">
        <v>46227</v>
      </c>
      <c r="Z623" s="43">
        <v>1429.76</v>
      </c>
      <c r="AA623" s="45">
        <f>IF(M623&lt;&gt;"",M623,Z623)</f>
        <v>1429.76</v>
      </c>
      <c r="AB623" s="46" t="str">
        <f>IF(L623&lt;&gt;"","Realizado","Previsto")</f>
        <v>Previsto</v>
      </c>
      <c r="AC623" s="47">
        <v>0.5</v>
      </c>
      <c r="AD623" s="43">
        <v>2859.52</v>
      </c>
      <c r="AE623" s="39">
        <v>128</v>
      </c>
      <c r="AF623" s="39" t="s">
        <v>87</v>
      </c>
      <c r="AG623" s="43">
        <v>22.34</v>
      </c>
      <c r="AH623" s="39" t="s">
        <v>571</v>
      </c>
      <c r="AI623" s="39" t="s">
        <v>73</v>
      </c>
      <c r="AJ623" s="48">
        <f>IF(Q623&lt;&gt;"",Q623,IF(K623&lt;&gt;"",K623,""))</f>
        <v>46227</v>
      </c>
      <c r="AK623" s="46" t="str">
        <f>IF(K623&lt;&gt;"","Sim","")</f>
        <v>Sim</v>
      </c>
      <c r="AL623" s="46" t="str">
        <f>IF(A623="","",TEXT(A623,"000000")&amp;"-"&amp;IF(C623="Entrada","CR","DB"))</f>
        <v>000622-DB</v>
      </c>
      <c r="AM623" s="46" t="str">
        <f>IF(A623="","",LEFT(IF(H623&lt;&gt;"",H623,G623)&amp;" | "&amp;G623&amp;" | "&amp;S623,60))</f>
        <v>Interruptor 1 tecla simples + tomada hexagonal NBR14136 | In</v>
      </c>
    </row>
    <row r="624" spans="1:39" ht="43.2" x14ac:dyDescent="0.3">
      <c r="A624" s="39">
        <v>623</v>
      </c>
      <c r="B624" s="39" t="s">
        <v>2</v>
      </c>
      <c r="C624" s="39" t="s">
        <v>74</v>
      </c>
      <c r="D624" s="39" t="s">
        <v>496</v>
      </c>
      <c r="E624" s="39" t="s">
        <v>496</v>
      </c>
      <c r="F624" s="39" t="s">
        <v>568</v>
      </c>
      <c r="G624" s="39" t="s">
        <v>593</v>
      </c>
      <c r="H624" s="40"/>
      <c r="I624" s="40"/>
      <c r="J624" s="40"/>
      <c r="K624" s="42">
        <v>46227</v>
      </c>
      <c r="L624" s="42"/>
      <c r="M624" s="44"/>
      <c r="N624" s="40"/>
      <c r="O624" s="40"/>
      <c r="P624" s="40"/>
      <c r="Q624" s="42">
        <f>IF(K624="","",K624)</f>
        <v>46227</v>
      </c>
      <c r="R624" s="39" t="s">
        <v>496</v>
      </c>
      <c r="S624" s="39" t="s">
        <v>498</v>
      </c>
      <c r="T624" s="39" t="s">
        <v>570</v>
      </c>
      <c r="U624" s="39" t="s">
        <v>275</v>
      </c>
      <c r="V624" s="39">
        <v>182</v>
      </c>
      <c r="W624" s="39" t="s">
        <v>605</v>
      </c>
      <c r="X624" s="41">
        <v>46216</v>
      </c>
      <c r="Y624" s="41">
        <v>46227</v>
      </c>
      <c r="Z624" s="43">
        <v>1097.5999999999999</v>
      </c>
      <c r="AA624" s="45">
        <f>IF(M624&lt;&gt;"",M624,Z624)</f>
        <v>1097.5999999999999</v>
      </c>
      <c r="AB624" s="46" t="str">
        <f>IF(L624&lt;&gt;"","Realizado","Previsto")</f>
        <v>Previsto</v>
      </c>
      <c r="AC624" s="47">
        <v>0.5</v>
      </c>
      <c r="AD624" s="43">
        <v>2195.1999999999998</v>
      </c>
      <c r="AE624" s="39">
        <v>128</v>
      </c>
      <c r="AF624" s="39" t="s">
        <v>87</v>
      </c>
      <c r="AG624" s="43">
        <v>17.149999999999999</v>
      </c>
      <c r="AH624" s="39" t="s">
        <v>571</v>
      </c>
      <c r="AI624" s="39" t="s">
        <v>73</v>
      </c>
      <c r="AJ624" s="48">
        <f>IF(Q624&lt;&gt;"",Q624,IF(K624&lt;&gt;"",K624,""))</f>
        <v>46227</v>
      </c>
      <c r="AK624" s="46" t="str">
        <f>IF(K624&lt;&gt;"","Sim","")</f>
        <v>Sim</v>
      </c>
      <c r="AL624" s="46" t="str">
        <f>IF(A624="","",TEXT(A624,"000000")&amp;"-"&amp;IF(C624="Entrada","CR","DB"))</f>
        <v>000623-DB</v>
      </c>
      <c r="AM624" s="46" t="str">
        <f>IF(A624="","",LEFT(IF(H624&lt;&gt;"",H624,G624)&amp;" | "&amp;G624&amp;" | "&amp;S624,60))</f>
        <v xml:space="preserve">Interruptor 2 teclas simples | Interruptor 2 teclas simples </v>
      </c>
    </row>
    <row r="625" spans="1:39" ht="43.2" x14ac:dyDescent="0.3">
      <c r="A625" s="39">
        <v>624</v>
      </c>
      <c r="B625" s="39" t="s">
        <v>2</v>
      </c>
      <c r="C625" s="39" t="s">
        <v>74</v>
      </c>
      <c r="D625" s="39" t="s">
        <v>496</v>
      </c>
      <c r="E625" s="39" t="s">
        <v>496</v>
      </c>
      <c r="F625" s="39" t="s">
        <v>568</v>
      </c>
      <c r="G625" s="39" t="s">
        <v>594</v>
      </c>
      <c r="H625" s="40"/>
      <c r="I625" s="40"/>
      <c r="J625" s="40"/>
      <c r="K625" s="42">
        <v>46227</v>
      </c>
      <c r="L625" s="42"/>
      <c r="M625" s="44"/>
      <c r="N625" s="40"/>
      <c r="O625" s="40"/>
      <c r="P625" s="40"/>
      <c r="Q625" s="42">
        <f>IF(K625="","",K625)</f>
        <v>46227</v>
      </c>
      <c r="R625" s="39" t="s">
        <v>496</v>
      </c>
      <c r="S625" s="39" t="s">
        <v>498</v>
      </c>
      <c r="T625" s="39" t="s">
        <v>570</v>
      </c>
      <c r="U625" s="39" t="s">
        <v>275</v>
      </c>
      <c r="V625" s="39">
        <v>189</v>
      </c>
      <c r="W625" s="39" t="s">
        <v>605</v>
      </c>
      <c r="X625" s="41">
        <v>46216</v>
      </c>
      <c r="Y625" s="41">
        <v>46227</v>
      </c>
      <c r="Z625" s="43">
        <v>552</v>
      </c>
      <c r="AA625" s="45">
        <f>IF(M625&lt;&gt;"",M625,Z625)</f>
        <v>552</v>
      </c>
      <c r="AB625" s="46" t="str">
        <f>IF(L625&lt;&gt;"","Realizado","Previsto")</f>
        <v>Previsto</v>
      </c>
      <c r="AC625" s="47">
        <v>0.5</v>
      </c>
      <c r="AD625" s="43">
        <v>1104</v>
      </c>
      <c r="AE625" s="39">
        <v>64</v>
      </c>
      <c r="AF625" s="39" t="s">
        <v>87</v>
      </c>
      <c r="AG625" s="43">
        <v>17.25</v>
      </c>
      <c r="AH625" s="39" t="s">
        <v>571</v>
      </c>
      <c r="AI625" s="39" t="s">
        <v>73</v>
      </c>
      <c r="AJ625" s="48">
        <f>IF(Q625&lt;&gt;"",Q625,IF(K625&lt;&gt;"",K625,""))</f>
        <v>46227</v>
      </c>
      <c r="AK625" s="46" t="str">
        <f>IF(K625&lt;&gt;"","Sim","")</f>
        <v>Sim</v>
      </c>
      <c r="AL625" s="46" t="str">
        <f>IF(A625="","",TEXT(A625,"000000")&amp;"-"&amp;IF(C625="Entrada","CR","DB"))</f>
        <v>000624-DB</v>
      </c>
      <c r="AM625" s="46" t="str">
        <f>IF(A625="","",LEFT(IF(H625&lt;&gt;"",H625,G625)&amp;" | "&amp;G625&amp;" | "&amp;S625,60))</f>
        <v>Kit 1 Barramento Neutro + 1 Barramento Terra sem Proteção HC</v>
      </c>
    </row>
    <row r="626" spans="1:39" ht="43.2" x14ac:dyDescent="0.3">
      <c r="A626" s="39">
        <v>625</v>
      </c>
      <c r="B626" s="39" t="s">
        <v>2</v>
      </c>
      <c r="C626" s="39" t="s">
        <v>74</v>
      </c>
      <c r="D626" s="39" t="s">
        <v>496</v>
      </c>
      <c r="E626" s="39" t="s">
        <v>496</v>
      </c>
      <c r="F626" s="39" t="s">
        <v>568</v>
      </c>
      <c r="G626" s="39" t="s">
        <v>595</v>
      </c>
      <c r="H626" s="40"/>
      <c r="I626" s="40"/>
      <c r="J626" s="40"/>
      <c r="K626" s="42">
        <v>46227</v>
      </c>
      <c r="L626" s="42"/>
      <c r="M626" s="44"/>
      <c r="N626" s="40"/>
      <c r="O626" s="40"/>
      <c r="P626" s="40"/>
      <c r="Q626" s="42">
        <f>IF(K626="","",K626)</f>
        <v>46227</v>
      </c>
      <c r="R626" s="39" t="s">
        <v>496</v>
      </c>
      <c r="S626" s="39" t="s">
        <v>498</v>
      </c>
      <c r="T626" s="39" t="s">
        <v>570</v>
      </c>
      <c r="U626" s="39" t="s">
        <v>275</v>
      </c>
      <c r="V626" s="39">
        <v>191</v>
      </c>
      <c r="W626" s="39" t="s">
        <v>605</v>
      </c>
      <c r="X626" s="41">
        <v>46216</v>
      </c>
      <c r="Y626" s="41">
        <v>46227</v>
      </c>
      <c r="Z626" s="43">
        <v>4160</v>
      </c>
      <c r="AA626" s="45">
        <f>IF(M626&lt;&gt;"",M626,Z626)</f>
        <v>4160</v>
      </c>
      <c r="AB626" s="46" t="str">
        <f>IF(L626&lt;&gt;"","Realizado","Previsto")</f>
        <v>Previsto</v>
      </c>
      <c r="AC626" s="47">
        <v>0.5</v>
      </c>
      <c r="AD626" s="43">
        <v>8320</v>
      </c>
      <c r="AE626" s="39">
        <v>64</v>
      </c>
      <c r="AF626" s="39" t="s">
        <v>574</v>
      </c>
      <c r="AG626" s="43">
        <v>130</v>
      </c>
      <c r="AH626" s="39" t="s">
        <v>571</v>
      </c>
      <c r="AI626" s="39" t="s">
        <v>73</v>
      </c>
      <c r="AJ626" s="48">
        <f>IF(Q626&lt;&gt;"",Q626,IF(K626&lt;&gt;"",K626,""))</f>
        <v>46227</v>
      </c>
      <c r="AK626" s="46" t="str">
        <f>IF(K626&lt;&gt;"","Sim","")</f>
        <v>Sim</v>
      </c>
      <c r="AL626" s="46" t="str">
        <f>IF(A626="","",TEXT(A626,"000000")&amp;"-"&amp;IF(C626="Entrada","CR","DB"))</f>
        <v>000625-DB</v>
      </c>
      <c r="AM626" s="46" t="str">
        <f>IF(A626="","",LEFT(IF(H626&lt;&gt;"",H626,G626)&amp;" | "&amp;G626&amp;" | "&amp;S626,60))</f>
        <v>Kit tampa quadro de distribuição 6 disjuntores | Kit tampa q</v>
      </c>
    </row>
    <row r="627" spans="1:39" ht="43.2" x14ac:dyDescent="0.3">
      <c r="A627" s="39">
        <v>626</v>
      </c>
      <c r="B627" s="39" t="s">
        <v>2</v>
      </c>
      <c r="C627" s="39" t="s">
        <v>74</v>
      </c>
      <c r="D627" s="39" t="s">
        <v>496</v>
      </c>
      <c r="E627" s="39" t="s">
        <v>496</v>
      </c>
      <c r="F627" s="39" t="s">
        <v>568</v>
      </c>
      <c r="G627" s="39" t="s">
        <v>596</v>
      </c>
      <c r="H627" s="40"/>
      <c r="I627" s="40"/>
      <c r="J627" s="40"/>
      <c r="K627" s="42">
        <v>46227</v>
      </c>
      <c r="L627" s="42"/>
      <c r="M627" s="44"/>
      <c r="N627" s="40"/>
      <c r="O627" s="40"/>
      <c r="P627" s="40"/>
      <c r="Q627" s="42">
        <f>IF(K627="","",K627)</f>
        <v>46227</v>
      </c>
      <c r="R627" s="39" t="s">
        <v>496</v>
      </c>
      <c r="S627" s="39" t="s">
        <v>498</v>
      </c>
      <c r="T627" s="39" t="s">
        <v>570</v>
      </c>
      <c r="U627" s="39" t="s">
        <v>275</v>
      </c>
      <c r="V627" s="39">
        <v>194</v>
      </c>
      <c r="W627" s="39" t="s">
        <v>605</v>
      </c>
      <c r="X627" s="41">
        <v>46216</v>
      </c>
      <c r="Y627" s="41">
        <v>46227</v>
      </c>
      <c r="Z627" s="43">
        <v>1545.6</v>
      </c>
      <c r="AA627" s="45">
        <f>IF(M627&lt;&gt;"",M627,Z627)</f>
        <v>1545.6</v>
      </c>
      <c r="AB627" s="46" t="str">
        <f>IF(L627&lt;&gt;"","Realizado","Previsto")</f>
        <v>Previsto</v>
      </c>
      <c r="AC627" s="47">
        <v>0.5</v>
      </c>
      <c r="AD627" s="43">
        <v>3091.2</v>
      </c>
      <c r="AE627" s="39">
        <v>448</v>
      </c>
      <c r="AF627" s="39" t="s">
        <v>87</v>
      </c>
      <c r="AG627" s="43">
        <v>6.9</v>
      </c>
      <c r="AH627" s="39" t="s">
        <v>571</v>
      </c>
      <c r="AI627" s="39" t="s">
        <v>73</v>
      </c>
      <c r="AJ627" s="48">
        <f>IF(Q627&lt;&gt;"",Q627,IF(K627&lt;&gt;"",K627,""))</f>
        <v>46227</v>
      </c>
      <c r="AK627" s="46" t="str">
        <f>IF(K627&lt;&gt;"","Sim","")</f>
        <v>Sim</v>
      </c>
      <c r="AL627" s="46" t="str">
        <f>IF(A627="","",TEXT(A627,"000000")&amp;"-"&amp;IF(C627="Entrada","CR","DB"))</f>
        <v>000626-DB</v>
      </c>
      <c r="AM627" s="46" t="str">
        <f>IF(A627="","",LEFT(IF(H627&lt;&gt;"",H627,G627)&amp;" | "&amp;G627&amp;" | "&amp;S627,60))</f>
        <v>LAMPADA LED 10 W B | LAMPADA LED 10 W B | Saída | ELETRICA E</v>
      </c>
    </row>
    <row r="628" spans="1:39" ht="43.2" x14ac:dyDescent="0.3">
      <c r="A628" s="39">
        <v>627</v>
      </c>
      <c r="B628" s="39" t="s">
        <v>2</v>
      </c>
      <c r="C628" s="39" t="s">
        <v>74</v>
      </c>
      <c r="D628" s="39" t="s">
        <v>496</v>
      </c>
      <c r="E628" s="39" t="s">
        <v>496</v>
      </c>
      <c r="F628" s="39" t="s">
        <v>109</v>
      </c>
      <c r="G628" s="39" t="s">
        <v>497</v>
      </c>
      <c r="H628" s="40"/>
      <c r="I628" s="40"/>
      <c r="J628" s="40"/>
      <c r="K628" s="42">
        <v>46227</v>
      </c>
      <c r="L628" s="42"/>
      <c r="M628" s="44"/>
      <c r="N628" s="40"/>
      <c r="O628" s="40"/>
      <c r="P628" s="40"/>
      <c r="Q628" s="42">
        <f>IF(K628="","",K628)</f>
        <v>46227</v>
      </c>
      <c r="R628" s="39" t="s">
        <v>496</v>
      </c>
      <c r="S628" s="39" t="s">
        <v>498</v>
      </c>
      <c r="T628" s="39" t="s">
        <v>499</v>
      </c>
      <c r="U628" s="39" t="s">
        <v>215</v>
      </c>
      <c r="V628" s="39">
        <v>197</v>
      </c>
      <c r="W628" s="39" t="s">
        <v>605</v>
      </c>
      <c r="X628" s="41">
        <v>46216</v>
      </c>
      <c r="Y628" s="41">
        <v>46227</v>
      </c>
      <c r="Z628" s="43">
        <v>26630.799999999999</v>
      </c>
      <c r="AA628" s="45">
        <f>IF(M628&lt;&gt;"",M628,Z628)</f>
        <v>26630.799999999999</v>
      </c>
      <c r="AB628" s="46" t="str">
        <f>IF(L628&lt;&gt;"","Realizado","Previsto")</f>
        <v>Previsto</v>
      </c>
      <c r="AC628" s="47">
        <v>0.47554999999999997</v>
      </c>
      <c r="AD628" s="43">
        <v>56000</v>
      </c>
      <c r="AE628" s="39">
        <v>1600</v>
      </c>
      <c r="AF628" s="39" t="s">
        <v>321</v>
      </c>
      <c r="AG628" s="43">
        <v>35</v>
      </c>
      <c r="AH628" s="39" t="s">
        <v>500</v>
      </c>
      <c r="AI628" s="39" t="s">
        <v>73</v>
      </c>
      <c r="AJ628" s="48">
        <f>IF(Q628&lt;&gt;"",Q628,IF(K628&lt;&gt;"",K628,""))</f>
        <v>46227</v>
      </c>
      <c r="AK628" s="46" t="str">
        <f>IF(K628&lt;&gt;"","Sim","")</f>
        <v>Sim</v>
      </c>
      <c r="AL628" s="46" t="str">
        <f>IF(A628="","",TEXT(A628,"000000")&amp;"-"&amp;IF(C628="Entrada","CR","DB"))</f>
        <v>000627-DB</v>
      </c>
      <c r="AM628" s="46" t="str">
        <f>IF(A628="","",LEFT(IF(H628&lt;&gt;"",H628,G628)&amp;" | "&amp;G628&amp;" | "&amp;S628,60))</f>
        <v>Mao de obra terceirizada Pontos eletricos completos  + quadr</v>
      </c>
    </row>
    <row r="629" spans="1:39" ht="43.2" x14ac:dyDescent="0.3">
      <c r="A629" s="39">
        <v>628</v>
      </c>
      <c r="B629" s="39" t="s">
        <v>2</v>
      </c>
      <c r="C629" s="39" t="s">
        <v>74</v>
      </c>
      <c r="D629" s="39" t="s">
        <v>496</v>
      </c>
      <c r="E629" s="39" t="s">
        <v>496</v>
      </c>
      <c r="F629" s="39" t="s">
        <v>109</v>
      </c>
      <c r="G629" s="39" t="s">
        <v>501</v>
      </c>
      <c r="H629" s="40"/>
      <c r="I629" s="40"/>
      <c r="J629" s="40"/>
      <c r="K629" s="42">
        <v>46227</v>
      </c>
      <c r="L629" s="42"/>
      <c r="M629" s="44"/>
      <c r="N629" s="40"/>
      <c r="O629" s="40"/>
      <c r="P629" s="40"/>
      <c r="Q629" s="42">
        <f>IF(K629="","",K629)</f>
        <v>46227</v>
      </c>
      <c r="R629" s="39" t="s">
        <v>496</v>
      </c>
      <c r="S629" s="39" t="s">
        <v>498</v>
      </c>
      <c r="T629" s="39" t="s">
        <v>499</v>
      </c>
      <c r="U629" s="39" t="s">
        <v>215</v>
      </c>
      <c r="V629" s="39">
        <v>198</v>
      </c>
      <c r="W629" s="39" t="s">
        <v>605</v>
      </c>
      <c r="X629" s="41">
        <v>46216</v>
      </c>
      <c r="Y629" s="41">
        <v>46227</v>
      </c>
      <c r="Z629" s="43">
        <v>11413.2</v>
      </c>
      <c r="AA629" s="45">
        <f>IF(M629&lt;&gt;"",M629,Z629)</f>
        <v>11413.2</v>
      </c>
      <c r="AB629" s="46" t="str">
        <f>IF(L629&lt;&gt;"","Realizado","Previsto")</f>
        <v>Previsto</v>
      </c>
      <c r="AC629" s="47">
        <v>0.47554999999999997</v>
      </c>
      <c r="AD629" s="43">
        <v>24000</v>
      </c>
      <c r="AE629" s="39">
        <v>1600</v>
      </c>
      <c r="AF629" s="39" t="s">
        <v>321</v>
      </c>
      <c r="AG629" s="43">
        <v>15</v>
      </c>
      <c r="AH629" s="39" t="s">
        <v>500</v>
      </c>
      <c r="AI629" s="39" t="s">
        <v>73</v>
      </c>
      <c r="AJ629" s="48">
        <f>IF(Q629&lt;&gt;"",Q629,IF(K629&lt;&gt;"",K629,""))</f>
        <v>46227</v>
      </c>
      <c r="AK629" s="46" t="str">
        <f>IF(K629&lt;&gt;"","Sim","")</f>
        <v>Sim</v>
      </c>
      <c r="AL629" s="46" t="str">
        <f>IF(A629="","",TEXT(A629,"000000")&amp;"-"&amp;IF(C629="Entrada","CR","DB"))</f>
        <v>000628-DB</v>
      </c>
      <c r="AM629" s="46" t="str">
        <f>IF(A629="","",LEFT(IF(H629&lt;&gt;"",H629,G629)&amp;" | "&amp;G629&amp;" | "&amp;S629,60))</f>
        <v>Mao de obra terceirizada colocaçao Espelhos, lampadas e test</v>
      </c>
    </row>
    <row r="630" spans="1:39" ht="43.2" x14ac:dyDescent="0.3">
      <c r="A630" s="39">
        <v>629</v>
      </c>
      <c r="B630" s="39" t="s">
        <v>2</v>
      </c>
      <c r="C630" s="39" t="s">
        <v>74</v>
      </c>
      <c r="D630" s="39" t="s">
        <v>496</v>
      </c>
      <c r="E630" s="39" t="s">
        <v>496</v>
      </c>
      <c r="F630" s="39" t="s">
        <v>568</v>
      </c>
      <c r="G630" s="39" t="s">
        <v>597</v>
      </c>
      <c r="H630" s="40"/>
      <c r="I630" s="40"/>
      <c r="J630" s="40"/>
      <c r="K630" s="42">
        <v>46227</v>
      </c>
      <c r="L630" s="42"/>
      <c r="M630" s="44"/>
      <c r="N630" s="40"/>
      <c r="O630" s="40"/>
      <c r="P630" s="40"/>
      <c r="Q630" s="42">
        <f>IF(K630="","",K630)</f>
        <v>46227</v>
      </c>
      <c r="R630" s="39" t="s">
        <v>496</v>
      </c>
      <c r="S630" s="39" t="s">
        <v>498</v>
      </c>
      <c r="T630" s="39" t="s">
        <v>570</v>
      </c>
      <c r="U630" s="39" t="s">
        <v>275</v>
      </c>
      <c r="V630" s="39">
        <v>185</v>
      </c>
      <c r="W630" s="39" t="s">
        <v>605</v>
      </c>
      <c r="X630" s="41">
        <v>46216</v>
      </c>
      <c r="Y630" s="41">
        <v>46227</v>
      </c>
      <c r="Z630" s="43">
        <v>161.6</v>
      </c>
      <c r="AA630" s="45">
        <f>IF(M630&lt;&gt;"",M630,Z630)</f>
        <v>161.6</v>
      </c>
      <c r="AB630" s="46" t="str">
        <f>IF(L630&lt;&gt;"","Realizado","Previsto")</f>
        <v>Previsto</v>
      </c>
      <c r="AC630" s="47">
        <v>0.5</v>
      </c>
      <c r="AD630" s="43">
        <v>323.2</v>
      </c>
      <c r="AE630" s="39">
        <v>64</v>
      </c>
      <c r="AF630" s="39" t="s">
        <v>87</v>
      </c>
      <c r="AG630" s="43">
        <v>5.05</v>
      </c>
      <c r="AH630" s="39" t="s">
        <v>571</v>
      </c>
      <c r="AI630" s="39" t="s">
        <v>73</v>
      </c>
      <c r="AJ630" s="48">
        <f>IF(Q630&lt;&gt;"",Q630,IF(K630&lt;&gt;"",K630,""))</f>
        <v>46227</v>
      </c>
      <c r="AK630" s="46" t="str">
        <f>IF(K630&lt;&gt;"","Sim","")</f>
        <v>Sim</v>
      </c>
      <c r="AL630" s="46" t="str">
        <f>IF(A630="","",TEXT(A630,"000000")&amp;"-"&amp;IF(C630="Entrada","CR","DB"))</f>
        <v>000629-DB</v>
      </c>
      <c r="AM630" s="46" t="str">
        <f>IF(A630="","",LEFT(IF(H630&lt;&gt;"",H630,G630)&amp;" | "&amp;G630&amp;" | "&amp;S630,60))</f>
        <v>Placa 2x4" p/ 1 função redonda telefone | Placa 2x4" p/ 1 fu</v>
      </c>
    </row>
    <row r="631" spans="1:39" ht="43.2" x14ac:dyDescent="0.3">
      <c r="A631" s="39">
        <v>630</v>
      </c>
      <c r="B631" s="39" t="s">
        <v>2</v>
      </c>
      <c r="C631" s="39" t="s">
        <v>74</v>
      </c>
      <c r="D631" s="39" t="s">
        <v>496</v>
      </c>
      <c r="E631" s="39" t="s">
        <v>496</v>
      </c>
      <c r="F631" s="39" t="s">
        <v>568</v>
      </c>
      <c r="G631" s="39" t="s">
        <v>598</v>
      </c>
      <c r="H631" s="40"/>
      <c r="I631" s="40"/>
      <c r="J631" s="40"/>
      <c r="K631" s="42">
        <v>46227</v>
      </c>
      <c r="L631" s="42"/>
      <c r="M631" s="44"/>
      <c r="N631" s="40"/>
      <c r="O631" s="40"/>
      <c r="P631" s="40"/>
      <c r="Q631" s="42">
        <f>IF(K631="","",K631)</f>
        <v>46227</v>
      </c>
      <c r="R631" s="39" t="s">
        <v>496</v>
      </c>
      <c r="S631" s="39" t="s">
        <v>498</v>
      </c>
      <c r="T631" s="39" t="s">
        <v>570</v>
      </c>
      <c r="U631" s="39" t="s">
        <v>275</v>
      </c>
      <c r="V631" s="39">
        <v>184</v>
      </c>
      <c r="W631" s="39" t="s">
        <v>605</v>
      </c>
      <c r="X631" s="41">
        <v>46216</v>
      </c>
      <c r="Y631" s="41">
        <v>46227</v>
      </c>
      <c r="Z631" s="43">
        <v>415.68</v>
      </c>
      <c r="AA631" s="45">
        <f>IF(M631&lt;&gt;"",M631,Z631)</f>
        <v>415.68</v>
      </c>
      <c r="AB631" s="46" t="str">
        <f>IF(L631&lt;&gt;"","Realizado","Previsto")</f>
        <v>Previsto</v>
      </c>
      <c r="AC631" s="47">
        <v>0.5</v>
      </c>
      <c r="AD631" s="43">
        <v>831.36</v>
      </c>
      <c r="AE631" s="39">
        <v>64</v>
      </c>
      <c r="AF631" s="39" t="s">
        <v>87</v>
      </c>
      <c r="AG631" s="43">
        <v>12.99</v>
      </c>
      <c r="AH631" s="39" t="s">
        <v>571</v>
      </c>
      <c r="AI631" s="39" t="s">
        <v>73</v>
      </c>
      <c r="AJ631" s="48">
        <f>IF(Q631&lt;&gt;"",Q631,IF(K631&lt;&gt;"",K631,""))</f>
        <v>46227</v>
      </c>
      <c r="AK631" s="46" t="str">
        <f>IF(K631&lt;&gt;"","Sim","")</f>
        <v>Sim</v>
      </c>
      <c r="AL631" s="46" t="str">
        <f>IF(A631="","",TEXT(A631,"000000")&amp;"-"&amp;IF(C631="Entrada","CR","DB"))</f>
        <v>000630-DB</v>
      </c>
      <c r="AM631" s="46" t="str">
        <f>IF(A631="","",LEFT(IF(H631&lt;&gt;"",H631,G631)&amp;" | "&amp;G631&amp;" | "&amp;S631,60))</f>
        <v xml:space="preserve">Placa 2x4" tomada TV/SAT | Placa 2x4" tomada TV/SAT | Saída </v>
      </c>
    </row>
    <row r="632" spans="1:39" ht="43.2" x14ac:dyDescent="0.3">
      <c r="A632" s="39">
        <v>631</v>
      </c>
      <c r="B632" s="39" t="s">
        <v>2</v>
      </c>
      <c r="C632" s="39" t="s">
        <v>74</v>
      </c>
      <c r="D632" s="39" t="s">
        <v>496</v>
      </c>
      <c r="E632" s="39" t="s">
        <v>496</v>
      </c>
      <c r="F632" s="39" t="s">
        <v>568</v>
      </c>
      <c r="G632" s="39" t="s">
        <v>599</v>
      </c>
      <c r="H632" s="40"/>
      <c r="I632" s="40"/>
      <c r="J632" s="40"/>
      <c r="K632" s="42">
        <v>46227</v>
      </c>
      <c r="L632" s="42"/>
      <c r="M632" s="44"/>
      <c r="N632" s="40"/>
      <c r="O632" s="40"/>
      <c r="P632" s="40"/>
      <c r="Q632" s="42">
        <f>IF(K632="","",K632)</f>
        <v>46227</v>
      </c>
      <c r="R632" s="39" t="s">
        <v>496</v>
      </c>
      <c r="S632" s="39" t="s">
        <v>498</v>
      </c>
      <c r="T632" s="39" t="s">
        <v>570</v>
      </c>
      <c r="U632" s="39" t="s">
        <v>275</v>
      </c>
      <c r="V632" s="39">
        <v>178</v>
      </c>
      <c r="W632" s="39" t="s">
        <v>605</v>
      </c>
      <c r="X632" s="41">
        <v>46216</v>
      </c>
      <c r="Y632" s="41">
        <v>46227</v>
      </c>
      <c r="Z632" s="43">
        <v>3782.4</v>
      </c>
      <c r="AA632" s="45">
        <f>IF(M632&lt;&gt;"",M632,Z632)</f>
        <v>3782.4</v>
      </c>
      <c r="AB632" s="46" t="str">
        <f>IF(L632&lt;&gt;"","Realizado","Previsto")</f>
        <v>Previsto</v>
      </c>
      <c r="AC632" s="47">
        <v>0.5</v>
      </c>
      <c r="AD632" s="43">
        <v>7564.8</v>
      </c>
      <c r="AE632" s="39">
        <v>960</v>
      </c>
      <c r="AF632" s="39" t="s">
        <v>87</v>
      </c>
      <c r="AG632" s="43">
        <v>7.88</v>
      </c>
      <c r="AH632" s="39" t="s">
        <v>571</v>
      </c>
      <c r="AI632" s="39" t="s">
        <v>73</v>
      </c>
      <c r="AJ632" s="48">
        <f>IF(Q632&lt;&gt;"",Q632,IF(K632&lt;&gt;"",K632,""))</f>
        <v>46227</v>
      </c>
      <c r="AK632" s="46" t="str">
        <f>IF(K632&lt;&gt;"","Sim","")</f>
        <v>Sim</v>
      </c>
      <c r="AL632" s="46" t="str">
        <f>IF(A632="","",TEXT(A632,"000000")&amp;"-"&amp;IF(C632="Entrada","CR","DB"))</f>
        <v>000631-DB</v>
      </c>
      <c r="AM632" s="46" t="str">
        <f>IF(A632="","",LEFT(IF(H632&lt;&gt;"",H632,G632)&amp;" | "&amp;G632&amp;" | "&amp;S632,60))</f>
        <v>Placa p/ 1 função | Placa p/ 1 função | Saída | ELETRICA EFI</v>
      </c>
    </row>
    <row r="633" spans="1:39" ht="43.2" x14ac:dyDescent="0.3">
      <c r="A633" s="39">
        <v>632</v>
      </c>
      <c r="B633" s="39" t="s">
        <v>2</v>
      </c>
      <c r="C633" s="39" t="s">
        <v>74</v>
      </c>
      <c r="D633" s="39" t="s">
        <v>496</v>
      </c>
      <c r="E633" s="39" t="s">
        <v>496</v>
      </c>
      <c r="F633" s="39" t="s">
        <v>568</v>
      </c>
      <c r="G633" s="39" t="s">
        <v>600</v>
      </c>
      <c r="H633" s="40"/>
      <c r="I633" s="40"/>
      <c r="J633" s="40"/>
      <c r="K633" s="42">
        <v>46227</v>
      </c>
      <c r="L633" s="42"/>
      <c r="M633" s="44"/>
      <c r="N633" s="40"/>
      <c r="O633" s="40"/>
      <c r="P633" s="40"/>
      <c r="Q633" s="42">
        <f>IF(K633="","",K633)</f>
        <v>46227</v>
      </c>
      <c r="R633" s="39" t="s">
        <v>496</v>
      </c>
      <c r="S633" s="39" t="s">
        <v>498</v>
      </c>
      <c r="T633" s="39" t="s">
        <v>570</v>
      </c>
      <c r="U633" s="39" t="s">
        <v>275</v>
      </c>
      <c r="V633" s="39">
        <v>179</v>
      </c>
      <c r="W633" s="39" t="s">
        <v>605</v>
      </c>
      <c r="X633" s="41">
        <v>46216</v>
      </c>
      <c r="Y633" s="41">
        <v>46227</v>
      </c>
      <c r="Z633" s="43">
        <v>1219.8399999999999</v>
      </c>
      <c r="AA633" s="45">
        <f>IF(M633&lt;&gt;"",M633,Z633)</f>
        <v>1219.8399999999999</v>
      </c>
      <c r="AB633" s="46" t="str">
        <f>IF(L633&lt;&gt;"","Realizado","Previsto")</f>
        <v>Previsto</v>
      </c>
      <c r="AC633" s="47">
        <v>0.5</v>
      </c>
      <c r="AD633" s="43">
        <v>2439.6799999999998</v>
      </c>
      <c r="AE633" s="39">
        <v>256</v>
      </c>
      <c r="AF633" s="39" t="s">
        <v>87</v>
      </c>
      <c r="AG633" s="43">
        <v>9.5299999999999994</v>
      </c>
      <c r="AH633" s="39" t="s">
        <v>571</v>
      </c>
      <c r="AI633" s="39" t="s">
        <v>73</v>
      </c>
      <c r="AJ633" s="48">
        <f>IF(Q633&lt;&gt;"",Q633,IF(K633&lt;&gt;"",K633,""))</f>
        <v>46227</v>
      </c>
      <c r="AK633" s="46" t="str">
        <f>IF(K633&lt;&gt;"","Sim","")</f>
        <v>Sim</v>
      </c>
      <c r="AL633" s="46" t="str">
        <f>IF(A633="","",TEXT(A633,"000000")&amp;"-"&amp;IF(C633="Entrada","CR","DB"))</f>
        <v>000632-DB</v>
      </c>
      <c r="AM633" s="46" t="str">
        <f>IF(A633="","",LEFT(IF(H633&lt;&gt;"",H633,G633)&amp;" | "&amp;G633&amp;" | "&amp;S633,60))</f>
        <v>Placa p/ 2 funções | Placa p/ 2 funções | Saída | ELETRICA E</v>
      </c>
    </row>
    <row r="634" spans="1:39" ht="43.2" x14ac:dyDescent="0.3">
      <c r="A634" s="39">
        <v>633</v>
      </c>
      <c r="B634" s="39" t="s">
        <v>2</v>
      </c>
      <c r="C634" s="39" t="s">
        <v>74</v>
      </c>
      <c r="D634" s="39" t="s">
        <v>496</v>
      </c>
      <c r="E634" s="39" t="s">
        <v>496</v>
      </c>
      <c r="F634" s="39" t="s">
        <v>568</v>
      </c>
      <c r="G634" s="39" t="s">
        <v>601</v>
      </c>
      <c r="H634" s="40"/>
      <c r="I634" s="40"/>
      <c r="J634" s="40"/>
      <c r="K634" s="42">
        <v>46227</v>
      </c>
      <c r="L634" s="42"/>
      <c r="M634" s="44"/>
      <c r="N634" s="40"/>
      <c r="O634" s="40"/>
      <c r="P634" s="40"/>
      <c r="Q634" s="42">
        <f>IF(K634="","",K634)</f>
        <v>46227</v>
      </c>
      <c r="R634" s="39" t="s">
        <v>496</v>
      </c>
      <c r="S634" s="39" t="s">
        <v>498</v>
      </c>
      <c r="T634" s="39" t="s">
        <v>570</v>
      </c>
      <c r="U634" s="39" t="s">
        <v>275</v>
      </c>
      <c r="V634" s="39">
        <v>193</v>
      </c>
      <c r="W634" s="39" t="s">
        <v>605</v>
      </c>
      <c r="X634" s="41">
        <v>46216</v>
      </c>
      <c r="Y634" s="41">
        <v>46227</v>
      </c>
      <c r="Z634" s="43">
        <v>1682.24</v>
      </c>
      <c r="AA634" s="45">
        <f>IF(M634&lt;&gt;"",M634,Z634)</f>
        <v>1682.24</v>
      </c>
      <c r="AB634" s="46" t="str">
        <f>IF(L634&lt;&gt;"","Realizado","Previsto")</f>
        <v>Previsto</v>
      </c>
      <c r="AC634" s="47">
        <v>0.5</v>
      </c>
      <c r="AD634" s="43">
        <v>3364.48</v>
      </c>
      <c r="AE634" s="39">
        <v>448</v>
      </c>
      <c r="AF634" s="39" t="s">
        <v>87</v>
      </c>
      <c r="AG634" s="43">
        <v>7.51</v>
      </c>
      <c r="AH634" s="39" t="s">
        <v>571</v>
      </c>
      <c r="AI634" s="39" t="s">
        <v>73</v>
      </c>
      <c r="AJ634" s="48">
        <f>IF(Q634&lt;&gt;"",Q634,IF(K634&lt;&gt;"",K634,""))</f>
        <v>46227</v>
      </c>
      <c r="AK634" s="46" t="str">
        <f>IF(K634&lt;&gt;"","Sim","")</f>
        <v>Sim</v>
      </c>
      <c r="AL634" s="46" t="str">
        <f>IF(A634="","",TEXT(A634,"000000")&amp;"-"&amp;IF(C634="Entrada","CR","DB"))</f>
        <v>000633-DB</v>
      </c>
      <c r="AM634" s="46" t="str">
        <f>IF(A634="","",LEFT(IF(H634&lt;&gt;"",H634,G634)&amp;" | "&amp;G634&amp;" | "&amp;S634,60))</f>
        <v>Plafon branco para lampada soquete | Plafon branco para lamp</v>
      </c>
    </row>
    <row r="635" spans="1:39" ht="43.2" x14ac:dyDescent="0.3">
      <c r="A635" s="39">
        <v>634</v>
      </c>
      <c r="B635" s="39" t="s">
        <v>2</v>
      </c>
      <c r="C635" s="39" t="s">
        <v>74</v>
      </c>
      <c r="D635" s="39" t="s">
        <v>496</v>
      </c>
      <c r="E635" s="39" t="s">
        <v>496</v>
      </c>
      <c r="F635" s="39" t="s">
        <v>568</v>
      </c>
      <c r="G635" s="39" t="s">
        <v>602</v>
      </c>
      <c r="H635" s="40"/>
      <c r="I635" s="40"/>
      <c r="J635" s="40"/>
      <c r="K635" s="42">
        <v>46227</v>
      </c>
      <c r="L635" s="42"/>
      <c r="M635" s="44"/>
      <c r="N635" s="40"/>
      <c r="O635" s="40"/>
      <c r="P635" s="40"/>
      <c r="Q635" s="42">
        <f>IF(K635="","",K635)</f>
        <v>46227</v>
      </c>
      <c r="R635" s="39" t="s">
        <v>496</v>
      </c>
      <c r="S635" s="39" t="s">
        <v>498</v>
      </c>
      <c r="T635" s="39" t="s">
        <v>570</v>
      </c>
      <c r="U635" s="39" t="s">
        <v>275</v>
      </c>
      <c r="V635" s="39">
        <v>186</v>
      </c>
      <c r="W635" s="39" t="s">
        <v>605</v>
      </c>
      <c r="X635" s="41">
        <v>46216</v>
      </c>
      <c r="Y635" s="41">
        <v>46227</v>
      </c>
      <c r="Z635" s="43">
        <v>181.44</v>
      </c>
      <c r="AA635" s="45">
        <f>IF(M635&lt;&gt;"",M635,Z635)</f>
        <v>181.44</v>
      </c>
      <c r="AB635" s="46" t="str">
        <f>IF(L635&lt;&gt;"","Realizado","Previsto")</f>
        <v>Previsto</v>
      </c>
      <c r="AC635" s="47">
        <v>0.5</v>
      </c>
      <c r="AD635" s="43">
        <v>362.88</v>
      </c>
      <c r="AE635" s="39">
        <v>64</v>
      </c>
      <c r="AF635" s="39" t="s">
        <v>87</v>
      </c>
      <c r="AG635" s="43">
        <v>5.67</v>
      </c>
      <c r="AH635" s="39" t="s">
        <v>571</v>
      </c>
      <c r="AI635" s="39" t="s">
        <v>73</v>
      </c>
      <c r="AJ635" s="48">
        <f>IF(Q635&lt;&gt;"",Q635,IF(K635&lt;&gt;"",K635,""))</f>
        <v>46227</v>
      </c>
      <c r="AK635" s="46" t="str">
        <f>IF(K635&lt;&gt;"","Sim","")</f>
        <v>Sim</v>
      </c>
      <c r="AL635" s="46" t="str">
        <f>IF(A635="","",TEXT(A635,"000000")&amp;"-"&amp;IF(C635="Entrada","CR","DB"))</f>
        <v>000634-DB</v>
      </c>
      <c r="AM635" s="46" t="str">
        <f>IF(A635="","",LEFT(IF(H635&lt;&gt;"",H635,G635)&amp;" | "&amp;G635&amp;" | "&amp;S635,60))</f>
        <v>Tomada telefone redonda 4P | Tomada telefone redonda 4P | Sa</v>
      </c>
    </row>
    <row r="636" spans="1:39" ht="43.2" x14ac:dyDescent="0.3">
      <c r="A636" s="39">
        <v>635</v>
      </c>
      <c r="B636" s="39" t="s">
        <v>2</v>
      </c>
      <c r="C636" s="39" t="s">
        <v>74</v>
      </c>
      <c r="D636" s="39" t="s">
        <v>496</v>
      </c>
      <c r="E636" s="39" t="s">
        <v>496</v>
      </c>
      <c r="F636" s="39" t="s">
        <v>568</v>
      </c>
      <c r="G636" s="39" t="s">
        <v>603</v>
      </c>
      <c r="H636" s="40"/>
      <c r="I636" s="40"/>
      <c r="J636" s="40"/>
      <c r="K636" s="42">
        <v>46227</v>
      </c>
      <c r="L636" s="42"/>
      <c r="M636" s="44"/>
      <c r="N636" s="40"/>
      <c r="O636" s="40"/>
      <c r="P636" s="40"/>
      <c r="Q636" s="42">
        <f>IF(K636="","",K636)</f>
        <v>46227</v>
      </c>
      <c r="R636" s="39" t="s">
        <v>496</v>
      </c>
      <c r="S636" s="39" t="s">
        <v>498</v>
      </c>
      <c r="T636" s="39" t="s">
        <v>570</v>
      </c>
      <c r="U636" s="39" t="s">
        <v>275</v>
      </c>
      <c r="V636" s="39">
        <v>183</v>
      </c>
      <c r="W636" s="39" t="s">
        <v>605</v>
      </c>
      <c r="X636" s="41">
        <v>46216</v>
      </c>
      <c r="Y636" s="41">
        <v>46227</v>
      </c>
      <c r="Z636" s="43">
        <v>5104</v>
      </c>
      <c r="AA636" s="45">
        <f>IF(M636&lt;&gt;"",M636,Z636)</f>
        <v>5104</v>
      </c>
      <c r="AB636" s="46" t="str">
        <f>IF(L636&lt;&gt;"","Realizado","Previsto")</f>
        <v>Previsto</v>
      </c>
      <c r="AC636" s="47">
        <v>0.5</v>
      </c>
      <c r="AD636" s="43">
        <v>10208</v>
      </c>
      <c r="AE636" s="39">
        <v>704</v>
      </c>
      <c r="AF636" s="39" t="s">
        <v>87</v>
      </c>
      <c r="AG636" s="43">
        <v>14.5</v>
      </c>
      <c r="AH636" s="39" t="s">
        <v>571</v>
      </c>
      <c r="AI636" s="39" t="s">
        <v>73</v>
      </c>
      <c r="AJ636" s="48">
        <f>IF(Q636&lt;&gt;"",Q636,IF(K636&lt;&gt;"",K636,""))</f>
        <v>46227</v>
      </c>
      <c r="AK636" s="46" t="str">
        <f>IF(K636&lt;&gt;"","Sim","")</f>
        <v>Sim</v>
      </c>
      <c r="AL636" s="46" t="str">
        <f>IF(A636="","",TEXT(A636,"000000")&amp;"-"&amp;IF(C636="Entrada","CR","DB"))</f>
        <v>000635-DB</v>
      </c>
      <c r="AM636" s="46" t="str">
        <f>IF(A636="","",LEFT(IF(H636&lt;&gt;"",H636,G636)&amp;" | "&amp;G636&amp;" | "&amp;S636,60))</f>
        <v>Tomada universal retangular simples 2P+T 15A | Tomada univer</v>
      </c>
    </row>
    <row r="637" spans="1:39" ht="43.2" x14ac:dyDescent="0.3">
      <c r="A637" s="39">
        <v>636</v>
      </c>
      <c r="B637" s="39" t="s">
        <v>2</v>
      </c>
      <c r="C637" s="39" t="s">
        <v>74</v>
      </c>
      <c r="D637" s="39" t="s">
        <v>408</v>
      </c>
      <c r="E637" s="39" t="s">
        <v>408</v>
      </c>
      <c r="F637" s="39" t="s">
        <v>461</v>
      </c>
      <c r="G637" s="39" t="s">
        <v>462</v>
      </c>
      <c r="H637" s="40"/>
      <c r="I637" s="40"/>
      <c r="J637" s="40"/>
      <c r="K637" s="42">
        <v>46227</v>
      </c>
      <c r="L637" s="42"/>
      <c r="M637" s="44"/>
      <c r="N637" s="40"/>
      <c r="O637" s="40"/>
      <c r="P637" s="40"/>
      <c r="Q637" s="42">
        <f>IF(K637="","",K637)</f>
        <v>46227</v>
      </c>
      <c r="R637" s="39" t="s">
        <v>408</v>
      </c>
      <c r="S637" s="39" t="s">
        <v>410</v>
      </c>
      <c r="T637" s="39" t="s">
        <v>463</v>
      </c>
      <c r="U637" s="39" t="s">
        <v>275</v>
      </c>
      <c r="V637" s="39">
        <v>145</v>
      </c>
      <c r="W637" s="39" t="s">
        <v>605</v>
      </c>
      <c r="X637" s="41">
        <v>46216</v>
      </c>
      <c r="Y637" s="41">
        <v>46227</v>
      </c>
      <c r="Z637" s="43">
        <v>7962.2400000000007</v>
      </c>
      <c r="AA637" s="45">
        <f>IF(M637&lt;&gt;"",M637,Z637)</f>
        <v>7962.2400000000007</v>
      </c>
      <c r="AB637" s="46" t="str">
        <f>IF(L637&lt;&gt;"","Realizado","Previsto")</f>
        <v>Previsto</v>
      </c>
      <c r="AC637" s="47">
        <v>0.33</v>
      </c>
      <c r="AD637" s="43">
        <v>24128</v>
      </c>
      <c r="AE637" s="39">
        <v>64</v>
      </c>
      <c r="AF637" s="39" t="s">
        <v>87</v>
      </c>
      <c r="AG637" s="43">
        <v>377</v>
      </c>
      <c r="AH637" s="39" t="s">
        <v>464</v>
      </c>
      <c r="AI637" s="39" t="s">
        <v>73</v>
      </c>
      <c r="AJ637" s="48">
        <f>IF(Q637&lt;&gt;"",Q637,IF(K637&lt;&gt;"",K637,""))</f>
        <v>46227</v>
      </c>
      <c r="AK637" s="46" t="str">
        <f>IF(K637&lt;&gt;"","Sim","")</f>
        <v>Sim</v>
      </c>
      <c r="AL637" s="46" t="str">
        <f>IF(A637="","",TEXT(A637,"000000")&amp;"-"&amp;IF(C637="Entrada","CR","DB"))</f>
        <v>000636-DB</v>
      </c>
      <c r="AM637" s="46" t="str">
        <f>IF(A637="","",LEFT(IF(H637&lt;&gt;"",H637,G637)&amp;" | "&amp;G637&amp;" | "&amp;S637,60))</f>
        <v>PORTA ALCAPAO ALUM.BCO (37MM) 60 x 50 | PORTA ALCAPAO ALUM.B</v>
      </c>
    </row>
    <row r="638" spans="1:39" ht="43.2" x14ac:dyDescent="0.3">
      <c r="A638" s="39">
        <v>637</v>
      </c>
      <c r="B638" s="39" t="s">
        <v>2</v>
      </c>
      <c r="C638" s="39" t="s">
        <v>74</v>
      </c>
      <c r="D638" s="39" t="s">
        <v>408</v>
      </c>
      <c r="E638" s="39" t="s">
        <v>408</v>
      </c>
      <c r="F638" s="39" t="s">
        <v>461</v>
      </c>
      <c r="G638" s="39" t="s">
        <v>467</v>
      </c>
      <c r="H638" s="40"/>
      <c r="I638" s="40"/>
      <c r="J638" s="40"/>
      <c r="K638" s="42">
        <v>46227</v>
      </c>
      <c r="L638" s="42"/>
      <c r="M638" s="44"/>
      <c r="N638" s="40"/>
      <c r="O638" s="40"/>
      <c r="P638" s="40"/>
      <c r="Q638" s="42">
        <f>IF(K638="","",K638)</f>
        <v>46227</v>
      </c>
      <c r="R638" s="39" t="s">
        <v>408</v>
      </c>
      <c r="S638" s="39" t="s">
        <v>410</v>
      </c>
      <c r="T638" s="39" t="s">
        <v>463</v>
      </c>
      <c r="U638" s="39" t="s">
        <v>275</v>
      </c>
      <c r="V638" s="39">
        <v>144</v>
      </c>
      <c r="W638" s="39" t="s">
        <v>605</v>
      </c>
      <c r="X638" s="41">
        <v>46216</v>
      </c>
      <c r="Y638" s="41">
        <v>46227</v>
      </c>
      <c r="Z638" s="43">
        <v>3907.2</v>
      </c>
      <c r="AA638" s="45">
        <f>IF(M638&lt;&gt;"",M638,Z638)</f>
        <v>3907.2</v>
      </c>
      <c r="AB638" s="46" t="str">
        <f>IF(L638&lt;&gt;"","Realizado","Previsto")</f>
        <v>Previsto</v>
      </c>
      <c r="AC638" s="47">
        <v>0.33</v>
      </c>
      <c r="AD638" s="43">
        <v>11840</v>
      </c>
      <c r="AE638" s="39">
        <v>64</v>
      </c>
      <c r="AF638" s="39" t="s">
        <v>87</v>
      </c>
      <c r="AG638" s="43">
        <v>185</v>
      </c>
      <c r="AH638" s="39" t="s">
        <v>464</v>
      </c>
      <c r="AI638" s="39" t="s">
        <v>73</v>
      </c>
      <c r="AJ638" s="48">
        <f>IF(Q638&lt;&gt;"",Q638,IF(K638&lt;&gt;"",K638,""))</f>
        <v>46227</v>
      </c>
      <c r="AK638" s="46" t="str">
        <f>IF(K638&lt;&gt;"","Sim","")</f>
        <v>Sim</v>
      </c>
      <c r="AL638" s="46" t="str">
        <f>IF(A638="","",TEXT(A638,"000000")&amp;"-"&amp;IF(C638="Entrada","CR","DB"))</f>
        <v>000637-DB</v>
      </c>
      <c r="AM638" s="46" t="str">
        <f>IF(A638="","",LEFT(IF(H638&lt;&gt;"",H638,G638)&amp;" | "&amp;G638&amp;" | "&amp;S638,60))</f>
        <v>VITRO MAXIMO-AR ALUM.BCO (38MM) 60 X 60 MBOREAL | VITRO MAXI</v>
      </c>
    </row>
    <row r="639" spans="1:39" ht="43.2" x14ac:dyDescent="0.3">
      <c r="A639" s="39">
        <v>638</v>
      </c>
      <c r="B639" s="39" t="s">
        <v>2</v>
      </c>
      <c r="C639" s="39" t="s">
        <v>74</v>
      </c>
      <c r="D639" s="39" t="s">
        <v>408</v>
      </c>
      <c r="E639" s="39" t="s">
        <v>408</v>
      </c>
      <c r="F639" s="39" t="s">
        <v>461</v>
      </c>
      <c r="G639" s="39" t="s">
        <v>468</v>
      </c>
      <c r="H639" s="40"/>
      <c r="I639" s="40"/>
      <c r="J639" s="40"/>
      <c r="K639" s="42">
        <v>46227</v>
      </c>
      <c r="L639" s="42"/>
      <c r="M639" s="44"/>
      <c r="N639" s="40"/>
      <c r="O639" s="40"/>
      <c r="P639" s="40"/>
      <c r="Q639" s="42">
        <f>IF(K639="","",K639)</f>
        <v>46227</v>
      </c>
      <c r="R639" s="39" t="s">
        <v>408</v>
      </c>
      <c r="S639" s="39" t="s">
        <v>410</v>
      </c>
      <c r="T639" s="39" t="s">
        <v>463</v>
      </c>
      <c r="U639" s="39" t="s">
        <v>275</v>
      </c>
      <c r="V639" s="39">
        <v>143</v>
      </c>
      <c r="W639" s="39" t="s">
        <v>605</v>
      </c>
      <c r="X639" s="41">
        <v>46216</v>
      </c>
      <c r="Y639" s="41">
        <v>46227</v>
      </c>
      <c r="Z639" s="43">
        <v>29145.599999999999</v>
      </c>
      <c r="AA639" s="45">
        <f>IF(M639&lt;&gt;"",M639,Z639)</f>
        <v>29145.599999999999</v>
      </c>
      <c r="AB639" s="46" t="str">
        <f>IF(L639&lt;&gt;"","Realizado","Previsto")</f>
        <v>Previsto</v>
      </c>
      <c r="AC639" s="47">
        <v>0.33</v>
      </c>
      <c r="AD639" s="43">
        <v>88320</v>
      </c>
      <c r="AE639" s="39">
        <v>192</v>
      </c>
      <c r="AF639" s="39" t="s">
        <v>87</v>
      </c>
      <c r="AG639" s="43">
        <v>460</v>
      </c>
      <c r="AH639" s="39" t="s">
        <v>464</v>
      </c>
      <c r="AI639" s="39" t="s">
        <v>73</v>
      </c>
      <c r="AJ639" s="48">
        <f>IF(Q639&lt;&gt;"",Q639,IF(K639&lt;&gt;"",K639,""))</f>
        <v>46227</v>
      </c>
      <c r="AK639" s="46" t="str">
        <f>IF(K639&lt;&gt;"","Sim","")</f>
        <v>Sim</v>
      </c>
      <c r="AL639" s="46" t="str">
        <f>IF(A639="","",TEXT(A639,"000000")&amp;"-"&amp;IF(C639="Entrada","CR","DB"))</f>
        <v>000638-DB</v>
      </c>
      <c r="AM639" s="46" t="str">
        <f>IF(A639="","",LEFT(IF(H639&lt;&gt;"",H639,G639)&amp;" | "&amp;G639&amp;" | "&amp;S639,60))</f>
        <v>VITRO SOFT AL.BC 2FL (53MM) 120 X 1,20 | VITRO SOFT AL.BC 2F</v>
      </c>
    </row>
    <row r="640" spans="1:39" ht="43.2" x14ac:dyDescent="0.3">
      <c r="A640" s="39">
        <v>639</v>
      </c>
      <c r="B640" s="39" t="s">
        <v>2</v>
      </c>
      <c r="C640" s="39" t="s">
        <v>74</v>
      </c>
      <c r="D640" s="39" t="s">
        <v>502</v>
      </c>
      <c r="E640" s="39" t="s">
        <v>503</v>
      </c>
      <c r="F640" s="39" t="s">
        <v>83</v>
      </c>
      <c r="G640" s="39" t="s">
        <v>509</v>
      </c>
      <c r="H640" s="40"/>
      <c r="I640" s="40"/>
      <c r="J640" s="40"/>
      <c r="K640" s="42">
        <v>46227</v>
      </c>
      <c r="L640" s="42"/>
      <c r="M640" s="44"/>
      <c r="N640" s="40"/>
      <c r="O640" s="40"/>
      <c r="P640" s="40"/>
      <c r="Q640" s="42">
        <f>IF(K640="","",K640)</f>
        <v>46227</v>
      </c>
      <c r="R640" s="39" t="s">
        <v>502</v>
      </c>
      <c r="S640" s="39" t="s">
        <v>505</v>
      </c>
      <c r="T640" s="39" t="s">
        <v>506</v>
      </c>
      <c r="U640" s="39"/>
      <c r="V640" s="39">
        <v>247</v>
      </c>
      <c r="W640" s="39" t="s">
        <v>605</v>
      </c>
      <c r="X640" s="41">
        <v>46216</v>
      </c>
      <c r="Y640" s="41">
        <v>46227</v>
      </c>
      <c r="Z640" s="43">
        <v>4727.499616000001</v>
      </c>
      <c r="AA640" s="45">
        <f>IF(M640&lt;&gt;"",M640,Z640)</f>
        <v>4727.499616000001</v>
      </c>
      <c r="AB640" s="46" t="str">
        <f>IF(L640&lt;&gt;"","Realizado","Previsto")</f>
        <v>Previsto</v>
      </c>
      <c r="AC640" s="47">
        <v>0.47554999999999997</v>
      </c>
      <c r="AD640" s="43">
        <v>9941.1200000000008</v>
      </c>
      <c r="AE640" s="39">
        <v>2840.32</v>
      </c>
      <c r="AF640" s="39" t="s">
        <v>510</v>
      </c>
      <c r="AG640" s="43">
        <v>3.5</v>
      </c>
      <c r="AH640" s="39" t="s">
        <v>507</v>
      </c>
      <c r="AI640" s="39" t="s">
        <v>73</v>
      </c>
      <c r="AJ640" s="48">
        <f>IF(Q640&lt;&gt;"",Q640,IF(K640&lt;&gt;"",K640,""))</f>
        <v>46227</v>
      </c>
      <c r="AK640" s="46" t="str">
        <f>IF(K640&lt;&gt;"","Sim","")</f>
        <v>Sim</v>
      </c>
      <c r="AL640" s="46" t="str">
        <f>IF(A640="","",TEXT(A640,"000000")&amp;"-"&amp;IF(C640="Entrada","CR","DB"))</f>
        <v>000639-DB</v>
      </c>
      <c r="AM640" s="46" t="str">
        <f>IF(A640="","",LEFT(IF(H640&lt;&gt;"",H640,G640)&amp;" | "&amp;G640&amp;" | "&amp;S640,60))</f>
        <v>Mao de obra terceirizada limpeza final | Mao de obra terceir</v>
      </c>
    </row>
    <row r="641" spans="1:39" ht="43.2" x14ac:dyDescent="0.3">
      <c r="A641" s="39">
        <v>640</v>
      </c>
      <c r="B641" s="39" t="s">
        <v>2</v>
      </c>
      <c r="C641" s="39" t="s">
        <v>74</v>
      </c>
      <c r="D641" s="39" t="s">
        <v>418</v>
      </c>
      <c r="E641" s="39" t="s">
        <v>419</v>
      </c>
      <c r="F641" s="39" t="s">
        <v>461</v>
      </c>
      <c r="G641" s="39" t="s">
        <v>483</v>
      </c>
      <c r="H641" s="40"/>
      <c r="I641" s="40"/>
      <c r="J641" s="40"/>
      <c r="K641" s="42">
        <v>46227</v>
      </c>
      <c r="L641" s="42"/>
      <c r="M641" s="44"/>
      <c r="N641" s="40"/>
      <c r="O641" s="40"/>
      <c r="P641" s="40"/>
      <c r="Q641" s="42">
        <f>IF(K641="","",K641)</f>
        <v>46227</v>
      </c>
      <c r="R641" s="39" t="s">
        <v>418</v>
      </c>
      <c r="S641" s="39" t="s">
        <v>421</v>
      </c>
      <c r="T641" s="39" t="s">
        <v>484</v>
      </c>
      <c r="U641" s="39" t="s">
        <v>275</v>
      </c>
      <c r="V641" s="39">
        <v>135</v>
      </c>
      <c r="W641" s="39" t="s">
        <v>605</v>
      </c>
      <c r="X641" s="41">
        <v>46216</v>
      </c>
      <c r="Y641" s="41">
        <v>46227</v>
      </c>
      <c r="Z641" s="43">
        <v>32389.632000000009</v>
      </c>
      <c r="AA641" s="45">
        <f>IF(M641&lt;&gt;"",M641,Z641)</f>
        <v>32389.632000000009</v>
      </c>
      <c r="AB641" s="46" t="str">
        <f>IF(L641&lt;&gt;"","Realizado","Previsto")</f>
        <v>Previsto</v>
      </c>
      <c r="AC641" s="47">
        <v>0.33</v>
      </c>
      <c r="AD641" s="43">
        <v>98150.400000000009</v>
      </c>
      <c r="AE641" s="39">
        <v>64</v>
      </c>
      <c r="AF641" s="39" t="s">
        <v>87</v>
      </c>
      <c r="AG641" s="43">
        <v>1533.6</v>
      </c>
      <c r="AH641" s="39" t="s">
        <v>485</v>
      </c>
      <c r="AI641" s="39" t="s">
        <v>73</v>
      </c>
      <c r="AJ641" s="48">
        <f>IF(Q641&lt;&gt;"",Q641,IF(K641&lt;&gt;"",K641,""))</f>
        <v>46227</v>
      </c>
      <c r="AK641" s="46" t="str">
        <f>IF(K641&lt;&gt;"","Sim","")</f>
        <v>Sim</v>
      </c>
      <c r="AL641" s="46" t="str">
        <f>IF(A641="","",TEXT(A641,"000000")&amp;"-"&amp;IF(C641="Entrada","CR","DB"))</f>
        <v>000640-DB</v>
      </c>
      <c r="AM641" s="46" t="str">
        <f>IF(A641="","",LEFT(IF(H641&lt;&gt;"",H641,G641)&amp;" | "&amp;G641&amp;" | "&amp;S641,60))</f>
        <v xml:space="preserve">PORTA LAMINADA AL.BCO SOFT (37MM) ESQUERDA. 215X120 | PORTA </v>
      </c>
    </row>
    <row r="642" spans="1:39" ht="43.2" x14ac:dyDescent="0.3">
      <c r="A642" s="39">
        <v>641</v>
      </c>
      <c r="B642" s="39" t="s">
        <v>2</v>
      </c>
      <c r="C642" s="39" t="s">
        <v>74</v>
      </c>
      <c r="D642" s="39" t="s">
        <v>418</v>
      </c>
      <c r="E642" s="39" t="s">
        <v>419</v>
      </c>
      <c r="F642" s="39" t="s">
        <v>461</v>
      </c>
      <c r="G642" s="39" t="s">
        <v>486</v>
      </c>
      <c r="H642" s="40"/>
      <c r="I642" s="40"/>
      <c r="J642" s="40"/>
      <c r="K642" s="42">
        <v>46227</v>
      </c>
      <c r="L642" s="42"/>
      <c r="M642" s="44"/>
      <c r="N642" s="40"/>
      <c r="O642" s="40"/>
      <c r="P642" s="40"/>
      <c r="Q642" s="42">
        <f>IF(K642="","",K642)</f>
        <v>46227</v>
      </c>
      <c r="R642" s="39" t="s">
        <v>418</v>
      </c>
      <c r="S642" s="39" t="s">
        <v>421</v>
      </c>
      <c r="T642" s="39" t="s">
        <v>484</v>
      </c>
      <c r="U642" s="39" t="s">
        <v>275</v>
      </c>
      <c r="V642" s="39">
        <v>134</v>
      </c>
      <c r="W642" s="39" t="s">
        <v>605</v>
      </c>
      <c r="X642" s="41">
        <v>46216</v>
      </c>
      <c r="Y642" s="41">
        <v>46227</v>
      </c>
      <c r="Z642" s="43">
        <v>13001.0496</v>
      </c>
      <c r="AA642" s="45">
        <f>IF(M642&lt;&gt;"",M642,Z642)</f>
        <v>13001.0496</v>
      </c>
      <c r="AB642" s="46" t="str">
        <f>IF(L642&lt;&gt;"","Realizado","Previsto")</f>
        <v>Previsto</v>
      </c>
      <c r="AC642" s="47">
        <v>0.33</v>
      </c>
      <c r="AD642" s="43">
        <v>39397.120000000003</v>
      </c>
      <c r="AE642" s="39">
        <v>64</v>
      </c>
      <c r="AF642" s="39" t="s">
        <v>87</v>
      </c>
      <c r="AG642" s="43">
        <v>615.58000000000004</v>
      </c>
      <c r="AH642" s="39" t="s">
        <v>485</v>
      </c>
      <c r="AI642" s="39" t="s">
        <v>73</v>
      </c>
      <c r="AJ642" s="48">
        <f>IF(Q642&lt;&gt;"",Q642,IF(K642&lt;&gt;"",K642,""))</f>
        <v>46227</v>
      </c>
      <c r="AK642" s="46" t="str">
        <f>IF(K642&lt;&gt;"","Sim","")</f>
        <v>Sim</v>
      </c>
      <c r="AL642" s="46" t="str">
        <f>IF(A642="","",TEXT(A642,"000000")&amp;"-"&amp;IF(C642="Entrada","CR","DB"))</f>
        <v>000641-DB</v>
      </c>
      <c r="AM642" s="46" t="str">
        <f>IF(A642="","",LEFT(IF(H642&lt;&gt;"",H642,G642)&amp;" | "&amp;G642&amp;" | "&amp;S642,60))</f>
        <v>PORTA LAMINADA AL.BCO SOFT(37MM) DIR. 215X94 | PORTA LAMINAD</v>
      </c>
    </row>
    <row r="643" spans="1:39" ht="43.2" x14ac:dyDescent="0.3">
      <c r="A643" s="39">
        <v>642</v>
      </c>
      <c r="B643" s="39" t="s">
        <v>2</v>
      </c>
      <c r="C643" s="39" t="s">
        <v>74</v>
      </c>
      <c r="D643" s="39" t="s">
        <v>120</v>
      </c>
      <c r="E643" s="39" t="s">
        <v>120</v>
      </c>
      <c r="F643" s="39" t="s">
        <v>120</v>
      </c>
      <c r="G643" s="39" t="s">
        <v>121</v>
      </c>
      <c r="H643" s="40"/>
      <c r="I643" s="40"/>
      <c r="J643" s="40"/>
      <c r="K643" s="42">
        <v>46227</v>
      </c>
      <c r="L643" s="42"/>
      <c r="M643" s="44"/>
      <c r="N643" s="40"/>
      <c r="O643" s="40"/>
      <c r="P643" s="40"/>
      <c r="Q643" s="42">
        <f>IF(K643="","",K643)</f>
        <v>46227</v>
      </c>
      <c r="R643" s="39" t="s">
        <v>120</v>
      </c>
      <c r="S643" s="39" t="s">
        <v>122</v>
      </c>
      <c r="T643" s="39" t="s">
        <v>123</v>
      </c>
      <c r="U643" s="39"/>
      <c r="V643" s="39">
        <v>267</v>
      </c>
      <c r="W643" s="39" t="s">
        <v>605</v>
      </c>
      <c r="X643" s="41">
        <v>46216</v>
      </c>
      <c r="Y643" s="41">
        <v>46227</v>
      </c>
      <c r="Z643" s="43">
        <v>206926.053216</v>
      </c>
      <c r="AA643" s="45">
        <f>IF(M643&lt;&gt;"",M643,Z643)</f>
        <v>206926.053216</v>
      </c>
      <c r="AB643" s="46" t="str">
        <f>IF(L643&lt;&gt;"","Realizado","Previsto")</f>
        <v>Previsto</v>
      </c>
      <c r="AC643" s="47"/>
      <c r="AD643" s="43">
        <v>5780911.3615999985</v>
      </c>
      <c r="AE643" s="39"/>
      <c r="AF643" s="39" t="s">
        <v>79</v>
      </c>
      <c r="AG643" s="43"/>
      <c r="AH643" s="39"/>
      <c r="AI643" s="39" t="s">
        <v>73</v>
      </c>
      <c r="AJ643" s="48">
        <f>IF(Q643&lt;&gt;"",Q643,IF(K643&lt;&gt;"",K643,""))</f>
        <v>46227</v>
      </c>
      <c r="AK643" s="46" t="str">
        <f>IF(K643&lt;&gt;"","Sim","")</f>
        <v>Sim</v>
      </c>
      <c r="AL643" s="46" t="str">
        <f>IF(A643="","",TEXT(A643,"000000")&amp;"-"&amp;IF(C643="Entrada","CR","DB"))</f>
        <v>000642-DB</v>
      </c>
      <c r="AM643" s="46" t="str">
        <f>IF(A643="","",LEFT(IF(H643&lt;&gt;"",H643,G643)&amp;" | "&amp;G643&amp;" | "&amp;S643,60))</f>
        <v>TOTALIZADOR CUSTO GLOBAIS OBRAS - MENSAL | TOTALIZADOR CUSTO</v>
      </c>
    </row>
    <row r="644" spans="1:39" ht="43.2" x14ac:dyDescent="0.3">
      <c r="A644" s="39">
        <v>643</v>
      </c>
      <c r="B644" s="39" t="s">
        <v>2</v>
      </c>
      <c r="C644" s="39" t="s">
        <v>74</v>
      </c>
      <c r="D644" s="39" t="s">
        <v>82</v>
      </c>
      <c r="E644" s="39" t="s">
        <v>82</v>
      </c>
      <c r="F644" s="39" t="s">
        <v>90</v>
      </c>
      <c r="G644" s="39" t="s">
        <v>91</v>
      </c>
      <c r="H644" s="40"/>
      <c r="I644" s="40"/>
      <c r="J644" s="40"/>
      <c r="K644" s="42">
        <v>46094</v>
      </c>
      <c r="L644" s="42"/>
      <c r="M644" s="44"/>
      <c r="N644" s="40"/>
      <c r="O644" s="40"/>
      <c r="P644" s="40"/>
      <c r="Q644" s="42">
        <f>IF(K644="","",K644)</f>
        <v>46094</v>
      </c>
      <c r="R644" s="39" t="s">
        <v>82</v>
      </c>
      <c r="S644" s="39" t="s">
        <v>85</v>
      </c>
      <c r="T644" s="39" t="s">
        <v>92</v>
      </c>
      <c r="U644" s="39"/>
      <c r="V644" s="39">
        <v>260</v>
      </c>
      <c r="W644" s="39" t="s">
        <v>72</v>
      </c>
      <c r="X644" s="41">
        <v>46090</v>
      </c>
      <c r="Y644" s="41">
        <v>46101</v>
      </c>
      <c r="Z644" s="43">
        <v>6000</v>
      </c>
      <c r="AA644" s="45">
        <f>13000/3</f>
        <v>4333.333333333333</v>
      </c>
      <c r="AB644" s="46" t="str">
        <f>IF(L644&lt;&gt;"","Realizado","Previsto")</f>
        <v>Previsto</v>
      </c>
      <c r="AC644" s="47">
        <v>1</v>
      </c>
      <c r="AD644" s="43">
        <f>13000/3</f>
        <v>4333.333333333333</v>
      </c>
      <c r="AE644" s="39"/>
      <c r="AF644" s="39" t="s">
        <v>79</v>
      </c>
      <c r="AG644" s="43">
        <v>2000</v>
      </c>
      <c r="AH644" s="39" t="s">
        <v>93</v>
      </c>
      <c r="AI644" s="39" t="s">
        <v>73</v>
      </c>
      <c r="AJ644" s="48">
        <f>IF(Q644&lt;&gt;"",Q644,IF(K644&lt;&gt;"",K644,""))</f>
        <v>46094</v>
      </c>
      <c r="AK644" s="46" t="str">
        <f>IF(K644&lt;&gt;"","Sim","")</f>
        <v>Sim</v>
      </c>
      <c r="AL644" s="46" t="str">
        <f>IF(A644="","",TEXT(A644,"000000")&amp;"-"&amp;IF(C644="Entrada","CR","DB"))</f>
        <v>000643-DB</v>
      </c>
      <c r="AM644" s="46" t="str">
        <f>IF(A644="","",LEFT(IF(H644&lt;&gt;"",H644,G644)&amp;" | "&amp;G644&amp;" | "&amp;S644,60))</f>
        <v>TOPOGRAFO | TOPOGRAFO | Saída | GESTÃO LOCAL</v>
      </c>
    </row>
    <row r="645" spans="1:39" ht="43.2" x14ac:dyDescent="0.3">
      <c r="A645" s="39">
        <v>643</v>
      </c>
      <c r="B645" s="39" t="s">
        <v>2</v>
      </c>
      <c r="C645" s="39" t="s">
        <v>74</v>
      </c>
      <c r="D645" s="39" t="s">
        <v>82</v>
      </c>
      <c r="E645" s="39" t="s">
        <v>82</v>
      </c>
      <c r="F645" s="39" t="s">
        <v>90</v>
      </c>
      <c r="G645" s="39" t="s">
        <v>91</v>
      </c>
      <c r="H645" s="40"/>
      <c r="I645" s="40"/>
      <c r="J645" s="40"/>
      <c r="K645" s="42">
        <v>46098</v>
      </c>
      <c r="L645" s="42"/>
      <c r="M645" s="44"/>
      <c r="N645" s="40"/>
      <c r="O645" s="40"/>
      <c r="P645" s="40"/>
      <c r="Q645" s="42">
        <f>IF(K645="","",K645)</f>
        <v>46098</v>
      </c>
      <c r="R645" s="39" t="s">
        <v>82</v>
      </c>
      <c r="S645" s="39" t="s">
        <v>85</v>
      </c>
      <c r="T645" s="39" t="s">
        <v>92</v>
      </c>
      <c r="U645" s="39"/>
      <c r="V645" s="39">
        <v>260</v>
      </c>
      <c r="W645" s="39" t="s">
        <v>72</v>
      </c>
      <c r="X645" s="41">
        <v>46090</v>
      </c>
      <c r="Y645" s="41">
        <v>46101</v>
      </c>
      <c r="Z645" s="43">
        <v>6000</v>
      </c>
      <c r="AA645" s="45">
        <f>13000/3</f>
        <v>4333.333333333333</v>
      </c>
      <c r="AB645" s="46" t="str">
        <f>IF(L645&lt;&gt;"","Realizado","Previsto")</f>
        <v>Previsto</v>
      </c>
      <c r="AC645" s="47">
        <v>1</v>
      </c>
      <c r="AD645" s="43">
        <v>6000</v>
      </c>
      <c r="AE645" s="39"/>
      <c r="AF645" s="39" t="s">
        <v>79</v>
      </c>
      <c r="AG645" s="43">
        <v>2000</v>
      </c>
      <c r="AH645" s="39" t="s">
        <v>93</v>
      </c>
      <c r="AI645" s="39" t="s">
        <v>73</v>
      </c>
      <c r="AJ645" s="48">
        <f>IF(Q645&lt;&gt;"",Q645,IF(K645&lt;&gt;"",K645,""))</f>
        <v>46098</v>
      </c>
      <c r="AK645" s="46" t="str">
        <f>IF(K645&lt;&gt;"","Sim","")</f>
        <v>Sim</v>
      </c>
      <c r="AL645" s="46" t="str">
        <f>IF(A645="","",TEXT(A645,"000000")&amp;"-"&amp;IF(C645="Entrada","CR","DB"))</f>
        <v>000643-DB</v>
      </c>
      <c r="AM645" s="46" t="str">
        <f>IF(A645="","",LEFT(IF(H645&lt;&gt;"",H645,G645)&amp;" | "&amp;G645&amp;" | "&amp;S645,60))</f>
        <v>TOPOGRAFO | TOPOGRAFO | Saída | GESTÃO LOCAL</v>
      </c>
    </row>
  </sheetData>
  <autoFilter ref="A1:AM645" xr:uid="{00000000-0009-0000-0000-000001000000}"/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4"/>
  <sheetViews>
    <sheetView showGridLines="0" workbookViewId="0">
      <pane ySplit="5" topLeftCell="A6" activePane="bottomLeft" state="frozen"/>
      <selection pane="bottomLeft" activeCell="B4" sqref="B4"/>
    </sheetView>
  </sheetViews>
  <sheetFormatPr defaultRowHeight="14.4" x14ac:dyDescent="0.3"/>
  <cols>
    <col min="1" max="1" width="12" customWidth="1"/>
    <col min="2" max="3" width="20" customWidth="1"/>
    <col min="4" max="7" width="18" customWidth="1"/>
    <col min="8" max="8" width="24" customWidth="1"/>
  </cols>
  <sheetData>
    <row r="1" spans="1:8" ht="18" x14ac:dyDescent="0.35">
      <c r="A1" s="34" t="s">
        <v>606</v>
      </c>
      <c r="B1" s="35"/>
      <c r="C1" s="35"/>
      <c r="D1" s="35"/>
      <c r="E1" s="35"/>
      <c r="F1" s="35"/>
      <c r="G1" s="35"/>
      <c r="H1" s="35"/>
    </row>
    <row r="2" spans="1:8" x14ac:dyDescent="0.3">
      <c r="A2" s="36" t="s">
        <v>607</v>
      </c>
      <c r="B2" s="35"/>
      <c r="C2" s="35"/>
      <c r="D2" s="35"/>
      <c r="E2" s="35"/>
      <c r="F2" s="35"/>
      <c r="G2" s="35"/>
      <c r="H2" s="35"/>
    </row>
    <row r="3" spans="1:8" x14ac:dyDescent="0.3">
      <c r="A3" t="s">
        <v>608</v>
      </c>
      <c r="B3" s="10">
        <v>720000</v>
      </c>
      <c r="D3" s="1" t="s">
        <v>609</v>
      </c>
      <c r="E3" s="11">
        <v>46090</v>
      </c>
      <c r="F3" s="1" t="s">
        <v>610</v>
      </c>
      <c r="G3" s="11">
        <v>46287</v>
      </c>
    </row>
    <row r="5" spans="1:8" ht="28.8" x14ac:dyDescent="0.3">
      <c r="A5" s="12" t="s">
        <v>611</v>
      </c>
      <c r="B5" s="12" t="s">
        <v>612</v>
      </c>
      <c r="C5" s="12" t="s">
        <v>613</v>
      </c>
      <c r="D5" s="12" t="s">
        <v>614</v>
      </c>
      <c r="E5" s="12" t="s">
        <v>615</v>
      </c>
      <c r="F5" s="12" t="s">
        <v>616</v>
      </c>
      <c r="G5" s="12" t="s">
        <v>617</v>
      </c>
      <c r="H5" s="12" t="s">
        <v>618</v>
      </c>
    </row>
    <row r="6" spans="1:8" x14ac:dyDescent="0.3">
      <c r="A6" s="13">
        <v>46090</v>
      </c>
      <c r="B6" s="14">
        <f>SUMIFS(BASE_CAIXA!$Z$2:$Z$643,BASE_CAIXA!$C$2:$C$643,"Entrada",BASE_CAIXA!$K$2:$K$643,A6,BASE_CAIXA!$L$2:$L$643,"")</f>
        <v>0</v>
      </c>
      <c r="C6" s="14">
        <f>SUMIFS(BASE_CAIXA!$Z$2:$Z$643,BASE_CAIXA!$C$2:$C$643,"Saída",BASE_CAIXA!$K$2:$K$643,A6,BASE_CAIXA!$L$2:$L$643,"")</f>
        <v>32000</v>
      </c>
      <c r="D6" s="14">
        <f>SUMIFS(BASE_CAIXA!$AA$2:$AA$643,BASE_CAIXA!$C$2:$C$643,"Entrada",BASE_CAIXA!$L$2:$L$643,A6)</f>
        <v>0</v>
      </c>
      <c r="E6" s="14">
        <f>SUMIFS(BASE_CAIXA!$AA$2:$AA$643,BASE_CAIXA!$C$2:$C$643,"Saída",BASE_CAIXA!$L$2:$L$643,A6)</f>
        <v>0</v>
      </c>
      <c r="F6" s="14">
        <f t="shared" ref="F6:F37" si="0">B6-C6+D6-E6</f>
        <v>-32000</v>
      </c>
      <c r="G6" s="14">
        <f>$B$3+F6</f>
        <v>688000</v>
      </c>
    </row>
    <row r="7" spans="1:8" x14ac:dyDescent="0.3">
      <c r="A7" s="13">
        <v>46091</v>
      </c>
      <c r="B7" s="14">
        <f>SUMIFS(BASE_CAIXA!$Z$2:$Z$643,BASE_CAIXA!$C$2:$C$643,"Entrada",BASE_CAIXA!$K$2:$K$643,A7,BASE_CAIXA!$L$2:$L$643,"")</f>
        <v>0</v>
      </c>
      <c r="C7" s="14">
        <f>SUMIFS(BASE_CAIXA!$Z$2:$Z$643,BASE_CAIXA!$C$2:$C$643,"Saída",BASE_CAIXA!$K$2:$K$643,A7,BASE_CAIXA!$L$2:$L$643,"")</f>
        <v>0</v>
      </c>
      <c r="D7" s="14">
        <f>SUMIFS(BASE_CAIXA!$AA$2:$AA$643,BASE_CAIXA!$C$2:$C$643,"Entrada",BASE_CAIXA!$L$2:$L$643,A7)</f>
        <v>0</v>
      </c>
      <c r="E7" s="14">
        <f>SUMIFS(BASE_CAIXA!$AA$2:$AA$643,BASE_CAIXA!$C$2:$C$643,"Saída",BASE_CAIXA!$L$2:$L$643,A7)</f>
        <v>0</v>
      </c>
      <c r="F7" s="14">
        <f t="shared" si="0"/>
        <v>0</v>
      </c>
      <c r="G7" s="14">
        <f t="shared" ref="G7:G38" si="1">G6+F7</f>
        <v>688000</v>
      </c>
    </row>
    <row r="8" spans="1:8" x14ac:dyDescent="0.3">
      <c r="A8" s="13">
        <v>46092</v>
      </c>
      <c r="B8" s="14">
        <f>SUMIFS(BASE_CAIXA!$Z$2:$Z$643,BASE_CAIXA!$C$2:$C$643,"Entrada",BASE_CAIXA!$K$2:$K$643,A8,BASE_CAIXA!$L$2:$L$643,"")</f>
        <v>0</v>
      </c>
      <c r="C8" s="14">
        <f>SUMIFS(BASE_CAIXA!$Z$2:$Z$643,BASE_CAIXA!$C$2:$C$643,"Saída",BASE_CAIXA!$K$2:$K$643,A8,BASE_CAIXA!$L$2:$L$643,"")</f>
        <v>68500</v>
      </c>
      <c r="D8" s="14">
        <f>SUMIFS(BASE_CAIXA!$AA$2:$AA$643,BASE_CAIXA!$C$2:$C$643,"Entrada",BASE_CAIXA!$L$2:$L$643,A8)</f>
        <v>0</v>
      </c>
      <c r="E8" s="14">
        <f>SUMIFS(BASE_CAIXA!$AA$2:$AA$643,BASE_CAIXA!$C$2:$C$643,"Saída",BASE_CAIXA!$L$2:$L$643,A8)</f>
        <v>0</v>
      </c>
      <c r="F8" s="14">
        <f t="shared" si="0"/>
        <v>-68500</v>
      </c>
      <c r="G8" s="14">
        <f t="shared" si="1"/>
        <v>619500</v>
      </c>
    </row>
    <row r="9" spans="1:8" x14ac:dyDescent="0.3">
      <c r="A9" s="13">
        <v>46093</v>
      </c>
      <c r="B9" s="14">
        <f>SUMIFS(BASE_CAIXA!$Z$2:$Z$643,BASE_CAIXA!$C$2:$C$643,"Entrada",BASE_CAIXA!$K$2:$K$643,A9,BASE_CAIXA!$L$2:$L$643,"")</f>
        <v>0</v>
      </c>
      <c r="C9" s="14">
        <f>SUMIFS(BASE_CAIXA!$Z$2:$Z$643,BASE_CAIXA!$C$2:$C$643,"Saída",BASE_CAIXA!$K$2:$K$643,A9,BASE_CAIXA!$L$2:$L$643,"")</f>
        <v>0</v>
      </c>
      <c r="D9" s="14">
        <f>SUMIFS(BASE_CAIXA!$AA$2:$AA$643,BASE_CAIXA!$C$2:$C$643,"Entrada",BASE_CAIXA!$L$2:$L$643,A9)</f>
        <v>0</v>
      </c>
      <c r="E9" s="14">
        <f>SUMIFS(BASE_CAIXA!$AA$2:$AA$643,BASE_CAIXA!$C$2:$C$643,"Saída",BASE_CAIXA!$L$2:$L$643,A9)</f>
        <v>0</v>
      </c>
      <c r="F9" s="14">
        <f t="shared" si="0"/>
        <v>0</v>
      </c>
      <c r="G9" s="14">
        <f t="shared" si="1"/>
        <v>619500</v>
      </c>
    </row>
    <row r="10" spans="1:8" x14ac:dyDescent="0.3">
      <c r="A10" s="13">
        <v>46094</v>
      </c>
      <c r="B10" s="14">
        <f>SUMIFS(BASE_CAIXA!$Z$2:$Z$643,BASE_CAIXA!$C$2:$C$643,"Entrada",BASE_CAIXA!$K$2:$K$643,A10,BASE_CAIXA!$L$2:$L$643,"")</f>
        <v>0</v>
      </c>
      <c r="C10" s="14">
        <f>SUMIFS(BASE_CAIXA!$Z$2:$Z$643,BASE_CAIXA!$C$2:$C$643,"Saída",BASE_CAIXA!$K$2:$K$643,A10,BASE_CAIXA!$L$2:$L$643,"")</f>
        <v>0</v>
      </c>
      <c r="D10" s="14">
        <f>SUMIFS(BASE_CAIXA!$AA$2:$AA$643,BASE_CAIXA!$C$2:$C$643,"Entrada",BASE_CAIXA!$L$2:$L$643,A10)</f>
        <v>0</v>
      </c>
      <c r="E10" s="14">
        <f>SUMIFS(BASE_CAIXA!$AA$2:$AA$643,BASE_CAIXA!$C$2:$C$643,"Saída",BASE_CAIXA!$L$2:$L$643,A10)</f>
        <v>0</v>
      </c>
      <c r="F10" s="14">
        <f t="shared" si="0"/>
        <v>0</v>
      </c>
      <c r="G10" s="14">
        <f t="shared" si="1"/>
        <v>619500</v>
      </c>
    </row>
    <row r="11" spans="1:8" x14ac:dyDescent="0.3">
      <c r="A11" s="15">
        <v>46095</v>
      </c>
      <c r="B11" s="16">
        <f>SUMIFS(BASE_CAIXA!$Z$2:$Z$643,BASE_CAIXA!$C$2:$C$643,"Entrada",BASE_CAIXA!$K$2:$K$643,A11,BASE_CAIXA!$L$2:$L$643,"")</f>
        <v>0</v>
      </c>
      <c r="C11" s="16">
        <f>SUMIFS(BASE_CAIXA!$Z$2:$Z$643,BASE_CAIXA!$C$2:$C$643,"Saída",BASE_CAIXA!$K$2:$K$643,A11,BASE_CAIXA!$L$2:$L$643,"")</f>
        <v>0</v>
      </c>
      <c r="D11" s="16">
        <f>SUMIFS(BASE_CAIXA!$AA$2:$AA$643,BASE_CAIXA!$C$2:$C$643,"Entrada",BASE_CAIXA!$L$2:$L$643,A11)</f>
        <v>0</v>
      </c>
      <c r="E11" s="16">
        <f>SUMIFS(BASE_CAIXA!$AA$2:$AA$643,BASE_CAIXA!$C$2:$C$643,"Saída",BASE_CAIXA!$L$2:$L$643,A11)</f>
        <v>0</v>
      </c>
      <c r="F11" s="16">
        <f t="shared" si="0"/>
        <v>0</v>
      </c>
      <c r="G11" s="16">
        <f t="shared" si="1"/>
        <v>619500</v>
      </c>
    </row>
    <row r="12" spans="1:8" x14ac:dyDescent="0.3">
      <c r="A12" s="15">
        <v>46096</v>
      </c>
      <c r="B12" s="16">
        <f>SUMIFS(BASE_CAIXA!$Z$2:$Z$643,BASE_CAIXA!$C$2:$C$643,"Entrada",BASE_CAIXA!$K$2:$K$643,A12,BASE_CAIXA!$L$2:$L$643,"")</f>
        <v>0</v>
      </c>
      <c r="C12" s="16">
        <f>SUMIFS(BASE_CAIXA!$Z$2:$Z$643,BASE_CAIXA!$C$2:$C$643,"Saída",BASE_CAIXA!$K$2:$K$643,A12,BASE_CAIXA!$L$2:$L$643,"")</f>
        <v>0</v>
      </c>
      <c r="D12" s="16">
        <f>SUMIFS(BASE_CAIXA!$AA$2:$AA$643,BASE_CAIXA!$C$2:$C$643,"Entrada",BASE_CAIXA!$L$2:$L$643,A12)</f>
        <v>0</v>
      </c>
      <c r="E12" s="16">
        <f>SUMIFS(BASE_CAIXA!$AA$2:$AA$643,BASE_CAIXA!$C$2:$C$643,"Saída",BASE_CAIXA!$L$2:$L$643,A12)</f>
        <v>0</v>
      </c>
      <c r="F12" s="16">
        <f t="shared" si="0"/>
        <v>0</v>
      </c>
      <c r="G12" s="16">
        <f t="shared" si="1"/>
        <v>619500</v>
      </c>
    </row>
    <row r="13" spans="1:8" x14ac:dyDescent="0.3">
      <c r="A13" s="13">
        <v>46097</v>
      </c>
      <c r="B13" s="14">
        <f>SUMIFS(BASE_CAIXA!$Z$2:$Z$643,BASE_CAIXA!$C$2:$C$643,"Entrada",BASE_CAIXA!$K$2:$K$643,A13,BASE_CAIXA!$L$2:$L$643,"")</f>
        <v>0</v>
      </c>
      <c r="C13" s="14">
        <f>SUMIFS(BASE_CAIXA!$Z$2:$Z$643,BASE_CAIXA!$C$2:$C$643,"Saída",BASE_CAIXA!$K$2:$K$643,A13,BASE_CAIXA!$L$2:$L$643,"")</f>
        <v>0</v>
      </c>
      <c r="D13" s="14">
        <f>SUMIFS(BASE_CAIXA!$AA$2:$AA$643,BASE_CAIXA!$C$2:$C$643,"Entrada",BASE_CAIXA!$L$2:$L$643,A13)</f>
        <v>0</v>
      </c>
      <c r="E13" s="14">
        <f>SUMIFS(BASE_CAIXA!$AA$2:$AA$643,BASE_CAIXA!$C$2:$C$643,"Saída",BASE_CAIXA!$L$2:$L$643,A13)</f>
        <v>0</v>
      </c>
      <c r="F13" s="14">
        <f t="shared" si="0"/>
        <v>0</v>
      </c>
      <c r="G13" s="14">
        <f t="shared" si="1"/>
        <v>619500</v>
      </c>
    </row>
    <row r="14" spans="1:8" x14ac:dyDescent="0.3">
      <c r="A14" s="13">
        <v>46098</v>
      </c>
      <c r="B14" s="14">
        <f>SUMIFS(BASE_CAIXA!$Z$2:$Z$643,BASE_CAIXA!$C$2:$C$643,"Entrada",BASE_CAIXA!$K$2:$K$643,A14,BASE_CAIXA!$L$2:$L$643,"")</f>
        <v>0</v>
      </c>
      <c r="C14" s="14">
        <f>SUMIFS(BASE_CAIXA!$Z$2:$Z$643,BASE_CAIXA!$C$2:$C$643,"Saída",BASE_CAIXA!$K$2:$K$643,A14,BASE_CAIXA!$L$2:$L$643,"")</f>
        <v>0</v>
      </c>
      <c r="D14" s="14">
        <f>SUMIFS(BASE_CAIXA!$AA$2:$AA$643,BASE_CAIXA!$C$2:$C$643,"Entrada",BASE_CAIXA!$L$2:$L$643,A14)</f>
        <v>0</v>
      </c>
      <c r="E14" s="14">
        <f>SUMIFS(BASE_CAIXA!$AA$2:$AA$643,BASE_CAIXA!$C$2:$C$643,"Saída",BASE_CAIXA!$L$2:$L$643,A14)</f>
        <v>0</v>
      </c>
      <c r="F14" s="14">
        <f t="shared" si="0"/>
        <v>0</v>
      </c>
      <c r="G14" s="14">
        <f t="shared" si="1"/>
        <v>619500</v>
      </c>
    </row>
    <row r="15" spans="1:8" x14ac:dyDescent="0.3">
      <c r="A15" s="13">
        <v>46099</v>
      </c>
      <c r="B15" s="14">
        <f>SUMIFS(BASE_CAIXA!$Z$2:$Z$643,BASE_CAIXA!$C$2:$C$643,"Entrada",BASE_CAIXA!$K$2:$K$643,A15,BASE_CAIXA!$L$2:$L$643,"")</f>
        <v>0</v>
      </c>
      <c r="C15" s="14">
        <f>SUMIFS(BASE_CAIXA!$Z$2:$Z$643,BASE_CAIXA!$C$2:$C$643,"Saída",BASE_CAIXA!$K$2:$K$643,A15,BASE_CAIXA!$L$2:$L$643,"")</f>
        <v>0</v>
      </c>
      <c r="D15" s="14">
        <f>SUMIFS(BASE_CAIXA!$AA$2:$AA$643,BASE_CAIXA!$C$2:$C$643,"Entrada",BASE_CAIXA!$L$2:$L$643,A15)</f>
        <v>0</v>
      </c>
      <c r="E15" s="14">
        <f>SUMIFS(BASE_CAIXA!$AA$2:$AA$643,BASE_CAIXA!$C$2:$C$643,"Saída",BASE_CAIXA!$L$2:$L$643,A15)</f>
        <v>0</v>
      </c>
      <c r="F15" s="14">
        <f t="shared" si="0"/>
        <v>0</v>
      </c>
      <c r="G15" s="14">
        <f t="shared" si="1"/>
        <v>619500</v>
      </c>
    </row>
    <row r="16" spans="1:8" x14ac:dyDescent="0.3">
      <c r="A16" s="13">
        <v>46100</v>
      </c>
      <c r="B16" s="14">
        <f>SUMIFS(BASE_CAIXA!$Z$2:$Z$643,BASE_CAIXA!$C$2:$C$643,"Entrada",BASE_CAIXA!$K$2:$K$643,A16,BASE_CAIXA!$L$2:$L$643,"")</f>
        <v>0</v>
      </c>
      <c r="C16" s="14">
        <f>SUMIFS(BASE_CAIXA!$Z$2:$Z$643,BASE_CAIXA!$C$2:$C$643,"Saída",BASE_CAIXA!$K$2:$K$643,A16,BASE_CAIXA!$L$2:$L$643,"")</f>
        <v>0</v>
      </c>
      <c r="D16" s="14">
        <f>SUMIFS(BASE_CAIXA!$AA$2:$AA$643,BASE_CAIXA!$C$2:$C$643,"Entrada",BASE_CAIXA!$L$2:$L$643,A16)</f>
        <v>0</v>
      </c>
      <c r="E16" s="14">
        <f>SUMIFS(BASE_CAIXA!$AA$2:$AA$643,BASE_CAIXA!$C$2:$C$643,"Saída",BASE_CAIXA!$L$2:$L$643,A16)</f>
        <v>0</v>
      </c>
      <c r="F16" s="14">
        <f t="shared" si="0"/>
        <v>0</v>
      </c>
      <c r="G16" s="14">
        <f t="shared" si="1"/>
        <v>619500</v>
      </c>
    </row>
    <row r="17" spans="1:7" x14ac:dyDescent="0.3">
      <c r="A17" s="13">
        <v>46101</v>
      </c>
      <c r="B17" s="14">
        <f>SUMIFS(BASE_CAIXA!$Z$2:$Z$643,BASE_CAIXA!$C$2:$C$643,"Entrada",BASE_CAIXA!$K$2:$K$643,A17,BASE_CAIXA!$L$2:$L$643,"")</f>
        <v>0</v>
      </c>
      <c r="C17" s="14">
        <f>SUMIFS(BASE_CAIXA!$Z$2:$Z$643,BASE_CAIXA!$C$2:$C$643,"Saída",BASE_CAIXA!$K$2:$K$643,A17,BASE_CAIXA!$L$2:$L$643,"")</f>
        <v>695979.2</v>
      </c>
      <c r="D17" s="14">
        <f>SUMIFS(BASE_CAIXA!$AA$2:$AA$643,BASE_CAIXA!$C$2:$C$643,"Entrada",BASE_CAIXA!$L$2:$L$643,A17)</f>
        <v>0</v>
      </c>
      <c r="E17" s="14">
        <f>SUMIFS(BASE_CAIXA!$AA$2:$AA$643,BASE_CAIXA!$C$2:$C$643,"Saída",BASE_CAIXA!$L$2:$L$643,A17)</f>
        <v>0</v>
      </c>
      <c r="F17" s="14">
        <f t="shared" si="0"/>
        <v>-695979.2</v>
      </c>
      <c r="G17" s="14">
        <f t="shared" si="1"/>
        <v>-76479.199999999953</v>
      </c>
    </row>
    <row r="18" spans="1:7" x14ac:dyDescent="0.3">
      <c r="A18" s="15">
        <v>46102</v>
      </c>
      <c r="B18" s="16">
        <f>SUMIFS(BASE_CAIXA!$Z$2:$Z$643,BASE_CAIXA!$C$2:$C$643,"Entrada",BASE_CAIXA!$K$2:$K$643,A18,BASE_CAIXA!$L$2:$L$643,"")</f>
        <v>0</v>
      </c>
      <c r="C18" s="16">
        <f>SUMIFS(BASE_CAIXA!$Z$2:$Z$643,BASE_CAIXA!$C$2:$C$643,"Saída",BASE_CAIXA!$K$2:$K$643,A18,BASE_CAIXA!$L$2:$L$643,"")</f>
        <v>0</v>
      </c>
      <c r="D18" s="16">
        <f>SUMIFS(BASE_CAIXA!$AA$2:$AA$643,BASE_CAIXA!$C$2:$C$643,"Entrada",BASE_CAIXA!$L$2:$L$643,A18)</f>
        <v>0</v>
      </c>
      <c r="E18" s="16">
        <f>SUMIFS(BASE_CAIXA!$AA$2:$AA$643,BASE_CAIXA!$C$2:$C$643,"Saída",BASE_CAIXA!$L$2:$L$643,A18)</f>
        <v>0</v>
      </c>
      <c r="F18" s="16">
        <f t="shared" si="0"/>
        <v>0</v>
      </c>
      <c r="G18" s="16">
        <f t="shared" si="1"/>
        <v>-76479.199999999953</v>
      </c>
    </row>
    <row r="19" spans="1:7" x14ac:dyDescent="0.3">
      <c r="A19" s="15">
        <v>46103</v>
      </c>
      <c r="B19" s="16">
        <f>SUMIFS(BASE_CAIXA!$Z$2:$Z$643,BASE_CAIXA!$C$2:$C$643,"Entrada",BASE_CAIXA!$K$2:$K$643,A19,BASE_CAIXA!$L$2:$L$643,"")</f>
        <v>0</v>
      </c>
      <c r="C19" s="16">
        <f>SUMIFS(BASE_CAIXA!$Z$2:$Z$643,BASE_CAIXA!$C$2:$C$643,"Saída",BASE_CAIXA!$K$2:$K$643,A19,BASE_CAIXA!$L$2:$L$643,"")</f>
        <v>0</v>
      </c>
      <c r="D19" s="16">
        <f>SUMIFS(BASE_CAIXA!$AA$2:$AA$643,BASE_CAIXA!$C$2:$C$643,"Entrada",BASE_CAIXA!$L$2:$L$643,A19)</f>
        <v>0</v>
      </c>
      <c r="E19" s="16">
        <f>SUMIFS(BASE_CAIXA!$AA$2:$AA$643,BASE_CAIXA!$C$2:$C$643,"Saída",BASE_CAIXA!$L$2:$L$643,A19)</f>
        <v>0</v>
      </c>
      <c r="F19" s="16">
        <f t="shared" si="0"/>
        <v>0</v>
      </c>
      <c r="G19" s="16">
        <f t="shared" si="1"/>
        <v>-76479.199999999953</v>
      </c>
    </row>
    <row r="20" spans="1:7" x14ac:dyDescent="0.3">
      <c r="A20" s="13">
        <v>46104</v>
      </c>
      <c r="B20" s="14">
        <f>SUMIFS(BASE_CAIXA!$Z$2:$Z$643,BASE_CAIXA!$C$2:$C$643,"Entrada",BASE_CAIXA!$K$2:$K$643,A20,BASE_CAIXA!$L$2:$L$643,"")</f>
        <v>0</v>
      </c>
      <c r="C20" s="14">
        <f>SUMIFS(BASE_CAIXA!$Z$2:$Z$643,BASE_CAIXA!$C$2:$C$643,"Saída",BASE_CAIXA!$K$2:$K$643,A20,BASE_CAIXA!$L$2:$L$643,"")</f>
        <v>0</v>
      </c>
      <c r="D20" s="14">
        <f>SUMIFS(BASE_CAIXA!$AA$2:$AA$643,BASE_CAIXA!$C$2:$C$643,"Entrada",BASE_CAIXA!$L$2:$L$643,A20)</f>
        <v>0</v>
      </c>
      <c r="E20" s="14">
        <f>SUMIFS(BASE_CAIXA!$AA$2:$AA$643,BASE_CAIXA!$C$2:$C$643,"Saída",BASE_CAIXA!$L$2:$L$643,A20)</f>
        <v>0</v>
      </c>
      <c r="F20" s="14">
        <f t="shared" si="0"/>
        <v>0</v>
      </c>
      <c r="G20" s="14">
        <f t="shared" si="1"/>
        <v>-76479.199999999953</v>
      </c>
    </row>
    <row r="21" spans="1:7" x14ac:dyDescent="0.3">
      <c r="A21" s="13">
        <v>46105</v>
      </c>
      <c r="B21" s="14">
        <f>SUMIFS(BASE_CAIXA!$Z$2:$Z$643,BASE_CAIXA!$C$2:$C$643,"Entrada",BASE_CAIXA!$K$2:$K$643,A21,BASE_CAIXA!$L$2:$L$643,"")</f>
        <v>0</v>
      </c>
      <c r="C21" s="14">
        <f>SUMIFS(BASE_CAIXA!$Z$2:$Z$643,BASE_CAIXA!$C$2:$C$643,"Saída",BASE_CAIXA!$K$2:$K$643,A21,BASE_CAIXA!$L$2:$L$643,"")</f>
        <v>0</v>
      </c>
      <c r="D21" s="14">
        <f>SUMIFS(BASE_CAIXA!$AA$2:$AA$643,BASE_CAIXA!$C$2:$C$643,"Entrada",BASE_CAIXA!$L$2:$L$643,A21)</f>
        <v>0</v>
      </c>
      <c r="E21" s="14">
        <f>SUMIFS(BASE_CAIXA!$AA$2:$AA$643,BASE_CAIXA!$C$2:$C$643,"Saída",BASE_CAIXA!$L$2:$L$643,A21)</f>
        <v>0</v>
      </c>
      <c r="F21" s="14">
        <f t="shared" si="0"/>
        <v>0</v>
      </c>
      <c r="G21" s="14">
        <f t="shared" si="1"/>
        <v>-76479.199999999953</v>
      </c>
    </row>
    <row r="22" spans="1:7" x14ac:dyDescent="0.3">
      <c r="A22" s="13">
        <v>46106</v>
      </c>
      <c r="B22" s="14">
        <f>SUMIFS(BASE_CAIXA!$Z$2:$Z$643,BASE_CAIXA!$C$2:$C$643,"Entrada",BASE_CAIXA!$K$2:$K$643,A22,BASE_CAIXA!$L$2:$L$643,"")</f>
        <v>0</v>
      </c>
      <c r="C22" s="14">
        <f>SUMIFS(BASE_CAIXA!$Z$2:$Z$643,BASE_CAIXA!$C$2:$C$643,"Saída",BASE_CAIXA!$K$2:$K$643,A22,BASE_CAIXA!$L$2:$L$643,"")</f>
        <v>0</v>
      </c>
      <c r="D22" s="14">
        <f>SUMIFS(BASE_CAIXA!$AA$2:$AA$643,BASE_CAIXA!$C$2:$C$643,"Entrada",BASE_CAIXA!$L$2:$L$643,A22)</f>
        <v>0</v>
      </c>
      <c r="E22" s="14">
        <f>SUMIFS(BASE_CAIXA!$AA$2:$AA$643,BASE_CAIXA!$C$2:$C$643,"Saída",BASE_CAIXA!$L$2:$L$643,A22)</f>
        <v>0</v>
      </c>
      <c r="F22" s="14">
        <f t="shared" si="0"/>
        <v>0</v>
      </c>
      <c r="G22" s="14">
        <f t="shared" si="1"/>
        <v>-76479.199999999953</v>
      </c>
    </row>
    <row r="23" spans="1:7" x14ac:dyDescent="0.3">
      <c r="A23" s="13">
        <v>46107</v>
      </c>
      <c r="B23" s="14">
        <f>SUMIFS(BASE_CAIXA!$Z$2:$Z$643,BASE_CAIXA!$C$2:$C$643,"Entrada",BASE_CAIXA!$K$2:$K$643,A23,BASE_CAIXA!$L$2:$L$643,"")</f>
        <v>0</v>
      </c>
      <c r="C23" s="14">
        <f>SUMIFS(BASE_CAIXA!$Z$2:$Z$643,BASE_CAIXA!$C$2:$C$643,"Saída",BASE_CAIXA!$K$2:$K$643,A23,BASE_CAIXA!$L$2:$L$643,"")</f>
        <v>0</v>
      </c>
      <c r="D23" s="14">
        <f>SUMIFS(BASE_CAIXA!$AA$2:$AA$643,BASE_CAIXA!$C$2:$C$643,"Entrada",BASE_CAIXA!$L$2:$L$643,A23)</f>
        <v>0</v>
      </c>
      <c r="E23" s="14">
        <f>SUMIFS(BASE_CAIXA!$AA$2:$AA$643,BASE_CAIXA!$C$2:$C$643,"Saída",BASE_CAIXA!$L$2:$L$643,A23)</f>
        <v>0</v>
      </c>
      <c r="F23" s="14">
        <f t="shared" si="0"/>
        <v>0</v>
      </c>
      <c r="G23" s="14">
        <f t="shared" si="1"/>
        <v>-76479.199999999953</v>
      </c>
    </row>
    <row r="24" spans="1:7" x14ac:dyDescent="0.3">
      <c r="A24" s="13">
        <v>46108</v>
      </c>
      <c r="B24" s="14">
        <f>SUMIFS(BASE_CAIXA!$Z$2:$Z$643,BASE_CAIXA!$C$2:$C$643,"Entrada",BASE_CAIXA!$K$2:$K$643,A24,BASE_CAIXA!$L$2:$L$643,"")</f>
        <v>0</v>
      </c>
      <c r="C24" s="14">
        <f>SUMIFS(BASE_CAIXA!$Z$2:$Z$643,BASE_CAIXA!$C$2:$C$643,"Saída",BASE_CAIXA!$K$2:$K$643,A24,BASE_CAIXA!$L$2:$L$643,"")</f>
        <v>0</v>
      </c>
      <c r="D24" s="14">
        <f>SUMIFS(BASE_CAIXA!$AA$2:$AA$643,BASE_CAIXA!$C$2:$C$643,"Entrada",BASE_CAIXA!$L$2:$L$643,A24)</f>
        <v>0</v>
      </c>
      <c r="E24" s="14">
        <f>SUMIFS(BASE_CAIXA!$AA$2:$AA$643,BASE_CAIXA!$C$2:$C$643,"Saída",BASE_CAIXA!$L$2:$L$643,A24)</f>
        <v>0</v>
      </c>
      <c r="F24" s="14">
        <f t="shared" si="0"/>
        <v>0</v>
      </c>
      <c r="G24" s="14">
        <f t="shared" si="1"/>
        <v>-76479.199999999953</v>
      </c>
    </row>
    <row r="25" spans="1:7" x14ac:dyDescent="0.3">
      <c r="A25" s="15">
        <v>46109</v>
      </c>
      <c r="B25" s="16">
        <f>SUMIFS(BASE_CAIXA!$Z$2:$Z$643,BASE_CAIXA!$C$2:$C$643,"Entrada",BASE_CAIXA!$K$2:$K$643,A25,BASE_CAIXA!$L$2:$L$643,"")</f>
        <v>0</v>
      </c>
      <c r="C25" s="16">
        <f>SUMIFS(BASE_CAIXA!$Z$2:$Z$643,BASE_CAIXA!$C$2:$C$643,"Saída",BASE_CAIXA!$K$2:$K$643,A25,BASE_CAIXA!$L$2:$L$643,"")</f>
        <v>0</v>
      </c>
      <c r="D25" s="16">
        <f>SUMIFS(BASE_CAIXA!$AA$2:$AA$643,BASE_CAIXA!$C$2:$C$643,"Entrada",BASE_CAIXA!$L$2:$L$643,A25)</f>
        <v>0</v>
      </c>
      <c r="E25" s="16">
        <f>SUMIFS(BASE_CAIXA!$AA$2:$AA$643,BASE_CAIXA!$C$2:$C$643,"Saída",BASE_CAIXA!$L$2:$L$643,A25)</f>
        <v>0</v>
      </c>
      <c r="F25" s="16">
        <f t="shared" si="0"/>
        <v>0</v>
      </c>
      <c r="G25" s="16">
        <f t="shared" si="1"/>
        <v>-76479.199999999953</v>
      </c>
    </row>
    <row r="26" spans="1:7" x14ac:dyDescent="0.3">
      <c r="A26" s="15">
        <v>46110</v>
      </c>
      <c r="B26" s="16">
        <f>SUMIFS(BASE_CAIXA!$Z$2:$Z$643,BASE_CAIXA!$C$2:$C$643,"Entrada",BASE_CAIXA!$K$2:$K$643,A26,BASE_CAIXA!$L$2:$L$643,"")</f>
        <v>0</v>
      </c>
      <c r="C26" s="16">
        <f>SUMIFS(BASE_CAIXA!$Z$2:$Z$643,BASE_CAIXA!$C$2:$C$643,"Saída",BASE_CAIXA!$K$2:$K$643,A26,BASE_CAIXA!$L$2:$L$643,"")</f>
        <v>0</v>
      </c>
      <c r="D26" s="16">
        <f>SUMIFS(BASE_CAIXA!$AA$2:$AA$643,BASE_CAIXA!$C$2:$C$643,"Entrada",BASE_CAIXA!$L$2:$L$643,A26)</f>
        <v>0</v>
      </c>
      <c r="E26" s="16">
        <f>SUMIFS(BASE_CAIXA!$AA$2:$AA$643,BASE_CAIXA!$C$2:$C$643,"Saída",BASE_CAIXA!$L$2:$L$643,A26)</f>
        <v>0</v>
      </c>
      <c r="F26" s="16">
        <f t="shared" si="0"/>
        <v>0</v>
      </c>
      <c r="G26" s="16">
        <f t="shared" si="1"/>
        <v>-76479.199999999953</v>
      </c>
    </row>
    <row r="27" spans="1:7" x14ac:dyDescent="0.3">
      <c r="A27" s="13">
        <v>46111</v>
      </c>
      <c r="B27" s="14">
        <f>SUMIFS(BASE_CAIXA!$Z$2:$Z$643,BASE_CAIXA!$C$2:$C$643,"Entrada",BASE_CAIXA!$K$2:$K$643,A27,BASE_CAIXA!$L$2:$L$643,"")</f>
        <v>0</v>
      </c>
      <c r="C27" s="14">
        <f>SUMIFS(BASE_CAIXA!$Z$2:$Z$643,BASE_CAIXA!$C$2:$C$643,"Saída",BASE_CAIXA!$K$2:$K$643,A27,BASE_CAIXA!$L$2:$L$643,"")</f>
        <v>0</v>
      </c>
      <c r="D27" s="14">
        <f>SUMIFS(BASE_CAIXA!$AA$2:$AA$643,BASE_CAIXA!$C$2:$C$643,"Entrada",BASE_CAIXA!$L$2:$L$643,A27)</f>
        <v>0</v>
      </c>
      <c r="E27" s="14">
        <f>SUMIFS(BASE_CAIXA!$AA$2:$AA$643,BASE_CAIXA!$C$2:$C$643,"Saída",BASE_CAIXA!$L$2:$L$643,A27)</f>
        <v>0</v>
      </c>
      <c r="F27" s="14">
        <f t="shared" si="0"/>
        <v>0</v>
      </c>
      <c r="G27" s="14">
        <f t="shared" si="1"/>
        <v>-76479.199999999953</v>
      </c>
    </row>
    <row r="28" spans="1:7" x14ac:dyDescent="0.3">
      <c r="A28" s="13">
        <v>46112</v>
      </c>
      <c r="B28" s="14">
        <f>SUMIFS(BASE_CAIXA!$Z$2:$Z$643,BASE_CAIXA!$C$2:$C$643,"Entrada",BASE_CAIXA!$K$2:$K$643,A28,BASE_CAIXA!$L$2:$L$643,"")</f>
        <v>0</v>
      </c>
      <c r="C28" s="14">
        <f>SUMIFS(BASE_CAIXA!$Z$2:$Z$643,BASE_CAIXA!$C$2:$C$643,"Saída",BASE_CAIXA!$K$2:$K$643,A28,BASE_CAIXA!$L$2:$L$643,"")</f>
        <v>0</v>
      </c>
      <c r="D28" s="14">
        <f>SUMIFS(BASE_CAIXA!$AA$2:$AA$643,BASE_CAIXA!$C$2:$C$643,"Entrada",BASE_CAIXA!$L$2:$L$643,A28)</f>
        <v>0</v>
      </c>
      <c r="E28" s="14">
        <f>SUMIFS(BASE_CAIXA!$AA$2:$AA$643,BASE_CAIXA!$C$2:$C$643,"Saída",BASE_CAIXA!$L$2:$L$643,A28)</f>
        <v>0</v>
      </c>
      <c r="F28" s="14">
        <f t="shared" si="0"/>
        <v>0</v>
      </c>
      <c r="G28" s="14">
        <f t="shared" si="1"/>
        <v>-76479.199999999953</v>
      </c>
    </row>
    <row r="29" spans="1:7" x14ac:dyDescent="0.3">
      <c r="A29" s="13">
        <v>46113</v>
      </c>
      <c r="B29" s="14">
        <f>SUMIFS(BASE_CAIXA!$Z$2:$Z$643,BASE_CAIXA!$C$2:$C$643,"Entrada",BASE_CAIXA!$K$2:$K$643,A29,BASE_CAIXA!$L$2:$L$643,"")</f>
        <v>0</v>
      </c>
      <c r="C29" s="14">
        <f>SUMIFS(BASE_CAIXA!$Z$2:$Z$643,BASE_CAIXA!$C$2:$C$643,"Saída",BASE_CAIXA!$K$2:$K$643,A29,BASE_CAIXA!$L$2:$L$643,"")</f>
        <v>0</v>
      </c>
      <c r="D29" s="14">
        <f>SUMIFS(BASE_CAIXA!$AA$2:$AA$643,BASE_CAIXA!$C$2:$C$643,"Entrada",BASE_CAIXA!$L$2:$L$643,A29)</f>
        <v>0</v>
      </c>
      <c r="E29" s="14">
        <f>SUMIFS(BASE_CAIXA!$AA$2:$AA$643,BASE_CAIXA!$C$2:$C$643,"Saída",BASE_CAIXA!$L$2:$L$643,A29)</f>
        <v>0</v>
      </c>
      <c r="F29" s="14">
        <f t="shared" si="0"/>
        <v>0</v>
      </c>
      <c r="G29" s="14">
        <f t="shared" si="1"/>
        <v>-76479.199999999953</v>
      </c>
    </row>
    <row r="30" spans="1:7" x14ac:dyDescent="0.3">
      <c r="A30" s="13">
        <v>46114</v>
      </c>
      <c r="B30" s="14">
        <f>SUMIFS(BASE_CAIXA!$Z$2:$Z$643,BASE_CAIXA!$C$2:$C$643,"Entrada",BASE_CAIXA!$K$2:$K$643,A30,BASE_CAIXA!$L$2:$L$643,"")</f>
        <v>0</v>
      </c>
      <c r="C30" s="14">
        <f>SUMIFS(BASE_CAIXA!$Z$2:$Z$643,BASE_CAIXA!$C$2:$C$643,"Saída",BASE_CAIXA!$K$2:$K$643,A30,BASE_CAIXA!$L$2:$L$643,"")</f>
        <v>0</v>
      </c>
      <c r="D30" s="14">
        <f>SUMIFS(BASE_CAIXA!$AA$2:$AA$643,BASE_CAIXA!$C$2:$C$643,"Entrada",BASE_CAIXA!$L$2:$L$643,A30)</f>
        <v>0</v>
      </c>
      <c r="E30" s="14">
        <f>SUMIFS(BASE_CAIXA!$AA$2:$AA$643,BASE_CAIXA!$C$2:$C$643,"Saída",BASE_CAIXA!$L$2:$L$643,A30)</f>
        <v>0</v>
      </c>
      <c r="F30" s="14">
        <f t="shared" si="0"/>
        <v>0</v>
      </c>
      <c r="G30" s="14">
        <f t="shared" si="1"/>
        <v>-76479.199999999953</v>
      </c>
    </row>
    <row r="31" spans="1:7" x14ac:dyDescent="0.3">
      <c r="A31" s="13">
        <v>46115</v>
      </c>
      <c r="B31" s="14">
        <f>SUMIFS(BASE_CAIXA!$Z$2:$Z$643,BASE_CAIXA!$C$2:$C$643,"Entrada",BASE_CAIXA!$K$2:$K$643,A31,BASE_CAIXA!$L$2:$L$643,"")</f>
        <v>0</v>
      </c>
      <c r="C31" s="14">
        <f>SUMIFS(BASE_CAIXA!$Z$2:$Z$643,BASE_CAIXA!$C$2:$C$643,"Saída",BASE_CAIXA!$K$2:$K$643,A31,BASE_CAIXA!$L$2:$L$643,"")</f>
        <v>500390.2627573334</v>
      </c>
      <c r="D31" s="14">
        <f>SUMIFS(BASE_CAIXA!$AA$2:$AA$643,BASE_CAIXA!$C$2:$C$643,"Entrada",BASE_CAIXA!$L$2:$L$643,A31)</f>
        <v>0</v>
      </c>
      <c r="E31" s="14">
        <f>SUMIFS(BASE_CAIXA!$AA$2:$AA$643,BASE_CAIXA!$C$2:$C$643,"Saída",BASE_CAIXA!$L$2:$L$643,A31)</f>
        <v>0</v>
      </c>
      <c r="F31" s="14">
        <f t="shared" si="0"/>
        <v>-500390.2627573334</v>
      </c>
      <c r="G31" s="14">
        <f t="shared" si="1"/>
        <v>-576869.46275733341</v>
      </c>
    </row>
    <row r="32" spans="1:7" x14ac:dyDescent="0.3">
      <c r="A32" s="15">
        <v>46116</v>
      </c>
      <c r="B32" s="16">
        <f>SUMIFS(BASE_CAIXA!$Z$2:$Z$643,BASE_CAIXA!$C$2:$C$643,"Entrada",BASE_CAIXA!$K$2:$K$643,A32,BASE_CAIXA!$L$2:$L$643,"")</f>
        <v>0</v>
      </c>
      <c r="C32" s="16">
        <f>SUMIFS(BASE_CAIXA!$Z$2:$Z$643,BASE_CAIXA!$C$2:$C$643,"Saída",BASE_CAIXA!$K$2:$K$643,A32,BASE_CAIXA!$L$2:$L$643,"")</f>
        <v>0</v>
      </c>
      <c r="D32" s="16">
        <f>SUMIFS(BASE_CAIXA!$AA$2:$AA$643,BASE_CAIXA!$C$2:$C$643,"Entrada",BASE_CAIXA!$L$2:$L$643,A32)</f>
        <v>0</v>
      </c>
      <c r="E32" s="16">
        <f>SUMIFS(BASE_CAIXA!$AA$2:$AA$643,BASE_CAIXA!$C$2:$C$643,"Saída",BASE_CAIXA!$L$2:$L$643,A32)</f>
        <v>0</v>
      </c>
      <c r="F32" s="16">
        <f t="shared" si="0"/>
        <v>0</v>
      </c>
      <c r="G32" s="16">
        <f t="shared" si="1"/>
        <v>-576869.46275733341</v>
      </c>
    </row>
    <row r="33" spans="1:7" x14ac:dyDescent="0.3">
      <c r="A33" s="15">
        <v>46117</v>
      </c>
      <c r="B33" s="16">
        <f>SUMIFS(BASE_CAIXA!$Z$2:$Z$643,BASE_CAIXA!$C$2:$C$643,"Entrada",BASE_CAIXA!$K$2:$K$643,A33,BASE_CAIXA!$L$2:$L$643,"")</f>
        <v>0</v>
      </c>
      <c r="C33" s="16">
        <f>SUMIFS(BASE_CAIXA!$Z$2:$Z$643,BASE_CAIXA!$C$2:$C$643,"Saída",BASE_CAIXA!$K$2:$K$643,A33,BASE_CAIXA!$L$2:$L$643,"")</f>
        <v>0</v>
      </c>
      <c r="D33" s="16">
        <f>SUMIFS(BASE_CAIXA!$AA$2:$AA$643,BASE_CAIXA!$C$2:$C$643,"Entrada",BASE_CAIXA!$L$2:$L$643,A33)</f>
        <v>0</v>
      </c>
      <c r="E33" s="16">
        <f>SUMIFS(BASE_CAIXA!$AA$2:$AA$643,BASE_CAIXA!$C$2:$C$643,"Saída",BASE_CAIXA!$L$2:$L$643,A33)</f>
        <v>0</v>
      </c>
      <c r="F33" s="16">
        <f t="shared" si="0"/>
        <v>0</v>
      </c>
      <c r="G33" s="16">
        <f t="shared" si="1"/>
        <v>-576869.46275733341</v>
      </c>
    </row>
    <row r="34" spans="1:7" x14ac:dyDescent="0.3">
      <c r="A34" s="13">
        <v>46118</v>
      </c>
      <c r="B34" s="14">
        <f>SUMIFS(BASE_CAIXA!$Z$2:$Z$643,BASE_CAIXA!$C$2:$C$643,"Entrada",BASE_CAIXA!$K$2:$K$643,A34,BASE_CAIXA!$L$2:$L$643,"")</f>
        <v>0</v>
      </c>
      <c r="C34" s="14">
        <f>SUMIFS(BASE_CAIXA!$Z$2:$Z$643,BASE_CAIXA!$C$2:$C$643,"Saída",BASE_CAIXA!$K$2:$K$643,A34,BASE_CAIXA!$L$2:$L$643,"")</f>
        <v>0</v>
      </c>
      <c r="D34" s="14">
        <f>SUMIFS(BASE_CAIXA!$AA$2:$AA$643,BASE_CAIXA!$C$2:$C$643,"Entrada",BASE_CAIXA!$L$2:$L$643,A34)</f>
        <v>0</v>
      </c>
      <c r="E34" s="14">
        <f>SUMIFS(BASE_CAIXA!$AA$2:$AA$643,BASE_CAIXA!$C$2:$C$643,"Saída",BASE_CAIXA!$L$2:$L$643,A34)</f>
        <v>0</v>
      </c>
      <c r="F34" s="14">
        <f t="shared" si="0"/>
        <v>0</v>
      </c>
      <c r="G34" s="14">
        <f t="shared" si="1"/>
        <v>-576869.46275733341</v>
      </c>
    </row>
    <row r="35" spans="1:7" x14ac:dyDescent="0.3">
      <c r="A35" s="13">
        <v>46119</v>
      </c>
      <c r="B35" s="14">
        <f>SUMIFS(BASE_CAIXA!$Z$2:$Z$643,BASE_CAIXA!$C$2:$C$643,"Entrada",BASE_CAIXA!$K$2:$K$643,A35,BASE_CAIXA!$L$2:$L$643,"")</f>
        <v>0</v>
      </c>
      <c r="C35" s="14">
        <f>SUMIFS(BASE_CAIXA!$Z$2:$Z$643,BASE_CAIXA!$C$2:$C$643,"Saída",BASE_CAIXA!$K$2:$K$643,A35,BASE_CAIXA!$L$2:$L$643,"")</f>
        <v>0</v>
      </c>
      <c r="D35" s="14">
        <f>SUMIFS(BASE_CAIXA!$AA$2:$AA$643,BASE_CAIXA!$C$2:$C$643,"Entrada",BASE_CAIXA!$L$2:$L$643,A35)</f>
        <v>0</v>
      </c>
      <c r="E35" s="14">
        <f>SUMIFS(BASE_CAIXA!$AA$2:$AA$643,BASE_CAIXA!$C$2:$C$643,"Saída",BASE_CAIXA!$L$2:$L$643,A35)</f>
        <v>0</v>
      </c>
      <c r="F35" s="14">
        <f t="shared" si="0"/>
        <v>0</v>
      </c>
      <c r="G35" s="14">
        <f t="shared" si="1"/>
        <v>-576869.46275733341</v>
      </c>
    </row>
    <row r="36" spans="1:7" x14ac:dyDescent="0.3">
      <c r="A36" s="13">
        <v>46120</v>
      </c>
      <c r="B36" s="14">
        <f>SUMIFS(BASE_CAIXA!$Z$2:$Z$643,BASE_CAIXA!$C$2:$C$643,"Entrada",BASE_CAIXA!$K$2:$K$643,A36,BASE_CAIXA!$L$2:$L$643,"")</f>
        <v>0</v>
      </c>
      <c r="C36" s="14">
        <f>SUMIFS(BASE_CAIXA!$Z$2:$Z$643,BASE_CAIXA!$C$2:$C$643,"Saída",BASE_CAIXA!$K$2:$K$643,A36,BASE_CAIXA!$L$2:$L$643,"")</f>
        <v>0</v>
      </c>
      <c r="D36" s="14">
        <f>SUMIFS(BASE_CAIXA!$AA$2:$AA$643,BASE_CAIXA!$C$2:$C$643,"Entrada",BASE_CAIXA!$L$2:$L$643,A36)</f>
        <v>0</v>
      </c>
      <c r="E36" s="14">
        <f>SUMIFS(BASE_CAIXA!$AA$2:$AA$643,BASE_CAIXA!$C$2:$C$643,"Saída",BASE_CAIXA!$L$2:$L$643,A36)</f>
        <v>0</v>
      </c>
      <c r="F36" s="14">
        <f t="shared" si="0"/>
        <v>0</v>
      </c>
      <c r="G36" s="14">
        <f t="shared" si="1"/>
        <v>-576869.46275733341</v>
      </c>
    </row>
    <row r="37" spans="1:7" x14ac:dyDescent="0.3">
      <c r="A37" s="13">
        <v>46121</v>
      </c>
      <c r="B37" s="14">
        <f>SUMIFS(BASE_CAIXA!$Z$2:$Z$643,BASE_CAIXA!$C$2:$C$643,"Entrada",BASE_CAIXA!$K$2:$K$643,A37,BASE_CAIXA!$L$2:$L$643,"")</f>
        <v>0</v>
      </c>
      <c r="C37" s="14">
        <f>SUMIFS(BASE_CAIXA!$Z$2:$Z$643,BASE_CAIXA!$C$2:$C$643,"Saída",BASE_CAIXA!$K$2:$K$643,A37,BASE_CAIXA!$L$2:$L$643,"")</f>
        <v>0</v>
      </c>
      <c r="D37" s="14">
        <f>SUMIFS(BASE_CAIXA!$AA$2:$AA$643,BASE_CAIXA!$C$2:$C$643,"Entrada",BASE_CAIXA!$L$2:$L$643,A37)</f>
        <v>0</v>
      </c>
      <c r="E37" s="14">
        <f>SUMIFS(BASE_CAIXA!$AA$2:$AA$643,BASE_CAIXA!$C$2:$C$643,"Saída",BASE_CAIXA!$L$2:$L$643,A37)</f>
        <v>0</v>
      </c>
      <c r="F37" s="14">
        <f t="shared" si="0"/>
        <v>0</v>
      </c>
      <c r="G37" s="14">
        <f t="shared" si="1"/>
        <v>-576869.46275733341</v>
      </c>
    </row>
    <row r="38" spans="1:7" x14ac:dyDescent="0.3">
      <c r="A38" s="13">
        <v>46122</v>
      </c>
      <c r="B38" s="14">
        <f>SUMIFS(BASE_CAIXA!$Z$2:$Z$643,BASE_CAIXA!$C$2:$C$643,"Entrada",BASE_CAIXA!$K$2:$K$643,A38,BASE_CAIXA!$L$2:$L$643,"")</f>
        <v>0</v>
      </c>
      <c r="C38" s="14">
        <f>SUMIFS(BASE_CAIXA!$Z$2:$Z$643,BASE_CAIXA!$C$2:$C$643,"Saída",BASE_CAIXA!$K$2:$K$643,A38,BASE_CAIXA!$L$2:$L$643,"")</f>
        <v>0</v>
      </c>
      <c r="D38" s="14">
        <f>SUMIFS(BASE_CAIXA!$AA$2:$AA$643,BASE_CAIXA!$C$2:$C$643,"Entrada",BASE_CAIXA!$L$2:$L$643,A38)</f>
        <v>0</v>
      </c>
      <c r="E38" s="14">
        <f>SUMIFS(BASE_CAIXA!$AA$2:$AA$643,BASE_CAIXA!$C$2:$C$643,"Saída",BASE_CAIXA!$L$2:$L$643,A38)</f>
        <v>0</v>
      </c>
      <c r="F38" s="14">
        <f t="shared" ref="F38:F69" si="2">B38-C38+D38-E38</f>
        <v>0</v>
      </c>
      <c r="G38" s="14">
        <f t="shared" si="1"/>
        <v>-576869.46275733341</v>
      </c>
    </row>
    <row r="39" spans="1:7" x14ac:dyDescent="0.3">
      <c r="A39" s="15">
        <v>46123</v>
      </c>
      <c r="B39" s="16">
        <f>SUMIFS(BASE_CAIXA!$Z$2:$Z$643,BASE_CAIXA!$C$2:$C$643,"Entrada",BASE_CAIXA!$K$2:$K$643,A39,BASE_CAIXA!$L$2:$L$643,"")</f>
        <v>0</v>
      </c>
      <c r="C39" s="16">
        <f>SUMIFS(BASE_CAIXA!$Z$2:$Z$643,BASE_CAIXA!$C$2:$C$643,"Saída",BASE_CAIXA!$K$2:$K$643,A39,BASE_CAIXA!$L$2:$L$643,"")</f>
        <v>0</v>
      </c>
      <c r="D39" s="16">
        <f>SUMIFS(BASE_CAIXA!$AA$2:$AA$643,BASE_CAIXA!$C$2:$C$643,"Entrada",BASE_CAIXA!$L$2:$L$643,A39)</f>
        <v>0</v>
      </c>
      <c r="E39" s="16">
        <f>SUMIFS(BASE_CAIXA!$AA$2:$AA$643,BASE_CAIXA!$C$2:$C$643,"Saída",BASE_CAIXA!$L$2:$L$643,A39)</f>
        <v>0</v>
      </c>
      <c r="F39" s="16">
        <f t="shared" si="2"/>
        <v>0</v>
      </c>
      <c r="G39" s="16">
        <f t="shared" ref="G39:G70" si="3">G38+F39</f>
        <v>-576869.46275733341</v>
      </c>
    </row>
    <row r="40" spans="1:7" x14ac:dyDescent="0.3">
      <c r="A40" s="15">
        <v>46124</v>
      </c>
      <c r="B40" s="16">
        <f>SUMIFS(BASE_CAIXA!$Z$2:$Z$643,BASE_CAIXA!$C$2:$C$643,"Entrada",BASE_CAIXA!$K$2:$K$643,A40,BASE_CAIXA!$L$2:$L$643,"")</f>
        <v>0</v>
      </c>
      <c r="C40" s="16">
        <f>SUMIFS(BASE_CAIXA!$Z$2:$Z$643,BASE_CAIXA!$C$2:$C$643,"Saída",BASE_CAIXA!$K$2:$K$643,A40,BASE_CAIXA!$L$2:$L$643,"")</f>
        <v>0</v>
      </c>
      <c r="D40" s="16">
        <f>SUMIFS(BASE_CAIXA!$AA$2:$AA$643,BASE_CAIXA!$C$2:$C$643,"Entrada",BASE_CAIXA!$L$2:$L$643,A40)</f>
        <v>0</v>
      </c>
      <c r="E40" s="16">
        <f>SUMIFS(BASE_CAIXA!$AA$2:$AA$643,BASE_CAIXA!$C$2:$C$643,"Saída",BASE_CAIXA!$L$2:$L$643,A40)</f>
        <v>0</v>
      </c>
      <c r="F40" s="16">
        <f t="shared" si="2"/>
        <v>0</v>
      </c>
      <c r="G40" s="16">
        <f t="shared" si="3"/>
        <v>-576869.46275733341</v>
      </c>
    </row>
    <row r="41" spans="1:7" x14ac:dyDescent="0.3">
      <c r="A41" s="13">
        <v>46125</v>
      </c>
      <c r="B41" s="14">
        <f>SUMIFS(BASE_CAIXA!$Z$2:$Z$643,BASE_CAIXA!$C$2:$C$643,"Entrada",BASE_CAIXA!$K$2:$K$643,A41,BASE_CAIXA!$L$2:$L$643,"")</f>
        <v>0</v>
      </c>
      <c r="C41" s="14">
        <f>SUMIFS(BASE_CAIXA!$Z$2:$Z$643,BASE_CAIXA!$C$2:$C$643,"Saída",BASE_CAIXA!$K$2:$K$643,A41,BASE_CAIXA!$L$2:$L$643,"")</f>
        <v>0</v>
      </c>
      <c r="D41" s="14">
        <f>SUMIFS(BASE_CAIXA!$AA$2:$AA$643,BASE_CAIXA!$C$2:$C$643,"Entrada",BASE_CAIXA!$L$2:$L$643,A41)</f>
        <v>0</v>
      </c>
      <c r="E41" s="14">
        <f>SUMIFS(BASE_CAIXA!$AA$2:$AA$643,BASE_CAIXA!$C$2:$C$643,"Saída",BASE_CAIXA!$L$2:$L$643,A41)</f>
        <v>0</v>
      </c>
      <c r="F41" s="14">
        <f t="shared" si="2"/>
        <v>0</v>
      </c>
      <c r="G41" s="14">
        <f t="shared" si="3"/>
        <v>-576869.46275733341</v>
      </c>
    </row>
    <row r="42" spans="1:7" x14ac:dyDescent="0.3">
      <c r="A42" s="13">
        <v>46126</v>
      </c>
      <c r="B42" s="14">
        <f>SUMIFS(BASE_CAIXA!$Z$2:$Z$643,BASE_CAIXA!$C$2:$C$643,"Entrada",BASE_CAIXA!$K$2:$K$643,A42,BASE_CAIXA!$L$2:$L$643,"")</f>
        <v>0</v>
      </c>
      <c r="C42" s="14">
        <f>SUMIFS(BASE_CAIXA!$Z$2:$Z$643,BASE_CAIXA!$C$2:$C$643,"Saída",BASE_CAIXA!$K$2:$K$643,A42,BASE_CAIXA!$L$2:$L$643,"")</f>
        <v>0</v>
      </c>
      <c r="D42" s="14">
        <f>SUMIFS(BASE_CAIXA!$AA$2:$AA$643,BASE_CAIXA!$C$2:$C$643,"Entrada",BASE_CAIXA!$L$2:$L$643,A42)</f>
        <v>0</v>
      </c>
      <c r="E42" s="14">
        <f>SUMIFS(BASE_CAIXA!$AA$2:$AA$643,BASE_CAIXA!$C$2:$C$643,"Saída",BASE_CAIXA!$L$2:$L$643,A42)</f>
        <v>0</v>
      </c>
      <c r="F42" s="14">
        <f t="shared" si="2"/>
        <v>0</v>
      </c>
      <c r="G42" s="14">
        <f t="shared" si="3"/>
        <v>-576869.46275733341</v>
      </c>
    </row>
    <row r="43" spans="1:7" x14ac:dyDescent="0.3">
      <c r="A43" s="13">
        <v>46127</v>
      </c>
      <c r="B43" s="14">
        <f>SUMIFS(BASE_CAIXA!$Z$2:$Z$643,BASE_CAIXA!$C$2:$C$643,"Entrada",BASE_CAIXA!$K$2:$K$643,A43,BASE_CAIXA!$L$2:$L$643,"")</f>
        <v>0</v>
      </c>
      <c r="C43" s="14">
        <f>SUMIFS(BASE_CAIXA!$Z$2:$Z$643,BASE_CAIXA!$C$2:$C$643,"Saída",BASE_CAIXA!$K$2:$K$643,A43,BASE_CAIXA!$L$2:$L$643,"")</f>
        <v>0</v>
      </c>
      <c r="D43" s="14">
        <f>SUMIFS(BASE_CAIXA!$AA$2:$AA$643,BASE_CAIXA!$C$2:$C$643,"Entrada",BASE_CAIXA!$L$2:$L$643,A43)</f>
        <v>0</v>
      </c>
      <c r="E43" s="14">
        <f>SUMIFS(BASE_CAIXA!$AA$2:$AA$643,BASE_CAIXA!$C$2:$C$643,"Saída",BASE_CAIXA!$L$2:$L$643,A43)</f>
        <v>0</v>
      </c>
      <c r="F43" s="14">
        <f t="shared" si="2"/>
        <v>0</v>
      </c>
      <c r="G43" s="14">
        <f t="shared" si="3"/>
        <v>-576869.46275733341</v>
      </c>
    </row>
    <row r="44" spans="1:7" x14ac:dyDescent="0.3">
      <c r="A44" s="13">
        <v>46128</v>
      </c>
      <c r="B44" s="14">
        <f>SUMIFS(BASE_CAIXA!$Z$2:$Z$643,BASE_CAIXA!$C$2:$C$643,"Entrada",BASE_CAIXA!$K$2:$K$643,A44,BASE_CAIXA!$L$2:$L$643,"")</f>
        <v>0</v>
      </c>
      <c r="C44" s="14">
        <f>SUMIFS(BASE_CAIXA!$Z$2:$Z$643,BASE_CAIXA!$C$2:$C$643,"Saída",BASE_CAIXA!$K$2:$K$643,A44,BASE_CAIXA!$L$2:$L$643,"")</f>
        <v>0</v>
      </c>
      <c r="D44" s="14">
        <f>SUMIFS(BASE_CAIXA!$AA$2:$AA$643,BASE_CAIXA!$C$2:$C$643,"Entrada",BASE_CAIXA!$L$2:$L$643,A44)</f>
        <v>0</v>
      </c>
      <c r="E44" s="14">
        <f>SUMIFS(BASE_CAIXA!$AA$2:$AA$643,BASE_CAIXA!$C$2:$C$643,"Saída",BASE_CAIXA!$L$2:$L$643,A44)</f>
        <v>0</v>
      </c>
      <c r="F44" s="14">
        <f t="shared" si="2"/>
        <v>0</v>
      </c>
      <c r="G44" s="14">
        <f t="shared" si="3"/>
        <v>-576869.46275733341</v>
      </c>
    </row>
    <row r="45" spans="1:7" x14ac:dyDescent="0.3">
      <c r="A45" s="13">
        <v>46129</v>
      </c>
      <c r="B45" s="14">
        <f>SUMIFS(BASE_CAIXA!$Z$2:$Z$643,BASE_CAIXA!$C$2:$C$643,"Entrada",BASE_CAIXA!$K$2:$K$643,A45,BASE_CAIXA!$L$2:$L$643,"")</f>
        <v>855077.76191999996</v>
      </c>
      <c r="C45" s="14">
        <f>SUMIFS(BASE_CAIXA!$Z$2:$Z$643,BASE_CAIXA!$C$2:$C$643,"Saída",BASE_CAIXA!$K$2:$K$643,A45,BASE_CAIXA!$L$2:$L$643,"")</f>
        <v>1237252.3793264003</v>
      </c>
      <c r="D45" s="14">
        <f>SUMIFS(BASE_CAIXA!$AA$2:$AA$643,BASE_CAIXA!$C$2:$C$643,"Entrada",BASE_CAIXA!$L$2:$L$643,A45)</f>
        <v>0</v>
      </c>
      <c r="E45" s="14">
        <f>SUMIFS(BASE_CAIXA!$AA$2:$AA$643,BASE_CAIXA!$C$2:$C$643,"Saída",BASE_CAIXA!$L$2:$L$643,A45)</f>
        <v>0</v>
      </c>
      <c r="F45" s="14">
        <f t="shared" si="2"/>
        <v>-382174.61740640039</v>
      </c>
      <c r="G45" s="14">
        <f t="shared" si="3"/>
        <v>-959044.0801637338</v>
      </c>
    </row>
    <row r="46" spans="1:7" x14ac:dyDescent="0.3">
      <c r="A46" s="15">
        <v>46130</v>
      </c>
      <c r="B46" s="16">
        <f>SUMIFS(BASE_CAIXA!$Z$2:$Z$643,BASE_CAIXA!$C$2:$C$643,"Entrada",BASE_CAIXA!$K$2:$K$643,A46,BASE_CAIXA!$L$2:$L$643,"")</f>
        <v>0</v>
      </c>
      <c r="C46" s="16">
        <f>SUMIFS(BASE_CAIXA!$Z$2:$Z$643,BASE_CAIXA!$C$2:$C$643,"Saída",BASE_CAIXA!$K$2:$K$643,A46,BASE_CAIXA!$L$2:$L$643,"")</f>
        <v>0</v>
      </c>
      <c r="D46" s="16">
        <f>SUMIFS(BASE_CAIXA!$AA$2:$AA$643,BASE_CAIXA!$C$2:$C$643,"Entrada",BASE_CAIXA!$L$2:$L$643,A46)</f>
        <v>0</v>
      </c>
      <c r="E46" s="16">
        <f>SUMIFS(BASE_CAIXA!$AA$2:$AA$643,BASE_CAIXA!$C$2:$C$643,"Saída",BASE_CAIXA!$L$2:$L$643,A46)</f>
        <v>0</v>
      </c>
      <c r="F46" s="16">
        <f t="shared" si="2"/>
        <v>0</v>
      </c>
      <c r="G46" s="16">
        <f t="shared" si="3"/>
        <v>-959044.0801637338</v>
      </c>
    </row>
    <row r="47" spans="1:7" x14ac:dyDescent="0.3">
      <c r="A47" s="15">
        <v>46131</v>
      </c>
      <c r="B47" s="16">
        <f>SUMIFS(BASE_CAIXA!$Z$2:$Z$643,BASE_CAIXA!$C$2:$C$643,"Entrada",BASE_CAIXA!$K$2:$K$643,A47,BASE_CAIXA!$L$2:$L$643,"")</f>
        <v>0</v>
      </c>
      <c r="C47" s="16">
        <f>SUMIFS(BASE_CAIXA!$Z$2:$Z$643,BASE_CAIXA!$C$2:$C$643,"Saída",BASE_CAIXA!$K$2:$K$643,A47,BASE_CAIXA!$L$2:$L$643,"")</f>
        <v>0</v>
      </c>
      <c r="D47" s="16">
        <f>SUMIFS(BASE_CAIXA!$AA$2:$AA$643,BASE_CAIXA!$C$2:$C$643,"Entrada",BASE_CAIXA!$L$2:$L$643,A47)</f>
        <v>0</v>
      </c>
      <c r="E47" s="16">
        <f>SUMIFS(BASE_CAIXA!$AA$2:$AA$643,BASE_CAIXA!$C$2:$C$643,"Saída",BASE_CAIXA!$L$2:$L$643,A47)</f>
        <v>0</v>
      </c>
      <c r="F47" s="16">
        <f t="shared" si="2"/>
        <v>0</v>
      </c>
      <c r="G47" s="16">
        <f t="shared" si="3"/>
        <v>-959044.0801637338</v>
      </c>
    </row>
    <row r="48" spans="1:7" x14ac:dyDescent="0.3">
      <c r="A48" s="13">
        <v>46132</v>
      </c>
      <c r="B48" s="14">
        <f>SUMIFS(BASE_CAIXA!$Z$2:$Z$643,BASE_CAIXA!$C$2:$C$643,"Entrada",BASE_CAIXA!$K$2:$K$643,A48,BASE_CAIXA!$L$2:$L$643,"")</f>
        <v>0</v>
      </c>
      <c r="C48" s="14">
        <f>SUMIFS(BASE_CAIXA!$Z$2:$Z$643,BASE_CAIXA!$C$2:$C$643,"Saída",BASE_CAIXA!$K$2:$K$643,A48,BASE_CAIXA!$L$2:$L$643,"")</f>
        <v>0</v>
      </c>
      <c r="D48" s="14">
        <f>SUMIFS(BASE_CAIXA!$AA$2:$AA$643,BASE_CAIXA!$C$2:$C$643,"Entrada",BASE_CAIXA!$L$2:$L$643,A48)</f>
        <v>0</v>
      </c>
      <c r="E48" s="14">
        <f>SUMIFS(BASE_CAIXA!$AA$2:$AA$643,BASE_CAIXA!$C$2:$C$643,"Saída",BASE_CAIXA!$L$2:$L$643,A48)</f>
        <v>0</v>
      </c>
      <c r="F48" s="14">
        <f t="shared" si="2"/>
        <v>0</v>
      </c>
      <c r="G48" s="14">
        <f t="shared" si="3"/>
        <v>-959044.0801637338</v>
      </c>
    </row>
    <row r="49" spans="1:7" x14ac:dyDescent="0.3">
      <c r="A49" s="13">
        <v>46133</v>
      </c>
      <c r="B49" s="14">
        <f>SUMIFS(BASE_CAIXA!$Z$2:$Z$643,BASE_CAIXA!$C$2:$C$643,"Entrada",BASE_CAIXA!$K$2:$K$643,A49,BASE_CAIXA!$L$2:$L$643,"")</f>
        <v>0</v>
      </c>
      <c r="C49" s="14">
        <f>SUMIFS(BASE_CAIXA!$Z$2:$Z$643,BASE_CAIXA!$C$2:$C$643,"Saída",BASE_CAIXA!$K$2:$K$643,A49,BASE_CAIXA!$L$2:$L$643,"")</f>
        <v>0</v>
      </c>
      <c r="D49" s="14">
        <f>SUMIFS(BASE_CAIXA!$AA$2:$AA$643,BASE_CAIXA!$C$2:$C$643,"Entrada",BASE_CAIXA!$L$2:$L$643,A49)</f>
        <v>0</v>
      </c>
      <c r="E49" s="14">
        <f>SUMIFS(BASE_CAIXA!$AA$2:$AA$643,BASE_CAIXA!$C$2:$C$643,"Saída",BASE_CAIXA!$L$2:$L$643,A49)</f>
        <v>0</v>
      </c>
      <c r="F49" s="14">
        <f t="shared" si="2"/>
        <v>0</v>
      </c>
      <c r="G49" s="14">
        <f t="shared" si="3"/>
        <v>-959044.0801637338</v>
      </c>
    </row>
    <row r="50" spans="1:7" x14ac:dyDescent="0.3">
      <c r="A50" s="13">
        <v>46134</v>
      </c>
      <c r="B50" s="14">
        <f>SUMIFS(BASE_CAIXA!$Z$2:$Z$643,BASE_CAIXA!$C$2:$C$643,"Entrada",BASE_CAIXA!$K$2:$K$643,A50,BASE_CAIXA!$L$2:$L$643,"")</f>
        <v>0</v>
      </c>
      <c r="C50" s="14">
        <f>SUMIFS(BASE_CAIXA!$Z$2:$Z$643,BASE_CAIXA!$C$2:$C$643,"Saída",BASE_CAIXA!$K$2:$K$643,A50,BASE_CAIXA!$L$2:$L$643,"")</f>
        <v>0</v>
      </c>
      <c r="D50" s="14">
        <f>SUMIFS(BASE_CAIXA!$AA$2:$AA$643,BASE_CAIXA!$C$2:$C$643,"Entrada",BASE_CAIXA!$L$2:$L$643,A50)</f>
        <v>0</v>
      </c>
      <c r="E50" s="14">
        <f>SUMIFS(BASE_CAIXA!$AA$2:$AA$643,BASE_CAIXA!$C$2:$C$643,"Saída",BASE_CAIXA!$L$2:$L$643,A50)</f>
        <v>0</v>
      </c>
      <c r="F50" s="14">
        <f t="shared" si="2"/>
        <v>0</v>
      </c>
      <c r="G50" s="14">
        <f t="shared" si="3"/>
        <v>-959044.0801637338</v>
      </c>
    </row>
    <row r="51" spans="1:7" x14ac:dyDescent="0.3">
      <c r="A51" s="13">
        <v>46135</v>
      </c>
      <c r="B51" s="14">
        <f>SUMIFS(BASE_CAIXA!$Z$2:$Z$643,BASE_CAIXA!$C$2:$C$643,"Entrada",BASE_CAIXA!$K$2:$K$643,A51,BASE_CAIXA!$L$2:$L$643,"")</f>
        <v>0</v>
      </c>
      <c r="C51" s="14">
        <f>SUMIFS(BASE_CAIXA!$Z$2:$Z$643,BASE_CAIXA!$C$2:$C$643,"Saída",BASE_CAIXA!$K$2:$K$643,A51,BASE_CAIXA!$L$2:$L$643,"")</f>
        <v>0</v>
      </c>
      <c r="D51" s="14">
        <f>SUMIFS(BASE_CAIXA!$AA$2:$AA$643,BASE_CAIXA!$C$2:$C$643,"Entrada",BASE_CAIXA!$L$2:$L$643,A51)</f>
        <v>0</v>
      </c>
      <c r="E51" s="14">
        <f>SUMIFS(BASE_CAIXA!$AA$2:$AA$643,BASE_CAIXA!$C$2:$C$643,"Saída",BASE_CAIXA!$L$2:$L$643,A51)</f>
        <v>0</v>
      </c>
      <c r="F51" s="14">
        <f t="shared" si="2"/>
        <v>0</v>
      </c>
      <c r="G51" s="14">
        <f t="shared" si="3"/>
        <v>-959044.0801637338</v>
      </c>
    </row>
    <row r="52" spans="1:7" x14ac:dyDescent="0.3">
      <c r="A52" s="13">
        <v>46136</v>
      </c>
      <c r="B52" s="14">
        <f>SUMIFS(BASE_CAIXA!$Z$2:$Z$643,BASE_CAIXA!$C$2:$C$643,"Entrada",BASE_CAIXA!$K$2:$K$643,A52,BASE_CAIXA!$L$2:$L$643,"")</f>
        <v>0</v>
      </c>
      <c r="C52" s="14">
        <f>SUMIFS(BASE_CAIXA!$Z$2:$Z$643,BASE_CAIXA!$C$2:$C$643,"Saída",BASE_CAIXA!$K$2:$K$643,A52,BASE_CAIXA!$L$2:$L$643,"")</f>
        <v>0</v>
      </c>
      <c r="D52" s="14">
        <f>SUMIFS(BASE_CAIXA!$AA$2:$AA$643,BASE_CAIXA!$C$2:$C$643,"Entrada",BASE_CAIXA!$L$2:$L$643,A52)</f>
        <v>0</v>
      </c>
      <c r="E52" s="14">
        <f>SUMIFS(BASE_CAIXA!$AA$2:$AA$643,BASE_CAIXA!$C$2:$C$643,"Saída",BASE_CAIXA!$L$2:$L$643,A52)</f>
        <v>0</v>
      </c>
      <c r="F52" s="14">
        <f t="shared" si="2"/>
        <v>0</v>
      </c>
      <c r="G52" s="14">
        <f t="shared" si="3"/>
        <v>-959044.0801637338</v>
      </c>
    </row>
    <row r="53" spans="1:7" x14ac:dyDescent="0.3">
      <c r="A53" s="15">
        <v>46137</v>
      </c>
      <c r="B53" s="16">
        <f>SUMIFS(BASE_CAIXA!$Z$2:$Z$643,BASE_CAIXA!$C$2:$C$643,"Entrada",BASE_CAIXA!$K$2:$K$643,A53,BASE_CAIXA!$L$2:$L$643,"")</f>
        <v>0</v>
      </c>
      <c r="C53" s="16">
        <f>SUMIFS(BASE_CAIXA!$Z$2:$Z$643,BASE_CAIXA!$C$2:$C$643,"Saída",BASE_CAIXA!$K$2:$K$643,A53,BASE_CAIXA!$L$2:$L$643,"")</f>
        <v>0</v>
      </c>
      <c r="D53" s="16">
        <f>SUMIFS(BASE_CAIXA!$AA$2:$AA$643,BASE_CAIXA!$C$2:$C$643,"Entrada",BASE_CAIXA!$L$2:$L$643,A53)</f>
        <v>0</v>
      </c>
      <c r="E53" s="16">
        <f>SUMIFS(BASE_CAIXA!$AA$2:$AA$643,BASE_CAIXA!$C$2:$C$643,"Saída",BASE_CAIXA!$L$2:$L$643,A53)</f>
        <v>0</v>
      </c>
      <c r="F53" s="16">
        <f t="shared" si="2"/>
        <v>0</v>
      </c>
      <c r="G53" s="16">
        <f t="shared" si="3"/>
        <v>-959044.0801637338</v>
      </c>
    </row>
    <row r="54" spans="1:7" x14ac:dyDescent="0.3">
      <c r="A54" s="15">
        <v>46138</v>
      </c>
      <c r="B54" s="16">
        <f>SUMIFS(BASE_CAIXA!$Z$2:$Z$643,BASE_CAIXA!$C$2:$C$643,"Entrada",BASE_CAIXA!$K$2:$K$643,A54,BASE_CAIXA!$L$2:$L$643,"")</f>
        <v>0</v>
      </c>
      <c r="C54" s="16">
        <f>SUMIFS(BASE_CAIXA!$Z$2:$Z$643,BASE_CAIXA!$C$2:$C$643,"Saída",BASE_CAIXA!$K$2:$K$643,A54,BASE_CAIXA!$L$2:$L$643,"")</f>
        <v>0</v>
      </c>
      <c r="D54" s="16">
        <f>SUMIFS(BASE_CAIXA!$AA$2:$AA$643,BASE_CAIXA!$C$2:$C$643,"Entrada",BASE_CAIXA!$L$2:$L$643,A54)</f>
        <v>0</v>
      </c>
      <c r="E54" s="16">
        <f>SUMIFS(BASE_CAIXA!$AA$2:$AA$643,BASE_CAIXA!$C$2:$C$643,"Saída",BASE_CAIXA!$L$2:$L$643,A54)</f>
        <v>0</v>
      </c>
      <c r="F54" s="16">
        <f t="shared" si="2"/>
        <v>0</v>
      </c>
      <c r="G54" s="16">
        <f t="shared" si="3"/>
        <v>-959044.0801637338</v>
      </c>
    </row>
    <row r="55" spans="1:7" x14ac:dyDescent="0.3">
      <c r="A55" s="13">
        <v>46139</v>
      </c>
      <c r="B55" s="14">
        <f>SUMIFS(BASE_CAIXA!$Z$2:$Z$643,BASE_CAIXA!$C$2:$C$643,"Entrada",BASE_CAIXA!$K$2:$K$643,A55,BASE_CAIXA!$L$2:$L$643,"")</f>
        <v>0</v>
      </c>
      <c r="C55" s="14">
        <f>SUMIFS(BASE_CAIXA!$Z$2:$Z$643,BASE_CAIXA!$C$2:$C$643,"Saída",BASE_CAIXA!$K$2:$K$643,A55,BASE_CAIXA!$L$2:$L$643,"")</f>
        <v>0</v>
      </c>
      <c r="D55" s="14">
        <f>SUMIFS(BASE_CAIXA!$AA$2:$AA$643,BASE_CAIXA!$C$2:$C$643,"Entrada",BASE_CAIXA!$L$2:$L$643,A55)</f>
        <v>0</v>
      </c>
      <c r="E55" s="14">
        <f>SUMIFS(BASE_CAIXA!$AA$2:$AA$643,BASE_CAIXA!$C$2:$C$643,"Saída",BASE_CAIXA!$L$2:$L$643,A55)</f>
        <v>0</v>
      </c>
      <c r="F55" s="14">
        <f t="shared" si="2"/>
        <v>0</v>
      </c>
      <c r="G55" s="14">
        <f t="shared" si="3"/>
        <v>-959044.0801637338</v>
      </c>
    </row>
    <row r="56" spans="1:7" x14ac:dyDescent="0.3">
      <c r="A56" s="13">
        <v>46140</v>
      </c>
      <c r="B56" s="14">
        <f>SUMIFS(BASE_CAIXA!$Z$2:$Z$643,BASE_CAIXA!$C$2:$C$643,"Entrada",BASE_CAIXA!$K$2:$K$643,A56,BASE_CAIXA!$L$2:$L$643,"")</f>
        <v>0</v>
      </c>
      <c r="C56" s="14">
        <f>SUMIFS(BASE_CAIXA!$Z$2:$Z$643,BASE_CAIXA!$C$2:$C$643,"Saída",BASE_CAIXA!$K$2:$K$643,A56,BASE_CAIXA!$L$2:$L$643,"")</f>
        <v>0</v>
      </c>
      <c r="D56" s="14">
        <f>SUMIFS(BASE_CAIXA!$AA$2:$AA$643,BASE_CAIXA!$C$2:$C$643,"Entrada",BASE_CAIXA!$L$2:$L$643,A56)</f>
        <v>0</v>
      </c>
      <c r="E56" s="14">
        <f>SUMIFS(BASE_CAIXA!$AA$2:$AA$643,BASE_CAIXA!$C$2:$C$643,"Saída",BASE_CAIXA!$L$2:$L$643,A56)</f>
        <v>0</v>
      </c>
      <c r="F56" s="14">
        <f t="shared" si="2"/>
        <v>0</v>
      </c>
      <c r="G56" s="14">
        <f t="shared" si="3"/>
        <v>-959044.0801637338</v>
      </c>
    </row>
    <row r="57" spans="1:7" x14ac:dyDescent="0.3">
      <c r="A57" s="13">
        <v>46141</v>
      </c>
      <c r="B57" s="14">
        <f>SUMIFS(BASE_CAIXA!$Z$2:$Z$643,BASE_CAIXA!$C$2:$C$643,"Entrada",BASE_CAIXA!$K$2:$K$643,A57,BASE_CAIXA!$L$2:$L$643,"")</f>
        <v>0</v>
      </c>
      <c r="C57" s="14">
        <f>SUMIFS(BASE_CAIXA!$Z$2:$Z$643,BASE_CAIXA!$C$2:$C$643,"Saída",BASE_CAIXA!$K$2:$K$643,A57,BASE_CAIXA!$L$2:$L$643,"")</f>
        <v>0</v>
      </c>
      <c r="D57" s="14">
        <f>SUMIFS(BASE_CAIXA!$AA$2:$AA$643,BASE_CAIXA!$C$2:$C$643,"Entrada",BASE_CAIXA!$L$2:$L$643,A57)</f>
        <v>0</v>
      </c>
      <c r="E57" s="14">
        <f>SUMIFS(BASE_CAIXA!$AA$2:$AA$643,BASE_CAIXA!$C$2:$C$643,"Saída",BASE_CAIXA!$L$2:$L$643,A57)</f>
        <v>0</v>
      </c>
      <c r="F57" s="14">
        <f t="shared" si="2"/>
        <v>0</v>
      </c>
      <c r="G57" s="14">
        <f t="shared" si="3"/>
        <v>-959044.0801637338</v>
      </c>
    </row>
    <row r="58" spans="1:7" x14ac:dyDescent="0.3">
      <c r="A58" s="13">
        <v>46142</v>
      </c>
      <c r="B58" s="14">
        <f>SUMIFS(BASE_CAIXA!$Z$2:$Z$643,BASE_CAIXA!$C$2:$C$643,"Entrada",BASE_CAIXA!$K$2:$K$643,A58,BASE_CAIXA!$L$2:$L$643,"")</f>
        <v>0</v>
      </c>
      <c r="C58" s="14">
        <f>SUMIFS(BASE_CAIXA!$Z$2:$Z$643,BASE_CAIXA!$C$2:$C$643,"Saída",BASE_CAIXA!$K$2:$K$643,A58,BASE_CAIXA!$L$2:$L$643,"")</f>
        <v>0</v>
      </c>
      <c r="D58" s="14">
        <f>SUMIFS(BASE_CAIXA!$AA$2:$AA$643,BASE_CAIXA!$C$2:$C$643,"Entrada",BASE_CAIXA!$L$2:$L$643,A58)</f>
        <v>0</v>
      </c>
      <c r="E58" s="14">
        <f>SUMIFS(BASE_CAIXA!$AA$2:$AA$643,BASE_CAIXA!$C$2:$C$643,"Saída",BASE_CAIXA!$L$2:$L$643,A58)</f>
        <v>0</v>
      </c>
      <c r="F58" s="14">
        <f t="shared" si="2"/>
        <v>0</v>
      </c>
      <c r="G58" s="14">
        <f t="shared" si="3"/>
        <v>-959044.0801637338</v>
      </c>
    </row>
    <row r="59" spans="1:7" x14ac:dyDescent="0.3">
      <c r="A59" s="13">
        <v>46143</v>
      </c>
      <c r="B59" s="14">
        <f>SUMIFS(BASE_CAIXA!$Z$2:$Z$643,BASE_CAIXA!$C$2:$C$643,"Entrada",BASE_CAIXA!$K$2:$K$643,A59,BASE_CAIXA!$L$2:$L$643,"")</f>
        <v>758705.10988800018</v>
      </c>
      <c r="C59" s="14">
        <f>SUMIFS(BASE_CAIXA!$Z$2:$Z$643,BASE_CAIXA!$C$2:$C$643,"Saída",BASE_CAIXA!$K$2:$K$643,A59,BASE_CAIXA!$L$2:$L$643,"")</f>
        <v>1727107.45590583</v>
      </c>
      <c r="D59" s="14">
        <f>SUMIFS(BASE_CAIXA!$AA$2:$AA$643,BASE_CAIXA!$C$2:$C$643,"Entrada",BASE_CAIXA!$L$2:$L$643,A59)</f>
        <v>0</v>
      </c>
      <c r="E59" s="14">
        <f>SUMIFS(BASE_CAIXA!$AA$2:$AA$643,BASE_CAIXA!$C$2:$C$643,"Saída",BASE_CAIXA!$L$2:$L$643,A59)</f>
        <v>0</v>
      </c>
      <c r="F59" s="14">
        <f t="shared" si="2"/>
        <v>-968402.34601782984</v>
      </c>
      <c r="G59" s="14">
        <f t="shared" si="3"/>
        <v>-1927446.4261815636</v>
      </c>
    </row>
    <row r="60" spans="1:7" x14ac:dyDescent="0.3">
      <c r="A60" s="15">
        <v>46144</v>
      </c>
      <c r="B60" s="16">
        <f>SUMIFS(BASE_CAIXA!$Z$2:$Z$643,BASE_CAIXA!$C$2:$C$643,"Entrada",BASE_CAIXA!$K$2:$K$643,A60,BASE_CAIXA!$L$2:$L$643,"")</f>
        <v>0</v>
      </c>
      <c r="C60" s="16">
        <f>SUMIFS(BASE_CAIXA!$Z$2:$Z$643,BASE_CAIXA!$C$2:$C$643,"Saída",BASE_CAIXA!$K$2:$K$643,A60,BASE_CAIXA!$L$2:$L$643,"")</f>
        <v>0</v>
      </c>
      <c r="D60" s="16">
        <f>SUMIFS(BASE_CAIXA!$AA$2:$AA$643,BASE_CAIXA!$C$2:$C$643,"Entrada",BASE_CAIXA!$L$2:$L$643,A60)</f>
        <v>0</v>
      </c>
      <c r="E60" s="16">
        <f>SUMIFS(BASE_CAIXA!$AA$2:$AA$643,BASE_CAIXA!$C$2:$C$643,"Saída",BASE_CAIXA!$L$2:$L$643,A60)</f>
        <v>0</v>
      </c>
      <c r="F60" s="16">
        <f t="shared" si="2"/>
        <v>0</v>
      </c>
      <c r="G60" s="16">
        <f t="shared" si="3"/>
        <v>-1927446.4261815636</v>
      </c>
    </row>
    <row r="61" spans="1:7" x14ac:dyDescent="0.3">
      <c r="A61" s="15">
        <v>46145</v>
      </c>
      <c r="B61" s="16">
        <f>SUMIFS(BASE_CAIXA!$Z$2:$Z$643,BASE_CAIXA!$C$2:$C$643,"Entrada",BASE_CAIXA!$K$2:$K$643,A61,BASE_CAIXA!$L$2:$L$643,"")</f>
        <v>0</v>
      </c>
      <c r="C61" s="16">
        <f>SUMIFS(BASE_CAIXA!$Z$2:$Z$643,BASE_CAIXA!$C$2:$C$643,"Saída",BASE_CAIXA!$K$2:$K$643,A61,BASE_CAIXA!$L$2:$L$643,"")</f>
        <v>0</v>
      </c>
      <c r="D61" s="16">
        <f>SUMIFS(BASE_CAIXA!$AA$2:$AA$643,BASE_CAIXA!$C$2:$C$643,"Entrada",BASE_CAIXA!$L$2:$L$643,A61)</f>
        <v>0</v>
      </c>
      <c r="E61" s="16">
        <f>SUMIFS(BASE_CAIXA!$AA$2:$AA$643,BASE_CAIXA!$C$2:$C$643,"Saída",BASE_CAIXA!$L$2:$L$643,A61)</f>
        <v>0</v>
      </c>
      <c r="F61" s="16">
        <f t="shared" si="2"/>
        <v>0</v>
      </c>
      <c r="G61" s="16">
        <f t="shared" si="3"/>
        <v>-1927446.4261815636</v>
      </c>
    </row>
    <row r="62" spans="1:7" x14ac:dyDescent="0.3">
      <c r="A62" s="13">
        <v>46146</v>
      </c>
      <c r="B62" s="14">
        <f>SUMIFS(BASE_CAIXA!$Z$2:$Z$643,BASE_CAIXA!$C$2:$C$643,"Entrada",BASE_CAIXA!$K$2:$K$643,A62,BASE_CAIXA!$L$2:$L$643,"")</f>
        <v>0</v>
      </c>
      <c r="C62" s="14">
        <f>SUMIFS(BASE_CAIXA!$Z$2:$Z$643,BASE_CAIXA!$C$2:$C$643,"Saída",BASE_CAIXA!$K$2:$K$643,A62,BASE_CAIXA!$L$2:$L$643,"")</f>
        <v>0</v>
      </c>
      <c r="D62" s="14">
        <f>SUMIFS(BASE_CAIXA!$AA$2:$AA$643,BASE_CAIXA!$C$2:$C$643,"Entrada",BASE_CAIXA!$L$2:$L$643,A62)</f>
        <v>0</v>
      </c>
      <c r="E62" s="14">
        <f>SUMIFS(BASE_CAIXA!$AA$2:$AA$643,BASE_CAIXA!$C$2:$C$643,"Saída",BASE_CAIXA!$L$2:$L$643,A62)</f>
        <v>0</v>
      </c>
      <c r="F62" s="14">
        <f t="shared" si="2"/>
        <v>0</v>
      </c>
      <c r="G62" s="14">
        <f t="shared" si="3"/>
        <v>-1927446.4261815636</v>
      </c>
    </row>
    <row r="63" spans="1:7" x14ac:dyDescent="0.3">
      <c r="A63" s="13">
        <v>46147</v>
      </c>
      <c r="B63" s="14">
        <f>SUMIFS(BASE_CAIXA!$Z$2:$Z$643,BASE_CAIXA!$C$2:$C$643,"Entrada",BASE_CAIXA!$K$2:$K$643,A63,BASE_CAIXA!$L$2:$L$643,"")</f>
        <v>0</v>
      </c>
      <c r="C63" s="14">
        <f>SUMIFS(BASE_CAIXA!$Z$2:$Z$643,BASE_CAIXA!$C$2:$C$643,"Saída",BASE_CAIXA!$K$2:$K$643,A63,BASE_CAIXA!$L$2:$L$643,"")</f>
        <v>0</v>
      </c>
      <c r="D63" s="14">
        <f>SUMIFS(BASE_CAIXA!$AA$2:$AA$643,BASE_CAIXA!$C$2:$C$643,"Entrada",BASE_CAIXA!$L$2:$L$643,A63)</f>
        <v>0</v>
      </c>
      <c r="E63" s="14">
        <f>SUMIFS(BASE_CAIXA!$AA$2:$AA$643,BASE_CAIXA!$C$2:$C$643,"Saída",BASE_CAIXA!$L$2:$L$643,A63)</f>
        <v>0</v>
      </c>
      <c r="F63" s="14">
        <f t="shared" si="2"/>
        <v>0</v>
      </c>
      <c r="G63" s="14">
        <f t="shared" si="3"/>
        <v>-1927446.4261815636</v>
      </c>
    </row>
    <row r="64" spans="1:7" x14ac:dyDescent="0.3">
      <c r="A64" s="13">
        <v>46148</v>
      </c>
      <c r="B64" s="14">
        <f>SUMIFS(BASE_CAIXA!$Z$2:$Z$643,BASE_CAIXA!$C$2:$C$643,"Entrada",BASE_CAIXA!$K$2:$K$643,A64,BASE_CAIXA!$L$2:$L$643,"")</f>
        <v>0</v>
      </c>
      <c r="C64" s="14">
        <f>SUMIFS(BASE_CAIXA!$Z$2:$Z$643,BASE_CAIXA!$C$2:$C$643,"Saída",BASE_CAIXA!$K$2:$K$643,A64,BASE_CAIXA!$L$2:$L$643,"")</f>
        <v>0</v>
      </c>
      <c r="D64" s="14">
        <f>SUMIFS(BASE_CAIXA!$AA$2:$AA$643,BASE_CAIXA!$C$2:$C$643,"Entrada",BASE_CAIXA!$L$2:$L$643,A64)</f>
        <v>0</v>
      </c>
      <c r="E64" s="14">
        <f>SUMIFS(BASE_CAIXA!$AA$2:$AA$643,BASE_CAIXA!$C$2:$C$643,"Saída",BASE_CAIXA!$L$2:$L$643,A64)</f>
        <v>0</v>
      </c>
      <c r="F64" s="14">
        <f t="shared" si="2"/>
        <v>0</v>
      </c>
      <c r="G64" s="14">
        <f t="shared" si="3"/>
        <v>-1927446.4261815636</v>
      </c>
    </row>
    <row r="65" spans="1:7" x14ac:dyDescent="0.3">
      <c r="A65" s="13">
        <v>46149</v>
      </c>
      <c r="B65" s="14">
        <f>SUMIFS(BASE_CAIXA!$Z$2:$Z$643,BASE_CAIXA!$C$2:$C$643,"Entrada",BASE_CAIXA!$K$2:$K$643,A65,BASE_CAIXA!$L$2:$L$643,"")</f>
        <v>0</v>
      </c>
      <c r="C65" s="14">
        <f>SUMIFS(BASE_CAIXA!$Z$2:$Z$643,BASE_CAIXA!$C$2:$C$643,"Saída",BASE_CAIXA!$K$2:$K$643,A65,BASE_CAIXA!$L$2:$L$643,"")</f>
        <v>0</v>
      </c>
      <c r="D65" s="14">
        <f>SUMIFS(BASE_CAIXA!$AA$2:$AA$643,BASE_CAIXA!$C$2:$C$643,"Entrada",BASE_CAIXA!$L$2:$L$643,A65)</f>
        <v>0</v>
      </c>
      <c r="E65" s="14">
        <f>SUMIFS(BASE_CAIXA!$AA$2:$AA$643,BASE_CAIXA!$C$2:$C$643,"Saída",BASE_CAIXA!$L$2:$L$643,A65)</f>
        <v>0</v>
      </c>
      <c r="F65" s="14">
        <f t="shared" si="2"/>
        <v>0</v>
      </c>
      <c r="G65" s="14">
        <f t="shared" si="3"/>
        <v>-1927446.4261815636</v>
      </c>
    </row>
    <row r="66" spans="1:7" x14ac:dyDescent="0.3">
      <c r="A66" s="13">
        <v>46150</v>
      </c>
      <c r="B66" s="14">
        <f>SUMIFS(BASE_CAIXA!$Z$2:$Z$643,BASE_CAIXA!$C$2:$C$643,"Entrada",BASE_CAIXA!$K$2:$K$643,A66,BASE_CAIXA!$L$2:$L$643,"")</f>
        <v>0</v>
      </c>
      <c r="C66" s="14">
        <f>SUMIFS(BASE_CAIXA!$Z$2:$Z$643,BASE_CAIXA!$C$2:$C$643,"Saída",BASE_CAIXA!$K$2:$K$643,A66,BASE_CAIXA!$L$2:$L$643,"")</f>
        <v>0</v>
      </c>
      <c r="D66" s="14">
        <f>SUMIFS(BASE_CAIXA!$AA$2:$AA$643,BASE_CAIXA!$C$2:$C$643,"Entrada",BASE_CAIXA!$L$2:$L$643,A66)</f>
        <v>0</v>
      </c>
      <c r="E66" s="14">
        <f>SUMIFS(BASE_CAIXA!$AA$2:$AA$643,BASE_CAIXA!$C$2:$C$643,"Saída",BASE_CAIXA!$L$2:$L$643,A66)</f>
        <v>0</v>
      </c>
      <c r="F66" s="14">
        <f t="shared" si="2"/>
        <v>0</v>
      </c>
      <c r="G66" s="14">
        <f t="shared" si="3"/>
        <v>-1927446.4261815636</v>
      </c>
    </row>
    <row r="67" spans="1:7" x14ac:dyDescent="0.3">
      <c r="A67" s="15">
        <v>46151</v>
      </c>
      <c r="B67" s="16">
        <f>SUMIFS(BASE_CAIXA!$Z$2:$Z$643,BASE_CAIXA!$C$2:$C$643,"Entrada",BASE_CAIXA!$K$2:$K$643,A67,BASE_CAIXA!$L$2:$L$643,"")</f>
        <v>0</v>
      </c>
      <c r="C67" s="16">
        <f>SUMIFS(BASE_CAIXA!$Z$2:$Z$643,BASE_CAIXA!$C$2:$C$643,"Saída",BASE_CAIXA!$K$2:$K$643,A67,BASE_CAIXA!$L$2:$L$643,"")</f>
        <v>0</v>
      </c>
      <c r="D67" s="16">
        <f>SUMIFS(BASE_CAIXA!$AA$2:$AA$643,BASE_CAIXA!$C$2:$C$643,"Entrada",BASE_CAIXA!$L$2:$L$643,A67)</f>
        <v>0</v>
      </c>
      <c r="E67" s="16">
        <f>SUMIFS(BASE_CAIXA!$AA$2:$AA$643,BASE_CAIXA!$C$2:$C$643,"Saída",BASE_CAIXA!$L$2:$L$643,A67)</f>
        <v>0</v>
      </c>
      <c r="F67" s="16">
        <f t="shared" si="2"/>
        <v>0</v>
      </c>
      <c r="G67" s="16">
        <f t="shared" si="3"/>
        <v>-1927446.4261815636</v>
      </c>
    </row>
    <row r="68" spans="1:7" x14ac:dyDescent="0.3">
      <c r="A68" s="15">
        <v>46152</v>
      </c>
      <c r="B68" s="16">
        <f>SUMIFS(BASE_CAIXA!$Z$2:$Z$643,BASE_CAIXA!$C$2:$C$643,"Entrada",BASE_CAIXA!$K$2:$K$643,A68,BASE_CAIXA!$L$2:$L$643,"")</f>
        <v>0</v>
      </c>
      <c r="C68" s="16">
        <f>SUMIFS(BASE_CAIXA!$Z$2:$Z$643,BASE_CAIXA!$C$2:$C$643,"Saída",BASE_CAIXA!$K$2:$K$643,A68,BASE_CAIXA!$L$2:$L$643,"")</f>
        <v>0</v>
      </c>
      <c r="D68" s="16">
        <f>SUMIFS(BASE_CAIXA!$AA$2:$AA$643,BASE_CAIXA!$C$2:$C$643,"Entrada",BASE_CAIXA!$L$2:$L$643,A68)</f>
        <v>0</v>
      </c>
      <c r="E68" s="16">
        <f>SUMIFS(BASE_CAIXA!$AA$2:$AA$643,BASE_CAIXA!$C$2:$C$643,"Saída",BASE_CAIXA!$L$2:$L$643,A68)</f>
        <v>0</v>
      </c>
      <c r="F68" s="16">
        <f t="shared" si="2"/>
        <v>0</v>
      </c>
      <c r="G68" s="16">
        <f t="shared" si="3"/>
        <v>-1927446.4261815636</v>
      </c>
    </row>
    <row r="69" spans="1:7" x14ac:dyDescent="0.3">
      <c r="A69" s="13">
        <v>46153</v>
      </c>
      <c r="B69" s="14">
        <f>SUMIFS(BASE_CAIXA!$Z$2:$Z$643,BASE_CAIXA!$C$2:$C$643,"Entrada",BASE_CAIXA!$K$2:$K$643,A69,BASE_CAIXA!$L$2:$L$643,"")</f>
        <v>0</v>
      </c>
      <c r="C69" s="14">
        <f>SUMIFS(BASE_CAIXA!$Z$2:$Z$643,BASE_CAIXA!$C$2:$C$643,"Saída",BASE_CAIXA!$K$2:$K$643,A69,BASE_CAIXA!$L$2:$L$643,"")</f>
        <v>0</v>
      </c>
      <c r="D69" s="14">
        <f>SUMIFS(BASE_CAIXA!$AA$2:$AA$643,BASE_CAIXA!$C$2:$C$643,"Entrada",BASE_CAIXA!$L$2:$L$643,A69)</f>
        <v>0</v>
      </c>
      <c r="E69" s="14">
        <f>SUMIFS(BASE_CAIXA!$AA$2:$AA$643,BASE_CAIXA!$C$2:$C$643,"Saída",BASE_CAIXA!$L$2:$L$643,A69)</f>
        <v>0</v>
      </c>
      <c r="F69" s="14">
        <f t="shared" si="2"/>
        <v>0</v>
      </c>
      <c r="G69" s="14">
        <f t="shared" si="3"/>
        <v>-1927446.4261815636</v>
      </c>
    </row>
    <row r="70" spans="1:7" x14ac:dyDescent="0.3">
      <c r="A70" s="13">
        <v>46154</v>
      </c>
      <c r="B70" s="14">
        <f>SUMIFS(BASE_CAIXA!$Z$2:$Z$643,BASE_CAIXA!$C$2:$C$643,"Entrada",BASE_CAIXA!$K$2:$K$643,A70,BASE_CAIXA!$L$2:$L$643,"")</f>
        <v>0</v>
      </c>
      <c r="C70" s="14">
        <f>SUMIFS(BASE_CAIXA!$Z$2:$Z$643,BASE_CAIXA!$C$2:$C$643,"Saída",BASE_CAIXA!$K$2:$K$643,A70,BASE_CAIXA!$L$2:$L$643,"")</f>
        <v>0</v>
      </c>
      <c r="D70" s="14">
        <f>SUMIFS(BASE_CAIXA!$AA$2:$AA$643,BASE_CAIXA!$C$2:$C$643,"Entrada",BASE_CAIXA!$L$2:$L$643,A70)</f>
        <v>0</v>
      </c>
      <c r="E70" s="14">
        <f>SUMIFS(BASE_CAIXA!$AA$2:$AA$643,BASE_CAIXA!$C$2:$C$643,"Saída",BASE_CAIXA!$L$2:$L$643,A70)</f>
        <v>0</v>
      </c>
      <c r="F70" s="14">
        <f t="shared" ref="F70:F101" si="4">B70-C70+D70-E70</f>
        <v>0</v>
      </c>
      <c r="G70" s="14">
        <f t="shared" si="3"/>
        <v>-1927446.4261815636</v>
      </c>
    </row>
    <row r="71" spans="1:7" x14ac:dyDescent="0.3">
      <c r="A71" s="13">
        <v>46155</v>
      </c>
      <c r="B71" s="14">
        <f>SUMIFS(BASE_CAIXA!$Z$2:$Z$643,BASE_CAIXA!$C$2:$C$643,"Entrada",BASE_CAIXA!$K$2:$K$643,A71,BASE_CAIXA!$L$2:$L$643,"")</f>
        <v>0</v>
      </c>
      <c r="C71" s="14">
        <f>SUMIFS(BASE_CAIXA!$Z$2:$Z$643,BASE_CAIXA!$C$2:$C$643,"Saída",BASE_CAIXA!$K$2:$K$643,A71,BASE_CAIXA!$L$2:$L$643,"")</f>
        <v>0</v>
      </c>
      <c r="D71" s="14">
        <f>SUMIFS(BASE_CAIXA!$AA$2:$AA$643,BASE_CAIXA!$C$2:$C$643,"Entrada",BASE_CAIXA!$L$2:$L$643,A71)</f>
        <v>0</v>
      </c>
      <c r="E71" s="14">
        <f>SUMIFS(BASE_CAIXA!$AA$2:$AA$643,BASE_CAIXA!$C$2:$C$643,"Saída",BASE_CAIXA!$L$2:$L$643,A71)</f>
        <v>0</v>
      </c>
      <c r="F71" s="14">
        <f t="shared" si="4"/>
        <v>0</v>
      </c>
      <c r="G71" s="14">
        <f t="shared" ref="G71:G102" si="5">G70+F71</f>
        <v>-1927446.4261815636</v>
      </c>
    </row>
    <row r="72" spans="1:7" x14ac:dyDescent="0.3">
      <c r="A72" s="13">
        <v>46156</v>
      </c>
      <c r="B72" s="14">
        <f>SUMIFS(BASE_CAIXA!$Z$2:$Z$643,BASE_CAIXA!$C$2:$C$643,"Entrada",BASE_CAIXA!$K$2:$K$643,A72,BASE_CAIXA!$L$2:$L$643,"")</f>
        <v>0</v>
      </c>
      <c r="C72" s="14">
        <f>SUMIFS(BASE_CAIXA!$Z$2:$Z$643,BASE_CAIXA!$C$2:$C$643,"Saída",BASE_CAIXA!$K$2:$K$643,A72,BASE_CAIXA!$L$2:$L$643,"")</f>
        <v>0</v>
      </c>
      <c r="D72" s="14">
        <f>SUMIFS(BASE_CAIXA!$AA$2:$AA$643,BASE_CAIXA!$C$2:$C$643,"Entrada",BASE_CAIXA!$L$2:$L$643,A72)</f>
        <v>0</v>
      </c>
      <c r="E72" s="14">
        <f>SUMIFS(BASE_CAIXA!$AA$2:$AA$643,BASE_CAIXA!$C$2:$C$643,"Saída",BASE_CAIXA!$L$2:$L$643,A72)</f>
        <v>0</v>
      </c>
      <c r="F72" s="14">
        <f t="shared" si="4"/>
        <v>0</v>
      </c>
      <c r="G72" s="14">
        <f t="shared" si="5"/>
        <v>-1927446.4261815636</v>
      </c>
    </row>
    <row r="73" spans="1:7" x14ac:dyDescent="0.3">
      <c r="A73" s="13">
        <v>46157</v>
      </c>
      <c r="B73" s="14">
        <f>SUMIFS(BASE_CAIXA!$Z$2:$Z$643,BASE_CAIXA!$C$2:$C$643,"Entrada",BASE_CAIXA!$K$2:$K$643,A73,BASE_CAIXA!$L$2:$L$643,"")</f>
        <v>1110679.830144</v>
      </c>
      <c r="C73" s="14">
        <f>SUMIFS(BASE_CAIXA!$Z$2:$Z$643,BASE_CAIXA!$C$2:$C$643,"Saída",BASE_CAIXA!$K$2:$K$643,A73,BASE_CAIXA!$L$2:$L$643,"")</f>
        <v>2194740.2595701623</v>
      </c>
      <c r="D73" s="14">
        <f>SUMIFS(BASE_CAIXA!$AA$2:$AA$643,BASE_CAIXA!$C$2:$C$643,"Entrada",BASE_CAIXA!$L$2:$L$643,A73)</f>
        <v>0</v>
      </c>
      <c r="E73" s="14">
        <f>SUMIFS(BASE_CAIXA!$AA$2:$AA$643,BASE_CAIXA!$C$2:$C$643,"Saída",BASE_CAIXA!$L$2:$L$643,A73)</f>
        <v>0</v>
      </c>
      <c r="F73" s="14">
        <f t="shared" si="4"/>
        <v>-1084060.4294261623</v>
      </c>
      <c r="G73" s="14">
        <f t="shared" si="5"/>
        <v>-3011506.8556077257</v>
      </c>
    </row>
    <row r="74" spans="1:7" x14ac:dyDescent="0.3">
      <c r="A74" s="15">
        <v>46158</v>
      </c>
      <c r="B74" s="16">
        <f>SUMIFS(BASE_CAIXA!$Z$2:$Z$643,BASE_CAIXA!$C$2:$C$643,"Entrada",BASE_CAIXA!$K$2:$K$643,A74,BASE_CAIXA!$L$2:$L$643,"")</f>
        <v>0</v>
      </c>
      <c r="C74" s="16">
        <f>SUMIFS(BASE_CAIXA!$Z$2:$Z$643,BASE_CAIXA!$C$2:$C$643,"Saída",BASE_CAIXA!$K$2:$K$643,A74,BASE_CAIXA!$L$2:$L$643,"")</f>
        <v>0</v>
      </c>
      <c r="D74" s="16">
        <f>SUMIFS(BASE_CAIXA!$AA$2:$AA$643,BASE_CAIXA!$C$2:$C$643,"Entrada",BASE_CAIXA!$L$2:$L$643,A74)</f>
        <v>0</v>
      </c>
      <c r="E74" s="16">
        <f>SUMIFS(BASE_CAIXA!$AA$2:$AA$643,BASE_CAIXA!$C$2:$C$643,"Saída",BASE_CAIXA!$L$2:$L$643,A74)</f>
        <v>0</v>
      </c>
      <c r="F74" s="16">
        <f t="shared" si="4"/>
        <v>0</v>
      </c>
      <c r="G74" s="16">
        <f t="shared" si="5"/>
        <v>-3011506.8556077257</v>
      </c>
    </row>
    <row r="75" spans="1:7" x14ac:dyDescent="0.3">
      <c r="A75" s="15">
        <v>46159</v>
      </c>
      <c r="B75" s="16">
        <f>SUMIFS(BASE_CAIXA!$Z$2:$Z$643,BASE_CAIXA!$C$2:$C$643,"Entrada",BASE_CAIXA!$K$2:$K$643,A75,BASE_CAIXA!$L$2:$L$643,"")</f>
        <v>0</v>
      </c>
      <c r="C75" s="16">
        <f>SUMIFS(BASE_CAIXA!$Z$2:$Z$643,BASE_CAIXA!$C$2:$C$643,"Saída",BASE_CAIXA!$K$2:$K$643,A75,BASE_CAIXA!$L$2:$L$643,"")</f>
        <v>0</v>
      </c>
      <c r="D75" s="16">
        <f>SUMIFS(BASE_CAIXA!$AA$2:$AA$643,BASE_CAIXA!$C$2:$C$643,"Entrada",BASE_CAIXA!$L$2:$L$643,A75)</f>
        <v>0</v>
      </c>
      <c r="E75" s="16">
        <f>SUMIFS(BASE_CAIXA!$AA$2:$AA$643,BASE_CAIXA!$C$2:$C$643,"Saída",BASE_CAIXA!$L$2:$L$643,A75)</f>
        <v>0</v>
      </c>
      <c r="F75" s="16">
        <f t="shared" si="4"/>
        <v>0</v>
      </c>
      <c r="G75" s="16">
        <f t="shared" si="5"/>
        <v>-3011506.8556077257</v>
      </c>
    </row>
    <row r="76" spans="1:7" x14ac:dyDescent="0.3">
      <c r="A76" s="13">
        <v>46160</v>
      </c>
      <c r="B76" s="14">
        <f>SUMIFS(BASE_CAIXA!$Z$2:$Z$643,BASE_CAIXA!$C$2:$C$643,"Entrada",BASE_CAIXA!$K$2:$K$643,A76,BASE_CAIXA!$L$2:$L$643,"")</f>
        <v>0</v>
      </c>
      <c r="C76" s="14">
        <f>SUMIFS(BASE_CAIXA!$Z$2:$Z$643,BASE_CAIXA!$C$2:$C$643,"Saída",BASE_CAIXA!$K$2:$K$643,A76,BASE_CAIXA!$L$2:$L$643,"")</f>
        <v>0</v>
      </c>
      <c r="D76" s="14">
        <f>SUMIFS(BASE_CAIXA!$AA$2:$AA$643,BASE_CAIXA!$C$2:$C$643,"Entrada",BASE_CAIXA!$L$2:$L$643,A76)</f>
        <v>0</v>
      </c>
      <c r="E76" s="14">
        <f>SUMIFS(BASE_CAIXA!$AA$2:$AA$643,BASE_CAIXA!$C$2:$C$643,"Saída",BASE_CAIXA!$L$2:$L$643,A76)</f>
        <v>0</v>
      </c>
      <c r="F76" s="14">
        <f t="shared" si="4"/>
        <v>0</v>
      </c>
      <c r="G76" s="14">
        <f t="shared" si="5"/>
        <v>-3011506.8556077257</v>
      </c>
    </row>
    <row r="77" spans="1:7" x14ac:dyDescent="0.3">
      <c r="A77" s="13">
        <v>46161</v>
      </c>
      <c r="B77" s="14">
        <f>SUMIFS(BASE_CAIXA!$Z$2:$Z$643,BASE_CAIXA!$C$2:$C$643,"Entrada",BASE_CAIXA!$K$2:$K$643,A77,BASE_CAIXA!$L$2:$L$643,"")</f>
        <v>0</v>
      </c>
      <c r="C77" s="14">
        <f>SUMIFS(BASE_CAIXA!$Z$2:$Z$643,BASE_CAIXA!$C$2:$C$643,"Saída",BASE_CAIXA!$K$2:$K$643,A77,BASE_CAIXA!$L$2:$L$643,"")</f>
        <v>0</v>
      </c>
      <c r="D77" s="14">
        <f>SUMIFS(BASE_CAIXA!$AA$2:$AA$643,BASE_CAIXA!$C$2:$C$643,"Entrada",BASE_CAIXA!$L$2:$L$643,A77)</f>
        <v>0</v>
      </c>
      <c r="E77" s="14">
        <f>SUMIFS(BASE_CAIXA!$AA$2:$AA$643,BASE_CAIXA!$C$2:$C$643,"Saída",BASE_CAIXA!$L$2:$L$643,A77)</f>
        <v>0</v>
      </c>
      <c r="F77" s="14">
        <f t="shared" si="4"/>
        <v>0</v>
      </c>
      <c r="G77" s="14">
        <f t="shared" si="5"/>
        <v>-3011506.8556077257</v>
      </c>
    </row>
    <row r="78" spans="1:7" x14ac:dyDescent="0.3">
      <c r="A78" s="13">
        <v>46162</v>
      </c>
      <c r="B78" s="14">
        <f>SUMIFS(BASE_CAIXA!$Z$2:$Z$643,BASE_CAIXA!$C$2:$C$643,"Entrada",BASE_CAIXA!$K$2:$K$643,A78,BASE_CAIXA!$L$2:$L$643,"")</f>
        <v>0</v>
      </c>
      <c r="C78" s="14">
        <f>SUMIFS(BASE_CAIXA!$Z$2:$Z$643,BASE_CAIXA!$C$2:$C$643,"Saída",BASE_CAIXA!$K$2:$K$643,A78,BASE_CAIXA!$L$2:$L$643,"")</f>
        <v>0</v>
      </c>
      <c r="D78" s="14">
        <f>SUMIFS(BASE_CAIXA!$AA$2:$AA$643,BASE_CAIXA!$C$2:$C$643,"Entrada",BASE_CAIXA!$L$2:$L$643,A78)</f>
        <v>0</v>
      </c>
      <c r="E78" s="14">
        <f>SUMIFS(BASE_CAIXA!$AA$2:$AA$643,BASE_CAIXA!$C$2:$C$643,"Saída",BASE_CAIXA!$L$2:$L$643,A78)</f>
        <v>0</v>
      </c>
      <c r="F78" s="14">
        <f t="shared" si="4"/>
        <v>0</v>
      </c>
      <c r="G78" s="14">
        <f t="shared" si="5"/>
        <v>-3011506.8556077257</v>
      </c>
    </row>
    <row r="79" spans="1:7" x14ac:dyDescent="0.3">
      <c r="A79" s="13">
        <v>46163</v>
      </c>
      <c r="B79" s="14">
        <f>SUMIFS(BASE_CAIXA!$Z$2:$Z$643,BASE_CAIXA!$C$2:$C$643,"Entrada",BASE_CAIXA!$K$2:$K$643,A79,BASE_CAIXA!$L$2:$L$643,"")</f>
        <v>0</v>
      </c>
      <c r="C79" s="14">
        <f>SUMIFS(BASE_CAIXA!$Z$2:$Z$643,BASE_CAIXA!$C$2:$C$643,"Saída",BASE_CAIXA!$K$2:$K$643,A79,BASE_CAIXA!$L$2:$L$643,"")</f>
        <v>0</v>
      </c>
      <c r="D79" s="14">
        <f>SUMIFS(BASE_CAIXA!$AA$2:$AA$643,BASE_CAIXA!$C$2:$C$643,"Entrada",BASE_CAIXA!$L$2:$L$643,A79)</f>
        <v>0</v>
      </c>
      <c r="E79" s="14">
        <f>SUMIFS(BASE_CAIXA!$AA$2:$AA$643,BASE_CAIXA!$C$2:$C$643,"Saída",BASE_CAIXA!$L$2:$L$643,A79)</f>
        <v>0</v>
      </c>
      <c r="F79" s="14">
        <f t="shared" si="4"/>
        <v>0</v>
      </c>
      <c r="G79" s="14">
        <f t="shared" si="5"/>
        <v>-3011506.8556077257</v>
      </c>
    </row>
    <row r="80" spans="1:7" x14ac:dyDescent="0.3">
      <c r="A80" s="13">
        <v>46164</v>
      </c>
      <c r="B80" s="14">
        <f>SUMIFS(BASE_CAIXA!$Z$2:$Z$643,BASE_CAIXA!$C$2:$C$643,"Entrada",BASE_CAIXA!$K$2:$K$643,A80,BASE_CAIXA!$L$2:$L$643,"")</f>
        <v>0</v>
      </c>
      <c r="C80" s="14">
        <f>SUMIFS(BASE_CAIXA!$Z$2:$Z$643,BASE_CAIXA!$C$2:$C$643,"Saída",BASE_CAIXA!$K$2:$K$643,A80,BASE_CAIXA!$L$2:$L$643,"")</f>
        <v>0</v>
      </c>
      <c r="D80" s="14">
        <f>SUMIFS(BASE_CAIXA!$AA$2:$AA$643,BASE_CAIXA!$C$2:$C$643,"Entrada",BASE_CAIXA!$L$2:$L$643,A80)</f>
        <v>0</v>
      </c>
      <c r="E80" s="14">
        <f>SUMIFS(BASE_CAIXA!$AA$2:$AA$643,BASE_CAIXA!$C$2:$C$643,"Saída",BASE_CAIXA!$L$2:$L$643,A80)</f>
        <v>0</v>
      </c>
      <c r="F80" s="14">
        <f t="shared" si="4"/>
        <v>0</v>
      </c>
      <c r="G80" s="14">
        <f t="shared" si="5"/>
        <v>-3011506.8556077257</v>
      </c>
    </row>
    <row r="81" spans="1:7" x14ac:dyDescent="0.3">
      <c r="A81" s="15">
        <v>46165</v>
      </c>
      <c r="B81" s="16">
        <f>SUMIFS(BASE_CAIXA!$Z$2:$Z$643,BASE_CAIXA!$C$2:$C$643,"Entrada",BASE_CAIXA!$K$2:$K$643,A81,BASE_CAIXA!$L$2:$L$643,"")</f>
        <v>0</v>
      </c>
      <c r="C81" s="16">
        <f>SUMIFS(BASE_CAIXA!$Z$2:$Z$643,BASE_CAIXA!$C$2:$C$643,"Saída",BASE_CAIXA!$K$2:$K$643,A81,BASE_CAIXA!$L$2:$L$643,"")</f>
        <v>0</v>
      </c>
      <c r="D81" s="16">
        <f>SUMIFS(BASE_CAIXA!$AA$2:$AA$643,BASE_CAIXA!$C$2:$C$643,"Entrada",BASE_CAIXA!$L$2:$L$643,A81)</f>
        <v>0</v>
      </c>
      <c r="E81" s="16">
        <f>SUMIFS(BASE_CAIXA!$AA$2:$AA$643,BASE_CAIXA!$C$2:$C$643,"Saída",BASE_CAIXA!$L$2:$L$643,A81)</f>
        <v>0</v>
      </c>
      <c r="F81" s="16">
        <f t="shared" si="4"/>
        <v>0</v>
      </c>
      <c r="G81" s="16">
        <f t="shared" si="5"/>
        <v>-3011506.8556077257</v>
      </c>
    </row>
    <row r="82" spans="1:7" x14ac:dyDescent="0.3">
      <c r="A82" s="15">
        <v>46166</v>
      </c>
      <c r="B82" s="16">
        <f>SUMIFS(BASE_CAIXA!$Z$2:$Z$643,BASE_CAIXA!$C$2:$C$643,"Entrada",BASE_CAIXA!$K$2:$K$643,A82,BASE_CAIXA!$L$2:$L$643,"")</f>
        <v>0</v>
      </c>
      <c r="C82" s="16">
        <f>SUMIFS(BASE_CAIXA!$Z$2:$Z$643,BASE_CAIXA!$C$2:$C$643,"Saída",BASE_CAIXA!$K$2:$K$643,A82,BASE_CAIXA!$L$2:$L$643,"")</f>
        <v>0</v>
      </c>
      <c r="D82" s="16">
        <f>SUMIFS(BASE_CAIXA!$AA$2:$AA$643,BASE_CAIXA!$C$2:$C$643,"Entrada",BASE_CAIXA!$L$2:$L$643,A82)</f>
        <v>0</v>
      </c>
      <c r="E82" s="16">
        <f>SUMIFS(BASE_CAIXA!$AA$2:$AA$643,BASE_CAIXA!$C$2:$C$643,"Saída",BASE_CAIXA!$L$2:$L$643,A82)</f>
        <v>0</v>
      </c>
      <c r="F82" s="16">
        <f t="shared" si="4"/>
        <v>0</v>
      </c>
      <c r="G82" s="16">
        <f t="shared" si="5"/>
        <v>-3011506.8556077257</v>
      </c>
    </row>
    <row r="83" spans="1:7" x14ac:dyDescent="0.3">
      <c r="A83" s="13">
        <v>46167</v>
      </c>
      <c r="B83" s="14">
        <f>SUMIFS(BASE_CAIXA!$Z$2:$Z$643,BASE_CAIXA!$C$2:$C$643,"Entrada",BASE_CAIXA!$K$2:$K$643,A83,BASE_CAIXA!$L$2:$L$643,"")</f>
        <v>0</v>
      </c>
      <c r="C83" s="14">
        <f>SUMIFS(BASE_CAIXA!$Z$2:$Z$643,BASE_CAIXA!$C$2:$C$643,"Saída",BASE_CAIXA!$K$2:$K$643,A83,BASE_CAIXA!$L$2:$L$643,"")</f>
        <v>0</v>
      </c>
      <c r="D83" s="14">
        <f>SUMIFS(BASE_CAIXA!$AA$2:$AA$643,BASE_CAIXA!$C$2:$C$643,"Entrada",BASE_CAIXA!$L$2:$L$643,A83)</f>
        <v>0</v>
      </c>
      <c r="E83" s="14">
        <f>SUMIFS(BASE_CAIXA!$AA$2:$AA$643,BASE_CAIXA!$C$2:$C$643,"Saída",BASE_CAIXA!$L$2:$L$643,A83)</f>
        <v>0</v>
      </c>
      <c r="F83" s="14">
        <f t="shared" si="4"/>
        <v>0</v>
      </c>
      <c r="G83" s="14">
        <f t="shared" si="5"/>
        <v>-3011506.8556077257</v>
      </c>
    </row>
    <row r="84" spans="1:7" x14ac:dyDescent="0.3">
      <c r="A84" s="13">
        <v>46168</v>
      </c>
      <c r="B84" s="14">
        <f>SUMIFS(BASE_CAIXA!$Z$2:$Z$643,BASE_CAIXA!$C$2:$C$643,"Entrada",BASE_CAIXA!$K$2:$K$643,A84,BASE_CAIXA!$L$2:$L$643,"")</f>
        <v>0</v>
      </c>
      <c r="C84" s="14">
        <f>SUMIFS(BASE_CAIXA!$Z$2:$Z$643,BASE_CAIXA!$C$2:$C$643,"Saída",BASE_CAIXA!$K$2:$K$643,A84,BASE_CAIXA!$L$2:$L$643,"")</f>
        <v>0</v>
      </c>
      <c r="D84" s="14">
        <f>SUMIFS(BASE_CAIXA!$AA$2:$AA$643,BASE_CAIXA!$C$2:$C$643,"Entrada",BASE_CAIXA!$L$2:$L$643,A84)</f>
        <v>0</v>
      </c>
      <c r="E84" s="14">
        <f>SUMIFS(BASE_CAIXA!$AA$2:$AA$643,BASE_CAIXA!$C$2:$C$643,"Saída",BASE_CAIXA!$L$2:$L$643,A84)</f>
        <v>0</v>
      </c>
      <c r="F84" s="14">
        <f t="shared" si="4"/>
        <v>0</v>
      </c>
      <c r="G84" s="14">
        <f t="shared" si="5"/>
        <v>-3011506.8556077257</v>
      </c>
    </row>
    <row r="85" spans="1:7" x14ac:dyDescent="0.3">
      <c r="A85" s="13">
        <v>46169</v>
      </c>
      <c r="B85" s="14">
        <f>SUMIFS(BASE_CAIXA!$Z$2:$Z$643,BASE_CAIXA!$C$2:$C$643,"Entrada",BASE_CAIXA!$K$2:$K$643,A85,BASE_CAIXA!$L$2:$L$643,"")</f>
        <v>0</v>
      </c>
      <c r="C85" s="14">
        <f>SUMIFS(BASE_CAIXA!$Z$2:$Z$643,BASE_CAIXA!$C$2:$C$643,"Saída",BASE_CAIXA!$K$2:$K$643,A85,BASE_CAIXA!$L$2:$L$643,"")</f>
        <v>0</v>
      </c>
      <c r="D85" s="14">
        <f>SUMIFS(BASE_CAIXA!$AA$2:$AA$643,BASE_CAIXA!$C$2:$C$643,"Entrada",BASE_CAIXA!$L$2:$L$643,A85)</f>
        <v>0</v>
      </c>
      <c r="E85" s="14">
        <f>SUMIFS(BASE_CAIXA!$AA$2:$AA$643,BASE_CAIXA!$C$2:$C$643,"Saída",BASE_CAIXA!$L$2:$L$643,A85)</f>
        <v>0</v>
      </c>
      <c r="F85" s="14">
        <f t="shared" si="4"/>
        <v>0</v>
      </c>
      <c r="G85" s="14">
        <f t="shared" si="5"/>
        <v>-3011506.8556077257</v>
      </c>
    </row>
    <row r="86" spans="1:7" x14ac:dyDescent="0.3">
      <c r="A86" s="13">
        <v>46170</v>
      </c>
      <c r="B86" s="14">
        <f>SUMIFS(BASE_CAIXA!$Z$2:$Z$643,BASE_CAIXA!$C$2:$C$643,"Entrada",BASE_CAIXA!$K$2:$K$643,A86,BASE_CAIXA!$L$2:$L$643,"")</f>
        <v>0</v>
      </c>
      <c r="C86" s="14">
        <f>SUMIFS(BASE_CAIXA!$Z$2:$Z$643,BASE_CAIXA!$C$2:$C$643,"Saída",BASE_CAIXA!$K$2:$K$643,A86,BASE_CAIXA!$L$2:$L$643,"")</f>
        <v>0</v>
      </c>
      <c r="D86" s="14">
        <f>SUMIFS(BASE_CAIXA!$AA$2:$AA$643,BASE_CAIXA!$C$2:$C$643,"Entrada",BASE_CAIXA!$L$2:$L$643,A86)</f>
        <v>0</v>
      </c>
      <c r="E86" s="14">
        <f>SUMIFS(BASE_CAIXA!$AA$2:$AA$643,BASE_CAIXA!$C$2:$C$643,"Saída",BASE_CAIXA!$L$2:$L$643,A86)</f>
        <v>0</v>
      </c>
      <c r="F86" s="14">
        <f t="shared" si="4"/>
        <v>0</v>
      </c>
      <c r="G86" s="14">
        <f t="shared" si="5"/>
        <v>-3011506.8556077257</v>
      </c>
    </row>
    <row r="87" spans="1:7" x14ac:dyDescent="0.3">
      <c r="A87" s="13">
        <v>46171</v>
      </c>
      <c r="B87" s="14">
        <f>SUMIFS(BASE_CAIXA!$Z$2:$Z$643,BASE_CAIXA!$C$2:$C$643,"Entrada",BASE_CAIXA!$K$2:$K$643,A87,BASE_CAIXA!$L$2:$L$643,"")</f>
        <v>1219493.518464</v>
      </c>
      <c r="C87" s="14">
        <f>SUMIFS(BASE_CAIXA!$Z$2:$Z$643,BASE_CAIXA!$C$2:$C$643,"Saída",BASE_CAIXA!$K$2:$K$643,A87,BASE_CAIXA!$L$2:$L$643,"")</f>
        <v>2222255.1585082212</v>
      </c>
      <c r="D87" s="14">
        <f>SUMIFS(BASE_CAIXA!$AA$2:$AA$643,BASE_CAIXA!$C$2:$C$643,"Entrada",BASE_CAIXA!$L$2:$L$643,A87)</f>
        <v>0</v>
      </c>
      <c r="E87" s="14">
        <f>SUMIFS(BASE_CAIXA!$AA$2:$AA$643,BASE_CAIXA!$C$2:$C$643,"Saída",BASE_CAIXA!$L$2:$L$643,A87)</f>
        <v>0</v>
      </c>
      <c r="F87" s="14">
        <f t="shared" si="4"/>
        <v>-1002761.6400442212</v>
      </c>
      <c r="G87" s="14">
        <f t="shared" si="5"/>
        <v>-4014268.4956519469</v>
      </c>
    </row>
    <row r="88" spans="1:7" x14ac:dyDescent="0.3">
      <c r="A88" s="15">
        <v>46172</v>
      </c>
      <c r="B88" s="16">
        <f>SUMIFS(BASE_CAIXA!$Z$2:$Z$643,BASE_CAIXA!$C$2:$C$643,"Entrada",BASE_CAIXA!$K$2:$K$643,A88,BASE_CAIXA!$L$2:$L$643,"")</f>
        <v>0</v>
      </c>
      <c r="C88" s="16">
        <f>SUMIFS(BASE_CAIXA!$Z$2:$Z$643,BASE_CAIXA!$C$2:$C$643,"Saída",BASE_CAIXA!$K$2:$K$643,A88,BASE_CAIXA!$L$2:$L$643,"")</f>
        <v>0</v>
      </c>
      <c r="D88" s="16">
        <f>SUMIFS(BASE_CAIXA!$AA$2:$AA$643,BASE_CAIXA!$C$2:$C$643,"Entrada",BASE_CAIXA!$L$2:$L$643,A88)</f>
        <v>0</v>
      </c>
      <c r="E88" s="16">
        <f>SUMIFS(BASE_CAIXA!$AA$2:$AA$643,BASE_CAIXA!$C$2:$C$643,"Saída",BASE_CAIXA!$L$2:$L$643,A88)</f>
        <v>0</v>
      </c>
      <c r="F88" s="16">
        <f t="shared" si="4"/>
        <v>0</v>
      </c>
      <c r="G88" s="16">
        <f t="shared" si="5"/>
        <v>-4014268.4956519469</v>
      </c>
    </row>
    <row r="89" spans="1:7" x14ac:dyDescent="0.3">
      <c r="A89" s="15">
        <v>46173</v>
      </c>
      <c r="B89" s="16">
        <f>SUMIFS(BASE_CAIXA!$Z$2:$Z$643,BASE_CAIXA!$C$2:$C$643,"Entrada",BASE_CAIXA!$K$2:$K$643,A89,BASE_CAIXA!$L$2:$L$643,"")</f>
        <v>0</v>
      </c>
      <c r="C89" s="16">
        <f>SUMIFS(BASE_CAIXA!$Z$2:$Z$643,BASE_CAIXA!$C$2:$C$643,"Saída",BASE_CAIXA!$K$2:$K$643,A89,BASE_CAIXA!$L$2:$L$643,"")</f>
        <v>0</v>
      </c>
      <c r="D89" s="16">
        <f>SUMIFS(BASE_CAIXA!$AA$2:$AA$643,BASE_CAIXA!$C$2:$C$643,"Entrada",BASE_CAIXA!$L$2:$L$643,A89)</f>
        <v>0</v>
      </c>
      <c r="E89" s="16">
        <f>SUMIFS(BASE_CAIXA!$AA$2:$AA$643,BASE_CAIXA!$C$2:$C$643,"Saída",BASE_CAIXA!$L$2:$L$643,A89)</f>
        <v>0</v>
      </c>
      <c r="F89" s="16">
        <f t="shared" si="4"/>
        <v>0</v>
      </c>
      <c r="G89" s="16">
        <f t="shared" si="5"/>
        <v>-4014268.4956519469</v>
      </c>
    </row>
    <row r="90" spans="1:7" x14ac:dyDescent="0.3">
      <c r="A90" s="13">
        <v>46174</v>
      </c>
      <c r="B90" s="14">
        <f>SUMIFS(BASE_CAIXA!$Z$2:$Z$643,BASE_CAIXA!$C$2:$C$643,"Entrada",BASE_CAIXA!$K$2:$K$643,A90,BASE_CAIXA!$L$2:$L$643,"")</f>
        <v>0</v>
      </c>
      <c r="C90" s="14">
        <f>SUMIFS(BASE_CAIXA!$Z$2:$Z$643,BASE_CAIXA!$C$2:$C$643,"Saída",BASE_CAIXA!$K$2:$K$643,A90,BASE_CAIXA!$L$2:$L$643,"")</f>
        <v>0</v>
      </c>
      <c r="D90" s="14">
        <f>SUMIFS(BASE_CAIXA!$AA$2:$AA$643,BASE_CAIXA!$C$2:$C$643,"Entrada",BASE_CAIXA!$L$2:$L$643,A90)</f>
        <v>0</v>
      </c>
      <c r="E90" s="14">
        <f>SUMIFS(BASE_CAIXA!$AA$2:$AA$643,BASE_CAIXA!$C$2:$C$643,"Saída",BASE_CAIXA!$L$2:$L$643,A90)</f>
        <v>0</v>
      </c>
      <c r="F90" s="14">
        <f t="shared" si="4"/>
        <v>0</v>
      </c>
      <c r="G90" s="14">
        <f t="shared" si="5"/>
        <v>-4014268.4956519469</v>
      </c>
    </row>
    <row r="91" spans="1:7" x14ac:dyDescent="0.3">
      <c r="A91" s="13">
        <v>46175</v>
      </c>
      <c r="B91" s="14">
        <f>SUMIFS(BASE_CAIXA!$Z$2:$Z$643,BASE_CAIXA!$C$2:$C$643,"Entrada",BASE_CAIXA!$K$2:$K$643,A91,BASE_CAIXA!$L$2:$L$643,"")</f>
        <v>0</v>
      </c>
      <c r="C91" s="14">
        <f>SUMIFS(BASE_CAIXA!$Z$2:$Z$643,BASE_CAIXA!$C$2:$C$643,"Saída",BASE_CAIXA!$K$2:$K$643,A91,BASE_CAIXA!$L$2:$L$643,"")</f>
        <v>0</v>
      </c>
      <c r="D91" s="14">
        <f>SUMIFS(BASE_CAIXA!$AA$2:$AA$643,BASE_CAIXA!$C$2:$C$643,"Entrada",BASE_CAIXA!$L$2:$L$643,A91)</f>
        <v>0</v>
      </c>
      <c r="E91" s="14">
        <f>SUMIFS(BASE_CAIXA!$AA$2:$AA$643,BASE_CAIXA!$C$2:$C$643,"Saída",BASE_CAIXA!$L$2:$L$643,A91)</f>
        <v>0</v>
      </c>
      <c r="F91" s="14">
        <f t="shared" si="4"/>
        <v>0</v>
      </c>
      <c r="G91" s="14">
        <f t="shared" si="5"/>
        <v>-4014268.4956519469</v>
      </c>
    </row>
    <row r="92" spans="1:7" x14ac:dyDescent="0.3">
      <c r="A92" s="13">
        <v>46176</v>
      </c>
      <c r="B92" s="14">
        <f>SUMIFS(BASE_CAIXA!$Z$2:$Z$643,BASE_CAIXA!$C$2:$C$643,"Entrada",BASE_CAIXA!$K$2:$K$643,A92,BASE_CAIXA!$L$2:$L$643,"")</f>
        <v>0</v>
      </c>
      <c r="C92" s="14">
        <f>SUMIFS(BASE_CAIXA!$Z$2:$Z$643,BASE_CAIXA!$C$2:$C$643,"Saída",BASE_CAIXA!$K$2:$K$643,A92,BASE_CAIXA!$L$2:$L$643,"")</f>
        <v>0</v>
      </c>
      <c r="D92" s="14">
        <f>SUMIFS(BASE_CAIXA!$AA$2:$AA$643,BASE_CAIXA!$C$2:$C$643,"Entrada",BASE_CAIXA!$L$2:$L$643,A92)</f>
        <v>0</v>
      </c>
      <c r="E92" s="14">
        <f>SUMIFS(BASE_CAIXA!$AA$2:$AA$643,BASE_CAIXA!$C$2:$C$643,"Saída",BASE_CAIXA!$L$2:$L$643,A92)</f>
        <v>0</v>
      </c>
      <c r="F92" s="14">
        <f t="shared" si="4"/>
        <v>0</v>
      </c>
      <c r="G92" s="14">
        <f t="shared" si="5"/>
        <v>-4014268.4956519469</v>
      </c>
    </row>
    <row r="93" spans="1:7" x14ac:dyDescent="0.3">
      <c r="A93" s="13">
        <v>46177</v>
      </c>
      <c r="B93" s="14">
        <f>SUMIFS(BASE_CAIXA!$Z$2:$Z$643,BASE_CAIXA!$C$2:$C$643,"Entrada",BASE_CAIXA!$K$2:$K$643,A93,BASE_CAIXA!$L$2:$L$643,"")</f>
        <v>0</v>
      </c>
      <c r="C93" s="14">
        <f>SUMIFS(BASE_CAIXA!$Z$2:$Z$643,BASE_CAIXA!$C$2:$C$643,"Saída",BASE_CAIXA!$K$2:$K$643,A93,BASE_CAIXA!$L$2:$L$643,"")</f>
        <v>0</v>
      </c>
      <c r="D93" s="14">
        <f>SUMIFS(BASE_CAIXA!$AA$2:$AA$643,BASE_CAIXA!$C$2:$C$643,"Entrada",BASE_CAIXA!$L$2:$L$643,A93)</f>
        <v>0</v>
      </c>
      <c r="E93" s="14">
        <f>SUMIFS(BASE_CAIXA!$AA$2:$AA$643,BASE_CAIXA!$C$2:$C$643,"Saída",BASE_CAIXA!$L$2:$L$643,A93)</f>
        <v>0</v>
      </c>
      <c r="F93" s="14">
        <f t="shared" si="4"/>
        <v>0</v>
      </c>
      <c r="G93" s="14">
        <f t="shared" si="5"/>
        <v>-4014268.4956519469</v>
      </c>
    </row>
    <row r="94" spans="1:7" x14ac:dyDescent="0.3">
      <c r="A94" s="13">
        <v>46178</v>
      </c>
      <c r="B94" s="14">
        <f>SUMIFS(BASE_CAIXA!$Z$2:$Z$643,BASE_CAIXA!$C$2:$C$643,"Entrada",BASE_CAIXA!$K$2:$K$643,A94,BASE_CAIXA!$L$2:$L$643,"")</f>
        <v>0</v>
      </c>
      <c r="C94" s="14">
        <f>SUMIFS(BASE_CAIXA!$Z$2:$Z$643,BASE_CAIXA!$C$2:$C$643,"Saída",BASE_CAIXA!$K$2:$K$643,A94,BASE_CAIXA!$L$2:$L$643,"")</f>
        <v>0</v>
      </c>
      <c r="D94" s="14">
        <f>SUMIFS(BASE_CAIXA!$AA$2:$AA$643,BASE_CAIXA!$C$2:$C$643,"Entrada",BASE_CAIXA!$L$2:$L$643,A94)</f>
        <v>0</v>
      </c>
      <c r="E94" s="14">
        <f>SUMIFS(BASE_CAIXA!$AA$2:$AA$643,BASE_CAIXA!$C$2:$C$643,"Saída",BASE_CAIXA!$L$2:$L$643,A94)</f>
        <v>0</v>
      </c>
      <c r="F94" s="14">
        <f t="shared" si="4"/>
        <v>0</v>
      </c>
      <c r="G94" s="14">
        <f t="shared" si="5"/>
        <v>-4014268.4956519469</v>
      </c>
    </row>
    <row r="95" spans="1:7" x14ac:dyDescent="0.3">
      <c r="A95" s="15">
        <v>46179</v>
      </c>
      <c r="B95" s="16">
        <f>SUMIFS(BASE_CAIXA!$Z$2:$Z$643,BASE_CAIXA!$C$2:$C$643,"Entrada",BASE_CAIXA!$K$2:$K$643,A95,BASE_CAIXA!$L$2:$L$643,"")</f>
        <v>0</v>
      </c>
      <c r="C95" s="16">
        <f>SUMIFS(BASE_CAIXA!$Z$2:$Z$643,BASE_CAIXA!$C$2:$C$643,"Saída",BASE_CAIXA!$K$2:$K$643,A95,BASE_CAIXA!$L$2:$L$643,"")</f>
        <v>0</v>
      </c>
      <c r="D95" s="16">
        <f>SUMIFS(BASE_CAIXA!$AA$2:$AA$643,BASE_CAIXA!$C$2:$C$643,"Entrada",BASE_CAIXA!$L$2:$L$643,A95)</f>
        <v>0</v>
      </c>
      <c r="E95" s="16">
        <f>SUMIFS(BASE_CAIXA!$AA$2:$AA$643,BASE_CAIXA!$C$2:$C$643,"Saída",BASE_CAIXA!$L$2:$L$643,A95)</f>
        <v>0</v>
      </c>
      <c r="F95" s="16">
        <f t="shared" si="4"/>
        <v>0</v>
      </c>
      <c r="G95" s="16">
        <f t="shared" si="5"/>
        <v>-4014268.4956519469</v>
      </c>
    </row>
    <row r="96" spans="1:7" x14ac:dyDescent="0.3">
      <c r="A96" s="15">
        <v>46180</v>
      </c>
      <c r="B96" s="16">
        <f>SUMIFS(BASE_CAIXA!$Z$2:$Z$643,BASE_CAIXA!$C$2:$C$643,"Entrada",BASE_CAIXA!$K$2:$K$643,A96,BASE_CAIXA!$L$2:$L$643,"")</f>
        <v>0</v>
      </c>
      <c r="C96" s="16">
        <f>SUMIFS(BASE_CAIXA!$Z$2:$Z$643,BASE_CAIXA!$C$2:$C$643,"Saída",BASE_CAIXA!$K$2:$K$643,A96,BASE_CAIXA!$L$2:$L$643,"")</f>
        <v>0</v>
      </c>
      <c r="D96" s="16">
        <f>SUMIFS(BASE_CAIXA!$AA$2:$AA$643,BASE_CAIXA!$C$2:$C$643,"Entrada",BASE_CAIXA!$L$2:$L$643,A96)</f>
        <v>0</v>
      </c>
      <c r="E96" s="16">
        <f>SUMIFS(BASE_CAIXA!$AA$2:$AA$643,BASE_CAIXA!$C$2:$C$643,"Saída",BASE_CAIXA!$L$2:$L$643,A96)</f>
        <v>0</v>
      </c>
      <c r="F96" s="16">
        <f t="shared" si="4"/>
        <v>0</v>
      </c>
      <c r="G96" s="16">
        <f t="shared" si="5"/>
        <v>-4014268.4956519469</v>
      </c>
    </row>
    <row r="97" spans="1:7" x14ac:dyDescent="0.3">
      <c r="A97" s="13">
        <v>46181</v>
      </c>
      <c r="B97" s="14">
        <f>SUMIFS(BASE_CAIXA!$Z$2:$Z$643,BASE_CAIXA!$C$2:$C$643,"Entrada",BASE_CAIXA!$K$2:$K$643,A97,BASE_CAIXA!$L$2:$L$643,"")</f>
        <v>0</v>
      </c>
      <c r="C97" s="14">
        <f>SUMIFS(BASE_CAIXA!$Z$2:$Z$643,BASE_CAIXA!$C$2:$C$643,"Saída",BASE_CAIXA!$K$2:$K$643,A97,BASE_CAIXA!$L$2:$L$643,"")</f>
        <v>0</v>
      </c>
      <c r="D97" s="14">
        <f>SUMIFS(BASE_CAIXA!$AA$2:$AA$643,BASE_CAIXA!$C$2:$C$643,"Entrada",BASE_CAIXA!$L$2:$L$643,A97)</f>
        <v>0</v>
      </c>
      <c r="E97" s="14">
        <f>SUMIFS(BASE_CAIXA!$AA$2:$AA$643,BASE_CAIXA!$C$2:$C$643,"Saída",BASE_CAIXA!$L$2:$L$643,A97)</f>
        <v>0</v>
      </c>
      <c r="F97" s="14">
        <f t="shared" si="4"/>
        <v>0</v>
      </c>
      <c r="G97" s="14">
        <f t="shared" si="5"/>
        <v>-4014268.4956519469</v>
      </c>
    </row>
    <row r="98" spans="1:7" x14ac:dyDescent="0.3">
      <c r="A98" s="13">
        <v>46182</v>
      </c>
      <c r="B98" s="14">
        <f>SUMIFS(BASE_CAIXA!$Z$2:$Z$643,BASE_CAIXA!$C$2:$C$643,"Entrada",BASE_CAIXA!$K$2:$K$643,A98,BASE_CAIXA!$L$2:$L$643,"")</f>
        <v>0</v>
      </c>
      <c r="C98" s="14">
        <f>SUMIFS(BASE_CAIXA!$Z$2:$Z$643,BASE_CAIXA!$C$2:$C$643,"Saída",BASE_CAIXA!$K$2:$K$643,A98,BASE_CAIXA!$L$2:$L$643,"")</f>
        <v>0</v>
      </c>
      <c r="D98" s="14">
        <f>SUMIFS(BASE_CAIXA!$AA$2:$AA$643,BASE_CAIXA!$C$2:$C$643,"Entrada",BASE_CAIXA!$L$2:$L$643,A98)</f>
        <v>0</v>
      </c>
      <c r="E98" s="14">
        <f>SUMIFS(BASE_CAIXA!$AA$2:$AA$643,BASE_CAIXA!$C$2:$C$643,"Saída",BASE_CAIXA!$L$2:$L$643,A98)</f>
        <v>0</v>
      </c>
      <c r="F98" s="14">
        <f t="shared" si="4"/>
        <v>0</v>
      </c>
      <c r="G98" s="14">
        <f t="shared" si="5"/>
        <v>-4014268.4956519469</v>
      </c>
    </row>
    <row r="99" spans="1:7" x14ac:dyDescent="0.3">
      <c r="A99" s="13">
        <v>46183</v>
      </c>
      <c r="B99" s="14">
        <f>SUMIFS(BASE_CAIXA!$Z$2:$Z$643,BASE_CAIXA!$C$2:$C$643,"Entrada",BASE_CAIXA!$K$2:$K$643,A99,BASE_CAIXA!$L$2:$L$643,"")</f>
        <v>0</v>
      </c>
      <c r="C99" s="14">
        <f>SUMIFS(BASE_CAIXA!$Z$2:$Z$643,BASE_CAIXA!$C$2:$C$643,"Saída",BASE_CAIXA!$K$2:$K$643,A99,BASE_CAIXA!$L$2:$L$643,"")</f>
        <v>0</v>
      </c>
      <c r="D99" s="14">
        <f>SUMIFS(BASE_CAIXA!$AA$2:$AA$643,BASE_CAIXA!$C$2:$C$643,"Entrada",BASE_CAIXA!$L$2:$L$643,A99)</f>
        <v>0</v>
      </c>
      <c r="E99" s="14">
        <f>SUMIFS(BASE_CAIXA!$AA$2:$AA$643,BASE_CAIXA!$C$2:$C$643,"Saída",BASE_CAIXA!$L$2:$L$643,A99)</f>
        <v>0</v>
      </c>
      <c r="F99" s="14">
        <f t="shared" si="4"/>
        <v>0</v>
      </c>
      <c r="G99" s="14">
        <f t="shared" si="5"/>
        <v>-4014268.4956519469</v>
      </c>
    </row>
    <row r="100" spans="1:7" x14ac:dyDescent="0.3">
      <c r="A100" s="13">
        <v>46184</v>
      </c>
      <c r="B100" s="14">
        <f>SUMIFS(BASE_CAIXA!$Z$2:$Z$643,BASE_CAIXA!$C$2:$C$643,"Entrada",BASE_CAIXA!$K$2:$K$643,A100,BASE_CAIXA!$L$2:$L$643,"")</f>
        <v>0</v>
      </c>
      <c r="C100" s="14">
        <f>SUMIFS(BASE_CAIXA!$Z$2:$Z$643,BASE_CAIXA!$C$2:$C$643,"Saída",BASE_CAIXA!$K$2:$K$643,A100,BASE_CAIXA!$L$2:$L$643,"")</f>
        <v>0</v>
      </c>
      <c r="D100" s="14">
        <f>SUMIFS(BASE_CAIXA!$AA$2:$AA$643,BASE_CAIXA!$C$2:$C$643,"Entrada",BASE_CAIXA!$L$2:$L$643,A100)</f>
        <v>0</v>
      </c>
      <c r="E100" s="14">
        <f>SUMIFS(BASE_CAIXA!$AA$2:$AA$643,BASE_CAIXA!$C$2:$C$643,"Saída",BASE_CAIXA!$L$2:$L$643,A100)</f>
        <v>0</v>
      </c>
      <c r="F100" s="14">
        <f t="shared" si="4"/>
        <v>0</v>
      </c>
      <c r="G100" s="14">
        <f t="shared" si="5"/>
        <v>-4014268.4956519469</v>
      </c>
    </row>
    <row r="101" spans="1:7" x14ac:dyDescent="0.3">
      <c r="A101" s="13">
        <v>46185</v>
      </c>
      <c r="B101" s="14">
        <f>SUMIFS(BASE_CAIXA!$Z$2:$Z$643,BASE_CAIXA!$C$2:$C$643,"Entrada",BASE_CAIXA!$K$2:$K$643,A101,BASE_CAIXA!$L$2:$L$643,"")</f>
        <v>1842453.5438079999</v>
      </c>
      <c r="C101" s="14">
        <f>SUMIFS(BASE_CAIXA!$Z$2:$Z$643,BASE_CAIXA!$C$2:$C$643,"Saída",BASE_CAIXA!$K$2:$K$643,A101,BASE_CAIXA!$L$2:$L$643,"")</f>
        <v>2221408.2549701803</v>
      </c>
      <c r="D101" s="14">
        <f>SUMIFS(BASE_CAIXA!$AA$2:$AA$643,BASE_CAIXA!$C$2:$C$643,"Entrada",BASE_CAIXA!$L$2:$L$643,A101)</f>
        <v>0</v>
      </c>
      <c r="E101" s="14">
        <f>SUMIFS(BASE_CAIXA!$AA$2:$AA$643,BASE_CAIXA!$C$2:$C$643,"Saída",BASE_CAIXA!$L$2:$L$643,A101)</f>
        <v>0</v>
      </c>
      <c r="F101" s="14">
        <f t="shared" si="4"/>
        <v>-378954.71116218041</v>
      </c>
      <c r="G101" s="14">
        <f t="shared" si="5"/>
        <v>-4393223.206814127</v>
      </c>
    </row>
    <row r="102" spans="1:7" x14ac:dyDescent="0.3">
      <c r="A102" s="15">
        <v>46186</v>
      </c>
      <c r="B102" s="16">
        <f>SUMIFS(BASE_CAIXA!$Z$2:$Z$643,BASE_CAIXA!$C$2:$C$643,"Entrada",BASE_CAIXA!$K$2:$K$643,A102,BASE_CAIXA!$L$2:$L$643,"")</f>
        <v>0</v>
      </c>
      <c r="C102" s="16">
        <f>SUMIFS(BASE_CAIXA!$Z$2:$Z$643,BASE_CAIXA!$C$2:$C$643,"Saída",BASE_CAIXA!$K$2:$K$643,A102,BASE_CAIXA!$L$2:$L$643,"")</f>
        <v>0</v>
      </c>
      <c r="D102" s="16">
        <f>SUMIFS(BASE_CAIXA!$AA$2:$AA$643,BASE_CAIXA!$C$2:$C$643,"Entrada",BASE_CAIXA!$L$2:$L$643,A102)</f>
        <v>0</v>
      </c>
      <c r="E102" s="16">
        <f>SUMIFS(BASE_CAIXA!$AA$2:$AA$643,BASE_CAIXA!$C$2:$C$643,"Saída",BASE_CAIXA!$L$2:$L$643,A102)</f>
        <v>0</v>
      </c>
      <c r="F102" s="16">
        <f t="shared" ref="F102:F133" si="6">B102-C102+D102-E102</f>
        <v>0</v>
      </c>
      <c r="G102" s="16">
        <f t="shared" si="5"/>
        <v>-4393223.206814127</v>
      </c>
    </row>
    <row r="103" spans="1:7" x14ac:dyDescent="0.3">
      <c r="A103" s="15">
        <v>46187</v>
      </c>
      <c r="B103" s="16">
        <f>SUMIFS(BASE_CAIXA!$Z$2:$Z$643,BASE_CAIXA!$C$2:$C$643,"Entrada",BASE_CAIXA!$K$2:$K$643,A103,BASE_CAIXA!$L$2:$L$643,"")</f>
        <v>0</v>
      </c>
      <c r="C103" s="16">
        <f>SUMIFS(BASE_CAIXA!$Z$2:$Z$643,BASE_CAIXA!$C$2:$C$643,"Saída",BASE_CAIXA!$K$2:$K$643,A103,BASE_CAIXA!$L$2:$L$643,"")</f>
        <v>0</v>
      </c>
      <c r="D103" s="16">
        <f>SUMIFS(BASE_CAIXA!$AA$2:$AA$643,BASE_CAIXA!$C$2:$C$643,"Entrada",BASE_CAIXA!$L$2:$L$643,A103)</f>
        <v>0</v>
      </c>
      <c r="E103" s="16">
        <f>SUMIFS(BASE_CAIXA!$AA$2:$AA$643,BASE_CAIXA!$C$2:$C$643,"Saída",BASE_CAIXA!$L$2:$L$643,A103)</f>
        <v>0</v>
      </c>
      <c r="F103" s="16">
        <f t="shared" si="6"/>
        <v>0</v>
      </c>
      <c r="G103" s="16">
        <f t="shared" ref="G103:G134" si="7">G102+F103</f>
        <v>-4393223.206814127</v>
      </c>
    </row>
    <row r="104" spans="1:7" x14ac:dyDescent="0.3">
      <c r="A104" s="13">
        <v>46188</v>
      </c>
      <c r="B104" s="14">
        <f>SUMIFS(BASE_CAIXA!$Z$2:$Z$643,BASE_CAIXA!$C$2:$C$643,"Entrada",BASE_CAIXA!$K$2:$K$643,A104,BASE_CAIXA!$L$2:$L$643,"")</f>
        <v>0</v>
      </c>
      <c r="C104" s="14">
        <f>SUMIFS(BASE_CAIXA!$Z$2:$Z$643,BASE_CAIXA!$C$2:$C$643,"Saída",BASE_CAIXA!$K$2:$K$643,A104,BASE_CAIXA!$L$2:$L$643,"")</f>
        <v>0</v>
      </c>
      <c r="D104" s="14">
        <f>SUMIFS(BASE_CAIXA!$AA$2:$AA$643,BASE_CAIXA!$C$2:$C$643,"Entrada",BASE_CAIXA!$L$2:$L$643,A104)</f>
        <v>0</v>
      </c>
      <c r="E104" s="14">
        <f>SUMIFS(BASE_CAIXA!$AA$2:$AA$643,BASE_CAIXA!$C$2:$C$643,"Saída",BASE_CAIXA!$L$2:$L$643,A104)</f>
        <v>0</v>
      </c>
      <c r="F104" s="14">
        <f t="shared" si="6"/>
        <v>0</v>
      </c>
      <c r="G104" s="14">
        <f t="shared" si="7"/>
        <v>-4393223.206814127</v>
      </c>
    </row>
    <row r="105" spans="1:7" x14ac:dyDescent="0.3">
      <c r="A105" s="13">
        <v>46189</v>
      </c>
      <c r="B105" s="14">
        <f>SUMIFS(BASE_CAIXA!$Z$2:$Z$643,BASE_CAIXA!$C$2:$C$643,"Entrada",BASE_CAIXA!$K$2:$K$643,A105,BASE_CAIXA!$L$2:$L$643,"")</f>
        <v>0</v>
      </c>
      <c r="C105" s="14">
        <f>SUMIFS(BASE_CAIXA!$Z$2:$Z$643,BASE_CAIXA!$C$2:$C$643,"Saída",BASE_CAIXA!$K$2:$K$643,A105,BASE_CAIXA!$L$2:$L$643,"")</f>
        <v>0</v>
      </c>
      <c r="D105" s="14">
        <f>SUMIFS(BASE_CAIXA!$AA$2:$AA$643,BASE_CAIXA!$C$2:$C$643,"Entrada",BASE_CAIXA!$L$2:$L$643,A105)</f>
        <v>0</v>
      </c>
      <c r="E105" s="14">
        <f>SUMIFS(BASE_CAIXA!$AA$2:$AA$643,BASE_CAIXA!$C$2:$C$643,"Saída",BASE_CAIXA!$L$2:$L$643,A105)</f>
        <v>0</v>
      </c>
      <c r="F105" s="14">
        <f t="shared" si="6"/>
        <v>0</v>
      </c>
      <c r="G105" s="14">
        <f t="shared" si="7"/>
        <v>-4393223.206814127</v>
      </c>
    </row>
    <row r="106" spans="1:7" x14ac:dyDescent="0.3">
      <c r="A106" s="13">
        <v>46190</v>
      </c>
      <c r="B106" s="14">
        <f>SUMIFS(BASE_CAIXA!$Z$2:$Z$643,BASE_CAIXA!$C$2:$C$643,"Entrada",BASE_CAIXA!$K$2:$K$643,A106,BASE_CAIXA!$L$2:$L$643,"")</f>
        <v>0</v>
      </c>
      <c r="C106" s="14">
        <f>SUMIFS(BASE_CAIXA!$Z$2:$Z$643,BASE_CAIXA!$C$2:$C$643,"Saída",BASE_CAIXA!$K$2:$K$643,A106,BASE_CAIXA!$L$2:$L$643,"")</f>
        <v>0</v>
      </c>
      <c r="D106" s="14">
        <f>SUMIFS(BASE_CAIXA!$AA$2:$AA$643,BASE_CAIXA!$C$2:$C$643,"Entrada",BASE_CAIXA!$L$2:$L$643,A106)</f>
        <v>0</v>
      </c>
      <c r="E106" s="14">
        <f>SUMIFS(BASE_CAIXA!$AA$2:$AA$643,BASE_CAIXA!$C$2:$C$643,"Saída",BASE_CAIXA!$L$2:$L$643,A106)</f>
        <v>0</v>
      </c>
      <c r="F106" s="14">
        <f t="shared" si="6"/>
        <v>0</v>
      </c>
      <c r="G106" s="14">
        <f t="shared" si="7"/>
        <v>-4393223.206814127</v>
      </c>
    </row>
    <row r="107" spans="1:7" x14ac:dyDescent="0.3">
      <c r="A107" s="13">
        <v>46191</v>
      </c>
      <c r="B107" s="14">
        <f>SUMIFS(BASE_CAIXA!$Z$2:$Z$643,BASE_CAIXA!$C$2:$C$643,"Entrada",BASE_CAIXA!$K$2:$K$643,A107,BASE_CAIXA!$L$2:$L$643,"")</f>
        <v>0</v>
      </c>
      <c r="C107" s="14">
        <f>SUMIFS(BASE_CAIXA!$Z$2:$Z$643,BASE_CAIXA!$C$2:$C$643,"Saída",BASE_CAIXA!$K$2:$K$643,A107,BASE_CAIXA!$L$2:$L$643,"")</f>
        <v>0</v>
      </c>
      <c r="D107" s="14">
        <f>SUMIFS(BASE_CAIXA!$AA$2:$AA$643,BASE_CAIXA!$C$2:$C$643,"Entrada",BASE_CAIXA!$L$2:$L$643,A107)</f>
        <v>0</v>
      </c>
      <c r="E107" s="14">
        <f>SUMIFS(BASE_CAIXA!$AA$2:$AA$643,BASE_CAIXA!$C$2:$C$643,"Saída",BASE_CAIXA!$L$2:$L$643,A107)</f>
        <v>0</v>
      </c>
      <c r="F107" s="14">
        <f t="shared" si="6"/>
        <v>0</v>
      </c>
      <c r="G107" s="14">
        <f t="shared" si="7"/>
        <v>-4393223.206814127</v>
      </c>
    </row>
    <row r="108" spans="1:7" x14ac:dyDescent="0.3">
      <c r="A108" s="13">
        <v>46192</v>
      </c>
      <c r="B108" s="14">
        <f>SUMIFS(BASE_CAIXA!$Z$2:$Z$643,BASE_CAIXA!$C$2:$C$643,"Entrada",BASE_CAIXA!$K$2:$K$643,A108,BASE_CAIXA!$L$2:$L$643,"")</f>
        <v>0</v>
      </c>
      <c r="C108" s="14">
        <f>SUMIFS(BASE_CAIXA!$Z$2:$Z$643,BASE_CAIXA!$C$2:$C$643,"Saída",BASE_CAIXA!$K$2:$K$643,A108,BASE_CAIXA!$L$2:$L$643,"")</f>
        <v>0</v>
      </c>
      <c r="D108" s="14">
        <f>SUMIFS(BASE_CAIXA!$AA$2:$AA$643,BASE_CAIXA!$C$2:$C$643,"Entrada",BASE_CAIXA!$L$2:$L$643,A108)</f>
        <v>0</v>
      </c>
      <c r="E108" s="14">
        <f>SUMIFS(BASE_CAIXA!$AA$2:$AA$643,BASE_CAIXA!$C$2:$C$643,"Saída",BASE_CAIXA!$L$2:$L$643,A108)</f>
        <v>0</v>
      </c>
      <c r="F108" s="14">
        <f t="shared" si="6"/>
        <v>0</v>
      </c>
      <c r="G108" s="14">
        <f t="shared" si="7"/>
        <v>-4393223.206814127</v>
      </c>
    </row>
    <row r="109" spans="1:7" x14ac:dyDescent="0.3">
      <c r="A109" s="15">
        <v>46193</v>
      </c>
      <c r="B109" s="16">
        <f>SUMIFS(BASE_CAIXA!$Z$2:$Z$643,BASE_CAIXA!$C$2:$C$643,"Entrada",BASE_CAIXA!$K$2:$K$643,A109,BASE_CAIXA!$L$2:$L$643,"")</f>
        <v>0</v>
      </c>
      <c r="C109" s="16">
        <f>SUMIFS(BASE_CAIXA!$Z$2:$Z$643,BASE_CAIXA!$C$2:$C$643,"Saída",BASE_CAIXA!$K$2:$K$643,A109,BASE_CAIXA!$L$2:$L$643,"")</f>
        <v>0</v>
      </c>
      <c r="D109" s="16">
        <f>SUMIFS(BASE_CAIXA!$AA$2:$AA$643,BASE_CAIXA!$C$2:$C$643,"Entrada",BASE_CAIXA!$L$2:$L$643,A109)</f>
        <v>0</v>
      </c>
      <c r="E109" s="16">
        <f>SUMIFS(BASE_CAIXA!$AA$2:$AA$643,BASE_CAIXA!$C$2:$C$643,"Saída",BASE_CAIXA!$L$2:$L$643,A109)</f>
        <v>0</v>
      </c>
      <c r="F109" s="16">
        <f t="shared" si="6"/>
        <v>0</v>
      </c>
      <c r="G109" s="16">
        <f t="shared" si="7"/>
        <v>-4393223.206814127</v>
      </c>
    </row>
    <row r="110" spans="1:7" x14ac:dyDescent="0.3">
      <c r="A110" s="15">
        <v>46194</v>
      </c>
      <c r="B110" s="16">
        <f>SUMIFS(BASE_CAIXA!$Z$2:$Z$643,BASE_CAIXA!$C$2:$C$643,"Entrada",BASE_CAIXA!$K$2:$K$643,A110,BASE_CAIXA!$L$2:$L$643,"")</f>
        <v>0</v>
      </c>
      <c r="C110" s="16">
        <f>SUMIFS(BASE_CAIXA!$Z$2:$Z$643,BASE_CAIXA!$C$2:$C$643,"Saída",BASE_CAIXA!$K$2:$K$643,A110,BASE_CAIXA!$L$2:$L$643,"")</f>
        <v>0</v>
      </c>
      <c r="D110" s="16">
        <f>SUMIFS(BASE_CAIXA!$AA$2:$AA$643,BASE_CAIXA!$C$2:$C$643,"Entrada",BASE_CAIXA!$L$2:$L$643,A110)</f>
        <v>0</v>
      </c>
      <c r="E110" s="16">
        <f>SUMIFS(BASE_CAIXA!$AA$2:$AA$643,BASE_CAIXA!$C$2:$C$643,"Saída",BASE_CAIXA!$L$2:$L$643,A110)</f>
        <v>0</v>
      </c>
      <c r="F110" s="16">
        <f t="shared" si="6"/>
        <v>0</v>
      </c>
      <c r="G110" s="16">
        <f t="shared" si="7"/>
        <v>-4393223.206814127</v>
      </c>
    </row>
    <row r="111" spans="1:7" x14ac:dyDescent="0.3">
      <c r="A111" s="13">
        <v>46195</v>
      </c>
      <c r="B111" s="14">
        <f>SUMIFS(BASE_CAIXA!$Z$2:$Z$643,BASE_CAIXA!$C$2:$C$643,"Entrada",BASE_CAIXA!$K$2:$K$643,A111,BASE_CAIXA!$L$2:$L$643,"")</f>
        <v>0</v>
      </c>
      <c r="C111" s="14">
        <f>SUMIFS(BASE_CAIXA!$Z$2:$Z$643,BASE_CAIXA!$C$2:$C$643,"Saída",BASE_CAIXA!$K$2:$K$643,A111,BASE_CAIXA!$L$2:$L$643,"")</f>
        <v>0</v>
      </c>
      <c r="D111" s="14">
        <f>SUMIFS(BASE_CAIXA!$AA$2:$AA$643,BASE_CAIXA!$C$2:$C$643,"Entrada",BASE_CAIXA!$L$2:$L$643,A111)</f>
        <v>0</v>
      </c>
      <c r="E111" s="14">
        <f>SUMIFS(BASE_CAIXA!$AA$2:$AA$643,BASE_CAIXA!$C$2:$C$643,"Saída",BASE_CAIXA!$L$2:$L$643,A111)</f>
        <v>0</v>
      </c>
      <c r="F111" s="14">
        <f t="shared" si="6"/>
        <v>0</v>
      </c>
      <c r="G111" s="14">
        <f t="shared" si="7"/>
        <v>-4393223.206814127</v>
      </c>
    </row>
    <row r="112" spans="1:7" x14ac:dyDescent="0.3">
      <c r="A112" s="13">
        <v>46196</v>
      </c>
      <c r="B112" s="14">
        <f>SUMIFS(BASE_CAIXA!$Z$2:$Z$643,BASE_CAIXA!$C$2:$C$643,"Entrada",BASE_CAIXA!$K$2:$K$643,A112,BASE_CAIXA!$L$2:$L$643,"")</f>
        <v>0</v>
      </c>
      <c r="C112" s="14">
        <f>SUMIFS(BASE_CAIXA!$Z$2:$Z$643,BASE_CAIXA!$C$2:$C$643,"Saída",BASE_CAIXA!$K$2:$K$643,A112,BASE_CAIXA!$L$2:$L$643,"")</f>
        <v>0</v>
      </c>
      <c r="D112" s="14">
        <f>SUMIFS(BASE_CAIXA!$AA$2:$AA$643,BASE_CAIXA!$C$2:$C$643,"Entrada",BASE_CAIXA!$L$2:$L$643,A112)</f>
        <v>0</v>
      </c>
      <c r="E112" s="14">
        <f>SUMIFS(BASE_CAIXA!$AA$2:$AA$643,BASE_CAIXA!$C$2:$C$643,"Saída",BASE_CAIXA!$L$2:$L$643,A112)</f>
        <v>0</v>
      </c>
      <c r="F112" s="14">
        <f t="shared" si="6"/>
        <v>0</v>
      </c>
      <c r="G112" s="14">
        <f t="shared" si="7"/>
        <v>-4393223.206814127</v>
      </c>
    </row>
    <row r="113" spans="1:7" x14ac:dyDescent="0.3">
      <c r="A113" s="13">
        <v>46197</v>
      </c>
      <c r="B113" s="14">
        <f>SUMIFS(BASE_CAIXA!$Z$2:$Z$643,BASE_CAIXA!$C$2:$C$643,"Entrada",BASE_CAIXA!$K$2:$K$643,A113,BASE_CAIXA!$L$2:$L$643,"")</f>
        <v>0</v>
      </c>
      <c r="C113" s="14">
        <f>SUMIFS(BASE_CAIXA!$Z$2:$Z$643,BASE_CAIXA!$C$2:$C$643,"Saída",BASE_CAIXA!$K$2:$K$643,A113,BASE_CAIXA!$L$2:$L$643,"")</f>
        <v>0</v>
      </c>
      <c r="D113" s="14">
        <f>SUMIFS(BASE_CAIXA!$AA$2:$AA$643,BASE_CAIXA!$C$2:$C$643,"Entrada",BASE_CAIXA!$L$2:$L$643,A113)</f>
        <v>0</v>
      </c>
      <c r="E113" s="14">
        <f>SUMIFS(BASE_CAIXA!$AA$2:$AA$643,BASE_CAIXA!$C$2:$C$643,"Saída",BASE_CAIXA!$L$2:$L$643,A113)</f>
        <v>0</v>
      </c>
      <c r="F113" s="14">
        <f t="shared" si="6"/>
        <v>0</v>
      </c>
      <c r="G113" s="14">
        <f t="shared" si="7"/>
        <v>-4393223.206814127</v>
      </c>
    </row>
    <row r="114" spans="1:7" x14ac:dyDescent="0.3">
      <c r="A114" s="13">
        <v>46198</v>
      </c>
      <c r="B114" s="14">
        <f>SUMIFS(BASE_CAIXA!$Z$2:$Z$643,BASE_CAIXA!$C$2:$C$643,"Entrada",BASE_CAIXA!$K$2:$K$643,A114,BASE_CAIXA!$L$2:$L$643,"")</f>
        <v>0</v>
      </c>
      <c r="C114" s="14">
        <f>SUMIFS(BASE_CAIXA!$Z$2:$Z$643,BASE_CAIXA!$C$2:$C$643,"Saída",BASE_CAIXA!$K$2:$K$643,A114,BASE_CAIXA!$L$2:$L$643,"")</f>
        <v>0</v>
      </c>
      <c r="D114" s="14">
        <f>SUMIFS(BASE_CAIXA!$AA$2:$AA$643,BASE_CAIXA!$C$2:$C$643,"Entrada",BASE_CAIXA!$L$2:$L$643,A114)</f>
        <v>0</v>
      </c>
      <c r="E114" s="14">
        <f>SUMIFS(BASE_CAIXA!$AA$2:$AA$643,BASE_CAIXA!$C$2:$C$643,"Saída",BASE_CAIXA!$L$2:$L$643,A114)</f>
        <v>0</v>
      </c>
      <c r="F114" s="14">
        <f t="shared" si="6"/>
        <v>0</v>
      </c>
      <c r="G114" s="14">
        <f t="shared" si="7"/>
        <v>-4393223.206814127</v>
      </c>
    </row>
    <row r="115" spans="1:7" x14ac:dyDescent="0.3">
      <c r="A115" s="13">
        <v>46199</v>
      </c>
      <c r="B115" s="14">
        <f>SUMIFS(BASE_CAIXA!$Z$2:$Z$643,BASE_CAIXA!$C$2:$C$643,"Entrada",BASE_CAIXA!$K$2:$K$643,A115,BASE_CAIXA!$L$2:$L$643,"")</f>
        <v>838686.67072000005</v>
      </c>
      <c r="C115" s="14">
        <f>SUMIFS(BASE_CAIXA!$Z$2:$Z$643,BASE_CAIXA!$C$2:$C$643,"Saída",BASE_CAIXA!$K$2:$K$643,A115,BASE_CAIXA!$L$2:$L$643,"")</f>
        <v>936939.78008187236</v>
      </c>
      <c r="D115" s="14">
        <f>SUMIFS(BASE_CAIXA!$AA$2:$AA$643,BASE_CAIXA!$C$2:$C$643,"Entrada",BASE_CAIXA!$L$2:$L$643,A115)</f>
        <v>0</v>
      </c>
      <c r="E115" s="14">
        <f>SUMIFS(BASE_CAIXA!$AA$2:$AA$643,BASE_CAIXA!$C$2:$C$643,"Saída",BASE_CAIXA!$L$2:$L$643,A115)</f>
        <v>0</v>
      </c>
      <c r="F115" s="14">
        <f t="shared" si="6"/>
        <v>-98253.10936187231</v>
      </c>
      <c r="G115" s="14">
        <f t="shared" si="7"/>
        <v>-4491476.3161759991</v>
      </c>
    </row>
    <row r="116" spans="1:7" x14ac:dyDescent="0.3">
      <c r="A116" s="15">
        <v>46200</v>
      </c>
      <c r="B116" s="16">
        <f>SUMIFS(BASE_CAIXA!$Z$2:$Z$643,BASE_CAIXA!$C$2:$C$643,"Entrada",BASE_CAIXA!$K$2:$K$643,A116,BASE_CAIXA!$L$2:$L$643,"")</f>
        <v>0</v>
      </c>
      <c r="C116" s="16">
        <f>SUMIFS(BASE_CAIXA!$Z$2:$Z$643,BASE_CAIXA!$C$2:$C$643,"Saída",BASE_CAIXA!$K$2:$K$643,A116,BASE_CAIXA!$L$2:$L$643,"")</f>
        <v>0</v>
      </c>
      <c r="D116" s="16">
        <f>SUMIFS(BASE_CAIXA!$AA$2:$AA$643,BASE_CAIXA!$C$2:$C$643,"Entrada",BASE_CAIXA!$L$2:$L$643,A116)</f>
        <v>0</v>
      </c>
      <c r="E116" s="16">
        <f>SUMIFS(BASE_CAIXA!$AA$2:$AA$643,BASE_CAIXA!$C$2:$C$643,"Saída",BASE_CAIXA!$L$2:$L$643,A116)</f>
        <v>0</v>
      </c>
      <c r="F116" s="16">
        <f t="shared" si="6"/>
        <v>0</v>
      </c>
      <c r="G116" s="16">
        <f t="shared" si="7"/>
        <v>-4491476.3161759991</v>
      </c>
    </row>
    <row r="117" spans="1:7" x14ac:dyDescent="0.3">
      <c r="A117" s="15">
        <v>46201</v>
      </c>
      <c r="B117" s="16">
        <f>SUMIFS(BASE_CAIXA!$Z$2:$Z$643,BASE_CAIXA!$C$2:$C$643,"Entrada",BASE_CAIXA!$K$2:$K$643,A117,BASE_CAIXA!$L$2:$L$643,"")</f>
        <v>0</v>
      </c>
      <c r="C117" s="16">
        <f>SUMIFS(BASE_CAIXA!$Z$2:$Z$643,BASE_CAIXA!$C$2:$C$643,"Saída",BASE_CAIXA!$K$2:$K$643,A117,BASE_CAIXA!$L$2:$L$643,"")</f>
        <v>0</v>
      </c>
      <c r="D117" s="16">
        <f>SUMIFS(BASE_CAIXA!$AA$2:$AA$643,BASE_CAIXA!$C$2:$C$643,"Entrada",BASE_CAIXA!$L$2:$L$643,A117)</f>
        <v>0</v>
      </c>
      <c r="E117" s="16">
        <f>SUMIFS(BASE_CAIXA!$AA$2:$AA$643,BASE_CAIXA!$C$2:$C$643,"Saída",BASE_CAIXA!$L$2:$L$643,A117)</f>
        <v>0</v>
      </c>
      <c r="F117" s="16">
        <f t="shared" si="6"/>
        <v>0</v>
      </c>
      <c r="G117" s="16">
        <f t="shared" si="7"/>
        <v>-4491476.3161759991</v>
      </c>
    </row>
    <row r="118" spans="1:7" x14ac:dyDescent="0.3">
      <c r="A118" s="13">
        <v>46202</v>
      </c>
      <c r="B118" s="14">
        <f>SUMIFS(BASE_CAIXA!$Z$2:$Z$643,BASE_CAIXA!$C$2:$C$643,"Entrada",BASE_CAIXA!$K$2:$K$643,A118,BASE_CAIXA!$L$2:$L$643,"")</f>
        <v>0</v>
      </c>
      <c r="C118" s="14">
        <f>SUMIFS(BASE_CAIXA!$Z$2:$Z$643,BASE_CAIXA!$C$2:$C$643,"Saída",BASE_CAIXA!$K$2:$K$643,A118,BASE_CAIXA!$L$2:$L$643,"")</f>
        <v>0</v>
      </c>
      <c r="D118" s="14">
        <f>SUMIFS(BASE_CAIXA!$AA$2:$AA$643,BASE_CAIXA!$C$2:$C$643,"Entrada",BASE_CAIXA!$L$2:$L$643,A118)</f>
        <v>0</v>
      </c>
      <c r="E118" s="14">
        <f>SUMIFS(BASE_CAIXA!$AA$2:$AA$643,BASE_CAIXA!$C$2:$C$643,"Saída",BASE_CAIXA!$L$2:$L$643,A118)</f>
        <v>0</v>
      </c>
      <c r="F118" s="14">
        <f t="shared" si="6"/>
        <v>0</v>
      </c>
      <c r="G118" s="14">
        <f t="shared" si="7"/>
        <v>-4491476.3161759991</v>
      </c>
    </row>
    <row r="119" spans="1:7" x14ac:dyDescent="0.3">
      <c r="A119" s="13">
        <v>46203</v>
      </c>
      <c r="B119" s="14">
        <f>SUMIFS(BASE_CAIXA!$Z$2:$Z$643,BASE_CAIXA!$C$2:$C$643,"Entrada",BASE_CAIXA!$K$2:$K$643,A119,BASE_CAIXA!$L$2:$L$643,"")</f>
        <v>0</v>
      </c>
      <c r="C119" s="14">
        <f>SUMIFS(BASE_CAIXA!$Z$2:$Z$643,BASE_CAIXA!$C$2:$C$643,"Saída",BASE_CAIXA!$K$2:$K$643,A119,BASE_CAIXA!$L$2:$L$643,"")</f>
        <v>0</v>
      </c>
      <c r="D119" s="14">
        <f>SUMIFS(BASE_CAIXA!$AA$2:$AA$643,BASE_CAIXA!$C$2:$C$643,"Entrada",BASE_CAIXA!$L$2:$L$643,A119)</f>
        <v>0</v>
      </c>
      <c r="E119" s="14">
        <f>SUMIFS(BASE_CAIXA!$AA$2:$AA$643,BASE_CAIXA!$C$2:$C$643,"Saída",BASE_CAIXA!$L$2:$L$643,A119)</f>
        <v>0</v>
      </c>
      <c r="F119" s="14">
        <f t="shared" si="6"/>
        <v>0</v>
      </c>
      <c r="G119" s="14">
        <f t="shared" si="7"/>
        <v>-4491476.3161759991</v>
      </c>
    </row>
    <row r="120" spans="1:7" x14ac:dyDescent="0.3">
      <c r="A120" s="13">
        <v>46204</v>
      </c>
      <c r="B120" s="14">
        <f>SUMIFS(BASE_CAIXA!$Z$2:$Z$643,BASE_CAIXA!$C$2:$C$643,"Entrada",BASE_CAIXA!$K$2:$K$643,A120,BASE_CAIXA!$L$2:$L$643,"")</f>
        <v>0</v>
      </c>
      <c r="C120" s="14">
        <f>SUMIFS(BASE_CAIXA!$Z$2:$Z$643,BASE_CAIXA!$C$2:$C$643,"Saída",BASE_CAIXA!$K$2:$K$643,A120,BASE_CAIXA!$L$2:$L$643,"")</f>
        <v>0</v>
      </c>
      <c r="D120" s="14">
        <f>SUMIFS(BASE_CAIXA!$AA$2:$AA$643,BASE_CAIXA!$C$2:$C$643,"Entrada",BASE_CAIXA!$L$2:$L$643,A120)</f>
        <v>0</v>
      </c>
      <c r="E120" s="14">
        <f>SUMIFS(BASE_CAIXA!$AA$2:$AA$643,BASE_CAIXA!$C$2:$C$643,"Saída",BASE_CAIXA!$L$2:$L$643,A120)</f>
        <v>0</v>
      </c>
      <c r="F120" s="14">
        <f t="shared" si="6"/>
        <v>0</v>
      </c>
      <c r="G120" s="14">
        <f t="shared" si="7"/>
        <v>-4491476.3161759991</v>
      </c>
    </row>
    <row r="121" spans="1:7" x14ac:dyDescent="0.3">
      <c r="A121" s="13">
        <v>46205</v>
      </c>
      <c r="B121" s="14">
        <f>SUMIFS(BASE_CAIXA!$Z$2:$Z$643,BASE_CAIXA!$C$2:$C$643,"Entrada",BASE_CAIXA!$K$2:$K$643,A121,BASE_CAIXA!$L$2:$L$643,"")</f>
        <v>0</v>
      </c>
      <c r="C121" s="14">
        <f>SUMIFS(BASE_CAIXA!$Z$2:$Z$643,BASE_CAIXA!$C$2:$C$643,"Saída",BASE_CAIXA!$K$2:$K$643,A121,BASE_CAIXA!$L$2:$L$643,"")</f>
        <v>0</v>
      </c>
      <c r="D121" s="14">
        <f>SUMIFS(BASE_CAIXA!$AA$2:$AA$643,BASE_CAIXA!$C$2:$C$643,"Entrada",BASE_CAIXA!$L$2:$L$643,A121)</f>
        <v>0</v>
      </c>
      <c r="E121" s="14">
        <f>SUMIFS(BASE_CAIXA!$AA$2:$AA$643,BASE_CAIXA!$C$2:$C$643,"Saída",BASE_CAIXA!$L$2:$L$643,A121)</f>
        <v>0</v>
      </c>
      <c r="F121" s="14">
        <f t="shared" si="6"/>
        <v>0</v>
      </c>
      <c r="G121" s="14">
        <f t="shared" si="7"/>
        <v>-4491476.3161759991</v>
      </c>
    </row>
    <row r="122" spans="1:7" x14ac:dyDescent="0.3">
      <c r="A122" s="13">
        <v>46206</v>
      </c>
      <c r="B122" s="14">
        <f>SUMIFS(BASE_CAIXA!$Z$2:$Z$643,BASE_CAIXA!$C$2:$C$643,"Entrada",BASE_CAIXA!$K$2:$K$643,A122,BASE_CAIXA!$L$2:$L$643,"")</f>
        <v>0</v>
      </c>
      <c r="C122" s="14">
        <f>SUMIFS(BASE_CAIXA!$Z$2:$Z$643,BASE_CAIXA!$C$2:$C$643,"Saída",BASE_CAIXA!$K$2:$K$643,A122,BASE_CAIXA!$L$2:$L$643,"")</f>
        <v>0</v>
      </c>
      <c r="D122" s="14">
        <f>SUMIFS(BASE_CAIXA!$AA$2:$AA$643,BASE_CAIXA!$C$2:$C$643,"Entrada",BASE_CAIXA!$L$2:$L$643,A122)</f>
        <v>0</v>
      </c>
      <c r="E122" s="14">
        <f>SUMIFS(BASE_CAIXA!$AA$2:$AA$643,BASE_CAIXA!$C$2:$C$643,"Saída",BASE_CAIXA!$L$2:$L$643,A122)</f>
        <v>0</v>
      </c>
      <c r="F122" s="14">
        <f t="shared" si="6"/>
        <v>0</v>
      </c>
      <c r="G122" s="14">
        <f t="shared" si="7"/>
        <v>-4491476.3161759991</v>
      </c>
    </row>
    <row r="123" spans="1:7" x14ac:dyDescent="0.3">
      <c r="A123" s="15">
        <v>46207</v>
      </c>
      <c r="B123" s="16">
        <f>SUMIFS(BASE_CAIXA!$Z$2:$Z$643,BASE_CAIXA!$C$2:$C$643,"Entrada",BASE_CAIXA!$K$2:$K$643,A123,BASE_CAIXA!$L$2:$L$643,"")</f>
        <v>0</v>
      </c>
      <c r="C123" s="16">
        <f>SUMIFS(BASE_CAIXA!$Z$2:$Z$643,BASE_CAIXA!$C$2:$C$643,"Saída",BASE_CAIXA!$K$2:$K$643,A123,BASE_CAIXA!$L$2:$L$643,"")</f>
        <v>0</v>
      </c>
      <c r="D123" s="16">
        <f>SUMIFS(BASE_CAIXA!$AA$2:$AA$643,BASE_CAIXA!$C$2:$C$643,"Entrada",BASE_CAIXA!$L$2:$L$643,A123)</f>
        <v>0</v>
      </c>
      <c r="E123" s="16">
        <f>SUMIFS(BASE_CAIXA!$AA$2:$AA$643,BASE_CAIXA!$C$2:$C$643,"Saída",BASE_CAIXA!$L$2:$L$643,A123)</f>
        <v>0</v>
      </c>
      <c r="F123" s="16">
        <f t="shared" si="6"/>
        <v>0</v>
      </c>
      <c r="G123" s="16">
        <f t="shared" si="7"/>
        <v>-4491476.3161759991</v>
      </c>
    </row>
    <row r="124" spans="1:7" x14ac:dyDescent="0.3">
      <c r="A124" s="15">
        <v>46208</v>
      </c>
      <c r="B124" s="16">
        <f>SUMIFS(BASE_CAIXA!$Z$2:$Z$643,BASE_CAIXA!$C$2:$C$643,"Entrada",BASE_CAIXA!$K$2:$K$643,A124,BASE_CAIXA!$L$2:$L$643,"")</f>
        <v>0</v>
      </c>
      <c r="C124" s="16">
        <f>SUMIFS(BASE_CAIXA!$Z$2:$Z$643,BASE_CAIXA!$C$2:$C$643,"Saída",BASE_CAIXA!$K$2:$K$643,A124,BASE_CAIXA!$L$2:$L$643,"")</f>
        <v>0</v>
      </c>
      <c r="D124" s="16">
        <f>SUMIFS(BASE_CAIXA!$AA$2:$AA$643,BASE_CAIXA!$C$2:$C$643,"Entrada",BASE_CAIXA!$L$2:$L$643,A124)</f>
        <v>0</v>
      </c>
      <c r="E124" s="16">
        <f>SUMIFS(BASE_CAIXA!$AA$2:$AA$643,BASE_CAIXA!$C$2:$C$643,"Saída",BASE_CAIXA!$L$2:$L$643,A124)</f>
        <v>0</v>
      </c>
      <c r="F124" s="16">
        <f t="shared" si="6"/>
        <v>0</v>
      </c>
      <c r="G124" s="16">
        <f t="shared" si="7"/>
        <v>-4491476.3161759991</v>
      </c>
    </row>
    <row r="125" spans="1:7" x14ac:dyDescent="0.3">
      <c r="A125" s="13">
        <v>46209</v>
      </c>
      <c r="B125" s="14">
        <f>SUMIFS(BASE_CAIXA!$Z$2:$Z$643,BASE_CAIXA!$C$2:$C$643,"Entrada",BASE_CAIXA!$K$2:$K$643,A125,BASE_CAIXA!$L$2:$L$643,"")</f>
        <v>0</v>
      </c>
      <c r="C125" s="14">
        <f>SUMIFS(BASE_CAIXA!$Z$2:$Z$643,BASE_CAIXA!$C$2:$C$643,"Saída",BASE_CAIXA!$K$2:$K$643,A125,BASE_CAIXA!$L$2:$L$643,"")</f>
        <v>0</v>
      </c>
      <c r="D125" s="14">
        <f>SUMIFS(BASE_CAIXA!$AA$2:$AA$643,BASE_CAIXA!$C$2:$C$643,"Entrada",BASE_CAIXA!$L$2:$L$643,A125)</f>
        <v>0</v>
      </c>
      <c r="E125" s="14">
        <f>SUMIFS(BASE_CAIXA!$AA$2:$AA$643,BASE_CAIXA!$C$2:$C$643,"Saída",BASE_CAIXA!$L$2:$L$643,A125)</f>
        <v>0</v>
      </c>
      <c r="F125" s="14">
        <f t="shared" si="6"/>
        <v>0</v>
      </c>
      <c r="G125" s="14">
        <f t="shared" si="7"/>
        <v>-4491476.3161759991</v>
      </c>
    </row>
    <row r="126" spans="1:7" x14ac:dyDescent="0.3">
      <c r="A126" s="13">
        <v>46210</v>
      </c>
      <c r="B126" s="14">
        <f>SUMIFS(BASE_CAIXA!$Z$2:$Z$643,BASE_CAIXA!$C$2:$C$643,"Entrada",BASE_CAIXA!$K$2:$K$643,A126,BASE_CAIXA!$L$2:$L$643,"")</f>
        <v>0</v>
      </c>
      <c r="C126" s="14">
        <f>SUMIFS(BASE_CAIXA!$Z$2:$Z$643,BASE_CAIXA!$C$2:$C$643,"Saída",BASE_CAIXA!$K$2:$K$643,A126,BASE_CAIXA!$L$2:$L$643,"")</f>
        <v>0</v>
      </c>
      <c r="D126" s="14">
        <f>SUMIFS(BASE_CAIXA!$AA$2:$AA$643,BASE_CAIXA!$C$2:$C$643,"Entrada",BASE_CAIXA!$L$2:$L$643,A126)</f>
        <v>0</v>
      </c>
      <c r="E126" s="14">
        <f>SUMIFS(BASE_CAIXA!$AA$2:$AA$643,BASE_CAIXA!$C$2:$C$643,"Saída",BASE_CAIXA!$L$2:$L$643,A126)</f>
        <v>0</v>
      </c>
      <c r="F126" s="14">
        <f t="shared" si="6"/>
        <v>0</v>
      </c>
      <c r="G126" s="14">
        <f t="shared" si="7"/>
        <v>-4491476.3161759991</v>
      </c>
    </row>
    <row r="127" spans="1:7" x14ac:dyDescent="0.3">
      <c r="A127" s="13">
        <v>46211</v>
      </c>
      <c r="B127" s="14">
        <f>SUMIFS(BASE_CAIXA!$Z$2:$Z$643,BASE_CAIXA!$C$2:$C$643,"Entrada",BASE_CAIXA!$K$2:$K$643,A127,BASE_CAIXA!$L$2:$L$643,"")</f>
        <v>0</v>
      </c>
      <c r="C127" s="14">
        <f>SUMIFS(BASE_CAIXA!$Z$2:$Z$643,BASE_CAIXA!$C$2:$C$643,"Saída",BASE_CAIXA!$K$2:$K$643,A127,BASE_CAIXA!$L$2:$L$643,"")</f>
        <v>0</v>
      </c>
      <c r="D127" s="14">
        <f>SUMIFS(BASE_CAIXA!$AA$2:$AA$643,BASE_CAIXA!$C$2:$C$643,"Entrada",BASE_CAIXA!$L$2:$L$643,A127)</f>
        <v>0</v>
      </c>
      <c r="E127" s="14">
        <f>SUMIFS(BASE_CAIXA!$AA$2:$AA$643,BASE_CAIXA!$C$2:$C$643,"Saída",BASE_CAIXA!$L$2:$L$643,A127)</f>
        <v>0</v>
      </c>
      <c r="F127" s="14">
        <f t="shared" si="6"/>
        <v>0</v>
      </c>
      <c r="G127" s="14">
        <f t="shared" si="7"/>
        <v>-4491476.3161759991</v>
      </c>
    </row>
    <row r="128" spans="1:7" x14ac:dyDescent="0.3">
      <c r="A128" s="13">
        <v>46212</v>
      </c>
      <c r="B128" s="14">
        <f>SUMIFS(BASE_CAIXA!$Z$2:$Z$643,BASE_CAIXA!$C$2:$C$643,"Entrada",BASE_CAIXA!$K$2:$K$643,A128,BASE_CAIXA!$L$2:$L$643,"")</f>
        <v>0</v>
      </c>
      <c r="C128" s="14">
        <f>SUMIFS(BASE_CAIXA!$Z$2:$Z$643,BASE_CAIXA!$C$2:$C$643,"Saída",BASE_CAIXA!$K$2:$K$643,A128,BASE_CAIXA!$L$2:$L$643,"")</f>
        <v>0</v>
      </c>
      <c r="D128" s="14">
        <f>SUMIFS(BASE_CAIXA!$AA$2:$AA$643,BASE_CAIXA!$C$2:$C$643,"Entrada",BASE_CAIXA!$L$2:$L$643,A128)</f>
        <v>0</v>
      </c>
      <c r="E128" s="14">
        <f>SUMIFS(BASE_CAIXA!$AA$2:$AA$643,BASE_CAIXA!$C$2:$C$643,"Saída",BASE_CAIXA!$L$2:$L$643,A128)</f>
        <v>0</v>
      </c>
      <c r="F128" s="14">
        <f t="shared" si="6"/>
        <v>0</v>
      </c>
      <c r="G128" s="14">
        <f t="shared" si="7"/>
        <v>-4491476.3161759991</v>
      </c>
    </row>
    <row r="129" spans="1:7" x14ac:dyDescent="0.3">
      <c r="A129" s="13">
        <v>46213</v>
      </c>
      <c r="B129" s="14">
        <f>SUMIFS(BASE_CAIXA!$Z$2:$Z$643,BASE_CAIXA!$C$2:$C$643,"Entrada",BASE_CAIXA!$K$2:$K$643,A129,BASE_CAIXA!$L$2:$L$643,"")</f>
        <v>419604.64831999998</v>
      </c>
      <c r="C129" s="14">
        <f>SUMIFS(BASE_CAIXA!$Z$2:$Z$643,BASE_CAIXA!$C$2:$C$643,"Saída",BASE_CAIXA!$K$2:$K$643,A129,BASE_CAIXA!$L$2:$L$643,"")</f>
        <v>247663.47564799996</v>
      </c>
      <c r="D129" s="14">
        <f>SUMIFS(BASE_CAIXA!$AA$2:$AA$643,BASE_CAIXA!$C$2:$C$643,"Entrada",BASE_CAIXA!$L$2:$L$643,A129)</f>
        <v>0</v>
      </c>
      <c r="E129" s="14">
        <f>SUMIFS(BASE_CAIXA!$AA$2:$AA$643,BASE_CAIXA!$C$2:$C$643,"Saída",BASE_CAIXA!$L$2:$L$643,A129)</f>
        <v>0</v>
      </c>
      <c r="F129" s="14">
        <f t="shared" si="6"/>
        <v>171941.17267200002</v>
      </c>
      <c r="G129" s="14">
        <f t="shared" si="7"/>
        <v>-4319535.1435039993</v>
      </c>
    </row>
    <row r="130" spans="1:7" x14ac:dyDescent="0.3">
      <c r="A130" s="15">
        <v>46214</v>
      </c>
      <c r="B130" s="16">
        <f>SUMIFS(BASE_CAIXA!$Z$2:$Z$643,BASE_CAIXA!$C$2:$C$643,"Entrada",BASE_CAIXA!$K$2:$K$643,A130,BASE_CAIXA!$L$2:$L$643,"")</f>
        <v>0</v>
      </c>
      <c r="C130" s="16">
        <f>SUMIFS(BASE_CAIXA!$Z$2:$Z$643,BASE_CAIXA!$C$2:$C$643,"Saída",BASE_CAIXA!$K$2:$K$643,A130,BASE_CAIXA!$L$2:$L$643,"")</f>
        <v>0</v>
      </c>
      <c r="D130" s="16">
        <f>SUMIFS(BASE_CAIXA!$AA$2:$AA$643,BASE_CAIXA!$C$2:$C$643,"Entrada",BASE_CAIXA!$L$2:$L$643,A130)</f>
        <v>0</v>
      </c>
      <c r="E130" s="16">
        <f>SUMIFS(BASE_CAIXA!$AA$2:$AA$643,BASE_CAIXA!$C$2:$C$643,"Saída",BASE_CAIXA!$L$2:$L$643,A130)</f>
        <v>0</v>
      </c>
      <c r="F130" s="16">
        <f t="shared" si="6"/>
        <v>0</v>
      </c>
      <c r="G130" s="16">
        <f t="shared" si="7"/>
        <v>-4319535.1435039993</v>
      </c>
    </row>
    <row r="131" spans="1:7" x14ac:dyDescent="0.3">
      <c r="A131" s="15">
        <v>46215</v>
      </c>
      <c r="B131" s="16">
        <f>SUMIFS(BASE_CAIXA!$Z$2:$Z$643,BASE_CAIXA!$C$2:$C$643,"Entrada",BASE_CAIXA!$K$2:$K$643,A131,BASE_CAIXA!$L$2:$L$643,"")</f>
        <v>0</v>
      </c>
      <c r="C131" s="16">
        <f>SUMIFS(BASE_CAIXA!$Z$2:$Z$643,BASE_CAIXA!$C$2:$C$643,"Saída",BASE_CAIXA!$K$2:$K$643,A131,BASE_CAIXA!$L$2:$L$643,"")</f>
        <v>0</v>
      </c>
      <c r="D131" s="16">
        <f>SUMIFS(BASE_CAIXA!$AA$2:$AA$643,BASE_CAIXA!$C$2:$C$643,"Entrada",BASE_CAIXA!$L$2:$L$643,A131)</f>
        <v>0</v>
      </c>
      <c r="E131" s="16">
        <f>SUMIFS(BASE_CAIXA!$AA$2:$AA$643,BASE_CAIXA!$C$2:$C$643,"Saída",BASE_CAIXA!$L$2:$L$643,A131)</f>
        <v>0</v>
      </c>
      <c r="F131" s="16">
        <f t="shared" si="6"/>
        <v>0</v>
      </c>
      <c r="G131" s="16">
        <f t="shared" si="7"/>
        <v>-4319535.1435039993</v>
      </c>
    </row>
    <row r="132" spans="1:7" x14ac:dyDescent="0.3">
      <c r="A132" s="13">
        <v>46216</v>
      </c>
      <c r="B132" s="14">
        <f>SUMIFS(BASE_CAIXA!$Z$2:$Z$643,BASE_CAIXA!$C$2:$C$643,"Entrada",BASE_CAIXA!$K$2:$K$643,A132,BASE_CAIXA!$L$2:$L$643,"")</f>
        <v>0</v>
      </c>
      <c r="C132" s="14">
        <f>SUMIFS(BASE_CAIXA!$Z$2:$Z$643,BASE_CAIXA!$C$2:$C$643,"Saída",BASE_CAIXA!$K$2:$K$643,A132,BASE_CAIXA!$L$2:$L$643,"")</f>
        <v>0</v>
      </c>
      <c r="D132" s="14">
        <f>SUMIFS(BASE_CAIXA!$AA$2:$AA$643,BASE_CAIXA!$C$2:$C$643,"Entrada",BASE_CAIXA!$L$2:$L$643,A132)</f>
        <v>0</v>
      </c>
      <c r="E132" s="14">
        <f>SUMIFS(BASE_CAIXA!$AA$2:$AA$643,BASE_CAIXA!$C$2:$C$643,"Saída",BASE_CAIXA!$L$2:$L$643,A132)</f>
        <v>0</v>
      </c>
      <c r="F132" s="14">
        <f t="shared" si="6"/>
        <v>0</v>
      </c>
      <c r="G132" s="14">
        <f t="shared" si="7"/>
        <v>-4319535.1435039993</v>
      </c>
    </row>
    <row r="133" spans="1:7" x14ac:dyDescent="0.3">
      <c r="A133" s="13">
        <v>46217</v>
      </c>
      <c r="B133" s="14">
        <f>SUMIFS(BASE_CAIXA!$Z$2:$Z$643,BASE_CAIXA!$C$2:$C$643,"Entrada",BASE_CAIXA!$K$2:$K$643,A133,BASE_CAIXA!$L$2:$L$643,"")</f>
        <v>0</v>
      </c>
      <c r="C133" s="14">
        <f>SUMIFS(BASE_CAIXA!$Z$2:$Z$643,BASE_CAIXA!$C$2:$C$643,"Saída",BASE_CAIXA!$K$2:$K$643,A133,BASE_CAIXA!$L$2:$L$643,"")</f>
        <v>0</v>
      </c>
      <c r="D133" s="14">
        <f>SUMIFS(BASE_CAIXA!$AA$2:$AA$643,BASE_CAIXA!$C$2:$C$643,"Entrada",BASE_CAIXA!$L$2:$L$643,A133)</f>
        <v>0</v>
      </c>
      <c r="E133" s="14">
        <f>SUMIFS(BASE_CAIXA!$AA$2:$AA$643,BASE_CAIXA!$C$2:$C$643,"Saída",BASE_CAIXA!$L$2:$L$643,A133)</f>
        <v>0</v>
      </c>
      <c r="F133" s="14">
        <f t="shared" si="6"/>
        <v>0</v>
      </c>
      <c r="G133" s="14">
        <f t="shared" si="7"/>
        <v>-4319535.1435039993</v>
      </c>
    </row>
    <row r="134" spans="1:7" x14ac:dyDescent="0.3">
      <c r="A134" s="13">
        <v>46218</v>
      </c>
      <c r="B134" s="14">
        <f>SUMIFS(BASE_CAIXA!$Z$2:$Z$643,BASE_CAIXA!$C$2:$C$643,"Entrada",BASE_CAIXA!$K$2:$K$643,A134,BASE_CAIXA!$L$2:$L$643,"")</f>
        <v>0</v>
      </c>
      <c r="C134" s="14">
        <f>SUMIFS(BASE_CAIXA!$Z$2:$Z$643,BASE_CAIXA!$C$2:$C$643,"Saída",BASE_CAIXA!$K$2:$K$643,A134,BASE_CAIXA!$L$2:$L$643,"")</f>
        <v>0</v>
      </c>
      <c r="D134" s="14">
        <f>SUMIFS(BASE_CAIXA!$AA$2:$AA$643,BASE_CAIXA!$C$2:$C$643,"Entrada",BASE_CAIXA!$L$2:$L$643,A134)</f>
        <v>0</v>
      </c>
      <c r="E134" s="14">
        <f>SUMIFS(BASE_CAIXA!$AA$2:$AA$643,BASE_CAIXA!$C$2:$C$643,"Saída",BASE_CAIXA!$L$2:$L$643,A134)</f>
        <v>0</v>
      </c>
      <c r="F134" s="14">
        <f t="shared" ref="F134:F165" si="8">B134-C134+D134-E134</f>
        <v>0</v>
      </c>
      <c r="G134" s="14">
        <f t="shared" si="7"/>
        <v>-4319535.1435039993</v>
      </c>
    </row>
    <row r="135" spans="1:7" x14ac:dyDescent="0.3">
      <c r="A135" s="13">
        <v>46219</v>
      </c>
      <c r="B135" s="14">
        <f>SUMIFS(BASE_CAIXA!$Z$2:$Z$643,BASE_CAIXA!$C$2:$C$643,"Entrada",BASE_CAIXA!$K$2:$K$643,A135,BASE_CAIXA!$L$2:$L$643,"")</f>
        <v>0</v>
      </c>
      <c r="C135" s="14">
        <f>SUMIFS(BASE_CAIXA!$Z$2:$Z$643,BASE_CAIXA!$C$2:$C$643,"Saída",BASE_CAIXA!$K$2:$K$643,A135,BASE_CAIXA!$L$2:$L$643,"")</f>
        <v>0</v>
      </c>
      <c r="D135" s="14">
        <f>SUMIFS(BASE_CAIXA!$AA$2:$AA$643,BASE_CAIXA!$C$2:$C$643,"Entrada",BASE_CAIXA!$L$2:$L$643,A135)</f>
        <v>0</v>
      </c>
      <c r="E135" s="14">
        <f>SUMIFS(BASE_CAIXA!$AA$2:$AA$643,BASE_CAIXA!$C$2:$C$643,"Saída",BASE_CAIXA!$L$2:$L$643,A135)</f>
        <v>0</v>
      </c>
      <c r="F135" s="14">
        <f t="shared" si="8"/>
        <v>0</v>
      </c>
      <c r="G135" s="14">
        <f t="shared" ref="G135:G166" si="9">G134+F135</f>
        <v>-4319535.1435039993</v>
      </c>
    </row>
    <row r="136" spans="1:7" x14ac:dyDescent="0.3">
      <c r="A136" s="13">
        <v>46220</v>
      </c>
      <c r="B136" s="14">
        <f>SUMIFS(BASE_CAIXA!$Z$2:$Z$643,BASE_CAIXA!$C$2:$C$643,"Entrada",BASE_CAIXA!$K$2:$K$643,A136,BASE_CAIXA!$L$2:$L$643,"")</f>
        <v>0</v>
      </c>
      <c r="C136" s="14">
        <f>SUMIFS(BASE_CAIXA!$Z$2:$Z$643,BASE_CAIXA!$C$2:$C$643,"Saída",BASE_CAIXA!$K$2:$K$643,A136,BASE_CAIXA!$L$2:$L$643,"")</f>
        <v>0</v>
      </c>
      <c r="D136" s="14">
        <f>SUMIFS(BASE_CAIXA!$AA$2:$AA$643,BASE_CAIXA!$C$2:$C$643,"Entrada",BASE_CAIXA!$L$2:$L$643,A136)</f>
        <v>0</v>
      </c>
      <c r="E136" s="14">
        <f>SUMIFS(BASE_CAIXA!$AA$2:$AA$643,BASE_CAIXA!$C$2:$C$643,"Saída",BASE_CAIXA!$L$2:$L$643,A136)</f>
        <v>0</v>
      </c>
      <c r="F136" s="14">
        <f t="shared" si="8"/>
        <v>0</v>
      </c>
      <c r="G136" s="14">
        <f t="shared" si="9"/>
        <v>-4319535.1435039993</v>
      </c>
    </row>
    <row r="137" spans="1:7" x14ac:dyDescent="0.3">
      <c r="A137" s="15">
        <v>46221</v>
      </c>
      <c r="B137" s="16">
        <f>SUMIFS(BASE_CAIXA!$Z$2:$Z$643,BASE_CAIXA!$C$2:$C$643,"Entrada",BASE_CAIXA!$K$2:$K$643,A137,BASE_CAIXA!$L$2:$L$643,"")</f>
        <v>0</v>
      </c>
      <c r="C137" s="16">
        <f>SUMIFS(BASE_CAIXA!$Z$2:$Z$643,BASE_CAIXA!$C$2:$C$643,"Saída",BASE_CAIXA!$K$2:$K$643,A137,BASE_CAIXA!$L$2:$L$643,"")</f>
        <v>0</v>
      </c>
      <c r="D137" s="16">
        <f>SUMIFS(BASE_CAIXA!$AA$2:$AA$643,BASE_CAIXA!$C$2:$C$643,"Entrada",BASE_CAIXA!$L$2:$L$643,A137)</f>
        <v>0</v>
      </c>
      <c r="E137" s="16">
        <f>SUMIFS(BASE_CAIXA!$AA$2:$AA$643,BASE_CAIXA!$C$2:$C$643,"Saída",BASE_CAIXA!$L$2:$L$643,A137)</f>
        <v>0</v>
      </c>
      <c r="F137" s="16">
        <f t="shared" si="8"/>
        <v>0</v>
      </c>
      <c r="G137" s="16">
        <f t="shared" si="9"/>
        <v>-4319535.1435039993</v>
      </c>
    </row>
    <row r="138" spans="1:7" x14ac:dyDescent="0.3">
      <c r="A138" s="15">
        <v>46222</v>
      </c>
      <c r="B138" s="16">
        <f>SUMIFS(BASE_CAIXA!$Z$2:$Z$643,BASE_CAIXA!$C$2:$C$643,"Entrada",BASE_CAIXA!$K$2:$K$643,A138,BASE_CAIXA!$L$2:$L$643,"")</f>
        <v>0</v>
      </c>
      <c r="C138" s="16">
        <f>SUMIFS(BASE_CAIXA!$Z$2:$Z$643,BASE_CAIXA!$C$2:$C$643,"Saída",BASE_CAIXA!$K$2:$K$643,A138,BASE_CAIXA!$L$2:$L$643,"")</f>
        <v>0</v>
      </c>
      <c r="D138" s="16">
        <f>SUMIFS(BASE_CAIXA!$AA$2:$AA$643,BASE_CAIXA!$C$2:$C$643,"Entrada",BASE_CAIXA!$L$2:$L$643,A138)</f>
        <v>0</v>
      </c>
      <c r="E138" s="16">
        <f>SUMIFS(BASE_CAIXA!$AA$2:$AA$643,BASE_CAIXA!$C$2:$C$643,"Saída",BASE_CAIXA!$L$2:$L$643,A138)</f>
        <v>0</v>
      </c>
      <c r="F138" s="16">
        <f t="shared" si="8"/>
        <v>0</v>
      </c>
      <c r="G138" s="16">
        <f t="shared" si="9"/>
        <v>-4319535.1435039993</v>
      </c>
    </row>
    <row r="139" spans="1:7" x14ac:dyDescent="0.3">
      <c r="A139" s="13">
        <v>46223</v>
      </c>
      <c r="B139" s="14">
        <f>SUMIFS(BASE_CAIXA!$Z$2:$Z$643,BASE_CAIXA!$C$2:$C$643,"Entrada",BASE_CAIXA!$K$2:$K$643,A139,BASE_CAIXA!$L$2:$L$643,"")</f>
        <v>0</v>
      </c>
      <c r="C139" s="14">
        <f>SUMIFS(BASE_CAIXA!$Z$2:$Z$643,BASE_CAIXA!$C$2:$C$643,"Saída",BASE_CAIXA!$K$2:$K$643,A139,BASE_CAIXA!$L$2:$L$643,"")</f>
        <v>0</v>
      </c>
      <c r="D139" s="14">
        <f>SUMIFS(BASE_CAIXA!$AA$2:$AA$643,BASE_CAIXA!$C$2:$C$643,"Entrada",BASE_CAIXA!$L$2:$L$643,A139)</f>
        <v>0</v>
      </c>
      <c r="E139" s="14">
        <f>SUMIFS(BASE_CAIXA!$AA$2:$AA$643,BASE_CAIXA!$C$2:$C$643,"Saída",BASE_CAIXA!$L$2:$L$643,A139)</f>
        <v>0</v>
      </c>
      <c r="F139" s="14">
        <f t="shared" si="8"/>
        <v>0</v>
      </c>
      <c r="G139" s="14">
        <f t="shared" si="9"/>
        <v>-4319535.1435039993</v>
      </c>
    </row>
    <row r="140" spans="1:7" x14ac:dyDescent="0.3">
      <c r="A140" s="13">
        <v>46224</v>
      </c>
      <c r="B140" s="14">
        <f>SUMIFS(BASE_CAIXA!$Z$2:$Z$643,BASE_CAIXA!$C$2:$C$643,"Entrada",BASE_CAIXA!$K$2:$K$643,A140,BASE_CAIXA!$L$2:$L$643,"")</f>
        <v>0</v>
      </c>
      <c r="C140" s="14">
        <f>SUMIFS(BASE_CAIXA!$Z$2:$Z$643,BASE_CAIXA!$C$2:$C$643,"Saída",BASE_CAIXA!$K$2:$K$643,A140,BASE_CAIXA!$L$2:$L$643,"")</f>
        <v>0</v>
      </c>
      <c r="D140" s="14">
        <f>SUMIFS(BASE_CAIXA!$AA$2:$AA$643,BASE_CAIXA!$C$2:$C$643,"Entrada",BASE_CAIXA!$L$2:$L$643,A140)</f>
        <v>0</v>
      </c>
      <c r="E140" s="14">
        <f>SUMIFS(BASE_CAIXA!$AA$2:$AA$643,BASE_CAIXA!$C$2:$C$643,"Saída",BASE_CAIXA!$L$2:$L$643,A140)</f>
        <v>0</v>
      </c>
      <c r="F140" s="14">
        <f t="shared" si="8"/>
        <v>0</v>
      </c>
      <c r="G140" s="14">
        <f t="shared" si="9"/>
        <v>-4319535.1435039993</v>
      </c>
    </row>
    <row r="141" spans="1:7" x14ac:dyDescent="0.3">
      <c r="A141" s="13">
        <v>46225</v>
      </c>
      <c r="B141" s="14">
        <f>SUMIFS(BASE_CAIXA!$Z$2:$Z$643,BASE_CAIXA!$C$2:$C$643,"Entrada",BASE_CAIXA!$K$2:$K$643,A141,BASE_CAIXA!$L$2:$L$643,"")</f>
        <v>0</v>
      </c>
      <c r="C141" s="14">
        <f>SUMIFS(BASE_CAIXA!$Z$2:$Z$643,BASE_CAIXA!$C$2:$C$643,"Saída",BASE_CAIXA!$K$2:$K$643,A141,BASE_CAIXA!$L$2:$L$643,"")</f>
        <v>0</v>
      </c>
      <c r="D141" s="14">
        <f>SUMIFS(BASE_CAIXA!$AA$2:$AA$643,BASE_CAIXA!$C$2:$C$643,"Entrada",BASE_CAIXA!$L$2:$L$643,A141)</f>
        <v>0</v>
      </c>
      <c r="E141" s="14">
        <f>SUMIFS(BASE_CAIXA!$AA$2:$AA$643,BASE_CAIXA!$C$2:$C$643,"Saída",BASE_CAIXA!$L$2:$L$643,A141)</f>
        <v>0</v>
      </c>
      <c r="F141" s="14">
        <f t="shared" si="8"/>
        <v>0</v>
      </c>
      <c r="G141" s="14">
        <f t="shared" si="9"/>
        <v>-4319535.1435039993</v>
      </c>
    </row>
    <row r="142" spans="1:7" x14ac:dyDescent="0.3">
      <c r="A142" s="13">
        <v>46226</v>
      </c>
      <c r="B142" s="14">
        <f>SUMIFS(BASE_CAIXA!$Z$2:$Z$643,BASE_CAIXA!$C$2:$C$643,"Entrada",BASE_CAIXA!$K$2:$K$643,A142,BASE_CAIXA!$L$2:$L$643,"")</f>
        <v>0</v>
      </c>
      <c r="C142" s="14">
        <f>SUMIFS(BASE_CAIXA!$Z$2:$Z$643,BASE_CAIXA!$C$2:$C$643,"Saída",BASE_CAIXA!$K$2:$K$643,A142,BASE_CAIXA!$L$2:$L$643,"")</f>
        <v>0</v>
      </c>
      <c r="D142" s="14">
        <f>SUMIFS(BASE_CAIXA!$AA$2:$AA$643,BASE_CAIXA!$C$2:$C$643,"Entrada",BASE_CAIXA!$L$2:$L$643,A142)</f>
        <v>0</v>
      </c>
      <c r="E142" s="14">
        <f>SUMIFS(BASE_CAIXA!$AA$2:$AA$643,BASE_CAIXA!$C$2:$C$643,"Saída",BASE_CAIXA!$L$2:$L$643,A142)</f>
        <v>0</v>
      </c>
      <c r="F142" s="14">
        <f t="shared" si="8"/>
        <v>0</v>
      </c>
      <c r="G142" s="14">
        <f t="shared" si="9"/>
        <v>-4319535.1435039993</v>
      </c>
    </row>
    <row r="143" spans="1:7" x14ac:dyDescent="0.3">
      <c r="A143" s="13">
        <v>46227</v>
      </c>
      <c r="B143" s="14">
        <f>SUMIFS(BASE_CAIXA!$Z$2:$Z$643,BASE_CAIXA!$C$2:$C$643,"Entrada",BASE_CAIXA!$K$2:$K$643,A143,BASE_CAIXA!$L$2:$L$643,"")</f>
        <v>315298.83584000001</v>
      </c>
      <c r="C143" s="14">
        <f>SUMIFS(BASE_CAIXA!$Z$2:$Z$643,BASE_CAIXA!$C$2:$C$643,"Saída",BASE_CAIXA!$K$2:$K$643,A143,BASE_CAIXA!$L$2:$L$643,"")</f>
        <v>500432.10643200006</v>
      </c>
      <c r="D143" s="14">
        <f>SUMIFS(BASE_CAIXA!$AA$2:$AA$643,BASE_CAIXA!$C$2:$C$643,"Entrada",BASE_CAIXA!$L$2:$L$643,A143)</f>
        <v>0</v>
      </c>
      <c r="E143" s="14">
        <f>SUMIFS(BASE_CAIXA!$AA$2:$AA$643,BASE_CAIXA!$C$2:$C$643,"Saída",BASE_CAIXA!$L$2:$L$643,A143)</f>
        <v>0</v>
      </c>
      <c r="F143" s="14">
        <f t="shared" si="8"/>
        <v>-185133.27059200004</v>
      </c>
      <c r="G143" s="14">
        <f t="shared" si="9"/>
        <v>-4504668.4140959997</v>
      </c>
    </row>
    <row r="144" spans="1:7" x14ac:dyDescent="0.3">
      <c r="A144" s="15">
        <v>46228</v>
      </c>
      <c r="B144" s="16">
        <f>SUMIFS(BASE_CAIXA!$Z$2:$Z$643,BASE_CAIXA!$C$2:$C$643,"Entrada",BASE_CAIXA!$K$2:$K$643,A144,BASE_CAIXA!$L$2:$L$643,"")</f>
        <v>0</v>
      </c>
      <c r="C144" s="16">
        <f>SUMIFS(BASE_CAIXA!$Z$2:$Z$643,BASE_CAIXA!$C$2:$C$643,"Saída",BASE_CAIXA!$K$2:$K$643,A144,BASE_CAIXA!$L$2:$L$643,"")</f>
        <v>0</v>
      </c>
      <c r="D144" s="16">
        <f>SUMIFS(BASE_CAIXA!$AA$2:$AA$643,BASE_CAIXA!$C$2:$C$643,"Entrada",BASE_CAIXA!$L$2:$L$643,A144)</f>
        <v>0</v>
      </c>
      <c r="E144" s="16">
        <f>SUMIFS(BASE_CAIXA!$AA$2:$AA$643,BASE_CAIXA!$C$2:$C$643,"Saída",BASE_CAIXA!$L$2:$L$643,A144)</f>
        <v>0</v>
      </c>
      <c r="F144" s="16">
        <f t="shared" si="8"/>
        <v>0</v>
      </c>
      <c r="G144" s="16">
        <f t="shared" si="9"/>
        <v>-4504668.4140959997</v>
      </c>
    </row>
    <row r="145" spans="1:7" x14ac:dyDescent="0.3">
      <c r="A145" s="15">
        <v>46229</v>
      </c>
      <c r="B145" s="16">
        <f>SUMIFS(BASE_CAIXA!$Z$2:$Z$643,BASE_CAIXA!$C$2:$C$643,"Entrada",BASE_CAIXA!$K$2:$K$643,A145,BASE_CAIXA!$L$2:$L$643,"")</f>
        <v>0</v>
      </c>
      <c r="C145" s="16">
        <f>SUMIFS(BASE_CAIXA!$Z$2:$Z$643,BASE_CAIXA!$C$2:$C$643,"Saída",BASE_CAIXA!$K$2:$K$643,A145,BASE_CAIXA!$L$2:$L$643,"")</f>
        <v>0</v>
      </c>
      <c r="D145" s="16">
        <f>SUMIFS(BASE_CAIXA!$AA$2:$AA$643,BASE_CAIXA!$C$2:$C$643,"Entrada",BASE_CAIXA!$L$2:$L$643,A145)</f>
        <v>0</v>
      </c>
      <c r="E145" s="16">
        <f>SUMIFS(BASE_CAIXA!$AA$2:$AA$643,BASE_CAIXA!$C$2:$C$643,"Saída",BASE_CAIXA!$L$2:$L$643,A145)</f>
        <v>0</v>
      </c>
      <c r="F145" s="16">
        <f t="shared" si="8"/>
        <v>0</v>
      </c>
      <c r="G145" s="16">
        <f t="shared" si="9"/>
        <v>-4504668.4140959997</v>
      </c>
    </row>
    <row r="146" spans="1:7" x14ac:dyDescent="0.3">
      <c r="A146" s="13">
        <v>46230</v>
      </c>
      <c r="B146" s="14">
        <f>SUMIFS(BASE_CAIXA!$Z$2:$Z$643,BASE_CAIXA!$C$2:$C$643,"Entrada",BASE_CAIXA!$K$2:$K$643,A146,BASE_CAIXA!$L$2:$L$643,"")</f>
        <v>0</v>
      </c>
      <c r="C146" s="14">
        <f>SUMIFS(BASE_CAIXA!$Z$2:$Z$643,BASE_CAIXA!$C$2:$C$643,"Saída",BASE_CAIXA!$K$2:$K$643,A146,BASE_CAIXA!$L$2:$L$643,"")</f>
        <v>0</v>
      </c>
      <c r="D146" s="14">
        <f>SUMIFS(BASE_CAIXA!$AA$2:$AA$643,BASE_CAIXA!$C$2:$C$643,"Entrada",BASE_CAIXA!$L$2:$L$643,A146)</f>
        <v>0</v>
      </c>
      <c r="E146" s="14">
        <f>SUMIFS(BASE_CAIXA!$AA$2:$AA$643,BASE_CAIXA!$C$2:$C$643,"Saída",BASE_CAIXA!$L$2:$L$643,A146)</f>
        <v>0</v>
      </c>
      <c r="F146" s="14">
        <f t="shared" si="8"/>
        <v>0</v>
      </c>
      <c r="G146" s="14">
        <f t="shared" si="9"/>
        <v>-4504668.4140959997</v>
      </c>
    </row>
    <row r="147" spans="1:7" x14ac:dyDescent="0.3">
      <c r="A147" s="13">
        <v>46231</v>
      </c>
      <c r="B147" s="14">
        <f>SUMIFS(BASE_CAIXA!$Z$2:$Z$643,BASE_CAIXA!$C$2:$C$643,"Entrada",BASE_CAIXA!$K$2:$K$643,A147,BASE_CAIXA!$L$2:$L$643,"")</f>
        <v>0</v>
      </c>
      <c r="C147" s="14">
        <f>SUMIFS(BASE_CAIXA!$Z$2:$Z$643,BASE_CAIXA!$C$2:$C$643,"Saída",BASE_CAIXA!$K$2:$K$643,A147,BASE_CAIXA!$L$2:$L$643,"")</f>
        <v>0</v>
      </c>
      <c r="D147" s="14">
        <f>SUMIFS(BASE_CAIXA!$AA$2:$AA$643,BASE_CAIXA!$C$2:$C$643,"Entrada",BASE_CAIXA!$L$2:$L$643,A147)</f>
        <v>0</v>
      </c>
      <c r="E147" s="14">
        <f>SUMIFS(BASE_CAIXA!$AA$2:$AA$643,BASE_CAIXA!$C$2:$C$643,"Saída",BASE_CAIXA!$L$2:$L$643,A147)</f>
        <v>0</v>
      </c>
      <c r="F147" s="14">
        <f t="shared" si="8"/>
        <v>0</v>
      </c>
      <c r="G147" s="14">
        <f t="shared" si="9"/>
        <v>-4504668.4140959997</v>
      </c>
    </row>
    <row r="148" spans="1:7" x14ac:dyDescent="0.3">
      <c r="A148" s="13">
        <v>46232</v>
      </c>
      <c r="B148" s="14">
        <f>SUMIFS(BASE_CAIXA!$Z$2:$Z$643,BASE_CAIXA!$C$2:$C$643,"Entrada",BASE_CAIXA!$K$2:$K$643,A148,BASE_CAIXA!$L$2:$L$643,"")</f>
        <v>0</v>
      </c>
      <c r="C148" s="14">
        <f>SUMIFS(BASE_CAIXA!$Z$2:$Z$643,BASE_CAIXA!$C$2:$C$643,"Saída",BASE_CAIXA!$K$2:$K$643,A148,BASE_CAIXA!$L$2:$L$643,"")</f>
        <v>0</v>
      </c>
      <c r="D148" s="14">
        <f>SUMIFS(BASE_CAIXA!$AA$2:$AA$643,BASE_CAIXA!$C$2:$C$643,"Entrada",BASE_CAIXA!$L$2:$L$643,A148)</f>
        <v>0</v>
      </c>
      <c r="E148" s="14">
        <f>SUMIFS(BASE_CAIXA!$AA$2:$AA$643,BASE_CAIXA!$C$2:$C$643,"Saída",BASE_CAIXA!$L$2:$L$643,A148)</f>
        <v>0</v>
      </c>
      <c r="F148" s="14">
        <f t="shared" si="8"/>
        <v>0</v>
      </c>
      <c r="G148" s="14">
        <f t="shared" si="9"/>
        <v>-4504668.4140959997</v>
      </c>
    </row>
    <row r="149" spans="1:7" x14ac:dyDescent="0.3">
      <c r="A149" s="13">
        <v>46233</v>
      </c>
      <c r="B149" s="14">
        <f>SUMIFS(BASE_CAIXA!$Z$2:$Z$643,BASE_CAIXA!$C$2:$C$643,"Entrada",BASE_CAIXA!$K$2:$K$643,A149,BASE_CAIXA!$L$2:$L$643,"")</f>
        <v>0</v>
      </c>
      <c r="C149" s="14">
        <f>SUMIFS(BASE_CAIXA!$Z$2:$Z$643,BASE_CAIXA!$C$2:$C$643,"Saída",BASE_CAIXA!$K$2:$K$643,A149,BASE_CAIXA!$L$2:$L$643,"")</f>
        <v>0</v>
      </c>
      <c r="D149" s="14">
        <f>SUMIFS(BASE_CAIXA!$AA$2:$AA$643,BASE_CAIXA!$C$2:$C$643,"Entrada",BASE_CAIXA!$L$2:$L$643,A149)</f>
        <v>0</v>
      </c>
      <c r="E149" s="14">
        <f>SUMIFS(BASE_CAIXA!$AA$2:$AA$643,BASE_CAIXA!$C$2:$C$643,"Saída",BASE_CAIXA!$L$2:$L$643,A149)</f>
        <v>0</v>
      </c>
      <c r="F149" s="14">
        <f t="shared" si="8"/>
        <v>0</v>
      </c>
      <c r="G149" s="14">
        <f t="shared" si="9"/>
        <v>-4504668.4140959997</v>
      </c>
    </row>
    <row r="150" spans="1:7" x14ac:dyDescent="0.3">
      <c r="A150" s="13">
        <v>46234</v>
      </c>
      <c r="B150" s="14">
        <f>SUMIFS(BASE_CAIXA!$Z$2:$Z$643,BASE_CAIXA!$C$2:$C$643,"Entrada",BASE_CAIXA!$K$2:$K$643,A150,BASE_CAIXA!$L$2:$L$643,"")</f>
        <v>0</v>
      </c>
      <c r="C150" s="14">
        <f>SUMIFS(BASE_CAIXA!$Z$2:$Z$643,BASE_CAIXA!$C$2:$C$643,"Saída",BASE_CAIXA!$K$2:$K$643,A150,BASE_CAIXA!$L$2:$L$643,"")</f>
        <v>0</v>
      </c>
      <c r="D150" s="14">
        <f>SUMIFS(BASE_CAIXA!$AA$2:$AA$643,BASE_CAIXA!$C$2:$C$643,"Entrada",BASE_CAIXA!$L$2:$L$643,A150)</f>
        <v>0</v>
      </c>
      <c r="E150" s="14">
        <f>SUMIFS(BASE_CAIXA!$AA$2:$AA$643,BASE_CAIXA!$C$2:$C$643,"Saída",BASE_CAIXA!$L$2:$L$643,A150)</f>
        <v>0</v>
      </c>
      <c r="F150" s="14">
        <f t="shared" si="8"/>
        <v>0</v>
      </c>
      <c r="G150" s="14">
        <f t="shared" si="9"/>
        <v>-4504668.4140959997</v>
      </c>
    </row>
    <row r="151" spans="1:7" x14ac:dyDescent="0.3">
      <c r="A151" s="15">
        <v>46235</v>
      </c>
      <c r="B151" s="16">
        <f>SUMIFS(BASE_CAIXA!$Z$2:$Z$643,BASE_CAIXA!$C$2:$C$643,"Entrada",BASE_CAIXA!$K$2:$K$643,A151,BASE_CAIXA!$L$2:$L$643,"")</f>
        <v>0</v>
      </c>
      <c r="C151" s="16">
        <f>SUMIFS(BASE_CAIXA!$Z$2:$Z$643,BASE_CAIXA!$C$2:$C$643,"Saída",BASE_CAIXA!$K$2:$K$643,A151,BASE_CAIXA!$L$2:$L$643,"")</f>
        <v>0</v>
      </c>
      <c r="D151" s="16">
        <f>SUMIFS(BASE_CAIXA!$AA$2:$AA$643,BASE_CAIXA!$C$2:$C$643,"Entrada",BASE_CAIXA!$L$2:$L$643,A151)</f>
        <v>0</v>
      </c>
      <c r="E151" s="16">
        <f>SUMIFS(BASE_CAIXA!$AA$2:$AA$643,BASE_CAIXA!$C$2:$C$643,"Saída",BASE_CAIXA!$L$2:$L$643,A151)</f>
        <v>0</v>
      </c>
      <c r="F151" s="16">
        <f t="shared" si="8"/>
        <v>0</v>
      </c>
      <c r="G151" s="16">
        <f t="shared" si="9"/>
        <v>-4504668.4140959997</v>
      </c>
    </row>
    <row r="152" spans="1:7" x14ac:dyDescent="0.3">
      <c r="A152" s="15">
        <v>46236</v>
      </c>
      <c r="B152" s="16">
        <f>SUMIFS(BASE_CAIXA!$Z$2:$Z$643,BASE_CAIXA!$C$2:$C$643,"Entrada",BASE_CAIXA!$K$2:$K$643,A152,BASE_CAIXA!$L$2:$L$643,"")</f>
        <v>0</v>
      </c>
      <c r="C152" s="16">
        <f>SUMIFS(BASE_CAIXA!$Z$2:$Z$643,BASE_CAIXA!$C$2:$C$643,"Saída",BASE_CAIXA!$K$2:$K$643,A152,BASE_CAIXA!$L$2:$L$643,"")</f>
        <v>0</v>
      </c>
      <c r="D152" s="16">
        <f>SUMIFS(BASE_CAIXA!$AA$2:$AA$643,BASE_CAIXA!$C$2:$C$643,"Entrada",BASE_CAIXA!$L$2:$L$643,A152)</f>
        <v>0</v>
      </c>
      <c r="E152" s="16">
        <f>SUMIFS(BASE_CAIXA!$AA$2:$AA$643,BASE_CAIXA!$C$2:$C$643,"Saída",BASE_CAIXA!$L$2:$L$643,A152)</f>
        <v>0</v>
      </c>
      <c r="F152" s="16">
        <f t="shared" si="8"/>
        <v>0</v>
      </c>
      <c r="G152" s="16">
        <f t="shared" si="9"/>
        <v>-4504668.4140959997</v>
      </c>
    </row>
    <row r="153" spans="1:7" x14ac:dyDescent="0.3">
      <c r="A153" s="13">
        <v>46237</v>
      </c>
      <c r="B153" s="14">
        <f>SUMIFS(BASE_CAIXA!$Z$2:$Z$643,BASE_CAIXA!$C$2:$C$643,"Entrada",BASE_CAIXA!$K$2:$K$643,A153,BASE_CAIXA!$L$2:$L$643,"")</f>
        <v>0</v>
      </c>
      <c r="C153" s="14">
        <f>SUMIFS(BASE_CAIXA!$Z$2:$Z$643,BASE_CAIXA!$C$2:$C$643,"Saída",BASE_CAIXA!$K$2:$K$643,A153,BASE_CAIXA!$L$2:$L$643,"")</f>
        <v>0</v>
      </c>
      <c r="D153" s="14">
        <f>SUMIFS(BASE_CAIXA!$AA$2:$AA$643,BASE_CAIXA!$C$2:$C$643,"Entrada",BASE_CAIXA!$L$2:$L$643,A153)</f>
        <v>0</v>
      </c>
      <c r="E153" s="14">
        <f>SUMIFS(BASE_CAIXA!$AA$2:$AA$643,BASE_CAIXA!$C$2:$C$643,"Saída",BASE_CAIXA!$L$2:$L$643,A153)</f>
        <v>0</v>
      </c>
      <c r="F153" s="14">
        <f t="shared" si="8"/>
        <v>0</v>
      </c>
      <c r="G153" s="14">
        <f t="shared" si="9"/>
        <v>-4504668.4140959997</v>
      </c>
    </row>
    <row r="154" spans="1:7" x14ac:dyDescent="0.3">
      <c r="A154" s="13">
        <v>46238</v>
      </c>
      <c r="B154" s="14">
        <f>SUMIFS(BASE_CAIXA!$Z$2:$Z$643,BASE_CAIXA!$C$2:$C$643,"Entrada",BASE_CAIXA!$K$2:$K$643,A154,BASE_CAIXA!$L$2:$L$643,"")</f>
        <v>0</v>
      </c>
      <c r="C154" s="14">
        <f>SUMIFS(BASE_CAIXA!$Z$2:$Z$643,BASE_CAIXA!$C$2:$C$643,"Saída",BASE_CAIXA!$K$2:$K$643,A154,BASE_CAIXA!$L$2:$L$643,"")</f>
        <v>0</v>
      </c>
      <c r="D154" s="14">
        <f>SUMIFS(BASE_CAIXA!$AA$2:$AA$643,BASE_CAIXA!$C$2:$C$643,"Entrada",BASE_CAIXA!$L$2:$L$643,A154)</f>
        <v>0</v>
      </c>
      <c r="E154" s="14">
        <f>SUMIFS(BASE_CAIXA!$AA$2:$AA$643,BASE_CAIXA!$C$2:$C$643,"Saída",BASE_CAIXA!$L$2:$L$643,A154)</f>
        <v>0</v>
      </c>
      <c r="F154" s="14">
        <f t="shared" si="8"/>
        <v>0</v>
      </c>
      <c r="G154" s="14">
        <f t="shared" si="9"/>
        <v>-4504668.4140959997</v>
      </c>
    </row>
    <row r="155" spans="1:7" x14ac:dyDescent="0.3">
      <c r="A155" s="13">
        <v>46239</v>
      </c>
      <c r="B155" s="14">
        <f>SUMIFS(BASE_CAIXA!$Z$2:$Z$643,BASE_CAIXA!$C$2:$C$643,"Entrada",BASE_CAIXA!$K$2:$K$643,A155,BASE_CAIXA!$L$2:$L$643,"")</f>
        <v>0</v>
      </c>
      <c r="C155" s="14">
        <f>SUMIFS(BASE_CAIXA!$Z$2:$Z$643,BASE_CAIXA!$C$2:$C$643,"Saída",BASE_CAIXA!$K$2:$K$643,A155,BASE_CAIXA!$L$2:$L$643,"")</f>
        <v>0</v>
      </c>
      <c r="D155" s="14">
        <f>SUMIFS(BASE_CAIXA!$AA$2:$AA$643,BASE_CAIXA!$C$2:$C$643,"Entrada",BASE_CAIXA!$L$2:$L$643,A155)</f>
        <v>0</v>
      </c>
      <c r="E155" s="14">
        <f>SUMIFS(BASE_CAIXA!$AA$2:$AA$643,BASE_CAIXA!$C$2:$C$643,"Saída",BASE_CAIXA!$L$2:$L$643,A155)</f>
        <v>0</v>
      </c>
      <c r="F155" s="14">
        <f t="shared" si="8"/>
        <v>0</v>
      </c>
      <c r="G155" s="14">
        <f t="shared" si="9"/>
        <v>-4504668.4140959997</v>
      </c>
    </row>
    <row r="156" spans="1:7" x14ac:dyDescent="0.3">
      <c r="A156" s="13">
        <v>46240</v>
      </c>
      <c r="B156" s="14">
        <f>SUMIFS(BASE_CAIXA!$Z$2:$Z$643,BASE_CAIXA!$C$2:$C$643,"Entrada",BASE_CAIXA!$K$2:$K$643,A156,BASE_CAIXA!$L$2:$L$643,"")</f>
        <v>0</v>
      </c>
      <c r="C156" s="14">
        <f>SUMIFS(BASE_CAIXA!$Z$2:$Z$643,BASE_CAIXA!$C$2:$C$643,"Saída",BASE_CAIXA!$K$2:$K$643,A156,BASE_CAIXA!$L$2:$L$643,"")</f>
        <v>0</v>
      </c>
      <c r="D156" s="14">
        <f>SUMIFS(BASE_CAIXA!$AA$2:$AA$643,BASE_CAIXA!$C$2:$C$643,"Entrada",BASE_CAIXA!$L$2:$L$643,A156)</f>
        <v>0</v>
      </c>
      <c r="E156" s="14">
        <f>SUMIFS(BASE_CAIXA!$AA$2:$AA$643,BASE_CAIXA!$C$2:$C$643,"Saída",BASE_CAIXA!$L$2:$L$643,A156)</f>
        <v>0</v>
      </c>
      <c r="F156" s="14">
        <f t="shared" si="8"/>
        <v>0</v>
      </c>
      <c r="G156" s="14">
        <f t="shared" si="9"/>
        <v>-4504668.4140959997</v>
      </c>
    </row>
    <row r="157" spans="1:7" x14ac:dyDescent="0.3">
      <c r="A157" s="13">
        <v>46241</v>
      </c>
      <c r="B157" s="14">
        <f>SUMIFS(BASE_CAIXA!$Z$2:$Z$643,BASE_CAIXA!$C$2:$C$643,"Entrada",BASE_CAIXA!$K$2:$K$643,A157,BASE_CAIXA!$L$2:$L$643,"")</f>
        <v>0</v>
      </c>
      <c r="C157" s="14">
        <f>SUMIFS(BASE_CAIXA!$Z$2:$Z$643,BASE_CAIXA!$C$2:$C$643,"Saída",BASE_CAIXA!$K$2:$K$643,A157,BASE_CAIXA!$L$2:$L$643,"")</f>
        <v>0</v>
      </c>
      <c r="D157" s="14">
        <f>SUMIFS(BASE_CAIXA!$AA$2:$AA$643,BASE_CAIXA!$C$2:$C$643,"Entrada",BASE_CAIXA!$L$2:$L$643,A157)</f>
        <v>0</v>
      </c>
      <c r="E157" s="14">
        <f>SUMIFS(BASE_CAIXA!$AA$2:$AA$643,BASE_CAIXA!$C$2:$C$643,"Saída",BASE_CAIXA!$L$2:$L$643,A157)</f>
        <v>0</v>
      </c>
      <c r="F157" s="14">
        <f t="shared" si="8"/>
        <v>0</v>
      </c>
      <c r="G157" s="14">
        <f t="shared" si="9"/>
        <v>-4504668.4140959997</v>
      </c>
    </row>
    <row r="158" spans="1:7" x14ac:dyDescent="0.3">
      <c r="A158" s="15">
        <v>46242</v>
      </c>
      <c r="B158" s="16">
        <f>SUMIFS(BASE_CAIXA!$Z$2:$Z$643,BASE_CAIXA!$C$2:$C$643,"Entrada",BASE_CAIXA!$K$2:$K$643,A158,BASE_CAIXA!$L$2:$L$643,"")</f>
        <v>0</v>
      </c>
      <c r="C158" s="16">
        <f>SUMIFS(BASE_CAIXA!$Z$2:$Z$643,BASE_CAIXA!$C$2:$C$643,"Saída",BASE_CAIXA!$K$2:$K$643,A158,BASE_CAIXA!$L$2:$L$643,"")</f>
        <v>0</v>
      </c>
      <c r="D158" s="16">
        <f>SUMIFS(BASE_CAIXA!$AA$2:$AA$643,BASE_CAIXA!$C$2:$C$643,"Entrada",BASE_CAIXA!$L$2:$L$643,A158)</f>
        <v>0</v>
      </c>
      <c r="E158" s="16">
        <f>SUMIFS(BASE_CAIXA!$AA$2:$AA$643,BASE_CAIXA!$C$2:$C$643,"Saída",BASE_CAIXA!$L$2:$L$643,A158)</f>
        <v>0</v>
      </c>
      <c r="F158" s="16">
        <f t="shared" si="8"/>
        <v>0</v>
      </c>
      <c r="G158" s="16">
        <f t="shared" si="9"/>
        <v>-4504668.4140959997</v>
      </c>
    </row>
    <row r="159" spans="1:7" x14ac:dyDescent="0.3">
      <c r="A159" s="15">
        <v>46243</v>
      </c>
      <c r="B159" s="16">
        <f>SUMIFS(BASE_CAIXA!$Z$2:$Z$643,BASE_CAIXA!$C$2:$C$643,"Entrada",BASE_CAIXA!$K$2:$K$643,A159,BASE_CAIXA!$L$2:$L$643,"")</f>
        <v>0</v>
      </c>
      <c r="C159" s="16">
        <f>SUMIFS(BASE_CAIXA!$Z$2:$Z$643,BASE_CAIXA!$C$2:$C$643,"Saída",BASE_CAIXA!$K$2:$K$643,A159,BASE_CAIXA!$L$2:$L$643,"")</f>
        <v>0</v>
      </c>
      <c r="D159" s="16">
        <f>SUMIFS(BASE_CAIXA!$AA$2:$AA$643,BASE_CAIXA!$C$2:$C$643,"Entrada",BASE_CAIXA!$L$2:$L$643,A159)</f>
        <v>0</v>
      </c>
      <c r="E159" s="16">
        <f>SUMIFS(BASE_CAIXA!$AA$2:$AA$643,BASE_CAIXA!$C$2:$C$643,"Saída",BASE_CAIXA!$L$2:$L$643,A159)</f>
        <v>0</v>
      </c>
      <c r="F159" s="16">
        <f t="shared" si="8"/>
        <v>0</v>
      </c>
      <c r="G159" s="16">
        <f t="shared" si="9"/>
        <v>-4504668.4140959997</v>
      </c>
    </row>
    <row r="160" spans="1:7" x14ac:dyDescent="0.3">
      <c r="A160" s="13">
        <v>46244</v>
      </c>
      <c r="B160" s="14">
        <f>SUMIFS(BASE_CAIXA!$Z$2:$Z$643,BASE_CAIXA!$C$2:$C$643,"Entrada",BASE_CAIXA!$K$2:$K$643,A160,BASE_CAIXA!$L$2:$L$643,"")</f>
        <v>0</v>
      </c>
      <c r="C160" s="14">
        <f>SUMIFS(BASE_CAIXA!$Z$2:$Z$643,BASE_CAIXA!$C$2:$C$643,"Saída",BASE_CAIXA!$K$2:$K$643,A160,BASE_CAIXA!$L$2:$L$643,"")</f>
        <v>0</v>
      </c>
      <c r="D160" s="14">
        <f>SUMIFS(BASE_CAIXA!$AA$2:$AA$643,BASE_CAIXA!$C$2:$C$643,"Entrada",BASE_CAIXA!$L$2:$L$643,A160)</f>
        <v>0</v>
      </c>
      <c r="E160" s="14">
        <f>SUMIFS(BASE_CAIXA!$AA$2:$AA$643,BASE_CAIXA!$C$2:$C$643,"Saída",BASE_CAIXA!$L$2:$L$643,A160)</f>
        <v>0</v>
      </c>
      <c r="F160" s="14">
        <f t="shared" si="8"/>
        <v>0</v>
      </c>
      <c r="G160" s="14">
        <f t="shared" si="9"/>
        <v>-4504668.4140959997</v>
      </c>
    </row>
    <row r="161" spans="1:7" x14ac:dyDescent="0.3">
      <c r="A161" s="13">
        <v>46245</v>
      </c>
      <c r="B161" s="14">
        <f>SUMIFS(BASE_CAIXA!$Z$2:$Z$643,BASE_CAIXA!$C$2:$C$643,"Entrada",BASE_CAIXA!$K$2:$K$643,A161,BASE_CAIXA!$L$2:$L$643,"")</f>
        <v>0</v>
      </c>
      <c r="C161" s="14">
        <f>SUMIFS(BASE_CAIXA!$Z$2:$Z$643,BASE_CAIXA!$C$2:$C$643,"Saída",BASE_CAIXA!$K$2:$K$643,A161,BASE_CAIXA!$L$2:$L$643,"")</f>
        <v>0</v>
      </c>
      <c r="D161" s="14">
        <f>SUMIFS(BASE_CAIXA!$AA$2:$AA$643,BASE_CAIXA!$C$2:$C$643,"Entrada",BASE_CAIXA!$L$2:$L$643,A161)</f>
        <v>0</v>
      </c>
      <c r="E161" s="14">
        <f>SUMIFS(BASE_CAIXA!$AA$2:$AA$643,BASE_CAIXA!$C$2:$C$643,"Saída",BASE_CAIXA!$L$2:$L$643,A161)</f>
        <v>0</v>
      </c>
      <c r="F161" s="14">
        <f t="shared" si="8"/>
        <v>0</v>
      </c>
      <c r="G161" s="14">
        <f t="shared" si="9"/>
        <v>-4504668.4140959997</v>
      </c>
    </row>
    <row r="162" spans="1:7" x14ac:dyDescent="0.3">
      <c r="A162" s="13">
        <v>46246</v>
      </c>
      <c r="B162" s="14">
        <f>SUMIFS(BASE_CAIXA!$Z$2:$Z$643,BASE_CAIXA!$C$2:$C$643,"Entrada",BASE_CAIXA!$K$2:$K$643,A162,BASE_CAIXA!$L$2:$L$643,"")</f>
        <v>0</v>
      </c>
      <c r="C162" s="14">
        <f>SUMIFS(BASE_CAIXA!$Z$2:$Z$643,BASE_CAIXA!$C$2:$C$643,"Saída",BASE_CAIXA!$K$2:$K$643,A162,BASE_CAIXA!$L$2:$L$643,"")</f>
        <v>0</v>
      </c>
      <c r="D162" s="14">
        <f>SUMIFS(BASE_CAIXA!$AA$2:$AA$643,BASE_CAIXA!$C$2:$C$643,"Entrada",BASE_CAIXA!$L$2:$L$643,A162)</f>
        <v>0</v>
      </c>
      <c r="E162" s="14">
        <f>SUMIFS(BASE_CAIXA!$AA$2:$AA$643,BASE_CAIXA!$C$2:$C$643,"Saída",BASE_CAIXA!$L$2:$L$643,A162)</f>
        <v>0</v>
      </c>
      <c r="F162" s="14">
        <f t="shared" si="8"/>
        <v>0</v>
      </c>
      <c r="G162" s="14">
        <f t="shared" si="9"/>
        <v>-4504668.4140959997</v>
      </c>
    </row>
    <row r="163" spans="1:7" x14ac:dyDescent="0.3">
      <c r="A163" s="13">
        <v>46247</v>
      </c>
      <c r="B163" s="14">
        <f>SUMIFS(BASE_CAIXA!$Z$2:$Z$643,BASE_CAIXA!$C$2:$C$643,"Entrada",BASE_CAIXA!$K$2:$K$643,A163,BASE_CAIXA!$L$2:$L$643,"")</f>
        <v>0</v>
      </c>
      <c r="C163" s="14">
        <f>SUMIFS(BASE_CAIXA!$Z$2:$Z$643,BASE_CAIXA!$C$2:$C$643,"Saída",BASE_CAIXA!$K$2:$K$643,A163,BASE_CAIXA!$L$2:$L$643,"")</f>
        <v>0</v>
      </c>
      <c r="D163" s="14">
        <f>SUMIFS(BASE_CAIXA!$AA$2:$AA$643,BASE_CAIXA!$C$2:$C$643,"Entrada",BASE_CAIXA!$L$2:$L$643,A163)</f>
        <v>0</v>
      </c>
      <c r="E163" s="14">
        <f>SUMIFS(BASE_CAIXA!$AA$2:$AA$643,BASE_CAIXA!$C$2:$C$643,"Saída",BASE_CAIXA!$L$2:$L$643,A163)</f>
        <v>0</v>
      </c>
      <c r="F163" s="14">
        <f t="shared" si="8"/>
        <v>0</v>
      </c>
      <c r="G163" s="14">
        <f t="shared" si="9"/>
        <v>-4504668.4140959997</v>
      </c>
    </row>
    <row r="164" spans="1:7" x14ac:dyDescent="0.3">
      <c r="A164" s="13">
        <v>46248</v>
      </c>
      <c r="B164" s="14">
        <f>SUMIFS(BASE_CAIXA!$Z$2:$Z$643,BASE_CAIXA!$C$2:$C$643,"Entrada",BASE_CAIXA!$K$2:$K$643,A164,BASE_CAIXA!$L$2:$L$643,"")</f>
        <v>0</v>
      </c>
      <c r="C164" s="14">
        <f>SUMIFS(BASE_CAIXA!$Z$2:$Z$643,BASE_CAIXA!$C$2:$C$643,"Saída",BASE_CAIXA!$K$2:$K$643,A164,BASE_CAIXA!$L$2:$L$643,"")</f>
        <v>0</v>
      </c>
      <c r="D164" s="14">
        <f>SUMIFS(BASE_CAIXA!$AA$2:$AA$643,BASE_CAIXA!$C$2:$C$643,"Entrada",BASE_CAIXA!$L$2:$L$643,A164)</f>
        <v>0</v>
      </c>
      <c r="E164" s="14">
        <f>SUMIFS(BASE_CAIXA!$AA$2:$AA$643,BASE_CAIXA!$C$2:$C$643,"Saída",BASE_CAIXA!$L$2:$L$643,A164)</f>
        <v>0</v>
      </c>
      <c r="F164" s="14">
        <f t="shared" si="8"/>
        <v>0</v>
      </c>
      <c r="G164" s="14">
        <f t="shared" si="9"/>
        <v>-4504668.4140959997</v>
      </c>
    </row>
    <row r="165" spans="1:7" x14ac:dyDescent="0.3">
      <c r="A165" s="15">
        <v>46249</v>
      </c>
      <c r="B165" s="16">
        <f>SUMIFS(BASE_CAIXA!$Z$2:$Z$643,BASE_CAIXA!$C$2:$C$643,"Entrada",BASE_CAIXA!$K$2:$K$643,A165,BASE_CAIXA!$L$2:$L$643,"")</f>
        <v>0</v>
      </c>
      <c r="C165" s="16">
        <f>SUMIFS(BASE_CAIXA!$Z$2:$Z$643,BASE_CAIXA!$C$2:$C$643,"Saída",BASE_CAIXA!$K$2:$K$643,A165,BASE_CAIXA!$L$2:$L$643,"")</f>
        <v>0</v>
      </c>
      <c r="D165" s="16">
        <f>SUMIFS(BASE_CAIXA!$AA$2:$AA$643,BASE_CAIXA!$C$2:$C$643,"Entrada",BASE_CAIXA!$L$2:$L$643,A165)</f>
        <v>0</v>
      </c>
      <c r="E165" s="16">
        <f>SUMIFS(BASE_CAIXA!$AA$2:$AA$643,BASE_CAIXA!$C$2:$C$643,"Saída",BASE_CAIXA!$L$2:$L$643,A165)</f>
        <v>0</v>
      </c>
      <c r="F165" s="16">
        <f t="shared" si="8"/>
        <v>0</v>
      </c>
      <c r="G165" s="16">
        <f t="shared" si="9"/>
        <v>-4504668.4140959997</v>
      </c>
    </row>
    <row r="166" spans="1:7" x14ac:dyDescent="0.3">
      <c r="A166" s="15">
        <v>46250</v>
      </c>
      <c r="B166" s="16">
        <f>SUMIFS(BASE_CAIXA!$Z$2:$Z$643,BASE_CAIXA!$C$2:$C$643,"Entrada",BASE_CAIXA!$K$2:$K$643,A166,BASE_CAIXA!$L$2:$L$643,"")</f>
        <v>0</v>
      </c>
      <c r="C166" s="16">
        <f>SUMIFS(BASE_CAIXA!$Z$2:$Z$643,BASE_CAIXA!$C$2:$C$643,"Saída",BASE_CAIXA!$K$2:$K$643,A166,BASE_CAIXA!$L$2:$L$643,"")</f>
        <v>0</v>
      </c>
      <c r="D166" s="16">
        <f>SUMIFS(BASE_CAIXA!$AA$2:$AA$643,BASE_CAIXA!$C$2:$C$643,"Entrada",BASE_CAIXA!$L$2:$L$643,A166)</f>
        <v>0</v>
      </c>
      <c r="E166" s="16">
        <f>SUMIFS(BASE_CAIXA!$AA$2:$AA$643,BASE_CAIXA!$C$2:$C$643,"Saída",BASE_CAIXA!$L$2:$L$643,A166)</f>
        <v>0</v>
      </c>
      <c r="F166" s="16">
        <f t="shared" ref="F166:F197" si="10">B166-C166+D166-E166</f>
        <v>0</v>
      </c>
      <c r="G166" s="16">
        <f t="shared" si="9"/>
        <v>-4504668.4140959997</v>
      </c>
    </row>
    <row r="167" spans="1:7" x14ac:dyDescent="0.3">
      <c r="A167" s="13">
        <v>46251</v>
      </c>
      <c r="B167" s="14">
        <f>SUMIFS(BASE_CAIXA!$Z$2:$Z$643,BASE_CAIXA!$C$2:$C$643,"Entrada",BASE_CAIXA!$K$2:$K$643,A167,BASE_CAIXA!$L$2:$L$643,"")</f>
        <v>0</v>
      </c>
      <c r="C167" s="14">
        <f>SUMIFS(BASE_CAIXA!$Z$2:$Z$643,BASE_CAIXA!$C$2:$C$643,"Saída",BASE_CAIXA!$K$2:$K$643,A167,BASE_CAIXA!$L$2:$L$643,"")</f>
        <v>0</v>
      </c>
      <c r="D167" s="14">
        <f>SUMIFS(BASE_CAIXA!$AA$2:$AA$643,BASE_CAIXA!$C$2:$C$643,"Entrada",BASE_CAIXA!$L$2:$L$643,A167)</f>
        <v>0</v>
      </c>
      <c r="E167" s="14">
        <f>SUMIFS(BASE_CAIXA!$AA$2:$AA$643,BASE_CAIXA!$C$2:$C$643,"Saída",BASE_CAIXA!$L$2:$L$643,A167)</f>
        <v>0</v>
      </c>
      <c r="F167" s="14">
        <f t="shared" si="10"/>
        <v>0</v>
      </c>
      <c r="G167" s="14">
        <f t="shared" ref="G167:G198" si="11">G166+F167</f>
        <v>-4504668.4140959997</v>
      </c>
    </row>
    <row r="168" spans="1:7" x14ac:dyDescent="0.3">
      <c r="A168" s="13">
        <v>46252</v>
      </c>
      <c r="B168" s="14">
        <f>SUMIFS(BASE_CAIXA!$Z$2:$Z$643,BASE_CAIXA!$C$2:$C$643,"Entrada",BASE_CAIXA!$K$2:$K$643,A168,BASE_CAIXA!$L$2:$L$643,"")</f>
        <v>0</v>
      </c>
      <c r="C168" s="14">
        <f>SUMIFS(BASE_CAIXA!$Z$2:$Z$643,BASE_CAIXA!$C$2:$C$643,"Saída",BASE_CAIXA!$K$2:$K$643,A168,BASE_CAIXA!$L$2:$L$643,"")</f>
        <v>0</v>
      </c>
      <c r="D168" s="14">
        <f>SUMIFS(BASE_CAIXA!$AA$2:$AA$643,BASE_CAIXA!$C$2:$C$643,"Entrada",BASE_CAIXA!$L$2:$L$643,A168)</f>
        <v>0</v>
      </c>
      <c r="E168" s="14">
        <f>SUMIFS(BASE_CAIXA!$AA$2:$AA$643,BASE_CAIXA!$C$2:$C$643,"Saída",BASE_CAIXA!$L$2:$L$643,A168)</f>
        <v>0</v>
      </c>
      <c r="F168" s="14">
        <f t="shared" si="10"/>
        <v>0</v>
      </c>
      <c r="G168" s="14">
        <f t="shared" si="11"/>
        <v>-4504668.4140959997</v>
      </c>
    </row>
    <row r="169" spans="1:7" x14ac:dyDescent="0.3">
      <c r="A169" s="13">
        <v>46253</v>
      </c>
      <c r="B169" s="14">
        <f>SUMIFS(BASE_CAIXA!$Z$2:$Z$643,BASE_CAIXA!$C$2:$C$643,"Entrada",BASE_CAIXA!$K$2:$K$643,A169,BASE_CAIXA!$L$2:$L$643,"")</f>
        <v>0</v>
      </c>
      <c r="C169" s="14">
        <f>SUMIFS(BASE_CAIXA!$Z$2:$Z$643,BASE_CAIXA!$C$2:$C$643,"Saída",BASE_CAIXA!$K$2:$K$643,A169,BASE_CAIXA!$L$2:$L$643,"")</f>
        <v>0</v>
      </c>
      <c r="D169" s="14">
        <f>SUMIFS(BASE_CAIXA!$AA$2:$AA$643,BASE_CAIXA!$C$2:$C$643,"Entrada",BASE_CAIXA!$L$2:$L$643,A169)</f>
        <v>0</v>
      </c>
      <c r="E169" s="14">
        <f>SUMIFS(BASE_CAIXA!$AA$2:$AA$643,BASE_CAIXA!$C$2:$C$643,"Saída",BASE_CAIXA!$L$2:$L$643,A169)</f>
        <v>0</v>
      </c>
      <c r="F169" s="14">
        <f t="shared" si="10"/>
        <v>0</v>
      </c>
      <c r="G169" s="14">
        <f t="shared" si="11"/>
        <v>-4504668.4140959997</v>
      </c>
    </row>
    <row r="170" spans="1:7" x14ac:dyDescent="0.3">
      <c r="A170" s="13">
        <v>46254</v>
      </c>
      <c r="B170" s="14">
        <f>SUMIFS(BASE_CAIXA!$Z$2:$Z$643,BASE_CAIXA!$C$2:$C$643,"Entrada",BASE_CAIXA!$K$2:$K$643,A170,BASE_CAIXA!$L$2:$L$643,"")</f>
        <v>0</v>
      </c>
      <c r="C170" s="14">
        <f>SUMIFS(BASE_CAIXA!$Z$2:$Z$643,BASE_CAIXA!$C$2:$C$643,"Saída",BASE_CAIXA!$K$2:$K$643,A170,BASE_CAIXA!$L$2:$L$643,"")</f>
        <v>0</v>
      </c>
      <c r="D170" s="14">
        <f>SUMIFS(BASE_CAIXA!$AA$2:$AA$643,BASE_CAIXA!$C$2:$C$643,"Entrada",BASE_CAIXA!$L$2:$L$643,A170)</f>
        <v>0</v>
      </c>
      <c r="E170" s="14">
        <f>SUMIFS(BASE_CAIXA!$AA$2:$AA$643,BASE_CAIXA!$C$2:$C$643,"Saída",BASE_CAIXA!$L$2:$L$643,A170)</f>
        <v>0</v>
      </c>
      <c r="F170" s="14">
        <f t="shared" si="10"/>
        <v>0</v>
      </c>
      <c r="G170" s="14">
        <f t="shared" si="11"/>
        <v>-4504668.4140959997</v>
      </c>
    </row>
    <row r="171" spans="1:7" x14ac:dyDescent="0.3">
      <c r="A171" s="13">
        <v>46255</v>
      </c>
      <c r="B171" s="14">
        <f>SUMIFS(BASE_CAIXA!$Z$2:$Z$643,BASE_CAIXA!$C$2:$C$643,"Entrada",BASE_CAIXA!$K$2:$K$643,A171,BASE_CAIXA!$L$2:$L$643,"")</f>
        <v>0</v>
      </c>
      <c r="C171" s="14">
        <f>SUMIFS(BASE_CAIXA!$Z$2:$Z$643,BASE_CAIXA!$C$2:$C$643,"Saída",BASE_CAIXA!$K$2:$K$643,A171,BASE_CAIXA!$L$2:$L$643,"")</f>
        <v>0</v>
      </c>
      <c r="D171" s="14">
        <f>SUMIFS(BASE_CAIXA!$AA$2:$AA$643,BASE_CAIXA!$C$2:$C$643,"Entrada",BASE_CAIXA!$L$2:$L$643,A171)</f>
        <v>0</v>
      </c>
      <c r="E171" s="14">
        <f>SUMIFS(BASE_CAIXA!$AA$2:$AA$643,BASE_CAIXA!$C$2:$C$643,"Saída",BASE_CAIXA!$L$2:$L$643,A171)</f>
        <v>0</v>
      </c>
      <c r="F171" s="14">
        <f t="shared" si="10"/>
        <v>0</v>
      </c>
      <c r="G171" s="14">
        <f t="shared" si="11"/>
        <v>-4504668.4140959997</v>
      </c>
    </row>
    <row r="172" spans="1:7" x14ac:dyDescent="0.3">
      <c r="A172" s="15">
        <v>46256</v>
      </c>
      <c r="B172" s="16">
        <f>SUMIFS(BASE_CAIXA!$Z$2:$Z$643,BASE_CAIXA!$C$2:$C$643,"Entrada",BASE_CAIXA!$K$2:$K$643,A172,BASE_CAIXA!$L$2:$L$643,"")</f>
        <v>0</v>
      </c>
      <c r="C172" s="16">
        <f>SUMIFS(BASE_CAIXA!$Z$2:$Z$643,BASE_CAIXA!$C$2:$C$643,"Saída",BASE_CAIXA!$K$2:$K$643,A172,BASE_CAIXA!$L$2:$L$643,"")</f>
        <v>0</v>
      </c>
      <c r="D172" s="16">
        <f>SUMIFS(BASE_CAIXA!$AA$2:$AA$643,BASE_CAIXA!$C$2:$C$643,"Entrada",BASE_CAIXA!$L$2:$L$643,A172)</f>
        <v>0</v>
      </c>
      <c r="E172" s="16">
        <f>SUMIFS(BASE_CAIXA!$AA$2:$AA$643,BASE_CAIXA!$C$2:$C$643,"Saída",BASE_CAIXA!$L$2:$L$643,A172)</f>
        <v>0</v>
      </c>
      <c r="F172" s="16">
        <f t="shared" si="10"/>
        <v>0</v>
      </c>
      <c r="G172" s="16">
        <f t="shared" si="11"/>
        <v>-4504668.4140959997</v>
      </c>
    </row>
    <row r="173" spans="1:7" x14ac:dyDescent="0.3">
      <c r="A173" s="15">
        <v>46257</v>
      </c>
      <c r="B173" s="16">
        <f>SUMIFS(BASE_CAIXA!$Z$2:$Z$643,BASE_CAIXA!$C$2:$C$643,"Entrada",BASE_CAIXA!$K$2:$K$643,A173,BASE_CAIXA!$L$2:$L$643,"")</f>
        <v>0</v>
      </c>
      <c r="C173" s="16">
        <f>SUMIFS(BASE_CAIXA!$Z$2:$Z$643,BASE_CAIXA!$C$2:$C$643,"Saída",BASE_CAIXA!$K$2:$K$643,A173,BASE_CAIXA!$L$2:$L$643,"")</f>
        <v>0</v>
      </c>
      <c r="D173" s="16">
        <f>SUMIFS(BASE_CAIXA!$AA$2:$AA$643,BASE_CAIXA!$C$2:$C$643,"Entrada",BASE_CAIXA!$L$2:$L$643,A173)</f>
        <v>0</v>
      </c>
      <c r="E173" s="16">
        <f>SUMIFS(BASE_CAIXA!$AA$2:$AA$643,BASE_CAIXA!$C$2:$C$643,"Saída",BASE_CAIXA!$L$2:$L$643,A173)</f>
        <v>0</v>
      </c>
      <c r="F173" s="16">
        <f t="shared" si="10"/>
        <v>0</v>
      </c>
      <c r="G173" s="16">
        <f t="shared" si="11"/>
        <v>-4504668.4140959997</v>
      </c>
    </row>
    <row r="174" spans="1:7" x14ac:dyDescent="0.3">
      <c r="A174" s="13">
        <v>46258</v>
      </c>
      <c r="B174" s="14">
        <f>SUMIFS(BASE_CAIXA!$Z$2:$Z$643,BASE_CAIXA!$C$2:$C$643,"Entrada",BASE_CAIXA!$K$2:$K$643,A174,BASE_CAIXA!$L$2:$L$643,"")</f>
        <v>0</v>
      </c>
      <c r="C174" s="14">
        <f>SUMIFS(BASE_CAIXA!$Z$2:$Z$643,BASE_CAIXA!$C$2:$C$643,"Saída",BASE_CAIXA!$K$2:$K$643,A174,BASE_CAIXA!$L$2:$L$643,"")</f>
        <v>0</v>
      </c>
      <c r="D174" s="14">
        <f>SUMIFS(BASE_CAIXA!$AA$2:$AA$643,BASE_CAIXA!$C$2:$C$643,"Entrada",BASE_CAIXA!$L$2:$L$643,A174)</f>
        <v>0</v>
      </c>
      <c r="E174" s="14">
        <f>SUMIFS(BASE_CAIXA!$AA$2:$AA$643,BASE_CAIXA!$C$2:$C$643,"Saída",BASE_CAIXA!$L$2:$L$643,A174)</f>
        <v>0</v>
      </c>
      <c r="F174" s="14">
        <f t="shared" si="10"/>
        <v>0</v>
      </c>
      <c r="G174" s="14">
        <f t="shared" si="11"/>
        <v>-4504668.4140959997</v>
      </c>
    </row>
    <row r="175" spans="1:7" x14ac:dyDescent="0.3">
      <c r="A175" s="13">
        <v>46259</v>
      </c>
      <c r="B175" s="14">
        <f>SUMIFS(BASE_CAIXA!$Z$2:$Z$643,BASE_CAIXA!$C$2:$C$643,"Entrada",BASE_CAIXA!$K$2:$K$643,A175,BASE_CAIXA!$L$2:$L$643,"")</f>
        <v>0</v>
      </c>
      <c r="C175" s="14">
        <f>SUMIFS(BASE_CAIXA!$Z$2:$Z$643,BASE_CAIXA!$C$2:$C$643,"Saída",BASE_CAIXA!$K$2:$K$643,A175,BASE_CAIXA!$L$2:$L$643,"")</f>
        <v>0</v>
      </c>
      <c r="D175" s="14">
        <f>SUMIFS(BASE_CAIXA!$AA$2:$AA$643,BASE_CAIXA!$C$2:$C$643,"Entrada",BASE_CAIXA!$L$2:$L$643,A175)</f>
        <v>0</v>
      </c>
      <c r="E175" s="14">
        <f>SUMIFS(BASE_CAIXA!$AA$2:$AA$643,BASE_CAIXA!$C$2:$C$643,"Saída",BASE_CAIXA!$L$2:$L$643,A175)</f>
        <v>0</v>
      </c>
      <c r="F175" s="14">
        <f t="shared" si="10"/>
        <v>0</v>
      </c>
      <c r="G175" s="14">
        <f t="shared" si="11"/>
        <v>-4504668.4140959997</v>
      </c>
    </row>
    <row r="176" spans="1:7" x14ac:dyDescent="0.3">
      <c r="A176" s="13">
        <v>46260</v>
      </c>
      <c r="B176" s="14">
        <f>SUMIFS(BASE_CAIXA!$Z$2:$Z$643,BASE_CAIXA!$C$2:$C$643,"Entrada",BASE_CAIXA!$K$2:$K$643,A176,BASE_CAIXA!$L$2:$L$643,"")</f>
        <v>0</v>
      </c>
      <c r="C176" s="14">
        <f>SUMIFS(BASE_CAIXA!$Z$2:$Z$643,BASE_CAIXA!$C$2:$C$643,"Saída",BASE_CAIXA!$K$2:$K$643,A176,BASE_CAIXA!$L$2:$L$643,"")</f>
        <v>0</v>
      </c>
      <c r="D176" s="14">
        <f>SUMIFS(BASE_CAIXA!$AA$2:$AA$643,BASE_CAIXA!$C$2:$C$643,"Entrada",BASE_CAIXA!$L$2:$L$643,A176)</f>
        <v>0</v>
      </c>
      <c r="E176" s="14">
        <f>SUMIFS(BASE_CAIXA!$AA$2:$AA$643,BASE_CAIXA!$C$2:$C$643,"Saída",BASE_CAIXA!$L$2:$L$643,A176)</f>
        <v>0</v>
      </c>
      <c r="F176" s="14">
        <f t="shared" si="10"/>
        <v>0</v>
      </c>
      <c r="G176" s="14">
        <f t="shared" si="11"/>
        <v>-4504668.4140959997</v>
      </c>
    </row>
    <row r="177" spans="1:7" x14ac:dyDescent="0.3">
      <c r="A177" s="13">
        <v>46261</v>
      </c>
      <c r="B177" s="14">
        <f>SUMIFS(BASE_CAIXA!$Z$2:$Z$643,BASE_CAIXA!$C$2:$C$643,"Entrada",BASE_CAIXA!$K$2:$K$643,A177,BASE_CAIXA!$L$2:$L$643,"")</f>
        <v>0</v>
      </c>
      <c r="C177" s="14">
        <f>SUMIFS(BASE_CAIXA!$Z$2:$Z$643,BASE_CAIXA!$C$2:$C$643,"Saída",BASE_CAIXA!$K$2:$K$643,A177,BASE_CAIXA!$L$2:$L$643,"")</f>
        <v>0</v>
      </c>
      <c r="D177" s="14">
        <f>SUMIFS(BASE_CAIXA!$AA$2:$AA$643,BASE_CAIXA!$C$2:$C$643,"Entrada",BASE_CAIXA!$L$2:$L$643,A177)</f>
        <v>0</v>
      </c>
      <c r="E177" s="14">
        <f>SUMIFS(BASE_CAIXA!$AA$2:$AA$643,BASE_CAIXA!$C$2:$C$643,"Saída",BASE_CAIXA!$L$2:$L$643,A177)</f>
        <v>0</v>
      </c>
      <c r="F177" s="14">
        <f t="shared" si="10"/>
        <v>0</v>
      </c>
      <c r="G177" s="14">
        <f t="shared" si="11"/>
        <v>-4504668.4140959997</v>
      </c>
    </row>
    <row r="178" spans="1:7" x14ac:dyDescent="0.3">
      <c r="A178" s="13">
        <v>46262</v>
      </c>
      <c r="B178" s="14">
        <f>SUMIFS(BASE_CAIXA!$Z$2:$Z$643,BASE_CAIXA!$C$2:$C$643,"Entrada",BASE_CAIXA!$K$2:$K$643,A178,BASE_CAIXA!$L$2:$L$643,"")</f>
        <v>0</v>
      </c>
      <c r="C178" s="14">
        <f>SUMIFS(BASE_CAIXA!$Z$2:$Z$643,BASE_CAIXA!$C$2:$C$643,"Saída",BASE_CAIXA!$K$2:$K$643,A178,BASE_CAIXA!$L$2:$L$643,"")</f>
        <v>0</v>
      </c>
      <c r="D178" s="14">
        <f>SUMIFS(BASE_CAIXA!$AA$2:$AA$643,BASE_CAIXA!$C$2:$C$643,"Entrada",BASE_CAIXA!$L$2:$L$643,A178)</f>
        <v>0</v>
      </c>
      <c r="E178" s="14">
        <f>SUMIFS(BASE_CAIXA!$AA$2:$AA$643,BASE_CAIXA!$C$2:$C$643,"Saída",BASE_CAIXA!$L$2:$L$643,A178)</f>
        <v>0</v>
      </c>
      <c r="F178" s="14">
        <f t="shared" si="10"/>
        <v>0</v>
      </c>
      <c r="G178" s="14">
        <f t="shared" si="11"/>
        <v>-4504668.4140959997</v>
      </c>
    </row>
    <row r="179" spans="1:7" x14ac:dyDescent="0.3">
      <c r="A179" s="15">
        <v>46263</v>
      </c>
      <c r="B179" s="16">
        <f>SUMIFS(BASE_CAIXA!$Z$2:$Z$643,BASE_CAIXA!$C$2:$C$643,"Entrada",BASE_CAIXA!$K$2:$K$643,A179,BASE_CAIXA!$L$2:$L$643,"")</f>
        <v>0</v>
      </c>
      <c r="C179" s="16">
        <f>SUMIFS(BASE_CAIXA!$Z$2:$Z$643,BASE_CAIXA!$C$2:$C$643,"Saída",BASE_CAIXA!$K$2:$K$643,A179,BASE_CAIXA!$L$2:$L$643,"")</f>
        <v>0</v>
      </c>
      <c r="D179" s="16">
        <f>SUMIFS(BASE_CAIXA!$AA$2:$AA$643,BASE_CAIXA!$C$2:$C$643,"Entrada",BASE_CAIXA!$L$2:$L$643,A179)</f>
        <v>0</v>
      </c>
      <c r="E179" s="16">
        <f>SUMIFS(BASE_CAIXA!$AA$2:$AA$643,BASE_CAIXA!$C$2:$C$643,"Saída",BASE_CAIXA!$L$2:$L$643,A179)</f>
        <v>0</v>
      </c>
      <c r="F179" s="16">
        <f t="shared" si="10"/>
        <v>0</v>
      </c>
      <c r="G179" s="16">
        <f t="shared" si="11"/>
        <v>-4504668.4140959997</v>
      </c>
    </row>
    <row r="180" spans="1:7" x14ac:dyDescent="0.3">
      <c r="A180" s="15">
        <v>46264</v>
      </c>
      <c r="B180" s="16">
        <f>SUMIFS(BASE_CAIXA!$Z$2:$Z$643,BASE_CAIXA!$C$2:$C$643,"Entrada",BASE_CAIXA!$K$2:$K$643,A180,BASE_CAIXA!$L$2:$L$643,"")</f>
        <v>0</v>
      </c>
      <c r="C180" s="16">
        <f>SUMIFS(BASE_CAIXA!$Z$2:$Z$643,BASE_CAIXA!$C$2:$C$643,"Saída",BASE_CAIXA!$K$2:$K$643,A180,BASE_CAIXA!$L$2:$L$643,"")</f>
        <v>0</v>
      </c>
      <c r="D180" s="16">
        <f>SUMIFS(BASE_CAIXA!$AA$2:$AA$643,BASE_CAIXA!$C$2:$C$643,"Entrada",BASE_CAIXA!$L$2:$L$643,A180)</f>
        <v>0</v>
      </c>
      <c r="E180" s="16">
        <f>SUMIFS(BASE_CAIXA!$AA$2:$AA$643,BASE_CAIXA!$C$2:$C$643,"Saída",BASE_CAIXA!$L$2:$L$643,A180)</f>
        <v>0</v>
      </c>
      <c r="F180" s="16">
        <f t="shared" si="10"/>
        <v>0</v>
      </c>
      <c r="G180" s="16">
        <f t="shared" si="11"/>
        <v>-4504668.4140959997</v>
      </c>
    </row>
    <row r="181" spans="1:7" x14ac:dyDescent="0.3">
      <c r="A181" s="13">
        <v>46265</v>
      </c>
      <c r="B181" s="14">
        <f>SUMIFS(BASE_CAIXA!$Z$2:$Z$643,BASE_CAIXA!$C$2:$C$643,"Entrada",BASE_CAIXA!$K$2:$K$643,A181,BASE_CAIXA!$L$2:$L$643,"")</f>
        <v>0</v>
      </c>
      <c r="C181" s="14">
        <f>SUMIFS(BASE_CAIXA!$Z$2:$Z$643,BASE_CAIXA!$C$2:$C$643,"Saída",BASE_CAIXA!$K$2:$K$643,A181,BASE_CAIXA!$L$2:$L$643,"")</f>
        <v>0</v>
      </c>
      <c r="D181" s="14">
        <f>SUMIFS(BASE_CAIXA!$AA$2:$AA$643,BASE_CAIXA!$C$2:$C$643,"Entrada",BASE_CAIXA!$L$2:$L$643,A181)</f>
        <v>0</v>
      </c>
      <c r="E181" s="14">
        <f>SUMIFS(BASE_CAIXA!$AA$2:$AA$643,BASE_CAIXA!$C$2:$C$643,"Saída",BASE_CAIXA!$L$2:$L$643,A181)</f>
        <v>0</v>
      </c>
      <c r="F181" s="14">
        <f t="shared" si="10"/>
        <v>0</v>
      </c>
      <c r="G181" s="14">
        <f t="shared" si="11"/>
        <v>-4504668.4140959997</v>
      </c>
    </row>
    <row r="182" spans="1:7" x14ac:dyDescent="0.3">
      <c r="A182" s="13">
        <v>46266</v>
      </c>
      <c r="B182" s="14">
        <f>SUMIFS(BASE_CAIXA!$Z$2:$Z$643,BASE_CAIXA!$C$2:$C$643,"Entrada",BASE_CAIXA!$K$2:$K$643,A182,BASE_CAIXA!$L$2:$L$643,"")</f>
        <v>0</v>
      </c>
      <c r="C182" s="14">
        <f>SUMIFS(BASE_CAIXA!$Z$2:$Z$643,BASE_CAIXA!$C$2:$C$643,"Saída",BASE_CAIXA!$K$2:$K$643,A182,BASE_CAIXA!$L$2:$L$643,"")</f>
        <v>0</v>
      </c>
      <c r="D182" s="14">
        <f>SUMIFS(BASE_CAIXA!$AA$2:$AA$643,BASE_CAIXA!$C$2:$C$643,"Entrada",BASE_CAIXA!$L$2:$L$643,A182)</f>
        <v>0</v>
      </c>
      <c r="E182" s="14">
        <f>SUMIFS(BASE_CAIXA!$AA$2:$AA$643,BASE_CAIXA!$C$2:$C$643,"Saída",BASE_CAIXA!$L$2:$L$643,A182)</f>
        <v>0</v>
      </c>
      <c r="F182" s="14">
        <f t="shared" si="10"/>
        <v>0</v>
      </c>
      <c r="G182" s="14">
        <f t="shared" si="11"/>
        <v>-4504668.4140959997</v>
      </c>
    </row>
    <row r="183" spans="1:7" x14ac:dyDescent="0.3">
      <c r="A183" s="13">
        <v>46267</v>
      </c>
      <c r="B183" s="14">
        <f>SUMIFS(BASE_CAIXA!$Z$2:$Z$643,BASE_CAIXA!$C$2:$C$643,"Entrada",BASE_CAIXA!$K$2:$K$643,A183,BASE_CAIXA!$L$2:$L$643,"")</f>
        <v>0</v>
      </c>
      <c r="C183" s="14">
        <f>SUMIFS(BASE_CAIXA!$Z$2:$Z$643,BASE_CAIXA!$C$2:$C$643,"Saída",BASE_CAIXA!$K$2:$K$643,A183,BASE_CAIXA!$L$2:$L$643,"")</f>
        <v>0</v>
      </c>
      <c r="D183" s="14">
        <f>SUMIFS(BASE_CAIXA!$AA$2:$AA$643,BASE_CAIXA!$C$2:$C$643,"Entrada",BASE_CAIXA!$L$2:$L$643,A183)</f>
        <v>0</v>
      </c>
      <c r="E183" s="14">
        <f>SUMIFS(BASE_CAIXA!$AA$2:$AA$643,BASE_CAIXA!$C$2:$C$643,"Saída",BASE_CAIXA!$L$2:$L$643,A183)</f>
        <v>0</v>
      </c>
      <c r="F183" s="14">
        <f t="shared" si="10"/>
        <v>0</v>
      </c>
      <c r="G183" s="14">
        <f t="shared" si="11"/>
        <v>-4504668.4140959997</v>
      </c>
    </row>
    <row r="184" spans="1:7" x14ac:dyDescent="0.3">
      <c r="A184" s="13">
        <v>46268</v>
      </c>
      <c r="B184" s="14">
        <f>SUMIFS(BASE_CAIXA!$Z$2:$Z$643,BASE_CAIXA!$C$2:$C$643,"Entrada",BASE_CAIXA!$K$2:$K$643,A184,BASE_CAIXA!$L$2:$L$643,"")</f>
        <v>0</v>
      </c>
      <c r="C184" s="14">
        <f>SUMIFS(BASE_CAIXA!$Z$2:$Z$643,BASE_CAIXA!$C$2:$C$643,"Saída",BASE_CAIXA!$K$2:$K$643,A184,BASE_CAIXA!$L$2:$L$643,"")</f>
        <v>0</v>
      </c>
      <c r="D184" s="14">
        <f>SUMIFS(BASE_CAIXA!$AA$2:$AA$643,BASE_CAIXA!$C$2:$C$643,"Entrada",BASE_CAIXA!$L$2:$L$643,A184)</f>
        <v>0</v>
      </c>
      <c r="E184" s="14">
        <f>SUMIFS(BASE_CAIXA!$AA$2:$AA$643,BASE_CAIXA!$C$2:$C$643,"Saída",BASE_CAIXA!$L$2:$L$643,A184)</f>
        <v>0</v>
      </c>
      <c r="F184" s="14">
        <f t="shared" si="10"/>
        <v>0</v>
      </c>
      <c r="G184" s="14">
        <f t="shared" si="11"/>
        <v>-4504668.4140959997</v>
      </c>
    </row>
    <row r="185" spans="1:7" x14ac:dyDescent="0.3">
      <c r="A185" s="13">
        <v>46269</v>
      </c>
      <c r="B185" s="14">
        <f>SUMIFS(BASE_CAIXA!$Z$2:$Z$643,BASE_CAIXA!$C$2:$C$643,"Entrada",BASE_CAIXA!$K$2:$K$643,A185,BASE_CAIXA!$L$2:$L$643,"")</f>
        <v>0</v>
      </c>
      <c r="C185" s="14">
        <f>SUMIFS(BASE_CAIXA!$Z$2:$Z$643,BASE_CAIXA!$C$2:$C$643,"Saída",BASE_CAIXA!$K$2:$K$643,A185,BASE_CAIXA!$L$2:$L$643,"")</f>
        <v>0</v>
      </c>
      <c r="D185" s="14">
        <f>SUMIFS(BASE_CAIXA!$AA$2:$AA$643,BASE_CAIXA!$C$2:$C$643,"Entrada",BASE_CAIXA!$L$2:$L$643,A185)</f>
        <v>0</v>
      </c>
      <c r="E185" s="14">
        <f>SUMIFS(BASE_CAIXA!$AA$2:$AA$643,BASE_CAIXA!$C$2:$C$643,"Saída",BASE_CAIXA!$L$2:$L$643,A185)</f>
        <v>0</v>
      </c>
      <c r="F185" s="14">
        <f t="shared" si="10"/>
        <v>0</v>
      </c>
      <c r="G185" s="14">
        <f t="shared" si="11"/>
        <v>-4504668.4140959997</v>
      </c>
    </row>
    <row r="186" spans="1:7" x14ac:dyDescent="0.3">
      <c r="A186" s="15">
        <v>46270</v>
      </c>
      <c r="B186" s="16">
        <f>SUMIFS(BASE_CAIXA!$Z$2:$Z$643,BASE_CAIXA!$C$2:$C$643,"Entrada",BASE_CAIXA!$K$2:$K$643,A186,BASE_CAIXA!$L$2:$L$643,"")</f>
        <v>0</v>
      </c>
      <c r="C186" s="16">
        <f>SUMIFS(BASE_CAIXA!$Z$2:$Z$643,BASE_CAIXA!$C$2:$C$643,"Saída",BASE_CAIXA!$K$2:$K$643,A186,BASE_CAIXA!$L$2:$L$643,"")</f>
        <v>0</v>
      </c>
      <c r="D186" s="16">
        <f>SUMIFS(BASE_CAIXA!$AA$2:$AA$643,BASE_CAIXA!$C$2:$C$643,"Entrada",BASE_CAIXA!$L$2:$L$643,A186)</f>
        <v>0</v>
      </c>
      <c r="E186" s="16">
        <f>SUMIFS(BASE_CAIXA!$AA$2:$AA$643,BASE_CAIXA!$C$2:$C$643,"Saída",BASE_CAIXA!$L$2:$L$643,A186)</f>
        <v>0</v>
      </c>
      <c r="F186" s="16">
        <f t="shared" si="10"/>
        <v>0</v>
      </c>
      <c r="G186" s="16">
        <f t="shared" si="11"/>
        <v>-4504668.4140959997</v>
      </c>
    </row>
    <row r="187" spans="1:7" x14ac:dyDescent="0.3">
      <c r="A187" s="15">
        <v>46271</v>
      </c>
      <c r="B187" s="16">
        <f>SUMIFS(BASE_CAIXA!$Z$2:$Z$643,BASE_CAIXA!$C$2:$C$643,"Entrada",BASE_CAIXA!$K$2:$K$643,A187,BASE_CAIXA!$L$2:$L$643,"")</f>
        <v>0</v>
      </c>
      <c r="C187" s="16">
        <f>SUMIFS(BASE_CAIXA!$Z$2:$Z$643,BASE_CAIXA!$C$2:$C$643,"Saída",BASE_CAIXA!$K$2:$K$643,A187,BASE_CAIXA!$L$2:$L$643,"")</f>
        <v>0</v>
      </c>
      <c r="D187" s="16">
        <f>SUMIFS(BASE_CAIXA!$AA$2:$AA$643,BASE_CAIXA!$C$2:$C$643,"Entrada",BASE_CAIXA!$L$2:$L$643,A187)</f>
        <v>0</v>
      </c>
      <c r="E187" s="16">
        <f>SUMIFS(BASE_CAIXA!$AA$2:$AA$643,BASE_CAIXA!$C$2:$C$643,"Saída",BASE_CAIXA!$L$2:$L$643,A187)</f>
        <v>0</v>
      </c>
      <c r="F187" s="16">
        <f t="shared" si="10"/>
        <v>0</v>
      </c>
      <c r="G187" s="16">
        <f t="shared" si="11"/>
        <v>-4504668.4140959997</v>
      </c>
    </row>
    <row r="188" spans="1:7" x14ac:dyDescent="0.3">
      <c r="A188" s="13">
        <v>46272</v>
      </c>
      <c r="B188" s="14">
        <f>SUMIFS(BASE_CAIXA!$Z$2:$Z$643,BASE_CAIXA!$C$2:$C$643,"Entrada",BASE_CAIXA!$K$2:$K$643,A188,BASE_CAIXA!$L$2:$L$643,"")</f>
        <v>0</v>
      </c>
      <c r="C188" s="14">
        <f>SUMIFS(BASE_CAIXA!$Z$2:$Z$643,BASE_CAIXA!$C$2:$C$643,"Saída",BASE_CAIXA!$K$2:$K$643,A188,BASE_CAIXA!$L$2:$L$643,"")</f>
        <v>0</v>
      </c>
      <c r="D188" s="14">
        <f>SUMIFS(BASE_CAIXA!$AA$2:$AA$643,BASE_CAIXA!$C$2:$C$643,"Entrada",BASE_CAIXA!$L$2:$L$643,A188)</f>
        <v>0</v>
      </c>
      <c r="E188" s="14">
        <f>SUMIFS(BASE_CAIXA!$AA$2:$AA$643,BASE_CAIXA!$C$2:$C$643,"Saída",BASE_CAIXA!$L$2:$L$643,A188)</f>
        <v>0</v>
      </c>
      <c r="F188" s="14">
        <f t="shared" si="10"/>
        <v>0</v>
      </c>
      <c r="G188" s="14">
        <f t="shared" si="11"/>
        <v>-4504668.4140959997</v>
      </c>
    </row>
    <row r="189" spans="1:7" x14ac:dyDescent="0.3">
      <c r="A189" s="13">
        <v>46273</v>
      </c>
      <c r="B189" s="14">
        <f>SUMIFS(BASE_CAIXA!$Z$2:$Z$643,BASE_CAIXA!$C$2:$C$643,"Entrada",BASE_CAIXA!$K$2:$K$643,A189,BASE_CAIXA!$L$2:$L$643,"")</f>
        <v>0</v>
      </c>
      <c r="C189" s="14">
        <f>SUMIFS(BASE_CAIXA!$Z$2:$Z$643,BASE_CAIXA!$C$2:$C$643,"Saída",BASE_CAIXA!$K$2:$K$643,A189,BASE_CAIXA!$L$2:$L$643,"")</f>
        <v>0</v>
      </c>
      <c r="D189" s="14">
        <f>SUMIFS(BASE_CAIXA!$AA$2:$AA$643,BASE_CAIXA!$C$2:$C$643,"Entrada",BASE_CAIXA!$L$2:$L$643,A189)</f>
        <v>0</v>
      </c>
      <c r="E189" s="14">
        <f>SUMIFS(BASE_CAIXA!$AA$2:$AA$643,BASE_CAIXA!$C$2:$C$643,"Saída",BASE_CAIXA!$L$2:$L$643,A189)</f>
        <v>0</v>
      </c>
      <c r="F189" s="14">
        <f t="shared" si="10"/>
        <v>0</v>
      </c>
      <c r="G189" s="14">
        <f t="shared" si="11"/>
        <v>-4504668.4140959997</v>
      </c>
    </row>
    <row r="190" spans="1:7" x14ac:dyDescent="0.3">
      <c r="A190" s="13">
        <v>46274</v>
      </c>
      <c r="B190" s="14">
        <f>SUMIFS(BASE_CAIXA!$Z$2:$Z$643,BASE_CAIXA!$C$2:$C$643,"Entrada",BASE_CAIXA!$K$2:$K$643,A190,BASE_CAIXA!$L$2:$L$643,"")</f>
        <v>0</v>
      </c>
      <c r="C190" s="14">
        <f>SUMIFS(BASE_CAIXA!$Z$2:$Z$643,BASE_CAIXA!$C$2:$C$643,"Saída",BASE_CAIXA!$K$2:$K$643,A190,BASE_CAIXA!$L$2:$L$643,"")</f>
        <v>0</v>
      </c>
      <c r="D190" s="14">
        <f>SUMIFS(BASE_CAIXA!$AA$2:$AA$643,BASE_CAIXA!$C$2:$C$643,"Entrada",BASE_CAIXA!$L$2:$L$643,A190)</f>
        <v>0</v>
      </c>
      <c r="E190" s="14">
        <f>SUMIFS(BASE_CAIXA!$AA$2:$AA$643,BASE_CAIXA!$C$2:$C$643,"Saída",BASE_CAIXA!$L$2:$L$643,A190)</f>
        <v>0</v>
      </c>
      <c r="F190" s="14">
        <f t="shared" si="10"/>
        <v>0</v>
      </c>
      <c r="G190" s="14">
        <f t="shared" si="11"/>
        <v>-4504668.4140959997</v>
      </c>
    </row>
    <row r="191" spans="1:7" x14ac:dyDescent="0.3">
      <c r="A191" s="13">
        <v>46275</v>
      </c>
      <c r="B191" s="14">
        <f>SUMIFS(BASE_CAIXA!$Z$2:$Z$643,BASE_CAIXA!$C$2:$C$643,"Entrada",BASE_CAIXA!$K$2:$K$643,A191,BASE_CAIXA!$L$2:$L$643,"")</f>
        <v>0</v>
      </c>
      <c r="C191" s="14">
        <f>SUMIFS(BASE_CAIXA!$Z$2:$Z$643,BASE_CAIXA!$C$2:$C$643,"Saída",BASE_CAIXA!$K$2:$K$643,A191,BASE_CAIXA!$L$2:$L$643,"")</f>
        <v>0</v>
      </c>
      <c r="D191" s="14">
        <f>SUMIFS(BASE_CAIXA!$AA$2:$AA$643,BASE_CAIXA!$C$2:$C$643,"Entrada",BASE_CAIXA!$L$2:$L$643,A191)</f>
        <v>0</v>
      </c>
      <c r="E191" s="14">
        <f>SUMIFS(BASE_CAIXA!$AA$2:$AA$643,BASE_CAIXA!$C$2:$C$643,"Saída",BASE_CAIXA!$L$2:$L$643,A191)</f>
        <v>0</v>
      </c>
      <c r="F191" s="14">
        <f t="shared" si="10"/>
        <v>0</v>
      </c>
      <c r="G191" s="14">
        <f t="shared" si="11"/>
        <v>-4504668.4140959997</v>
      </c>
    </row>
    <row r="192" spans="1:7" x14ac:dyDescent="0.3">
      <c r="A192" s="13">
        <v>46276</v>
      </c>
      <c r="B192" s="14">
        <f>SUMIFS(BASE_CAIXA!$Z$2:$Z$643,BASE_CAIXA!$C$2:$C$643,"Entrada",BASE_CAIXA!$K$2:$K$643,A192,BASE_CAIXA!$L$2:$L$643,"")</f>
        <v>0</v>
      </c>
      <c r="C192" s="14">
        <f>SUMIFS(BASE_CAIXA!$Z$2:$Z$643,BASE_CAIXA!$C$2:$C$643,"Saída",BASE_CAIXA!$K$2:$K$643,A192,BASE_CAIXA!$L$2:$L$643,"")</f>
        <v>0</v>
      </c>
      <c r="D192" s="14">
        <f>SUMIFS(BASE_CAIXA!$AA$2:$AA$643,BASE_CAIXA!$C$2:$C$643,"Entrada",BASE_CAIXA!$L$2:$L$643,A192)</f>
        <v>0</v>
      </c>
      <c r="E192" s="14">
        <f>SUMIFS(BASE_CAIXA!$AA$2:$AA$643,BASE_CAIXA!$C$2:$C$643,"Saída",BASE_CAIXA!$L$2:$L$643,A192)</f>
        <v>0</v>
      </c>
      <c r="F192" s="14">
        <f t="shared" si="10"/>
        <v>0</v>
      </c>
      <c r="G192" s="14">
        <f t="shared" si="11"/>
        <v>-4504668.4140959997</v>
      </c>
    </row>
    <row r="193" spans="1:8" x14ac:dyDescent="0.3">
      <c r="A193" s="15">
        <v>46277</v>
      </c>
      <c r="B193" s="16">
        <f>SUMIFS(BASE_CAIXA!$Z$2:$Z$643,BASE_CAIXA!$C$2:$C$643,"Entrada",BASE_CAIXA!$K$2:$K$643,A193,BASE_CAIXA!$L$2:$L$643,"")</f>
        <v>0</v>
      </c>
      <c r="C193" s="16">
        <f>SUMIFS(BASE_CAIXA!$Z$2:$Z$643,BASE_CAIXA!$C$2:$C$643,"Saída",BASE_CAIXA!$K$2:$K$643,A193,BASE_CAIXA!$L$2:$L$643,"")</f>
        <v>0</v>
      </c>
      <c r="D193" s="16">
        <f>SUMIFS(BASE_CAIXA!$AA$2:$AA$643,BASE_CAIXA!$C$2:$C$643,"Entrada",BASE_CAIXA!$L$2:$L$643,A193)</f>
        <v>0</v>
      </c>
      <c r="E193" s="16">
        <f>SUMIFS(BASE_CAIXA!$AA$2:$AA$643,BASE_CAIXA!$C$2:$C$643,"Saída",BASE_CAIXA!$L$2:$L$643,A193)</f>
        <v>0</v>
      </c>
      <c r="F193" s="16">
        <f t="shared" si="10"/>
        <v>0</v>
      </c>
      <c r="G193" s="16">
        <f t="shared" si="11"/>
        <v>-4504668.4140959997</v>
      </c>
    </row>
    <row r="194" spans="1:8" x14ac:dyDescent="0.3">
      <c r="A194" s="15">
        <v>46278</v>
      </c>
      <c r="B194" s="16">
        <f>SUMIFS(BASE_CAIXA!$Z$2:$Z$643,BASE_CAIXA!$C$2:$C$643,"Entrada",BASE_CAIXA!$K$2:$K$643,A194,BASE_CAIXA!$L$2:$L$643,"")</f>
        <v>0</v>
      </c>
      <c r="C194" s="16">
        <f>SUMIFS(BASE_CAIXA!$Z$2:$Z$643,BASE_CAIXA!$C$2:$C$643,"Saída",BASE_CAIXA!$K$2:$K$643,A194,BASE_CAIXA!$L$2:$L$643,"")</f>
        <v>0</v>
      </c>
      <c r="D194" s="16">
        <f>SUMIFS(BASE_CAIXA!$AA$2:$AA$643,BASE_CAIXA!$C$2:$C$643,"Entrada",BASE_CAIXA!$L$2:$L$643,A194)</f>
        <v>0</v>
      </c>
      <c r="E194" s="16">
        <f>SUMIFS(BASE_CAIXA!$AA$2:$AA$643,BASE_CAIXA!$C$2:$C$643,"Saída",BASE_CAIXA!$L$2:$L$643,A194)</f>
        <v>0</v>
      </c>
      <c r="F194" s="16">
        <f t="shared" si="10"/>
        <v>0</v>
      </c>
      <c r="G194" s="16">
        <f t="shared" si="11"/>
        <v>-4504668.4140959997</v>
      </c>
    </row>
    <row r="195" spans="1:8" x14ac:dyDescent="0.3">
      <c r="A195" s="13">
        <v>46279</v>
      </c>
      <c r="B195" s="14">
        <f>SUMIFS(BASE_CAIXA!$Z$2:$Z$643,BASE_CAIXA!$C$2:$C$643,"Entrada",BASE_CAIXA!$K$2:$K$643,A195,BASE_CAIXA!$L$2:$L$643,"")</f>
        <v>0</v>
      </c>
      <c r="C195" s="14">
        <f>SUMIFS(BASE_CAIXA!$Z$2:$Z$643,BASE_CAIXA!$C$2:$C$643,"Saída",BASE_CAIXA!$K$2:$K$643,A195,BASE_CAIXA!$L$2:$L$643,"")</f>
        <v>0</v>
      </c>
      <c r="D195" s="14">
        <f>SUMIFS(BASE_CAIXA!$AA$2:$AA$643,BASE_CAIXA!$C$2:$C$643,"Entrada",BASE_CAIXA!$L$2:$L$643,A195)</f>
        <v>0</v>
      </c>
      <c r="E195" s="14">
        <f>SUMIFS(BASE_CAIXA!$AA$2:$AA$643,BASE_CAIXA!$C$2:$C$643,"Saída",BASE_CAIXA!$L$2:$L$643,A195)</f>
        <v>0</v>
      </c>
      <c r="F195" s="14">
        <f t="shared" si="10"/>
        <v>0</v>
      </c>
      <c r="G195" s="14">
        <f t="shared" si="11"/>
        <v>-4504668.4140959997</v>
      </c>
    </row>
    <row r="196" spans="1:8" x14ac:dyDescent="0.3">
      <c r="A196" s="13">
        <v>46280</v>
      </c>
      <c r="B196" s="14">
        <f>SUMIFS(BASE_CAIXA!$Z$2:$Z$643,BASE_CAIXA!$C$2:$C$643,"Entrada",BASE_CAIXA!$K$2:$K$643,A196,BASE_CAIXA!$L$2:$L$643,"")</f>
        <v>0</v>
      </c>
      <c r="C196" s="14">
        <f>SUMIFS(BASE_CAIXA!$Z$2:$Z$643,BASE_CAIXA!$C$2:$C$643,"Saída",BASE_CAIXA!$K$2:$K$643,A196,BASE_CAIXA!$L$2:$L$643,"")</f>
        <v>0</v>
      </c>
      <c r="D196" s="14">
        <f>SUMIFS(BASE_CAIXA!$AA$2:$AA$643,BASE_CAIXA!$C$2:$C$643,"Entrada",BASE_CAIXA!$L$2:$L$643,A196)</f>
        <v>0</v>
      </c>
      <c r="E196" s="14">
        <f>SUMIFS(BASE_CAIXA!$AA$2:$AA$643,BASE_CAIXA!$C$2:$C$643,"Saída",BASE_CAIXA!$L$2:$L$643,A196)</f>
        <v>0</v>
      </c>
      <c r="F196" s="14">
        <f t="shared" si="10"/>
        <v>0</v>
      </c>
      <c r="G196" s="14">
        <f t="shared" si="11"/>
        <v>-4504668.4140959997</v>
      </c>
    </row>
    <row r="197" spans="1:8" x14ac:dyDescent="0.3">
      <c r="A197" s="13">
        <v>46281</v>
      </c>
      <c r="B197" s="14">
        <f>SUMIFS(BASE_CAIXA!$Z$2:$Z$643,BASE_CAIXA!$C$2:$C$643,"Entrada",BASE_CAIXA!$K$2:$K$643,A197,BASE_CAIXA!$L$2:$L$643,"")</f>
        <v>0</v>
      </c>
      <c r="C197" s="14">
        <f>SUMIFS(BASE_CAIXA!$Z$2:$Z$643,BASE_CAIXA!$C$2:$C$643,"Saída",BASE_CAIXA!$K$2:$K$643,A197,BASE_CAIXA!$L$2:$L$643,"")</f>
        <v>0</v>
      </c>
      <c r="D197" s="14">
        <f>SUMIFS(BASE_CAIXA!$AA$2:$AA$643,BASE_CAIXA!$C$2:$C$643,"Entrada",BASE_CAIXA!$L$2:$L$643,A197)</f>
        <v>0</v>
      </c>
      <c r="E197" s="14">
        <f>SUMIFS(BASE_CAIXA!$AA$2:$AA$643,BASE_CAIXA!$C$2:$C$643,"Saída",BASE_CAIXA!$L$2:$L$643,A197)</f>
        <v>0</v>
      </c>
      <c r="F197" s="14">
        <f t="shared" si="10"/>
        <v>0</v>
      </c>
      <c r="G197" s="14">
        <f t="shared" si="11"/>
        <v>-4504668.4140959997</v>
      </c>
    </row>
    <row r="198" spans="1:8" x14ac:dyDescent="0.3">
      <c r="A198" s="13">
        <v>46282</v>
      </c>
      <c r="B198" s="14">
        <f>SUMIFS(BASE_CAIXA!$Z$2:$Z$643,BASE_CAIXA!$C$2:$C$643,"Entrada",BASE_CAIXA!$K$2:$K$643,A198,BASE_CAIXA!$L$2:$L$643,"")</f>
        <v>0</v>
      </c>
      <c r="C198" s="14">
        <f>SUMIFS(BASE_CAIXA!$Z$2:$Z$643,BASE_CAIXA!$C$2:$C$643,"Saída",BASE_CAIXA!$K$2:$K$643,A198,BASE_CAIXA!$L$2:$L$643,"")</f>
        <v>0</v>
      </c>
      <c r="D198" s="14">
        <f>SUMIFS(BASE_CAIXA!$AA$2:$AA$643,BASE_CAIXA!$C$2:$C$643,"Entrada",BASE_CAIXA!$L$2:$L$643,A198)</f>
        <v>0</v>
      </c>
      <c r="E198" s="14">
        <f>SUMIFS(BASE_CAIXA!$AA$2:$AA$643,BASE_CAIXA!$C$2:$C$643,"Saída",BASE_CAIXA!$L$2:$L$643,A198)</f>
        <v>0</v>
      </c>
      <c r="F198" s="14">
        <f t="shared" ref="F198:F229" si="12">B198-C198+D198-E198</f>
        <v>0</v>
      </c>
      <c r="G198" s="14">
        <f t="shared" si="11"/>
        <v>-4504668.4140959997</v>
      </c>
    </row>
    <row r="199" spans="1:8" x14ac:dyDescent="0.3">
      <c r="A199" s="13">
        <v>46283</v>
      </c>
      <c r="B199" s="14">
        <f>SUMIFS(BASE_CAIXA!$Z$2:$Z$643,BASE_CAIXA!$C$2:$C$643,"Entrada",BASE_CAIXA!$K$2:$K$643,A199,BASE_CAIXA!$L$2:$L$643,"")</f>
        <v>0</v>
      </c>
      <c r="C199" s="14">
        <f>SUMIFS(BASE_CAIXA!$Z$2:$Z$643,BASE_CAIXA!$C$2:$C$643,"Saída",BASE_CAIXA!$K$2:$K$643,A199,BASE_CAIXA!$L$2:$L$643,"")</f>
        <v>0</v>
      </c>
      <c r="D199" s="14">
        <f>SUMIFS(BASE_CAIXA!$AA$2:$AA$643,BASE_CAIXA!$C$2:$C$643,"Entrada",BASE_CAIXA!$L$2:$L$643,A199)</f>
        <v>0</v>
      </c>
      <c r="E199" s="14">
        <f>SUMIFS(BASE_CAIXA!$AA$2:$AA$643,BASE_CAIXA!$C$2:$C$643,"Saída",BASE_CAIXA!$L$2:$L$643,A199)</f>
        <v>0</v>
      </c>
      <c r="F199" s="14">
        <f t="shared" si="12"/>
        <v>0</v>
      </c>
      <c r="G199" s="14">
        <f t="shared" ref="G199:G230" si="13">G198+F199</f>
        <v>-4504668.4140959997</v>
      </c>
    </row>
    <row r="200" spans="1:8" x14ac:dyDescent="0.3">
      <c r="A200" s="15">
        <v>46284</v>
      </c>
      <c r="B200" s="16">
        <f>SUMIFS(BASE_CAIXA!$Z$2:$Z$643,BASE_CAIXA!$C$2:$C$643,"Entrada",BASE_CAIXA!$K$2:$K$643,A200,BASE_CAIXA!$L$2:$L$643,"")</f>
        <v>0</v>
      </c>
      <c r="C200" s="16">
        <f>SUMIFS(BASE_CAIXA!$Z$2:$Z$643,BASE_CAIXA!$C$2:$C$643,"Saída",BASE_CAIXA!$K$2:$K$643,A200,BASE_CAIXA!$L$2:$L$643,"")</f>
        <v>0</v>
      </c>
      <c r="D200" s="16">
        <f>SUMIFS(BASE_CAIXA!$AA$2:$AA$643,BASE_CAIXA!$C$2:$C$643,"Entrada",BASE_CAIXA!$L$2:$L$643,A200)</f>
        <v>0</v>
      </c>
      <c r="E200" s="16">
        <f>SUMIFS(BASE_CAIXA!$AA$2:$AA$643,BASE_CAIXA!$C$2:$C$643,"Saída",BASE_CAIXA!$L$2:$L$643,A200)</f>
        <v>0</v>
      </c>
      <c r="F200" s="16">
        <f t="shared" si="12"/>
        <v>0</v>
      </c>
      <c r="G200" s="16">
        <f t="shared" si="13"/>
        <v>-4504668.4140959997</v>
      </c>
    </row>
    <row r="201" spans="1:8" x14ac:dyDescent="0.3">
      <c r="A201" s="15">
        <v>46285</v>
      </c>
      <c r="B201" s="16">
        <f>SUMIFS(BASE_CAIXA!$Z$2:$Z$643,BASE_CAIXA!$C$2:$C$643,"Entrada",BASE_CAIXA!$K$2:$K$643,A201,BASE_CAIXA!$L$2:$L$643,"")</f>
        <v>0</v>
      </c>
      <c r="C201" s="16">
        <f>SUMIFS(BASE_CAIXA!$Z$2:$Z$643,BASE_CAIXA!$C$2:$C$643,"Saída",BASE_CAIXA!$K$2:$K$643,A201,BASE_CAIXA!$L$2:$L$643,"")</f>
        <v>0</v>
      </c>
      <c r="D201" s="16">
        <f>SUMIFS(BASE_CAIXA!$AA$2:$AA$643,BASE_CAIXA!$C$2:$C$643,"Entrada",BASE_CAIXA!$L$2:$L$643,A201)</f>
        <v>0</v>
      </c>
      <c r="E201" s="16">
        <f>SUMIFS(BASE_CAIXA!$AA$2:$AA$643,BASE_CAIXA!$C$2:$C$643,"Saída",BASE_CAIXA!$L$2:$L$643,A201)</f>
        <v>0</v>
      </c>
      <c r="F201" s="16">
        <f t="shared" si="12"/>
        <v>0</v>
      </c>
      <c r="G201" s="16">
        <f t="shared" si="13"/>
        <v>-4504668.4140959997</v>
      </c>
    </row>
    <row r="202" spans="1:8" x14ac:dyDescent="0.3">
      <c r="A202" s="13">
        <v>46286</v>
      </c>
      <c r="B202" s="14">
        <f>SUMIFS(BASE_CAIXA!$Z$2:$Z$643,BASE_CAIXA!$C$2:$C$643,"Entrada",BASE_CAIXA!$K$2:$K$643,A202,BASE_CAIXA!$L$2:$L$643,"")</f>
        <v>0</v>
      </c>
      <c r="C202" s="14">
        <f>SUMIFS(BASE_CAIXA!$Z$2:$Z$643,BASE_CAIXA!$C$2:$C$643,"Saída",BASE_CAIXA!$K$2:$K$643,A202,BASE_CAIXA!$L$2:$L$643,"")</f>
        <v>0</v>
      </c>
      <c r="D202" s="14">
        <f>SUMIFS(BASE_CAIXA!$AA$2:$AA$643,BASE_CAIXA!$C$2:$C$643,"Entrada",BASE_CAIXA!$L$2:$L$643,A202)</f>
        <v>0</v>
      </c>
      <c r="E202" s="14">
        <f>SUMIFS(BASE_CAIXA!$AA$2:$AA$643,BASE_CAIXA!$C$2:$C$643,"Saída",BASE_CAIXA!$L$2:$L$643,A202)</f>
        <v>0</v>
      </c>
      <c r="F202" s="14">
        <f t="shared" si="12"/>
        <v>0</v>
      </c>
      <c r="G202" s="14">
        <f t="shared" si="13"/>
        <v>-4504668.4140959997</v>
      </c>
    </row>
    <row r="203" spans="1:8" x14ac:dyDescent="0.3">
      <c r="A203" s="13">
        <v>46287</v>
      </c>
      <c r="B203" s="14">
        <f>SUMIFS(BASE_CAIXA!$Z$2:$Z$643,BASE_CAIXA!$C$2:$C$643,"Entrada",BASE_CAIXA!$K$2:$K$643,A203,BASE_CAIXA!$L$2:$L$643,"")</f>
        <v>0</v>
      </c>
      <c r="C203" s="14">
        <f>SUMIFS(BASE_CAIXA!$Z$2:$Z$643,BASE_CAIXA!$C$2:$C$643,"Saída",BASE_CAIXA!$K$2:$K$643,A203,BASE_CAIXA!$L$2:$L$643,"")</f>
        <v>0</v>
      </c>
      <c r="D203" s="14">
        <f>SUMIFS(BASE_CAIXA!$AA$2:$AA$643,BASE_CAIXA!$C$2:$C$643,"Entrada",BASE_CAIXA!$L$2:$L$643,A203)</f>
        <v>0</v>
      </c>
      <c r="E203" s="14">
        <f>SUMIFS(BASE_CAIXA!$AA$2:$AA$643,BASE_CAIXA!$C$2:$C$643,"Saída",BASE_CAIXA!$L$2:$L$643,A203)</f>
        <v>0</v>
      </c>
      <c r="F203" s="14">
        <f t="shared" si="12"/>
        <v>0</v>
      </c>
      <c r="G203" s="14">
        <f t="shared" si="13"/>
        <v>-4504668.4140959997</v>
      </c>
    </row>
    <row r="204" spans="1:8" x14ac:dyDescent="0.3">
      <c r="A204" s="17" t="s">
        <v>619</v>
      </c>
      <c r="B204" s="17">
        <f>SUM(B6:B203)</f>
        <v>7359999.9191039996</v>
      </c>
      <c r="C204" s="17">
        <f>SUM(C6:C203)</f>
        <v>12584668.3332</v>
      </c>
      <c r="D204" s="17">
        <f>SUM(D6:D203)</f>
        <v>0</v>
      </c>
      <c r="E204" s="17">
        <f>SUM(E6:E203)</f>
        <v>0</v>
      </c>
      <c r="F204" s="17">
        <f>SUM(F6:F203)</f>
        <v>-5224668.4140960006</v>
      </c>
      <c r="G204" s="17">
        <f>G203</f>
        <v>-4504668.4140959997</v>
      </c>
      <c r="H204" s="17"/>
    </row>
  </sheetData>
  <mergeCells count="2">
    <mergeCell ref="A2:H2"/>
    <mergeCell ref="A1:H1"/>
  </mergeCells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14"/>
  <sheetViews>
    <sheetView showGridLines="0" workbookViewId="0">
      <pane ySplit="15" topLeftCell="A16" activePane="bottomLeft" state="frozen"/>
      <selection pane="bottomLeft" activeCell="B4" sqref="B4"/>
    </sheetView>
  </sheetViews>
  <sheetFormatPr defaultRowHeight="14.4" x14ac:dyDescent="0.3"/>
  <cols>
    <col min="1" max="1" width="12" customWidth="1"/>
    <col min="2" max="3" width="18" customWidth="1"/>
    <col min="4" max="4" width="34" customWidth="1"/>
    <col min="5" max="5" width="18" customWidth="1"/>
    <col min="6" max="6" width="14" customWidth="1"/>
    <col min="7" max="7" width="12" customWidth="1"/>
  </cols>
  <sheetData>
    <row r="1" spans="1:8" ht="18" x14ac:dyDescent="0.35">
      <c r="A1" s="34" t="s">
        <v>620</v>
      </c>
      <c r="B1" s="35"/>
      <c r="C1" s="35"/>
      <c r="D1" s="35"/>
      <c r="E1" s="35"/>
      <c r="F1" s="35"/>
      <c r="G1" s="35"/>
      <c r="H1" s="35"/>
    </row>
    <row r="3" spans="1:8" x14ac:dyDescent="0.3">
      <c r="A3" s="18" t="s">
        <v>621</v>
      </c>
      <c r="B3" s="18" t="s">
        <v>622</v>
      </c>
      <c r="D3" s="18" t="s">
        <v>623</v>
      </c>
    </row>
    <row r="4" spans="1:8" x14ac:dyDescent="0.3">
      <c r="A4" s="19" t="s">
        <v>624</v>
      </c>
      <c r="B4" s="20">
        <f>FLUXO_DIARIO!B3</f>
        <v>720000</v>
      </c>
      <c r="D4" t="s">
        <v>625</v>
      </c>
    </row>
    <row r="5" spans="1:8" x14ac:dyDescent="0.3">
      <c r="A5" s="19" t="s">
        <v>626</v>
      </c>
      <c r="B5" s="20">
        <f>SUM(FLUXO_DIARIO!B6:B203)</f>
        <v>7359999.9191039996</v>
      </c>
      <c r="D5" t="s">
        <v>627</v>
      </c>
    </row>
    <row r="6" spans="1:8" x14ac:dyDescent="0.3">
      <c r="A6" s="19" t="s">
        <v>628</v>
      </c>
      <c r="B6" s="20">
        <f>SUM(FLUXO_DIARIO!C6:C203)</f>
        <v>12584668.3332</v>
      </c>
      <c r="D6" t="s">
        <v>627</v>
      </c>
    </row>
    <row r="7" spans="1:8" x14ac:dyDescent="0.3">
      <c r="A7" s="19" t="s">
        <v>629</v>
      </c>
      <c r="B7" s="20">
        <f>SUM(FLUXO_DIARIO!D6:D203)</f>
        <v>0</v>
      </c>
      <c r="D7" t="s">
        <v>630</v>
      </c>
    </row>
    <row r="8" spans="1:8" x14ac:dyDescent="0.3">
      <c r="A8" s="19" t="s">
        <v>631</v>
      </c>
      <c r="B8" s="20">
        <f>SUM(FLUXO_DIARIO!E6:E203)</f>
        <v>0</v>
      </c>
      <c r="D8" t="s">
        <v>630</v>
      </c>
    </row>
    <row r="9" spans="1:8" x14ac:dyDescent="0.3">
      <c r="A9" s="1" t="s">
        <v>632</v>
      </c>
      <c r="B9" s="20">
        <f>FLUXO_DIARIO!G203</f>
        <v>-4504668.4140959997</v>
      </c>
      <c r="D9" t="s">
        <v>633</v>
      </c>
    </row>
    <row r="10" spans="1:8" x14ac:dyDescent="0.3">
      <c r="A10" s="1" t="s">
        <v>634</v>
      </c>
      <c r="B10" s="20">
        <f>MIN(FLUXO_DIARIO!G6:G203)</f>
        <v>-4504668.4140959997</v>
      </c>
      <c r="D10" t="s">
        <v>635</v>
      </c>
    </row>
    <row r="11" spans="1:8" x14ac:dyDescent="0.3">
      <c r="A11" s="19" t="s">
        <v>636</v>
      </c>
      <c r="B11" s="21">
        <f>INDEX(FLUXO_DIARIO!A6:A203,MATCH(MIN(FLUXO_DIARIO!G6:G203),FLUXO_DIARIO!G6:G203,0))</f>
        <v>46227</v>
      </c>
      <c r="D11" t="s">
        <v>637</v>
      </c>
    </row>
    <row r="12" spans="1:8" x14ac:dyDescent="0.3">
      <c r="A12" s="19" t="s">
        <v>638</v>
      </c>
      <c r="B12" s="22">
        <f>COUNTIF(FLUXO_DIARIO!G6:G203,"&lt;0")</f>
        <v>187</v>
      </c>
      <c r="D12" t="s">
        <v>639</v>
      </c>
    </row>
    <row r="13" spans="1:8" x14ac:dyDescent="0.3">
      <c r="A13" s="19" t="s">
        <v>640</v>
      </c>
      <c r="B13" s="23">
        <f>IFERROR((SUM(FLUXO_DIARIO!B6:B203)+SUM(FLUXO_DIARIO!D6:D203))/(SUM(FLUXO_DIARIO!C6:C203)+SUM(FLUXO_DIARIO!E6:E203)),0)</f>
        <v>0.58483860871306059</v>
      </c>
      <c r="D13" t="s">
        <v>641</v>
      </c>
    </row>
    <row r="16" spans="1:8" ht="28.8" x14ac:dyDescent="0.3">
      <c r="A16" s="24" t="s">
        <v>611</v>
      </c>
      <c r="B16" s="24" t="s">
        <v>642</v>
      </c>
      <c r="C16" s="24" t="s">
        <v>643</v>
      </c>
      <c r="D16" s="24" t="s">
        <v>644</v>
      </c>
      <c r="E16" s="24" t="s">
        <v>645</v>
      </c>
      <c r="F16" s="24" t="s">
        <v>646</v>
      </c>
      <c r="G16" s="24" t="s">
        <v>50</v>
      </c>
    </row>
    <row r="17" spans="1:7" x14ac:dyDescent="0.3">
      <c r="A17" s="13">
        <f>FLUXO_DIARIO!A6</f>
        <v>46090</v>
      </c>
      <c r="B17" s="14">
        <f>FLUXO_DIARIO!B6+FLUXO_DIARIO!D6</f>
        <v>0</v>
      </c>
      <c r="C17" s="14">
        <f>FLUXO_DIARIO!C6+FLUXO_DIARIO!E6</f>
        <v>32000</v>
      </c>
      <c r="D17" s="14">
        <f t="shared" ref="D17:D48" si="0">B17-C17</f>
        <v>-32000</v>
      </c>
      <c r="E17" s="14">
        <f>FLUXO_DIARIO!G6</f>
        <v>688000</v>
      </c>
      <c r="F17" s="25">
        <f t="shared" ref="F17:F48" si="1">IFERROR(B17/C17,0)</f>
        <v>0</v>
      </c>
      <c r="G17" s="26" t="str">
        <f t="shared" ref="G17:G48" si="2">IF(E17&lt;0,"Crítico",IF(F17&lt;1,"Atenção","Saudável"))</f>
        <v>Atenção</v>
      </c>
    </row>
    <row r="18" spans="1:7" x14ac:dyDescent="0.3">
      <c r="A18" s="13">
        <f>FLUXO_DIARIO!A7</f>
        <v>46091</v>
      </c>
      <c r="B18" s="14">
        <f>FLUXO_DIARIO!B7+FLUXO_DIARIO!D7</f>
        <v>0</v>
      </c>
      <c r="C18" s="14">
        <f>FLUXO_DIARIO!C7+FLUXO_DIARIO!E7</f>
        <v>0</v>
      </c>
      <c r="D18" s="14">
        <f t="shared" si="0"/>
        <v>0</v>
      </c>
      <c r="E18" s="14">
        <f>FLUXO_DIARIO!G7</f>
        <v>688000</v>
      </c>
      <c r="F18" s="25">
        <f t="shared" si="1"/>
        <v>0</v>
      </c>
      <c r="G18" s="26" t="str">
        <f t="shared" si="2"/>
        <v>Atenção</v>
      </c>
    </row>
    <row r="19" spans="1:7" x14ac:dyDescent="0.3">
      <c r="A19" s="13">
        <f>FLUXO_DIARIO!A8</f>
        <v>46092</v>
      </c>
      <c r="B19" s="14">
        <f>FLUXO_DIARIO!B8+FLUXO_DIARIO!D8</f>
        <v>0</v>
      </c>
      <c r="C19" s="14">
        <f>FLUXO_DIARIO!C8+FLUXO_DIARIO!E8</f>
        <v>68500</v>
      </c>
      <c r="D19" s="14">
        <f t="shared" si="0"/>
        <v>-68500</v>
      </c>
      <c r="E19" s="14">
        <f>FLUXO_DIARIO!G8</f>
        <v>619500</v>
      </c>
      <c r="F19" s="25">
        <f t="shared" si="1"/>
        <v>0</v>
      </c>
      <c r="G19" s="26" t="str">
        <f t="shared" si="2"/>
        <v>Atenção</v>
      </c>
    </row>
    <row r="20" spans="1:7" x14ac:dyDescent="0.3">
      <c r="A20" s="13">
        <f>FLUXO_DIARIO!A9</f>
        <v>46093</v>
      </c>
      <c r="B20" s="14">
        <f>FLUXO_DIARIO!B9+FLUXO_DIARIO!D9</f>
        <v>0</v>
      </c>
      <c r="C20" s="14">
        <f>FLUXO_DIARIO!C9+FLUXO_DIARIO!E9</f>
        <v>0</v>
      </c>
      <c r="D20" s="14">
        <f t="shared" si="0"/>
        <v>0</v>
      </c>
      <c r="E20" s="14">
        <f>FLUXO_DIARIO!G9</f>
        <v>619500</v>
      </c>
      <c r="F20" s="25">
        <f t="shared" si="1"/>
        <v>0</v>
      </c>
      <c r="G20" s="26" t="str">
        <f t="shared" si="2"/>
        <v>Atenção</v>
      </c>
    </row>
    <row r="21" spans="1:7" x14ac:dyDescent="0.3">
      <c r="A21" s="13">
        <f>FLUXO_DIARIO!A10</f>
        <v>46094</v>
      </c>
      <c r="B21" s="14">
        <f>FLUXO_DIARIO!B10+FLUXO_DIARIO!D10</f>
        <v>0</v>
      </c>
      <c r="C21" s="14">
        <f>FLUXO_DIARIO!C10+FLUXO_DIARIO!E10</f>
        <v>0</v>
      </c>
      <c r="D21" s="14">
        <f t="shared" si="0"/>
        <v>0</v>
      </c>
      <c r="E21" s="14">
        <f>FLUXO_DIARIO!G10</f>
        <v>619500</v>
      </c>
      <c r="F21" s="25">
        <f t="shared" si="1"/>
        <v>0</v>
      </c>
      <c r="G21" s="26" t="str">
        <f t="shared" si="2"/>
        <v>Atenção</v>
      </c>
    </row>
    <row r="22" spans="1:7" x14ac:dyDescent="0.3">
      <c r="A22" s="13">
        <f>FLUXO_DIARIO!A11</f>
        <v>46095</v>
      </c>
      <c r="B22" s="14">
        <f>FLUXO_DIARIO!B11+FLUXO_DIARIO!D11</f>
        <v>0</v>
      </c>
      <c r="C22" s="14">
        <f>FLUXO_DIARIO!C11+FLUXO_DIARIO!E11</f>
        <v>0</v>
      </c>
      <c r="D22" s="14">
        <f t="shared" si="0"/>
        <v>0</v>
      </c>
      <c r="E22" s="14">
        <f>FLUXO_DIARIO!G11</f>
        <v>619500</v>
      </c>
      <c r="F22" s="25">
        <f t="shared" si="1"/>
        <v>0</v>
      </c>
      <c r="G22" s="26" t="str">
        <f t="shared" si="2"/>
        <v>Atenção</v>
      </c>
    </row>
    <row r="23" spans="1:7" x14ac:dyDescent="0.3">
      <c r="A23" s="13">
        <f>FLUXO_DIARIO!A12</f>
        <v>46096</v>
      </c>
      <c r="B23" s="14">
        <f>FLUXO_DIARIO!B12+FLUXO_DIARIO!D12</f>
        <v>0</v>
      </c>
      <c r="C23" s="14">
        <f>FLUXO_DIARIO!C12+FLUXO_DIARIO!E12</f>
        <v>0</v>
      </c>
      <c r="D23" s="14">
        <f t="shared" si="0"/>
        <v>0</v>
      </c>
      <c r="E23" s="14">
        <f>FLUXO_DIARIO!G12</f>
        <v>619500</v>
      </c>
      <c r="F23" s="25">
        <f t="shared" si="1"/>
        <v>0</v>
      </c>
      <c r="G23" s="26" t="str">
        <f t="shared" si="2"/>
        <v>Atenção</v>
      </c>
    </row>
    <row r="24" spans="1:7" x14ac:dyDescent="0.3">
      <c r="A24" s="13">
        <f>FLUXO_DIARIO!A13</f>
        <v>46097</v>
      </c>
      <c r="B24" s="14">
        <f>FLUXO_DIARIO!B13+FLUXO_DIARIO!D13</f>
        <v>0</v>
      </c>
      <c r="C24" s="14">
        <f>FLUXO_DIARIO!C13+FLUXO_DIARIO!E13</f>
        <v>0</v>
      </c>
      <c r="D24" s="14">
        <f t="shared" si="0"/>
        <v>0</v>
      </c>
      <c r="E24" s="14">
        <f>FLUXO_DIARIO!G13</f>
        <v>619500</v>
      </c>
      <c r="F24" s="25">
        <f t="shared" si="1"/>
        <v>0</v>
      </c>
      <c r="G24" s="26" t="str">
        <f t="shared" si="2"/>
        <v>Atenção</v>
      </c>
    </row>
    <row r="25" spans="1:7" x14ac:dyDescent="0.3">
      <c r="A25" s="13">
        <f>FLUXO_DIARIO!A14</f>
        <v>46098</v>
      </c>
      <c r="B25" s="14">
        <f>FLUXO_DIARIO!B14+FLUXO_DIARIO!D14</f>
        <v>0</v>
      </c>
      <c r="C25" s="14">
        <f>FLUXO_DIARIO!C14+FLUXO_DIARIO!E14</f>
        <v>0</v>
      </c>
      <c r="D25" s="14">
        <f t="shared" si="0"/>
        <v>0</v>
      </c>
      <c r="E25" s="14">
        <f>FLUXO_DIARIO!G14</f>
        <v>619500</v>
      </c>
      <c r="F25" s="25">
        <f t="shared" si="1"/>
        <v>0</v>
      </c>
      <c r="G25" s="26" t="str">
        <f t="shared" si="2"/>
        <v>Atenção</v>
      </c>
    </row>
    <row r="26" spans="1:7" x14ac:dyDescent="0.3">
      <c r="A26" s="13">
        <f>FLUXO_DIARIO!A15</f>
        <v>46099</v>
      </c>
      <c r="B26" s="14">
        <f>FLUXO_DIARIO!B15+FLUXO_DIARIO!D15</f>
        <v>0</v>
      </c>
      <c r="C26" s="14">
        <f>FLUXO_DIARIO!C15+FLUXO_DIARIO!E15</f>
        <v>0</v>
      </c>
      <c r="D26" s="14">
        <f t="shared" si="0"/>
        <v>0</v>
      </c>
      <c r="E26" s="14">
        <f>FLUXO_DIARIO!G15</f>
        <v>619500</v>
      </c>
      <c r="F26" s="25">
        <f t="shared" si="1"/>
        <v>0</v>
      </c>
      <c r="G26" s="26" t="str">
        <f t="shared" si="2"/>
        <v>Atenção</v>
      </c>
    </row>
    <row r="27" spans="1:7" x14ac:dyDescent="0.3">
      <c r="A27" s="13">
        <f>FLUXO_DIARIO!A16</f>
        <v>46100</v>
      </c>
      <c r="B27" s="14">
        <f>FLUXO_DIARIO!B16+FLUXO_DIARIO!D16</f>
        <v>0</v>
      </c>
      <c r="C27" s="14">
        <f>FLUXO_DIARIO!C16+FLUXO_DIARIO!E16</f>
        <v>0</v>
      </c>
      <c r="D27" s="14">
        <f t="shared" si="0"/>
        <v>0</v>
      </c>
      <c r="E27" s="14">
        <f>FLUXO_DIARIO!G16</f>
        <v>619500</v>
      </c>
      <c r="F27" s="25">
        <f t="shared" si="1"/>
        <v>0</v>
      </c>
      <c r="G27" s="26" t="str">
        <f t="shared" si="2"/>
        <v>Atenção</v>
      </c>
    </row>
    <row r="28" spans="1:7" x14ac:dyDescent="0.3">
      <c r="A28" s="13">
        <f>FLUXO_DIARIO!A17</f>
        <v>46101</v>
      </c>
      <c r="B28" s="14">
        <f>FLUXO_DIARIO!B17+FLUXO_DIARIO!D17</f>
        <v>0</v>
      </c>
      <c r="C28" s="14">
        <f>FLUXO_DIARIO!C17+FLUXO_DIARIO!E17</f>
        <v>695979.2</v>
      </c>
      <c r="D28" s="14">
        <f t="shared" si="0"/>
        <v>-695979.2</v>
      </c>
      <c r="E28" s="14">
        <f>FLUXO_DIARIO!G17</f>
        <v>-76479.199999999953</v>
      </c>
      <c r="F28" s="25">
        <f t="shared" si="1"/>
        <v>0</v>
      </c>
      <c r="G28" s="26" t="str">
        <f t="shared" si="2"/>
        <v>Crítico</v>
      </c>
    </row>
    <row r="29" spans="1:7" x14ac:dyDescent="0.3">
      <c r="A29" s="13">
        <f>FLUXO_DIARIO!A18</f>
        <v>46102</v>
      </c>
      <c r="B29" s="14">
        <f>FLUXO_DIARIO!B18+FLUXO_DIARIO!D18</f>
        <v>0</v>
      </c>
      <c r="C29" s="14">
        <f>FLUXO_DIARIO!C18+FLUXO_DIARIO!E18</f>
        <v>0</v>
      </c>
      <c r="D29" s="14">
        <f t="shared" si="0"/>
        <v>0</v>
      </c>
      <c r="E29" s="14">
        <f>FLUXO_DIARIO!G18</f>
        <v>-76479.199999999953</v>
      </c>
      <c r="F29" s="25">
        <f t="shared" si="1"/>
        <v>0</v>
      </c>
      <c r="G29" s="26" t="str">
        <f t="shared" si="2"/>
        <v>Crítico</v>
      </c>
    </row>
    <row r="30" spans="1:7" x14ac:dyDescent="0.3">
      <c r="A30" s="13">
        <f>FLUXO_DIARIO!A19</f>
        <v>46103</v>
      </c>
      <c r="B30" s="14">
        <f>FLUXO_DIARIO!B19+FLUXO_DIARIO!D19</f>
        <v>0</v>
      </c>
      <c r="C30" s="14">
        <f>FLUXO_DIARIO!C19+FLUXO_DIARIO!E19</f>
        <v>0</v>
      </c>
      <c r="D30" s="14">
        <f t="shared" si="0"/>
        <v>0</v>
      </c>
      <c r="E30" s="14">
        <f>FLUXO_DIARIO!G19</f>
        <v>-76479.199999999953</v>
      </c>
      <c r="F30" s="25">
        <f t="shared" si="1"/>
        <v>0</v>
      </c>
      <c r="G30" s="26" t="str">
        <f t="shared" si="2"/>
        <v>Crítico</v>
      </c>
    </row>
    <row r="31" spans="1:7" x14ac:dyDescent="0.3">
      <c r="A31" s="13">
        <f>FLUXO_DIARIO!A20</f>
        <v>46104</v>
      </c>
      <c r="B31" s="14">
        <f>FLUXO_DIARIO!B20+FLUXO_DIARIO!D20</f>
        <v>0</v>
      </c>
      <c r="C31" s="14">
        <f>FLUXO_DIARIO!C20+FLUXO_DIARIO!E20</f>
        <v>0</v>
      </c>
      <c r="D31" s="14">
        <f t="shared" si="0"/>
        <v>0</v>
      </c>
      <c r="E31" s="14">
        <f>FLUXO_DIARIO!G20</f>
        <v>-76479.199999999953</v>
      </c>
      <c r="F31" s="25">
        <f t="shared" si="1"/>
        <v>0</v>
      </c>
      <c r="G31" s="26" t="str">
        <f t="shared" si="2"/>
        <v>Crítico</v>
      </c>
    </row>
    <row r="32" spans="1:7" x14ac:dyDescent="0.3">
      <c r="A32" s="13">
        <f>FLUXO_DIARIO!A21</f>
        <v>46105</v>
      </c>
      <c r="B32" s="14">
        <f>FLUXO_DIARIO!B21+FLUXO_DIARIO!D21</f>
        <v>0</v>
      </c>
      <c r="C32" s="14">
        <f>FLUXO_DIARIO!C21+FLUXO_DIARIO!E21</f>
        <v>0</v>
      </c>
      <c r="D32" s="14">
        <f t="shared" si="0"/>
        <v>0</v>
      </c>
      <c r="E32" s="14">
        <f>FLUXO_DIARIO!G21</f>
        <v>-76479.199999999953</v>
      </c>
      <c r="F32" s="25">
        <f t="shared" si="1"/>
        <v>0</v>
      </c>
      <c r="G32" s="26" t="str">
        <f t="shared" si="2"/>
        <v>Crítico</v>
      </c>
    </row>
    <row r="33" spans="1:7" x14ac:dyDescent="0.3">
      <c r="A33" s="13">
        <f>FLUXO_DIARIO!A22</f>
        <v>46106</v>
      </c>
      <c r="B33" s="14">
        <f>FLUXO_DIARIO!B22+FLUXO_DIARIO!D22</f>
        <v>0</v>
      </c>
      <c r="C33" s="14">
        <f>FLUXO_DIARIO!C22+FLUXO_DIARIO!E22</f>
        <v>0</v>
      </c>
      <c r="D33" s="14">
        <f t="shared" si="0"/>
        <v>0</v>
      </c>
      <c r="E33" s="14">
        <f>FLUXO_DIARIO!G22</f>
        <v>-76479.199999999953</v>
      </c>
      <c r="F33" s="25">
        <f t="shared" si="1"/>
        <v>0</v>
      </c>
      <c r="G33" s="26" t="str">
        <f t="shared" si="2"/>
        <v>Crítico</v>
      </c>
    </row>
    <row r="34" spans="1:7" x14ac:dyDescent="0.3">
      <c r="A34" s="13">
        <f>FLUXO_DIARIO!A23</f>
        <v>46107</v>
      </c>
      <c r="B34" s="14">
        <f>FLUXO_DIARIO!B23+FLUXO_DIARIO!D23</f>
        <v>0</v>
      </c>
      <c r="C34" s="14">
        <f>FLUXO_DIARIO!C23+FLUXO_DIARIO!E23</f>
        <v>0</v>
      </c>
      <c r="D34" s="14">
        <f t="shared" si="0"/>
        <v>0</v>
      </c>
      <c r="E34" s="14">
        <f>FLUXO_DIARIO!G23</f>
        <v>-76479.199999999953</v>
      </c>
      <c r="F34" s="25">
        <f t="shared" si="1"/>
        <v>0</v>
      </c>
      <c r="G34" s="26" t="str">
        <f t="shared" si="2"/>
        <v>Crítico</v>
      </c>
    </row>
    <row r="35" spans="1:7" x14ac:dyDescent="0.3">
      <c r="A35" s="13">
        <f>FLUXO_DIARIO!A24</f>
        <v>46108</v>
      </c>
      <c r="B35" s="14">
        <f>FLUXO_DIARIO!B24+FLUXO_DIARIO!D24</f>
        <v>0</v>
      </c>
      <c r="C35" s="14">
        <f>FLUXO_DIARIO!C24+FLUXO_DIARIO!E24</f>
        <v>0</v>
      </c>
      <c r="D35" s="14">
        <f t="shared" si="0"/>
        <v>0</v>
      </c>
      <c r="E35" s="14">
        <f>FLUXO_DIARIO!G24</f>
        <v>-76479.199999999953</v>
      </c>
      <c r="F35" s="25">
        <f t="shared" si="1"/>
        <v>0</v>
      </c>
      <c r="G35" s="26" t="str">
        <f t="shared" si="2"/>
        <v>Crítico</v>
      </c>
    </row>
    <row r="36" spans="1:7" x14ac:dyDescent="0.3">
      <c r="A36" s="13">
        <f>FLUXO_DIARIO!A25</f>
        <v>46109</v>
      </c>
      <c r="B36" s="14">
        <f>FLUXO_DIARIO!B25+FLUXO_DIARIO!D25</f>
        <v>0</v>
      </c>
      <c r="C36" s="14">
        <f>FLUXO_DIARIO!C25+FLUXO_DIARIO!E25</f>
        <v>0</v>
      </c>
      <c r="D36" s="14">
        <f t="shared" si="0"/>
        <v>0</v>
      </c>
      <c r="E36" s="14">
        <f>FLUXO_DIARIO!G25</f>
        <v>-76479.199999999953</v>
      </c>
      <c r="F36" s="25">
        <f t="shared" si="1"/>
        <v>0</v>
      </c>
      <c r="G36" s="26" t="str">
        <f t="shared" si="2"/>
        <v>Crítico</v>
      </c>
    </row>
    <row r="37" spans="1:7" x14ac:dyDescent="0.3">
      <c r="A37" s="13">
        <f>FLUXO_DIARIO!A26</f>
        <v>46110</v>
      </c>
      <c r="B37" s="14">
        <f>FLUXO_DIARIO!B26+FLUXO_DIARIO!D26</f>
        <v>0</v>
      </c>
      <c r="C37" s="14">
        <f>FLUXO_DIARIO!C26+FLUXO_DIARIO!E26</f>
        <v>0</v>
      </c>
      <c r="D37" s="14">
        <f t="shared" si="0"/>
        <v>0</v>
      </c>
      <c r="E37" s="14">
        <f>FLUXO_DIARIO!G26</f>
        <v>-76479.199999999953</v>
      </c>
      <c r="F37" s="25">
        <f t="shared" si="1"/>
        <v>0</v>
      </c>
      <c r="G37" s="26" t="str">
        <f t="shared" si="2"/>
        <v>Crítico</v>
      </c>
    </row>
    <row r="38" spans="1:7" x14ac:dyDescent="0.3">
      <c r="A38" s="13">
        <f>FLUXO_DIARIO!A27</f>
        <v>46111</v>
      </c>
      <c r="B38" s="14">
        <f>FLUXO_DIARIO!B27+FLUXO_DIARIO!D27</f>
        <v>0</v>
      </c>
      <c r="C38" s="14">
        <f>FLUXO_DIARIO!C27+FLUXO_DIARIO!E27</f>
        <v>0</v>
      </c>
      <c r="D38" s="14">
        <f t="shared" si="0"/>
        <v>0</v>
      </c>
      <c r="E38" s="14">
        <f>FLUXO_DIARIO!G27</f>
        <v>-76479.199999999953</v>
      </c>
      <c r="F38" s="25">
        <f t="shared" si="1"/>
        <v>0</v>
      </c>
      <c r="G38" s="26" t="str">
        <f t="shared" si="2"/>
        <v>Crítico</v>
      </c>
    </row>
    <row r="39" spans="1:7" x14ac:dyDescent="0.3">
      <c r="A39" s="13">
        <f>FLUXO_DIARIO!A28</f>
        <v>46112</v>
      </c>
      <c r="B39" s="14">
        <f>FLUXO_DIARIO!B28+FLUXO_DIARIO!D28</f>
        <v>0</v>
      </c>
      <c r="C39" s="14">
        <f>FLUXO_DIARIO!C28+FLUXO_DIARIO!E28</f>
        <v>0</v>
      </c>
      <c r="D39" s="14">
        <f t="shared" si="0"/>
        <v>0</v>
      </c>
      <c r="E39" s="14">
        <f>FLUXO_DIARIO!G28</f>
        <v>-76479.199999999953</v>
      </c>
      <c r="F39" s="25">
        <f t="shared" si="1"/>
        <v>0</v>
      </c>
      <c r="G39" s="26" t="str">
        <f t="shared" si="2"/>
        <v>Crítico</v>
      </c>
    </row>
    <row r="40" spans="1:7" x14ac:dyDescent="0.3">
      <c r="A40" s="13">
        <f>FLUXO_DIARIO!A29</f>
        <v>46113</v>
      </c>
      <c r="B40" s="14">
        <f>FLUXO_DIARIO!B29+FLUXO_DIARIO!D29</f>
        <v>0</v>
      </c>
      <c r="C40" s="14">
        <f>FLUXO_DIARIO!C29+FLUXO_DIARIO!E29</f>
        <v>0</v>
      </c>
      <c r="D40" s="14">
        <f t="shared" si="0"/>
        <v>0</v>
      </c>
      <c r="E40" s="14">
        <f>FLUXO_DIARIO!G29</f>
        <v>-76479.199999999953</v>
      </c>
      <c r="F40" s="25">
        <f t="shared" si="1"/>
        <v>0</v>
      </c>
      <c r="G40" s="26" t="str">
        <f t="shared" si="2"/>
        <v>Crítico</v>
      </c>
    </row>
    <row r="41" spans="1:7" x14ac:dyDescent="0.3">
      <c r="A41" s="13">
        <f>FLUXO_DIARIO!A30</f>
        <v>46114</v>
      </c>
      <c r="B41" s="14">
        <f>FLUXO_DIARIO!B30+FLUXO_DIARIO!D30</f>
        <v>0</v>
      </c>
      <c r="C41" s="14">
        <f>FLUXO_DIARIO!C30+FLUXO_DIARIO!E30</f>
        <v>0</v>
      </c>
      <c r="D41" s="14">
        <f t="shared" si="0"/>
        <v>0</v>
      </c>
      <c r="E41" s="14">
        <f>FLUXO_DIARIO!G30</f>
        <v>-76479.199999999953</v>
      </c>
      <c r="F41" s="25">
        <f t="shared" si="1"/>
        <v>0</v>
      </c>
      <c r="G41" s="26" t="str">
        <f t="shared" si="2"/>
        <v>Crítico</v>
      </c>
    </row>
    <row r="42" spans="1:7" x14ac:dyDescent="0.3">
      <c r="A42" s="13">
        <f>FLUXO_DIARIO!A31</f>
        <v>46115</v>
      </c>
      <c r="B42" s="14">
        <f>FLUXO_DIARIO!B31+FLUXO_DIARIO!D31</f>
        <v>0</v>
      </c>
      <c r="C42" s="14">
        <f>FLUXO_DIARIO!C31+FLUXO_DIARIO!E31</f>
        <v>500390.2627573334</v>
      </c>
      <c r="D42" s="14">
        <f t="shared" si="0"/>
        <v>-500390.2627573334</v>
      </c>
      <c r="E42" s="14">
        <f>FLUXO_DIARIO!G31</f>
        <v>-576869.46275733341</v>
      </c>
      <c r="F42" s="25">
        <f t="shared" si="1"/>
        <v>0</v>
      </c>
      <c r="G42" s="26" t="str">
        <f t="shared" si="2"/>
        <v>Crítico</v>
      </c>
    </row>
    <row r="43" spans="1:7" x14ac:dyDescent="0.3">
      <c r="A43" s="13">
        <f>FLUXO_DIARIO!A32</f>
        <v>46116</v>
      </c>
      <c r="B43" s="14">
        <f>FLUXO_DIARIO!B32+FLUXO_DIARIO!D32</f>
        <v>0</v>
      </c>
      <c r="C43" s="14">
        <f>FLUXO_DIARIO!C32+FLUXO_DIARIO!E32</f>
        <v>0</v>
      </c>
      <c r="D43" s="14">
        <f t="shared" si="0"/>
        <v>0</v>
      </c>
      <c r="E43" s="14">
        <f>FLUXO_DIARIO!G32</f>
        <v>-576869.46275733341</v>
      </c>
      <c r="F43" s="25">
        <f t="shared" si="1"/>
        <v>0</v>
      </c>
      <c r="G43" s="26" t="str">
        <f t="shared" si="2"/>
        <v>Crítico</v>
      </c>
    </row>
    <row r="44" spans="1:7" x14ac:dyDescent="0.3">
      <c r="A44" s="13">
        <f>FLUXO_DIARIO!A33</f>
        <v>46117</v>
      </c>
      <c r="B44" s="14">
        <f>FLUXO_DIARIO!B33+FLUXO_DIARIO!D33</f>
        <v>0</v>
      </c>
      <c r="C44" s="14">
        <f>FLUXO_DIARIO!C33+FLUXO_DIARIO!E33</f>
        <v>0</v>
      </c>
      <c r="D44" s="14">
        <f t="shared" si="0"/>
        <v>0</v>
      </c>
      <c r="E44" s="14">
        <f>FLUXO_DIARIO!G33</f>
        <v>-576869.46275733341</v>
      </c>
      <c r="F44" s="25">
        <f t="shared" si="1"/>
        <v>0</v>
      </c>
      <c r="G44" s="26" t="str">
        <f t="shared" si="2"/>
        <v>Crítico</v>
      </c>
    </row>
    <row r="45" spans="1:7" x14ac:dyDescent="0.3">
      <c r="A45" s="13">
        <f>FLUXO_DIARIO!A34</f>
        <v>46118</v>
      </c>
      <c r="B45" s="14">
        <f>FLUXO_DIARIO!B34+FLUXO_DIARIO!D34</f>
        <v>0</v>
      </c>
      <c r="C45" s="14">
        <f>FLUXO_DIARIO!C34+FLUXO_DIARIO!E34</f>
        <v>0</v>
      </c>
      <c r="D45" s="14">
        <f t="shared" si="0"/>
        <v>0</v>
      </c>
      <c r="E45" s="14">
        <f>FLUXO_DIARIO!G34</f>
        <v>-576869.46275733341</v>
      </c>
      <c r="F45" s="25">
        <f t="shared" si="1"/>
        <v>0</v>
      </c>
      <c r="G45" s="26" t="str">
        <f t="shared" si="2"/>
        <v>Crítico</v>
      </c>
    </row>
    <row r="46" spans="1:7" x14ac:dyDescent="0.3">
      <c r="A46" s="13">
        <f>FLUXO_DIARIO!A35</f>
        <v>46119</v>
      </c>
      <c r="B46" s="14">
        <f>FLUXO_DIARIO!B35+FLUXO_DIARIO!D35</f>
        <v>0</v>
      </c>
      <c r="C46" s="14">
        <f>FLUXO_DIARIO!C35+FLUXO_DIARIO!E35</f>
        <v>0</v>
      </c>
      <c r="D46" s="14">
        <f t="shared" si="0"/>
        <v>0</v>
      </c>
      <c r="E46" s="14">
        <f>FLUXO_DIARIO!G35</f>
        <v>-576869.46275733341</v>
      </c>
      <c r="F46" s="25">
        <f t="shared" si="1"/>
        <v>0</v>
      </c>
      <c r="G46" s="26" t="str">
        <f t="shared" si="2"/>
        <v>Crítico</v>
      </c>
    </row>
    <row r="47" spans="1:7" x14ac:dyDescent="0.3">
      <c r="A47" s="13">
        <f>FLUXO_DIARIO!A36</f>
        <v>46120</v>
      </c>
      <c r="B47" s="14">
        <f>FLUXO_DIARIO!B36+FLUXO_DIARIO!D36</f>
        <v>0</v>
      </c>
      <c r="C47" s="14">
        <f>FLUXO_DIARIO!C36+FLUXO_DIARIO!E36</f>
        <v>0</v>
      </c>
      <c r="D47" s="14">
        <f t="shared" si="0"/>
        <v>0</v>
      </c>
      <c r="E47" s="14">
        <f>FLUXO_DIARIO!G36</f>
        <v>-576869.46275733341</v>
      </c>
      <c r="F47" s="25">
        <f t="shared" si="1"/>
        <v>0</v>
      </c>
      <c r="G47" s="26" t="str">
        <f t="shared" si="2"/>
        <v>Crítico</v>
      </c>
    </row>
    <row r="48" spans="1:7" x14ac:dyDescent="0.3">
      <c r="A48" s="13">
        <f>FLUXO_DIARIO!A37</f>
        <v>46121</v>
      </c>
      <c r="B48" s="14">
        <f>FLUXO_DIARIO!B37+FLUXO_DIARIO!D37</f>
        <v>0</v>
      </c>
      <c r="C48" s="14">
        <f>FLUXO_DIARIO!C37+FLUXO_DIARIO!E37</f>
        <v>0</v>
      </c>
      <c r="D48" s="14">
        <f t="shared" si="0"/>
        <v>0</v>
      </c>
      <c r="E48" s="14">
        <f>FLUXO_DIARIO!G37</f>
        <v>-576869.46275733341</v>
      </c>
      <c r="F48" s="25">
        <f t="shared" si="1"/>
        <v>0</v>
      </c>
      <c r="G48" s="26" t="str">
        <f t="shared" si="2"/>
        <v>Crítico</v>
      </c>
    </row>
    <row r="49" spans="1:7" x14ac:dyDescent="0.3">
      <c r="A49" s="13">
        <f>FLUXO_DIARIO!A38</f>
        <v>46122</v>
      </c>
      <c r="B49" s="14">
        <f>FLUXO_DIARIO!B38+FLUXO_DIARIO!D38</f>
        <v>0</v>
      </c>
      <c r="C49" s="14">
        <f>FLUXO_DIARIO!C38+FLUXO_DIARIO!E38</f>
        <v>0</v>
      </c>
      <c r="D49" s="14">
        <f t="shared" ref="D49:D80" si="3">B49-C49</f>
        <v>0</v>
      </c>
      <c r="E49" s="14">
        <f>FLUXO_DIARIO!G38</f>
        <v>-576869.46275733341</v>
      </c>
      <c r="F49" s="25">
        <f t="shared" ref="F49:F80" si="4">IFERROR(B49/C49,0)</f>
        <v>0</v>
      </c>
      <c r="G49" s="26" t="str">
        <f t="shared" ref="G49:G80" si="5">IF(E49&lt;0,"Crítico",IF(F49&lt;1,"Atenção","Saudável"))</f>
        <v>Crítico</v>
      </c>
    </row>
    <row r="50" spans="1:7" x14ac:dyDescent="0.3">
      <c r="A50" s="13">
        <f>FLUXO_DIARIO!A39</f>
        <v>46123</v>
      </c>
      <c r="B50" s="14">
        <f>FLUXO_DIARIO!B39+FLUXO_DIARIO!D39</f>
        <v>0</v>
      </c>
      <c r="C50" s="14">
        <f>FLUXO_DIARIO!C39+FLUXO_DIARIO!E39</f>
        <v>0</v>
      </c>
      <c r="D50" s="14">
        <f t="shared" si="3"/>
        <v>0</v>
      </c>
      <c r="E50" s="14">
        <f>FLUXO_DIARIO!G39</f>
        <v>-576869.46275733341</v>
      </c>
      <c r="F50" s="25">
        <f t="shared" si="4"/>
        <v>0</v>
      </c>
      <c r="G50" s="26" t="str">
        <f t="shared" si="5"/>
        <v>Crítico</v>
      </c>
    </row>
    <row r="51" spans="1:7" x14ac:dyDescent="0.3">
      <c r="A51" s="13">
        <f>FLUXO_DIARIO!A40</f>
        <v>46124</v>
      </c>
      <c r="B51" s="14">
        <f>FLUXO_DIARIO!B40+FLUXO_DIARIO!D40</f>
        <v>0</v>
      </c>
      <c r="C51" s="14">
        <f>FLUXO_DIARIO!C40+FLUXO_DIARIO!E40</f>
        <v>0</v>
      </c>
      <c r="D51" s="14">
        <f t="shared" si="3"/>
        <v>0</v>
      </c>
      <c r="E51" s="14">
        <f>FLUXO_DIARIO!G40</f>
        <v>-576869.46275733341</v>
      </c>
      <c r="F51" s="25">
        <f t="shared" si="4"/>
        <v>0</v>
      </c>
      <c r="G51" s="26" t="str">
        <f t="shared" si="5"/>
        <v>Crítico</v>
      </c>
    </row>
    <row r="52" spans="1:7" x14ac:dyDescent="0.3">
      <c r="A52" s="13">
        <f>FLUXO_DIARIO!A41</f>
        <v>46125</v>
      </c>
      <c r="B52" s="14">
        <f>FLUXO_DIARIO!B41+FLUXO_DIARIO!D41</f>
        <v>0</v>
      </c>
      <c r="C52" s="14">
        <f>FLUXO_DIARIO!C41+FLUXO_DIARIO!E41</f>
        <v>0</v>
      </c>
      <c r="D52" s="14">
        <f t="shared" si="3"/>
        <v>0</v>
      </c>
      <c r="E52" s="14">
        <f>FLUXO_DIARIO!G41</f>
        <v>-576869.46275733341</v>
      </c>
      <c r="F52" s="25">
        <f t="shared" si="4"/>
        <v>0</v>
      </c>
      <c r="G52" s="26" t="str">
        <f t="shared" si="5"/>
        <v>Crítico</v>
      </c>
    </row>
    <row r="53" spans="1:7" x14ac:dyDescent="0.3">
      <c r="A53" s="13">
        <f>FLUXO_DIARIO!A42</f>
        <v>46126</v>
      </c>
      <c r="B53" s="14">
        <f>FLUXO_DIARIO!B42+FLUXO_DIARIO!D42</f>
        <v>0</v>
      </c>
      <c r="C53" s="14">
        <f>FLUXO_DIARIO!C42+FLUXO_DIARIO!E42</f>
        <v>0</v>
      </c>
      <c r="D53" s="14">
        <f t="shared" si="3"/>
        <v>0</v>
      </c>
      <c r="E53" s="14">
        <f>FLUXO_DIARIO!G42</f>
        <v>-576869.46275733341</v>
      </c>
      <c r="F53" s="25">
        <f t="shared" si="4"/>
        <v>0</v>
      </c>
      <c r="G53" s="26" t="str">
        <f t="shared" si="5"/>
        <v>Crítico</v>
      </c>
    </row>
    <row r="54" spans="1:7" x14ac:dyDescent="0.3">
      <c r="A54" s="13">
        <f>FLUXO_DIARIO!A43</f>
        <v>46127</v>
      </c>
      <c r="B54" s="14">
        <f>FLUXO_DIARIO!B43+FLUXO_DIARIO!D43</f>
        <v>0</v>
      </c>
      <c r="C54" s="14">
        <f>FLUXO_DIARIO!C43+FLUXO_DIARIO!E43</f>
        <v>0</v>
      </c>
      <c r="D54" s="14">
        <f t="shared" si="3"/>
        <v>0</v>
      </c>
      <c r="E54" s="14">
        <f>FLUXO_DIARIO!G43</f>
        <v>-576869.46275733341</v>
      </c>
      <c r="F54" s="25">
        <f t="shared" si="4"/>
        <v>0</v>
      </c>
      <c r="G54" s="26" t="str">
        <f t="shared" si="5"/>
        <v>Crítico</v>
      </c>
    </row>
    <row r="55" spans="1:7" x14ac:dyDescent="0.3">
      <c r="A55" s="13">
        <f>FLUXO_DIARIO!A44</f>
        <v>46128</v>
      </c>
      <c r="B55" s="14">
        <f>FLUXO_DIARIO!B44+FLUXO_DIARIO!D44</f>
        <v>0</v>
      </c>
      <c r="C55" s="14">
        <f>FLUXO_DIARIO!C44+FLUXO_DIARIO!E44</f>
        <v>0</v>
      </c>
      <c r="D55" s="14">
        <f t="shared" si="3"/>
        <v>0</v>
      </c>
      <c r="E55" s="14">
        <f>FLUXO_DIARIO!G44</f>
        <v>-576869.46275733341</v>
      </c>
      <c r="F55" s="25">
        <f t="shared" si="4"/>
        <v>0</v>
      </c>
      <c r="G55" s="26" t="str">
        <f t="shared" si="5"/>
        <v>Crítico</v>
      </c>
    </row>
    <row r="56" spans="1:7" x14ac:dyDescent="0.3">
      <c r="A56" s="13">
        <f>FLUXO_DIARIO!A45</f>
        <v>46129</v>
      </c>
      <c r="B56" s="14">
        <f>FLUXO_DIARIO!B45+FLUXO_DIARIO!D45</f>
        <v>855077.76191999996</v>
      </c>
      <c r="C56" s="14">
        <f>FLUXO_DIARIO!C45+FLUXO_DIARIO!E45</f>
        <v>1237252.3793264003</v>
      </c>
      <c r="D56" s="14">
        <f t="shared" si="3"/>
        <v>-382174.61740640039</v>
      </c>
      <c r="E56" s="14">
        <f>FLUXO_DIARIO!G45</f>
        <v>-959044.0801637338</v>
      </c>
      <c r="F56" s="25">
        <f t="shared" si="4"/>
        <v>0.69111021826083019</v>
      </c>
      <c r="G56" s="26" t="str">
        <f t="shared" si="5"/>
        <v>Crítico</v>
      </c>
    </row>
    <row r="57" spans="1:7" x14ac:dyDescent="0.3">
      <c r="A57" s="13">
        <f>FLUXO_DIARIO!A46</f>
        <v>46130</v>
      </c>
      <c r="B57" s="14">
        <f>FLUXO_DIARIO!B46+FLUXO_DIARIO!D46</f>
        <v>0</v>
      </c>
      <c r="C57" s="14">
        <f>FLUXO_DIARIO!C46+FLUXO_DIARIO!E46</f>
        <v>0</v>
      </c>
      <c r="D57" s="14">
        <f t="shared" si="3"/>
        <v>0</v>
      </c>
      <c r="E57" s="14">
        <f>FLUXO_DIARIO!G46</f>
        <v>-959044.0801637338</v>
      </c>
      <c r="F57" s="25">
        <f t="shared" si="4"/>
        <v>0</v>
      </c>
      <c r="G57" s="26" t="str">
        <f t="shared" si="5"/>
        <v>Crítico</v>
      </c>
    </row>
    <row r="58" spans="1:7" x14ac:dyDescent="0.3">
      <c r="A58" s="13">
        <f>FLUXO_DIARIO!A47</f>
        <v>46131</v>
      </c>
      <c r="B58" s="14">
        <f>FLUXO_DIARIO!B47+FLUXO_DIARIO!D47</f>
        <v>0</v>
      </c>
      <c r="C58" s="14">
        <f>FLUXO_DIARIO!C47+FLUXO_DIARIO!E47</f>
        <v>0</v>
      </c>
      <c r="D58" s="14">
        <f t="shared" si="3"/>
        <v>0</v>
      </c>
      <c r="E58" s="14">
        <f>FLUXO_DIARIO!G47</f>
        <v>-959044.0801637338</v>
      </c>
      <c r="F58" s="25">
        <f t="shared" si="4"/>
        <v>0</v>
      </c>
      <c r="G58" s="26" t="str">
        <f t="shared" si="5"/>
        <v>Crítico</v>
      </c>
    </row>
    <row r="59" spans="1:7" x14ac:dyDescent="0.3">
      <c r="A59" s="13">
        <f>FLUXO_DIARIO!A48</f>
        <v>46132</v>
      </c>
      <c r="B59" s="14">
        <f>FLUXO_DIARIO!B48+FLUXO_DIARIO!D48</f>
        <v>0</v>
      </c>
      <c r="C59" s="14">
        <f>FLUXO_DIARIO!C48+FLUXO_DIARIO!E48</f>
        <v>0</v>
      </c>
      <c r="D59" s="14">
        <f t="shared" si="3"/>
        <v>0</v>
      </c>
      <c r="E59" s="14">
        <f>FLUXO_DIARIO!G48</f>
        <v>-959044.0801637338</v>
      </c>
      <c r="F59" s="25">
        <f t="shared" si="4"/>
        <v>0</v>
      </c>
      <c r="G59" s="26" t="str">
        <f t="shared" si="5"/>
        <v>Crítico</v>
      </c>
    </row>
    <row r="60" spans="1:7" x14ac:dyDescent="0.3">
      <c r="A60" s="13">
        <f>FLUXO_DIARIO!A49</f>
        <v>46133</v>
      </c>
      <c r="B60" s="14">
        <f>FLUXO_DIARIO!B49+FLUXO_DIARIO!D49</f>
        <v>0</v>
      </c>
      <c r="C60" s="14">
        <f>FLUXO_DIARIO!C49+FLUXO_DIARIO!E49</f>
        <v>0</v>
      </c>
      <c r="D60" s="14">
        <f t="shared" si="3"/>
        <v>0</v>
      </c>
      <c r="E60" s="14">
        <f>FLUXO_DIARIO!G49</f>
        <v>-959044.0801637338</v>
      </c>
      <c r="F60" s="25">
        <f t="shared" si="4"/>
        <v>0</v>
      </c>
      <c r="G60" s="26" t="str">
        <f t="shared" si="5"/>
        <v>Crítico</v>
      </c>
    </row>
    <row r="61" spans="1:7" x14ac:dyDescent="0.3">
      <c r="A61" s="13">
        <f>FLUXO_DIARIO!A50</f>
        <v>46134</v>
      </c>
      <c r="B61" s="14">
        <f>FLUXO_DIARIO!B50+FLUXO_DIARIO!D50</f>
        <v>0</v>
      </c>
      <c r="C61" s="14">
        <f>FLUXO_DIARIO!C50+FLUXO_DIARIO!E50</f>
        <v>0</v>
      </c>
      <c r="D61" s="14">
        <f t="shared" si="3"/>
        <v>0</v>
      </c>
      <c r="E61" s="14">
        <f>FLUXO_DIARIO!G50</f>
        <v>-959044.0801637338</v>
      </c>
      <c r="F61" s="25">
        <f t="shared" si="4"/>
        <v>0</v>
      </c>
      <c r="G61" s="26" t="str">
        <f t="shared" si="5"/>
        <v>Crítico</v>
      </c>
    </row>
    <row r="62" spans="1:7" x14ac:dyDescent="0.3">
      <c r="A62" s="13">
        <f>FLUXO_DIARIO!A51</f>
        <v>46135</v>
      </c>
      <c r="B62" s="14">
        <f>FLUXO_DIARIO!B51+FLUXO_DIARIO!D51</f>
        <v>0</v>
      </c>
      <c r="C62" s="14">
        <f>FLUXO_DIARIO!C51+FLUXO_DIARIO!E51</f>
        <v>0</v>
      </c>
      <c r="D62" s="14">
        <f t="shared" si="3"/>
        <v>0</v>
      </c>
      <c r="E62" s="14">
        <f>FLUXO_DIARIO!G51</f>
        <v>-959044.0801637338</v>
      </c>
      <c r="F62" s="25">
        <f t="shared" si="4"/>
        <v>0</v>
      </c>
      <c r="G62" s="26" t="str">
        <f t="shared" si="5"/>
        <v>Crítico</v>
      </c>
    </row>
    <row r="63" spans="1:7" x14ac:dyDescent="0.3">
      <c r="A63" s="13">
        <f>FLUXO_DIARIO!A52</f>
        <v>46136</v>
      </c>
      <c r="B63" s="14">
        <f>FLUXO_DIARIO!B52+FLUXO_DIARIO!D52</f>
        <v>0</v>
      </c>
      <c r="C63" s="14">
        <f>FLUXO_DIARIO!C52+FLUXO_DIARIO!E52</f>
        <v>0</v>
      </c>
      <c r="D63" s="14">
        <f t="shared" si="3"/>
        <v>0</v>
      </c>
      <c r="E63" s="14">
        <f>FLUXO_DIARIO!G52</f>
        <v>-959044.0801637338</v>
      </c>
      <c r="F63" s="25">
        <f t="shared" si="4"/>
        <v>0</v>
      </c>
      <c r="G63" s="26" t="str">
        <f t="shared" si="5"/>
        <v>Crítico</v>
      </c>
    </row>
    <row r="64" spans="1:7" x14ac:dyDescent="0.3">
      <c r="A64" s="13">
        <f>FLUXO_DIARIO!A53</f>
        <v>46137</v>
      </c>
      <c r="B64" s="14">
        <f>FLUXO_DIARIO!B53+FLUXO_DIARIO!D53</f>
        <v>0</v>
      </c>
      <c r="C64" s="14">
        <f>FLUXO_DIARIO!C53+FLUXO_DIARIO!E53</f>
        <v>0</v>
      </c>
      <c r="D64" s="14">
        <f t="shared" si="3"/>
        <v>0</v>
      </c>
      <c r="E64" s="14">
        <f>FLUXO_DIARIO!G53</f>
        <v>-959044.0801637338</v>
      </c>
      <c r="F64" s="25">
        <f t="shared" si="4"/>
        <v>0</v>
      </c>
      <c r="G64" s="26" t="str">
        <f t="shared" si="5"/>
        <v>Crítico</v>
      </c>
    </row>
    <row r="65" spans="1:7" x14ac:dyDescent="0.3">
      <c r="A65" s="13">
        <f>FLUXO_DIARIO!A54</f>
        <v>46138</v>
      </c>
      <c r="B65" s="14">
        <f>FLUXO_DIARIO!B54+FLUXO_DIARIO!D54</f>
        <v>0</v>
      </c>
      <c r="C65" s="14">
        <f>FLUXO_DIARIO!C54+FLUXO_DIARIO!E54</f>
        <v>0</v>
      </c>
      <c r="D65" s="14">
        <f t="shared" si="3"/>
        <v>0</v>
      </c>
      <c r="E65" s="14">
        <f>FLUXO_DIARIO!G54</f>
        <v>-959044.0801637338</v>
      </c>
      <c r="F65" s="25">
        <f t="shared" si="4"/>
        <v>0</v>
      </c>
      <c r="G65" s="26" t="str">
        <f t="shared" si="5"/>
        <v>Crítico</v>
      </c>
    </row>
    <row r="66" spans="1:7" x14ac:dyDescent="0.3">
      <c r="A66" s="13">
        <f>FLUXO_DIARIO!A55</f>
        <v>46139</v>
      </c>
      <c r="B66" s="14">
        <f>FLUXO_DIARIO!B55+FLUXO_DIARIO!D55</f>
        <v>0</v>
      </c>
      <c r="C66" s="14">
        <f>FLUXO_DIARIO!C55+FLUXO_DIARIO!E55</f>
        <v>0</v>
      </c>
      <c r="D66" s="14">
        <f t="shared" si="3"/>
        <v>0</v>
      </c>
      <c r="E66" s="14">
        <f>FLUXO_DIARIO!G55</f>
        <v>-959044.0801637338</v>
      </c>
      <c r="F66" s="25">
        <f t="shared" si="4"/>
        <v>0</v>
      </c>
      <c r="G66" s="26" t="str">
        <f t="shared" si="5"/>
        <v>Crítico</v>
      </c>
    </row>
    <row r="67" spans="1:7" x14ac:dyDescent="0.3">
      <c r="A67" s="13">
        <f>FLUXO_DIARIO!A56</f>
        <v>46140</v>
      </c>
      <c r="B67" s="14">
        <f>FLUXO_DIARIO!B56+FLUXO_DIARIO!D56</f>
        <v>0</v>
      </c>
      <c r="C67" s="14">
        <f>FLUXO_DIARIO!C56+FLUXO_DIARIO!E56</f>
        <v>0</v>
      </c>
      <c r="D67" s="14">
        <f t="shared" si="3"/>
        <v>0</v>
      </c>
      <c r="E67" s="14">
        <f>FLUXO_DIARIO!G56</f>
        <v>-959044.0801637338</v>
      </c>
      <c r="F67" s="25">
        <f t="shared" si="4"/>
        <v>0</v>
      </c>
      <c r="G67" s="26" t="str">
        <f t="shared" si="5"/>
        <v>Crítico</v>
      </c>
    </row>
    <row r="68" spans="1:7" x14ac:dyDescent="0.3">
      <c r="A68" s="13">
        <f>FLUXO_DIARIO!A57</f>
        <v>46141</v>
      </c>
      <c r="B68" s="14">
        <f>FLUXO_DIARIO!B57+FLUXO_DIARIO!D57</f>
        <v>0</v>
      </c>
      <c r="C68" s="14">
        <f>FLUXO_DIARIO!C57+FLUXO_DIARIO!E57</f>
        <v>0</v>
      </c>
      <c r="D68" s="14">
        <f t="shared" si="3"/>
        <v>0</v>
      </c>
      <c r="E68" s="14">
        <f>FLUXO_DIARIO!G57</f>
        <v>-959044.0801637338</v>
      </c>
      <c r="F68" s="25">
        <f t="shared" si="4"/>
        <v>0</v>
      </c>
      <c r="G68" s="26" t="str">
        <f t="shared" si="5"/>
        <v>Crítico</v>
      </c>
    </row>
    <row r="69" spans="1:7" x14ac:dyDescent="0.3">
      <c r="A69" s="13">
        <f>FLUXO_DIARIO!A58</f>
        <v>46142</v>
      </c>
      <c r="B69" s="14">
        <f>FLUXO_DIARIO!B58+FLUXO_DIARIO!D58</f>
        <v>0</v>
      </c>
      <c r="C69" s="14">
        <f>FLUXO_DIARIO!C58+FLUXO_DIARIO!E58</f>
        <v>0</v>
      </c>
      <c r="D69" s="14">
        <f t="shared" si="3"/>
        <v>0</v>
      </c>
      <c r="E69" s="14">
        <f>FLUXO_DIARIO!G58</f>
        <v>-959044.0801637338</v>
      </c>
      <c r="F69" s="25">
        <f t="shared" si="4"/>
        <v>0</v>
      </c>
      <c r="G69" s="26" t="str">
        <f t="shared" si="5"/>
        <v>Crítico</v>
      </c>
    </row>
    <row r="70" spans="1:7" x14ac:dyDescent="0.3">
      <c r="A70" s="13">
        <f>FLUXO_DIARIO!A59</f>
        <v>46143</v>
      </c>
      <c r="B70" s="14">
        <f>FLUXO_DIARIO!B59+FLUXO_DIARIO!D59</f>
        <v>758705.10988800018</v>
      </c>
      <c r="C70" s="14">
        <f>FLUXO_DIARIO!C59+FLUXO_DIARIO!E59</f>
        <v>1727107.45590583</v>
      </c>
      <c r="D70" s="14">
        <f t="shared" si="3"/>
        <v>-968402.34601782984</v>
      </c>
      <c r="E70" s="14">
        <f>FLUXO_DIARIO!G59</f>
        <v>-1927446.4261815636</v>
      </c>
      <c r="F70" s="25">
        <f t="shared" si="4"/>
        <v>0.43929235977391806</v>
      </c>
      <c r="G70" s="26" t="str">
        <f t="shared" si="5"/>
        <v>Crítico</v>
      </c>
    </row>
    <row r="71" spans="1:7" x14ac:dyDescent="0.3">
      <c r="A71" s="13">
        <f>FLUXO_DIARIO!A60</f>
        <v>46144</v>
      </c>
      <c r="B71" s="14">
        <f>FLUXO_DIARIO!B60+FLUXO_DIARIO!D60</f>
        <v>0</v>
      </c>
      <c r="C71" s="14">
        <f>FLUXO_DIARIO!C60+FLUXO_DIARIO!E60</f>
        <v>0</v>
      </c>
      <c r="D71" s="14">
        <f t="shared" si="3"/>
        <v>0</v>
      </c>
      <c r="E71" s="14">
        <f>FLUXO_DIARIO!G60</f>
        <v>-1927446.4261815636</v>
      </c>
      <c r="F71" s="25">
        <f t="shared" si="4"/>
        <v>0</v>
      </c>
      <c r="G71" s="26" t="str">
        <f t="shared" si="5"/>
        <v>Crítico</v>
      </c>
    </row>
    <row r="72" spans="1:7" x14ac:dyDescent="0.3">
      <c r="A72" s="13">
        <f>FLUXO_DIARIO!A61</f>
        <v>46145</v>
      </c>
      <c r="B72" s="14">
        <f>FLUXO_DIARIO!B61+FLUXO_DIARIO!D61</f>
        <v>0</v>
      </c>
      <c r="C72" s="14">
        <f>FLUXO_DIARIO!C61+FLUXO_DIARIO!E61</f>
        <v>0</v>
      </c>
      <c r="D72" s="14">
        <f t="shared" si="3"/>
        <v>0</v>
      </c>
      <c r="E72" s="14">
        <f>FLUXO_DIARIO!G61</f>
        <v>-1927446.4261815636</v>
      </c>
      <c r="F72" s="25">
        <f t="shared" si="4"/>
        <v>0</v>
      </c>
      <c r="G72" s="26" t="str">
        <f t="shared" si="5"/>
        <v>Crítico</v>
      </c>
    </row>
    <row r="73" spans="1:7" x14ac:dyDescent="0.3">
      <c r="A73" s="13">
        <f>FLUXO_DIARIO!A62</f>
        <v>46146</v>
      </c>
      <c r="B73" s="14">
        <f>FLUXO_DIARIO!B62+FLUXO_DIARIO!D62</f>
        <v>0</v>
      </c>
      <c r="C73" s="14">
        <f>FLUXO_DIARIO!C62+FLUXO_DIARIO!E62</f>
        <v>0</v>
      </c>
      <c r="D73" s="14">
        <f t="shared" si="3"/>
        <v>0</v>
      </c>
      <c r="E73" s="14">
        <f>FLUXO_DIARIO!G62</f>
        <v>-1927446.4261815636</v>
      </c>
      <c r="F73" s="25">
        <f t="shared" si="4"/>
        <v>0</v>
      </c>
      <c r="G73" s="26" t="str">
        <f t="shared" si="5"/>
        <v>Crítico</v>
      </c>
    </row>
    <row r="74" spans="1:7" x14ac:dyDescent="0.3">
      <c r="A74" s="13">
        <f>FLUXO_DIARIO!A63</f>
        <v>46147</v>
      </c>
      <c r="B74" s="14">
        <f>FLUXO_DIARIO!B63+FLUXO_DIARIO!D63</f>
        <v>0</v>
      </c>
      <c r="C74" s="14">
        <f>FLUXO_DIARIO!C63+FLUXO_DIARIO!E63</f>
        <v>0</v>
      </c>
      <c r="D74" s="14">
        <f t="shared" si="3"/>
        <v>0</v>
      </c>
      <c r="E74" s="14">
        <f>FLUXO_DIARIO!G63</f>
        <v>-1927446.4261815636</v>
      </c>
      <c r="F74" s="25">
        <f t="shared" si="4"/>
        <v>0</v>
      </c>
      <c r="G74" s="26" t="str">
        <f t="shared" si="5"/>
        <v>Crítico</v>
      </c>
    </row>
    <row r="75" spans="1:7" x14ac:dyDescent="0.3">
      <c r="A75" s="13">
        <f>FLUXO_DIARIO!A64</f>
        <v>46148</v>
      </c>
      <c r="B75" s="14">
        <f>FLUXO_DIARIO!B64+FLUXO_DIARIO!D64</f>
        <v>0</v>
      </c>
      <c r="C75" s="14">
        <f>FLUXO_DIARIO!C64+FLUXO_DIARIO!E64</f>
        <v>0</v>
      </c>
      <c r="D75" s="14">
        <f t="shared" si="3"/>
        <v>0</v>
      </c>
      <c r="E75" s="14">
        <f>FLUXO_DIARIO!G64</f>
        <v>-1927446.4261815636</v>
      </c>
      <c r="F75" s="25">
        <f t="shared" si="4"/>
        <v>0</v>
      </c>
      <c r="G75" s="26" t="str">
        <f t="shared" si="5"/>
        <v>Crítico</v>
      </c>
    </row>
    <row r="76" spans="1:7" x14ac:dyDescent="0.3">
      <c r="A76" s="13">
        <f>FLUXO_DIARIO!A65</f>
        <v>46149</v>
      </c>
      <c r="B76" s="14">
        <f>FLUXO_DIARIO!B65+FLUXO_DIARIO!D65</f>
        <v>0</v>
      </c>
      <c r="C76" s="14">
        <f>FLUXO_DIARIO!C65+FLUXO_DIARIO!E65</f>
        <v>0</v>
      </c>
      <c r="D76" s="14">
        <f t="shared" si="3"/>
        <v>0</v>
      </c>
      <c r="E76" s="14">
        <f>FLUXO_DIARIO!G65</f>
        <v>-1927446.4261815636</v>
      </c>
      <c r="F76" s="25">
        <f t="shared" si="4"/>
        <v>0</v>
      </c>
      <c r="G76" s="26" t="str">
        <f t="shared" si="5"/>
        <v>Crítico</v>
      </c>
    </row>
    <row r="77" spans="1:7" x14ac:dyDescent="0.3">
      <c r="A77" s="13">
        <f>FLUXO_DIARIO!A66</f>
        <v>46150</v>
      </c>
      <c r="B77" s="14">
        <f>FLUXO_DIARIO!B66+FLUXO_DIARIO!D66</f>
        <v>0</v>
      </c>
      <c r="C77" s="14">
        <f>FLUXO_DIARIO!C66+FLUXO_DIARIO!E66</f>
        <v>0</v>
      </c>
      <c r="D77" s="14">
        <f t="shared" si="3"/>
        <v>0</v>
      </c>
      <c r="E77" s="14">
        <f>FLUXO_DIARIO!G66</f>
        <v>-1927446.4261815636</v>
      </c>
      <c r="F77" s="25">
        <f t="shared" si="4"/>
        <v>0</v>
      </c>
      <c r="G77" s="26" t="str">
        <f t="shared" si="5"/>
        <v>Crítico</v>
      </c>
    </row>
    <row r="78" spans="1:7" x14ac:dyDescent="0.3">
      <c r="A78" s="13">
        <f>FLUXO_DIARIO!A67</f>
        <v>46151</v>
      </c>
      <c r="B78" s="14">
        <f>FLUXO_DIARIO!B67+FLUXO_DIARIO!D67</f>
        <v>0</v>
      </c>
      <c r="C78" s="14">
        <f>FLUXO_DIARIO!C67+FLUXO_DIARIO!E67</f>
        <v>0</v>
      </c>
      <c r="D78" s="14">
        <f t="shared" si="3"/>
        <v>0</v>
      </c>
      <c r="E78" s="14">
        <f>FLUXO_DIARIO!G67</f>
        <v>-1927446.4261815636</v>
      </c>
      <c r="F78" s="25">
        <f t="shared" si="4"/>
        <v>0</v>
      </c>
      <c r="G78" s="26" t="str">
        <f t="shared" si="5"/>
        <v>Crítico</v>
      </c>
    </row>
    <row r="79" spans="1:7" x14ac:dyDescent="0.3">
      <c r="A79" s="13">
        <f>FLUXO_DIARIO!A68</f>
        <v>46152</v>
      </c>
      <c r="B79" s="14">
        <f>FLUXO_DIARIO!B68+FLUXO_DIARIO!D68</f>
        <v>0</v>
      </c>
      <c r="C79" s="14">
        <f>FLUXO_DIARIO!C68+FLUXO_DIARIO!E68</f>
        <v>0</v>
      </c>
      <c r="D79" s="14">
        <f t="shared" si="3"/>
        <v>0</v>
      </c>
      <c r="E79" s="14">
        <f>FLUXO_DIARIO!G68</f>
        <v>-1927446.4261815636</v>
      </c>
      <c r="F79" s="25">
        <f t="shared" si="4"/>
        <v>0</v>
      </c>
      <c r="G79" s="26" t="str">
        <f t="shared" si="5"/>
        <v>Crítico</v>
      </c>
    </row>
    <row r="80" spans="1:7" x14ac:dyDescent="0.3">
      <c r="A80" s="13">
        <f>FLUXO_DIARIO!A69</f>
        <v>46153</v>
      </c>
      <c r="B80" s="14">
        <f>FLUXO_DIARIO!B69+FLUXO_DIARIO!D69</f>
        <v>0</v>
      </c>
      <c r="C80" s="14">
        <f>FLUXO_DIARIO!C69+FLUXO_DIARIO!E69</f>
        <v>0</v>
      </c>
      <c r="D80" s="14">
        <f t="shared" si="3"/>
        <v>0</v>
      </c>
      <c r="E80" s="14">
        <f>FLUXO_DIARIO!G69</f>
        <v>-1927446.4261815636</v>
      </c>
      <c r="F80" s="25">
        <f t="shared" si="4"/>
        <v>0</v>
      </c>
      <c r="G80" s="26" t="str">
        <f t="shared" si="5"/>
        <v>Crítico</v>
      </c>
    </row>
    <row r="81" spans="1:7" x14ac:dyDescent="0.3">
      <c r="A81" s="13">
        <f>FLUXO_DIARIO!A70</f>
        <v>46154</v>
      </c>
      <c r="B81" s="14">
        <f>FLUXO_DIARIO!B70+FLUXO_DIARIO!D70</f>
        <v>0</v>
      </c>
      <c r="C81" s="14">
        <f>FLUXO_DIARIO!C70+FLUXO_DIARIO!E70</f>
        <v>0</v>
      </c>
      <c r="D81" s="14">
        <f t="shared" ref="D81:D112" si="6">B81-C81</f>
        <v>0</v>
      </c>
      <c r="E81" s="14">
        <f>FLUXO_DIARIO!G70</f>
        <v>-1927446.4261815636</v>
      </c>
      <c r="F81" s="25">
        <f t="shared" ref="F81:F112" si="7">IFERROR(B81/C81,0)</f>
        <v>0</v>
      </c>
      <c r="G81" s="26" t="str">
        <f t="shared" ref="G81:G112" si="8">IF(E81&lt;0,"Crítico",IF(F81&lt;1,"Atenção","Saudável"))</f>
        <v>Crítico</v>
      </c>
    </row>
    <row r="82" spans="1:7" x14ac:dyDescent="0.3">
      <c r="A82" s="13">
        <f>FLUXO_DIARIO!A71</f>
        <v>46155</v>
      </c>
      <c r="B82" s="14">
        <f>FLUXO_DIARIO!B71+FLUXO_DIARIO!D71</f>
        <v>0</v>
      </c>
      <c r="C82" s="14">
        <f>FLUXO_DIARIO!C71+FLUXO_DIARIO!E71</f>
        <v>0</v>
      </c>
      <c r="D82" s="14">
        <f t="shared" si="6"/>
        <v>0</v>
      </c>
      <c r="E82" s="14">
        <f>FLUXO_DIARIO!G71</f>
        <v>-1927446.4261815636</v>
      </c>
      <c r="F82" s="25">
        <f t="shared" si="7"/>
        <v>0</v>
      </c>
      <c r="G82" s="26" t="str">
        <f t="shared" si="8"/>
        <v>Crítico</v>
      </c>
    </row>
    <row r="83" spans="1:7" x14ac:dyDescent="0.3">
      <c r="A83" s="13">
        <f>FLUXO_DIARIO!A72</f>
        <v>46156</v>
      </c>
      <c r="B83" s="14">
        <f>FLUXO_DIARIO!B72+FLUXO_DIARIO!D72</f>
        <v>0</v>
      </c>
      <c r="C83" s="14">
        <f>FLUXO_DIARIO!C72+FLUXO_DIARIO!E72</f>
        <v>0</v>
      </c>
      <c r="D83" s="14">
        <f t="shared" si="6"/>
        <v>0</v>
      </c>
      <c r="E83" s="14">
        <f>FLUXO_DIARIO!G72</f>
        <v>-1927446.4261815636</v>
      </c>
      <c r="F83" s="25">
        <f t="shared" si="7"/>
        <v>0</v>
      </c>
      <c r="G83" s="26" t="str">
        <f t="shared" si="8"/>
        <v>Crítico</v>
      </c>
    </row>
    <row r="84" spans="1:7" x14ac:dyDescent="0.3">
      <c r="A84" s="13">
        <f>FLUXO_DIARIO!A73</f>
        <v>46157</v>
      </c>
      <c r="B84" s="14">
        <f>FLUXO_DIARIO!B73+FLUXO_DIARIO!D73</f>
        <v>1110679.830144</v>
      </c>
      <c r="C84" s="14">
        <f>FLUXO_DIARIO!C73+FLUXO_DIARIO!E73</f>
        <v>2194740.2595701623</v>
      </c>
      <c r="D84" s="14">
        <f t="shared" si="6"/>
        <v>-1084060.4294261623</v>
      </c>
      <c r="E84" s="14">
        <f>FLUXO_DIARIO!G73</f>
        <v>-3011506.8556077257</v>
      </c>
      <c r="F84" s="25">
        <f t="shared" si="7"/>
        <v>0.50606436242324437</v>
      </c>
      <c r="G84" s="26" t="str">
        <f t="shared" si="8"/>
        <v>Crítico</v>
      </c>
    </row>
    <row r="85" spans="1:7" x14ac:dyDescent="0.3">
      <c r="A85" s="13">
        <f>FLUXO_DIARIO!A74</f>
        <v>46158</v>
      </c>
      <c r="B85" s="14">
        <f>FLUXO_DIARIO!B74+FLUXO_DIARIO!D74</f>
        <v>0</v>
      </c>
      <c r="C85" s="14">
        <f>FLUXO_DIARIO!C74+FLUXO_DIARIO!E74</f>
        <v>0</v>
      </c>
      <c r="D85" s="14">
        <f t="shared" si="6"/>
        <v>0</v>
      </c>
      <c r="E85" s="14">
        <f>FLUXO_DIARIO!G74</f>
        <v>-3011506.8556077257</v>
      </c>
      <c r="F85" s="25">
        <f t="shared" si="7"/>
        <v>0</v>
      </c>
      <c r="G85" s="26" t="str">
        <f t="shared" si="8"/>
        <v>Crítico</v>
      </c>
    </row>
    <row r="86" spans="1:7" x14ac:dyDescent="0.3">
      <c r="A86" s="13">
        <f>FLUXO_DIARIO!A75</f>
        <v>46159</v>
      </c>
      <c r="B86" s="14">
        <f>FLUXO_DIARIO!B75+FLUXO_DIARIO!D75</f>
        <v>0</v>
      </c>
      <c r="C86" s="14">
        <f>FLUXO_DIARIO!C75+FLUXO_DIARIO!E75</f>
        <v>0</v>
      </c>
      <c r="D86" s="14">
        <f t="shared" si="6"/>
        <v>0</v>
      </c>
      <c r="E86" s="14">
        <f>FLUXO_DIARIO!G75</f>
        <v>-3011506.8556077257</v>
      </c>
      <c r="F86" s="25">
        <f t="shared" si="7"/>
        <v>0</v>
      </c>
      <c r="G86" s="26" t="str">
        <f t="shared" si="8"/>
        <v>Crítico</v>
      </c>
    </row>
    <row r="87" spans="1:7" x14ac:dyDescent="0.3">
      <c r="A87" s="13">
        <f>FLUXO_DIARIO!A76</f>
        <v>46160</v>
      </c>
      <c r="B87" s="14">
        <f>FLUXO_DIARIO!B76+FLUXO_DIARIO!D76</f>
        <v>0</v>
      </c>
      <c r="C87" s="14">
        <f>FLUXO_DIARIO!C76+FLUXO_DIARIO!E76</f>
        <v>0</v>
      </c>
      <c r="D87" s="14">
        <f t="shared" si="6"/>
        <v>0</v>
      </c>
      <c r="E87" s="14">
        <f>FLUXO_DIARIO!G76</f>
        <v>-3011506.8556077257</v>
      </c>
      <c r="F87" s="25">
        <f t="shared" si="7"/>
        <v>0</v>
      </c>
      <c r="G87" s="26" t="str">
        <f t="shared" si="8"/>
        <v>Crítico</v>
      </c>
    </row>
    <row r="88" spans="1:7" x14ac:dyDescent="0.3">
      <c r="A88" s="13">
        <f>FLUXO_DIARIO!A77</f>
        <v>46161</v>
      </c>
      <c r="B88" s="14">
        <f>FLUXO_DIARIO!B77+FLUXO_DIARIO!D77</f>
        <v>0</v>
      </c>
      <c r="C88" s="14">
        <f>FLUXO_DIARIO!C77+FLUXO_DIARIO!E77</f>
        <v>0</v>
      </c>
      <c r="D88" s="14">
        <f t="shared" si="6"/>
        <v>0</v>
      </c>
      <c r="E88" s="14">
        <f>FLUXO_DIARIO!G77</f>
        <v>-3011506.8556077257</v>
      </c>
      <c r="F88" s="25">
        <f t="shared" si="7"/>
        <v>0</v>
      </c>
      <c r="G88" s="26" t="str">
        <f t="shared" si="8"/>
        <v>Crítico</v>
      </c>
    </row>
    <row r="89" spans="1:7" x14ac:dyDescent="0.3">
      <c r="A89" s="13">
        <f>FLUXO_DIARIO!A78</f>
        <v>46162</v>
      </c>
      <c r="B89" s="14">
        <f>FLUXO_DIARIO!B78+FLUXO_DIARIO!D78</f>
        <v>0</v>
      </c>
      <c r="C89" s="14">
        <f>FLUXO_DIARIO!C78+FLUXO_DIARIO!E78</f>
        <v>0</v>
      </c>
      <c r="D89" s="14">
        <f t="shared" si="6"/>
        <v>0</v>
      </c>
      <c r="E89" s="14">
        <f>FLUXO_DIARIO!G78</f>
        <v>-3011506.8556077257</v>
      </c>
      <c r="F89" s="25">
        <f t="shared" si="7"/>
        <v>0</v>
      </c>
      <c r="G89" s="26" t="str">
        <f t="shared" si="8"/>
        <v>Crítico</v>
      </c>
    </row>
    <row r="90" spans="1:7" x14ac:dyDescent="0.3">
      <c r="A90" s="13">
        <f>FLUXO_DIARIO!A79</f>
        <v>46163</v>
      </c>
      <c r="B90" s="14">
        <f>FLUXO_DIARIO!B79+FLUXO_DIARIO!D79</f>
        <v>0</v>
      </c>
      <c r="C90" s="14">
        <f>FLUXO_DIARIO!C79+FLUXO_DIARIO!E79</f>
        <v>0</v>
      </c>
      <c r="D90" s="14">
        <f t="shared" si="6"/>
        <v>0</v>
      </c>
      <c r="E90" s="14">
        <f>FLUXO_DIARIO!G79</f>
        <v>-3011506.8556077257</v>
      </c>
      <c r="F90" s="25">
        <f t="shared" si="7"/>
        <v>0</v>
      </c>
      <c r="G90" s="26" t="str">
        <f t="shared" si="8"/>
        <v>Crítico</v>
      </c>
    </row>
    <row r="91" spans="1:7" x14ac:dyDescent="0.3">
      <c r="A91" s="13">
        <f>FLUXO_DIARIO!A80</f>
        <v>46164</v>
      </c>
      <c r="B91" s="14">
        <f>FLUXO_DIARIO!B80+FLUXO_DIARIO!D80</f>
        <v>0</v>
      </c>
      <c r="C91" s="14">
        <f>FLUXO_DIARIO!C80+FLUXO_DIARIO!E80</f>
        <v>0</v>
      </c>
      <c r="D91" s="14">
        <f t="shared" si="6"/>
        <v>0</v>
      </c>
      <c r="E91" s="14">
        <f>FLUXO_DIARIO!G80</f>
        <v>-3011506.8556077257</v>
      </c>
      <c r="F91" s="25">
        <f t="shared" si="7"/>
        <v>0</v>
      </c>
      <c r="G91" s="26" t="str">
        <f t="shared" si="8"/>
        <v>Crítico</v>
      </c>
    </row>
    <row r="92" spans="1:7" x14ac:dyDescent="0.3">
      <c r="A92" s="13">
        <f>FLUXO_DIARIO!A81</f>
        <v>46165</v>
      </c>
      <c r="B92" s="14">
        <f>FLUXO_DIARIO!B81+FLUXO_DIARIO!D81</f>
        <v>0</v>
      </c>
      <c r="C92" s="14">
        <f>FLUXO_DIARIO!C81+FLUXO_DIARIO!E81</f>
        <v>0</v>
      </c>
      <c r="D92" s="14">
        <f t="shared" si="6"/>
        <v>0</v>
      </c>
      <c r="E92" s="14">
        <f>FLUXO_DIARIO!G81</f>
        <v>-3011506.8556077257</v>
      </c>
      <c r="F92" s="25">
        <f t="shared" si="7"/>
        <v>0</v>
      </c>
      <c r="G92" s="26" t="str">
        <f t="shared" si="8"/>
        <v>Crítico</v>
      </c>
    </row>
    <row r="93" spans="1:7" x14ac:dyDescent="0.3">
      <c r="A93" s="13">
        <f>FLUXO_DIARIO!A82</f>
        <v>46166</v>
      </c>
      <c r="B93" s="14">
        <f>FLUXO_DIARIO!B82+FLUXO_DIARIO!D82</f>
        <v>0</v>
      </c>
      <c r="C93" s="14">
        <f>FLUXO_DIARIO!C82+FLUXO_DIARIO!E82</f>
        <v>0</v>
      </c>
      <c r="D93" s="14">
        <f t="shared" si="6"/>
        <v>0</v>
      </c>
      <c r="E93" s="14">
        <f>FLUXO_DIARIO!G82</f>
        <v>-3011506.8556077257</v>
      </c>
      <c r="F93" s="25">
        <f t="shared" si="7"/>
        <v>0</v>
      </c>
      <c r="G93" s="26" t="str">
        <f t="shared" si="8"/>
        <v>Crítico</v>
      </c>
    </row>
    <row r="94" spans="1:7" x14ac:dyDescent="0.3">
      <c r="A94" s="13">
        <f>FLUXO_DIARIO!A83</f>
        <v>46167</v>
      </c>
      <c r="B94" s="14">
        <f>FLUXO_DIARIO!B83+FLUXO_DIARIO!D83</f>
        <v>0</v>
      </c>
      <c r="C94" s="14">
        <f>FLUXO_DIARIO!C83+FLUXO_DIARIO!E83</f>
        <v>0</v>
      </c>
      <c r="D94" s="14">
        <f t="shared" si="6"/>
        <v>0</v>
      </c>
      <c r="E94" s="14">
        <f>FLUXO_DIARIO!G83</f>
        <v>-3011506.8556077257</v>
      </c>
      <c r="F94" s="25">
        <f t="shared" si="7"/>
        <v>0</v>
      </c>
      <c r="G94" s="26" t="str">
        <f t="shared" si="8"/>
        <v>Crítico</v>
      </c>
    </row>
    <row r="95" spans="1:7" x14ac:dyDescent="0.3">
      <c r="A95" s="13">
        <f>FLUXO_DIARIO!A84</f>
        <v>46168</v>
      </c>
      <c r="B95" s="14">
        <f>FLUXO_DIARIO!B84+FLUXO_DIARIO!D84</f>
        <v>0</v>
      </c>
      <c r="C95" s="14">
        <f>FLUXO_DIARIO!C84+FLUXO_DIARIO!E84</f>
        <v>0</v>
      </c>
      <c r="D95" s="14">
        <f t="shared" si="6"/>
        <v>0</v>
      </c>
      <c r="E95" s="14">
        <f>FLUXO_DIARIO!G84</f>
        <v>-3011506.8556077257</v>
      </c>
      <c r="F95" s="25">
        <f t="shared" si="7"/>
        <v>0</v>
      </c>
      <c r="G95" s="26" t="str">
        <f t="shared" si="8"/>
        <v>Crítico</v>
      </c>
    </row>
    <row r="96" spans="1:7" x14ac:dyDescent="0.3">
      <c r="A96" s="13">
        <f>FLUXO_DIARIO!A85</f>
        <v>46169</v>
      </c>
      <c r="B96" s="14">
        <f>FLUXO_DIARIO!B85+FLUXO_DIARIO!D85</f>
        <v>0</v>
      </c>
      <c r="C96" s="14">
        <f>FLUXO_DIARIO!C85+FLUXO_DIARIO!E85</f>
        <v>0</v>
      </c>
      <c r="D96" s="14">
        <f t="shared" si="6"/>
        <v>0</v>
      </c>
      <c r="E96" s="14">
        <f>FLUXO_DIARIO!G85</f>
        <v>-3011506.8556077257</v>
      </c>
      <c r="F96" s="25">
        <f t="shared" si="7"/>
        <v>0</v>
      </c>
      <c r="G96" s="26" t="str">
        <f t="shared" si="8"/>
        <v>Crítico</v>
      </c>
    </row>
    <row r="97" spans="1:7" x14ac:dyDescent="0.3">
      <c r="A97" s="13">
        <f>FLUXO_DIARIO!A86</f>
        <v>46170</v>
      </c>
      <c r="B97" s="14">
        <f>FLUXO_DIARIO!B86+FLUXO_DIARIO!D86</f>
        <v>0</v>
      </c>
      <c r="C97" s="14">
        <f>FLUXO_DIARIO!C86+FLUXO_DIARIO!E86</f>
        <v>0</v>
      </c>
      <c r="D97" s="14">
        <f t="shared" si="6"/>
        <v>0</v>
      </c>
      <c r="E97" s="14">
        <f>FLUXO_DIARIO!G86</f>
        <v>-3011506.8556077257</v>
      </c>
      <c r="F97" s="25">
        <f t="shared" si="7"/>
        <v>0</v>
      </c>
      <c r="G97" s="26" t="str">
        <f t="shared" si="8"/>
        <v>Crítico</v>
      </c>
    </row>
    <row r="98" spans="1:7" x14ac:dyDescent="0.3">
      <c r="A98" s="13">
        <f>FLUXO_DIARIO!A87</f>
        <v>46171</v>
      </c>
      <c r="B98" s="14">
        <f>FLUXO_DIARIO!B87+FLUXO_DIARIO!D87</f>
        <v>1219493.518464</v>
      </c>
      <c r="C98" s="14">
        <f>FLUXO_DIARIO!C87+FLUXO_DIARIO!E87</f>
        <v>2222255.1585082212</v>
      </c>
      <c r="D98" s="14">
        <f t="shared" si="6"/>
        <v>-1002761.6400442212</v>
      </c>
      <c r="E98" s="14">
        <f>FLUXO_DIARIO!G87</f>
        <v>-4014268.4956519469</v>
      </c>
      <c r="F98" s="25">
        <f t="shared" si="7"/>
        <v>0.5487639498979201</v>
      </c>
      <c r="G98" s="26" t="str">
        <f t="shared" si="8"/>
        <v>Crítico</v>
      </c>
    </row>
    <row r="99" spans="1:7" x14ac:dyDescent="0.3">
      <c r="A99" s="13">
        <f>FLUXO_DIARIO!A88</f>
        <v>46172</v>
      </c>
      <c r="B99" s="14">
        <f>FLUXO_DIARIO!B88+FLUXO_DIARIO!D88</f>
        <v>0</v>
      </c>
      <c r="C99" s="14">
        <f>FLUXO_DIARIO!C88+FLUXO_DIARIO!E88</f>
        <v>0</v>
      </c>
      <c r="D99" s="14">
        <f t="shared" si="6"/>
        <v>0</v>
      </c>
      <c r="E99" s="14">
        <f>FLUXO_DIARIO!G88</f>
        <v>-4014268.4956519469</v>
      </c>
      <c r="F99" s="25">
        <f t="shared" si="7"/>
        <v>0</v>
      </c>
      <c r="G99" s="26" t="str">
        <f t="shared" si="8"/>
        <v>Crítico</v>
      </c>
    </row>
    <row r="100" spans="1:7" x14ac:dyDescent="0.3">
      <c r="A100" s="13">
        <f>FLUXO_DIARIO!A89</f>
        <v>46173</v>
      </c>
      <c r="B100" s="14">
        <f>FLUXO_DIARIO!B89+FLUXO_DIARIO!D89</f>
        <v>0</v>
      </c>
      <c r="C100" s="14">
        <f>FLUXO_DIARIO!C89+FLUXO_DIARIO!E89</f>
        <v>0</v>
      </c>
      <c r="D100" s="14">
        <f t="shared" si="6"/>
        <v>0</v>
      </c>
      <c r="E100" s="14">
        <f>FLUXO_DIARIO!G89</f>
        <v>-4014268.4956519469</v>
      </c>
      <c r="F100" s="25">
        <f t="shared" si="7"/>
        <v>0</v>
      </c>
      <c r="G100" s="26" t="str">
        <f t="shared" si="8"/>
        <v>Crítico</v>
      </c>
    </row>
    <row r="101" spans="1:7" x14ac:dyDescent="0.3">
      <c r="A101" s="13">
        <f>FLUXO_DIARIO!A90</f>
        <v>46174</v>
      </c>
      <c r="B101" s="14">
        <f>FLUXO_DIARIO!B90+FLUXO_DIARIO!D90</f>
        <v>0</v>
      </c>
      <c r="C101" s="14">
        <f>FLUXO_DIARIO!C90+FLUXO_DIARIO!E90</f>
        <v>0</v>
      </c>
      <c r="D101" s="14">
        <f t="shared" si="6"/>
        <v>0</v>
      </c>
      <c r="E101" s="14">
        <f>FLUXO_DIARIO!G90</f>
        <v>-4014268.4956519469</v>
      </c>
      <c r="F101" s="25">
        <f t="shared" si="7"/>
        <v>0</v>
      </c>
      <c r="G101" s="26" t="str">
        <f t="shared" si="8"/>
        <v>Crítico</v>
      </c>
    </row>
    <row r="102" spans="1:7" x14ac:dyDescent="0.3">
      <c r="A102" s="13">
        <f>FLUXO_DIARIO!A91</f>
        <v>46175</v>
      </c>
      <c r="B102" s="14">
        <f>FLUXO_DIARIO!B91+FLUXO_DIARIO!D91</f>
        <v>0</v>
      </c>
      <c r="C102" s="14">
        <f>FLUXO_DIARIO!C91+FLUXO_DIARIO!E91</f>
        <v>0</v>
      </c>
      <c r="D102" s="14">
        <f t="shared" si="6"/>
        <v>0</v>
      </c>
      <c r="E102" s="14">
        <f>FLUXO_DIARIO!G91</f>
        <v>-4014268.4956519469</v>
      </c>
      <c r="F102" s="25">
        <f t="shared" si="7"/>
        <v>0</v>
      </c>
      <c r="G102" s="26" t="str">
        <f t="shared" si="8"/>
        <v>Crítico</v>
      </c>
    </row>
    <row r="103" spans="1:7" x14ac:dyDescent="0.3">
      <c r="A103" s="13">
        <f>FLUXO_DIARIO!A92</f>
        <v>46176</v>
      </c>
      <c r="B103" s="14">
        <f>FLUXO_DIARIO!B92+FLUXO_DIARIO!D92</f>
        <v>0</v>
      </c>
      <c r="C103" s="14">
        <f>FLUXO_DIARIO!C92+FLUXO_DIARIO!E92</f>
        <v>0</v>
      </c>
      <c r="D103" s="14">
        <f t="shared" si="6"/>
        <v>0</v>
      </c>
      <c r="E103" s="14">
        <f>FLUXO_DIARIO!G92</f>
        <v>-4014268.4956519469</v>
      </c>
      <c r="F103" s="25">
        <f t="shared" si="7"/>
        <v>0</v>
      </c>
      <c r="G103" s="26" t="str">
        <f t="shared" si="8"/>
        <v>Crítico</v>
      </c>
    </row>
    <row r="104" spans="1:7" x14ac:dyDescent="0.3">
      <c r="A104" s="13">
        <f>FLUXO_DIARIO!A93</f>
        <v>46177</v>
      </c>
      <c r="B104" s="14">
        <f>FLUXO_DIARIO!B93+FLUXO_DIARIO!D93</f>
        <v>0</v>
      </c>
      <c r="C104" s="14">
        <f>FLUXO_DIARIO!C93+FLUXO_DIARIO!E93</f>
        <v>0</v>
      </c>
      <c r="D104" s="14">
        <f t="shared" si="6"/>
        <v>0</v>
      </c>
      <c r="E104" s="14">
        <f>FLUXO_DIARIO!G93</f>
        <v>-4014268.4956519469</v>
      </c>
      <c r="F104" s="25">
        <f t="shared" si="7"/>
        <v>0</v>
      </c>
      <c r="G104" s="26" t="str">
        <f t="shared" si="8"/>
        <v>Crítico</v>
      </c>
    </row>
    <row r="105" spans="1:7" x14ac:dyDescent="0.3">
      <c r="A105" s="13">
        <f>FLUXO_DIARIO!A94</f>
        <v>46178</v>
      </c>
      <c r="B105" s="14">
        <f>FLUXO_DIARIO!B94+FLUXO_DIARIO!D94</f>
        <v>0</v>
      </c>
      <c r="C105" s="14">
        <f>FLUXO_DIARIO!C94+FLUXO_DIARIO!E94</f>
        <v>0</v>
      </c>
      <c r="D105" s="14">
        <f t="shared" si="6"/>
        <v>0</v>
      </c>
      <c r="E105" s="14">
        <f>FLUXO_DIARIO!G94</f>
        <v>-4014268.4956519469</v>
      </c>
      <c r="F105" s="25">
        <f t="shared" si="7"/>
        <v>0</v>
      </c>
      <c r="G105" s="26" t="str">
        <f t="shared" si="8"/>
        <v>Crítico</v>
      </c>
    </row>
    <row r="106" spans="1:7" x14ac:dyDescent="0.3">
      <c r="A106" s="13">
        <f>FLUXO_DIARIO!A95</f>
        <v>46179</v>
      </c>
      <c r="B106" s="14">
        <f>FLUXO_DIARIO!B95+FLUXO_DIARIO!D95</f>
        <v>0</v>
      </c>
      <c r="C106" s="14">
        <f>FLUXO_DIARIO!C95+FLUXO_DIARIO!E95</f>
        <v>0</v>
      </c>
      <c r="D106" s="14">
        <f t="shared" si="6"/>
        <v>0</v>
      </c>
      <c r="E106" s="14">
        <f>FLUXO_DIARIO!G95</f>
        <v>-4014268.4956519469</v>
      </c>
      <c r="F106" s="25">
        <f t="shared" si="7"/>
        <v>0</v>
      </c>
      <c r="G106" s="26" t="str">
        <f t="shared" si="8"/>
        <v>Crítico</v>
      </c>
    </row>
    <row r="107" spans="1:7" x14ac:dyDescent="0.3">
      <c r="A107" s="13">
        <f>FLUXO_DIARIO!A96</f>
        <v>46180</v>
      </c>
      <c r="B107" s="14">
        <f>FLUXO_DIARIO!B96+FLUXO_DIARIO!D96</f>
        <v>0</v>
      </c>
      <c r="C107" s="14">
        <f>FLUXO_DIARIO!C96+FLUXO_DIARIO!E96</f>
        <v>0</v>
      </c>
      <c r="D107" s="14">
        <f t="shared" si="6"/>
        <v>0</v>
      </c>
      <c r="E107" s="14">
        <f>FLUXO_DIARIO!G96</f>
        <v>-4014268.4956519469</v>
      </c>
      <c r="F107" s="25">
        <f t="shared" si="7"/>
        <v>0</v>
      </c>
      <c r="G107" s="26" t="str">
        <f t="shared" si="8"/>
        <v>Crítico</v>
      </c>
    </row>
    <row r="108" spans="1:7" x14ac:dyDescent="0.3">
      <c r="A108" s="13">
        <f>FLUXO_DIARIO!A97</f>
        <v>46181</v>
      </c>
      <c r="B108" s="14">
        <f>FLUXO_DIARIO!B97+FLUXO_DIARIO!D97</f>
        <v>0</v>
      </c>
      <c r="C108" s="14">
        <f>FLUXO_DIARIO!C97+FLUXO_DIARIO!E97</f>
        <v>0</v>
      </c>
      <c r="D108" s="14">
        <f t="shared" si="6"/>
        <v>0</v>
      </c>
      <c r="E108" s="14">
        <f>FLUXO_DIARIO!G97</f>
        <v>-4014268.4956519469</v>
      </c>
      <c r="F108" s="25">
        <f t="shared" si="7"/>
        <v>0</v>
      </c>
      <c r="G108" s="26" t="str">
        <f t="shared" si="8"/>
        <v>Crítico</v>
      </c>
    </row>
    <row r="109" spans="1:7" x14ac:dyDescent="0.3">
      <c r="A109" s="13">
        <f>FLUXO_DIARIO!A98</f>
        <v>46182</v>
      </c>
      <c r="B109" s="14">
        <f>FLUXO_DIARIO!B98+FLUXO_DIARIO!D98</f>
        <v>0</v>
      </c>
      <c r="C109" s="14">
        <f>FLUXO_DIARIO!C98+FLUXO_DIARIO!E98</f>
        <v>0</v>
      </c>
      <c r="D109" s="14">
        <f t="shared" si="6"/>
        <v>0</v>
      </c>
      <c r="E109" s="14">
        <f>FLUXO_DIARIO!G98</f>
        <v>-4014268.4956519469</v>
      </c>
      <c r="F109" s="25">
        <f t="shared" si="7"/>
        <v>0</v>
      </c>
      <c r="G109" s="26" t="str">
        <f t="shared" si="8"/>
        <v>Crítico</v>
      </c>
    </row>
    <row r="110" spans="1:7" x14ac:dyDescent="0.3">
      <c r="A110" s="13">
        <f>FLUXO_DIARIO!A99</f>
        <v>46183</v>
      </c>
      <c r="B110" s="14">
        <f>FLUXO_DIARIO!B99+FLUXO_DIARIO!D99</f>
        <v>0</v>
      </c>
      <c r="C110" s="14">
        <f>FLUXO_DIARIO!C99+FLUXO_DIARIO!E99</f>
        <v>0</v>
      </c>
      <c r="D110" s="14">
        <f t="shared" si="6"/>
        <v>0</v>
      </c>
      <c r="E110" s="14">
        <f>FLUXO_DIARIO!G99</f>
        <v>-4014268.4956519469</v>
      </c>
      <c r="F110" s="25">
        <f t="shared" si="7"/>
        <v>0</v>
      </c>
      <c r="G110" s="26" t="str">
        <f t="shared" si="8"/>
        <v>Crítico</v>
      </c>
    </row>
    <row r="111" spans="1:7" x14ac:dyDescent="0.3">
      <c r="A111" s="13">
        <f>FLUXO_DIARIO!A100</f>
        <v>46184</v>
      </c>
      <c r="B111" s="14">
        <f>FLUXO_DIARIO!B100+FLUXO_DIARIO!D100</f>
        <v>0</v>
      </c>
      <c r="C111" s="14">
        <f>FLUXO_DIARIO!C100+FLUXO_DIARIO!E100</f>
        <v>0</v>
      </c>
      <c r="D111" s="14">
        <f t="shared" si="6"/>
        <v>0</v>
      </c>
      <c r="E111" s="14">
        <f>FLUXO_DIARIO!G100</f>
        <v>-4014268.4956519469</v>
      </c>
      <c r="F111" s="25">
        <f t="shared" si="7"/>
        <v>0</v>
      </c>
      <c r="G111" s="26" t="str">
        <f t="shared" si="8"/>
        <v>Crítico</v>
      </c>
    </row>
    <row r="112" spans="1:7" x14ac:dyDescent="0.3">
      <c r="A112" s="13">
        <f>FLUXO_DIARIO!A101</f>
        <v>46185</v>
      </c>
      <c r="B112" s="14">
        <f>FLUXO_DIARIO!B101+FLUXO_DIARIO!D101</f>
        <v>1842453.5438079999</v>
      </c>
      <c r="C112" s="14">
        <f>FLUXO_DIARIO!C101+FLUXO_DIARIO!E101</f>
        <v>2221408.2549701803</v>
      </c>
      <c r="D112" s="14">
        <f t="shared" si="6"/>
        <v>-378954.71116218041</v>
      </c>
      <c r="E112" s="14">
        <f>FLUXO_DIARIO!G101</f>
        <v>-4393223.206814127</v>
      </c>
      <c r="F112" s="25">
        <f t="shared" si="7"/>
        <v>0.82940789460275621</v>
      </c>
      <c r="G112" s="26" t="str">
        <f t="shared" si="8"/>
        <v>Crítico</v>
      </c>
    </row>
    <row r="113" spans="1:7" x14ac:dyDescent="0.3">
      <c r="A113" s="13">
        <f>FLUXO_DIARIO!A102</f>
        <v>46186</v>
      </c>
      <c r="B113" s="14">
        <f>FLUXO_DIARIO!B102+FLUXO_DIARIO!D102</f>
        <v>0</v>
      </c>
      <c r="C113" s="14">
        <f>FLUXO_DIARIO!C102+FLUXO_DIARIO!E102</f>
        <v>0</v>
      </c>
      <c r="D113" s="14">
        <f t="shared" ref="D113:D144" si="9">B113-C113</f>
        <v>0</v>
      </c>
      <c r="E113" s="14">
        <f>FLUXO_DIARIO!G102</f>
        <v>-4393223.206814127</v>
      </c>
      <c r="F113" s="25">
        <f t="shared" ref="F113:F144" si="10">IFERROR(B113/C113,0)</f>
        <v>0</v>
      </c>
      <c r="G113" s="26" t="str">
        <f t="shared" ref="G113:G144" si="11">IF(E113&lt;0,"Crítico",IF(F113&lt;1,"Atenção","Saudável"))</f>
        <v>Crítico</v>
      </c>
    </row>
    <row r="114" spans="1:7" x14ac:dyDescent="0.3">
      <c r="A114" s="13">
        <f>FLUXO_DIARIO!A103</f>
        <v>46187</v>
      </c>
      <c r="B114" s="14">
        <f>FLUXO_DIARIO!B103+FLUXO_DIARIO!D103</f>
        <v>0</v>
      </c>
      <c r="C114" s="14">
        <f>FLUXO_DIARIO!C103+FLUXO_DIARIO!E103</f>
        <v>0</v>
      </c>
      <c r="D114" s="14">
        <f t="shared" si="9"/>
        <v>0</v>
      </c>
      <c r="E114" s="14">
        <f>FLUXO_DIARIO!G103</f>
        <v>-4393223.206814127</v>
      </c>
      <c r="F114" s="25">
        <f t="shared" si="10"/>
        <v>0</v>
      </c>
      <c r="G114" s="26" t="str">
        <f t="shared" si="11"/>
        <v>Crítico</v>
      </c>
    </row>
    <row r="115" spans="1:7" x14ac:dyDescent="0.3">
      <c r="A115" s="13">
        <f>FLUXO_DIARIO!A104</f>
        <v>46188</v>
      </c>
      <c r="B115" s="14">
        <f>FLUXO_DIARIO!B104+FLUXO_DIARIO!D104</f>
        <v>0</v>
      </c>
      <c r="C115" s="14">
        <f>FLUXO_DIARIO!C104+FLUXO_DIARIO!E104</f>
        <v>0</v>
      </c>
      <c r="D115" s="14">
        <f t="shared" si="9"/>
        <v>0</v>
      </c>
      <c r="E115" s="14">
        <f>FLUXO_DIARIO!G104</f>
        <v>-4393223.206814127</v>
      </c>
      <c r="F115" s="25">
        <f t="shared" si="10"/>
        <v>0</v>
      </c>
      <c r="G115" s="26" t="str">
        <f t="shared" si="11"/>
        <v>Crítico</v>
      </c>
    </row>
    <row r="116" spans="1:7" x14ac:dyDescent="0.3">
      <c r="A116" s="13">
        <f>FLUXO_DIARIO!A105</f>
        <v>46189</v>
      </c>
      <c r="B116" s="14">
        <f>FLUXO_DIARIO!B105+FLUXO_DIARIO!D105</f>
        <v>0</v>
      </c>
      <c r="C116" s="14">
        <f>FLUXO_DIARIO!C105+FLUXO_DIARIO!E105</f>
        <v>0</v>
      </c>
      <c r="D116" s="14">
        <f t="shared" si="9"/>
        <v>0</v>
      </c>
      <c r="E116" s="14">
        <f>FLUXO_DIARIO!G105</f>
        <v>-4393223.206814127</v>
      </c>
      <c r="F116" s="25">
        <f t="shared" si="10"/>
        <v>0</v>
      </c>
      <c r="G116" s="26" t="str">
        <f t="shared" si="11"/>
        <v>Crítico</v>
      </c>
    </row>
    <row r="117" spans="1:7" x14ac:dyDescent="0.3">
      <c r="A117" s="13">
        <f>FLUXO_DIARIO!A106</f>
        <v>46190</v>
      </c>
      <c r="B117" s="14">
        <f>FLUXO_DIARIO!B106+FLUXO_DIARIO!D106</f>
        <v>0</v>
      </c>
      <c r="C117" s="14">
        <f>FLUXO_DIARIO!C106+FLUXO_DIARIO!E106</f>
        <v>0</v>
      </c>
      <c r="D117" s="14">
        <f t="shared" si="9"/>
        <v>0</v>
      </c>
      <c r="E117" s="14">
        <f>FLUXO_DIARIO!G106</f>
        <v>-4393223.206814127</v>
      </c>
      <c r="F117" s="25">
        <f t="shared" si="10"/>
        <v>0</v>
      </c>
      <c r="G117" s="26" t="str">
        <f t="shared" si="11"/>
        <v>Crítico</v>
      </c>
    </row>
    <row r="118" spans="1:7" x14ac:dyDescent="0.3">
      <c r="A118" s="13">
        <f>FLUXO_DIARIO!A107</f>
        <v>46191</v>
      </c>
      <c r="B118" s="14">
        <f>FLUXO_DIARIO!B107+FLUXO_DIARIO!D107</f>
        <v>0</v>
      </c>
      <c r="C118" s="14">
        <f>FLUXO_DIARIO!C107+FLUXO_DIARIO!E107</f>
        <v>0</v>
      </c>
      <c r="D118" s="14">
        <f t="shared" si="9"/>
        <v>0</v>
      </c>
      <c r="E118" s="14">
        <f>FLUXO_DIARIO!G107</f>
        <v>-4393223.206814127</v>
      </c>
      <c r="F118" s="25">
        <f t="shared" si="10"/>
        <v>0</v>
      </c>
      <c r="G118" s="26" t="str">
        <f t="shared" si="11"/>
        <v>Crítico</v>
      </c>
    </row>
    <row r="119" spans="1:7" x14ac:dyDescent="0.3">
      <c r="A119" s="13">
        <f>FLUXO_DIARIO!A108</f>
        <v>46192</v>
      </c>
      <c r="B119" s="14">
        <f>FLUXO_DIARIO!B108+FLUXO_DIARIO!D108</f>
        <v>0</v>
      </c>
      <c r="C119" s="14">
        <f>FLUXO_DIARIO!C108+FLUXO_DIARIO!E108</f>
        <v>0</v>
      </c>
      <c r="D119" s="14">
        <f t="shared" si="9"/>
        <v>0</v>
      </c>
      <c r="E119" s="14">
        <f>FLUXO_DIARIO!G108</f>
        <v>-4393223.206814127</v>
      </c>
      <c r="F119" s="25">
        <f t="shared" si="10"/>
        <v>0</v>
      </c>
      <c r="G119" s="26" t="str">
        <f t="shared" si="11"/>
        <v>Crítico</v>
      </c>
    </row>
    <row r="120" spans="1:7" x14ac:dyDescent="0.3">
      <c r="A120" s="13">
        <f>FLUXO_DIARIO!A109</f>
        <v>46193</v>
      </c>
      <c r="B120" s="14">
        <f>FLUXO_DIARIO!B109+FLUXO_DIARIO!D109</f>
        <v>0</v>
      </c>
      <c r="C120" s="14">
        <f>FLUXO_DIARIO!C109+FLUXO_DIARIO!E109</f>
        <v>0</v>
      </c>
      <c r="D120" s="14">
        <f t="shared" si="9"/>
        <v>0</v>
      </c>
      <c r="E120" s="14">
        <f>FLUXO_DIARIO!G109</f>
        <v>-4393223.206814127</v>
      </c>
      <c r="F120" s="25">
        <f t="shared" si="10"/>
        <v>0</v>
      </c>
      <c r="G120" s="26" t="str">
        <f t="shared" si="11"/>
        <v>Crítico</v>
      </c>
    </row>
    <row r="121" spans="1:7" x14ac:dyDescent="0.3">
      <c r="A121" s="13">
        <f>FLUXO_DIARIO!A110</f>
        <v>46194</v>
      </c>
      <c r="B121" s="14">
        <f>FLUXO_DIARIO!B110+FLUXO_DIARIO!D110</f>
        <v>0</v>
      </c>
      <c r="C121" s="14">
        <f>FLUXO_DIARIO!C110+FLUXO_DIARIO!E110</f>
        <v>0</v>
      </c>
      <c r="D121" s="14">
        <f t="shared" si="9"/>
        <v>0</v>
      </c>
      <c r="E121" s="14">
        <f>FLUXO_DIARIO!G110</f>
        <v>-4393223.206814127</v>
      </c>
      <c r="F121" s="25">
        <f t="shared" si="10"/>
        <v>0</v>
      </c>
      <c r="G121" s="26" t="str">
        <f t="shared" si="11"/>
        <v>Crítico</v>
      </c>
    </row>
    <row r="122" spans="1:7" x14ac:dyDescent="0.3">
      <c r="A122" s="13">
        <f>FLUXO_DIARIO!A111</f>
        <v>46195</v>
      </c>
      <c r="B122" s="14">
        <f>FLUXO_DIARIO!B111+FLUXO_DIARIO!D111</f>
        <v>0</v>
      </c>
      <c r="C122" s="14">
        <f>FLUXO_DIARIO!C111+FLUXO_DIARIO!E111</f>
        <v>0</v>
      </c>
      <c r="D122" s="14">
        <f t="shared" si="9"/>
        <v>0</v>
      </c>
      <c r="E122" s="14">
        <f>FLUXO_DIARIO!G111</f>
        <v>-4393223.206814127</v>
      </c>
      <c r="F122" s="25">
        <f t="shared" si="10"/>
        <v>0</v>
      </c>
      <c r="G122" s="26" t="str">
        <f t="shared" si="11"/>
        <v>Crítico</v>
      </c>
    </row>
    <row r="123" spans="1:7" x14ac:dyDescent="0.3">
      <c r="A123" s="13">
        <f>FLUXO_DIARIO!A112</f>
        <v>46196</v>
      </c>
      <c r="B123" s="14">
        <f>FLUXO_DIARIO!B112+FLUXO_DIARIO!D112</f>
        <v>0</v>
      </c>
      <c r="C123" s="14">
        <f>FLUXO_DIARIO!C112+FLUXO_DIARIO!E112</f>
        <v>0</v>
      </c>
      <c r="D123" s="14">
        <f t="shared" si="9"/>
        <v>0</v>
      </c>
      <c r="E123" s="14">
        <f>FLUXO_DIARIO!G112</f>
        <v>-4393223.206814127</v>
      </c>
      <c r="F123" s="25">
        <f t="shared" si="10"/>
        <v>0</v>
      </c>
      <c r="G123" s="26" t="str">
        <f t="shared" si="11"/>
        <v>Crítico</v>
      </c>
    </row>
    <row r="124" spans="1:7" x14ac:dyDescent="0.3">
      <c r="A124" s="13">
        <f>FLUXO_DIARIO!A113</f>
        <v>46197</v>
      </c>
      <c r="B124" s="14">
        <f>FLUXO_DIARIO!B113+FLUXO_DIARIO!D113</f>
        <v>0</v>
      </c>
      <c r="C124" s="14">
        <f>FLUXO_DIARIO!C113+FLUXO_DIARIO!E113</f>
        <v>0</v>
      </c>
      <c r="D124" s="14">
        <f t="shared" si="9"/>
        <v>0</v>
      </c>
      <c r="E124" s="14">
        <f>FLUXO_DIARIO!G113</f>
        <v>-4393223.206814127</v>
      </c>
      <c r="F124" s="25">
        <f t="shared" si="10"/>
        <v>0</v>
      </c>
      <c r="G124" s="26" t="str">
        <f t="shared" si="11"/>
        <v>Crítico</v>
      </c>
    </row>
    <row r="125" spans="1:7" x14ac:dyDescent="0.3">
      <c r="A125" s="13">
        <f>FLUXO_DIARIO!A114</f>
        <v>46198</v>
      </c>
      <c r="B125" s="14">
        <f>FLUXO_DIARIO!B114+FLUXO_DIARIO!D114</f>
        <v>0</v>
      </c>
      <c r="C125" s="14">
        <f>FLUXO_DIARIO!C114+FLUXO_DIARIO!E114</f>
        <v>0</v>
      </c>
      <c r="D125" s="14">
        <f t="shared" si="9"/>
        <v>0</v>
      </c>
      <c r="E125" s="14">
        <f>FLUXO_DIARIO!G114</f>
        <v>-4393223.206814127</v>
      </c>
      <c r="F125" s="25">
        <f t="shared" si="10"/>
        <v>0</v>
      </c>
      <c r="G125" s="26" t="str">
        <f t="shared" si="11"/>
        <v>Crítico</v>
      </c>
    </row>
    <row r="126" spans="1:7" x14ac:dyDescent="0.3">
      <c r="A126" s="13">
        <f>FLUXO_DIARIO!A115</f>
        <v>46199</v>
      </c>
      <c r="B126" s="14">
        <f>FLUXO_DIARIO!B115+FLUXO_DIARIO!D115</f>
        <v>838686.67072000005</v>
      </c>
      <c r="C126" s="14">
        <f>FLUXO_DIARIO!C115+FLUXO_DIARIO!E115</f>
        <v>936939.78008187236</v>
      </c>
      <c r="D126" s="14">
        <f t="shared" si="9"/>
        <v>-98253.10936187231</v>
      </c>
      <c r="E126" s="14">
        <f>FLUXO_DIARIO!G115</f>
        <v>-4491476.3161759991</v>
      </c>
      <c r="F126" s="25">
        <f t="shared" si="10"/>
        <v>0.89513401880184162</v>
      </c>
      <c r="G126" s="26" t="str">
        <f t="shared" si="11"/>
        <v>Crítico</v>
      </c>
    </row>
    <row r="127" spans="1:7" x14ac:dyDescent="0.3">
      <c r="A127" s="13">
        <f>FLUXO_DIARIO!A116</f>
        <v>46200</v>
      </c>
      <c r="B127" s="14">
        <f>FLUXO_DIARIO!B116+FLUXO_DIARIO!D116</f>
        <v>0</v>
      </c>
      <c r="C127" s="14">
        <f>FLUXO_DIARIO!C116+FLUXO_DIARIO!E116</f>
        <v>0</v>
      </c>
      <c r="D127" s="14">
        <f t="shared" si="9"/>
        <v>0</v>
      </c>
      <c r="E127" s="14">
        <f>FLUXO_DIARIO!G116</f>
        <v>-4491476.3161759991</v>
      </c>
      <c r="F127" s="25">
        <f t="shared" si="10"/>
        <v>0</v>
      </c>
      <c r="G127" s="26" t="str">
        <f t="shared" si="11"/>
        <v>Crítico</v>
      </c>
    </row>
    <row r="128" spans="1:7" x14ac:dyDescent="0.3">
      <c r="A128" s="13">
        <f>FLUXO_DIARIO!A117</f>
        <v>46201</v>
      </c>
      <c r="B128" s="14">
        <f>FLUXO_DIARIO!B117+FLUXO_DIARIO!D117</f>
        <v>0</v>
      </c>
      <c r="C128" s="14">
        <f>FLUXO_DIARIO!C117+FLUXO_DIARIO!E117</f>
        <v>0</v>
      </c>
      <c r="D128" s="14">
        <f t="shared" si="9"/>
        <v>0</v>
      </c>
      <c r="E128" s="14">
        <f>FLUXO_DIARIO!G117</f>
        <v>-4491476.3161759991</v>
      </c>
      <c r="F128" s="25">
        <f t="shared" si="10"/>
        <v>0</v>
      </c>
      <c r="G128" s="26" t="str">
        <f t="shared" si="11"/>
        <v>Crítico</v>
      </c>
    </row>
    <row r="129" spans="1:7" x14ac:dyDescent="0.3">
      <c r="A129" s="13">
        <f>FLUXO_DIARIO!A118</f>
        <v>46202</v>
      </c>
      <c r="B129" s="14">
        <f>FLUXO_DIARIO!B118+FLUXO_DIARIO!D118</f>
        <v>0</v>
      </c>
      <c r="C129" s="14">
        <f>FLUXO_DIARIO!C118+FLUXO_DIARIO!E118</f>
        <v>0</v>
      </c>
      <c r="D129" s="14">
        <f t="shared" si="9"/>
        <v>0</v>
      </c>
      <c r="E129" s="14">
        <f>FLUXO_DIARIO!G118</f>
        <v>-4491476.3161759991</v>
      </c>
      <c r="F129" s="25">
        <f t="shared" si="10"/>
        <v>0</v>
      </c>
      <c r="G129" s="26" t="str">
        <f t="shared" si="11"/>
        <v>Crítico</v>
      </c>
    </row>
    <row r="130" spans="1:7" x14ac:dyDescent="0.3">
      <c r="A130" s="13">
        <f>FLUXO_DIARIO!A119</f>
        <v>46203</v>
      </c>
      <c r="B130" s="14">
        <f>FLUXO_DIARIO!B119+FLUXO_DIARIO!D119</f>
        <v>0</v>
      </c>
      <c r="C130" s="14">
        <f>FLUXO_DIARIO!C119+FLUXO_DIARIO!E119</f>
        <v>0</v>
      </c>
      <c r="D130" s="14">
        <f t="shared" si="9"/>
        <v>0</v>
      </c>
      <c r="E130" s="14">
        <f>FLUXO_DIARIO!G119</f>
        <v>-4491476.3161759991</v>
      </c>
      <c r="F130" s="25">
        <f t="shared" si="10"/>
        <v>0</v>
      </c>
      <c r="G130" s="26" t="str">
        <f t="shared" si="11"/>
        <v>Crítico</v>
      </c>
    </row>
    <row r="131" spans="1:7" x14ac:dyDescent="0.3">
      <c r="A131" s="13">
        <f>FLUXO_DIARIO!A120</f>
        <v>46204</v>
      </c>
      <c r="B131" s="14">
        <f>FLUXO_DIARIO!B120+FLUXO_DIARIO!D120</f>
        <v>0</v>
      </c>
      <c r="C131" s="14">
        <f>FLUXO_DIARIO!C120+FLUXO_DIARIO!E120</f>
        <v>0</v>
      </c>
      <c r="D131" s="14">
        <f t="shared" si="9"/>
        <v>0</v>
      </c>
      <c r="E131" s="14">
        <f>FLUXO_DIARIO!G120</f>
        <v>-4491476.3161759991</v>
      </c>
      <c r="F131" s="25">
        <f t="shared" si="10"/>
        <v>0</v>
      </c>
      <c r="G131" s="26" t="str">
        <f t="shared" si="11"/>
        <v>Crítico</v>
      </c>
    </row>
    <row r="132" spans="1:7" x14ac:dyDescent="0.3">
      <c r="A132" s="13">
        <f>FLUXO_DIARIO!A121</f>
        <v>46205</v>
      </c>
      <c r="B132" s="14">
        <f>FLUXO_DIARIO!B121+FLUXO_DIARIO!D121</f>
        <v>0</v>
      </c>
      <c r="C132" s="14">
        <f>FLUXO_DIARIO!C121+FLUXO_DIARIO!E121</f>
        <v>0</v>
      </c>
      <c r="D132" s="14">
        <f t="shared" si="9"/>
        <v>0</v>
      </c>
      <c r="E132" s="14">
        <f>FLUXO_DIARIO!G121</f>
        <v>-4491476.3161759991</v>
      </c>
      <c r="F132" s="25">
        <f t="shared" si="10"/>
        <v>0</v>
      </c>
      <c r="G132" s="26" t="str">
        <f t="shared" si="11"/>
        <v>Crítico</v>
      </c>
    </row>
    <row r="133" spans="1:7" x14ac:dyDescent="0.3">
      <c r="A133" s="13">
        <f>FLUXO_DIARIO!A122</f>
        <v>46206</v>
      </c>
      <c r="B133" s="14">
        <f>FLUXO_DIARIO!B122+FLUXO_DIARIO!D122</f>
        <v>0</v>
      </c>
      <c r="C133" s="14">
        <f>FLUXO_DIARIO!C122+FLUXO_DIARIO!E122</f>
        <v>0</v>
      </c>
      <c r="D133" s="14">
        <f t="shared" si="9"/>
        <v>0</v>
      </c>
      <c r="E133" s="14">
        <f>FLUXO_DIARIO!G122</f>
        <v>-4491476.3161759991</v>
      </c>
      <c r="F133" s="25">
        <f t="shared" si="10"/>
        <v>0</v>
      </c>
      <c r="G133" s="26" t="str">
        <f t="shared" si="11"/>
        <v>Crítico</v>
      </c>
    </row>
    <row r="134" spans="1:7" x14ac:dyDescent="0.3">
      <c r="A134" s="13">
        <f>FLUXO_DIARIO!A123</f>
        <v>46207</v>
      </c>
      <c r="B134" s="14">
        <f>FLUXO_DIARIO!B123+FLUXO_DIARIO!D123</f>
        <v>0</v>
      </c>
      <c r="C134" s="14">
        <f>FLUXO_DIARIO!C123+FLUXO_DIARIO!E123</f>
        <v>0</v>
      </c>
      <c r="D134" s="14">
        <f t="shared" si="9"/>
        <v>0</v>
      </c>
      <c r="E134" s="14">
        <f>FLUXO_DIARIO!G123</f>
        <v>-4491476.3161759991</v>
      </c>
      <c r="F134" s="25">
        <f t="shared" si="10"/>
        <v>0</v>
      </c>
      <c r="G134" s="26" t="str">
        <f t="shared" si="11"/>
        <v>Crítico</v>
      </c>
    </row>
    <row r="135" spans="1:7" x14ac:dyDescent="0.3">
      <c r="A135" s="13">
        <f>FLUXO_DIARIO!A124</f>
        <v>46208</v>
      </c>
      <c r="B135" s="14">
        <f>FLUXO_DIARIO!B124+FLUXO_DIARIO!D124</f>
        <v>0</v>
      </c>
      <c r="C135" s="14">
        <f>FLUXO_DIARIO!C124+FLUXO_DIARIO!E124</f>
        <v>0</v>
      </c>
      <c r="D135" s="14">
        <f t="shared" si="9"/>
        <v>0</v>
      </c>
      <c r="E135" s="14">
        <f>FLUXO_DIARIO!G124</f>
        <v>-4491476.3161759991</v>
      </c>
      <c r="F135" s="25">
        <f t="shared" si="10"/>
        <v>0</v>
      </c>
      <c r="G135" s="26" t="str">
        <f t="shared" si="11"/>
        <v>Crítico</v>
      </c>
    </row>
    <row r="136" spans="1:7" x14ac:dyDescent="0.3">
      <c r="A136" s="13">
        <f>FLUXO_DIARIO!A125</f>
        <v>46209</v>
      </c>
      <c r="B136" s="14">
        <f>FLUXO_DIARIO!B125+FLUXO_DIARIO!D125</f>
        <v>0</v>
      </c>
      <c r="C136" s="14">
        <f>FLUXO_DIARIO!C125+FLUXO_DIARIO!E125</f>
        <v>0</v>
      </c>
      <c r="D136" s="14">
        <f t="shared" si="9"/>
        <v>0</v>
      </c>
      <c r="E136" s="14">
        <f>FLUXO_DIARIO!G125</f>
        <v>-4491476.3161759991</v>
      </c>
      <c r="F136" s="25">
        <f t="shared" si="10"/>
        <v>0</v>
      </c>
      <c r="G136" s="26" t="str">
        <f t="shared" si="11"/>
        <v>Crítico</v>
      </c>
    </row>
    <row r="137" spans="1:7" x14ac:dyDescent="0.3">
      <c r="A137" s="13">
        <f>FLUXO_DIARIO!A126</f>
        <v>46210</v>
      </c>
      <c r="B137" s="14">
        <f>FLUXO_DIARIO!B126+FLUXO_DIARIO!D126</f>
        <v>0</v>
      </c>
      <c r="C137" s="14">
        <f>FLUXO_DIARIO!C126+FLUXO_DIARIO!E126</f>
        <v>0</v>
      </c>
      <c r="D137" s="14">
        <f t="shared" si="9"/>
        <v>0</v>
      </c>
      <c r="E137" s="14">
        <f>FLUXO_DIARIO!G126</f>
        <v>-4491476.3161759991</v>
      </c>
      <c r="F137" s="25">
        <f t="shared" si="10"/>
        <v>0</v>
      </c>
      <c r="G137" s="26" t="str">
        <f t="shared" si="11"/>
        <v>Crítico</v>
      </c>
    </row>
    <row r="138" spans="1:7" x14ac:dyDescent="0.3">
      <c r="A138" s="13">
        <f>FLUXO_DIARIO!A127</f>
        <v>46211</v>
      </c>
      <c r="B138" s="14">
        <f>FLUXO_DIARIO!B127+FLUXO_DIARIO!D127</f>
        <v>0</v>
      </c>
      <c r="C138" s="14">
        <f>FLUXO_DIARIO!C127+FLUXO_DIARIO!E127</f>
        <v>0</v>
      </c>
      <c r="D138" s="14">
        <f t="shared" si="9"/>
        <v>0</v>
      </c>
      <c r="E138" s="14">
        <f>FLUXO_DIARIO!G127</f>
        <v>-4491476.3161759991</v>
      </c>
      <c r="F138" s="25">
        <f t="shared" si="10"/>
        <v>0</v>
      </c>
      <c r="G138" s="26" t="str">
        <f t="shared" si="11"/>
        <v>Crítico</v>
      </c>
    </row>
    <row r="139" spans="1:7" x14ac:dyDescent="0.3">
      <c r="A139" s="13">
        <f>FLUXO_DIARIO!A128</f>
        <v>46212</v>
      </c>
      <c r="B139" s="14">
        <f>FLUXO_DIARIO!B128+FLUXO_DIARIO!D128</f>
        <v>0</v>
      </c>
      <c r="C139" s="14">
        <f>FLUXO_DIARIO!C128+FLUXO_DIARIO!E128</f>
        <v>0</v>
      </c>
      <c r="D139" s="14">
        <f t="shared" si="9"/>
        <v>0</v>
      </c>
      <c r="E139" s="14">
        <f>FLUXO_DIARIO!G128</f>
        <v>-4491476.3161759991</v>
      </c>
      <c r="F139" s="25">
        <f t="shared" si="10"/>
        <v>0</v>
      </c>
      <c r="G139" s="26" t="str">
        <f t="shared" si="11"/>
        <v>Crítico</v>
      </c>
    </row>
    <row r="140" spans="1:7" x14ac:dyDescent="0.3">
      <c r="A140" s="13">
        <f>FLUXO_DIARIO!A129</f>
        <v>46213</v>
      </c>
      <c r="B140" s="14">
        <f>FLUXO_DIARIO!B129+FLUXO_DIARIO!D129</f>
        <v>419604.64831999998</v>
      </c>
      <c r="C140" s="14">
        <f>FLUXO_DIARIO!C129+FLUXO_DIARIO!E129</f>
        <v>247663.47564799996</v>
      </c>
      <c r="D140" s="14">
        <f t="shared" si="9"/>
        <v>171941.17267200002</v>
      </c>
      <c r="E140" s="14">
        <f>FLUXO_DIARIO!G129</f>
        <v>-4319535.1435039993</v>
      </c>
      <c r="F140" s="25">
        <f t="shared" si="10"/>
        <v>1.6942532491806632</v>
      </c>
      <c r="G140" s="26" t="str">
        <f t="shared" si="11"/>
        <v>Crítico</v>
      </c>
    </row>
    <row r="141" spans="1:7" x14ac:dyDescent="0.3">
      <c r="A141" s="13">
        <f>FLUXO_DIARIO!A130</f>
        <v>46214</v>
      </c>
      <c r="B141" s="14">
        <f>FLUXO_DIARIO!B130+FLUXO_DIARIO!D130</f>
        <v>0</v>
      </c>
      <c r="C141" s="14">
        <f>FLUXO_DIARIO!C130+FLUXO_DIARIO!E130</f>
        <v>0</v>
      </c>
      <c r="D141" s="14">
        <f t="shared" si="9"/>
        <v>0</v>
      </c>
      <c r="E141" s="14">
        <f>FLUXO_DIARIO!G130</f>
        <v>-4319535.1435039993</v>
      </c>
      <c r="F141" s="25">
        <f t="shared" si="10"/>
        <v>0</v>
      </c>
      <c r="G141" s="26" t="str">
        <f t="shared" si="11"/>
        <v>Crítico</v>
      </c>
    </row>
    <row r="142" spans="1:7" x14ac:dyDescent="0.3">
      <c r="A142" s="13">
        <f>FLUXO_DIARIO!A131</f>
        <v>46215</v>
      </c>
      <c r="B142" s="14">
        <f>FLUXO_DIARIO!B131+FLUXO_DIARIO!D131</f>
        <v>0</v>
      </c>
      <c r="C142" s="14">
        <f>FLUXO_DIARIO!C131+FLUXO_DIARIO!E131</f>
        <v>0</v>
      </c>
      <c r="D142" s="14">
        <f t="shared" si="9"/>
        <v>0</v>
      </c>
      <c r="E142" s="14">
        <f>FLUXO_DIARIO!G131</f>
        <v>-4319535.1435039993</v>
      </c>
      <c r="F142" s="25">
        <f t="shared" si="10"/>
        <v>0</v>
      </c>
      <c r="G142" s="26" t="str">
        <f t="shared" si="11"/>
        <v>Crítico</v>
      </c>
    </row>
    <row r="143" spans="1:7" x14ac:dyDescent="0.3">
      <c r="A143" s="13">
        <f>FLUXO_DIARIO!A132</f>
        <v>46216</v>
      </c>
      <c r="B143" s="14">
        <f>FLUXO_DIARIO!B132+FLUXO_DIARIO!D132</f>
        <v>0</v>
      </c>
      <c r="C143" s="14">
        <f>FLUXO_DIARIO!C132+FLUXO_DIARIO!E132</f>
        <v>0</v>
      </c>
      <c r="D143" s="14">
        <f t="shared" si="9"/>
        <v>0</v>
      </c>
      <c r="E143" s="14">
        <f>FLUXO_DIARIO!G132</f>
        <v>-4319535.1435039993</v>
      </c>
      <c r="F143" s="25">
        <f t="shared" si="10"/>
        <v>0</v>
      </c>
      <c r="G143" s="26" t="str">
        <f t="shared" si="11"/>
        <v>Crítico</v>
      </c>
    </row>
    <row r="144" spans="1:7" x14ac:dyDescent="0.3">
      <c r="A144" s="13">
        <f>FLUXO_DIARIO!A133</f>
        <v>46217</v>
      </c>
      <c r="B144" s="14">
        <f>FLUXO_DIARIO!B133+FLUXO_DIARIO!D133</f>
        <v>0</v>
      </c>
      <c r="C144" s="14">
        <f>FLUXO_DIARIO!C133+FLUXO_DIARIO!E133</f>
        <v>0</v>
      </c>
      <c r="D144" s="14">
        <f t="shared" si="9"/>
        <v>0</v>
      </c>
      <c r="E144" s="14">
        <f>FLUXO_DIARIO!G133</f>
        <v>-4319535.1435039993</v>
      </c>
      <c r="F144" s="25">
        <f t="shared" si="10"/>
        <v>0</v>
      </c>
      <c r="G144" s="26" t="str">
        <f t="shared" si="11"/>
        <v>Crítico</v>
      </c>
    </row>
    <row r="145" spans="1:7" x14ac:dyDescent="0.3">
      <c r="A145" s="13">
        <f>FLUXO_DIARIO!A134</f>
        <v>46218</v>
      </c>
      <c r="B145" s="14">
        <f>FLUXO_DIARIO!B134+FLUXO_DIARIO!D134</f>
        <v>0</v>
      </c>
      <c r="C145" s="14">
        <f>FLUXO_DIARIO!C134+FLUXO_DIARIO!E134</f>
        <v>0</v>
      </c>
      <c r="D145" s="14">
        <f t="shared" ref="D145:D176" si="12">B145-C145</f>
        <v>0</v>
      </c>
      <c r="E145" s="14">
        <f>FLUXO_DIARIO!G134</f>
        <v>-4319535.1435039993</v>
      </c>
      <c r="F145" s="25">
        <f t="shared" ref="F145:F176" si="13">IFERROR(B145/C145,0)</f>
        <v>0</v>
      </c>
      <c r="G145" s="26" t="str">
        <f t="shared" ref="G145:G176" si="14">IF(E145&lt;0,"Crítico",IF(F145&lt;1,"Atenção","Saudável"))</f>
        <v>Crítico</v>
      </c>
    </row>
    <row r="146" spans="1:7" x14ac:dyDescent="0.3">
      <c r="A146" s="13">
        <f>FLUXO_DIARIO!A135</f>
        <v>46219</v>
      </c>
      <c r="B146" s="14">
        <f>FLUXO_DIARIO!B135+FLUXO_DIARIO!D135</f>
        <v>0</v>
      </c>
      <c r="C146" s="14">
        <f>FLUXO_DIARIO!C135+FLUXO_DIARIO!E135</f>
        <v>0</v>
      </c>
      <c r="D146" s="14">
        <f t="shared" si="12"/>
        <v>0</v>
      </c>
      <c r="E146" s="14">
        <f>FLUXO_DIARIO!G135</f>
        <v>-4319535.1435039993</v>
      </c>
      <c r="F146" s="25">
        <f t="shared" si="13"/>
        <v>0</v>
      </c>
      <c r="G146" s="26" t="str">
        <f t="shared" si="14"/>
        <v>Crítico</v>
      </c>
    </row>
    <row r="147" spans="1:7" x14ac:dyDescent="0.3">
      <c r="A147" s="13">
        <f>FLUXO_DIARIO!A136</f>
        <v>46220</v>
      </c>
      <c r="B147" s="14">
        <f>FLUXO_DIARIO!B136+FLUXO_DIARIO!D136</f>
        <v>0</v>
      </c>
      <c r="C147" s="14">
        <f>FLUXO_DIARIO!C136+FLUXO_DIARIO!E136</f>
        <v>0</v>
      </c>
      <c r="D147" s="14">
        <f t="shared" si="12"/>
        <v>0</v>
      </c>
      <c r="E147" s="14">
        <f>FLUXO_DIARIO!G136</f>
        <v>-4319535.1435039993</v>
      </c>
      <c r="F147" s="25">
        <f t="shared" si="13"/>
        <v>0</v>
      </c>
      <c r="G147" s="26" t="str">
        <f t="shared" si="14"/>
        <v>Crítico</v>
      </c>
    </row>
    <row r="148" spans="1:7" x14ac:dyDescent="0.3">
      <c r="A148" s="13">
        <f>FLUXO_DIARIO!A137</f>
        <v>46221</v>
      </c>
      <c r="B148" s="14">
        <f>FLUXO_DIARIO!B137+FLUXO_DIARIO!D137</f>
        <v>0</v>
      </c>
      <c r="C148" s="14">
        <f>FLUXO_DIARIO!C137+FLUXO_DIARIO!E137</f>
        <v>0</v>
      </c>
      <c r="D148" s="14">
        <f t="shared" si="12"/>
        <v>0</v>
      </c>
      <c r="E148" s="14">
        <f>FLUXO_DIARIO!G137</f>
        <v>-4319535.1435039993</v>
      </c>
      <c r="F148" s="25">
        <f t="shared" si="13"/>
        <v>0</v>
      </c>
      <c r="G148" s="26" t="str">
        <f t="shared" si="14"/>
        <v>Crítico</v>
      </c>
    </row>
    <row r="149" spans="1:7" x14ac:dyDescent="0.3">
      <c r="A149" s="13">
        <f>FLUXO_DIARIO!A138</f>
        <v>46222</v>
      </c>
      <c r="B149" s="14">
        <f>FLUXO_DIARIO!B138+FLUXO_DIARIO!D138</f>
        <v>0</v>
      </c>
      <c r="C149" s="14">
        <f>FLUXO_DIARIO!C138+FLUXO_DIARIO!E138</f>
        <v>0</v>
      </c>
      <c r="D149" s="14">
        <f t="shared" si="12"/>
        <v>0</v>
      </c>
      <c r="E149" s="14">
        <f>FLUXO_DIARIO!G138</f>
        <v>-4319535.1435039993</v>
      </c>
      <c r="F149" s="25">
        <f t="shared" si="13"/>
        <v>0</v>
      </c>
      <c r="G149" s="26" t="str">
        <f t="shared" si="14"/>
        <v>Crítico</v>
      </c>
    </row>
    <row r="150" spans="1:7" x14ac:dyDescent="0.3">
      <c r="A150" s="13">
        <f>FLUXO_DIARIO!A139</f>
        <v>46223</v>
      </c>
      <c r="B150" s="14">
        <f>FLUXO_DIARIO!B139+FLUXO_DIARIO!D139</f>
        <v>0</v>
      </c>
      <c r="C150" s="14">
        <f>FLUXO_DIARIO!C139+FLUXO_DIARIO!E139</f>
        <v>0</v>
      </c>
      <c r="D150" s="14">
        <f t="shared" si="12"/>
        <v>0</v>
      </c>
      <c r="E150" s="14">
        <f>FLUXO_DIARIO!G139</f>
        <v>-4319535.1435039993</v>
      </c>
      <c r="F150" s="25">
        <f t="shared" si="13"/>
        <v>0</v>
      </c>
      <c r="G150" s="26" t="str">
        <f t="shared" si="14"/>
        <v>Crítico</v>
      </c>
    </row>
    <row r="151" spans="1:7" x14ac:dyDescent="0.3">
      <c r="A151" s="13">
        <f>FLUXO_DIARIO!A140</f>
        <v>46224</v>
      </c>
      <c r="B151" s="14">
        <f>FLUXO_DIARIO!B140+FLUXO_DIARIO!D140</f>
        <v>0</v>
      </c>
      <c r="C151" s="14">
        <f>FLUXO_DIARIO!C140+FLUXO_DIARIO!E140</f>
        <v>0</v>
      </c>
      <c r="D151" s="14">
        <f t="shared" si="12"/>
        <v>0</v>
      </c>
      <c r="E151" s="14">
        <f>FLUXO_DIARIO!G140</f>
        <v>-4319535.1435039993</v>
      </c>
      <c r="F151" s="25">
        <f t="shared" si="13"/>
        <v>0</v>
      </c>
      <c r="G151" s="26" t="str">
        <f t="shared" si="14"/>
        <v>Crítico</v>
      </c>
    </row>
    <row r="152" spans="1:7" x14ac:dyDescent="0.3">
      <c r="A152" s="13">
        <f>FLUXO_DIARIO!A141</f>
        <v>46225</v>
      </c>
      <c r="B152" s="14">
        <f>FLUXO_DIARIO!B141+FLUXO_DIARIO!D141</f>
        <v>0</v>
      </c>
      <c r="C152" s="14">
        <f>FLUXO_DIARIO!C141+FLUXO_DIARIO!E141</f>
        <v>0</v>
      </c>
      <c r="D152" s="14">
        <f t="shared" si="12"/>
        <v>0</v>
      </c>
      <c r="E152" s="14">
        <f>FLUXO_DIARIO!G141</f>
        <v>-4319535.1435039993</v>
      </c>
      <c r="F152" s="25">
        <f t="shared" si="13"/>
        <v>0</v>
      </c>
      <c r="G152" s="26" t="str">
        <f t="shared" si="14"/>
        <v>Crítico</v>
      </c>
    </row>
    <row r="153" spans="1:7" x14ac:dyDescent="0.3">
      <c r="A153" s="13">
        <f>FLUXO_DIARIO!A142</f>
        <v>46226</v>
      </c>
      <c r="B153" s="14">
        <f>FLUXO_DIARIO!B142+FLUXO_DIARIO!D142</f>
        <v>0</v>
      </c>
      <c r="C153" s="14">
        <f>FLUXO_DIARIO!C142+FLUXO_DIARIO!E142</f>
        <v>0</v>
      </c>
      <c r="D153" s="14">
        <f t="shared" si="12"/>
        <v>0</v>
      </c>
      <c r="E153" s="14">
        <f>FLUXO_DIARIO!G142</f>
        <v>-4319535.1435039993</v>
      </c>
      <c r="F153" s="25">
        <f t="shared" si="13"/>
        <v>0</v>
      </c>
      <c r="G153" s="26" t="str">
        <f t="shared" si="14"/>
        <v>Crítico</v>
      </c>
    </row>
    <row r="154" spans="1:7" x14ac:dyDescent="0.3">
      <c r="A154" s="13">
        <f>FLUXO_DIARIO!A143</f>
        <v>46227</v>
      </c>
      <c r="B154" s="14">
        <f>FLUXO_DIARIO!B143+FLUXO_DIARIO!D143</f>
        <v>315298.83584000001</v>
      </c>
      <c r="C154" s="14">
        <f>FLUXO_DIARIO!C143+FLUXO_DIARIO!E143</f>
        <v>500432.10643200006</v>
      </c>
      <c r="D154" s="14">
        <f t="shared" si="12"/>
        <v>-185133.27059200004</v>
      </c>
      <c r="E154" s="14">
        <f>FLUXO_DIARIO!G143</f>
        <v>-4504668.4140959997</v>
      </c>
      <c r="F154" s="25">
        <f t="shared" si="13"/>
        <v>0.63005317162407848</v>
      </c>
      <c r="G154" s="26" t="str">
        <f t="shared" si="14"/>
        <v>Crítico</v>
      </c>
    </row>
    <row r="155" spans="1:7" x14ac:dyDescent="0.3">
      <c r="A155" s="13">
        <f>FLUXO_DIARIO!A144</f>
        <v>46228</v>
      </c>
      <c r="B155" s="14">
        <f>FLUXO_DIARIO!B144+FLUXO_DIARIO!D144</f>
        <v>0</v>
      </c>
      <c r="C155" s="14">
        <f>FLUXO_DIARIO!C144+FLUXO_DIARIO!E144</f>
        <v>0</v>
      </c>
      <c r="D155" s="14">
        <f t="shared" si="12"/>
        <v>0</v>
      </c>
      <c r="E155" s="14">
        <f>FLUXO_DIARIO!G144</f>
        <v>-4504668.4140959997</v>
      </c>
      <c r="F155" s="25">
        <f t="shared" si="13"/>
        <v>0</v>
      </c>
      <c r="G155" s="26" t="str">
        <f t="shared" si="14"/>
        <v>Crítico</v>
      </c>
    </row>
    <row r="156" spans="1:7" x14ac:dyDescent="0.3">
      <c r="A156" s="13">
        <f>FLUXO_DIARIO!A145</f>
        <v>46229</v>
      </c>
      <c r="B156" s="14">
        <f>FLUXO_DIARIO!B145+FLUXO_DIARIO!D145</f>
        <v>0</v>
      </c>
      <c r="C156" s="14">
        <f>FLUXO_DIARIO!C145+FLUXO_DIARIO!E145</f>
        <v>0</v>
      </c>
      <c r="D156" s="14">
        <f t="shared" si="12"/>
        <v>0</v>
      </c>
      <c r="E156" s="14">
        <f>FLUXO_DIARIO!G145</f>
        <v>-4504668.4140959997</v>
      </c>
      <c r="F156" s="25">
        <f t="shared" si="13"/>
        <v>0</v>
      </c>
      <c r="G156" s="26" t="str">
        <f t="shared" si="14"/>
        <v>Crítico</v>
      </c>
    </row>
    <row r="157" spans="1:7" x14ac:dyDescent="0.3">
      <c r="A157" s="13">
        <f>FLUXO_DIARIO!A146</f>
        <v>46230</v>
      </c>
      <c r="B157" s="14">
        <f>FLUXO_DIARIO!B146+FLUXO_DIARIO!D146</f>
        <v>0</v>
      </c>
      <c r="C157" s="14">
        <f>FLUXO_DIARIO!C146+FLUXO_DIARIO!E146</f>
        <v>0</v>
      </c>
      <c r="D157" s="14">
        <f t="shared" si="12"/>
        <v>0</v>
      </c>
      <c r="E157" s="14">
        <f>FLUXO_DIARIO!G146</f>
        <v>-4504668.4140959997</v>
      </c>
      <c r="F157" s="25">
        <f t="shared" si="13"/>
        <v>0</v>
      </c>
      <c r="G157" s="26" t="str">
        <f t="shared" si="14"/>
        <v>Crítico</v>
      </c>
    </row>
    <row r="158" spans="1:7" x14ac:dyDescent="0.3">
      <c r="A158" s="13">
        <f>FLUXO_DIARIO!A147</f>
        <v>46231</v>
      </c>
      <c r="B158" s="14">
        <f>FLUXO_DIARIO!B147+FLUXO_DIARIO!D147</f>
        <v>0</v>
      </c>
      <c r="C158" s="14">
        <f>FLUXO_DIARIO!C147+FLUXO_DIARIO!E147</f>
        <v>0</v>
      </c>
      <c r="D158" s="14">
        <f t="shared" si="12"/>
        <v>0</v>
      </c>
      <c r="E158" s="14">
        <f>FLUXO_DIARIO!G147</f>
        <v>-4504668.4140959997</v>
      </c>
      <c r="F158" s="25">
        <f t="shared" si="13"/>
        <v>0</v>
      </c>
      <c r="G158" s="26" t="str">
        <f t="shared" si="14"/>
        <v>Crítico</v>
      </c>
    </row>
    <row r="159" spans="1:7" x14ac:dyDescent="0.3">
      <c r="A159" s="13">
        <f>FLUXO_DIARIO!A148</f>
        <v>46232</v>
      </c>
      <c r="B159" s="14">
        <f>FLUXO_DIARIO!B148+FLUXO_DIARIO!D148</f>
        <v>0</v>
      </c>
      <c r="C159" s="14">
        <f>FLUXO_DIARIO!C148+FLUXO_DIARIO!E148</f>
        <v>0</v>
      </c>
      <c r="D159" s="14">
        <f t="shared" si="12"/>
        <v>0</v>
      </c>
      <c r="E159" s="14">
        <f>FLUXO_DIARIO!G148</f>
        <v>-4504668.4140959997</v>
      </c>
      <c r="F159" s="25">
        <f t="shared" si="13"/>
        <v>0</v>
      </c>
      <c r="G159" s="26" t="str">
        <f t="shared" si="14"/>
        <v>Crítico</v>
      </c>
    </row>
    <row r="160" spans="1:7" x14ac:dyDescent="0.3">
      <c r="A160" s="13">
        <f>FLUXO_DIARIO!A149</f>
        <v>46233</v>
      </c>
      <c r="B160" s="14">
        <f>FLUXO_DIARIO!B149+FLUXO_DIARIO!D149</f>
        <v>0</v>
      </c>
      <c r="C160" s="14">
        <f>FLUXO_DIARIO!C149+FLUXO_DIARIO!E149</f>
        <v>0</v>
      </c>
      <c r="D160" s="14">
        <f t="shared" si="12"/>
        <v>0</v>
      </c>
      <c r="E160" s="14">
        <f>FLUXO_DIARIO!G149</f>
        <v>-4504668.4140959997</v>
      </c>
      <c r="F160" s="25">
        <f t="shared" si="13"/>
        <v>0</v>
      </c>
      <c r="G160" s="26" t="str">
        <f t="shared" si="14"/>
        <v>Crítico</v>
      </c>
    </row>
    <row r="161" spans="1:7" x14ac:dyDescent="0.3">
      <c r="A161" s="13">
        <f>FLUXO_DIARIO!A150</f>
        <v>46234</v>
      </c>
      <c r="B161" s="14">
        <f>FLUXO_DIARIO!B150+FLUXO_DIARIO!D150</f>
        <v>0</v>
      </c>
      <c r="C161" s="14">
        <f>FLUXO_DIARIO!C150+FLUXO_DIARIO!E150</f>
        <v>0</v>
      </c>
      <c r="D161" s="14">
        <f t="shared" si="12"/>
        <v>0</v>
      </c>
      <c r="E161" s="14">
        <f>FLUXO_DIARIO!G150</f>
        <v>-4504668.4140959997</v>
      </c>
      <c r="F161" s="25">
        <f t="shared" si="13"/>
        <v>0</v>
      </c>
      <c r="G161" s="26" t="str">
        <f t="shared" si="14"/>
        <v>Crítico</v>
      </c>
    </row>
    <row r="162" spans="1:7" x14ac:dyDescent="0.3">
      <c r="A162" s="13">
        <f>FLUXO_DIARIO!A151</f>
        <v>46235</v>
      </c>
      <c r="B162" s="14">
        <f>FLUXO_DIARIO!B151+FLUXO_DIARIO!D151</f>
        <v>0</v>
      </c>
      <c r="C162" s="14">
        <f>FLUXO_DIARIO!C151+FLUXO_DIARIO!E151</f>
        <v>0</v>
      </c>
      <c r="D162" s="14">
        <f t="shared" si="12"/>
        <v>0</v>
      </c>
      <c r="E162" s="14">
        <f>FLUXO_DIARIO!G151</f>
        <v>-4504668.4140959997</v>
      </c>
      <c r="F162" s="25">
        <f t="shared" si="13"/>
        <v>0</v>
      </c>
      <c r="G162" s="26" t="str">
        <f t="shared" si="14"/>
        <v>Crítico</v>
      </c>
    </row>
    <row r="163" spans="1:7" x14ac:dyDescent="0.3">
      <c r="A163" s="13">
        <f>FLUXO_DIARIO!A152</f>
        <v>46236</v>
      </c>
      <c r="B163" s="14">
        <f>FLUXO_DIARIO!B152+FLUXO_DIARIO!D152</f>
        <v>0</v>
      </c>
      <c r="C163" s="14">
        <f>FLUXO_DIARIO!C152+FLUXO_DIARIO!E152</f>
        <v>0</v>
      </c>
      <c r="D163" s="14">
        <f t="shared" si="12"/>
        <v>0</v>
      </c>
      <c r="E163" s="14">
        <f>FLUXO_DIARIO!G152</f>
        <v>-4504668.4140959997</v>
      </c>
      <c r="F163" s="25">
        <f t="shared" si="13"/>
        <v>0</v>
      </c>
      <c r="G163" s="26" t="str">
        <f t="shared" si="14"/>
        <v>Crítico</v>
      </c>
    </row>
    <row r="164" spans="1:7" x14ac:dyDescent="0.3">
      <c r="A164" s="13">
        <f>FLUXO_DIARIO!A153</f>
        <v>46237</v>
      </c>
      <c r="B164" s="14">
        <f>FLUXO_DIARIO!B153+FLUXO_DIARIO!D153</f>
        <v>0</v>
      </c>
      <c r="C164" s="14">
        <f>FLUXO_DIARIO!C153+FLUXO_DIARIO!E153</f>
        <v>0</v>
      </c>
      <c r="D164" s="14">
        <f t="shared" si="12"/>
        <v>0</v>
      </c>
      <c r="E164" s="14">
        <f>FLUXO_DIARIO!G153</f>
        <v>-4504668.4140959997</v>
      </c>
      <c r="F164" s="25">
        <f t="shared" si="13"/>
        <v>0</v>
      </c>
      <c r="G164" s="26" t="str">
        <f t="shared" si="14"/>
        <v>Crítico</v>
      </c>
    </row>
    <row r="165" spans="1:7" x14ac:dyDescent="0.3">
      <c r="A165" s="13">
        <f>FLUXO_DIARIO!A154</f>
        <v>46238</v>
      </c>
      <c r="B165" s="14">
        <f>FLUXO_DIARIO!B154+FLUXO_DIARIO!D154</f>
        <v>0</v>
      </c>
      <c r="C165" s="14">
        <f>FLUXO_DIARIO!C154+FLUXO_DIARIO!E154</f>
        <v>0</v>
      </c>
      <c r="D165" s="14">
        <f t="shared" si="12"/>
        <v>0</v>
      </c>
      <c r="E165" s="14">
        <f>FLUXO_DIARIO!G154</f>
        <v>-4504668.4140959997</v>
      </c>
      <c r="F165" s="25">
        <f t="shared" si="13"/>
        <v>0</v>
      </c>
      <c r="G165" s="26" t="str">
        <f t="shared" si="14"/>
        <v>Crítico</v>
      </c>
    </row>
    <row r="166" spans="1:7" x14ac:dyDescent="0.3">
      <c r="A166" s="13">
        <f>FLUXO_DIARIO!A155</f>
        <v>46239</v>
      </c>
      <c r="B166" s="14">
        <f>FLUXO_DIARIO!B155+FLUXO_DIARIO!D155</f>
        <v>0</v>
      </c>
      <c r="C166" s="14">
        <f>FLUXO_DIARIO!C155+FLUXO_DIARIO!E155</f>
        <v>0</v>
      </c>
      <c r="D166" s="14">
        <f t="shared" si="12"/>
        <v>0</v>
      </c>
      <c r="E166" s="14">
        <f>FLUXO_DIARIO!G155</f>
        <v>-4504668.4140959997</v>
      </c>
      <c r="F166" s="25">
        <f t="shared" si="13"/>
        <v>0</v>
      </c>
      <c r="G166" s="26" t="str">
        <f t="shared" si="14"/>
        <v>Crítico</v>
      </c>
    </row>
    <row r="167" spans="1:7" x14ac:dyDescent="0.3">
      <c r="A167" s="13">
        <f>FLUXO_DIARIO!A156</f>
        <v>46240</v>
      </c>
      <c r="B167" s="14">
        <f>FLUXO_DIARIO!B156+FLUXO_DIARIO!D156</f>
        <v>0</v>
      </c>
      <c r="C167" s="14">
        <f>FLUXO_DIARIO!C156+FLUXO_DIARIO!E156</f>
        <v>0</v>
      </c>
      <c r="D167" s="14">
        <f t="shared" si="12"/>
        <v>0</v>
      </c>
      <c r="E167" s="14">
        <f>FLUXO_DIARIO!G156</f>
        <v>-4504668.4140959997</v>
      </c>
      <c r="F167" s="25">
        <f t="shared" si="13"/>
        <v>0</v>
      </c>
      <c r="G167" s="26" t="str">
        <f t="shared" si="14"/>
        <v>Crítico</v>
      </c>
    </row>
    <row r="168" spans="1:7" x14ac:dyDescent="0.3">
      <c r="A168" s="13">
        <f>FLUXO_DIARIO!A157</f>
        <v>46241</v>
      </c>
      <c r="B168" s="14">
        <f>FLUXO_DIARIO!B157+FLUXO_DIARIO!D157</f>
        <v>0</v>
      </c>
      <c r="C168" s="14">
        <f>FLUXO_DIARIO!C157+FLUXO_DIARIO!E157</f>
        <v>0</v>
      </c>
      <c r="D168" s="14">
        <f t="shared" si="12"/>
        <v>0</v>
      </c>
      <c r="E168" s="14">
        <f>FLUXO_DIARIO!G157</f>
        <v>-4504668.4140959997</v>
      </c>
      <c r="F168" s="25">
        <f t="shared" si="13"/>
        <v>0</v>
      </c>
      <c r="G168" s="26" t="str">
        <f t="shared" si="14"/>
        <v>Crítico</v>
      </c>
    </row>
    <row r="169" spans="1:7" x14ac:dyDescent="0.3">
      <c r="A169" s="13">
        <f>FLUXO_DIARIO!A158</f>
        <v>46242</v>
      </c>
      <c r="B169" s="14">
        <f>FLUXO_DIARIO!B158+FLUXO_DIARIO!D158</f>
        <v>0</v>
      </c>
      <c r="C169" s="14">
        <f>FLUXO_DIARIO!C158+FLUXO_DIARIO!E158</f>
        <v>0</v>
      </c>
      <c r="D169" s="14">
        <f t="shared" si="12"/>
        <v>0</v>
      </c>
      <c r="E169" s="14">
        <f>FLUXO_DIARIO!G158</f>
        <v>-4504668.4140959997</v>
      </c>
      <c r="F169" s="25">
        <f t="shared" si="13"/>
        <v>0</v>
      </c>
      <c r="G169" s="26" t="str">
        <f t="shared" si="14"/>
        <v>Crítico</v>
      </c>
    </row>
    <row r="170" spans="1:7" x14ac:dyDescent="0.3">
      <c r="A170" s="13">
        <f>FLUXO_DIARIO!A159</f>
        <v>46243</v>
      </c>
      <c r="B170" s="14">
        <f>FLUXO_DIARIO!B159+FLUXO_DIARIO!D159</f>
        <v>0</v>
      </c>
      <c r="C170" s="14">
        <f>FLUXO_DIARIO!C159+FLUXO_DIARIO!E159</f>
        <v>0</v>
      </c>
      <c r="D170" s="14">
        <f t="shared" si="12"/>
        <v>0</v>
      </c>
      <c r="E170" s="14">
        <f>FLUXO_DIARIO!G159</f>
        <v>-4504668.4140959997</v>
      </c>
      <c r="F170" s="25">
        <f t="shared" si="13"/>
        <v>0</v>
      </c>
      <c r="G170" s="26" t="str">
        <f t="shared" si="14"/>
        <v>Crítico</v>
      </c>
    </row>
    <row r="171" spans="1:7" x14ac:dyDescent="0.3">
      <c r="A171" s="13">
        <f>FLUXO_DIARIO!A160</f>
        <v>46244</v>
      </c>
      <c r="B171" s="14">
        <f>FLUXO_DIARIO!B160+FLUXO_DIARIO!D160</f>
        <v>0</v>
      </c>
      <c r="C171" s="14">
        <f>FLUXO_DIARIO!C160+FLUXO_DIARIO!E160</f>
        <v>0</v>
      </c>
      <c r="D171" s="14">
        <f t="shared" si="12"/>
        <v>0</v>
      </c>
      <c r="E171" s="14">
        <f>FLUXO_DIARIO!G160</f>
        <v>-4504668.4140959997</v>
      </c>
      <c r="F171" s="25">
        <f t="shared" si="13"/>
        <v>0</v>
      </c>
      <c r="G171" s="26" t="str">
        <f t="shared" si="14"/>
        <v>Crítico</v>
      </c>
    </row>
    <row r="172" spans="1:7" x14ac:dyDescent="0.3">
      <c r="A172" s="13">
        <f>FLUXO_DIARIO!A161</f>
        <v>46245</v>
      </c>
      <c r="B172" s="14">
        <f>FLUXO_DIARIO!B161+FLUXO_DIARIO!D161</f>
        <v>0</v>
      </c>
      <c r="C172" s="14">
        <f>FLUXO_DIARIO!C161+FLUXO_DIARIO!E161</f>
        <v>0</v>
      </c>
      <c r="D172" s="14">
        <f t="shared" si="12"/>
        <v>0</v>
      </c>
      <c r="E172" s="14">
        <f>FLUXO_DIARIO!G161</f>
        <v>-4504668.4140959997</v>
      </c>
      <c r="F172" s="25">
        <f t="shared" si="13"/>
        <v>0</v>
      </c>
      <c r="G172" s="26" t="str">
        <f t="shared" si="14"/>
        <v>Crítico</v>
      </c>
    </row>
    <row r="173" spans="1:7" x14ac:dyDescent="0.3">
      <c r="A173" s="13">
        <f>FLUXO_DIARIO!A162</f>
        <v>46246</v>
      </c>
      <c r="B173" s="14">
        <f>FLUXO_DIARIO!B162+FLUXO_DIARIO!D162</f>
        <v>0</v>
      </c>
      <c r="C173" s="14">
        <f>FLUXO_DIARIO!C162+FLUXO_DIARIO!E162</f>
        <v>0</v>
      </c>
      <c r="D173" s="14">
        <f t="shared" si="12"/>
        <v>0</v>
      </c>
      <c r="E173" s="14">
        <f>FLUXO_DIARIO!G162</f>
        <v>-4504668.4140959997</v>
      </c>
      <c r="F173" s="25">
        <f t="shared" si="13"/>
        <v>0</v>
      </c>
      <c r="G173" s="26" t="str">
        <f t="shared" si="14"/>
        <v>Crítico</v>
      </c>
    </row>
    <row r="174" spans="1:7" x14ac:dyDescent="0.3">
      <c r="A174" s="13">
        <f>FLUXO_DIARIO!A163</f>
        <v>46247</v>
      </c>
      <c r="B174" s="14">
        <f>FLUXO_DIARIO!B163+FLUXO_DIARIO!D163</f>
        <v>0</v>
      </c>
      <c r="C174" s="14">
        <f>FLUXO_DIARIO!C163+FLUXO_DIARIO!E163</f>
        <v>0</v>
      </c>
      <c r="D174" s="14">
        <f t="shared" si="12"/>
        <v>0</v>
      </c>
      <c r="E174" s="14">
        <f>FLUXO_DIARIO!G163</f>
        <v>-4504668.4140959997</v>
      </c>
      <c r="F174" s="25">
        <f t="shared" si="13"/>
        <v>0</v>
      </c>
      <c r="G174" s="26" t="str">
        <f t="shared" si="14"/>
        <v>Crítico</v>
      </c>
    </row>
    <row r="175" spans="1:7" x14ac:dyDescent="0.3">
      <c r="A175" s="13">
        <f>FLUXO_DIARIO!A164</f>
        <v>46248</v>
      </c>
      <c r="B175" s="14">
        <f>FLUXO_DIARIO!B164+FLUXO_DIARIO!D164</f>
        <v>0</v>
      </c>
      <c r="C175" s="14">
        <f>FLUXO_DIARIO!C164+FLUXO_DIARIO!E164</f>
        <v>0</v>
      </c>
      <c r="D175" s="14">
        <f t="shared" si="12"/>
        <v>0</v>
      </c>
      <c r="E175" s="14">
        <f>FLUXO_DIARIO!G164</f>
        <v>-4504668.4140959997</v>
      </c>
      <c r="F175" s="25">
        <f t="shared" si="13"/>
        <v>0</v>
      </c>
      <c r="G175" s="26" t="str">
        <f t="shared" si="14"/>
        <v>Crítico</v>
      </c>
    </row>
    <row r="176" spans="1:7" x14ac:dyDescent="0.3">
      <c r="A176" s="13">
        <f>FLUXO_DIARIO!A165</f>
        <v>46249</v>
      </c>
      <c r="B176" s="14">
        <f>FLUXO_DIARIO!B165+FLUXO_DIARIO!D165</f>
        <v>0</v>
      </c>
      <c r="C176" s="14">
        <f>FLUXO_DIARIO!C165+FLUXO_DIARIO!E165</f>
        <v>0</v>
      </c>
      <c r="D176" s="14">
        <f t="shared" si="12"/>
        <v>0</v>
      </c>
      <c r="E176" s="14">
        <f>FLUXO_DIARIO!G165</f>
        <v>-4504668.4140959997</v>
      </c>
      <c r="F176" s="25">
        <f t="shared" si="13"/>
        <v>0</v>
      </c>
      <c r="G176" s="26" t="str">
        <f t="shared" si="14"/>
        <v>Crítico</v>
      </c>
    </row>
    <row r="177" spans="1:7" x14ac:dyDescent="0.3">
      <c r="A177" s="13">
        <f>FLUXO_DIARIO!A166</f>
        <v>46250</v>
      </c>
      <c r="B177" s="14">
        <f>FLUXO_DIARIO!B166+FLUXO_DIARIO!D166</f>
        <v>0</v>
      </c>
      <c r="C177" s="14">
        <f>FLUXO_DIARIO!C166+FLUXO_DIARIO!E166</f>
        <v>0</v>
      </c>
      <c r="D177" s="14">
        <f t="shared" ref="D177:D208" si="15">B177-C177</f>
        <v>0</v>
      </c>
      <c r="E177" s="14">
        <f>FLUXO_DIARIO!G166</f>
        <v>-4504668.4140959997</v>
      </c>
      <c r="F177" s="25">
        <f t="shared" ref="F177:F208" si="16">IFERROR(B177/C177,0)</f>
        <v>0</v>
      </c>
      <c r="G177" s="26" t="str">
        <f t="shared" ref="G177:G208" si="17">IF(E177&lt;0,"Crítico",IF(F177&lt;1,"Atenção","Saudável"))</f>
        <v>Crítico</v>
      </c>
    </row>
    <row r="178" spans="1:7" x14ac:dyDescent="0.3">
      <c r="A178" s="13">
        <f>FLUXO_DIARIO!A167</f>
        <v>46251</v>
      </c>
      <c r="B178" s="14">
        <f>FLUXO_DIARIO!B167+FLUXO_DIARIO!D167</f>
        <v>0</v>
      </c>
      <c r="C178" s="14">
        <f>FLUXO_DIARIO!C167+FLUXO_DIARIO!E167</f>
        <v>0</v>
      </c>
      <c r="D178" s="14">
        <f t="shared" si="15"/>
        <v>0</v>
      </c>
      <c r="E178" s="14">
        <f>FLUXO_DIARIO!G167</f>
        <v>-4504668.4140959997</v>
      </c>
      <c r="F178" s="25">
        <f t="shared" si="16"/>
        <v>0</v>
      </c>
      <c r="G178" s="26" t="str">
        <f t="shared" si="17"/>
        <v>Crítico</v>
      </c>
    </row>
    <row r="179" spans="1:7" x14ac:dyDescent="0.3">
      <c r="A179" s="13">
        <f>FLUXO_DIARIO!A168</f>
        <v>46252</v>
      </c>
      <c r="B179" s="14">
        <f>FLUXO_DIARIO!B168+FLUXO_DIARIO!D168</f>
        <v>0</v>
      </c>
      <c r="C179" s="14">
        <f>FLUXO_DIARIO!C168+FLUXO_DIARIO!E168</f>
        <v>0</v>
      </c>
      <c r="D179" s="14">
        <f t="shared" si="15"/>
        <v>0</v>
      </c>
      <c r="E179" s="14">
        <f>FLUXO_DIARIO!G168</f>
        <v>-4504668.4140959997</v>
      </c>
      <c r="F179" s="25">
        <f t="shared" si="16"/>
        <v>0</v>
      </c>
      <c r="G179" s="26" t="str">
        <f t="shared" si="17"/>
        <v>Crítico</v>
      </c>
    </row>
    <row r="180" spans="1:7" x14ac:dyDescent="0.3">
      <c r="A180" s="13">
        <f>FLUXO_DIARIO!A169</f>
        <v>46253</v>
      </c>
      <c r="B180" s="14">
        <f>FLUXO_DIARIO!B169+FLUXO_DIARIO!D169</f>
        <v>0</v>
      </c>
      <c r="C180" s="14">
        <f>FLUXO_DIARIO!C169+FLUXO_DIARIO!E169</f>
        <v>0</v>
      </c>
      <c r="D180" s="14">
        <f t="shared" si="15"/>
        <v>0</v>
      </c>
      <c r="E180" s="14">
        <f>FLUXO_DIARIO!G169</f>
        <v>-4504668.4140959997</v>
      </c>
      <c r="F180" s="25">
        <f t="shared" si="16"/>
        <v>0</v>
      </c>
      <c r="G180" s="26" t="str">
        <f t="shared" si="17"/>
        <v>Crítico</v>
      </c>
    </row>
    <row r="181" spans="1:7" x14ac:dyDescent="0.3">
      <c r="A181" s="13">
        <f>FLUXO_DIARIO!A170</f>
        <v>46254</v>
      </c>
      <c r="B181" s="14">
        <f>FLUXO_DIARIO!B170+FLUXO_DIARIO!D170</f>
        <v>0</v>
      </c>
      <c r="C181" s="14">
        <f>FLUXO_DIARIO!C170+FLUXO_DIARIO!E170</f>
        <v>0</v>
      </c>
      <c r="D181" s="14">
        <f t="shared" si="15"/>
        <v>0</v>
      </c>
      <c r="E181" s="14">
        <f>FLUXO_DIARIO!G170</f>
        <v>-4504668.4140959997</v>
      </c>
      <c r="F181" s="25">
        <f t="shared" si="16"/>
        <v>0</v>
      </c>
      <c r="G181" s="26" t="str">
        <f t="shared" si="17"/>
        <v>Crítico</v>
      </c>
    </row>
    <row r="182" spans="1:7" x14ac:dyDescent="0.3">
      <c r="A182" s="13">
        <f>FLUXO_DIARIO!A171</f>
        <v>46255</v>
      </c>
      <c r="B182" s="14">
        <f>FLUXO_DIARIO!B171+FLUXO_DIARIO!D171</f>
        <v>0</v>
      </c>
      <c r="C182" s="14">
        <f>FLUXO_DIARIO!C171+FLUXO_DIARIO!E171</f>
        <v>0</v>
      </c>
      <c r="D182" s="14">
        <f t="shared" si="15"/>
        <v>0</v>
      </c>
      <c r="E182" s="14">
        <f>FLUXO_DIARIO!G171</f>
        <v>-4504668.4140959997</v>
      </c>
      <c r="F182" s="25">
        <f t="shared" si="16"/>
        <v>0</v>
      </c>
      <c r="G182" s="26" t="str">
        <f t="shared" si="17"/>
        <v>Crítico</v>
      </c>
    </row>
    <row r="183" spans="1:7" x14ac:dyDescent="0.3">
      <c r="A183" s="13">
        <f>FLUXO_DIARIO!A172</f>
        <v>46256</v>
      </c>
      <c r="B183" s="14">
        <f>FLUXO_DIARIO!B172+FLUXO_DIARIO!D172</f>
        <v>0</v>
      </c>
      <c r="C183" s="14">
        <f>FLUXO_DIARIO!C172+FLUXO_DIARIO!E172</f>
        <v>0</v>
      </c>
      <c r="D183" s="14">
        <f t="shared" si="15"/>
        <v>0</v>
      </c>
      <c r="E183" s="14">
        <f>FLUXO_DIARIO!G172</f>
        <v>-4504668.4140959997</v>
      </c>
      <c r="F183" s="25">
        <f t="shared" si="16"/>
        <v>0</v>
      </c>
      <c r="G183" s="26" t="str">
        <f t="shared" si="17"/>
        <v>Crítico</v>
      </c>
    </row>
    <row r="184" spans="1:7" x14ac:dyDescent="0.3">
      <c r="A184" s="13">
        <f>FLUXO_DIARIO!A173</f>
        <v>46257</v>
      </c>
      <c r="B184" s="14">
        <f>FLUXO_DIARIO!B173+FLUXO_DIARIO!D173</f>
        <v>0</v>
      </c>
      <c r="C184" s="14">
        <f>FLUXO_DIARIO!C173+FLUXO_DIARIO!E173</f>
        <v>0</v>
      </c>
      <c r="D184" s="14">
        <f t="shared" si="15"/>
        <v>0</v>
      </c>
      <c r="E184" s="14">
        <f>FLUXO_DIARIO!G173</f>
        <v>-4504668.4140959997</v>
      </c>
      <c r="F184" s="25">
        <f t="shared" si="16"/>
        <v>0</v>
      </c>
      <c r="G184" s="26" t="str">
        <f t="shared" si="17"/>
        <v>Crítico</v>
      </c>
    </row>
    <row r="185" spans="1:7" x14ac:dyDescent="0.3">
      <c r="A185" s="13">
        <f>FLUXO_DIARIO!A174</f>
        <v>46258</v>
      </c>
      <c r="B185" s="14">
        <f>FLUXO_DIARIO!B174+FLUXO_DIARIO!D174</f>
        <v>0</v>
      </c>
      <c r="C185" s="14">
        <f>FLUXO_DIARIO!C174+FLUXO_DIARIO!E174</f>
        <v>0</v>
      </c>
      <c r="D185" s="14">
        <f t="shared" si="15"/>
        <v>0</v>
      </c>
      <c r="E185" s="14">
        <f>FLUXO_DIARIO!G174</f>
        <v>-4504668.4140959997</v>
      </c>
      <c r="F185" s="25">
        <f t="shared" si="16"/>
        <v>0</v>
      </c>
      <c r="G185" s="26" t="str">
        <f t="shared" si="17"/>
        <v>Crítico</v>
      </c>
    </row>
    <row r="186" spans="1:7" x14ac:dyDescent="0.3">
      <c r="A186" s="13">
        <f>FLUXO_DIARIO!A175</f>
        <v>46259</v>
      </c>
      <c r="B186" s="14">
        <f>FLUXO_DIARIO!B175+FLUXO_DIARIO!D175</f>
        <v>0</v>
      </c>
      <c r="C186" s="14">
        <f>FLUXO_DIARIO!C175+FLUXO_DIARIO!E175</f>
        <v>0</v>
      </c>
      <c r="D186" s="14">
        <f t="shared" si="15"/>
        <v>0</v>
      </c>
      <c r="E186" s="14">
        <f>FLUXO_DIARIO!G175</f>
        <v>-4504668.4140959997</v>
      </c>
      <c r="F186" s="25">
        <f t="shared" si="16"/>
        <v>0</v>
      </c>
      <c r="G186" s="26" t="str">
        <f t="shared" si="17"/>
        <v>Crítico</v>
      </c>
    </row>
    <row r="187" spans="1:7" x14ac:dyDescent="0.3">
      <c r="A187" s="13">
        <f>FLUXO_DIARIO!A176</f>
        <v>46260</v>
      </c>
      <c r="B187" s="14">
        <f>FLUXO_DIARIO!B176+FLUXO_DIARIO!D176</f>
        <v>0</v>
      </c>
      <c r="C187" s="14">
        <f>FLUXO_DIARIO!C176+FLUXO_DIARIO!E176</f>
        <v>0</v>
      </c>
      <c r="D187" s="14">
        <f t="shared" si="15"/>
        <v>0</v>
      </c>
      <c r="E187" s="14">
        <f>FLUXO_DIARIO!G176</f>
        <v>-4504668.4140959997</v>
      </c>
      <c r="F187" s="25">
        <f t="shared" si="16"/>
        <v>0</v>
      </c>
      <c r="G187" s="26" t="str">
        <f t="shared" si="17"/>
        <v>Crítico</v>
      </c>
    </row>
    <row r="188" spans="1:7" x14ac:dyDescent="0.3">
      <c r="A188" s="13">
        <f>FLUXO_DIARIO!A177</f>
        <v>46261</v>
      </c>
      <c r="B188" s="14">
        <f>FLUXO_DIARIO!B177+FLUXO_DIARIO!D177</f>
        <v>0</v>
      </c>
      <c r="C188" s="14">
        <f>FLUXO_DIARIO!C177+FLUXO_DIARIO!E177</f>
        <v>0</v>
      </c>
      <c r="D188" s="14">
        <f t="shared" si="15"/>
        <v>0</v>
      </c>
      <c r="E188" s="14">
        <f>FLUXO_DIARIO!G177</f>
        <v>-4504668.4140959997</v>
      </c>
      <c r="F188" s="25">
        <f t="shared" si="16"/>
        <v>0</v>
      </c>
      <c r="G188" s="26" t="str">
        <f t="shared" si="17"/>
        <v>Crítico</v>
      </c>
    </row>
    <row r="189" spans="1:7" x14ac:dyDescent="0.3">
      <c r="A189" s="13">
        <f>FLUXO_DIARIO!A178</f>
        <v>46262</v>
      </c>
      <c r="B189" s="14">
        <f>FLUXO_DIARIO!B178+FLUXO_DIARIO!D178</f>
        <v>0</v>
      </c>
      <c r="C189" s="14">
        <f>FLUXO_DIARIO!C178+FLUXO_DIARIO!E178</f>
        <v>0</v>
      </c>
      <c r="D189" s="14">
        <f t="shared" si="15"/>
        <v>0</v>
      </c>
      <c r="E189" s="14">
        <f>FLUXO_DIARIO!G178</f>
        <v>-4504668.4140959997</v>
      </c>
      <c r="F189" s="25">
        <f t="shared" si="16"/>
        <v>0</v>
      </c>
      <c r="G189" s="26" t="str">
        <f t="shared" si="17"/>
        <v>Crítico</v>
      </c>
    </row>
    <row r="190" spans="1:7" x14ac:dyDescent="0.3">
      <c r="A190" s="13">
        <f>FLUXO_DIARIO!A179</f>
        <v>46263</v>
      </c>
      <c r="B190" s="14">
        <f>FLUXO_DIARIO!B179+FLUXO_DIARIO!D179</f>
        <v>0</v>
      </c>
      <c r="C190" s="14">
        <f>FLUXO_DIARIO!C179+FLUXO_DIARIO!E179</f>
        <v>0</v>
      </c>
      <c r="D190" s="14">
        <f t="shared" si="15"/>
        <v>0</v>
      </c>
      <c r="E190" s="14">
        <f>FLUXO_DIARIO!G179</f>
        <v>-4504668.4140959997</v>
      </c>
      <c r="F190" s="25">
        <f t="shared" si="16"/>
        <v>0</v>
      </c>
      <c r="G190" s="26" t="str">
        <f t="shared" si="17"/>
        <v>Crítico</v>
      </c>
    </row>
    <row r="191" spans="1:7" x14ac:dyDescent="0.3">
      <c r="A191" s="13">
        <f>FLUXO_DIARIO!A180</f>
        <v>46264</v>
      </c>
      <c r="B191" s="14">
        <f>FLUXO_DIARIO!B180+FLUXO_DIARIO!D180</f>
        <v>0</v>
      </c>
      <c r="C191" s="14">
        <f>FLUXO_DIARIO!C180+FLUXO_DIARIO!E180</f>
        <v>0</v>
      </c>
      <c r="D191" s="14">
        <f t="shared" si="15"/>
        <v>0</v>
      </c>
      <c r="E191" s="14">
        <f>FLUXO_DIARIO!G180</f>
        <v>-4504668.4140959997</v>
      </c>
      <c r="F191" s="25">
        <f t="shared" si="16"/>
        <v>0</v>
      </c>
      <c r="G191" s="26" t="str">
        <f t="shared" si="17"/>
        <v>Crítico</v>
      </c>
    </row>
    <row r="192" spans="1:7" x14ac:dyDescent="0.3">
      <c r="A192" s="13">
        <f>FLUXO_DIARIO!A181</f>
        <v>46265</v>
      </c>
      <c r="B192" s="14">
        <f>FLUXO_DIARIO!B181+FLUXO_DIARIO!D181</f>
        <v>0</v>
      </c>
      <c r="C192" s="14">
        <f>FLUXO_DIARIO!C181+FLUXO_DIARIO!E181</f>
        <v>0</v>
      </c>
      <c r="D192" s="14">
        <f t="shared" si="15"/>
        <v>0</v>
      </c>
      <c r="E192" s="14">
        <f>FLUXO_DIARIO!G181</f>
        <v>-4504668.4140959997</v>
      </c>
      <c r="F192" s="25">
        <f t="shared" si="16"/>
        <v>0</v>
      </c>
      <c r="G192" s="26" t="str">
        <f t="shared" si="17"/>
        <v>Crítico</v>
      </c>
    </row>
    <row r="193" spans="1:7" x14ac:dyDescent="0.3">
      <c r="A193" s="13">
        <f>FLUXO_DIARIO!A182</f>
        <v>46266</v>
      </c>
      <c r="B193" s="14">
        <f>FLUXO_DIARIO!B182+FLUXO_DIARIO!D182</f>
        <v>0</v>
      </c>
      <c r="C193" s="14">
        <f>FLUXO_DIARIO!C182+FLUXO_DIARIO!E182</f>
        <v>0</v>
      </c>
      <c r="D193" s="14">
        <f t="shared" si="15"/>
        <v>0</v>
      </c>
      <c r="E193" s="14">
        <f>FLUXO_DIARIO!G182</f>
        <v>-4504668.4140959997</v>
      </c>
      <c r="F193" s="25">
        <f t="shared" si="16"/>
        <v>0</v>
      </c>
      <c r="G193" s="26" t="str">
        <f t="shared" si="17"/>
        <v>Crítico</v>
      </c>
    </row>
    <row r="194" spans="1:7" x14ac:dyDescent="0.3">
      <c r="A194" s="13">
        <f>FLUXO_DIARIO!A183</f>
        <v>46267</v>
      </c>
      <c r="B194" s="14">
        <f>FLUXO_DIARIO!B183+FLUXO_DIARIO!D183</f>
        <v>0</v>
      </c>
      <c r="C194" s="14">
        <f>FLUXO_DIARIO!C183+FLUXO_DIARIO!E183</f>
        <v>0</v>
      </c>
      <c r="D194" s="14">
        <f t="shared" si="15"/>
        <v>0</v>
      </c>
      <c r="E194" s="14">
        <f>FLUXO_DIARIO!G183</f>
        <v>-4504668.4140959997</v>
      </c>
      <c r="F194" s="25">
        <f t="shared" si="16"/>
        <v>0</v>
      </c>
      <c r="G194" s="26" t="str">
        <f t="shared" si="17"/>
        <v>Crítico</v>
      </c>
    </row>
    <row r="195" spans="1:7" x14ac:dyDescent="0.3">
      <c r="A195" s="13">
        <f>FLUXO_DIARIO!A184</f>
        <v>46268</v>
      </c>
      <c r="B195" s="14">
        <f>FLUXO_DIARIO!B184+FLUXO_DIARIO!D184</f>
        <v>0</v>
      </c>
      <c r="C195" s="14">
        <f>FLUXO_DIARIO!C184+FLUXO_DIARIO!E184</f>
        <v>0</v>
      </c>
      <c r="D195" s="14">
        <f t="shared" si="15"/>
        <v>0</v>
      </c>
      <c r="E195" s="14">
        <f>FLUXO_DIARIO!G184</f>
        <v>-4504668.4140959997</v>
      </c>
      <c r="F195" s="25">
        <f t="shared" si="16"/>
        <v>0</v>
      </c>
      <c r="G195" s="26" t="str">
        <f t="shared" si="17"/>
        <v>Crítico</v>
      </c>
    </row>
    <row r="196" spans="1:7" x14ac:dyDescent="0.3">
      <c r="A196" s="13">
        <f>FLUXO_DIARIO!A185</f>
        <v>46269</v>
      </c>
      <c r="B196" s="14">
        <f>FLUXO_DIARIO!B185+FLUXO_DIARIO!D185</f>
        <v>0</v>
      </c>
      <c r="C196" s="14">
        <f>FLUXO_DIARIO!C185+FLUXO_DIARIO!E185</f>
        <v>0</v>
      </c>
      <c r="D196" s="14">
        <f t="shared" si="15"/>
        <v>0</v>
      </c>
      <c r="E196" s="14">
        <f>FLUXO_DIARIO!G185</f>
        <v>-4504668.4140959997</v>
      </c>
      <c r="F196" s="25">
        <f t="shared" si="16"/>
        <v>0</v>
      </c>
      <c r="G196" s="26" t="str">
        <f t="shared" si="17"/>
        <v>Crítico</v>
      </c>
    </row>
    <row r="197" spans="1:7" x14ac:dyDescent="0.3">
      <c r="A197" s="13">
        <f>FLUXO_DIARIO!A186</f>
        <v>46270</v>
      </c>
      <c r="B197" s="14">
        <f>FLUXO_DIARIO!B186+FLUXO_DIARIO!D186</f>
        <v>0</v>
      </c>
      <c r="C197" s="14">
        <f>FLUXO_DIARIO!C186+FLUXO_DIARIO!E186</f>
        <v>0</v>
      </c>
      <c r="D197" s="14">
        <f t="shared" si="15"/>
        <v>0</v>
      </c>
      <c r="E197" s="14">
        <f>FLUXO_DIARIO!G186</f>
        <v>-4504668.4140959997</v>
      </c>
      <c r="F197" s="25">
        <f t="shared" si="16"/>
        <v>0</v>
      </c>
      <c r="G197" s="26" t="str">
        <f t="shared" si="17"/>
        <v>Crítico</v>
      </c>
    </row>
    <row r="198" spans="1:7" x14ac:dyDescent="0.3">
      <c r="A198" s="13">
        <f>FLUXO_DIARIO!A187</f>
        <v>46271</v>
      </c>
      <c r="B198" s="14">
        <f>FLUXO_DIARIO!B187+FLUXO_DIARIO!D187</f>
        <v>0</v>
      </c>
      <c r="C198" s="14">
        <f>FLUXO_DIARIO!C187+FLUXO_DIARIO!E187</f>
        <v>0</v>
      </c>
      <c r="D198" s="14">
        <f t="shared" si="15"/>
        <v>0</v>
      </c>
      <c r="E198" s="14">
        <f>FLUXO_DIARIO!G187</f>
        <v>-4504668.4140959997</v>
      </c>
      <c r="F198" s="25">
        <f t="shared" si="16"/>
        <v>0</v>
      </c>
      <c r="G198" s="26" t="str">
        <f t="shared" si="17"/>
        <v>Crítico</v>
      </c>
    </row>
    <row r="199" spans="1:7" x14ac:dyDescent="0.3">
      <c r="A199" s="13">
        <f>FLUXO_DIARIO!A188</f>
        <v>46272</v>
      </c>
      <c r="B199" s="14">
        <f>FLUXO_DIARIO!B188+FLUXO_DIARIO!D188</f>
        <v>0</v>
      </c>
      <c r="C199" s="14">
        <f>FLUXO_DIARIO!C188+FLUXO_DIARIO!E188</f>
        <v>0</v>
      </c>
      <c r="D199" s="14">
        <f t="shared" si="15"/>
        <v>0</v>
      </c>
      <c r="E199" s="14">
        <f>FLUXO_DIARIO!G188</f>
        <v>-4504668.4140959997</v>
      </c>
      <c r="F199" s="25">
        <f t="shared" si="16"/>
        <v>0</v>
      </c>
      <c r="G199" s="26" t="str">
        <f t="shared" si="17"/>
        <v>Crítico</v>
      </c>
    </row>
    <row r="200" spans="1:7" x14ac:dyDescent="0.3">
      <c r="A200" s="13">
        <f>FLUXO_DIARIO!A189</f>
        <v>46273</v>
      </c>
      <c r="B200" s="14">
        <f>FLUXO_DIARIO!B189+FLUXO_DIARIO!D189</f>
        <v>0</v>
      </c>
      <c r="C200" s="14">
        <f>FLUXO_DIARIO!C189+FLUXO_DIARIO!E189</f>
        <v>0</v>
      </c>
      <c r="D200" s="14">
        <f t="shared" si="15"/>
        <v>0</v>
      </c>
      <c r="E200" s="14">
        <f>FLUXO_DIARIO!G189</f>
        <v>-4504668.4140959997</v>
      </c>
      <c r="F200" s="25">
        <f t="shared" si="16"/>
        <v>0</v>
      </c>
      <c r="G200" s="26" t="str">
        <f t="shared" si="17"/>
        <v>Crítico</v>
      </c>
    </row>
    <row r="201" spans="1:7" x14ac:dyDescent="0.3">
      <c r="A201" s="13">
        <f>FLUXO_DIARIO!A190</f>
        <v>46274</v>
      </c>
      <c r="B201" s="14">
        <f>FLUXO_DIARIO!B190+FLUXO_DIARIO!D190</f>
        <v>0</v>
      </c>
      <c r="C201" s="14">
        <f>FLUXO_DIARIO!C190+FLUXO_DIARIO!E190</f>
        <v>0</v>
      </c>
      <c r="D201" s="14">
        <f t="shared" si="15"/>
        <v>0</v>
      </c>
      <c r="E201" s="14">
        <f>FLUXO_DIARIO!G190</f>
        <v>-4504668.4140959997</v>
      </c>
      <c r="F201" s="25">
        <f t="shared" si="16"/>
        <v>0</v>
      </c>
      <c r="G201" s="26" t="str">
        <f t="shared" si="17"/>
        <v>Crítico</v>
      </c>
    </row>
    <row r="202" spans="1:7" x14ac:dyDescent="0.3">
      <c r="A202" s="13">
        <f>FLUXO_DIARIO!A191</f>
        <v>46275</v>
      </c>
      <c r="B202" s="14">
        <f>FLUXO_DIARIO!B191+FLUXO_DIARIO!D191</f>
        <v>0</v>
      </c>
      <c r="C202" s="14">
        <f>FLUXO_DIARIO!C191+FLUXO_DIARIO!E191</f>
        <v>0</v>
      </c>
      <c r="D202" s="14">
        <f t="shared" si="15"/>
        <v>0</v>
      </c>
      <c r="E202" s="14">
        <f>FLUXO_DIARIO!G191</f>
        <v>-4504668.4140959997</v>
      </c>
      <c r="F202" s="25">
        <f t="shared" si="16"/>
        <v>0</v>
      </c>
      <c r="G202" s="26" t="str">
        <f t="shared" si="17"/>
        <v>Crítico</v>
      </c>
    </row>
    <row r="203" spans="1:7" x14ac:dyDescent="0.3">
      <c r="A203" s="13">
        <f>FLUXO_DIARIO!A192</f>
        <v>46276</v>
      </c>
      <c r="B203" s="14">
        <f>FLUXO_DIARIO!B192+FLUXO_DIARIO!D192</f>
        <v>0</v>
      </c>
      <c r="C203" s="14">
        <f>FLUXO_DIARIO!C192+FLUXO_DIARIO!E192</f>
        <v>0</v>
      </c>
      <c r="D203" s="14">
        <f t="shared" si="15"/>
        <v>0</v>
      </c>
      <c r="E203" s="14">
        <f>FLUXO_DIARIO!G192</f>
        <v>-4504668.4140959997</v>
      </c>
      <c r="F203" s="25">
        <f t="shared" si="16"/>
        <v>0</v>
      </c>
      <c r="G203" s="26" t="str">
        <f t="shared" si="17"/>
        <v>Crítico</v>
      </c>
    </row>
    <row r="204" spans="1:7" x14ac:dyDescent="0.3">
      <c r="A204" s="13">
        <f>FLUXO_DIARIO!A193</f>
        <v>46277</v>
      </c>
      <c r="B204" s="14">
        <f>FLUXO_DIARIO!B193+FLUXO_DIARIO!D193</f>
        <v>0</v>
      </c>
      <c r="C204" s="14">
        <f>FLUXO_DIARIO!C193+FLUXO_DIARIO!E193</f>
        <v>0</v>
      </c>
      <c r="D204" s="14">
        <f t="shared" si="15"/>
        <v>0</v>
      </c>
      <c r="E204" s="14">
        <f>FLUXO_DIARIO!G193</f>
        <v>-4504668.4140959997</v>
      </c>
      <c r="F204" s="25">
        <f t="shared" si="16"/>
        <v>0</v>
      </c>
      <c r="G204" s="26" t="str">
        <f t="shared" si="17"/>
        <v>Crítico</v>
      </c>
    </row>
    <row r="205" spans="1:7" x14ac:dyDescent="0.3">
      <c r="A205" s="13">
        <f>FLUXO_DIARIO!A194</f>
        <v>46278</v>
      </c>
      <c r="B205" s="14">
        <f>FLUXO_DIARIO!B194+FLUXO_DIARIO!D194</f>
        <v>0</v>
      </c>
      <c r="C205" s="14">
        <f>FLUXO_DIARIO!C194+FLUXO_DIARIO!E194</f>
        <v>0</v>
      </c>
      <c r="D205" s="14">
        <f t="shared" si="15"/>
        <v>0</v>
      </c>
      <c r="E205" s="14">
        <f>FLUXO_DIARIO!G194</f>
        <v>-4504668.4140959997</v>
      </c>
      <c r="F205" s="25">
        <f t="shared" si="16"/>
        <v>0</v>
      </c>
      <c r="G205" s="26" t="str">
        <f t="shared" si="17"/>
        <v>Crítico</v>
      </c>
    </row>
    <row r="206" spans="1:7" x14ac:dyDescent="0.3">
      <c r="A206" s="13">
        <f>FLUXO_DIARIO!A195</f>
        <v>46279</v>
      </c>
      <c r="B206" s="14">
        <f>FLUXO_DIARIO!B195+FLUXO_DIARIO!D195</f>
        <v>0</v>
      </c>
      <c r="C206" s="14">
        <f>FLUXO_DIARIO!C195+FLUXO_DIARIO!E195</f>
        <v>0</v>
      </c>
      <c r="D206" s="14">
        <f t="shared" si="15"/>
        <v>0</v>
      </c>
      <c r="E206" s="14">
        <f>FLUXO_DIARIO!G195</f>
        <v>-4504668.4140959997</v>
      </c>
      <c r="F206" s="25">
        <f t="shared" si="16"/>
        <v>0</v>
      </c>
      <c r="G206" s="26" t="str">
        <f t="shared" si="17"/>
        <v>Crítico</v>
      </c>
    </row>
    <row r="207" spans="1:7" x14ac:dyDescent="0.3">
      <c r="A207" s="13">
        <f>FLUXO_DIARIO!A196</f>
        <v>46280</v>
      </c>
      <c r="B207" s="14">
        <f>FLUXO_DIARIO!B196+FLUXO_DIARIO!D196</f>
        <v>0</v>
      </c>
      <c r="C207" s="14">
        <f>FLUXO_DIARIO!C196+FLUXO_DIARIO!E196</f>
        <v>0</v>
      </c>
      <c r="D207" s="14">
        <f t="shared" si="15"/>
        <v>0</v>
      </c>
      <c r="E207" s="14">
        <f>FLUXO_DIARIO!G196</f>
        <v>-4504668.4140959997</v>
      </c>
      <c r="F207" s="25">
        <f t="shared" si="16"/>
        <v>0</v>
      </c>
      <c r="G207" s="26" t="str">
        <f t="shared" si="17"/>
        <v>Crítico</v>
      </c>
    </row>
    <row r="208" spans="1:7" x14ac:dyDescent="0.3">
      <c r="A208" s="13">
        <f>FLUXO_DIARIO!A197</f>
        <v>46281</v>
      </c>
      <c r="B208" s="14">
        <f>FLUXO_DIARIO!B197+FLUXO_DIARIO!D197</f>
        <v>0</v>
      </c>
      <c r="C208" s="14">
        <f>FLUXO_DIARIO!C197+FLUXO_DIARIO!E197</f>
        <v>0</v>
      </c>
      <c r="D208" s="14">
        <f t="shared" si="15"/>
        <v>0</v>
      </c>
      <c r="E208" s="14">
        <f>FLUXO_DIARIO!G197</f>
        <v>-4504668.4140959997</v>
      </c>
      <c r="F208" s="25">
        <f t="shared" si="16"/>
        <v>0</v>
      </c>
      <c r="G208" s="26" t="str">
        <f t="shared" si="17"/>
        <v>Crítico</v>
      </c>
    </row>
    <row r="209" spans="1:7" x14ac:dyDescent="0.3">
      <c r="A209" s="13">
        <f>FLUXO_DIARIO!A198</f>
        <v>46282</v>
      </c>
      <c r="B209" s="14">
        <f>FLUXO_DIARIO!B198+FLUXO_DIARIO!D198</f>
        <v>0</v>
      </c>
      <c r="C209" s="14">
        <f>FLUXO_DIARIO!C198+FLUXO_DIARIO!E198</f>
        <v>0</v>
      </c>
      <c r="D209" s="14">
        <f t="shared" ref="D209:D240" si="18">B209-C209</f>
        <v>0</v>
      </c>
      <c r="E209" s="14">
        <f>FLUXO_DIARIO!G198</f>
        <v>-4504668.4140959997</v>
      </c>
      <c r="F209" s="25">
        <f t="shared" ref="F209:F214" si="19">IFERROR(B209/C209,0)</f>
        <v>0</v>
      </c>
      <c r="G209" s="26" t="str">
        <f t="shared" ref="G209:G240" si="20">IF(E209&lt;0,"Crítico",IF(F209&lt;1,"Atenção","Saudável"))</f>
        <v>Crítico</v>
      </c>
    </row>
    <row r="210" spans="1:7" x14ac:dyDescent="0.3">
      <c r="A210" s="13">
        <f>FLUXO_DIARIO!A199</f>
        <v>46283</v>
      </c>
      <c r="B210" s="14">
        <f>FLUXO_DIARIO!B199+FLUXO_DIARIO!D199</f>
        <v>0</v>
      </c>
      <c r="C210" s="14">
        <f>FLUXO_DIARIO!C199+FLUXO_DIARIO!E199</f>
        <v>0</v>
      </c>
      <c r="D210" s="14">
        <f t="shared" si="18"/>
        <v>0</v>
      </c>
      <c r="E210" s="14">
        <f>FLUXO_DIARIO!G199</f>
        <v>-4504668.4140959997</v>
      </c>
      <c r="F210" s="25">
        <f t="shared" si="19"/>
        <v>0</v>
      </c>
      <c r="G210" s="26" t="str">
        <f t="shared" si="20"/>
        <v>Crítico</v>
      </c>
    </row>
    <row r="211" spans="1:7" x14ac:dyDescent="0.3">
      <c r="A211" s="13">
        <f>FLUXO_DIARIO!A200</f>
        <v>46284</v>
      </c>
      <c r="B211" s="14">
        <f>FLUXO_DIARIO!B200+FLUXO_DIARIO!D200</f>
        <v>0</v>
      </c>
      <c r="C211" s="14">
        <f>FLUXO_DIARIO!C200+FLUXO_DIARIO!E200</f>
        <v>0</v>
      </c>
      <c r="D211" s="14">
        <f t="shared" si="18"/>
        <v>0</v>
      </c>
      <c r="E211" s="14">
        <f>FLUXO_DIARIO!G200</f>
        <v>-4504668.4140959997</v>
      </c>
      <c r="F211" s="25">
        <f t="shared" si="19"/>
        <v>0</v>
      </c>
      <c r="G211" s="26" t="str">
        <f t="shared" si="20"/>
        <v>Crítico</v>
      </c>
    </row>
    <row r="212" spans="1:7" x14ac:dyDescent="0.3">
      <c r="A212" s="13">
        <f>FLUXO_DIARIO!A201</f>
        <v>46285</v>
      </c>
      <c r="B212" s="14">
        <f>FLUXO_DIARIO!B201+FLUXO_DIARIO!D201</f>
        <v>0</v>
      </c>
      <c r="C212" s="14">
        <f>FLUXO_DIARIO!C201+FLUXO_DIARIO!E201</f>
        <v>0</v>
      </c>
      <c r="D212" s="14">
        <f t="shared" si="18"/>
        <v>0</v>
      </c>
      <c r="E212" s="14">
        <f>FLUXO_DIARIO!G201</f>
        <v>-4504668.4140959997</v>
      </c>
      <c r="F212" s="25">
        <f t="shared" si="19"/>
        <v>0</v>
      </c>
      <c r="G212" s="26" t="str">
        <f t="shared" si="20"/>
        <v>Crítico</v>
      </c>
    </row>
    <row r="213" spans="1:7" x14ac:dyDescent="0.3">
      <c r="A213" s="13">
        <f>FLUXO_DIARIO!A202</f>
        <v>46286</v>
      </c>
      <c r="B213" s="14">
        <f>FLUXO_DIARIO!B202+FLUXO_DIARIO!D202</f>
        <v>0</v>
      </c>
      <c r="C213" s="14">
        <f>FLUXO_DIARIO!C202+FLUXO_DIARIO!E202</f>
        <v>0</v>
      </c>
      <c r="D213" s="14">
        <f t="shared" si="18"/>
        <v>0</v>
      </c>
      <c r="E213" s="14">
        <f>FLUXO_DIARIO!G202</f>
        <v>-4504668.4140959997</v>
      </c>
      <c r="F213" s="25">
        <f t="shared" si="19"/>
        <v>0</v>
      </c>
      <c r="G213" s="26" t="str">
        <f t="shared" si="20"/>
        <v>Crítico</v>
      </c>
    </row>
    <row r="214" spans="1:7" x14ac:dyDescent="0.3">
      <c r="A214" s="13">
        <f>FLUXO_DIARIO!A203</f>
        <v>46287</v>
      </c>
      <c r="B214" s="14">
        <f>FLUXO_DIARIO!B203+FLUXO_DIARIO!D203</f>
        <v>0</v>
      </c>
      <c r="C214" s="14">
        <f>FLUXO_DIARIO!C203+FLUXO_DIARIO!E203</f>
        <v>0</v>
      </c>
      <c r="D214" s="14">
        <f t="shared" si="18"/>
        <v>0</v>
      </c>
      <c r="E214" s="14">
        <f>FLUXO_DIARIO!G203</f>
        <v>-4504668.4140959997</v>
      </c>
      <c r="F214" s="25">
        <f t="shared" si="19"/>
        <v>0</v>
      </c>
      <c r="G214" s="26" t="str">
        <f t="shared" si="20"/>
        <v>Crítico</v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287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31" width="14" customWidth="1"/>
  </cols>
  <sheetData>
    <row r="1" spans="1:31" x14ac:dyDescent="0.3">
      <c r="A1" s="27"/>
      <c r="B1" s="27" t="s">
        <v>647</v>
      </c>
      <c r="C1" s="27" t="s">
        <v>2</v>
      </c>
      <c r="D1" s="27"/>
      <c r="E1" s="27"/>
      <c r="F1" s="27"/>
      <c r="G1" s="27"/>
      <c r="H1" s="27"/>
      <c r="I1" s="27"/>
      <c r="J1" s="27" t="s">
        <v>648</v>
      </c>
      <c r="K1" s="27"/>
      <c r="L1" s="27">
        <v>273760.40000000002</v>
      </c>
      <c r="M1" s="27">
        <v>13593.5836213333</v>
      </c>
      <c r="N1" s="27">
        <v>221803.6908781332</v>
      </c>
      <c r="O1" s="27">
        <v>92553.387813218229</v>
      </c>
      <c r="P1" s="27">
        <v>77621.623172137479</v>
      </c>
      <c r="Q1" s="27">
        <v>161585.87738202629</v>
      </c>
      <c r="R1" s="27">
        <v>617320.47370493552</v>
      </c>
      <c r="S1" s="27">
        <v>973107.25438399962</v>
      </c>
      <c r="T1" s="27">
        <v>1254450.1648800001</v>
      </c>
      <c r="U1" s="27">
        <v>1276242.947504</v>
      </c>
      <c r="V1" s="28">
        <v>273760.40000000002</v>
      </c>
      <c r="W1" s="28">
        <v>13593.5836213333</v>
      </c>
      <c r="X1" s="28">
        <v>221803.6908781332</v>
      </c>
      <c r="Y1" s="28">
        <v>92553.387813218229</v>
      </c>
      <c r="Z1" s="28">
        <v>77621.623172137479</v>
      </c>
      <c r="AA1" s="28">
        <v>161585.87738202629</v>
      </c>
      <c r="AB1" s="28">
        <v>617320.47370493552</v>
      </c>
      <c r="AC1" s="28">
        <v>973107.25438399962</v>
      </c>
      <c r="AD1" s="28">
        <v>1254450.1648800001</v>
      </c>
      <c r="AE1" s="28">
        <v>1276242.947504</v>
      </c>
    </row>
    <row r="2" spans="1:31" x14ac:dyDescent="0.3">
      <c r="A2" s="27"/>
      <c r="B2" s="27" t="s">
        <v>649</v>
      </c>
      <c r="C2" s="27">
        <v>64</v>
      </c>
      <c r="D2" s="27"/>
      <c r="E2" s="27"/>
      <c r="F2" s="27"/>
      <c r="G2" s="27"/>
      <c r="H2" s="27"/>
      <c r="I2" s="27"/>
      <c r="J2" s="28">
        <v>90594.325024999969</v>
      </c>
      <c r="K2" s="27"/>
      <c r="L2" s="29">
        <v>46090</v>
      </c>
      <c r="M2" s="29">
        <v>46104</v>
      </c>
      <c r="N2" s="29">
        <v>46118</v>
      </c>
      <c r="O2" s="29">
        <v>46132</v>
      </c>
      <c r="P2" s="29">
        <v>46146</v>
      </c>
      <c r="Q2" s="29">
        <v>46160</v>
      </c>
      <c r="R2" s="29">
        <v>46174</v>
      </c>
      <c r="S2" s="29">
        <v>46188</v>
      </c>
      <c r="T2" s="29">
        <v>46202</v>
      </c>
      <c r="U2" s="29">
        <v>46216</v>
      </c>
      <c r="V2" s="29">
        <v>46090</v>
      </c>
      <c r="W2" s="29">
        <v>46104</v>
      </c>
      <c r="X2" s="29">
        <v>46118</v>
      </c>
      <c r="Y2" s="29">
        <v>46132</v>
      </c>
      <c r="Z2" s="29">
        <v>46146</v>
      </c>
      <c r="AA2" s="29">
        <v>46160</v>
      </c>
      <c r="AB2" s="29">
        <v>46174</v>
      </c>
      <c r="AC2" s="29">
        <v>46188</v>
      </c>
      <c r="AD2" s="29">
        <v>46202</v>
      </c>
      <c r="AE2" s="29">
        <v>46216</v>
      </c>
    </row>
    <row r="3" spans="1:31" x14ac:dyDescent="0.3">
      <c r="A3" s="27"/>
      <c r="B3" s="27" t="s">
        <v>650</v>
      </c>
      <c r="C3" s="27" t="s">
        <v>651</v>
      </c>
      <c r="D3" s="27"/>
      <c r="E3" s="27"/>
      <c r="F3" s="27"/>
      <c r="G3" s="27"/>
      <c r="H3" s="27"/>
      <c r="I3" s="27"/>
      <c r="J3" s="27"/>
      <c r="K3" s="27"/>
      <c r="L3" s="29">
        <v>46101</v>
      </c>
      <c r="M3" s="29">
        <v>46115</v>
      </c>
      <c r="N3" s="29">
        <v>46129</v>
      </c>
      <c r="O3" s="29">
        <v>46143</v>
      </c>
      <c r="P3" s="29">
        <v>46157</v>
      </c>
      <c r="Q3" s="29">
        <v>46171</v>
      </c>
      <c r="R3" s="29">
        <v>46185</v>
      </c>
      <c r="S3" s="29">
        <v>46199</v>
      </c>
      <c r="T3" s="29">
        <v>46213</v>
      </c>
      <c r="U3" s="29">
        <v>46227</v>
      </c>
      <c r="V3" s="29">
        <v>46101</v>
      </c>
      <c r="W3" s="29">
        <v>46115</v>
      </c>
      <c r="X3" s="29">
        <v>46129</v>
      </c>
      <c r="Y3" s="29">
        <v>46143</v>
      </c>
      <c r="Z3" s="29">
        <v>46157</v>
      </c>
      <c r="AA3" s="29">
        <v>46171</v>
      </c>
      <c r="AB3" s="29">
        <v>46185</v>
      </c>
      <c r="AC3" s="29">
        <v>46199</v>
      </c>
      <c r="AD3" s="29">
        <v>46213</v>
      </c>
      <c r="AE3" s="29">
        <v>46227</v>
      </c>
    </row>
    <row r="4" spans="1:31" x14ac:dyDescent="0.3">
      <c r="A4" s="30"/>
      <c r="B4" s="30" t="s">
        <v>652</v>
      </c>
      <c r="C4" s="31">
        <v>46090</v>
      </c>
      <c r="D4" s="30"/>
      <c r="E4" s="30"/>
      <c r="F4" s="30"/>
      <c r="G4" s="30"/>
      <c r="H4" s="30"/>
      <c r="I4" s="30"/>
      <c r="J4" s="30"/>
      <c r="K4" s="30" t="s">
        <v>653</v>
      </c>
      <c r="L4" s="30" t="s">
        <v>654</v>
      </c>
      <c r="M4" s="30"/>
      <c r="N4" s="30"/>
      <c r="O4" s="30"/>
      <c r="P4" s="30"/>
      <c r="Q4" s="30"/>
      <c r="R4" s="30"/>
      <c r="S4" s="30"/>
      <c r="T4" s="30"/>
      <c r="U4" s="30"/>
      <c r="V4" s="30" t="s">
        <v>655</v>
      </c>
      <c r="W4" s="30"/>
      <c r="X4" s="30"/>
      <c r="Y4" s="30"/>
      <c r="Z4" s="30"/>
      <c r="AA4" s="30"/>
      <c r="AB4" s="30"/>
      <c r="AC4" s="30"/>
      <c r="AD4" s="30"/>
      <c r="AE4" s="30"/>
    </row>
    <row r="5" spans="1:31" x14ac:dyDescent="0.3">
      <c r="A5" s="30"/>
      <c r="B5" s="30" t="s">
        <v>656</v>
      </c>
      <c r="C5" s="30" t="s">
        <v>657</v>
      </c>
      <c r="D5" s="30" t="s">
        <v>658</v>
      </c>
      <c r="E5" s="30" t="s">
        <v>659</v>
      </c>
      <c r="F5" s="30" t="s">
        <v>660</v>
      </c>
      <c r="G5" s="30" t="s">
        <v>661</v>
      </c>
      <c r="H5" s="30" t="s">
        <v>662</v>
      </c>
      <c r="I5" s="30" t="s">
        <v>663</v>
      </c>
      <c r="J5" s="30" t="s">
        <v>664</v>
      </c>
      <c r="K5" s="30" t="s">
        <v>665</v>
      </c>
      <c r="L5" s="30" t="s">
        <v>666</v>
      </c>
      <c r="M5" s="30" t="s">
        <v>667</v>
      </c>
      <c r="N5" s="30" t="s">
        <v>668</v>
      </c>
      <c r="O5" s="30" t="s">
        <v>669</v>
      </c>
      <c r="P5" s="30" t="s">
        <v>670</v>
      </c>
      <c r="Q5" s="30" t="s">
        <v>671</v>
      </c>
      <c r="R5" s="30" t="s">
        <v>672</v>
      </c>
      <c r="S5" s="30" t="s">
        <v>673</v>
      </c>
      <c r="T5" s="30" t="s">
        <v>674</v>
      </c>
      <c r="U5" s="30" t="s">
        <v>675</v>
      </c>
      <c r="V5" s="30" t="s">
        <v>666</v>
      </c>
      <c r="W5" s="30" t="s">
        <v>667</v>
      </c>
      <c r="X5" s="30" t="s">
        <v>668</v>
      </c>
      <c r="Y5" s="30" t="s">
        <v>669</v>
      </c>
      <c r="Z5" s="30" t="s">
        <v>670</v>
      </c>
      <c r="AA5" s="30" t="s">
        <v>671</v>
      </c>
      <c r="AB5" s="30" t="s">
        <v>672</v>
      </c>
      <c r="AC5" s="30" t="s">
        <v>673</v>
      </c>
      <c r="AD5" s="30" t="s">
        <v>674</v>
      </c>
      <c r="AE5" s="30" t="s">
        <v>675</v>
      </c>
    </row>
    <row r="6" spans="1:31" x14ac:dyDescent="0.3">
      <c r="D6" t="s">
        <v>131</v>
      </c>
      <c r="J6" s="32">
        <v>0</v>
      </c>
      <c r="K6" s="32">
        <v>0</v>
      </c>
      <c r="V6" s="32">
        <v>0</v>
      </c>
      <c r="W6" s="32">
        <v>0</v>
      </c>
      <c r="X6" s="32">
        <v>0</v>
      </c>
      <c r="Y6" s="32">
        <v>0</v>
      </c>
      <c r="Z6" s="32">
        <v>0</v>
      </c>
      <c r="AA6" s="32">
        <v>0</v>
      </c>
      <c r="AB6" s="32">
        <v>0</v>
      </c>
      <c r="AC6" s="32">
        <v>0</v>
      </c>
      <c r="AD6" s="32">
        <v>0</v>
      </c>
      <c r="AE6" s="32">
        <v>0</v>
      </c>
    </row>
    <row r="7" spans="1:31" x14ac:dyDescent="0.3">
      <c r="B7" t="s">
        <v>131</v>
      </c>
      <c r="C7" t="s">
        <v>132</v>
      </c>
      <c r="D7" t="s">
        <v>156</v>
      </c>
      <c r="F7">
        <v>117.76</v>
      </c>
      <c r="G7" t="s">
        <v>155</v>
      </c>
      <c r="H7">
        <v>1.84</v>
      </c>
      <c r="I7" s="32">
        <v>3.59</v>
      </c>
      <c r="J7" s="32">
        <v>6.6055999999999999</v>
      </c>
      <c r="K7" s="32">
        <v>422.75839999999999</v>
      </c>
      <c r="L7">
        <v>0</v>
      </c>
      <c r="M7">
        <v>0.34</v>
      </c>
      <c r="O7">
        <v>0.33</v>
      </c>
      <c r="Q7">
        <v>0.33</v>
      </c>
      <c r="V7" s="32">
        <v>0</v>
      </c>
      <c r="W7" s="32">
        <v>143.73785599999999</v>
      </c>
      <c r="X7" s="32">
        <v>0</v>
      </c>
      <c r="Y7" s="32">
        <v>139.51027199999999</v>
      </c>
      <c r="Z7" s="32">
        <v>0</v>
      </c>
      <c r="AA7" s="32">
        <v>139.51027199999999</v>
      </c>
      <c r="AB7" s="32">
        <v>0</v>
      </c>
      <c r="AC7" s="32">
        <v>0</v>
      </c>
      <c r="AD7" s="32">
        <v>0</v>
      </c>
      <c r="AE7" s="32">
        <v>0</v>
      </c>
    </row>
    <row r="8" spans="1:31" x14ac:dyDescent="0.3">
      <c r="B8" t="s">
        <v>131</v>
      </c>
      <c r="C8" t="s">
        <v>132</v>
      </c>
      <c r="D8" t="s">
        <v>157</v>
      </c>
      <c r="F8">
        <v>584.96</v>
      </c>
      <c r="G8" t="s">
        <v>155</v>
      </c>
      <c r="H8">
        <v>9.14</v>
      </c>
      <c r="I8" s="32">
        <v>5.69</v>
      </c>
      <c r="J8" s="32">
        <v>52.006600000000013</v>
      </c>
      <c r="K8" s="32">
        <v>3328.4223999999999</v>
      </c>
      <c r="L8">
        <v>0</v>
      </c>
      <c r="M8">
        <v>0.34</v>
      </c>
      <c r="O8">
        <v>0.33</v>
      </c>
      <c r="Q8">
        <v>0.33</v>
      </c>
      <c r="V8" s="32">
        <v>0</v>
      </c>
      <c r="W8" s="32">
        <v>1131.663616</v>
      </c>
      <c r="X8" s="32">
        <v>0</v>
      </c>
      <c r="Y8" s="32">
        <v>1098.3793920000001</v>
      </c>
      <c r="Z8" s="32">
        <v>0</v>
      </c>
      <c r="AA8" s="32">
        <v>1098.3793920000001</v>
      </c>
      <c r="AB8" s="32">
        <v>0</v>
      </c>
      <c r="AC8" s="32">
        <v>0</v>
      </c>
      <c r="AD8" s="32">
        <v>0</v>
      </c>
      <c r="AE8" s="32">
        <v>0</v>
      </c>
    </row>
    <row r="9" spans="1:31" x14ac:dyDescent="0.3">
      <c r="B9" t="s">
        <v>131</v>
      </c>
      <c r="C9" t="s">
        <v>132</v>
      </c>
      <c r="D9" t="s">
        <v>158</v>
      </c>
      <c r="F9">
        <v>22.4</v>
      </c>
      <c r="G9" t="s">
        <v>155</v>
      </c>
      <c r="H9">
        <v>0.35</v>
      </c>
      <c r="I9" s="32">
        <v>10.82</v>
      </c>
      <c r="J9" s="32">
        <v>3.7869999999999999</v>
      </c>
      <c r="K9" s="32">
        <v>242.36799999999999</v>
      </c>
      <c r="L9">
        <v>0</v>
      </c>
      <c r="M9">
        <v>0.34</v>
      </c>
      <c r="O9">
        <v>0.33</v>
      </c>
      <c r="Q9">
        <v>0.33</v>
      </c>
      <c r="V9" s="32">
        <v>0</v>
      </c>
      <c r="W9" s="32">
        <v>82.405120000000011</v>
      </c>
      <c r="X9" s="32">
        <v>0</v>
      </c>
      <c r="Y9" s="32">
        <v>79.981440000000006</v>
      </c>
      <c r="Z9" s="32">
        <v>0</v>
      </c>
      <c r="AA9" s="32">
        <v>79.981440000000006</v>
      </c>
      <c r="AB9" s="32">
        <v>0</v>
      </c>
      <c r="AC9" s="32">
        <v>0</v>
      </c>
      <c r="AD9" s="32">
        <v>0</v>
      </c>
      <c r="AE9" s="32">
        <v>0</v>
      </c>
    </row>
    <row r="10" spans="1:31" x14ac:dyDescent="0.3">
      <c r="B10" t="s">
        <v>131</v>
      </c>
      <c r="C10" t="s">
        <v>132</v>
      </c>
      <c r="D10" t="s">
        <v>154</v>
      </c>
      <c r="F10">
        <v>140.80000000000001</v>
      </c>
      <c r="G10" t="s">
        <v>155</v>
      </c>
      <c r="H10">
        <v>2.2000000000000002</v>
      </c>
      <c r="I10" s="32">
        <v>15.98</v>
      </c>
      <c r="J10" s="32">
        <v>35.156000000000013</v>
      </c>
      <c r="K10" s="32">
        <v>2249.9839999999999</v>
      </c>
      <c r="L10">
        <v>0</v>
      </c>
      <c r="M10">
        <v>0.34</v>
      </c>
      <c r="O10">
        <v>0.33</v>
      </c>
      <c r="Q10">
        <v>0.33</v>
      </c>
      <c r="V10" s="32">
        <v>0</v>
      </c>
      <c r="W10" s="32">
        <v>764.99456000000021</v>
      </c>
      <c r="X10" s="32">
        <v>0</v>
      </c>
      <c r="Y10" s="32">
        <v>742.49472000000014</v>
      </c>
      <c r="Z10" s="32">
        <v>0</v>
      </c>
      <c r="AA10" s="32">
        <v>742.49472000000014</v>
      </c>
      <c r="AB10" s="32">
        <v>0</v>
      </c>
      <c r="AC10" s="32">
        <v>0</v>
      </c>
      <c r="AD10" s="32">
        <v>0</v>
      </c>
      <c r="AE10" s="32">
        <v>0</v>
      </c>
    </row>
    <row r="11" spans="1:31" x14ac:dyDescent="0.3">
      <c r="B11" t="s">
        <v>131</v>
      </c>
      <c r="C11" t="s">
        <v>132</v>
      </c>
      <c r="D11" t="s">
        <v>141</v>
      </c>
      <c r="F11">
        <v>64</v>
      </c>
      <c r="G11" t="s">
        <v>87</v>
      </c>
      <c r="H11">
        <v>1</v>
      </c>
      <c r="I11" s="32">
        <v>13.99</v>
      </c>
      <c r="J11" s="32">
        <v>13.99</v>
      </c>
      <c r="K11" s="32">
        <v>895.36</v>
      </c>
      <c r="L11">
        <v>0</v>
      </c>
      <c r="M11">
        <v>0.34</v>
      </c>
      <c r="O11">
        <v>0.33</v>
      </c>
      <c r="Q11">
        <v>0.33</v>
      </c>
      <c r="V11" s="32">
        <v>0</v>
      </c>
      <c r="W11" s="32">
        <v>304.42239999999998</v>
      </c>
      <c r="X11" s="32">
        <v>0</v>
      </c>
      <c r="Y11" s="32">
        <v>295.46879999999999</v>
      </c>
      <c r="Z11" s="32">
        <v>0</v>
      </c>
      <c r="AA11" s="32">
        <v>295.46879999999999</v>
      </c>
      <c r="AB11" s="32">
        <v>0</v>
      </c>
      <c r="AC11" s="32">
        <v>0</v>
      </c>
      <c r="AD11" s="32">
        <v>0</v>
      </c>
      <c r="AE11" s="32">
        <v>0</v>
      </c>
    </row>
    <row r="12" spans="1:31" x14ac:dyDescent="0.3">
      <c r="B12" t="s">
        <v>131</v>
      </c>
      <c r="C12" t="s">
        <v>132</v>
      </c>
      <c r="D12" t="s">
        <v>142</v>
      </c>
      <c r="F12">
        <v>128</v>
      </c>
      <c r="G12" t="s">
        <v>87</v>
      </c>
      <c r="H12">
        <v>2</v>
      </c>
      <c r="I12" s="32">
        <v>3.09</v>
      </c>
      <c r="J12" s="32">
        <v>6.18</v>
      </c>
      <c r="K12" s="32">
        <v>395.52</v>
      </c>
      <c r="L12">
        <v>0</v>
      </c>
      <c r="M12">
        <v>0.34</v>
      </c>
      <c r="O12">
        <v>0.33</v>
      </c>
      <c r="Q12">
        <v>0.33</v>
      </c>
      <c r="V12" s="32">
        <v>0</v>
      </c>
      <c r="W12" s="32">
        <v>134.4768</v>
      </c>
      <c r="X12" s="32">
        <v>0</v>
      </c>
      <c r="Y12" s="32">
        <v>130.52160000000001</v>
      </c>
      <c r="Z12" s="32">
        <v>0</v>
      </c>
      <c r="AA12" s="32">
        <v>130.52160000000001</v>
      </c>
      <c r="AB12" s="32">
        <v>0</v>
      </c>
      <c r="AC12" s="32">
        <v>0</v>
      </c>
      <c r="AD12" s="32">
        <v>0</v>
      </c>
      <c r="AE12" s="32">
        <v>0</v>
      </c>
    </row>
    <row r="13" spans="1:31" x14ac:dyDescent="0.3">
      <c r="B13" t="s">
        <v>131</v>
      </c>
      <c r="C13" t="s">
        <v>132</v>
      </c>
      <c r="D13" t="s">
        <v>139</v>
      </c>
      <c r="F13">
        <v>64</v>
      </c>
      <c r="G13" t="s">
        <v>87</v>
      </c>
      <c r="H13">
        <v>1</v>
      </c>
      <c r="I13" s="32">
        <v>1.4</v>
      </c>
      <c r="J13" s="32">
        <v>1.4</v>
      </c>
      <c r="K13" s="32">
        <v>89.6</v>
      </c>
      <c r="L13">
        <v>0</v>
      </c>
      <c r="M13">
        <v>0.34</v>
      </c>
      <c r="O13">
        <v>0.33</v>
      </c>
      <c r="Q13">
        <v>0.33</v>
      </c>
      <c r="V13" s="32">
        <v>0</v>
      </c>
      <c r="W13" s="32">
        <v>30.463999999999999</v>
      </c>
      <c r="X13" s="32">
        <v>0</v>
      </c>
      <c r="Y13" s="32">
        <v>29.568000000000001</v>
      </c>
      <c r="Z13" s="32">
        <v>0</v>
      </c>
      <c r="AA13" s="32">
        <v>29.568000000000001</v>
      </c>
      <c r="AB13" s="32">
        <v>0</v>
      </c>
      <c r="AC13" s="32">
        <v>0</v>
      </c>
      <c r="AD13" s="32">
        <v>0</v>
      </c>
      <c r="AE13" s="32">
        <v>0</v>
      </c>
    </row>
    <row r="14" spans="1:31" x14ac:dyDescent="0.3">
      <c r="B14" t="s">
        <v>131</v>
      </c>
      <c r="C14" t="s">
        <v>132</v>
      </c>
      <c r="D14" t="s">
        <v>143</v>
      </c>
      <c r="F14">
        <v>384</v>
      </c>
      <c r="G14" t="s">
        <v>87</v>
      </c>
      <c r="H14">
        <v>6</v>
      </c>
      <c r="I14" s="32">
        <v>5.72</v>
      </c>
      <c r="J14" s="32">
        <v>34.32</v>
      </c>
      <c r="K14" s="32">
        <v>2196.48</v>
      </c>
      <c r="L14">
        <v>0</v>
      </c>
      <c r="M14">
        <v>0.34</v>
      </c>
      <c r="O14">
        <v>0.33</v>
      </c>
      <c r="Q14">
        <v>0.33</v>
      </c>
      <c r="V14" s="32">
        <v>0</v>
      </c>
      <c r="W14" s="32">
        <v>746.80320000000006</v>
      </c>
      <c r="X14" s="32">
        <v>0</v>
      </c>
      <c r="Y14" s="32">
        <v>724.83840000000009</v>
      </c>
      <c r="Z14" s="32">
        <v>0</v>
      </c>
      <c r="AA14" s="32">
        <v>724.83840000000009</v>
      </c>
      <c r="AB14" s="32">
        <v>0</v>
      </c>
      <c r="AC14" s="32">
        <v>0</v>
      </c>
      <c r="AD14" s="32">
        <v>0</v>
      </c>
      <c r="AE14" s="32">
        <v>0</v>
      </c>
    </row>
    <row r="15" spans="1:31" x14ac:dyDescent="0.3">
      <c r="B15" t="s">
        <v>131</v>
      </c>
      <c r="C15" t="s">
        <v>132</v>
      </c>
      <c r="D15" t="s">
        <v>140</v>
      </c>
      <c r="F15">
        <v>64</v>
      </c>
      <c r="G15" t="s">
        <v>87</v>
      </c>
      <c r="H15">
        <v>1</v>
      </c>
      <c r="I15" s="32">
        <v>6</v>
      </c>
      <c r="J15" s="32">
        <v>6</v>
      </c>
      <c r="K15" s="32">
        <v>384</v>
      </c>
      <c r="L15">
        <v>0</v>
      </c>
      <c r="M15">
        <v>0.34</v>
      </c>
      <c r="O15">
        <v>0.33</v>
      </c>
      <c r="Q15">
        <v>0.33</v>
      </c>
      <c r="V15" s="32">
        <v>0</v>
      </c>
      <c r="W15" s="32">
        <v>130.56</v>
      </c>
      <c r="X15" s="32">
        <v>0</v>
      </c>
      <c r="Y15" s="32">
        <v>126.72</v>
      </c>
      <c r="Z15" s="32">
        <v>0</v>
      </c>
      <c r="AA15" s="32">
        <v>126.72</v>
      </c>
      <c r="AB15" s="32">
        <v>0</v>
      </c>
      <c r="AC15" s="32">
        <v>0</v>
      </c>
      <c r="AD15" s="32">
        <v>0</v>
      </c>
      <c r="AE15" s="32">
        <v>0</v>
      </c>
    </row>
    <row r="16" spans="1:31" x14ac:dyDescent="0.3">
      <c r="B16" t="s">
        <v>131</v>
      </c>
      <c r="C16" t="s">
        <v>132</v>
      </c>
      <c r="D16" t="s">
        <v>146</v>
      </c>
      <c r="F16">
        <v>64</v>
      </c>
      <c r="G16" t="s">
        <v>87</v>
      </c>
      <c r="H16">
        <v>1</v>
      </c>
      <c r="I16" s="32">
        <v>17.98</v>
      </c>
      <c r="J16" s="32">
        <v>17.98</v>
      </c>
      <c r="K16" s="32">
        <v>1150.72</v>
      </c>
      <c r="L16">
        <v>0</v>
      </c>
      <c r="M16">
        <v>0.34</v>
      </c>
      <c r="O16">
        <v>0.33</v>
      </c>
      <c r="Q16">
        <v>0.33</v>
      </c>
      <c r="V16" s="32">
        <v>0</v>
      </c>
      <c r="W16" s="32">
        <v>391.24480000000011</v>
      </c>
      <c r="X16" s="32">
        <v>0</v>
      </c>
      <c r="Y16" s="32">
        <v>379.73759999999999</v>
      </c>
      <c r="Z16" s="32">
        <v>0</v>
      </c>
      <c r="AA16" s="32">
        <v>379.73759999999999</v>
      </c>
      <c r="AB16" s="32">
        <v>0</v>
      </c>
      <c r="AC16" s="32">
        <v>0</v>
      </c>
      <c r="AD16" s="32">
        <v>0</v>
      </c>
      <c r="AE16" s="32">
        <v>0</v>
      </c>
    </row>
    <row r="17" spans="2:31" x14ac:dyDescent="0.3">
      <c r="B17" t="s">
        <v>131</v>
      </c>
      <c r="C17" t="s">
        <v>132</v>
      </c>
      <c r="D17" t="s">
        <v>145</v>
      </c>
      <c r="F17">
        <v>64</v>
      </c>
      <c r="G17" t="s">
        <v>87</v>
      </c>
      <c r="H17">
        <v>1</v>
      </c>
      <c r="I17" s="32">
        <v>21.56</v>
      </c>
      <c r="J17" s="32">
        <v>21.56</v>
      </c>
      <c r="K17" s="32">
        <v>1379.84</v>
      </c>
      <c r="L17">
        <v>0</v>
      </c>
      <c r="M17">
        <v>0.34</v>
      </c>
      <c r="O17">
        <v>0.33</v>
      </c>
      <c r="Q17">
        <v>0.33</v>
      </c>
      <c r="V17" s="32">
        <v>0</v>
      </c>
      <c r="W17" s="32">
        <v>469.1456</v>
      </c>
      <c r="X17" s="32">
        <v>0</v>
      </c>
      <c r="Y17" s="32">
        <v>455.34719999999999</v>
      </c>
      <c r="Z17" s="32">
        <v>0</v>
      </c>
      <c r="AA17" s="32">
        <v>455.34719999999999</v>
      </c>
      <c r="AB17" s="32">
        <v>0</v>
      </c>
      <c r="AC17" s="32">
        <v>0</v>
      </c>
      <c r="AD17" s="32">
        <v>0</v>
      </c>
      <c r="AE17" s="32">
        <v>0</v>
      </c>
    </row>
    <row r="18" spans="2:31" x14ac:dyDescent="0.3">
      <c r="B18" t="s">
        <v>131</v>
      </c>
      <c r="C18" t="s">
        <v>132</v>
      </c>
      <c r="D18" t="s">
        <v>151</v>
      </c>
      <c r="F18">
        <v>64</v>
      </c>
      <c r="G18" t="s">
        <v>87</v>
      </c>
      <c r="H18">
        <v>1</v>
      </c>
      <c r="I18" s="32">
        <v>4.96</v>
      </c>
      <c r="J18" s="32">
        <v>4.96</v>
      </c>
      <c r="K18" s="32">
        <v>317.44</v>
      </c>
      <c r="L18">
        <v>0</v>
      </c>
      <c r="M18">
        <v>0.34</v>
      </c>
      <c r="O18">
        <v>0.33</v>
      </c>
      <c r="Q18">
        <v>0.33</v>
      </c>
      <c r="V18" s="32">
        <v>0</v>
      </c>
      <c r="W18" s="32">
        <v>107.92959999999999</v>
      </c>
      <c r="X18" s="32">
        <v>0</v>
      </c>
      <c r="Y18" s="32">
        <v>104.7552</v>
      </c>
      <c r="Z18" s="32">
        <v>0</v>
      </c>
      <c r="AA18" s="32">
        <v>104.7552</v>
      </c>
      <c r="AB18" s="32">
        <v>0</v>
      </c>
      <c r="AC18" s="32">
        <v>0</v>
      </c>
      <c r="AD18" s="32">
        <v>0</v>
      </c>
      <c r="AE18" s="32">
        <v>0</v>
      </c>
    </row>
    <row r="19" spans="2:31" x14ac:dyDescent="0.3">
      <c r="B19" t="s">
        <v>131</v>
      </c>
      <c r="C19" t="s">
        <v>132</v>
      </c>
      <c r="D19" t="s">
        <v>137</v>
      </c>
      <c r="F19">
        <v>64</v>
      </c>
      <c r="G19" t="s">
        <v>87</v>
      </c>
      <c r="H19">
        <v>1</v>
      </c>
      <c r="I19" s="32">
        <v>32</v>
      </c>
      <c r="J19" s="32">
        <v>32</v>
      </c>
      <c r="K19" s="32">
        <v>2048</v>
      </c>
      <c r="L19">
        <v>0</v>
      </c>
      <c r="M19">
        <v>0.34</v>
      </c>
      <c r="O19">
        <v>0.33</v>
      </c>
      <c r="Q19">
        <v>0.33</v>
      </c>
      <c r="V19" s="32">
        <v>0</v>
      </c>
      <c r="W19" s="32">
        <v>696.32</v>
      </c>
      <c r="X19" s="32">
        <v>0</v>
      </c>
      <c r="Y19" s="32">
        <v>675.84</v>
      </c>
      <c r="Z19" s="32">
        <v>0</v>
      </c>
      <c r="AA19" s="32">
        <v>675.84</v>
      </c>
      <c r="AB19" s="32">
        <v>0</v>
      </c>
      <c r="AC19" s="32">
        <v>0</v>
      </c>
      <c r="AD19" s="32">
        <v>0</v>
      </c>
      <c r="AE19" s="32">
        <v>0</v>
      </c>
    </row>
    <row r="20" spans="2:31" x14ac:dyDescent="0.3">
      <c r="B20" t="s">
        <v>131</v>
      </c>
      <c r="C20" t="s">
        <v>132</v>
      </c>
      <c r="D20" t="s">
        <v>150</v>
      </c>
      <c r="F20">
        <v>64</v>
      </c>
      <c r="G20" t="s">
        <v>87</v>
      </c>
      <c r="H20">
        <v>1</v>
      </c>
      <c r="I20" s="32">
        <v>10</v>
      </c>
      <c r="J20" s="32">
        <v>10</v>
      </c>
      <c r="K20" s="32">
        <v>640</v>
      </c>
      <c r="L20">
        <v>0</v>
      </c>
      <c r="M20">
        <v>0.34</v>
      </c>
      <c r="O20">
        <v>0.33</v>
      </c>
      <c r="Q20">
        <v>0.33</v>
      </c>
      <c r="V20" s="32">
        <v>0</v>
      </c>
      <c r="W20" s="32">
        <v>217.6</v>
      </c>
      <c r="X20" s="32">
        <v>0</v>
      </c>
      <c r="Y20" s="32">
        <v>211.2</v>
      </c>
      <c r="Z20" s="32">
        <v>0</v>
      </c>
      <c r="AA20" s="32">
        <v>211.2</v>
      </c>
      <c r="AB20" s="32">
        <v>0</v>
      </c>
      <c r="AC20" s="32">
        <v>0</v>
      </c>
      <c r="AD20" s="32">
        <v>0</v>
      </c>
      <c r="AE20" s="32">
        <v>0</v>
      </c>
    </row>
    <row r="21" spans="2:31" x14ac:dyDescent="0.3">
      <c r="B21" t="s">
        <v>131</v>
      </c>
      <c r="C21" t="s">
        <v>132</v>
      </c>
      <c r="D21" t="s">
        <v>133</v>
      </c>
      <c r="F21">
        <v>64</v>
      </c>
      <c r="G21" t="s">
        <v>87</v>
      </c>
      <c r="H21">
        <v>1</v>
      </c>
      <c r="I21" s="32">
        <v>2.2000000000000002</v>
      </c>
      <c r="J21" s="32">
        <v>2.2000000000000002</v>
      </c>
      <c r="K21" s="32">
        <v>140.80000000000001</v>
      </c>
      <c r="L21">
        <v>0</v>
      </c>
      <c r="M21">
        <v>0.34</v>
      </c>
      <c r="O21">
        <v>0.33</v>
      </c>
      <c r="Q21">
        <v>0.33</v>
      </c>
      <c r="V21" s="32">
        <v>0</v>
      </c>
      <c r="W21" s="32">
        <v>47.872000000000007</v>
      </c>
      <c r="X21" s="32">
        <v>0</v>
      </c>
      <c r="Y21" s="32">
        <v>46.464000000000013</v>
      </c>
      <c r="Z21" s="32">
        <v>0</v>
      </c>
      <c r="AA21" s="32">
        <v>46.464000000000013</v>
      </c>
      <c r="AB21" s="32">
        <v>0</v>
      </c>
      <c r="AC21" s="32">
        <v>0</v>
      </c>
      <c r="AD21" s="32">
        <v>0</v>
      </c>
      <c r="AE21" s="32">
        <v>0</v>
      </c>
    </row>
    <row r="22" spans="2:31" x14ac:dyDescent="0.3">
      <c r="B22" t="s">
        <v>131</v>
      </c>
      <c r="C22" t="s">
        <v>132</v>
      </c>
      <c r="D22" t="s">
        <v>147</v>
      </c>
      <c r="F22">
        <v>64</v>
      </c>
      <c r="G22" t="s">
        <v>87</v>
      </c>
      <c r="H22">
        <v>1</v>
      </c>
      <c r="I22" s="32">
        <v>1.69</v>
      </c>
      <c r="J22" s="32">
        <v>1.69</v>
      </c>
      <c r="K22" s="32">
        <v>108.16</v>
      </c>
      <c r="L22">
        <v>0</v>
      </c>
      <c r="M22">
        <v>0.34</v>
      </c>
      <c r="O22">
        <v>0.33</v>
      </c>
      <c r="Q22">
        <v>0.33</v>
      </c>
      <c r="V22" s="32">
        <v>0</v>
      </c>
      <c r="W22" s="32">
        <v>36.7744</v>
      </c>
      <c r="X22" s="32">
        <v>0</v>
      </c>
      <c r="Y22" s="32">
        <v>35.692799999999998</v>
      </c>
      <c r="Z22" s="32">
        <v>0</v>
      </c>
      <c r="AA22" s="32">
        <v>35.692799999999998</v>
      </c>
      <c r="AB22" s="32">
        <v>0</v>
      </c>
      <c r="AC22" s="32">
        <v>0</v>
      </c>
      <c r="AD22" s="32">
        <v>0</v>
      </c>
      <c r="AE22" s="32">
        <v>0</v>
      </c>
    </row>
    <row r="23" spans="2:31" x14ac:dyDescent="0.3">
      <c r="B23" t="s">
        <v>131</v>
      </c>
      <c r="C23" t="s">
        <v>132</v>
      </c>
      <c r="D23" t="s">
        <v>148</v>
      </c>
      <c r="F23">
        <v>9.6</v>
      </c>
      <c r="G23" t="s">
        <v>149</v>
      </c>
      <c r="H23">
        <v>0.15</v>
      </c>
      <c r="I23" s="32">
        <v>93.69</v>
      </c>
      <c r="J23" s="32">
        <v>14.0535</v>
      </c>
      <c r="K23" s="32">
        <v>899.42399999999998</v>
      </c>
      <c r="L23">
        <v>0</v>
      </c>
      <c r="M23">
        <v>0.34</v>
      </c>
      <c r="O23">
        <v>0.33</v>
      </c>
      <c r="Q23">
        <v>0.33</v>
      </c>
      <c r="V23" s="32">
        <v>0</v>
      </c>
      <c r="W23" s="32">
        <v>305.80416000000002</v>
      </c>
      <c r="X23" s="32">
        <v>0</v>
      </c>
      <c r="Y23" s="32">
        <v>296.80991999999998</v>
      </c>
      <c r="Z23" s="32">
        <v>0</v>
      </c>
      <c r="AA23" s="32">
        <v>296.80991999999998</v>
      </c>
      <c r="AB23" s="32">
        <v>0</v>
      </c>
      <c r="AC23" s="32">
        <v>0</v>
      </c>
      <c r="AD23" s="32">
        <v>0</v>
      </c>
      <c r="AE23" s="32">
        <v>0</v>
      </c>
    </row>
    <row r="24" spans="2:31" x14ac:dyDescent="0.3">
      <c r="B24" t="s">
        <v>131</v>
      </c>
      <c r="C24" t="s">
        <v>132</v>
      </c>
      <c r="D24" t="s">
        <v>138</v>
      </c>
      <c r="F24">
        <v>64</v>
      </c>
      <c r="G24" t="s">
        <v>87</v>
      </c>
      <c r="H24">
        <v>1</v>
      </c>
      <c r="I24" s="32">
        <v>13.99</v>
      </c>
      <c r="J24" s="32">
        <v>13.99</v>
      </c>
      <c r="K24" s="32">
        <v>895.36</v>
      </c>
      <c r="L24">
        <v>0</v>
      </c>
      <c r="M24">
        <v>0.34</v>
      </c>
      <c r="O24">
        <v>0.33</v>
      </c>
      <c r="Q24">
        <v>0.33</v>
      </c>
      <c r="V24" s="32">
        <v>0</v>
      </c>
      <c r="W24" s="32">
        <v>304.42239999999998</v>
      </c>
      <c r="X24" s="32">
        <v>0</v>
      </c>
      <c r="Y24" s="32">
        <v>295.46879999999999</v>
      </c>
      <c r="Z24" s="32">
        <v>0</v>
      </c>
      <c r="AA24" s="32">
        <v>295.46879999999999</v>
      </c>
      <c r="AB24" s="32">
        <v>0</v>
      </c>
      <c r="AC24" s="32">
        <v>0</v>
      </c>
      <c r="AD24" s="32">
        <v>0</v>
      </c>
      <c r="AE24" s="32">
        <v>0</v>
      </c>
    </row>
    <row r="25" spans="2:31" x14ac:dyDescent="0.3">
      <c r="B25" t="s">
        <v>131</v>
      </c>
      <c r="C25" t="s">
        <v>132</v>
      </c>
      <c r="D25" t="s">
        <v>144</v>
      </c>
      <c r="F25">
        <v>128</v>
      </c>
      <c r="G25" t="s">
        <v>87</v>
      </c>
      <c r="H25">
        <v>2</v>
      </c>
      <c r="I25" s="32">
        <v>0.95</v>
      </c>
      <c r="J25" s="32">
        <v>1.9</v>
      </c>
      <c r="K25" s="32">
        <v>121.6</v>
      </c>
      <c r="L25">
        <v>0</v>
      </c>
      <c r="M25">
        <v>0.34</v>
      </c>
      <c r="O25">
        <v>0.33</v>
      </c>
      <c r="Q25">
        <v>0.33</v>
      </c>
      <c r="V25" s="32">
        <v>0</v>
      </c>
      <c r="W25" s="32">
        <v>41.344000000000001</v>
      </c>
      <c r="X25" s="32">
        <v>0</v>
      </c>
      <c r="Y25" s="32">
        <v>40.128</v>
      </c>
      <c r="Z25" s="32">
        <v>0</v>
      </c>
      <c r="AA25" s="32">
        <v>40.128</v>
      </c>
      <c r="AB25" s="32">
        <v>0</v>
      </c>
      <c r="AC25" s="32">
        <v>0</v>
      </c>
      <c r="AD25" s="32">
        <v>0</v>
      </c>
      <c r="AE25" s="32">
        <v>0</v>
      </c>
    </row>
    <row r="26" spans="2:31" x14ac:dyDescent="0.3">
      <c r="B26" t="s">
        <v>131</v>
      </c>
      <c r="C26" t="s">
        <v>132</v>
      </c>
      <c r="D26" t="s">
        <v>152</v>
      </c>
      <c r="F26">
        <v>64</v>
      </c>
      <c r="G26" t="s">
        <v>153</v>
      </c>
      <c r="H26">
        <v>1</v>
      </c>
      <c r="I26" s="32">
        <v>16.07</v>
      </c>
      <c r="J26" s="32">
        <v>16.07</v>
      </c>
      <c r="K26" s="32">
        <v>1028.48</v>
      </c>
      <c r="L26">
        <v>0</v>
      </c>
      <c r="M26">
        <v>0.34</v>
      </c>
      <c r="O26">
        <v>0.33</v>
      </c>
      <c r="Q26">
        <v>0.33</v>
      </c>
      <c r="V26" s="32">
        <v>0</v>
      </c>
      <c r="W26" s="32">
        <v>349.68320000000011</v>
      </c>
      <c r="X26" s="32">
        <v>0</v>
      </c>
      <c r="Y26" s="32">
        <v>339.39839999999998</v>
      </c>
      <c r="Z26" s="32">
        <v>0</v>
      </c>
      <c r="AA26" s="32">
        <v>339.39839999999998</v>
      </c>
      <c r="AB26" s="32">
        <v>0</v>
      </c>
      <c r="AC26" s="32">
        <v>0</v>
      </c>
      <c r="AD26" s="32">
        <v>0</v>
      </c>
      <c r="AE26" s="32">
        <v>0</v>
      </c>
    </row>
    <row r="27" spans="2:31" x14ac:dyDescent="0.3">
      <c r="B27" t="s">
        <v>131</v>
      </c>
      <c r="C27" t="s">
        <v>676</v>
      </c>
      <c r="D27" t="s">
        <v>677</v>
      </c>
      <c r="E27" t="s">
        <v>678</v>
      </c>
      <c r="F27">
        <v>64</v>
      </c>
      <c r="G27" t="s">
        <v>113</v>
      </c>
      <c r="H27">
        <v>1</v>
      </c>
      <c r="I27" s="32">
        <v>0</v>
      </c>
      <c r="J27" s="32">
        <v>0</v>
      </c>
      <c r="K27" s="32">
        <v>0</v>
      </c>
      <c r="V27" s="32">
        <v>0</v>
      </c>
      <c r="W27" s="32">
        <v>0</v>
      </c>
      <c r="X27" s="32">
        <v>0</v>
      </c>
      <c r="Y27" s="32">
        <v>0</v>
      </c>
      <c r="Z27" s="32">
        <v>0</v>
      </c>
      <c r="AA27" s="32">
        <v>0</v>
      </c>
      <c r="AB27" s="32">
        <v>0</v>
      </c>
      <c r="AC27" s="32">
        <v>0</v>
      </c>
      <c r="AD27" s="32">
        <v>0</v>
      </c>
      <c r="AE27" s="32">
        <v>0</v>
      </c>
    </row>
    <row r="28" spans="2:31" x14ac:dyDescent="0.3">
      <c r="D28" t="s">
        <v>107</v>
      </c>
      <c r="E28" t="s">
        <v>679</v>
      </c>
      <c r="F28">
        <v>0</v>
      </c>
      <c r="J28" s="32">
        <v>0</v>
      </c>
      <c r="K28" s="32">
        <v>0</v>
      </c>
      <c r="V28" s="32">
        <v>0</v>
      </c>
      <c r="W28" s="32">
        <v>0</v>
      </c>
      <c r="X28" s="32">
        <v>0</v>
      </c>
      <c r="Y28" s="32">
        <v>0</v>
      </c>
      <c r="Z28" s="32">
        <v>0</v>
      </c>
      <c r="AA28" s="32">
        <v>0</v>
      </c>
      <c r="AB28" s="32">
        <v>0</v>
      </c>
      <c r="AC28" s="32">
        <v>0</v>
      </c>
      <c r="AD28" s="32">
        <v>0</v>
      </c>
      <c r="AE28" s="32">
        <v>0</v>
      </c>
    </row>
    <row r="29" spans="2:31" x14ac:dyDescent="0.3">
      <c r="B29" t="s">
        <v>108</v>
      </c>
      <c r="C29" t="s">
        <v>173</v>
      </c>
      <c r="D29" t="s">
        <v>188</v>
      </c>
      <c r="E29" t="s">
        <v>189</v>
      </c>
      <c r="F29">
        <v>512</v>
      </c>
      <c r="G29" t="s">
        <v>182</v>
      </c>
      <c r="H29">
        <v>8</v>
      </c>
      <c r="I29" s="32">
        <v>622.15</v>
      </c>
      <c r="J29" s="32">
        <v>4977.2</v>
      </c>
      <c r="K29" s="32">
        <v>318540.79999999999</v>
      </c>
      <c r="M29">
        <v>0.25</v>
      </c>
      <c r="N29">
        <v>0.25</v>
      </c>
      <c r="O29">
        <v>0.25</v>
      </c>
      <c r="P29">
        <v>0.25</v>
      </c>
      <c r="V29" s="32">
        <v>0</v>
      </c>
      <c r="W29" s="32">
        <v>79635.199999999997</v>
      </c>
      <c r="X29" s="32">
        <v>79635.199999999997</v>
      </c>
      <c r="Y29" s="32">
        <v>79635.199999999997</v>
      </c>
      <c r="Z29" s="32">
        <v>79635.199999999997</v>
      </c>
      <c r="AA29" s="32">
        <v>0</v>
      </c>
      <c r="AB29" s="32">
        <v>0</v>
      </c>
      <c r="AC29" s="32">
        <v>0</v>
      </c>
      <c r="AD29" s="32">
        <v>0</v>
      </c>
      <c r="AE29" s="32">
        <v>0</v>
      </c>
    </row>
    <row r="30" spans="2:31" x14ac:dyDescent="0.3">
      <c r="B30" t="s">
        <v>108</v>
      </c>
      <c r="C30" t="s">
        <v>173</v>
      </c>
      <c r="D30" t="s">
        <v>174</v>
      </c>
      <c r="E30" t="s">
        <v>176</v>
      </c>
      <c r="F30">
        <v>8</v>
      </c>
      <c r="G30" t="s">
        <v>113</v>
      </c>
      <c r="H30">
        <v>0.125</v>
      </c>
      <c r="I30" s="32">
        <v>2200</v>
      </c>
      <c r="J30" s="32">
        <v>275</v>
      </c>
      <c r="K30" s="32">
        <v>17600</v>
      </c>
      <c r="M30">
        <v>0.25</v>
      </c>
      <c r="N30">
        <v>0.25</v>
      </c>
      <c r="O30">
        <v>0.25</v>
      </c>
      <c r="P30">
        <v>0.25</v>
      </c>
      <c r="V30" s="32">
        <v>0</v>
      </c>
      <c r="W30" s="32">
        <v>4400</v>
      </c>
      <c r="X30" s="32">
        <v>4400</v>
      </c>
      <c r="Y30" s="32">
        <v>4400</v>
      </c>
      <c r="Z30" s="32">
        <v>4400</v>
      </c>
      <c r="AA30" s="32">
        <v>0</v>
      </c>
      <c r="AB30" s="32">
        <v>0</v>
      </c>
      <c r="AC30" s="32">
        <v>0</v>
      </c>
      <c r="AD30" s="32">
        <v>0</v>
      </c>
      <c r="AE30" s="32">
        <v>0</v>
      </c>
    </row>
    <row r="31" spans="2:31" x14ac:dyDescent="0.3">
      <c r="B31" t="s">
        <v>108</v>
      </c>
      <c r="C31" t="s">
        <v>178</v>
      </c>
      <c r="D31" t="s">
        <v>680</v>
      </c>
      <c r="E31" t="s">
        <v>181</v>
      </c>
      <c r="F31">
        <v>371.9008</v>
      </c>
      <c r="G31" t="s">
        <v>182</v>
      </c>
      <c r="H31">
        <v>5.8109500000000001</v>
      </c>
      <c r="I31" s="32">
        <v>91</v>
      </c>
      <c r="J31" s="32">
        <v>528.79645000000005</v>
      </c>
      <c r="K31" s="32">
        <v>33842.972800000003</v>
      </c>
      <c r="M31">
        <v>0.5</v>
      </c>
      <c r="N31">
        <v>0.5</v>
      </c>
      <c r="V31" s="32">
        <v>0</v>
      </c>
      <c r="W31" s="32">
        <v>16921.486400000002</v>
      </c>
      <c r="X31" s="32">
        <v>16921.486400000002</v>
      </c>
      <c r="Y31" s="32">
        <v>0</v>
      </c>
      <c r="Z31" s="32">
        <v>0</v>
      </c>
      <c r="AA31" s="32">
        <v>0</v>
      </c>
      <c r="AB31" s="32">
        <v>0</v>
      </c>
      <c r="AC31" s="32">
        <v>0</v>
      </c>
      <c r="AD31" s="32">
        <v>0</v>
      </c>
      <c r="AE31" s="32">
        <v>0</v>
      </c>
    </row>
    <row r="32" spans="2:31" x14ac:dyDescent="0.3">
      <c r="B32" t="s">
        <v>108</v>
      </c>
      <c r="C32" t="s">
        <v>184</v>
      </c>
      <c r="D32" t="s">
        <v>202</v>
      </c>
      <c r="F32">
        <v>3392</v>
      </c>
      <c r="G32" t="s">
        <v>203</v>
      </c>
      <c r="H32">
        <v>53</v>
      </c>
      <c r="I32" s="32">
        <v>2.6</v>
      </c>
      <c r="J32" s="32">
        <v>137.80000000000001</v>
      </c>
      <c r="K32" s="32">
        <v>8819.2000000000007</v>
      </c>
      <c r="M32">
        <v>0.5</v>
      </c>
      <c r="O32">
        <v>0.5</v>
      </c>
      <c r="V32" s="32">
        <v>0</v>
      </c>
      <c r="W32" s="32">
        <v>4409.6000000000004</v>
      </c>
      <c r="X32" s="32">
        <v>0</v>
      </c>
      <c r="Y32" s="32">
        <v>4409.6000000000004</v>
      </c>
      <c r="Z32" s="32">
        <v>0</v>
      </c>
      <c r="AA32" s="32">
        <v>0</v>
      </c>
      <c r="AB32" s="32">
        <v>0</v>
      </c>
      <c r="AC32" s="32">
        <v>0</v>
      </c>
      <c r="AD32" s="32">
        <v>0</v>
      </c>
      <c r="AE32" s="32">
        <v>0</v>
      </c>
    </row>
    <row r="33" spans="2:31" x14ac:dyDescent="0.3">
      <c r="B33" t="s">
        <v>108</v>
      </c>
      <c r="C33" t="s">
        <v>184</v>
      </c>
      <c r="D33" t="s">
        <v>196</v>
      </c>
      <c r="F33">
        <v>16640</v>
      </c>
      <c r="G33" t="s">
        <v>87</v>
      </c>
      <c r="H33">
        <v>260</v>
      </c>
      <c r="I33" s="32">
        <v>1</v>
      </c>
      <c r="J33" s="32">
        <v>260</v>
      </c>
      <c r="K33" s="32">
        <v>16640</v>
      </c>
      <c r="M33">
        <v>0.5</v>
      </c>
      <c r="O33">
        <v>0.5</v>
      </c>
      <c r="V33" s="32">
        <v>0</v>
      </c>
      <c r="W33" s="32">
        <v>8320</v>
      </c>
      <c r="X33" s="32">
        <v>0</v>
      </c>
      <c r="Y33" s="32">
        <v>8320</v>
      </c>
      <c r="Z33" s="32">
        <v>0</v>
      </c>
      <c r="AA33" s="32">
        <v>0</v>
      </c>
      <c r="AB33" s="32">
        <v>0</v>
      </c>
      <c r="AC33" s="32">
        <v>0</v>
      </c>
      <c r="AD33" s="32">
        <v>0</v>
      </c>
      <c r="AE33" s="32">
        <v>0</v>
      </c>
    </row>
    <row r="34" spans="2:31" x14ac:dyDescent="0.3">
      <c r="B34" t="s">
        <v>108</v>
      </c>
      <c r="C34" t="s">
        <v>167</v>
      </c>
      <c r="D34" t="s">
        <v>171</v>
      </c>
      <c r="F34">
        <v>512</v>
      </c>
      <c r="G34" t="s">
        <v>172</v>
      </c>
      <c r="H34">
        <v>8</v>
      </c>
      <c r="I34" s="32">
        <v>234.5</v>
      </c>
      <c r="J34" s="32">
        <v>1876</v>
      </c>
      <c r="K34" s="32">
        <v>120064</v>
      </c>
      <c r="M34">
        <v>0.34</v>
      </c>
      <c r="O34">
        <v>0.33</v>
      </c>
      <c r="Q34">
        <v>0.33</v>
      </c>
      <c r="V34" s="32">
        <v>0</v>
      </c>
      <c r="W34" s="32">
        <v>40821.760000000002</v>
      </c>
      <c r="X34" s="32">
        <v>0</v>
      </c>
      <c r="Y34" s="32">
        <v>39621.120000000003</v>
      </c>
      <c r="Z34" s="32">
        <v>0</v>
      </c>
      <c r="AA34" s="32">
        <v>39621.120000000003</v>
      </c>
      <c r="AB34" s="32">
        <v>0</v>
      </c>
      <c r="AC34" s="32">
        <v>0</v>
      </c>
      <c r="AD34" s="32">
        <v>0</v>
      </c>
      <c r="AE34" s="32">
        <v>0</v>
      </c>
    </row>
    <row r="35" spans="2:31" x14ac:dyDescent="0.3">
      <c r="B35" t="s">
        <v>108</v>
      </c>
      <c r="C35" t="s">
        <v>192</v>
      </c>
      <c r="D35" t="s">
        <v>193</v>
      </c>
      <c r="F35">
        <v>64</v>
      </c>
      <c r="G35" t="s">
        <v>87</v>
      </c>
      <c r="H35">
        <v>1</v>
      </c>
      <c r="I35" s="32">
        <v>70</v>
      </c>
      <c r="J35" s="32">
        <v>70</v>
      </c>
      <c r="K35" s="32">
        <v>4480</v>
      </c>
      <c r="M35">
        <v>0.5</v>
      </c>
      <c r="N35">
        <v>0.5</v>
      </c>
      <c r="V35" s="32">
        <v>0</v>
      </c>
      <c r="W35" s="32">
        <v>2240</v>
      </c>
      <c r="X35" s="32">
        <v>2240</v>
      </c>
      <c r="Y35" s="32">
        <v>0</v>
      </c>
      <c r="Z35" s="32">
        <v>0</v>
      </c>
      <c r="AA35" s="32">
        <v>0</v>
      </c>
      <c r="AB35" s="32">
        <v>0</v>
      </c>
      <c r="AC35" s="32">
        <v>0</v>
      </c>
      <c r="AD35" s="32">
        <v>0</v>
      </c>
      <c r="AE35" s="32">
        <v>0</v>
      </c>
    </row>
    <row r="36" spans="2:31" x14ac:dyDescent="0.3">
      <c r="B36" t="s">
        <v>108</v>
      </c>
      <c r="C36" t="s">
        <v>167</v>
      </c>
      <c r="D36" t="s">
        <v>168</v>
      </c>
      <c r="F36">
        <v>32</v>
      </c>
      <c r="G36" t="s">
        <v>149</v>
      </c>
      <c r="H36">
        <v>0.5</v>
      </c>
      <c r="I36" s="32">
        <v>12</v>
      </c>
      <c r="J36" s="32">
        <v>6</v>
      </c>
      <c r="K36" s="32">
        <v>384</v>
      </c>
      <c r="L36">
        <v>0</v>
      </c>
      <c r="M36">
        <v>0.5</v>
      </c>
      <c r="O36">
        <v>0.5</v>
      </c>
      <c r="V36" s="32">
        <v>0</v>
      </c>
      <c r="W36" s="32">
        <v>192</v>
      </c>
      <c r="X36" s="32">
        <v>0</v>
      </c>
      <c r="Y36" s="32">
        <v>192</v>
      </c>
      <c r="Z36" s="32">
        <v>0</v>
      </c>
      <c r="AA36" s="32">
        <v>0</v>
      </c>
      <c r="AB36" s="32">
        <v>0</v>
      </c>
      <c r="AC36" s="32">
        <v>0</v>
      </c>
      <c r="AD36" s="32">
        <v>0</v>
      </c>
      <c r="AE36" s="32">
        <v>0</v>
      </c>
    </row>
    <row r="37" spans="2:31" x14ac:dyDescent="0.3">
      <c r="B37" t="s">
        <v>108</v>
      </c>
      <c r="C37" t="s">
        <v>184</v>
      </c>
      <c r="D37" t="s">
        <v>185</v>
      </c>
      <c r="F37">
        <v>10.66666666666667</v>
      </c>
      <c r="G37" t="s">
        <v>149</v>
      </c>
      <c r="H37">
        <v>0.16666666666666671</v>
      </c>
      <c r="I37" s="32">
        <v>49</v>
      </c>
      <c r="J37" s="32">
        <v>8.1666666666666661</v>
      </c>
      <c r="K37" s="32">
        <v>522.66666666666663</v>
      </c>
      <c r="L37">
        <v>0</v>
      </c>
      <c r="M37">
        <v>0.5</v>
      </c>
      <c r="O37">
        <v>0.5</v>
      </c>
      <c r="V37" s="32">
        <v>0</v>
      </c>
      <c r="W37" s="32">
        <v>261.33333333333331</v>
      </c>
      <c r="X37" s="32">
        <v>0</v>
      </c>
      <c r="Y37" s="32">
        <v>261.33333333333331</v>
      </c>
      <c r="Z37" s="32">
        <v>0</v>
      </c>
      <c r="AA37" s="32">
        <v>0</v>
      </c>
      <c r="AB37" s="32">
        <v>0</v>
      </c>
      <c r="AC37" s="32">
        <v>0</v>
      </c>
      <c r="AD37" s="32">
        <v>0</v>
      </c>
      <c r="AE37" s="32">
        <v>0</v>
      </c>
    </row>
    <row r="38" spans="2:31" x14ac:dyDescent="0.3">
      <c r="B38" t="s">
        <v>108</v>
      </c>
      <c r="C38" t="s">
        <v>184</v>
      </c>
      <c r="D38" t="s">
        <v>681</v>
      </c>
      <c r="F38">
        <v>96</v>
      </c>
      <c r="G38" t="s">
        <v>682</v>
      </c>
      <c r="H38">
        <v>1.5</v>
      </c>
      <c r="I38" s="32">
        <v>26</v>
      </c>
      <c r="J38" s="32">
        <v>39</v>
      </c>
      <c r="K38" s="32">
        <v>2496</v>
      </c>
      <c r="L38">
        <v>0</v>
      </c>
      <c r="M38">
        <v>0.5</v>
      </c>
      <c r="O38">
        <v>0.5</v>
      </c>
      <c r="V38" s="32">
        <v>0</v>
      </c>
      <c r="W38" s="32">
        <v>1248</v>
      </c>
      <c r="X38" s="32">
        <v>0</v>
      </c>
      <c r="Y38" s="32">
        <v>1248</v>
      </c>
      <c r="Z38" s="32">
        <v>0</v>
      </c>
      <c r="AA38" s="32">
        <v>0</v>
      </c>
      <c r="AB38" s="32">
        <v>0</v>
      </c>
      <c r="AC38" s="32">
        <v>0</v>
      </c>
      <c r="AD38" s="32">
        <v>0</v>
      </c>
      <c r="AE38" s="32">
        <v>0</v>
      </c>
    </row>
    <row r="39" spans="2:31" x14ac:dyDescent="0.3">
      <c r="B39" t="s">
        <v>108</v>
      </c>
      <c r="C39" t="s">
        <v>197</v>
      </c>
      <c r="D39" t="s">
        <v>209</v>
      </c>
      <c r="F39">
        <v>2</v>
      </c>
      <c r="G39" t="s">
        <v>87</v>
      </c>
      <c r="H39">
        <v>3.125E-2</v>
      </c>
      <c r="I39" s="32">
        <v>57</v>
      </c>
      <c r="J39" s="32">
        <v>1.78125</v>
      </c>
      <c r="K39" s="32">
        <v>114</v>
      </c>
      <c r="L39">
        <v>0</v>
      </c>
      <c r="M39">
        <v>0.5</v>
      </c>
      <c r="O39">
        <v>0.5</v>
      </c>
      <c r="V39" s="32">
        <v>0</v>
      </c>
      <c r="W39" s="32">
        <v>57</v>
      </c>
      <c r="X39" s="32">
        <v>0</v>
      </c>
      <c r="Y39" s="32">
        <v>57</v>
      </c>
      <c r="Z39" s="32">
        <v>0</v>
      </c>
      <c r="AA39" s="32">
        <v>0</v>
      </c>
      <c r="AB39" s="32">
        <v>0</v>
      </c>
      <c r="AC39" s="32">
        <v>0</v>
      </c>
      <c r="AD39" s="32">
        <v>0</v>
      </c>
      <c r="AE39" s="32">
        <v>0</v>
      </c>
    </row>
    <row r="40" spans="2:31" x14ac:dyDescent="0.3">
      <c r="B40" t="s">
        <v>108</v>
      </c>
      <c r="C40" t="s">
        <v>197</v>
      </c>
      <c r="D40" t="s">
        <v>198</v>
      </c>
      <c r="F40">
        <v>35</v>
      </c>
      <c r="G40" t="s">
        <v>87</v>
      </c>
      <c r="H40">
        <v>0.546875</v>
      </c>
      <c r="I40" s="32">
        <v>138.24</v>
      </c>
      <c r="J40" s="32">
        <v>75.600000000000009</v>
      </c>
      <c r="K40" s="32">
        <v>4838.4000000000005</v>
      </c>
      <c r="L40">
        <v>0</v>
      </c>
      <c r="M40">
        <v>0.5</v>
      </c>
      <c r="O40">
        <v>0.5</v>
      </c>
      <c r="V40" s="32">
        <v>0</v>
      </c>
      <c r="W40" s="32">
        <v>2419.1999999999998</v>
      </c>
      <c r="X40" s="32">
        <v>0</v>
      </c>
      <c r="Y40" s="32">
        <v>2419.1999999999998</v>
      </c>
      <c r="Z40" s="32">
        <v>0</v>
      </c>
      <c r="AA40" s="32">
        <v>0</v>
      </c>
      <c r="AB40" s="32">
        <v>0</v>
      </c>
      <c r="AC40" s="32">
        <v>0</v>
      </c>
      <c r="AD40" s="32">
        <v>0</v>
      </c>
      <c r="AE40" s="32">
        <v>0</v>
      </c>
    </row>
    <row r="41" spans="2:31" x14ac:dyDescent="0.3">
      <c r="B41" t="s">
        <v>108</v>
      </c>
      <c r="C41" t="s">
        <v>197</v>
      </c>
      <c r="D41" t="s">
        <v>201</v>
      </c>
      <c r="F41">
        <v>176</v>
      </c>
      <c r="G41" t="s">
        <v>87</v>
      </c>
      <c r="H41">
        <v>2.75</v>
      </c>
      <c r="I41" s="32">
        <v>15.5</v>
      </c>
      <c r="J41" s="32">
        <v>42.625</v>
      </c>
      <c r="K41" s="32">
        <v>2728</v>
      </c>
      <c r="L41">
        <v>0</v>
      </c>
      <c r="M41">
        <v>0.5</v>
      </c>
      <c r="O41">
        <v>0.5</v>
      </c>
      <c r="V41" s="32">
        <v>0</v>
      </c>
      <c r="W41" s="32">
        <v>1364</v>
      </c>
      <c r="X41" s="32">
        <v>0</v>
      </c>
      <c r="Y41" s="32">
        <v>1364</v>
      </c>
      <c r="Z41" s="32">
        <v>0</v>
      </c>
      <c r="AA41" s="32">
        <v>0</v>
      </c>
      <c r="AB41" s="32">
        <v>0</v>
      </c>
      <c r="AC41" s="32">
        <v>0</v>
      </c>
      <c r="AD41" s="32">
        <v>0</v>
      </c>
      <c r="AE41" s="32">
        <v>0</v>
      </c>
    </row>
    <row r="42" spans="2:31" x14ac:dyDescent="0.3">
      <c r="B42" t="s">
        <v>108</v>
      </c>
      <c r="C42" t="s">
        <v>94</v>
      </c>
      <c r="D42" t="s">
        <v>683</v>
      </c>
      <c r="F42">
        <v>21.333333333333329</v>
      </c>
      <c r="G42" t="s">
        <v>206</v>
      </c>
      <c r="H42">
        <v>0.33333333333333331</v>
      </c>
      <c r="I42" s="32">
        <v>150</v>
      </c>
      <c r="J42" s="32">
        <v>50</v>
      </c>
      <c r="K42" s="32">
        <v>3200</v>
      </c>
      <c r="M42">
        <v>0.5</v>
      </c>
      <c r="O42">
        <v>0.5</v>
      </c>
      <c r="V42" s="32">
        <v>0</v>
      </c>
      <c r="W42" s="32">
        <v>1600</v>
      </c>
      <c r="X42" s="32">
        <v>0</v>
      </c>
      <c r="Y42" s="32">
        <v>1600</v>
      </c>
      <c r="Z42" s="32">
        <v>0</v>
      </c>
      <c r="AA42" s="32">
        <v>0</v>
      </c>
      <c r="AB42" s="32">
        <v>0</v>
      </c>
      <c r="AC42" s="32">
        <v>0</v>
      </c>
      <c r="AD42" s="32">
        <v>0</v>
      </c>
      <c r="AE42" s="32">
        <v>0</v>
      </c>
    </row>
    <row r="43" spans="2:31" x14ac:dyDescent="0.3">
      <c r="B43" t="s">
        <v>108</v>
      </c>
      <c r="C43" t="s">
        <v>676</v>
      </c>
      <c r="D43" t="s">
        <v>110</v>
      </c>
      <c r="F43">
        <v>64</v>
      </c>
      <c r="G43" t="s">
        <v>113</v>
      </c>
      <c r="H43">
        <v>1</v>
      </c>
      <c r="I43" s="32">
        <v>2000</v>
      </c>
      <c r="J43" s="32">
        <v>2000</v>
      </c>
      <c r="K43" s="32">
        <v>128000</v>
      </c>
      <c r="L43">
        <v>0.193359375</v>
      </c>
      <c r="M43">
        <v>0.32243358541666672</v>
      </c>
      <c r="N43">
        <v>0</v>
      </c>
      <c r="O43">
        <v>0.25</v>
      </c>
      <c r="P43">
        <v>0.2342070395833333</v>
      </c>
      <c r="V43" s="32">
        <v>24750</v>
      </c>
      <c r="W43" s="32">
        <v>41271.498933333343</v>
      </c>
      <c r="X43" s="32">
        <v>0</v>
      </c>
      <c r="Y43" s="32">
        <v>32000</v>
      </c>
      <c r="Z43" s="32">
        <v>29978.50106666666</v>
      </c>
      <c r="AA43" s="32">
        <v>0</v>
      </c>
      <c r="AB43" s="32">
        <v>0</v>
      </c>
      <c r="AC43" s="32">
        <v>0</v>
      </c>
      <c r="AD43" s="32">
        <v>0</v>
      </c>
      <c r="AE43" s="32">
        <v>0</v>
      </c>
    </row>
    <row r="44" spans="2:31" x14ac:dyDescent="0.3">
      <c r="B44" t="s">
        <v>108</v>
      </c>
      <c r="C44" t="s">
        <v>115</v>
      </c>
      <c r="D44" t="s">
        <v>116</v>
      </c>
      <c r="F44">
        <v>704</v>
      </c>
      <c r="G44" t="s">
        <v>118</v>
      </c>
      <c r="H44">
        <v>11</v>
      </c>
      <c r="I44" s="32">
        <v>6</v>
      </c>
      <c r="J44" s="32">
        <v>66</v>
      </c>
      <c r="K44" s="32">
        <v>4224</v>
      </c>
      <c r="L44">
        <v>0.4</v>
      </c>
      <c r="M44">
        <v>0.3</v>
      </c>
      <c r="N44">
        <v>0.3</v>
      </c>
      <c r="V44" s="32">
        <v>1689.6</v>
      </c>
      <c r="W44" s="32">
        <v>1267.2</v>
      </c>
      <c r="X44" s="32">
        <v>1267.2</v>
      </c>
      <c r="Y44" s="32">
        <v>0</v>
      </c>
      <c r="Z44" s="32">
        <v>0</v>
      </c>
      <c r="AA44" s="32">
        <v>0</v>
      </c>
      <c r="AB44" s="32">
        <v>0</v>
      </c>
      <c r="AC44" s="32">
        <v>0</v>
      </c>
      <c r="AD44" s="32">
        <v>0</v>
      </c>
      <c r="AE44" s="32">
        <v>0</v>
      </c>
    </row>
    <row r="45" spans="2:31" x14ac:dyDescent="0.3">
      <c r="F45">
        <v>0</v>
      </c>
      <c r="J45" s="32">
        <v>0</v>
      </c>
      <c r="K45" s="32">
        <v>0</v>
      </c>
      <c r="V45" s="32">
        <v>0</v>
      </c>
      <c r="W45" s="32">
        <v>0</v>
      </c>
      <c r="X45" s="32">
        <v>0</v>
      </c>
      <c r="Y45" s="32">
        <v>0</v>
      </c>
      <c r="Z45" s="32">
        <v>0</v>
      </c>
      <c r="AA45" s="32">
        <v>0</v>
      </c>
      <c r="AB45" s="32">
        <v>0</v>
      </c>
      <c r="AC45" s="32">
        <v>0</v>
      </c>
      <c r="AD45" s="32">
        <v>0</v>
      </c>
      <c r="AE45" s="32">
        <v>0</v>
      </c>
    </row>
    <row r="46" spans="2:31" x14ac:dyDescent="0.3">
      <c r="B46" t="s">
        <v>108</v>
      </c>
      <c r="C46" t="s">
        <v>167</v>
      </c>
      <c r="D46" t="s">
        <v>208</v>
      </c>
      <c r="F46">
        <v>140</v>
      </c>
      <c r="G46" t="s">
        <v>149</v>
      </c>
      <c r="H46">
        <v>2.1875</v>
      </c>
      <c r="I46" s="32">
        <v>13.107142857142859</v>
      </c>
      <c r="J46" s="32">
        <v>28.671875</v>
      </c>
      <c r="K46" s="32">
        <v>1835</v>
      </c>
      <c r="L46">
        <v>0</v>
      </c>
      <c r="M46">
        <v>0.5</v>
      </c>
      <c r="O46">
        <v>0.5</v>
      </c>
      <c r="V46" s="32">
        <v>0</v>
      </c>
      <c r="W46" s="32">
        <v>917.5</v>
      </c>
      <c r="X46" s="32">
        <v>0</v>
      </c>
      <c r="Y46" s="32">
        <v>917.5</v>
      </c>
      <c r="Z46" s="32">
        <v>0</v>
      </c>
      <c r="AA46" s="32">
        <v>0</v>
      </c>
      <c r="AB46" s="32">
        <v>0</v>
      </c>
      <c r="AC46" s="32">
        <v>0</v>
      </c>
      <c r="AD46" s="32">
        <v>0</v>
      </c>
      <c r="AE46" s="32">
        <v>0</v>
      </c>
    </row>
    <row r="47" spans="2:31" x14ac:dyDescent="0.3">
      <c r="D47" t="s">
        <v>98</v>
      </c>
      <c r="F47">
        <v>0</v>
      </c>
      <c r="J47" s="32">
        <v>0</v>
      </c>
      <c r="K47" s="32">
        <v>0</v>
      </c>
      <c r="V47" s="32">
        <v>0</v>
      </c>
      <c r="W47" s="32">
        <v>0</v>
      </c>
      <c r="X47" s="32">
        <v>0</v>
      </c>
      <c r="Y47" s="32">
        <v>0</v>
      </c>
      <c r="Z47" s="32">
        <v>0</v>
      </c>
      <c r="AA47" s="32">
        <v>0</v>
      </c>
      <c r="AB47" s="32">
        <v>0</v>
      </c>
      <c r="AC47" s="32">
        <v>0</v>
      </c>
      <c r="AD47" s="32">
        <v>0</v>
      </c>
      <c r="AE47" s="32">
        <v>0</v>
      </c>
    </row>
    <row r="48" spans="2:31" x14ac:dyDescent="0.3">
      <c r="B48" t="s">
        <v>99</v>
      </c>
      <c r="C48" t="s">
        <v>100</v>
      </c>
      <c r="D48" t="s">
        <v>101</v>
      </c>
      <c r="E48">
        <v>20</v>
      </c>
      <c r="F48">
        <v>20</v>
      </c>
      <c r="G48" t="s">
        <v>87</v>
      </c>
      <c r="H48">
        <v>0.3125</v>
      </c>
      <c r="I48" s="32">
        <v>16000</v>
      </c>
      <c r="J48" s="32">
        <v>5000</v>
      </c>
      <c r="K48" s="32">
        <v>320000</v>
      </c>
      <c r="L48">
        <v>0.3</v>
      </c>
      <c r="N48">
        <v>0.23330000000000001</v>
      </c>
      <c r="P48">
        <v>0.23330000000000001</v>
      </c>
      <c r="R48">
        <v>0.23330000000000001</v>
      </c>
      <c r="V48" s="32">
        <v>96000</v>
      </c>
      <c r="W48" s="32">
        <v>0</v>
      </c>
      <c r="X48" s="32">
        <v>74656</v>
      </c>
      <c r="Y48" s="32">
        <v>0</v>
      </c>
      <c r="Z48" s="32">
        <v>74656</v>
      </c>
      <c r="AA48" s="32">
        <v>0</v>
      </c>
      <c r="AB48" s="32">
        <v>74656</v>
      </c>
      <c r="AC48" s="32">
        <v>0</v>
      </c>
      <c r="AD48" s="32">
        <v>0</v>
      </c>
      <c r="AE48" s="32">
        <v>0</v>
      </c>
    </row>
    <row r="49" spans="2:31" x14ac:dyDescent="0.3">
      <c r="B49" t="s">
        <v>99</v>
      </c>
      <c r="C49" t="s">
        <v>100</v>
      </c>
      <c r="D49" t="s">
        <v>101</v>
      </c>
      <c r="E49" t="s">
        <v>684</v>
      </c>
      <c r="F49">
        <v>20</v>
      </c>
      <c r="G49" t="s">
        <v>87</v>
      </c>
      <c r="H49">
        <v>0.3125</v>
      </c>
      <c r="I49" s="32">
        <v>16000</v>
      </c>
      <c r="J49" s="32">
        <v>5000</v>
      </c>
      <c r="K49" s="32">
        <v>320000</v>
      </c>
      <c r="L49">
        <v>0.3</v>
      </c>
      <c r="N49">
        <v>0.23330000000000001</v>
      </c>
      <c r="P49">
        <v>0.23330000000000001</v>
      </c>
      <c r="R49">
        <v>0.23330000000000001</v>
      </c>
      <c r="V49" s="32">
        <v>96000</v>
      </c>
      <c r="W49" s="32">
        <v>0</v>
      </c>
      <c r="X49" s="32">
        <v>74656</v>
      </c>
      <c r="Y49" s="32">
        <v>0</v>
      </c>
      <c r="Z49" s="32">
        <v>74656</v>
      </c>
      <c r="AA49" s="32">
        <v>0</v>
      </c>
      <c r="AB49" s="32">
        <v>74656</v>
      </c>
      <c r="AC49" s="32">
        <v>0</v>
      </c>
      <c r="AD49" s="32">
        <v>0</v>
      </c>
      <c r="AE49" s="32">
        <v>0</v>
      </c>
    </row>
    <row r="50" spans="2:31" x14ac:dyDescent="0.3">
      <c r="B50" t="s">
        <v>99</v>
      </c>
      <c r="C50" t="s">
        <v>100</v>
      </c>
      <c r="D50" t="s">
        <v>101</v>
      </c>
      <c r="E50" t="s">
        <v>685</v>
      </c>
      <c r="F50">
        <v>24</v>
      </c>
      <c r="G50" t="s">
        <v>87</v>
      </c>
      <c r="H50">
        <v>0.375</v>
      </c>
      <c r="I50" s="32">
        <v>16000</v>
      </c>
      <c r="J50" s="32">
        <v>6000</v>
      </c>
      <c r="K50" s="32">
        <v>384000</v>
      </c>
      <c r="L50">
        <v>0.3</v>
      </c>
      <c r="N50">
        <v>0.23330000000000001</v>
      </c>
      <c r="P50">
        <v>0.23330000000000001</v>
      </c>
      <c r="R50">
        <v>0.23300000000000001</v>
      </c>
      <c r="V50" s="32">
        <v>115200</v>
      </c>
      <c r="W50" s="32">
        <v>0</v>
      </c>
      <c r="X50" s="32">
        <v>89587.199999999997</v>
      </c>
      <c r="Y50" s="32">
        <v>0</v>
      </c>
      <c r="Z50" s="32">
        <v>89587.199999999997</v>
      </c>
      <c r="AA50" s="32">
        <v>0</v>
      </c>
      <c r="AB50" s="32">
        <v>89472</v>
      </c>
      <c r="AC50" s="32">
        <v>0</v>
      </c>
      <c r="AD50" s="32">
        <v>0</v>
      </c>
      <c r="AE50" s="32">
        <v>0</v>
      </c>
    </row>
    <row r="51" spans="2:31" x14ac:dyDescent="0.3">
      <c r="B51" t="s">
        <v>99</v>
      </c>
      <c r="C51" t="s">
        <v>100</v>
      </c>
      <c r="D51" t="s">
        <v>253</v>
      </c>
      <c r="E51">
        <v>20</v>
      </c>
      <c r="F51">
        <v>20</v>
      </c>
      <c r="G51" t="s">
        <v>87</v>
      </c>
      <c r="H51">
        <v>0.3125</v>
      </c>
      <c r="I51" s="32">
        <v>6724.38</v>
      </c>
      <c r="J51" s="32">
        <v>2101.3687500000001</v>
      </c>
      <c r="K51" s="32">
        <v>134487.6</v>
      </c>
      <c r="L51">
        <v>0</v>
      </c>
      <c r="M51">
        <v>0</v>
      </c>
      <c r="N51">
        <v>0.14453203961997169</v>
      </c>
      <c r="O51">
        <v>7.2266019809985843E-2</v>
      </c>
      <c r="P51">
        <v>0.30351728320194049</v>
      </c>
      <c r="Q51">
        <v>0.15898524358196889</v>
      </c>
      <c r="R51">
        <v>0.24570446735395191</v>
      </c>
      <c r="S51">
        <v>7.4994946432181117E-2</v>
      </c>
      <c r="T51">
        <v>0</v>
      </c>
      <c r="U51">
        <v>0</v>
      </c>
      <c r="V51" s="32">
        <v>0</v>
      </c>
      <c r="W51" s="32">
        <v>0</v>
      </c>
      <c r="X51" s="32">
        <v>19437.767131594901</v>
      </c>
      <c r="Y51" s="32">
        <v>9718.8835657974523</v>
      </c>
      <c r="Z51" s="32">
        <v>40819.310976349298</v>
      </c>
      <c r="AA51" s="32">
        <v>21381.5438447544</v>
      </c>
      <c r="AB51" s="32">
        <v>33044.204123711337</v>
      </c>
      <c r="AC51" s="32">
        <v>10085.890357792599</v>
      </c>
      <c r="AD51" s="32">
        <v>0</v>
      </c>
      <c r="AE51" s="32">
        <v>0</v>
      </c>
    </row>
    <row r="52" spans="2:31" x14ac:dyDescent="0.3">
      <c r="B52" t="s">
        <v>99</v>
      </c>
      <c r="C52" t="s">
        <v>100</v>
      </c>
      <c r="D52" t="s">
        <v>253</v>
      </c>
      <c r="E52" t="s">
        <v>684</v>
      </c>
      <c r="F52">
        <v>20</v>
      </c>
      <c r="G52" t="s">
        <v>87</v>
      </c>
      <c r="H52">
        <v>0.3125</v>
      </c>
      <c r="I52" s="32">
        <v>6724.38</v>
      </c>
      <c r="J52" s="32">
        <v>2101.3687500000001</v>
      </c>
      <c r="K52" s="32">
        <v>134487.6</v>
      </c>
      <c r="L52">
        <v>0</v>
      </c>
      <c r="M52">
        <v>0</v>
      </c>
      <c r="N52">
        <v>0.14453203961997169</v>
      </c>
      <c r="O52">
        <v>7.2266019809985843E-2</v>
      </c>
      <c r="P52">
        <v>0.30351728320194049</v>
      </c>
      <c r="Q52">
        <v>0.15898524358196889</v>
      </c>
      <c r="R52">
        <v>0.24570446735395191</v>
      </c>
      <c r="S52">
        <v>7.4994946432181117E-2</v>
      </c>
      <c r="T52">
        <v>0</v>
      </c>
      <c r="U52">
        <v>0</v>
      </c>
      <c r="V52" s="32">
        <v>0</v>
      </c>
      <c r="W52" s="32">
        <v>0</v>
      </c>
      <c r="X52" s="32">
        <v>19437.767131594901</v>
      </c>
      <c r="Y52" s="32">
        <v>9718.8835657974523</v>
      </c>
      <c r="Z52" s="32">
        <v>40819.310976349298</v>
      </c>
      <c r="AA52" s="32">
        <v>21381.5438447544</v>
      </c>
      <c r="AB52" s="32">
        <v>33044.204123711337</v>
      </c>
      <c r="AC52" s="32">
        <v>10085.890357792599</v>
      </c>
      <c r="AD52" s="32">
        <v>0</v>
      </c>
      <c r="AE52" s="32">
        <v>0</v>
      </c>
    </row>
    <row r="53" spans="2:31" x14ac:dyDescent="0.3">
      <c r="B53" t="s">
        <v>99</v>
      </c>
      <c r="C53" t="s">
        <v>100</v>
      </c>
      <c r="D53" t="s">
        <v>253</v>
      </c>
      <c r="E53" t="s">
        <v>685</v>
      </c>
      <c r="F53">
        <v>24</v>
      </c>
      <c r="G53" t="s">
        <v>87</v>
      </c>
      <c r="H53">
        <v>0.375</v>
      </c>
      <c r="I53" s="32">
        <v>6724.38</v>
      </c>
      <c r="J53" s="32">
        <v>2521.6424999999999</v>
      </c>
      <c r="K53" s="32">
        <v>161385.12</v>
      </c>
      <c r="L53">
        <v>0</v>
      </c>
      <c r="M53">
        <v>0</v>
      </c>
      <c r="N53">
        <v>0.14453203961997169</v>
      </c>
      <c r="O53">
        <v>7.2266019809985843E-2</v>
      </c>
      <c r="P53">
        <v>0.30351728320194049</v>
      </c>
      <c r="Q53">
        <v>0.15898524358196889</v>
      </c>
      <c r="R53">
        <v>0.24570446735395191</v>
      </c>
      <c r="S53">
        <v>7.4994946432181117E-2</v>
      </c>
      <c r="T53">
        <v>0</v>
      </c>
      <c r="U53">
        <v>0</v>
      </c>
      <c r="V53" s="32">
        <v>0</v>
      </c>
      <c r="W53" s="32">
        <v>0</v>
      </c>
      <c r="X53" s="32">
        <v>23325.320557913881</v>
      </c>
      <c r="Y53" s="32">
        <v>11662.660278956941</v>
      </c>
      <c r="Z53" s="32">
        <v>48983.173171619157</v>
      </c>
      <c r="AA53" s="32">
        <v>25657.852613705269</v>
      </c>
      <c r="AB53" s="32">
        <v>39653.044948453608</v>
      </c>
      <c r="AC53" s="32">
        <v>12103.06842935112</v>
      </c>
      <c r="AD53" s="32">
        <v>0</v>
      </c>
      <c r="AE53" s="32">
        <v>0</v>
      </c>
    </row>
    <row r="54" spans="2:31" x14ac:dyDescent="0.3">
      <c r="B54" t="s">
        <v>99</v>
      </c>
      <c r="C54" t="s">
        <v>100</v>
      </c>
      <c r="D54" t="s">
        <v>252</v>
      </c>
      <c r="E54">
        <v>20</v>
      </c>
      <c r="F54">
        <v>20</v>
      </c>
      <c r="G54" t="s">
        <v>87</v>
      </c>
      <c r="H54">
        <v>0.3125</v>
      </c>
      <c r="I54" s="32">
        <v>9275.6260000000002</v>
      </c>
      <c r="J54" s="32">
        <v>2898.6331249999998</v>
      </c>
      <c r="K54" s="32">
        <v>185512.52</v>
      </c>
      <c r="L54">
        <v>0</v>
      </c>
      <c r="M54">
        <v>0</v>
      </c>
      <c r="N54">
        <v>0.2068965517241379</v>
      </c>
      <c r="O54">
        <v>0.2068965517241379</v>
      </c>
      <c r="P54">
        <v>0.2068965517241379</v>
      </c>
      <c r="Q54">
        <v>0.2068965517241379</v>
      </c>
      <c r="R54">
        <v>0.17241379310344829</v>
      </c>
      <c r="S54">
        <v>0</v>
      </c>
      <c r="T54">
        <v>0</v>
      </c>
      <c r="U54">
        <v>0</v>
      </c>
      <c r="V54" s="32">
        <v>0</v>
      </c>
      <c r="W54" s="32">
        <v>0</v>
      </c>
      <c r="X54" s="32">
        <v>38381.900689655173</v>
      </c>
      <c r="Y54" s="32">
        <v>38381.900689655173</v>
      </c>
      <c r="Z54" s="32">
        <v>38381.900689655173</v>
      </c>
      <c r="AA54" s="32">
        <v>38381.900689655173</v>
      </c>
      <c r="AB54" s="32">
        <v>31984.91724137932</v>
      </c>
      <c r="AC54" s="32">
        <v>0</v>
      </c>
      <c r="AD54" s="32">
        <v>0</v>
      </c>
      <c r="AE54" s="32">
        <v>0</v>
      </c>
    </row>
    <row r="55" spans="2:31" x14ac:dyDescent="0.3">
      <c r="B55" t="s">
        <v>99</v>
      </c>
      <c r="C55" t="s">
        <v>100</v>
      </c>
      <c r="D55" t="s">
        <v>252</v>
      </c>
      <c r="E55" t="s">
        <v>684</v>
      </c>
      <c r="F55">
        <v>20</v>
      </c>
      <c r="G55" t="s">
        <v>87</v>
      </c>
      <c r="H55">
        <v>0.3125</v>
      </c>
      <c r="I55" s="32">
        <v>9275.6260000000002</v>
      </c>
      <c r="J55" s="32">
        <v>2898.6331249999998</v>
      </c>
      <c r="K55" s="32">
        <v>185512.52</v>
      </c>
      <c r="L55">
        <v>0</v>
      </c>
      <c r="M55">
        <v>0</v>
      </c>
      <c r="N55">
        <v>0.2068965517241379</v>
      </c>
      <c r="O55">
        <v>0.2068965517241379</v>
      </c>
      <c r="P55">
        <v>0.2068965517241379</v>
      </c>
      <c r="Q55">
        <v>0.2068965517241379</v>
      </c>
      <c r="R55">
        <v>0.17241379310344829</v>
      </c>
      <c r="S55">
        <v>0</v>
      </c>
      <c r="T55">
        <v>0</v>
      </c>
      <c r="U55">
        <v>0</v>
      </c>
      <c r="V55" s="32">
        <v>0</v>
      </c>
      <c r="W55" s="32">
        <v>0</v>
      </c>
      <c r="X55" s="32">
        <v>38381.900689655173</v>
      </c>
      <c r="Y55" s="32">
        <v>38381.900689655173</v>
      </c>
      <c r="Z55" s="32">
        <v>38381.900689655173</v>
      </c>
      <c r="AA55" s="32">
        <v>38381.900689655173</v>
      </c>
      <c r="AB55" s="32">
        <v>31984.91724137932</v>
      </c>
      <c r="AC55" s="32">
        <v>0</v>
      </c>
      <c r="AD55" s="32">
        <v>0</v>
      </c>
      <c r="AE55" s="32">
        <v>0</v>
      </c>
    </row>
    <row r="56" spans="2:31" x14ac:dyDescent="0.3">
      <c r="B56" t="s">
        <v>99</v>
      </c>
      <c r="C56" t="s">
        <v>100</v>
      </c>
      <c r="D56" t="s">
        <v>252</v>
      </c>
      <c r="E56" t="s">
        <v>685</v>
      </c>
      <c r="F56">
        <v>24</v>
      </c>
      <c r="G56" t="s">
        <v>87</v>
      </c>
      <c r="H56">
        <v>0.375</v>
      </c>
      <c r="I56" s="32">
        <v>9275.6260000000002</v>
      </c>
      <c r="J56" s="32">
        <v>3478.3597500000001</v>
      </c>
      <c r="K56" s="32">
        <v>222615.024</v>
      </c>
      <c r="L56">
        <v>0</v>
      </c>
      <c r="M56">
        <v>0</v>
      </c>
      <c r="N56">
        <v>0.2068965517241379</v>
      </c>
      <c r="O56">
        <v>0.2068965517241379</v>
      </c>
      <c r="P56">
        <v>0.2068965517241379</v>
      </c>
      <c r="Q56">
        <v>0.2068965517241379</v>
      </c>
      <c r="R56">
        <v>0.17241379310344829</v>
      </c>
      <c r="S56">
        <v>0</v>
      </c>
      <c r="T56">
        <v>0</v>
      </c>
      <c r="U56">
        <v>0</v>
      </c>
      <c r="V56" s="32">
        <v>0</v>
      </c>
      <c r="W56" s="32">
        <v>0</v>
      </c>
      <c r="X56" s="32">
        <v>46058.280827586197</v>
      </c>
      <c r="Y56" s="32">
        <v>46058.280827586197</v>
      </c>
      <c r="Z56" s="32">
        <v>46058.280827586197</v>
      </c>
      <c r="AA56" s="32">
        <v>46058.280827586197</v>
      </c>
      <c r="AB56" s="32">
        <v>38381.900689655173</v>
      </c>
      <c r="AC56" s="32">
        <v>0</v>
      </c>
      <c r="AD56" s="32">
        <v>0</v>
      </c>
      <c r="AE56" s="32">
        <v>0</v>
      </c>
    </row>
    <row r="57" spans="2:31" x14ac:dyDescent="0.3">
      <c r="B57" t="s">
        <v>99</v>
      </c>
      <c r="C57" t="s">
        <v>360</v>
      </c>
      <c r="D57" t="s">
        <v>366</v>
      </c>
      <c r="E57" t="s">
        <v>250</v>
      </c>
      <c r="F57">
        <v>6</v>
      </c>
      <c r="G57" t="s">
        <v>182</v>
      </c>
      <c r="H57">
        <v>9.375E-2</v>
      </c>
      <c r="I57" s="32">
        <v>1247.4000000000001</v>
      </c>
      <c r="J57" s="32">
        <v>116.94374999999999</v>
      </c>
      <c r="K57" s="32">
        <v>7484.4</v>
      </c>
      <c r="O57">
        <v>0.3</v>
      </c>
      <c r="P57">
        <v>0.3</v>
      </c>
      <c r="Q57">
        <v>0.4</v>
      </c>
      <c r="V57" s="32">
        <v>0</v>
      </c>
      <c r="W57" s="32">
        <v>0</v>
      </c>
      <c r="X57" s="32">
        <v>0</v>
      </c>
      <c r="Y57" s="32">
        <v>2245.3200000000002</v>
      </c>
      <c r="Z57" s="32">
        <v>2245.3200000000002</v>
      </c>
      <c r="AA57" s="32">
        <v>2993.76</v>
      </c>
      <c r="AB57" s="32">
        <v>0</v>
      </c>
      <c r="AC57" s="32">
        <v>0</v>
      </c>
      <c r="AD57" s="32">
        <v>0</v>
      </c>
      <c r="AE57" s="32">
        <v>0</v>
      </c>
    </row>
    <row r="58" spans="2:31" x14ac:dyDescent="0.3">
      <c r="B58" t="s">
        <v>99</v>
      </c>
      <c r="C58" t="s">
        <v>676</v>
      </c>
      <c r="D58" t="s">
        <v>248</v>
      </c>
      <c r="E58" t="s">
        <v>250</v>
      </c>
      <c r="F58">
        <v>896</v>
      </c>
      <c r="G58" t="s">
        <v>182</v>
      </c>
      <c r="H58">
        <v>14</v>
      </c>
      <c r="I58" s="32">
        <v>178.571</v>
      </c>
      <c r="J58" s="32">
        <v>2499.9940000000001</v>
      </c>
      <c r="K58" s="32">
        <v>159999.61600000001</v>
      </c>
      <c r="N58">
        <v>9.3700000000000006E-2</v>
      </c>
      <c r="O58">
        <v>9.3799999999999994E-2</v>
      </c>
      <c r="P58">
        <v>0.33695000000000003</v>
      </c>
      <c r="Q58">
        <v>0.2225</v>
      </c>
      <c r="R58">
        <v>0.25305</v>
      </c>
      <c r="V58" s="32">
        <v>0</v>
      </c>
      <c r="W58" s="32">
        <v>0</v>
      </c>
      <c r="X58" s="32">
        <v>14991.964019200001</v>
      </c>
      <c r="Y58" s="32">
        <v>15007.963980799999</v>
      </c>
      <c r="Z58" s="32">
        <v>53911.8706112</v>
      </c>
      <c r="AA58" s="32">
        <v>35599.914559999997</v>
      </c>
      <c r="AB58" s="32">
        <v>40487.902828799997</v>
      </c>
      <c r="AC58" s="32">
        <v>0</v>
      </c>
      <c r="AD58" s="32">
        <v>0</v>
      </c>
      <c r="AE58" s="32">
        <v>0</v>
      </c>
    </row>
    <row r="59" spans="2:31" x14ac:dyDescent="0.3">
      <c r="B59" t="s">
        <v>99</v>
      </c>
      <c r="C59" t="s">
        <v>360</v>
      </c>
      <c r="D59" t="s">
        <v>361</v>
      </c>
      <c r="E59" t="s">
        <v>363</v>
      </c>
      <c r="F59">
        <v>7680</v>
      </c>
      <c r="G59" t="s">
        <v>364</v>
      </c>
      <c r="H59">
        <v>120</v>
      </c>
      <c r="I59" s="32">
        <v>21</v>
      </c>
      <c r="J59" s="32">
        <v>2520</v>
      </c>
      <c r="K59" s="32">
        <v>161280</v>
      </c>
      <c r="O59">
        <v>0.3</v>
      </c>
      <c r="P59">
        <v>0.3</v>
      </c>
      <c r="Q59">
        <v>0.4</v>
      </c>
      <c r="V59" s="32">
        <v>0</v>
      </c>
      <c r="W59" s="32">
        <v>0</v>
      </c>
      <c r="X59" s="32">
        <v>0</v>
      </c>
      <c r="Y59" s="32">
        <v>48384</v>
      </c>
      <c r="Z59" s="32">
        <v>48384</v>
      </c>
      <c r="AA59" s="32">
        <v>64512</v>
      </c>
      <c r="AB59" s="32">
        <v>0</v>
      </c>
      <c r="AC59" s="32">
        <v>0</v>
      </c>
      <c r="AD59" s="32">
        <v>0</v>
      </c>
      <c r="AE59" s="32">
        <v>0</v>
      </c>
    </row>
    <row r="60" spans="2:31" x14ac:dyDescent="0.3">
      <c r="B60" t="s">
        <v>99</v>
      </c>
      <c r="C60" t="s">
        <v>94</v>
      </c>
      <c r="D60" t="s">
        <v>356</v>
      </c>
      <c r="E60" t="s">
        <v>358</v>
      </c>
      <c r="F60">
        <v>64</v>
      </c>
      <c r="G60" t="s">
        <v>341</v>
      </c>
      <c r="H60">
        <v>1</v>
      </c>
      <c r="I60" s="32">
        <v>2800</v>
      </c>
      <c r="J60" s="32">
        <v>2800</v>
      </c>
      <c r="K60" s="32">
        <v>179200</v>
      </c>
      <c r="O60">
        <v>0.3</v>
      </c>
      <c r="P60">
        <v>0.3</v>
      </c>
      <c r="Q60">
        <v>0.4</v>
      </c>
      <c r="V60" s="32">
        <v>0</v>
      </c>
      <c r="W60" s="32">
        <v>0</v>
      </c>
      <c r="X60" s="32">
        <v>0</v>
      </c>
      <c r="Y60" s="32">
        <v>53760</v>
      </c>
      <c r="Z60" s="32">
        <v>53760</v>
      </c>
      <c r="AA60" s="32">
        <v>71680</v>
      </c>
      <c r="AB60" s="32">
        <v>0</v>
      </c>
      <c r="AC60" s="32">
        <v>0</v>
      </c>
      <c r="AD60" s="32">
        <v>0</v>
      </c>
      <c r="AE60" s="32">
        <v>0</v>
      </c>
    </row>
    <row r="61" spans="2:31" x14ac:dyDescent="0.3">
      <c r="D61" t="s">
        <v>331</v>
      </c>
      <c r="F61">
        <v>0</v>
      </c>
      <c r="J61" s="32">
        <v>0</v>
      </c>
      <c r="K61" s="32">
        <v>0</v>
      </c>
      <c r="V61" s="32">
        <v>0</v>
      </c>
      <c r="W61" s="32">
        <v>0</v>
      </c>
      <c r="X61" s="32">
        <v>0</v>
      </c>
      <c r="Y61" s="32">
        <v>0</v>
      </c>
      <c r="Z61" s="32">
        <v>0</v>
      </c>
      <c r="AA61" s="32">
        <v>0</v>
      </c>
      <c r="AB61" s="32">
        <v>0</v>
      </c>
      <c r="AC61" s="32">
        <v>0</v>
      </c>
      <c r="AD61" s="32">
        <v>0</v>
      </c>
      <c r="AE61" s="32">
        <v>0</v>
      </c>
    </row>
    <row r="62" spans="2:31" x14ac:dyDescent="0.3">
      <c r="B62" t="s">
        <v>331</v>
      </c>
      <c r="C62" t="s">
        <v>173</v>
      </c>
      <c r="D62" t="s">
        <v>686</v>
      </c>
      <c r="E62" t="s">
        <v>345</v>
      </c>
      <c r="F62">
        <v>576</v>
      </c>
      <c r="G62" t="s">
        <v>330</v>
      </c>
      <c r="H62">
        <v>9</v>
      </c>
      <c r="I62" s="32">
        <v>49</v>
      </c>
      <c r="J62" s="32">
        <v>441</v>
      </c>
      <c r="K62" s="32">
        <v>28224</v>
      </c>
      <c r="O62">
        <v>0.5</v>
      </c>
      <c r="Q62">
        <v>0.5</v>
      </c>
      <c r="V62" s="32">
        <v>0</v>
      </c>
      <c r="W62" s="32">
        <v>0</v>
      </c>
      <c r="X62" s="32">
        <v>0</v>
      </c>
      <c r="Y62" s="32">
        <v>14112</v>
      </c>
      <c r="Z62" s="32">
        <v>0</v>
      </c>
      <c r="AA62" s="32">
        <v>14112</v>
      </c>
      <c r="AB62" s="32">
        <v>0</v>
      </c>
      <c r="AC62" s="32">
        <v>0</v>
      </c>
      <c r="AD62" s="32">
        <v>0</v>
      </c>
      <c r="AE62" s="32">
        <v>0</v>
      </c>
    </row>
    <row r="63" spans="2:31" x14ac:dyDescent="0.3">
      <c r="B63" t="s">
        <v>331</v>
      </c>
      <c r="C63" t="s">
        <v>173</v>
      </c>
      <c r="D63" t="s">
        <v>343</v>
      </c>
      <c r="E63" t="s">
        <v>345</v>
      </c>
      <c r="F63">
        <v>38.4</v>
      </c>
      <c r="G63" t="s">
        <v>346</v>
      </c>
      <c r="H63">
        <v>0.6</v>
      </c>
      <c r="I63" s="32">
        <v>140</v>
      </c>
      <c r="J63" s="32">
        <v>84</v>
      </c>
      <c r="K63" s="32">
        <v>5376</v>
      </c>
      <c r="O63">
        <v>1</v>
      </c>
      <c r="V63" s="32">
        <v>0</v>
      </c>
      <c r="W63" s="32">
        <v>0</v>
      </c>
      <c r="X63" s="32">
        <v>0</v>
      </c>
      <c r="Y63" s="32">
        <v>5376</v>
      </c>
      <c r="Z63" s="32">
        <v>0</v>
      </c>
      <c r="AA63" s="32">
        <v>0</v>
      </c>
      <c r="AB63" s="32">
        <v>0</v>
      </c>
      <c r="AC63" s="32">
        <v>0</v>
      </c>
      <c r="AD63" s="32">
        <v>0</v>
      </c>
      <c r="AE63" s="32">
        <v>0</v>
      </c>
    </row>
    <row r="64" spans="2:31" x14ac:dyDescent="0.3">
      <c r="B64" t="s">
        <v>331</v>
      </c>
      <c r="C64" t="s">
        <v>173</v>
      </c>
      <c r="D64" t="s">
        <v>349</v>
      </c>
      <c r="E64" t="s">
        <v>345</v>
      </c>
      <c r="F64">
        <v>38.4</v>
      </c>
      <c r="G64" t="s">
        <v>346</v>
      </c>
      <c r="H64">
        <v>0.6</v>
      </c>
      <c r="I64" s="32">
        <v>130</v>
      </c>
      <c r="J64" s="32">
        <v>78</v>
      </c>
      <c r="K64" s="32">
        <v>4992</v>
      </c>
      <c r="O64">
        <v>1</v>
      </c>
      <c r="V64" s="32">
        <v>0</v>
      </c>
      <c r="W64" s="32">
        <v>0</v>
      </c>
      <c r="X64" s="32">
        <v>0</v>
      </c>
      <c r="Y64" s="32">
        <v>4992</v>
      </c>
      <c r="Z64" s="32">
        <v>0</v>
      </c>
      <c r="AA64" s="32">
        <v>0</v>
      </c>
      <c r="AB64" s="32">
        <v>0</v>
      </c>
      <c r="AC64" s="32">
        <v>0</v>
      </c>
      <c r="AD64" s="32">
        <v>0</v>
      </c>
      <c r="AE64" s="32">
        <v>0</v>
      </c>
    </row>
    <row r="65" spans="2:31" x14ac:dyDescent="0.3">
      <c r="B65" t="s">
        <v>331</v>
      </c>
      <c r="C65" t="s">
        <v>115</v>
      </c>
      <c r="D65" t="s">
        <v>336</v>
      </c>
      <c r="F65">
        <v>170.66666666666671</v>
      </c>
      <c r="G65" t="s">
        <v>87</v>
      </c>
      <c r="H65">
        <v>2.666666666666667</v>
      </c>
      <c r="I65" s="32">
        <v>32.450000000000003</v>
      </c>
      <c r="J65" s="32">
        <v>86.533333333333331</v>
      </c>
      <c r="K65" s="32">
        <v>5538.1333333333332</v>
      </c>
      <c r="O65">
        <v>1</v>
      </c>
      <c r="V65" s="32">
        <v>0</v>
      </c>
      <c r="W65" s="32">
        <v>0</v>
      </c>
      <c r="X65" s="32">
        <v>0</v>
      </c>
      <c r="Y65" s="32">
        <v>5538.1333333333332</v>
      </c>
      <c r="Z65" s="32">
        <v>0</v>
      </c>
      <c r="AA65" s="32">
        <v>0</v>
      </c>
      <c r="AB65" s="32">
        <v>0</v>
      </c>
      <c r="AC65" s="32">
        <v>0</v>
      </c>
      <c r="AD65" s="32">
        <v>0</v>
      </c>
      <c r="AE65" s="32">
        <v>0</v>
      </c>
    </row>
    <row r="66" spans="2:31" x14ac:dyDescent="0.3">
      <c r="B66" t="s">
        <v>331</v>
      </c>
      <c r="C66" t="s">
        <v>94</v>
      </c>
      <c r="D66" t="s">
        <v>339</v>
      </c>
      <c r="F66">
        <v>3</v>
      </c>
      <c r="G66" t="s">
        <v>341</v>
      </c>
      <c r="H66">
        <v>4.6875E-2</v>
      </c>
      <c r="I66" s="32">
        <v>700</v>
      </c>
      <c r="J66" s="32">
        <v>32.8125</v>
      </c>
      <c r="K66" s="32">
        <v>2100</v>
      </c>
      <c r="O66">
        <v>0.3</v>
      </c>
      <c r="P66">
        <v>0.3</v>
      </c>
      <c r="Q66">
        <v>0.4</v>
      </c>
      <c r="V66" s="32">
        <v>0</v>
      </c>
      <c r="W66" s="32">
        <v>0</v>
      </c>
      <c r="X66" s="32">
        <v>0</v>
      </c>
      <c r="Y66" s="32">
        <v>630</v>
      </c>
      <c r="Z66" s="32">
        <v>630</v>
      </c>
      <c r="AA66" s="32">
        <v>840</v>
      </c>
      <c r="AB66" s="32">
        <v>0</v>
      </c>
      <c r="AC66" s="32">
        <v>0</v>
      </c>
      <c r="AD66" s="32">
        <v>0</v>
      </c>
      <c r="AE66" s="32">
        <v>0</v>
      </c>
    </row>
    <row r="67" spans="2:31" x14ac:dyDescent="0.3">
      <c r="B67" t="s">
        <v>331</v>
      </c>
      <c r="C67" t="s">
        <v>184</v>
      </c>
      <c r="D67" t="s">
        <v>332</v>
      </c>
      <c r="F67">
        <v>256</v>
      </c>
      <c r="G67" t="s">
        <v>682</v>
      </c>
      <c r="H67">
        <v>4</v>
      </c>
      <c r="I67" s="32">
        <v>38</v>
      </c>
      <c r="J67" s="32">
        <v>152</v>
      </c>
      <c r="K67" s="32">
        <v>9728</v>
      </c>
      <c r="O67">
        <v>0.5</v>
      </c>
      <c r="Q67">
        <v>0.5</v>
      </c>
      <c r="V67" s="32">
        <v>0</v>
      </c>
      <c r="W67" s="32">
        <v>0</v>
      </c>
      <c r="X67" s="32">
        <v>0</v>
      </c>
      <c r="Y67" s="32">
        <v>4864</v>
      </c>
      <c r="Z67" s="32">
        <v>0</v>
      </c>
      <c r="AA67" s="32">
        <v>4864</v>
      </c>
      <c r="AB67" s="32">
        <v>0</v>
      </c>
      <c r="AC67" s="32">
        <v>0</v>
      </c>
      <c r="AD67" s="32">
        <v>0</v>
      </c>
      <c r="AE67" s="32">
        <v>0</v>
      </c>
    </row>
    <row r="68" spans="2:31" x14ac:dyDescent="0.3">
      <c r="B68" t="s">
        <v>331</v>
      </c>
      <c r="C68" t="s">
        <v>676</v>
      </c>
      <c r="D68" t="s">
        <v>687</v>
      </c>
      <c r="E68" t="s">
        <v>688</v>
      </c>
      <c r="F68">
        <v>0</v>
      </c>
      <c r="G68" t="s">
        <v>330</v>
      </c>
      <c r="I68" s="32">
        <v>0</v>
      </c>
      <c r="J68" s="32">
        <v>0</v>
      </c>
      <c r="K68" s="32">
        <v>0</v>
      </c>
      <c r="V68" s="32">
        <v>0</v>
      </c>
      <c r="W68" s="32">
        <v>0</v>
      </c>
      <c r="X68" s="32">
        <v>0</v>
      </c>
      <c r="Y68" s="32">
        <v>0</v>
      </c>
      <c r="Z68" s="32">
        <v>0</v>
      </c>
      <c r="AA68" s="32">
        <v>0</v>
      </c>
      <c r="AB68" s="32">
        <v>0</v>
      </c>
      <c r="AC68" s="32">
        <v>0</v>
      </c>
      <c r="AD68" s="32">
        <v>0</v>
      </c>
      <c r="AE68" s="32">
        <v>0</v>
      </c>
    </row>
    <row r="69" spans="2:31" x14ac:dyDescent="0.3">
      <c r="D69" t="s">
        <v>689</v>
      </c>
      <c r="F69">
        <v>0</v>
      </c>
      <c r="J69" s="32">
        <v>0</v>
      </c>
      <c r="K69" s="32">
        <v>0</v>
      </c>
      <c r="V69" s="32">
        <v>0</v>
      </c>
      <c r="W69" s="32">
        <v>0</v>
      </c>
      <c r="X69" s="32">
        <v>0</v>
      </c>
      <c r="Y69" s="32">
        <v>0</v>
      </c>
      <c r="Z69" s="32">
        <v>0</v>
      </c>
      <c r="AA69" s="32">
        <v>0</v>
      </c>
      <c r="AB69" s="32">
        <v>0</v>
      </c>
      <c r="AC69" s="32">
        <v>0</v>
      </c>
      <c r="AD69" s="32">
        <v>0</v>
      </c>
      <c r="AE69" s="32">
        <v>0</v>
      </c>
    </row>
    <row r="70" spans="2:31" x14ac:dyDescent="0.3">
      <c r="B70" t="s">
        <v>243</v>
      </c>
      <c r="C70" t="s">
        <v>184</v>
      </c>
      <c r="D70" t="s">
        <v>350</v>
      </c>
      <c r="F70">
        <v>64</v>
      </c>
      <c r="G70" t="s">
        <v>690</v>
      </c>
      <c r="H70">
        <v>1</v>
      </c>
      <c r="I70" s="32">
        <v>45</v>
      </c>
      <c r="J70" s="32">
        <v>45</v>
      </c>
      <c r="K70" s="32">
        <v>2880</v>
      </c>
      <c r="O70">
        <v>0.5</v>
      </c>
      <c r="Q70">
        <v>0.5</v>
      </c>
      <c r="V70" s="32">
        <v>0</v>
      </c>
      <c r="W70" s="32">
        <v>0</v>
      </c>
      <c r="X70" s="32">
        <v>0</v>
      </c>
      <c r="Y70" s="32">
        <v>1440</v>
      </c>
      <c r="Z70" s="32">
        <v>0</v>
      </c>
      <c r="AA70" s="32">
        <v>1440</v>
      </c>
      <c r="AB70" s="32">
        <v>0</v>
      </c>
      <c r="AC70" s="32">
        <v>0</v>
      </c>
      <c r="AD70" s="32">
        <v>0</v>
      </c>
      <c r="AE70" s="32">
        <v>0</v>
      </c>
    </row>
    <row r="71" spans="2:31" x14ac:dyDescent="0.3">
      <c r="B71" t="s">
        <v>243</v>
      </c>
      <c r="C71" t="s">
        <v>184</v>
      </c>
      <c r="D71" t="s">
        <v>354</v>
      </c>
      <c r="F71">
        <v>128</v>
      </c>
      <c r="G71" t="s">
        <v>690</v>
      </c>
      <c r="H71">
        <v>2</v>
      </c>
      <c r="I71" s="32">
        <v>45</v>
      </c>
      <c r="J71" s="32">
        <v>90</v>
      </c>
      <c r="K71" s="32">
        <v>5760</v>
      </c>
      <c r="O71">
        <v>0.5</v>
      </c>
      <c r="Q71">
        <v>0.5</v>
      </c>
      <c r="V71" s="32">
        <v>0</v>
      </c>
      <c r="W71" s="32">
        <v>0</v>
      </c>
      <c r="X71" s="32">
        <v>0</v>
      </c>
      <c r="Y71" s="32">
        <v>2880</v>
      </c>
      <c r="Z71" s="32">
        <v>0</v>
      </c>
      <c r="AA71" s="32">
        <v>2880</v>
      </c>
      <c r="AB71" s="32">
        <v>0</v>
      </c>
      <c r="AC71" s="32">
        <v>0</v>
      </c>
      <c r="AD71" s="32">
        <v>0</v>
      </c>
      <c r="AE71" s="32">
        <v>0</v>
      </c>
    </row>
    <row r="72" spans="2:31" x14ac:dyDescent="0.3">
      <c r="B72" t="s">
        <v>243</v>
      </c>
      <c r="C72" t="s">
        <v>184</v>
      </c>
      <c r="D72" t="s">
        <v>691</v>
      </c>
      <c r="F72">
        <v>320</v>
      </c>
      <c r="G72" t="s">
        <v>203</v>
      </c>
      <c r="H72">
        <v>5</v>
      </c>
      <c r="I72" s="32">
        <v>7.0473999999999997</v>
      </c>
      <c r="J72" s="32">
        <v>35.236999999999988</v>
      </c>
      <c r="K72" s="32">
        <v>2255.1680000000001</v>
      </c>
      <c r="O72">
        <v>0.5</v>
      </c>
      <c r="Q72">
        <v>0.5</v>
      </c>
      <c r="V72" s="32">
        <v>0</v>
      </c>
      <c r="W72" s="32">
        <v>0</v>
      </c>
      <c r="X72" s="32">
        <v>0</v>
      </c>
      <c r="Y72" s="32">
        <v>1127.5840000000001</v>
      </c>
      <c r="Z72" s="32">
        <v>0</v>
      </c>
      <c r="AA72" s="32">
        <v>1127.5840000000001</v>
      </c>
      <c r="AB72" s="32">
        <v>0</v>
      </c>
      <c r="AC72" s="32">
        <v>0</v>
      </c>
      <c r="AD72" s="32">
        <v>0</v>
      </c>
      <c r="AE72" s="32">
        <v>0</v>
      </c>
    </row>
    <row r="73" spans="2:31" x14ac:dyDescent="0.3">
      <c r="B73" t="s">
        <v>243</v>
      </c>
      <c r="C73" t="s">
        <v>676</v>
      </c>
      <c r="D73" t="s">
        <v>244</v>
      </c>
      <c r="E73" t="s">
        <v>688</v>
      </c>
      <c r="F73">
        <v>64</v>
      </c>
      <c r="G73" t="s">
        <v>113</v>
      </c>
      <c r="H73">
        <v>1</v>
      </c>
      <c r="I73" s="32">
        <v>420</v>
      </c>
      <c r="J73" s="32">
        <v>420</v>
      </c>
      <c r="K73" s="32">
        <v>26880</v>
      </c>
      <c r="N73">
        <v>9.3700000000000006E-2</v>
      </c>
      <c r="O73">
        <v>9.3799999999999994E-2</v>
      </c>
      <c r="P73">
        <v>0.33695000000000003</v>
      </c>
      <c r="Q73">
        <v>0.2225</v>
      </c>
      <c r="R73">
        <v>0.25305</v>
      </c>
      <c r="V73" s="32">
        <v>0</v>
      </c>
      <c r="W73" s="32">
        <v>0</v>
      </c>
      <c r="X73" s="32">
        <v>2518.6559999999999</v>
      </c>
      <c r="Y73" s="32">
        <v>2521.3440000000001</v>
      </c>
      <c r="Z73" s="32">
        <v>9057.2159999999985</v>
      </c>
      <c r="AA73" s="32">
        <v>5980.8</v>
      </c>
      <c r="AB73" s="32">
        <v>6801.9840000000004</v>
      </c>
      <c r="AC73" s="32">
        <v>0</v>
      </c>
      <c r="AD73" s="32">
        <v>0</v>
      </c>
      <c r="AE73" s="32">
        <v>0</v>
      </c>
    </row>
    <row r="74" spans="2:31" x14ac:dyDescent="0.3">
      <c r="B74" t="s">
        <v>243</v>
      </c>
      <c r="C74" t="s">
        <v>676</v>
      </c>
      <c r="D74" t="s">
        <v>692</v>
      </c>
      <c r="E74" t="s">
        <v>688</v>
      </c>
      <c r="F74">
        <v>64</v>
      </c>
      <c r="G74" t="s">
        <v>113</v>
      </c>
      <c r="H74">
        <v>1</v>
      </c>
      <c r="I74" s="32">
        <v>0</v>
      </c>
      <c r="J74" s="32">
        <v>0</v>
      </c>
      <c r="K74" s="32">
        <v>0</v>
      </c>
      <c r="N74">
        <v>9.3700000000000006E-2</v>
      </c>
      <c r="O74">
        <v>9.3799999999999994E-2</v>
      </c>
      <c r="P74">
        <v>0.33695000000000003</v>
      </c>
      <c r="Q74">
        <v>0.2225</v>
      </c>
      <c r="R74">
        <v>0.25305</v>
      </c>
      <c r="V74" s="32">
        <v>0</v>
      </c>
      <c r="W74" s="32">
        <v>0</v>
      </c>
      <c r="X74" s="32">
        <v>0</v>
      </c>
      <c r="Y74" s="32">
        <v>0</v>
      </c>
      <c r="Z74" s="32">
        <v>0</v>
      </c>
      <c r="AA74" s="32">
        <v>0</v>
      </c>
      <c r="AB74" s="32">
        <v>0</v>
      </c>
      <c r="AC74" s="32">
        <v>0</v>
      </c>
      <c r="AD74" s="32">
        <v>0</v>
      </c>
      <c r="AE74" s="32">
        <v>0</v>
      </c>
    </row>
    <row r="75" spans="2:31" x14ac:dyDescent="0.3">
      <c r="D75" t="s">
        <v>285</v>
      </c>
      <c r="F75">
        <v>0</v>
      </c>
      <c r="J75" s="32">
        <v>0</v>
      </c>
      <c r="K75" s="32">
        <v>0</v>
      </c>
      <c r="V75" s="32">
        <v>0</v>
      </c>
      <c r="W75" s="32">
        <v>0</v>
      </c>
      <c r="X75" s="32">
        <v>0</v>
      </c>
      <c r="Y75" s="32">
        <v>0</v>
      </c>
      <c r="Z75" s="32">
        <v>0</v>
      </c>
      <c r="AA75" s="32">
        <v>0</v>
      </c>
      <c r="AB75" s="32">
        <v>0</v>
      </c>
      <c r="AC75" s="32">
        <v>0</v>
      </c>
      <c r="AD75" s="32">
        <v>0</v>
      </c>
      <c r="AE75" s="32">
        <v>0</v>
      </c>
    </row>
    <row r="76" spans="2:31" x14ac:dyDescent="0.3">
      <c r="B76" t="s">
        <v>286</v>
      </c>
      <c r="C76" t="s">
        <v>132</v>
      </c>
      <c r="D76" t="s">
        <v>693</v>
      </c>
      <c r="E76" t="s">
        <v>290</v>
      </c>
      <c r="F76">
        <v>64</v>
      </c>
      <c r="G76" t="s">
        <v>291</v>
      </c>
      <c r="H76">
        <v>1</v>
      </c>
      <c r="I76" s="32">
        <v>3.27</v>
      </c>
      <c r="J76" s="32">
        <v>3.27</v>
      </c>
      <c r="K76" s="32">
        <v>209.28</v>
      </c>
      <c r="O76">
        <v>0.34</v>
      </c>
      <c r="Q76">
        <v>0.33</v>
      </c>
      <c r="S76">
        <v>0.33</v>
      </c>
      <c r="V76" s="32">
        <v>0</v>
      </c>
      <c r="W76" s="32">
        <v>0</v>
      </c>
      <c r="X76" s="32">
        <v>0</v>
      </c>
      <c r="Y76" s="32">
        <v>71.155200000000008</v>
      </c>
      <c r="Z76" s="32">
        <v>0</v>
      </c>
      <c r="AA76" s="32">
        <v>69.062399999999997</v>
      </c>
      <c r="AB76" s="32">
        <v>0</v>
      </c>
      <c r="AC76" s="32">
        <v>69.062399999999997</v>
      </c>
      <c r="AD76" s="32">
        <v>0</v>
      </c>
      <c r="AE76" s="32">
        <v>0</v>
      </c>
    </row>
    <row r="77" spans="2:31" x14ac:dyDescent="0.3">
      <c r="B77" t="s">
        <v>286</v>
      </c>
      <c r="C77" t="s">
        <v>132</v>
      </c>
      <c r="D77" t="s">
        <v>694</v>
      </c>
      <c r="E77" t="s">
        <v>290</v>
      </c>
      <c r="F77">
        <v>384</v>
      </c>
      <c r="G77" t="s">
        <v>291</v>
      </c>
      <c r="H77">
        <v>6</v>
      </c>
      <c r="I77" s="32">
        <v>0.8</v>
      </c>
      <c r="J77" s="32">
        <v>4.8000000000000007</v>
      </c>
      <c r="K77" s="32">
        <v>307.2</v>
      </c>
      <c r="O77">
        <v>0.34</v>
      </c>
      <c r="Q77">
        <v>0.33</v>
      </c>
      <c r="S77">
        <v>0.33</v>
      </c>
      <c r="V77" s="32">
        <v>0</v>
      </c>
      <c r="W77" s="32">
        <v>0</v>
      </c>
      <c r="X77" s="32">
        <v>0</v>
      </c>
      <c r="Y77" s="32">
        <v>104.44799999999999</v>
      </c>
      <c r="Z77" s="32">
        <v>0</v>
      </c>
      <c r="AA77" s="32">
        <v>101.376</v>
      </c>
      <c r="AB77" s="32">
        <v>0</v>
      </c>
      <c r="AC77" s="32">
        <v>101.376</v>
      </c>
      <c r="AD77" s="32">
        <v>0</v>
      </c>
      <c r="AE77" s="32">
        <v>0</v>
      </c>
    </row>
    <row r="78" spans="2:31" x14ac:dyDescent="0.3">
      <c r="B78" t="s">
        <v>286</v>
      </c>
      <c r="C78" t="s">
        <v>132</v>
      </c>
      <c r="D78" t="s">
        <v>695</v>
      </c>
      <c r="E78" t="s">
        <v>290</v>
      </c>
      <c r="F78">
        <v>128</v>
      </c>
      <c r="G78" t="s">
        <v>291</v>
      </c>
      <c r="H78">
        <v>2</v>
      </c>
      <c r="I78" s="32">
        <v>2.66</v>
      </c>
      <c r="J78" s="32">
        <v>5.32</v>
      </c>
      <c r="K78" s="32">
        <v>340.48</v>
      </c>
      <c r="O78">
        <v>0.34</v>
      </c>
      <c r="Q78">
        <v>0.33</v>
      </c>
      <c r="S78">
        <v>0.33</v>
      </c>
      <c r="V78" s="32">
        <v>0</v>
      </c>
      <c r="W78" s="32">
        <v>0</v>
      </c>
      <c r="X78" s="32">
        <v>0</v>
      </c>
      <c r="Y78" s="32">
        <v>115.7632</v>
      </c>
      <c r="Z78" s="32">
        <v>0</v>
      </c>
      <c r="AA78" s="32">
        <v>112.3584</v>
      </c>
      <c r="AB78" s="32">
        <v>0</v>
      </c>
      <c r="AC78" s="32">
        <v>112.3584</v>
      </c>
      <c r="AD78" s="32">
        <v>0</v>
      </c>
      <c r="AE78" s="32">
        <v>0</v>
      </c>
    </row>
    <row r="79" spans="2:31" x14ac:dyDescent="0.3">
      <c r="B79" t="s">
        <v>286</v>
      </c>
      <c r="C79" t="s">
        <v>132</v>
      </c>
      <c r="D79" t="s">
        <v>287</v>
      </c>
      <c r="E79" t="s">
        <v>290</v>
      </c>
      <c r="F79">
        <v>64</v>
      </c>
      <c r="G79" t="s">
        <v>291</v>
      </c>
      <c r="H79">
        <v>1</v>
      </c>
      <c r="I79" s="32">
        <v>13.5</v>
      </c>
      <c r="J79" s="32">
        <v>13.5</v>
      </c>
      <c r="K79" s="32">
        <v>864</v>
      </c>
      <c r="O79">
        <v>0.34</v>
      </c>
      <c r="Q79">
        <v>0.33</v>
      </c>
      <c r="S79">
        <v>0.33</v>
      </c>
      <c r="V79" s="32">
        <v>0</v>
      </c>
      <c r="W79" s="32">
        <v>0</v>
      </c>
      <c r="X79" s="32">
        <v>0</v>
      </c>
      <c r="Y79" s="32">
        <v>293.76</v>
      </c>
      <c r="Z79" s="32">
        <v>0</v>
      </c>
      <c r="AA79" s="32">
        <v>285.12</v>
      </c>
      <c r="AB79" s="32">
        <v>0</v>
      </c>
      <c r="AC79" s="32">
        <v>285.12</v>
      </c>
      <c r="AD79" s="32">
        <v>0</v>
      </c>
      <c r="AE79" s="32">
        <v>0</v>
      </c>
    </row>
    <row r="80" spans="2:31" x14ac:dyDescent="0.3">
      <c r="B80" t="s">
        <v>286</v>
      </c>
      <c r="C80" t="s">
        <v>132</v>
      </c>
      <c r="D80" t="s">
        <v>301</v>
      </c>
      <c r="E80" t="s">
        <v>290</v>
      </c>
      <c r="F80">
        <v>64</v>
      </c>
      <c r="G80" t="s">
        <v>291</v>
      </c>
      <c r="H80">
        <v>1</v>
      </c>
      <c r="I80" s="32">
        <v>23</v>
      </c>
      <c r="J80" s="32">
        <v>23</v>
      </c>
      <c r="K80" s="32">
        <v>1472</v>
      </c>
      <c r="O80">
        <v>0.34</v>
      </c>
      <c r="Q80">
        <v>0.33</v>
      </c>
      <c r="S80">
        <v>0.33</v>
      </c>
      <c r="V80" s="32">
        <v>0</v>
      </c>
      <c r="W80" s="32">
        <v>0</v>
      </c>
      <c r="X80" s="32">
        <v>0</v>
      </c>
      <c r="Y80" s="32">
        <v>500.48</v>
      </c>
      <c r="Z80" s="32">
        <v>0</v>
      </c>
      <c r="AA80" s="32">
        <v>485.76</v>
      </c>
      <c r="AB80" s="32">
        <v>0</v>
      </c>
      <c r="AC80" s="32">
        <v>485.76</v>
      </c>
      <c r="AD80" s="32">
        <v>0</v>
      </c>
      <c r="AE80" s="32">
        <v>0</v>
      </c>
    </row>
    <row r="81" spans="2:31" x14ac:dyDescent="0.3">
      <c r="B81" t="s">
        <v>286</v>
      </c>
      <c r="C81" t="s">
        <v>132</v>
      </c>
      <c r="D81" t="s">
        <v>302</v>
      </c>
      <c r="E81" t="s">
        <v>290</v>
      </c>
      <c r="F81">
        <v>64</v>
      </c>
      <c r="G81" t="s">
        <v>291</v>
      </c>
      <c r="H81">
        <v>1</v>
      </c>
      <c r="I81" s="32">
        <v>30</v>
      </c>
      <c r="J81" s="32">
        <v>30</v>
      </c>
      <c r="K81" s="32">
        <v>1920</v>
      </c>
      <c r="O81">
        <v>0.34</v>
      </c>
      <c r="Q81">
        <v>0.33</v>
      </c>
      <c r="S81">
        <v>0.33</v>
      </c>
      <c r="V81" s="32">
        <v>0</v>
      </c>
      <c r="W81" s="32">
        <v>0</v>
      </c>
      <c r="X81" s="32">
        <v>0</v>
      </c>
      <c r="Y81" s="32">
        <v>652.80000000000007</v>
      </c>
      <c r="Z81" s="32">
        <v>0</v>
      </c>
      <c r="AA81" s="32">
        <v>633.6</v>
      </c>
      <c r="AB81" s="32">
        <v>0</v>
      </c>
      <c r="AC81" s="32">
        <v>633.6</v>
      </c>
      <c r="AD81" s="32">
        <v>0</v>
      </c>
      <c r="AE81" s="32">
        <v>0</v>
      </c>
    </row>
    <row r="82" spans="2:31" x14ac:dyDescent="0.3">
      <c r="B82" t="s">
        <v>286</v>
      </c>
      <c r="C82" t="s">
        <v>132</v>
      </c>
      <c r="D82" t="s">
        <v>696</v>
      </c>
      <c r="E82" t="s">
        <v>290</v>
      </c>
      <c r="F82">
        <v>64</v>
      </c>
      <c r="G82" t="s">
        <v>291</v>
      </c>
      <c r="H82">
        <v>1</v>
      </c>
      <c r="I82" s="32">
        <v>26.29</v>
      </c>
      <c r="J82" s="32">
        <v>26.29</v>
      </c>
      <c r="K82" s="32">
        <v>1682.56</v>
      </c>
      <c r="O82">
        <v>0.34</v>
      </c>
      <c r="Q82">
        <v>0.33</v>
      </c>
      <c r="S82">
        <v>0.33</v>
      </c>
      <c r="V82" s="32">
        <v>0</v>
      </c>
      <c r="W82" s="32">
        <v>0</v>
      </c>
      <c r="X82" s="32">
        <v>0</v>
      </c>
      <c r="Y82" s="32">
        <v>572.07040000000006</v>
      </c>
      <c r="Z82" s="32">
        <v>0</v>
      </c>
      <c r="AA82" s="32">
        <v>555.24480000000005</v>
      </c>
      <c r="AB82" s="32">
        <v>0</v>
      </c>
      <c r="AC82" s="32">
        <v>555.24480000000005</v>
      </c>
      <c r="AD82" s="32">
        <v>0</v>
      </c>
      <c r="AE82" s="32">
        <v>0</v>
      </c>
    </row>
    <row r="83" spans="2:31" x14ac:dyDescent="0.3">
      <c r="B83" t="s">
        <v>286</v>
      </c>
      <c r="C83" t="s">
        <v>132</v>
      </c>
      <c r="D83" t="s">
        <v>300</v>
      </c>
      <c r="E83" t="s">
        <v>290</v>
      </c>
      <c r="F83">
        <v>128</v>
      </c>
      <c r="G83" t="s">
        <v>291</v>
      </c>
      <c r="H83">
        <v>2</v>
      </c>
      <c r="I83" s="32">
        <v>3.2</v>
      </c>
      <c r="J83" s="32">
        <v>6.4</v>
      </c>
      <c r="K83" s="32">
        <v>409.6</v>
      </c>
      <c r="O83">
        <v>0.34</v>
      </c>
      <c r="Q83">
        <v>0.33</v>
      </c>
      <c r="S83">
        <v>0.33</v>
      </c>
      <c r="V83" s="32">
        <v>0</v>
      </c>
      <c r="W83" s="32">
        <v>0</v>
      </c>
      <c r="X83" s="32">
        <v>0</v>
      </c>
      <c r="Y83" s="32">
        <v>139.26400000000001</v>
      </c>
      <c r="Z83" s="32">
        <v>0</v>
      </c>
      <c r="AA83" s="32">
        <v>135.16800000000001</v>
      </c>
      <c r="AB83" s="32">
        <v>0</v>
      </c>
      <c r="AC83" s="32">
        <v>135.16800000000001</v>
      </c>
      <c r="AD83" s="32">
        <v>0</v>
      </c>
      <c r="AE83" s="32">
        <v>0</v>
      </c>
    </row>
    <row r="84" spans="2:31" x14ac:dyDescent="0.3">
      <c r="B84" t="s">
        <v>286</v>
      </c>
      <c r="C84" t="s">
        <v>132</v>
      </c>
      <c r="D84" t="s">
        <v>303</v>
      </c>
      <c r="E84" t="s">
        <v>290</v>
      </c>
      <c r="F84">
        <v>128</v>
      </c>
      <c r="G84" t="s">
        <v>291</v>
      </c>
      <c r="H84">
        <v>2</v>
      </c>
      <c r="I84" s="32">
        <v>4.13</v>
      </c>
      <c r="J84" s="32">
        <v>8.26</v>
      </c>
      <c r="K84" s="32">
        <v>528.64</v>
      </c>
      <c r="O84">
        <v>0.34</v>
      </c>
      <c r="Q84">
        <v>0.33</v>
      </c>
      <c r="S84">
        <v>0.33</v>
      </c>
      <c r="V84" s="32">
        <v>0</v>
      </c>
      <c r="W84" s="32">
        <v>0</v>
      </c>
      <c r="X84" s="32">
        <v>0</v>
      </c>
      <c r="Y84" s="32">
        <v>179.73759999999999</v>
      </c>
      <c r="Z84" s="32">
        <v>0</v>
      </c>
      <c r="AA84" s="32">
        <v>174.4512</v>
      </c>
      <c r="AB84" s="32">
        <v>0</v>
      </c>
      <c r="AC84" s="32">
        <v>174.4512</v>
      </c>
      <c r="AD84" s="32">
        <v>0</v>
      </c>
      <c r="AE84" s="32">
        <v>0</v>
      </c>
    </row>
    <row r="85" spans="2:31" x14ac:dyDescent="0.3">
      <c r="B85" t="s">
        <v>286</v>
      </c>
      <c r="C85" t="s">
        <v>132</v>
      </c>
      <c r="D85" t="s">
        <v>697</v>
      </c>
      <c r="E85" t="s">
        <v>290</v>
      </c>
      <c r="F85">
        <v>64</v>
      </c>
      <c r="G85" t="s">
        <v>291</v>
      </c>
      <c r="H85">
        <v>1</v>
      </c>
      <c r="I85" s="32">
        <v>1.6</v>
      </c>
      <c r="J85" s="32">
        <v>1.6</v>
      </c>
      <c r="K85" s="32">
        <v>102.4</v>
      </c>
      <c r="O85">
        <v>0.34</v>
      </c>
      <c r="Q85">
        <v>0.33</v>
      </c>
      <c r="S85">
        <v>0.33</v>
      </c>
      <c r="V85" s="32">
        <v>0</v>
      </c>
      <c r="W85" s="32">
        <v>0</v>
      </c>
      <c r="X85" s="32">
        <v>0</v>
      </c>
      <c r="Y85" s="32">
        <v>34.816000000000003</v>
      </c>
      <c r="Z85" s="32">
        <v>0</v>
      </c>
      <c r="AA85" s="32">
        <v>33.792000000000002</v>
      </c>
      <c r="AB85" s="32">
        <v>0</v>
      </c>
      <c r="AC85" s="32">
        <v>33.792000000000002</v>
      </c>
      <c r="AD85" s="32">
        <v>0</v>
      </c>
      <c r="AE85" s="32">
        <v>0</v>
      </c>
    </row>
    <row r="86" spans="2:31" x14ac:dyDescent="0.3">
      <c r="B86" t="s">
        <v>286</v>
      </c>
      <c r="C86" t="s">
        <v>132</v>
      </c>
      <c r="D86" t="s">
        <v>296</v>
      </c>
      <c r="E86" t="s">
        <v>290</v>
      </c>
      <c r="F86">
        <v>19.2</v>
      </c>
      <c r="G86" t="s">
        <v>87</v>
      </c>
      <c r="H86">
        <v>0.3</v>
      </c>
      <c r="I86" s="32">
        <v>14.9</v>
      </c>
      <c r="J86" s="32">
        <v>4.47</v>
      </c>
      <c r="K86" s="32">
        <v>286.08</v>
      </c>
      <c r="O86">
        <v>0.34</v>
      </c>
      <c r="Q86">
        <v>0.33</v>
      </c>
      <c r="S86">
        <v>0.33</v>
      </c>
      <c r="V86" s="32">
        <v>0</v>
      </c>
      <c r="W86" s="32">
        <v>0</v>
      </c>
      <c r="X86" s="32">
        <v>0</v>
      </c>
      <c r="Y86" s="32">
        <v>97.267200000000003</v>
      </c>
      <c r="Z86" s="32">
        <v>0</v>
      </c>
      <c r="AA86" s="32">
        <v>94.406400000000005</v>
      </c>
      <c r="AB86" s="32">
        <v>0</v>
      </c>
      <c r="AC86" s="32">
        <v>94.406400000000005</v>
      </c>
      <c r="AD86" s="32">
        <v>0</v>
      </c>
      <c r="AE86" s="32">
        <v>0</v>
      </c>
    </row>
    <row r="87" spans="2:31" x14ac:dyDescent="0.3">
      <c r="B87" t="s">
        <v>286</v>
      </c>
      <c r="C87" t="s">
        <v>132</v>
      </c>
      <c r="D87" t="s">
        <v>295</v>
      </c>
      <c r="E87" t="s">
        <v>290</v>
      </c>
      <c r="F87">
        <v>64</v>
      </c>
      <c r="G87" t="s">
        <v>87</v>
      </c>
      <c r="H87">
        <v>1</v>
      </c>
      <c r="I87" s="32">
        <v>239.9</v>
      </c>
      <c r="J87" s="32">
        <v>239.9</v>
      </c>
      <c r="K87" s="32">
        <v>15353.6</v>
      </c>
      <c r="O87">
        <v>0.34</v>
      </c>
      <c r="Q87">
        <v>0.33</v>
      </c>
      <c r="S87">
        <v>0.33</v>
      </c>
      <c r="V87" s="32">
        <v>0</v>
      </c>
      <c r="W87" s="32">
        <v>0</v>
      </c>
      <c r="X87" s="32">
        <v>0</v>
      </c>
      <c r="Y87" s="32">
        <v>5220.2240000000002</v>
      </c>
      <c r="Z87" s="32">
        <v>0</v>
      </c>
      <c r="AA87" s="32">
        <v>5066.6880000000001</v>
      </c>
      <c r="AB87" s="32">
        <v>0</v>
      </c>
      <c r="AC87" s="32">
        <v>5066.6880000000001</v>
      </c>
      <c r="AD87" s="32">
        <v>0</v>
      </c>
      <c r="AE87" s="32">
        <v>0</v>
      </c>
    </row>
    <row r="88" spans="2:31" x14ac:dyDescent="0.3">
      <c r="B88" t="s">
        <v>286</v>
      </c>
      <c r="C88" t="s">
        <v>132</v>
      </c>
      <c r="D88" t="s">
        <v>698</v>
      </c>
      <c r="E88" t="s">
        <v>290</v>
      </c>
      <c r="F88">
        <v>64</v>
      </c>
      <c r="G88" t="s">
        <v>87</v>
      </c>
      <c r="H88">
        <v>1</v>
      </c>
      <c r="I88" s="32">
        <v>75.400000000000006</v>
      </c>
      <c r="J88" s="32">
        <v>75.400000000000006</v>
      </c>
      <c r="K88" s="32">
        <v>4825.6000000000004</v>
      </c>
      <c r="O88">
        <v>0.34</v>
      </c>
      <c r="Q88">
        <v>0.33</v>
      </c>
      <c r="S88">
        <v>0.33</v>
      </c>
      <c r="V88" s="32">
        <v>0</v>
      </c>
      <c r="W88" s="32">
        <v>0</v>
      </c>
      <c r="X88" s="32">
        <v>0</v>
      </c>
      <c r="Y88" s="32">
        <v>1640.704</v>
      </c>
      <c r="Z88" s="32">
        <v>0</v>
      </c>
      <c r="AA88" s="32">
        <v>1592.4480000000001</v>
      </c>
      <c r="AB88" s="32">
        <v>0</v>
      </c>
      <c r="AC88" s="32">
        <v>1592.4480000000001</v>
      </c>
      <c r="AD88" s="32">
        <v>0</v>
      </c>
      <c r="AE88" s="32">
        <v>0</v>
      </c>
    </row>
    <row r="89" spans="2:31" x14ac:dyDescent="0.3">
      <c r="B89" t="s">
        <v>286</v>
      </c>
      <c r="C89" t="s">
        <v>132</v>
      </c>
      <c r="D89" t="s">
        <v>152</v>
      </c>
      <c r="E89" t="s">
        <v>290</v>
      </c>
      <c r="F89">
        <v>94.720000000000013</v>
      </c>
      <c r="G89" t="s">
        <v>153</v>
      </c>
      <c r="H89">
        <v>1.48</v>
      </c>
      <c r="I89" s="32">
        <v>27.3</v>
      </c>
      <c r="J89" s="32">
        <v>40.404000000000003</v>
      </c>
      <c r="K89" s="32">
        <v>2585.8560000000002</v>
      </c>
      <c r="O89">
        <v>0.34</v>
      </c>
      <c r="Q89">
        <v>0.33</v>
      </c>
      <c r="S89">
        <v>0.33</v>
      </c>
      <c r="V89" s="32">
        <v>0</v>
      </c>
      <c r="W89" s="32">
        <v>0</v>
      </c>
      <c r="X89" s="32">
        <v>0</v>
      </c>
      <c r="Y89" s="32">
        <v>879.19104000000016</v>
      </c>
      <c r="Z89" s="32">
        <v>0</v>
      </c>
      <c r="AA89" s="32">
        <v>853.33248000000015</v>
      </c>
      <c r="AB89" s="32">
        <v>0</v>
      </c>
      <c r="AC89" s="32">
        <v>853.33248000000015</v>
      </c>
      <c r="AD89" s="32">
        <v>0</v>
      </c>
      <c r="AE89" s="32">
        <v>0</v>
      </c>
    </row>
    <row r="90" spans="2:31" x14ac:dyDescent="0.3">
      <c r="B90" t="s">
        <v>286</v>
      </c>
      <c r="C90" t="s">
        <v>132</v>
      </c>
      <c r="D90" t="s">
        <v>305</v>
      </c>
      <c r="E90" t="s">
        <v>290</v>
      </c>
      <c r="F90">
        <v>96</v>
      </c>
      <c r="G90" t="s">
        <v>153</v>
      </c>
      <c r="H90">
        <v>1.5</v>
      </c>
      <c r="I90" s="32">
        <v>58.92</v>
      </c>
      <c r="J90" s="32">
        <v>88.38</v>
      </c>
      <c r="K90" s="32">
        <v>5656.32</v>
      </c>
      <c r="O90">
        <v>0.34</v>
      </c>
      <c r="Q90">
        <v>0.33</v>
      </c>
      <c r="S90">
        <v>0.33</v>
      </c>
      <c r="V90" s="32">
        <v>0</v>
      </c>
      <c r="W90" s="32">
        <v>0</v>
      </c>
      <c r="X90" s="32">
        <v>0</v>
      </c>
      <c r="Y90" s="32">
        <v>1923.1487999999999</v>
      </c>
      <c r="Z90" s="32">
        <v>0</v>
      </c>
      <c r="AA90" s="32">
        <v>1866.5856000000001</v>
      </c>
      <c r="AB90" s="32">
        <v>0</v>
      </c>
      <c r="AC90" s="32">
        <v>1866.5856000000001</v>
      </c>
      <c r="AD90" s="32">
        <v>0</v>
      </c>
      <c r="AE90" s="32">
        <v>0</v>
      </c>
    </row>
    <row r="91" spans="2:31" x14ac:dyDescent="0.3">
      <c r="B91" t="s">
        <v>286</v>
      </c>
      <c r="C91" t="s">
        <v>676</v>
      </c>
      <c r="D91" t="s">
        <v>699</v>
      </c>
      <c r="E91" t="s">
        <v>215</v>
      </c>
      <c r="F91">
        <v>64</v>
      </c>
      <c r="G91" t="s">
        <v>113</v>
      </c>
      <c r="H91">
        <v>1</v>
      </c>
      <c r="I91" s="32">
        <v>0</v>
      </c>
      <c r="J91" s="32">
        <v>0</v>
      </c>
      <c r="K91" s="32">
        <v>0</v>
      </c>
      <c r="N91">
        <v>9.3700000000000006E-2</v>
      </c>
      <c r="O91">
        <v>9.3799999999999994E-2</v>
      </c>
      <c r="P91">
        <v>0.33695000000000003</v>
      </c>
      <c r="Q91">
        <v>0.2225</v>
      </c>
      <c r="R91">
        <v>0.25305</v>
      </c>
      <c r="V91" s="32">
        <v>0</v>
      </c>
      <c r="W91" s="32">
        <v>0</v>
      </c>
      <c r="X91" s="32">
        <v>0</v>
      </c>
      <c r="Y91" s="32">
        <v>0</v>
      </c>
      <c r="Z91" s="32">
        <v>0</v>
      </c>
      <c r="AA91" s="32">
        <v>0</v>
      </c>
      <c r="AB91" s="32">
        <v>0</v>
      </c>
      <c r="AC91" s="32">
        <v>0</v>
      </c>
      <c r="AD91" s="32">
        <v>0</v>
      </c>
      <c r="AE91" s="32">
        <v>0</v>
      </c>
    </row>
    <row r="92" spans="2:31" x14ac:dyDescent="0.3">
      <c r="D92" t="s">
        <v>217</v>
      </c>
      <c r="F92">
        <v>0</v>
      </c>
      <c r="J92" s="32">
        <v>0</v>
      </c>
      <c r="K92" s="32">
        <v>0</v>
      </c>
      <c r="V92" s="32">
        <v>0</v>
      </c>
      <c r="W92" s="32">
        <v>0</v>
      </c>
      <c r="X92" s="32">
        <v>0</v>
      </c>
      <c r="Y92" s="32">
        <v>0</v>
      </c>
      <c r="Z92" s="32">
        <v>0</v>
      </c>
      <c r="AA92" s="32">
        <v>0</v>
      </c>
      <c r="AB92" s="32">
        <v>0</v>
      </c>
      <c r="AC92" s="32">
        <v>0</v>
      </c>
      <c r="AD92" s="32">
        <v>0</v>
      </c>
      <c r="AE92" s="32">
        <v>0</v>
      </c>
    </row>
    <row r="93" spans="2:31" x14ac:dyDescent="0.3">
      <c r="B93" t="s">
        <v>217</v>
      </c>
      <c r="C93" t="s">
        <v>391</v>
      </c>
      <c r="D93" t="s">
        <v>395</v>
      </c>
      <c r="E93" t="s">
        <v>700</v>
      </c>
      <c r="F93">
        <v>192</v>
      </c>
      <c r="G93" t="s">
        <v>87</v>
      </c>
      <c r="H93">
        <v>3</v>
      </c>
      <c r="I93" s="32">
        <v>160</v>
      </c>
      <c r="J93" s="32">
        <v>480</v>
      </c>
      <c r="K93" s="32">
        <v>30720</v>
      </c>
      <c r="P93">
        <v>1</v>
      </c>
      <c r="V93" s="32">
        <v>0</v>
      </c>
      <c r="W93" s="32">
        <v>0</v>
      </c>
      <c r="X93" s="32">
        <v>0</v>
      </c>
      <c r="Y93" s="32">
        <v>0</v>
      </c>
      <c r="Z93" s="32">
        <v>30720</v>
      </c>
      <c r="AA93" s="32">
        <v>0</v>
      </c>
      <c r="AB93" s="32">
        <v>0</v>
      </c>
      <c r="AC93" s="32">
        <v>0</v>
      </c>
      <c r="AD93" s="32">
        <v>0</v>
      </c>
      <c r="AE93" s="32">
        <v>0</v>
      </c>
    </row>
    <row r="94" spans="2:31" x14ac:dyDescent="0.3">
      <c r="B94" t="s">
        <v>217</v>
      </c>
      <c r="C94" t="s">
        <v>391</v>
      </c>
      <c r="D94" t="s">
        <v>392</v>
      </c>
      <c r="E94" t="s">
        <v>700</v>
      </c>
      <c r="F94">
        <v>64</v>
      </c>
      <c r="G94" t="s">
        <v>87</v>
      </c>
      <c r="H94">
        <v>1</v>
      </c>
      <c r="I94" s="32">
        <v>90</v>
      </c>
      <c r="J94" s="32">
        <v>90</v>
      </c>
      <c r="K94" s="32">
        <v>5760</v>
      </c>
      <c r="P94">
        <v>1</v>
      </c>
      <c r="V94" s="32">
        <v>0</v>
      </c>
      <c r="W94" s="32">
        <v>0</v>
      </c>
      <c r="X94" s="32">
        <v>0</v>
      </c>
      <c r="Y94" s="32">
        <v>0</v>
      </c>
      <c r="Z94" s="32">
        <v>5760</v>
      </c>
      <c r="AA94" s="32">
        <v>0</v>
      </c>
      <c r="AB94" s="32">
        <v>0</v>
      </c>
      <c r="AC94" s="32">
        <v>0</v>
      </c>
      <c r="AD94" s="32">
        <v>0</v>
      </c>
      <c r="AE94" s="32">
        <v>0</v>
      </c>
    </row>
    <row r="95" spans="2:31" x14ac:dyDescent="0.3">
      <c r="B95" t="s">
        <v>217</v>
      </c>
      <c r="C95" t="s">
        <v>178</v>
      </c>
      <c r="D95" t="s">
        <v>388</v>
      </c>
      <c r="E95" t="s">
        <v>700</v>
      </c>
      <c r="F95">
        <v>4.9279999999999999</v>
      </c>
      <c r="G95" t="s">
        <v>182</v>
      </c>
      <c r="H95">
        <v>7.6999999999999999E-2</v>
      </c>
      <c r="I95" s="32">
        <v>91</v>
      </c>
      <c r="J95" s="32">
        <v>7.0069999999999997</v>
      </c>
      <c r="K95" s="32">
        <v>448.44799999999998</v>
      </c>
      <c r="P95">
        <v>1</v>
      </c>
      <c r="V95" s="32">
        <v>0</v>
      </c>
      <c r="W95" s="32">
        <v>0</v>
      </c>
      <c r="X95" s="32">
        <v>0</v>
      </c>
      <c r="Y95" s="32">
        <v>0</v>
      </c>
      <c r="Z95" s="32">
        <v>448.44799999999998</v>
      </c>
      <c r="AA95" s="32">
        <v>0</v>
      </c>
      <c r="AB95" s="32">
        <v>0</v>
      </c>
      <c r="AC95" s="32">
        <v>0</v>
      </c>
      <c r="AD95" s="32">
        <v>0</v>
      </c>
      <c r="AE95" s="32">
        <v>0</v>
      </c>
    </row>
    <row r="96" spans="2:31" x14ac:dyDescent="0.3">
      <c r="B96" t="s">
        <v>217</v>
      </c>
      <c r="C96" t="s">
        <v>178</v>
      </c>
      <c r="D96" t="s">
        <v>701</v>
      </c>
      <c r="E96" t="s">
        <v>700</v>
      </c>
      <c r="F96">
        <v>192</v>
      </c>
      <c r="G96" t="s">
        <v>182</v>
      </c>
      <c r="H96">
        <v>3</v>
      </c>
      <c r="I96" s="32">
        <v>3.74</v>
      </c>
      <c r="J96" s="32">
        <v>11.22</v>
      </c>
      <c r="K96" s="32">
        <v>718.08</v>
      </c>
      <c r="P96">
        <v>1</v>
      </c>
      <c r="V96" s="32">
        <v>0</v>
      </c>
      <c r="W96" s="32">
        <v>0</v>
      </c>
      <c r="X96" s="32">
        <v>0</v>
      </c>
      <c r="Y96" s="32">
        <v>0</v>
      </c>
      <c r="Z96" s="32">
        <v>718.08</v>
      </c>
      <c r="AA96" s="32">
        <v>0</v>
      </c>
      <c r="AB96" s="32">
        <v>0</v>
      </c>
      <c r="AC96" s="32">
        <v>0</v>
      </c>
      <c r="AD96" s="32">
        <v>0</v>
      </c>
      <c r="AE96" s="32">
        <v>0</v>
      </c>
    </row>
    <row r="97" spans="2:31" x14ac:dyDescent="0.3">
      <c r="B97" t="s">
        <v>217</v>
      </c>
      <c r="C97" t="s">
        <v>132</v>
      </c>
      <c r="D97" t="s">
        <v>396</v>
      </c>
      <c r="E97" t="s">
        <v>700</v>
      </c>
      <c r="F97">
        <v>807.68</v>
      </c>
      <c r="G97" t="s">
        <v>155</v>
      </c>
      <c r="H97">
        <v>12.62</v>
      </c>
      <c r="I97" s="32">
        <v>16</v>
      </c>
      <c r="J97" s="32">
        <v>201.92</v>
      </c>
      <c r="K97" s="32">
        <v>12922.88</v>
      </c>
      <c r="P97">
        <v>0.34</v>
      </c>
      <c r="R97">
        <v>0.33</v>
      </c>
      <c r="T97">
        <v>0.33</v>
      </c>
      <c r="V97" s="32">
        <v>0</v>
      </c>
      <c r="W97" s="32">
        <v>0</v>
      </c>
      <c r="X97" s="32">
        <v>0</v>
      </c>
      <c r="Y97" s="32">
        <v>0</v>
      </c>
      <c r="Z97" s="32">
        <v>4393.7791999999999</v>
      </c>
      <c r="AA97" s="32">
        <v>0</v>
      </c>
      <c r="AB97" s="32">
        <v>4264.5504000000001</v>
      </c>
      <c r="AC97" s="32">
        <v>0</v>
      </c>
      <c r="AD97" s="32">
        <v>4264.5504000000001</v>
      </c>
      <c r="AE97" s="32">
        <v>0</v>
      </c>
    </row>
    <row r="98" spans="2:31" x14ac:dyDescent="0.3">
      <c r="B98" t="s">
        <v>217</v>
      </c>
      <c r="C98" t="s">
        <v>132</v>
      </c>
      <c r="D98" t="s">
        <v>400</v>
      </c>
      <c r="E98" t="s">
        <v>700</v>
      </c>
      <c r="F98">
        <v>115.2</v>
      </c>
      <c r="G98" t="s">
        <v>155</v>
      </c>
      <c r="H98">
        <v>1.8</v>
      </c>
      <c r="I98" s="32">
        <v>5.68</v>
      </c>
      <c r="J98" s="32">
        <v>10.224</v>
      </c>
      <c r="K98" s="32">
        <v>654.33600000000001</v>
      </c>
      <c r="P98">
        <v>0.34</v>
      </c>
      <c r="R98">
        <v>0.33</v>
      </c>
      <c r="T98">
        <v>0.33</v>
      </c>
      <c r="V98" s="32">
        <v>0</v>
      </c>
      <c r="W98" s="32">
        <v>0</v>
      </c>
      <c r="X98" s="32">
        <v>0</v>
      </c>
      <c r="Y98" s="32">
        <v>0</v>
      </c>
      <c r="Z98" s="32">
        <v>222.47424000000001</v>
      </c>
      <c r="AA98" s="32">
        <v>0</v>
      </c>
      <c r="AB98" s="32">
        <v>215.93088</v>
      </c>
      <c r="AC98" s="32">
        <v>0</v>
      </c>
      <c r="AD98" s="32">
        <v>215.93088</v>
      </c>
      <c r="AE98" s="32">
        <v>0</v>
      </c>
    </row>
    <row r="99" spans="2:31" x14ac:dyDescent="0.3">
      <c r="B99" t="s">
        <v>217</v>
      </c>
      <c r="C99" t="s">
        <v>132</v>
      </c>
      <c r="D99" t="s">
        <v>399</v>
      </c>
      <c r="E99" t="s">
        <v>700</v>
      </c>
      <c r="F99">
        <v>172.8</v>
      </c>
      <c r="G99" t="s">
        <v>155</v>
      </c>
      <c r="H99">
        <v>2.7</v>
      </c>
      <c r="I99" s="32">
        <v>3.59</v>
      </c>
      <c r="J99" s="32">
        <v>9.6929999999999996</v>
      </c>
      <c r="K99" s="32">
        <v>620.35199999999998</v>
      </c>
      <c r="P99">
        <v>0.34</v>
      </c>
      <c r="R99">
        <v>0.33</v>
      </c>
      <c r="T99">
        <v>0.33</v>
      </c>
      <c r="V99" s="32">
        <v>0</v>
      </c>
      <c r="W99" s="32">
        <v>0</v>
      </c>
      <c r="X99" s="32">
        <v>0</v>
      </c>
      <c r="Y99" s="32">
        <v>0</v>
      </c>
      <c r="Z99" s="32">
        <v>210.91968</v>
      </c>
      <c r="AA99" s="32">
        <v>0</v>
      </c>
      <c r="AB99" s="32">
        <v>204.71616</v>
      </c>
      <c r="AC99" s="32">
        <v>0</v>
      </c>
      <c r="AD99" s="32">
        <v>204.71616</v>
      </c>
      <c r="AE99" s="32">
        <v>0</v>
      </c>
    </row>
    <row r="100" spans="2:31" x14ac:dyDescent="0.3">
      <c r="B100" t="s">
        <v>217</v>
      </c>
      <c r="C100" t="s">
        <v>306</v>
      </c>
      <c r="D100" t="s">
        <v>307</v>
      </c>
      <c r="E100" t="s">
        <v>700</v>
      </c>
      <c r="F100">
        <v>70.400000000000006</v>
      </c>
      <c r="G100" t="s">
        <v>310</v>
      </c>
      <c r="H100">
        <v>1.1000000000000001</v>
      </c>
      <c r="I100" s="32">
        <v>220</v>
      </c>
      <c r="J100" s="32">
        <v>242</v>
      </c>
      <c r="K100" s="32">
        <v>15488</v>
      </c>
      <c r="O100">
        <v>0.5</v>
      </c>
      <c r="P100">
        <v>0.5</v>
      </c>
      <c r="V100" s="32">
        <v>0</v>
      </c>
      <c r="W100" s="32">
        <v>0</v>
      </c>
      <c r="X100" s="32">
        <v>0</v>
      </c>
      <c r="Y100" s="32">
        <v>7744.0000000000009</v>
      </c>
      <c r="Z100" s="32">
        <v>7744.0000000000009</v>
      </c>
      <c r="AA100" s="32">
        <v>0</v>
      </c>
      <c r="AB100" s="32">
        <v>0</v>
      </c>
      <c r="AC100" s="32">
        <v>0</v>
      </c>
      <c r="AD100" s="32">
        <v>0</v>
      </c>
      <c r="AE100" s="32">
        <v>0</v>
      </c>
    </row>
    <row r="101" spans="2:31" x14ac:dyDescent="0.3">
      <c r="B101" t="s">
        <v>217</v>
      </c>
      <c r="C101" t="s">
        <v>676</v>
      </c>
      <c r="D101" t="s">
        <v>218</v>
      </c>
      <c r="E101" t="s">
        <v>215</v>
      </c>
      <c r="F101">
        <v>64</v>
      </c>
      <c r="G101" t="s">
        <v>113</v>
      </c>
      <c r="H101">
        <v>1</v>
      </c>
      <c r="I101" s="32">
        <v>820</v>
      </c>
      <c r="J101" s="32">
        <v>820</v>
      </c>
      <c r="K101" s="32">
        <v>52480</v>
      </c>
      <c r="N101">
        <v>9.3700000000000006E-2</v>
      </c>
      <c r="O101">
        <v>9.3799999999999994E-2</v>
      </c>
      <c r="P101">
        <v>0.33695000000000003</v>
      </c>
      <c r="Q101">
        <v>0.2225</v>
      </c>
      <c r="R101">
        <v>0.25305</v>
      </c>
      <c r="V101" s="32">
        <v>0</v>
      </c>
      <c r="W101" s="32">
        <v>0</v>
      </c>
      <c r="X101" s="32">
        <v>4917.3760000000002</v>
      </c>
      <c r="Y101" s="32">
        <v>4922.6239999999998</v>
      </c>
      <c r="Z101" s="32">
        <v>17683.135999999999</v>
      </c>
      <c r="AA101" s="32">
        <v>11676.8</v>
      </c>
      <c r="AB101" s="32">
        <v>13280.064</v>
      </c>
      <c r="AC101" s="32">
        <v>0</v>
      </c>
      <c r="AD101" s="32">
        <v>0</v>
      </c>
      <c r="AE101" s="32">
        <v>0</v>
      </c>
    </row>
    <row r="102" spans="2:31" x14ac:dyDescent="0.3">
      <c r="D102" t="s">
        <v>230</v>
      </c>
      <c r="F102">
        <v>0</v>
      </c>
      <c r="J102" s="32">
        <v>0</v>
      </c>
      <c r="K102" s="32">
        <v>0</v>
      </c>
      <c r="V102" s="32">
        <v>0</v>
      </c>
      <c r="W102" s="32">
        <v>0</v>
      </c>
      <c r="X102" s="32">
        <v>0</v>
      </c>
      <c r="Y102" s="32">
        <v>0</v>
      </c>
      <c r="Z102" s="32">
        <v>0</v>
      </c>
      <c r="AA102" s="32">
        <v>0</v>
      </c>
      <c r="AB102" s="32">
        <v>0</v>
      </c>
      <c r="AC102" s="32">
        <v>0</v>
      </c>
      <c r="AD102" s="32">
        <v>0</v>
      </c>
      <c r="AE102" s="32">
        <v>0</v>
      </c>
    </row>
    <row r="103" spans="2:31" x14ac:dyDescent="0.3">
      <c r="B103" t="s">
        <v>230</v>
      </c>
      <c r="C103" t="s">
        <v>100</v>
      </c>
      <c r="D103" t="s">
        <v>316</v>
      </c>
      <c r="E103" t="s">
        <v>275</v>
      </c>
      <c r="F103">
        <v>64</v>
      </c>
      <c r="G103" t="s">
        <v>87</v>
      </c>
      <c r="H103">
        <v>1</v>
      </c>
      <c r="I103" s="32">
        <v>3100</v>
      </c>
      <c r="J103" s="32">
        <v>3100</v>
      </c>
      <c r="K103" s="32">
        <v>198400</v>
      </c>
      <c r="O103">
        <v>0.3</v>
      </c>
      <c r="P103">
        <v>0</v>
      </c>
      <c r="Q103">
        <v>0.6</v>
      </c>
      <c r="V103" s="32">
        <v>0</v>
      </c>
      <c r="W103" s="32">
        <v>0</v>
      </c>
      <c r="X103" s="32">
        <v>0</v>
      </c>
      <c r="Y103" s="32">
        <v>59520</v>
      </c>
      <c r="Z103" s="32">
        <v>0</v>
      </c>
      <c r="AA103" s="32">
        <v>119040</v>
      </c>
      <c r="AB103" s="32">
        <v>0</v>
      </c>
      <c r="AC103" s="32">
        <v>0</v>
      </c>
      <c r="AD103" s="32">
        <v>0</v>
      </c>
      <c r="AE103" s="32">
        <v>0</v>
      </c>
    </row>
    <row r="104" spans="2:31" x14ac:dyDescent="0.3">
      <c r="B104" t="s">
        <v>230</v>
      </c>
      <c r="C104" t="s">
        <v>312</v>
      </c>
      <c r="D104" t="s">
        <v>323</v>
      </c>
      <c r="E104" t="s">
        <v>275</v>
      </c>
      <c r="F104">
        <v>1536</v>
      </c>
      <c r="G104" t="s">
        <v>87</v>
      </c>
      <c r="H104">
        <v>24</v>
      </c>
      <c r="I104" s="32">
        <v>49.5</v>
      </c>
      <c r="J104" s="32">
        <v>1188</v>
      </c>
      <c r="K104" s="32">
        <v>76032</v>
      </c>
      <c r="O104">
        <v>0.5</v>
      </c>
      <c r="P104">
        <v>0</v>
      </c>
      <c r="Q104">
        <v>0.5</v>
      </c>
      <c r="V104" s="32">
        <v>0</v>
      </c>
      <c r="W104" s="32">
        <v>0</v>
      </c>
      <c r="X104" s="32">
        <v>0</v>
      </c>
      <c r="Y104" s="32">
        <v>38016</v>
      </c>
      <c r="Z104" s="32">
        <v>0</v>
      </c>
      <c r="AA104" s="32">
        <v>38016</v>
      </c>
      <c r="AB104" s="32">
        <v>0</v>
      </c>
      <c r="AC104" s="32">
        <v>0</v>
      </c>
      <c r="AD104" s="32">
        <v>0</v>
      </c>
      <c r="AE104" s="32">
        <v>0</v>
      </c>
    </row>
    <row r="105" spans="2:31" x14ac:dyDescent="0.3">
      <c r="B105" t="s">
        <v>230</v>
      </c>
      <c r="C105" t="s">
        <v>312</v>
      </c>
      <c r="D105" t="s">
        <v>313</v>
      </c>
      <c r="E105" t="s">
        <v>275</v>
      </c>
      <c r="F105">
        <v>384</v>
      </c>
      <c r="G105" t="s">
        <v>87</v>
      </c>
      <c r="H105">
        <v>6</v>
      </c>
      <c r="I105" s="32">
        <v>35.9</v>
      </c>
      <c r="J105" s="32">
        <v>215.4</v>
      </c>
      <c r="K105" s="32">
        <v>13785.6</v>
      </c>
      <c r="O105">
        <v>0.5</v>
      </c>
      <c r="P105">
        <v>0</v>
      </c>
      <c r="Q105">
        <v>0.5</v>
      </c>
      <c r="V105" s="32">
        <v>0</v>
      </c>
      <c r="W105" s="32">
        <v>0</v>
      </c>
      <c r="X105" s="32">
        <v>0</v>
      </c>
      <c r="Y105" s="32">
        <v>6892.7999999999993</v>
      </c>
      <c r="Z105" s="32">
        <v>0</v>
      </c>
      <c r="AA105" s="32">
        <v>6892.7999999999993</v>
      </c>
      <c r="AB105" s="32">
        <v>0</v>
      </c>
      <c r="AC105" s="32">
        <v>0</v>
      </c>
      <c r="AD105" s="32">
        <v>0</v>
      </c>
      <c r="AE105" s="32">
        <v>0</v>
      </c>
    </row>
    <row r="106" spans="2:31" x14ac:dyDescent="0.3">
      <c r="B106" t="s">
        <v>230</v>
      </c>
      <c r="C106" t="s">
        <v>167</v>
      </c>
      <c r="D106" t="s">
        <v>319</v>
      </c>
      <c r="E106" t="s">
        <v>275</v>
      </c>
      <c r="F106">
        <v>7040</v>
      </c>
      <c r="G106" t="s">
        <v>321</v>
      </c>
      <c r="H106">
        <v>110</v>
      </c>
      <c r="I106" s="32">
        <v>1.19</v>
      </c>
      <c r="J106" s="32">
        <v>130.9</v>
      </c>
      <c r="K106" s="32">
        <v>8377.6</v>
      </c>
      <c r="O106">
        <v>0.5</v>
      </c>
      <c r="P106">
        <v>0</v>
      </c>
      <c r="Q106">
        <v>0.5</v>
      </c>
      <c r="R106">
        <v>0.35</v>
      </c>
      <c r="V106" s="32">
        <v>0</v>
      </c>
      <c r="W106" s="32">
        <v>0</v>
      </c>
      <c r="X106" s="32">
        <v>0</v>
      </c>
      <c r="Y106" s="32">
        <v>4188.8</v>
      </c>
      <c r="Z106" s="32">
        <v>0</v>
      </c>
      <c r="AA106" s="32">
        <v>4188.8</v>
      </c>
      <c r="AB106" s="32">
        <v>2932.16</v>
      </c>
      <c r="AC106" s="32">
        <v>0</v>
      </c>
      <c r="AD106" s="32">
        <v>0</v>
      </c>
      <c r="AE106" s="32">
        <v>0</v>
      </c>
    </row>
    <row r="107" spans="2:31" x14ac:dyDescent="0.3">
      <c r="B107" t="s">
        <v>230</v>
      </c>
      <c r="C107" t="s">
        <v>676</v>
      </c>
      <c r="D107" t="s">
        <v>231</v>
      </c>
      <c r="E107" t="s">
        <v>688</v>
      </c>
      <c r="F107">
        <v>64</v>
      </c>
      <c r="G107" t="s">
        <v>113</v>
      </c>
      <c r="H107">
        <v>1</v>
      </c>
      <c r="I107" s="32">
        <v>1550</v>
      </c>
      <c r="J107" s="32">
        <v>1550</v>
      </c>
      <c r="K107" s="32">
        <v>99200</v>
      </c>
      <c r="N107">
        <v>9.3700000000000006E-2</v>
      </c>
      <c r="O107">
        <v>9.3799999999999994E-2</v>
      </c>
      <c r="P107">
        <v>0.33695000000000003</v>
      </c>
      <c r="Q107">
        <v>0.2225</v>
      </c>
      <c r="R107">
        <v>0.25305</v>
      </c>
      <c r="V107" s="32">
        <v>0</v>
      </c>
      <c r="W107" s="32">
        <v>0</v>
      </c>
      <c r="X107" s="32">
        <v>9295.0400000000009</v>
      </c>
      <c r="Y107" s="32">
        <v>9304.9599999999991</v>
      </c>
      <c r="Z107" s="32">
        <v>33425.440000000002</v>
      </c>
      <c r="AA107" s="32">
        <v>22072</v>
      </c>
      <c r="AB107" s="32">
        <v>25102.560000000001</v>
      </c>
      <c r="AC107" s="32">
        <v>0</v>
      </c>
      <c r="AD107" s="32">
        <v>0</v>
      </c>
      <c r="AE107" s="32">
        <v>0</v>
      </c>
    </row>
    <row r="108" spans="2:31" x14ac:dyDescent="0.3">
      <c r="D108" t="s">
        <v>373</v>
      </c>
      <c r="F108">
        <v>0</v>
      </c>
      <c r="J108" s="32">
        <v>0</v>
      </c>
      <c r="K108" s="32">
        <v>0</v>
      </c>
      <c r="V108" s="32">
        <v>0</v>
      </c>
      <c r="W108" s="32">
        <v>0</v>
      </c>
      <c r="X108" s="32">
        <v>0</v>
      </c>
      <c r="Y108" s="32">
        <v>0</v>
      </c>
      <c r="Z108" s="32">
        <v>0</v>
      </c>
      <c r="AA108" s="32">
        <v>0</v>
      </c>
      <c r="AB108" s="32">
        <v>0</v>
      </c>
      <c r="AC108" s="32">
        <v>0</v>
      </c>
      <c r="AD108" s="32">
        <v>0</v>
      </c>
      <c r="AE108" s="32">
        <v>0</v>
      </c>
    </row>
    <row r="109" spans="2:31" x14ac:dyDescent="0.3">
      <c r="B109" t="s">
        <v>230</v>
      </c>
      <c r="C109" t="s">
        <v>100</v>
      </c>
      <c r="D109" t="s">
        <v>374</v>
      </c>
      <c r="E109" t="s">
        <v>275</v>
      </c>
      <c r="F109">
        <v>2304</v>
      </c>
      <c r="G109" t="s">
        <v>376</v>
      </c>
      <c r="H109">
        <v>36</v>
      </c>
      <c r="I109" s="32">
        <v>50</v>
      </c>
      <c r="J109" s="32">
        <v>1800</v>
      </c>
      <c r="K109" s="32">
        <v>115200</v>
      </c>
      <c r="O109">
        <v>0.5</v>
      </c>
      <c r="Q109">
        <v>0.5</v>
      </c>
      <c r="V109" s="32">
        <v>0</v>
      </c>
      <c r="W109" s="32">
        <v>0</v>
      </c>
      <c r="X109" s="32">
        <v>0</v>
      </c>
      <c r="Y109" s="32">
        <v>57600</v>
      </c>
      <c r="Z109" s="32">
        <v>0</v>
      </c>
      <c r="AA109" s="32">
        <v>57600</v>
      </c>
      <c r="AB109" s="32">
        <v>0</v>
      </c>
      <c r="AC109" s="32">
        <v>0</v>
      </c>
      <c r="AD109" s="32">
        <v>0</v>
      </c>
      <c r="AE109" s="32">
        <v>0</v>
      </c>
    </row>
    <row r="110" spans="2:31" x14ac:dyDescent="0.3">
      <c r="D110" t="s">
        <v>702</v>
      </c>
      <c r="F110">
        <v>0</v>
      </c>
      <c r="J110" s="32">
        <v>0</v>
      </c>
      <c r="K110" s="32">
        <v>0</v>
      </c>
      <c r="V110" s="32">
        <v>0</v>
      </c>
      <c r="W110" s="32">
        <v>0</v>
      </c>
      <c r="X110" s="32">
        <v>0</v>
      </c>
      <c r="Y110" s="32">
        <v>0</v>
      </c>
      <c r="Z110" s="32">
        <v>0</v>
      </c>
      <c r="AA110" s="32">
        <v>0</v>
      </c>
      <c r="AB110" s="32">
        <v>0</v>
      </c>
      <c r="AC110" s="32">
        <v>0</v>
      </c>
      <c r="AD110" s="32">
        <v>0</v>
      </c>
      <c r="AE110" s="32">
        <v>0</v>
      </c>
    </row>
    <row r="111" spans="2:31" x14ac:dyDescent="0.3">
      <c r="B111" t="s">
        <v>211</v>
      </c>
      <c r="C111" t="s">
        <v>281</v>
      </c>
      <c r="D111" t="s">
        <v>282</v>
      </c>
      <c r="E111" t="s">
        <v>275</v>
      </c>
      <c r="F111">
        <v>1249.5999999999999</v>
      </c>
      <c r="G111" t="s">
        <v>203</v>
      </c>
      <c r="H111">
        <v>19.524999999999999</v>
      </c>
      <c r="I111" s="32">
        <v>19</v>
      </c>
      <c r="J111" s="32">
        <v>370.97500000000002</v>
      </c>
      <c r="K111" s="32">
        <v>23742.400000000001</v>
      </c>
      <c r="O111">
        <v>0.34</v>
      </c>
      <c r="Q111">
        <v>0.33</v>
      </c>
      <c r="S111">
        <v>0.33</v>
      </c>
      <c r="V111" s="32">
        <v>0</v>
      </c>
      <c r="W111" s="32">
        <v>0</v>
      </c>
      <c r="X111" s="32">
        <v>0</v>
      </c>
      <c r="Y111" s="32">
        <v>8072.4160000000011</v>
      </c>
      <c r="Z111" s="32">
        <v>0</v>
      </c>
      <c r="AA111" s="32">
        <v>7834.9920000000011</v>
      </c>
      <c r="AB111" s="32">
        <v>0</v>
      </c>
      <c r="AC111" s="32">
        <v>7834.9920000000011</v>
      </c>
      <c r="AD111" s="32">
        <v>0</v>
      </c>
      <c r="AE111" s="32">
        <v>0</v>
      </c>
    </row>
    <row r="112" spans="2:31" x14ac:dyDescent="0.3">
      <c r="B112" t="s">
        <v>211</v>
      </c>
      <c r="C112" t="s">
        <v>184</v>
      </c>
      <c r="D112" t="s">
        <v>278</v>
      </c>
      <c r="E112" t="s">
        <v>275</v>
      </c>
      <c r="F112">
        <v>64</v>
      </c>
      <c r="G112" t="s">
        <v>279</v>
      </c>
      <c r="H112">
        <v>1</v>
      </c>
      <c r="I112" s="32">
        <v>4.2</v>
      </c>
      <c r="J112" s="32">
        <v>4.2</v>
      </c>
      <c r="K112" s="32">
        <v>268.8</v>
      </c>
      <c r="O112">
        <v>0.5</v>
      </c>
      <c r="Q112">
        <v>0.5</v>
      </c>
      <c r="V112" s="32">
        <v>0</v>
      </c>
      <c r="W112" s="32">
        <v>0</v>
      </c>
      <c r="X112" s="32">
        <v>0</v>
      </c>
      <c r="Y112" s="32">
        <v>134.4</v>
      </c>
      <c r="Z112" s="32">
        <v>0</v>
      </c>
      <c r="AA112" s="32">
        <v>134.4</v>
      </c>
      <c r="AB112" s="32">
        <v>0</v>
      </c>
      <c r="AC112" s="32">
        <v>0</v>
      </c>
      <c r="AD112" s="32">
        <v>0</v>
      </c>
      <c r="AE112" s="32">
        <v>0</v>
      </c>
    </row>
    <row r="113" spans="2:31" x14ac:dyDescent="0.3">
      <c r="B113" t="s">
        <v>211</v>
      </c>
      <c r="C113" t="s">
        <v>184</v>
      </c>
      <c r="D113" t="s">
        <v>280</v>
      </c>
      <c r="E113" t="s">
        <v>275</v>
      </c>
      <c r="F113">
        <v>320</v>
      </c>
      <c r="G113" t="s">
        <v>149</v>
      </c>
      <c r="H113">
        <v>5</v>
      </c>
      <c r="I113" s="32">
        <v>6.9</v>
      </c>
      <c r="J113" s="32">
        <v>34.5</v>
      </c>
      <c r="K113" s="32">
        <v>2208</v>
      </c>
      <c r="O113">
        <v>0.5</v>
      </c>
      <c r="Q113">
        <v>0.5</v>
      </c>
      <c r="V113" s="32">
        <v>0</v>
      </c>
      <c r="W113" s="32">
        <v>0</v>
      </c>
      <c r="X113" s="32">
        <v>0</v>
      </c>
      <c r="Y113" s="32">
        <v>1104</v>
      </c>
      <c r="Z113" s="32">
        <v>0</v>
      </c>
      <c r="AA113" s="32">
        <v>1104</v>
      </c>
      <c r="AB113" s="32">
        <v>0</v>
      </c>
      <c r="AC113" s="32">
        <v>0</v>
      </c>
      <c r="AD113" s="32">
        <v>0</v>
      </c>
      <c r="AE113" s="32">
        <v>0</v>
      </c>
    </row>
    <row r="114" spans="2:31" x14ac:dyDescent="0.3">
      <c r="B114" t="s">
        <v>211</v>
      </c>
      <c r="C114" t="s">
        <v>184</v>
      </c>
      <c r="D114" t="s">
        <v>273</v>
      </c>
      <c r="E114" t="s">
        <v>275</v>
      </c>
      <c r="F114">
        <v>640</v>
      </c>
      <c r="G114" t="s">
        <v>276</v>
      </c>
      <c r="H114">
        <v>10</v>
      </c>
      <c r="I114" s="32">
        <v>13.58</v>
      </c>
      <c r="J114" s="32">
        <v>135.80000000000001</v>
      </c>
      <c r="K114" s="32">
        <v>8691.2000000000007</v>
      </c>
      <c r="O114">
        <v>0.5</v>
      </c>
      <c r="Q114">
        <v>0.5</v>
      </c>
      <c r="V114" s="32">
        <v>0</v>
      </c>
      <c r="W114" s="32">
        <v>0</v>
      </c>
      <c r="X114" s="32">
        <v>0</v>
      </c>
      <c r="Y114" s="32">
        <v>4345.6000000000004</v>
      </c>
      <c r="Z114" s="32">
        <v>0</v>
      </c>
      <c r="AA114" s="32">
        <v>4345.6000000000004</v>
      </c>
      <c r="AB114" s="32">
        <v>0</v>
      </c>
      <c r="AC114" s="32">
        <v>0</v>
      </c>
      <c r="AD114" s="32">
        <v>0</v>
      </c>
      <c r="AE114" s="32">
        <v>0</v>
      </c>
    </row>
    <row r="115" spans="2:31" x14ac:dyDescent="0.3">
      <c r="B115" t="s">
        <v>211</v>
      </c>
      <c r="C115" t="s">
        <v>676</v>
      </c>
      <c r="D115" t="s">
        <v>212</v>
      </c>
      <c r="E115" t="s">
        <v>215</v>
      </c>
      <c r="F115">
        <v>1603.2</v>
      </c>
      <c r="G115" t="s">
        <v>203</v>
      </c>
      <c r="H115">
        <v>25.05</v>
      </c>
      <c r="I115" s="32">
        <v>50</v>
      </c>
      <c r="J115" s="32">
        <v>1252.5</v>
      </c>
      <c r="K115" s="32">
        <v>80160</v>
      </c>
      <c r="N115">
        <v>9.3700000000000006E-2</v>
      </c>
      <c r="O115">
        <v>9.3799999999999994E-2</v>
      </c>
      <c r="P115">
        <v>0.33695000000000003</v>
      </c>
      <c r="Q115">
        <v>0.2225</v>
      </c>
      <c r="R115">
        <v>0.25305</v>
      </c>
      <c r="V115" s="32">
        <v>0</v>
      </c>
      <c r="W115" s="32">
        <v>0</v>
      </c>
      <c r="X115" s="32">
        <v>7510.9920000000002</v>
      </c>
      <c r="Y115" s="32">
        <v>7519.0079999999998</v>
      </c>
      <c r="Z115" s="32">
        <v>27009.912</v>
      </c>
      <c r="AA115" s="32">
        <v>17835.599999999999</v>
      </c>
      <c r="AB115" s="32">
        <v>20284.488000000001</v>
      </c>
      <c r="AC115" s="32">
        <v>0</v>
      </c>
      <c r="AD115" s="32">
        <v>0</v>
      </c>
      <c r="AE115" s="32">
        <v>0</v>
      </c>
    </row>
    <row r="116" spans="2:31" x14ac:dyDescent="0.3">
      <c r="D116" t="s">
        <v>703</v>
      </c>
      <c r="F116">
        <v>0</v>
      </c>
      <c r="J116" s="32">
        <v>0</v>
      </c>
      <c r="K116" s="32">
        <v>0</v>
      </c>
      <c r="V116" s="32">
        <v>0</v>
      </c>
      <c r="W116" s="32">
        <v>0</v>
      </c>
      <c r="X116" s="32">
        <v>0</v>
      </c>
      <c r="Y116" s="32">
        <v>0</v>
      </c>
      <c r="Z116" s="32">
        <v>0</v>
      </c>
      <c r="AA116" s="32">
        <v>0</v>
      </c>
      <c r="AB116" s="32">
        <v>0</v>
      </c>
      <c r="AC116" s="32">
        <v>0</v>
      </c>
      <c r="AD116" s="32">
        <v>0</v>
      </c>
      <c r="AE116" s="32">
        <v>0</v>
      </c>
    </row>
    <row r="117" spans="2:31" x14ac:dyDescent="0.3">
      <c r="B117" t="s">
        <v>704</v>
      </c>
      <c r="C117" t="s">
        <v>281</v>
      </c>
      <c r="D117" t="s">
        <v>705</v>
      </c>
      <c r="E117" t="s">
        <v>275</v>
      </c>
      <c r="F117">
        <v>2580.48</v>
      </c>
      <c r="G117" t="s">
        <v>203</v>
      </c>
      <c r="H117">
        <v>40.32</v>
      </c>
      <c r="I117" s="32">
        <v>15.6</v>
      </c>
      <c r="J117" s="32">
        <v>628.99199999999996</v>
      </c>
      <c r="K117" s="32">
        <v>40255.487999999998</v>
      </c>
      <c r="O117">
        <v>0.34</v>
      </c>
      <c r="Q117">
        <v>0.33</v>
      </c>
      <c r="S117">
        <v>0.33</v>
      </c>
      <c r="V117" s="32">
        <v>0</v>
      </c>
      <c r="W117" s="32">
        <v>0</v>
      </c>
      <c r="X117" s="32">
        <v>0</v>
      </c>
      <c r="Y117" s="32">
        <v>13686.86592</v>
      </c>
      <c r="Z117" s="32">
        <v>0</v>
      </c>
      <c r="AA117" s="32">
        <v>13284.311040000001</v>
      </c>
      <c r="AB117" s="32">
        <v>0</v>
      </c>
      <c r="AC117" s="32">
        <v>13284.311040000001</v>
      </c>
      <c r="AD117" s="32">
        <v>0</v>
      </c>
      <c r="AE117" s="32">
        <v>0</v>
      </c>
    </row>
    <row r="118" spans="2:31" x14ac:dyDescent="0.3">
      <c r="B118" t="s">
        <v>704</v>
      </c>
      <c r="C118" t="s">
        <v>184</v>
      </c>
      <c r="D118" t="s">
        <v>278</v>
      </c>
      <c r="E118" t="s">
        <v>275</v>
      </c>
      <c r="F118">
        <v>192</v>
      </c>
      <c r="G118" t="s">
        <v>279</v>
      </c>
      <c r="H118">
        <v>3</v>
      </c>
      <c r="I118" s="32">
        <v>4.2</v>
      </c>
      <c r="J118" s="32">
        <v>12.6</v>
      </c>
      <c r="K118" s="32">
        <v>806.40000000000009</v>
      </c>
      <c r="O118">
        <v>0.5</v>
      </c>
      <c r="Q118">
        <v>0.5</v>
      </c>
      <c r="V118" s="32">
        <v>0</v>
      </c>
      <c r="W118" s="32">
        <v>0</v>
      </c>
      <c r="X118" s="32">
        <v>0</v>
      </c>
      <c r="Y118" s="32">
        <v>403.2</v>
      </c>
      <c r="Z118" s="32">
        <v>0</v>
      </c>
      <c r="AA118" s="32">
        <v>403.2</v>
      </c>
      <c r="AB118" s="32">
        <v>0</v>
      </c>
      <c r="AC118" s="32">
        <v>0</v>
      </c>
      <c r="AD118" s="32">
        <v>0</v>
      </c>
      <c r="AE118" s="32">
        <v>0</v>
      </c>
    </row>
    <row r="119" spans="2:31" x14ac:dyDescent="0.3">
      <c r="B119" t="s">
        <v>704</v>
      </c>
      <c r="C119" t="s">
        <v>184</v>
      </c>
      <c r="D119" t="s">
        <v>367</v>
      </c>
      <c r="E119" t="s">
        <v>275</v>
      </c>
      <c r="F119">
        <v>1088</v>
      </c>
      <c r="G119" t="s">
        <v>330</v>
      </c>
      <c r="H119">
        <v>17</v>
      </c>
      <c r="I119" s="32">
        <v>13.58</v>
      </c>
      <c r="J119" s="32">
        <v>230.86</v>
      </c>
      <c r="K119" s="32">
        <v>14775.04</v>
      </c>
      <c r="O119">
        <v>0.5</v>
      </c>
      <c r="Q119">
        <v>0.5</v>
      </c>
      <c r="V119" s="32">
        <v>0</v>
      </c>
      <c r="W119" s="32">
        <v>0</v>
      </c>
      <c r="X119" s="32">
        <v>0</v>
      </c>
      <c r="Y119" s="32">
        <v>7387.52</v>
      </c>
      <c r="Z119" s="32">
        <v>0</v>
      </c>
      <c r="AA119" s="32">
        <v>7387.52</v>
      </c>
      <c r="AB119" s="32">
        <v>0</v>
      </c>
      <c r="AC119" s="32">
        <v>0</v>
      </c>
      <c r="AD119" s="32">
        <v>0</v>
      </c>
      <c r="AE119" s="32">
        <v>0</v>
      </c>
    </row>
    <row r="120" spans="2:31" x14ac:dyDescent="0.3">
      <c r="B120" t="s">
        <v>704</v>
      </c>
      <c r="C120" t="s">
        <v>184</v>
      </c>
      <c r="D120" t="s">
        <v>280</v>
      </c>
      <c r="E120" t="s">
        <v>275</v>
      </c>
      <c r="F120">
        <v>960</v>
      </c>
      <c r="G120" t="s">
        <v>149</v>
      </c>
      <c r="H120">
        <v>15</v>
      </c>
      <c r="I120" s="32">
        <v>5.2</v>
      </c>
      <c r="J120" s="32">
        <v>78</v>
      </c>
      <c r="K120" s="32">
        <v>4992</v>
      </c>
      <c r="O120">
        <v>0.5</v>
      </c>
      <c r="Q120">
        <v>0.5</v>
      </c>
      <c r="V120" s="32">
        <v>0</v>
      </c>
      <c r="W120" s="32">
        <v>0</v>
      </c>
      <c r="X120" s="32">
        <v>0</v>
      </c>
      <c r="Y120" s="32">
        <v>2496</v>
      </c>
      <c r="Z120" s="32">
        <v>0</v>
      </c>
      <c r="AA120" s="32">
        <v>2496</v>
      </c>
      <c r="AB120" s="32">
        <v>0</v>
      </c>
      <c r="AC120" s="32">
        <v>0</v>
      </c>
      <c r="AD120" s="32">
        <v>0</v>
      </c>
      <c r="AE120" s="32">
        <v>0</v>
      </c>
    </row>
    <row r="121" spans="2:31" x14ac:dyDescent="0.3">
      <c r="B121" t="s">
        <v>704</v>
      </c>
      <c r="C121" t="s">
        <v>676</v>
      </c>
      <c r="D121" t="s">
        <v>255</v>
      </c>
      <c r="E121" t="s">
        <v>215</v>
      </c>
      <c r="F121">
        <v>2580.48</v>
      </c>
      <c r="G121" t="s">
        <v>203</v>
      </c>
      <c r="H121">
        <v>40.32</v>
      </c>
      <c r="I121" s="32">
        <v>35</v>
      </c>
      <c r="J121" s="32">
        <v>1411.2</v>
      </c>
      <c r="K121" s="32">
        <v>90316.800000000003</v>
      </c>
      <c r="N121">
        <v>9.3700000000000006E-2</v>
      </c>
      <c r="O121">
        <v>9.3799999999999994E-2</v>
      </c>
      <c r="P121">
        <v>0.33695000000000003</v>
      </c>
      <c r="Q121">
        <v>0.2225</v>
      </c>
      <c r="R121">
        <v>0.25305</v>
      </c>
      <c r="V121" s="32">
        <v>0</v>
      </c>
      <c r="W121" s="32">
        <v>0</v>
      </c>
      <c r="X121" s="32">
        <v>8462.6841600000007</v>
      </c>
      <c r="Y121" s="32">
        <v>8471.7158399999989</v>
      </c>
      <c r="Z121" s="32">
        <v>30432.245760000002</v>
      </c>
      <c r="AA121" s="32">
        <v>20095.488000000001</v>
      </c>
      <c r="AB121" s="32">
        <v>22854.666239999999</v>
      </c>
      <c r="AC121" s="32">
        <v>0</v>
      </c>
      <c r="AD121" s="32">
        <v>0</v>
      </c>
      <c r="AE121" s="32">
        <v>0</v>
      </c>
    </row>
    <row r="122" spans="2:31" x14ac:dyDescent="0.3">
      <c r="B122" t="s">
        <v>704</v>
      </c>
      <c r="C122" t="s">
        <v>676</v>
      </c>
      <c r="D122" t="s">
        <v>706</v>
      </c>
      <c r="E122" t="s">
        <v>215</v>
      </c>
      <c r="F122">
        <v>3036.8</v>
      </c>
      <c r="G122" t="s">
        <v>707</v>
      </c>
      <c r="H122">
        <v>47.45</v>
      </c>
      <c r="I122" s="32">
        <v>0</v>
      </c>
      <c r="J122" s="32">
        <v>0</v>
      </c>
      <c r="K122" s="32">
        <v>0</v>
      </c>
      <c r="N122">
        <v>9.3700000000000006E-2</v>
      </c>
      <c r="O122">
        <v>9.3799999999999994E-2</v>
      </c>
      <c r="P122">
        <v>0.33695000000000003</v>
      </c>
      <c r="Q122">
        <v>0.2225</v>
      </c>
      <c r="R122">
        <v>0.25305</v>
      </c>
      <c r="V122" s="32">
        <v>0</v>
      </c>
      <c r="W122" s="32">
        <v>0</v>
      </c>
      <c r="X122" s="32">
        <v>0</v>
      </c>
      <c r="Y122" s="32">
        <v>0</v>
      </c>
      <c r="Z122" s="32">
        <v>0</v>
      </c>
      <c r="AA122" s="32">
        <v>0</v>
      </c>
      <c r="AB122" s="32">
        <v>0</v>
      </c>
      <c r="AC122" s="32">
        <v>0</v>
      </c>
      <c r="AD122" s="32">
        <v>0</v>
      </c>
      <c r="AE122" s="32">
        <v>0</v>
      </c>
    </row>
    <row r="123" spans="2:31" x14ac:dyDescent="0.3">
      <c r="D123" t="s">
        <v>259</v>
      </c>
      <c r="F123">
        <v>0</v>
      </c>
      <c r="J123" s="32">
        <v>0</v>
      </c>
      <c r="K123" s="32">
        <v>0</v>
      </c>
      <c r="V123" s="32">
        <v>0</v>
      </c>
      <c r="W123" s="32">
        <v>0</v>
      </c>
      <c r="X123" s="32">
        <v>0</v>
      </c>
      <c r="Y123" s="32">
        <v>0</v>
      </c>
      <c r="Z123" s="32">
        <v>0</v>
      </c>
      <c r="AA123" s="32">
        <v>0</v>
      </c>
      <c r="AB123" s="32">
        <v>0</v>
      </c>
      <c r="AC123" s="32">
        <v>0</v>
      </c>
      <c r="AD123" s="32">
        <v>0</v>
      </c>
      <c r="AE123" s="32">
        <v>0</v>
      </c>
    </row>
    <row r="124" spans="2:31" x14ac:dyDescent="0.3">
      <c r="B124" t="s">
        <v>260</v>
      </c>
      <c r="C124" t="s">
        <v>281</v>
      </c>
      <c r="D124" t="s">
        <v>383</v>
      </c>
      <c r="E124" t="s">
        <v>275</v>
      </c>
      <c r="F124">
        <v>64</v>
      </c>
      <c r="G124" t="s">
        <v>87</v>
      </c>
      <c r="H124">
        <v>1</v>
      </c>
      <c r="I124" s="32">
        <v>70</v>
      </c>
      <c r="J124" s="32">
        <v>70</v>
      </c>
      <c r="K124" s="32">
        <v>4480</v>
      </c>
      <c r="O124">
        <v>0.5</v>
      </c>
      <c r="Q124">
        <v>0.5</v>
      </c>
      <c r="V124" s="32">
        <v>0</v>
      </c>
      <c r="W124" s="32">
        <v>0</v>
      </c>
      <c r="X124" s="32">
        <v>0</v>
      </c>
      <c r="Y124" s="32">
        <v>2240</v>
      </c>
      <c r="Z124" s="32">
        <v>0</v>
      </c>
      <c r="AA124" s="32">
        <v>2240</v>
      </c>
      <c r="AB124" s="32">
        <v>0</v>
      </c>
      <c r="AC124" s="32">
        <v>0</v>
      </c>
      <c r="AD124" s="32">
        <v>0</v>
      </c>
      <c r="AE124" s="32">
        <v>0</v>
      </c>
    </row>
    <row r="125" spans="2:31" x14ac:dyDescent="0.3">
      <c r="B125" t="s">
        <v>260</v>
      </c>
      <c r="C125" t="s">
        <v>281</v>
      </c>
      <c r="D125" t="s">
        <v>380</v>
      </c>
      <c r="E125" t="s">
        <v>275</v>
      </c>
      <c r="F125">
        <v>64</v>
      </c>
      <c r="G125" t="s">
        <v>87</v>
      </c>
      <c r="H125">
        <v>1</v>
      </c>
      <c r="I125" s="32">
        <v>70</v>
      </c>
      <c r="J125" s="32">
        <v>70</v>
      </c>
      <c r="K125" s="32">
        <v>4480</v>
      </c>
      <c r="O125">
        <v>0.5</v>
      </c>
      <c r="Q125">
        <v>0.5</v>
      </c>
      <c r="V125" s="32">
        <v>0</v>
      </c>
      <c r="W125" s="32">
        <v>0</v>
      </c>
      <c r="X125" s="32">
        <v>0</v>
      </c>
      <c r="Y125" s="32">
        <v>2240</v>
      </c>
      <c r="Z125" s="32">
        <v>0</v>
      </c>
      <c r="AA125" s="32">
        <v>2240</v>
      </c>
      <c r="AB125" s="32">
        <v>0</v>
      </c>
      <c r="AC125" s="32">
        <v>0</v>
      </c>
      <c r="AD125" s="32">
        <v>0</v>
      </c>
      <c r="AE125" s="32">
        <v>0</v>
      </c>
    </row>
    <row r="126" spans="2:31" x14ac:dyDescent="0.3">
      <c r="B126" t="s">
        <v>260</v>
      </c>
      <c r="C126" t="s">
        <v>184</v>
      </c>
      <c r="D126" t="s">
        <v>367</v>
      </c>
      <c r="E126" t="s">
        <v>275</v>
      </c>
      <c r="F126">
        <v>32</v>
      </c>
      <c r="G126" t="s">
        <v>378</v>
      </c>
      <c r="H126">
        <v>0.5</v>
      </c>
      <c r="I126" s="32">
        <v>13.58</v>
      </c>
      <c r="J126" s="32">
        <v>6.79</v>
      </c>
      <c r="K126" s="32">
        <v>434.56</v>
      </c>
      <c r="O126">
        <v>0.5</v>
      </c>
      <c r="Q126">
        <v>0.5</v>
      </c>
      <c r="V126" s="32">
        <v>0</v>
      </c>
      <c r="W126" s="32">
        <v>0</v>
      </c>
      <c r="X126" s="32">
        <v>0</v>
      </c>
      <c r="Y126" s="32">
        <v>217.28</v>
      </c>
      <c r="Z126" s="32">
        <v>0</v>
      </c>
      <c r="AA126" s="32">
        <v>217.28</v>
      </c>
      <c r="AB126" s="32">
        <v>0</v>
      </c>
      <c r="AC126" s="32">
        <v>0</v>
      </c>
      <c r="AD126" s="32">
        <v>0</v>
      </c>
      <c r="AE126" s="32">
        <v>0</v>
      </c>
    </row>
    <row r="127" spans="2:31" x14ac:dyDescent="0.3">
      <c r="B127" t="s">
        <v>260</v>
      </c>
      <c r="C127" t="s">
        <v>676</v>
      </c>
      <c r="D127" t="s">
        <v>265</v>
      </c>
      <c r="E127" t="s">
        <v>215</v>
      </c>
      <c r="F127">
        <v>64</v>
      </c>
      <c r="G127" t="s">
        <v>87</v>
      </c>
      <c r="H127">
        <v>1</v>
      </c>
      <c r="I127" s="32">
        <v>50</v>
      </c>
      <c r="J127" s="32">
        <v>50</v>
      </c>
      <c r="K127" s="32">
        <v>3200</v>
      </c>
      <c r="N127">
        <v>9.3700000000000006E-2</v>
      </c>
      <c r="O127">
        <v>9.3799999999999994E-2</v>
      </c>
      <c r="P127">
        <v>0.33695000000000003</v>
      </c>
      <c r="Q127">
        <v>0.2225</v>
      </c>
      <c r="R127">
        <v>0.25305</v>
      </c>
      <c r="V127" s="32">
        <v>0</v>
      </c>
      <c r="W127" s="32">
        <v>0</v>
      </c>
      <c r="X127" s="32">
        <v>299.83999999999997</v>
      </c>
      <c r="Y127" s="32">
        <v>300.16000000000003</v>
      </c>
      <c r="Z127" s="32">
        <v>1078.24</v>
      </c>
      <c r="AA127" s="32">
        <v>712</v>
      </c>
      <c r="AB127" s="32">
        <v>809.76</v>
      </c>
      <c r="AC127" s="32">
        <v>0</v>
      </c>
      <c r="AD127" s="32">
        <v>0</v>
      </c>
      <c r="AE127" s="32">
        <v>0</v>
      </c>
    </row>
    <row r="128" spans="2:31" x14ac:dyDescent="0.3">
      <c r="B128" t="s">
        <v>260</v>
      </c>
      <c r="C128" t="s">
        <v>676</v>
      </c>
      <c r="D128" t="s">
        <v>261</v>
      </c>
      <c r="E128" t="s">
        <v>215</v>
      </c>
      <c r="F128">
        <v>64</v>
      </c>
      <c r="G128" t="s">
        <v>87</v>
      </c>
      <c r="H128">
        <v>1</v>
      </c>
      <c r="I128" s="32">
        <v>50</v>
      </c>
      <c r="J128" s="32">
        <v>50</v>
      </c>
      <c r="K128" s="32">
        <v>3200</v>
      </c>
      <c r="N128">
        <v>9.3700000000000006E-2</v>
      </c>
      <c r="O128">
        <v>9.3799999999999994E-2</v>
      </c>
      <c r="P128">
        <v>0.33695000000000003</v>
      </c>
      <c r="Q128">
        <v>0.2225</v>
      </c>
      <c r="R128">
        <v>0.25305</v>
      </c>
      <c r="V128" s="32">
        <v>0</v>
      </c>
      <c r="W128" s="32">
        <v>0</v>
      </c>
      <c r="X128" s="32">
        <v>299.83999999999997</v>
      </c>
      <c r="Y128" s="32">
        <v>300.16000000000003</v>
      </c>
      <c r="Z128" s="32">
        <v>1078.24</v>
      </c>
      <c r="AA128" s="32">
        <v>712</v>
      </c>
      <c r="AB128" s="32">
        <v>809.76</v>
      </c>
      <c r="AC128" s="32">
        <v>0</v>
      </c>
      <c r="AD128" s="32">
        <v>0</v>
      </c>
      <c r="AE128" s="32">
        <v>0</v>
      </c>
    </row>
    <row r="129" spans="2:31" x14ac:dyDescent="0.3">
      <c r="D129" t="s">
        <v>708</v>
      </c>
      <c r="F129">
        <v>0</v>
      </c>
      <c r="J129" s="32">
        <v>0</v>
      </c>
      <c r="K129" s="32">
        <v>0</v>
      </c>
      <c r="V129" s="32">
        <v>0</v>
      </c>
      <c r="W129" s="32">
        <v>0</v>
      </c>
      <c r="X129" s="32">
        <v>0</v>
      </c>
      <c r="Y129" s="32">
        <v>0</v>
      </c>
      <c r="Z129" s="32">
        <v>0</v>
      </c>
      <c r="AA129" s="32">
        <v>0</v>
      </c>
      <c r="AB129" s="32">
        <v>0</v>
      </c>
      <c r="AC129" s="32">
        <v>0</v>
      </c>
      <c r="AD129" s="32">
        <v>0</v>
      </c>
      <c r="AE129" s="32">
        <v>0</v>
      </c>
    </row>
    <row r="130" spans="2:31" x14ac:dyDescent="0.3">
      <c r="B130" t="s">
        <v>425</v>
      </c>
      <c r="C130" t="s">
        <v>461</v>
      </c>
      <c r="D130" t="s">
        <v>492</v>
      </c>
      <c r="E130" t="s">
        <v>275</v>
      </c>
      <c r="F130">
        <v>192</v>
      </c>
      <c r="G130" t="s">
        <v>87</v>
      </c>
      <c r="H130">
        <v>3</v>
      </c>
      <c r="I130" s="32">
        <v>270</v>
      </c>
      <c r="J130" s="32">
        <v>810</v>
      </c>
      <c r="K130" s="32">
        <v>51840</v>
      </c>
      <c r="Q130">
        <v>0.5</v>
      </c>
      <c r="S130">
        <v>0.5</v>
      </c>
      <c r="V130" s="32">
        <v>0</v>
      </c>
      <c r="W130" s="32">
        <v>0</v>
      </c>
      <c r="X130" s="32">
        <v>0</v>
      </c>
      <c r="Y130" s="32">
        <v>0</v>
      </c>
      <c r="Z130" s="32">
        <v>0</v>
      </c>
      <c r="AA130" s="32">
        <v>25920</v>
      </c>
      <c r="AB130" s="32">
        <v>0</v>
      </c>
      <c r="AC130" s="32">
        <v>25920</v>
      </c>
      <c r="AD130" s="32">
        <v>0</v>
      </c>
      <c r="AE130" s="32">
        <v>0</v>
      </c>
    </row>
    <row r="131" spans="2:31" x14ac:dyDescent="0.3">
      <c r="B131" t="s">
        <v>425</v>
      </c>
      <c r="C131" t="s">
        <v>184</v>
      </c>
      <c r="D131" t="s">
        <v>489</v>
      </c>
      <c r="E131" t="s">
        <v>275</v>
      </c>
      <c r="F131">
        <v>320</v>
      </c>
      <c r="G131" t="s">
        <v>87</v>
      </c>
      <c r="H131">
        <v>5</v>
      </c>
      <c r="I131" s="32">
        <v>25</v>
      </c>
      <c r="J131" s="32">
        <v>125</v>
      </c>
      <c r="K131" s="32">
        <v>8000</v>
      </c>
      <c r="Q131">
        <v>0.5</v>
      </c>
      <c r="S131">
        <v>0.5</v>
      </c>
      <c r="V131" s="32">
        <v>0</v>
      </c>
      <c r="W131" s="32">
        <v>0</v>
      </c>
      <c r="X131" s="32">
        <v>0</v>
      </c>
      <c r="Y131" s="32">
        <v>0</v>
      </c>
      <c r="Z131" s="32">
        <v>0</v>
      </c>
      <c r="AA131" s="32">
        <v>4000</v>
      </c>
      <c r="AB131" s="32">
        <v>0</v>
      </c>
      <c r="AC131" s="32">
        <v>4000</v>
      </c>
      <c r="AD131" s="32">
        <v>0</v>
      </c>
      <c r="AE131" s="32">
        <v>0</v>
      </c>
    </row>
    <row r="132" spans="2:31" x14ac:dyDescent="0.3">
      <c r="B132" t="s">
        <v>425</v>
      </c>
      <c r="C132" t="s">
        <v>676</v>
      </c>
      <c r="D132" t="s">
        <v>426</v>
      </c>
      <c r="E132" t="s">
        <v>215</v>
      </c>
      <c r="F132">
        <v>192</v>
      </c>
      <c r="G132" t="s">
        <v>87</v>
      </c>
      <c r="H132">
        <v>3</v>
      </c>
      <c r="I132" s="32">
        <v>150</v>
      </c>
      <c r="J132" s="32">
        <v>450</v>
      </c>
      <c r="K132" s="32">
        <v>28800</v>
      </c>
      <c r="P132">
        <v>9.3700000000000006E-2</v>
      </c>
      <c r="Q132">
        <v>9.3799999999999994E-2</v>
      </c>
      <c r="R132">
        <v>0.33695000000000003</v>
      </c>
      <c r="S132">
        <v>0.47554999999999997</v>
      </c>
      <c r="V132" s="32">
        <v>0</v>
      </c>
      <c r="W132" s="32">
        <v>0</v>
      </c>
      <c r="X132" s="32">
        <v>0</v>
      </c>
      <c r="Y132" s="32">
        <v>0</v>
      </c>
      <c r="Z132" s="32">
        <v>2698.56</v>
      </c>
      <c r="AA132" s="32">
        <v>2701.44</v>
      </c>
      <c r="AB132" s="32">
        <v>9704.16</v>
      </c>
      <c r="AC132" s="32">
        <v>13695.84</v>
      </c>
      <c r="AD132" s="32">
        <v>0</v>
      </c>
      <c r="AE132" s="32">
        <v>0</v>
      </c>
    </row>
    <row r="133" spans="2:31" x14ac:dyDescent="0.3">
      <c r="D133" t="s">
        <v>418</v>
      </c>
      <c r="F133">
        <v>0</v>
      </c>
      <c r="J133" s="32">
        <v>0</v>
      </c>
      <c r="K133" s="32">
        <v>0</v>
      </c>
      <c r="V133" s="32">
        <v>0</v>
      </c>
      <c r="W133" s="32">
        <v>0</v>
      </c>
      <c r="X133" s="32">
        <v>0</v>
      </c>
      <c r="Y133" s="32">
        <v>0</v>
      </c>
      <c r="Z133" s="32">
        <v>0</v>
      </c>
      <c r="AA133" s="32">
        <v>0</v>
      </c>
      <c r="AB133" s="32">
        <v>0</v>
      </c>
      <c r="AC133" s="32">
        <v>0</v>
      </c>
      <c r="AD133" s="32">
        <v>0</v>
      </c>
      <c r="AE133" s="32">
        <v>0</v>
      </c>
    </row>
    <row r="134" spans="2:31" x14ac:dyDescent="0.3">
      <c r="B134" t="s">
        <v>419</v>
      </c>
      <c r="C134" t="s">
        <v>461</v>
      </c>
      <c r="D134" t="s">
        <v>486</v>
      </c>
      <c r="E134" t="s">
        <v>275</v>
      </c>
      <c r="F134">
        <v>64</v>
      </c>
      <c r="G134" t="s">
        <v>87</v>
      </c>
      <c r="H134">
        <v>1</v>
      </c>
      <c r="I134" s="32">
        <v>615.58000000000004</v>
      </c>
      <c r="J134" s="32">
        <v>615.58000000000004</v>
      </c>
      <c r="K134" s="32">
        <v>39397.120000000003</v>
      </c>
      <c r="Q134">
        <v>0.34</v>
      </c>
      <c r="S134">
        <v>0.33</v>
      </c>
      <c r="U134">
        <v>0.33</v>
      </c>
      <c r="V134" s="32">
        <v>0</v>
      </c>
      <c r="W134" s="32">
        <v>0</v>
      </c>
      <c r="X134" s="32">
        <v>0</v>
      </c>
      <c r="Y134" s="32">
        <v>0</v>
      </c>
      <c r="Z134" s="32">
        <v>0</v>
      </c>
      <c r="AA134" s="32">
        <v>13395.0208</v>
      </c>
      <c r="AB134" s="32">
        <v>0</v>
      </c>
      <c r="AC134" s="32">
        <v>13001.0496</v>
      </c>
      <c r="AD134" s="32">
        <v>0</v>
      </c>
      <c r="AE134" s="32">
        <v>13001.0496</v>
      </c>
    </row>
    <row r="135" spans="2:31" x14ac:dyDescent="0.3">
      <c r="B135" t="s">
        <v>419</v>
      </c>
      <c r="C135" t="s">
        <v>461</v>
      </c>
      <c r="D135" t="s">
        <v>483</v>
      </c>
      <c r="E135" t="s">
        <v>275</v>
      </c>
      <c r="F135">
        <v>64</v>
      </c>
      <c r="G135" t="s">
        <v>87</v>
      </c>
      <c r="H135">
        <v>1</v>
      </c>
      <c r="I135" s="32">
        <v>1533.6</v>
      </c>
      <c r="J135" s="32">
        <v>1533.6</v>
      </c>
      <c r="K135" s="32">
        <v>98150.400000000009</v>
      </c>
      <c r="Q135">
        <v>0.34</v>
      </c>
      <c r="S135">
        <v>0.33</v>
      </c>
      <c r="U135">
        <v>0.33</v>
      </c>
      <c r="V135" s="32">
        <v>0</v>
      </c>
      <c r="W135" s="32">
        <v>0</v>
      </c>
      <c r="X135" s="32">
        <v>0</v>
      </c>
      <c r="Y135" s="32">
        <v>0</v>
      </c>
      <c r="Z135" s="32">
        <v>0</v>
      </c>
      <c r="AA135" s="32">
        <v>33371.136000000013</v>
      </c>
      <c r="AB135" s="32">
        <v>0</v>
      </c>
      <c r="AC135" s="32">
        <v>32389.632000000009</v>
      </c>
      <c r="AD135" s="32">
        <v>0</v>
      </c>
      <c r="AE135" s="32">
        <v>32389.632000000009</v>
      </c>
    </row>
    <row r="136" spans="2:31" x14ac:dyDescent="0.3">
      <c r="B136" t="s">
        <v>419</v>
      </c>
      <c r="C136" t="s">
        <v>184</v>
      </c>
      <c r="D136" t="s">
        <v>709</v>
      </c>
      <c r="E136" t="s">
        <v>275</v>
      </c>
      <c r="F136">
        <v>128</v>
      </c>
      <c r="G136" t="s">
        <v>87</v>
      </c>
      <c r="H136">
        <v>2</v>
      </c>
      <c r="I136" s="32">
        <v>25.4</v>
      </c>
      <c r="J136" s="32">
        <v>50.8</v>
      </c>
      <c r="K136" s="32">
        <v>3251.2</v>
      </c>
      <c r="Q136">
        <v>0.5</v>
      </c>
      <c r="S136">
        <v>0.5</v>
      </c>
      <c r="V136" s="32">
        <v>0</v>
      </c>
      <c r="W136" s="32">
        <v>0</v>
      </c>
      <c r="X136" s="32">
        <v>0</v>
      </c>
      <c r="Y136" s="32">
        <v>0</v>
      </c>
      <c r="Z136" s="32">
        <v>0</v>
      </c>
      <c r="AA136" s="32">
        <v>1625.6</v>
      </c>
      <c r="AB136" s="32">
        <v>0</v>
      </c>
      <c r="AC136" s="32">
        <v>1625.6</v>
      </c>
      <c r="AD136" s="32">
        <v>0</v>
      </c>
      <c r="AE136" s="32">
        <v>0</v>
      </c>
    </row>
    <row r="137" spans="2:31" x14ac:dyDescent="0.3">
      <c r="B137" t="s">
        <v>419</v>
      </c>
      <c r="C137" t="s">
        <v>184</v>
      </c>
      <c r="D137" t="s">
        <v>455</v>
      </c>
      <c r="E137" t="s">
        <v>275</v>
      </c>
      <c r="F137">
        <v>384</v>
      </c>
      <c r="G137" t="s">
        <v>87</v>
      </c>
      <c r="H137">
        <v>6</v>
      </c>
      <c r="I137" s="32">
        <v>0.2</v>
      </c>
      <c r="J137" s="32">
        <v>1.2</v>
      </c>
      <c r="K137" s="32">
        <v>76.800000000000011</v>
      </c>
      <c r="Q137">
        <v>0.5</v>
      </c>
      <c r="S137">
        <v>0.5</v>
      </c>
      <c r="V137" s="32">
        <v>0</v>
      </c>
      <c r="W137" s="32">
        <v>0</v>
      </c>
      <c r="X137" s="32">
        <v>0</v>
      </c>
      <c r="Y137" s="32">
        <v>0</v>
      </c>
      <c r="Z137" s="32">
        <v>0</v>
      </c>
      <c r="AA137" s="32">
        <v>38.400000000000013</v>
      </c>
      <c r="AB137" s="32">
        <v>0</v>
      </c>
      <c r="AC137" s="32">
        <v>38.400000000000013</v>
      </c>
      <c r="AD137" s="32">
        <v>0</v>
      </c>
      <c r="AE137" s="32">
        <v>0</v>
      </c>
    </row>
    <row r="138" spans="2:31" x14ac:dyDescent="0.3">
      <c r="B138" t="s">
        <v>419</v>
      </c>
      <c r="C138" t="s">
        <v>167</v>
      </c>
      <c r="D138" t="s">
        <v>465</v>
      </c>
      <c r="E138" t="s">
        <v>275</v>
      </c>
      <c r="F138">
        <v>384</v>
      </c>
      <c r="G138" t="s">
        <v>87</v>
      </c>
      <c r="H138">
        <v>6</v>
      </c>
      <c r="I138" s="32">
        <v>0.65</v>
      </c>
      <c r="J138" s="32">
        <v>3.9</v>
      </c>
      <c r="K138" s="32">
        <v>249.6</v>
      </c>
      <c r="Q138">
        <v>0.5</v>
      </c>
      <c r="S138">
        <v>0.5</v>
      </c>
      <c r="V138" s="32">
        <v>0</v>
      </c>
      <c r="W138" s="32">
        <v>0</v>
      </c>
      <c r="X138" s="32">
        <v>0</v>
      </c>
      <c r="Y138" s="32">
        <v>0</v>
      </c>
      <c r="Z138" s="32">
        <v>0</v>
      </c>
      <c r="AA138" s="32">
        <v>124.8</v>
      </c>
      <c r="AB138" s="32">
        <v>0</v>
      </c>
      <c r="AC138" s="32">
        <v>124.8</v>
      </c>
      <c r="AD138" s="32">
        <v>0</v>
      </c>
      <c r="AE138" s="32">
        <v>0</v>
      </c>
    </row>
    <row r="139" spans="2:31" x14ac:dyDescent="0.3">
      <c r="B139" t="s">
        <v>419</v>
      </c>
      <c r="C139" t="s">
        <v>184</v>
      </c>
      <c r="D139" t="s">
        <v>466</v>
      </c>
      <c r="E139" t="s">
        <v>275</v>
      </c>
      <c r="F139">
        <v>64</v>
      </c>
      <c r="G139" t="s">
        <v>87</v>
      </c>
      <c r="H139">
        <v>1</v>
      </c>
      <c r="I139" s="32">
        <v>15</v>
      </c>
      <c r="J139" s="32">
        <v>15</v>
      </c>
      <c r="K139" s="32">
        <v>960</v>
      </c>
      <c r="Q139">
        <v>0.5</v>
      </c>
      <c r="S139">
        <v>0.5</v>
      </c>
      <c r="V139" s="32">
        <v>0</v>
      </c>
      <c r="W139" s="32">
        <v>0</v>
      </c>
      <c r="X139" s="32">
        <v>0</v>
      </c>
      <c r="Y139" s="32">
        <v>0</v>
      </c>
      <c r="Z139" s="32">
        <v>0</v>
      </c>
      <c r="AA139" s="32">
        <v>480</v>
      </c>
      <c r="AB139" s="32">
        <v>0</v>
      </c>
      <c r="AC139" s="32">
        <v>480</v>
      </c>
      <c r="AD139" s="32">
        <v>0</v>
      </c>
      <c r="AE139" s="32">
        <v>0</v>
      </c>
    </row>
    <row r="140" spans="2:31" x14ac:dyDescent="0.3">
      <c r="B140" t="s">
        <v>419</v>
      </c>
      <c r="C140" t="s">
        <v>184</v>
      </c>
      <c r="D140" t="s">
        <v>710</v>
      </c>
      <c r="E140" t="s">
        <v>275</v>
      </c>
      <c r="F140">
        <v>32</v>
      </c>
      <c r="G140" t="s">
        <v>87</v>
      </c>
      <c r="H140">
        <v>0.5</v>
      </c>
      <c r="I140" s="32">
        <v>17.899999999999999</v>
      </c>
      <c r="J140" s="32">
        <v>8.9499999999999993</v>
      </c>
      <c r="K140" s="32">
        <v>572.79999999999995</v>
      </c>
      <c r="Q140">
        <v>0.5</v>
      </c>
      <c r="S140">
        <v>0.5</v>
      </c>
      <c r="V140" s="32">
        <v>0</v>
      </c>
      <c r="W140" s="32">
        <v>0</v>
      </c>
      <c r="X140" s="32">
        <v>0</v>
      </c>
      <c r="Y140" s="32">
        <v>0</v>
      </c>
      <c r="Z140" s="32">
        <v>0</v>
      </c>
      <c r="AA140" s="32">
        <v>286.39999999999998</v>
      </c>
      <c r="AB140" s="32">
        <v>0</v>
      </c>
      <c r="AC140" s="32">
        <v>286.39999999999998</v>
      </c>
      <c r="AD140" s="32">
        <v>0</v>
      </c>
      <c r="AE140" s="32">
        <v>0</v>
      </c>
    </row>
    <row r="141" spans="2:31" x14ac:dyDescent="0.3">
      <c r="B141" t="s">
        <v>419</v>
      </c>
      <c r="C141" t="s">
        <v>676</v>
      </c>
      <c r="D141" t="s">
        <v>420</v>
      </c>
      <c r="E141" t="s">
        <v>215</v>
      </c>
      <c r="F141">
        <v>128</v>
      </c>
      <c r="G141" t="s">
        <v>87</v>
      </c>
      <c r="H141">
        <v>2</v>
      </c>
      <c r="I141" s="32">
        <v>150</v>
      </c>
      <c r="J141" s="32">
        <v>300</v>
      </c>
      <c r="K141" s="32">
        <v>19200</v>
      </c>
      <c r="P141">
        <v>9.3700000000000006E-2</v>
      </c>
      <c r="Q141">
        <v>9.3799999999999994E-2</v>
      </c>
      <c r="R141">
        <v>0.33695000000000003</v>
      </c>
      <c r="S141">
        <v>0.47554999999999997</v>
      </c>
      <c r="V141" s="32">
        <v>0</v>
      </c>
      <c r="W141" s="32">
        <v>0</v>
      </c>
      <c r="X141" s="32">
        <v>0</v>
      </c>
      <c r="Y141" s="32">
        <v>0</v>
      </c>
      <c r="Z141" s="32">
        <v>1799.04</v>
      </c>
      <c r="AA141" s="32">
        <v>1800.96</v>
      </c>
      <c r="AB141" s="32">
        <v>6469.44</v>
      </c>
      <c r="AC141" s="32">
        <v>9130.5600000000013</v>
      </c>
      <c r="AD141" s="32">
        <v>0</v>
      </c>
      <c r="AE141" s="32">
        <v>0</v>
      </c>
    </row>
    <row r="142" spans="2:31" x14ac:dyDescent="0.3">
      <c r="D142" t="s">
        <v>408</v>
      </c>
      <c r="F142">
        <v>0</v>
      </c>
      <c r="J142" s="32">
        <v>0</v>
      </c>
      <c r="K142" s="32">
        <v>0</v>
      </c>
      <c r="V142" s="32">
        <v>0</v>
      </c>
      <c r="W142" s="32">
        <v>0</v>
      </c>
      <c r="X142" s="32">
        <v>0</v>
      </c>
      <c r="Y142" s="32">
        <v>0</v>
      </c>
      <c r="Z142" s="32">
        <v>0</v>
      </c>
      <c r="AA142" s="32">
        <v>0</v>
      </c>
      <c r="AB142" s="32">
        <v>0</v>
      </c>
      <c r="AC142" s="32">
        <v>0</v>
      </c>
      <c r="AD142" s="32">
        <v>0</v>
      </c>
      <c r="AE142" s="32">
        <v>0</v>
      </c>
    </row>
    <row r="143" spans="2:31" x14ac:dyDescent="0.3">
      <c r="B143" t="s">
        <v>408</v>
      </c>
      <c r="C143" t="s">
        <v>461</v>
      </c>
      <c r="D143" t="s">
        <v>468</v>
      </c>
      <c r="E143" t="s">
        <v>275</v>
      </c>
      <c r="F143">
        <v>192</v>
      </c>
      <c r="G143" t="s">
        <v>87</v>
      </c>
      <c r="H143">
        <v>3</v>
      </c>
      <c r="I143" s="32">
        <v>460</v>
      </c>
      <c r="J143" s="32">
        <v>1380</v>
      </c>
      <c r="K143" s="32">
        <v>88320</v>
      </c>
      <c r="Q143">
        <v>0.34</v>
      </c>
      <c r="S143">
        <v>0.33</v>
      </c>
      <c r="U143">
        <v>0.33</v>
      </c>
      <c r="V143" s="32">
        <v>0</v>
      </c>
      <c r="W143" s="32">
        <v>0</v>
      </c>
      <c r="X143" s="32">
        <v>0</v>
      </c>
      <c r="Y143" s="32">
        <v>0</v>
      </c>
      <c r="Z143" s="32">
        <v>0</v>
      </c>
      <c r="AA143" s="32">
        <v>30028.799999999999</v>
      </c>
      <c r="AB143" s="32">
        <v>0</v>
      </c>
      <c r="AC143" s="32">
        <v>29145.599999999999</v>
      </c>
      <c r="AD143" s="32">
        <v>0</v>
      </c>
      <c r="AE143" s="32">
        <v>29145.599999999999</v>
      </c>
    </row>
    <row r="144" spans="2:31" x14ac:dyDescent="0.3">
      <c r="B144" t="s">
        <v>408</v>
      </c>
      <c r="C144" t="s">
        <v>461</v>
      </c>
      <c r="D144" t="s">
        <v>467</v>
      </c>
      <c r="E144" t="s">
        <v>275</v>
      </c>
      <c r="F144">
        <v>64</v>
      </c>
      <c r="G144" t="s">
        <v>87</v>
      </c>
      <c r="H144">
        <v>1</v>
      </c>
      <c r="I144" s="32">
        <v>185</v>
      </c>
      <c r="J144" s="32">
        <v>185</v>
      </c>
      <c r="K144" s="32">
        <v>11840</v>
      </c>
      <c r="Q144">
        <v>0.34</v>
      </c>
      <c r="S144">
        <v>0.33</v>
      </c>
      <c r="U144">
        <v>0.33</v>
      </c>
      <c r="V144" s="32">
        <v>0</v>
      </c>
      <c r="W144" s="32">
        <v>0</v>
      </c>
      <c r="X144" s="32">
        <v>0</v>
      </c>
      <c r="Y144" s="32">
        <v>0</v>
      </c>
      <c r="Z144" s="32">
        <v>0</v>
      </c>
      <c r="AA144" s="32">
        <v>4025.6</v>
      </c>
      <c r="AB144" s="32">
        <v>0</v>
      </c>
      <c r="AC144" s="32">
        <v>3907.2</v>
      </c>
      <c r="AD144" s="32">
        <v>0</v>
      </c>
      <c r="AE144" s="32">
        <v>3907.2</v>
      </c>
    </row>
    <row r="145" spans="2:31" x14ac:dyDescent="0.3">
      <c r="B145" t="s">
        <v>408</v>
      </c>
      <c r="C145" t="s">
        <v>461</v>
      </c>
      <c r="D145" t="s">
        <v>711</v>
      </c>
      <c r="E145" t="s">
        <v>275</v>
      </c>
      <c r="F145">
        <v>64</v>
      </c>
      <c r="G145" t="s">
        <v>87</v>
      </c>
      <c r="H145">
        <v>1</v>
      </c>
      <c r="I145" s="32">
        <v>377</v>
      </c>
      <c r="J145" s="32">
        <v>377</v>
      </c>
      <c r="K145" s="32">
        <v>24128</v>
      </c>
      <c r="Q145">
        <v>0.34</v>
      </c>
      <c r="S145">
        <v>0.33</v>
      </c>
      <c r="U145">
        <v>0.33</v>
      </c>
      <c r="V145" s="32">
        <v>0</v>
      </c>
      <c r="W145" s="32">
        <v>0</v>
      </c>
      <c r="X145" s="32">
        <v>0</v>
      </c>
      <c r="Y145" s="32">
        <v>0</v>
      </c>
      <c r="Z145" s="32">
        <v>0</v>
      </c>
      <c r="AA145" s="32">
        <v>8203.52</v>
      </c>
      <c r="AB145" s="32">
        <v>0</v>
      </c>
      <c r="AC145" s="32">
        <v>7962.2400000000007</v>
      </c>
      <c r="AD145" s="32">
        <v>0</v>
      </c>
      <c r="AE145" s="32">
        <v>7962.2400000000007</v>
      </c>
    </row>
    <row r="146" spans="2:31" x14ac:dyDescent="0.3">
      <c r="B146" t="s">
        <v>408</v>
      </c>
      <c r="C146" t="s">
        <v>184</v>
      </c>
      <c r="D146" t="s">
        <v>712</v>
      </c>
      <c r="E146" t="s">
        <v>275</v>
      </c>
      <c r="F146">
        <v>64</v>
      </c>
      <c r="G146" t="s">
        <v>87</v>
      </c>
      <c r="H146">
        <v>1</v>
      </c>
      <c r="I146" s="32">
        <v>25.4</v>
      </c>
      <c r="J146" s="32">
        <v>25.4</v>
      </c>
      <c r="K146" s="32">
        <v>1625.6</v>
      </c>
      <c r="Q146">
        <v>0.5</v>
      </c>
      <c r="S146">
        <v>0.5</v>
      </c>
      <c r="V146" s="32">
        <v>0</v>
      </c>
      <c r="W146" s="32">
        <v>0</v>
      </c>
      <c r="X146" s="32">
        <v>0</v>
      </c>
      <c r="Y146" s="32">
        <v>0</v>
      </c>
      <c r="Z146" s="32">
        <v>0</v>
      </c>
      <c r="AA146" s="32">
        <v>812.8</v>
      </c>
      <c r="AB146" s="32">
        <v>0</v>
      </c>
      <c r="AC146" s="32">
        <v>812.8</v>
      </c>
      <c r="AD146" s="32">
        <v>0</v>
      </c>
      <c r="AE146" s="32">
        <v>0</v>
      </c>
    </row>
    <row r="147" spans="2:31" x14ac:dyDescent="0.3">
      <c r="B147" t="s">
        <v>408</v>
      </c>
      <c r="C147" t="s">
        <v>184</v>
      </c>
      <c r="D147" t="s">
        <v>455</v>
      </c>
      <c r="E147" t="s">
        <v>275</v>
      </c>
      <c r="F147">
        <v>1664</v>
      </c>
      <c r="G147" t="s">
        <v>87</v>
      </c>
      <c r="H147">
        <v>26</v>
      </c>
      <c r="I147" s="32">
        <v>0.2</v>
      </c>
      <c r="J147" s="32">
        <v>5.2</v>
      </c>
      <c r="K147" s="32">
        <v>332.8</v>
      </c>
      <c r="Q147">
        <v>0.5</v>
      </c>
      <c r="S147">
        <v>0.5</v>
      </c>
      <c r="V147" s="32">
        <v>0</v>
      </c>
      <c r="W147" s="32">
        <v>0</v>
      </c>
      <c r="X147" s="32">
        <v>0</v>
      </c>
      <c r="Y147" s="32">
        <v>0</v>
      </c>
      <c r="Z147" s="32">
        <v>0</v>
      </c>
      <c r="AA147" s="32">
        <v>166.4</v>
      </c>
      <c r="AB147" s="32">
        <v>0</v>
      </c>
      <c r="AC147" s="32">
        <v>166.4</v>
      </c>
      <c r="AD147" s="32">
        <v>0</v>
      </c>
      <c r="AE147" s="32">
        <v>0</v>
      </c>
    </row>
    <row r="148" spans="2:31" x14ac:dyDescent="0.3">
      <c r="B148" t="s">
        <v>408</v>
      </c>
      <c r="C148" t="s">
        <v>184</v>
      </c>
      <c r="D148" t="s">
        <v>465</v>
      </c>
      <c r="E148" t="s">
        <v>275</v>
      </c>
      <c r="F148">
        <v>1664</v>
      </c>
      <c r="G148" t="s">
        <v>87</v>
      </c>
      <c r="H148">
        <v>26</v>
      </c>
      <c r="I148" s="32">
        <v>0.65</v>
      </c>
      <c r="J148" s="32">
        <v>16.899999999999999</v>
      </c>
      <c r="K148" s="32">
        <v>1081.5999999999999</v>
      </c>
      <c r="Q148">
        <v>0.5</v>
      </c>
      <c r="S148">
        <v>0.5</v>
      </c>
      <c r="V148" s="32">
        <v>0</v>
      </c>
      <c r="W148" s="32">
        <v>0</v>
      </c>
      <c r="X148" s="32">
        <v>0</v>
      </c>
      <c r="Y148" s="32">
        <v>0</v>
      </c>
      <c r="Z148" s="32">
        <v>0</v>
      </c>
      <c r="AA148" s="32">
        <v>540.80000000000007</v>
      </c>
      <c r="AB148" s="32">
        <v>0</v>
      </c>
      <c r="AC148" s="32">
        <v>540.80000000000007</v>
      </c>
      <c r="AD148" s="32">
        <v>0</v>
      </c>
      <c r="AE148" s="32">
        <v>0</v>
      </c>
    </row>
    <row r="149" spans="2:31" x14ac:dyDescent="0.3">
      <c r="B149" t="s">
        <v>408</v>
      </c>
      <c r="C149" t="s">
        <v>184</v>
      </c>
      <c r="D149" t="s">
        <v>466</v>
      </c>
      <c r="E149" t="s">
        <v>275</v>
      </c>
      <c r="F149">
        <v>256</v>
      </c>
      <c r="G149" t="s">
        <v>87</v>
      </c>
      <c r="H149">
        <v>4</v>
      </c>
      <c r="I149" s="32">
        <v>15</v>
      </c>
      <c r="J149" s="32">
        <v>60</v>
      </c>
      <c r="K149" s="32">
        <v>3840</v>
      </c>
      <c r="Q149">
        <v>0.5</v>
      </c>
      <c r="S149">
        <v>0.5</v>
      </c>
      <c r="V149" s="32">
        <v>0</v>
      </c>
      <c r="W149" s="32">
        <v>0</v>
      </c>
      <c r="X149" s="32">
        <v>0</v>
      </c>
      <c r="Y149" s="32">
        <v>0</v>
      </c>
      <c r="Z149" s="32">
        <v>0</v>
      </c>
      <c r="AA149" s="32">
        <v>1920</v>
      </c>
      <c r="AB149" s="32">
        <v>0</v>
      </c>
      <c r="AC149" s="32">
        <v>1920</v>
      </c>
      <c r="AD149" s="32">
        <v>0</v>
      </c>
      <c r="AE149" s="32">
        <v>0</v>
      </c>
    </row>
    <row r="150" spans="2:31" x14ac:dyDescent="0.3">
      <c r="B150" t="s">
        <v>408</v>
      </c>
      <c r="C150" t="s">
        <v>184</v>
      </c>
      <c r="D150" t="s">
        <v>710</v>
      </c>
      <c r="E150" t="s">
        <v>275</v>
      </c>
      <c r="F150">
        <v>128</v>
      </c>
      <c r="G150" t="s">
        <v>87</v>
      </c>
      <c r="H150">
        <v>2</v>
      </c>
      <c r="I150" s="32">
        <v>17.899999999999999</v>
      </c>
      <c r="J150" s="32">
        <v>35.799999999999997</v>
      </c>
      <c r="K150" s="32">
        <v>2291.1999999999998</v>
      </c>
      <c r="Q150">
        <v>0.5</v>
      </c>
      <c r="S150">
        <v>0.5</v>
      </c>
      <c r="V150" s="32">
        <v>0</v>
      </c>
      <c r="W150" s="32">
        <v>0</v>
      </c>
      <c r="X150" s="32">
        <v>0</v>
      </c>
      <c r="Y150" s="32">
        <v>0</v>
      </c>
      <c r="Z150" s="32">
        <v>0</v>
      </c>
      <c r="AA150" s="32">
        <v>1145.5999999999999</v>
      </c>
      <c r="AB150" s="32">
        <v>0</v>
      </c>
      <c r="AC150" s="32">
        <v>1145.5999999999999</v>
      </c>
      <c r="AD150" s="32">
        <v>0</v>
      </c>
      <c r="AE150" s="32">
        <v>0</v>
      </c>
    </row>
    <row r="151" spans="2:31" x14ac:dyDescent="0.3">
      <c r="B151" t="s">
        <v>408</v>
      </c>
      <c r="C151" t="s">
        <v>184</v>
      </c>
      <c r="D151" t="s">
        <v>713</v>
      </c>
      <c r="E151" t="s">
        <v>275</v>
      </c>
      <c r="F151">
        <v>960</v>
      </c>
      <c r="G151" t="s">
        <v>149</v>
      </c>
      <c r="H151">
        <v>15</v>
      </c>
      <c r="I151" s="32">
        <v>3.1</v>
      </c>
      <c r="J151" s="32">
        <v>46.5</v>
      </c>
      <c r="K151" s="32">
        <v>2976</v>
      </c>
      <c r="Q151">
        <v>0.5</v>
      </c>
      <c r="S151">
        <v>0.5</v>
      </c>
      <c r="V151" s="32">
        <v>0</v>
      </c>
      <c r="W151" s="32">
        <v>0</v>
      </c>
      <c r="X151" s="32">
        <v>0</v>
      </c>
      <c r="Y151" s="32">
        <v>0</v>
      </c>
      <c r="Z151" s="32">
        <v>0</v>
      </c>
      <c r="AA151" s="32">
        <v>1488</v>
      </c>
      <c r="AB151" s="32">
        <v>0</v>
      </c>
      <c r="AC151" s="32">
        <v>1488</v>
      </c>
      <c r="AD151" s="32">
        <v>0</v>
      </c>
      <c r="AE151" s="32">
        <v>0</v>
      </c>
    </row>
    <row r="152" spans="2:31" x14ac:dyDescent="0.3">
      <c r="B152" t="s">
        <v>408</v>
      </c>
      <c r="C152" t="s">
        <v>676</v>
      </c>
      <c r="D152" t="s">
        <v>409</v>
      </c>
      <c r="E152" t="s">
        <v>215</v>
      </c>
      <c r="F152">
        <v>320</v>
      </c>
      <c r="G152" t="s">
        <v>87</v>
      </c>
      <c r="H152">
        <v>5</v>
      </c>
      <c r="I152" s="32">
        <v>150</v>
      </c>
      <c r="J152" s="32">
        <v>750</v>
      </c>
      <c r="K152" s="32">
        <v>48000</v>
      </c>
      <c r="P152">
        <v>9.3700000000000006E-2</v>
      </c>
      <c r="Q152">
        <v>9.3799999999999994E-2</v>
      </c>
      <c r="R152">
        <v>0.33695000000000003</v>
      </c>
      <c r="S152">
        <v>0.47554999999999997</v>
      </c>
      <c r="V152" s="32">
        <v>0</v>
      </c>
      <c r="W152" s="32">
        <v>0</v>
      </c>
      <c r="X152" s="32">
        <v>0</v>
      </c>
      <c r="Y152" s="32">
        <v>0</v>
      </c>
      <c r="Z152" s="32">
        <v>4497.6000000000004</v>
      </c>
      <c r="AA152" s="32">
        <v>4502.3999999999996</v>
      </c>
      <c r="AB152" s="32">
        <v>16173.6</v>
      </c>
      <c r="AC152" s="32">
        <v>22826.400000000001</v>
      </c>
      <c r="AD152" s="32">
        <v>0</v>
      </c>
      <c r="AE152" s="32">
        <v>0</v>
      </c>
    </row>
    <row r="153" spans="2:31" x14ac:dyDescent="0.3">
      <c r="D153" t="s">
        <v>235</v>
      </c>
      <c r="F153">
        <v>0</v>
      </c>
      <c r="J153" s="32">
        <v>0</v>
      </c>
      <c r="K153" s="32">
        <v>0</v>
      </c>
      <c r="V153" s="32">
        <v>0</v>
      </c>
      <c r="W153" s="32">
        <v>0</v>
      </c>
      <c r="X153" s="32">
        <v>0</v>
      </c>
      <c r="Y153" s="32">
        <v>0</v>
      </c>
      <c r="Z153" s="32">
        <v>0</v>
      </c>
      <c r="AA153" s="32">
        <v>0</v>
      </c>
      <c r="AB153" s="32">
        <v>0</v>
      </c>
      <c r="AC153" s="32">
        <v>0</v>
      </c>
      <c r="AD153" s="32">
        <v>0</v>
      </c>
      <c r="AE153" s="32">
        <v>0</v>
      </c>
    </row>
    <row r="154" spans="2:31" x14ac:dyDescent="0.3">
      <c r="B154" t="s">
        <v>236</v>
      </c>
      <c r="C154" t="s">
        <v>324</v>
      </c>
      <c r="D154" t="s">
        <v>329</v>
      </c>
      <c r="E154" t="s">
        <v>275</v>
      </c>
      <c r="F154">
        <v>960</v>
      </c>
      <c r="G154" t="s">
        <v>330</v>
      </c>
      <c r="H154">
        <v>15</v>
      </c>
      <c r="I154" s="32">
        <v>43</v>
      </c>
      <c r="J154" s="32">
        <v>645</v>
      </c>
      <c r="K154" s="32">
        <v>41280</v>
      </c>
      <c r="O154">
        <v>0.34</v>
      </c>
      <c r="Q154">
        <v>0.33</v>
      </c>
      <c r="S154">
        <v>0.33</v>
      </c>
      <c r="V154" s="32">
        <v>0</v>
      </c>
      <c r="W154" s="32">
        <v>0</v>
      </c>
      <c r="X154" s="32">
        <v>0</v>
      </c>
      <c r="Y154" s="32">
        <v>14035.2</v>
      </c>
      <c r="Z154" s="32">
        <v>0</v>
      </c>
      <c r="AA154" s="32">
        <v>13622.4</v>
      </c>
      <c r="AB154" s="32">
        <v>0</v>
      </c>
      <c r="AC154" s="32">
        <v>13622.4</v>
      </c>
      <c r="AD154" s="32">
        <v>0</v>
      </c>
      <c r="AE154" s="32">
        <v>0</v>
      </c>
    </row>
    <row r="155" spans="2:31" x14ac:dyDescent="0.3">
      <c r="B155" t="s">
        <v>236</v>
      </c>
      <c r="C155" t="s">
        <v>324</v>
      </c>
      <c r="D155" t="s">
        <v>714</v>
      </c>
      <c r="E155" t="s">
        <v>275</v>
      </c>
      <c r="F155">
        <v>1600</v>
      </c>
      <c r="G155" t="s">
        <v>715</v>
      </c>
      <c r="H155">
        <v>25</v>
      </c>
      <c r="I155" s="32">
        <v>3.56</v>
      </c>
      <c r="J155" s="32">
        <v>89</v>
      </c>
      <c r="K155" s="32">
        <v>5696</v>
      </c>
      <c r="O155">
        <v>0.34</v>
      </c>
      <c r="Q155">
        <v>0.33</v>
      </c>
      <c r="S155">
        <v>0.33</v>
      </c>
      <c r="V155" s="32">
        <v>0</v>
      </c>
      <c r="W155" s="32">
        <v>0</v>
      </c>
      <c r="X155" s="32">
        <v>0</v>
      </c>
      <c r="Y155" s="32">
        <v>1936.64</v>
      </c>
      <c r="Z155" s="32">
        <v>0</v>
      </c>
      <c r="AA155" s="32">
        <v>1879.68</v>
      </c>
      <c r="AB155" s="32">
        <v>0</v>
      </c>
      <c r="AC155" s="32">
        <v>1879.68</v>
      </c>
      <c r="AD155" s="32">
        <v>0</v>
      </c>
      <c r="AE155" s="32">
        <v>0</v>
      </c>
    </row>
    <row r="156" spans="2:31" x14ac:dyDescent="0.3">
      <c r="B156" t="s">
        <v>236</v>
      </c>
      <c r="C156" t="s">
        <v>676</v>
      </c>
      <c r="D156" t="s">
        <v>237</v>
      </c>
      <c r="E156" t="s">
        <v>215</v>
      </c>
      <c r="F156">
        <v>8573.44</v>
      </c>
      <c r="G156" t="s">
        <v>203</v>
      </c>
      <c r="H156">
        <v>133.96</v>
      </c>
      <c r="I156" s="32">
        <v>8</v>
      </c>
      <c r="J156" s="32">
        <v>1071.68</v>
      </c>
      <c r="K156" s="32">
        <v>68587.520000000004</v>
      </c>
      <c r="N156">
        <v>9.3700000000000006E-2</v>
      </c>
      <c r="O156">
        <v>9.3799999999999994E-2</v>
      </c>
      <c r="P156">
        <v>0.33695000000000003</v>
      </c>
      <c r="Q156">
        <v>0.2225</v>
      </c>
      <c r="R156">
        <v>0.25305</v>
      </c>
      <c r="V156" s="32">
        <v>0</v>
      </c>
      <c r="W156" s="32">
        <v>0</v>
      </c>
      <c r="X156" s="32">
        <v>6426.6506240000008</v>
      </c>
      <c r="Y156" s="32">
        <v>6433.509376</v>
      </c>
      <c r="Z156" s="32">
        <v>23110.564864</v>
      </c>
      <c r="AA156" s="32">
        <v>15260.7232</v>
      </c>
      <c r="AB156" s="32">
        <v>17356.071936</v>
      </c>
      <c r="AC156" s="32">
        <v>0</v>
      </c>
      <c r="AD156" s="32">
        <v>0</v>
      </c>
      <c r="AE156" s="32">
        <v>0</v>
      </c>
    </row>
    <row r="157" spans="2:31" x14ac:dyDescent="0.3">
      <c r="D157" t="s">
        <v>413</v>
      </c>
      <c r="F157">
        <v>0</v>
      </c>
      <c r="J157" s="32">
        <v>0</v>
      </c>
      <c r="K157" s="32">
        <v>0</v>
      </c>
      <c r="V157" s="32">
        <v>0</v>
      </c>
      <c r="W157" s="32">
        <v>0</v>
      </c>
      <c r="X157" s="32">
        <v>0</v>
      </c>
      <c r="Y157" s="32">
        <v>0</v>
      </c>
      <c r="Z157" s="32">
        <v>0</v>
      </c>
      <c r="AA157" s="32">
        <v>0</v>
      </c>
      <c r="AB157" s="32">
        <v>0</v>
      </c>
      <c r="AC157" s="32">
        <v>0</v>
      </c>
      <c r="AD157" s="32">
        <v>0</v>
      </c>
      <c r="AE157" s="32">
        <v>0</v>
      </c>
    </row>
    <row r="158" spans="2:31" x14ac:dyDescent="0.3">
      <c r="B158" t="s">
        <v>413</v>
      </c>
      <c r="C158" t="s">
        <v>324</v>
      </c>
      <c r="D158" t="s">
        <v>716</v>
      </c>
      <c r="E158" t="s">
        <v>275</v>
      </c>
      <c r="F158">
        <v>128</v>
      </c>
      <c r="G158" t="s">
        <v>480</v>
      </c>
      <c r="H158">
        <v>2</v>
      </c>
      <c r="I158" s="32">
        <v>265.89999999999998</v>
      </c>
      <c r="J158" s="32">
        <v>531.79999999999995</v>
      </c>
      <c r="K158" s="32">
        <v>34035.199999999997</v>
      </c>
      <c r="P158">
        <v>0</v>
      </c>
      <c r="Q158">
        <v>0.5</v>
      </c>
      <c r="S158">
        <v>0.5</v>
      </c>
      <c r="V158" s="32">
        <v>0</v>
      </c>
      <c r="W158" s="32">
        <v>0</v>
      </c>
      <c r="X158" s="32">
        <v>0</v>
      </c>
      <c r="Y158" s="32">
        <v>0</v>
      </c>
      <c r="Z158" s="32">
        <v>0</v>
      </c>
      <c r="AA158" s="32">
        <v>17017.599999999999</v>
      </c>
      <c r="AB158" s="32">
        <v>0</v>
      </c>
      <c r="AC158" s="32">
        <v>17017.599999999999</v>
      </c>
      <c r="AD158" s="32">
        <v>0</v>
      </c>
      <c r="AE158" s="32">
        <v>0</v>
      </c>
    </row>
    <row r="159" spans="2:31" x14ac:dyDescent="0.3">
      <c r="B159" t="s">
        <v>413</v>
      </c>
      <c r="C159" t="s">
        <v>324</v>
      </c>
      <c r="D159" t="s">
        <v>475</v>
      </c>
      <c r="E159" t="s">
        <v>275</v>
      </c>
      <c r="F159">
        <v>128</v>
      </c>
      <c r="G159" t="s">
        <v>477</v>
      </c>
      <c r="H159">
        <v>2</v>
      </c>
      <c r="I159" s="32">
        <v>18.2</v>
      </c>
      <c r="J159" s="32">
        <v>36.4</v>
      </c>
      <c r="K159" s="32">
        <v>2329.6</v>
      </c>
      <c r="P159">
        <v>0</v>
      </c>
      <c r="Q159">
        <v>0.5</v>
      </c>
      <c r="S159">
        <v>0.5</v>
      </c>
      <c r="V159" s="32">
        <v>0</v>
      </c>
      <c r="W159" s="32">
        <v>0</v>
      </c>
      <c r="X159" s="32">
        <v>0</v>
      </c>
      <c r="Y159" s="32">
        <v>0</v>
      </c>
      <c r="Z159" s="32">
        <v>0</v>
      </c>
      <c r="AA159" s="32">
        <v>1164.8</v>
      </c>
      <c r="AB159" s="32">
        <v>0</v>
      </c>
      <c r="AC159" s="32">
        <v>1164.8</v>
      </c>
      <c r="AD159" s="32">
        <v>0</v>
      </c>
      <c r="AE159" s="32">
        <v>0</v>
      </c>
    </row>
    <row r="160" spans="2:31" x14ac:dyDescent="0.3">
      <c r="B160" t="s">
        <v>413</v>
      </c>
      <c r="C160" t="s">
        <v>676</v>
      </c>
      <c r="D160" t="s">
        <v>717</v>
      </c>
      <c r="E160" t="s">
        <v>215</v>
      </c>
      <c r="F160">
        <v>8573.44</v>
      </c>
      <c r="G160" t="s">
        <v>203</v>
      </c>
      <c r="H160">
        <v>133.96</v>
      </c>
      <c r="I160" s="32">
        <v>10</v>
      </c>
      <c r="J160" s="32">
        <v>1339.6</v>
      </c>
      <c r="K160" s="32">
        <v>85734.400000000009</v>
      </c>
      <c r="P160">
        <v>9.3700000000000006E-2</v>
      </c>
      <c r="Q160">
        <v>9.3799999999999994E-2</v>
      </c>
      <c r="R160">
        <v>0.33695000000000003</v>
      </c>
      <c r="S160">
        <v>0.47554999999999997</v>
      </c>
      <c r="V160" s="32">
        <v>0</v>
      </c>
      <c r="W160" s="32">
        <v>0</v>
      </c>
      <c r="X160" s="32">
        <v>0</v>
      </c>
      <c r="Y160" s="32">
        <v>0</v>
      </c>
      <c r="Z160" s="32">
        <v>8033.3132800000012</v>
      </c>
      <c r="AA160" s="32">
        <v>8041.8867200000004</v>
      </c>
      <c r="AB160" s="32">
        <v>28888.20608</v>
      </c>
      <c r="AC160" s="32">
        <v>40770.993920000008</v>
      </c>
      <c r="AD160" s="32">
        <v>0</v>
      </c>
      <c r="AE160" s="32">
        <v>0</v>
      </c>
    </row>
    <row r="161" spans="2:31" x14ac:dyDescent="0.3">
      <c r="D161" t="s">
        <v>266</v>
      </c>
      <c r="F161">
        <v>0</v>
      </c>
      <c r="J161" s="32">
        <v>0</v>
      </c>
      <c r="K161" s="32">
        <v>0</v>
      </c>
      <c r="V161" s="32">
        <v>0</v>
      </c>
      <c r="W161" s="32">
        <v>0</v>
      </c>
      <c r="X161" s="32">
        <v>0</v>
      </c>
      <c r="Y161" s="32">
        <v>0</v>
      </c>
      <c r="Z161" s="32">
        <v>0</v>
      </c>
      <c r="AA161" s="32">
        <v>0</v>
      </c>
      <c r="AB161" s="32">
        <v>0</v>
      </c>
      <c r="AC161" s="32">
        <v>0</v>
      </c>
      <c r="AD161" s="32">
        <v>0</v>
      </c>
      <c r="AE161" s="32">
        <v>0</v>
      </c>
    </row>
    <row r="162" spans="2:31" x14ac:dyDescent="0.3">
      <c r="B162" t="s">
        <v>267</v>
      </c>
      <c r="C162" t="s">
        <v>324</v>
      </c>
      <c r="D162" t="s">
        <v>384</v>
      </c>
      <c r="E162" t="s">
        <v>275</v>
      </c>
      <c r="F162">
        <v>640</v>
      </c>
      <c r="G162" t="s">
        <v>330</v>
      </c>
      <c r="H162">
        <v>10</v>
      </c>
      <c r="I162" s="32">
        <v>75</v>
      </c>
      <c r="J162" s="32">
        <v>750</v>
      </c>
      <c r="K162" s="32">
        <v>48000</v>
      </c>
      <c r="N162">
        <v>0</v>
      </c>
      <c r="O162">
        <v>0.5</v>
      </c>
      <c r="P162">
        <v>0</v>
      </c>
      <c r="Q162">
        <v>0.5</v>
      </c>
      <c r="V162" s="32">
        <v>0</v>
      </c>
      <c r="W162" s="32">
        <v>0</v>
      </c>
      <c r="X162" s="32">
        <v>0</v>
      </c>
      <c r="Y162" s="32">
        <v>24000</v>
      </c>
      <c r="Z162" s="32">
        <v>0</v>
      </c>
      <c r="AA162" s="32">
        <v>24000</v>
      </c>
      <c r="AB162" s="32">
        <v>0</v>
      </c>
      <c r="AC162" s="32">
        <v>0</v>
      </c>
      <c r="AD162" s="32">
        <v>0</v>
      </c>
      <c r="AE162" s="32">
        <v>0</v>
      </c>
    </row>
    <row r="163" spans="2:31" x14ac:dyDescent="0.3">
      <c r="B163" t="s">
        <v>267</v>
      </c>
      <c r="C163" t="s">
        <v>676</v>
      </c>
      <c r="D163" t="s">
        <v>268</v>
      </c>
      <c r="E163" t="s">
        <v>215</v>
      </c>
      <c r="F163">
        <v>5564.8</v>
      </c>
      <c r="G163" t="s">
        <v>203</v>
      </c>
      <c r="H163">
        <v>86.95</v>
      </c>
      <c r="I163" s="32">
        <v>8.1999999999999993</v>
      </c>
      <c r="J163" s="32">
        <v>712.99</v>
      </c>
      <c r="K163" s="32">
        <v>45631.360000000001</v>
      </c>
      <c r="N163">
        <v>9.3700000000000006E-2</v>
      </c>
      <c r="O163">
        <v>9.3799999999999994E-2</v>
      </c>
      <c r="P163">
        <v>0.33695000000000003</v>
      </c>
      <c r="Q163">
        <v>0.2225</v>
      </c>
      <c r="R163">
        <v>0.25305</v>
      </c>
      <c r="V163" s="32">
        <v>0</v>
      </c>
      <c r="W163" s="32">
        <v>0</v>
      </c>
      <c r="X163" s="32">
        <v>4275.6584320000002</v>
      </c>
      <c r="Y163" s="32">
        <v>4280.2215679999999</v>
      </c>
      <c r="Z163" s="32">
        <v>15375.486752000001</v>
      </c>
      <c r="AA163" s="32">
        <v>10152.9776</v>
      </c>
      <c r="AB163" s="32">
        <v>11547.015648000001</v>
      </c>
      <c r="AC163" s="32">
        <v>0</v>
      </c>
      <c r="AD163" s="32">
        <v>0</v>
      </c>
      <c r="AE163" s="32">
        <v>0</v>
      </c>
    </row>
    <row r="164" spans="2:31" x14ac:dyDescent="0.3">
      <c r="D164" t="s">
        <v>496</v>
      </c>
      <c r="F164">
        <v>0</v>
      </c>
      <c r="J164" s="32">
        <v>0</v>
      </c>
      <c r="K164" s="32">
        <v>0</v>
      </c>
      <c r="V164" s="32">
        <v>0</v>
      </c>
      <c r="W164" s="32">
        <v>0</v>
      </c>
      <c r="X164" s="32">
        <v>0</v>
      </c>
      <c r="Y164" s="32">
        <v>0</v>
      </c>
      <c r="Z164" s="32">
        <v>0</v>
      </c>
      <c r="AA164" s="32">
        <v>0</v>
      </c>
      <c r="AB164" s="32">
        <v>0</v>
      </c>
      <c r="AC164" s="32">
        <v>0</v>
      </c>
      <c r="AD164" s="32">
        <v>0</v>
      </c>
      <c r="AE164" s="32">
        <v>0</v>
      </c>
    </row>
    <row r="165" spans="2:31" x14ac:dyDescent="0.3">
      <c r="B165" t="s">
        <v>496</v>
      </c>
      <c r="C165" t="s">
        <v>568</v>
      </c>
      <c r="D165" t="s">
        <v>581</v>
      </c>
      <c r="E165" t="s">
        <v>275</v>
      </c>
      <c r="F165">
        <v>6400</v>
      </c>
      <c r="G165" t="s">
        <v>715</v>
      </c>
      <c r="H165">
        <v>100</v>
      </c>
      <c r="I165" s="32">
        <v>2.4500000000000002</v>
      </c>
      <c r="J165" s="32">
        <v>245</v>
      </c>
      <c r="K165" s="32">
        <v>15680</v>
      </c>
      <c r="R165">
        <v>0</v>
      </c>
      <c r="S165">
        <v>0.5</v>
      </c>
      <c r="U165">
        <v>0.5</v>
      </c>
      <c r="V165" s="32">
        <v>0</v>
      </c>
      <c r="W165" s="32">
        <v>0</v>
      </c>
      <c r="X165" s="32">
        <v>0</v>
      </c>
      <c r="Y165" s="32">
        <v>0</v>
      </c>
      <c r="Z165" s="32">
        <v>0</v>
      </c>
      <c r="AA165" s="32">
        <v>0</v>
      </c>
      <c r="AB165" s="32">
        <v>0</v>
      </c>
      <c r="AC165" s="32">
        <v>7840.0000000000009</v>
      </c>
      <c r="AD165" s="32">
        <v>0</v>
      </c>
      <c r="AE165" s="32">
        <v>7840.0000000000009</v>
      </c>
    </row>
    <row r="166" spans="2:31" x14ac:dyDescent="0.3">
      <c r="B166" t="s">
        <v>496</v>
      </c>
      <c r="C166" t="s">
        <v>568</v>
      </c>
      <c r="D166" t="s">
        <v>582</v>
      </c>
      <c r="E166" t="s">
        <v>275</v>
      </c>
      <c r="F166">
        <v>6400</v>
      </c>
      <c r="G166" t="s">
        <v>715</v>
      </c>
      <c r="H166">
        <v>100</v>
      </c>
      <c r="I166" s="32">
        <v>2.4500000000000002</v>
      </c>
      <c r="J166" s="32">
        <v>245</v>
      </c>
      <c r="K166" s="32">
        <v>15680</v>
      </c>
      <c r="R166">
        <v>0</v>
      </c>
      <c r="S166">
        <v>0.5</v>
      </c>
      <c r="U166">
        <v>0.5</v>
      </c>
      <c r="V166" s="32">
        <v>0</v>
      </c>
      <c r="W166" s="32">
        <v>0</v>
      </c>
      <c r="X166" s="32">
        <v>0</v>
      </c>
      <c r="Y166" s="32">
        <v>0</v>
      </c>
      <c r="Z166" s="32">
        <v>0</v>
      </c>
      <c r="AA166" s="32">
        <v>0</v>
      </c>
      <c r="AB166" s="32">
        <v>0</v>
      </c>
      <c r="AC166" s="32">
        <v>7840.0000000000009</v>
      </c>
      <c r="AD166" s="32">
        <v>0</v>
      </c>
      <c r="AE166" s="32">
        <v>7840.0000000000009</v>
      </c>
    </row>
    <row r="167" spans="2:31" x14ac:dyDescent="0.3">
      <c r="B167" t="s">
        <v>496</v>
      </c>
      <c r="C167" t="s">
        <v>568</v>
      </c>
      <c r="D167" t="s">
        <v>583</v>
      </c>
      <c r="E167" t="s">
        <v>275</v>
      </c>
      <c r="F167">
        <v>6400</v>
      </c>
      <c r="G167" t="s">
        <v>715</v>
      </c>
      <c r="H167">
        <v>100</v>
      </c>
      <c r="I167" s="32">
        <v>2.4500000000000002</v>
      </c>
      <c r="J167" s="32">
        <v>245</v>
      </c>
      <c r="K167" s="32">
        <v>15680</v>
      </c>
      <c r="R167">
        <v>0</v>
      </c>
      <c r="S167">
        <v>0.5</v>
      </c>
      <c r="U167">
        <v>0.5</v>
      </c>
      <c r="V167" s="32">
        <v>0</v>
      </c>
      <c r="W167" s="32">
        <v>0</v>
      </c>
      <c r="X167" s="32">
        <v>0</v>
      </c>
      <c r="Y167" s="32">
        <v>0</v>
      </c>
      <c r="Z167" s="32">
        <v>0</v>
      </c>
      <c r="AA167" s="32">
        <v>0</v>
      </c>
      <c r="AB167" s="32">
        <v>0</v>
      </c>
      <c r="AC167" s="32">
        <v>7840.0000000000009</v>
      </c>
      <c r="AD167" s="32">
        <v>0</v>
      </c>
      <c r="AE167" s="32">
        <v>7840.0000000000009</v>
      </c>
    </row>
    <row r="168" spans="2:31" x14ac:dyDescent="0.3">
      <c r="B168" t="s">
        <v>496</v>
      </c>
      <c r="C168" t="s">
        <v>568</v>
      </c>
      <c r="D168" t="s">
        <v>577</v>
      </c>
      <c r="E168" t="s">
        <v>275</v>
      </c>
      <c r="F168">
        <v>1280</v>
      </c>
      <c r="G168" t="s">
        <v>715</v>
      </c>
      <c r="H168">
        <v>20</v>
      </c>
      <c r="I168" s="32">
        <v>9.07</v>
      </c>
      <c r="J168" s="32">
        <v>181.4</v>
      </c>
      <c r="K168" s="32">
        <v>11609.6</v>
      </c>
      <c r="R168">
        <v>0</v>
      </c>
      <c r="S168">
        <v>0.5</v>
      </c>
      <c r="U168">
        <v>0.5</v>
      </c>
      <c r="V168" s="32">
        <v>0</v>
      </c>
      <c r="W168" s="32">
        <v>0</v>
      </c>
      <c r="X168" s="32">
        <v>0</v>
      </c>
      <c r="Y168" s="32">
        <v>0</v>
      </c>
      <c r="Z168" s="32">
        <v>0</v>
      </c>
      <c r="AA168" s="32">
        <v>0</v>
      </c>
      <c r="AB168" s="32">
        <v>0</v>
      </c>
      <c r="AC168" s="32">
        <v>5804.8</v>
      </c>
      <c r="AD168" s="32">
        <v>0</v>
      </c>
      <c r="AE168" s="32">
        <v>5804.8</v>
      </c>
    </row>
    <row r="169" spans="2:31" x14ac:dyDescent="0.3">
      <c r="B169" t="s">
        <v>496</v>
      </c>
      <c r="C169" t="s">
        <v>568</v>
      </c>
      <c r="D169" t="s">
        <v>578</v>
      </c>
      <c r="E169" t="s">
        <v>275</v>
      </c>
      <c r="F169">
        <v>1280</v>
      </c>
      <c r="G169" t="s">
        <v>715</v>
      </c>
      <c r="H169">
        <v>20</v>
      </c>
      <c r="I169" s="32">
        <v>9.07</v>
      </c>
      <c r="J169" s="32">
        <v>181.4</v>
      </c>
      <c r="K169" s="32">
        <v>11609.6</v>
      </c>
      <c r="R169">
        <v>0</v>
      </c>
      <c r="S169">
        <v>0.5</v>
      </c>
      <c r="U169">
        <v>0.5</v>
      </c>
      <c r="V169" s="32">
        <v>0</v>
      </c>
      <c r="W169" s="32">
        <v>0</v>
      </c>
      <c r="X169" s="32">
        <v>0</v>
      </c>
      <c r="Y169" s="32">
        <v>0</v>
      </c>
      <c r="Z169" s="32">
        <v>0</v>
      </c>
      <c r="AA169" s="32">
        <v>0</v>
      </c>
      <c r="AB169" s="32">
        <v>0</v>
      </c>
      <c r="AC169" s="32">
        <v>5804.8</v>
      </c>
      <c r="AD169" s="32">
        <v>0</v>
      </c>
      <c r="AE169" s="32">
        <v>5804.8</v>
      </c>
    </row>
    <row r="170" spans="2:31" x14ac:dyDescent="0.3">
      <c r="B170" t="s">
        <v>496</v>
      </c>
      <c r="C170" t="s">
        <v>568</v>
      </c>
      <c r="D170" t="s">
        <v>579</v>
      </c>
      <c r="E170" t="s">
        <v>275</v>
      </c>
      <c r="F170">
        <v>1280</v>
      </c>
      <c r="G170" t="s">
        <v>715</v>
      </c>
      <c r="H170">
        <v>20</v>
      </c>
      <c r="I170" s="32">
        <v>9.07</v>
      </c>
      <c r="J170" s="32">
        <v>181.4</v>
      </c>
      <c r="K170" s="32">
        <v>11609.6</v>
      </c>
      <c r="R170">
        <v>0</v>
      </c>
      <c r="S170">
        <v>0.5</v>
      </c>
      <c r="U170">
        <v>0.5</v>
      </c>
      <c r="V170" s="32">
        <v>0</v>
      </c>
      <c r="W170" s="32">
        <v>0</v>
      </c>
      <c r="X170" s="32">
        <v>0</v>
      </c>
      <c r="Y170" s="32">
        <v>0</v>
      </c>
      <c r="Z170" s="32">
        <v>0</v>
      </c>
      <c r="AA170" s="32">
        <v>0</v>
      </c>
      <c r="AB170" s="32">
        <v>0</v>
      </c>
      <c r="AC170" s="32">
        <v>5804.8</v>
      </c>
      <c r="AD170" s="32">
        <v>0</v>
      </c>
      <c r="AE170" s="32">
        <v>5804.8</v>
      </c>
    </row>
    <row r="171" spans="2:31" x14ac:dyDescent="0.3">
      <c r="B171" t="s">
        <v>496</v>
      </c>
      <c r="C171" t="s">
        <v>568</v>
      </c>
      <c r="D171" t="s">
        <v>580</v>
      </c>
      <c r="E171" t="s">
        <v>275</v>
      </c>
      <c r="F171">
        <v>1235.2</v>
      </c>
      <c r="G171" t="s">
        <v>715</v>
      </c>
      <c r="H171">
        <v>19.3</v>
      </c>
      <c r="I171" s="32">
        <v>9.07</v>
      </c>
      <c r="J171" s="32">
        <v>175.05099999999999</v>
      </c>
      <c r="K171" s="32">
        <v>11203.263999999999</v>
      </c>
      <c r="R171">
        <v>0</v>
      </c>
      <c r="S171">
        <v>0.5</v>
      </c>
      <c r="U171">
        <v>0.5</v>
      </c>
      <c r="V171" s="32">
        <v>0</v>
      </c>
      <c r="W171" s="32">
        <v>0</v>
      </c>
      <c r="X171" s="32">
        <v>0</v>
      </c>
      <c r="Y171" s="32">
        <v>0</v>
      </c>
      <c r="Z171" s="32">
        <v>0</v>
      </c>
      <c r="AA171" s="32">
        <v>0</v>
      </c>
      <c r="AB171" s="32">
        <v>0</v>
      </c>
      <c r="AC171" s="32">
        <v>5601.6320000000014</v>
      </c>
      <c r="AD171" s="32">
        <v>0</v>
      </c>
      <c r="AE171" s="32">
        <v>5601.6320000000014</v>
      </c>
    </row>
    <row r="172" spans="2:31" x14ac:dyDescent="0.3">
      <c r="B172" t="s">
        <v>496</v>
      </c>
      <c r="C172" t="s">
        <v>568</v>
      </c>
      <c r="D172" t="s">
        <v>718</v>
      </c>
      <c r="E172" t="s">
        <v>275</v>
      </c>
      <c r="F172">
        <v>320</v>
      </c>
      <c r="G172" t="s">
        <v>477</v>
      </c>
      <c r="H172">
        <v>5</v>
      </c>
      <c r="I172" s="32">
        <v>7.5</v>
      </c>
      <c r="J172" s="32">
        <v>37.5</v>
      </c>
      <c r="K172" s="32">
        <v>2400</v>
      </c>
      <c r="R172">
        <v>0</v>
      </c>
      <c r="S172">
        <v>0.5</v>
      </c>
      <c r="U172">
        <v>0.5</v>
      </c>
      <c r="V172" s="32">
        <v>0</v>
      </c>
      <c r="W172" s="32">
        <v>0</v>
      </c>
      <c r="X172" s="32">
        <v>0</v>
      </c>
      <c r="Y172" s="32">
        <v>0</v>
      </c>
      <c r="Z172" s="32">
        <v>0</v>
      </c>
      <c r="AA172" s="32">
        <v>0</v>
      </c>
      <c r="AB172" s="32">
        <v>0</v>
      </c>
      <c r="AC172" s="32">
        <v>1200</v>
      </c>
      <c r="AD172" s="32">
        <v>0</v>
      </c>
      <c r="AE172" s="32">
        <v>1200</v>
      </c>
    </row>
    <row r="173" spans="2:31" x14ac:dyDescent="0.3">
      <c r="B173" t="s">
        <v>496</v>
      </c>
      <c r="C173" t="s">
        <v>568</v>
      </c>
      <c r="D173" t="s">
        <v>575</v>
      </c>
      <c r="E173" t="s">
        <v>275</v>
      </c>
      <c r="F173">
        <v>384</v>
      </c>
      <c r="G173" t="s">
        <v>715</v>
      </c>
      <c r="H173">
        <v>6</v>
      </c>
      <c r="I173" s="32">
        <v>1.33</v>
      </c>
      <c r="J173" s="32">
        <v>7.98</v>
      </c>
      <c r="K173" s="32">
        <v>510.72</v>
      </c>
      <c r="R173">
        <v>0</v>
      </c>
      <c r="S173">
        <v>0.5</v>
      </c>
      <c r="U173">
        <v>0.5</v>
      </c>
      <c r="V173" s="32">
        <v>0</v>
      </c>
      <c r="W173" s="32">
        <v>0</v>
      </c>
      <c r="X173" s="32">
        <v>0</v>
      </c>
      <c r="Y173" s="32">
        <v>0</v>
      </c>
      <c r="Z173" s="32">
        <v>0</v>
      </c>
      <c r="AA173" s="32">
        <v>0</v>
      </c>
      <c r="AB173" s="32">
        <v>0</v>
      </c>
      <c r="AC173" s="32">
        <v>255.36</v>
      </c>
      <c r="AD173" s="32">
        <v>0</v>
      </c>
      <c r="AE173" s="32">
        <v>255.36</v>
      </c>
    </row>
    <row r="174" spans="2:31" x14ac:dyDescent="0.3">
      <c r="B174" t="s">
        <v>496</v>
      </c>
      <c r="C174" t="s">
        <v>568</v>
      </c>
      <c r="D174" t="s">
        <v>576</v>
      </c>
      <c r="E174" t="s">
        <v>275</v>
      </c>
      <c r="F174">
        <v>384</v>
      </c>
      <c r="G174" t="s">
        <v>715</v>
      </c>
      <c r="H174">
        <v>6</v>
      </c>
      <c r="I174" s="32">
        <v>1.33</v>
      </c>
      <c r="J174" s="32">
        <v>7.98</v>
      </c>
      <c r="K174" s="32">
        <v>510.72</v>
      </c>
      <c r="R174">
        <v>0</v>
      </c>
      <c r="S174">
        <v>0.5</v>
      </c>
      <c r="U174">
        <v>0.5</v>
      </c>
      <c r="V174" s="32">
        <v>0</v>
      </c>
      <c r="W174" s="32">
        <v>0</v>
      </c>
      <c r="X174" s="32">
        <v>0</v>
      </c>
      <c r="Y174" s="32">
        <v>0</v>
      </c>
      <c r="Z174" s="32">
        <v>0</v>
      </c>
      <c r="AA174" s="32">
        <v>0</v>
      </c>
      <c r="AB174" s="32">
        <v>0</v>
      </c>
      <c r="AC174" s="32">
        <v>255.36</v>
      </c>
      <c r="AD174" s="32">
        <v>0</v>
      </c>
      <c r="AE174" s="32">
        <v>255.36</v>
      </c>
    </row>
    <row r="175" spans="2:31" x14ac:dyDescent="0.3">
      <c r="B175" t="s">
        <v>496</v>
      </c>
      <c r="C175" t="s">
        <v>568</v>
      </c>
      <c r="D175" t="s">
        <v>584</v>
      </c>
      <c r="E175" t="s">
        <v>275</v>
      </c>
      <c r="F175">
        <v>256</v>
      </c>
      <c r="G175" t="s">
        <v>715</v>
      </c>
      <c r="H175">
        <v>4</v>
      </c>
      <c r="I175" s="32">
        <v>3.47</v>
      </c>
      <c r="J175" s="32">
        <v>13.88</v>
      </c>
      <c r="K175" s="32">
        <v>888.32</v>
      </c>
      <c r="R175">
        <v>0</v>
      </c>
      <c r="S175">
        <v>0.5</v>
      </c>
      <c r="U175">
        <v>0.5</v>
      </c>
      <c r="V175" s="32">
        <v>0</v>
      </c>
      <c r="W175" s="32">
        <v>0</v>
      </c>
      <c r="X175" s="32">
        <v>0</v>
      </c>
      <c r="Y175" s="32">
        <v>0</v>
      </c>
      <c r="Z175" s="32">
        <v>0</v>
      </c>
      <c r="AA175" s="32">
        <v>0</v>
      </c>
      <c r="AB175" s="32">
        <v>0</v>
      </c>
      <c r="AC175" s="32">
        <v>444.16</v>
      </c>
      <c r="AD175" s="32">
        <v>0</v>
      </c>
      <c r="AE175" s="32">
        <v>444.16</v>
      </c>
    </row>
    <row r="176" spans="2:31" x14ac:dyDescent="0.3">
      <c r="B176" t="s">
        <v>496</v>
      </c>
      <c r="C176" t="s">
        <v>568</v>
      </c>
      <c r="D176" t="s">
        <v>585</v>
      </c>
      <c r="E176" t="s">
        <v>275</v>
      </c>
      <c r="F176">
        <v>256</v>
      </c>
      <c r="G176" t="s">
        <v>715</v>
      </c>
      <c r="H176">
        <v>4</v>
      </c>
      <c r="I176" s="32">
        <v>3.47</v>
      </c>
      <c r="J176" s="32">
        <v>13.88</v>
      </c>
      <c r="K176" s="32">
        <v>888.32</v>
      </c>
      <c r="R176">
        <v>0</v>
      </c>
      <c r="S176">
        <v>0.5</v>
      </c>
      <c r="U176">
        <v>0.5</v>
      </c>
      <c r="V176" s="32">
        <v>0</v>
      </c>
      <c r="W176" s="32">
        <v>0</v>
      </c>
      <c r="X176" s="32">
        <v>0</v>
      </c>
      <c r="Y176" s="32">
        <v>0</v>
      </c>
      <c r="Z176" s="32">
        <v>0</v>
      </c>
      <c r="AA176" s="32">
        <v>0</v>
      </c>
      <c r="AB176" s="32">
        <v>0</v>
      </c>
      <c r="AC176" s="32">
        <v>444.16</v>
      </c>
      <c r="AD176" s="32">
        <v>0</v>
      </c>
      <c r="AE176" s="32">
        <v>444.16</v>
      </c>
    </row>
    <row r="177" spans="2:31" x14ac:dyDescent="0.3">
      <c r="B177" t="s">
        <v>496</v>
      </c>
      <c r="C177" t="s">
        <v>568</v>
      </c>
      <c r="D177" t="s">
        <v>586</v>
      </c>
      <c r="E177" t="s">
        <v>275</v>
      </c>
      <c r="F177">
        <v>256</v>
      </c>
      <c r="G177" t="s">
        <v>715</v>
      </c>
      <c r="H177">
        <v>4</v>
      </c>
      <c r="I177" s="32">
        <v>3.47</v>
      </c>
      <c r="J177" s="32">
        <v>13.88</v>
      </c>
      <c r="K177" s="32">
        <v>888.32</v>
      </c>
      <c r="R177">
        <v>0</v>
      </c>
      <c r="S177">
        <v>0.5</v>
      </c>
      <c r="U177">
        <v>0.5</v>
      </c>
      <c r="V177" s="32">
        <v>0</v>
      </c>
      <c r="W177" s="32">
        <v>0</v>
      </c>
      <c r="X177" s="32">
        <v>0</v>
      </c>
      <c r="Y177" s="32">
        <v>0</v>
      </c>
      <c r="Z177" s="32">
        <v>0</v>
      </c>
      <c r="AA177" s="32">
        <v>0</v>
      </c>
      <c r="AB177" s="32">
        <v>0</v>
      </c>
      <c r="AC177" s="32">
        <v>444.16</v>
      </c>
      <c r="AD177" s="32">
        <v>0</v>
      </c>
      <c r="AE177" s="32">
        <v>444.16</v>
      </c>
    </row>
    <row r="178" spans="2:31" x14ac:dyDescent="0.3">
      <c r="B178" t="s">
        <v>496</v>
      </c>
      <c r="C178" t="s">
        <v>568</v>
      </c>
      <c r="D178" t="s">
        <v>599</v>
      </c>
      <c r="E178" t="s">
        <v>275</v>
      </c>
      <c r="F178">
        <v>960</v>
      </c>
      <c r="G178" t="s">
        <v>87</v>
      </c>
      <c r="H178">
        <v>15</v>
      </c>
      <c r="I178" s="32">
        <v>7.88</v>
      </c>
      <c r="J178" s="32">
        <v>118.2</v>
      </c>
      <c r="K178" s="32">
        <v>7564.8</v>
      </c>
      <c r="R178">
        <v>0</v>
      </c>
      <c r="S178">
        <v>0.5</v>
      </c>
      <c r="U178">
        <v>0.5</v>
      </c>
      <c r="V178" s="32">
        <v>0</v>
      </c>
      <c r="W178" s="32">
        <v>0</v>
      </c>
      <c r="X178" s="32">
        <v>0</v>
      </c>
      <c r="Y178" s="32">
        <v>0</v>
      </c>
      <c r="Z178" s="32">
        <v>0</v>
      </c>
      <c r="AA178" s="32">
        <v>0</v>
      </c>
      <c r="AB178" s="32">
        <v>0</v>
      </c>
      <c r="AC178" s="32">
        <v>3782.4</v>
      </c>
      <c r="AD178" s="32">
        <v>0</v>
      </c>
      <c r="AE178" s="32">
        <v>3782.4</v>
      </c>
    </row>
    <row r="179" spans="2:31" x14ac:dyDescent="0.3">
      <c r="B179" t="s">
        <v>496</v>
      </c>
      <c r="C179" t="s">
        <v>568</v>
      </c>
      <c r="D179" t="s">
        <v>600</v>
      </c>
      <c r="E179" t="s">
        <v>275</v>
      </c>
      <c r="F179">
        <v>256</v>
      </c>
      <c r="G179" t="s">
        <v>87</v>
      </c>
      <c r="H179">
        <v>4</v>
      </c>
      <c r="I179" s="32">
        <v>9.5299999999999994</v>
      </c>
      <c r="J179" s="32">
        <v>38.119999999999997</v>
      </c>
      <c r="K179" s="32">
        <v>2439.6799999999998</v>
      </c>
      <c r="R179">
        <v>0</v>
      </c>
      <c r="S179">
        <v>0.5</v>
      </c>
      <c r="U179">
        <v>0.5</v>
      </c>
      <c r="V179" s="32">
        <v>0</v>
      </c>
      <c r="W179" s="32">
        <v>0</v>
      </c>
      <c r="X179" s="32">
        <v>0</v>
      </c>
      <c r="Y179" s="32">
        <v>0</v>
      </c>
      <c r="Z179" s="32">
        <v>0</v>
      </c>
      <c r="AA179" s="32">
        <v>0</v>
      </c>
      <c r="AB179" s="32">
        <v>0</v>
      </c>
      <c r="AC179" s="32">
        <v>1219.8399999999999</v>
      </c>
      <c r="AD179" s="32">
        <v>0</v>
      </c>
      <c r="AE179" s="32">
        <v>1219.8399999999999</v>
      </c>
    </row>
    <row r="180" spans="2:31" x14ac:dyDescent="0.3">
      <c r="B180" t="s">
        <v>496</v>
      </c>
      <c r="C180" t="s">
        <v>568</v>
      </c>
      <c r="D180" t="s">
        <v>591</v>
      </c>
      <c r="E180" t="s">
        <v>275</v>
      </c>
      <c r="F180">
        <v>128</v>
      </c>
      <c r="G180" t="s">
        <v>87</v>
      </c>
      <c r="H180">
        <v>2</v>
      </c>
      <c r="I180" s="32">
        <v>9.7100000000000009</v>
      </c>
      <c r="J180" s="32">
        <v>19.420000000000002</v>
      </c>
      <c r="K180" s="32">
        <v>1242.8800000000001</v>
      </c>
      <c r="R180">
        <v>0</v>
      </c>
      <c r="S180">
        <v>0.5</v>
      </c>
      <c r="U180">
        <v>0.5</v>
      </c>
      <c r="V180" s="32">
        <v>0</v>
      </c>
      <c r="W180" s="32">
        <v>0</v>
      </c>
      <c r="X180" s="32">
        <v>0</v>
      </c>
      <c r="Y180" s="32">
        <v>0</v>
      </c>
      <c r="Z180" s="32">
        <v>0</v>
      </c>
      <c r="AA180" s="32">
        <v>0</v>
      </c>
      <c r="AB180" s="32">
        <v>0</v>
      </c>
      <c r="AC180" s="32">
        <v>621.44000000000005</v>
      </c>
      <c r="AD180" s="32">
        <v>0</v>
      </c>
      <c r="AE180" s="32">
        <v>621.44000000000005</v>
      </c>
    </row>
    <row r="181" spans="2:31" x14ac:dyDescent="0.3">
      <c r="B181" t="s">
        <v>496</v>
      </c>
      <c r="C181" t="s">
        <v>568</v>
      </c>
      <c r="D181" t="s">
        <v>592</v>
      </c>
      <c r="E181" t="s">
        <v>275</v>
      </c>
      <c r="F181">
        <v>128</v>
      </c>
      <c r="G181" t="s">
        <v>87</v>
      </c>
      <c r="H181">
        <v>2</v>
      </c>
      <c r="I181" s="32">
        <v>22.34</v>
      </c>
      <c r="J181" s="32">
        <v>44.68</v>
      </c>
      <c r="K181" s="32">
        <v>2859.52</v>
      </c>
      <c r="R181">
        <v>0</v>
      </c>
      <c r="S181">
        <v>0.5</v>
      </c>
      <c r="U181">
        <v>0.5</v>
      </c>
      <c r="V181" s="32">
        <v>0</v>
      </c>
      <c r="W181" s="32">
        <v>0</v>
      </c>
      <c r="X181" s="32">
        <v>0</v>
      </c>
      <c r="Y181" s="32">
        <v>0</v>
      </c>
      <c r="Z181" s="32">
        <v>0</v>
      </c>
      <c r="AA181" s="32">
        <v>0</v>
      </c>
      <c r="AB181" s="32">
        <v>0</v>
      </c>
      <c r="AC181" s="32">
        <v>1429.76</v>
      </c>
      <c r="AD181" s="32">
        <v>0</v>
      </c>
      <c r="AE181" s="32">
        <v>1429.76</v>
      </c>
    </row>
    <row r="182" spans="2:31" x14ac:dyDescent="0.3">
      <c r="B182" t="s">
        <v>496</v>
      </c>
      <c r="C182" t="s">
        <v>568</v>
      </c>
      <c r="D182" t="s">
        <v>593</v>
      </c>
      <c r="E182" t="s">
        <v>275</v>
      </c>
      <c r="F182">
        <v>128</v>
      </c>
      <c r="G182" t="s">
        <v>87</v>
      </c>
      <c r="H182">
        <v>2</v>
      </c>
      <c r="I182" s="32">
        <v>17.149999999999999</v>
      </c>
      <c r="J182" s="32">
        <v>34.299999999999997</v>
      </c>
      <c r="K182" s="32">
        <v>2195.1999999999998</v>
      </c>
      <c r="R182">
        <v>0</v>
      </c>
      <c r="S182">
        <v>0.5</v>
      </c>
      <c r="U182">
        <v>0.5</v>
      </c>
      <c r="V182" s="32">
        <v>0</v>
      </c>
      <c r="W182" s="32">
        <v>0</v>
      </c>
      <c r="X182" s="32">
        <v>0</v>
      </c>
      <c r="Y182" s="32">
        <v>0</v>
      </c>
      <c r="Z182" s="32">
        <v>0</v>
      </c>
      <c r="AA182" s="32">
        <v>0</v>
      </c>
      <c r="AB182" s="32">
        <v>0</v>
      </c>
      <c r="AC182" s="32">
        <v>1097.5999999999999</v>
      </c>
      <c r="AD182" s="32">
        <v>0</v>
      </c>
      <c r="AE182" s="32">
        <v>1097.5999999999999</v>
      </c>
    </row>
    <row r="183" spans="2:31" x14ac:dyDescent="0.3">
      <c r="B183" t="s">
        <v>496</v>
      </c>
      <c r="C183" t="s">
        <v>568</v>
      </c>
      <c r="D183" t="s">
        <v>603</v>
      </c>
      <c r="E183" t="s">
        <v>275</v>
      </c>
      <c r="F183">
        <v>704</v>
      </c>
      <c r="G183" t="s">
        <v>87</v>
      </c>
      <c r="H183">
        <v>11</v>
      </c>
      <c r="I183" s="32">
        <v>14.5</v>
      </c>
      <c r="J183" s="32">
        <v>159.5</v>
      </c>
      <c r="K183" s="32">
        <v>10208</v>
      </c>
      <c r="R183">
        <v>0</v>
      </c>
      <c r="S183">
        <v>0.5</v>
      </c>
      <c r="U183">
        <v>0.5</v>
      </c>
      <c r="V183" s="32">
        <v>0</v>
      </c>
      <c r="W183" s="32">
        <v>0</v>
      </c>
      <c r="X183" s="32">
        <v>0</v>
      </c>
      <c r="Y183" s="32">
        <v>0</v>
      </c>
      <c r="Z183" s="32">
        <v>0</v>
      </c>
      <c r="AA183" s="32">
        <v>0</v>
      </c>
      <c r="AB183" s="32">
        <v>0</v>
      </c>
      <c r="AC183" s="32">
        <v>5104</v>
      </c>
      <c r="AD183" s="32">
        <v>0</v>
      </c>
      <c r="AE183" s="32">
        <v>5104</v>
      </c>
    </row>
    <row r="184" spans="2:31" x14ac:dyDescent="0.3">
      <c r="B184" t="s">
        <v>496</v>
      </c>
      <c r="C184" t="s">
        <v>568</v>
      </c>
      <c r="D184" t="s">
        <v>598</v>
      </c>
      <c r="E184" t="s">
        <v>275</v>
      </c>
      <c r="F184">
        <v>64</v>
      </c>
      <c r="G184" t="s">
        <v>87</v>
      </c>
      <c r="H184">
        <v>1</v>
      </c>
      <c r="I184" s="32">
        <v>12.99</v>
      </c>
      <c r="J184" s="32">
        <v>12.99</v>
      </c>
      <c r="K184" s="32">
        <v>831.36</v>
      </c>
      <c r="R184">
        <v>0</v>
      </c>
      <c r="S184">
        <v>0.5</v>
      </c>
      <c r="U184">
        <v>0.5</v>
      </c>
      <c r="V184" s="32">
        <v>0</v>
      </c>
      <c r="W184" s="32">
        <v>0</v>
      </c>
      <c r="X184" s="32">
        <v>0</v>
      </c>
      <c r="Y184" s="32">
        <v>0</v>
      </c>
      <c r="Z184" s="32">
        <v>0</v>
      </c>
      <c r="AA184" s="32">
        <v>0</v>
      </c>
      <c r="AB184" s="32">
        <v>0</v>
      </c>
      <c r="AC184" s="32">
        <v>415.68</v>
      </c>
      <c r="AD184" s="32">
        <v>0</v>
      </c>
      <c r="AE184" s="32">
        <v>415.68</v>
      </c>
    </row>
    <row r="185" spans="2:31" x14ac:dyDescent="0.3">
      <c r="B185" t="s">
        <v>496</v>
      </c>
      <c r="C185" t="s">
        <v>568</v>
      </c>
      <c r="D185" t="s">
        <v>597</v>
      </c>
      <c r="E185" t="s">
        <v>275</v>
      </c>
      <c r="F185">
        <v>64</v>
      </c>
      <c r="G185" t="s">
        <v>87</v>
      </c>
      <c r="H185">
        <v>1</v>
      </c>
      <c r="I185" s="32">
        <v>5.05</v>
      </c>
      <c r="J185" s="32">
        <v>5.05</v>
      </c>
      <c r="K185" s="32">
        <v>323.2</v>
      </c>
      <c r="R185">
        <v>0</v>
      </c>
      <c r="S185">
        <v>0.5</v>
      </c>
      <c r="U185">
        <v>0.5</v>
      </c>
      <c r="V185" s="32">
        <v>0</v>
      </c>
      <c r="W185" s="32">
        <v>0</v>
      </c>
      <c r="X185" s="32">
        <v>0</v>
      </c>
      <c r="Y185" s="32">
        <v>0</v>
      </c>
      <c r="Z185" s="32">
        <v>0</v>
      </c>
      <c r="AA185" s="32">
        <v>0</v>
      </c>
      <c r="AB185" s="32">
        <v>0</v>
      </c>
      <c r="AC185" s="32">
        <v>161.6</v>
      </c>
      <c r="AD185" s="32">
        <v>0</v>
      </c>
      <c r="AE185" s="32">
        <v>161.6</v>
      </c>
    </row>
    <row r="186" spans="2:31" x14ac:dyDescent="0.3">
      <c r="B186" t="s">
        <v>496</v>
      </c>
      <c r="C186" t="s">
        <v>568</v>
      </c>
      <c r="D186" t="s">
        <v>602</v>
      </c>
      <c r="E186" t="s">
        <v>275</v>
      </c>
      <c r="F186">
        <v>64</v>
      </c>
      <c r="G186" t="s">
        <v>87</v>
      </c>
      <c r="H186">
        <v>1</v>
      </c>
      <c r="I186" s="32">
        <v>5.67</v>
      </c>
      <c r="J186" s="32">
        <v>5.67</v>
      </c>
      <c r="K186" s="32">
        <v>362.88</v>
      </c>
      <c r="R186">
        <v>0</v>
      </c>
      <c r="S186">
        <v>0.5</v>
      </c>
      <c r="U186">
        <v>0.5</v>
      </c>
      <c r="V186" s="32">
        <v>0</v>
      </c>
      <c r="W186" s="32">
        <v>0</v>
      </c>
      <c r="X186" s="32">
        <v>0</v>
      </c>
      <c r="Y186" s="32">
        <v>0</v>
      </c>
      <c r="Z186" s="32">
        <v>0</v>
      </c>
      <c r="AA186" s="32">
        <v>0</v>
      </c>
      <c r="AB186" s="32">
        <v>0</v>
      </c>
      <c r="AC186" s="32">
        <v>181.44</v>
      </c>
      <c r="AD186" s="32">
        <v>0</v>
      </c>
      <c r="AE186" s="32">
        <v>181.44</v>
      </c>
    </row>
    <row r="187" spans="2:31" x14ac:dyDescent="0.3">
      <c r="B187" t="s">
        <v>496</v>
      </c>
      <c r="C187" t="s">
        <v>568</v>
      </c>
      <c r="D187" t="s">
        <v>588</v>
      </c>
      <c r="E187" t="s">
        <v>275</v>
      </c>
      <c r="F187">
        <v>192</v>
      </c>
      <c r="G187" t="s">
        <v>87</v>
      </c>
      <c r="H187">
        <v>3</v>
      </c>
      <c r="I187" s="32">
        <v>11.9</v>
      </c>
      <c r="J187" s="32">
        <v>35.700000000000003</v>
      </c>
      <c r="K187" s="32">
        <v>2284.8000000000002</v>
      </c>
      <c r="R187">
        <v>0</v>
      </c>
      <c r="S187">
        <v>0.5</v>
      </c>
      <c r="U187">
        <v>0.5</v>
      </c>
      <c r="V187" s="32">
        <v>0</v>
      </c>
      <c r="W187" s="32">
        <v>0</v>
      </c>
      <c r="X187" s="32">
        <v>0</v>
      </c>
      <c r="Y187" s="32">
        <v>0</v>
      </c>
      <c r="Z187" s="32">
        <v>0</v>
      </c>
      <c r="AA187" s="32">
        <v>0</v>
      </c>
      <c r="AB187" s="32">
        <v>0</v>
      </c>
      <c r="AC187" s="32">
        <v>1142.4000000000001</v>
      </c>
      <c r="AD187" s="32">
        <v>0</v>
      </c>
      <c r="AE187" s="32">
        <v>1142.4000000000001</v>
      </c>
    </row>
    <row r="188" spans="2:31" x14ac:dyDescent="0.3">
      <c r="B188" t="s">
        <v>496</v>
      </c>
      <c r="C188" t="s">
        <v>568</v>
      </c>
      <c r="D188" t="s">
        <v>589</v>
      </c>
      <c r="E188" t="s">
        <v>275</v>
      </c>
      <c r="F188">
        <v>64</v>
      </c>
      <c r="G188" t="s">
        <v>87</v>
      </c>
      <c r="H188">
        <v>1</v>
      </c>
      <c r="I188" s="32">
        <v>15.07</v>
      </c>
      <c r="J188" s="32">
        <v>15.07</v>
      </c>
      <c r="K188" s="32">
        <v>964.48</v>
      </c>
      <c r="R188">
        <v>0</v>
      </c>
      <c r="S188">
        <v>0.5</v>
      </c>
      <c r="U188">
        <v>0.5</v>
      </c>
      <c r="V188" s="32">
        <v>0</v>
      </c>
      <c r="W188" s="32">
        <v>0</v>
      </c>
      <c r="X188" s="32">
        <v>0</v>
      </c>
      <c r="Y188" s="32">
        <v>0</v>
      </c>
      <c r="Z188" s="32">
        <v>0</v>
      </c>
      <c r="AA188" s="32">
        <v>0</v>
      </c>
      <c r="AB188" s="32">
        <v>0</v>
      </c>
      <c r="AC188" s="32">
        <v>482.24</v>
      </c>
      <c r="AD188" s="32">
        <v>0</v>
      </c>
      <c r="AE188" s="32">
        <v>482.24</v>
      </c>
    </row>
    <row r="189" spans="2:31" x14ac:dyDescent="0.3">
      <c r="B189" t="s">
        <v>496</v>
      </c>
      <c r="C189" t="s">
        <v>568</v>
      </c>
      <c r="D189" t="s">
        <v>594</v>
      </c>
      <c r="E189" t="s">
        <v>275</v>
      </c>
      <c r="F189">
        <v>64</v>
      </c>
      <c r="G189" t="s">
        <v>87</v>
      </c>
      <c r="H189">
        <v>1</v>
      </c>
      <c r="I189" s="32">
        <v>17.25</v>
      </c>
      <c r="J189" s="32">
        <v>17.25</v>
      </c>
      <c r="K189" s="32">
        <v>1104</v>
      </c>
      <c r="R189">
        <v>0</v>
      </c>
      <c r="S189">
        <v>0.5</v>
      </c>
      <c r="U189">
        <v>0.5</v>
      </c>
      <c r="V189" s="32">
        <v>0</v>
      </c>
      <c r="W189" s="32">
        <v>0</v>
      </c>
      <c r="X189" s="32">
        <v>0</v>
      </c>
      <c r="Y189" s="32">
        <v>0</v>
      </c>
      <c r="Z189" s="32">
        <v>0</v>
      </c>
      <c r="AA189" s="32">
        <v>0</v>
      </c>
      <c r="AB189" s="32">
        <v>0</v>
      </c>
      <c r="AC189" s="32">
        <v>552</v>
      </c>
      <c r="AD189" s="32">
        <v>0</v>
      </c>
      <c r="AE189" s="32">
        <v>552</v>
      </c>
    </row>
    <row r="190" spans="2:31" x14ac:dyDescent="0.3">
      <c r="B190" t="s">
        <v>496</v>
      </c>
      <c r="C190" t="s">
        <v>568</v>
      </c>
      <c r="D190" t="s">
        <v>719</v>
      </c>
      <c r="E190" t="s">
        <v>275</v>
      </c>
      <c r="F190">
        <v>64</v>
      </c>
      <c r="G190">
        <v>1</v>
      </c>
      <c r="H190">
        <v>1</v>
      </c>
      <c r="I190" s="32">
        <v>65.78</v>
      </c>
      <c r="J190" s="32">
        <v>65.78</v>
      </c>
      <c r="K190" s="32">
        <v>4209.92</v>
      </c>
      <c r="R190">
        <v>0</v>
      </c>
      <c r="S190">
        <v>0.5</v>
      </c>
      <c r="U190">
        <v>0.5</v>
      </c>
      <c r="V190" s="32">
        <v>0</v>
      </c>
      <c r="W190" s="32">
        <v>0</v>
      </c>
      <c r="X190" s="32">
        <v>0</v>
      </c>
      <c r="Y190" s="32">
        <v>0</v>
      </c>
      <c r="Z190" s="32">
        <v>0</v>
      </c>
      <c r="AA190" s="32">
        <v>0</v>
      </c>
      <c r="AB190" s="32">
        <v>0</v>
      </c>
      <c r="AC190" s="32">
        <v>2104.96</v>
      </c>
      <c r="AD190" s="32">
        <v>0</v>
      </c>
      <c r="AE190" s="32">
        <v>2104.96</v>
      </c>
    </row>
    <row r="191" spans="2:31" x14ac:dyDescent="0.3">
      <c r="B191" t="s">
        <v>496</v>
      </c>
      <c r="C191" t="s">
        <v>568</v>
      </c>
      <c r="D191" t="s">
        <v>720</v>
      </c>
      <c r="E191" t="s">
        <v>275</v>
      </c>
      <c r="F191">
        <v>64</v>
      </c>
      <c r="G191">
        <v>1</v>
      </c>
      <c r="H191">
        <v>1</v>
      </c>
      <c r="I191" s="32">
        <v>130</v>
      </c>
      <c r="J191" s="32">
        <v>130</v>
      </c>
      <c r="K191" s="32">
        <v>8320</v>
      </c>
      <c r="R191">
        <v>0</v>
      </c>
      <c r="S191">
        <v>0.5</v>
      </c>
      <c r="U191">
        <v>0.5</v>
      </c>
      <c r="V191" s="32">
        <v>0</v>
      </c>
      <c r="W191" s="32">
        <v>0</v>
      </c>
      <c r="X191" s="32">
        <v>0</v>
      </c>
      <c r="Y191" s="32">
        <v>0</v>
      </c>
      <c r="Z191" s="32">
        <v>0</v>
      </c>
      <c r="AA191" s="32">
        <v>0</v>
      </c>
      <c r="AB191" s="32">
        <v>0</v>
      </c>
      <c r="AC191" s="32">
        <v>4160</v>
      </c>
      <c r="AD191" s="32">
        <v>0</v>
      </c>
      <c r="AE191" s="32">
        <v>4160</v>
      </c>
    </row>
    <row r="192" spans="2:31" x14ac:dyDescent="0.3">
      <c r="B192" t="s">
        <v>496</v>
      </c>
      <c r="C192" t="s">
        <v>568</v>
      </c>
      <c r="D192" t="s">
        <v>587</v>
      </c>
      <c r="E192" t="s">
        <v>275</v>
      </c>
      <c r="F192">
        <v>64</v>
      </c>
      <c r="G192" t="s">
        <v>87</v>
      </c>
      <c r="H192">
        <v>1</v>
      </c>
      <c r="I192" s="32">
        <v>39.9</v>
      </c>
      <c r="J192" s="32">
        <v>39.9</v>
      </c>
      <c r="K192" s="32">
        <v>2553.6</v>
      </c>
      <c r="R192">
        <v>0</v>
      </c>
      <c r="S192">
        <v>0.5</v>
      </c>
      <c r="U192">
        <v>0.5</v>
      </c>
      <c r="V192" s="32">
        <v>0</v>
      </c>
      <c r="W192" s="32">
        <v>0</v>
      </c>
      <c r="X192" s="32">
        <v>0</v>
      </c>
      <c r="Y192" s="32">
        <v>0</v>
      </c>
      <c r="Z192" s="32">
        <v>0</v>
      </c>
      <c r="AA192" s="32">
        <v>0</v>
      </c>
      <c r="AB192" s="32">
        <v>0</v>
      </c>
      <c r="AC192" s="32">
        <v>1276.8</v>
      </c>
      <c r="AD192" s="32">
        <v>0</v>
      </c>
      <c r="AE192" s="32">
        <v>1276.8</v>
      </c>
    </row>
    <row r="193" spans="2:31" x14ac:dyDescent="0.3">
      <c r="B193" t="s">
        <v>496</v>
      </c>
      <c r="C193" t="s">
        <v>568</v>
      </c>
      <c r="D193" t="s">
        <v>721</v>
      </c>
      <c r="E193" t="s">
        <v>275</v>
      </c>
      <c r="F193">
        <v>448</v>
      </c>
      <c r="G193" t="s">
        <v>87</v>
      </c>
      <c r="H193">
        <v>7</v>
      </c>
      <c r="I193" s="32">
        <v>7.51</v>
      </c>
      <c r="J193" s="32">
        <v>52.57</v>
      </c>
      <c r="K193" s="32">
        <v>3364.48</v>
      </c>
      <c r="R193">
        <v>0</v>
      </c>
      <c r="S193">
        <v>0.5</v>
      </c>
      <c r="U193">
        <v>0.5</v>
      </c>
      <c r="V193" s="32">
        <v>0</v>
      </c>
      <c r="W193" s="32">
        <v>0</v>
      </c>
      <c r="X193" s="32">
        <v>0</v>
      </c>
      <c r="Y193" s="32">
        <v>0</v>
      </c>
      <c r="Z193" s="32">
        <v>0</v>
      </c>
      <c r="AA193" s="32">
        <v>0</v>
      </c>
      <c r="AB193" s="32">
        <v>0</v>
      </c>
      <c r="AC193" s="32">
        <v>1682.24</v>
      </c>
      <c r="AD193" s="32">
        <v>0</v>
      </c>
      <c r="AE193" s="32">
        <v>1682.24</v>
      </c>
    </row>
    <row r="194" spans="2:31" x14ac:dyDescent="0.3">
      <c r="B194" t="s">
        <v>496</v>
      </c>
      <c r="C194" t="s">
        <v>568</v>
      </c>
      <c r="D194" t="s">
        <v>596</v>
      </c>
      <c r="E194" t="s">
        <v>275</v>
      </c>
      <c r="F194">
        <v>448</v>
      </c>
      <c r="G194" t="s">
        <v>87</v>
      </c>
      <c r="H194">
        <v>7</v>
      </c>
      <c r="I194" s="32">
        <v>6.9</v>
      </c>
      <c r="J194" s="32">
        <v>48.3</v>
      </c>
      <c r="K194" s="32">
        <v>3091.2</v>
      </c>
      <c r="R194">
        <v>0</v>
      </c>
      <c r="S194">
        <v>0.5</v>
      </c>
      <c r="U194">
        <v>0.5</v>
      </c>
      <c r="V194" s="32">
        <v>0</v>
      </c>
      <c r="W194" s="32">
        <v>0</v>
      </c>
      <c r="X194" s="32">
        <v>0</v>
      </c>
      <c r="Y194" s="32">
        <v>0</v>
      </c>
      <c r="Z194" s="32">
        <v>0</v>
      </c>
      <c r="AA194" s="32">
        <v>0</v>
      </c>
      <c r="AB194" s="32">
        <v>0</v>
      </c>
      <c r="AC194" s="32">
        <v>1545.6</v>
      </c>
      <c r="AD194" s="32">
        <v>0</v>
      </c>
      <c r="AE194" s="32">
        <v>1545.6</v>
      </c>
    </row>
    <row r="195" spans="2:31" x14ac:dyDescent="0.3">
      <c r="B195" t="s">
        <v>496</v>
      </c>
      <c r="C195" t="s">
        <v>568</v>
      </c>
      <c r="D195" t="s">
        <v>569</v>
      </c>
      <c r="E195" t="s">
        <v>275</v>
      </c>
      <c r="F195">
        <v>64</v>
      </c>
      <c r="G195" t="s">
        <v>87</v>
      </c>
      <c r="H195">
        <v>1</v>
      </c>
      <c r="I195" s="32">
        <v>20.9</v>
      </c>
      <c r="J195" s="32">
        <v>20.9</v>
      </c>
      <c r="K195" s="32">
        <v>1337.6</v>
      </c>
      <c r="R195">
        <v>0</v>
      </c>
      <c r="S195">
        <v>0.5</v>
      </c>
      <c r="U195">
        <v>0.5</v>
      </c>
      <c r="V195" s="32">
        <v>0</v>
      </c>
      <c r="W195" s="32">
        <v>0</v>
      </c>
      <c r="X195" s="32">
        <v>0</v>
      </c>
      <c r="Y195" s="32">
        <v>0</v>
      </c>
      <c r="Z195" s="32">
        <v>0</v>
      </c>
      <c r="AA195" s="32">
        <v>0</v>
      </c>
      <c r="AB195" s="32">
        <v>0</v>
      </c>
      <c r="AC195" s="32">
        <v>668.8</v>
      </c>
      <c r="AD195" s="32">
        <v>0</v>
      </c>
      <c r="AE195" s="32">
        <v>668.8</v>
      </c>
    </row>
    <row r="196" spans="2:31" x14ac:dyDescent="0.3">
      <c r="B196" t="s">
        <v>496</v>
      </c>
      <c r="C196" t="s">
        <v>568</v>
      </c>
      <c r="D196" t="s">
        <v>572</v>
      </c>
      <c r="E196" t="s">
        <v>275</v>
      </c>
      <c r="F196">
        <v>64</v>
      </c>
      <c r="G196" t="s">
        <v>87</v>
      </c>
      <c r="H196">
        <v>1</v>
      </c>
      <c r="I196" s="32">
        <v>16.899999999999999</v>
      </c>
      <c r="J196" s="32">
        <v>16.899999999999999</v>
      </c>
      <c r="K196" s="32">
        <v>1081.5999999999999</v>
      </c>
      <c r="R196">
        <v>0</v>
      </c>
      <c r="S196">
        <v>0.5</v>
      </c>
      <c r="U196">
        <v>0.5</v>
      </c>
      <c r="V196" s="32">
        <v>0</v>
      </c>
      <c r="W196" s="32">
        <v>0</v>
      </c>
      <c r="X196" s="32">
        <v>0</v>
      </c>
      <c r="Y196" s="32">
        <v>0</v>
      </c>
      <c r="Z196" s="32">
        <v>0</v>
      </c>
      <c r="AA196" s="32">
        <v>0</v>
      </c>
      <c r="AB196" s="32">
        <v>0</v>
      </c>
      <c r="AC196" s="32">
        <v>540.79999999999995</v>
      </c>
      <c r="AD196" s="32">
        <v>0</v>
      </c>
      <c r="AE196" s="32">
        <v>540.79999999999995</v>
      </c>
    </row>
    <row r="197" spans="2:31" x14ac:dyDescent="0.3">
      <c r="B197" t="s">
        <v>496</v>
      </c>
      <c r="C197" t="s">
        <v>676</v>
      </c>
      <c r="D197" t="s">
        <v>497</v>
      </c>
      <c r="E197" t="s">
        <v>215</v>
      </c>
      <c r="F197">
        <v>1600</v>
      </c>
      <c r="G197" t="s">
        <v>321</v>
      </c>
      <c r="H197">
        <v>25</v>
      </c>
      <c r="I197" s="32">
        <v>35</v>
      </c>
      <c r="J197" s="32">
        <v>875</v>
      </c>
      <c r="K197" s="32">
        <v>56000</v>
      </c>
      <c r="R197">
        <v>9.3700000000000006E-2</v>
      </c>
      <c r="S197">
        <v>9.3799999999999994E-2</v>
      </c>
      <c r="T197">
        <v>0.33695000000000003</v>
      </c>
      <c r="U197">
        <v>0.47554999999999997</v>
      </c>
      <c r="V197" s="32">
        <v>0</v>
      </c>
      <c r="W197" s="32">
        <v>0</v>
      </c>
      <c r="X197" s="32">
        <v>0</v>
      </c>
      <c r="Y197" s="32">
        <v>0</v>
      </c>
      <c r="Z197" s="32">
        <v>0</v>
      </c>
      <c r="AA197" s="32">
        <v>0</v>
      </c>
      <c r="AB197" s="32">
        <v>5247.2000000000007</v>
      </c>
      <c r="AC197" s="32">
        <v>5252.7999999999993</v>
      </c>
      <c r="AD197" s="32">
        <v>18869.2</v>
      </c>
      <c r="AE197" s="32">
        <v>26630.799999999999</v>
      </c>
    </row>
    <row r="198" spans="2:31" x14ac:dyDescent="0.3">
      <c r="B198" t="s">
        <v>496</v>
      </c>
      <c r="C198" t="s">
        <v>676</v>
      </c>
      <c r="D198" t="s">
        <v>501</v>
      </c>
      <c r="E198" t="s">
        <v>215</v>
      </c>
      <c r="F198">
        <v>1600</v>
      </c>
      <c r="G198" t="s">
        <v>321</v>
      </c>
      <c r="H198">
        <v>25</v>
      </c>
      <c r="I198" s="32">
        <v>15</v>
      </c>
      <c r="J198" s="32">
        <v>375</v>
      </c>
      <c r="K198" s="32">
        <v>24000</v>
      </c>
      <c r="R198">
        <v>9.3700000000000006E-2</v>
      </c>
      <c r="S198">
        <v>9.3799999999999994E-2</v>
      </c>
      <c r="T198">
        <v>0.33695000000000003</v>
      </c>
      <c r="U198">
        <v>0.47554999999999997</v>
      </c>
      <c r="V198" s="32">
        <v>0</v>
      </c>
      <c r="W198" s="32">
        <v>0</v>
      </c>
      <c r="X198" s="32">
        <v>0</v>
      </c>
      <c r="Y198" s="32">
        <v>0</v>
      </c>
      <c r="Z198" s="32">
        <v>0</v>
      </c>
      <c r="AA198" s="32">
        <v>0</v>
      </c>
      <c r="AB198" s="32">
        <v>2248.8000000000002</v>
      </c>
      <c r="AC198" s="32">
        <v>2251.1999999999998</v>
      </c>
      <c r="AD198" s="32">
        <v>8086.7999999999993</v>
      </c>
      <c r="AE198" s="32">
        <v>11413.2</v>
      </c>
    </row>
    <row r="199" spans="2:31" x14ac:dyDescent="0.3">
      <c r="D199" t="s">
        <v>469</v>
      </c>
      <c r="F199">
        <v>0</v>
      </c>
      <c r="J199" s="32">
        <v>0</v>
      </c>
      <c r="K199" s="32">
        <v>0</v>
      </c>
      <c r="V199" s="32">
        <v>0</v>
      </c>
      <c r="W199" s="32">
        <v>0</v>
      </c>
      <c r="X199" s="32">
        <v>0</v>
      </c>
      <c r="Y199" s="32">
        <v>0</v>
      </c>
      <c r="Z199" s="32">
        <v>0</v>
      </c>
      <c r="AA199" s="32">
        <v>0</v>
      </c>
      <c r="AB199" s="32">
        <v>0</v>
      </c>
      <c r="AC199" s="32">
        <v>0</v>
      </c>
      <c r="AD199" s="32">
        <v>0</v>
      </c>
      <c r="AE199" s="32">
        <v>0</v>
      </c>
    </row>
    <row r="200" spans="2:31" x14ac:dyDescent="0.3">
      <c r="B200" t="s">
        <v>517</v>
      </c>
      <c r="C200" t="s">
        <v>521</v>
      </c>
      <c r="D200" t="s">
        <v>522</v>
      </c>
      <c r="E200" t="s">
        <v>275</v>
      </c>
      <c r="F200">
        <v>64</v>
      </c>
      <c r="G200" t="s">
        <v>87</v>
      </c>
      <c r="H200">
        <v>1</v>
      </c>
      <c r="I200" s="32">
        <v>259.97000000000003</v>
      </c>
      <c r="J200" s="32">
        <v>259.97000000000003</v>
      </c>
      <c r="K200" s="32">
        <v>16638.080000000002</v>
      </c>
      <c r="Q200">
        <v>0</v>
      </c>
      <c r="R200">
        <v>0.5</v>
      </c>
      <c r="S200">
        <v>0</v>
      </c>
      <c r="T200">
        <v>0.5</v>
      </c>
      <c r="V200" s="32">
        <v>0</v>
      </c>
      <c r="W200" s="32">
        <v>0</v>
      </c>
      <c r="X200" s="32">
        <v>0</v>
      </c>
      <c r="Y200" s="32">
        <v>0</v>
      </c>
      <c r="Z200" s="32">
        <v>0</v>
      </c>
      <c r="AA200" s="32">
        <v>0</v>
      </c>
      <c r="AB200" s="32">
        <v>8319.0400000000009</v>
      </c>
      <c r="AC200" s="32">
        <v>0</v>
      </c>
      <c r="AD200" s="32">
        <v>8319.0400000000009</v>
      </c>
      <c r="AE200" s="32">
        <v>0</v>
      </c>
    </row>
    <row r="201" spans="2:31" x14ac:dyDescent="0.3">
      <c r="B201" t="s">
        <v>529</v>
      </c>
      <c r="C201" t="s">
        <v>521</v>
      </c>
      <c r="D201" t="s">
        <v>722</v>
      </c>
      <c r="E201" t="s">
        <v>275</v>
      </c>
      <c r="F201">
        <v>64</v>
      </c>
      <c r="G201" t="s">
        <v>87</v>
      </c>
      <c r="H201">
        <v>1</v>
      </c>
      <c r="I201" s="32">
        <v>76.900000000000006</v>
      </c>
      <c r="J201" s="32">
        <v>76.900000000000006</v>
      </c>
      <c r="K201" s="32">
        <v>4921.6000000000004</v>
      </c>
      <c r="Q201">
        <v>0</v>
      </c>
      <c r="R201">
        <v>0.5</v>
      </c>
      <c r="S201">
        <v>0</v>
      </c>
      <c r="T201">
        <v>0.5</v>
      </c>
      <c r="V201" s="32">
        <v>0</v>
      </c>
      <c r="W201" s="32">
        <v>0</v>
      </c>
      <c r="X201" s="32">
        <v>0</v>
      </c>
      <c r="Y201" s="32">
        <v>0</v>
      </c>
      <c r="Z201" s="32">
        <v>0</v>
      </c>
      <c r="AA201" s="32">
        <v>0</v>
      </c>
      <c r="AB201" s="32">
        <v>2460.8000000000002</v>
      </c>
      <c r="AC201" s="32">
        <v>0</v>
      </c>
      <c r="AD201" s="32">
        <v>2460.8000000000002</v>
      </c>
      <c r="AE201" s="32">
        <v>0</v>
      </c>
    </row>
    <row r="202" spans="2:31" x14ac:dyDescent="0.3">
      <c r="B202" t="s">
        <v>529</v>
      </c>
      <c r="C202" t="s">
        <v>521</v>
      </c>
      <c r="D202" t="s">
        <v>530</v>
      </c>
      <c r="E202" t="s">
        <v>275</v>
      </c>
      <c r="F202">
        <v>64</v>
      </c>
      <c r="G202" t="s">
        <v>87</v>
      </c>
      <c r="H202">
        <v>1</v>
      </c>
      <c r="I202" s="32">
        <v>72.900000000000006</v>
      </c>
      <c r="J202" s="32">
        <v>72.900000000000006</v>
      </c>
      <c r="K202" s="32">
        <v>4665.6000000000004</v>
      </c>
      <c r="Q202">
        <v>0</v>
      </c>
      <c r="R202">
        <v>0.5</v>
      </c>
      <c r="S202">
        <v>0</v>
      </c>
      <c r="T202">
        <v>0.5</v>
      </c>
      <c r="V202" s="32">
        <v>0</v>
      </c>
      <c r="W202" s="32">
        <v>0</v>
      </c>
      <c r="X202" s="32">
        <v>0</v>
      </c>
      <c r="Y202" s="32">
        <v>0</v>
      </c>
      <c r="Z202" s="32">
        <v>0</v>
      </c>
      <c r="AA202" s="32">
        <v>0</v>
      </c>
      <c r="AB202" s="32">
        <v>2332.8000000000002</v>
      </c>
      <c r="AC202" s="32">
        <v>0</v>
      </c>
      <c r="AD202" s="32">
        <v>2332.8000000000002</v>
      </c>
      <c r="AE202" s="32">
        <v>0</v>
      </c>
    </row>
    <row r="203" spans="2:31" x14ac:dyDescent="0.3">
      <c r="B203" t="s">
        <v>539</v>
      </c>
      <c r="C203" t="s">
        <v>521</v>
      </c>
      <c r="D203" t="s">
        <v>555</v>
      </c>
      <c r="E203" t="s">
        <v>275</v>
      </c>
      <c r="F203">
        <v>64</v>
      </c>
      <c r="G203" t="s">
        <v>87</v>
      </c>
      <c r="H203">
        <v>1</v>
      </c>
      <c r="I203" s="32">
        <v>152.25</v>
      </c>
      <c r="J203" s="32">
        <v>152.25</v>
      </c>
      <c r="K203" s="32">
        <v>9744</v>
      </c>
      <c r="Q203">
        <v>0</v>
      </c>
      <c r="R203">
        <v>0.5</v>
      </c>
      <c r="S203">
        <v>0</v>
      </c>
      <c r="T203">
        <v>0.5</v>
      </c>
      <c r="V203" s="32">
        <v>0</v>
      </c>
      <c r="W203" s="32">
        <v>0</v>
      </c>
      <c r="X203" s="32">
        <v>0</v>
      </c>
      <c r="Y203" s="32">
        <v>0</v>
      </c>
      <c r="Z203" s="32">
        <v>0</v>
      </c>
      <c r="AA203" s="32">
        <v>0</v>
      </c>
      <c r="AB203" s="32">
        <v>4872</v>
      </c>
      <c r="AC203" s="32">
        <v>0</v>
      </c>
      <c r="AD203" s="32">
        <v>4872</v>
      </c>
      <c r="AE203" s="32">
        <v>0</v>
      </c>
    </row>
    <row r="204" spans="2:31" x14ac:dyDescent="0.3">
      <c r="B204" t="s">
        <v>517</v>
      </c>
      <c r="C204" t="s">
        <v>132</v>
      </c>
      <c r="D204" t="s">
        <v>518</v>
      </c>
      <c r="E204" t="s">
        <v>275</v>
      </c>
      <c r="F204">
        <v>64</v>
      </c>
      <c r="G204" t="s">
        <v>87</v>
      </c>
      <c r="H204">
        <v>1</v>
      </c>
      <c r="I204" s="32">
        <v>7.17</v>
      </c>
      <c r="J204" s="32">
        <v>7.17</v>
      </c>
      <c r="K204" s="32">
        <v>458.88</v>
      </c>
      <c r="Q204">
        <v>0</v>
      </c>
      <c r="R204">
        <v>0.5</v>
      </c>
      <c r="S204">
        <v>0</v>
      </c>
      <c r="T204">
        <v>0.5</v>
      </c>
      <c r="V204" s="32">
        <v>0</v>
      </c>
      <c r="W204" s="32">
        <v>0</v>
      </c>
      <c r="X204" s="32">
        <v>0</v>
      </c>
      <c r="Y204" s="32">
        <v>0</v>
      </c>
      <c r="Z204" s="32">
        <v>0</v>
      </c>
      <c r="AA204" s="32">
        <v>0</v>
      </c>
      <c r="AB204" s="32">
        <v>229.44</v>
      </c>
      <c r="AC204" s="32">
        <v>0</v>
      </c>
      <c r="AD204" s="32">
        <v>229.44</v>
      </c>
      <c r="AE204" s="32">
        <v>0</v>
      </c>
    </row>
    <row r="205" spans="2:31" x14ac:dyDescent="0.3">
      <c r="B205" t="s">
        <v>517</v>
      </c>
      <c r="C205" t="s">
        <v>132</v>
      </c>
      <c r="D205" t="s">
        <v>533</v>
      </c>
      <c r="E205" t="s">
        <v>275</v>
      </c>
      <c r="F205">
        <v>64</v>
      </c>
      <c r="G205" t="s">
        <v>87</v>
      </c>
      <c r="H205">
        <v>1</v>
      </c>
      <c r="I205" s="32">
        <v>4.5</v>
      </c>
      <c r="J205" s="32">
        <v>4.5</v>
      </c>
      <c r="K205" s="32">
        <v>288</v>
      </c>
      <c r="Q205">
        <v>0</v>
      </c>
      <c r="R205">
        <v>0.5</v>
      </c>
      <c r="S205">
        <v>0</v>
      </c>
      <c r="T205">
        <v>0.5</v>
      </c>
      <c r="V205" s="32">
        <v>0</v>
      </c>
      <c r="W205" s="32">
        <v>0</v>
      </c>
      <c r="X205" s="32">
        <v>0</v>
      </c>
      <c r="Y205" s="32">
        <v>0</v>
      </c>
      <c r="Z205" s="32">
        <v>0</v>
      </c>
      <c r="AA205" s="32">
        <v>0</v>
      </c>
      <c r="AB205" s="32">
        <v>144</v>
      </c>
      <c r="AC205" s="32">
        <v>0</v>
      </c>
      <c r="AD205" s="32">
        <v>144</v>
      </c>
      <c r="AE205" s="32">
        <v>0</v>
      </c>
    </row>
    <row r="206" spans="2:31" x14ac:dyDescent="0.3">
      <c r="B206" t="s">
        <v>517</v>
      </c>
      <c r="C206" t="s">
        <v>132</v>
      </c>
      <c r="D206" t="s">
        <v>538</v>
      </c>
      <c r="E206" t="s">
        <v>275</v>
      </c>
      <c r="F206">
        <v>64</v>
      </c>
      <c r="G206" t="s">
        <v>87</v>
      </c>
      <c r="H206">
        <v>1</v>
      </c>
      <c r="I206" s="32">
        <v>14.57</v>
      </c>
      <c r="J206" s="32">
        <v>14.57</v>
      </c>
      <c r="K206" s="32">
        <v>932.48</v>
      </c>
      <c r="Q206">
        <v>0</v>
      </c>
      <c r="R206">
        <v>0.5</v>
      </c>
      <c r="S206">
        <v>0</v>
      </c>
      <c r="T206">
        <v>0.5</v>
      </c>
      <c r="V206" s="32">
        <v>0</v>
      </c>
      <c r="W206" s="32">
        <v>0</v>
      </c>
      <c r="X206" s="32">
        <v>0</v>
      </c>
      <c r="Y206" s="32">
        <v>0</v>
      </c>
      <c r="Z206" s="32">
        <v>0</v>
      </c>
      <c r="AA206" s="32">
        <v>0</v>
      </c>
      <c r="AB206" s="32">
        <v>466.24</v>
      </c>
      <c r="AC206" s="32">
        <v>0</v>
      </c>
      <c r="AD206" s="32">
        <v>466.24</v>
      </c>
      <c r="AE206" s="32">
        <v>0</v>
      </c>
    </row>
    <row r="207" spans="2:31" x14ac:dyDescent="0.3">
      <c r="B207" t="s">
        <v>517</v>
      </c>
      <c r="C207" t="s">
        <v>184</v>
      </c>
      <c r="D207" t="s">
        <v>549</v>
      </c>
      <c r="E207" t="s">
        <v>275</v>
      </c>
      <c r="F207">
        <v>32</v>
      </c>
      <c r="G207" t="s">
        <v>87</v>
      </c>
      <c r="H207">
        <v>0.5</v>
      </c>
      <c r="I207" s="32">
        <v>39.799999999999997</v>
      </c>
      <c r="J207" s="32">
        <v>19.899999999999999</v>
      </c>
      <c r="K207" s="32">
        <v>1273.5999999999999</v>
      </c>
      <c r="Q207">
        <v>0</v>
      </c>
      <c r="R207">
        <v>0.5</v>
      </c>
      <c r="S207">
        <v>0</v>
      </c>
      <c r="T207">
        <v>0.5</v>
      </c>
      <c r="V207" s="32">
        <v>0</v>
      </c>
      <c r="W207" s="32">
        <v>0</v>
      </c>
      <c r="X207" s="32">
        <v>0</v>
      </c>
      <c r="Y207" s="32">
        <v>0</v>
      </c>
      <c r="Z207" s="32">
        <v>0</v>
      </c>
      <c r="AA207" s="32">
        <v>0</v>
      </c>
      <c r="AB207" s="32">
        <v>636.79999999999995</v>
      </c>
      <c r="AC207" s="32">
        <v>0</v>
      </c>
      <c r="AD207" s="32">
        <v>636.79999999999995</v>
      </c>
      <c r="AE207" s="32">
        <v>0</v>
      </c>
    </row>
    <row r="208" spans="2:31" x14ac:dyDescent="0.3">
      <c r="B208" t="s">
        <v>517</v>
      </c>
      <c r="C208" t="s">
        <v>132</v>
      </c>
      <c r="D208" t="s">
        <v>564</v>
      </c>
      <c r="E208" t="s">
        <v>275</v>
      </c>
      <c r="F208">
        <v>19.2</v>
      </c>
      <c r="G208" t="s">
        <v>87</v>
      </c>
      <c r="H208">
        <v>0.3</v>
      </c>
      <c r="I208" s="32">
        <v>11.9</v>
      </c>
      <c r="J208" s="32">
        <v>3.57</v>
      </c>
      <c r="K208" s="32">
        <v>228.48</v>
      </c>
      <c r="Q208">
        <v>0</v>
      </c>
      <c r="R208">
        <v>0.5</v>
      </c>
      <c r="S208">
        <v>0</v>
      </c>
      <c r="T208">
        <v>0.5</v>
      </c>
      <c r="V208" s="32">
        <v>0</v>
      </c>
      <c r="W208" s="32">
        <v>0</v>
      </c>
      <c r="X208" s="32">
        <v>0</v>
      </c>
      <c r="Y208" s="32">
        <v>0</v>
      </c>
      <c r="Z208" s="32">
        <v>0</v>
      </c>
      <c r="AA208" s="32">
        <v>0</v>
      </c>
      <c r="AB208" s="32">
        <v>114.24</v>
      </c>
      <c r="AC208" s="32">
        <v>0</v>
      </c>
      <c r="AD208" s="32">
        <v>114.24</v>
      </c>
      <c r="AE208" s="32">
        <v>0</v>
      </c>
    </row>
    <row r="209" spans="2:31" x14ac:dyDescent="0.3">
      <c r="B209" t="s">
        <v>529</v>
      </c>
      <c r="C209" t="s">
        <v>132</v>
      </c>
      <c r="D209" t="s">
        <v>533</v>
      </c>
      <c r="E209" t="s">
        <v>275</v>
      </c>
      <c r="F209">
        <v>64</v>
      </c>
      <c r="G209" t="s">
        <v>87</v>
      </c>
      <c r="H209">
        <v>1</v>
      </c>
      <c r="I209" s="32">
        <v>7.89</v>
      </c>
      <c r="J209" s="32">
        <v>7.89</v>
      </c>
      <c r="K209" s="32">
        <v>504.96</v>
      </c>
      <c r="Q209">
        <v>0</v>
      </c>
      <c r="R209">
        <v>0.5</v>
      </c>
      <c r="S209">
        <v>0</v>
      </c>
      <c r="T209">
        <v>0.5</v>
      </c>
      <c r="V209" s="32">
        <v>0</v>
      </c>
      <c r="W209" s="32">
        <v>0</v>
      </c>
      <c r="X209" s="32">
        <v>0</v>
      </c>
      <c r="Y209" s="32">
        <v>0</v>
      </c>
      <c r="Z209" s="32">
        <v>0</v>
      </c>
      <c r="AA209" s="32">
        <v>0</v>
      </c>
      <c r="AB209" s="32">
        <v>252.48</v>
      </c>
      <c r="AC209" s="32">
        <v>0</v>
      </c>
      <c r="AD209" s="32">
        <v>252.48</v>
      </c>
      <c r="AE209" s="32">
        <v>0</v>
      </c>
    </row>
    <row r="210" spans="2:31" x14ac:dyDescent="0.3">
      <c r="B210" t="s">
        <v>529</v>
      </c>
      <c r="C210" t="s">
        <v>132</v>
      </c>
      <c r="D210" t="s">
        <v>554</v>
      </c>
      <c r="E210" t="s">
        <v>275</v>
      </c>
      <c r="F210">
        <v>64</v>
      </c>
      <c r="G210" t="s">
        <v>87</v>
      </c>
      <c r="H210">
        <v>1</v>
      </c>
      <c r="I210" s="32">
        <v>14.99</v>
      </c>
      <c r="J210" s="32">
        <v>14.99</v>
      </c>
      <c r="K210" s="32">
        <v>959.36</v>
      </c>
      <c r="Q210">
        <v>0</v>
      </c>
      <c r="R210">
        <v>0.5</v>
      </c>
      <c r="S210">
        <v>0</v>
      </c>
      <c r="T210">
        <v>0.5</v>
      </c>
      <c r="V210" s="32">
        <v>0</v>
      </c>
      <c r="W210" s="32">
        <v>0</v>
      </c>
      <c r="X210" s="32">
        <v>0</v>
      </c>
      <c r="Y210" s="32">
        <v>0</v>
      </c>
      <c r="Z210" s="32">
        <v>0</v>
      </c>
      <c r="AA210" s="32">
        <v>0</v>
      </c>
      <c r="AB210" s="32">
        <v>479.68</v>
      </c>
      <c r="AC210" s="32">
        <v>0</v>
      </c>
      <c r="AD210" s="32">
        <v>479.68</v>
      </c>
      <c r="AE210" s="32">
        <v>0</v>
      </c>
    </row>
    <row r="211" spans="2:31" x14ac:dyDescent="0.3">
      <c r="B211" t="s">
        <v>529</v>
      </c>
      <c r="C211" t="s">
        <v>132</v>
      </c>
      <c r="D211" t="s">
        <v>565</v>
      </c>
      <c r="E211" t="s">
        <v>275</v>
      </c>
      <c r="F211">
        <v>64</v>
      </c>
      <c r="G211" t="s">
        <v>87</v>
      </c>
      <c r="H211">
        <v>1</v>
      </c>
      <c r="I211" s="32">
        <v>4.78</v>
      </c>
      <c r="J211" s="32">
        <v>4.78</v>
      </c>
      <c r="K211" s="32">
        <v>305.92</v>
      </c>
      <c r="Q211">
        <v>0</v>
      </c>
      <c r="R211">
        <v>0.5</v>
      </c>
      <c r="S211">
        <v>0</v>
      </c>
      <c r="T211">
        <v>0.5</v>
      </c>
      <c r="V211" s="32">
        <v>0</v>
      </c>
      <c r="W211" s="32">
        <v>0</v>
      </c>
      <c r="X211" s="32">
        <v>0</v>
      </c>
      <c r="Y211" s="32">
        <v>0</v>
      </c>
      <c r="Z211" s="32">
        <v>0</v>
      </c>
      <c r="AA211" s="32">
        <v>0</v>
      </c>
      <c r="AB211" s="32">
        <v>152.96</v>
      </c>
      <c r="AC211" s="32">
        <v>0</v>
      </c>
      <c r="AD211" s="32">
        <v>152.96</v>
      </c>
      <c r="AE211" s="32">
        <v>0</v>
      </c>
    </row>
    <row r="212" spans="2:31" x14ac:dyDescent="0.3">
      <c r="B212" t="s">
        <v>529</v>
      </c>
      <c r="C212" t="s">
        <v>132</v>
      </c>
      <c r="D212" t="s">
        <v>538</v>
      </c>
      <c r="E212" t="s">
        <v>275</v>
      </c>
      <c r="F212">
        <v>128</v>
      </c>
      <c r="G212" t="s">
        <v>87</v>
      </c>
      <c r="H212">
        <v>2</v>
      </c>
      <c r="I212" s="32">
        <v>16.5</v>
      </c>
      <c r="J212" s="32">
        <v>33</v>
      </c>
      <c r="K212" s="32">
        <v>2112</v>
      </c>
      <c r="Q212">
        <v>0</v>
      </c>
      <c r="R212">
        <v>0.5</v>
      </c>
      <c r="S212">
        <v>0</v>
      </c>
      <c r="T212">
        <v>0.5</v>
      </c>
      <c r="V212" s="32">
        <v>0</v>
      </c>
      <c r="W212" s="32">
        <v>0</v>
      </c>
      <c r="X212" s="32">
        <v>0</v>
      </c>
      <c r="Y212" s="32">
        <v>0</v>
      </c>
      <c r="Z212" s="32">
        <v>0</v>
      </c>
      <c r="AA212" s="32">
        <v>0</v>
      </c>
      <c r="AB212" s="32">
        <v>1056</v>
      </c>
      <c r="AC212" s="32">
        <v>0</v>
      </c>
      <c r="AD212" s="32">
        <v>1056</v>
      </c>
      <c r="AE212" s="32">
        <v>0</v>
      </c>
    </row>
    <row r="213" spans="2:31" x14ac:dyDescent="0.3">
      <c r="B213" t="s">
        <v>529</v>
      </c>
      <c r="C213" t="s">
        <v>184</v>
      </c>
      <c r="D213" t="s">
        <v>549</v>
      </c>
      <c r="E213" t="s">
        <v>275</v>
      </c>
      <c r="F213">
        <v>19.2</v>
      </c>
      <c r="G213" t="s">
        <v>87</v>
      </c>
      <c r="H213">
        <v>0.3</v>
      </c>
      <c r="I213" s="32">
        <v>39.799999999999997</v>
      </c>
      <c r="J213" s="32">
        <v>11.94</v>
      </c>
      <c r="K213" s="32">
        <v>764.16</v>
      </c>
      <c r="Q213">
        <v>0</v>
      </c>
      <c r="R213">
        <v>0.5</v>
      </c>
      <c r="S213">
        <v>0</v>
      </c>
      <c r="T213">
        <v>0.5</v>
      </c>
      <c r="V213" s="32">
        <v>0</v>
      </c>
      <c r="W213" s="32">
        <v>0</v>
      </c>
      <c r="X213" s="32">
        <v>0</v>
      </c>
      <c r="Y213" s="32">
        <v>0</v>
      </c>
      <c r="Z213" s="32">
        <v>0</v>
      </c>
      <c r="AA213" s="32">
        <v>0</v>
      </c>
      <c r="AB213" s="32">
        <v>382.08</v>
      </c>
      <c r="AC213" s="32">
        <v>0</v>
      </c>
      <c r="AD213" s="32">
        <v>382.08</v>
      </c>
      <c r="AE213" s="32">
        <v>0</v>
      </c>
    </row>
    <row r="214" spans="2:31" x14ac:dyDescent="0.3">
      <c r="B214" t="s">
        <v>529</v>
      </c>
      <c r="C214" t="s">
        <v>132</v>
      </c>
      <c r="D214" t="s">
        <v>564</v>
      </c>
      <c r="E214" t="s">
        <v>275</v>
      </c>
      <c r="F214">
        <v>12.8</v>
      </c>
      <c r="G214" t="s">
        <v>87</v>
      </c>
      <c r="H214">
        <v>0.2</v>
      </c>
      <c r="I214" s="32">
        <v>11.9</v>
      </c>
      <c r="J214" s="32">
        <v>2.38</v>
      </c>
      <c r="K214" s="32">
        <v>152.32</v>
      </c>
      <c r="Q214">
        <v>0</v>
      </c>
      <c r="R214">
        <v>0.5</v>
      </c>
      <c r="S214">
        <v>0</v>
      </c>
      <c r="T214">
        <v>0.5</v>
      </c>
      <c r="V214" s="32">
        <v>0</v>
      </c>
      <c r="W214" s="32">
        <v>0</v>
      </c>
      <c r="X214" s="32">
        <v>0</v>
      </c>
      <c r="Y214" s="32">
        <v>0</v>
      </c>
      <c r="Z214" s="32">
        <v>0</v>
      </c>
      <c r="AA214" s="32">
        <v>0</v>
      </c>
      <c r="AB214" s="32">
        <v>76.160000000000011</v>
      </c>
      <c r="AC214" s="32">
        <v>0</v>
      </c>
      <c r="AD214" s="32">
        <v>76.160000000000011</v>
      </c>
      <c r="AE214" s="32">
        <v>0</v>
      </c>
    </row>
    <row r="215" spans="2:31" x14ac:dyDescent="0.3">
      <c r="B215" t="s">
        <v>539</v>
      </c>
      <c r="C215" t="s">
        <v>132</v>
      </c>
      <c r="D215" t="s">
        <v>554</v>
      </c>
      <c r="E215" t="s">
        <v>275</v>
      </c>
      <c r="F215">
        <v>128</v>
      </c>
      <c r="G215" t="s">
        <v>87</v>
      </c>
      <c r="H215">
        <v>2</v>
      </c>
      <c r="I215" s="32">
        <v>14.99</v>
      </c>
      <c r="J215" s="32">
        <v>29.98</v>
      </c>
      <c r="K215" s="32">
        <v>1918.72</v>
      </c>
      <c r="Q215">
        <v>0</v>
      </c>
      <c r="R215">
        <v>0.5</v>
      </c>
      <c r="S215">
        <v>0</v>
      </c>
      <c r="T215">
        <v>0.5</v>
      </c>
      <c r="V215" s="32">
        <v>0</v>
      </c>
      <c r="W215" s="32">
        <v>0</v>
      </c>
      <c r="X215" s="32">
        <v>0</v>
      </c>
      <c r="Y215" s="32">
        <v>0</v>
      </c>
      <c r="Z215" s="32">
        <v>0</v>
      </c>
      <c r="AA215" s="32">
        <v>0</v>
      </c>
      <c r="AB215" s="32">
        <v>959.36</v>
      </c>
      <c r="AC215" s="32">
        <v>0</v>
      </c>
      <c r="AD215" s="32">
        <v>959.36</v>
      </c>
      <c r="AE215" s="32">
        <v>0</v>
      </c>
    </row>
    <row r="216" spans="2:31" x14ac:dyDescent="0.3">
      <c r="B216" t="s">
        <v>539</v>
      </c>
      <c r="C216" t="s">
        <v>132</v>
      </c>
      <c r="D216" t="s">
        <v>538</v>
      </c>
      <c r="E216" t="s">
        <v>275</v>
      </c>
      <c r="F216">
        <v>128</v>
      </c>
      <c r="G216" t="s">
        <v>87</v>
      </c>
      <c r="H216">
        <v>2</v>
      </c>
      <c r="I216" s="32">
        <v>16.5</v>
      </c>
      <c r="J216" s="32">
        <v>33</v>
      </c>
      <c r="K216" s="32">
        <v>2112</v>
      </c>
      <c r="Q216">
        <v>0</v>
      </c>
      <c r="R216">
        <v>0.5</v>
      </c>
      <c r="S216">
        <v>0</v>
      </c>
      <c r="T216">
        <v>0.5</v>
      </c>
      <c r="V216" s="32">
        <v>0</v>
      </c>
      <c r="W216" s="32">
        <v>0</v>
      </c>
      <c r="X216" s="32">
        <v>0</v>
      </c>
      <c r="Y216" s="32">
        <v>0</v>
      </c>
      <c r="Z216" s="32">
        <v>0</v>
      </c>
      <c r="AA216" s="32">
        <v>0</v>
      </c>
      <c r="AB216" s="32">
        <v>1056</v>
      </c>
      <c r="AC216" s="32">
        <v>0</v>
      </c>
      <c r="AD216" s="32">
        <v>1056</v>
      </c>
      <c r="AE216" s="32">
        <v>0</v>
      </c>
    </row>
    <row r="217" spans="2:31" x14ac:dyDescent="0.3">
      <c r="B217" t="s">
        <v>539</v>
      </c>
      <c r="C217" t="s">
        <v>132</v>
      </c>
      <c r="D217" t="s">
        <v>564</v>
      </c>
      <c r="E217" t="s">
        <v>275</v>
      </c>
      <c r="F217">
        <v>12.8</v>
      </c>
      <c r="G217" t="s">
        <v>87</v>
      </c>
      <c r="H217">
        <v>0.2</v>
      </c>
      <c r="I217" s="32">
        <v>11.9</v>
      </c>
      <c r="J217" s="32">
        <v>2.38</v>
      </c>
      <c r="K217" s="32">
        <v>152.32</v>
      </c>
      <c r="Q217">
        <v>0</v>
      </c>
      <c r="R217">
        <v>0.5</v>
      </c>
      <c r="S217">
        <v>0</v>
      </c>
      <c r="T217">
        <v>0.5</v>
      </c>
      <c r="V217" s="32">
        <v>0</v>
      </c>
      <c r="W217" s="32">
        <v>0</v>
      </c>
      <c r="X217" s="32">
        <v>0</v>
      </c>
      <c r="Y217" s="32">
        <v>0</v>
      </c>
      <c r="Z217" s="32">
        <v>0</v>
      </c>
      <c r="AA217" s="32">
        <v>0</v>
      </c>
      <c r="AB217" s="32">
        <v>76.160000000000011</v>
      </c>
      <c r="AC217" s="32">
        <v>0</v>
      </c>
      <c r="AD217" s="32">
        <v>76.160000000000011</v>
      </c>
      <c r="AE217" s="32">
        <v>0</v>
      </c>
    </row>
    <row r="218" spans="2:31" x14ac:dyDescent="0.3">
      <c r="B218" t="s">
        <v>512</v>
      </c>
      <c r="C218" t="s">
        <v>132</v>
      </c>
      <c r="D218" t="s">
        <v>513</v>
      </c>
      <c r="E218" t="s">
        <v>275</v>
      </c>
      <c r="F218">
        <v>128</v>
      </c>
      <c r="G218" t="s">
        <v>87</v>
      </c>
      <c r="H218">
        <v>2</v>
      </c>
      <c r="I218" s="32">
        <v>19.05</v>
      </c>
      <c r="J218" s="32">
        <v>38.1</v>
      </c>
      <c r="K218" s="32">
        <v>2438.4</v>
      </c>
      <c r="Q218">
        <v>0</v>
      </c>
      <c r="R218">
        <v>0.5</v>
      </c>
      <c r="S218">
        <v>0</v>
      </c>
      <c r="T218">
        <v>0.5</v>
      </c>
      <c r="V218" s="32">
        <v>0</v>
      </c>
      <c r="W218" s="32">
        <v>0</v>
      </c>
      <c r="X218" s="32">
        <v>0</v>
      </c>
      <c r="Y218" s="32">
        <v>0</v>
      </c>
      <c r="Z218" s="32">
        <v>0</v>
      </c>
      <c r="AA218" s="32">
        <v>0</v>
      </c>
      <c r="AB218" s="32">
        <v>1219.2</v>
      </c>
      <c r="AC218" s="32">
        <v>0</v>
      </c>
      <c r="AD218" s="32">
        <v>1219.2</v>
      </c>
      <c r="AE218" s="32">
        <v>0</v>
      </c>
    </row>
    <row r="219" spans="2:31" x14ac:dyDescent="0.3">
      <c r="B219" t="s">
        <v>512</v>
      </c>
      <c r="C219" t="s">
        <v>132</v>
      </c>
      <c r="D219" t="s">
        <v>516</v>
      </c>
      <c r="E219" t="s">
        <v>275</v>
      </c>
      <c r="F219">
        <v>64</v>
      </c>
      <c r="G219" t="s">
        <v>87</v>
      </c>
      <c r="H219">
        <v>1</v>
      </c>
      <c r="I219" s="32">
        <v>19.05</v>
      </c>
      <c r="J219" s="32">
        <v>19.05</v>
      </c>
      <c r="K219" s="32">
        <v>1219.2</v>
      </c>
      <c r="Q219">
        <v>0</v>
      </c>
      <c r="R219">
        <v>0.5</v>
      </c>
      <c r="S219">
        <v>0</v>
      </c>
      <c r="T219">
        <v>0.5</v>
      </c>
      <c r="V219" s="32">
        <v>0</v>
      </c>
      <c r="W219" s="32">
        <v>0</v>
      </c>
      <c r="X219" s="32">
        <v>0</v>
      </c>
      <c r="Y219" s="32">
        <v>0</v>
      </c>
      <c r="Z219" s="32">
        <v>0</v>
      </c>
      <c r="AA219" s="32">
        <v>0</v>
      </c>
      <c r="AB219" s="32">
        <v>609.6</v>
      </c>
      <c r="AC219" s="32">
        <v>0</v>
      </c>
      <c r="AD219" s="32">
        <v>609.6</v>
      </c>
      <c r="AE219" s="32">
        <v>0</v>
      </c>
    </row>
    <row r="220" spans="2:31" x14ac:dyDescent="0.3">
      <c r="B220" t="s">
        <v>512</v>
      </c>
      <c r="C220" t="s">
        <v>132</v>
      </c>
      <c r="D220" t="s">
        <v>547</v>
      </c>
      <c r="E220" t="s">
        <v>275</v>
      </c>
      <c r="F220">
        <v>64</v>
      </c>
      <c r="G220" t="s">
        <v>87</v>
      </c>
      <c r="H220">
        <v>1</v>
      </c>
      <c r="I220" s="32">
        <v>10.1</v>
      </c>
      <c r="J220" s="32">
        <v>10.1</v>
      </c>
      <c r="K220" s="32">
        <v>646.4</v>
      </c>
      <c r="Q220">
        <v>0</v>
      </c>
      <c r="R220">
        <v>0.5</v>
      </c>
      <c r="S220">
        <v>0</v>
      </c>
      <c r="T220">
        <v>0.5</v>
      </c>
      <c r="V220" s="32">
        <v>0</v>
      </c>
      <c r="W220" s="32">
        <v>0</v>
      </c>
      <c r="X220" s="32">
        <v>0</v>
      </c>
      <c r="Y220" s="32">
        <v>0</v>
      </c>
      <c r="Z220" s="32">
        <v>0</v>
      </c>
      <c r="AA220" s="32">
        <v>0</v>
      </c>
      <c r="AB220" s="32">
        <v>323.2</v>
      </c>
      <c r="AC220" s="32">
        <v>0</v>
      </c>
      <c r="AD220" s="32">
        <v>323.2</v>
      </c>
      <c r="AE220" s="32">
        <v>0</v>
      </c>
    </row>
    <row r="221" spans="2:31" x14ac:dyDescent="0.3">
      <c r="B221" t="s">
        <v>512</v>
      </c>
      <c r="C221" t="s">
        <v>132</v>
      </c>
      <c r="D221" t="s">
        <v>536</v>
      </c>
      <c r="E221" t="s">
        <v>275</v>
      </c>
      <c r="F221">
        <v>64</v>
      </c>
      <c r="G221" t="s">
        <v>87</v>
      </c>
      <c r="H221">
        <v>1</v>
      </c>
      <c r="I221" s="32">
        <v>6.4</v>
      </c>
      <c r="J221" s="32">
        <v>6.4</v>
      </c>
      <c r="K221" s="32">
        <v>409.6</v>
      </c>
      <c r="Q221">
        <v>0</v>
      </c>
      <c r="R221">
        <v>0.5</v>
      </c>
      <c r="S221">
        <v>0</v>
      </c>
      <c r="T221">
        <v>0.5</v>
      </c>
      <c r="V221" s="32">
        <v>0</v>
      </c>
      <c r="W221" s="32">
        <v>0</v>
      </c>
      <c r="X221" s="32">
        <v>0</v>
      </c>
      <c r="Y221" s="32">
        <v>0</v>
      </c>
      <c r="Z221" s="32">
        <v>0</v>
      </c>
      <c r="AA221" s="32">
        <v>0</v>
      </c>
      <c r="AB221" s="32">
        <v>204.8</v>
      </c>
      <c r="AC221" s="32">
        <v>0</v>
      </c>
      <c r="AD221" s="32">
        <v>204.8</v>
      </c>
      <c r="AE221" s="32">
        <v>0</v>
      </c>
    </row>
    <row r="222" spans="2:31" x14ac:dyDescent="0.3">
      <c r="B222" t="s">
        <v>469</v>
      </c>
      <c r="C222" t="s">
        <v>525</v>
      </c>
      <c r="D222" t="s">
        <v>723</v>
      </c>
      <c r="E222" t="s">
        <v>275</v>
      </c>
      <c r="F222">
        <v>64</v>
      </c>
      <c r="G222" t="s">
        <v>87</v>
      </c>
      <c r="H222">
        <v>1</v>
      </c>
      <c r="I222" s="32">
        <v>249.9</v>
      </c>
      <c r="J222" s="32">
        <v>249.9</v>
      </c>
      <c r="K222" s="32">
        <v>15993.6</v>
      </c>
      <c r="Q222">
        <v>0</v>
      </c>
      <c r="R222">
        <v>0.5</v>
      </c>
      <c r="S222">
        <v>0</v>
      </c>
      <c r="T222">
        <v>0.5</v>
      </c>
      <c r="V222" s="32">
        <v>0</v>
      </c>
      <c r="W222" s="32">
        <v>0</v>
      </c>
      <c r="X222" s="32">
        <v>0</v>
      </c>
      <c r="Y222" s="32">
        <v>0</v>
      </c>
      <c r="Z222" s="32">
        <v>0</v>
      </c>
      <c r="AA222" s="32">
        <v>0</v>
      </c>
      <c r="AB222" s="32">
        <v>7996.8</v>
      </c>
      <c r="AC222" s="32">
        <v>0</v>
      </c>
      <c r="AD222" s="32">
        <v>7996.8</v>
      </c>
      <c r="AE222" s="32">
        <v>0</v>
      </c>
    </row>
    <row r="223" spans="2:31" x14ac:dyDescent="0.3">
      <c r="B223" t="s">
        <v>539</v>
      </c>
      <c r="C223" t="s">
        <v>542</v>
      </c>
      <c r="D223" t="s">
        <v>561</v>
      </c>
      <c r="E223" t="s">
        <v>275</v>
      </c>
      <c r="F223">
        <v>64</v>
      </c>
      <c r="G223" t="s">
        <v>87</v>
      </c>
      <c r="H223">
        <v>1</v>
      </c>
      <c r="I223" s="32">
        <v>47.61</v>
      </c>
      <c r="J223" s="32">
        <v>47.61</v>
      </c>
      <c r="K223" s="32">
        <v>3047.04</v>
      </c>
      <c r="Q223">
        <v>0</v>
      </c>
      <c r="R223">
        <v>0.5</v>
      </c>
      <c r="S223">
        <v>0</v>
      </c>
      <c r="T223">
        <v>0.5</v>
      </c>
      <c r="V223" s="32">
        <v>0</v>
      </c>
      <c r="W223" s="32">
        <v>0</v>
      </c>
      <c r="X223" s="32">
        <v>0</v>
      </c>
      <c r="Y223" s="32">
        <v>0</v>
      </c>
      <c r="Z223" s="32">
        <v>0</v>
      </c>
      <c r="AA223" s="32">
        <v>0</v>
      </c>
      <c r="AB223" s="32">
        <v>1523.52</v>
      </c>
      <c r="AC223" s="32">
        <v>0</v>
      </c>
      <c r="AD223" s="32">
        <v>1523.52</v>
      </c>
      <c r="AE223" s="32">
        <v>0</v>
      </c>
    </row>
    <row r="224" spans="2:31" x14ac:dyDescent="0.3">
      <c r="B224" t="s">
        <v>529</v>
      </c>
      <c r="C224" t="s">
        <v>542</v>
      </c>
      <c r="D224" t="s">
        <v>558</v>
      </c>
      <c r="E224" t="s">
        <v>275</v>
      </c>
      <c r="F224">
        <v>64</v>
      </c>
      <c r="G224" t="s">
        <v>87</v>
      </c>
      <c r="H224">
        <v>1</v>
      </c>
      <c r="I224" s="32">
        <v>40.200000000000003</v>
      </c>
      <c r="J224" s="32">
        <v>40.200000000000003</v>
      </c>
      <c r="K224" s="32">
        <v>2572.8000000000002</v>
      </c>
      <c r="Q224">
        <v>0</v>
      </c>
      <c r="R224">
        <v>0.5</v>
      </c>
      <c r="S224">
        <v>0</v>
      </c>
      <c r="T224">
        <v>0.5</v>
      </c>
      <c r="V224" s="32">
        <v>0</v>
      </c>
      <c r="W224" s="32">
        <v>0</v>
      </c>
      <c r="X224" s="32">
        <v>0</v>
      </c>
      <c r="Y224" s="32">
        <v>0</v>
      </c>
      <c r="Z224" s="32">
        <v>0</v>
      </c>
      <c r="AA224" s="32">
        <v>0</v>
      </c>
      <c r="AB224" s="32">
        <v>1286.4000000000001</v>
      </c>
      <c r="AC224" s="32">
        <v>0</v>
      </c>
      <c r="AD224" s="32">
        <v>1286.4000000000001</v>
      </c>
      <c r="AE224" s="32">
        <v>0</v>
      </c>
    </row>
    <row r="225" spans="2:31" x14ac:dyDescent="0.3">
      <c r="B225" t="s">
        <v>469</v>
      </c>
      <c r="C225" t="s">
        <v>542</v>
      </c>
      <c r="D225" t="s">
        <v>543</v>
      </c>
      <c r="E225" t="s">
        <v>275</v>
      </c>
      <c r="F225">
        <v>64</v>
      </c>
      <c r="G225" t="s">
        <v>545</v>
      </c>
      <c r="H225">
        <v>1</v>
      </c>
      <c r="I225" s="32">
        <v>26.9</v>
      </c>
      <c r="J225" s="32">
        <v>26.9</v>
      </c>
      <c r="K225" s="32">
        <v>1721.6</v>
      </c>
      <c r="Q225">
        <v>0</v>
      </c>
      <c r="R225">
        <v>0.5</v>
      </c>
      <c r="S225">
        <v>0</v>
      </c>
      <c r="T225">
        <v>0.5</v>
      </c>
      <c r="V225" s="32">
        <v>0</v>
      </c>
      <c r="W225" s="32">
        <v>0</v>
      </c>
      <c r="X225" s="32">
        <v>0</v>
      </c>
      <c r="Y225" s="32">
        <v>0</v>
      </c>
      <c r="Z225" s="32">
        <v>0</v>
      </c>
      <c r="AA225" s="32">
        <v>0</v>
      </c>
      <c r="AB225" s="32">
        <v>860.8</v>
      </c>
      <c r="AC225" s="32">
        <v>0</v>
      </c>
      <c r="AD225" s="32">
        <v>860.8</v>
      </c>
      <c r="AE225" s="32">
        <v>0</v>
      </c>
    </row>
    <row r="226" spans="2:31" x14ac:dyDescent="0.3">
      <c r="B226" t="s">
        <v>469</v>
      </c>
      <c r="C226" t="s">
        <v>542</v>
      </c>
      <c r="D226" t="s">
        <v>548</v>
      </c>
      <c r="E226" t="s">
        <v>275</v>
      </c>
      <c r="F226">
        <v>64</v>
      </c>
      <c r="G226" t="s">
        <v>87</v>
      </c>
      <c r="H226">
        <v>1</v>
      </c>
      <c r="I226" s="32">
        <v>31.9</v>
      </c>
      <c r="J226" s="32">
        <v>31.9</v>
      </c>
      <c r="K226" s="32">
        <v>2041.6</v>
      </c>
      <c r="Q226">
        <v>0</v>
      </c>
      <c r="R226">
        <v>0.5</v>
      </c>
      <c r="S226">
        <v>0</v>
      </c>
      <c r="T226">
        <v>0.5</v>
      </c>
      <c r="V226" s="32">
        <v>0</v>
      </c>
      <c r="W226" s="32">
        <v>0</v>
      </c>
      <c r="X226" s="32">
        <v>0</v>
      </c>
      <c r="Y226" s="32">
        <v>0</v>
      </c>
      <c r="Z226" s="32">
        <v>0</v>
      </c>
      <c r="AA226" s="32">
        <v>0</v>
      </c>
      <c r="AB226" s="32">
        <v>1020.8</v>
      </c>
      <c r="AC226" s="32">
        <v>0</v>
      </c>
      <c r="AD226" s="32">
        <v>1020.8</v>
      </c>
      <c r="AE226" s="32">
        <v>0</v>
      </c>
    </row>
    <row r="227" spans="2:31" x14ac:dyDescent="0.3">
      <c r="B227" t="s">
        <v>469</v>
      </c>
      <c r="C227" t="s">
        <v>542</v>
      </c>
      <c r="D227" t="s">
        <v>724</v>
      </c>
      <c r="E227" t="s">
        <v>275</v>
      </c>
      <c r="F227">
        <v>64</v>
      </c>
      <c r="G227" t="s">
        <v>87</v>
      </c>
      <c r="H227">
        <v>1</v>
      </c>
      <c r="I227" s="32">
        <v>56.9</v>
      </c>
      <c r="J227" s="32">
        <v>56.9</v>
      </c>
      <c r="K227" s="32">
        <v>3641.6</v>
      </c>
      <c r="Q227">
        <v>0</v>
      </c>
      <c r="R227">
        <v>0.5</v>
      </c>
      <c r="S227">
        <v>0</v>
      </c>
      <c r="T227">
        <v>0.5</v>
      </c>
      <c r="V227" s="32">
        <v>0</v>
      </c>
      <c r="W227" s="32">
        <v>0</v>
      </c>
      <c r="X227" s="32">
        <v>0</v>
      </c>
      <c r="Y227" s="32">
        <v>0</v>
      </c>
      <c r="Z227" s="32">
        <v>0</v>
      </c>
      <c r="AA227" s="32">
        <v>0</v>
      </c>
      <c r="AB227" s="32">
        <v>1820.8</v>
      </c>
      <c r="AC227" s="32">
        <v>0</v>
      </c>
      <c r="AD227" s="32">
        <v>1820.8</v>
      </c>
      <c r="AE227" s="32">
        <v>0</v>
      </c>
    </row>
    <row r="228" spans="2:31" x14ac:dyDescent="0.3">
      <c r="B228" t="s">
        <v>469</v>
      </c>
      <c r="C228" t="s">
        <v>676</v>
      </c>
      <c r="D228" t="s">
        <v>474</v>
      </c>
      <c r="E228" t="s">
        <v>215</v>
      </c>
      <c r="F228">
        <v>64</v>
      </c>
      <c r="G228" t="s">
        <v>113</v>
      </c>
      <c r="H228">
        <v>1</v>
      </c>
      <c r="I228" s="32">
        <v>300</v>
      </c>
      <c r="J228" s="32">
        <v>300</v>
      </c>
      <c r="K228" s="32">
        <v>19200</v>
      </c>
      <c r="Q228">
        <v>9.3700000000000006E-2</v>
      </c>
      <c r="R228">
        <v>9.3799999999999994E-2</v>
      </c>
      <c r="S228">
        <v>0.33695000000000003</v>
      </c>
      <c r="T228">
        <v>0.47554999999999997</v>
      </c>
      <c r="V228" s="32">
        <v>0</v>
      </c>
      <c r="W228" s="32">
        <v>0</v>
      </c>
      <c r="X228" s="32">
        <v>0</v>
      </c>
      <c r="Y228" s="32">
        <v>0</v>
      </c>
      <c r="Z228" s="32">
        <v>0</v>
      </c>
      <c r="AA228" s="32">
        <v>1799.04</v>
      </c>
      <c r="AB228" s="32">
        <v>1800.96</v>
      </c>
      <c r="AC228" s="32">
        <v>6469.44</v>
      </c>
      <c r="AD228" s="32">
        <v>9130.5600000000013</v>
      </c>
      <c r="AE228" s="32">
        <v>0</v>
      </c>
    </row>
    <row r="229" spans="2:31" x14ac:dyDescent="0.3">
      <c r="B229" t="s">
        <v>469</v>
      </c>
      <c r="C229" t="s">
        <v>676</v>
      </c>
      <c r="D229" t="s">
        <v>470</v>
      </c>
      <c r="E229" t="s">
        <v>215</v>
      </c>
      <c r="F229">
        <v>64</v>
      </c>
      <c r="G229" t="s">
        <v>113</v>
      </c>
      <c r="H229">
        <v>1</v>
      </c>
      <c r="I229" s="32">
        <v>300</v>
      </c>
      <c r="J229" s="32">
        <v>300</v>
      </c>
      <c r="K229" s="32">
        <v>19200</v>
      </c>
      <c r="Q229">
        <v>9.3700000000000006E-2</v>
      </c>
      <c r="R229">
        <v>9.3799999999999994E-2</v>
      </c>
      <c r="S229">
        <v>0.33695000000000003</v>
      </c>
      <c r="T229">
        <v>0.47554999999999997</v>
      </c>
      <c r="V229" s="32">
        <v>0</v>
      </c>
      <c r="W229" s="32">
        <v>0</v>
      </c>
      <c r="X229" s="32">
        <v>0</v>
      </c>
      <c r="Y229" s="32">
        <v>0</v>
      </c>
      <c r="Z229" s="32">
        <v>0</v>
      </c>
      <c r="AA229" s="32">
        <v>1799.04</v>
      </c>
      <c r="AB229" s="32">
        <v>1800.96</v>
      </c>
      <c r="AC229" s="32">
        <v>6469.44</v>
      </c>
      <c r="AD229" s="32">
        <v>9130.5600000000013</v>
      </c>
      <c r="AE229" s="32">
        <v>0</v>
      </c>
    </row>
    <row r="230" spans="2:31" x14ac:dyDescent="0.3">
      <c r="D230" t="s">
        <v>725</v>
      </c>
      <c r="F230">
        <v>0</v>
      </c>
      <c r="J230" s="32">
        <v>0</v>
      </c>
      <c r="K230" s="32">
        <v>0</v>
      </c>
      <c r="V230" s="32">
        <v>0</v>
      </c>
      <c r="W230" s="32">
        <v>0</v>
      </c>
      <c r="X230" s="32">
        <v>0</v>
      </c>
      <c r="Y230" s="32">
        <v>0</v>
      </c>
      <c r="Z230" s="32">
        <v>0</v>
      </c>
      <c r="AA230" s="32">
        <v>0</v>
      </c>
      <c r="AB230" s="32">
        <v>0</v>
      </c>
      <c r="AC230" s="32">
        <v>0</v>
      </c>
      <c r="AD230" s="32">
        <v>0</v>
      </c>
      <c r="AE230" s="32">
        <v>0</v>
      </c>
    </row>
    <row r="231" spans="2:31" x14ac:dyDescent="0.3">
      <c r="B231" t="s">
        <v>725</v>
      </c>
      <c r="C231" t="s">
        <v>391</v>
      </c>
      <c r="D231" t="s">
        <v>435</v>
      </c>
      <c r="F231">
        <v>64</v>
      </c>
      <c r="G231" t="s">
        <v>87</v>
      </c>
      <c r="H231">
        <v>1</v>
      </c>
      <c r="I231" s="32">
        <v>1000</v>
      </c>
      <c r="J231" s="32">
        <v>1000</v>
      </c>
      <c r="K231" s="32">
        <v>64000</v>
      </c>
      <c r="P231">
        <v>0.5</v>
      </c>
      <c r="R231">
        <v>0.5</v>
      </c>
      <c r="V231" s="32">
        <v>0</v>
      </c>
      <c r="W231" s="32">
        <v>0</v>
      </c>
      <c r="X231" s="32">
        <v>0</v>
      </c>
      <c r="Y231" s="32">
        <v>0</v>
      </c>
      <c r="Z231" s="32">
        <v>32000</v>
      </c>
      <c r="AA231" s="32">
        <v>0</v>
      </c>
      <c r="AB231" s="32">
        <v>32000</v>
      </c>
      <c r="AC231" s="32">
        <v>0</v>
      </c>
      <c r="AD231" s="32">
        <v>0</v>
      </c>
      <c r="AE231" s="32">
        <v>0</v>
      </c>
    </row>
    <row r="232" spans="2:31" x14ac:dyDescent="0.3">
      <c r="B232" t="s">
        <v>725</v>
      </c>
      <c r="C232" t="s">
        <v>391</v>
      </c>
      <c r="D232" t="s">
        <v>431</v>
      </c>
      <c r="F232">
        <v>64</v>
      </c>
      <c r="G232" t="s">
        <v>87</v>
      </c>
      <c r="H232">
        <v>1</v>
      </c>
      <c r="I232" s="32">
        <v>600</v>
      </c>
      <c r="J232" s="32">
        <v>600</v>
      </c>
      <c r="K232" s="32">
        <v>38400</v>
      </c>
      <c r="P232">
        <v>0.5</v>
      </c>
      <c r="R232">
        <v>0.5</v>
      </c>
      <c r="V232" s="32">
        <v>0</v>
      </c>
      <c r="W232" s="32">
        <v>0</v>
      </c>
      <c r="X232" s="32">
        <v>0</v>
      </c>
      <c r="Y232" s="32">
        <v>0</v>
      </c>
      <c r="Z232" s="32">
        <v>19200</v>
      </c>
      <c r="AA232" s="32">
        <v>0</v>
      </c>
      <c r="AB232" s="32">
        <v>19200</v>
      </c>
      <c r="AC232" s="32">
        <v>0</v>
      </c>
      <c r="AD232" s="32">
        <v>0</v>
      </c>
      <c r="AE232" s="32">
        <v>0</v>
      </c>
    </row>
    <row r="233" spans="2:31" x14ac:dyDescent="0.3">
      <c r="D233" t="s">
        <v>726</v>
      </c>
      <c r="F233">
        <v>0</v>
      </c>
      <c r="J233" s="32">
        <v>0</v>
      </c>
      <c r="K233" s="32">
        <v>0</v>
      </c>
      <c r="V233" s="32">
        <v>0</v>
      </c>
      <c r="W233" s="32">
        <v>0</v>
      </c>
      <c r="X233" s="32">
        <v>0</v>
      </c>
      <c r="Y233" s="32">
        <v>0</v>
      </c>
      <c r="Z233" s="32">
        <v>0</v>
      </c>
      <c r="AA233" s="32">
        <v>0</v>
      </c>
      <c r="AB233" s="32">
        <v>0</v>
      </c>
      <c r="AC233" s="32">
        <v>0</v>
      </c>
      <c r="AD233" s="32">
        <v>0</v>
      </c>
      <c r="AE233" s="32">
        <v>0</v>
      </c>
    </row>
    <row r="234" spans="2:31" x14ac:dyDescent="0.3">
      <c r="B234" t="s">
        <v>726</v>
      </c>
      <c r="C234" t="s">
        <v>391</v>
      </c>
      <c r="D234" t="s">
        <v>403</v>
      </c>
      <c r="F234">
        <v>64</v>
      </c>
      <c r="G234" t="s">
        <v>87</v>
      </c>
      <c r="H234">
        <v>1</v>
      </c>
      <c r="I234" s="32">
        <v>204.5</v>
      </c>
      <c r="J234" s="32">
        <v>204.5</v>
      </c>
      <c r="K234" s="32">
        <v>13088</v>
      </c>
      <c r="P234">
        <v>0.5</v>
      </c>
      <c r="R234">
        <v>0.5</v>
      </c>
      <c r="V234" s="32">
        <v>0</v>
      </c>
      <c r="W234" s="32">
        <v>0</v>
      </c>
      <c r="X234" s="32">
        <v>0</v>
      </c>
      <c r="Y234" s="32">
        <v>0</v>
      </c>
      <c r="Z234" s="32">
        <v>6544</v>
      </c>
      <c r="AA234" s="32">
        <v>0</v>
      </c>
      <c r="AB234" s="32">
        <v>6544</v>
      </c>
      <c r="AC234" s="32">
        <v>0</v>
      </c>
      <c r="AD234" s="32">
        <v>0</v>
      </c>
      <c r="AE234" s="32">
        <v>0</v>
      </c>
    </row>
    <row r="235" spans="2:31" x14ac:dyDescent="0.3">
      <c r="B235" t="s">
        <v>726</v>
      </c>
      <c r="C235" t="s">
        <v>391</v>
      </c>
      <c r="D235" t="s">
        <v>407</v>
      </c>
      <c r="F235">
        <v>64</v>
      </c>
      <c r="G235" t="s">
        <v>87</v>
      </c>
      <c r="H235">
        <v>1</v>
      </c>
      <c r="I235" s="32">
        <v>550</v>
      </c>
      <c r="J235" s="32">
        <v>550</v>
      </c>
      <c r="K235" s="32">
        <v>35200</v>
      </c>
      <c r="P235">
        <v>0.5</v>
      </c>
      <c r="R235">
        <v>0.5</v>
      </c>
      <c r="V235" s="32">
        <v>0</v>
      </c>
      <c r="W235" s="32">
        <v>0</v>
      </c>
      <c r="X235" s="32">
        <v>0</v>
      </c>
      <c r="Y235" s="32">
        <v>0</v>
      </c>
      <c r="Z235" s="32">
        <v>17600</v>
      </c>
      <c r="AA235" s="32">
        <v>0</v>
      </c>
      <c r="AB235" s="32">
        <v>17600</v>
      </c>
      <c r="AC235" s="32">
        <v>0</v>
      </c>
      <c r="AD235" s="32">
        <v>0</v>
      </c>
      <c r="AE235" s="32">
        <v>0</v>
      </c>
    </row>
    <row r="236" spans="2:31" x14ac:dyDescent="0.3">
      <c r="D236" t="s">
        <v>437</v>
      </c>
      <c r="F236">
        <v>0</v>
      </c>
      <c r="J236" s="32">
        <v>0</v>
      </c>
      <c r="K236" s="32">
        <v>0</v>
      </c>
      <c r="V236" s="32">
        <v>0</v>
      </c>
      <c r="W236" s="32">
        <v>0</v>
      </c>
      <c r="X236" s="32">
        <v>0</v>
      </c>
      <c r="Y236" s="32">
        <v>0</v>
      </c>
      <c r="Z236" s="32">
        <v>0</v>
      </c>
      <c r="AA236" s="32">
        <v>0</v>
      </c>
      <c r="AB236" s="32">
        <v>0</v>
      </c>
      <c r="AC236" s="32">
        <v>0</v>
      </c>
      <c r="AD236" s="32">
        <v>0</v>
      </c>
      <c r="AE236" s="32">
        <v>0</v>
      </c>
    </row>
    <row r="237" spans="2:31" x14ac:dyDescent="0.3">
      <c r="B237" t="s">
        <v>437</v>
      </c>
      <c r="C237" t="s">
        <v>115</v>
      </c>
      <c r="D237" t="s">
        <v>448</v>
      </c>
      <c r="E237" t="s">
        <v>727</v>
      </c>
      <c r="F237">
        <v>128</v>
      </c>
      <c r="G237" t="s">
        <v>87</v>
      </c>
      <c r="H237">
        <v>2</v>
      </c>
      <c r="I237" s="32">
        <v>20.190000000000001</v>
      </c>
      <c r="J237" s="32">
        <v>40.380000000000003</v>
      </c>
      <c r="K237" s="32">
        <v>2584.3200000000002</v>
      </c>
      <c r="Q237">
        <v>0.5</v>
      </c>
      <c r="R237">
        <v>0.5</v>
      </c>
      <c r="V237" s="32">
        <v>0</v>
      </c>
      <c r="W237" s="32">
        <v>0</v>
      </c>
      <c r="X237" s="32">
        <v>0</v>
      </c>
      <c r="Y237" s="32">
        <v>0</v>
      </c>
      <c r="Z237" s="32">
        <v>0</v>
      </c>
      <c r="AA237" s="32">
        <v>1292.1600000000001</v>
      </c>
      <c r="AB237" s="32">
        <v>1292.1600000000001</v>
      </c>
      <c r="AC237" s="32">
        <v>0</v>
      </c>
      <c r="AD237" s="32">
        <v>0</v>
      </c>
      <c r="AE237" s="32">
        <v>0</v>
      </c>
    </row>
    <row r="238" spans="2:31" x14ac:dyDescent="0.3">
      <c r="B238" t="s">
        <v>437</v>
      </c>
      <c r="C238" t="s">
        <v>173</v>
      </c>
      <c r="D238" t="s">
        <v>452</v>
      </c>
      <c r="E238" t="s">
        <v>727</v>
      </c>
      <c r="F238">
        <v>51.2</v>
      </c>
      <c r="G238" t="s">
        <v>182</v>
      </c>
      <c r="H238">
        <v>0.8</v>
      </c>
      <c r="I238" s="32">
        <v>620</v>
      </c>
      <c r="J238" s="32">
        <v>496</v>
      </c>
      <c r="K238" s="32">
        <v>31744</v>
      </c>
      <c r="Q238">
        <v>0.5</v>
      </c>
      <c r="R238">
        <v>0.5</v>
      </c>
      <c r="V238" s="32">
        <v>0</v>
      </c>
      <c r="W238" s="32">
        <v>0</v>
      </c>
      <c r="X238" s="32">
        <v>0</v>
      </c>
      <c r="Y238" s="32">
        <v>0</v>
      </c>
      <c r="Z238" s="32">
        <v>0</v>
      </c>
      <c r="AA238" s="32">
        <v>15872</v>
      </c>
      <c r="AB238" s="32">
        <v>15872</v>
      </c>
      <c r="AC238" s="32">
        <v>0</v>
      </c>
      <c r="AD238" s="32">
        <v>0</v>
      </c>
      <c r="AE238" s="32">
        <v>0</v>
      </c>
    </row>
    <row r="239" spans="2:31" x14ac:dyDescent="0.3">
      <c r="B239" t="s">
        <v>437</v>
      </c>
      <c r="C239" t="s">
        <v>167</v>
      </c>
      <c r="D239" t="s">
        <v>728</v>
      </c>
      <c r="E239" t="s">
        <v>727</v>
      </c>
      <c r="F239">
        <v>64</v>
      </c>
      <c r="G239" t="s">
        <v>149</v>
      </c>
      <c r="H239">
        <v>1</v>
      </c>
      <c r="I239" s="32">
        <v>20</v>
      </c>
      <c r="J239" s="32">
        <v>20</v>
      </c>
      <c r="K239" s="32">
        <v>1280</v>
      </c>
      <c r="Q239">
        <v>0.5</v>
      </c>
      <c r="R239">
        <v>0.5</v>
      </c>
      <c r="V239" s="32">
        <v>0</v>
      </c>
      <c r="W239" s="32">
        <v>0</v>
      </c>
      <c r="X239" s="32">
        <v>0</v>
      </c>
      <c r="Y239" s="32">
        <v>0</v>
      </c>
      <c r="Z239" s="32">
        <v>0</v>
      </c>
      <c r="AA239" s="32">
        <v>640</v>
      </c>
      <c r="AB239" s="32">
        <v>640</v>
      </c>
      <c r="AC239" s="32">
        <v>0</v>
      </c>
      <c r="AD239" s="32">
        <v>0</v>
      </c>
      <c r="AE239" s="32">
        <v>0</v>
      </c>
    </row>
    <row r="240" spans="2:31" x14ac:dyDescent="0.3">
      <c r="B240" t="s">
        <v>437</v>
      </c>
      <c r="C240" t="s">
        <v>167</v>
      </c>
      <c r="D240" t="s">
        <v>451</v>
      </c>
      <c r="E240" t="s">
        <v>727</v>
      </c>
      <c r="F240">
        <v>64</v>
      </c>
      <c r="G240" t="s">
        <v>87</v>
      </c>
      <c r="H240">
        <v>1</v>
      </c>
      <c r="I240" s="32">
        <v>99.9</v>
      </c>
      <c r="J240" s="32">
        <v>99.9</v>
      </c>
      <c r="K240" s="32">
        <v>6393.6</v>
      </c>
      <c r="Q240">
        <v>0.5</v>
      </c>
      <c r="R240">
        <v>0.5</v>
      </c>
      <c r="V240" s="32">
        <v>0</v>
      </c>
      <c r="W240" s="32">
        <v>0</v>
      </c>
      <c r="X240" s="32">
        <v>0</v>
      </c>
      <c r="Y240" s="32">
        <v>0</v>
      </c>
      <c r="Z240" s="32">
        <v>0</v>
      </c>
      <c r="AA240" s="32">
        <v>3196.8</v>
      </c>
      <c r="AB240" s="32">
        <v>3196.8</v>
      </c>
      <c r="AC240" s="32">
        <v>0</v>
      </c>
      <c r="AD240" s="32">
        <v>0</v>
      </c>
      <c r="AE240" s="32">
        <v>0</v>
      </c>
    </row>
    <row r="241" spans="2:31" x14ac:dyDescent="0.3">
      <c r="B241" t="s">
        <v>437</v>
      </c>
      <c r="C241" t="s">
        <v>178</v>
      </c>
      <c r="D241" t="s">
        <v>729</v>
      </c>
      <c r="E241" t="s">
        <v>727</v>
      </c>
      <c r="F241">
        <v>96</v>
      </c>
      <c r="G241" t="s">
        <v>182</v>
      </c>
      <c r="H241">
        <v>1.5</v>
      </c>
      <c r="I241" s="32">
        <v>130</v>
      </c>
      <c r="J241" s="32">
        <v>195</v>
      </c>
      <c r="K241" s="32">
        <v>12480</v>
      </c>
      <c r="Q241">
        <v>0.5</v>
      </c>
      <c r="R241">
        <v>0.5</v>
      </c>
      <c r="V241" s="32">
        <v>0</v>
      </c>
      <c r="W241" s="32">
        <v>0</v>
      </c>
      <c r="X241" s="32">
        <v>0</v>
      </c>
      <c r="Y241" s="32">
        <v>0</v>
      </c>
      <c r="Z241" s="32">
        <v>0</v>
      </c>
      <c r="AA241" s="32">
        <v>6240</v>
      </c>
      <c r="AB241" s="32">
        <v>6240</v>
      </c>
      <c r="AC241" s="32">
        <v>0</v>
      </c>
      <c r="AD241" s="32">
        <v>0</v>
      </c>
      <c r="AE241" s="32">
        <v>0</v>
      </c>
    </row>
    <row r="242" spans="2:31" x14ac:dyDescent="0.3">
      <c r="B242" t="s">
        <v>437</v>
      </c>
      <c r="C242" t="s">
        <v>676</v>
      </c>
      <c r="D242" t="s">
        <v>442</v>
      </c>
      <c r="E242" t="s">
        <v>215</v>
      </c>
      <c r="F242">
        <v>64</v>
      </c>
      <c r="G242" t="s">
        <v>113</v>
      </c>
      <c r="H242">
        <v>1</v>
      </c>
      <c r="I242" s="32">
        <v>500</v>
      </c>
      <c r="J242" s="32">
        <v>500</v>
      </c>
      <c r="K242" s="32">
        <v>32000</v>
      </c>
      <c r="Q242">
        <v>9.3700000000000006E-2</v>
      </c>
      <c r="R242">
        <v>9.3799999999999994E-2</v>
      </c>
      <c r="S242">
        <v>0.33695000000000003</v>
      </c>
      <c r="T242">
        <v>0.47554999999999997</v>
      </c>
      <c r="V242" s="32">
        <v>0</v>
      </c>
      <c r="W242" s="32">
        <v>0</v>
      </c>
      <c r="X242" s="32">
        <v>0</v>
      </c>
      <c r="Y242" s="32">
        <v>0</v>
      </c>
      <c r="Z242" s="32">
        <v>0</v>
      </c>
      <c r="AA242" s="32">
        <v>2998.4</v>
      </c>
      <c r="AB242" s="32">
        <v>3001.6</v>
      </c>
      <c r="AC242" s="32">
        <v>10782.4</v>
      </c>
      <c r="AD242" s="32">
        <v>15217.6</v>
      </c>
      <c r="AE242" s="32">
        <v>0</v>
      </c>
    </row>
    <row r="243" spans="2:31" x14ac:dyDescent="0.3">
      <c r="D243" t="s">
        <v>502</v>
      </c>
      <c r="F243">
        <v>0</v>
      </c>
      <c r="J243" s="32">
        <v>0</v>
      </c>
      <c r="K243" s="32">
        <v>0</v>
      </c>
      <c r="V243" s="32">
        <v>0</v>
      </c>
      <c r="W243" s="32">
        <v>0</v>
      </c>
      <c r="X243" s="32">
        <v>0</v>
      </c>
      <c r="Y243" s="32">
        <v>0</v>
      </c>
      <c r="Z243" s="32">
        <v>0</v>
      </c>
      <c r="AA243" s="32">
        <v>0</v>
      </c>
      <c r="AB243" s="32">
        <v>0</v>
      </c>
      <c r="AC243" s="32">
        <v>0</v>
      </c>
      <c r="AD243" s="32">
        <v>0</v>
      </c>
      <c r="AE243" s="32">
        <v>0</v>
      </c>
    </row>
    <row r="244" spans="2:31" x14ac:dyDescent="0.3">
      <c r="B244" t="s">
        <v>503</v>
      </c>
      <c r="C244" t="s">
        <v>83</v>
      </c>
      <c r="D244" t="s">
        <v>508</v>
      </c>
      <c r="F244">
        <v>32</v>
      </c>
      <c r="G244" t="s">
        <v>87</v>
      </c>
      <c r="H244">
        <v>0.5</v>
      </c>
      <c r="I244" s="32">
        <v>15.67</v>
      </c>
      <c r="J244" s="32">
        <v>7.835</v>
      </c>
      <c r="K244" s="32">
        <v>501.44</v>
      </c>
      <c r="R244">
        <v>0.5</v>
      </c>
      <c r="S244">
        <v>0.5</v>
      </c>
      <c r="V244" s="32">
        <v>0</v>
      </c>
      <c r="W244" s="32">
        <v>0</v>
      </c>
      <c r="X244" s="32">
        <v>0</v>
      </c>
      <c r="Y244" s="32">
        <v>0</v>
      </c>
      <c r="Z244" s="32">
        <v>0</v>
      </c>
      <c r="AA244" s="32">
        <v>0</v>
      </c>
      <c r="AB244" s="32">
        <v>250.72</v>
      </c>
      <c r="AC244" s="32">
        <v>250.72</v>
      </c>
      <c r="AD244" s="32">
        <v>0</v>
      </c>
      <c r="AE244" s="32">
        <v>0</v>
      </c>
    </row>
    <row r="245" spans="2:31" x14ac:dyDescent="0.3">
      <c r="B245" t="s">
        <v>503</v>
      </c>
      <c r="C245" t="s">
        <v>83</v>
      </c>
      <c r="D245" t="s">
        <v>511</v>
      </c>
      <c r="F245">
        <v>32</v>
      </c>
      <c r="G245" t="s">
        <v>87</v>
      </c>
      <c r="H245">
        <v>0.5</v>
      </c>
      <c r="I245" s="32">
        <v>36.21</v>
      </c>
      <c r="J245" s="32">
        <v>18.105</v>
      </c>
      <c r="K245" s="32">
        <v>1158.72</v>
      </c>
      <c r="R245">
        <v>0.5</v>
      </c>
      <c r="S245">
        <v>0.5</v>
      </c>
      <c r="V245" s="32">
        <v>0</v>
      </c>
      <c r="W245" s="32">
        <v>0</v>
      </c>
      <c r="X245" s="32">
        <v>0</v>
      </c>
      <c r="Y245" s="32">
        <v>0</v>
      </c>
      <c r="Z245" s="32">
        <v>0</v>
      </c>
      <c r="AA245" s="32">
        <v>0</v>
      </c>
      <c r="AB245" s="32">
        <v>579.36</v>
      </c>
      <c r="AC245" s="32">
        <v>579.36</v>
      </c>
      <c r="AD245" s="32">
        <v>0</v>
      </c>
      <c r="AE245" s="32">
        <v>0</v>
      </c>
    </row>
    <row r="246" spans="2:31" x14ac:dyDescent="0.3">
      <c r="B246" t="s">
        <v>503</v>
      </c>
      <c r="C246" t="s">
        <v>83</v>
      </c>
      <c r="D246" t="s">
        <v>504</v>
      </c>
      <c r="F246">
        <v>32</v>
      </c>
      <c r="G246" t="s">
        <v>87</v>
      </c>
      <c r="H246">
        <v>0.5</v>
      </c>
      <c r="I246" s="32">
        <v>15.43</v>
      </c>
      <c r="J246" s="32">
        <v>7.7149999999999999</v>
      </c>
      <c r="K246" s="32">
        <v>493.76</v>
      </c>
      <c r="R246">
        <v>0.5</v>
      </c>
      <c r="S246">
        <v>0.5</v>
      </c>
      <c r="V246" s="32">
        <v>0</v>
      </c>
      <c r="W246" s="32">
        <v>0</v>
      </c>
      <c r="X246" s="32">
        <v>0</v>
      </c>
      <c r="Y246" s="32">
        <v>0</v>
      </c>
      <c r="Z246" s="32">
        <v>0</v>
      </c>
      <c r="AA246" s="32">
        <v>0</v>
      </c>
      <c r="AB246" s="32">
        <v>246.88</v>
      </c>
      <c r="AC246" s="32">
        <v>246.88</v>
      </c>
      <c r="AD246" s="32">
        <v>0</v>
      </c>
      <c r="AE246" s="32">
        <v>0</v>
      </c>
    </row>
    <row r="247" spans="2:31" x14ac:dyDescent="0.3">
      <c r="B247" t="s">
        <v>503</v>
      </c>
      <c r="C247" t="s">
        <v>83</v>
      </c>
      <c r="D247" t="s">
        <v>509</v>
      </c>
      <c r="F247">
        <v>2840.32</v>
      </c>
      <c r="G247" t="s">
        <v>510</v>
      </c>
      <c r="H247">
        <v>44.38</v>
      </c>
      <c r="I247" s="32">
        <v>3.5</v>
      </c>
      <c r="J247" s="32">
        <v>155.33000000000001</v>
      </c>
      <c r="K247" s="32">
        <v>9941.1200000000008</v>
      </c>
      <c r="R247">
        <v>9.3700000000000006E-2</v>
      </c>
      <c r="S247">
        <v>9.3799999999999994E-2</v>
      </c>
      <c r="T247">
        <v>0.33695000000000003</v>
      </c>
      <c r="U247">
        <v>0.47554999999999997</v>
      </c>
      <c r="V247" s="32">
        <v>0</v>
      </c>
      <c r="W247" s="32">
        <v>0</v>
      </c>
      <c r="X247" s="32">
        <v>0</v>
      </c>
      <c r="Y247" s="32">
        <v>0</v>
      </c>
      <c r="Z247" s="32">
        <v>0</v>
      </c>
      <c r="AA247" s="32">
        <v>0</v>
      </c>
      <c r="AB247" s="32">
        <v>931.48294400000009</v>
      </c>
      <c r="AC247" s="32">
        <v>932.47705600000006</v>
      </c>
      <c r="AD247" s="32">
        <v>3349.6603839999998</v>
      </c>
      <c r="AE247" s="32">
        <v>4727.499616000001</v>
      </c>
    </row>
    <row r="248" spans="2:31" x14ac:dyDescent="0.3">
      <c r="J248" s="32">
        <v>0</v>
      </c>
      <c r="K248" s="32">
        <v>5657576.801599998</v>
      </c>
      <c r="V248" s="32">
        <v>0</v>
      </c>
      <c r="W248" s="32">
        <v>0</v>
      </c>
      <c r="X248" s="32">
        <v>0</v>
      </c>
      <c r="Y248" s="32">
        <v>0</v>
      </c>
      <c r="Z248" s="32">
        <v>0</v>
      </c>
      <c r="AA248" s="32">
        <v>0</v>
      </c>
      <c r="AB248" s="32">
        <v>0</v>
      </c>
      <c r="AC248" s="32">
        <v>0</v>
      </c>
      <c r="AD248" s="32">
        <v>0</v>
      </c>
      <c r="AE248" s="32">
        <v>0</v>
      </c>
    </row>
    <row r="249" spans="2:31" x14ac:dyDescent="0.3">
      <c r="B249" t="s">
        <v>656</v>
      </c>
      <c r="C249" t="s">
        <v>657</v>
      </c>
      <c r="D249" t="s">
        <v>658</v>
      </c>
      <c r="G249" t="s">
        <v>730</v>
      </c>
      <c r="H249" t="s">
        <v>731</v>
      </c>
      <c r="I249" t="s">
        <v>663</v>
      </c>
      <c r="V249" s="32">
        <v>0</v>
      </c>
      <c r="W249" s="32">
        <v>0</v>
      </c>
      <c r="X249" s="32">
        <v>0</v>
      </c>
      <c r="Y249" s="32">
        <v>0</v>
      </c>
      <c r="Z249" s="32">
        <v>0</v>
      </c>
      <c r="AA249" s="32">
        <v>0</v>
      </c>
      <c r="AB249" s="32">
        <v>0</v>
      </c>
      <c r="AC249" s="32">
        <v>0</v>
      </c>
      <c r="AD249" s="32">
        <v>0</v>
      </c>
      <c r="AE249" s="32">
        <v>0</v>
      </c>
    </row>
    <row r="250" spans="2:31" x14ac:dyDescent="0.3">
      <c r="D250" t="s">
        <v>120</v>
      </c>
      <c r="V250" s="32">
        <v>0</v>
      </c>
      <c r="W250" s="32">
        <v>0</v>
      </c>
      <c r="X250" s="32">
        <v>0</v>
      </c>
      <c r="Y250" s="32">
        <v>0</v>
      </c>
      <c r="Z250" s="32">
        <v>0</v>
      </c>
      <c r="AA250" s="32">
        <v>0</v>
      </c>
      <c r="AB250" s="32">
        <v>0</v>
      </c>
      <c r="AC250" s="32">
        <v>0</v>
      </c>
      <c r="AD250" s="32">
        <v>0</v>
      </c>
      <c r="AE250" s="32">
        <v>0</v>
      </c>
    </row>
    <row r="251" spans="2:31" x14ac:dyDescent="0.3">
      <c r="D251" t="s">
        <v>732</v>
      </c>
      <c r="I251" s="32">
        <v>13040</v>
      </c>
      <c r="K251" s="32">
        <v>140460</v>
      </c>
      <c r="V251" s="32">
        <v>0</v>
      </c>
      <c r="W251" s="32">
        <v>0</v>
      </c>
      <c r="X251" s="32">
        <v>0</v>
      </c>
      <c r="Y251" s="32">
        <v>0</v>
      </c>
      <c r="Z251" s="32">
        <v>0</v>
      </c>
      <c r="AA251" s="32">
        <v>0</v>
      </c>
      <c r="AB251" s="32">
        <v>0</v>
      </c>
      <c r="AC251" s="32">
        <v>0</v>
      </c>
      <c r="AD251" s="32">
        <v>0</v>
      </c>
      <c r="AE251" s="32">
        <v>0</v>
      </c>
    </row>
    <row r="252" spans="2:31" x14ac:dyDescent="0.3">
      <c r="C252" t="s">
        <v>94</v>
      </c>
      <c r="D252" t="s">
        <v>161</v>
      </c>
      <c r="G252" t="s">
        <v>79</v>
      </c>
      <c r="H252">
        <v>4</v>
      </c>
      <c r="I252" s="32">
        <v>1140</v>
      </c>
      <c r="J252" s="32">
        <v>4560</v>
      </c>
      <c r="K252" s="32">
        <v>4560</v>
      </c>
      <c r="M252">
        <v>0.25</v>
      </c>
      <c r="O252">
        <v>0.25</v>
      </c>
      <c r="Q252">
        <v>0.25</v>
      </c>
      <c r="S252">
        <v>0.25</v>
      </c>
      <c r="V252" s="32">
        <v>0</v>
      </c>
      <c r="W252" s="32">
        <v>1140</v>
      </c>
      <c r="X252" s="32">
        <v>0</v>
      </c>
      <c r="Y252" s="32">
        <v>1140</v>
      </c>
      <c r="Z252" s="32">
        <v>0</v>
      </c>
      <c r="AA252" s="32">
        <v>1140</v>
      </c>
      <c r="AB252" s="32">
        <v>0</v>
      </c>
      <c r="AC252" s="32">
        <v>1140</v>
      </c>
      <c r="AD252" s="32">
        <v>0</v>
      </c>
      <c r="AE252" s="32">
        <v>0</v>
      </c>
    </row>
    <row r="253" spans="2:31" x14ac:dyDescent="0.3">
      <c r="C253" t="s">
        <v>94</v>
      </c>
      <c r="D253" t="s">
        <v>95</v>
      </c>
      <c r="G253" t="s">
        <v>79</v>
      </c>
      <c r="H253">
        <v>2</v>
      </c>
      <c r="I253" s="32">
        <v>6100</v>
      </c>
      <c r="J253" s="32">
        <v>12200</v>
      </c>
      <c r="K253" s="32">
        <v>12200</v>
      </c>
      <c r="L253">
        <v>0.5</v>
      </c>
      <c r="S253">
        <v>0.5</v>
      </c>
      <c r="V253" s="32">
        <v>6100</v>
      </c>
      <c r="W253" s="32">
        <v>0</v>
      </c>
      <c r="X253" s="32">
        <v>0</v>
      </c>
      <c r="Y253" s="32">
        <v>0</v>
      </c>
      <c r="Z253" s="32">
        <v>0</v>
      </c>
      <c r="AA253" s="32">
        <v>0</v>
      </c>
      <c r="AB253" s="32">
        <v>0</v>
      </c>
      <c r="AC253" s="32">
        <v>6100</v>
      </c>
      <c r="AD253" s="32">
        <v>0</v>
      </c>
      <c r="AE253" s="32">
        <v>0</v>
      </c>
    </row>
    <row r="254" spans="2:31" x14ac:dyDescent="0.3">
      <c r="C254" t="s">
        <v>94</v>
      </c>
      <c r="D254" t="s">
        <v>162</v>
      </c>
      <c r="G254" t="s">
        <v>79</v>
      </c>
      <c r="H254">
        <v>4</v>
      </c>
      <c r="I254" s="32">
        <v>400</v>
      </c>
      <c r="J254" s="32">
        <v>1600</v>
      </c>
      <c r="K254" s="32">
        <v>1600</v>
      </c>
      <c r="M254">
        <v>0.25</v>
      </c>
      <c r="O254">
        <v>0.25</v>
      </c>
      <c r="Q254">
        <v>0.25</v>
      </c>
      <c r="S254">
        <v>0.25</v>
      </c>
      <c r="V254" s="32">
        <v>0</v>
      </c>
      <c r="W254" s="32">
        <v>400</v>
      </c>
      <c r="X254" s="32">
        <v>0</v>
      </c>
      <c r="Y254" s="32">
        <v>400</v>
      </c>
      <c r="Z254" s="32">
        <v>0</v>
      </c>
      <c r="AA254" s="32">
        <v>400</v>
      </c>
      <c r="AB254" s="32">
        <v>0</v>
      </c>
      <c r="AC254" s="32">
        <v>400</v>
      </c>
      <c r="AD254" s="32">
        <v>0</v>
      </c>
      <c r="AE254" s="32">
        <v>0</v>
      </c>
    </row>
    <row r="255" spans="2:31" x14ac:dyDescent="0.3">
      <c r="C255" t="s">
        <v>94</v>
      </c>
      <c r="D255" t="s">
        <v>163</v>
      </c>
      <c r="G255" t="s">
        <v>79</v>
      </c>
      <c r="H255">
        <v>4</v>
      </c>
      <c r="I255" s="32">
        <v>900</v>
      </c>
      <c r="J255" s="32">
        <v>3600</v>
      </c>
      <c r="K255" s="32">
        <v>3600</v>
      </c>
      <c r="M255">
        <v>0.25</v>
      </c>
      <c r="O255">
        <v>0.25</v>
      </c>
      <c r="Q255">
        <v>0.25</v>
      </c>
      <c r="S255">
        <v>0.25</v>
      </c>
      <c r="V255" s="32">
        <v>0</v>
      </c>
      <c r="W255" s="32">
        <v>900</v>
      </c>
      <c r="X255" s="32">
        <v>0</v>
      </c>
      <c r="Y255" s="32">
        <v>900</v>
      </c>
      <c r="Z255" s="32">
        <v>0</v>
      </c>
      <c r="AA255" s="32">
        <v>900</v>
      </c>
      <c r="AB255" s="32">
        <v>0</v>
      </c>
      <c r="AC255" s="32">
        <v>900</v>
      </c>
      <c r="AD255" s="32">
        <v>0</v>
      </c>
      <c r="AE255" s="32">
        <v>0</v>
      </c>
    </row>
    <row r="256" spans="2:31" x14ac:dyDescent="0.3">
      <c r="C256" t="s">
        <v>83</v>
      </c>
      <c r="D256" t="s">
        <v>89</v>
      </c>
      <c r="G256" t="s">
        <v>87</v>
      </c>
      <c r="H256">
        <v>1</v>
      </c>
      <c r="I256" s="32">
        <v>2000</v>
      </c>
      <c r="J256" s="32">
        <v>2000</v>
      </c>
      <c r="K256" s="32">
        <v>2000</v>
      </c>
      <c r="L256">
        <v>1</v>
      </c>
      <c r="V256" s="32">
        <v>2000</v>
      </c>
      <c r="W256" s="32">
        <v>0</v>
      </c>
      <c r="X256" s="32">
        <v>0</v>
      </c>
      <c r="Y256" s="32">
        <v>0</v>
      </c>
      <c r="Z256" s="32">
        <v>0</v>
      </c>
      <c r="AA256" s="32">
        <v>0</v>
      </c>
      <c r="AB256" s="32">
        <v>0</v>
      </c>
      <c r="AC256" s="32">
        <v>0</v>
      </c>
      <c r="AD256" s="32">
        <v>0</v>
      </c>
      <c r="AE256" s="32">
        <v>0</v>
      </c>
    </row>
    <row r="257" spans="2:31" x14ac:dyDescent="0.3">
      <c r="C257" t="s">
        <v>83</v>
      </c>
      <c r="D257" t="s">
        <v>733</v>
      </c>
      <c r="G257" t="s">
        <v>87</v>
      </c>
      <c r="H257">
        <v>1</v>
      </c>
      <c r="I257" s="32">
        <v>2500</v>
      </c>
      <c r="J257" s="32">
        <v>2500</v>
      </c>
      <c r="K257" s="32">
        <v>2500</v>
      </c>
      <c r="L257">
        <v>1</v>
      </c>
      <c r="V257" s="32">
        <v>2500</v>
      </c>
      <c r="W257" s="32">
        <v>0</v>
      </c>
      <c r="X257" s="32">
        <v>0</v>
      </c>
      <c r="Y257" s="32">
        <v>0</v>
      </c>
      <c r="Z257" s="32">
        <v>0</v>
      </c>
      <c r="AA257" s="32">
        <v>0</v>
      </c>
      <c r="AB257" s="32">
        <v>0</v>
      </c>
      <c r="AC257" s="32">
        <v>0</v>
      </c>
      <c r="AD257" s="32">
        <v>0</v>
      </c>
      <c r="AE257" s="32">
        <v>0</v>
      </c>
    </row>
    <row r="258" spans="2:31" x14ac:dyDescent="0.3">
      <c r="B258">
        <v>21900</v>
      </c>
      <c r="D258" t="s">
        <v>734</v>
      </c>
      <c r="I258" s="32">
        <v>29000</v>
      </c>
      <c r="V258" s="32">
        <v>0</v>
      </c>
      <c r="W258" s="32">
        <v>0</v>
      </c>
      <c r="X258" s="32">
        <v>0</v>
      </c>
      <c r="Y258" s="32">
        <v>0</v>
      </c>
      <c r="Z258" s="32">
        <v>0</v>
      </c>
      <c r="AA258" s="32">
        <v>0</v>
      </c>
      <c r="AB258" s="32">
        <v>0</v>
      </c>
      <c r="AC258" s="32">
        <v>0</v>
      </c>
      <c r="AD258" s="32">
        <v>0</v>
      </c>
      <c r="AE258" s="32">
        <v>0</v>
      </c>
    </row>
    <row r="259" spans="2:31" x14ac:dyDescent="0.3">
      <c r="C259" t="s">
        <v>90</v>
      </c>
      <c r="D259" t="s">
        <v>166</v>
      </c>
      <c r="G259" t="s">
        <v>79</v>
      </c>
      <c r="H259">
        <v>4</v>
      </c>
      <c r="I259" s="32">
        <v>10000</v>
      </c>
      <c r="J259" s="32">
        <v>40000</v>
      </c>
      <c r="K259" s="32">
        <v>40000</v>
      </c>
      <c r="M259">
        <v>0.25</v>
      </c>
      <c r="O259">
        <v>0.25</v>
      </c>
      <c r="Q259">
        <v>0.25</v>
      </c>
      <c r="S259">
        <v>0.25</v>
      </c>
      <c r="V259" s="32">
        <v>0</v>
      </c>
      <c r="W259" s="32">
        <v>10000</v>
      </c>
      <c r="X259" s="32">
        <v>0</v>
      </c>
      <c r="Y259" s="32">
        <v>10000</v>
      </c>
      <c r="Z259" s="32">
        <v>0</v>
      </c>
      <c r="AA259" s="32">
        <v>10000</v>
      </c>
      <c r="AB259" s="32">
        <v>0</v>
      </c>
      <c r="AC259" s="32">
        <v>10000</v>
      </c>
      <c r="AD259" s="32">
        <v>0</v>
      </c>
      <c r="AE259" s="32">
        <v>0</v>
      </c>
    </row>
    <row r="260" spans="2:31" x14ac:dyDescent="0.3">
      <c r="C260" t="s">
        <v>90</v>
      </c>
      <c r="D260" t="s">
        <v>91</v>
      </c>
      <c r="G260" t="s">
        <v>79</v>
      </c>
      <c r="H260">
        <v>3</v>
      </c>
      <c r="I260" s="32">
        <v>2000</v>
      </c>
      <c r="J260" s="32">
        <v>6000</v>
      </c>
      <c r="K260" s="32">
        <v>6000</v>
      </c>
      <c r="L260">
        <v>1</v>
      </c>
      <c r="V260" s="32">
        <v>6000</v>
      </c>
      <c r="W260" s="32">
        <v>0</v>
      </c>
      <c r="X260" s="32">
        <v>0</v>
      </c>
      <c r="Y260" s="32">
        <v>0</v>
      </c>
      <c r="Z260" s="32">
        <v>0</v>
      </c>
      <c r="AA260" s="32">
        <v>0</v>
      </c>
      <c r="AB260" s="32">
        <v>0</v>
      </c>
      <c r="AC260" s="32">
        <v>0</v>
      </c>
      <c r="AD260" s="32">
        <v>0</v>
      </c>
      <c r="AE260" s="32">
        <v>0</v>
      </c>
    </row>
    <row r="261" spans="2:31" x14ac:dyDescent="0.3">
      <c r="C261" t="s">
        <v>90</v>
      </c>
      <c r="D261" t="s">
        <v>735</v>
      </c>
      <c r="E261" t="s">
        <v>165</v>
      </c>
      <c r="G261" t="s">
        <v>79</v>
      </c>
      <c r="H261">
        <v>4</v>
      </c>
      <c r="I261" s="32">
        <v>0</v>
      </c>
      <c r="J261" s="32">
        <v>0</v>
      </c>
      <c r="K261" s="32">
        <v>0</v>
      </c>
      <c r="M261">
        <v>0.25</v>
      </c>
      <c r="O261">
        <v>0.25</v>
      </c>
      <c r="Q261">
        <v>0.25</v>
      </c>
      <c r="S261">
        <v>0.25</v>
      </c>
      <c r="V261" s="32">
        <v>0</v>
      </c>
      <c r="W261" s="32">
        <v>0</v>
      </c>
      <c r="X261" s="32">
        <v>0</v>
      </c>
      <c r="Y261" s="32">
        <v>0</v>
      </c>
      <c r="Z261" s="32">
        <v>0</v>
      </c>
      <c r="AA261" s="32">
        <v>0</v>
      </c>
      <c r="AB261" s="32">
        <v>0</v>
      </c>
      <c r="AC261" s="32">
        <v>0</v>
      </c>
      <c r="AD261" s="32">
        <v>0</v>
      </c>
      <c r="AE261" s="32">
        <v>0</v>
      </c>
    </row>
    <row r="262" spans="2:31" x14ac:dyDescent="0.3">
      <c r="C262" t="s">
        <v>90</v>
      </c>
      <c r="D262" t="s">
        <v>164</v>
      </c>
      <c r="E262" t="s">
        <v>165</v>
      </c>
      <c r="G262" t="s">
        <v>79</v>
      </c>
      <c r="H262">
        <v>4</v>
      </c>
      <c r="I262" s="32">
        <v>3000</v>
      </c>
      <c r="J262" s="32">
        <v>12000</v>
      </c>
      <c r="K262" s="32">
        <v>12000</v>
      </c>
      <c r="M262">
        <v>0.25</v>
      </c>
      <c r="O262">
        <v>0.25</v>
      </c>
      <c r="Q262">
        <v>0.25</v>
      </c>
      <c r="S262">
        <v>0.25</v>
      </c>
      <c r="V262" s="32">
        <v>0</v>
      </c>
      <c r="W262" s="32">
        <v>3000</v>
      </c>
      <c r="X262" s="32">
        <v>0</v>
      </c>
      <c r="Y262" s="32">
        <v>3000</v>
      </c>
      <c r="Z262" s="32">
        <v>0</v>
      </c>
      <c r="AA262" s="32">
        <v>3000</v>
      </c>
      <c r="AB262" s="32">
        <v>0</v>
      </c>
      <c r="AC262" s="32">
        <v>3000</v>
      </c>
      <c r="AD262" s="32">
        <v>0</v>
      </c>
      <c r="AE262" s="32">
        <v>0</v>
      </c>
    </row>
    <row r="263" spans="2:31" x14ac:dyDescent="0.3">
      <c r="C263" t="s">
        <v>90</v>
      </c>
      <c r="D263" t="s">
        <v>241</v>
      </c>
      <c r="G263" t="s">
        <v>79</v>
      </c>
      <c r="H263">
        <v>4</v>
      </c>
      <c r="I263" s="32">
        <v>3000</v>
      </c>
      <c r="J263" s="32">
        <v>12000</v>
      </c>
      <c r="K263" s="32">
        <v>12000</v>
      </c>
      <c r="N263">
        <v>0.25</v>
      </c>
      <c r="O263">
        <v>0.25</v>
      </c>
      <c r="P263">
        <v>0.25</v>
      </c>
      <c r="Q263">
        <v>0.25</v>
      </c>
      <c r="V263" s="32">
        <v>0</v>
      </c>
      <c r="W263" s="32">
        <v>0</v>
      </c>
      <c r="X263" s="32">
        <v>3000</v>
      </c>
      <c r="Y263" s="32">
        <v>3000</v>
      </c>
      <c r="Z263" s="32">
        <v>3000</v>
      </c>
      <c r="AA263" s="32">
        <v>3000</v>
      </c>
      <c r="AB263" s="32">
        <v>0</v>
      </c>
      <c r="AC263" s="32">
        <v>0</v>
      </c>
      <c r="AD263" s="32">
        <v>0</v>
      </c>
      <c r="AE263" s="32">
        <v>0</v>
      </c>
    </row>
    <row r="264" spans="2:31" x14ac:dyDescent="0.3">
      <c r="C264" t="s">
        <v>90</v>
      </c>
      <c r="D264" t="s">
        <v>736</v>
      </c>
      <c r="H264">
        <v>4</v>
      </c>
      <c r="I264" s="32">
        <v>7500</v>
      </c>
      <c r="J264" s="32">
        <v>30000</v>
      </c>
      <c r="K264" s="32">
        <v>30000</v>
      </c>
      <c r="M264">
        <v>0.25</v>
      </c>
      <c r="O264">
        <v>0.25</v>
      </c>
      <c r="Q264">
        <v>0.25</v>
      </c>
      <c r="S264">
        <v>0.25</v>
      </c>
      <c r="V264" s="32">
        <v>0</v>
      </c>
      <c r="W264" s="32">
        <v>7500</v>
      </c>
      <c r="X264" s="32">
        <v>0</v>
      </c>
      <c r="Y264" s="32">
        <v>7500</v>
      </c>
      <c r="Z264" s="32">
        <v>0</v>
      </c>
      <c r="AA264" s="32">
        <v>7500</v>
      </c>
      <c r="AB264" s="32">
        <v>0</v>
      </c>
      <c r="AC264" s="32">
        <v>7500</v>
      </c>
      <c r="AD264" s="32">
        <v>0</v>
      </c>
      <c r="AE264" s="32">
        <v>0</v>
      </c>
    </row>
    <row r="265" spans="2:31" x14ac:dyDescent="0.3">
      <c r="C265" t="s">
        <v>90</v>
      </c>
      <c r="D265" t="s">
        <v>160</v>
      </c>
      <c r="G265" t="s">
        <v>79</v>
      </c>
      <c r="H265">
        <v>4</v>
      </c>
      <c r="I265" s="32">
        <v>3500</v>
      </c>
      <c r="J265" s="32">
        <v>14000</v>
      </c>
      <c r="K265" s="32">
        <v>14000</v>
      </c>
      <c r="M265">
        <v>0.25</v>
      </c>
      <c r="O265">
        <v>0.25</v>
      </c>
      <c r="Q265">
        <v>0.25</v>
      </c>
      <c r="S265">
        <v>0.25</v>
      </c>
      <c r="V265" s="32">
        <v>0</v>
      </c>
      <c r="W265" s="32">
        <v>3500</v>
      </c>
      <c r="X265" s="32">
        <v>0</v>
      </c>
      <c r="Y265" s="32">
        <v>3500</v>
      </c>
      <c r="Z265" s="32">
        <v>0</v>
      </c>
      <c r="AA265" s="32">
        <v>3500</v>
      </c>
      <c r="AB265" s="32">
        <v>0</v>
      </c>
      <c r="AC265" s="32">
        <v>3500</v>
      </c>
      <c r="AD265" s="32">
        <v>0</v>
      </c>
      <c r="AE265" s="32">
        <v>0</v>
      </c>
    </row>
    <row r="266" spans="2:31" x14ac:dyDescent="0.3">
      <c r="V266" s="32">
        <v>0</v>
      </c>
      <c r="W266" s="32">
        <v>0</v>
      </c>
      <c r="X266" s="32">
        <v>0</v>
      </c>
      <c r="Y266" s="32">
        <v>0</v>
      </c>
      <c r="Z266" s="32">
        <v>0</v>
      </c>
      <c r="AA266" s="32">
        <v>0</v>
      </c>
      <c r="AB266" s="32">
        <v>0</v>
      </c>
      <c r="AC266" s="32">
        <v>0</v>
      </c>
      <c r="AD266" s="32">
        <v>0</v>
      </c>
      <c r="AE266" s="32">
        <v>0</v>
      </c>
    </row>
    <row r="267" spans="2:31" x14ac:dyDescent="0.3">
      <c r="D267" t="s">
        <v>121</v>
      </c>
      <c r="G267" t="s">
        <v>79</v>
      </c>
      <c r="V267" s="32">
        <v>350239.6</v>
      </c>
      <c r="W267" s="32">
        <v>240223.4463786667</v>
      </c>
      <c r="X267" s="32">
        <v>590384.72466319997</v>
      </c>
      <c r="Y267" s="32">
        <v>839152.04295291519</v>
      </c>
      <c r="Z267" s="32">
        <v>1069128.6647850811</v>
      </c>
      <c r="AA267" s="32">
        <v>1086725.894254111</v>
      </c>
      <c r="AB267" s="32">
        <v>834689.30748509045</v>
      </c>
      <c r="AC267" s="32">
        <v>454039.89004093601</v>
      </c>
      <c r="AD267" s="32">
        <v>109401.737824</v>
      </c>
      <c r="AE267" s="32">
        <v>206926.053216</v>
      </c>
    </row>
    <row r="268" spans="2:31" x14ac:dyDescent="0.3">
      <c r="D268" t="s">
        <v>737</v>
      </c>
      <c r="I268" s="32">
        <v>90248</v>
      </c>
    </row>
    <row r="269" spans="2:31" x14ac:dyDescent="0.3">
      <c r="D269" t="s">
        <v>81</v>
      </c>
      <c r="G269" t="s">
        <v>79</v>
      </c>
      <c r="H269">
        <v>1</v>
      </c>
      <c r="I269" s="32">
        <v>16000</v>
      </c>
      <c r="K269" s="32">
        <v>16000</v>
      </c>
      <c r="L269">
        <v>1</v>
      </c>
      <c r="V269" s="32">
        <v>16000</v>
      </c>
      <c r="W269" s="32">
        <v>0</v>
      </c>
      <c r="X269" s="32">
        <v>0</v>
      </c>
      <c r="Y269" s="32">
        <v>0</v>
      </c>
      <c r="Z269" s="32">
        <v>0</v>
      </c>
      <c r="AA269" s="32">
        <v>0</v>
      </c>
      <c r="AB269" s="32">
        <v>0</v>
      </c>
      <c r="AC269" s="32">
        <v>0</v>
      </c>
      <c r="AD269" s="32">
        <v>0</v>
      </c>
      <c r="AE269" s="32">
        <v>0</v>
      </c>
    </row>
    <row r="270" spans="2:31" x14ac:dyDescent="0.3">
      <c r="D270" t="s">
        <v>76</v>
      </c>
      <c r="G270" t="s">
        <v>79</v>
      </c>
      <c r="H270">
        <v>1</v>
      </c>
      <c r="I270" s="32">
        <v>64000</v>
      </c>
      <c r="K270" s="32">
        <v>64000</v>
      </c>
      <c r="L270">
        <v>1</v>
      </c>
      <c r="V270" s="32">
        <v>64000</v>
      </c>
      <c r="W270" s="32">
        <v>0</v>
      </c>
      <c r="X270" s="32">
        <v>0</v>
      </c>
      <c r="Y270" s="32">
        <v>0</v>
      </c>
      <c r="Z270" s="32">
        <v>0</v>
      </c>
      <c r="AA270" s="32">
        <v>0</v>
      </c>
      <c r="AB270" s="32">
        <v>0</v>
      </c>
      <c r="AC270" s="32">
        <v>0</v>
      </c>
      <c r="AD270" s="32">
        <v>0</v>
      </c>
      <c r="AE270" s="32">
        <v>0</v>
      </c>
    </row>
    <row r="271" spans="2:31" x14ac:dyDescent="0.3">
      <c r="D271" t="s">
        <v>80</v>
      </c>
      <c r="G271" t="s">
        <v>79</v>
      </c>
      <c r="H271">
        <v>4</v>
      </c>
      <c r="I271" s="32">
        <v>10000</v>
      </c>
      <c r="K271" s="32">
        <v>40000</v>
      </c>
      <c r="L271">
        <v>0.4</v>
      </c>
      <c r="N271">
        <v>0.2</v>
      </c>
      <c r="P271">
        <v>0.2</v>
      </c>
      <c r="R271">
        <v>0.2</v>
      </c>
      <c r="V271" s="32">
        <v>16000</v>
      </c>
      <c r="W271" s="32">
        <v>0</v>
      </c>
      <c r="X271" s="32">
        <v>8000</v>
      </c>
      <c r="Y271" s="32">
        <v>0</v>
      </c>
      <c r="Z271" s="32">
        <v>8000</v>
      </c>
      <c r="AA271" s="32">
        <v>0</v>
      </c>
      <c r="AB271" s="32">
        <v>8000</v>
      </c>
      <c r="AC271" s="32">
        <v>0</v>
      </c>
      <c r="AD271" s="32">
        <v>0</v>
      </c>
      <c r="AE271" s="32">
        <v>0</v>
      </c>
    </row>
    <row r="272" spans="2:31" x14ac:dyDescent="0.3">
      <c r="D272" t="s">
        <v>738</v>
      </c>
      <c r="I272" s="32">
        <v>0</v>
      </c>
    </row>
    <row r="273" spans="3:31" x14ac:dyDescent="0.3">
      <c r="C273">
        <v>248000</v>
      </c>
      <c r="D273" t="s">
        <v>126</v>
      </c>
      <c r="I273" s="32">
        <v>248</v>
      </c>
      <c r="V273" s="32">
        <v>0</v>
      </c>
      <c r="W273" s="32">
        <v>19943.37</v>
      </c>
      <c r="X273" s="32">
        <v>0</v>
      </c>
      <c r="Y273" s="32">
        <v>19943.37</v>
      </c>
      <c r="Z273" s="32">
        <v>0</v>
      </c>
      <c r="AA273" s="32">
        <v>19943.37</v>
      </c>
      <c r="AB273" s="32">
        <v>248000</v>
      </c>
      <c r="AC273" s="32">
        <v>0</v>
      </c>
      <c r="AD273" s="32">
        <v>0</v>
      </c>
      <c r="AE273" s="32">
        <v>0</v>
      </c>
    </row>
    <row r="274" spans="3:31" x14ac:dyDescent="0.3">
      <c r="C274">
        <v>163000</v>
      </c>
      <c r="D274" t="s">
        <v>222</v>
      </c>
      <c r="V274" s="32">
        <v>0</v>
      </c>
      <c r="W274" s="32">
        <v>0</v>
      </c>
      <c r="X274" s="32">
        <v>21190</v>
      </c>
      <c r="Y274" s="32">
        <v>21190</v>
      </c>
      <c r="Z274" s="32">
        <v>21190</v>
      </c>
      <c r="AA274" s="32">
        <v>21190</v>
      </c>
      <c r="AB274" s="32">
        <v>21190</v>
      </c>
      <c r="AC274" s="32">
        <v>21190</v>
      </c>
      <c r="AD274" s="32">
        <v>21190</v>
      </c>
      <c r="AE274" s="32">
        <v>63570</v>
      </c>
    </row>
    <row r="275" spans="3:31" x14ac:dyDescent="0.3">
      <c r="C275">
        <v>50000</v>
      </c>
      <c r="D275" t="s">
        <v>228</v>
      </c>
      <c r="V275" s="32">
        <v>0</v>
      </c>
      <c r="X275" s="32">
        <v>4906.58</v>
      </c>
      <c r="Z275" s="32">
        <v>4906.58</v>
      </c>
      <c r="AB275" s="32">
        <v>52453.29</v>
      </c>
      <c r="AC275" s="32">
        <v>0</v>
      </c>
      <c r="AD275" s="32">
        <v>0</v>
      </c>
      <c r="AE275" s="32">
        <v>0</v>
      </c>
    </row>
    <row r="276" spans="3:31" x14ac:dyDescent="0.3">
      <c r="C276">
        <v>200000</v>
      </c>
      <c r="D276" t="s">
        <v>224</v>
      </c>
      <c r="V276" s="32">
        <v>0</v>
      </c>
      <c r="X276" s="32">
        <v>14716.35</v>
      </c>
      <c r="Z276" s="32">
        <v>14716.35</v>
      </c>
      <c r="AB276" s="32">
        <v>214716.35</v>
      </c>
      <c r="AC276" s="32">
        <v>0</v>
      </c>
      <c r="AD276" s="32">
        <v>0</v>
      </c>
      <c r="AE276" s="32">
        <v>0</v>
      </c>
    </row>
    <row r="277" spans="3:31" x14ac:dyDescent="0.3">
      <c r="C277">
        <v>59000</v>
      </c>
      <c r="D277" t="s">
        <v>226</v>
      </c>
      <c r="V277" s="32">
        <v>0</v>
      </c>
      <c r="X277" s="32">
        <v>7670</v>
      </c>
      <c r="Y277" s="32">
        <v>7670</v>
      </c>
      <c r="Z277" s="32">
        <v>7670</v>
      </c>
      <c r="AA277" s="32">
        <v>7670</v>
      </c>
      <c r="AB277" s="32">
        <v>7670</v>
      </c>
      <c r="AC277" s="32">
        <v>7670</v>
      </c>
      <c r="AD277" s="32">
        <v>7670</v>
      </c>
      <c r="AE277" s="32">
        <v>23010</v>
      </c>
    </row>
    <row r="278" spans="3:31" x14ac:dyDescent="0.3">
      <c r="V278" s="32">
        <v>0</v>
      </c>
      <c r="W278" s="32">
        <v>0</v>
      </c>
      <c r="X278" s="32">
        <v>0</v>
      </c>
      <c r="Y278" s="32">
        <v>0</v>
      </c>
      <c r="Z278" s="32">
        <v>0</v>
      </c>
      <c r="AA278" s="32">
        <v>0</v>
      </c>
      <c r="AB278" s="32">
        <v>0</v>
      </c>
      <c r="AC278" s="32">
        <v>0</v>
      </c>
      <c r="AD278" s="32">
        <v>0</v>
      </c>
      <c r="AE278" s="32">
        <v>0</v>
      </c>
    </row>
    <row r="279" spans="3:31" x14ac:dyDescent="0.3">
      <c r="C279">
        <v>720000</v>
      </c>
      <c r="V279" s="32">
        <v>0</v>
      </c>
      <c r="W279" s="32">
        <v>0</v>
      </c>
      <c r="X279" s="32">
        <v>0</v>
      </c>
      <c r="Y279" s="32">
        <v>0</v>
      </c>
      <c r="Z279" s="32">
        <v>0</v>
      </c>
      <c r="AA279" s="32">
        <v>0</v>
      </c>
      <c r="AB279" s="32">
        <v>0</v>
      </c>
      <c r="AC279" s="32">
        <v>0</v>
      </c>
      <c r="AD279" s="32">
        <v>0</v>
      </c>
      <c r="AE279" s="32">
        <v>0</v>
      </c>
    </row>
    <row r="280" spans="3:31" x14ac:dyDescent="0.3">
      <c r="D280" t="s">
        <v>739</v>
      </c>
      <c r="V280" s="32">
        <v>96000</v>
      </c>
      <c r="W280" s="32">
        <v>19943.37</v>
      </c>
      <c r="X280" s="32">
        <v>56482.93</v>
      </c>
      <c r="Y280" s="32">
        <v>48803.37</v>
      </c>
      <c r="Z280" s="32">
        <v>56482.93</v>
      </c>
      <c r="AA280" s="32">
        <v>48803.37</v>
      </c>
      <c r="AB280" s="32">
        <v>552029.64</v>
      </c>
      <c r="AC280" s="32">
        <v>28860</v>
      </c>
      <c r="AD280" s="32">
        <v>28860</v>
      </c>
      <c r="AE280" s="32">
        <v>86580</v>
      </c>
    </row>
    <row r="281" spans="3:31" x14ac:dyDescent="0.3">
      <c r="D281" t="s">
        <v>740</v>
      </c>
      <c r="V281" s="32">
        <v>446239.6</v>
      </c>
      <c r="W281" s="32">
        <v>260166.8163786667</v>
      </c>
      <c r="X281" s="32">
        <v>646867.65466320002</v>
      </c>
      <c r="Y281" s="32">
        <v>887955.41295291518</v>
      </c>
      <c r="Z281" s="32">
        <v>1125611.594785081</v>
      </c>
      <c r="AA281" s="32">
        <v>1135529.2642541111</v>
      </c>
      <c r="AB281" s="32">
        <v>1386718.94748509</v>
      </c>
      <c r="AC281" s="32">
        <v>482899.89004093601</v>
      </c>
      <c r="AD281" s="32">
        <v>138261.73782400001</v>
      </c>
      <c r="AE281" s="32">
        <v>293506.05321599997</v>
      </c>
    </row>
    <row r="282" spans="3:31" x14ac:dyDescent="0.3">
      <c r="D282" t="s">
        <v>67</v>
      </c>
      <c r="V282" s="32">
        <v>0</v>
      </c>
      <c r="W282" s="32">
        <v>0</v>
      </c>
      <c r="X282" s="32">
        <v>0</v>
      </c>
      <c r="Y282" s="32">
        <v>0</v>
      </c>
      <c r="Z282" s="32">
        <v>0</v>
      </c>
      <c r="AA282" s="32">
        <v>0</v>
      </c>
      <c r="AB282" s="32">
        <v>0</v>
      </c>
      <c r="AC282" s="32">
        <v>0</v>
      </c>
      <c r="AD282" s="32">
        <v>0</v>
      </c>
      <c r="AE282" s="32">
        <v>0</v>
      </c>
    </row>
    <row r="283" spans="3:31" x14ac:dyDescent="0.3">
      <c r="D283" t="s">
        <v>69</v>
      </c>
      <c r="V283" s="32">
        <v>720000</v>
      </c>
      <c r="X283" s="32">
        <v>855077.76191999996</v>
      </c>
      <c r="Y283" s="32">
        <v>758705.10988800018</v>
      </c>
      <c r="Z283" s="32">
        <v>1110679.830144</v>
      </c>
      <c r="AA283" s="32">
        <v>1219493.518464</v>
      </c>
      <c r="AB283" s="32">
        <v>1842453.5438079999</v>
      </c>
      <c r="AC283" s="32">
        <v>838686.67072000005</v>
      </c>
      <c r="AD283" s="32">
        <v>419604.64831999998</v>
      </c>
      <c r="AE283" s="32">
        <v>315298.83584000001</v>
      </c>
    </row>
    <row r="284" spans="3:31" x14ac:dyDescent="0.3">
      <c r="V284" s="32">
        <v>0</v>
      </c>
      <c r="W284" s="32">
        <v>0</v>
      </c>
      <c r="X284" s="32">
        <v>0</v>
      </c>
      <c r="Y284" s="32">
        <v>0</v>
      </c>
      <c r="Z284" s="32">
        <v>0</v>
      </c>
      <c r="AA284" s="32">
        <v>0</v>
      </c>
      <c r="AB284" s="32">
        <v>0</v>
      </c>
      <c r="AC284" s="32">
        <v>0</v>
      </c>
      <c r="AD284" s="32">
        <v>0</v>
      </c>
      <c r="AE284" s="32">
        <v>0</v>
      </c>
    </row>
    <row r="285" spans="3:31" x14ac:dyDescent="0.3">
      <c r="D285" t="s">
        <v>741</v>
      </c>
    </row>
    <row r="286" spans="3:31" x14ac:dyDescent="0.3">
      <c r="D286" t="s">
        <v>742</v>
      </c>
      <c r="V286" s="32">
        <v>273760.40000000002</v>
      </c>
      <c r="W286" s="32">
        <v>-260166.8163786667</v>
      </c>
      <c r="X286" s="32">
        <v>208210.10725679991</v>
      </c>
      <c r="Y286" s="32">
        <v>-129250.303064915</v>
      </c>
      <c r="Z286" s="32">
        <v>-14931.76464108075</v>
      </c>
      <c r="AA286" s="32">
        <v>83964.254209888866</v>
      </c>
      <c r="AB286" s="32">
        <v>455734.59632290911</v>
      </c>
      <c r="AC286" s="32">
        <v>355786.78067906399</v>
      </c>
      <c r="AD286" s="32">
        <v>281342.91049600003</v>
      </c>
      <c r="AE286" s="32">
        <v>21792.78262400004</v>
      </c>
    </row>
    <row r="287" spans="3:31" x14ac:dyDescent="0.3">
      <c r="D287" t="s">
        <v>743</v>
      </c>
      <c r="V287" s="32">
        <v>273760.40000000002</v>
      </c>
      <c r="W287" s="32">
        <v>13593.5836213333</v>
      </c>
      <c r="X287" s="32">
        <v>221803.6908781332</v>
      </c>
      <c r="Y287" s="32">
        <v>92553.387813218229</v>
      </c>
      <c r="Z287" s="32">
        <v>77621.623172137479</v>
      </c>
      <c r="AA287" s="32">
        <v>161585.87738202629</v>
      </c>
      <c r="AB287" s="32">
        <v>617320.47370493552</v>
      </c>
      <c r="AC287" s="32">
        <v>973107.25438399962</v>
      </c>
      <c r="AD287" s="32">
        <v>1254450.1648800001</v>
      </c>
      <c r="AE287" s="32">
        <v>1276242.947504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2003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10" customWidth="1"/>
    <col min="2" max="3" width="16" customWidth="1"/>
    <col min="4" max="5" width="14" customWidth="1"/>
    <col min="6" max="6" width="16" customWidth="1"/>
    <col min="7" max="8" width="18" customWidth="1"/>
    <col min="9" max="9" width="22" customWidth="1"/>
    <col min="10" max="10" width="32" customWidth="1"/>
    <col min="11" max="11" width="20" customWidth="1"/>
    <col min="12" max="12" width="18" customWidth="1"/>
    <col min="13" max="13" width="32" customWidth="1"/>
    <col min="14" max="14" width="16" customWidth="1"/>
    <col min="15" max="16" width="14" customWidth="1"/>
    <col min="17" max="17" width="32" customWidth="1"/>
    <col min="18" max="18" width="12" customWidth="1"/>
    <col min="19" max="19" width="14" customWidth="1"/>
    <col min="20" max="20" width="12" customWidth="1"/>
  </cols>
  <sheetData>
    <row r="1" spans="1:20" ht="18" x14ac:dyDescent="0.35">
      <c r="A1" s="34" t="s">
        <v>744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</row>
    <row r="2" spans="1:20" x14ac:dyDescent="0.3">
      <c r="A2" s="36" t="s">
        <v>745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</row>
    <row r="4" spans="1:20" ht="28.8" x14ac:dyDescent="0.3">
      <c r="A4" s="12" t="s">
        <v>746</v>
      </c>
      <c r="B4" s="12" t="s">
        <v>64</v>
      </c>
      <c r="C4" s="12" t="s">
        <v>62</v>
      </c>
      <c r="D4" s="12" t="s">
        <v>747</v>
      </c>
      <c r="E4" s="12" t="s">
        <v>748</v>
      </c>
      <c r="F4" s="12" t="s">
        <v>58</v>
      </c>
      <c r="G4" s="12" t="s">
        <v>59</v>
      </c>
      <c r="H4" s="12" t="s">
        <v>60</v>
      </c>
      <c r="I4" s="12" t="s">
        <v>749</v>
      </c>
      <c r="J4" s="12" t="s">
        <v>750</v>
      </c>
      <c r="K4" s="12" t="s">
        <v>35</v>
      </c>
      <c r="L4" s="12" t="s">
        <v>36</v>
      </c>
      <c r="M4" s="12" t="s">
        <v>65</v>
      </c>
      <c r="N4" s="12" t="s">
        <v>751</v>
      </c>
      <c r="O4" s="12" t="s">
        <v>752</v>
      </c>
      <c r="P4" s="12" t="s">
        <v>753</v>
      </c>
      <c r="Q4" s="12" t="s">
        <v>754</v>
      </c>
      <c r="R4" s="12" t="s">
        <v>755</v>
      </c>
      <c r="S4" s="12" t="s">
        <v>756</v>
      </c>
      <c r="T4" s="12" t="s">
        <v>757</v>
      </c>
    </row>
    <row r="5" spans="1:20" x14ac:dyDescent="0.3">
      <c r="A5" s="26">
        <f>IF(BASE_CAIXA!A2="","",BASE_CAIXA!A2)</f>
        <v>1</v>
      </c>
      <c r="B5" s="26" t="str">
        <f>IF(A5="","",BASE_CAIXA!AL2)</f>
        <v>000001-CR</v>
      </c>
      <c r="C5" s="13">
        <f>IF(A5="","",BASE_CAIXA!AJ2)</f>
        <v>46080</v>
      </c>
      <c r="D5" s="26" t="str">
        <f>IF(A5="","",IF(BASE_CAIXA!C2="Entrada","Crédito","Débito"))</f>
        <v>Crédito</v>
      </c>
      <c r="E5" s="14">
        <f>IF(A5="","",BASE_CAIXA!AA2)</f>
        <v>720000</v>
      </c>
      <c r="F5" s="26" t="str">
        <f>IF(A5="","",BASE_CAIXA!N2)</f>
        <v>PIX</v>
      </c>
      <c r="G5" s="26">
        <f>IF(A5="","",BASE_CAIXA!O2)</f>
        <v>0</v>
      </c>
      <c r="H5" s="26">
        <f>IF(A5="","",BASE_CAIXA!P2)</f>
        <v>0</v>
      </c>
      <c r="I5" s="26" t="str">
        <f>IF(A5="","",IF(BASE_CAIXA!H2&lt;&gt;"",BASE_CAIXA!H2,BASE_CAIXA!G2))</f>
        <v>FM SOLUÇÕES EM BEBIDAS</v>
      </c>
      <c r="J5" s="26" t="str">
        <f>IF(A5="","",BASE_CAIXA!G2)</f>
        <v>MEDIÇÃO CONTRATUAL</v>
      </c>
      <c r="K5" s="26" t="str">
        <f>IF(A5="","",BASE_CAIXA!I2)</f>
        <v>INVEST_01</v>
      </c>
      <c r="L5" s="26">
        <f>IF(A5="","",BASE_CAIXA!J2)</f>
        <v>0</v>
      </c>
      <c r="M5" s="26" t="str">
        <f>IF(A5="","",BASE_CAIXA!AM2)</f>
        <v>FM SOLUÇÕES EM BEBIDAS | MEDIÇÃO CONTRATUAL | Entrada | MEDI</v>
      </c>
      <c r="N5" s="26" t="str">
        <f t="shared" ref="N5:N68" ca="1" si="0">IF(A5="","",IF(R5&lt;&gt;"",IF(AND(ABS(S5)&lt;=0.01,ABS(T5)&lt;=3),"Conciliado","Divergente"),IF(TODAY()&gt;C5,"Pendente vencido","Previsto")))</f>
        <v>Pendente vencido</v>
      </c>
      <c r="O5" s="13" t="str">
        <f>IFERROR(INDEX(EXTRATO_IMPORTADO!$A$5:$A$404,MATCH(B5,EXTRATO_IMPORTADO!$I$5:$I$404,0)),"")</f>
        <v/>
      </c>
      <c r="P5" s="14" t="str">
        <f>IFERROR(INDEX(EXTRATO_IMPORTADO!$F$5:$F$404,MATCH(B5,EXTRATO_IMPORTADO!$I$5:$I$404,0)),"")</f>
        <v/>
      </c>
      <c r="Q5" s="26" t="str">
        <f>IFERROR(INDEX(EXTRATO_IMPORTADO!$B$5:$B$404,MATCH(B5,EXTRATO_IMPORTADO!$I$5:$I$404,0)),"")</f>
        <v/>
      </c>
      <c r="R5" s="26" t="str">
        <f>IFERROR(MATCH(B5,EXTRATO_IMPORTADO!$I$5:$I$404,0),"")</f>
        <v/>
      </c>
      <c r="S5" s="14" t="str">
        <f t="shared" ref="S5:S68" si="1">IF(OR(A5="",P5=""),"",P5-E5)</f>
        <v/>
      </c>
      <c r="T5" s="33" t="str">
        <f t="shared" ref="T5:T68" si="2">IF(OR(A5="",O5=""),"",O5-C5)</f>
        <v/>
      </c>
    </row>
    <row r="6" spans="1:20" x14ac:dyDescent="0.3">
      <c r="A6" s="26">
        <f>IF(BASE_CAIXA!A3="","",BASE_CAIXA!A3)</f>
        <v>2</v>
      </c>
      <c r="B6" s="26" t="str">
        <f>IF(A6="","",BASE_CAIXA!AL3)</f>
        <v>000002-DB</v>
      </c>
      <c r="C6" s="13">
        <f>IF(A6="","",BASE_CAIXA!AJ3)</f>
        <v>46092</v>
      </c>
      <c r="D6" s="26" t="str">
        <f>IF(A6="","",IF(BASE_CAIXA!C3="Entrada","Crédito","Débito"))</f>
        <v>Débito</v>
      </c>
      <c r="E6" s="14">
        <f>IF(A6="","",BASE_CAIXA!AA3)</f>
        <v>64000</v>
      </c>
      <c r="F6" s="26">
        <f>IF(A6="","",BASE_CAIXA!N3)</f>
        <v>0</v>
      </c>
      <c r="G6" s="26">
        <f>IF(A6="","",BASE_CAIXA!O3)</f>
        <v>0</v>
      </c>
      <c r="H6" s="26">
        <f>IF(A6="","",BASE_CAIXA!P3)</f>
        <v>0</v>
      </c>
      <c r="I6" s="26" t="str">
        <f>IF(A6="","",IF(BASE_CAIXA!H3&lt;&gt;"",BASE_CAIXA!H3,BASE_CAIXA!G3))</f>
        <v>CAUÇÃO</v>
      </c>
      <c r="J6" s="26" t="str">
        <f>IF(A6="","",BASE_CAIXA!G3)</f>
        <v>CAUÇÃO</v>
      </c>
      <c r="K6" s="26">
        <f>IF(A6="","",BASE_CAIXA!I3)</f>
        <v>0</v>
      </c>
      <c r="L6" s="26">
        <f>IF(A6="","",BASE_CAIXA!J3)</f>
        <v>0</v>
      </c>
      <c r="M6" s="26" t="str">
        <f>IF(A6="","",BASE_CAIXA!AM3)</f>
        <v>CAUÇÃO | CAUÇÃO | Saída | DESPESAS ACESSÓRIAS</v>
      </c>
      <c r="N6" s="26" t="str">
        <f t="shared" ca="1" si="0"/>
        <v>Previsto</v>
      </c>
      <c r="O6" s="13" t="str">
        <f>IFERROR(INDEX(EXTRATO_IMPORTADO!$A$5:$A$404,MATCH(B6,EXTRATO_IMPORTADO!$I$5:$I$404,0)),"")</f>
        <v/>
      </c>
      <c r="P6" s="14" t="str">
        <f>IFERROR(INDEX(EXTRATO_IMPORTADO!$F$5:$F$404,MATCH(B6,EXTRATO_IMPORTADO!$I$5:$I$404,0)),"")</f>
        <v/>
      </c>
      <c r="Q6" s="26" t="str">
        <f>IFERROR(INDEX(EXTRATO_IMPORTADO!$B$5:$B$404,MATCH(B6,EXTRATO_IMPORTADO!$I$5:$I$404,0)),"")</f>
        <v/>
      </c>
      <c r="R6" s="26" t="str">
        <f>IFERROR(MATCH(B6,EXTRATO_IMPORTADO!$I$5:$I$404,0),"")</f>
        <v/>
      </c>
      <c r="S6" s="14" t="str">
        <f t="shared" si="1"/>
        <v/>
      </c>
      <c r="T6" s="33" t="str">
        <f t="shared" si="2"/>
        <v/>
      </c>
    </row>
    <row r="7" spans="1:20" x14ac:dyDescent="0.3">
      <c r="A7" s="26">
        <f>IF(BASE_CAIXA!A4="","",BASE_CAIXA!A4)</f>
        <v>3</v>
      </c>
      <c r="B7" s="26" t="str">
        <f>IF(A7="","",BASE_CAIXA!AL4)</f>
        <v>000003-DB</v>
      </c>
      <c r="C7" s="13">
        <f>IF(A7="","",BASE_CAIXA!AJ4)</f>
        <v>46090</v>
      </c>
      <c r="D7" s="26" t="str">
        <f>IF(A7="","",IF(BASE_CAIXA!C4="Entrada","Crédito","Débito"))</f>
        <v>Débito</v>
      </c>
      <c r="E7" s="14">
        <f>IF(A7="","",BASE_CAIXA!AA4)</f>
        <v>16000</v>
      </c>
      <c r="F7" s="26">
        <f>IF(A7="","",BASE_CAIXA!N4)</f>
        <v>0</v>
      </c>
      <c r="G7" s="26">
        <f>IF(A7="","",BASE_CAIXA!O4)</f>
        <v>0</v>
      </c>
      <c r="H7" s="26">
        <f>IF(A7="","",BASE_CAIXA!P4)</f>
        <v>0</v>
      </c>
      <c r="I7" s="26" t="str">
        <f>IF(A7="","",IF(BASE_CAIXA!H4&lt;&gt;"",BASE_CAIXA!H4,BASE_CAIXA!G4))</f>
        <v>LOGISTICA GESTÃO VISITA À OBRA</v>
      </c>
      <c r="J7" s="26" t="str">
        <f>IF(A7="","",BASE_CAIXA!G4)</f>
        <v>LOGISTICA GESTÃO VISITA À OBRA</v>
      </c>
      <c r="K7" s="26">
        <f>IF(A7="","",BASE_CAIXA!I4)</f>
        <v>0</v>
      </c>
      <c r="L7" s="26">
        <f>IF(A7="","",BASE_CAIXA!J4)</f>
        <v>0</v>
      </c>
      <c r="M7" s="26" t="str">
        <f>IF(A7="","",BASE_CAIXA!AM4)</f>
        <v>LOGISTICA GESTÃO VISITA À OBRA | LOGISTICA GESTÃO VISITA À O</v>
      </c>
      <c r="N7" s="26" t="str">
        <f t="shared" ca="1" si="0"/>
        <v>Previsto</v>
      </c>
      <c r="O7" s="13" t="str">
        <f>IFERROR(INDEX(EXTRATO_IMPORTADO!$A$5:$A$404,MATCH(B7,EXTRATO_IMPORTADO!$I$5:$I$404,0)),"")</f>
        <v/>
      </c>
      <c r="P7" s="14" t="str">
        <f>IFERROR(INDEX(EXTRATO_IMPORTADO!$F$5:$F$404,MATCH(B7,EXTRATO_IMPORTADO!$I$5:$I$404,0)),"")</f>
        <v/>
      </c>
      <c r="Q7" s="26" t="str">
        <f>IFERROR(INDEX(EXTRATO_IMPORTADO!$B$5:$B$404,MATCH(B7,EXTRATO_IMPORTADO!$I$5:$I$404,0)),"")</f>
        <v/>
      </c>
      <c r="R7" s="26" t="str">
        <f>IFERROR(MATCH(B7,EXTRATO_IMPORTADO!$I$5:$I$404,0),"")</f>
        <v/>
      </c>
      <c r="S7" s="14" t="str">
        <f t="shared" si="1"/>
        <v/>
      </c>
      <c r="T7" s="33" t="str">
        <f t="shared" si="2"/>
        <v/>
      </c>
    </row>
    <row r="8" spans="1:20" x14ac:dyDescent="0.3">
      <c r="A8" s="26">
        <f>IF(BASE_CAIXA!A5="","",BASE_CAIXA!A5)</f>
        <v>4</v>
      </c>
      <c r="B8" s="26" t="str">
        <f>IF(A8="","",BASE_CAIXA!AL5)</f>
        <v>000004-DB</v>
      </c>
      <c r="C8" s="13">
        <f>IF(A8="","",BASE_CAIXA!AJ5)</f>
        <v>46090</v>
      </c>
      <c r="D8" s="26" t="str">
        <f>IF(A8="","",IF(BASE_CAIXA!C5="Entrada","Crédito","Débito"))</f>
        <v>Débito</v>
      </c>
      <c r="E8" s="14">
        <f>IF(A8="","",BASE_CAIXA!AA5)</f>
        <v>16000</v>
      </c>
      <c r="F8" s="26">
        <f>IF(A8="","",BASE_CAIXA!N5)</f>
        <v>0</v>
      </c>
      <c r="G8" s="26">
        <f>IF(A8="","",BASE_CAIXA!O5)</f>
        <v>0</v>
      </c>
      <c r="H8" s="26">
        <f>IF(A8="","",BASE_CAIXA!P5)</f>
        <v>0</v>
      </c>
      <c r="I8" s="26" t="str">
        <f>IF(A8="","",IF(BASE_CAIXA!H5&lt;&gt;"",BASE_CAIXA!H5,BASE_CAIXA!G5))</f>
        <v>SEGURO</v>
      </c>
      <c r="J8" s="26" t="str">
        <f>IF(A8="","",BASE_CAIXA!G5)</f>
        <v>SEGURO</v>
      </c>
      <c r="K8" s="26">
        <f>IF(A8="","",BASE_CAIXA!I5)</f>
        <v>0</v>
      </c>
      <c r="L8" s="26">
        <f>IF(A8="","",BASE_CAIXA!J5)</f>
        <v>0</v>
      </c>
      <c r="M8" s="26" t="str">
        <f>IF(A8="","",BASE_CAIXA!AM5)</f>
        <v>SEGURO | SEGURO | Saída | DESPESAS ACESSÓRIAS</v>
      </c>
      <c r="N8" s="26" t="str">
        <f t="shared" ca="1" si="0"/>
        <v>Previsto</v>
      </c>
      <c r="O8" s="13" t="str">
        <f>IFERROR(INDEX(EXTRATO_IMPORTADO!$A$5:$A$404,MATCH(B8,EXTRATO_IMPORTADO!$I$5:$I$404,0)),"")</f>
        <v/>
      </c>
      <c r="P8" s="14" t="str">
        <f>IFERROR(INDEX(EXTRATO_IMPORTADO!$F$5:$F$404,MATCH(B8,EXTRATO_IMPORTADO!$I$5:$I$404,0)),"")</f>
        <v/>
      </c>
      <c r="Q8" s="26" t="str">
        <f>IFERROR(INDEX(EXTRATO_IMPORTADO!$B$5:$B$404,MATCH(B8,EXTRATO_IMPORTADO!$I$5:$I$404,0)),"")</f>
        <v/>
      </c>
      <c r="R8" s="26" t="str">
        <f>IFERROR(MATCH(B8,EXTRATO_IMPORTADO!$I$5:$I$404,0),"")</f>
        <v/>
      </c>
      <c r="S8" s="14" t="str">
        <f t="shared" si="1"/>
        <v/>
      </c>
      <c r="T8" s="33" t="str">
        <f t="shared" si="2"/>
        <v/>
      </c>
    </row>
    <row r="9" spans="1:20" x14ac:dyDescent="0.3">
      <c r="A9" s="26">
        <f>IF(BASE_CAIXA!A6="","",BASE_CAIXA!A6)</f>
        <v>5</v>
      </c>
      <c r="B9" s="26" t="str">
        <f>IF(A9="","",BASE_CAIXA!AL6)</f>
        <v>000005-DB</v>
      </c>
      <c r="C9" s="13">
        <f>IF(A9="","",BASE_CAIXA!AJ6)</f>
        <v>46092</v>
      </c>
      <c r="D9" s="26" t="str">
        <f>IF(A9="","",IF(BASE_CAIXA!C6="Entrada","Crédito","Débito"))</f>
        <v>Débito</v>
      </c>
      <c r="E9" s="14">
        <f>IF(A9="","",BASE_CAIXA!AA6)</f>
        <v>2500</v>
      </c>
      <c r="F9" s="26">
        <f>IF(A9="","",BASE_CAIXA!N6)</f>
        <v>0</v>
      </c>
      <c r="G9" s="26">
        <f>IF(A9="","",BASE_CAIXA!O6)</f>
        <v>0</v>
      </c>
      <c r="H9" s="26">
        <f>IF(A9="","",BASE_CAIXA!P6)</f>
        <v>0</v>
      </c>
      <c r="I9" s="26" t="str">
        <f>IF(A9="","",IF(BASE_CAIXA!H6&lt;&gt;"",BASE_CAIXA!H6,BASE_CAIXA!G6))</f>
        <v>Bebedouro</v>
      </c>
      <c r="J9" s="26" t="str">
        <f>IF(A9="","",BASE_CAIXA!G6)</f>
        <v>Bebedouro</v>
      </c>
      <c r="K9" s="26">
        <f>IF(A9="","",BASE_CAIXA!I6)</f>
        <v>0</v>
      </c>
      <c r="L9" s="26">
        <f>IF(A9="","",BASE_CAIXA!J6)</f>
        <v>0</v>
      </c>
      <c r="M9" s="26" t="str">
        <f>IF(A9="","",BASE_CAIXA!AM6)</f>
        <v>Bebedouro | Bebedouro | Saída | GESTÃO LOCAL</v>
      </c>
      <c r="N9" s="26" t="str">
        <f t="shared" ca="1" si="0"/>
        <v>Previsto</v>
      </c>
      <c r="O9" s="13" t="str">
        <f>IFERROR(INDEX(EXTRATO_IMPORTADO!$A$5:$A$404,MATCH(B9,EXTRATO_IMPORTADO!$I$5:$I$404,0)),"")</f>
        <v/>
      </c>
      <c r="P9" s="14" t="str">
        <f>IFERROR(INDEX(EXTRATO_IMPORTADO!$F$5:$F$404,MATCH(B9,EXTRATO_IMPORTADO!$I$5:$I$404,0)),"")</f>
        <v/>
      </c>
      <c r="Q9" s="26" t="str">
        <f>IFERROR(INDEX(EXTRATO_IMPORTADO!$B$5:$B$404,MATCH(B9,EXTRATO_IMPORTADO!$I$5:$I$404,0)),"")</f>
        <v/>
      </c>
      <c r="R9" s="26" t="str">
        <f>IFERROR(MATCH(B9,EXTRATO_IMPORTADO!$I$5:$I$404,0),"")</f>
        <v/>
      </c>
      <c r="S9" s="14" t="str">
        <f t="shared" si="1"/>
        <v/>
      </c>
      <c r="T9" s="33" t="str">
        <f t="shared" si="2"/>
        <v/>
      </c>
    </row>
    <row r="10" spans="1:20" x14ac:dyDescent="0.3">
      <c r="A10" s="26">
        <f>IF(BASE_CAIXA!A7="","",BASE_CAIXA!A7)</f>
        <v>6</v>
      </c>
      <c r="B10" s="26" t="str">
        <f>IF(A10="","",BASE_CAIXA!AL7)</f>
        <v>000006-DB</v>
      </c>
      <c r="C10" s="13">
        <f>IF(A10="","",BASE_CAIXA!AJ7)</f>
        <v>46092</v>
      </c>
      <c r="D10" s="26" t="str">
        <f>IF(A10="","",IF(BASE_CAIXA!C7="Entrada","Crédito","Débito"))</f>
        <v>Débito</v>
      </c>
      <c r="E10" s="14">
        <f>IF(A10="","",BASE_CAIXA!AA7)</f>
        <v>2000</v>
      </c>
      <c r="F10" s="26">
        <f>IF(A10="","",BASE_CAIXA!N7)</f>
        <v>0</v>
      </c>
      <c r="G10" s="26">
        <f>IF(A10="","",BASE_CAIXA!O7)</f>
        <v>0</v>
      </c>
      <c r="H10" s="26">
        <f>IF(A10="","",BASE_CAIXA!P7)</f>
        <v>0</v>
      </c>
      <c r="I10" s="26" t="str">
        <f>IF(A10="","",IF(BASE_CAIXA!H7&lt;&gt;"",BASE_CAIXA!H7,BASE_CAIXA!G7))</f>
        <v>Placa da obra</v>
      </c>
      <c r="J10" s="26" t="str">
        <f>IF(A10="","",BASE_CAIXA!G7)</f>
        <v>Placa da obra</v>
      </c>
      <c r="K10" s="26">
        <f>IF(A10="","",BASE_CAIXA!I7)</f>
        <v>0</v>
      </c>
      <c r="L10" s="26">
        <f>IF(A10="","",BASE_CAIXA!J7)</f>
        <v>0</v>
      </c>
      <c r="M10" s="26" t="str">
        <f>IF(A10="","",BASE_CAIXA!AM7)</f>
        <v>Placa da obra | Placa da obra | Saída | GESTÃO LOCAL</v>
      </c>
      <c r="N10" s="26" t="str">
        <f t="shared" ca="1" si="0"/>
        <v>Previsto</v>
      </c>
      <c r="O10" s="13" t="str">
        <f>IFERROR(INDEX(EXTRATO_IMPORTADO!$A$5:$A$404,MATCH(B10,EXTRATO_IMPORTADO!$I$5:$I$404,0)),"")</f>
        <v/>
      </c>
      <c r="P10" s="14" t="str">
        <f>IFERROR(INDEX(EXTRATO_IMPORTADO!$F$5:$F$404,MATCH(B10,EXTRATO_IMPORTADO!$I$5:$I$404,0)),"")</f>
        <v/>
      </c>
      <c r="Q10" s="26" t="str">
        <f>IFERROR(INDEX(EXTRATO_IMPORTADO!$B$5:$B$404,MATCH(B10,EXTRATO_IMPORTADO!$I$5:$I$404,0)),"")</f>
        <v/>
      </c>
      <c r="R10" s="26" t="str">
        <f>IFERROR(MATCH(B10,EXTRATO_IMPORTADO!$I$5:$I$404,0),"")</f>
        <v/>
      </c>
      <c r="S10" s="14" t="str">
        <f t="shared" si="1"/>
        <v/>
      </c>
      <c r="T10" s="33" t="str">
        <f t="shared" si="2"/>
        <v/>
      </c>
    </row>
    <row r="11" spans="1:20" x14ac:dyDescent="0.3">
      <c r="A11" s="26">
        <f>IF(BASE_CAIXA!A8="","",BASE_CAIXA!A8)</f>
        <v>7</v>
      </c>
      <c r="B11" s="26" t="str">
        <f>IF(A11="","",BASE_CAIXA!AL8)</f>
        <v>000007-DB</v>
      </c>
      <c r="C11" s="13">
        <f>IF(A11="","",BASE_CAIXA!AJ8)</f>
        <v>46101</v>
      </c>
      <c r="D11" s="26" t="str">
        <f>IF(A11="","",IF(BASE_CAIXA!C8="Entrada","Crédito","Débito"))</f>
        <v>Débito</v>
      </c>
      <c r="E11" s="14">
        <f>IF(A11="","",BASE_CAIXA!AA8)</f>
        <v>6000</v>
      </c>
      <c r="F11" s="26">
        <f>IF(A11="","",BASE_CAIXA!N8)</f>
        <v>0</v>
      </c>
      <c r="G11" s="26">
        <f>IF(A11="","",BASE_CAIXA!O8)</f>
        <v>0</v>
      </c>
      <c r="H11" s="26">
        <f>IF(A11="","",BASE_CAIXA!P8)</f>
        <v>0</v>
      </c>
      <c r="I11" s="26" t="str">
        <f>IF(A11="","",IF(BASE_CAIXA!H8&lt;&gt;"",BASE_CAIXA!H8,BASE_CAIXA!G8))</f>
        <v>TOPOGRAFO</v>
      </c>
      <c r="J11" s="26" t="str">
        <f>IF(A11="","",BASE_CAIXA!G8)</f>
        <v>TOPOGRAFO</v>
      </c>
      <c r="K11" s="26">
        <f>IF(A11="","",BASE_CAIXA!I8)</f>
        <v>0</v>
      </c>
      <c r="L11" s="26">
        <f>IF(A11="","",BASE_CAIXA!J8)</f>
        <v>0</v>
      </c>
      <c r="M11" s="26" t="str">
        <f>IF(A11="","",BASE_CAIXA!AM8)</f>
        <v>TOPOGRAFO | TOPOGRAFO | Saída | GESTÃO LOCAL</v>
      </c>
      <c r="N11" s="26" t="str">
        <f t="shared" ca="1" si="0"/>
        <v>Previsto</v>
      </c>
      <c r="O11" s="13" t="str">
        <f>IFERROR(INDEX(EXTRATO_IMPORTADO!$A$5:$A$404,MATCH(B11,EXTRATO_IMPORTADO!$I$5:$I$404,0)),"")</f>
        <v/>
      </c>
      <c r="P11" s="14" t="str">
        <f>IFERROR(INDEX(EXTRATO_IMPORTADO!$F$5:$F$404,MATCH(B11,EXTRATO_IMPORTADO!$I$5:$I$404,0)),"")</f>
        <v/>
      </c>
      <c r="Q11" s="26" t="str">
        <f>IFERROR(INDEX(EXTRATO_IMPORTADO!$B$5:$B$404,MATCH(B11,EXTRATO_IMPORTADO!$I$5:$I$404,0)),"")</f>
        <v/>
      </c>
      <c r="R11" s="26" t="str">
        <f>IFERROR(MATCH(B11,EXTRATO_IMPORTADO!$I$5:$I$404,0),"")</f>
        <v/>
      </c>
      <c r="S11" s="14" t="str">
        <f t="shared" si="1"/>
        <v/>
      </c>
      <c r="T11" s="33" t="str">
        <f t="shared" si="2"/>
        <v/>
      </c>
    </row>
    <row r="12" spans="1:20" x14ac:dyDescent="0.3">
      <c r="A12" s="26">
        <f>IF(BASE_CAIXA!A9="","",BASE_CAIXA!A9)</f>
        <v>8</v>
      </c>
      <c r="B12" s="26" t="str">
        <f>IF(A12="","",BASE_CAIXA!AL9)</f>
        <v>000008-DB</v>
      </c>
      <c r="C12" s="13">
        <f>IF(A12="","",BASE_CAIXA!AJ9)</f>
        <v>46101</v>
      </c>
      <c r="D12" s="26" t="str">
        <f>IF(A12="","",IF(BASE_CAIXA!C9="Entrada","Crédito","Débito"))</f>
        <v>Débito</v>
      </c>
      <c r="E12" s="14">
        <f>IF(A12="","",BASE_CAIXA!AA9)</f>
        <v>6100</v>
      </c>
      <c r="F12" s="26">
        <f>IF(A12="","",BASE_CAIXA!N9)</f>
        <v>0</v>
      </c>
      <c r="G12" s="26">
        <f>IF(A12="","",BASE_CAIXA!O9)</f>
        <v>0</v>
      </c>
      <c r="H12" s="26">
        <f>IF(A12="","",BASE_CAIXA!P9)</f>
        <v>0</v>
      </c>
      <c r="I12" s="26" t="str">
        <f>IF(A12="","",IF(BASE_CAIXA!H9&lt;&gt;"",BASE_CAIXA!H9,BASE_CAIXA!G9))</f>
        <v>mobilização / desmobilzaçao containers</v>
      </c>
      <c r="J12" s="26" t="str">
        <f>IF(A12="","",BASE_CAIXA!G9)</f>
        <v>mobilização / desmobilzaçao containers</v>
      </c>
      <c r="K12" s="26">
        <f>IF(A12="","",BASE_CAIXA!I9)</f>
        <v>0</v>
      </c>
      <c r="L12" s="26">
        <f>IF(A12="","",BASE_CAIXA!J9)</f>
        <v>0</v>
      </c>
      <c r="M12" s="26" t="str">
        <f>IF(A12="","",BASE_CAIXA!AM9)</f>
        <v>mobilização / desmobilzaçao containers | mobilização / desmo</v>
      </c>
      <c r="N12" s="26" t="str">
        <f t="shared" ca="1" si="0"/>
        <v>Previsto</v>
      </c>
      <c r="O12" s="13" t="str">
        <f>IFERROR(INDEX(EXTRATO_IMPORTADO!$A$5:$A$404,MATCH(B12,EXTRATO_IMPORTADO!$I$5:$I$404,0)),"")</f>
        <v/>
      </c>
      <c r="P12" s="14" t="str">
        <f>IFERROR(INDEX(EXTRATO_IMPORTADO!$F$5:$F$404,MATCH(B12,EXTRATO_IMPORTADO!$I$5:$I$404,0)),"")</f>
        <v/>
      </c>
      <c r="Q12" s="26" t="str">
        <f>IFERROR(INDEX(EXTRATO_IMPORTADO!$B$5:$B$404,MATCH(B12,EXTRATO_IMPORTADO!$I$5:$I$404,0)),"")</f>
        <v/>
      </c>
      <c r="R12" s="26" t="str">
        <f>IFERROR(MATCH(B12,EXTRATO_IMPORTADO!$I$5:$I$404,0),"")</f>
        <v/>
      </c>
      <c r="S12" s="14" t="str">
        <f t="shared" si="1"/>
        <v/>
      </c>
      <c r="T12" s="33" t="str">
        <f t="shared" si="2"/>
        <v/>
      </c>
    </row>
    <row r="13" spans="1:20" x14ac:dyDescent="0.3">
      <c r="A13" s="26">
        <f>IF(BASE_CAIXA!A10="","",BASE_CAIXA!A10)</f>
        <v>9</v>
      </c>
      <c r="B13" s="26" t="str">
        <f>IF(A13="","",BASE_CAIXA!AL10)</f>
        <v>000009-DB</v>
      </c>
      <c r="C13" s="13">
        <f>IF(A13="","",BASE_CAIXA!AJ10)</f>
        <v>46101</v>
      </c>
      <c r="D13" s="26" t="str">
        <f>IF(A13="","",IF(BASE_CAIXA!C10="Entrada","Crédito","Débito"))</f>
        <v>Débito</v>
      </c>
      <c r="E13" s="14">
        <f>IF(A13="","",BASE_CAIXA!AA10)</f>
        <v>96000</v>
      </c>
      <c r="F13" s="26">
        <f>IF(A13="","",BASE_CAIXA!N10)</f>
        <v>0</v>
      </c>
      <c r="G13" s="26">
        <f>IF(A13="","",BASE_CAIXA!O10)</f>
        <v>0</v>
      </c>
      <c r="H13" s="26">
        <f>IF(A13="","",BASE_CAIXA!P10)</f>
        <v>0</v>
      </c>
      <c r="I13" s="26" t="str">
        <f>IF(A13="","",IF(BASE_CAIXA!H10&lt;&gt;"",BASE_CAIXA!H10,BASE_CAIXA!G10))</f>
        <v>contrato industrializaçao paredes</v>
      </c>
      <c r="J13" s="26" t="str">
        <f>IF(A13="","",BASE_CAIXA!G10)</f>
        <v>contrato industrializaçao paredes</v>
      </c>
      <c r="K13" s="26">
        <f>IF(A13="","",BASE_CAIXA!I10)</f>
        <v>0</v>
      </c>
      <c r="L13" s="26">
        <f>IF(A13="","",BASE_CAIXA!J10)</f>
        <v>0</v>
      </c>
      <c r="M13" s="26" t="str">
        <f>IF(A13="","",BASE_CAIXA!AM10)</f>
        <v>contrato industrializaçao paredes | contrato industrializaça</v>
      </c>
      <c r="N13" s="26" t="str">
        <f t="shared" ca="1" si="0"/>
        <v>Previsto</v>
      </c>
      <c r="O13" s="13" t="str">
        <f>IFERROR(INDEX(EXTRATO_IMPORTADO!$A$5:$A$404,MATCH(B13,EXTRATO_IMPORTADO!$I$5:$I$404,0)),"")</f>
        <v/>
      </c>
      <c r="P13" s="14" t="str">
        <f>IFERROR(INDEX(EXTRATO_IMPORTADO!$F$5:$F$404,MATCH(B13,EXTRATO_IMPORTADO!$I$5:$I$404,0)),"")</f>
        <v/>
      </c>
      <c r="Q13" s="26" t="str">
        <f>IFERROR(INDEX(EXTRATO_IMPORTADO!$B$5:$B$404,MATCH(B13,EXTRATO_IMPORTADO!$I$5:$I$404,0)),"")</f>
        <v/>
      </c>
      <c r="R13" s="26" t="str">
        <f>IFERROR(MATCH(B13,EXTRATO_IMPORTADO!$I$5:$I$404,0),"")</f>
        <v/>
      </c>
      <c r="S13" s="14" t="str">
        <f t="shared" si="1"/>
        <v/>
      </c>
      <c r="T13" s="33" t="str">
        <f t="shared" si="2"/>
        <v/>
      </c>
    </row>
    <row r="14" spans="1:20" x14ac:dyDescent="0.3">
      <c r="A14" s="26">
        <f>IF(BASE_CAIXA!A11="","",BASE_CAIXA!A11)</f>
        <v>10</v>
      </c>
      <c r="B14" s="26" t="str">
        <f>IF(A14="","",BASE_CAIXA!AL11)</f>
        <v>000010-DB</v>
      </c>
      <c r="C14" s="13">
        <f>IF(A14="","",BASE_CAIXA!AJ11)</f>
        <v>46101</v>
      </c>
      <c r="D14" s="26" t="str">
        <f>IF(A14="","",IF(BASE_CAIXA!C11="Entrada","Crédito","Débito"))</f>
        <v>Débito</v>
      </c>
      <c r="E14" s="14">
        <f>IF(A14="","",BASE_CAIXA!AA11)</f>
        <v>96000</v>
      </c>
      <c r="F14" s="26">
        <f>IF(A14="","",BASE_CAIXA!N11)</f>
        <v>0</v>
      </c>
      <c r="G14" s="26">
        <f>IF(A14="","",BASE_CAIXA!O11)</f>
        <v>0</v>
      </c>
      <c r="H14" s="26">
        <f>IF(A14="","",BASE_CAIXA!P11)</f>
        <v>0</v>
      </c>
      <c r="I14" s="26" t="str">
        <f>IF(A14="","",IF(BASE_CAIXA!H11&lt;&gt;"",BASE_CAIXA!H11,BASE_CAIXA!G11))</f>
        <v>contrato industrializaçao paredes</v>
      </c>
      <c r="J14" s="26" t="str">
        <f>IF(A14="","",BASE_CAIXA!G11)</f>
        <v>contrato industrializaçao paredes</v>
      </c>
      <c r="K14" s="26">
        <f>IF(A14="","",BASE_CAIXA!I11)</f>
        <v>0</v>
      </c>
      <c r="L14" s="26">
        <f>IF(A14="","",BASE_CAIXA!J11)</f>
        <v>0</v>
      </c>
      <c r="M14" s="26" t="str">
        <f>IF(A14="","",BASE_CAIXA!AM11)</f>
        <v>contrato industrializaçao paredes | contrato industrializaça</v>
      </c>
      <c r="N14" s="26" t="str">
        <f t="shared" ca="1" si="0"/>
        <v>Previsto</v>
      </c>
      <c r="O14" s="13" t="str">
        <f>IFERROR(INDEX(EXTRATO_IMPORTADO!$A$5:$A$404,MATCH(B14,EXTRATO_IMPORTADO!$I$5:$I$404,0)),"")</f>
        <v/>
      </c>
      <c r="P14" s="14" t="str">
        <f>IFERROR(INDEX(EXTRATO_IMPORTADO!$F$5:$F$404,MATCH(B14,EXTRATO_IMPORTADO!$I$5:$I$404,0)),"")</f>
        <v/>
      </c>
      <c r="Q14" s="26" t="str">
        <f>IFERROR(INDEX(EXTRATO_IMPORTADO!$B$5:$B$404,MATCH(B14,EXTRATO_IMPORTADO!$I$5:$I$404,0)),"")</f>
        <v/>
      </c>
      <c r="R14" s="26" t="str">
        <f>IFERROR(MATCH(B14,EXTRATO_IMPORTADO!$I$5:$I$404,0),"")</f>
        <v/>
      </c>
      <c r="S14" s="14" t="str">
        <f t="shared" si="1"/>
        <v/>
      </c>
      <c r="T14" s="33" t="str">
        <f t="shared" si="2"/>
        <v/>
      </c>
    </row>
    <row r="15" spans="1:20" x14ac:dyDescent="0.3">
      <c r="A15" s="26">
        <f>IF(BASE_CAIXA!A12="","",BASE_CAIXA!A12)</f>
        <v>11</v>
      </c>
      <c r="B15" s="26" t="str">
        <f>IF(A15="","",BASE_CAIXA!AL12)</f>
        <v>000011-DB</v>
      </c>
      <c r="C15" s="13">
        <f>IF(A15="","",BASE_CAIXA!AJ12)</f>
        <v>46101</v>
      </c>
      <c r="D15" s="26" t="str">
        <f>IF(A15="","",IF(BASE_CAIXA!C12="Entrada","Crédito","Débito"))</f>
        <v>Débito</v>
      </c>
      <c r="E15" s="14">
        <f>IF(A15="","",BASE_CAIXA!AA12)</f>
        <v>115200</v>
      </c>
      <c r="F15" s="26">
        <f>IF(A15="","",BASE_CAIXA!N12)</f>
        <v>0</v>
      </c>
      <c r="G15" s="26">
        <f>IF(A15="","",BASE_CAIXA!O12)</f>
        <v>0</v>
      </c>
      <c r="H15" s="26">
        <f>IF(A15="","",BASE_CAIXA!P12)</f>
        <v>0</v>
      </c>
      <c r="I15" s="26" t="str">
        <f>IF(A15="","",IF(BASE_CAIXA!H12&lt;&gt;"",BASE_CAIXA!H12,BASE_CAIXA!G12))</f>
        <v>contrato industrializaçao paredes</v>
      </c>
      <c r="J15" s="26" t="str">
        <f>IF(A15="","",BASE_CAIXA!G12)</f>
        <v>contrato industrializaçao paredes</v>
      </c>
      <c r="K15" s="26">
        <f>IF(A15="","",BASE_CAIXA!I12)</f>
        <v>0</v>
      </c>
      <c r="L15" s="26">
        <f>IF(A15="","",BASE_CAIXA!J12)</f>
        <v>0</v>
      </c>
      <c r="M15" s="26" t="str">
        <f>IF(A15="","",BASE_CAIXA!AM12)</f>
        <v>contrato industrializaçao paredes | contrato industrializaça</v>
      </c>
      <c r="N15" s="26" t="str">
        <f t="shared" ca="1" si="0"/>
        <v>Previsto</v>
      </c>
      <c r="O15" s="13" t="str">
        <f>IFERROR(INDEX(EXTRATO_IMPORTADO!$A$5:$A$404,MATCH(B15,EXTRATO_IMPORTADO!$I$5:$I$404,0)),"")</f>
        <v/>
      </c>
      <c r="P15" s="14" t="str">
        <f>IFERROR(INDEX(EXTRATO_IMPORTADO!$F$5:$F$404,MATCH(B15,EXTRATO_IMPORTADO!$I$5:$I$404,0)),"")</f>
        <v/>
      </c>
      <c r="Q15" s="26" t="str">
        <f>IFERROR(INDEX(EXTRATO_IMPORTADO!$B$5:$B$404,MATCH(B15,EXTRATO_IMPORTADO!$I$5:$I$404,0)),"")</f>
        <v/>
      </c>
      <c r="R15" s="26" t="str">
        <f>IFERROR(MATCH(B15,EXTRATO_IMPORTADO!$I$5:$I$404,0),"")</f>
        <v/>
      </c>
      <c r="S15" s="14" t="str">
        <f t="shared" si="1"/>
        <v/>
      </c>
      <c r="T15" s="33" t="str">
        <f t="shared" si="2"/>
        <v/>
      </c>
    </row>
    <row r="16" spans="1:20" x14ac:dyDescent="0.3">
      <c r="A16" s="26">
        <f>IF(BASE_CAIXA!A13="","",BASE_CAIXA!A13)</f>
        <v>12</v>
      </c>
      <c r="B16" s="26" t="str">
        <f>IF(A16="","",BASE_CAIXA!AL13)</f>
        <v>000012-DB</v>
      </c>
      <c r="C16" s="13">
        <f>IF(A16="","",BASE_CAIXA!AJ13)</f>
        <v>46101</v>
      </c>
      <c r="D16" s="26" t="str">
        <f>IF(A16="","",IF(BASE_CAIXA!C13="Entrada","Crédito","Débito"))</f>
        <v>Débito</v>
      </c>
      <c r="E16" s="14">
        <f>IF(A16="","",BASE_CAIXA!AA13)</f>
        <v>24750</v>
      </c>
      <c r="F16" s="26">
        <f>IF(A16="","",BASE_CAIXA!N13)</f>
        <v>0</v>
      </c>
      <c r="G16" s="26">
        <f>IF(A16="","",BASE_CAIXA!O13)</f>
        <v>0</v>
      </c>
      <c r="H16" s="26">
        <f>IF(A16="","",BASE_CAIXA!P13)</f>
        <v>0</v>
      </c>
      <c r="I16" s="26" t="str">
        <f>IF(A16="","",IF(BASE_CAIXA!H13&lt;&gt;"",BASE_CAIXA!H13,BASE_CAIXA!G13))</f>
        <v>Mao de obra Terceirizada Radier</v>
      </c>
      <c r="J16" s="26" t="str">
        <f>IF(A16="","",BASE_CAIXA!G13)</f>
        <v>Mao de obra Terceirizada Radier</v>
      </c>
      <c r="K16" s="26">
        <f>IF(A16="","",BASE_CAIXA!I13)</f>
        <v>0</v>
      </c>
      <c r="L16" s="26">
        <f>IF(A16="","",BASE_CAIXA!J13)</f>
        <v>0</v>
      </c>
      <c r="M16" s="26" t="str">
        <f>IF(A16="","",BASE_CAIXA!AM13)</f>
        <v>Mao de obra Terceirizada Radier | Mao de obra Terceirizada R</v>
      </c>
      <c r="N16" s="26" t="str">
        <f t="shared" ca="1" si="0"/>
        <v>Previsto</v>
      </c>
      <c r="O16" s="13" t="str">
        <f>IFERROR(INDEX(EXTRATO_IMPORTADO!$A$5:$A$404,MATCH(B16,EXTRATO_IMPORTADO!$I$5:$I$404,0)),"")</f>
        <v/>
      </c>
      <c r="P16" s="14" t="str">
        <f>IFERROR(INDEX(EXTRATO_IMPORTADO!$F$5:$F$404,MATCH(B16,EXTRATO_IMPORTADO!$I$5:$I$404,0)),"")</f>
        <v/>
      </c>
      <c r="Q16" s="26" t="str">
        <f>IFERROR(INDEX(EXTRATO_IMPORTADO!$B$5:$B$404,MATCH(B16,EXTRATO_IMPORTADO!$I$5:$I$404,0)),"")</f>
        <v/>
      </c>
      <c r="R16" s="26" t="str">
        <f>IFERROR(MATCH(B16,EXTRATO_IMPORTADO!$I$5:$I$404,0),"")</f>
        <v/>
      </c>
      <c r="S16" s="14" t="str">
        <f t="shared" si="1"/>
        <v/>
      </c>
      <c r="T16" s="33" t="str">
        <f t="shared" si="2"/>
        <v/>
      </c>
    </row>
    <row r="17" spans="1:20" x14ac:dyDescent="0.3">
      <c r="A17" s="26">
        <f>IF(BASE_CAIXA!A14="","",BASE_CAIXA!A14)</f>
        <v>13</v>
      </c>
      <c r="B17" s="26" t="str">
        <f>IF(A17="","",BASE_CAIXA!AL14)</f>
        <v>000013-DB</v>
      </c>
      <c r="C17" s="13">
        <f>IF(A17="","",BASE_CAIXA!AJ14)</f>
        <v>46101</v>
      </c>
      <c r="D17" s="26" t="str">
        <f>IF(A17="","",IF(BASE_CAIXA!C14="Entrada","Crédito","Débito"))</f>
        <v>Débito</v>
      </c>
      <c r="E17" s="14">
        <f>IF(A17="","",BASE_CAIXA!AA14)</f>
        <v>1689.6</v>
      </c>
      <c r="F17" s="26">
        <f>IF(A17="","",BASE_CAIXA!N14)</f>
        <v>0</v>
      </c>
      <c r="G17" s="26">
        <f>IF(A17="","",BASE_CAIXA!O14)</f>
        <v>0</v>
      </c>
      <c r="H17" s="26">
        <f>IF(A17="","",BASE_CAIXA!P14)</f>
        <v>0</v>
      </c>
      <c r="I17" s="26" t="str">
        <f>IF(A17="","",IF(BASE_CAIXA!H14&lt;&gt;"",BASE_CAIXA!H14,BASE_CAIXA!G14))</f>
        <v>ripas de 5cm x 2,7m de 25mm</v>
      </c>
      <c r="J17" s="26" t="str">
        <f>IF(A17="","",BASE_CAIXA!G14)</f>
        <v>ripas de 5cm x 2,7m de 25mm</v>
      </c>
      <c r="K17" s="26">
        <f>IF(A17="","",BASE_CAIXA!I14)</f>
        <v>0</v>
      </c>
      <c r="L17" s="26">
        <f>IF(A17="","",BASE_CAIXA!J14)</f>
        <v>0</v>
      </c>
      <c r="M17" s="26" t="str">
        <f>IF(A17="","",BASE_CAIXA!AM14)</f>
        <v xml:space="preserve">ripas de 5cm x 2,7m de 25mm | ripas de 5cm x 2,7m de 25mm | </v>
      </c>
      <c r="N17" s="26" t="str">
        <f t="shared" ca="1" si="0"/>
        <v>Previsto</v>
      </c>
      <c r="O17" s="13" t="str">
        <f>IFERROR(INDEX(EXTRATO_IMPORTADO!$A$5:$A$404,MATCH(B17,EXTRATO_IMPORTADO!$I$5:$I$404,0)),"")</f>
        <v/>
      </c>
      <c r="P17" s="14" t="str">
        <f>IFERROR(INDEX(EXTRATO_IMPORTADO!$F$5:$F$404,MATCH(B17,EXTRATO_IMPORTADO!$I$5:$I$404,0)),"")</f>
        <v/>
      </c>
      <c r="Q17" s="26" t="str">
        <f>IFERROR(INDEX(EXTRATO_IMPORTADO!$B$5:$B$404,MATCH(B17,EXTRATO_IMPORTADO!$I$5:$I$404,0)),"")</f>
        <v/>
      </c>
      <c r="R17" s="26" t="str">
        <f>IFERROR(MATCH(B17,EXTRATO_IMPORTADO!$I$5:$I$404,0),"")</f>
        <v/>
      </c>
      <c r="S17" s="14" t="str">
        <f t="shared" si="1"/>
        <v/>
      </c>
      <c r="T17" s="33" t="str">
        <f t="shared" si="2"/>
        <v/>
      </c>
    </row>
    <row r="18" spans="1:20" x14ac:dyDescent="0.3">
      <c r="A18" s="26">
        <f>IF(BASE_CAIXA!A15="","",BASE_CAIXA!A15)</f>
        <v>14</v>
      </c>
      <c r="B18" s="26" t="str">
        <f>IF(A18="","",BASE_CAIXA!AL15)</f>
        <v>000014-DB</v>
      </c>
      <c r="C18" s="13">
        <f>IF(A18="","",BASE_CAIXA!AJ15)</f>
        <v>46101</v>
      </c>
      <c r="D18" s="26" t="str">
        <f>IF(A18="","",IF(BASE_CAIXA!C15="Entrada","Crédito","Débito"))</f>
        <v>Débito</v>
      </c>
      <c r="E18" s="14">
        <f>IF(A18="","",BASE_CAIXA!AA15)</f>
        <v>350239.6</v>
      </c>
      <c r="F18" s="26">
        <f>IF(A18="","",BASE_CAIXA!N15)</f>
        <v>0</v>
      </c>
      <c r="G18" s="26">
        <f>IF(A18="","",BASE_CAIXA!O15)</f>
        <v>0</v>
      </c>
      <c r="H18" s="26">
        <f>IF(A18="","",BASE_CAIXA!P15)</f>
        <v>0</v>
      </c>
      <c r="I18" s="26" t="str">
        <f>IF(A18="","",IF(BASE_CAIXA!H15&lt;&gt;"",BASE_CAIXA!H15,BASE_CAIXA!G15))</f>
        <v>TOTALIZADOR CUSTO GLOBAIS OBRAS - MENSAL</v>
      </c>
      <c r="J18" s="26" t="str">
        <f>IF(A18="","",BASE_CAIXA!G15)</f>
        <v>TOTALIZADOR CUSTO GLOBAIS OBRAS - MENSAL</v>
      </c>
      <c r="K18" s="26">
        <f>IF(A18="","",BASE_CAIXA!I15)</f>
        <v>0</v>
      </c>
      <c r="L18" s="26">
        <f>IF(A18="","",BASE_CAIXA!J15)</f>
        <v>0</v>
      </c>
      <c r="M18" s="26" t="str">
        <f>IF(A18="","",BASE_CAIXA!AM15)</f>
        <v>TOTALIZADOR CUSTO GLOBAIS OBRAS - MENSAL | TOTALIZADOR CUSTO</v>
      </c>
      <c r="N18" s="26" t="str">
        <f t="shared" ca="1" si="0"/>
        <v>Previsto</v>
      </c>
      <c r="O18" s="13" t="str">
        <f>IFERROR(INDEX(EXTRATO_IMPORTADO!$A$5:$A$404,MATCH(B18,EXTRATO_IMPORTADO!$I$5:$I$404,0)),"")</f>
        <v/>
      </c>
      <c r="P18" s="14" t="str">
        <f>IFERROR(INDEX(EXTRATO_IMPORTADO!$F$5:$F$404,MATCH(B18,EXTRATO_IMPORTADO!$I$5:$I$404,0)),"")</f>
        <v/>
      </c>
      <c r="Q18" s="26" t="str">
        <f>IFERROR(INDEX(EXTRATO_IMPORTADO!$B$5:$B$404,MATCH(B18,EXTRATO_IMPORTADO!$I$5:$I$404,0)),"")</f>
        <v/>
      </c>
      <c r="R18" s="26" t="str">
        <f>IFERROR(MATCH(B18,EXTRATO_IMPORTADO!$I$5:$I$404,0),"")</f>
        <v/>
      </c>
      <c r="S18" s="14" t="str">
        <f t="shared" si="1"/>
        <v/>
      </c>
      <c r="T18" s="33" t="str">
        <f t="shared" si="2"/>
        <v/>
      </c>
    </row>
    <row r="19" spans="1:20" x14ac:dyDescent="0.3">
      <c r="A19" s="26">
        <f>IF(BASE_CAIXA!A16="","",BASE_CAIXA!A16)</f>
        <v>15</v>
      </c>
      <c r="B19" s="26" t="str">
        <f>IF(A19="","",BASE_CAIXA!AL16)</f>
        <v>000015-DB</v>
      </c>
      <c r="C19" s="13">
        <f>IF(A19="","",BASE_CAIXA!AJ16)</f>
        <v>46115</v>
      </c>
      <c r="D19" s="26" t="str">
        <f>IF(A19="","",IF(BASE_CAIXA!C16="Entrada","Crédito","Débito"))</f>
        <v>Débito</v>
      </c>
      <c r="E19" s="14">
        <f>IF(A19="","",BASE_CAIXA!AA16)</f>
        <v>19943.37</v>
      </c>
      <c r="F19" s="26">
        <f>IF(A19="","",BASE_CAIXA!N16)</f>
        <v>0</v>
      </c>
      <c r="G19" s="26">
        <f>IF(A19="","",BASE_CAIXA!O16)</f>
        <v>0</v>
      </c>
      <c r="H19" s="26">
        <f>IF(A19="","",BASE_CAIXA!P16)</f>
        <v>0</v>
      </c>
      <c r="I19" s="26" t="str">
        <f>IF(A19="","",IF(BASE_CAIXA!H16&lt;&gt;"",BASE_CAIXA!H16,BASE_CAIXA!G16))</f>
        <v>ITAU</v>
      </c>
      <c r="J19" s="26" t="str">
        <f>IF(A19="","",BASE_CAIXA!G16)</f>
        <v>ITAU</v>
      </c>
      <c r="K19" s="26">
        <f>IF(A19="","",BASE_CAIXA!I16)</f>
        <v>0</v>
      </c>
      <c r="L19" s="26">
        <f>IF(A19="","",BASE_CAIXA!J16)</f>
        <v>0</v>
      </c>
      <c r="M19" s="26" t="str">
        <f>IF(A19="","",BASE_CAIXA!AM16)</f>
        <v>ITAU | ITAU | Saída | CAPITAL DE GIRO</v>
      </c>
      <c r="N19" s="26" t="str">
        <f t="shared" ca="1" si="0"/>
        <v>Previsto</v>
      </c>
      <c r="O19" s="13" t="str">
        <f>IFERROR(INDEX(EXTRATO_IMPORTADO!$A$5:$A$404,MATCH(B19,EXTRATO_IMPORTADO!$I$5:$I$404,0)),"")</f>
        <v/>
      </c>
      <c r="P19" s="14" t="str">
        <f>IFERROR(INDEX(EXTRATO_IMPORTADO!$F$5:$F$404,MATCH(B19,EXTRATO_IMPORTADO!$I$5:$I$404,0)),"")</f>
        <v/>
      </c>
      <c r="Q19" s="26" t="str">
        <f>IFERROR(INDEX(EXTRATO_IMPORTADO!$B$5:$B$404,MATCH(B19,EXTRATO_IMPORTADO!$I$5:$I$404,0)),"")</f>
        <v/>
      </c>
      <c r="R19" s="26" t="str">
        <f>IFERROR(MATCH(B19,EXTRATO_IMPORTADO!$I$5:$I$404,0),"")</f>
        <v/>
      </c>
      <c r="S19" s="14" t="str">
        <f t="shared" si="1"/>
        <v/>
      </c>
      <c r="T19" s="33" t="str">
        <f t="shared" si="2"/>
        <v/>
      </c>
    </row>
    <row r="20" spans="1:20" x14ac:dyDescent="0.3">
      <c r="A20" s="26">
        <f>IF(BASE_CAIXA!A17="","",BASE_CAIXA!A17)</f>
        <v>16</v>
      </c>
      <c r="B20" s="26" t="str">
        <f>IF(A20="","",BASE_CAIXA!AL17)</f>
        <v>000016-DB</v>
      </c>
      <c r="C20" s="13">
        <f>IF(A20="","",BASE_CAIXA!AJ17)</f>
        <v>46115</v>
      </c>
      <c r="D20" s="26" t="str">
        <f>IF(A20="","",IF(BASE_CAIXA!C17="Entrada","Crédito","Débito"))</f>
        <v>Débito</v>
      </c>
      <c r="E20" s="14">
        <f>IF(A20="","",BASE_CAIXA!AA17)</f>
        <v>47.872000000000007</v>
      </c>
      <c r="F20" s="26">
        <f>IF(A20="","",BASE_CAIXA!N17)</f>
        <v>0</v>
      </c>
      <c r="G20" s="26">
        <f>IF(A20="","",BASE_CAIXA!O17)</f>
        <v>0</v>
      </c>
      <c r="H20" s="26">
        <f>IF(A20="","",BASE_CAIXA!P17)</f>
        <v>0</v>
      </c>
      <c r="I20" s="26" t="str">
        <f>IF(A20="","",IF(BASE_CAIXA!H17&lt;&gt;"",BASE_CAIXA!H17,BASE_CAIXA!G17))</f>
        <v>Anel de vedação esg 100 mm</v>
      </c>
      <c r="J20" s="26" t="str">
        <f>IF(A20="","",BASE_CAIXA!G17)</f>
        <v>Anel de vedação esg 100 mm</v>
      </c>
      <c r="K20" s="26">
        <f>IF(A20="","",BASE_CAIXA!I17)</f>
        <v>0</v>
      </c>
      <c r="L20" s="26">
        <f>IF(A20="","",BASE_CAIXA!J17)</f>
        <v>0</v>
      </c>
      <c r="M20" s="26" t="str">
        <f>IF(A20="","",BASE_CAIXA!AM17)</f>
        <v>Anel de vedação esg 100 mm | Anel de vedação esg 100 mm | Sa</v>
      </c>
      <c r="N20" s="26" t="str">
        <f t="shared" ca="1" si="0"/>
        <v>Previsto</v>
      </c>
      <c r="O20" s="13" t="str">
        <f>IFERROR(INDEX(EXTRATO_IMPORTADO!$A$5:$A$404,MATCH(B20,EXTRATO_IMPORTADO!$I$5:$I$404,0)),"")</f>
        <v/>
      </c>
      <c r="P20" s="14" t="str">
        <f>IFERROR(INDEX(EXTRATO_IMPORTADO!$F$5:$F$404,MATCH(B20,EXTRATO_IMPORTADO!$I$5:$I$404,0)),"")</f>
        <v/>
      </c>
      <c r="Q20" s="26" t="str">
        <f>IFERROR(INDEX(EXTRATO_IMPORTADO!$B$5:$B$404,MATCH(B20,EXTRATO_IMPORTADO!$I$5:$I$404,0)),"")</f>
        <v/>
      </c>
      <c r="R20" s="26" t="str">
        <f>IFERROR(MATCH(B20,EXTRATO_IMPORTADO!$I$5:$I$404,0),"")</f>
        <v/>
      </c>
      <c r="S20" s="14" t="str">
        <f t="shared" si="1"/>
        <v/>
      </c>
      <c r="T20" s="33" t="str">
        <f t="shared" si="2"/>
        <v/>
      </c>
    </row>
    <row r="21" spans="1:20" x14ac:dyDescent="0.3">
      <c r="A21" s="26">
        <f>IF(BASE_CAIXA!A18="","",BASE_CAIXA!A18)</f>
        <v>17</v>
      </c>
      <c r="B21" s="26" t="str">
        <f>IF(A21="","",BASE_CAIXA!AL18)</f>
        <v>000017-DB</v>
      </c>
      <c r="C21" s="13">
        <f>IF(A21="","",BASE_CAIXA!AJ18)</f>
        <v>46115</v>
      </c>
      <c r="D21" s="26" t="str">
        <f>IF(A21="","",IF(BASE_CAIXA!C18="Entrada","Crédito","Débito"))</f>
        <v>Débito</v>
      </c>
      <c r="E21" s="14">
        <f>IF(A21="","",BASE_CAIXA!AA18)</f>
        <v>696.32</v>
      </c>
      <c r="F21" s="26">
        <f>IF(A21="","",BASE_CAIXA!N18)</f>
        <v>0</v>
      </c>
      <c r="G21" s="26">
        <f>IF(A21="","",BASE_CAIXA!O18)</f>
        <v>0</v>
      </c>
      <c r="H21" s="26">
        <f>IF(A21="","",BASE_CAIXA!P18)</f>
        <v>0</v>
      </c>
      <c r="I21" s="26" t="str">
        <f>IF(A21="","",IF(BASE_CAIXA!H18&lt;&gt;"",BASE_CAIXA!H18,BASE_CAIXA!G18))</f>
        <v>Caixa Sifonada com grelha quadrada PVC DN 150x150x50 com junta soldável para ramal de esgoto sanitário</v>
      </c>
      <c r="J21" s="26" t="str">
        <f>IF(A21="","",BASE_CAIXA!G18)</f>
        <v>Caixa Sifonada com grelha quadrada PVC DN 150x150x50 com junta soldável para ramal de esgoto sanitário</v>
      </c>
      <c r="K21" s="26">
        <f>IF(A21="","",BASE_CAIXA!I18)</f>
        <v>0</v>
      </c>
      <c r="L21" s="26">
        <f>IF(A21="","",BASE_CAIXA!J18)</f>
        <v>0</v>
      </c>
      <c r="M21" s="26" t="str">
        <f>IF(A21="","",BASE_CAIXA!AM18)</f>
        <v>Caixa Sifonada com grelha quadrada PVC DN 150x150x50 com jun</v>
      </c>
      <c r="N21" s="26" t="str">
        <f t="shared" ca="1" si="0"/>
        <v>Previsto</v>
      </c>
      <c r="O21" s="13" t="str">
        <f>IFERROR(INDEX(EXTRATO_IMPORTADO!$A$5:$A$404,MATCH(B21,EXTRATO_IMPORTADO!$I$5:$I$404,0)),"")</f>
        <v/>
      </c>
      <c r="P21" s="14" t="str">
        <f>IFERROR(INDEX(EXTRATO_IMPORTADO!$F$5:$F$404,MATCH(B21,EXTRATO_IMPORTADO!$I$5:$I$404,0)),"")</f>
        <v/>
      </c>
      <c r="Q21" s="26" t="str">
        <f>IFERROR(INDEX(EXTRATO_IMPORTADO!$B$5:$B$404,MATCH(B21,EXTRATO_IMPORTADO!$I$5:$I$404,0)),"")</f>
        <v/>
      </c>
      <c r="R21" s="26" t="str">
        <f>IFERROR(MATCH(B21,EXTRATO_IMPORTADO!$I$5:$I$404,0),"")</f>
        <v/>
      </c>
      <c r="S21" s="14" t="str">
        <f t="shared" si="1"/>
        <v/>
      </c>
      <c r="T21" s="33" t="str">
        <f t="shared" si="2"/>
        <v/>
      </c>
    </row>
    <row r="22" spans="1:20" x14ac:dyDescent="0.3">
      <c r="A22" s="26">
        <f>IF(BASE_CAIXA!A19="","",BASE_CAIXA!A19)</f>
        <v>18</v>
      </c>
      <c r="B22" s="26" t="str">
        <f>IF(A22="","",BASE_CAIXA!AL19)</f>
        <v>000018-DB</v>
      </c>
      <c r="C22" s="13">
        <f>IF(A22="","",BASE_CAIXA!AJ19)</f>
        <v>46115</v>
      </c>
      <c r="D22" s="26" t="str">
        <f>IF(A22="","",IF(BASE_CAIXA!C19="Entrada","Crédito","Débito"))</f>
        <v>Débito</v>
      </c>
      <c r="E22" s="14">
        <f>IF(A22="","",BASE_CAIXA!AA19)</f>
        <v>304.42239999999998</v>
      </c>
      <c r="F22" s="26">
        <f>IF(A22="","",BASE_CAIXA!N19)</f>
        <v>0</v>
      </c>
      <c r="G22" s="26">
        <f>IF(A22="","",BASE_CAIXA!O19)</f>
        <v>0</v>
      </c>
      <c r="H22" s="26">
        <f>IF(A22="","",BASE_CAIXA!P19)</f>
        <v>0</v>
      </c>
      <c r="I22" s="26" t="str">
        <f>IF(A22="","",IF(BASE_CAIXA!H19&lt;&gt;"",BASE_CAIXA!H19,BASE_CAIXA!G19))</f>
        <v>Cola de cano PVC 175g</v>
      </c>
      <c r="J22" s="26" t="str">
        <f>IF(A22="","",BASE_CAIXA!G19)</f>
        <v>Cola de cano PVC 175g</v>
      </c>
      <c r="K22" s="26">
        <f>IF(A22="","",BASE_CAIXA!I19)</f>
        <v>0</v>
      </c>
      <c r="L22" s="26">
        <f>IF(A22="","",BASE_CAIXA!J19)</f>
        <v>0</v>
      </c>
      <c r="M22" s="26" t="str">
        <f>IF(A22="","",BASE_CAIXA!AM19)</f>
        <v>Cola de cano PVC 175g | Cola de cano PVC 175g | Saída | ESPE</v>
      </c>
      <c r="N22" s="26" t="str">
        <f t="shared" ca="1" si="0"/>
        <v>Previsto</v>
      </c>
      <c r="O22" s="13" t="str">
        <f>IFERROR(INDEX(EXTRATO_IMPORTADO!$A$5:$A$404,MATCH(B22,EXTRATO_IMPORTADO!$I$5:$I$404,0)),"")</f>
        <v/>
      </c>
      <c r="P22" s="14" t="str">
        <f>IFERROR(INDEX(EXTRATO_IMPORTADO!$F$5:$F$404,MATCH(B22,EXTRATO_IMPORTADO!$I$5:$I$404,0)),"")</f>
        <v/>
      </c>
      <c r="Q22" s="26" t="str">
        <f>IFERROR(INDEX(EXTRATO_IMPORTADO!$B$5:$B$404,MATCH(B22,EXTRATO_IMPORTADO!$I$5:$I$404,0)),"")</f>
        <v/>
      </c>
      <c r="R22" s="26" t="str">
        <f>IFERROR(MATCH(B22,EXTRATO_IMPORTADO!$I$5:$I$404,0),"")</f>
        <v/>
      </c>
      <c r="S22" s="14" t="str">
        <f t="shared" si="1"/>
        <v/>
      </c>
      <c r="T22" s="33" t="str">
        <f t="shared" si="2"/>
        <v/>
      </c>
    </row>
    <row r="23" spans="1:20" x14ac:dyDescent="0.3">
      <c r="A23" s="26">
        <f>IF(BASE_CAIXA!A20="","",BASE_CAIXA!A20)</f>
        <v>19</v>
      </c>
      <c r="B23" s="26" t="str">
        <f>IF(A23="","",BASE_CAIXA!AL20)</f>
        <v>000019-DB</v>
      </c>
      <c r="C23" s="13">
        <f>IF(A23="","",BASE_CAIXA!AJ20)</f>
        <v>46115</v>
      </c>
      <c r="D23" s="26" t="str">
        <f>IF(A23="","",IF(BASE_CAIXA!C20="Entrada","Crédito","Débito"))</f>
        <v>Débito</v>
      </c>
      <c r="E23" s="14">
        <f>IF(A23="","",BASE_CAIXA!AA20)</f>
        <v>30.463999999999999</v>
      </c>
      <c r="F23" s="26">
        <f>IF(A23="","",BASE_CAIXA!N20)</f>
        <v>0</v>
      </c>
      <c r="G23" s="26">
        <f>IF(A23="","",BASE_CAIXA!O20)</f>
        <v>0</v>
      </c>
      <c r="H23" s="26">
        <f>IF(A23="","",BASE_CAIXA!P20)</f>
        <v>0</v>
      </c>
      <c r="I23" s="26" t="str">
        <f>IF(A23="","",IF(BASE_CAIXA!H20&lt;&gt;"",BASE_CAIXA!H20,BASE_CAIXA!G20))</f>
        <v>Joelho 45º PVC DN 40mm branco rígido para esgoto sanitário predial</v>
      </c>
      <c r="J23" s="26" t="str">
        <f>IF(A23="","",BASE_CAIXA!G20)</f>
        <v>Joelho 45º PVC DN 40mm branco rígido para esgoto sanitário predial</v>
      </c>
      <c r="K23" s="26">
        <f>IF(A23="","",BASE_CAIXA!I20)</f>
        <v>0</v>
      </c>
      <c r="L23" s="26">
        <f>IF(A23="","",BASE_CAIXA!J20)</f>
        <v>0</v>
      </c>
      <c r="M23" s="26" t="str">
        <f>IF(A23="","",BASE_CAIXA!AM20)</f>
        <v>Joelho 45º PVC DN 40mm branco rígido para esgoto sanitário p</v>
      </c>
      <c r="N23" s="26" t="str">
        <f t="shared" ca="1" si="0"/>
        <v>Previsto</v>
      </c>
      <c r="O23" s="13" t="str">
        <f>IFERROR(INDEX(EXTRATO_IMPORTADO!$A$5:$A$404,MATCH(B23,EXTRATO_IMPORTADO!$I$5:$I$404,0)),"")</f>
        <v/>
      </c>
      <c r="P23" s="14" t="str">
        <f>IFERROR(INDEX(EXTRATO_IMPORTADO!$F$5:$F$404,MATCH(B23,EXTRATO_IMPORTADO!$I$5:$I$404,0)),"")</f>
        <v/>
      </c>
      <c r="Q23" s="26" t="str">
        <f>IFERROR(INDEX(EXTRATO_IMPORTADO!$B$5:$B$404,MATCH(B23,EXTRATO_IMPORTADO!$I$5:$I$404,0)),"")</f>
        <v/>
      </c>
      <c r="R23" s="26" t="str">
        <f>IFERROR(MATCH(B23,EXTRATO_IMPORTADO!$I$5:$I$404,0),"")</f>
        <v/>
      </c>
      <c r="S23" s="14" t="str">
        <f t="shared" si="1"/>
        <v/>
      </c>
      <c r="T23" s="33" t="str">
        <f t="shared" si="2"/>
        <v/>
      </c>
    </row>
    <row r="24" spans="1:20" x14ac:dyDescent="0.3">
      <c r="A24" s="26">
        <f>IF(BASE_CAIXA!A21="","",BASE_CAIXA!A21)</f>
        <v>20</v>
      </c>
      <c r="B24" s="26" t="str">
        <f>IF(A24="","",BASE_CAIXA!AL21)</f>
        <v>000020-DB</v>
      </c>
      <c r="C24" s="13">
        <f>IF(A24="","",BASE_CAIXA!AJ21)</f>
        <v>46115</v>
      </c>
      <c r="D24" s="26" t="str">
        <f>IF(A24="","",IF(BASE_CAIXA!C21="Entrada","Crédito","Débito"))</f>
        <v>Débito</v>
      </c>
      <c r="E24" s="14">
        <f>IF(A24="","",BASE_CAIXA!AA21)</f>
        <v>130.56</v>
      </c>
      <c r="F24" s="26">
        <f>IF(A24="","",BASE_CAIXA!N21)</f>
        <v>0</v>
      </c>
      <c r="G24" s="26">
        <f>IF(A24="","",BASE_CAIXA!O21)</f>
        <v>0</v>
      </c>
      <c r="H24" s="26">
        <f>IF(A24="","",BASE_CAIXA!P21)</f>
        <v>0</v>
      </c>
      <c r="I24" s="26" t="str">
        <f>IF(A24="","",IF(BASE_CAIXA!H21&lt;&gt;"",BASE_CAIXA!H21,BASE_CAIXA!G21))</f>
        <v>Joelho 45º PVC DN 50mm branco rígido para esgoto sanitário predial</v>
      </c>
      <c r="J24" s="26" t="str">
        <f>IF(A24="","",BASE_CAIXA!G21)</f>
        <v>Joelho 45º PVC DN 50mm branco rígido para esgoto sanitário predial</v>
      </c>
      <c r="K24" s="26">
        <f>IF(A24="","",BASE_CAIXA!I21)</f>
        <v>0</v>
      </c>
      <c r="L24" s="26">
        <f>IF(A24="","",BASE_CAIXA!J21)</f>
        <v>0</v>
      </c>
      <c r="M24" s="26" t="str">
        <f>IF(A24="","",BASE_CAIXA!AM21)</f>
        <v>Joelho 45º PVC DN 50mm branco rígido para esgoto sanitário p</v>
      </c>
      <c r="N24" s="26" t="str">
        <f t="shared" ca="1" si="0"/>
        <v>Previsto</v>
      </c>
      <c r="O24" s="13" t="str">
        <f>IFERROR(INDEX(EXTRATO_IMPORTADO!$A$5:$A$404,MATCH(B24,EXTRATO_IMPORTADO!$I$5:$I$404,0)),"")</f>
        <v/>
      </c>
      <c r="P24" s="14" t="str">
        <f>IFERROR(INDEX(EXTRATO_IMPORTADO!$F$5:$F$404,MATCH(B24,EXTRATO_IMPORTADO!$I$5:$I$404,0)),"")</f>
        <v/>
      </c>
      <c r="Q24" s="26" t="str">
        <f>IFERROR(INDEX(EXTRATO_IMPORTADO!$B$5:$B$404,MATCH(B24,EXTRATO_IMPORTADO!$I$5:$I$404,0)),"")</f>
        <v/>
      </c>
      <c r="R24" s="26" t="str">
        <f>IFERROR(MATCH(B24,EXTRATO_IMPORTADO!$I$5:$I$404,0),"")</f>
        <v/>
      </c>
      <c r="S24" s="14" t="str">
        <f t="shared" si="1"/>
        <v/>
      </c>
      <c r="T24" s="33" t="str">
        <f t="shared" si="2"/>
        <v/>
      </c>
    </row>
    <row r="25" spans="1:20" x14ac:dyDescent="0.3">
      <c r="A25" s="26">
        <f>IF(BASE_CAIXA!A22="","",BASE_CAIXA!A22)</f>
        <v>21</v>
      </c>
      <c r="B25" s="26" t="str">
        <f>IF(A25="","",BASE_CAIXA!AL22)</f>
        <v>000021-DB</v>
      </c>
      <c r="C25" s="13">
        <f>IF(A25="","",BASE_CAIXA!AJ22)</f>
        <v>46115</v>
      </c>
      <c r="D25" s="26" t="str">
        <f>IF(A25="","",IF(BASE_CAIXA!C22="Entrada","Crédito","Débito"))</f>
        <v>Débito</v>
      </c>
      <c r="E25" s="14">
        <f>IF(A25="","",BASE_CAIXA!AA22)</f>
        <v>304.42239999999998</v>
      </c>
      <c r="F25" s="26">
        <f>IF(A25="","",BASE_CAIXA!N22)</f>
        <v>0</v>
      </c>
      <c r="G25" s="26">
        <f>IF(A25="","",BASE_CAIXA!O22)</f>
        <v>0</v>
      </c>
      <c r="H25" s="26">
        <f>IF(A25="","",BASE_CAIXA!P22)</f>
        <v>0</v>
      </c>
      <c r="I25" s="26" t="str">
        <f>IF(A25="","",IF(BASE_CAIXA!H22&lt;&gt;"",BASE_CAIXA!H22,BASE_CAIXA!G22))</f>
        <v>Joelho 90º PVC DN 100mm branco rígido para esgoto sanitário predial</v>
      </c>
      <c r="J25" s="26" t="str">
        <f>IF(A25="","",BASE_CAIXA!G22)</f>
        <v>Joelho 90º PVC DN 100mm branco rígido para esgoto sanitário predial</v>
      </c>
      <c r="K25" s="26">
        <f>IF(A25="","",BASE_CAIXA!I22)</f>
        <v>0</v>
      </c>
      <c r="L25" s="26">
        <f>IF(A25="","",BASE_CAIXA!J22)</f>
        <v>0</v>
      </c>
      <c r="M25" s="26" t="str">
        <f>IF(A25="","",BASE_CAIXA!AM22)</f>
        <v xml:space="preserve">Joelho 90º PVC DN 100mm branco rígido para esgoto sanitário </v>
      </c>
      <c r="N25" s="26" t="str">
        <f t="shared" ca="1" si="0"/>
        <v>Previsto</v>
      </c>
      <c r="O25" s="13" t="str">
        <f>IFERROR(INDEX(EXTRATO_IMPORTADO!$A$5:$A$404,MATCH(B25,EXTRATO_IMPORTADO!$I$5:$I$404,0)),"")</f>
        <v/>
      </c>
      <c r="P25" s="14" t="str">
        <f>IFERROR(INDEX(EXTRATO_IMPORTADO!$F$5:$F$404,MATCH(B25,EXTRATO_IMPORTADO!$I$5:$I$404,0)),"")</f>
        <v/>
      </c>
      <c r="Q25" s="26" t="str">
        <f>IFERROR(INDEX(EXTRATO_IMPORTADO!$B$5:$B$404,MATCH(B25,EXTRATO_IMPORTADO!$I$5:$I$404,0)),"")</f>
        <v/>
      </c>
      <c r="R25" s="26" t="str">
        <f>IFERROR(MATCH(B25,EXTRATO_IMPORTADO!$I$5:$I$404,0),"")</f>
        <v/>
      </c>
      <c r="S25" s="14" t="str">
        <f t="shared" si="1"/>
        <v/>
      </c>
      <c r="T25" s="33" t="str">
        <f t="shared" si="2"/>
        <v/>
      </c>
    </row>
    <row r="26" spans="1:20" x14ac:dyDescent="0.3">
      <c r="A26" s="26">
        <f>IF(BASE_CAIXA!A23="","",BASE_CAIXA!A23)</f>
        <v>22</v>
      </c>
      <c r="B26" s="26" t="str">
        <f>IF(A26="","",BASE_CAIXA!AL23)</f>
        <v>000022-DB</v>
      </c>
      <c r="C26" s="13">
        <f>IF(A26="","",BASE_CAIXA!AJ23)</f>
        <v>46115</v>
      </c>
      <c r="D26" s="26" t="str">
        <f>IF(A26="","",IF(BASE_CAIXA!C23="Entrada","Crédito","Débito"))</f>
        <v>Débito</v>
      </c>
      <c r="E26" s="14">
        <f>IF(A26="","",BASE_CAIXA!AA23)</f>
        <v>134.4768</v>
      </c>
      <c r="F26" s="26">
        <f>IF(A26="","",BASE_CAIXA!N23)</f>
        <v>0</v>
      </c>
      <c r="G26" s="26">
        <f>IF(A26="","",BASE_CAIXA!O23)</f>
        <v>0</v>
      </c>
      <c r="H26" s="26">
        <f>IF(A26="","",BASE_CAIXA!P23)</f>
        <v>0</v>
      </c>
      <c r="I26" s="26" t="str">
        <f>IF(A26="","",IF(BASE_CAIXA!H23&lt;&gt;"",BASE_CAIXA!H23,BASE_CAIXA!G23))</f>
        <v>Joelho 90º PVC DN 40mm branco rígido para esgoto sanitário predial</v>
      </c>
      <c r="J26" s="26" t="str">
        <f>IF(A26="","",BASE_CAIXA!G23)</f>
        <v>Joelho 90º PVC DN 40mm branco rígido para esgoto sanitário predial</v>
      </c>
      <c r="K26" s="26">
        <f>IF(A26="","",BASE_CAIXA!I23)</f>
        <v>0</v>
      </c>
      <c r="L26" s="26">
        <f>IF(A26="","",BASE_CAIXA!J23)</f>
        <v>0</v>
      </c>
      <c r="M26" s="26" t="str">
        <f>IF(A26="","",BASE_CAIXA!AM23)</f>
        <v>Joelho 90º PVC DN 40mm branco rígido para esgoto sanitário p</v>
      </c>
      <c r="N26" s="26" t="str">
        <f t="shared" ca="1" si="0"/>
        <v>Previsto</v>
      </c>
      <c r="O26" s="13" t="str">
        <f>IFERROR(INDEX(EXTRATO_IMPORTADO!$A$5:$A$404,MATCH(B26,EXTRATO_IMPORTADO!$I$5:$I$404,0)),"")</f>
        <v/>
      </c>
      <c r="P26" s="14" t="str">
        <f>IFERROR(INDEX(EXTRATO_IMPORTADO!$F$5:$F$404,MATCH(B26,EXTRATO_IMPORTADO!$I$5:$I$404,0)),"")</f>
        <v/>
      </c>
      <c r="Q26" s="26" t="str">
        <f>IFERROR(INDEX(EXTRATO_IMPORTADO!$B$5:$B$404,MATCH(B26,EXTRATO_IMPORTADO!$I$5:$I$404,0)),"")</f>
        <v/>
      </c>
      <c r="R26" s="26" t="str">
        <f>IFERROR(MATCH(B26,EXTRATO_IMPORTADO!$I$5:$I$404,0),"")</f>
        <v/>
      </c>
      <c r="S26" s="14" t="str">
        <f t="shared" si="1"/>
        <v/>
      </c>
      <c r="T26" s="33" t="str">
        <f t="shared" si="2"/>
        <v/>
      </c>
    </row>
    <row r="27" spans="1:20" x14ac:dyDescent="0.3">
      <c r="A27" s="26">
        <f>IF(BASE_CAIXA!A24="","",BASE_CAIXA!A24)</f>
        <v>23</v>
      </c>
      <c r="B27" s="26" t="str">
        <f>IF(A27="","",BASE_CAIXA!AL24)</f>
        <v>000023-DB</v>
      </c>
      <c r="C27" s="13">
        <f>IF(A27="","",BASE_CAIXA!AJ24)</f>
        <v>46115</v>
      </c>
      <c r="D27" s="26" t="str">
        <f>IF(A27="","",IF(BASE_CAIXA!C24="Entrada","Crédito","Débito"))</f>
        <v>Débito</v>
      </c>
      <c r="E27" s="14">
        <f>IF(A27="","",BASE_CAIXA!AA24)</f>
        <v>746.80320000000006</v>
      </c>
      <c r="F27" s="26">
        <f>IF(A27="","",BASE_CAIXA!N24)</f>
        <v>0</v>
      </c>
      <c r="G27" s="26">
        <f>IF(A27="","",BASE_CAIXA!O24)</f>
        <v>0</v>
      </c>
      <c r="H27" s="26">
        <f>IF(A27="","",BASE_CAIXA!P24)</f>
        <v>0</v>
      </c>
      <c r="I27" s="26" t="str">
        <f>IF(A27="","",IF(BASE_CAIXA!H24&lt;&gt;"",BASE_CAIXA!H24,BASE_CAIXA!G24))</f>
        <v>Joelho 90º PVC DN 50mm branco junta elástica para esgoto sanitário</v>
      </c>
      <c r="J27" s="26" t="str">
        <f>IF(A27="","",BASE_CAIXA!G24)</f>
        <v>Joelho 90º PVC DN 50mm branco junta elástica para esgoto sanitário</v>
      </c>
      <c r="K27" s="26">
        <f>IF(A27="","",BASE_CAIXA!I24)</f>
        <v>0</v>
      </c>
      <c r="L27" s="26">
        <f>IF(A27="","",BASE_CAIXA!J24)</f>
        <v>0</v>
      </c>
      <c r="M27" s="26" t="str">
        <f>IF(A27="","",BASE_CAIXA!AM24)</f>
        <v>Joelho 90º PVC DN 50mm branco junta elástica para esgoto san</v>
      </c>
      <c r="N27" s="26" t="str">
        <f t="shared" ca="1" si="0"/>
        <v>Previsto</v>
      </c>
      <c r="O27" s="13" t="str">
        <f>IFERROR(INDEX(EXTRATO_IMPORTADO!$A$5:$A$404,MATCH(B27,EXTRATO_IMPORTADO!$I$5:$I$404,0)),"")</f>
        <v/>
      </c>
      <c r="P27" s="14" t="str">
        <f>IFERROR(INDEX(EXTRATO_IMPORTADO!$F$5:$F$404,MATCH(B27,EXTRATO_IMPORTADO!$I$5:$I$404,0)),"")</f>
        <v/>
      </c>
      <c r="Q27" s="26" t="str">
        <f>IFERROR(INDEX(EXTRATO_IMPORTADO!$B$5:$B$404,MATCH(B27,EXTRATO_IMPORTADO!$I$5:$I$404,0)),"")</f>
        <v/>
      </c>
      <c r="R27" s="26" t="str">
        <f>IFERROR(MATCH(B27,EXTRATO_IMPORTADO!$I$5:$I$404,0),"")</f>
        <v/>
      </c>
      <c r="S27" s="14" t="str">
        <f t="shared" si="1"/>
        <v/>
      </c>
      <c r="T27" s="33" t="str">
        <f t="shared" si="2"/>
        <v/>
      </c>
    </row>
    <row r="28" spans="1:20" x14ac:dyDescent="0.3">
      <c r="A28" s="26">
        <f>IF(BASE_CAIXA!A25="","",BASE_CAIXA!A25)</f>
        <v>24</v>
      </c>
      <c r="B28" s="26" t="str">
        <f>IF(A28="","",BASE_CAIXA!AL25)</f>
        <v>000024-DB</v>
      </c>
      <c r="C28" s="13">
        <f>IF(A28="","",BASE_CAIXA!AJ25)</f>
        <v>46115</v>
      </c>
      <c r="D28" s="26" t="str">
        <f>IF(A28="","",IF(BASE_CAIXA!C25="Entrada","Crédito","Débito"))</f>
        <v>Débito</v>
      </c>
      <c r="E28" s="14">
        <f>IF(A28="","",BASE_CAIXA!AA25)</f>
        <v>41.344000000000001</v>
      </c>
      <c r="F28" s="26">
        <f>IF(A28="","",BASE_CAIXA!N25)</f>
        <v>0</v>
      </c>
      <c r="G28" s="26">
        <f>IF(A28="","",BASE_CAIXA!O25)</f>
        <v>0</v>
      </c>
      <c r="H28" s="26">
        <f>IF(A28="","",BASE_CAIXA!P25)</f>
        <v>0</v>
      </c>
      <c r="I28" s="26" t="str">
        <f>IF(A28="","",IF(BASE_CAIXA!H25&lt;&gt;"",BASE_CAIXA!H25,BASE_CAIXA!G25))</f>
        <v>Joelho 90º marrom DN 25mm soldável para água fria</v>
      </c>
      <c r="J28" s="26" t="str">
        <f>IF(A28="","",BASE_CAIXA!G25)</f>
        <v>Joelho 90º marrom DN 25mm soldável para água fria</v>
      </c>
      <c r="K28" s="26">
        <f>IF(A28="","",BASE_CAIXA!I25)</f>
        <v>0</v>
      </c>
      <c r="L28" s="26">
        <f>IF(A28="","",BASE_CAIXA!J25)</f>
        <v>0</v>
      </c>
      <c r="M28" s="26" t="str">
        <f>IF(A28="","",BASE_CAIXA!AM25)</f>
        <v>Joelho 90º marrom DN 25mm soldável para água fria | Joelho 9</v>
      </c>
      <c r="N28" s="26" t="str">
        <f t="shared" ca="1" si="0"/>
        <v>Previsto</v>
      </c>
      <c r="O28" s="13" t="str">
        <f>IFERROR(INDEX(EXTRATO_IMPORTADO!$A$5:$A$404,MATCH(B28,EXTRATO_IMPORTADO!$I$5:$I$404,0)),"")</f>
        <v/>
      </c>
      <c r="P28" s="14" t="str">
        <f>IFERROR(INDEX(EXTRATO_IMPORTADO!$F$5:$F$404,MATCH(B28,EXTRATO_IMPORTADO!$I$5:$I$404,0)),"")</f>
        <v/>
      </c>
      <c r="Q28" s="26" t="str">
        <f>IFERROR(INDEX(EXTRATO_IMPORTADO!$B$5:$B$404,MATCH(B28,EXTRATO_IMPORTADO!$I$5:$I$404,0)),"")</f>
        <v/>
      </c>
      <c r="R28" s="26" t="str">
        <f>IFERROR(MATCH(B28,EXTRATO_IMPORTADO!$I$5:$I$404,0),"")</f>
        <v/>
      </c>
      <c r="S28" s="14" t="str">
        <f t="shared" si="1"/>
        <v/>
      </c>
      <c r="T28" s="33" t="str">
        <f t="shared" si="2"/>
        <v/>
      </c>
    </row>
    <row r="29" spans="1:20" x14ac:dyDescent="0.3">
      <c r="A29" s="26">
        <f>IF(BASE_CAIXA!A26="","",BASE_CAIXA!A26)</f>
        <v>25</v>
      </c>
      <c r="B29" s="26" t="str">
        <f>IF(A29="","",BASE_CAIXA!AL26)</f>
        <v>000025-DB</v>
      </c>
      <c r="C29" s="13">
        <f>IF(A29="","",BASE_CAIXA!AJ26)</f>
        <v>46115</v>
      </c>
      <c r="D29" s="26" t="str">
        <f>IF(A29="","",IF(BASE_CAIXA!C26="Entrada","Crédito","Débito"))</f>
        <v>Débito</v>
      </c>
      <c r="E29" s="14">
        <f>IF(A29="","",BASE_CAIXA!AA26)</f>
        <v>469.1456</v>
      </c>
      <c r="F29" s="26">
        <f>IF(A29="","",BASE_CAIXA!N26)</f>
        <v>0</v>
      </c>
      <c r="G29" s="26">
        <f>IF(A29="","",BASE_CAIXA!O26)</f>
        <v>0</v>
      </c>
      <c r="H29" s="26">
        <f>IF(A29="","",BASE_CAIXA!P26)</f>
        <v>0</v>
      </c>
      <c r="I29" s="26" t="str">
        <f>IF(A29="","",IF(BASE_CAIXA!H26&lt;&gt;"",BASE_CAIXA!H26,BASE_CAIXA!G26))</f>
        <v>Junção de Redução invertica PVC DN 100x50mm branco rígido para esgoto sanitário predial</v>
      </c>
      <c r="J29" s="26" t="str">
        <f>IF(A29="","",BASE_CAIXA!G26)</f>
        <v>Junção de Redução invertica PVC DN 100x50mm branco rígido para esgoto sanitário predial</v>
      </c>
      <c r="K29" s="26">
        <f>IF(A29="","",BASE_CAIXA!I26)</f>
        <v>0</v>
      </c>
      <c r="L29" s="26">
        <f>IF(A29="","",BASE_CAIXA!J26)</f>
        <v>0</v>
      </c>
      <c r="M29" s="26" t="str">
        <f>IF(A29="","",BASE_CAIXA!AM26)</f>
        <v>Junção de Redução invertica PVC DN 100x50mm branco rígido pa</v>
      </c>
      <c r="N29" s="26" t="str">
        <f t="shared" ca="1" si="0"/>
        <v>Previsto</v>
      </c>
      <c r="O29" s="13" t="str">
        <f>IFERROR(INDEX(EXTRATO_IMPORTADO!$A$5:$A$404,MATCH(B29,EXTRATO_IMPORTADO!$I$5:$I$404,0)),"")</f>
        <v/>
      </c>
      <c r="P29" s="14" t="str">
        <f>IFERROR(INDEX(EXTRATO_IMPORTADO!$F$5:$F$404,MATCH(B29,EXTRATO_IMPORTADO!$I$5:$I$404,0)),"")</f>
        <v/>
      </c>
      <c r="Q29" s="26" t="str">
        <f>IFERROR(INDEX(EXTRATO_IMPORTADO!$B$5:$B$404,MATCH(B29,EXTRATO_IMPORTADO!$I$5:$I$404,0)),"")</f>
        <v/>
      </c>
      <c r="R29" s="26" t="str">
        <f>IFERROR(MATCH(B29,EXTRATO_IMPORTADO!$I$5:$I$404,0),"")</f>
        <v/>
      </c>
      <c r="S29" s="14" t="str">
        <f t="shared" si="1"/>
        <v/>
      </c>
      <c r="T29" s="33" t="str">
        <f t="shared" si="2"/>
        <v/>
      </c>
    </row>
    <row r="30" spans="1:20" x14ac:dyDescent="0.3">
      <c r="A30" s="26">
        <f>IF(BASE_CAIXA!A27="","",BASE_CAIXA!A27)</f>
        <v>26</v>
      </c>
      <c r="B30" s="26" t="str">
        <f>IF(A30="","",BASE_CAIXA!AL27)</f>
        <v>000026-DB</v>
      </c>
      <c r="C30" s="13">
        <f>IF(A30="","",BASE_CAIXA!AJ27)</f>
        <v>46115</v>
      </c>
      <c r="D30" s="26" t="str">
        <f>IF(A30="","",IF(BASE_CAIXA!C27="Entrada","Crédito","Débito"))</f>
        <v>Débito</v>
      </c>
      <c r="E30" s="14">
        <f>IF(A30="","",BASE_CAIXA!AA27)</f>
        <v>391.24480000000011</v>
      </c>
      <c r="F30" s="26">
        <f>IF(A30="","",BASE_CAIXA!N27)</f>
        <v>0</v>
      </c>
      <c r="G30" s="26">
        <f>IF(A30="","",BASE_CAIXA!O27)</f>
        <v>0</v>
      </c>
      <c r="H30" s="26">
        <f>IF(A30="","",BASE_CAIXA!P27)</f>
        <v>0</v>
      </c>
      <c r="I30" s="26" t="str">
        <f>IF(A30="","",IF(BASE_CAIXA!H27&lt;&gt;"",BASE_CAIXA!H27,BASE_CAIXA!G27))</f>
        <v>Junção simples PVC DN 50x50mm branco rígido para esgoto sanitário predial</v>
      </c>
      <c r="J30" s="26" t="str">
        <f>IF(A30="","",BASE_CAIXA!G27)</f>
        <v>Junção simples PVC DN 50x50mm branco rígido para esgoto sanitário predial</v>
      </c>
      <c r="K30" s="26">
        <f>IF(A30="","",BASE_CAIXA!I27)</f>
        <v>0</v>
      </c>
      <c r="L30" s="26">
        <f>IF(A30="","",BASE_CAIXA!J27)</f>
        <v>0</v>
      </c>
      <c r="M30" s="26" t="str">
        <f>IF(A30="","",BASE_CAIXA!AM27)</f>
        <v>Junção simples PVC DN 50x50mm branco rígido para esgoto sani</v>
      </c>
      <c r="N30" s="26" t="str">
        <f t="shared" ca="1" si="0"/>
        <v>Previsto</v>
      </c>
      <c r="O30" s="13" t="str">
        <f>IFERROR(INDEX(EXTRATO_IMPORTADO!$A$5:$A$404,MATCH(B30,EXTRATO_IMPORTADO!$I$5:$I$404,0)),"")</f>
        <v/>
      </c>
      <c r="P30" s="14" t="str">
        <f>IFERROR(INDEX(EXTRATO_IMPORTADO!$F$5:$F$404,MATCH(B30,EXTRATO_IMPORTADO!$I$5:$I$404,0)),"")</f>
        <v/>
      </c>
      <c r="Q30" s="26" t="str">
        <f>IFERROR(INDEX(EXTRATO_IMPORTADO!$B$5:$B$404,MATCH(B30,EXTRATO_IMPORTADO!$I$5:$I$404,0)),"")</f>
        <v/>
      </c>
      <c r="R30" s="26" t="str">
        <f>IFERROR(MATCH(B30,EXTRATO_IMPORTADO!$I$5:$I$404,0),"")</f>
        <v/>
      </c>
      <c r="S30" s="14" t="str">
        <f t="shared" si="1"/>
        <v/>
      </c>
      <c r="T30" s="33" t="str">
        <f t="shared" si="2"/>
        <v/>
      </c>
    </row>
    <row r="31" spans="1:20" x14ac:dyDescent="0.3">
      <c r="A31" s="26">
        <f>IF(BASE_CAIXA!A28="","",BASE_CAIXA!A28)</f>
        <v>27</v>
      </c>
      <c r="B31" s="26" t="str">
        <f>IF(A31="","",BASE_CAIXA!AL28)</f>
        <v>000027-DB</v>
      </c>
      <c r="C31" s="13">
        <f>IF(A31="","",BASE_CAIXA!AJ28)</f>
        <v>46115</v>
      </c>
      <c r="D31" s="26" t="str">
        <f>IF(A31="","",IF(BASE_CAIXA!C28="Entrada","Crédito","Débito"))</f>
        <v>Débito</v>
      </c>
      <c r="E31" s="14">
        <f>IF(A31="","",BASE_CAIXA!AA28)</f>
        <v>36.7744</v>
      </c>
      <c r="F31" s="26">
        <f>IF(A31="","",BASE_CAIXA!N28)</f>
        <v>0</v>
      </c>
      <c r="G31" s="26">
        <f>IF(A31="","",BASE_CAIXA!O28)</f>
        <v>0</v>
      </c>
      <c r="H31" s="26">
        <f>IF(A31="","",BASE_CAIXA!P28)</f>
        <v>0</v>
      </c>
      <c r="I31" s="26" t="str">
        <f>IF(A31="","",IF(BASE_CAIXA!H28&lt;&gt;"",BASE_CAIXA!H28,BASE_CAIXA!G28))</f>
        <v>Lixa ferro p/cano pvc 100</v>
      </c>
      <c r="J31" s="26" t="str">
        <f>IF(A31="","",BASE_CAIXA!G28)</f>
        <v>Lixa ferro p/cano pvc 100</v>
      </c>
      <c r="K31" s="26">
        <f>IF(A31="","",BASE_CAIXA!I28)</f>
        <v>0</v>
      </c>
      <c r="L31" s="26">
        <f>IF(A31="","",BASE_CAIXA!J28)</f>
        <v>0</v>
      </c>
      <c r="M31" s="26" t="str">
        <f>IF(A31="","",BASE_CAIXA!AM28)</f>
        <v>Lixa ferro p/cano pvc 100 | Lixa ferro p/cano pvc 100 | Saíd</v>
      </c>
      <c r="N31" s="26" t="str">
        <f t="shared" ca="1" si="0"/>
        <v>Previsto</v>
      </c>
      <c r="O31" s="13" t="str">
        <f>IFERROR(INDEX(EXTRATO_IMPORTADO!$A$5:$A$404,MATCH(B31,EXTRATO_IMPORTADO!$I$5:$I$404,0)),"")</f>
        <v/>
      </c>
      <c r="P31" s="14" t="str">
        <f>IFERROR(INDEX(EXTRATO_IMPORTADO!$F$5:$F$404,MATCH(B31,EXTRATO_IMPORTADO!$I$5:$I$404,0)),"")</f>
        <v/>
      </c>
      <c r="Q31" s="26" t="str">
        <f>IFERROR(INDEX(EXTRATO_IMPORTADO!$B$5:$B$404,MATCH(B31,EXTRATO_IMPORTADO!$I$5:$I$404,0)),"")</f>
        <v/>
      </c>
      <c r="R31" s="26" t="str">
        <f>IFERROR(MATCH(B31,EXTRATO_IMPORTADO!$I$5:$I$404,0),"")</f>
        <v/>
      </c>
      <c r="S31" s="14" t="str">
        <f t="shared" si="1"/>
        <v/>
      </c>
      <c r="T31" s="33" t="str">
        <f t="shared" si="2"/>
        <v/>
      </c>
    </row>
    <row r="32" spans="1:20" x14ac:dyDescent="0.3">
      <c r="A32" s="26">
        <f>IF(BASE_CAIXA!A29="","",BASE_CAIXA!A29)</f>
        <v>28</v>
      </c>
      <c r="B32" s="26" t="str">
        <f>IF(A32="","",BASE_CAIXA!AL29)</f>
        <v>000028-DB</v>
      </c>
      <c r="C32" s="13">
        <f>IF(A32="","",BASE_CAIXA!AJ29)</f>
        <v>46115</v>
      </c>
      <c r="D32" s="26" t="str">
        <f>IF(A32="","",IF(BASE_CAIXA!C29="Entrada","Crédito","Débito"))</f>
        <v>Débito</v>
      </c>
      <c r="E32" s="14">
        <f>IF(A32="","",BASE_CAIXA!AA29)</f>
        <v>305.80416000000002</v>
      </c>
      <c r="F32" s="26">
        <f>IF(A32="","",BASE_CAIXA!N29)</f>
        <v>0</v>
      </c>
      <c r="G32" s="26">
        <f>IF(A32="","",BASE_CAIXA!O29)</f>
        <v>0</v>
      </c>
      <c r="H32" s="26">
        <f>IF(A32="","",BASE_CAIXA!P29)</f>
        <v>0</v>
      </c>
      <c r="I32" s="26" t="str">
        <f>IF(A32="","",IF(BASE_CAIXA!H29&lt;&gt;"",BASE_CAIXA!H29,BASE_CAIXA!G29))</f>
        <v>Pasta lubrufucante 1 KG</v>
      </c>
      <c r="J32" s="26" t="str">
        <f>IF(A32="","",BASE_CAIXA!G29)</f>
        <v>Pasta lubrufucante 1 KG</v>
      </c>
      <c r="K32" s="26">
        <f>IF(A32="","",BASE_CAIXA!I29)</f>
        <v>0</v>
      </c>
      <c r="L32" s="26">
        <f>IF(A32="","",BASE_CAIXA!J29)</f>
        <v>0</v>
      </c>
      <c r="M32" s="26" t="str">
        <f>IF(A32="","",BASE_CAIXA!AM29)</f>
        <v xml:space="preserve">Pasta lubrufucante 1 KG | Pasta lubrufucante 1 KG | Saída | </v>
      </c>
      <c r="N32" s="26" t="str">
        <f t="shared" ca="1" si="0"/>
        <v>Previsto</v>
      </c>
      <c r="O32" s="13" t="str">
        <f>IFERROR(INDEX(EXTRATO_IMPORTADO!$A$5:$A$404,MATCH(B32,EXTRATO_IMPORTADO!$I$5:$I$404,0)),"")</f>
        <v/>
      </c>
      <c r="P32" s="14" t="str">
        <f>IFERROR(INDEX(EXTRATO_IMPORTADO!$F$5:$F$404,MATCH(B32,EXTRATO_IMPORTADO!$I$5:$I$404,0)),"")</f>
        <v/>
      </c>
      <c r="Q32" s="26" t="str">
        <f>IFERROR(INDEX(EXTRATO_IMPORTADO!$B$5:$B$404,MATCH(B32,EXTRATO_IMPORTADO!$I$5:$I$404,0)),"")</f>
        <v/>
      </c>
      <c r="R32" s="26" t="str">
        <f>IFERROR(MATCH(B32,EXTRATO_IMPORTADO!$I$5:$I$404,0),"")</f>
        <v/>
      </c>
      <c r="S32" s="14" t="str">
        <f t="shared" si="1"/>
        <v/>
      </c>
      <c r="T32" s="33" t="str">
        <f t="shared" si="2"/>
        <v/>
      </c>
    </row>
    <row r="33" spans="1:20" x14ac:dyDescent="0.3">
      <c r="A33" s="26">
        <f>IF(BASE_CAIXA!A30="","",BASE_CAIXA!A30)</f>
        <v>29</v>
      </c>
      <c r="B33" s="26" t="str">
        <f>IF(A33="","",BASE_CAIXA!AL30)</f>
        <v>000029-DB</v>
      </c>
      <c r="C33" s="13">
        <f>IF(A33="","",BASE_CAIXA!AJ30)</f>
        <v>46115</v>
      </c>
      <c r="D33" s="26" t="str">
        <f>IF(A33="","",IF(BASE_CAIXA!C30="Entrada","Crédito","Débito"))</f>
        <v>Débito</v>
      </c>
      <c r="E33" s="14">
        <f>IF(A33="","",BASE_CAIXA!AA30)</f>
        <v>217.6</v>
      </c>
      <c r="F33" s="26">
        <f>IF(A33="","",BASE_CAIXA!N30)</f>
        <v>0</v>
      </c>
      <c r="G33" s="26">
        <f>IF(A33="","",BASE_CAIXA!O30)</f>
        <v>0</v>
      </c>
      <c r="H33" s="26">
        <f>IF(A33="","",BASE_CAIXA!P30)</f>
        <v>0</v>
      </c>
      <c r="I33" s="26" t="str">
        <f>IF(A33="","",IF(BASE_CAIXA!H30&lt;&gt;"",BASE_CAIXA!H30,BASE_CAIXA!G30))</f>
        <v>Ralo seco PVC DN100x40mm Junta soldável para esgoto sanitário predial</v>
      </c>
      <c r="J33" s="26" t="str">
        <f>IF(A33="","",BASE_CAIXA!G30)</f>
        <v>Ralo seco PVC DN100x40mm Junta soldável para esgoto sanitário predial</v>
      </c>
      <c r="K33" s="26">
        <f>IF(A33="","",BASE_CAIXA!I30)</f>
        <v>0</v>
      </c>
      <c r="L33" s="26">
        <f>IF(A33="","",BASE_CAIXA!J30)</f>
        <v>0</v>
      </c>
      <c r="M33" s="26" t="str">
        <f>IF(A33="","",BASE_CAIXA!AM30)</f>
        <v>Ralo seco PVC DN100x40mm Junta soldável para esgoto sanitári</v>
      </c>
      <c r="N33" s="26" t="str">
        <f t="shared" ca="1" si="0"/>
        <v>Previsto</v>
      </c>
      <c r="O33" s="13" t="str">
        <f>IFERROR(INDEX(EXTRATO_IMPORTADO!$A$5:$A$404,MATCH(B33,EXTRATO_IMPORTADO!$I$5:$I$404,0)),"")</f>
        <v/>
      </c>
      <c r="P33" s="14" t="str">
        <f>IFERROR(INDEX(EXTRATO_IMPORTADO!$F$5:$F$404,MATCH(B33,EXTRATO_IMPORTADO!$I$5:$I$404,0)),"")</f>
        <v/>
      </c>
      <c r="Q33" s="26" t="str">
        <f>IFERROR(INDEX(EXTRATO_IMPORTADO!$B$5:$B$404,MATCH(B33,EXTRATO_IMPORTADO!$I$5:$I$404,0)),"")</f>
        <v/>
      </c>
      <c r="R33" s="26" t="str">
        <f>IFERROR(MATCH(B33,EXTRATO_IMPORTADO!$I$5:$I$404,0),"")</f>
        <v/>
      </c>
      <c r="S33" s="14" t="str">
        <f t="shared" si="1"/>
        <v/>
      </c>
      <c r="T33" s="33" t="str">
        <f t="shared" si="2"/>
        <v/>
      </c>
    </row>
    <row r="34" spans="1:20" x14ac:dyDescent="0.3">
      <c r="A34" s="26">
        <f>IF(BASE_CAIXA!A31="","",BASE_CAIXA!A31)</f>
        <v>30</v>
      </c>
      <c r="B34" s="26" t="str">
        <f>IF(A34="","",BASE_CAIXA!AL31)</f>
        <v>000030-DB</v>
      </c>
      <c r="C34" s="13">
        <f>IF(A34="","",BASE_CAIXA!AJ31)</f>
        <v>46115</v>
      </c>
      <c r="D34" s="26" t="str">
        <f>IF(A34="","",IF(BASE_CAIXA!C31="Entrada","Crédito","Débito"))</f>
        <v>Débito</v>
      </c>
      <c r="E34" s="14">
        <f>IF(A34="","",BASE_CAIXA!AA31)</f>
        <v>107.92959999999999</v>
      </c>
      <c r="F34" s="26">
        <f>IF(A34="","",BASE_CAIXA!N31)</f>
        <v>0</v>
      </c>
      <c r="G34" s="26">
        <f>IF(A34="","",BASE_CAIXA!O31)</f>
        <v>0</v>
      </c>
      <c r="H34" s="26">
        <f>IF(A34="","",BASE_CAIXA!P31)</f>
        <v>0</v>
      </c>
      <c r="I34" s="26" t="str">
        <f>IF(A34="","",IF(BASE_CAIXA!H31&lt;&gt;"",BASE_CAIXA!H31,BASE_CAIXA!G31))</f>
        <v>TE DN 50x50mm PVC branco rígido para esgoto sanitário predial</v>
      </c>
      <c r="J34" s="26" t="str">
        <f>IF(A34="","",BASE_CAIXA!G31)</f>
        <v>TE DN 50x50mm PVC branco rígido para esgoto sanitário predial</v>
      </c>
      <c r="K34" s="26">
        <f>IF(A34="","",BASE_CAIXA!I31)</f>
        <v>0</v>
      </c>
      <c r="L34" s="26">
        <f>IF(A34="","",BASE_CAIXA!J31)</f>
        <v>0</v>
      </c>
      <c r="M34" s="26" t="str">
        <f>IF(A34="","",BASE_CAIXA!AM31)</f>
        <v>TE DN 50x50mm PVC branco rígido para esgoto sanitário predia</v>
      </c>
      <c r="N34" s="26" t="str">
        <f t="shared" ca="1" si="0"/>
        <v>Previsto</v>
      </c>
      <c r="O34" s="13" t="str">
        <f>IFERROR(INDEX(EXTRATO_IMPORTADO!$A$5:$A$404,MATCH(B34,EXTRATO_IMPORTADO!$I$5:$I$404,0)),"")</f>
        <v/>
      </c>
      <c r="P34" s="14" t="str">
        <f>IFERROR(INDEX(EXTRATO_IMPORTADO!$F$5:$F$404,MATCH(B34,EXTRATO_IMPORTADO!$I$5:$I$404,0)),"")</f>
        <v/>
      </c>
      <c r="Q34" s="26" t="str">
        <f>IFERROR(INDEX(EXTRATO_IMPORTADO!$B$5:$B$404,MATCH(B34,EXTRATO_IMPORTADO!$I$5:$I$404,0)),"")</f>
        <v/>
      </c>
      <c r="R34" s="26" t="str">
        <f>IFERROR(MATCH(B34,EXTRATO_IMPORTADO!$I$5:$I$404,0),"")</f>
        <v/>
      </c>
      <c r="S34" s="14" t="str">
        <f t="shared" si="1"/>
        <v/>
      </c>
      <c r="T34" s="33" t="str">
        <f t="shared" si="2"/>
        <v/>
      </c>
    </row>
    <row r="35" spans="1:20" x14ac:dyDescent="0.3">
      <c r="A35" s="26">
        <f>IF(BASE_CAIXA!A32="","",BASE_CAIXA!A32)</f>
        <v>31</v>
      </c>
      <c r="B35" s="26" t="str">
        <f>IF(A35="","",BASE_CAIXA!AL32)</f>
        <v>000031-DB</v>
      </c>
      <c r="C35" s="13">
        <f>IF(A35="","",BASE_CAIXA!AJ32)</f>
        <v>46115</v>
      </c>
      <c r="D35" s="26" t="str">
        <f>IF(A35="","",IF(BASE_CAIXA!C32="Entrada","Crédito","Débito"))</f>
        <v>Débito</v>
      </c>
      <c r="E35" s="14">
        <f>IF(A35="","",BASE_CAIXA!AA32)</f>
        <v>349.68320000000011</v>
      </c>
      <c r="F35" s="26">
        <f>IF(A35="","",BASE_CAIXA!N32)</f>
        <v>0</v>
      </c>
      <c r="G35" s="26">
        <f>IF(A35="","",BASE_CAIXA!O32)</f>
        <v>0</v>
      </c>
      <c r="H35" s="26">
        <f>IF(A35="","",BASE_CAIXA!P32)</f>
        <v>0</v>
      </c>
      <c r="I35" s="26" t="str">
        <f>IF(A35="","",IF(BASE_CAIXA!H32&lt;&gt;"",BASE_CAIXA!H32,BASE_CAIXA!G32))</f>
        <v>Tubo DN 25 mm, PVC Rígido Soldável Marrom</v>
      </c>
      <c r="J35" s="26" t="str">
        <f>IF(A35="","",BASE_CAIXA!G32)</f>
        <v>Tubo DN 25 mm, PVC Rígido Soldável Marrom</v>
      </c>
      <c r="K35" s="26">
        <f>IF(A35="","",BASE_CAIXA!I32)</f>
        <v>0</v>
      </c>
      <c r="L35" s="26">
        <f>IF(A35="","",BASE_CAIXA!J32)</f>
        <v>0</v>
      </c>
      <c r="M35" s="26" t="str">
        <f>IF(A35="","",BASE_CAIXA!AM32)</f>
        <v>Tubo DN 25 mm, PVC Rígido Soldável Marrom | Tubo DN 25 mm, P</v>
      </c>
      <c r="N35" s="26" t="str">
        <f t="shared" ca="1" si="0"/>
        <v>Previsto</v>
      </c>
      <c r="O35" s="13" t="str">
        <f>IFERROR(INDEX(EXTRATO_IMPORTADO!$A$5:$A$404,MATCH(B35,EXTRATO_IMPORTADO!$I$5:$I$404,0)),"")</f>
        <v/>
      </c>
      <c r="P35" s="14" t="str">
        <f>IFERROR(INDEX(EXTRATO_IMPORTADO!$F$5:$F$404,MATCH(B35,EXTRATO_IMPORTADO!$I$5:$I$404,0)),"")</f>
        <v/>
      </c>
      <c r="Q35" s="26" t="str">
        <f>IFERROR(INDEX(EXTRATO_IMPORTADO!$B$5:$B$404,MATCH(B35,EXTRATO_IMPORTADO!$I$5:$I$404,0)),"")</f>
        <v/>
      </c>
      <c r="R35" s="26" t="str">
        <f>IFERROR(MATCH(B35,EXTRATO_IMPORTADO!$I$5:$I$404,0),"")</f>
        <v/>
      </c>
      <c r="S35" s="14" t="str">
        <f t="shared" si="1"/>
        <v/>
      </c>
      <c r="T35" s="33" t="str">
        <f t="shared" si="2"/>
        <v/>
      </c>
    </row>
    <row r="36" spans="1:20" x14ac:dyDescent="0.3">
      <c r="A36" s="26">
        <f>IF(BASE_CAIXA!A33="","",BASE_CAIXA!A33)</f>
        <v>32</v>
      </c>
      <c r="B36" s="26" t="str">
        <f>IF(A36="","",BASE_CAIXA!AL33)</f>
        <v>000032-DB</v>
      </c>
      <c r="C36" s="13">
        <f>IF(A36="","",BASE_CAIXA!AJ33)</f>
        <v>46115</v>
      </c>
      <c r="D36" s="26" t="str">
        <f>IF(A36="","",IF(BASE_CAIXA!C33="Entrada","Crédito","Débito"))</f>
        <v>Débito</v>
      </c>
      <c r="E36" s="14">
        <f>IF(A36="","",BASE_CAIXA!AA33)</f>
        <v>764.99456000000021</v>
      </c>
      <c r="F36" s="26">
        <f>IF(A36="","",BASE_CAIXA!N33)</f>
        <v>0</v>
      </c>
      <c r="G36" s="26">
        <f>IF(A36="","",BASE_CAIXA!O33)</f>
        <v>0</v>
      </c>
      <c r="H36" s="26">
        <f>IF(A36="","",BASE_CAIXA!P33)</f>
        <v>0</v>
      </c>
      <c r="I36" s="26" t="str">
        <f>IF(A36="","",IF(BASE_CAIXA!H33&lt;&gt;"",BASE_CAIXA!H33,BASE_CAIXA!G33))</f>
        <v>Tubo PVC DN 100mm branco rígido para esgoto sanitário</v>
      </c>
      <c r="J36" s="26" t="str">
        <f>IF(A36="","",BASE_CAIXA!G33)</f>
        <v>Tubo PVC DN 100mm branco rígido para esgoto sanitário</v>
      </c>
      <c r="K36" s="26">
        <f>IF(A36="","",BASE_CAIXA!I33)</f>
        <v>0</v>
      </c>
      <c r="L36" s="26">
        <f>IF(A36="","",BASE_CAIXA!J33)</f>
        <v>0</v>
      </c>
      <c r="M36" s="26" t="str">
        <f>IF(A36="","",BASE_CAIXA!AM33)</f>
        <v>Tubo PVC DN 100mm branco rígido para esgoto sanitário | Tubo</v>
      </c>
      <c r="N36" s="26" t="str">
        <f t="shared" ca="1" si="0"/>
        <v>Previsto</v>
      </c>
      <c r="O36" s="13" t="str">
        <f>IFERROR(INDEX(EXTRATO_IMPORTADO!$A$5:$A$404,MATCH(B36,EXTRATO_IMPORTADO!$I$5:$I$404,0)),"")</f>
        <v/>
      </c>
      <c r="P36" s="14" t="str">
        <f>IFERROR(INDEX(EXTRATO_IMPORTADO!$F$5:$F$404,MATCH(B36,EXTRATO_IMPORTADO!$I$5:$I$404,0)),"")</f>
        <v/>
      </c>
      <c r="Q36" s="26" t="str">
        <f>IFERROR(INDEX(EXTRATO_IMPORTADO!$B$5:$B$404,MATCH(B36,EXTRATO_IMPORTADO!$I$5:$I$404,0)),"")</f>
        <v/>
      </c>
      <c r="R36" s="26" t="str">
        <f>IFERROR(MATCH(B36,EXTRATO_IMPORTADO!$I$5:$I$404,0),"")</f>
        <v/>
      </c>
      <c r="S36" s="14" t="str">
        <f t="shared" si="1"/>
        <v/>
      </c>
      <c r="T36" s="33" t="str">
        <f t="shared" si="2"/>
        <v/>
      </c>
    </row>
    <row r="37" spans="1:20" x14ac:dyDescent="0.3">
      <c r="A37" s="26">
        <f>IF(BASE_CAIXA!A34="","",BASE_CAIXA!A34)</f>
        <v>33</v>
      </c>
      <c r="B37" s="26" t="str">
        <f>IF(A37="","",BASE_CAIXA!AL34)</f>
        <v>000033-DB</v>
      </c>
      <c r="C37" s="13">
        <f>IF(A37="","",BASE_CAIXA!AJ34)</f>
        <v>46115</v>
      </c>
      <c r="D37" s="26" t="str">
        <f>IF(A37="","",IF(BASE_CAIXA!C34="Entrada","Crédito","Débito"))</f>
        <v>Débito</v>
      </c>
      <c r="E37" s="14">
        <f>IF(A37="","",BASE_CAIXA!AA34)</f>
        <v>143.73785599999999</v>
      </c>
      <c r="F37" s="26">
        <f>IF(A37="","",BASE_CAIXA!N34)</f>
        <v>0</v>
      </c>
      <c r="G37" s="26">
        <f>IF(A37="","",BASE_CAIXA!O34)</f>
        <v>0</v>
      </c>
      <c r="H37" s="26">
        <f>IF(A37="","",BASE_CAIXA!P34)</f>
        <v>0</v>
      </c>
      <c r="I37" s="26" t="str">
        <f>IF(A37="","",IF(BASE_CAIXA!H34&lt;&gt;"",BASE_CAIXA!H34,BASE_CAIXA!G34))</f>
        <v>Tubo PVC DN 40mm branco rígido para esgoto sanitário</v>
      </c>
      <c r="J37" s="26" t="str">
        <f>IF(A37="","",BASE_CAIXA!G34)</f>
        <v>Tubo PVC DN 40mm branco rígido para esgoto sanitário</v>
      </c>
      <c r="K37" s="26">
        <f>IF(A37="","",BASE_CAIXA!I34)</f>
        <v>0</v>
      </c>
      <c r="L37" s="26">
        <f>IF(A37="","",BASE_CAIXA!J34)</f>
        <v>0</v>
      </c>
      <c r="M37" s="26" t="str">
        <f>IF(A37="","",BASE_CAIXA!AM34)</f>
        <v xml:space="preserve">Tubo PVC DN 40mm branco rígido para esgoto sanitário | Tubo </v>
      </c>
      <c r="N37" s="26" t="str">
        <f t="shared" ca="1" si="0"/>
        <v>Previsto</v>
      </c>
      <c r="O37" s="13" t="str">
        <f>IFERROR(INDEX(EXTRATO_IMPORTADO!$A$5:$A$404,MATCH(B37,EXTRATO_IMPORTADO!$I$5:$I$404,0)),"")</f>
        <v/>
      </c>
      <c r="P37" s="14" t="str">
        <f>IFERROR(INDEX(EXTRATO_IMPORTADO!$F$5:$F$404,MATCH(B37,EXTRATO_IMPORTADO!$I$5:$I$404,0)),"")</f>
        <v/>
      </c>
      <c r="Q37" s="26" t="str">
        <f>IFERROR(INDEX(EXTRATO_IMPORTADO!$B$5:$B$404,MATCH(B37,EXTRATO_IMPORTADO!$I$5:$I$404,0)),"")</f>
        <v/>
      </c>
      <c r="R37" s="26" t="str">
        <f>IFERROR(MATCH(B37,EXTRATO_IMPORTADO!$I$5:$I$404,0),"")</f>
        <v/>
      </c>
      <c r="S37" s="14" t="str">
        <f t="shared" si="1"/>
        <v/>
      </c>
      <c r="T37" s="33" t="str">
        <f t="shared" si="2"/>
        <v/>
      </c>
    </row>
    <row r="38" spans="1:20" x14ac:dyDescent="0.3">
      <c r="A38" s="26">
        <f>IF(BASE_CAIXA!A35="","",BASE_CAIXA!A35)</f>
        <v>34</v>
      </c>
      <c r="B38" s="26" t="str">
        <f>IF(A38="","",BASE_CAIXA!AL35)</f>
        <v>000034-DB</v>
      </c>
      <c r="C38" s="13">
        <f>IF(A38="","",BASE_CAIXA!AJ35)</f>
        <v>46115</v>
      </c>
      <c r="D38" s="26" t="str">
        <f>IF(A38="","",IF(BASE_CAIXA!C35="Entrada","Crédito","Débito"))</f>
        <v>Débito</v>
      </c>
      <c r="E38" s="14">
        <f>IF(A38="","",BASE_CAIXA!AA35)</f>
        <v>1131.663616</v>
      </c>
      <c r="F38" s="26">
        <f>IF(A38="","",BASE_CAIXA!N35)</f>
        <v>0</v>
      </c>
      <c r="G38" s="26">
        <f>IF(A38="","",BASE_CAIXA!O35)</f>
        <v>0</v>
      </c>
      <c r="H38" s="26">
        <f>IF(A38="","",BASE_CAIXA!P35)</f>
        <v>0</v>
      </c>
      <c r="I38" s="26" t="str">
        <f>IF(A38="","",IF(BASE_CAIXA!H35&lt;&gt;"",BASE_CAIXA!H35,BASE_CAIXA!G35))</f>
        <v>Tubo PVC DN 50mm branco rígido para esgoto sanitário</v>
      </c>
      <c r="J38" s="26" t="str">
        <f>IF(A38="","",BASE_CAIXA!G35)</f>
        <v>Tubo PVC DN 50mm branco rígido para esgoto sanitário</v>
      </c>
      <c r="K38" s="26">
        <f>IF(A38="","",BASE_CAIXA!I35)</f>
        <v>0</v>
      </c>
      <c r="L38" s="26">
        <f>IF(A38="","",BASE_CAIXA!J35)</f>
        <v>0</v>
      </c>
      <c r="M38" s="26" t="str">
        <f>IF(A38="","",BASE_CAIXA!AM35)</f>
        <v xml:space="preserve">Tubo PVC DN 50mm branco rígido para esgoto sanitário | Tubo </v>
      </c>
      <c r="N38" s="26" t="str">
        <f t="shared" ca="1" si="0"/>
        <v>Previsto</v>
      </c>
      <c r="O38" s="13" t="str">
        <f>IFERROR(INDEX(EXTRATO_IMPORTADO!$A$5:$A$404,MATCH(B38,EXTRATO_IMPORTADO!$I$5:$I$404,0)),"")</f>
        <v/>
      </c>
      <c r="P38" s="14" t="str">
        <f>IFERROR(INDEX(EXTRATO_IMPORTADO!$F$5:$F$404,MATCH(B38,EXTRATO_IMPORTADO!$I$5:$I$404,0)),"")</f>
        <v/>
      </c>
      <c r="Q38" s="26" t="str">
        <f>IFERROR(INDEX(EXTRATO_IMPORTADO!$B$5:$B$404,MATCH(B38,EXTRATO_IMPORTADO!$I$5:$I$404,0)),"")</f>
        <v/>
      </c>
      <c r="R38" s="26" t="str">
        <f>IFERROR(MATCH(B38,EXTRATO_IMPORTADO!$I$5:$I$404,0),"")</f>
        <v/>
      </c>
      <c r="S38" s="14" t="str">
        <f t="shared" si="1"/>
        <v/>
      </c>
      <c r="T38" s="33" t="str">
        <f t="shared" si="2"/>
        <v/>
      </c>
    </row>
    <row r="39" spans="1:20" x14ac:dyDescent="0.3">
      <c r="A39" s="26">
        <f>IF(BASE_CAIXA!A36="","",BASE_CAIXA!A36)</f>
        <v>35</v>
      </c>
      <c r="B39" s="26" t="str">
        <f>IF(A39="","",BASE_CAIXA!AL36)</f>
        <v>000035-DB</v>
      </c>
      <c r="C39" s="13">
        <f>IF(A39="","",BASE_CAIXA!AJ36)</f>
        <v>46115</v>
      </c>
      <c r="D39" s="26" t="str">
        <f>IF(A39="","",IF(BASE_CAIXA!C36="Entrada","Crédito","Débito"))</f>
        <v>Débito</v>
      </c>
      <c r="E39" s="14">
        <f>IF(A39="","",BASE_CAIXA!AA36)</f>
        <v>82.405120000000011</v>
      </c>
      <c r="F39" s="26">
        <f>IF(A39="","",BASE_CAIXA!N36)</f>
        <v>0</v>
      </c>
      <c r="G39" s="26">
        <f>IF(A39="","",BASE_CAIXA!O36)</f>
        <v>0</v>
      </c>
      <c r="H39" s="26">
        <f>IF(A39="","",BASE_CAIXA!P36)</f>
        <v>0</v>
      </c>
      <c r="I39" s="26" t="str">
        <f>IF(A39="","",IF(BASE_CAIXA!H36&lt;&gt;"",BASE_CAIXA!H36,BASE_CAIXA!G36))</f>
        <v>Tubo PVC DN 75mm branco rígido para esgoto sanitário</v>
      </c>
      <c r="J39" s="26" t="str">
        <f>IF(A39="","",BASE_CAIXA!G36)</f>
        <v>Tubo PVC DN 75mm branco rígido para esgoto sanitário</v>
      </c>
      <c r="K39" s="26">
        <f>IF(A39="","",BASE_CAIXA!I36)</f>
        <v>0</v>
      </c>
      <c r="L39" s="26">
        <f>IF(A39="","",BASE_CAIXA!J36)</f>
        <v>0</v>
      </c>
      <c r="M39" s="26" t="str">
        <f>IF(A39="","",BASE_CAIXA!AM36)</f>
        <v xml:space="preserve">Tubo PVC DN 75mm branco rígido para esgoto sanitário | Tubo </v>
      </c>
      <c r="N39" s="26" t="str">
        <f t="shared" ca="1" si="0"/>
        <v>Previsto</v>
      </c>
      <c r="O39" s="13" t="str">
        <f>IFERROR(INDEX(EXTRATO_IMPORTADO!$A$5:$A$404,MATCH(B39,EXTRATO_IMPORTADO!$I$5:$I$404,0)),"")</f>
        <v/>
      </c>
      <c r="P39" s="14" t="str">
        <f>IFERROR(INDEX(EXTRATO_IMPORTADO!$F$5:$F$404,MATCH(B39,EXTRATO_IMPORTADO!$I$5:$I$404,0)),"")</f>
        <v/>
      </c>
      <c r="Q39" s="26" t="str">
        <f>IFERROR(INDEX(EXTRATO_IMPORTADO!$B$5:$B$404,MATCH(B39,EXTRATO_IMPORTADO!$I$5:$I$404,0)),"")</f>
        <v/>
      </c>
      <c r="R39" s="26" t="str">
        <f>IFERROR(MATCH(B39,EXTRATO_IMPORTADO!$I$5:$I$404,0),"")</f>
        <v/>
      </c>
      <c r="S39" s="14" t="str">
        <f t="shared" si="1"/>
        <v/>
      </c>
      <c r="T39" s="33" t="str">
        <f t="shared" si="2"/>
        <v/>
      </c>
    </row>
    <row r="40" spans="1:20" x14ac:dyDescent="0.3">
      <c r="A40" s="26">
        <f>IF(BASE_CAIXA!A37="","",BASE_CAIXA!A37)</f>
        <v>36</v>
      </c>
      <c r="B40" s="26" t="str">
        <f>IF(A40="","",BASE_CAIXA!AL37)</f>
        <v>000036-DB</v>
      </c>
      <c r="C40" s="13">
        <f>IF(A40="","",BASE_CAIXA!AJ37)</f>
        <v>46115</v>
      </c>
      <c r="D40" s="26" t="str">
        <f>IF(A40="","",IF(BASE_CAIXA!C37="Entrada","Crédito","Débito"))</f>
        <v>Débito</v>
      </c>
      <c r="E40" s="14">
        <f>IF(A40="","",BASE_CAIXA!AA37)</f>
        <v>7500</v>
      </c>
      <c r="F40" s="26">
        <f>IF(A40="","",BASE_CAIXA!N37)</f>
        <v>0</v>
      </c>
      <c r="G40" s="26">
        <f>IF(A40="","",BASE_CAIXA!O37)</f>
        <v>0</v>
      </c>
      <c r="H40" s="26">
        <f>IF(A40="","",BASE_CAIXA!P37)</f>
        <v>0</v>
      </c>
      <c r="I40" s="26" t="str">
        <f>IF(A40="","",IF(BASE_CAIXA!H37&lt;&gt;"",BASE_CAIXA!H37,BASE_CAIXA!G37))</f>
        <v>ALMOXARIFADO</v>
      </c>
      <c r="J40" s="26" t="str">
        <f>IF(A40="","",BASE_CAIXA!G37)</f>
        <v>ALMOXARIFADO</v>
      </c>
      <c r="K40" s="26">
        <f>IF(A40="","",BASE_CAIXA!I37)</f>
        <v>0</v>
      </c>
      <c r="L40" s="26">
        <f>IF(A40="","",BASE_CAIXA!J37)</f>
        <v>0</v>
      </c>
      <c r="M40" s="26" t="str">
        <f>IF(A40="","",BASE_CAIXA!AM37)</f>
        <v>ALMOXARIFADO | ALMOXARIFADO | Saída | GESTÃO LOCAL</v>
      </c>
      <c r="N40" s="26" t="str">
        <f t="shared" ca="1" si="0"/>
        <v>Previsto</v>
      </c>
      <c r="O40" s="13" t="str">
        <f>IFERROR(INDEX(EXTRATO_IMPORTADO!$A$5:$A$404,MATCH(B40,EXTRATO_IMPORTADO!$I$5:$I$404,0)),"")</f>
        <v/>
      </c>
      <c r="P40" s="14" t="str">
        <f>IFERROR(INDEX(EXTRATO_IMPORTADO!$F$5:$F$404,MATCH(B40,EXTRATO_IMPORTADO!$I$5:$I$404,0)),"")</f>
        <v/>
      </c>
      <c r="Q40" s="26" t="str">
        <f>IFERROR(INDEX(EXTRATO_IMPORTADO!$B$5:$B$404,MATCH(B40,EXTRATO_IMPORTADO!$I$5:$I$404,0)),"")</f>
        <v/>
      </c>
      <c r="R40" s="26" t="str">
        <f>IFERROR(MATCH(B40,EXTRATO_IMPORTADO!$I$5:$I$404,0),"")</f>
        <v/>
      </c>
      <c r="S40" s="14" t="str">
        <f t="shared" si="1"/>
        <v/>
      </c>
      <c r="T40" s="33" t="str">
        <f t="shared" si="2"/>
        <v/>
      </c>
    </row>
    <row r="41" spans="1:20" x14ac:dyDescent="0.3">
      <c r="A41" s="26">
        <f>IF(BASE_CAIXA!A38="","",BASE_CAIXA!A38)</f>
        <v>37</v>
      </c>
      <c r="B41" s="26" t="str">
        <f>IF(A41="","",BASE_CAIXA!AL38)</f>
        <v>000037-DB</v>
      </c>
      <c r="C41" s="13">
        <f>IF(A41="","",BASE_CAIXA!AJ38)</f>
        <v>46115</v>
      </c>
      <c r="D41" s="26" t="str">
        <f>IF(A41="","",IF(BASE_CAIXA!C38="Entrada","Crédito","Débito"))</f>
        <v>Débito</v>
      </c>
      <c r="E41" s="14">
        <f>IF(A41="","",BASE_CAIXA!AA38)</f>
        <v>3500</v>
      </c>
      <c r="F41" s="26">
        <f>IF(A41="","",BASE_CAIXA!N38)</f>
        <v>0</v>
      </c>
      <c r="G41" s="26">
        <f>IF(A41="","",BASE_CAIXA!O38)</f>
        <v>0</v>
      </c>
      <c r="H41" s="26">
        <f>IF(A41="","",BASE_CAIXA!P38)</f>
        <v>0</v>
      </c>
      <c r="I41" s="26" t="str">
        <f>IF(A41="","",IF(BASE_CAIXA!H38&lt;&gt;"",BASE_CAIXA!H38,BASE_CAIXA!G38))</f>
        <v>Alojamento Arbnb (mestre, engenheiro. Tecnico)</v>
      </c>
      <c r="J41" s="26" t="str">
        <f>IF(A41="","",BASE_CAIXA!G38)</f>
        <v>Alojamento Arbnb (mestre, engenheiro. Tecnico)</v>
      </c>
      <c r="K41" s="26">
        <f>IF(A41="","",BASE_CAIXA!I38)</f>
        <v>0</v>
      </c>
      <c r="L41" s="26">
        <f>IF(A41="","",BASE_CAIXA!J38)</f>
        <v>0</v>
      </c>
      <c r="M41" s="26" t="str">
        <f>IF(A41="","",BASE_CAIXA!AM38)</f>
        <v xml:space="preserve">Alojamento Arbnb (mestre, engenheiro. Tecnico) | Alojamento </v>
      </c>
      <c r="N41" s="26" t="str">
        <f t="shared" ca="1" si="0"/>
        <v>Previsto</v>
      </c>
      <c r="O41" s="13" t="str">
        <f>IFERROR(INDEX(EXTRATO_IMPORTADO!$A$5:$A$404,MATCH(B41,EXTRATO_IMPORTADO!$I$5:$I$404,0)),"")</f>
        <v/>
      </c>
      <c r="P41" s="14" t="str">
        <f>IFERROR(INDEX(EXTRATO_IMPORTADO!$F$5:$F$404,MATCH(B41,EXTRATO_IMPORTADO!$I$5:$I$404,0)),"")</f>
        <v/>
      </c>
      <c r="Q41" s="26" t="str">
        <f>IFERROR(INDEX(EXTRATO_IMPORTADO!$B$5:$B$404,MATCH(B41,EXTRATO_IMPORTADO!$I$5:$I$404,0)),"")</f>
        <v/>
      </c>
      <c r="R41" s="26" t="str">
        <f>IFERROR(MATCH(B41,EXTRATO_IMPORTADO!$I$5:$I$404,0),"")</f>
        <v/>
      </c>
      <c r="S41" s="14" t="str">
        <f t="shared" si="1"/>
        <v/>
      </c>
      <c r="T41" s="33" t="str">
        <f t="shared" si="2"/>
        <v/>
      </c>
    </row>
    <row r="42" spans="1:20" x14ac:dyDescent="0.3">
      <c r="A42" s="26">
        <f>IF(BASE_CAIXA!A39="","",BASE_CAIXA!A39)</f>
        <v>38</v>
      </c>
      <c r="B42" s="26" t="str">
        <f>IF(A42="","",BASE_CAIXA!AL39)</f>
        <v>000038-DB</v>
      </c>
      <c r="C42" s="13">
        <f>IF(A42="","",BASE_CAIXA!AJ39)</f>
        <v>46115</v>
      </c>
      <c r="D42" s="26" t="str">
        <f>IF(A42="","",IF(BASE_CAIXA!C39="Entrada","Crédito","Débito"))</f>
        <v>Débito</v>
      </c>
      <c r="E42" s="14">
        <f>IF(A42="","",BASE_CAIXA!AA39)</f>
        <v>1140</v>
      </c>
      <c r="F42" s="26">
        <f>IF(A42="","",BASE_CAIXA!N39)</f>
        <v>0</v>
      </c>
      <c r="G42" s="26">
        <f>IF(A42="","",BASE_CAIXA!O39)</f>
        <v>0</v>
      </c>
      <c r="H42" s="26">
        <f>IF(A42="","",BASE_CAIXA!P39)</f>
        <v>0</v>
      </c>
      <c r="I42" s="26" t="str">
        <f>IF(A42="","",IF(BASE_CAIXA!H39&lt;&gt;"",BASE_CAIXA!H39,BASE_CAIXA!G39))</f>
        <v>Aluguel container Banheiro</v>
      </c>
      <c r="J42" s="26" t="str">
        <f>IF(A42="","",BASE_CAIXA!G39)</f>
        <v>Aluguel container Banheiro</v>
      </c>
      <c r="K42" s="26">
        <f>IF(A42="","",BASE_CAIXA!I39)</f>
        <v>0</v>
      </c>
      <c r="L42" s="26">
        <f>IF(A42="","",BASE_CAIXA!J39)</f>
        <v>0</v>
      </c>
      <c r="M42" s="26" t="str">
        <f>IF(A42="","",BASE_CAIXA!AM39)</f>
        <v>Aluguel container Banheiro | Aluguel container Banheiro | Sa</v>
      </c>
      <c r="N42" s="26" t="str">
        <f t="shared" ca="1" si="0"/>
        <v>Previsto</v>
      </c>
      <c r="O42" s="13" t="str">
        <f>IFERROR(INDEX(EXTRATO_IMPORTADO!$A$5:$A$404,MATCH(B42,EXTRATO_IMPORTADO!$I$5:$I$404,0)),"")</f>
        <v/>
      </c>
      <c r="P42" s="14" t="str">
        <f>IFERROR(INDEX(EXTRATO_IMPORTADO!$F$5:$F$404,MATCH(B42,EXTRATO_IMPORTADO!$I$5:$I$404,0)),"")</f>
        <v/>
      </c>
      <c r="Q42" s="26" t="str">
        <f>IFERROR(INDEX(EXTRATO_IMPORTADO!$B$5:$B$404,MATCH(B42,EXTRATO_IMPORTADO!$I$5:$I$404,0)),"")</f>
        <v/>
      </c>
      <c r="R42" s="26" t="str">
        <f>IFERROR(MATCH(B42,EXTRATO_IMPORTADO!$I$5:$I$404,0),"")</f>
        <v/>
      </c>
      <c r="S42" s="14" t="str">
        <f t="shared" si="1"/>
        <v/>
      </c>
      <c r="T42" s="33" t="str">
        <f t="shared" si="2"/>
        <v/>
      </c>
    </row>
    <row r="43" spans="1:20" x14ac:dyDescent="0.3">
      <c r="A43" s="26">
        <f>IF(BASE_CAIXA!A40="","",BASE_CAIXA!A40)</f>
        <v>39</v>
      </c>
      <c r="B43" s="26" t="str">
        <f>IF(A43="","",BASE_CAIXA!AL40)</f>
        <v>000039-DB</v>
      </c>
      <c r="C43" s="13">
        <f>IF(A43="","",BASE_CAIXA!AJ40)</f>
        <v>46115</v>
      </c>
      <c r="D43" s="26" t="str">
        <f>IF(A43="","",IF(BASE_CAIXA!C40="Entrada","Crédito","Débito"))</f>
        <v>Débito</v>
      </c>
      <c r="E43" s="14">
        <f>IF(A43="","",BASE_CAIXA!AA40)</f>
        <v>400</v>
      </c>
      <c r="F43" s="26">
        <f>IF(A43="","",BASE_CAIXA!N40)</f>
        <v>0</v>
      </c>
      <c r="G43" s="26">
        <f>IF(A43="","",BASE_CAIXA!O40)</f>
        <v>0</v>
      </c>
      <c r="H43" s="26">
        <f>IF(A43="","",BASE_CAIXA!P40)</f>
        <v>0</v>
      </c>
      <c r="I43" s="26" t="str">
        <f>IF(A43="","",IF(BASE_CAIXA!H40&lt;&gt;"",BASE_CAIXA!H40,BASE_CAIXA!G40))</f>
        <v>Aluguel container almoxarifado</v>
      </c>
      <c r="J43" s="26" t="str">
        <f>IF(A43="","",BASE_CAIXA!G40)</f>
        <v>Aluguel container almoxarifado</v>
      </c>
      <c r="K43" s="26">
        <f>IF(A43="","",BASE_CAIXA!I40)</f>
        <v>0</v>
      </c>
      <c r="L43" s="26">
        <f>IF(A43="","",BASE_CAIXA!J40)</f>
        <v>0</v>
      </c>
      <c r="M43" s="26" t="str">
        <f>IF(A43="","",BASE_CAIXA!AM40)</f>
        <v>Aluguel container almoxarifado | Aluguel container almoxarif</v>
      </c>
      <c r="N43" s="26" t="str">
        <f t="shared" ca="1" si="0"/>
        <v>Previsto</v>
      </c>
      <c r="O43" s="13" t="str">
        <f>IFERROR(INDEX(EXTRATO_IMPORTADO!$A$5:$A$404,MATCH(B43,EXTRATO_IMPORTADO!$I$5:$I$404,0)),"")</f>
        <v/>
      </c>
      <c r="P43" s="14" t="str">
        <f>IFERROR(INDEX(EXTRATO_IMPORTADO!$F$5:$F$404,MATCH(B43,EXTRATO_IMPORTADO!$I$5:$I$404,0)),"")</f>
        <v/>
      </c>
      <c r="Q43" s="26" t="str">
        <f>IFERROR(INDEX(EXTRATO_IMPORTADO!$B$5:$B$404,MATCH(B43,EXTRATO_IMPORTADO!$I$5:$I$404,0)),"")</f>
        <v/>
      </c>
      <c r="R43" s="26" t="str">
        <f>IFERROR(MATCH(B43,EXTRATO_IMPORTADO!$I$5:$I$404,0),"")</f>
        <v/>
      </c>
      <c r="S43" s="14" t="str">
        <f t="shared" si="1"/>
        <v/>
      </c>
      <c r="T43" s="33" t="str">
        <f t="shared" si="2"/>
        <v/>
      </c>
    </row>
    <row r="44" spans="1:20" x14ac:dyDescent="0.3">
      <c r="A44" s="26">
        <f>IF(BASE_CAIXA!A41="","",BASE_CAIXA!A41)</f>
        <v>40</v>
      </c>
      <c r="B44" s="26" t="str">
        <f>IF(A44="","",BASE_CAIXA!AL41)</f>
        <v>000040-DB</v>
      </c>
      <c r="C44" s="13">
        <f>IF(A44="","",BASE_CAIXA!AJ41)</f>
        <v>46115</v>
      </c>
      <c r="D44" s="26" t="str">
        <f>IF(A44="","",IF(BASE_CAIXA!C41="Entrada","Crédito","Débito"))</f>
        <v>Débito</v>
      </c>
      <c r="E44" s="14">
        <f>IF(A44="","",BASE_CAIXA!AA41)</f>
        <v>900</v>
      </c>
      <c r="F44" s="26">
        <f>IF(A44="","",BASE_CAIXA!N41)</f>
        <v>0</v>
      </c>
      <c r="G44" s="26">
        <f>IF(A44="","",BASE_CAIXA!O41)</f>
        <v>0</v>
      </c>
      <c r="H44" s="26">
        <f>IF(A44="","",BASE_CAIXA!P41)</f>
        <v>0</v>
      </c>
      <c r="I44" s="26" t="str">
        <f>IF(A44="","",IF(BASE_CAIXA!H41&lt;&gt;"",BASE_CAIXA!H41,BASE_CAIXA!G41))</f>
        <v>Aluguel container escritorio</v>
      </c>
      <c r="J44" s="26" t="str">
        <f>IF(A44="","",BASE_CAIXA!G41)</f>
        <v>Aluguel container escritorio</v>
      </c>
      <c r="K44" s="26">
        <f>IF(A44="","",BASE_CAIXA!I41)</f>
        <v>0</v>
      </c>
      <c r="L44" s="26">
        <f>IF(A44="","",BASE_CAIXA!J41)</f>
        <v>0</v>
      </c>
      <c r="M44" s="26" t="str">
        <f>IF(A44="","",BASE_CAIXA!AM41)</f>
        <v xml:space="preserve">Aluguel container escritorio | Aluguel container escritorio </v>
      </c>
      <c r="N44" s="26" t="str">
        <f t="shared" ca="1" si="0"/>
        <v>Previsto</v>
      </c>
      <c r="O44" s="13" t="str">
        <f>IFERROR(INDEX(EXTRATO_IMPORTADO!$A$5:$A$404,MATCH(B44,EXTRATO_IMPORTADO!$I$5:$I$404,0)),"")</f>
        <v/>
      </c>
      <c r="P44" s="14" t="str">
        <f>IFERROR(INDEX(EXTRATO_IMPORTADO!$F$5:$F$404,MATCH(B44,EXTRATO_IMPORTADO!$I$5:$I$404,0)),"")</f>
        <v/>
      </c>
      <c r="Q44" s="26" t="str">
        <f>IFERROR(INDEX(EXTRATO_IMPORTADO!$B$5:$B$404,MATCH(B44,EXTRATO_IMPORTADO!$I$5:$I$404,0)),"")</f>
        <v/>
      </c>
      <c r="R44" s="26" t="str">
        <f>IFERROR(MATCH(B44,EXTRATO_IMPORTADO!$I$5:$I$404,0),"")</f>
        <v/>
      </c>
      <c r="S44" s="14" t="str">
        <f t="shared" si="1"/>
        <v/>
      </c>
      <c r="T44" s="33" t="str">
        <f t="shared" si="2"/>
        <v/>
      </c>
    </row>
    <row r="45" spans="1:20" x14ac:dyDescent="0.3">
      <c r="A45" s="26">
        <f>IF(BASE_CAIXA!A42="","",BASE_CAIXA!A42)</f>
        <v>41</v>
      </c>
      <c r="B45" s="26" t="str">
        <f>IF(A45="","",BASE_CAIXA!AL42)</f>
        <v>000041-DB</v>
      </c>
      <c r="C45" s="13">
        <f>IF(A45="","",BASE_CAIXA!AJ42)</f>
        <v>46115</v>
      </c>
      <c r="D45" s="26" t="str">
        <f>IF(A45="","",IF(BASE_CAIXA!C42="Entrada","Crédito","Débito"))</f>
        <v>Débito</v>
      </c>
      <c r="E45" s="14">
        <f>IF(A45="","",BASE_CAIXA!AA42)</f>
        <v>3000</v>
      </c>
      <c r="F45" s="26">
        <f>IF(A45="","",BASE_CAIXA!N42)</f>
        <v>0</v>
      </c>
      <c r="G45" s="26">
        <f>IF(A45="","",BASE_CAIXA!O42)</f>
        <v>0</v>
      </c>
      <c r="H45" s="26">
        <f>IF(A45="","",BASE_CAIXA!P42)</f>
        <v>0</v>
      </c>
      <c r="I45" s="26" t="str">
        <f>IF(A45="","",IF(BASE_CAIXA!H42&lt;&gt;"",BASE_CAIXA!H42,BASE_CAIXA!G42))</f>
        <v>COMPRADOR</v>
      </c>
      <c r="J45" s="26" t="str">
        <f>IF(A45="","",BASE_CAIXA!G42)</f>
        <v>COMPRADOR</v>
      </c>
      <c r="K45" s="26">
        <f>IF(A45="","",BASE_CAIXA!I42)</f>
        <v>0</v>
      </c>
      <c r="L45" s="26">
        <f>IF(A45="","",BASE_CAIXA!J42)</f>
        <v>0</v>
      </c>
      <c r="M45" s="26" t="str">
        <f>IF(A45="","",BASE_CAIXA!AM42)</f>
        <v>COMPRADOR | COMPRADOR | Saída | GESTÃO LOCAL</v>
      </c>
      <c r="N45" s="26" t="str">
        <f t="shared" ca="1" si="0"/>
        <v>Previsto</v>
      </c>
      <c r="O45" s="13" t="str">
        <f>IFERROR(INDEX(EXTRATO_IMPORTADO!$A$5:$A$404,MATCH(B45,EXTRATO_IMPORTADO!$I$5:$I$404,0)),"")</f>
        <v/>
      </c>
      <c r="P45" s="14" t="str">
        <f>IFERROR(INDEX(EXTRATO_IMPORTADO!$F$5:$F$404,MATCH(B45,EXTRATO_IMPORTADO!$I$5:$I$404,0)),"")</f>
        <v/>
      </c>
      <c r="Q45" s="26" t="str">
        <f>IFERROR(INDEX(EXTRATO_IMPORTADO!$B$5:$B$404,MATCH(B45,EXTRATO_IMPORTADO!$I$5:$I$404,0)),"")</f>
        <v/>
      </c>
      <c r="R45" s="26" t="str">
        <f>IFERROR(MATCH(B45,EXTRATO_IMPORTADO!$I$5:$I$404,0),"")</f>
        <v/>
      </c>
      <c r="S45" s="14" t="str">
        <f t="shared" si="1"/>
        <v/>
      </c>
      <c r="T45" s="33" t="str">
        <f t="shared" si="2"/>
        <v/>
      </c>
    </row>
    <row r="46" spans="1:20" x14ac:dyDescent="0.3">
      <c r="A46" s="26">
        <f>IF(BASE_CAIXA!A43="","",BASE_CAIXA!A43)</f>
        <v>42</v>
      </c>
      <c r="B46" s="26" t="str">
        <f>IF(A46="","",BASE_CAIXA!AL43)</f>
        <v>000042-DB</v>
      </c>
      <c r="C46" s="13">
        <f>IF(A46="","",BASE_CAIXA!AJ43)</f>
        <v>46115</v>
      </c>
      <c r="D46" s="26" t="str">
        <f>IF(A46="","",IF(BASE_CAIXA!C43="Entrada","Crédito","Débito"))</f>
        <v>Débito</v>
      </c>
      <c r="E46" s="14">
        <f>IF(A46="","",BASE_CAIXA!AA43)</f>
        <v>10000</v>
      </c>
      <c r="F46" s="26">
        <f>IF(A46="","",BASE_CAIXA!N43)</f>
        <v>0</v>
      </c>
      <c r="G46" s="26">
        <f>IF(A46="","",BASE_CAIXA!O43)</f>
        <v>0</v>
      </c>
      <c r="H46" s="26">
        <f>IF(A46="","",BASE_CAIXA!P43)</f>
        <v>0</v>
      </c>
      <c r="I46" s="26" t="str">
        <f>IF(A46="","",IF(BASE_CAIXA!H43&lt;&gt;"",BASE_CAIXA!H43,BASE_CAIXA!G43))</f>
        <v>ENGENHEIRO RESIDENTE - ( rateado em 3 canteiros) carro incluso</v>
      </c>
      <c r="J46" s="26" t="str">
        <f>IF(A46="","",BASE_CAIXA!G43)</f>
        <v>ENGENHEIRO RESIDENTE - ( rateado em 3 canteiros) carro incluso</v>
      </c>
      <c r="K46" s="26">
        <f>IF(A46="","",BASE_CAIXA!I43)</f>
        <v>0</v>
      </c>
      <c r="L46" s="26">
        <f>IF(A46="","",BASE_CAIXA!J43)</f>
        <v>0</v>
      </c>
      <c r="M46" s="26" t="str">
        <f>IF(A46="","",BASE_CAIXA!AM43)</f>
        <v>ENGENHEIRO RESIDENTE - ( rateado em 3 canteiros) carro inclu</v>
      </c>
      <c r="N46" s="26" t="str">
        <f t="shared" ca="1" si="0"/>
        <v>Previsto</v>
      </c>
      <c r="O46" s="13" t="str">
        <f>IFERROR(INDEX(EXTRATO_IMPORTADO!$A$5:$A$404,MATCH(B46,EXTRATO_IMPORTADO!$I$5:$I$404,0)),"")</f>
        <v/>
      </c>
      <c r="P46" s="14" t="str">
        <f>IFERROR(INDEX(EXTRATO_IMPORTADO!$F$5:$F$404,MATCH(B46,EXTRATO_IMPORTADO!$I$5:$I$404,0)),"")</f>
        <v/>
      </c>
      <c r="Q46" s="26" t="str">
        <f>IFERROR(INDEX(EXTRATO_IMPORTADO!$B$5:$B$404,MATCH(B46,EXTRATO_IMPORTADO!$I$5:$I$404,0)),"")</f>
        <v/>
      </c>
      <c r="R46" s="26" t="str">
        <f>IFERROR(MATCH(B46,EXTRATO_IMPORTADO!$I$5:$I$404,0),"")</f>
        <v/>
      </c>
      <c r="S46" s="14" t="str">
        <f t="shared" si="1"/>
        <v/>
      </c>
      <c r="T46" s="33" t="str">
        <f t="shared" si="2"/>
        <v/>
      </c>
    </row>
    <row r="47" spans="1:20" x14ac:dyDescent="0.3">
      <c r="A47" s="26">
        <f>IF(BASE_CAIXA!A44="","",BASE_CAIXA!A44)</f>
        <v>43</v>
      </c>
      <c r="B47" s="26" t="str">
        <f>IF(A47="","",BASE_CAIXA!AL44)</f>
        <v>000043-DB</v>
      </c>
      <c r="C47" s="13">
        <f>IF(A47="","",BASE_CAIXA!AJ44)</f>
        <v>46115</v>
      </c>
      <c r="D47" s="26" t="str">
        <f>IF(A47="","",IF(BASE_CAIXA!C44="Entrada","Crédito","Débito"))</f>
        <v>Débito</v>
      </c>
      <c r="E47" s="14">
        <f>IF(A47="","",BASE_CAIXA!AA44)</f>
        <v>192</v>
      </c>
      <c r="F47" s="26">
        <f>IF(A47="","",BASE_CAIXA!N44)</f>
        <v>0</v>
      </c>
      <c r="G47" s="26">
        <f>IF(A47="","",BASE_CAIXA!O44)</f>
        <v>0</v>
      </c>
      <c r="H47" s="26">
        <f>IF(A47="","",BASE_CAIXA!P44)</f>
        <v>0</v>
      </c>
      <c r="I47" s="26" t="str">
        <f>IF(A47="","",IF(BASE_CAIXA!H44&lt;&gt;"",BASE_CAIXA!H44,BASE_CAIXA!G44))</f>
        <v>Arame Recozido bwg 18</v>
      </c>
      <c r="J47" s="26" t="str">
        <f>IF(A47="","",BASE_CAIXA!G44)</f>
        <v>Arame Recozido bwg 18</v>
      </c>
      <c r="K47" s="26">
        <f>IF(A47="","",BASE_CAIXA!I44)</f>
        <v>0</v>
      </c>
      <c r="L47" s="26">
        <f>IF(A47="","",BASE_CAIXA!J44)</f>
        <v>0</v>
      </c>
      <c r="M47" s="26" t="str">
        <f>IF(A47="","",BASE_CAIXA!AM44)</f>
        <v>Arame Recozido bwg 18 | Arame Recozido bwg 18 | Saída | RADI</v>
      </c>
      <c r="N47" s="26" t="str">
        <f t="shared" ca="1" si="0"/>
        <v>Previsto</v>
      </c>
      <c r="O47" s="13" t="str">
        <f>IFERROR(INDEX(EXTRATO_IMPORTADO!$A$5:$A$404,MATCH(B47,EXTRATO_IMPORTADO!$I$5:$I$404,0)),"")</f>
        <v/>
      </c>
      <c r="P47" s="14" t="str">
        <f>IFERROR(INDEX(EXTRATO_IMPORTADO!$F$5:$F$404,MATCH(B47,EXTRATO_IMPORTADO!$I$5:$I$404,0)),"")</f>
        <v/>
      </c>
      <c r="Q47" s="26" t="str">
        <f>IFERROR(INDEX(EXTRATO_IMPORTADO!$B$5:$B$404,MATCH(B47,EXTRATO_IMPORTADO!$I$5:$I$404,0)),"")</f>
        <v/>
      </c>
      <c r="R47" s="26" t="str">
        <f>IFERROR(MATCH(B47,EXTRATO_IMPORTADO!$I$5:$I$404,0),"")</f>
        <v/>
      </c>
      <c r="S47" s="14" t="str">
        <f t="shared" si="1"/>
        <v/>
      </c>
      <c r="T47" s="33" t="str">
        <f t="shared" si="2"/>
        <v/>
      </c>
    </row>
    <row r="48" spans="1:20" x14ac:dyDescent="0.3">
      <c r="A48" s="26">
        <f>IF(BASE_CAIXA!A45="","",BASE_CAIXA!A45)</f>
        <v>44</v>
      </c>
      <c r="B48" s="26" t="str">
        <f>IF(A48="","",BASE_CAIXA!AL45)</f>
        <v>000044-DB</v>
      </c>
      <c r="C48" s="13">
        <f>IF(A48="","",BASE_CAIXA!AJ45)</f>
        <v>46115</v>
      </c>
      <c r="D48" s="26" t="str">
        <f>IF(A48="","",IF(BASE_CAIXA!C45="Entrada","Crédito","Débito"))</f>
        <v>Débito</v>
      </c>
      <c r="E48" s="14">
        <f>IF(A48="","",BASE_CAIXA!AA45)</f>
        <v>40821.760000000002</v>
      </c>
      <c r="F48" s="26">
        <f>IF(A48="","",BASE_CAIXA!N45)</f>
        <v>0</v>
      </c>
      <c r="G48" s="26">
        <f>IF(A48="","",BASE_CAIXA!O45)</f>
        <v>0</v>
      </c>
      <c r="H48" s="26">
        <f>IF(A48="","",BASE_CAIXA!P45)</f>
        <v>0</v>
      </c>
      <c r="I48" s="26" t="str">
        <f>IF(A48="","",IF(BASE_CAIXA!H45&lt;&gt;"",BASE_CAIXA!H45,BASE_CAIXA!G45))</f>
        <v>Aço - Tela Q-138 - 5.0 c/10 -  (245 x 600 cm) (frete de 300 + ipi de 133 incluido</v>
      </c>
      <c r="J48" s="26" t="str">
        <f>IF(A48="","",BASE_CAIXA!G45)</f>
        <v>Aço - Tela Q-138 - 5.0 c/10 -  (245 x 600 cm) (frete de 300 + ipi de 133 incluido</v>
      </c>
      <c r="K48" s="26">
        <f>IF(A48="","",BASE_CAIXA!I45)</f>
        <v>0</v>
      </c>
      <c r="L48" s="26">
        <f>IF(A48="","",BASE_CAIXA!J45)</f>
        <v>0</v>
      </c>
      <c r="M48" s="26" t="str">
        <f>IF(A48="","",BASE_CAIXA!AM45)</f>
        <v xml:space="preserve">Aço - Tela Q-138 - 5.0 c/10 -  (245 x 600 cm) (frete de 300 </v>
      </c>
      <c r="N48" s="26" t="str">
        <f t="shared" ca="1" si="0"/>
        <v>Previsto</v>
      </c>
      <c r="O48" s="13" t="str">
        <f>IFERROR(INDEX(EXTRATO_IMPORTADO!$A$5:$A$404,MATCH(B48,EXTRATO_IMPORTADO!$I$5:$I$404,0)),"")</f>
        <v/>
      </c>
      <c r="P48" s="14" t="str">
        <f>IFERROR(INDEX(EXTRATO_IMPORTADO!$F$5:$F$404,MATCH(B48,EXTRATO_IMPORTADO!$I$5:$I$404,0)),"")</f>
        <v/>
      </c>
      <c r="Q48" s="26" t="str">
        <f>IFERROR(INDEX(EXTRATO_IMPORTADO!$B$5:$B$404,MATCH(B48,EXTRATO_IMPORTADO!$I$5:$I$404,0)),"")</f>
        <v/>
      </c>
      <c r="R48" s="26" t="str">
        <f>IFERROR(MATCH(B48,EXTRATO_IMPORTADO!$I$5:$I$404,0),"")</f>
        <v/>
      </c>
      <c r="S48" s="14" t="str">
        <f t="shared" si="1"/>
        <v/>
      </c>
      <c r="T48" s="33" t="str">
        <f t="shared" si="2"/>
        <v/>
      </c>
    </row>
    <row r="49" spans="1:20" x14ac:dyDescent="0.3">
      <c r="A49" s="26">
        <f>IF(BASE_CAIXA!A46="","",BASE_CAIXA!A46)</f>
        <v>45</v>
      </c>
      <c r="B49" s="26" t="str">
        <f>IF(A49="","",BASE_CAIXA!AL46)</f>
        <v>000045-DB</v>
      </c>
      <c r="C49" s="13">
        <f>IF(A49="","",BASE_CAIXA!AJ46)</f>
        <v>46115</v>
      </c>
      <c r="D49" s="26" t="str">
        <f>IF(A49="","",IF(BASE_CAIXA!C46="Entrada","Crédito","Débito"))</f>
        <v>Débito</v>
      </c>
      <c r="E49" s="14">
        <f>IF(A49="","",BASE_CAIXA!AA46)</f>
        <v>4400</v>
      </c>
      <c r="F49" s="26">
        <f>IF(A49="","",BASE_CAIXA!N46)</f>
        <v>0</v>
      </c>
      <c r="G49" s="26">
        <f>IF(A49="","",BASE_CAIXA!O46)</f>
        <v>0</v>
      </c>
      <c r="H49" s="26">
        <f>IF(A49="","",BASE_CAIXA!P46)</f>
        <v>0</v>
      </c>
      <c r="I49" s="26" t="str">
        <f>IF(A49="","",IF(BASE_CAIXA!H46&lt;&gt;"",BASE_CAIXA!H46,BASE_CAIXA!G46))</f>
        <v>Bomba de concreto  ( Taxa divide 1 casa e 1 radier )</v>
      </c>
      <c r="J49" s="26" t="str">
        <f>IF(A49="","",BASE_CAIXA!G46)</f>
        <v>Bomba de concreto  ( Taxa divide 1 casa e 1 radier )</v>
      </c>
      <c r="K49" s="26">
        <f>IF(A49="","",BASE_CAIXA!I46)</f>
        <v>0</v>
      </c>
      <c r="L49" s="26">
        <f>IF(A49="","",BASE_CAIXA!J46)</f>
        <v>0</v>
      </c>
      <c r="M49" s="26" t="str">
        <f>IF(A49="","",BASE_CAIXA!AM46)</f>
        <v>Bomba de concreto  ( Taxa divide 1 casa e 1 radier ) | Bomba</v>
      </c>
      <c r="N49" s="26" t="str">
        <f t="shared" ca="1" si="0"/>
        <v>Previsto</v>
      </c>
      <c r="O49" s="13" t="str">
        <f>IFERROR(INDEX(EXTRATO_IMPORTADO!$A$5:$A$404,MATCH(B49,EXTRATO_IMPORTADO!$I$5:$I$404,0)),"")</f>
        <v/>
      </c>
      <c r="P49" s="14" t="str">
        <f>IFERROR(INDEX(EXTRATO_IMPORTADO!$F$5:$F$404,MATCH(B49,EXTRATO_IMPORTADO!$I$5:$I$404,0)),"")</f>
        <v/>
      </c>
      <c r="Q49" s="26" t="str">
        <f>IFERROR(INDEX(EXTRATO_IMPORTADO!$B$5:$B$404,MATCH(B49,EXTRATO_IMPORTADO!$I$5:$I$404,0)),"")</f>
        <v/>
      </c>
      <c r="R49" s="26" t="str">
        <f>IFERROR(MATCH(B49,EXTRATO_IMPORTADO!$I$5:$I$404,0),"")</f>
        <v/>
      </c>
      <c r="S49" s="14" t="str">
        <f t="shared" si="1"/>
        <v/>
      </c>
      <c r="T49" s="33" t="str">
        <f t="shared" si="2"/>
        <v/>
      </c>
    </row>
    <row r="50" spans="1:20" x14ac:dyDescent="0.3">
      <c r="A50" s="26">
        <f>IF(BASE_CAIXA!A47="","",BASE_CAIXA!A47)</f>
        <v>46</v>
      </c>
      <c r="B50" s="26" t="str">
        <f>IF(A50="","",BASE_CAIXA!AL47)</f>
        <v>000046-DB</v>
      </c>
      <c r="C50" s="13">
        <f>IF(A50="","",BASE_CAIXA!AJ47)</f>
        <v>46115</v>
      </c>
      <c r="D50" s="26" t="str">
        <f>IF(A50="","",IF(BASE_CAIXA!C47="Entrada","Crédito","Débito"))</f>
        <v>Débito</v>
      </c>
      <c r="E50" s="14">
        <f>IF(A50="","",BASE_CAIXA!AA47)</f>
        <v>16921.486400000002</v>
      </c>
      <c r="F50" s="26">
        <f>IF(A50="","",BASE_CAIXA!N47)</f>
        <v>0</v>
      </c>
      <c r="G50" s="26">
        <f>IF(A50="","",BASE_CAIXA!O47)</f>
        <v>0</v>
      </c>
      <c r="H50" s="26">
        <f>IF(A50="","",BASE_CAIXA!P47)</f>
        <v>0</v>
      </c>
      <c r="I50" s="26" t="str">
        <f>IF(A50="","",IF(BASE_CAIXA!H47&lt;&gt;"",BASE_CAIXA!H47,BASE_CAIXA!G47))</f>
        <v>Brita graduada (lastro para nivelamento) - 10 cm esp.; 15% penetração no solo</v>
      </c>
      <c r="J50" s="26" t="str">
        <f>IF(A50="","",BASE_CAIXA!G47)</f>
        <v>Brita graduada (lastro para nivelamento) - 10 cm esp.; 15% penetração no solo</v>
      </c>
      <c r="K50" s="26">
        <f>IF(A50="","",BASE_CAIXA!I47)</f>
        <v>0</v>
      </c>
      <c r="L50" s="26">
        <f>IF(A50="","",BASE_CAIXA!J47)</f>
        <v>0</v>
      </c>
      <c r="M50" s="26" t="str">
        <f>IF(A50="","",BASE_CAIXA!AM47)</f>
        <v>Brita graduada (lastro para nivelamento) - 10 cm esp.; 15% p</v>
      </c>
      <c r="N50" s="26" t="str">
        <f t="shared" ca="1" si="0"/>
        <v>Previsto</v>
      </c>
      <c r="O50" s="13" t="str">
        <f>IFERROR(INDEX(EXTRATO_IMPORTADO!$A$5:$A$404,MATCH(B50,EXTRATO_IMPORTADO!$I$5:$I$404,0)),"")</f>
        <v/>
      </c>
      <c r="P50" s="14" t="str">
        <f>IFERROR(INDEX(EXTRATO_IMPORTADO!$F$5:$F$404,MATCH(B50,EXTRATO_IMPORTADO!$I$5:$I$404,0)),"")</f>
        <v/>
      </c>
      <c r="Q50" s="26" t="str">
        <f>IFERROR(INDEX(EXTRATO_IMPORTADO!$B$5:$B$404,MATCH(B50,EXTRATO_IMPORTADO!$I$5:$I$404,0)),"")</f>
        <v/>
      </c>
      <c r="R50" s="26" t="str">
        <f>IFERROR(MATCH(B50,EXTRATO_IMPORTADO!$I$5:$I$404,0),"")</f>
        <v/>
      </c>
      <c r="S50" s="14" t="str">
        <f t="shared" si="1"/>
        <v/>
      </c>
      <c r="T50" s="33" t="str">
        <f t="shared" si="2"/>
        <v/>
      </c>
    </row>
    <row r="51" spans="1:20" x14ac:dyDescent="0.3">
      <c r="A51" s="26">
        <f>IF(BASE_CAIXA!A48="","",BASE_CAIXA!A48)</f>
        <v>47</v>
      </c>
      <c r="B51" s="26" t="str">
        <f>IF(A51="","",BASE_CAIXA!AL48)</f>
        <v>000047-DB</v>
      </c>
      <c r="C51" s="13">
        <f>IF(A51="","",BASE_CAIXA!AJ48)</f>
        <v>46115</v>
      </c>
      <c r="D51" s="26" t="str">
        <f>IF(A51="","",IF(BASE_CAIXA!C48="Entrada","Crédito","Débito"))</f>
        <v>Débito</v>
      </c>
      <c r="E51" s="14">
        <f>IF(A51="","",BASE_CAIXA!AA48)</f>
        <v>261.33333333333331</v>
      </c>
      <c r="F51" s="26">
        <f>IF(A51="","",BASE_CAIXA!N48)</f>
        <v>0</v>
      </c>
      <c r="G51" s="26">
        <f>IF(A51="","",BASE_CAIXA!O48)</f>
        <v>0</v>
      </c>
      <c r="H51" s="26">
        <f>IF(A51="","",BASE_CAIXA!P48)</f>
        <v>0</v>
      </c>
      <c r="I51" s="26" t="str">
        <f>IF(A51="","",IF(BASE_CAIXA!H48&lt;&gt;"",BASE_CAIXA!H48,BASE_CAIXA!G48))</f>
        <v>Cimento PortlanD CP IV 32 para limpeza da bomba</v>
      </c>
      <c r="J51" s="26" t="str">
        <f>IF(A51="","",BASE_CAIXA!G48)</f>
        <v>Cimento PortlanD CP IV 32 para limpeza da bomba</v>
      </c>
      <c r="K51" s="26">
        <f>IF(A51="","",BASE_CAIXA!I48)</f>
        <v>0</v>
      </c>
      <c r="L51" s="26">
        <f>IF(A51="","",BASE_CAIXA!J48)</f>
        <v>0</v>
      </c>
      <c r="M51" s="26" t="str">
        <f>IF(A51="","",BASE_CAIXA!AM48)</f>
        <v>Cimento PortlanD CP IV 32 para limpeza da bomba | Cimento Po</v>
      </c>
      <c r="N51" s="26" t="str">
        <f t="shared" ca="1" si="0"/>
        <v>Previsto</v>
      </c>
      <c r="O51" s="13" t="str">
        <f>IFERROR(INDEX(EXTRATO_IMPORTADO!$A$5:$A$404,MATCH(B51,EXTRATO_IMPORTADO!$I$5:$I$404,0)),"")</f>
        <v/>
      </c>
      <c r="P51" s="14" t="str">
        <f>IFERROR(INDEX(EXTRATO_IMPORTADO!$F$5:$F$404,MATCH(B51,EXTRATO_IMPORTADO!$I$5:$I$404,0)),"")</f>
        <v/>
      </c>
      <c r="Q51" s="26" t="str">
        <f>IFERROR(INDEX(EXTRATO_IMPORTADO!$B$5:$B$404,MATCH(B51,EXTRATO_IMPORTADO!$I$5:$I$404,0)),"")</f>
        <v/>
      </c>
      <c r="R51" s="26" t="str">
        <f>IFERROR(MATCH(B51,EXTRATO_IMPORTADO!$I$5:$I$404,0),"")</f>
        <v/>
      </c>
      <c r="S51" s="14" t="str">
        <f t="shared" si="1"/>
        <v/>
      </c>
      <c r="T51" s="33" t="str">
        <f t="shared" si="2"/>
        <v/>
      </c>
    </row>
    <row r="52" spans="1:20" x14ac:dyDescent="0.3">
      <c r="A52" s="26">
        <f>IF(BASE_CAIXA!A49="","",BASE_CAIXA!A49)</f>
        <v>48</v>
      </c>
      <c r="B52" s="26" t="str">
        <f>IF(A52="","",BASE_CAIXA!AL49)</f>
        <v>000048-DB</v>
      </c>
      <c r="C52" s="13">
        <f>IF(A52="","",BASE_CAIXA!AJ49)</f>
        <v>46115</v>
      </c>
      <c r="D52" s="26" t="str">
        <f>IF(A52="","",IF(BASE_CAIXA!C49="Entrada","Crédito","Débito"))</f>
        <v>Débito</v>
      </c>
      <c r="E52" s="14">
        <f>IF(A52="","",BASE_CAIXA!AA49)</f>
        <v>79635.199999999997</v>
      </c>
      <c r="F52" s="26">
        <f>IF(A52="","",BASE_CAIXA!N49)</f>
        <v>0</v>
      </c>
      <c r="G52" s="26">
        <f>IF(A52="","",BASE_CAIXA!O49)</f>
        <v>0</v>
      </c>
      <c r="H52" s="26">
        <f>IF(A52="","",BASE_CAIXA!P49)</f>
        <v>0</v>
      </c>
      <c r="I52" s="26" t="str">
        <f>IF(A52="","",IF(BASE_CAIXA!H49&lt;&gt;"",BASE_CAIXA!H49,BASE_CAIXA!G49))</f>
        <v>Concreto Usinado fck - 25 Mpa ( Com perda de 10%) - SEM IMPERMEABILIZANTE - 140 +- 30 slump</v>
      </c>
      <c r="J52" s="26" t="str">
        <f>IF(A52="","",BASE_CAIXA!G49)</f>
        <v>Concreto Usinado fck - 25 Mpa ( Com perda de 10%) - SEM IMPERMEABILIZANTE - 140 +- 30 slump</v>
      </c>
      <c r="K52" s="26">
        <f>IF(A52="","",BASE_CAIXA!I49)</f>
        <v>0</v>
      </c>
      <c r="L52" s="26">
        <f>IF(A52="","",BASE_CAIXA!J49)</f>
        <v>0</v>
      </c>
      <c r="M52" s="26" t="str">
        <f>IF(A52="","",BASE_CAIXA!AM49)</f>
        <v>Concreto Usinado fck - 25 Mpa ( Com perda de 10%) - SEM IMPE</v>
      </c>
      <c r="N52" s="26" t="str">
        <f t="shared" ca="1" si="0"/>
        <v>Previsto</v>
      </c>
      <c r="O52" s="13" t="str">
        <f>IFERROR(INDEX(EXTRATO_IMPORTADO!$A$5:$A$404,MATCH(B52,EXTRATO_IMPORTADO!$I$5:$I$404,0)),"")</f>
        <v/>
      </c>
      <c r="P52" s="14" t="str">
        <f>IFERROR(INDEX(EXTRATO_IMPORTADO!$F$5:$F$404,MATCH(B52,EXTRATO_IMPORTADO!$I$5:$I$404,0)),"")</f>
        <v/>
      </c>
      <c r="Q52" s="26" t="str">
        <f>IFERROR(INDEX(EXTRATO_IMPORTADO!$B$5:$B$404,MATCH(B52,EXTRATO_IMPORTADO!$I$5:$I$404,0)),"")</f>
        <v/>
      </c>
      <c r="R52" s="26" t="str">
        <f>IFERROR(MATCH(B52,EXTRATO_IMPORTADO!$I$5:$I$404,0),"")</f>
        <v/>
      </c>
      <c r="S52" s="14" t="str">
        <f t="shared" si="1"/>
        <v/>
      </c>
      <c r="T52" s="33" t="str">
        <f t="shared" si="2"/>
        <v/>
      </c>
    </row>
    <row r="53" spans="1:20" x14ac:dyDescent="0.3">
      <c r="A53" s="26">
        <f>IF(BASE_CAIXA!A50="","",BASE_CAIXA!A50)</f>
        <v>49</v>
      </c>
      <c r="B53" s="26" t="str">
        <f>IF(A53="","",BASE_CAIXA!AL50)</f>
        <v>000049-DB</v>
      </c>
      <c r="C53" s="13">
        <f>IF(A53="","",BASE_CAIXA!AJ50)</f>
        <v>46115</v>
      </c>
      <c r="D53" s="26" t="str">
        <f>IF(A53="","",IF(BASE_CAIXA!C50="Entrada","Crédito","Débito"))</f>
        <v>Débito</v>
      </c>
      <c r="E53" s="14">
        <f>IF(A53="","",BASE_CAIXA!AA50)</f>
        <v>1248</v>
      </c>
      <c r="F53" s="26">
        <f>IF(A53="","",BASE_CAIXA!N50)</f>
        <v>0</v>
      </c>
      <c r="G53" s="26">
        <f>IF(A53="","",BASE_CAIXA!O50)</f>
        <v>0</v>
      </c>
      <c r="H53" s="26">
        <f>IF(A53="","",BASE_CAIXA!P50)</f>
        <v>0</v>
      </c>
      <c r="I53" s="26" t="str">
        <f>IF(A53="","",IF(BASE_CAIXA!H50&lt;&gt;"",BASE_CAIXA!H50,BASE_CAIXA!G50))</f>
        <v>Desmoldante TECNOMOR</v>
      </c>
      <c r="J53" s="26" t="str">
        <f>IF(A53="","",BASE_CAIXA!G50)</f>
        <v>Desmoldante TECNOMOR</v>
      </c>
      <c r="K53" s="26">
        <f>IF(A53="","",BASE_CAIXA!I50)</f>
        <v>0</v>
      </c>
      <c r="L53" s="26">
        <f>IF(A53="","",BASE_CAIXA!J50)</f>
        <v>0</v>
      </c>
      <c r="M53" s="26" t="str">
        <f>IF(A53="","",BASE_CAIXA!AM50)</f>
        <v>Desmoldante TECNOMOR | Desmoldante TECNOMOR | Saída | RADIER</v>
      </c>
      <c r="N53" s="26" t="str">
        <f t="shared" ca="1" si="0"/>
        <v>Previsto</v>
      </c>
      <c r="O53" s="13" t="str">
        <f>IFERROR(INDEX(EXTRATO_IMPORTADO!$A$5:$A$404,MATCH(B53,EXTRATO_IMPORTADO!$I$5:$I$404,0)),"")</f>
        <v/>
      </c>
      <c r="P53" s="14" t="str">
        <f>IFERROR(INDEX(EXTRATO_IMPORTADO!$F$5:$F$404,MATCH(B53,EXTRATO_IMPORTADO!$I$5:$I$404,0)),"")</f>
        <v/>
      </c>
      <c r="Q53" s="26" t="str">
        <f>IFERROR(INDEX(EXTRATO_IMPORTADO!$B$5:$B$404,MATCH(B53,EXTRATO_IMPORTADO!$I$5:$I$404,0)),"")</f>
        <v/>
      </c>
      <c r="R53" s="26" t="str">
        <f>IFERROR(MATCH(B53,EXTRATO_IMPORTADO!$I$5:$I$404,0),"")</f>
        <v/>
      </c>
      <c r="S53" s="14" t="str">
        <f t="shared" si="1"/>
        <v/>
      </c>
      <c r="T53" s="33" t="str">
        <f t="shared" si="2"/>
        <v/>
      </c>
    </row>
    <row r="54" spans="1:20" x14ac:dyDescent="0.3">
      <c r="A54" s="26">
        <f>IF(BASE_CAIXA!A51="","",BASE_CAIXA!A51)</f>
        <v>50</v>
      </c>
      <c r="B54" s="26" t="str">
        <f>IF(A54="","",BASE_CAIXA!AL51)</f>
        <v>000050-DB</v>
      </c>
      <c r="C54" s="13">
        <f>IF(A54="","",BASE_CAIXA!AJ51)</f>
        <v>46115</v>
      </c>
      <c r="D54" s="26" t="str">
        <f>IF(A54="","",IF(BASE_CAIXA!C51="Entrada","Crédito","Débito"))</f>
        <v>Débito</v>
      </c>
      <c r="E54" s="14">
        <f>IF(A54="","",BASE_CAIXA!AA51)</f>
        <v>2240</v>
      </c>
      <c r="F54" s="26">
        <f>IF(A54="","",BASE_CAIXA!N51)</f>
        <v>0</v>
      </c>
      <c r="G54" s="26">
        <f>IF(A54="","",BASE_CAIXA!O51)</f>
        <v>0</v>
      </c>
      <c r="H54" s="26">
        <f>IF(A54="","",BASE_CAIXA!P51)</f>
        <v>0</v>
      </c>
      <c r="I54" s="26" t="str">
        <f>IF(A54="","",IF(BASE_CAIXA!H51&lt;&gt;"",BASE_CAIXA!H51,BASE_CAIXA!G51))</f>
        <v>Ensaio compreesão corpo prova</v>
      </c>
      <c r="J54" s="26" t="str">
        <f>IF(A54="","",BASE_CAIXA!G51)</f>
        <v>Ensaio compreesão corpo prova</v>
      </c>
      <c r="K54" s="26">
        <f>IF(A54="","",BASE_CAIXA!I51)</f>
        <v>0</v>
      </c>
      <c r="L54" s="26">
        <f>IF(A54="","",BASE_CAIXA!J51)</f>
        <v>0</v>
      </c>
      <c r="M54" s="26" t="str">
        <f>IF(A54="","",BASE_CAIXA!AM51)</f>
        <v>Ensaio compreesão corpo prova | Ensaio compreesão corpo prov</v>
      </c>
      <c r="N54" s="26" t="str">
        <f t="shared" ca="1" si="0"/>
        <v>Previsto</v>
      </c>
      <c r="O54" s="13" t="str">
        <f>IFERROR(INDEX(EXTRATO_IMPORTADO!$A$5:$A$404,MATCH(B54,EXTRATO_IMPORTADO!$I$5:$I$404,0)),"")</f>
        <v/>
      </c>
      <c r="P54" s="14" t="str">
        <f>IFERROR(INDEX(EXTRATO_IMPORTADO!$F$5:$F$404,MATCH(B54,EXTRATO_IMPORTADO!$I$5:$I$404,0)),"")</f>
        <v/>
      </c>
      <c r="Q54" s="26" t="str">
        <f>IFERROR(INDEX(EXTRATO_IMPORTADO!$B$5:$B$404,MATCH(B54,EXTRATO_IMPORTADO!$I$5:$I$404,0)),"")</f>
        <v/>
      </c>
      <c r="R54" s="26" t="str">
        <f>IFERROR(MATCH(B54,EXTRATO_IMPORTADO!$I$5:$I$404,0),"")</f>
        <v/>
      </c>
      <c r="S54" s="14" t="str">
        <f t="shared" si="1"/>
        <v/>
      </c>
      <c r="T54" s="33" t="str">
        <f t="shared" si="2"/>
        <v/>
      </c>
    </row>
    <row r="55" spans="1:20" x14ac:dyDescent="0.3">
      <c r="A55" s="26">
        <f>IF(BASE_CAIXA!A52="","",BASE_CAIXA!A52)</f>
        <v>51</v>
      </c>
      <c r="B55" s="26" t="str">
        <f>IF(A55="","",BASE_CAIXA!AL52)</f>
        <v>000051-DB</v>
      </c>
      <c r="C55" s="13">
        <f>IF(A55="","",BASE_CAIXA!AJ52)</f>
        <v>46115</v>
      </c>
      <c r="D55" s="26" t="str">
        <f>IF(A55="","",IF(BASE_CAIXA!C52="Entrada","Crédito","Débito"))</f>
        <v>Débito</v>
      </c>
      <c r="E55" s="14">
        <f>IF(A55="","",BASE_CAIXA!AA52)</f>
        <v>8320</v>
      </c>
      <c r="F55" s="26">
        <f>IF(A55="","",BASE_CAIXA!N52)</f>
        <v>0</v>
      </c>
      <c r="G55" s="26">
        <f>IF(A55="","",BASE_CAIXA!O52)</f>
        <v>0</v>
      </c>
      <c r="H55" s="26">
        <f>IF(A55="","",BASE_CAIXA!P52)</f>
        <v>0</v>
      </c>
      <c r="I55" s="26" t="str">
        <f>IF(A55="","",IF(BASE_CAIXA!H52&lt;&gt;"",BASE_CAIXA!H52,BASE_CAIXA!G52))</f>
        <v>Espaçador tipo centopeia - 5 unid. por m² - 50 mm</v>
      </c>
      <c r="J55" s="26" t="str">
        <f>IF(A55="","",BASE_CAIXA!G52)</f>
        <v>Espaçador tipo centopeia - 5 unid. por m² - 50 mm</v>
      </c>
      <c r="K55" s="26">
        <f>IF(A55="","",BASE_CAIXA!I52)</f>
        <v>0</v>
      </c>
      <c r="L55" s="26">
        <f>IF(A55="","",BASE_CAIXA!J52)</f>
        <v>0</v>
      </c>
      <c r="M55" s="26" t="str">
        <f>IF(A55="","",BASE_CAIXA!AM52)</f>
        <v>Espaçador tipo centopeia - 5 unid. por m² - 50 mm | Espaçado</v>
      </c>
      <c r="N55" s="26" t="str">
        <f t="shared" ca="1" si="0"/>
        <v>Previsto</v>
      </c>
      <c r="O55" s="13" t="str">
        <f>IFERROR(INDEX(EXTRATO_IMPORTADO!$A$5:$A$404,MATCH(B55,EXTRATO_IMPORTADO!$I$5:$I$404,0)),"")</f>
        <v/>
      </c>
      <c r="P55" s="14" t="str">
        <f>IFERROR(INDEX(EXTRATO_IMPORTADO!$F$5:$F$404,MATCH(B55,EXTRATO_IMPORTADO!$I$5:$I$404,0)),"")</f>
        <v/>
      </c>
      <c r="Q55" s="26" t="str">
        <f>IFERROR(INDEX(EXTRATO_IMPORTADO!$B$5:$B$404,MATCH(B55,EXTRATO_IMPORTADO!$I$5:$I$404,0)),"")</f>
        <v/>
      </c>
      <c r="R55" s="26" t="str">
        <f>IFERROR(MATCH(B55,EXTRATO_IMPORTADO!$I$5:$I$404,0),"")</f>
        <v/>
      </c>
      <c r="S55" s="14" t="str">
        <f t="shared" si="1"/>
        <v/>
      </c>
      <c r="T55" s="33" t="str">
        <f t="shared" si="2"/>
        <v/>
      </c>
    </row>
    <row r="56" spans="1:20" x14ac:dyDescent="0.3">
      <c r="A56" s="26">
        <f>IF(BASE_CAIXA!A53="","",BASE_CAIXA!A53)</f>
        <v>52</v>
      </c>
      <c r="B56" s="26" t="str">
        <f>IF(A56="","",BASE_CAIXA!AL53)</f>
        <v>000052-DB</v>
      </c>
      <c r="C56" s="13">
        <f>IF(A56="","",BASE_CAIXA!AJ53)</f>
        <v>46115</v>
      </c>
      <c r="D56" s="26" t="str">
        <f>IF(A56="","",IF(BASE_CAIXA!C53="Entrada","Crédito","Débito"))</f>
        <v>Débito</v>
      </c>
      <c r="E56" s="14">
        <f>IF(A56="","",BASE_CAIXA!AA53)</f>
        <v>2419.1999999999998</v>
      </c>
      <c r="F56" s="26">
        <f>IF(A56="","",BASE_CAIXA!N53)</f>
        <v>0</v>
      </c>
      <c r="G56" s="26">
        <f>IF(A56="","",BASE_CAIXA!O53)</f>
        <v>0</v>
      </c>
      <c r="H56" s="26">
        <f>IF(A56="","",BASE_CAIXA!P53)</f>
        <v>0</v>
      </c>
      <c r="I56" s="26" t="str">
        <f>IF(A56="","",IF(BASE_CAIXA!H53&lt;&gt;"",BASE_CAIXA!H53,BASE_CAIXA!G53))</f>
        <v>Forma para Radier - chapa de compensado naval plastificado 14mm</v>
      </c>
      <c r="J56" s="26" t="str">
        <f>IF(A56="","",BASE_CAIXA!G53)</f>
        <v>Forma para Radier - chapa de compensado naval plastificado 14mm</v>
      </c>
      <c r="K56" s="26">
        <f>IF(A56="","",BASE_CAIXA!I53)</f>
        <v>0</v>
      </c>
      <c r="L56" s="26">
        <f>IF(A56="","",BASE_CAIXA!J53)</f>
        <v>0</v>
      </c>
      <c r="M56" s="26" t="str">
        <f>IF(A56="","",BASE_CAIXA!AM53)</f>
        <v>Forma para Radier - chapa de compensado naval plastificado 1</v>
      </c>
      <c r="N56" s="26" t="str">
        <f t="shared" ca="1" si="0"/>
        <v>Previsto</v>
      </c>
      <c r="O56" s="13" t="str">
        <f>IFERROR(INDEX(EXTRATO_IMPORTADO!$A$5:$A$404,MATCH(B56,EXTRATO_IMPORTADO!$I$5:$I$404,0)),"")</f>
        <v/>
      </c>
      <c r="P56" s="14" t="str">
        <f>IFERROR(INDEX(EXTRATO_IMPORTADO!$F$5:$F$404,MATCH(B56,EXTRATO_IMPORTADO!$I$5:$I$404,0)),"")</f>
        <v/>
      </c>
      <c r="Q56" s="26" t="str">
        <f>IFERROR(INDEX(EXTRATO_IMPORTADO!$B$5:$B$404,MATCH(B56,EXTRATO_IMPORTADO!$I$5:$I$404,0)),"")</f>
        <v/>
      </c>
      <c r="R56" s="26" t="str">
        <f>IFERROR(MATCH(B56,EXTRATO_IMPORTADO!$I$5:$I$404,0),"")</f>
        <v/>
      </c>
      <c r="S56" s="14" t="str">
        <f t="shared" si="1"/>
        <v/>
      </c>
      <c r="T56" s="33" t="str">
        <f t="shared" si="2"/>
        <v/>
      </c>
    </row>
    <row r="57" spans="1:20" x14ac:dyDescent="0.3">
      <c r="A57" s="26">
        <f>IF(BASE_CAIXA!A54="","",BASE_CAIXA!A54)</f>
        <v>53</v>
      </c>
      <c r="B57" s="26" t="str">
        <f>IF(A57="","",BASE_CAIXA!AL54)</f>
        <v>000053-DB</v>
      </c>
      <c r="C57" s="13">
        <f>IF(A57="","",BASE_CAIXA!AJ54)</f>
        <v>46115</v>
      </c>
      <c r="D57" s="26" t="str">
        <f>IF(A57="","",IF(BASE_CAIXA!C54="Entrada","Crédito","Débito"))</f>
        <v>Débito</v>
      </c>
      <c r="E57" s="14">
        <f>IF(A57="","",BASE_CAIXA!AA54)</f>
        <v>1364</v>
      </c>
      <c r="F57" s="26">
        <f>IF(A57="","",BASE_CAIXA!N54)</f>
        <v>0</v>
      </c>
      <c r="G57" s="26">
        <f>IF(A57="","",BASE_CAIXA!O54)</f>
        <v>0</v>
      </c>
      <c r="H57" s="26">
        <f>IF(A57="","",BASE_CAIXA!P54)</f>
        <v>0</v>
      </c>
      <c r="I57" s="26" t="str">
        <f>IF(A57="","",IF(BASE_CAIXA!H54&lt;&gt;"",BASE_CAIXA!H54,BASE_CAIXA!G54))</f>
        <v>Forma para Radier - tabua pinus 25mm para montagem do gabarito 2,70 m x 15cm</v>
      </c>
      <c r="J57" s="26" t="str">
        <f>IF(A57="","",BASE_CAIXA!G54)</f>
        <v>Forma para Radier - tabua pinus 25mm para montagem do gabarito 2,70 m x 15cm</v>
      </c>
      <c r="K57" s="26">
        <f>IF(A57="","",BASE_CAIXA!I54)</f>
        <v>0</v>
      </c>
      <c r="L57" s="26">
        <f>IF(A57="","",BASE_CAIXA!J54)</f>
        <v>0</v>
      </c>
      <c r="M57" s="26" t="str">
        <f>IF(A57="","",BASE_CAIXA!AM54)</f>
        <v>Forma para Radier - tabua pinus 25mm para montagem do gabari</v>
      </c>
      <c r="N57" s="26" t="str">
        <f t="shared" ca="1" si="0"/>
        <v>Previsto</v>
      </c>
      <c r="O57" s="13" t="str">
        <f>IFERROR(INDEX(EXTRATO_IMPORTADO!$A$5:$A$404,MATCH(B57,EXTRATO_IMPORTADO!$I$5:$I$404,0)),"")</f>
        <v/>
      </c>
      <c r="P57" s="14" t="str">
        <f>IFERROR(INDEX(EXTRATO_IMPORTADO!$F$5:$F$404,MATCH(B57,EXTRATO_IMPORTADO!$I$5:$I$404,0)),"")</f>
        <v/>
      </c>
      <c r="Q57" s="26" t="str">
        <f>IFERROR(INDEX(EXTRATO_IMPORTADO!$B$5:$B$404,MATCH(B57,EXTRATO_IMPORTADO!$I$5:$I$404,0)),"")</f>
        <v/>
      </c>
      <c r="R57" s="26" t="str">
        <f>IFERROR(MATCH(B57,EXTRATO_IMPORTADO!$I$5:$I$404,0),"")</f>
        <v/>
      </c>
      <c r="S57" s="14" t="str">
        <f t="shared" si="1"/>
        <v/>
      </c>
      <c r="T57" s="33" t="str">
        <f t="shared" si="2"/>
        <v/>
      </c>
    </row>
    <row r="58" spans="1:20" x14ac:dyDescent="0.3">
      <c r="A58" s="26">
        <f>IF(BASE_CAIXA!A55="","",BASE_CAIXA!A55)</f>
        <v>54</v>
      </c>
      <c r="B58" s="26" t="str">
        <f>IF(A58="","",BASE_CAIXA!AL55)</f>
        <v>000054-DB</v>
      </c>
      <c r="C58" s="13">
        <f>IF(A58="","",BASE_CAIXA!AJ55)</f>
        <v>46115</v>
      </c>
      <c r="D58" s="26" t="str">
        <f>IF(A58="","",IF(BASE_CAIXA!C55="Entrada","Crédito","Débito"))</f>
        <v>Débito</v>
      </c>
      <c r="E58" s="14">
        <f>IF(A58="","",BASE_CAIXA!AA55)</f>
        <v>4409.6000000000004</v>
      </c>
      <c r="F58" s="26">
        <f>IF(A58="","",BASE_CAIXA!N55)</f>
        <v>0</v>
      </c>
      <c r="G58" s="26">
        <f>IF(A58="","",BASE_CAIXA!O55)</f>
        <v>0</v>
      </c>
      <c r="H58" s="26">
        <f>IF(A58="","",BASE_CAIXA!P55)</f>
        <v>0</v>
      </c>
      <c r="I58" s="26" t="str">
        <f>IF(A58="","",IF(BASE_CAIXA!H55&lt;&gt;"",BASE_CAIXA!H55,BASE_CAIXA!G55))</f>
        <v>Lona 150 micras</v>
      </c>
      <c r="J58" s="26" t="str">
        <f>IF(A58="","",BASE_CAIXA!G55)</f>
        <v>Lona 150 micras</v>
      </c>
      <c r="K58" s="26">
        <f>IF(A58="","",BASE_CAIXA!I55)</f>
        <v>0</v>
      </c>
      <c r="L58" s="26">
        <f>IF(A58="","",BASE_CAIXA!J55)</f>
        <v>0</v>
      </c>
      <c r="M58" s="26" t="str">
        <f>IF(A58="","",BASE_CAIXA!AM55)</f>
        <v>Lona 150 micras | Lona 150 micras | Saída | RADIER - 44,38 M</v>
      </c>
      <c r="N58" s="26" t="str">
        <f t="shared" ca="1" si="0"/>
        <v>Previsto</v>
      </c>
      <c r="O58" s="13" t="str">
        <f>IFERROR(INDEX(EXTRATO_IMPORTADO!$A$5:$A$404,MATCH(B58,EXTRATO_IMPORTADO!$I$5:$I$404,0)),"")</f>
        <v/>
      </c>
      <c r="P58" s="14" t="str">
        <f>IFERROR(INDEX(EXTRATO_IMPORTADO!$F$5:$F$404,MATCH(B58,EXTRATO_IMPORTADO!$I$5:$I$404,0)),"")</f>
        <v/>
      </c>
      <c r="Q58" s="26" t="str">
        <f>IFERROR(INDEX(EXTRATO_IMPORTADO!$B$5:$B$404,MATCH(B58,EXTRATO_IMPORTADO!$I$5:$I$404,0)),"")</f>
        <v/>
      </c>
      <c r="R58" s="26" t="str">
        <f>IFERROR(MATCH(B58,EXTRATO_IMPORTADO!$I$5:$I$404,0),"")</f>
        <v/>
      </c>
      <c r="S58" s="14" t="str">
        <f t="shared" si="1"/>
        <v/>
      </c>
      <c r="T58" s="33" t="str">
        <f t="shared" si="2"/>
        <v/>
      </c>
    </row>
    <row r="59" spans="1:20" x14ac:dyDescent="0.3">
      <c r="A59" s="26">
        <f>IF(BASE_CAIXA!A56="","",BASE_CAIXA!A56)</f>
        <v>55</v>
      </c>
      <c r="B59" s="26" t="str">
        <f>IF(A59="","",BASE_CAIXA!AL56)</f>
        <v>000055-DB</v>
      </c>
      <c r="C59" s="13">
        <f>IF(A59="","",BASE_CAIXA!AJ56)</f>
        <v>46115</v>
      </c>
      <c r="D59" s="26" t="str">
        <f>IF(A59="","",IF(BASE_CAIXA!C56="Entrada","Crédito","Débito"))</f>
        <v>Débito</v>
      </c>
      <c r="E59" s="14">
        <f>IF(A59="","",BASE_CAIXA!AA56)</f>
        <v>41271.498933333343</v>
      </c>
      <c r="F59" s="26">
        <f>IF(A59="","",BASE_CAIXA!N56)</f>
        <v>0</v>
      </c>
      <c r="G59" s="26">
        <f>IF(A59="","",BASE_CAIXA!O56)</f>
        <v>0</v>
      </c>
      <c r="H59" s="26">
        <f>IF(A59="","",BASE_CAIXA!P56)</f>
        <v>0</v>
      </c>
      <c r="I59" s="26" t="str">
        <f>IF(A59="","",IF(BASE_CAIXA!H56&lt;&gt;"",BASE_CAIXA!H56,BASE_CAIXA!G56))</f>
        <v>Mao de obra Terceirizada Radier</v>
      </c>
      <c r="J59" s="26" t="str">
        <f>IF(A59="","",BASE_CAIXA!G56)</f>
        <v>Mao de obra Terceirizada Radier</v>
      </c>
      <c r="K59" s="26">
        <f>IF(A59="","",BASE_CAIXA!I56)</f>
        <v>0</v>
      </c>
      <c r="L59" s="26">
        <f>IF(A59="","",BASE_CAIXA!J56)</f>
        <v>0</v>
      </c>
      <c r="M59" s="26" t="str">
        <f>IF(A59="","",BASE_CAIXA!AM56)</f>
        <v>Mao de obra Terceirizada Radier | Mao de obra Terceirizada R</v>
      </c>
      <c r="N59" s="26" t="str">
        <f t="shared" ca="1" si="0"/>
        <v>Previsto</v>
      </c>
      <c r="O59" s="13" t="str">
        <f>IFERROR(INDEX(EXTRATO_IMPORTADO!$A$5:$A$404,MATCH(B59,EXTRATO_IMPORTADO!$I$5:$I$404,0)),"")</f>
        <v/>
      </c>
      <c r="P59" s="14" t="str">
        <f>IFERROR(INDEX(EXTRATO_IMPORTADO!$F$5:$F$404,MATCH(B59,EXTRATO_IMPORTADO!$I$5:$I$404,0)),"")</f>
        <v/>
      </c>
      <c r="Q59" s="26" t="str">
        <f>IFERROR(INDEX(EXTRATO_IMPORTADO!$B$5:$B$404,MATCH(B59,EXTRATO_IMPORTADO!$I$5:$I$404,0)),"")</f>
        <v/>
      </c>
      <c r="R59" s="26" t="str">
        <f>IFERROR(MATCH(B59,EXTRATO_IMPORTADO!$I$5:$I$404,0),"")</f>
        <v/>
      </c>
      <c r="S59" s="14" t="str">
        <f t="shared" si="1"/>
        <v/>
      </c>
      <c r="T59" s="33" t="str">
        <f t="shared" si="2"/>
        <v/>
      </c>
    </row>
    <row r="60" spans="1:20" x14ac:dyDescent="0.3">
      <c r="A60" s="26">
        <f>IF(BASE_CAIXA!A57="","",BASE_CAIXA!A57)</f>
        <v>56</v>
      </c>
      <c r="B60" s="26" t="str">
        <f>IF(A60="","",BASE_CAIXA!AL57)</f>
        <v>000056-DB</v>
      </c>
      <c r="C60" s="13">
        <f>IF(A60="","",BASE_CAIXA!AJ57)</f>
        <v>46115</v>
      </c>
      <c r="D60" s="26" t="str">
        <f>IF(A60="","",IF(BASE_CAIXA!C57="Entrada","Crédito","Débito"))</f>
        <v>Débito</v>
      </c>
      <c r="E60" s="14">
        <f>IF(A60="","",BASE_CAIXA!AA57)</f>
        <v>1600</v>
      </c>
      <c r="F60" s="26">
        <f>IF(A60="","",BASE_CAIXA!N57)</f>
        <v>0</v>
      </c>
      <c r="G60" s="26">
        <f>IF(A60="","",BASE_CAIXA!O57)</f>
        <v>0</v>
      </c>
      <c r="H60" s="26">
        <f>IF(A60="","",BASE_CAIXA!P57)</f>
        <v>0</v>
      </c>
      <c r="I60" s="26" t="str">
        <f>IF(A60="","",IF(BASE_CAIXA!H57&lt;&gt;"",BASE_CAIXA!H57,BASE_CAIXA!G57))</f>
        <v>Placa vibratoria reversivél CR5</v>
      </c>
      <c r="J60" s="26" t="str">
        <f>IF(A60="","",BASE_CAIXA!G57)</f>
        <v>Placa vibratoria reversivél CR5</v>
      </c>
      <c r="K60" s="26">
        <f>IF(A60="","",BASE_CAIXA!I57)</f>
        <v>0</v>
      </c>
      <c r="L60" s="26">
        <f>IF(A60="","",BASE_CAIXA!J57)</f>
        <v>0</v>
      </c>
      <c r="M60" s="26" t="str">
        <f>IF(A60="","",BASE_CAIXA!AM57)</f>
        <v>Placa vibratoria reversivél CR5 | Placa vibratoria reversivé</v>
      </c>
      <c r="N60" s="26" t="str">
        <f t="shared" ca="1" si="0"/>
        <v>Previsto</v>
      </c>
      <c r="O60" s="13" t="str">
        <f>IFERROR(INDEX(EXTRATO_IMPORTADO!$A$5:$A$404,MATCH(B60,EXTRATO_IMPORTADO!$I$5:$I$404,0)),"")</f>
        <v/>
      </c>
      <c r="P60" s="14" t="str">
        <f>IFERROR(INDEX(EXTRATO_IMPORTADO!$F$5:$F$404,MATCH(B60,EXTRATO_IMPORTADO!$I$5:$I$404,0)),"")</f>
        <v/>
      </c>
      <c r="Q60" s="26" t="str">
        <f>IFERROR(INDEX(EXTRATO_IMPORTADO!$B$5:$B$404,MATCH(B60,EXTRATO_IMPORTADO!$I$5:$I$404,0)),"")</f>
        <v/>
      </c>
      <c r="R60" s="26" t="str">
        <f>IFERROR(MATCH(B60,EXTRATO_IMPORTADO!$I$5:$I$404,0),"")</f>
        <v/>
      </c>
      <c r="S60" s="14" t="str">
        <f t="shared" si="1"/>
        <v/>
      </c>
      <c r="T60" s="33" t="str">
        <f t="shared" si="2"/>
        <v/>
      </c>
    </row>
    <row r="61" spans="1:20" x14ac:dyDescent="0.3">
      <c r="A61" s="26">
        <f>IF(BASE_CAIXA!A58="","",BASE_CAIXA!A58)</f>
        <v>57</v>
      </c>
      <c r="B61" s="26" t="str">
        <f>IF(A61="","",BASE_CAIXA!AL58)</f>
        <v>000057-DB</v>
      </c>
      <c r="C61" s="13">
        <f>IF(A61="","",BASE_CAIXA!AJ58)</f>
        <v>46115</v>
      </c>
      <c r="D61" s="26" t="str">
        <f>IF(A61="","",IF(BASE_CAIXA!C58="Entrada","Crédito","Débito"))</f>
        <v>Débito</v>
      </c>
      <c r="E61" s="14">
        <f>IF(A61="","",BASE_CAIXA!AA58)</f>
        <v>917.5</v>
      </c>
      <c r="F61" s="26">
        <f>IF(A61="","",BASE_CAIXA!N58)</f>
        <v>0</v>
      </c>
      <c r="G61" s="26">
        <f>IF(A61="","",BASE_CAIXA!O58)</f>
        <v>0</v>
      </c>
      <c r="H61" s="26">
        <f>IF(A61="","",BASE_CAIXA!P58)</f>
        <v>0</v>
      </c>
      <c r="I61" s="26" t="str">
        <f>IF(A61="","",IF(BASE_CAIXA!H58&lt;&gt;"",BASE_CAIXA!H58,BASE_CAIXA!G58))</f>
        <v>Prego 17 x 27 cabeça dupla</v>
      </c>
      <c r="J61" s="26" t="str">
        <f>IF(A61="","",BASE_CAIXA!G58)</f>
        <v>Prego 17 x 27 cabeça dupla</v>
      </c>
      <c r="K61" s="26">
        <f>IF(A61="","",BASE_CAIXA!I58)</f>
        <v>0</v>
      </c>
      <c r="L61" s="26">
        <f>IF(A61="","",BASE_CAIXA!J58)</f>
        <v>0</v>
      </c>
      <c r="M61" s="26" t="str">
        <f>IF(A61="","",BASE_CAIXA!AM58)</f>
        <v>Prego 17 x 27 cabeça dupla | Prego 17 x 27 cabeça dupla | Sa</v>
      </c>
      <c r="N61" s="26" t="str">
        <f t="shared" ca="1" si="0"/>
        <v>Previsto</v>
      </c>
      <c r="O61" s="13" t="str">
        <f>IFERROR(INDEX(EXTRATO_IMPORTADO!$A$5:$A$404,MATCH(B61,EXTRATO_IMPORTADO!$I$5:$I$404,0)),"")</f>
        <v/>
      </c>
      <c r="P61" s="14" t="str">
        <f>IFERROR(INDEX(EXTRATO_IMPORTADO!$F$5:$F$404,MATCH(B61,EXTRATO_IMPORTADO!$I$5:$I$404,0)),"")</f>
        <v/>
      </c>
      <c r="Q61" s="26" t="str">
        <f>IFERROR(INDEX(EXTRATO_IMPORTADO!$B$5:$B$404,MATCH(B61,EXTRATO_IMPORTADO!$I$5:$I$404,0)),"")</f>
        <v/>
      </c>
      <c r="R61" s="26" t="str">
        <f>IFERROR(MATCH(B61,EXTRATO_IMPORTADO!$I$5:$I$404,0),"")</f>
        <v/>
      </c>
      <c r="S61" s="14" t="str">
        <f t="shared" si="1"/>
        <v/>
      </c>
      <c r="T61" s="33" t="str">
        <f t="shared" si="2"/>
        <v/>
      </c>
    </row>
    <row r="62" spans="1:20" x14ac:dyDescent="0.3">
      <c r="A62" s="26">
        <f>IF(BASE_CAIXA!A59="","",BASE_CAIXA!A59)</f>
        <v>58</v>
      </c>
      <c r="B62" s="26" t="str">
        <f>IF(A62="","",BASE_CAIXA!AL59)</f>
        <v>000058-DB</v>
      </c>
      <c r="C62" s="13">
        <f>IF(A62="","",BASE_CAIXA!AJ59)</f>
        <v>46115</v>
      </c>
      <c r="D62" s="26" t="str">
        <f>IF(A62="","",IF(BASE_CAIXA!C59="Entrada","Crédito","Débito"))</f>
        <v>Débito</v>
      </c>
      <c r="E62" s="14">
        <f>IF(A62="","",BASE_CAIXA!AA59)</f>
        <v>57</v>
      </c>
      <c r="F62" s="26">
        <f>IF(A62="","",BASE_CAIXA!N59)</f>
        <v>0</v>
      </c>
      <c r="G62" s="26">
        <f>IF(A62="","",BASE_CAIXA!O59)</f>
        <v>0</v>
      </c>
      <c r="H62" s="26">
        <f>IF(A62="","",BASE_CAIXA!P59)</f>
        <v>0</v>
      </c>
      <c r="I62" s="26" t="str">
        <f>IF(A62="","",IF(BASE_CAIXA!H59&lt;&gt;"",BASE_CAIXA!H59,BASE_CAIXA!G59))</f>
        <v>impermeabilizante para lateral das chapas de compensado (link no grupo)</v>
      </c>
      <c r="J62" s="26" t="str">
        <f>IF(A62="","",BASE_CAIXA!G59)</f>
        <v>impermeabilizante para lateral das chapas de compensado (link no grupo)</v>
      </c>
      <c r="K62" s="26">
        <f>IF(A62="","",BASE_CAIXA!I59)</f>
        <v>0</v>
      </c>
      <c r="L62" s="26">
        <f>IF(A62="","",BASE_CAIXA!J59)</f>
        <v>0</v>
      </c>
      <c r="M62" s="26" t="str">
        <f>IF(A62="","",BASE_CAIXA!AM59)</f>
        <v>impermeabilizante para lateral das chapas de compensado (lin</v>
      </c>
      <c r="N62" s="26" t="str">
        <f t="shared" ca="1" si="0"/>
        <v>Previsto</v>
      </c>
      <c r="O62" s="13" t="str">
        <f>IFERROR(INDEX(EXTRATO_IMPORTADO!$A$5:$A$404,MATCH(B62,EXTRATO_IMPORTADO!$I$5:$I$404,0)),"")</f>
        <v/>
      </c>
      <c r="P62" s="14" t="str">
        <f>IFERROR(INDEX(EXTRATO_IMPORTADO!$F$5:$F$404,MATCH(B62,EXTRATO_IMPORTADO!$I$5:$I$404,0)),"")</f>
        <v/>
      </c>
      <c r="Q62" s="26" t="str">
        <f>IFERROR(INDEX(EXTRATO_IMPORTADO!$B$5:$B$404,MATCH(B62,EXTRATO_IMPORTADO!$I$5:$I$404,0)),"")</f>
        <v/>
      </c>
      <c r="R62" s="26" t="str">
        <f>IFERROR(MATCH(B62,EXTRATO_IMPORTADO!$I$5:$I$404,0),"")</f>
        <v/>
      </c>
      <c r="S62" s="14" t="str">
        <f t="shared" si="1"/>
        <v/>
      </c>
      <c r="T62" s="33" t="str">
        <f t="shared" si="2"/>
        <v/>
      </c>
    </row>
    <row r="63" spans="1:20" x14ac:dyDescent="0.3">
      <c r="A63" s="26">
        <f>IF(BASE_CAIXA!A60="","",BASE_CAIXA!A60)</f>
        <v>59</v>
      </c>
      <c r="B63" s="26" t="str">
        <f>IF(A63="","",BASE_CAIXA!AL60)</f>
        <v>000059-DB</v>
      </c>
      <c r="C63" s="13">
        <f>IF(A63="","",BASE_CAIXA!AJ60)</f>
        <v>46115</v>
      </c>
      <c r="D63" s="26" t="str">
        <f>IF(A63="","",IF(BASE_CAIXA!C60="Entrada","Crédito","Débito"))</f>
        <v>Débito</v>
      </c>
      <c r="E63" s="14">
        <f>IF(A63="","",BASE_CAIXA!AA60)</f>
        <v>1267.2</v>
      </c>
      <c r="F63" s="26">
        <f>IF(A63="","",BASE_CAIXA!N60)</f>
        <v>0</v>
      </c>
      <c r="G63" s="26">
        <f>IF(A63="","",BASE_CAIXA!O60)</f>
        <v>0</v>
      </c>
      <c r="H63" s="26">
        <f>IF(A63="","",BASE_CAIXA!P60)</f>
        <v>0</v>
      </c>
      <c r="I63" s="26" t="str">
        <f>IF(A63="","",IF(BASE_CAIXA!H60&lt;&gt;"",BASE_CAIXA!H60,BASE_CAIXA!G60))</f>
        <v>ripas de 5cm x 2,7m de 25mm</v>
      </c>
      <c r="J63" s="26" t="str">
        <f>IF(A63="","",BASE_CAIXA!G60)</f>
        <v>ripas de 5cm x 2,7m de 25mm</v>
      </c>
      <c r="K63" s="26">
        <f>IF(A63="","",BASE_CAIXA!I60)</f>
        <v>0</v>
      </c>
      <c r="L63" s="26">
        <f>IF(A63="","",BASE_CAIXA!J60)</f>
        <v>0</v>
      </c>
      <c r="M63" s="26" t="str">
        <f>IF(A63="","",BASE_CAIXA!AM60)</f>
        <v xml:space="preserve">ripas de 5cm x 2,7m de 25mm | ripas de 5cm x 2,7m de 25mm | </v>
      </c>
      <c r="N63" s="26" t="str">
        <f t="shared" ca="1" si="0"/>
        <v>Previsto</v>
      </c>
      <c r="O63" s="13" t="str">
        <f>IFERROR(INDEX(EXTRATO_IMPORTADO!$A$5:$A$404,MATCH(B63,EXTRATO_IMPORTADO!$I$5:$I$404,0)),"")</f>
        <v/>
      </c>
      <c r="P63" s="14" t="str">
        <f>IFERROR(INDEX(EXTRATO_IMPORTADO!$F$5:$F$404,MATCH(B63,EXTRATO_IMPORTADO!$I$5:$I$404,0)),"")</f>
        <v/>
      </c>
      <c r="Q63" s="26" t="str">
        <f>IFERROR(INDEX(EXTRATO_IMPORTADO!$B$5:$B$404,MATCH(B63,EXTRATO_IMPORTADO!$I$5:$I$404,0)),"")</f>
        <v/>
      </c>
      <c r="R63" s="26" t="str">
        <f>IFERROR(MATCH(B63,EXTRATO_IMPORTADO!$I$5:$I$404,0),"")</f>
        <v/>
      </c>
      <c r="S63" s="14" t="str">
        <f t="shared" si="1"/>
        <v/>
      </c>
      <c r="T63" s="33" t="str">
        <f t="shared" si="2"/>
        <v/>
      </c>
    </row>
    <row r="64" spans="1:20" x14ac:dyDescent="0.3">
      <c r="A64" s="26">
        <f>IF(BASE_CAIXA!A61="","",BASE_CAIXA!A61)</f>
        <v>60</v>
      </c>
      <c r="B64" s="26" t="str">
        <f>IF(A64="","",BASE_CAIXA!AL61)</f>
        <v>000060-DB</v>
      </c>
      <c r="C64" s="13">
        <f>IF(A64="","",BASE_CAIXA!AJ61)</f>
        <v>46115</v>
      </c>
      <c r="D64" s="26" t="str">
        <f>IF(A64="","",IF(BASE_CAIXA!C61="Entrada","Crédito","Débito"))</f>
        <v>Débito</v>
      </c>
      <c r="E64" s="14">
        <f>IF(A64="","",BASE_CAIXA!AA61)</f>
        <v>240223.4463786667</v>
      </c>
      <c r="F64" s="26">
        <f>IF(A64="","",BASE_CAIXA!N61)</f>
        <v>0</v>
      </c>
      <c r="G64" s="26">
        <f>IF(A64="","",BASE_CAIXA!O61)</f>
        <v>0</v>
      </c>
      <c r="H64" s="26">
        <f>IF(A64="","",BASE_CAIXA!P61)</f>
        <v>0</v>
      </c>
      <c r="I64" s="26" t="str">
        <f>IF(A64="","",IF(BASE_CAIXA!H61&lt;&gt;"",BASE_CAIXA!H61,BASE_CAIXA!G61))</f>
        <v>TOTALIZADOR CUSTO GLOBAIS OBRAS - MENSAL</v>
      </c>
      <c r="J64" s="26" t="str">
        <f>IF(A64="","",BASE_CAIXA!G61)</f>
        <v>TOTALIZADOR CUSTO GLOBAIS OBRAS - MENSAL</v>
      </c>
      <c r="K64" s="26">
        <f>IF(A64="","",BASE_CAIXA!I61)</f>
        <v>0</v>
      </c>
      <c r="L64" s="26">
        <f>IF(A64="","",BASE_CAIXA!J61)</f>
        <v>0</v>
      </c>
      <c r="M64" s="26" t="str">
        <f>IF(A64="","",BASE_CAIXA!AM61)</f>
        <v>TOTALIZADOR CUSTO GLOBAIS OBRAS - MENSAL | TOTALIZADOR CUSTO</v>
      </c>
      <c r="N64" s="26" t="str">
        <f t="shared" ca="1" si="0"/>
        <v>Previsto</v>
      </c>
      <c r="O64" s="13" t="str">
        <f>IFERROR(INDEX(EXTRATO_IMPORTADO!$A$5:$A$404,MATCH(B64,EXTRATO_IMPORTADO!$I$5:$I$404,0)),"")</f>
        <v/>
      </c>
      <c r="P64" s="14" t="str">
        <f>IFERROR(INDEX(EXTRATO_IMPORTADO!$F$5:$F$404,MATCH(B64,EXTRATO_IMPORTADO!$I$5:$I$404,0)),"")</f>
        <v/>
      </c>
      <c r="Q64" s="26" t="str">
        <f>IFERROR(INDEX(EXTRATO_IMPORTADO!$B$5:$B$404,MATCH(B64,EXTRATO_IMPORTADO!$I$5:$I$404,0)),"")</f>
        <v/>
      </c>
      <c r="R64" s="26" t="str">
        <f>IFERROR(MATCH(B64,EXTRATO_IMPORTADO!$I$5:$I$404,0),"")</f>
        <v/>
      </c>
      <c r="S64" s="14" t="str">
        <f t="shared" si="1"/>
        <v/>
      </c>
      <c r="T64" s="33" t="str">
        <f t="shared" si="2"/>
        <v/>
      </c>
    </row>
    <row r="65" spans="1:20" x14ac:dyDescent="0.3">
      <c r="A65" s="26">
        <f>IF(BASE_CAIXA!A62="","",BASE_CAIXA!A62)</f>
        <v>61</v>
      </c>
      <c r="B65" s="26" t="str">
        <f>IF(A65="","",BASE_CAIXA!AL62)</f>
        <v>000061-CR</v>
      </c>
      <c r="C65" s="13">
        <f>IF(A65="","",BASE_CAIXA!AJ62)</f>
        <v>46129</v>
      </c>
      <c r="D65" s="26" t="str">
        <f>IF(A65="","",IF(BASE_CAIXA!C62="Entrada","Crédito","Débito"))</f>
        <v>Crédito</v>
      </c>
      <c r="E65" s="14">
        <f>IF(A65="","",BASE_CAIXA!AA62)</f>
        <v>855077.76191999996</v>
      </c>
      <c r="F65" s="26">
        <f>IF(A65="","",BASE_CAIXA!N62)</f>
        <v>0</v>
      </c>
      <c r="G65" s="26">
        <f>IF(A65="","",BASE_CAIXA!O62)</f>
        <v>0</v>
      </c>
      <c r="H65" s="26">
        <f>IF(A65="","",BASE_CAIXA!P62)</f>
        <v>0</v>
      </c>
      <c r="I65" s="26" t="str">
        <f>IF(A65="","",IF(BASE_CAIXA!H62&lt;&gt;"",BASE_CAIXA!H62,BASE_CAIXA!G62))</f>
        <v>MEDIÇÃO CONTRATUAL</v>
      </c>
      <c r="J65" s="26" t="str">
        <f>IF(A65="","",BASE_CAIXA!G62)</f>
        <v>MEDIÇÃO CONTRATUAL</v>
      </c>
      <c r="K65" s="26">
        <f>IF(A65="","",BASE_CAIXA!I62)</f>
        <v>0</v>
      </c>
      <c r="L65" s="26">
        <f>IF(A65="","",BASE_CAIXA!J62)</f>
        <v>0</v>
      </c>
      <c r="M65" s="26" t="str">
        <f>IF(A65="","",BASE_CAIXA!AM62)</f>
        <v xml:space="preserve">MEDIÇÃO CONTRATUAL | MEDIÇÃO CONTRATUAL | Entrada | MEDIÇÃO </v>
      </c>
      <c r="N65" s="26" t="str">
        <f t="shared" ca="1" si="0"/>
        <v>Previsto</v>
      </c>
      <c r="O65" s="13" t="str">
        <f>IFERROR(INDEX(EXTRATO_IMPORTADO!$A$5:$A$404,MATCH(B65,EXTRATO_IMPORTADO!$I$5:$I$404,0)),"")</f>
        <v/>
      </c>
      <c r="P65" s="14" t="str">
        <f>IFERROR(INDEX(EXTRATO_IMPORTADO!$F$5:$F$404,MATCH(B65,EXTRATO_IMPORTADO!$I$5:$I$404,0)),"")</f>
        <v/>
      </c>
      <c r="Q65" s="26" t="str">
        <f>IFERROR(INDEX(EXTRATO_IMPORTADO!$B$5:$B$404,MATCH(B65,EXTRATO_IMPORTADO!$I$5:$I$404,0)),"")</f>
        <v/>
      </c>
      <c r="R65" s="26" t="str">
        <f>IFERROR(MATCH(B65,EXTRATO_IMPORTADO!$I$5:$I$404,0),"")</f>
        <v/>
      </c>
      <c r="S65" s="14" t="str">
        <f t="shared" si="1"/>
        <v/>
      </c>
      <c r="T65" s="33" t="str">
        <f t="shared" si="2"/>
        <v/>
      </c>
    </row>
    <row r="66" spans="1:20" x14ac:dyDescent="0.3">
      <c r="A66" s="26">
        <f>IF(BASE_CAIXA!A63="","",BASE_CAIXA!A63)</f>
        <v>62</v>
      </c>
      <c r="B66" s="26" t="str">
        <f>IF(A66="","",BASE_CAIXA!AL63)</f>
        <v>000062-DB</v>
      </c>
      <c r="C66" s="13">
        <f>IF(A66="","",BASE_CAIXA!AJ63)</f>
        <v>46129</v>
      </c>
      <c r="D66" s="26" t="str">
        <f>IF(A66="","",IF(BASE_CAIXA!C63="Entrada","Crédito","Débito"))</f>
        <v>Débito</v>
      </c>
      <c r="E66" s="14">
        <f>IF(A66="","",BASE_CAIXA!AA63)</f>
        <v>7510.9920000000002</v>
      </c>
      <c r="F66" s="26">
        <f>IF(A66="","",BASE_CAIXA!N63)</f>
        <v>0</v>
      </c>
      <c r="G66" s="26">
        <f>IF(A66="","",BASE_CAIXA!O63)</f>
        <v>0</v>
      </c>
      <c r="H66" s="26">
        <f>IF(A66="","",BASE_CAIXA!P63)</f>
        <v>0</v>
      </c>
      <c r="I66" s="26" t="str">
        <f>IF(A66="","",IF(BASE_CAIXA!H63&lt;&gt;"",BASE_CAIXA!H63,BASE_CAIXA!G63))</f>
        <v>Mao de obra terceirizada assentamento Azulejo</v>
      </c>
      <c r="J66" s="26" t="str">
        <f>IF(A66="","",BASE_CAIXA!G63)</f>
        <v>Mao de obra terceirizada assentamento Azulejo</v>
      </c>
      <c r="K66" s="26">
        <f>IF(A66="","",BASE_CAIXA!I63)</f>
        <v>0</v>
      </c>
      <c r="L66" s="26">
        <f>IF(A66="","",BASE_CAIXA!J63)</f>
        <v>0</v>
      </c>
      <c r="M66" s="26" t="str">
        <f>IF(A66="","",BASE_CAIXA!AM63)</f>
        <v xml:space="preserve">Mao de obra terceirizada assentamento Azulejo | Mao de obra </v>
      </c>
      <c r="N66" s="26" t="str">
        <f t="shared" ca="1" si="0"/>
        <v>Previsto</v>
      </c>
      <c r="O66" s="13" t="str">
        <f>IFERROR(INDEX(EXTRATO_IMPORTADO!$A$5:$A$404,MATCH(B66,EXTRATO_IMPORTADO!$I$5:$I$404,0)),"")</f>
        <v/>
      </c>
      <c r="P66" s="14" t="str">
        <f>IFERROR(INDEX(EXTRATO_IMPORTADO!$F$5:$F$404,MATCH(B66,EXTRATO_IMPORTADO!$I$5:$I$404,0)),"")</f>
        <v/>
      </c>
      <c r="Q66" s="26" t="str">
        <f>IFERROR(INDEX(EXTRATO_IMPORTADO!$B$5:$B$404,MATCH(B66,EXTRATO_IMPORTADO!$I$5:$I$404,0)),"")</f>
        <v/>
      </c>
      <c r="R66" s="26" t="str">
        <f>IFERROR(MATCH(B66,EXTRATO_IMPORTADO!$I$5:$I$404,0),"")</f>
        <v/>
      </c>
      <c r="S66" s="14" t="str">
        <f t="shared" si="1"/>
        <v/>
      </c>
      <c r="T66" s="33" t="str">
        <f t="shared" si="2"/>
        <v/>
      </c>
    </row>
    <row r="67" spans="1:20" x14ac:dyDescent="0.3">
      <c r="A67" s="26">
        <f>IF(BASE_CAIXA!A64="","",BASE_CAIXA!A64)</f>
        <v>63</v>
      </c>
      <c r="B67" s="26" t="str">
        <f>IF(A67="","",BASE_CAIXA!AL64)</f>
        <v>000063-DB</v>
      </c>
      <c r="C67" s="13">
        <f>IF(A67="","",BASE_CAIXA!AJ64)</f>
        <v>46129</v>
      </c>
      <c r="D67" s="26" t="str">
        <f>IF(A67="","",IF(BASE_CAIXA!C64="Entrada","Crédito","Débito"))</f>
        <v>Débito</v>
      </c>
      <c r="E67" s="14">
        <f>IF(A67="","",BASE_CAIXA!AA64)</f>
        <v>4917.3760000000002</v>
      </c>
      <c r="F67" s="26">
        <f>IF(A67="","",BASE_CAIXA!N64)</f>
        <v>0</v>
      </c>
      <c r="G67" s="26">
        <f>IF(A67="","",BASE_CAIXA!O64)</f>
        <v>0</v>
      </c>
      <c r="H67" s="26">
        <f>IF(A67="","",BASE_CAIXA!P64)</f>
        <v>0</v>
      </c>
      <c r="I67" s="26" t="str">
        <f>IF(A67="","",IF(BASE_CAIXA!H64&lt;&gt;"",BASE_CAIXA!H64,BASE_CAIXA!G64))</f>
        <v>MO Terceirizada Caixas de inspecao e gordura</v>
      </c>
      <c r="J67" s="26" t="str">
        <f>IF(A67="","",BASE_CAIXA!G64)</f>
        <v>MO Terceirizada Caixas de inspecao e gordura</v>
      </c>
      <c r="K67" s="26">
        <f>IF(A67="","",BASE_CAIXA!I64)</f>
        <v>0</v>
      </c>
      <c r="L67" s="26">
        <f>IF(A67="","",BASE_CAIXA!J64)</f>
        <v>0</v>
      </c>
      <c r="M67" s="26" t="str">
        <f>IF(A67="","",BASE_CAIXA!AM64)</f>
        <v>MO Terceirizada Caixas de inspecao e gordura | MO Terceiriza</v>
      </c>
      <c r="N67" s="26" t="str">
        <f t="shared" ca="1" si="0"/>
        <v>Previsto</v>
      </c>
      <c r="O67" s="13" t="str">
        <f>IFERROR(INDEX(EXTRATO_IMPORTADO!$A$5:$A$404,MATCH(B67,EXTRATO_IMPORTADO!$I$5:$I$404,0)),"")</f>
        <v/>
      </c>
      <c r="P67" s="14" t="str">
        <f>IFERROR(INDEX(EXTRATO_IMPORTADO!$F$5:$F$404,MATCH(B67,EXTRATO_IMPORTADO!$I$5:$I$404,0)),"")</f>
        <v/>
      </c>
      <c r="Q67" s="26" t="str">
        <f>IFERROR(INDEX(EXTRATO_IMPORTADO!$B$5:$B$404,MATCH(B67,EXTRATO_IMPORTADO!$I$5:$I$404,0)),"")</f>
        <v/>
      </c>
      <c r="R67" s="26" t="str">
        <f>IFERROR(MATCH(B67,EXTRATO_IMPORTADO!$I$5:$I$404,0),"")</f>
        <v/>
      </c>
      <c r="S67" s="14" t="str">
        <f t="shared" si="1"/>
        <v/>
      </c>
      <c r="T67" s="33" t="str">
        <f t="shared" si="2"/>
        <v/>
      </c>
    </row>
    <row r="68" spans="1:20" x14ac:dyDescent="0.3">
      <c r="A68" s="26">
        <f>IF(BASE_CAIXA!A65="","",BASE_CAIXA!A65)</f>
        <v>64</v>
      </c>
      <c r="B68" s="26" t="str">
        <f>IF(A68="","",BASE_CAIXA!AL65)</f>
        <v>000064-DB</v>
      </c>
      <c r="C68" s="13">
        <f>IF(A68="","",BASE_CAIXA!AJ65)</f>
        <v>46129</v>
      </c>
      <c r="D68" s="26" t="str">
        <f>IF(A68="","",IF(BASE_CAIXA!C65="Entrada","Crédito","Débito"))</f>
        <v>Débito</v>
      </c>
      <c r="E68" s="14">
        <f>IF(A68="","",BASE_CAIXA!AA65)</f>
        <v>21190</v>
      </c>
      <c r="F68" s="26">
        <f>IF(A68="","",BASE_CAIXA!N65)</f>
        <v>0</v>
      </c>
      <c r="G68" s="26">
        <f>IF(A68="","",BASE_CAIXA!O65)</f>
        <v>0</v>
      </c>
      <c r="H68" s="26">
        <f>IF(A68="","",BASE_CAIXA!P65)</f>
        <v>0</v>
      </c>
      <c r="I68" s="26" t="str">
        <f>IF(A68="","",IF(BASE_CAIXA!H65&lt;&gt;"",BASE_CAIXA!H65,BASE_CAIXA!G65))</f>
        <v>CARTAO CREDITO SUCOPIRA</v>
      </c>
      <c r="J68" s="26" t="str">
        <f>IF(A68="","",BASE_CAIXA!G65)</f>
        <v>CARTAO CREDITO SUCOPIRA</v>
      </c>
      <c r="K68" s="26">
        <f>IF(A68="","",BASE_CAIXA!I65)</f>
        <v>0</v>
      </c>
      <c r="L68" s="26">
        <f>IF(A68="","",BASE_CAIXA!J65)</f>
        <v>0</v>
      </c>
      <c r="M68" s="26" t="str">
        <f>IF(A68="","",BASE_CAIXA!AM65)</f>
        <v xml:space="preserve">CARTAO CREDITO SUCOPIRA | CARTAO CREDITO SUCOPIRA | Saída | </v>
      </c>
      <c r="N68" s="26" t="str">
        <f t="shared" ca="1" si="0"/>
        <v>Previsto</v>
      </c>
      <c r="O68" s="13" t="str">
        <f>IFERROR(INDEX(EXTRATO_IMPORTADO!$A$5:$A$404,MATCH(B68,EXTRATO_IMPORTADO!$I$5:$I$404,0)),"")</f>
        <v/>
      </c>
      <c r="P68" s="14" t="str">
        <f>IFERROR(INDEX(EXTRATO_IMPORTADO!$F$5:$F$404,MATCH(B68,EXTRATO_IMPORTADO!$I$5:$I$404,0)),"")</f>
        <v/>
      </c>
      <c r="Q68" s="26" t="str">
        <f>IFERROR(INDEX(EXTRATO_IMPORTADO!$B$5:$B$404,MATCH(B68,EXTRATO_IMPORTADO!$I$5:$I$404,0)),"")</f>
        <v/>
      </c>
      <c r="R68" s="26" t="str">
        <f>IFERROR(MATCH(B68,EXTRATO_IMPORTADO!$I$5:$I$404,0),"")</f>
        <v/>
      </c>
      <c r="S68" s="14" t="str">
        <f t="shared" si="1"/>
        <v/>
      </c>
      <c r="T68" s="33" t="str">
        <f t="shared" si="2"/>
        <v/>
      </c>
    </row>
    <row r="69" spans="1:20" x14ac:dyDescent="0.3">
      <c r="A69" s="26">
        <f>IF(BASE_CAIXA!A66="","",BASE_CAIXA!A66)</f>
        <v>65</v>
      </c>
      <c r="B69" s="26" t="str">
        <f>IF(A69="","",BASE_CAIXA!AL66)</f>
        <v>000065-DB</v>
      </c>
      <c r="C69" s="13">
        <f>IF(A69="","",BASE_CAIXA!AJ66)</f>
        <v>46129</v>
      </c>
      <c r="D69" s="26" t="str">
        <f>IF(A69="","",IF(BASE_CAIXA!C66="Entrada","Crédito","Débito"))</f>
        <v>Débito</v>
      </c>
      <c r="E69" s="14">
        <f>IF(A69="","",BASE_CAIXA!AA66)</f>
        <v>14716.35</v>
      </c>
      <c r="F69" s="26">
        <f>IF(A69="","",BASE_CAIXA!N66)</f>
        <v>0</v>
      </c>
      <c r="G69" s="26">
        <f>IF(A69="","",BASE_CAIXA!O66)</f>
        <v>0</v>
      </c>
      <c r="H69" s="26">
        <f>IF(A69="","",BASE_CAIXA!P66)</f>
        <v>0</v>
      </c>
      <c r="I69" s="26" t="str">
        <f>IF(A69="","",IF(BASE_CAIXA!H66&lt;&gt;"",BASE_CAIXA!H66,BASE_CAIXA!G66))</f>
        <v>EMPRESTIMO BRADESCO</v>
      </c>
      <c r="J69" s="26" t="str">
        <f>IF(A69="","",BASE_CAIXA!G66)</f>
        <v>EMPRESTIMO BRADESCO</v>
      </c>
      <c r="K69" s="26">
        <f>IF(A69="","",BASE_CAIXA!I66)</f>
        <v>0</v>
      </c>
      <c r="L69" s="26">
        <f>IF(A69="","",BASE_CAIXA!J66)</f>
        <v>0</v>
      </c>
      <c r="M69" s="26" t="str">
        <f>IF(A69="","",BASE_CAIXA!AM66)</f>
        <v xml:space="preserve">EMPRESTIMO BRADESCO | EMPRESTIMO BRADESCO | Saída | CAPITAL </v>
      </c>
      <c r="N69" s="26" t="str">
        <f t="shared" ref="N69:N132" ca="1" si="3">IF(A69="","",IF(R69&lt;&gt;"",IF(AND(ABS(S69)&lt;=0.01,ABS(T69)&lt;=3),"Conciliado","Divergente"),IF(TODAY()&gt;C69,"Pendente vencido","Previsto")))</f>
        <v>Previsto</v>
      </c>
      <c r="O69" s="13" t="str">
        <f>IFERROR(INDEX(EXTRATO_IMPORTADO!$A$5:$A$404,MATCH(B69,EXTRATO_IMPORTADO!$I$5:$I$404,0)),"")</f>
        <v/>
      </c>
      <c r="P69" s="14" t="str">
        <f>IFERROR(INDEX(EXTRATO_IMPORTADO!$F$5:$F$404,MATCH(B69,EXTRATO_IMPORTADO!$I$5:$I$404,0)),"")</f>
        <v/>
      </c>
      <c r="Q69" s="26" t="str">
        <f>IFERROR(INDEX(EXTRATO_IMPORTADO!$B$5:$B$404,MATCH(B69,EXTRATO_IMPORTADO!$I$5:$I$404,0)),"")</f>
        <v/>
      </c>
      <c r="R69" s="26" t="str">
        <f>IFERROR(MATCH(B69,EXTRATO_IMPORTADO!$I$5:$I$404,0),"")</f>
        <v/>
      </c>
      <c r="S69" s="14" t="str">
        <f t="shared" ref="S69:S132" si="4">IF(OR(A69="",P69=""),"",P69-E69)</f>
        <v/>
      </c>
      <c r="T69" s="33" t="str">
        <f t="shared" ref="T69:T132" si="5">IF(OR(A69="",O69=""),"",O69-C69)</f>
        <v/>
      </c>
    </row>
    <row r="70" spans="1:20" x14ac:dyDescent="0.3">
      <c r="A70" s="26">
        <f>IF(BASE_CAIXA!A67="","",BASE_CAIXA!A67)</f>
        <v>66</v>
      </c>
      <c r="B70" s="26" t="str">
        <f>IF(A70="","",BASE_CAIXA!AL67)</f>
        <v>000066-DB</v>
      </c>
      <c r="C70" s="13">
        <f>IF(A70="","",BASE_CAIXA!AJ67)</f>
        <v>46129</v>
      </c>
      <c r="D70" s="26" t="str">
        <f>IF(A70="","",IF(BASE_CAIXA!C67="Entrada","Crédito","Débito"))</f>
        <v>Débito</v>
      </c>
      <c r="E70" s="14">
        <f>IF(A70="","",BASE_CAIXA!AA67)</f>
        <v>7670</v>
      </c>
      <c r="F70" s="26">
        <f>IF(A70="","",BASE_CAIXA!N67)</f>
        <v>0</v>
      </c>
      <c r="G70" s="26">
        <f>IF(A70="","",BASE_CAIXA!O67)</f>
        <v>0</v>
      </c>
      <c r="H70" s="26">
        <f>IF(A70="","",BASE_CAIXA!P67)</f>
        <v>0</v>
      </c>
      <c r="I70" s="26" t="str">
        <f>IF(A70="","",IF(BASE_CAIXA!H67&lt;&gt;"",BASE_CAIXA!H67,BASE_CAIXA!G67))</f>
        <v>EMPRÉSTIMO EXTRA</v>
      </c>
      <c r="J70" s="26" t="str">
        <f>IF(A70="","",BASE_CAIXA!G67)</f>
        <v>EMPRÉSTIMO EXTRA</v>
      </c>
      <c r="K70" s="26">
        <f>IF(A70="","",BASE_CAIXA!I67)</f>
        <v>0</v>
      </c>
      <c r="L70" s="26">
        <f>IF(A70="","",BASE_CAIXA!J67)</f>
        <v>0</v>
      </c>
      <c r="M70" s="26" t="str">
        <f>IF(A70="","",BASE_CAIXA!AM67)</f>
        <v>EMPRÉSTIMO EXTRA | EMPRÉSTIMO EXTRA | Saída | CAPITAL DE GIR</v>
      </c>
      <c r="N70" s="26" t="str">
        <f t="shared" ca="1" si="3"/>
        <v>Previsto</v>
      </c>
      <c r="O70" s="13" t="str">
        <f>IFERROR(INDEX(EXTRATO_IMPORTADO!$A$5:$A$404,MATCH(B70,EXTRATO_IMPORTADO!$I$5:$I$404,0)),"")</f>
        <v/>
      </c>
      <c r="P70" s="14" t="str">
        <f>IFERROR(INDEX(EXTRATO_IMPORTADO!$F$5:$F$404,MATCH(B70,EXTRATO_IMPORTADO!$I$5:$I$404,0)),"")</f>
        <v/>
      </c>
      <c r="Q70" s="26" t="str">
        <f>IFERROR(INDEX(EXTRATO_IMPORTADO!$B$5:$B$404,MATCH(B70,EXTRATO_IMPORTADO!$I$5:$I$404,0)),"")</f>
        <v/>
      </c>
      <c r="R70" s="26" t="str">
        <f>IFERROR(MATCH(B70,EXTRATO_IMPORTADO!$I$5:$I$404,0),"")</f>
        <v/>
      </c>
      <c r="S70" s="14" t="str">
        <f t="shared" si="4"/>
        <v/>
      </c>
      <c r="T70" s="33" t="str">
        <f t="shared" si="5"/>
        <v/>
      </c>
    </row>
    <row r="71" spans="1:20" x14ac:dyDescent="0.3">
      <c r="A71" s="26">
        <f>IF(BASE_CAIXA!A68="","",BASE_CAIXA!A68)</f>
        <v>67</v>
      </c>
      <c r="B71" s="26" t="str">
        <f>IF(A71="","",BASE_CAIXA!AL68)</f>
        <v>000067-DB</v>
      </c>
      <c r="C71" s="13">
        <f>IF(A71="","",BASE_CAIXA!AJ68)</f>
        <v>46129</v>
      </c>
      <c r="D71" s="26" t="str">
        <f>IF(A71="","",IF(BASE_CAIXA!C68="Entrada","Crédito","Débito"))</f>
        <v>Débito</v>
      </c>
      <c r="E71" s="14">
        <f>IF(A71="","",BASE_CAIXA!AA68)</f>
        <v>4906.58</v>
      </c>
      <c r="F71" s="26">
        <f>IF(A71="","",BASE_CAIXA!N68)</f>
        <v>0</v>
      </c>
      <c r="G71" s="26">
        <f>IF(A71="","",BASE_CAIXA!O68)</f>
        <v>0</v>
      </c>
      <c r="H71" s="26">
        <f>IF(A71="","",BASE_CAIXA!P68)</f>
        <v>0</v>
      </c>
      <c r="I71" s="26" t="str">
        <f>IF(A71="","",IF(BASE_CAIXA!H68&lt;&gt;"",BASE_CAIXA!H68,BASE_CAIXA!G68))</f>
        <v>NUBANK</v>
      </c>
      <c r="J71" s="26" t="str">
        <f>IF(A71="","",BASE_CAIXA!G68)</f>
        <v>NUBANK</v>
      </c>
      <c r="K71" s="26">
        <f>IF(A71="","",BASE_CAIXA!I68)</f>
        <v>0</v>
      </c>
      <c r="L71" s="26">
        <f>IF(A71="","",BASE_CAIXA!J68)</f>
        <v>0</v>
      </c>
      <c r="M71" s="26" t="str">
        <f>IF(A71="","",BASE_CAIXA!AM68)</f>
        <v>NUBANK | NUBANK | Saída | CAPITAL DE GIRO</v>
      </c>
      <c r="N71" s="26" t="str">
        <f t="shared" ca="1" si="3"/>
        <v>Previsto</v>
      </c>
      <c r="O71" s="13" t="str">
        <f>IFERROR(INDEX(EXTRATO_IMPORTADO!$A$5:$A$404,MATCH(B71,EXTRATO_IMPORTADO!$I$5:$I$404,0)),"")</f>
        <v/>
      </c>
      <c r="P71" s="14" t="str">
        <f>IFERROR(INDEX(EXTRATO_IMPORTADO!$F$5:$F$404,MATCH(B71,EXTRATO_IMPORTADO!$I$5:$I$404,0)),"")</f>
        <v/>
      </c>
      <c r="Q71" s="26" t="str">
        <f>IFERROR(INDEX(EXTRATO_IMPORTADO!$B$5:$B$404,MATCH(B71,EXTRATO_IMPORTADO!$I$5:$I$404,0)),"")</f>
        <v/>
      </c>
      <c r="R71" s="26" t="str">
        <f>IFERROR(MATCH(B71,EXTRATO_IMPORTADO!$I$5:$I$404,0),"")</f>
        <v/>
      </c>
      <c r="S71" s="14" t="str">
        <f t="shared" si="4"/>
        <v/>
      </c>
      <c r="T71" s="33" t="str">
        <f t="shared" si="5"/>
        <v/>
      </c>
    </row>
    <row r="72" spans="1:20" x14ac:dyDescent="0.3">
      <c r="A72" s="26">
        <f>IF(BASE_CAIXA!A69="","",BASE_CAIXA!A69)</f>
        <v>68</v>
      </c>
      <c r="B72" s="26" t="str">
        <f>IF(A72="","",BASE_CAIXA!AL69)</f>
        <v>000068-DB</v>
      </c>
      <c r="C72" s="13">
        <f>IF(A72="","",BASE_CAIXA!AJ69)</f>
        <v>46129</v>
      </c>
      <c r="D72" s="26" t="str">
        <f>IF(A72="","",IF(BASE_CAIXA!C69="Entrada","Crédito","Débito"))</f>
        <v>Débito</v>
      </c>
      <c r="E72" s="14">
        <f>IF(A72="","",BASE_CAIXA!AA69)</f>
        <v>9295.0400000000009</v>
      </c>
      <c r="F72" s="26">
        <f>IF(A72="","",BASE_CAIXA!N69)</f>
        <v>0</v>
      </c>
      <c r="G72" s="26">
        <f>IF(A72="","",BASE_CAIXA!O69)</f>
        <v>0</v>
      </c>
      <c r="H72" s="26">
        <f>IF(A72="","",BASE_CAIXA!P69)</f>
        <v>0</v>
      </c>
      <c r="I72" s="26" t="str">
        <f>IF(A72="","",IF(BASE_CAIXA!H69&lt;&gt;"",BASE_CAIXA!H69,BASE_CAIXA!G69))</f>
        <v>Mao de obra terceirizada montagem e telhamento</v>
      </c>
      <c r="J72" s="26" t="str">
        <f>IF(A72="","",BASE_CAIXA!G69)</f>
        <v>Mao de obra terceirizada montagem e telhamento</v>
      </c>
      <c r="K72" s="26">
        <f>IF(A72="","",BASE_CAIXA!I69)</f>
        <v>0</v>
      </c>
      <c r="L72" s="26">
        <f>IF(A72="","",BASE_CAIXA!J69)</f>
        <v>0</v>
      </c>
      <c r="M72" s="26" t="str">
        <f>IF(A72="","",BASE_CAIXA!AM69)</f>
        <v>Mao de obra terceirizada montagem e telhamento | Mao de obra</v>
      </c>
      <c r="N72" s="26" t="str">
        <f t="shared" ca="1" si="3"/>
        <v>Previsto</v>
      </c>
      <c r="O72" s="13" t="str">
        <f>IFERROR(INDEX(EXTRATO_IMPORTADO!$A$5:$A$404,MATCH(B72,EXTRATO_IMPORTADO!$I$5:$I$404,0)),"")</f>
        <v/>
      </c>
      <c r="P72" s="14" t="str">
        <f>IFERROR(INDEX(EXTRATO_IMPORTADO!$F$5:$F$404,MATCH(B72,EXTRATO_IMPORTADO!$I$5:$I$404,0)),"")</f>
        <v/>
      </c>
      <c r="Q72" s="26" t="str">
        <f>IFERROR(INDEX(EXTRATO_IMPORTADO!$B$5:$B$404,MATCH(B72,EXTRATO_IMPORTADO!$I$5:$I$404,0)),"")</f>
        <v/>
      </c>
      <c r="R72" s="26" t="str">
        <f>IFERROR(MATCH(B72,EXTRATO_IMPORTADO!$I$5:$I$404,0),"")</f>
        <v/>
      </c>
      <c r="S72" s="14" t="str">
        <f t="shared" si="4"/>
        <v/>
      </c>
      <c r="T72" s="33" t="str">
        <f t="shared" si="5"/>
        <v/>
      </c>
    </row>
    <row r="73" spans="1:20" x14ac:dyDescent="0.3">
      <c r="A73" s="26">
        <f>IF(BASE_CAIXA!A70="","",BASE_CAIXA!A70)</f>
        <v>69</v>
      </c>
      <c r="B73" s="26" t="str">
        <f>IF(A73="","",BASE_CAIXA!AL70)</f>
        <v>000069-DB</v>
      </c>
      <c r="C73" s="13">
        <f>IF(A73="","",BASE_CAIXA!AJ70)</f>
        <v>46129</v>
      </c>
      <c r="D73" s="26" t="str">
        <f>IF(A73="","",IF(BASE_CAIXA!C70="Entrada","Crédito","Débito"))</f>
        <v>Débito</v>
      </c>
      <c r="E73" s="14">
        <f>IF(A73="","",BASE_CAIXA!AA70)</f>
        <v>8000</v>
      </c>
      <c r="F73" s="26">
        <f>IF(A73="","",BASE_CAIXA!N70)</f>
        <v>0</v>
      </c>
      <c r="G73" s="26">
        <f>IF(A73="","",BASE_CAIXA!O70)</f>
        <v>0</v>
      </c>
      <c r="H73" s="26">
        <f>IF(A73="","",BASE_CAIXA!P70)</f>
        <v>0</v>
      </c>
      <c r="I73" s="26" t="str">
        <f>IF(A73="","",IF(BASE_CAIXA!H70&lt;&gt;"",BASE_CAIXA!H70,BASE_CAIXA!G70))</f>
        <v>LOGISTICA GESTÃO VISITA À OBRA</v>
      </c>
      <c r="J73" s="26" t="str">
        <f>IF(A73="","",BASE_CAIXA!G70)</f>
        <v>LOGISTICA GESTÃO VISITA À OBRA</v>
      </c>
      <c r="K73" s="26">
        <f>IF(A73="","",BASE_CAIXA!I70)</f>
        <v>0</v>
      </c>
      <c r="L73" s="26">
        <f>IF(A73="","",BASE_CAIXA!J70)</f>
        <v>0</v>
      </c>
      <c r="M73" s="26" t="str">
        <f>IF(A73="","",BASE_CAIXA!AM70)</f>
        <v>LOGISTICA GESTÃO VISITA À OBRA | LOGISTICA GESTÃO VISITA À O</v>
      </c>
      <c r="N73" s="26" t="str">
        <f t="shared" ca="1" si="3"/>
        <v>Previsto</v>
      </c>
      <c r="O73" s="13" t="str">
        <f>IFERROR(INDEX(EXTRATO_IMPORTADO!$A$5:$A$404,MATCH(B73,EXTRATO_IMPORTADO!$I$5:$I$404,0)),"")</f>
        <v/>
      </c>
      <c r="P73" s="14" t="str">
        <f>IFERROR(INDEX(EXTRATO_IMPORTADO!$F$5:$F$404,MATCH(B73,EXTRATO_IMPORTADO!$I$5:$I$404,0)),"")</f>
        <v/>
      </c>
      <c r="Q73" s="26" t="str">
        <f>IFERROR(INDEX(EXTRATO_IMPORTADO!$B$5:$B$404,MATCH(B73,EXTRATO_IMPORTADO!$I$5:$I$404,0)),"")</f>
        <v/>
      </c>
      <c r="R73" s="26" t="str">
        <f>IFERROR(MATCH(B73,EXTRATO_IMPORTADO!$I$5:$I$404,0),"")</f>
        <v/>
      </c>
      <c r="S73" s="14" t="str">
        <f t="shared" si="4"/>
        <v/>
      </c>
      <c r="T73" s="33" t="str">
        <f t="shared" si="5"/>
        <v/>
      </c>
    </row>
    <row r="74" spans="1:20" x14ac:dyDescent="0.3">
      <c r="A74" s="26">
        <f>IF(BASE_CAIXA!A71="","",BASE_CAIXA!A71)</f>
        <v>70</v>
      </c>
      <c r="B74" s="26" t="str">
        <f>IF(A74="","",BASE_CAIXA!AL71)</f>
        <v>000070-DB</v>
      </c>
      <c r="C74" s="13">
        <f>IF(A74="","",BASE_CAIXA!AJ71)</f>
        <v>46129</v>
      </c>
      <c r="D74" s="26" t="str">
        <f>IF(A74="","",IF(BASE_CAIXA!C71="Entrada","Crédito","Débito"))</f>
        <v>Débito</v>
      </c>
      <c r="E74" s="14">
        <f>IF(A74="","",BASE_CAIXA!AA71)</f>
        <v>6426.6506240000008</v>
      </c>
      <c r="F74" s="26">
        <f>IF(A74="","",BASE_CAIXA!N71)</f>
        <v>0</v>
      </c>
      <c r="G74" s="26">
        <f>IF(A74="","",BASE_CAIXA!O71)</f>
        <v>0</v>
      </c>
      <c r="H74" s="26">
        <f>IF(A74="","",BASE_CAIXA!P71)</f>
        <v>0</v>
      </c>
      <c r="I74" s="26" t="str">
        <f>IF(A74="","",IF(BASE_CAIXA!H71&lt;&gt;"",BASE_CAIXA!H71,BASE_CAIXA!G71))</f>
        <v>Mao de obra terceirizada Emassamento e lixamento  interno paredes e teto</v>
      </c>
      <c r="J74" s="26" t="str">
        <f>IF(A74="","",BASE_CAIXA!G71)</f>
        <v>Mao de obra terceirizada Emassamento e lixamento  interno paredes e teto</v>
      </c>
      <c r="K74" s="26">
        <f>IF(A74="","",BASE_CAIXA!I71)</f>
        <v>0</v>
      </c>
      <c r="L74" s="26">
        <f>IF(A74="","",BASE_CAIXA!J71)</f>
        <v>0</v>
      </c>
      <c r="M74" s="26" t="str">
        <f>IF(A74="","",BASE_CAIXA!AM71)</f>
        <v>Mao de obra terceirizada Emassamento e lixamento  interno pa</v>
      </c>
      <c r="N74" s="26" t="str">
        <f t="shared" ca="1" si="3"/>
        <v>Previsto</v>
      </c>
      <c r="O74" s="13" t="str">
        <f>IFERROR(INDEX(EXTRATO_IMPORTADO!$A$5:$A$404,MATCH(B74,EXTRATO_IMPORTADO!$I$5:$I$404,0)),"")</f>
        <v/>
      </c>
      <c r="P74" s="14" t="str">
        <f>IFERROR(INDEX(EXTRATO_IMPORTADO!$F$5:$F$404,MATCH(B74,EXTRATO_IMPORTADO!$I$5:$I$404,0)),"")</f>
        <v/>
      </c>
      <c r="Q74" s="26" t="str">
        <f>IFERROR(INDEX(EXTRATO_IMPORTADO!$B$5:$B$404,MATCH(B74,EXTRATO_IMPORTADO!$I$5:$I$404,0)),"")</f>
        <v/>
      </c>
      <c r="R74" s="26" t="str">
        <f>IFERROR(MATCH(B74,EXTRATO_IMPORTADO!$I$5:$I$404,0),"")</f>
        <v/>
      </c>
      <c r="S74" s="14" t="str">
        <f t="shared" si="4"/>
        <v/>
      </c>
      <c r="T74" s="33" t="str">
        <f t="shared" si="5"/>
        <v/>
      </c>
    </row>
    <row r="75" spans="1:20" x14ac:dyDescent="0.3">
      <c r="A75" s="26">
        <f>IF(BASE_CAIXA!A72="","",BASE_CAIXA!A72)</f>
        <v>71</v>
      </c>
      <c r="B75" s="26" t="str">
        <f>IF(A75="","",BASE_CAIXA!AL72)</f>
        <v>000071-DB</v>
      </c>
      <c r="C75" s="13">
        <f>IF(A75="","",BASE_CAIXA!AJ72)</f>
        <v>46129</v>
      </c>
      <c r="D75" s="26" t="str">
        <f>IF(A75="","",IF(BASE_CAIXA!C72="Entrada","Crédito","Débito"))</f>
        <v>Débito</v>
      </c>
      <c r="E75" s="14">
        <f>IF(A75="","",BASE_CAIXA!AA72)</f>
        <v>3000</v>
      </c>
      <c r="F75" s="26">
        <f>IF(A75="","",BASE_CAIXA!N72)</f>
        <v>0</v>
      </c>
      <c r="G75" s="26">
        <f>IF(A75="","",BASE_CAIXA!O72)</f>
        <v>0</v>
      </c>
      <c r="H75" s="26">
        <f>IF(A75="","",BASE_CAIXA!P72)</f>
        <v>0</v>
      </c>
      <c r="I75" s="26" t="str">
        <f>IF(A75="","",IF(BASE_CAIXA!H72&lt;&gt;"",BASE_CAIXA!H72,BASE_CAIXA!G72))</f>
        <v>TECNICO SEGURANÇA TRABALHO - ( rateado em 3 canteiros) carro incluso</v>
      </c>
      <c r="J75" s="26" t="str">
        <f>IF(A75="","",BASE_CAIXA!G72)</f>
        <v>TECNICO SEGURANÇA TRABALHO - ( rateado em 3 canteiros) carro incluso</v>
      </c>
      <c r="K75" s="26">
        <f>IF(A75="","",BASE_CAIXA!I72)</f>
        <v>0</v>
      </c>
      <c r="L75" s="26">
        <f>IF(A75="","",BASE_CAIXA!J72)</f>
        <v>0</v>
      </c>
      <c r="M75" s="26" t="str">
        <f>IF(A75="","",BASE_CAIXA!AM72)</f>
        <v>TECNICO SEGURANÇA TRABALHO - ( rateado em 3 canteiros) carro</v>
      </c>
      <c r="N75" s="26" t="str">
        <f t="shared" ca="1" si="3"/>
        <v>Previsto</v>
      </c>
      <c r="O75" s="13" t="str">
        <f>IFERROR(INDEX(EXTRATO_IMPORTADO!$A$5:$A$404,MATCH(B75,EXTRATO_IMPORTADO!$I$5:$I$404,0)),"")</f>
        <v/>
      </c>
      <c r="P75" s="14" t="str">
        <f>IFERROR(INDEX(EXTRATO_IMPORTADO!$F$5:$F$404,MATCH(B75,EXTRATO_IMPORTADO!$I$5:$I$404,0)),"")</f>
        <v/>
      </c>
      <c r="Q75" s="26" t="str">
        <f>IFERROR(INDEX(EXTRATO_IMPORTADO!$B$5:$B$404,MATCH(B75,EXTRATO_IMPORTADO!$I$5:$I$404,0)),"")</f>
        <v/>
      </c>
      <c r="R75" s="26" t="str">
        <f>IFERROR(MATCH(B75,EXTRATO_IMPORTADO!$I$5:$I$404,0),"")</f>
        <v/>
      </c>
      <c r="S75" s="14" t="str">
        <f t="shared" si="4"/>
        <v/>
      </c>
      <c r="T75" s="33" t="str">
        <f t="shared" si="5"/>
        <v/>
      </c>
    </row>
    <row r="76" spans="1:20" x14ac:dyDescent="0.3">
      <c r="A76" s="26">
        <f>IF(BASE_CAIXA!A73="","",BASE_CAIXA!A73)</f>
        <v>72</v>
      </c>
      <c r="B76" s="26" t="str">
        <f>IF(A76="","",BASE_CAIXA!AL73)</f>
        <v>000072-DB</v>
      </c>
      <c r="C76" s="13">
        <f>IF(A76="","",BASE_CAIXA!AJ73)</f>
        <v>46129</v>
      </c>
      <c r="D76" s="26" t="str">
        <f>IF(A76="","",IF(BASE_CAIXA!C73="Entrada","Crédito","Débito"))</f>
        <v>Débito</v>
      </c>
      <c r="E76" s="14">
        <f>IF(A76="","",BASE_CAIXA!AA73)</f>
        <v>2518.6559999999999</v>
      </c>
      <c r="F76" s="26">
        <f>IF(A76="","",BASE_CAIXA!N73)</f>
        <v>0</v>
      </c>
      <c r="G76" s="26">
        <f>IF(A76="","",BASE_CAIXA!O73)</f>
        <v>0</v>
      </c>
      <c r="H76" s="26">
        <f>IF(A76="","",BASE_CAIXA!P73)</f>
        <v>0</v>
      </c>
      <c r="I76" s="26" t="str">
        <f>IF(A76="","",IF(BASE_CAIXA!H73&lt;&gt;"",BASE_CAIXA!H73,BASE_CAIXA!G73))</f>
        <v>Mao de obra Impermeabilização de áreas úmidas</v>
      </c>
      <c r="J76" s="26" t="str">
        <f>IF(A76="","",BASE_CAIXA!G73)</f>
        <v>Mao de obra Impermeabilização de áreas úmidas</v>
      </c>
      <c r="K76" s="26">
        <f>IF(A76="","",BASE_CAIXA!I73)</f>
        <v>0</v>
      </c>
      <c r="L76" s="26">
        <f>IF(A76="","",BASE_CAIXA!J73)</f>
        <v>0</v>
      </c>
      <c r="M76" s="26" t="str">
        <f>IF(A76="","",BASE_CAIXA!AM73)</f>
        <v xml:space="preserve">Mao de obra Impermeabilização de áreas úmidas | Mao de obra </v>
      </c>
      <c r="N76" s="26" t="str">
        <f t="shared" ca="1" si="3"/>
        <v>Previsto</v>
      </c>
      <c r="O76" s="13" t="str">
        <f>IFERROR(INDEX(EXTRATO_IMPORTADO!$A$5:$A$404,MATCH(B76,EXTRATO_IMPORTADO!$I$5:$I$404,0)),"")</f>
        <v/>
      </c>
      <c r="P76" s="14" t="str">
        <f>IFERROR(INDEX(EXTRATO_IMPORTADO!$F$5:$F$404,MATCH(B76,EXTRATO_IMPORTADO!$I$5:$I$404,0)),"")</f>
        <v/>
      </c>
      <c r="Q76" s="26" t="str">
        <f>IFERROR(INDEX(EXTRATO_IMPORTADO!$B$5:$B$404,MATCH(B76,EXTRATO_IMPORTADO!$I$5:$I$404,0)),"")</f>
        <v/>
      </c>
      <c r="R76" s="26" t="str">
        <f>IFERROR(MATCH(B76,EXTRATO_IMPORTADO!$I$5:$I$404,0),"")</f>
        <v/>
      </c>
      <c r="S76" s="14" t="str">
        <f t="shared" si="4"/>
        <v/>
      </c>
      <c r="T76" s="33" t="str">
        <f t="shared" si="5"/>
        <v/>
      </c>
    </row>
    <row r="77" spans="1:20" x14ac:dyDescent="0.3">
      <c r="A77" s="26">
        <f>IF(BASE_CAIXA!A74="","",BASE_CAIXA!A74)</f>
        <v>73</v>
      </c>
      <c r="B77" s="26" t="str">
        <f>IF(A77="","",BASE_CAIXA!AL74)</f>
        <v>000073-DB</v>
      </c>
      <c r="C77" s="13">
        <f>IF(A77="","",BASE_CAIXA!AJ74)</f>
        <v>46129</v>
      </c>
      <c r="D77" s="26" t="str">
        <f>IF(A77="","",IF(BASE_CAIXA!C74="Entrada","Crédito","Débito"))</f>
        <v>Débito</v>
      </c>
      <c r="E77" s="14">
        <f>IF(A77="","",BASE_CAIXA!AA74)</f>
        <v>14991.964019200001</v>
      </c>
      <c r="F77" s="26">
        <f>IF(A77="","",BASE_CAIXA!N74)</f>
        <v>0</v>
      </c>
      <c r="G77" s="26">
        <f>IF(A77="","",BASE_CAIXA!O74)</f>
        <v>0</v>
      </c>
      <c r="H77" s="26">
        <f>IF(A77="","",BASE_CAIXA!P74)</f>
        <v>0</v>
      </c>
      <c r="I77" s="26" t="str">
        <f>IF(A77="","",IF(BASE_CAIXA!H74&lt;&gt;"",BASE_CAIXA!H74,BASE_CAIXA!G74))</f>
        <v>Montagem de paredes pré-moldadas (içamento, prumo, alinhamento e escoramento com grauteamento) – até 35 t</v>
      </c>
      <c r="J77" s="26" t="str">
        <f>IF(A77="","",BASE_CAIXA!G74)</f>
        <v>Montagem de paredes pré-moldadas (içamento, prumo, alinhamento e escoramento com grauteamento) – até 35 t</v>
      </c>
      <c r="K77" s="26">
        <f>IF(A77="","",BASE_CAIXA!I74)</f>
        <v>0</v>
      </c>
      <c r="L77" s="26">
        <f>IF(A77="","",BASE_CAIXA!J74)</f>
        <v>0</v>
      </c>
      <c r="M77" s="26" t="str">
        <f>IF(A77="","",BASE_CAIXA!AM74)</f>
        <v>Montagem de paredes pré-moldadas (içamento, prumo, alinhamen</v>
      </c>
      <c r="N77" s="26" t="str">
        <f t="shared" ca="1" si="3"/>
        <v>Previsto</v>
      </c>
      <c r="O77" s="13" t="str">
        <f>IFERROR(INDEX(EXTRATO_IMPORTADO!$A$5:$A$404,MATCH(B77,EXTRATO_IMPORTADO!$I$5:$I$404,0)),"")</f>
        <v/>
      </c>
      <c r="P77" s="14" t="str">
        <f>IFERROR(INDEX(EXTRATO_IMPORTADO!$F$5:$F$404,MATCH(B77,EXTRATO_IMPORTADO!$I$5:$I$404,0)),"")</f>
        <v/>
      </c>
      <c r="Q77" s="26" t="str">
        <f>IFERROR(INDEX(EXTRATO_IMPORTADO!$B$5:$B$404,MATCH(B77,EXTRATO_IMPORTADO!$I$5:$I$404,0)),"")</f>
        <v/>
      </c>
      <c r="R77" s="26" t="str">
        <f>IFERROR(MATCH(B77,EXTRATO_IMPORTADO!$I$5:$I$404,0),"")</f>
        <v/>
      </c>
      <c r="S77" s="14" t="str">
        <f t="shared" si="4"/>
        <v/>
      </c>
      <c r="T77" s="33" t="str">
        <f t="shared" si="5"/>
        <v/>
      </c>
    </row>
    <row r="78" spans="1:20" x14ac:dyDescent="0.3">
      <c r="A78" s="26">
        <f>IF(BASE_CAIXA!A75="","",BASE_CAIXA!A75)</f>
        <v>74</v>
      </c>
      <c r="B78" s="26" t="str">
        <f>IF(A78="","",BASE_CAIXA!AL75)</f>
        <v>000074-DB</v>
      </c>
      <c r="C78" s="13">
        <f>IF(A78="","",BASE_CAIXA!AJ75)</f>
        <v>46129</v>
      </c>
      <c r="D78" s="26" t="str">
        <f>IF(A78="","",IF(BASE_CAIXA!C75="Entrada","Crédito","Débito"))</f>
        <v>Débito</v>
      </c>
      <c r="E78" s="14">
        <f>IF(A78="","",BASE_CAIXA!AA75)</f>
        <v>74656</v>
      </c>
      <c r="F78" s="26">
        <f>IF(A78="","",BASE_CAIXA!N75)</f>
        <v>0</v>
      </c>
      <c r="G78" s="26">
        <f>IF(A78="","",BASE_CAIXA!O75)</f>
        <v>0</v>
      </c>
      <c r="H78" s="26">
        <f>IF(A78="","",BASE_CAIXA!P75)</f>
        <v>0</v>
      </c>
      <c r="I78" s="26" t="str">
        <f>IF(A78="","",IF(BASE_CAIXA!H75&lt;&gt;"",BASE_CAIXA!H75,BASE_CAIXA!G75))</f>
        <v>contrato industrializaçao paredes</v>
      </c>
      <c r="J78" s="26" t="str">
        <f>IF(A78="","",BASE_CAIXA!G75)</f>
        <v>contrato industrializaçao paredes</v>
      </c>
      <c r="K78" s="26">
        <f>IF(A78="","",BASE_CAIXA!I75)</f>
        <v>0</v>
      </c>
      <c r="L78" s="26">
        <f>IF(A78="","",BASE_CAIXA!J75)</f>
        <v>0</v>
      </c>
      <c r="M78" s="26" t="str">
        <f>IF(A78="","",BASE_CAIXA!AM75)</f>
        <v>contrato industrializaçao paredes | contrato industrializaça</v>
      </c>
      <c r="N78" s="26" t="str">
        <f t="shared" ca="1" si="3"/>
        <v>Previsto</v>
      </c>
      <c r="O78" s="13" t="str">
        <f>IFERROR(INDEX(EXTRATO_IMPORTADO!$A$5:$A$404,MATCH(B78,EXTRATO_IMPORTADO!$I$5:$I$404,0)),"")</f>
        <v/>
      </c>
      <c r="P78" s="14" t="str">
        <f>IFERROR(INDEX(EXTRATO_IMPORTADO!$F$5:$F$404,MATCH(B78,EXTRATO_IMPORTADO!$I$5:$I$404,0)),"")</f>
        <v/>
      </c>
      <c r="Q78" s="26" t="str">
        <f>IFERROR(INDEX(EXTRATO_IMPORTADO!$B$5:$B$404,MATCH(B78,EXTRATO_IMPORTADO!$I$5:$I$404,0)),"")</f>
        <v/>
      </c>
      <c r="R78" s="26" t="str">
        <f>IFERROR(MATCH(B78,EXTRATO_IMPORTADO!$I$5:$I$404,0),"")</f>
        <v/>
      </c>
      <c r="S78" s="14" t="str">
        <f t="shared" si="4"/>
        <v/>
      </c>
      <c r="T78" s="33" t="str">
        <f t="shared" si="5"/>
        <v/>
      </c>
    </row>
    <row r="79" spans="1:20" x14ac:dyDescent="0.3">
      <c r="A79" s="26">
        <f>IF(BASE_CAIXA!A76="","",BASE_CAIXA!A76)</f>
        <v>75</v>
      </c>
      <c r="B79" s="26" t="str">
        <f>IF(A79="","",BASE_CAIXA!AL76)</f>
        <v>000075-DB</v>
      </c>
      <c r="C79" s="13">
        <f>IF(A79="","",BASE_CAIXA!AJ76)</f>
        <v>46129</v>
      </c>
      <c r="D79" s="26" t="str">
        <f>IF(A79="","",IF(BASE_CAIXA!C76="Entrada","Crédito","Débito"))</f>
        <v>Débito</v>
      </c>
      <c r="E79" s="14">
        <f>IF(A79="","",BASE_CAIXA!AA76)</f>
        <v>74656</v>
      </c>
      <c r="F79" s="26">
        <f>IF(A79="","",BASE_CAIXA!N76)</f>
        <v>0</v>
      </c>
      <c r="G79" s="26">
        <f>IF(A79="","",BASE_CAIXA!O76)</f>
        <v>0</v>
      </c>
      <c r="H79" s="26">
        <f>IF(A79="","",BASE_CAIXA!P76)</f>
        <v>0</v>
      </c>
      <c r="I79" s="26" t="str">
        <f>IF(A79="","",IF(BASE_CAIXA!H76&lt;&gt;"",BASE_CAIXA!H76,BASE_CAIXA!G76))</f>
        <v>contrato industrializaçao paredes</v>
      </c>
      <c r="J79" s="26" t="str">
        <f>IF(A79="","",BASE_CAIXA!G76)</f>
        <v>contrato industrializaçao paredes</v>
      </c>
      <c r="K79" s="26">
        <f>IF(A79="","",BASE_CAIXA!I76)</f>
        <v>0</v>
      </c>
      <c r="L79" s="26">
        <f>IF(A79="","",BASE_CAIXA!J76)</f>
        <v>0</v>
      </c>
      <c r="M79" s="26" t="str">
        <f>IF(A79="","",BASE_CAIXA!AM76)</f>
        <v>contrato industrializaçao paredes | contrato industrializaça</v>
      </c>
      <c r="N79" s="26" t="str">
        <f t="shared" ca="1" si="3"/>
        <v>Previsto</v>
      </c>
      <c r="O79" s="13" t="str">
        <f>IFERROR(INDEX(EXTRATO_IMPORTADO!$A$5:$A$404,MATCH(B79,EXTRATO_IMPORTADO!$I$5:$I$404,0)),"")</f>
        <v/>
      </c>
      <c r="P79" s="14" t="str">
        <f>IFERROR(INDEX(EXTRATO_IMPORTADO!$F$5:$F$404,MATCH(B79,EXTRATO_IMPORTADO!$I$5:$I$404,0)),"")</f>
        <v/>
      </c>
      <c r="Q79" s="26" t="str">
        <f>IFERROR(INDEX(EXTRATO_IMPORTADO!$B$5:$B$404,MATCH(B79,EXTRATO_IMPORTADO!$I$5:$I$404,0)),"")</f>
        <v/>
      </c>
      <c r="R79" s="26" t="str">
        <f>IFERROR(MATCH(B79,EXTRATO_IMPORTADO!$I$5:$I$404,0),"")</f>
        <v/>
      </c>
      <c r="S79" s="14" t="str">
        <f t="shared" si="4"/>
        <v/>
      </c>
      <c r="T79" s="33" t="str">
        <f t="shared" si="5"/>
        <v/>
      </c>
    </row>
    <row r="80" spans="1:20" x14ac:dyDescent="0.3">
      <c r="A80" s="26">
        <f>IF(BASE_CAIXA!A77="","",BASE_CAIXA!A77)</f>
        <v>76</v>
      </c>
      <c r="B80" s="26" t="str">
        <f>IF(A80="","",BASE_CAIXA!AL77)</f>
        <v>000076-DB</v>
      </c>
      <c r="C80" s="13">
        <f>IF(A80="","",BASE_CAIXA!AJ77)</f>
        <v>46129</v>
      </c>
      <c r="D80" s="26" t="str">
        <f>IF(A80="","",IF(BASE_CAIXA!C77="Entrada","Crédito","Débito"))</f>
        <v>Débito</v>
      </c>
      <c r="E80" s="14">
        <f>IF(A80="","",BASE_CAIXA!AA77)</f>
        <v>89587.199999999997</v>
      </c>
      <c r="F80" s="26">
        <f>IF(A80="","",BASE_CAIXA!N77)</f>
        <v>0</v>
      </c>
      <c r="G80" s="26">
        <f>IF(A80="","",BASE_CAIXA!O77)</f>
        <v>0</v>
      </c>
      <c r="H80" s="26">
        <f>IF(A80="","",BASE_CAIXA!P77)</f>
        <v>0</v>
      </c>
      <c r="I80" s="26" t="str">
        <f>IF(A80="","",IF(BASE_CAIXA!H77&lt;&gt;"",BASE_CAIXA!H77,BASE_CAIXA!G77))</f>
        <v>contrato industrializaçao paredes</v>
      </c>
      <c r="J80" s="26" t="str">
        <f>IF(A80="","",BASE_CAIXA!G77)</f>
        <v>contrato industrializaçao paredes</v>
      </c>
      <c r="K80" s="26">
        <f>IF(A80="","",BASE_CAIXA!I77)</f>
        <v>0</v>
      </c>
      <c r="L80" s="26">
        <f>IF(A80="","",BASE_CAIXA!J77)</f>
        <v>0</v>
      </c>
      <c r="M80" s="26" t="str">
        <f>IF(A80="","",BASE_CAIXA!AM77)</f>
        <v>contrato industrializaçao paredes | contrato industrializaça</v>
      </c>
      <c r="N80" s="26" t="str">
        <f t="shared" ca="1" si="3"/>
        <v>Previsto</v>
      </c>
      <c r="O80" s="13" t="str">
        <f>IFERROR(INDEX(EXTRATO_IMPORTADO!$A$5:$A$404,MATCH(B80,EXTRATO_IMPORTADO!$I$5:$I$404,0)),"")</f>
        <v/>
      </c>
      <c r="P80" s="14" t="str">
        <f>IFERROR(INDEX(EXTRATO_IMPORTADO!$F$5:$F$404,MATCH(B80,EXTRATO_IMPORTADO!$I$5:$I$404,0)),"")</f>
        <v/>
      </c>
      <c r="Q80" s="26" t="str">
        <f>IFERROR(INDEX(EXTRATO_IMPORTADO!$B$5:$B$404,MATCH(B80,EXTRATO_IMPORTADO!$I$5:$I$404,0)),"")</f>
        <v/>
      </c>
      <c r="R80" s="26" t="str">
        <f>IFERROR(MATCH(B80,EXTRATO_IMPORTADO!$I$5:$I$404,0),"")</f>
        <v/>
      </c>
      <c r="S80" s="14" t="str">
        <f t="shared" si="4"/>
        <v/>
      </c>
      <c r="T80" s="33" t="str">
        <f t="shared" si="5"/>
        <v/>
      </c>
    </row>
    <row r="81" spans="1:20" x14ac:dyDescent="0.3">
      <c r="A81" s="26">
        <f>IF(BASE_CAIXA!A78="","",BASE_CAIXA!A78)</f>
        <v>77</v>
      </c>
      <c r="B81" s="26" t="str">
        <f>IF(A81="","",BASE_CAIXA!AL78)</f>
        <v>000077-DB</v>
      </c>
      <c r="C81" s="13">
        <f>IF(A81="","",BASE_CAIXA!AJ78)</f>
        <v>46129</v>
      </c>
      <c r="D81" s="26" t="str">
        <f>IF(A81="","",IF(BASE_CAIXA!C78="Entrada","Crédito","Débito"))</f>
        <v>Débito</v>
      </c>
      <c r="E81" s="14">
        <f>IF(A81="","",BASE_CAIXA!AA78)</f>
        <v>38381.900689655173</v>
      </c>
      <c r="F81" s="26">
        <f>IF(A81="","",BASE_CAIXA!N78)</f>
        <v>0</v>
      </c>
      <c r="G81" s="26">
        <f>IF(A81="","",BASE_CAIXA!O78)</f>
        <v>0</v>
      </c>
      <c r="H81" s="26">
        <f>IF(A81="","",BASE_CAIXA!P78)</f>
        <v>0</v>
      </c>
      <c r="I81" s="26" t="str">
        <f>IF(A81="","",IF(BASE_CAIXA!H78&lt;&gt;"",BASE_CAIXA!H78,BASE_CAIXA!G78))</f>
        <v>material CIMENTO : KIT Parede e Laje - FOB na Fabrica</v>
      </c>
      <c r="J81" s="26" t="str">
        <f>IF(A81="","",BASE_CAIXA!G78)</f>
        <v>material CIMENTO : KIT Parede e Laje - FOB na Fabrica</v>
      </c>
      <c r="K81" s="26">
        <f>IF(A81="","",BASE_CAIXA!I78)</f>
        <v>0</v>
      </c>
      <c r="L81" s="26">
        <f>IF(A81="","",BASE_CAIXA!J78)</f>
        <v>0</v>
      </c>
      <c r="M81" s="26" t="str">
        <f>IF(A81="","",BASE_CAIXA!AM78)</f>
        <v>material CIMENTO : KIT Parede e Laje - FOB na Fabrica | mate</v>
      </c>
      <c r="N81" s="26" t="str">
        <f t="shared" ca="1" si="3"/>
        <v>Previsto</v>
      </c>
      <c r="O81" s="13" t="str">
        <f>IFERROR(INDEX(EXTRATO_IMPORTADO!$A$5:$A$404,MATCH(B81,EXTRATO_IMPORTADO!$I$5:$I$404,0)),"")</f>
        <v/>
      </c>
      <c r="P81" s="14" t="str">
        <f>IFERROR(INDEX(EXTRATO_IMPORTADO!$F$5:$F$404,MATCH(B81,EXTRATO_IMPORTADO!$I$5:$I$404,0)),"")</f>
        <v/>
      </c>
      <c r="Q81" s="26" t="str">
        <f>IFERROR(INDEX(EXTRATO_IMPORTADO!$B$5:$B$404,MATCH(B81,EXTRATO_IMPORTADO!$I$5:$I$404,0)),"")</f>
        <v/>
      </c>
      <c r="R81" s="26" t="str">
        <f>IFERROR(MATCH(B81,EXTRATO_IMPORTADO!$I$5:$I$404,0),"")</f>
        <v/>
      </c>
      <c r="S81" s="14" t="str">
        <f t="shared" si="4"/>
        <v/>
      </c>
      <c r="T81" s="33" t="str">
        <f t="shared" si="5"/>
        <v/>
      </c>
    </row>
    <row r="82" spans="1:20" x14ac:dyDescent="0.3">
      <c r="A82" s="26">
        <f>IF(BASE_CAIXA!A79="","",BASE_CAIXA!A79)</f>
        <v>78</v>
      </c>
      <c r="B82" s="26" t="str">
        <f>IF(A82="","",BASE_CAIXA!AL79)</f>
        <v>000078-DB</v>
      </c>
      <c r="C82" s="13">
        <f>IF(A82="","",BASE_CAIXA!AJ79)</f>
        <v>46129</v>
      </c>
      <c r="D82" s="26" t="str">
        <f>IF(A82="","",IF(BASE_CAIXA!C79="Entrada","Crédito","Débito"))</f>
        <v>Débito</v>
      </c>
      <c r="E82" s="14">
        <f>IF(A82="","",BASE_CAIXA!AA79)</f>
        <v>38381.900689655173</v>
      </c>
      <c r="F82" s="26">
        <f>IF(A82="","",BASE_CAIXA!N79)</f>
        <v>0</v>
      </c>
      <c r="G82" s="26">
        <f>IF(A82="","",BASE_CAIXA!O79)</f>
        <v>0</v>
      </c>
      <c r="H82" s="26">
        <f>IF(A82="","",BASE_CAIXA!P79)</f>
        <v>0</v>
      </c>
      <c r="I82" s="26" t="str">
        <f>IF(A82="","",IF(BASE_CAIXA!H79&lt;&gt;"",BASE_CAIXA!H79,BASE_CAIXA!G79))</f>
        <v>material CIMENTO : KIT Parede e Laje - FOB na Fabrica</v>
      </c>
      <c r="J82" s="26" t="str">
        <f>IF(A82="","",BASE_CAIXA!G79)</f>
        <v>material CIMENTO : KIT Parede e Laje - FOB na Fabrica</v>
      </c>
      <c r="K82" s="26">
        <f>IF(A82="","",BASE_CAIXA!I79)</f>
        <v>0</v>
      </c>
      <c r="L82" s="26">
        <f>IF(A82="","",BASE_CAIXA!J79)</f>
        <v>0</v>
      </c>
      <c r="M82" s="26" t="str">
        <f>IF(A82="","",BASE_CAIXA!AM79)</f>
        <v>material CIMENTO : KIT Parede e Laje - FOB na Fabrica | mate</v>
      </c>
      <c r="N82" s="26" t="str">
        <f t="shared" ca="1" si="3"/>
        <v>Previsto</v>
      </c>
      <c r="O82" s="13" t="str">
        <f>IFERROR(INDEX(EXTRATO_IMPORTADO!$A$5:$A$404,MATCH(B82,EXTRATO_IMPORTADO!$I$5:$I$404,0)),"")</f>
        <v/>
      </c>
      <c r="P82" s="14" t="str">
        <f>IFERROR(INDEX(EXTRATO_IMPORTADO!$F$5:$F$404,MATCH(B82,EXTRATO_IMPORTADO!$I$5:$I$404,0)),"")</f>
        <v/>
      </c>
      <c r="Q82" s="26" t="str">
        <f>IFERROR(INDEX(EXTRATO_IMPORTADO!$B$5:$B$404,MATCH(B82,EXTRATO_IMPORTADO!$I$5:$I$404,0)),"")</f>
        <v/>
      </c>
      <c r="R82" s="26" t="str">
        <f>IFERROR(MATCH(B82,EXTRATO_IMPORTADO!$I$5:$I$404,0),"")</f>
        <v/>
      </c>
      <c r="S82" s="14" t="str">
        <f t="shared" si="4"/>
        <v/>
      </c>
      <c r="T82" s="33" t="str">
        <f t="shared" si="5"/>
        <v/>
      </c>
    </row>
    <row r="83" spans="1:20" x14ac:dyDescent="0.3">
      <c r="A83" s="26">
        <f>IF(BASE_CAIXA!A80="","",BASE_CAIXA!A80)</f>
        <v>79</v>
      </c>
      <c r="B83" s="26" t="str">
        <f>IF(A83="","",BASE_CAIXA!AL80)</f>
        <v>000079-DB</v>
      </c>
      <c r="C83" s="13">
        <f>IF(A83="","",BASE_CAIXA!AJ80)</f>
        <v>46129</v>
      </c>
      <c r="D83" s="26" t="str">
        <f>IF(A83="","",IF(BASE_CAIXA!C80="Entrada","Crédito","Débito"))</f>
        <v>Débito</v>
      </c>
      <c r="E83" s="14">
        <f>IF(A83="","",BASE_CAIXA!AA80)</f>
        <v>46058.280827586197</v>
      </c>
      <c r="F83" s="26">
        <f>IF(A83="","",BASE_CAIXA!N80)</f>
        <v>0</v>
      </c>
      <c r="G83" s="26">
        <f>IF(A83="","",BASE_CAIXA!O80)</f>
        <v>0</v>
      </c>
      <c r="H83" s="26">
        <f>IF(A83="","",BASE_CAIXA!P80)</f>
        <v>0</v>
      </c>
      <c r="I83" s="26" t="str">
        <f>IF(A83="","",IF(BASE_CAIXA!H80&lt;&gt;"",BASE_CAIXA!H80,BASE_CAIXA!G80))</f>
        <v>material CIMENTO : KIT Parede e Laje - FOB na Fabrica</v>
      </c>
      <c r="J83" s="26" t="str">
        <f>IF(A83="","",BASE_CAIXA!G80)</f>
        <v>material CIMENTO : KIT Parede e Laje - FOB na Fabrica</v>
      </c>
      <c r="K83" s="26">
        <f>IF(A83="","",BASE_CAIXA!I80)</f>
        <v>0</v>
      </c>
      <c r="L83" s="26">
        <f>IF(A83="","",BASE_CAIXA!J80)</f>
        <v>0</v>
      </c>
      <c r="M83" s="26" t="str">
        <f>IF(A83="","",BASE_CAIXA!AM80)</f>
        <v>material CIMENTO : KIT Parede e Laje - FOB na Fabrica | mate</v>
      </c>
      <c r="N83" s="26" t="str">
        <f t="shared" ca="1" si="3"/>
        <v>Previsto</v>
      </c>
      <c r="O83" s="13" t="str">
        <f>IFERROR(INDEX(EXTRATO_IMPORTADO!$A$5:$A$404,MATCH(B83,EXTRATO_IMPORTADO!$I$5:$I$404,0)),"")</f>
        <v/>
      </c>
      <c r="P83" s="14" t="str">
        <f>IFERROR(INDEX(EXTRATO_IMPORTADO!$F$5:$F$404,MATCH(B83,EXTRATO_IMPORTADO!$I$5:$I$404,0)),"")</f>
        <v/>
      </c>
      <c r="Q83" s="26" t="str">
        <f>IFERROR(INDEX(EXTRATO_IMPORTADO!$B$5:$B$404,MATCH(B83,EXTRATO_IMPORTADO!$I$5:$I$404,0)),"")</f>
        <v/>
      </c>
      <c r="R83" s="26" t="str">
        <f>IFERROR(MATCH(B83,EXTRATO_IMPORTADO!$I$5:$I$404,0),"")</f>
        <v/>
      </c>
      <c r="S83" s="14" t="str">
        <f t="shared" si="4"/>
        <v/>
      </c>
      <c r="T83" s="33" t="str">
        <f t="shared" si="5"/>
        <v/>
      </c>
    </row>
    <row r="84" spans="1:20" x14ac:dyDescent="0.3">
      <c r="A84" s="26">
        <f>IF(BASE_CAIXA!A81="","",BASE_CAIXA!A81)</f>
        <v>80</v>
      </c>
      <c r="B84" s="26" t="str">
        <f>IF(A84="","",BASE_CAIXA!AL81)</f>
        <v>000080-DB</v>
      </c>
      <c r="C84" s="13">
        <f>IF(A84="","",BASE_CAIXA!AJ81)</f>
        <v>46129</v>
      </c>
      <c r="D84" s="26" t="str">
        <f>IF(A84="","",IF(BASE_CAIXA!C81="Entrada","Crédito","Débito"))</f>
        <v>Débito</v>
      </c>
      <c r="E84" s="14">
        <f>IF(A84="","",BASE_CAIXA!AA81)</f>
        <v>19437.767131594901</v>
      </c>
      <c r="F84" s="26">
        <f>IF(A84="","",BASE_CAIXA!N81)</f>
        <v>0</v>
      </c>
      <c r="G84" s="26">
        <f>IF(A84="","",BASE_CAIXA!O81)</f>
        <v>0</v>
      </c>
      <c r="H84" s="26">
        <f>IF(A84="","",BASE_CAIXA!P81)</f>
        <v>0</v>
      </c>
      <c r="I84" s="26" t="str">
        <f>IF(A84="","",IF(BASE_CAIXA!H81&lt;&gt;"",BASE_CAIXA!H81,BASE_CAIXA!G81))</f>
        <v>material FERRO: KIT Parede e Laje - FOB na Fabrica</v>
      </c>
      <c r="J84" s="26" t="str">
        <f>IF(A84="","",BASE_CAIXA!G81)</f>
        <v>material FERRO: KIT Parede e Laje - FOB na Fabrica</v>
      </c>
      <c r="K84" s="26">
        <f>IF(A84="","",BASE_CAIXA!I81)</f>
        <v>0</v>
      </c>
      <c r="L84" s="26">
        <f>IF(A84="","",BASE_CAIXA!J81)</f>
        <v>0</v>
      </c>
      <c r="M84" s="26" t="str">
        <f>IF(A84="","",BASE_CAIXA!AM81)</f>
        <v>material FERRO: KIT Parede e Laje - FOB na Fabrica | materia</v>
      </c>
      <c r="N84" s="26" t="str">
        <f t="shared" ca="1" si="3"/>
        <v>Previsto</v>
      </c>
      <c r="O84" s="13" t="str">
        <f>IFERROR(INDEX(EXTRATO_IMPORTADO!$A$5:$A$404,MATCH(B84,EXTRATO_IMPORTADO!$I$5:$I$404,0)),"")</f>
        <v/>
      </c>
      <c r="P84" s="14" t="str">
        <f>IFERROR(INDEX(EXTRATO_IMPORTADO!$F$5:$F$404,MATCH(B84,EXTRATO_IMPORTADO!$I$5:$I$404,0)),"")</f>
        <v/>
      </c>
      <c r="Q84" s="26" t="str">
        <f>IFERROR(INDEX(EXTRATO_IMPORTADO!$B$5:$B$404,MATCH(B84,EXTRATO_IMPORTADO!$I$5:$I$404,0)),"")</f>
        <v/>
      </c>
      <c r="R84" s="26" t="str">
        <f>IFERROR(MATCH(B84,EXTRATO_IMPORTADO!$I$5:$I$404,0),"")</f>
        <v/>
      </c>
      <c r="S84" s="14" t="str">
        <f t="shared" si="4"/>
        <v/>
      </c>
      <c r="T84" s="33" t="str">
        <f t="shared" si="5"/>
        <v/>
      </c>
    </row>
    <row r="85" spans="1:20" x14ac:dyDescent="0.3">
      <c r="A85" s="26">
        <f>IF(BASE_CAIXA!A82="","",BASE_CAIXA!A82)</f>
        <v>81</v>
      </c>
      <c r="B85" s="26" t="str">
        <f>IF(A85="","",BASE_CAIXA!AL82)</f>
        <v>000081-DB</v>
      </c>
      <c r="C85" s="13">
        <f>IF(A85="","",BASE_CAIXA!AJ82)</f>
        <v>46129</v>
      </c>
      <c r="D85" s="26" t="str">
        <f>IF(A85="","",IF(BASE_CAIXA!C82="Entrada","Crédito","Débito"))</f>
        <v>Débito</v>
      </c>
      <c r="E85" s="14">
        <f>IF(A85="","",BASE_CAIXA!AA82)</f>
        <v>19437.767131594901</v>
      </c>
      <c r="F85" s="26">
        <f>IF(A85="","",BASE_CAIXA!N82)</f>
        <v>0</v>
      </c>
      <c r="G85" s="26">
        <f>IF(A85="","",BASE_CAIXA!O82)</f>
        <v>0</v>
      </c>
      <c r="H85" s="26">
        <f>IF(A85="","",BASE_CAIXA!P82)</f>
        <v>0</v>
      </c>
      <c r="I85" s="26" t="str">
        <f>IF(A85="","",IF(BASE_CAIXA!H82&lt;&gt;"",BASE_CAIXA!H82,BASE_CAIXA!G82))</f>
        <v>material FERRO: KIT Parede e Laje - FOB na Fabrica</v>
      </c>
      <c r="J85" s="26" t="str">
        <f>IF(A85="","",BASE_CAIXA!G82)</f>
        <v>material FERRO: KIT Parede e Laje - FOB na Fabrica</v>
      </c>
      <c r="K85" s="26">
        <f>IF(A85="","",BASE_CAIXA!I82)</f>
        <v>0</v>
      </c>
      <c r="L85" s="26">
        <f>IF(A85="","",BASE_CAIXA!J82)</f>
        <v>0</v>
      </c>
      <c r="M85" s="26" t="str">
        <f>IF(A85="","",BASE_CAIXA!AM82)</f>
        <v>material FERRO: KIT Parede e Laje - FOB na Fabrica | materia</v>
      </c>
      <c r="N85" s="26" t="str">
        <f t="shared" ca="1" si="3"/>
        <v>Previsto</v>
      </c>
      <c r="O85" s="13" t="str">
        <f>IFERROR(INDEX(EXTRATO_IMPORTADO!$A$5:$A$404,MATCH(B85,EXTRATO_IMPORTADO!$I$5:$I$404,0)),"")</f>
        <v/>
      </c>
      <c r="P85" s="14" t="str">
        <f>IFERROR(INDEX(EXTRATO_IMPORTADO!$F$5:$F$404,MATCH(B85,EXTRATO_IMPORTADO!$I$5:$I$404,0)),"")</f>
        <v/>
      </c>
      <c r="Q85" s="26" t="str">
        <f>IFERROR(INDEX(EXTRATO_IMPORTADO!$B$5:$B$404,MATCH(B85,EXTRATO_IMPORTADO!$I$5:$I$404,0)),"")</f>
        <v/>
      </c>
      <c r="R85" s="26" t="str">
        <f>IFERROR(MATCH(B85,EXTRATO_IMPORTADO!$I$5:$I$404,0),"")</f>
        <v/>
      </c>
      <c r="S85" s="14" t="str">
        <f t="shared" si="4"/>
        <v/>
      </c>
      <c r="T85" s="33" t="str">
        <f t="shared" si="5"/>
        <v/>
      </c>
    </row>
    <row r="86" spans="1:20" x14ac:dyDescent="0.3">
      <c r="A86" s="26">
        <f>IF(BASE_CAIXA!A83="","",BASE_CAIXA!A83)</f>
        <v>82</v>
      </c>
      <c r="B86" s="26" t="str">
        <f>IF(A86="","",BASE_CAIXA!AL83)</f>
        <v>000082-DB</v>
      </c>
      <c r="C86" s="13">
        <f>IF(A86="","",BASE_CAIXA!AJ83)</f>
        <v>46129</v>
      </c>
      <c r="D86" s="26" t="str">
        <f>IF(A86="","",IF(BASE_CAIXA!C83="Entrada","Crédito","Débito"))</f>
        <v>Débito</v>
      </c>
      <c r="E86" s="14">
        <f>IF(A86="","",BASE_CAIXA!AA83)</f>
        <v>23325.320557913881</v>
      </c>
      <c r="F86" s="26">
        <f>IF(A86="","",BASE_CAIXA!N83)</f>
        <v>0</v>
      </c>
      <c r="G86" s="26">
        <f>IF(A86="","",BASE_CAIXA!O83)</f>
        <v>0</v>
      </c>
      <c r="H86" s="26">
        <f>IF(A86="","",BASE_CAIXA!P83)</f>
        <v>0</v>
      </c>
      <c r="I86" s="26" t="str">
        <f>IF(A86="","",IF(BASE_CAIXA!H83&lt;&gt;"",BASE_CAIXA!H83,BASE_CAIXA!G83))</f>
        <v>material FERRO: KIT Parede e Laje - FOB na Fabrica</v>
      </c>
      <c r="J86" s="26" t="str">
        <f>IF(A86="","",BASE_CAIXA!G83)</f>
        <v>material FERRO: KIT Parede e Laje - FOB na Fabrica</v>
      </c>
      <c r="K86" s="26">
        <f>IF(A86="","",BASE_CAIXA!I83)</f>
        <v>0</v>
      </c>
      <c r="L86" s="26">
        <f>IF(A86="","",BASE_CAIXA!J83)</f>
        <v>0</v>
      </c>
      <c r="M86" s="26" t="str">
        <f>IF(A86="","",BASE_CAIXA!AM83)</f>
        <v>material FERRO: KIT Parede e Laje - FOB na Fabrica | materia</v>
      </c>
      <c r="N86" s="26" t="str">
        <f t="shared" ca="1" si="3"/>
        <v>Previsto</v>
      </c>
      <c r="O86" s="13" t="str">
        <f>IFERROR(INDEX(EXTRATO_IMPORTADO!$A$5:$A$404,MATCH(B86,EXTRATO_IMPORTADO!$I$5:$I$404,0)),"")</f>
        <v/>
      </c>
      <c r="P86" s="14" t="str">
        <f>IFERROR(INDEX(EXTRATO_IMPORTADO!$F$5:$F$404,MATCH(B86,EXTRATO_IMPORTADO!$I$5:$I$404,0)),"")</f>
        <v/>
      </c>
      <c r="Q86" s="26" t="str">
        <f>IFERROR(INDEX(EXTRATO_IMPORTADO!$B$5:$B$404,MATCH(B86,EXTRATO_IMPORTADO!$I$5:$I$404,0)),"")</f>
        <v/>
      </c>
      <c r="R86" s="26" t="str">
        <f>IFERROR(MATCH(B86,EXTRATO_IMPORTADO!$I$5:$I$404,0),"")</f>
        <v/>
      </c>
      <c r="S86" s="14" t="str">
        <f t="shared" si="4"/>
        <v/>
      </c>
      <c r="T86" s="33" t="str">
        <f t="shared" si="5"/>
        <v/>
      </c>
    </row>
    <row r="87" spans="1:20" x14ac:dyDescent="0.3">
      <c r="A87" s="26">
        <f>IF(BASE_CAIXA!A84="","",BASE_CAIXA!A84)</f>
        <v>83</v>
      </c>
      <c r="B87" s="26" t="str">
        <f>IF(A87="","",BASE_CAIXA!AL84)</f>
        <v>000083-DB</v>
      </c>
      <c r="C87" s="13">
        <f>IF(A87="","",BASE_CAIXA!AJ84)</f>
        <v>46129</v>
      </c>
      <c r="D87" s="26" t="str">
        <f>IF(A87="","",IF(BASE_CAIXA!C84="Entrada","Crédito","Débito"))</f>
        <v>Débito</v>
      </c>
      <c r="E87" s="14">
        <f>IF(A87="","",BASE_CAIXA!AA84)</f>
        <v>8462.6841600000007</v>
      </c>
      <c r="F87" s="26">
        <f>IF(A87="","",BASE_CAIXA!N84)</f>
        <v>0</v>
      </c>
      <c r="G87" s="26">
        <f>IF(A87="","",BASE_CAIXA!O84)</f>
        <v>0</v>
      </c>
      <c r="H87" s="26">
        <f>IF(A87="","",BASE_CAIXA!P84)</f>
        <v>0</v>
      </c>
      <c r="I87" s="26" t="str">
        <f>IF(A87="","",IF(BASE_CAIXA!H84&lt;&gt;"",BASE_CAIXA!H84,BASE_CAIXA!G84))</f>
        <v>Mao de obra terceirizada assentamento Ceramica</v>
      </c>
      <c r="J87" s="26" t="str">
        <f>IF(A87="","",BASE_CAIXA!G84)</f>
        <v>Mao de obra terceirizada assentamento Ceramica</v>
      </c>
      <c r="K87" s="26">
        <f>IF(A87="","",BASE_CAIXA!I84)</f>
        <v>0</v>
      </c>
      <c r="L87" s="26">
        <f>IF(A87="","",BASE_CAIXA!J84)</f>
        <v>0</v>
      </c>
      <c r="M87" s="26" t="str">
        <f>IF(A87="","",BASE_CAIXA!AM84)</f>
        <v>Mao de obra terceirizada assentamento Ceramica | Mao de obra</v>
      </c>
      <c r="N87" s="26" t="str">
        <f t="shared" ca="1" si="3"/>
        <v>Previsto</v>
      </c>
      <c r="O87" s="13" t="str">
        <f>IFERROR(INDEX(EXTRATO_IMPORTADO!$A$5:$A$404,MATCH(B87,EXTRATO_IMPORTADO!$I$5:$I$404,0)),"")</f>
        <v/>
      </c>
      <c r="P87" s="14" t="str">
        <f>IFERROR(INDEX(EXTRATO_IMPORTADO!$F$5:$F$404,MATCH(B87,EXTRATO_IMPORTADO!$I$5:$I$404,0)),"")</f>
        <v/>
      </c>
      <c r="Q87" s="26" t="str">
        <f>IFERROR(INDEX(EXTRATO_IMPORTADO!$B$5:$B$404,MATCH(B87,EXTRATO_IMPORTADO!$I$5:$I$404,0)),"")</f>
        <v/>
      </c>
      <c r="R87" s="26" t="str">
        <f>IFERROR(MATCH(B87,EXTRATO_IMPORTADO!$I$5:$I$404,0),"")</f>
        <v/>
      </c>
      <c r="S87" s="14" t="str">
        <f t="shared" si="4"/>
        <v/>
      </c>
      <c r="T87" s="33" t="str">
        <f t="shared" si="5"/>
        <v/>
      </c>
    </row>
    <row r="88" spans="1:20" x14ac:dyDescent="0.3">
      <c r="A88" s="26">
        <f>IF(BASE_CAIXA!A85="","",BASE_CAIXA!A85)</f>
        <v>84</v>
      </c>
      <c r="B88" s="26" t="str">
        <f>IF(A88="","",BASE_CAIXA!AL85)</f>
        <v>000084-DB</v>
      </c>
      <c r="C88" s="13">
        <f>IF(A88="","",BASE_CAIXA!AJ85)</f>
        <v>46129</v>
      </c>
      <c r="D88" s="26" t="str">
        <f>IF(A88="","",IF(BASE_CAIXA!C85="Entrada","Crédito","Débito"))</f>
        <v>Débito</v>
      </c>
      <c r="E88" s="14">
        <f>IF(A88="","",BASE_CAIXA!AA85)</f>
        <v>4400</v>
      </c>
      <c r="F88" s="26">
        <f>IF(A88="","",BASE_CAIXA!N85)</f>
        <v>0</v>
      </c>
      <c r="G88" s="26">
        <f>IF(A88="","",BASE_CAIXA!O85)</f>
        <v>0</v>
      </c>
      <c r="H88" s="26">
        <f>IF(A88="","",BASE_CAIXA!P85)</f>
        <v>0</v>
      </c>
      <c r="I88" s="26" t="str">
        <f>IF(A88="","",IF(BASE_CAIXA!H85&lt;&gt;"",BASE_CAIXA!H85,BASE_CAIXA!G85))</f>
        <v>Bomba de concreto  ( Taxa divide 1 casa e 1 radier )</v>
      </c>
      <c r="J88" s="26" t="str">
        <f>IF(A88="","",BASE_CAIXA!G85)</f>
        <v>Bomba de concreto  ( Taxa divide 1 casa e 1 radier )</v>
      </c>
      <c r="K88" s="26">
        <f>IF(A88="","",BASE_CAIXA!I85)</f>
        <v>0</v>
      </c>
      <c r="L88" s="26">
        <f>IF(A88="","",BASE_CAIXA!J85)</f>
        <v>0</v>
      </c>
      <c r="M88" s="26" t="str">
        <f>IF(A88="","",BASE_CAIXA!AM85)</f>
        <v>Bomba de concreto  ( Taxa divide 1 casa e 1 radier ) | Bomba</v>
      </c>
      <c r="N88" s="26" t="str">
        <f t="shared" ca="1" si="3"/>
        <v>Previsto</v>
      </c>
      <c r="O88" s="13" t="str">
        <f>IFERROR(INDEX(EXTRATO_IMPORTADO!$A$5:$A$404,MATCH(B88,EXTRATO_IMPORTADO!$I$5:$I$404,0)),"")</f>
        <v/>
      </c>
      <c r="P88" s="14" t="str">
        <f>IFERROR(INDEX(EXTRATO_IMPORTADO!$F$5:$F$404,MATCH(B88,EXTRATO_IMPORTADO!$I$5:$I$404,0)),"")</f>
        <v/>
      </c>
      <c r="Q88" s="26" t="str">
        <f>IFERROR(INDEX(EXTRATO_IMPORTADO!$B$5:$B$404,MATCH(B88,EXTRATO_IMPORTADO!$I$5:$I$404,0)),"")</f>
        <v/>
      </c>
      <c r="R88" s="26" t="str">
        <f>IFERROR(MATCH(B88,EXTRATO_IMPORTADO!$I$5:$I$404,0),"")</f>
        <v/>
      </c>
      <c r="S88" s="14" t="str">
        <f t="shared" si="4"/>
        <v/>
      </c>
      <c r="T88" s="33" t="str">
        <f t="shared" si="5"/>
        <v/>
      </c>
    </row>
    <row r="89" spans="1:20" x14ac:dyDescent="0.3">
      <c r="A89" s="26">
        <f>IF(BASE_CAIXA!A86="","",BASE_CAIXA!A86)</f>
        <v>85</v>
      </c>
      <c r="B89" s="26" t="str">
        <f>IF(A89="","",BASE_CAIXA!AL86)</f>
        <v>000085-DB</v>
      </c>
      <c r="C89" s="13">
        <f>IF(A89="","",BASE_CAIXA!AJ86)</f>
        <v>46129</v>
      </c>
      <c r="D89" s="26" t="str">
        <f>IF(A89="","",IF(BASE_CAIXA!C86="Entrada","Crédito","Débito"))</f>
        <v>Débito</v>
      </c>
      <c r="E89" s="14">
        <f>IF(A89="","",BASE_CAIXA!AA86)</f>
        <v>16921.486400000002</v>
      </c>
      <c r="F89" s="26">
        <f>IF(A89="","",BASE_CAIXA!N86)</f>
        <v>0</v>
      </c>
      <c r="G89" s="26">
        <f>IF(A89="","",BASE_CAIXA!O86)</f>
        <v>0</v>
      </c>
      <c r="H89" s="26">
        <f>IF(A89="","",BASE_CAIXA!P86)</f>
        <v>0</v>
      </c>
      <c r="I89" s="26" t="str">
        <f>IF(A89="","",IF(BASE_CAIXA!H86&lt;&gt;"",BASE_CAIXA!H86,BASE_CAIXA!G86))</f>
        <v>Brita graduada (lastro para nivelamento) - 10 cm esp.; 15% penetração no solo</v>
      </c>
      <c r="J89" s="26" t="str">
        <f>IF(A89="","",BASE_CAIXA!G86)</f>
        <v>Brita graduada (lastro para nivelamento) - 10 cm esp.; 15% penetração no solo</v>
      </c>
      <c r="K89" s="26">
        <f>IF(A89="","",BASE_CAIXA!I86)</f>
        <v>0</v>
      </c>
      <c r="L89" s="26">
        <f>IF(A89="","",BASE_CAIXA!J86)</f>
        <v>0</v>
      </c>
      <c r="M89" s="26" t="str">
        <f>IF(A89="","",BASE_CAIXA!AM86)</f>
        <v>Brita graduada (lastro para nivelamento) - 10 cm esp.; 15% p</v>
      </c>
      <c r="N89" s="26" t="str">
        <f t="shared" ca="1" si="3"/>
        <v>Previsto</v>
      </c>
      <c r="O89" s="13" t="str">
        <f>IFERROR(INDEX(EXTRATO_IMPORTADO!$A$5:$A$404,MATCH(B89,EXTRATO_IMPORTADO!$I$5:$I$404,0)),"")</f>
        <v/>
      </c>
      <c r="P89" s="14" t="str">
        <f>IFERROR(INDEX(EXTRATO_IMPORTADO!$F$5:$F$404,MATCH(B89,EXTRATO_IMPORTADO!$I$5:$I$404,0)),"")</f>
        <v/>
      </c>
      <c r="Q89" s="26" t="str">
        <f>IFERROR(INDEX(EXTRATO_IMPORTADO!$B$5:$B$404,MATCH(B89,EXTRATO_IMPORTADO!$I$5:$I$404,0)),"")</f>
        <v/>
      </c>
      <c r="R89" s="26" t="str">
        <f>IFERROR(MATCH(B89,EXTRATO_IMPORTADO!$I$5:$I$404,0),"")</f>
        <v/>
      </c>
      <c r="S89" s="14" t="str">
        <f t="shared" si="4"/>
        <v/>
      </c>
      <c r="T89" s="33" t="str">
        <f t="shared" si="5"/>
        <v/>
      </c>
    </row>
    <row r="90" spans="1:20" x14ac:dyDescent="0.3">
      <c r="A90" s="26">
        <f>IF(BASE_CAIXA!A87="","",BASE_CAIXA!A87)</f>
        <v>86</v>
      </c>
      <c r="B90" s="26" t="str">
        <f>IF(A90="","",BASE_CAIXA!AL87)</f>
        <v>000086-DB</v>
      </c>
      <c r="C90" s="13">
        <f>IF(A90="","",BASE_CAIXA!AJ87)</f>
        <v>46129</v>
      </c>
      <c r="D90" s="26" t="str">
        <f>IF(A90="","",IF(BASE_CAIXA!C87="Entrada","Crédito","Débito"))</f>
        <v>Débito</v>
      </c>
      <c r="E90" s="14">
        <f>IF(A90="","",BASE_CAIXA!AA87)</f>
        <v>79635.199999999997</v>
      </c>
      <c r="F90" s="26">
        <f>IF(A90="","",BASE_CAIXA!N87)</f>
        <v>0</v>
      </c>
      <c r="G90" s="26">
        <f>IF(A90="","",BASE_CAIXA!O87)</f>
        <v>0</v>
      </c>
      <c r="H90" s="26">
        <f>IF(A90="","",BASE_CAIXA!P87)</f>
        <v>0</v>
      </c>
      <c r="I90" s="26" t="str">
        <f>IF(A90="","",IF(BASE_CAIXA!H87&lt;&gt;"",BASE_CAIXA!H87,BASE_CAIXA!G87))</f>
        <v>Concreto Usinado fck - 25 Mpa ( Com perda de 10%) - SEM IMPERMEABILIZANTE - 140 +- 30 slump</v>
      </c>
      <c r="J90" s="26" t="str">
        <f>IF(A90="","",BASE_CAIXA!G87)</f>
        <v>Concreto Usinado fck - 25 Mpa ( Com perda de 10%) - SEM IMPERMEABILIZANTE - 140 +- 30 slump</v>
      </c>
      <c r="K90" s="26">
        <f>IF(A90="","",BASE_CAIXA!I87)</f>
        <v>0</v>
      </c>
      <c r="L90" s="26">
        <f>IF(A90="","",BASE_CAIXA!J87)</f>
        <v>0</v>
      </c>
      <c r="M90" s="26" t="str">
        <f>IF(A90="","",BASE_CAIXA!AM87)</f>
        <v>Concreto Usinado fck - 25 Mpa ( Com perda de 10%) - SEM IMPE</v>
      </c>
      <c r="N90" s="26" t="str">
        <f t="shared" ca="1" si="3"/>
        <v>Previsto</v>
      </c>
      <c r="O90" s="13" t="str">
        <f>IFERROR(INDEX(EXTRATO_IMPORTADO!$A$5:$A$404,MATCH(B90,EXTRATO_IMPORTADO!$I$5:$I$404,0)),"")</f>
        <v/>
      </c>
      <c r="P90" s="14" t="str">
        <f>IFERROR(INDEX(EXTRATO_IMPORTADO!$F$5:$F$404,MATCH(B90,EXTRATO_IMPORTADO!$I$5:$I$404,0)),"")</f>
        <v/>
      </c>
      <c r="Q90" s="26" t="str">
        <f>IFERROR(INDEX(EXTRATO_IMPORTADO!$B$5:$B$404,MATCH(B90,EXTRATO_IMPORTADO!$I$5:$I$404,0)),"")</f>
        <v/>
      </c>
      <c r="R90" s="26" t="str">
        <f>IFERROR(MATCH(B90,EXTRATO_IMPORTADO!$I$5:$I$404,0),"")</f>
        <v/>
      </c>
      <c r="S90" s="14" t="str">
        <f t="shared" si="4"/>
        <v/>
      </c>
      <c r="T90" s="33" t="str">
        <f t="shared" si="5"/>
        <v/>
      </c>
    </row>
    <row r="91" spans="1:20" x14ac:dyDescent="0.3">
      <c r="A91" s="26">
        <f>IF(BASE_CAIXA!A88="","",BASE_CAIXA!A88)</f>
        <v>87</v>
      </c>
      <c r="B91" s="26" t="str">
        <f>IF(A91="","",BASE_CAIXA!AL88)</f>
        <v>000087-DB</v>
      </c>
      <c r="C91" s="13">
        <f>IF(A91="","",BASE_CAIXA!AJ88)</f>
        <v>46129</v>
      </c>
      <c r="D91" s="26" t="str">
        <f>IF(A91="","",IF(BASE_CAIXA!C88="Entrada","Crédito","Débito"))</f>
        <v>Débito</v>
      </c>
      <c r="E91" s="14">
        <f>IF(A91="","",BASE_CAIXA!AA88)</f>
        <v>2240</v>
      </c>
      <c r="F91" s="26">
        <f>IF(A91="","",BASE_CAIXA!N88)</f>
        <v>0</v>
      </c>
      <c r="G91" s="26">
        <f>IF(A91="","",BASE_CAIXA!O88)</f>
        <v>0</v>
      </c>
      <c r="H91" s="26">
        <f>IF(A91="","",BASE_CAIXA!P88)</f>
        <v>0</v>
      </c>
      <c r="I91" s="26" t="str">
        <f>IF(A91="","",IF(BASE_CAIXA!H88&lt;&gt;"",BASE_CAIXA!H88,BASE_CAIXA!G88))</f>
        <v>Ensaio compreesão corpo prova</v>
      </c>
      <c r="J91" s="26" t="str">
        <f>IF(A91="","",BASE_CAIXA!G88)</f>
        <v>Ensaio compreesão corpo prova</v>
      </c>
      <c r="K91" s="26">
        <f>IF(A91="","",BASE_CAIXA!I88)</f>
        <v>0</v>
      </c>
      <c r="L91" s="26">
        <f>IF(A91="","",BASE_CAIXA!J88)</f>
        <v>0</v>
      </c>
      <c r="M91" s="26" t="str">
        <f>IF(A91="","",BASE_CAIXA!AM88)</f>
        <v>Ensaio compreesão corpo prova | Ensaio compreesão corpo prov</v>
      </c>
      <c r="N91" s="26" t="str">
        <f t="shared" ca="1" si="3"/>
        <v>Previsto</v>
      </c>
      <c r="O91" s="13" t="str">
        <f>IFERROR(INDEX(EXTRATO_IMPORTADO!$A$5:$A$404,MATCH(B91,EXTRATO_IMPORTADO!$I$5:$I$404,0)),"")</f>
        <v/>
      </c>
      <c r="P91" s="14" t="str">
        <f>IFERROR(INDEX(EXTRATO_IMPORTADO!$F$5:$F$404,MATCH(B91,EXTRATO_IMPORTADO!$I$5:$I$404,0)),"")</f>
        <v/>
      </c>
      <c r="Q91" s="26" t="str">
        <f>IFERROR(INDEX(EXTRATO_IMPORTADO!$B$5:$B$404,MATCH(B91,EXTRATO_IMPORTADO!$I$5:$I$404,0)),"")</f>
        <v/>
      </c>
      <c r="R91" s="26" t="str">
        <f>IFERROR(MATCH(B91,EXTRATO_IMPORTADO!$I$5:$I$404,0),"")</f>
        <v/>
      </c>
      <c r="S91" s="14" t="str">
        <f t="shared" si="4"/>
        <v/>
      </c>
      <c r="T91" s="33" t="str">
        <f t="shared" si="5"/>
        <v/>
      </c>
    </row>
    <row r="92" spans="1:20" x14ac:dyDescent="0.3">
      <c r="A92" s="26">
        <f>IF(BASE_CAIXA!A89="","",BASE_CAIXA!A89)</f>
        <v>88</v>
      </c>
      <c r="B92" s="26" t="str">
        <f>IF(A92="","",BASE_CAIXA!AL89)</f>
        <v>000088-DB</v>
      </c>
      <c r="C92" s="13">
        <f>IF(A92="","",BASE_CAIXA!AJ89)</f>
        <v>46129</v>
      </c>
      <c r="D92" s="26" t="str">
        <f>IF(A92="","",IF(BASE_CAIXA!C89="Entrada","Crédito","Débito"))</f>
        <v>Débito</v>
      </c>
      <c r="E92" s="14">
        <f>IF(A92="","",BASE_CAIXA!AA89)</f>
        <v>1267.2</v>
      </c>
      <c r="F92" s="26">
        <f>IF(A92="","",BASE_CAIXA!N89)</f>
        <v>0</v>
      </c>
      <c r="G92" s="26">
        <f>IF(A92="","",BASE_CAIXA!O89)</f>
        <v>0</v>
      </c>
      <c r="H92" s="26">
        <f>IF(A92="","",BASE_CAIXA!P89)</f>
        <v>0</v>
      </c>
      <c r="I92" s="26" t="str">
        <f>IF(A92="","",IF(BASE_CAIXA!H89&lt;&gt;"",BASE_CAIXA!H89,BASE_CAIXA!G89))</f>
        <v>ripas de 5cm x 2,7m de 25mm</v>
      </c>
      <c r="J92" s="26" t="str">
        <f>IF(A92="","",BASE_CAIXA!G89)</f>
        <v>ripas de 5cm x 2,7m de 25mm</v>
      </c>
      <c r="K92" s="26">
        <f>IF(A92="","",BASE_CAIXA!I89)</f>
        <v>0</v>
      </c>
      <c r="L92" s="26">
        <f>IF(A92="","",BASE_CAIXA!J89)</f>
        <v>0</v>
      </c>
      <c r="M92" s="26" t="str">
        <f>IF(A92="","",BASE_CAIXA!AM89)</f>
        <v xml:space="preserve">ripas de 5cm x 2,7m de 25mm | ripas de 5cm x 2,7m de 25mm | </v>
      </c>
      <c r="N92" s="26" t="str">
        <f t="shared" ca="1" si="3"/>
        <v>Previsto</v>
      </c>
      <c r="O92" s="13" t="str">
        <f>IFERROR(INDEX(EXTRATO_IMPORTADO!$A$5:$A$404,MATCH(B92,EXTRATO_IMPORTADO!$I$5:$I$404,0)),"")</f>
        <v/>
      </c>
      <c r="P92" s="14" t="str">
        <f>IFERROR(INDEX(EXTRATO_IMPORTADO!$F$5:$F$404,MATCH(B92,EXTRATO_IMPORTADO!$I$5:$I$404,0)),"")</f>
        <v/>
      </c>
      <c r="Q92" s="26" t="str">
        <f>IFERROR(INDEX(EXTRATO_IMPORTADO!$B$5:$B$404,MATCH(B92,EXTRATO_IMPORTADO!$I$5:$I$404,0)),"")</f>
        <v/>
      </c>
      <c r="R92" s="26" t="str">
        <f>IFERROR(MATCH(B92,EXTRATO_IMPORTADO!$I$5:$I$404,0),"")</f>
        <v/>
      </c>
      <c r="S92" s="14" t="str">
        <f t="shared" si="4"/>
        <v/>
      </c>
      <c r="T92" s="33" t="str">
        <f t="shared" si="5"/>
        <v/>
      </c>
    </row>
    <row r="93" spans="1:20" x14ac:dyDescent="0.3">
      <c r="A93" s="26">
        <f>IF(BASE_CAIXA!A90="","",BASE_CAIXA!A90)</f>
        <v>89</v>
      </c>
      <c r="B93" s="26" t="str">
        <f>IF(A93="","",BASE_CAIXA!AL90)</f>
        <v>000089-DB</v>
      </c>
      <c r="C93" s="13">
        <f>IF(A93="","",BASE_CAIXA!AJ90)</f>
        <v>46129</v>
      </c>
      <c r="D93" s="26" t="str">
        <f>IF(A93="","",IF(BASE_CAIXA!C90="Entrada","Crédito","Débito"))</f>
        <v>Débito</v>
      </c>
      <c r="E93" s="14">
        <f>IF(A93="","",BASE_CAIXA!AA90)</f>
        <v>590384.72466319997</v>
      </c>
      <c r="F93" s="26">
        <f>IF(A93="","",BASE_CAIXA!N90)</f>
        <v>0</v>
      </c>
      <c r="G93" s="26">
        <f>IF(A93="","",BASE_CAIXA!O90)</f>
        <v>0</v>
      </c>
      <c r="H93" s="26">
        <f>IF(A93="","",BASE_CAIXA!P90)</f>
        <v>0</v>
      </c>
      <c r="I93" s="26" t="str">
        <f>IF(A93="","",IF(BASE_CAIXA!H90&lt;&gt;"",BASE_CAIXA!H90,BASE_CAIXA!G90))</f>
        <v>TOTALIZADOR CUSTO GLOBAIS OBRAS - MENSAL</v>
      </c>
      <c r="J93" s="26" t="str">
        <f>IF(A93="","",BASE_CAIXA!G90)</f>
        <v>TOTALIZADOR CUSTO GLOBAIS OBRAS - MENSAL</v>
      </c>
      <c r="K93" s="26">
        <f>IF(A93="","",BASE_CAIXA!I90)</f>
        <v>0</v>
      </c>
      <c r="L93" s="26">
        <f>IF(A93="","",BASE_CAIXA!J90)</f>
        <v>0</v>
      </c>
      <c r="M93" s="26" t="str">
        <f>IF(A93="","",BASE_CAIXA!AM90)</f>
        <v>TOTALIZADOR CUSTO GLOBAIS OBRAS - MENSAL | TOTALIZADOR CUSTO</v>
      </c>
      <c r="N93" s="26" t="str">
        <f t="shared" ca="1" si="3"/>
        <v>Previsto</v>
      </c>
      <c r="O93" s="13" t="str">
        <f>IFERROR(INDEX(EXTRATO_IMPORTADO!$A$5:$A$404,MATCH(B93,EXTRATO_IMPORTADO!$I$5:$I$404,0)),"")</f>
        <v/>
      </c>
      <c r="P93" s="14" t="str">
        <f>IFERROR(INDEX(EXTRATO_IMPORTADO!$F$5:$F$404,MATCH(B93,EXTRATO_IMPORTADO!$I$5:$I$404,0)),"")</f>
        <v/>
      </c>
      <c r="Q93" s="26" t="str">
        <f>IFERROR(INDEX(EXTRATO_IMPORTADO!$B$5:$B$404,MATCH(B93,EXTRATO_IMPORTADO!$I$5:$I$404,0)),"")</f>
        <v/>
      </c>
      <c r="R93" s="26" t="str">
        <f>IFERROR(MATCH(B93,EXTRATO_IMPORTADO!$I$5:$I$404,0),"")</f>
        <v/>
      </c>
      <c r="S93" s="14" t="str">
        <f t="shared" si="4"/>
        <v/>
      </c>
      <c r="T93" s="33" t="str">
        <f t="shared" si="5"/>
        <v/>
      </c>
    </row>
    <row r="94" spans="1:20" x14ac:dyDescent="0.3">
      <c r="A94" s="26">
        <f>IF(BASE_CAIXA!A91="","",BASE_CAIXA!A91)</f>
        <v>90</v>
      </c>
      <c r="B94" s="26" t="str">
        <f>IF(A94="","",BASE_CAIXA!AL91)</f>
        <v>000090-DB</v>
      </c>
      <c r="C94" s="13">
        <f>IF(A94="","",BASE_CAIXA!AJ91)</f>
        <v>46129</v>
      </c>
      <c r="D94" s="26" t="str">
        <f>IF(A94="","",IF(BASE_CAIXA!C91="Entrada","Crédito","Débito"))</f>
        <v>Débito</v>
      </c>
      <c r="E94" s="14">
        <f>IF(A94="","",BASE_CAIXA!AA91)</f>
        <v>299.83999999999997</v>
      </c>
      <c r="F94" s="26">
        <f>IF(A94="","",BASE_CAIXA!N91)</f>
        <v>0</v>
      </c>
      <c r="G94" s="26">
        <f>IF(A94="","",BASE_CAIXA!O91)</f>
        <v>0</v>
      </c>
      <c r="H94" s="26">
        <f>IF(A94="","",BASE_CAIXA!P91)</f>
        <v>0</v>
      </c>
      <c r="I94" s="26" t="str">
        <f>IF(A94="","",IF(BASE_CAIXA!H91&lt;&gt;"",BASE_CAIXA!H91,BASE_CAIXA!G91))</f>
        <v>Assentamento Soleira em basalto  0,84 x 0,125 x 0,02 - cozinha</v>
      </c>
      <c r="J94" s="26" t="str">
        <f>IF(A94="","",BASE_CAIXA!G91)</f>
        <v>Assentamento Soleira em basalto  0,84 x 0,125 x 0,02 - cozinha</v>
      </c>
      <c r="K94" s="26">
        <f>IF(A94="","",BASE_CAIXA!I91)</f>
        <v>0</v>
      </c>
      <c r="L94" s="26">
        <f>IF(A94="","",BASE_CAIXA!J91)</f>
        <v>0</v>
      </c>
      <c r="M94" s="26" t="str">
        <f>IF(A94="","",BASE_CAIXA!AM91)</f>
        <v>Assentamento Soleira em basalto  0,84 x 0,125 x 0,02 - cozin</v>
      </c>
      <c r="N94" s="26" t="str">
        <f t="shared" ca="1" si="3"/>
        <v>Previsto</v>
      </c>
      <c r="O94" s="13" t="str">
        <f>IFERROR(INDEX(EXTRATO_IMPORTADO!$A$5:$A$404,MATCH(B94,EXTRATO_IMPORTADO!$I$5:$I$404,0)),"")</f>
        <v/>
      </c>
      <c r="P94" s="14" t="str">
        <f>IFERROR(INDEX(EXTRATO_IMPORTADO!$F$5:$F$404,MATCH(B94,EXTRATO_IMPORTADO!$I$5:$I$404,0)),"")</f>
        <v/>
      </c>
      <c r="Q94" s="26" t="str">
        <f>IFERROR(INDEX(EXTRATO_IMPORTADO!$B$5:$B$404,MATCH(B94,EXTRATO_IMPORTADO!$I$5:$I$404,0)),"")</f>
        <v/>
      </c>
      <c r="R94" s="26" t="str">
        <f>IFERROR(MATCH(B94,EXTRATO_IMPORTADO!$I$5:$I$404,0),"")</f>
        <v/>
      </c>
      <c r="S94" s="14" t="str">
        <f t="shared" si="4"/>
        <v/>
      </c>
      <c r="T94" s="33" t="str">
        <f t="shared" si="5"/>
        <v/>
      </c>
    </row>
    <row r="95" spans="1:20" x14ac:dyDescent="0.3">
      <c r="A95" s="26">
        <f>IF(BASE_CAIXA!A92="","",BASE_CAIXA!A92)</f>
        <v>91</v>
      </c>
      <c r="B95" s="26" t="str">
        <f>IF(A95="","",BASE_CAIXA!AL92)</f>
        <v>000091-DB</v>
      </c>
      <c r="C95" s="13">
        <f>IF(A95="","",BASE_CAIXA!AJ92)</f>
        <v>46129</v>
      </c>
      <c r="D95" s="26" t="str">
        <f>IF(A95="","",IF(BASE_CAIXA!C92="Entrada","Crédito","Débito"))</f>
        <v>Débito</v>
      </c>
      <c r="E95" s="14">
        <f>IF(A95="","",BASE_CAIXA!AA92)</f>
        <v>299.83999999999997</v>
      </c>
      <c r="F95" s="26">
        <f>IF(A95="","",BASE_CAIXA!N92)</f>
        <v>0</v>
      </c>
      <c r="G95" s="26">
        <f>IF(A95="","",BASE_CAIXA!O92)</f>
        <v>0</v>
      </c>
      <c r="H95" s="26">
        <f>IF(A95="","",BASE_CAIXA!P92)</f>
        <v>0</v>
      </c>
      <c r="I95" s="26" t="str">
        <f>IF(A95="","",IF(BASE_CAIXA!H92&lt;&gt;"",BASE_CAIXA!H92,BASE_CAIXA!G92))</f>
        <v>Assentamento Soleira em basalto  0,94 x 0,125 x 0,02 - entrada</v>
      </c>
      <c r="J95" s="26" t="str">
        <f>IF(A95="","",BASE_CAIXA!G92)</f>
        <v>Assentamento Soleira em basalto  0,94 x 0,125 x 0,02 - entrada</v>
      </c>
      <c r="K95" s="26">
        <f>IF(A95="","",BASE_CAIXA!I92)</f>
        <v>0</v>
      </c>
      <c r="L95" s="26">
        <f>IF(A95="","",BASE_CAIXA!J92)</f>
        <v>0</v>
      </c>
      <c r="M95" s="26" t="str">
        <f>IF(A95="","",BASE_CAIXA!AM92)</f>
        <v>Assentamento Soleira em basalto  0,94 x 0,125 x 0,02 - entra</v>
      </c>
      <c r="N95" s="26" t="str">
        <f t="shared" ca="1" si="3"/>
        <v>Previsto</v>
      </c>
      <c r="O95" s="13" t="str">
        <f>IFERROR(INDEX(EXTRATO_IMPORTADO!$A$5:$A$404,MATCH(B95,EXTRATO_IMPORTADO!$I$5:$I$404,0)),"")</f>
        <v/>
      </c>
      <c r="P95" s="14" t="str">
        <f>IFERROR(INDEX(EXTRATO_IMPORTADO!$F$5:$F$404,MATCH(B95,EXTRATO_IMPORTADO!$I$5:$I$404,0)),"")</f>
        <v/>
      </c>
      <c r="Q95" s="26" t="str">
        <f>IFERROR(INDEX(EXTRATO_IMPORTADO!$B$5:$B$404,MATCH(B95,EXTRATO_IMPORTADO!$I$5:$I$404,0)),"")</f>
        <v/>
      </c>
      <c r="R95" s="26" t="str">
        <f>IFERROR(MATCH(B95,EXTRATO_IMPORTADO!$I$5:$I$404,0),"")</f>
        <v/>
      </c>
      <c r="S95" s="14" t="str">
        <f t="shared" si="4"/>
        <v/>
      </c>
      <c r="T95" s="33" t="str">
        <f t="shared" si="5"/>
        <v/>
      </c>
    </row>
    <row r="96" spans="1:20" x14ac:dyDescent="0.3">
      <c r="A96" s="26">
        <f>IF(BASE_CAIXA!A93="","",BASE_CAIXA!A93)</f>
        <v>92</v>
      </c>
      <c r="B96" s="26" t="str">
        <f>IF(A96="","",BASE_CAIXA!AL93)</f>
        <v>000092-DB</v>
      </c>
      <c r="C96" s="13">
        <f>IF(A96="","",BASE_CAIXA!AJ93)</f>
        <v>46129</v>
      </c>
      <c r="D96" s="26" t="str">
        <f>IF(A96="","",IF(BASE_CAIXA!C93="Entrada","Crédito","Débito"))</f>
        <v>Débito</v>
      </c>
      <c r="E96" s="14">
        <f>IF(A96="","",BASE_CAIXA!AA93)</f>
        <v>4275.6584320000002</v>
      </c>
      <c r="F96" s="26">
        <f>IF(A96="","",BASE_CAIXA!N93)</f>
        <v>0</v>
      </c>
      <c r="G96" s="26">
        <f>IF(A96="","",BASE_CAIXA!O93)</f>
        <v>0</v>
      </c>
      <c r="H96" s="26">
        <f>IF(A96="","",BASE_CAIXA!P93)</f>
        <v>0</v>
      </c>
      <c r="I96" s="26" t="str">
        <f>IF(A96="","",IF(BASE_CAIXA!H93&lt;&gt;"",BASE_CAIXA!H93,BASE_CAIXA!G93))</f>
        <v>Mao de obra terceirizada Textura externa</v>
      </c>
      <c r="J96" s="26" t="str">
        <f>IF(A96="","",BASE_CAIXA!G93)</f>
        <v>Mao de obra terceirizada Textura externa</v>
      </c>
      <c r="K96" s="26">
        <f>IF(A96="","",BASE_CAIXA!I93)</f>
        <v>0</v>
      </c>
      <c r="L96" s="26">
        <f>IF(A96="","",BASE_CAIXA!J93)</f>
        <v>0</v>
      </c>
      <c r="M96" s="26" t="str">
        <f>IF(A96="","",BASE_CAIXA!AM93)</f>
        <v>Mao de obra terceirizada Textura externa | Mao de obra terce</v>
      </c>
      <c r="N96" s="26" t="str">
        <f t="shared" ca="1" si="3"/>
        <v>Previsto</v>
      </c>
      <c r="O96" s="13" t="str">
        <f>IFERROR(INDEX(EXTRATO_IMPORTADO!$A$5:$A$404,MATCH(B96,EXTRATO_IMPORTADO!$I$5:$I$404,0)),"")</f>
        <v/>
      </c>
      <c r="P96" s="14" t="str">
        <f>IFERROR(INDEX(EXTRATO_IMPORTADO!$F$5:$F$404,MATCH(B96,EXTRATO_IMPORTADO!$I$5:$I$404,0)),"")</f>
        <v/>
      </c>
      <c r="Q96" s="26" t="str">
        <f>IFERROR(INDEX(EXTRATO_IMPORTADO!$B$5:$B$404,MATCH(B96,EXTRATO_IMPORTADO!$I$5:$I$404,0)),"")</f>
        <v/>
      </c>
      <c r="R96" s="26" t="str">
        <f>IFERROR(MATCH(B96,EXTRATO_IMPORTADO!$I$5:$I$404,0),"")</f>
        <v/>
      </c>
      <c r="S96" s="14" t="str">
        <f t="shared" si="4"/>
        <v/>
      </c>
      <c r="T96" s="33" t="str">
        <f t="shared" si="5"/>
        <v/>
      </c>
    </row>
    <row r="97" spans="1:20" x14ac:dyDescent="0.3">
      <c r="A97" s="26">
        <f>IF(BASE_CAIXA!A94="","",BASE_CAIXA!A94)</f>
        <v>93</v>
      </c>
      <c r="B97" s="26" t="str">
        <f>IF(A97="","",BASE_CAIXA!AL94)</f>
        <v>000093-CR</v>
      </c>
      <c r="C97" s="13">
        <f>IF(A97="","",BASE_CAIXA!AJ94)</f>
        <v>46143</v>
      </c>
      <c r="D97" s="26" t="str">
        <f>IF(A97="","",IF(BASE_CAIXA!C94="Entrada","Crédito","Débito"))</f>
        <v>Crédito</v>
      </c>
      <c r="E97" s="14">
        <f>IF(A97="","",BASE_CAIXA!AA94)</f>
        <v>758705.10988800018</v>
      </c>
      <c r="F97" s="26">
        <f>IF(A97="","",BASE_CAIXA!N94)</f>
        <v>0</v>
      </c>
      <c r="G97" s="26">
        <f>IF(A97="","",BASE_CAIXA!O94)</f>
        <v>0</v>
      </c>
      <c r="H97" s="26">
        <f>IF(A97="","",BASE_CAIXA!P94)</f>
        <v>0</v>
      </c>
      <c r="I97" s="26" t="str">
        <f>IF(A97="","",IF(BASE_CAIXA!H94&lt;&gt;"",BASE_CAIXA!H94,BASE_CAIXA!G94))</f>
        <v>MEDIÇÃO CONTRATUAL</v>
      </c>
      <c r="J97" s="26" t="str">
        <f>IF(A97="","",BASE_CAIXA!G94)</f>
        <v>MEDIÇÃO CONTRATUAL</v>
      </c>
      <c r="K97" s="26">
        <f>IF(A97="","",BASE_CAIXA!I94)</f>
        <v>0</v>
      </c>
      <c r="L97" s="26">
        <f>IF(A97="","",BASE_CAIXA!J94)</f>
        <v>0</v>
      </c>
      <c r="M97" s="26" t="str">
        <f>IF(A97="","",BASE_CAIXA!AM94)</f>
        <v xml:space="preserve">MEDIÇÃO CONTRATUAL | MEDIÇÃO CONTRATUAL | Entrada | MEDIÇÃO </v>
      </c>
      <c r="N97" s="26" t="str">
        <f t="shared" ca="1" si="3"/>
        <v>Previsto</v>
      </c>
      <c r="O97" s="13" t="str">
        <f>IFERROR(INDEX(EXTRATO_IMPORTADO!$A$5:$A$404,MATCH(B97,EXTRATO_IMPORTADO!$I$5:$I$404,0)),"")</f>
        <v/>
      </c>
      <c r="P97" s="14" t="str">
        <f>IFERROR(INDEX(EXTRATO_IMPORTADO!$F$5:$F$404,MATCH(B97,EXTRATO_IMPORTADO!$I$5:$I$404,0)),"")</f>
        <v/>
      </c>
      <c r="Q97" s="26" t="str">
        <f>IFERROR(INDEX(EXTRATO_IMPORTADO!$B$5:$B$404,MATCH(B97,EXTRATO_IMPORTADO!$I$5:$I$404,0)),"")</f>
        <v/>
      </c>
      <c r="R97" s="26" t="str">
        <f>IFERROR(MATCH(B97,EXTRATO_IMPORTADO!$I$5:$I$404,0),"")</f>
        <v/>
      </c>
      <c r="S97" s="14" t="str">
        <f t="shared" si="4"/>
        <v/>
      </c>
      <c r="T97" s="33" t="str">
        <f t="shared" si="5"/>
        <v/>
      </c>
    </row>
    <row r="98" spans="1:20" x14ac:dyDescent="0.3">
      <c r="A98" s="26">
        <f>IF(BASE_CAIXA!A95="","",BASE_CAIXA!A95)</f>
        <v>94</v>
      </c>
      <c r="B98" s="26" t="str">
        <f>IF(A98="","",BASE_CAIXA!AL95)</f>
        <v>000094-DB</v>
      </c>
      <c r="C98" s="13">
        <f>IF(A98="","",BASE_CAIXA!AJ95)</f>
        <v>46143</v>
      </c>
      <c r="D98" s="26" t="str">
        <f>IF(A98="","",IF(BASE_CAIXA!C95="Entrada","Crédito","Débito"))</f>
        <v>Débito</v>
      </c>
      <c r="E98" s="14">
        <f>IF(A98="","",BASE_CAIXA!AA95)</f>
        <v>4345.6000000000004</v>
      </c>
      <c r="F98" s="26">
        <f>IF(A98="","",BASE_CAIXA!N95)</f>
        <v>0</v>
      </c>
      <c r="G98" s="26">
        <f>IF(A98="","",BASE_CAIXA!O95)</f>
        <v>0</v>
      </c>
      <c r="H98" s="26">
        <f>IF(A98="","",BASE_CAIXA!P95)</f>
        <v>0</v>
      </c>
      <c r="I98" s="26" t="str">
        <f>IF(A98="","",IF(BASE_CAIXA!H95&lt;&gt;"",BASE_CAIXA!H95,BASE_CAIXA!G95))</f>
        <v>Argamassa colante AC I - Saco 20 Kg</v>
      </c>
      <c r="J98" s="26" t="str">
        <f>IF(A98="","",BASE_CAIXA!G95)</f>
        <v>Argamassa colante AC I - Saco 20 Kg</v>
      </c>
      <c r="K98" s="26">
        <f>IF(A98="","",BASE_CAIXA!I95)</f>
        <v>0</v>
      </c>
      <c r="L98" s="26">
        <f>IF(A98="","",BASE_CAIXA!J95)</f>
        <v>0</v>
      </c>
      <c r="M98" s="26" t="str">
        <f>IF(A98="","",BASE_CAIXA!AM95)</f>
        <v>Argamassa colante AC I - Saco 20 Kg | Argamassa colante AC I</v>
      </c>
      <c r="N98" s="26" t="str">
        <f t="shared" ca="1" si="3"/>
        <v>Previsto</v>
      </c>
      <c r="O98" s="13" t="str">
        <f>IFERROR(INDEX(EXTRATO_IMPORTADO!$A$5:$A$404,MATCH(B98,EXTRATO_IMPORTADO!$I$5:$I$404,0)),"")</f>
        <v/>
      </c>
      <c r="P98" s="14" t="str">
        <f>IFERROR(INDEX(EXTRATO_IMPORTADO!$F$5:$F$404,MATCH(B98,EXTRATO_IMPORTADO!$I$5:$I$404,0)),"")</f>
        <v/>
      </c>
      <c r="Q98" s="26" t="str">
        <f>IFERROR(INDEX(EXTRATO_IMPORTADO!$B$5:$B$404,MATCH(B98,EXTRATO_IMPORTADO!$I$5:$I$404,0)),"")</f>
        <v/>
      </c>
      <c r="R98" s="26" t="str">
        <f>IFERROR(MATCH(B98,EXTRATO_IMPORTADO!$I$5:$I$404,0),"")</f>
        <v/>
      </c>
      <c r="S98" s="14" t="str">
        <f t="shared" si="4"/>
        <v/>
      </c>
      <c r="T98" s="33" t="str">
        <f t="shared" si="5"/>
        <v/>
      </c>
    </row>
    <row r="99" spans="1:20" x14ac:dyDescent="0.3">
      <c r="A99" s="26">
        <f>IF(BASE_CAIXA!A96="","",BASE_CAIXA!A96)</f>
        <v>95</v>
      </c>
      <c r="B99" s="26" t="str">
        <f>IF(A99="","",BASE_CAIXA!AL96)</f>
        <v>000095-DB</v>
      </c>
      <c r="C99" s="13">
        <f>IF(A99="","",BASE_CAIXA!AJ96)</f>
        <v>46143</v>
      </c>
      <c r="D99" s="26" t="str">
        <f>IF(A99="","",IF(BASE_CAIXA!C96="Entrada","Crédito","Débito"))</f>
        <v>Débito</v>
      </c>
      <c r="E99" s="14">
        <f>IF(A99="","",BASE_CAIXA!AA96)</f>
        <v>134.4</v>
      </c>
      <c r="F99" s="26">
        <f>IF(A99="","",BASE_CAIXA!N96)</f>
        <v>0</v>
      </c>
      <c r="G99" s="26">
        <f>IF(A99="","",BASE_CAIXA!O96)</f>
        <v>0</v>
      </c>
      <c r="H99" s="26">
        <f>IF(A99="","",BASE_CAIXA!P96)</f>
        <v>0</v>
      </c>
      <c r="I99" s="26" t="str">
        <f>IF(A99="","",IF(BASE_CAIXA!H96&lt;&gt;"",BASE_CAIXA!H96,BASE_CAIXA!G96))</f>
        <v>Espaçador cruzeta - 5mm (pacote com 100 unid)</v>
      </c>
      <c r="J99" s="26" t="str">
        <f>IF(A99="","",BASE_CAIXA!G96)</f>
        <v>Espaçador cruzeta - 5mm (pacote com 100 unid)</v>
      </c>
      <c r="K99" s="26">
        <f>IF(A99="","",BASE_CAIXA!I96)</f>
        <v>0</v>
      </c>
      <c r="L99" s="26">
        <f>IF(A99="","",BASE_CAIXA!J96)</f>
        <v>0</v>
      </c>
      <c r="M99" s="26" t="str">
        <f>IF(A99="","",BASE_CAIXA!AM96)</f>
        <v>Espaçador cruzeta - 5mm (pacote com 100 unid) | Espaçador cr</v>
      </c>
      <c r="N99" s="26" t="str">
        <f t="shared" ca="1" si="3"/>
        <v>Previsto</v>
      </c>
      <c r="O99" s="13" t="str">
        <f>IFERROR(INDEX(EXTRATO_IMPORTADO!$A$5:$A$404,MATCH(B99,EXTRATO_IMPORTADO!$I$5:$I$404,0)),"")</f>
        <v/>
      </c>
      <c r="P99" s="14" t="str">
        <f>IFERROR(INDEX(EXTRATO_IMPORTADO!$F$5:$F$404,MATCH(B99,EXTRATO_IMPORTADO!$I$5:$I$404,0)),"")</f>
        <v/>
      </c>
      <c r="Q99" s="26" t="str">
        <f>IFERROR(INDEX(EXTRATO_IMPORTADO!$B$5:$B$404,MATCH(B99,EXTRATO_IMPORTADO!$I$5:$I$404,0)),"")</f>
        <v/>
      </c>
      <c r="R99" s="26" t="str">
        <f>IFERROR(MATCH(B99,EXTRATO_IMPORTADO!$I$5:$I$404,0),"")</f>
        <v/>
      </c>
      <c r="S99" s="14" t="str">
        <f t="shared" si="4"/>
        <v/>
      </c>
      <c r="T99" s="33" t="str">
        <f t="shared" si="5"/>
        <v/>
      </c>
    </row>
    <row r="100" spans="1:20" x14ac:dyDescent="0.3">
      <c r="A100" s="26">
        <f>IF(BASE_CAIXA!A97="","",BASE_CAIXA!A97)</f>
        <v>96</v>
      </c>
      <c r="B100" s="26" t="str">
        <f>IF(A100="","",BASE_CAIXA!AL97)</f>
        <v>000096-DB</v>
      </c>
      <c r="C100" s="13">
        <f>IF(A100="","",BASE_CAIXA!AJ97)</f>
        <v>46143</v>
      </c>
      <c r="D100" s="26" t="str">
        <f>IF(A100="","",IF(BASE_CAIXA!C97="Entrada","Crédito","Débito"))</f>
        <v>Débito</v>
      </c>
      <c r="E100" s="14">
        <f>IF(A100="","",BASE_CAIXA!AA97)</f>
        <v>7519.0079999999998</v>
      </c>
      <c r="F100" s="26">
        <f>IF(A100="","",BASE_CAIXA!N97)</f>
        <v>0</v>
      </c>
      <c r="G100" s="26">
        <f>IF(A100="","",BASE_CAIXA!O97)</f>
        <v>0</v>
      </c>
      <c r="H100" s="26">
        <f>IF(A100="","",BASE_CAIXA!P97)</f>
        <v>0</v>
      </c>
      <c r="I100" s="26" t="str">
        <f>IF(A100="","",IF(BASE_CAIXA!H97&lt;&gt;"",BASE_CAIXA!H97,BASE_CAIXA!G97))</f>
        <v>Mao de obra terceirizada assentamento Azulejo</v>
      </c>
      <c r="J100" s="26" t="str">
        <f>IF(A100="","",BASE_CAIXA!G97)</f>
        <v>Mao de obra terceirizada assentamento Azulejo</v>
      </c>
      <c r="K100" s="26">
        <f>IF(A100="","",BASE_CAIXA!I97)</f>
        <v>0</v>
      </c>
      <c r="L100" s="26">
        <f>IF(A100="","",BASE_CAIXA!J97)</f>
        <v>0</v>
      </c>
      <c r="M100" s="26" t="str">
        <f>IF(A100="","",BASE_CAIXA!AM97)</f>
        <v xml:space="preserve">Mao de obra terceirizada assentamento Azulejo | Mao de obra </v>
      </c>
      <c r="N100" s="26" t="str">
        <f t="shared" ca="1" si="3"/>
        <v>Previsto</v>
      </c>
      <c r="O100" s="13" t="str">
        <f>IFERROR(INDEX(EXTRATO_IMPORTADO!$A$5:$A$404,MATCH(B100,EXTRATO_IMPORTADO!$I$5:$I$404,0)),"")</f>
        <v/>
      </c>
      <c r="P100" s="14" t="str">
        <f>IFERROR(INDEX(EXTRATO_IMPORTADO!$F$5:$F$404,MATCH(B100,EXTRATO_IMPORTADO!$I$5:$I$404,0)),"")</f>
        <v/>
      </c>
      <c r="Q100" s="26" t="str">
        <f>IFERROR(INDEX(EXTRATO_IMPORTADO!$B$5:$B$404,MATCH(B100,EXTRATO_IMPORTADO!$I$5:$I$404,0)),"")</f>
        <v/>
      </c>
      <c r="R100" s="26" t="str">
        <f>IFERROR(MATCH(B100,EXTRATO_IMPORTADO!$I$5:$I$404,0),"")</f>
        <v/>
      </c>
      <c r="S100" s="14" t="str">
        <f t="shared" si="4"/>
        <v/>
      </c>
      <c r="T100" s="33" t="str">
        <f t="shared" si="5"/>
        <v/>
      </c>
    </row>
    <row r="101" spans="1:20" x14ac:dyDescent="0.3">
      <c r="A101" s="26">
        <f>IF(BASE_CAIXA!A98="","",BASE_CAIXA!A98)</f>
        <v>97</v>
      </c>
      <c r="B101" s="26" t="str">
        <f>IF(A101="","",BASE_CAIXA!AL98)</f>
        <v>000097-DB</v>
      </c>
      <c r="C101" s="13">
        <f>IF(A101="","",BASE_CAIXA!AJ98)</f>
        <v>46143</v>
      </c>
      <c r="D101" s="26" t="str">
        <f>IF(A101="","",IF(BASE_CAIXA!C98="Entrada","Crédito","Débito"))</f>
        <v>Débito</v>
      </c>
      <c r="E101" s="14">
        <f>IF(A101="","",BASE_CAIXA!AA98)</f>
        <v>1104</v>
      </c>
      <c r="F101" s="26">
        <f>IF(A101="","",BASE_CAIXA!N98)</f>
        <v>0</v>
      </c>
      <c r="G101" s="26">
        <f>IF(A101="","",BASE_CAIXA!O98)</f>
        <v>0</v>
      </c>
      <c r="H101" s="26">
        <f>IF(A101="","",BASE_CAIXA!P98)</f>
        <v>0</v>
      </c>
      <c r="I101" s="26" t="str">
        <f>IF(A101="","",IF(BASE_CAIXA!H98&lt;&gt;"",BASE_CAIXA!H98,BASE_CAIXA!G98))</f>
        <v>Rejunte cimenticio</v>
      </c>
      <c r="J101" s="26" t="str">
        <f>IF(A101="","",BASE_CAIXA!G98)</f>
        <v>Rejunte cimenticio</v>
      </c>
      <c r="K101" s="26">
        <f>IF(A101="","",BASE_CAIXA!I98)</f>
        <v>0</v>
      </c>
      <c r="L101" s="26">
        <f>IF(A101="","",BASE_CAIXA!J98)</f>
        <v>0</v>
      </c>
      <c r="M101" s="26" t="str">
        <f>IF(A101="","",BASE_CAIXA!AM98)</f>
        <v>Rejunte cimenticio | Rejunte cimenticio | Saída | AZULEJOS</v>
      </c>
      <c r="N101" s="26" t="str">
        <f t="shared" ca="1" si="3"/>
        <v>Previsto</v>
      </c>
      <c r="O101" s="13" t="str">
        <f>IFERROR(INDEX(EXTRATO_IMPORTADO!$A$5:$A$404,MATCH(B101,EXTRATO_IMPORTADO!$I$5:$I$404,0)),"")</f>
        <v/>
      </c>
      <c r="P101" s="14" t="str">
        <f>IFERROR(INDEX(EXTRATO_IMPORTADO!$F$5:$F$404,MATCH(B101,EXTRATO_IMPORTADO!$I$5:$I$404,0)),"")</f>
        <v/>
      </c>
      <c r="Q101" s="26" t="str">
        <f>IFERROR(INDEX(EXTRATO_IMPORTADO!$B$5:$B$404,MATCH(B101,EXTRATO_IMPORTADO!$I$5:$I$404,0)),"")</f>
        <v/>
      </c>
      <c r="R101" s="26" t="str">
        <f>IFERROR(MATCH(B101,EXTRATO_IMPORTADO!$I$5:$I$404,0),"")</f>
        <v/>
      </c>
      <c r="S101" s="14" t="str">
        <f t="shared" si="4"/>
        <v/>
      </c>
      <c r="T101" s="33" t="str">
        <f t="shared" si="5"/>
        <v/>
      </c>
    </row>
    <row r="102" spans="1:20" x14ac:dyDescent="0.3">
      <c r="A102" s="26">
        <f>IF(BASE_CAIXA!A99="","",BASE_CAIXA!A99)</f>
        <v>98</v>
      </c>
      <c r="B102" s="26" t="str">
        <f>IF(A102="","",BASE_CAIXA!AL99)</f>
        <v>000098-DB</v>
      </c>
      <c r="C102" s="13">
        <f>IF(A102="","",BASE_CAIXA!AJ99)</f>
        <v>46143</v>
      </c>
      <c r="D102" s="26" t="str">
        <f>IF(A102="","",IF(BASE_CAIXA!C99="Entrada","Crédito","Débito"))</f>
        <v>Débito</v>
      </c>
      <c r="E102" s="14">
        <f>IF(A102="","",BASE_CAIXA!AA99)</f>
        <v>8072.4160000000011</v>
      </c>
      <c r="F102" s="26">
        <f>IF(A102="","",BASE_CAIXA!N99)</f>
        <v>0</v>
      </c>
      <c r="G102" s="26">
        <f>IF(A102="","",BASE_CAIXA!O99)</f>
        <v>0</v>
      </c>
      <c r="H102" s="26">
        <f>IF(A102="","",BASE_CAIXA!P99)</f>
        <v>0</v>
      </c>
      <c r="I102" s="26" t="str">
        <f>IF(A102="","",IF(BASE_CAIXA!H99&lt;&gt;"",BASE_CAIXA!H99,BASE_CAIXA!G99))</f>
        <v>Revestimento Cerâmico PEI II - 20 X 20, cor,  (perda 10%)</v>
      </c>
      <c r="J102" s="26" t="str">
        <f>IF(A102="","",BASE_CAIXA!G99)</f>
        <v>Revestimento Cerâmico PEI II - 20 X 20, cor,  (perda 10%)</v>
      </c>
      <c r="K102" s="26">
        <f>IF(A102="","",BASE_CAIXA!I99)</f>
        <v>0</v>
      </c>
      <c r="L102" s="26">
        <f>IF(A102="","",BASE_CAIXA!J99)</f>
        <v>0</v>
      </c>
      <c r="M102" s="26" t="str">
        <f>IF(A102="","",BASE_CAIXA!AM99)</f>
        <v xml:space="preserve">Revestimento Cerâmico PEI II - 20 X 20, cor,  (perda 10%) | </v>
      </c>
      <c r="N102" s="26" t="str">
        <f t="shared" ca="1" si="3"/>
        <v>Previsto</v>
      </c>
      <c r="O102" s="13" t="str">
        <f>IFERROR(INDEX(EXTRATO_IMPORTADO!$A$5:$A$404,MATCH(B102,EXTRATO_IMPORTADO!$I$5:$I$404,0)),"")</f>
        <v/>
      </c>
      <c r="P102" s="14" t="str">
        <f>IFERROR(INDEX(EXTRATO_IMPORTADO!$F$5:$F$404,MATCH(B102,EXTRATO_IMPORTADO!$I$5:$I$404,0)),"")</f>
        <v/>
      </c>
      <c r="Q102" s="26" t="str">
        <f>IFERROR(INDEX(EXTRATO_IMPORTADO!$B$5:$B$404,MATCH(B102,EXTRATO_IMPORTADO!$I$5:$I$404,0)),"")</f>
        <v/>
      </c>
      <c r="R102" s="26" t="str">
        <f>IFERROR(MATCH(B102,EXTRATO_IMPORTADO!$I$5:$I$404,0),"")</f>
        <v/>
      </c>
      <c r="S102" s="14" t="str">
        <f t="shared" si="4"/>
        <v/>
      </c>
      <c r="T102" s="33" t="str">
        <f t="shared" si="5"/>
        <v/>
      </c>
    </row>
    <row r="103" spans="1:20" x14ac:dyDescent="0.3">
      <c r="A103" s="26">
        <f>IF(BASE_CAIXA!A100="","",BASE_CAIXA!A100)</f>
        <v>99</v>
      </c>
      <c r="B103" s="26" t="str">
        <f>IF(A103="","",BASE_CAIXA!AL100)</f>
        <v>000099-DB</v>
      </c>
      <c r="C103" s="13">
        <f>IF(A103="","",BASE_CAIXA!AJ100)</f>
        <v>46143</v>
      </c>
      <c r="D103" s="26" t="str">
        <f>IF(A103="","",IF(BASE_CAIXA!C100="Entrada","Crédito","Débito"))</f>
        <v>Débito</v>
      </c>
      <c r="E103" s="14">
        <f>IF(A103="","",BASE_CAIXA!AA100)</f>
        <v>293.76</v>
      </c>
      <c r="F103" s="26">
        <f>IF(A103="","",BASE_CAIXA!N100)</f>
        <v>0</v>
      </c>
      <c r="G103" s="26">
        <f>IF(A103="","",BASE_CAIXA!O100)</f>
        <v>0</v>
      </c>
      <c r="H103" s="26">
        <f>IF(A103="","",BASE_CAIXA!P100)</f>
        <v>0</v>
      </c>
      <c r="I103" s="26" t="str">
        <f>IF(A103="","",IF(BASE_CAIXA!H100&lt;&gt;"",BASE_CAIXA!H100,BASE_CAIXA!G100))</f>
        <v>Adaptador soldável flange 25mm 3/4</v>
      </c>
      <c r="J103" s="26" t="str">
        <f>IF(A103="","",BASE_CAIXA!G100)</f>
        <v>Adaptador soldável flange 25mm 3/4</v>
      </c>
      <c r="K103" s="26">
        <f>IF(A103="","",BASE_CAIXA!I100)</f>
        <v>0</v>
      </c>
      <c r="L103" s="26">
        <f>IF(A103="","",BASE_CAIXA!J100)</f>
        <v>0</v>
      </c>
      <c r="M103" s="26" t="str">
        <f>IF(A103="","",BASE_CAIXA!AM100)</f>
        <v>Adaptador soldável flange 25mm 3/4 | Adaptador soldável flan</v>
      </c>
      <c r="N103" s="26" t="str">
        <f t="shared" ca="1" si="3"/>
        <v>Previsto</v>
      </c>
      <c r="O103" s="13" t="str">
        <f>IFERROR(INDEX(EXTRATO_IMPORTADO!$A$5:$A$404,MATCH(B103,EXTRATO_IMPORTADO!$I$5:$I$404,0)),"")</f>
        <v/>
      </c>
      <c r="P103" s="14" t="str">
        <f>IFERROR(INDEX(EXTRATO_IMPORTADO!$F$5:$F$404,MATCH(B103,EXTRATO_IMPORTADO!$I$5:$I$404,0)),"")</f>
        <v/>
      </c>
      <c r="Q103" s="26" t="str">
        <f>IFERROR(INDEX(EXTRATO_IMPORTADO!$B$5:$B$404,MATCH(B103,EXTRATO_IMPORTADO!$I$5:$I$404,0)),"")</f>
        <v/>
      </c>
      <c r="R103" s="26" t="str">
        <f>IFERROR(MATCH(B103,EXTRATO_IMPORTADO!$I$5:$I$404,0),"")</f>
        <v/>
      </c>
      <c r="S103" s="14" t="str">
        <f t="shared" si="4"/>
        <v/>
      </c>
      <c r="T103" s="33" t="str">
        <f t="shared" si="5"/>
        <v/>
      </c>
    </row>
    <row r="104" spans="1:20" x14ac:dyDescent="0.3">
      <c r="A104" s="26">
        <f>IF(BASE_CAIXA!A101="","",BASE_CAIXA!A101)</f>
        <v>100</v>
      </c>
      <c r="B104" s="26" t="str">
        <f>IF(A104="","",BASE_CAIXA!AL101)</f>
        <v>000100-DB</v>
      </c>
      <c r="C104" s="13">
        <f>IF(A104="","",BASE_CAIXA!AJ101)</f>
        <v>46143</v>
      </c>
      <c r="D104" s="26" t="str">
        <f>IF(A104="","",IF(BASE_CAIXA!C101="Entrada","Crédito","Débito"))</f>
        <v>Débito</v>
      </c>
      <c r="E104" s="14">
        <f>IF(A104="","",BASE_CAIXA!AA101)</f>
        <v>572.07040000000006</v>
      </c>
      <c r="F104" s="26">
        <f>IF(A104="","",BASE_CAIXA!N101)</f>
        <v>0</v>
      </c>
      <c r="G104" s="26">
        <f>IF(A104="","",BASE_CAIXA!O101)</f>
        <v>0</v>
      </c>
      <c r="H104" s="26">
        <f>IF(A104="","",BASE_CAIXA!P101)</f>
        <v>0</v>
      </c>
      <c r="I104" s="26" t="str">
        <f>IF(A104="","",IF(BASE_CAIXA!H101&lt;&gt;"",BASE_CAIXA!H101,BASE_CAIXA!G101))</f>
        <v>Adaptador soldável flange 32 mm</v>
      </c>
      <c r="J104" s="26" t="str">
        <f>IF(A104="","",BASE_CAIXA!G101)</f>
        <v>Adaptador soldável flange 32 mm</v>
      </c>
      <c r="K104" s="26">
        <f>IF(A104="","",BASE_CAIXA!I101)</f>
        <v>0</v>
      </c>
      <c r="L104" s="26">
        <f>IF(A104="","",BASE_CAIXA!J101)</f>
        <v>0</v>
      </c>
      <c r="M104" s="26" t="str">
        <f>IF(A104="","",BASE_CAIXA!AM101)</f>
        <v xml:space="preserve">Adaptador soldável flange 32 mm | Adaptador soldável flange </v>
      </c>
      <c r="N104" s="26" t="str">
        <f t="shared" ca="1" si="3"/>
        <v>Previsto</v>
      </c>
      <c r="O104" s="13" t="str">
        <f>IFERROR(INDEX(EXTRATO_IMPORTADO!$A$5:$A$404,MATCH(B104,EXTRATO_IMPORTADO!$I$5:$I$404,0)),"")</f>
        <v/>
      </c>
      <c r="P104" s="14" t="str">
        <f>IFERROR(INDEX(EXTRATO_IMPORTADO!$F$5:$F$404,MATCH(B104,EXTRATO_IMPORTADO!$I$5:$I$404,0)),"")</f>
        <v/>
      </c>
      <c r="Q104" s="26" t="str">
        <f>IFERROR(INDEX(EXTRATO_IMPORTADO!$B$5:$B$404,MATCH(B104,EXTRATO_IMPORTADO!$I$5:$I$404,0)),"")</f>
        <v/>
      </c>
      <c r="R104" s="26" t="str">
        <f>IFERROR(MATCH(B104,EXTRATO_IMPORTADO!$I$5:$I$404,0),"")</f>
        <v/>
      </c>
      <c r="S104" s="14" t="str">
        <f t="shared" si="4"/>
        <v/>
      </c>
      <c r="T104" s="33" t="str">
        <f t="shared" si="5"/>
        <v/>
      </c>
    </row>
    <row r="105" spans="1:20" x14ac:dyDescent="0.3">
      <c r="A105" s="26">
        <f>IF(BASE_CAIXA!A102="","",BASE_CAIXA!A102)</f>
        <v>101</v>
      </c>
      <c r="B105" s="26" t="str">
        <f>IF(A105="","",BASE_CAIXA!AL102)</f>
        <v>000101-DB</v>
      </c>
      <c r="C105" s="13">
        <f>IF(A105="","",BASE_CAIXA!AJ102)</f>
        <v>46143</v>
      </c>
      <c r="D105" s="26" t="str">
        <f>IF(A105="","",IF(BASE_CAIXA!C102="Entrada","Crédito","Débito"))</f>
        <v>Débito</v>
      </c>
      <c r="E105" s="14">
        <f>IF(A105="","",BASE_CAIXA!AA102)</f>
        <v>34.816000000000003</v>
      </c>
      <c r="F105" s="26">
        <f>IF(A105="","",BASE_CAIXA!N102)</f>
        <v>0</v>
      </c>
      <c r="G105" s="26">
        <f>IF(A105="","",BASE_CAIXA!O102)</f>
        <v>0</v>
      </c>
      <c r="H105" s="26">
        <f>IF(A105="","",BASE_CAIXA!P102)</f>
        <v>0</v>
      </c>
      <c r="I105" s="26" t="str">
        <f>IF(A105="","",IF(BASE_CAIXA!H102&lt;&gt;"",BASE_CAIXA!H102,BASE_CAIXA!G102))</f>
        <v>Bucha de redução soldável curta 32mm x 25mm</v>
      </c>
      <c r="J105" s="26" t="str">
        <f>IF(A105="","",BASE_CAIXA!G102)</f>
        <v>Bucha de redução soldável curta 32mm x 25mm</v>
      </c>
      <c r="K105" s="26">
        <f>IF(A105="","",BASE_CAIXA!I102)</f>
        <v>0</v>
      </c>
      <c r="L105" s="26">
        <f>IF(A105="","",BASE_CAIXA!J102)</f>
        <v>0</v>
      </c>
      <c r="M105" s="26" t="str">
        <f>IF(A105="","",BASE_CAIXA!AM102)</f>
        <v>Bucha de redução soldável curta 32mm x 25mm | Bucha de reduç</v>
      </c>
      <c r="N105" s="26" t="str">
        <f t="shared" ca="1" si="3"/>
        <v>Previsto</v>
      </c>
      <c r="O105" s="13" t="str">
        <f>IFERROR(INDEX(EXTRATO_IMPORTADO!$A$5:$A$404,MATCH(B105,EXTRATO_IMPORTADO!$I$5:$I$404,0)),"")</f>
        <v/>
      </c>
      <c r="P105" s="14" t="str">
        <f>IFERROR(INDEX(EXTRATO_IMPORTADO!$F$5:$F$404,MATCH(B105,EXTRATO_IMPORTADO!$I$5:$I$404,0)),"")</f>
        <v/>
      </c>
      <c r="Q105" s="26" t="str">
        <f>IFERROR(INDEX(EXTRATO_IMPORTADO!$B$5:$B$404,MATCH(B105,EXTRATO_IMPORTADO!$I$5:$I$404,0)),"")</f>
        <v/>
      </c>
      <c r="R105" s="26" t="str">
        <f>IFERROR(MATCH(B105,EXTRATO_IMPORTADO!$I$5:$I$404,0),"")</f>
        <v/>
      </c>
      <c r="S105" s="14" t="str">
        <f t="shared" si="4"/>
        <v/>
      </c>
      <c r="T105" s="33" t="str">
        <f t="shared" si="5"/>
        <v/>
      </c>
    </row>
    <row r="106" spans="1:20" x14ac:dyDescent="0.3">
      <c r="A106" s="26">
        <f>IF(BASE_CAIXA!A103="","",BASE_CAIXA!A103)</f>
        <v>102</v>
      </c>
      <c r="B106" s="26" t="str">
        <f>IF(A106="","",BASE_CAIXA!AL103)</f>
        <v>000102-DB</v>
      </c>
      <c r="C106" s="13">
        <f>IF(A106="","",BASE_CAIXA!AJ103)</f>
        <v>46143</v>
      </c>
      <c r="D106" s="26" t="str">
        <f>IF(A106="","",IF(BASE_CAIXA!C103="Entrada","Crédito","Débito"))</f>
        <v>Débito</v>
      </c>
      <c r="E106" s="14">
        <f>IF(A106="","",BASE_CAIXA!AA103)</f>
        <v>5220.2240000000002</v>
      </c>
      <c r="F106" s="26">
        <f>IF(A106="","",BASE_CAIXA!N103)</f>
        <v>0</v>
      </c>
      <c r="G106" s="26">
        <f>IF(A106="","",BASE_CAIXA!O103)</f>
        <v>0</v>
      </c>
      <c r="H106" s="26">
        <f>IF(A106="","",BASE_CAIXA!P103)</f>
        <v>0</v>
      </c>
      <c r="I106" s="26" t="str">
        <f>IF(A106="","",IF(BASE_CAIXA!H103&lt;&gt;"",BASE_CAIXA!H103,BASE_CAIXA!G103))</f>
        <v>Caixa D'Água Polietileno 500 Litros - FORTLEV</v>
      </c>
      <c r="J106" s="26" t="str">
        <f>IF(A106="","",BASE_CAIXA!G103)</f>
        <v>Caixa D'Água Polietileno 500 Litros - FORTLEV</v>
      </c>
      <c r="K106" s="26">
        <f>IF(A106="","",BASE_CAIXA!I103)</f>
        <v>0</v>
      </c>
      <c r="L106" s="26">
        <f>IF(A106="","",BASE_CAIXA!J103)</f>
        <v>0</v>
      </c>
      <c r="M106" s="26" t="str">
        <f>IF(A106="","",BASE_CAIXA!AM103)</f>
        <v>Caixa D'Água Polietileno 500 Litros - FORTLEV | Caixa D'Água</v>
      </c>
      <c r="N106" s="26" t="str">
        <f t="shared" ca="1" si="3"/>
        <v>Previsto</v>
      </c>
      <c r="O106" s="13" t="str">
        <f>IFERROR(INDEX(EXTRATO_IMPORTADO!$A$5:$A$404,MATCH(B106,EXTRATO_IMPORTADO!$I$5:$I$404,0)),"")</f>
        <v/>
      </c>
      <c r="P106" s="14" t="str">
        <f>IFERROR(INDEX(EXTRATO_IMPORTADO!$F$5:$F$404,MATCH(B106,EXTRATO_IMPORTADO!$I$5:$I$404,0)),"")</f>
        <v/>
      </c>
      <c r="Q106" s="26" t="str">
        <f>IFERROR(INDEX(EXTRATO_IMPORTADO!$B$5:$B$404,MATCH(B106,EXTRATO_IMPORTADO!$I$5:$I$404,0)),"")</f>
        <v/>
      </c>
      <c r="R106" s="26" t="str">
        <f>IFERROR(MATCH(B106,EXTRATO_IMPORTADO!$I$5:$I$404,0),"")</f>
        <v/>
      </c>
      <c r="S106" s="14" t="str">
        <f t="shared" si="4"/>
        <v/>
      </c>
      <c r="T106" s="33" t="str">
        <f t="shared" si="5"/>
        <v/>
      </c>
    </row>
    <row r="107" spans="1:20" x14ac:dyDescent="0.3">
      <c r="A107" s="26">
        <f>IF(BASE_CAIXA!A104="","",BASE_CAIXA!A104)</f>
        <v>103</v>
      </c>
      <c r="B107" s="26" t="str">
        <f>IF(A107="","",BASE_CAIXA!AL104)</f>
        <v>000103-DB</v>
      </c>
      <c r="C107" s="13">
        <f>IF(A107="","",BASE_CAIXA!AJ104)</f>
        <v>46143</v>
      </c>
      <c r="D107" s="26" t="str">
        <f>IF(A107="","",IF(BASE_CAIXA!C104="Entrada","Crédito","Débito"))</f>
        <v>Débito</v>
      </c>
      <c r="E107" s="14">
        <f>IF(A107="","",BASE_CAIXA!AA104)</f>
        <v>97.267200000000003</v>
      </c>
      <c r="F107" s="26">
        <f>IF(A107="","",BASE_CAIXA!N104)</f>
        <v>0</v>
      </c>
      <c r="G107" s="26">
        <f>IF(A107="","",BASE_CAIXA!O104)</f>
        <v>0</v>
      </c>
      <c r="H107" s="26">
        <f>IF(A107="","",BASE_CAIXA!P104)</f>
        <v>0</v>
      </c>
      <c r="I107" s="26" t="str">
        <f>IF(A107="","",IF(BASE_CAIXA!H104&lt;&gt;"",BASE_CAIXA!H104,BASE_CAIXA!G104))</f>
        <v>Cola Pincel 175 g</v>
      </c>
      <c r="J107" s="26" t="str">
        <f>IF(A107="","",BASE_CAIXA!G104)</f>
        <v>Cola Pincel 175 g</v>
      </c>
      <c r="K107" s="26">
        <f>IF(A107="","",BASE_CAIXA!I104)</f>
        <v>0</v>
      </c>
      <c r="L107" s="26">
        <f>IF(A107="","",BASE_CAIXA!J104)</f>
        <v>0</v>
      </c>
      <c r="M107" s="26" t="str">
        <f>IF(A107="","",BASE_CAIXA!AM104)</f>
        <v>Cola Pincel 175 g | Cola Pincel 175 g | Saída | CAIXA D'ÁGUA</v>
      </c>
      <c r="N107" s="26" t="str">
        <f t="shared" ca="1" si="3"/>
        <v>Previsto</v>
      </c>
      <c r="O107" s="13" t="str">
        <f>IFERROR(INDEX(EXTRATO_IMPORTADO!$A$5:$A$404,MATCH(B107,EXTRATO_IMPORTADO!$I$5:$I$404,0)),"")</f>
        <v/>
      </c>
      <c r="P107" s="14" t="str">
        <f>IFERROR(INDEX(EXTRATO_IMPORTADO!$F$5:$F$404,MATCH(B107,EXTRATO_IMPORTADO!$I$5:$I$404,0)),"")</f>
        <v/>
      </c>
      <c r="Q107" s="26" t="str">
        <f>IFERROR(INDEX(EXTRATO_IMPORTADO!$B$5:$B$404,MATCH(B107,EXTRATO_IMPORTADO!$I$5:$I$404,0)),"")</f>
        <v/>
      </c>
      <c r="R107" s="26" t="str">
        <f>IFERROR(MATCH(B107,EXTRATO_IMPORTADO!$I$5:$I$404,0),"")</f>
        <v/>
      </c>
      <c r="S107" s="14" t="str">
        <f t="shared" si="4"/>
        <v/>
      </c>
      <c r="T107" s="33" t="str">
        <f t="shared" si="5"/>
        <v/>
      </c>
    </row>
    <row r="108" spans="1:20" x14ac:dyDescent="0.3">
      <c r="A108" s="26">
        <f>IF(BASE_CAIXA!A105="","",BASE_CAIXA!A105)</f>
        <v>104</v>
      </c>
      <c r="B108" s="26" t="str">
        <f>IF(A108="","",BASE_CAIXA!AL105)</f>
        <v>000104-DB</v>
      </c>
      <c r="C108" s="13">
        <f>IF(A108="","",BASE_CAIXA!AJ105)</f>
        <v>46143</v>
      </c>
      <c r="D108" s="26" t="str">
        <f>IF(A108="","",IF(BASE_CAIXA!C105="Entrada","Crédito","Débito"))</f>
        <v>Débito</v>
      </c>
      <c r="E108" s="14">
        <f>IF(A108="","",BASE_CAIXA!AA105)</f>
        <v>71.155200000000008</v>
      </c>
      <c r="F108" s="26">
        <f>IF(A108="","",BASE_CAIXA!N105)</f>
        <v>0</v>
      </c>
      <c r="G108" s="26">
        <f>IF(A108="","",BASE_CAIXA!O105)</f>
        <v>0</v>
      </c>
      <c r="H108" s="26">
        <f>IF(A108="","",BASE_CAIXA!P105)</f>
        <v>0</v>
      </c>
      <c r="I108" s="26" t="str">
        <f>IF(A108="","",IF(BASE_CAIXA!H105&lt;&gt;"",BASE_CAIXA!H105,BASE_CAIXA!G105))</f>
        <v>Curva 90° Soldável 25mm</v>
      </c>
      <c r="J108" s="26" t="str">
        <f>IF(A108="","",BASE_CAIXA!G105)</f>
        <v>Curva 90° Soldável 25mm</v>
      </c>
      <c r="K108" s="26">
        <f>IF(A108="","",BASE_CAIXA!I105)</f>
        <v>0</v>
      </c>
      <c r="L108" s="26">
        <f>IF(A108="","",BASE_CAIXA!J105)</f>
        <v>0</v>
      </c>
      <c r="M108" s="26" t="str">
        <f>IF(A108="","",BASE_CAIXA!AM105)</f>
        <v xml:space="preserve">Curva 90° Soldável 25mm | Curva 90° Soldável 25mm | Saída | </v>
      </c>
      <c r="N108" s="26" t="str">
        <f t="shared" ca="1" si="3"/>
        <v>Previsto</v>
      </c>
      <c r="O108" s="13" t="str">
        <f>IFERROR(INDEX(EXTRATO_IMPORTADO!$A$5:$A$404,MATCH(B108,EXTRATO_IMPORTADO!$I$5:$I$404,0)),"")</f>
        <v/>
      </c>
      <c r="P108" s="14" t="str">
        <f>IFERROR(INDEX(EXTRATO_IMPORTADO!$F$5:$F$404,MATCH(B108,EXTRATO_IMPORTADO!$I$5:$I$404,0)),"")</f>
        <v/>
      </c>
      <c r="Q108" s="26" t="str">
        <f>IFERROR(INDEX(EXTRATO_IMPORTADO!$B$5:$B$404,MATCH(B108,EXTRATO_IMPORTADO!$I$5:$I$404,0)),"")</f>
        <v/>
      </c>
      <c r="R108" s="26" t="str">
        <f>IFERROR(MATCH(B108,EXTRATO_IMPORTADO!$I$5:$I$404,0),"")</f>
        <v/>
      </c>
      <c r="S108" s="14" t="str">
        <f t="shared" si="4"/>
        <v/>
      </c>
      <c r="T108" s="33" t="str">
        <f t="shared" si="5"/>
        <v/>
      </c>
    </row>
    <row r="109" spans="1:20" x14ac:dyDescent="0.3">
      <c r="A109" s="26">
        <f>IF(BASE_CAIXA!A106="","",BASE_CAIXA!A106)</f>
        <v>105</v>
      </c>
      <c r="B109" s="26" t="str">
        <f>IF(A109="","",BASE_CAIXA!AL106)</f>
        <v>000105-DB</v>
      </c>
      <c r="C109" s="13">
        <f>IF(A109="","",BASE_CAIXA!AJ106)</f>
        <v>46143</v>
      </c>
      <c r="D109" s="26" t="str">
        <f>IF(A109="","",IF(BASE_CAIXA!C106="Entrada","Crédito","Débito"))</f>
        <v>Débito</v>
      </c>
      <c r="E109" s="14">
        <f>IF(A109="","",BASE_CAIXA!AA106)</f>
        <v>104.44799999999999</v>
      </c>
      <c r="F109" s="26">
        <f>IF(A109="","",BASE_CAIXA!N106)</f>
        <v>0</v>
      </c>
      <c r="G109" s="26">
        <f>IF(A109="","",BASE_CAIXA!O106)</f>
        <v>0</v>
      </c>
      <c r="H109" s="26">
        <f>IF(A109="","",BASE_CAIXA!P106)</f>
        <v>0</v>
      </c>
      <c r="I109" s="26" t="str">
        <f>IF(A109="","",IF(BASE_CAIXA!H106&lt;&gt;"",BASE_CAIXA!H106,BASE_CAIXA!G106))</f>
        <v>Joelho 90 soldavel 25 mm, PVC marrom, água fria</v>
      </c>
      <c r="J109" s="26" t="str">
        <f>IF(A109="","",BASE_CAIXA!G106)</f>
        <v>Joelho 90 soldavel 25 mm, PVC marrom, água fria</v>
      </c>
      <c r="K109" s="26">
        <f>IF(A109="","",BASE_CAIXA!I106)</f>
        <v>0</v>
      </c>
      <c r="L109" s="26">
        <f>IF(A109="","",BASE_CAIXA!J106)</f>
        <v>0</v>
      </c>
      <c r="M109" s="26" t="str">
        <f>IF(A109="","",BASE_CAIXA!AM106)</f>
        <v xml:space="preserve">Joelho 90 soldavel 25 mm, PVC marrom, água fria | Joelho 90 </v>
      </c>
      <c r="N109" s="26" t="str">
        <f t="shared" ca="1" si="3"/>
        <v>Previsto</v>
      </c>
      <c r="O109" s="13" t="str">
        <f>IFERROR(INDEX(EXTRATO_IMPORTADO!$A$5:$A$404,MATCH(B109,EXTRATO_IMPORTADO!$I$5:$I$404,0)),"")</f>
        <v/>
      </c>
      <c r="P109" s="14" t="str">
        <f>IFERROR(INDEX(EXTRATO_IMPORTADO!$F$5:$F$404,MATCH(B109,EXTRATO_IMPORTADO!$I$5:$I$404,0)),"")</f>
        <v/>
      </c>
      <c r="Q109" s="26" t="str">
        <f>IFERROR(INDEX(EXTRATO_IMPORTADO!$B$5:$B$404,MATCH(B109,EXTRATO_IMPORTADO!$I$5:$I$404,0)),"")</f>
        <v/>
      </c>
      <c r="R109" s="26" t="str">
        <f>IFERROR(MATCH(B109,EXTRATO_IMPORTADO!$I$5:$I$404,0),"")</f>
        <v/>
      </c>
      <c r="S109" s="14" t="str">
        <f t="shared" si="4"/>
        <v/>
      </c>
      <c r="T109" s="33" t="str">
        <f t="shared" si="5"/>
        <v/>
      </c>
    </row>
    <row r="110" spans="1:20" x14ac:dyDescent="0.3">
      <c r="A110" s="26">
        <f>IF(BASE_CAIXA!A107="","",BASE_CAIXA!A107)</f>
        <v>106</v>
      </c>
      <c r="B110" s="26" t="str">
        <f>IF(A110="","",BASE_CAIXA!AL107)</f>
        <v>000106-DB</v>
      </c>
      <c r="C110" s="13">
        <f>IF(A110="","",BASE_CAIXA!AJ107)</f>
        <v>46143</v>
      </c>
      <c r="D110" s="26" t="str">
        <f>IF(A110="","",IF(BASE_CAIXA!C107="Entrada","Crédito","Débito"))</f>
        <v>Débito</v>
      </c>
      <c r="E110" s="14">
        <f>IF(A110="","",BASE_CAIXA!AA107)</f>
        <v>115.7632</v>
      </c>
      <c r="F110" s="26">
        <f>IF(A110="","",BASE_CAIXA!N107)</f>
        <v>0</v>
      </c>
      <c r="G110" s="26">
        <f>IF(A110="","",BASE_CAIXA!O107)</f>
        <v>0</v>
      </c>
      <c r="H110" s="26">
        <f>IF(A110="","",BASE_CAIXA!P107)</f>
        <v>0</v>
      </c>
      <c r="I110" s="26" t="str">
        <f>IF(A110="","",IF(BASE_CAIXA!H107&lt;&gt;"",BASE_CAIXA!H107,BASE_CAIXA!G107))</f>
        <v>Joelho 90 soldavel 32 mm, PVC marrom, água fria</v>
      </c>
      <c r="J110" s="26" t="str">
        <f>IF(A110="","",BASE_CAIXA!G107)</f>
        <v>Joelho 90 soldavel 32 mm, PVC marrom, água fria</v>
      </c>
      <c r="K110" s="26">
        <f>IF(A110="","",BASE_CAIXA!I107)</f>
        <v>0</v>
      </c>
      <c r="L110" s="26">
        <f>IF(A110="","",BASE_CAIXA!J107)</f>
        <v>0</v>
      </c>
      <c r="M110" s="26" t="str">
        <f>IF(A110="","",BASE_CAIXA!AM107)</f>
        <v xml:space="preserve">Joelho 90 soldavel 32 mm, PVC marrom, água fria | Joelho 90 </v>
      </c>
      <c r="N110" s="26" t="str">
        <f t="shared" ca="1" si="3"/>
        <v>Previsto</v>
      </c>
      <c r="O110" s="13" t="str">
        <f>IFERROR(INDEX(EXTRATO_IMPORTADO!$A$5:$A$404,MATCH(B110,EXTRATO_IMPORTADO!$I$5:$I$404,0)),"")</f>
        <v/>
      </c>
      <c r="P110" s="14" t="str">
        <f>IFERROR(INDEX(EXTRATO_IMPORTADO!$F$5:$F$404,MATCH(B110,EXTRATO_IMPORTADO!$I$5:$I$404,0)),"")</f>
        <v/>
      </c>
      <c r="Q110" s="26" t="str">
        <f>IFERROR(INDEX(EXTRATO_IMPORTADO!$B$5:$B$404,MATCH(B110,EXTRATO_IMPORTADO!$I$5:$I$404,0)),"")</f>
        <v/>
      </c>
      <c r="R110" s="26" t="str">
        <f>IFERROR(MATCH(B110,EXTRATO_IMPORTADO!$I$5:$I$404,0),"")</f>
        <v/>
      </c>
      <c r="S110" s="14" t="str">
        <f t="shared" si="4"/>
        <v/>
      </c>
      <c r="T110" s="33" t="str">
        <f t="shared" si="5"/>
        <v/>
      </c>
    </row>
    <row r="111" spans="1:20" x14ac:dyDescent="0.3">
      <c r="A111" s="26">
        <f>IF(BASE_CAIXA!A108="","",BASE_CAIXA!A108)</f>
        <v>107</v>
      </c>
      <c r="B111" s="26" t="str">
        <f>IF(A111="","",BASE_CAIXA!AL108)</f>
        <v>000107-DB</v>
      </c>
      <c r="C111" s="13">
        <f>IF(A111="","",BASE_CAIXA!AJ108)</f>
        <v>46143</v>
      </c>
      <c r="D111" s="26" t="str">
        <f>IF(A111="","",IF(BASE_CAIXA!C108="Entrada","Crédito","Débito"))</f>
        <v>Débito</v>
      </c>
      <c r="E111" s="14">
        <f>IF(A111="","",BASE_CAIXA!AA108)</f>
        <v>139.26400000000001</v>
      </c>
      <c r="F111" s="26">
        <f>IF(A111="","",BASE_CAIXA!N108)</f>
        <v>0</v>
      </c>
      <c r="G111" s="26">
        <f>IF(A111="","",BASE_CAIXA!O108)</f>
        <v>0</v>
      </c>
      <c r="H111" s="26">
        <f>IF(A111="","",BASE_CAIXA!P108)</f>
        <v>0</v>
      </c>
      <c r="I111" s="26" t="str">
        <f>IF(A111="","",IF(BASE_CAIXA!H108&lt;&gt;"",BASE_CAIXA!H108,BASE_CAIXA!G108))</f>
        <v>LuvaPVC soldavél - 32 mm</v>
      </c>
      <c r="J111" s="26" t="str">
        <f>IF(A111="","",BASE_CAIXA!G108)</f>
        <v>LuvaPVC soldavél - 32 mm</v>
      </c>
      <c r="K111" s="26">
        <f>IF(A111="","",BASE_CAIXA!I108)</f>
        <v>0</v>
      </c>
      <c r="L111" s="26">
        <f>IF(A111="","",BASE_CAIXA!J108)</f>
        <v>0</v>
      </c>
      <c r="M111" s="26" t="str">
        <f>IF(A111="","",BASE_CAIXA!AM108)</f>
        <v xml:space="preserve">LuvaPVC soldavél - 32 mm | LuvaPVC soldavél - 32 mm | Saída </v>
      </c>
      <c r="N111" s="26" t="str">
        <f t="shared" ca="1" si="3"/>
        <v>Previsto</v>
      </c>
      <c r="O111" s="13" t="str">
        <f>IFERROR(INDEX(EXTRATO_IMPORTADO!$A$5:$A$404,MATCH(B111,EXTRATO_IMPORTADO!$I$5:$I$404,0)),"")</f>
        <v/>
      </c>
      <c r="P111" s="14" t="str">
        <f>IFERROR(INDEX(EXTRATO_IMPORTADO!$F$5:$F$404,MATCH(B111,EXTRATO_IMPORTADO!$I$5:$I$404,0)),"")</f>
        <v/>
      </c>
      <c r="Q111" s="26" t="str">
        <f>IFERROR(INDEX(EXTRATO_IMPORTADO!$B$5:$B$404,MATCH(B111,EXTRATO_IMPORTADO!$I$5:$I$404,0)),"")</f>
        <v/>
      </c>
      <c r="R111" s="26" t="str">
        <f>IFERROR(MATCH(B111,EXTRATO_IMPORTADO!$I$5:$I$404,0),"")</f>
        <v/>
      </c>
      <c r="S111" s="14" t="str">
        <f t="shared" si="4"/>
        <v/>
      </c>
      <c r="T111" s="33" t="str">
        <f t="shared" si="5"/>
        <v/>
      </c>
    </row>
    <row r="112" spans="1:20" x14ac:dyDescent="0.3">
      <c r="A112" s="26">
        <f>IF(BASE_CAIXA!A109="","",BASE_CAIXA!A109)</f>
        <v>108</v>
      </c>
      <c r="B112" s="26" t="str">
        <f>IF(A112="","",BASE_CAIXA!AL109)</f>
        <v>000108-DB</v>
      </c>
      <c r="C112" s="13">
        <f>IF(A112="","",BASE_CAIXA!AJ109)</f>
        <v>46143</v>
      </c>
      <c r="D112" s="26" t="str">
        <f>IF(A112="","",IF(BASE_CAIXA!C109="Entrada","Crédito","Débito"))</f>
        <v>Débito</v>
      </c>
      <c r="E112" s="14">
        <f>IF(A112="","",BASE_CAIXA!AA109)</f>
        <v>500.48</v>
      </c>
      <c r="F112" s="26">
        <f>IF(A112="","",BASE_CAIXA!N109)</f>
        <v>0</v>
      </c>
      <c r="G112" s="26">
        <f>IF(A112="","",BASE_CAIXA!O109)</f>
        <v>0</v>
      </c>
      <c r="H112" s="26">
        <f>IF(A112="","",BASE_CAIXA!P109)</f>
        <v>0</v>
      </c>
      <c r="I112" s="26" t="str">
        <f>IF(A112="","",IF(BASE_CAIXA!H109&lt;&gt;"",BASE_CAIXA!H109,BASE_CAIXA!G109))</f>
        <v>Registro PVC Esfera Borboleta Soldável 25MM</v>
      </c>
      <c r="J112" s="26" t="str">
        <f>IF(A112="","",BASE_CAIXA!G109)</f>
        <v>Registro PVC Esfera Borboleta Soldável 25MM</v>
      </c>
      <c r="K112" s="26">
        <f>IF(A112="","",BASE_CAIXA!I109)</f>
        <v>0</v>
      </c>
      <c r="L112" s="26">
        <f>IF(A112="","",BASE_CAIXA!J109)</f>
        <v>0</v>
      </c>
      <c r="M112" s="26" t="str">
        <f>IF(A112="","",BASE_CAIXA!AM109)</f>
        <v>Registro PVC Esfera Borboleta Soldável 25MM | Registro PVC E</v>
      </c>
      <c r="N112" s="26" t="str">
        <f t="shared" ca="1" si="3"/>
        <v>Previsto</v>
      </c>
      <c r="O112" s="13" t="str">
        <f>IFERROR(INDEX(EXTRATO_IMPORTADO!$A$5:$A$404,MATCH(B112,EXTRATO_IMPORTADO!$I$5:$I$404,0)),"")</f>
        <v/>
      </c>
      <c r="P112" s="14" t="str">
        <f>IFERROR(INDEX(EXTRATO_IMPORTADO!$F$5:$F$404,MATCH(B112,EXTRATO_IMPORTADO!$I$5:$I$404,0)),"")</f>
        <v/>
      </c>
      <c r="Q112" s="26" t="str">
        <f>IFERROR(INDEX(EXTRATO_IMPORTADO!$B$5:$B$404,MATCH(B112,EXTRATO_IMPORTADO!$I$5:$I$404,0)),"")</f>
        <v/>
      </c>
      <c r="R112" s="26" t="str">
        <f>IFERROR(MATCH(B112,EXTRATO_IMPORTADO!$I$5:$I$404,0),"")</f>
        <v/>
      </c>
      <c r="S112" s="14" t="str">
        <f t="shared" si="4"/>
        <v/>
      </c>
      <c r="T112" s="33" t="str">
        <f t="shared" si="5"/>
        <v/>
      </c>
    </row>
    <row r="113" spans="1:20" x14ac:dyDescent="0.3">
      <c r="A113" s="26">
        <f>IF(BASE_CAIXA!A110="","",BASE_CAIXA!A110)</f>
        <v>109</v>
      </c>
      <c r="B113" s="26" t="str">
        <f>IF(A113="","",BASE_CAIXA!AL110)</f>
        <v>000109-DB</v>
      </c>
      <c r="C113" s="13">
        <f>IF(A113="","",BASE_CAIXA!AJ110)</f>
        <v>46143</v>
      </c>
      <c r="D113" s="26" t="str">
        <f>IF(A113="","",IF(BASE_CAIXA!C110="Entrada","Crédito","Débito"))</f>
        <v>Débito</v>
      </c>
      <c r="E113" s="14">
        <f>IF(A113="","",BASE_CAIXA!AA110)</f>
        <v>652.80000000000007</v>
      </c>
      <c r="F113" s="26">
        <f>IF(A113="","",BASE_CAIXA!N110)</f>
        <v>0</v>
      </c>
      <c r="G113" s="26">
        <f>IF(A113="","",BASE_CAIXA!O110)</f>
        <v>0</v>
      </c>
      <c r="H113" s="26">
        <f>IF(A113="","",BASE_CAIXA!P110)</f>
        <v>0</v>
      </c>
      <c r="I113" s="26" t="str">
        <f>IF(A113="","",IF(BASE_CAIXA!H110&lt;&gt;"",BASE_CAIXA!H110,BASE_CAIXA!G110))</f>
        <v>Registro PVC Esfera Borboleta Soldável 32MM</v>
      </c>
      <c r="J113" s="26" t="str">
        <f>IF(A113="","",BASE_CAIXA!G110)</f>
        <v>Registro PVC Esfera Borboleta Soldável 32MM</v>
      </c>
      <c r="K113" s="26">
        <f>IF(A113="","",BASE_CAIXA!I110)</f>
        <v>0</v>
      </c>
      <c r="L113" s="26">
        <f>IF(A113="","",BASE_CAIXA!J110)</f>
        <v>0</v>
      </c>
      <c r="M113" s="26" t="str">
        <f>IF(A113="","",BASE_CAIXA!AM110)</f>
        <v>Registro PVC Esfera Borboleta Soldável 32MM | Registro PVC E</v>
      </c>
      <c r="N113" s="26" t="str">
        <f t="shared" ca="1" si="3"/>
        <v>Previsto</v>
      </c>
      <c r="O113" s="13" t="str">
        <f>IFERROR(INDEX(EXTRATO_IMPORTADO!$A$5:$A$404,MATCH(B113,EXTRATO_IMPORTADO!$I$5:$I$404,0)),"")</f>
        <v/>
      </c>
      <c r="P113" s="14" t="str">
        <f>IFERROR(INDEX(EXTRATO_IMPORTADO!$F$5:$F$404,MATCH(B113,EXTRATO_IMPORTADO!$I$5:$I$404,0)),"")</f>
        <v/>
      </c>
      <c r="Q113" s="26" t="str">
        <f>IFERROR(INDEX(EXTRATO_IMPORTADO!$B$5:$B$404,MATCH(B113,EXTRATO_IMPORTADO!$I$5:$I$404,0)),"")</f>
        <v/>
      </c>
      <c r="R113" s="26" t="str">
        <f>IFERROR(MATCH(B113,EXTRATO_IMPORTADO!$I$5:$I$404,0),"")</f>
        <v/>
      </c>
      <c r="S113" s="14" t="str">
        <f t="shared" si="4"/>
        <v/>
      </c>
      <c r="T113" s="33" t="str">
        <f t="shared" si="5"/>
        <v/>
      </c>
    </row>
    <row r="114" spans="1:20" x14ac:dyDescent="0.3">
      <c r="A114" s="26">
        <f>IF(BASE_CAIXA!A111="","",BASE_CAIXA!A111)</f>
        <v>110</v>
      </c>
      <c r="B114" s="26" t="str">
        <f>IF(A114="","",BASE_CAIXA!AL111)</f>
        <v>000110-DB</v>
      </c>
      <c r="C114" s="13">
        <f>IF(A114="","",BASE_CAIXA!AJ111)</f>
        <v>46143</v>
      </c>
      <c r="D114" s="26" t="str">
        <f>IF(A114="","",IF(BASE_CAIXA!C111="Entrada","Crédito","Débito"))</f>
        <v>Débito</v>
      </c>
      <c r="E114" s="14">
        <f>IF(A114="","",BASE_CAIXA!AA111)</f>
        <v>179.73759999999999</v>
      </c>
      <c r="F114" s="26">
        <f>IF(A114="","",BASE_CAIXA!N111)</f>
        <v>0</v>
      </c>
      <c r="G114" s="26">
        <f>IF(A114="","",BASE_CAIXA!O111)</f>
        <v>0</v>
      </c>
      <c r="H114" s="26">
        <f>IF(A114="","",BASE_CAIXA!P111)</f>
        <v>0</v>
      </c>
      <c r="I114" s="26" t="str">
        <f>IF(A114="","",IF(BASE_CAIXA!H111&lt;&gt;"",BASE_CAIXA!H111,BASE_CAIXA!G111))</f>
        <v>TE PVC Soldável 32 MM</v>
      </c>
      <c r="J114" s="26" t="str">
        <f>IF(A114="","",BASE_CAIXA!G111)</f>
        <v>TE PVC Soldável 32 MM</v>
      </c>
      <c r="K114" s="26">
        <f>IF(A114="","",BASE_CAIXA!I111)</f>
        <v>0</v>
      </c>
      <c r="L114" s="26">
        <f>IF(A114="","",BASE_CAIXA!J111)</f>
        <v>0</v>
      </c>
      <c r="M114" s="26" t="str">
        <f>IF(A114="","",BASE_CAIXA!AM111)</f>
        <v>TE PVC Soldável 32 MM | TE PVC Soldável 32 MM | Saída | CAIX</v>
      </c>
      <c r="N114" s="26" t="str">
        <f t="shared" ca="1" si="3"/>
        <v>Previsto</v>
      </c>
      <c r="O114" s="13" t="str">
        <f>IFERROR(INDEX(EXTRATO_IMPORTADO!$A$5:$A$404,MATCH(B114,EXTRATO_IMPORTADO!$I$5:$I$404,0)),"")</f>
        <v/>
      </c>
      <c r="P114" s="14" t="str">
        <f>IFERROR(INDEX(EXTRATO_IMPORTADO!$F$5:$F$404,MATCH(B114,EXTRATO_IMPORTADO!$I$5:$I$404,0)),"")</f>
        <v/>
      </c>
      <c r="Q114" s="26" t="str">
        <f>IFERROR(INDEX(EXTRATO_IMPORTADO!$B$5:$B$404,MATCH(B114,EXTRATO_IMPORTADO!$I$5:$I$404,0)),"")</f>
        <v/>
      </c>
      <c r="R114" s="26" t="str">
        <f>IFERROR(MATCH(B114,EXTRATO_IMPORTADO!$I$5:$I$404,0),"")</f>
        <v/>
      </c>
      <c r="S114" s="14" t="str">
        <f t="shared" si="4"/>
        <v/>
      </c>
      <c r="T114" s="33" t="str">
        <f t="shared" si="5"/>
        <v/>
      </c>
    </row>
    <row r="115" spans="1:20" x14ac:dyDescent="0.3">
      <c r="A115" s="26">
        <f>IF(BASE_CAIXA!A112="","",BASE_CAIXA!A112)</f>
        <v>111</v>
      </c>
      <c r="B115" s="26" t="str">
        <f>IF(A115="","",BASE_CAIXA!AL112)</f>
        <v>000111-DB</v>
      </c>
      <c r="C115" s="13">
        <f>IF(A115="","",BASE_CAIXA!AJ112)</f>
        <v>46143</v>
      </c>
      <c r="D115" s="26" t="str">
        <f>IF(A115="","",IF(BASE_CAIXA!C112="Entrada","Crédito","Débito"))</f>
        <v>Débito</v>
      </c>
      <c r="E115" s="14">
        <f>IF(A115="","",BASE_CAIXA!AA112)</f>
        <v>1640.704</v>
      </c>
      <c r="F115" s="26">
        <f>IF(A115="","",BASE_CAIXA!N112)</f>
        <v>0</v>
      </c>
      <c r="G115" s="26">
        <f>IF(A115="","",BASE_CAIXA!O112)</f>
        <v>0</v>
      </c>
      <c r="H115" s="26">
        <f>IF(A115="","",BASE_CAIXA!P112)</f>
        <v>0</v>
      </c>
      <c r="I115" s="26" t="str">
        <f>IF(A115="","",IF(BASE_CAIXA!H112&lt;&gt;"",BASE_CAIXA!H112,BASE_CAIXA!G112))</f>
        <v>Torneira Boia PVC Com Balão Plástico Para Caixa D'água 3/4"</v>
      </c>
      <c r="J115" s="26" t="str">
        <f>IF(A115="","",BASE_CAIXA!G112)</f>
        <v>Torneira Boia PVC Com Balão Plástico Para Caixa D'água 3/4"</v>
      </c>
      <c r="K115" s="26">
        <f>IF(A115="","",BASE_CAIXA!I112)</f>
        <v>0</v>
      </c>
      <c r="L115" s="26">
        <f>IF(A115="","",BASE_CAIXA!J112)</f>
        <v>0</v>
      </c>
      <c r="M115" s="26" t="str">
        <f>IF(A115="","",BASE_CAIXA!AM112)</f>
        <v xml:space="preserve">Torneira Boia PVC Com Balão Plástico Para Caixa D'água 3/4" </v>
      </c>
      <c r="N115" s="26" t="str">
        <f t="shared" ca="1" si="3"/>
        <v>Previsto</v>
      </c>
      <c r="O115" s="13" t="str">
        <f>IFERROR(INDEX(EXTRATO_IMPORTADO!$A$5:$A$404,MATCH(B115,EXTRATO_IMPORTADO!$I$5:$I$404,0)),"")</f>
        <v/>
      </c>
      <c r="P115" s="14" t="str">
        <f>IFERROR(INDEX(EXTRATO_IMPORTADO!$F$5:$F$404,MATCH(B115,EXTRATO_IMPORTADO!$I$5:$I$404,0)),"")</f>
        <v/>
      </c>
      <c r="Q115" s="26" t="str">
        <f>IFERROR(INDEX(EXTRATO_IMPORTADO!$B$5:$B$404,MATCH(B115,EXTRATO_IMPORTADO!$I$5:$I$404,0)),"")</f>
        <v/>
      </c>
      <c r="R115" s="26" t="str">
        <f>IFERROR(MATCH(B115,EXTRATO_IMPORTADO!$I$5:$I$404,0),"")</f>
        <v/>
      </c>
      <c r="S115" s="14" t="str">
        <f t="shared" si="4"/>
        <v/>
      </c>
      <c r="T115" s="33" t="str">
        <f t="shared" si="5"/>
        <v/>
      </c>
    </row>
    <row r="116" spans="1:20" x14ac:dyDescent="0.3">
      <c r="A116" s="26">
        <f>IF(BASE_CAIXA!A113="","",BASE_CAIXA!A113)</f>
        <v>112</v>
      </c>
      <c r="B116" s="26" t="str">
        <f>IF(A116="","",BASE_CAIXA!AL113)</f>
        <v>000112-DB</v>
      </c>
      <c r="C116" s="13">
        <f>IF(A116="","",BASE_CAIXA!AJ113)</f>
        <v>46143</v>
      </c>
      <c r="D116" s="26" t="str">
        <f>IF(A116="","",IF(BASE_CAIXA!C113="Entrada","Crédito","Débito"))</f>
        <v>Débito</v>
      </c>
      <c r="E116" s="14">
        <f>IF(A116="","",BASE_CAIXA!AA113)</f>
        <v>879.19104000000016</v>
      </c>
      <c r="F116" s="26">
        <f>IF(A116="","",BASE_CAIXA!N113)</f>
        <v>0</v>
      </c>
      <c r="G116" s="26">
        <f>IF(A116="","",BASE_CAIXA!O113)</f>
        <v>0</v>
      </c>
      <c r="H116" s="26">
        <f>IF(A116="","",BASE_CAIXA!P113)</f>
        <v>0</v>
      </c>
      <c r="I116" s="26" t="str">
        <f>IF(A116="","",IF(BASE_CAIXA!H113&lt;&gt;"",BASE_CAIXA!H113,BASE_CAIXA!G113))</f>
        <v>Tubo DN 25 mm, PVC Rígido Soldável Marrom</v>
      </c>
      <c r="J116" s="26" t="str">
        <f>IF(A116="","",BASE_CAIXA!G113)</f>
        <v>Tubo DN 25 mm, PVC Rígido Soldável Marrom</v>
      </c>
      <c r="K116" s="26">
        <f>IF(A116="","",BASE_CAIXA!I113)</f>
        <v>0</v>
      </c>
      <c r="L116" s="26">
        <f>IF(A116="","",BASE_CAIXA!J113)</f>
        <v>0</v>
      </c>
      <c r="M116" s="26" t="str">
        <f>IF(A116="","",BASE_CAIXA!AM113)</f>
        <v>Tubo DN 25 mm, PVC Rígido Soldável Marrom | Tubo DN 25 mm, P</v>
      </c>
      <c r="N116" s="26" t="str">
        <f t="shared" ca="1" si="3"/>
        <v>Previsto</v>
      </c>
      <c r="O116" s="13" t="str">
        <f>IFERROR(INDEX(EXTRATO_IMPORTADO!$A$5:$A$404,MATCH(B116,EXTRATO_IMPORTADO!$I$5:$I$404,0)),"")</f>
        <v/>
      </c>
      <c r="P116" s="14" t="str">
        <f>IFERROR(INDEX(EXTRATO_IMPORTADO!$F$5:$F$404,MATCH(B116,EXTRATO_IMPORTADO!$I$5:$I$404,0)),"")</f>
        <v/>
      </c>
      <c r="Q116" s="26" t="str">
        <f>IFERROR(INDEX(EXTRATO_IMPORTADO!$B$5:$B$404,MATCH(B116,EXTRATO_IMPORTADO!$I$5:$I$404,0)),"")</f>
        <v/>
      </c>
      <c r="R116" s="26" t="str">
        <f>IFERROR(MATCH(B116,EXTRATO_IMPORTADO!$I$5:$I$404,0),"")</f>
        <v/>
      </c>
      <c r="S116" s="14" t="str">
        <f t="shared" si="4"/>
        <v/>
      </c>
      <c r="T116" s="33" t="str">
        <f t="shared" si="5"/>
        <v/>
      </c>
    </row>
    <row r="117" spans="1:20" x14ac:dyDescent="0.3">
      <c r="A117" s="26">
        <f>IF(BASE_CAIXA!A114="","",BASE_CAIXA!A114)</f>
        <v>113</v>
      </c>
      <c r="B117" s="26" t="str">
        <f>IF(A117="","",BASE_CAIXA!AL114)</f>
        <v>000113-DB</v>
      </c>
      <c r="C117" s="13">
        <f>IF(A117="","",BASE_CAIXA!AJ114)</f>
        <v>46143</v>
      </c>
      <c r="D117" s="26" t="str">
        <f>IF(A117="","",IF(BASE_CAIXA!C114="Entrada","Crédito","Débito"))</f>
        <v>Débito</v>
      </c>
      <c r="E117" s="14">
        <f>IF(A117="","",BASE_CAIXA!AA114)</f>
        <v>1923.1487999999999</v>
      </c>
      <c r="F117" s="26">
        <f>IF(A117="","",BASE_CAIXA!N114)</f>
        <v>0</v>
      </c>
      <c r="G117" s="26">
        <f>IF(A117="","",BASE_CAIXA!O114)</f>
        <v>0</v>
      </c>
      <c r="H117" s="26">
        <f>IF(A117="","",BASE_CAIXA!P114)</f>
        <v>0</v>
      </c>
      <c r="I117" s="26" t="str">
        <f>IF(A117="","",IF(BASE_CAIXA!H114&lt;&gt;"",BASE_CAIXA!H114,BASE_CAIXA!G114))</f>
        <v>Tubo DN 32 mm, PVC Rígido Soldável Marrom</v>
      </c>
      <c r="J117" s="26" t="str">
        <f>IF(A117="","",BASE_CAIXA!G114)</f>
        <v>Tubo DN 32 mm, PVC Rígido Soldável Marrom</v>
      </c>
      <c r="K117" s="26">
        <f>IF(A117="","",BASE_CAIXA!I114)</f>
        <v>0</v>
      </c>
      <c r="L117" s="26">
        <f>IF(A117="","",BASE_CAIXA!J114)</f>
        <v>0</v>
      </c>
      <c r="M117" s="26" t="str">
        <f>IF(A117="","",BASE_CAIXA!AM114)</f>
        <v>Tubo DN 32 mm, PVC Rígido Soldável Marrom | Tubo DN 32 mm, P</v>
      </c>
      <c r="N117" s="26" t="str">
        <f t="shared" ca="1" si="3"/>
        <v>Previsto</v>
      </c>
      <c r="O117" s="13" t="str">
        <f>IFERROR(INDEX(EXTRATO_IMPORTADO!$A$5:$A$404,MATCH(B117,EXTRATO_IMPORTADO!$I$5:$I$404,0)),"")</f>
        <v/>
      </c>
      <c r="P117" s="14" t="str">
        <f>IFERROR(INDEX(EXTRATO_IMPORTADO!$F$5:$F$404,MATCH(B117,EXTRATO_IMPORTADO!$I$5:$I$404,0)),"")</f>
        <v/>
      </c>
      <c r="Q117" s="26" t="str">
        <f>IFERROR(INDEX(EXTRATO_IMPORTADO!$B$5:$B$404,MATCH(B117,EXTRATO_IMPORTADO!$I$5:$I$404,0)),"")</f>
        <v/>
      </c>
      <c r="R117" s="26" t="str">
        <f>IFERROR(MATCH(B117,EXTRATO_IMPORTADO!$I$5:$I$404,0),"")</f>
        <v/>
      </c>
      <c r="S117" s="14" t="str">
        <f t="shared" si="4"/>
        <v/>
      </c>
      <c r="T117" s="33" t="str">
        <f t="shared" si="5"/>
        <v/>
      </c>
    </row>
    <row r="118" spans="1:20" x14ac:dyDescent="0.3">
      <c r="A118" s="26">
        <f>IF(BASE_CAIXA!A115="","",BASE_CAIXA!A115)</f>
        <v>114</v>
      </c>
      <c r="B118" s="26" t="str">
        <f>IF(A118="","",BASE_CAIXA!AL115)</f>
        <v>000114-DB</v>
      </c>
      <c r="C118" s="13">
        <f>IF(A118="","",BASE_CAIXA!AJ115)</f>
        <v>46143</v>
      </c>
      <c r="D118" s="26" t="str">
        <f>IF(A118="","",IF(BASE_CAIXA!C115="Entrada","Crédito","Débito"))</f>
        <v>Débito</v>
      </c>
      <c r="E118" s="14">
        <f>IF(A118="","",BASE_CAIXA!AA115)</f>
        <v>7744.0000000000009</v>
      </c>
      <c r="F118" s="26">
        <f>IF(A118="","",BASE_CAIXA!N115)</f>
        <v>0</v>
      </c>
      <c r="G118" s="26">
        <f>IF(A118="","",BASE_CAIXA!O115)</f>
        <v>0</v>
      </c>
      <c r="H118" s="26">
        <f>IF(A118="","",BASE_CAIXA!P115)</f>
        <v>0</v>
      </c>
      <c r="I118" s="26" t="str">
        <f>IF(A118="","",IF(BASE_CAIXA!H115&lt;&gt;"",BASE_CAIXA!H115,BASE_CAIXA!G115))</f>
        <v>Locação de miniescavadeira - nivelamento e abertura de valas para caixa de gordura e hidrosanitario do radier</v>
      </c>
      <c r="J118" s="26" t="str">
        <f>IF(A118="","",BASE_CAIXA!G115)</f>
        <v>Locação de miniescavadeira - nivelamento e abertura de valas para caixa de gordura e hidrosanitario do radier</v>
      </c>
      <c r="K118" s="26">
        <f>IF(A118="","",BASE_CAIXA!I115)</f>
        <v>0</v>
      </c>
      <c r="L118" s="26">
        <f>IF(A118="","",BASE_CAIXA!J115)</f>
        <v>0</v>
      </c>
      <c r="M118" s="26" t="str">
        <f>IF(A118="","",BASE_CAIXA!AM115)</f>
        <v>Locação de miniescavadeira - nivelamento e abertura de valas</v>
      </c>
      <c r="N118" s="26" t="str">
        <f t="shared" ca="1" si="3"/>
        <v>Previsto</v>
      </c>
      <c r="O118" s="13" t="str">
        <f>IFERROR(INDEX(EXTRATO_IMPORTADO!$A$5:$A$404,MATCH(B118,EXTRATO_IMPORTADO!$I$5:$I$404,0)),"")</f>
        <v/>
      </c>
      <c r="P118" s="14" t="str">
        <f>IFERROR(INDEX(EXTRATO_IMPORTADO!$F$5:$F$404,MATCH(B118,EXTRATO_IMPORTADO!$I$5:$I$404,0)),"")</f>
        <v/>
      </c>
      <c r="Q118" s="26" t="str">
        <f>IFERROR(INDEX(EXTRATO_IMPORTADO!$B$5:$B$404,MATCH(B118,EXTRATO_IMPORTADO!$I$5:$I$404,0)),"")</f>
        <v/>
      </c>
      <c r="R118" s="26" t="str">
        <f>IFERROR(MATCH(B118,EXTRATO_IMPORTADO!$I$5:$I$404,0),"")</f>
        <v/>
      </c>
      <c r="S118" s="14" t="str">
        <f t="shared" si="4"/>
        <v/>
      </c>
      <c r="T118" s="33" t="str">
        <f t="shared" si="5"/>
        <v/>
      </c>
    </row>
    <row r="119" spans="1:20" x14ac:dyDescent="0.3">
      <c r="A119" s="26">
        <f>IF(BASE_CAIXA!A116="","",BASE_CAIXA!A116)</f>
        <v>115</v>
      </c>
      <c r="B119" s="26" t="str">
        <f>IF(A119="","",BASE_CAIXA!AL116)</f>
        <v>000115-DB</v>
      </c>
      <c r="C119" s="13">
        <f>IF(A119="","",BASE_CAIXA!AJ116)</f>
        <v>46143</v>
      </c>
      <c r="D119" s="26" t="str">
        <f>IF(A119="","",IF(BASE_CAIXA!C116="Entrada","Crédito","Débito"))</f>
        <v>Débito</v>
      </c>
      <c r="E119" s="14">
        <f>IF(A119="","",BASE_CAIXA!AA116)</f>
        <v>4922.6239999999998</v>
      </c>
      <c r="F119" s="26">
        <f>IF(A119="","",BASE_CAIXA!N116)</f>
        <v>0</v>
      </c>
      <c r="G119" s="26">
        <f>IF(A119="","",BASE_CAIXA!O116)</f>
        <v>0</v>
      </c>
      <c r="H119" s="26">
        <f>IF(A119="","",BASE_CAIXA!P116)</f>
        <v>0</v>
      </c>
      <c r="I119" s="26" t="str">
        <f>IF(A119="","",IF(BASE_CAIXA!H116&lt;&gt;"",BASE_CAIXA!H116,BASE_CAIXA!G116))</f>
        <v>MO Terceirizada Caixas de inspecao e gordura</v>
      </c>
      <c r="J119" s="26" t="str">
        <f>IF(A119="","",BASE_CAIXA!G116)</f>
        <v>MO Terceirizada Caixas de inspecao e gordura</v>
      </c>
      <c r="K119" s="26">
        <f>IF(A119="","",BASE_CAIXA!I116)</f>
        <v>0</v>
      </c>
      <c r="L119" s="26">
        <f>IF(A119="","",BASE_CAIXA!J116)</f>
        <v>0</v>
      </c>
      <c r="M119" s="26" t="str">
        <f>IF(A119="","",BASE_CAIXA!AM116)</f>
        <v>MO Terceirizada Caixas de inspecao e gordura | MO Terceiriza</v>
      </c>
      <c r="N119" s="26" t="str">
        <f t="shared" ca="1" si="3"/>
        <v>Previsto</v>
      </c>
      <c r="O119" s="13" t="str">
        <f>IFERROR(INDEX(EXTRATO_IMPORTADO!$A$5:$A$404,MATCH(B119,EXTRATO_IMPORTADO!$I$5:$I$404,0)),"")</f>
        <v/>
      </c>
      <c r="P119" s="14" t="str">
        <f>IFERROR(INDEX(EXTRATO_IMPORTADO!$F$5:$F$404,MATCH(B119,EXTRATO_IMPORTADO!$I$5:$I$404,0)),"")</f>
        <v/>
      </c>
      <c r="Q119" s="26" t="str">
        <f>IFERROR(INDEX(EXTRATO_IMPORTADO!$B$5:$B$404,MATCH(B119,EXTRATO_IMPORTADO!$I$5:$I$404,0)),"")</f>
        <v/>
      </c>
      <c r="R119" s="26" t="str">
        <f>IFERROR(MATCH(B119,EXTRATO_IMPORTADO!$I$5:$I$404,0),"")</f>
        <v/>
      </c>
      <c r="S119" s="14" t="str">
        <f t="shared" si="4"/>
        <v/>
      </c>
      <c r="T119" s="33" t="str">
        <f t="shared" si="5"/>
        <v/>
      </c>
    </row>
    <row r="120" spans="1:20" x14ac:dyDescent="0.3">
      <c r="A120" s="26">
        <f>IF(BASE_CAIXA!A117="","",BASE_CAIXA!A117)</f>
        <v>116</v>
      </c>
      <c r="B120" s="26" t="str">
        <f>IF(A120="","",BASE_CAIXA!AL117)</f>
        <v>000116-DB</v>
      </c>
      <c r="C120" s="13">
        <f>IF(A120="","",BASE_CAIXA!AJ117)</f>
        <v>46143</v>
      </c>
      <c r="D120" s="26" t="str">
        <f>IF(A120="","",IF(BASE_CAIXA!C117="Entrada","Crédito","Débito"))</f>
        <v>Débito</v>
      </c>
      <c r="E120" s="14">
        <f>IF(A120="","",BASE_CAIXA!AA117)</f>
        <v>21190</v>
      </c>
      <c r="F120" s="26">
        <f>IF(A120="","",BASE_CAIXA!N117)</f>
        <v>0</v>
      </c>
      <c r="G120" s="26">
        <f>IF(A120="","",BASE_CAIXA!O117)</f>
        <v>0</v>
      </c>
      <c r="H120" s="26">
        <f>IF(A120="","",BASE_CAIXA!P117)</f>
        <v>0</v>
      </c>
      <c r="I120" s="26" t="str">
        <f>IF(A120="","",IF(BASE_CAIXA!H117&lt;&gt;"",BASE_CAIXA!H117,BASE_CAIXA!G117))</f>
        <v>CARTAO CREDITO SUCOPIRA</v>
      </c>
      <c r="J120" s="26" t="str">
        <f>IF(A120="","",BASE_CAIXA!G117)</f>
        <v>CARTAO CREDITO SUCOPIRA</v>
      </c>
      <c r="K120" s="26">
        <f>IF(A120="","",BASE_CAIXA!I117)</f>
        <v>0</v>
      </c>
      <c r="L120" s="26">
        <f>IF(A120="","",BASE_CAIXA!J117)</f>
        <v>0</v>
      </c>
      <c r="M120" s="26" t="str">
        <f>IF(A120="","",BASE_CAIXA!AM117)</f>
        <v xml:space="preserve">CARTAO CREDITO SUCOPIRA | CARTAO CREDITO SUCOPIRA | Saída | </v>
      </c>
      <c r="N120" s="26" t="str">
        <f t="shared" ca="1" si="3"/>
        <v>Previsto</v>
      </c>
      <c r="O120" s="13" t="str">
        <f>IFERROR(INDEX(EXTRATO_IMPORTADO!$A$5:$A$404,MATCH(B120,EXTRATO_IMPORTADO!$I$5:$I$404,0)),"")</f>
        <v/>
      </c>
      <c r="P120" s="14" t="str">
        <f>IFERROR(INDEX(EXTRATO_IMPORTADO!$F$5:$F$404,MATCH(B120,EXTRATO_IMPORTADO!$I$5:$I$404,0)),"")</f>
        <v/>
      </c>
      <c r="Q120" s="26" t="str">
        <f>IFERROR(INDEX(EXTRATO_IMPORTADO!$B$5:$B$404,MATCH(B120,EXTRATO_IMPORTADO!$I$5:$I$404,0)),"")</f>
        <v/>
      </c>
      <c r="R120" s="26" t="str">
        <f>IFERROR(MATCH(B120,EXTRATO_IMPORTADO!$I$5:$I$404,0),"")</f>
        <v/>
      </c>
      <c r="S120" s="14" t="str">
        <f t="shared" si="4"/>
        <v/>
      </c>
      <c r="T120" s="33" t="str">
        <f t="shared" si="5"/>
        <v/>
      </c>
    </row>
    <row r="121" spans="1:20" x14ac:dyDescent="0.3">
      <c r="A121" s="26">
        <f>IF(BASE_CAIXA!A118="","",BASE_CAIXA!A118)</f>
        <v>117</v>
      </c>
      <c r="B121" s="26" t="str">
        <f>IF(A121="","",BASE_CAIXA!AL118)</f>
        <v>000117-DB</v>
      </c>
      <c r="C121" s="13">
        <f>IF(A121="","",BASE_CAIXA!AJ118)</f>
        <v>46143</v>
      </c>
      <c r="D121" s="26" t="str">
        <f>IF(A121="","",IF(BASE_CAIXA!C118="Entrada","Crédito","Débito"))</f>
        <v>Débito</v>
      </c>
      <c r="E121" s="14">
        <f>IF(A121="","",BASE_CAIXA!AA118)</f>
        <v>7670</v>
      </c>
      <c r="F121" s="26">
        <f>IF(A121="","",BASE_CAIXA!N118)</f>
        <v>0</v>
      </c>
      <c r="G121" s="26">
        <f>IF(A121="","",BASE_CAIXA!O118)</f>
        <v>0</v>
      </c>
      <c r="H121" s="26">
        <f>IF(A121="","",BASE_CAIXA!P118)</f>
        <v>0</v>
      </c>
      <c r="I121" s="26" t="str">
        <f>IF(A121="","",IF(BASE_CAIXA!H118&lt;&gt;"",BASE_CAIXA!H118,BASE_CAIXA!G118))</f>
        <v>EMPRÉSTIMO EXTRA</v>
      </c>
      <c r="J121" s="26" t="str">
        <f>IF(A121="","",BASE_CAIXA!G118)</f>
        <v>EMPRÉSTIMO EXTRA</v>
      </c>
      <c r="K121" s="26">
        <f>IF(A121="","",BASE_CAIXA!I118)</f>
        <v>0</v>
      </c>
      <c r="L121" s="26">
        <f>IF(A121="","",BASE_CAIXA!J118)</f>
        <v>0</v>
      </c>
      <c r="M121" s="26" t="str">
        <f>IF(A121="","",BASE_CAIXA!AM118)</f>
        <v>EMPRÉSTIMO EXTRA | EMPRÉSTIMO EXTRA | Saída | CAPITAL DE GIR</v>
      </c>
      <c r="N121" s="26" t="str">
        <f t="shared" ca="1" si="3"/>
        <v>Previsto</v>
      </c>
      <c r="O121" s="13" t="str">
        <f>IFERROR(INDEX(EXTRATO_IMPORTADO!$A$5:$A$404,MATCH(B121,EXTRATO_IMPORTADO!$I$5:$I$404,0)),"")</f>
        <v/>
      </c>
      <c r="P121" s="14" t="str">
        <f>IFERROR(INDEX(EXTRATO_IMPORTADO!$F$5:$F$404,MATCH(B121,EXTRATO_IMPORTADO!$I$5:$I$404,0)),"")</f>
        <v/>
      </c>
      <c r="Q121" s="26" t="str">
        <f>IFERROR(INDEX(EXTRATO_IMPORTADO!$B$5:$B$404,MATCH(B121,EXTRATO_IMPORTADO!$I$5:$I$404,0)),"")</f>
        <v/>
      </c>
      <c r="R121" s="26" t="str">
        <f>IFERROR(MATCH(B121,EXTRATO_IMPORTADO!$I$5:$I$404,0),"")</f>
        <v/>
      </c>
      <c r="S121" s="14" t="str">
        <f t="shared" si="4"/>
        <v/>
      </c>
      <c r="T121" s="33" t="str">
        <f t="shared" si="5"/>
        <v/>
      </c>
    </row>
    <row r="122" spans="1:20" x14ac:dyDescent="0.3">
      <c r="A122" s="26">
        <f>IF(BASE_CAIXA!A119="","",BASE_CAIXA!A119)</f>
        <v>118</v>
      </c>
      <c r="B122" s="26" t="str">
        <f>IF(A122="","",BASE_CAIXA!AL119)</f>
        <v>000118-DB</v>
      </c>
      <c r="C122" s="13">
        <f>IF(A122="","",BASE_CAIXA!AJ119)</f>
        <v>46143</v>
      </c>
      <c r="D122" s="26" t="str">
        <f>IF(A122="","",IF(BASE_CAIXA!C119="Entrada","Crédito","Débito"))</f>
        <v>Débito</v>
      </c>
      <c r="E122" s="14">
        <f>IF(A122="","",BASE_CAIXA!AA119)</f>
        <v>19943.37</v>
      </c>
      <c r="F122" s="26">
        <f>IF(A122="","",BASE_CAIXA!N119)</f>
        <v>0</v>
      </c>
      <c r="G122" s="26">
        <f>IF(A122="","",BASE_CAIXA!O119)</f>
        <v>0</v>
      </c>
      <c r="H122" s="26">
        <f>IF(A122="","",BASE_CAIXA!P119)</f>
        <v>0</v>
      </c>
      <c r="I122" s="26" t="str">
        <f>IF(A122="","",IF(BASE_CAIXA!H119&lt;&gt;"",BASE_CAIXA!H119,BASE_CAIXA!G119))</f>
        <v>ITAU</v>
      </c>
      <c r="J122" s="26" t="str">
        <f>IF(A122="","",BASE_CAIXA!G119)</f>
        <v>ITAU</v>
      </c>
      <c r="K122" s="26">
        <f>IF(A122="","",BASE_CAIXA!I119)</f>
        <v>0</v>
      </c>
      <c r="L122" s="26">
        <f>IF(A122="","",BASE_CAIXA!J119)</f>
        <v>0</v>
      </c>
      <c r="M122" s="26" t="str">
        <f>IF(A122="","",BASE_CAIXA!AM119)</f>
        <v>ITAU | ITAU | Saída | CAPITAL DE GIRO</v>
      </c>
      <c r="N122" s="26" t="str">
        <f t="shared" ca="1" si="3"/>
        <v>Previsto</v>
      </c>
      <c r="O122" s="13" t="str">
        <f>IFERROR(INDEX(EXTRATO_IMPORTADO!$A$5:$A$404,MATCH(B122,EXTRATO_IMPORTADO!$I$5:$I$404,0)),"")</f>
        <v/>
      </c>
      <c r="P122" s="14" t="str">
        <f>IFERROR(INDEX(EXTRATO_IMPORTADO!$F$5:$F$404,MATCH(B122,EXTRATO_IMPORTADO!$I$5:$I$404,0)),"")</f>
        <v/>
      </c>
      <c r="Q122" s="26" t="str">
        <f>IFERROR(INDEX(EXTRATO_IMPORTADO!$B$5:$B$404,MATCH(B122,EXTRATO_IMPORTADO!$I$5:$I$404,0)),"")</f>
        <v/>
      </c>
      <c r="R122" s="26" t="str">
        <f>IFERROR(MATCH(B122,EXTRATO_IMPORTADO!$I$5:$I$404,0),"")</f>
        <v/>
      </c>
      <c r="S122" s="14" t="str">
        <f t="shared" si="4"/>
        <v/>
      </c>
      <c r="T122" s="33" t="str">
        <f t="shared" si="5"/>
        <v/>
      </c>
    </row>
    <row r="123" spans="1:20" x14ac:dyDescent="0.3">
      <c r="A123" s="26">
        <f>IF(BASE_CAIXA!A120="","",BASE_CAIXA!A120)</f>
        <v>119</v>
      </c>
      <c r="B123" s="26" t="str">
        <f>IF(A123="","",BASE_CAIXA!AL120)</f>
        <v>000119-DB</v>
      </c>
      <c r="C123" s="13">
        <f>IF(A123="","",BASE_CAIXA!AJ120)</f>
        <v>46143</v>
      </c>
      <c r="D123" s="26" t="str">
        <f>IF(A123="","",IF(BASE_CAIXA!C120="Entrada","Crédito","Débito"))</f>
        <v>Débito</v>
      </c>
      <c r="E123" s="14">
        <f>IF(A123="","",BASE_CAIXA!AA120)</f>
        <v>6892.7999999999993</v>
      </c>
      <c r="F123" s="26">
        <f>IF(A123="","",BASE_CAIXA!N120)</f>
        <v>0</v>
      </c>
      <c r="G123" s="26">
        <f>IF(A123="","",BASE_CAIXA!O120)</f>
        <v>0</v>
      </c>
      <c r="H123" s="26">
        <f>IF(A123="","",BASE_CAIXA!P120)</f>
        <v>0</v>
      </c>
      <c r="I123" s="26" t="str">
        <f>IF(A123="","",IF(BASE_CAIXA!H120&lt;&gt;"",BASE_CAIXA!H120,BASE_CAIXA!G120))</f>
        <v>Cumeeira fibrocimento - 20º 6mm</v>
      </c>
      <c r="J123" s="26" t="str">
        <f>IF(A123="","",BASE_CAIXA!G120)</f>
        <v>Cumeeira fibrocimento - 20º 6mm</v>
      </c>
      <c r="K123" s="26">
        <f>IF(A123="","",BASE_CAIXA!I120)</f>
        <v>0</v>
      </c>
      <c r="L123" s="26">
        <f>IF(A123="","",BASE_CAIXA!J120)</f>
        <v>0</v>
      </c>
      <c r="M123" s="26" t="str">
        <f>IF(A123="","",BASE_CAIXA!AM120)</f>
        <v>Cumeeira fibrocimento - 20º 6mm | Cumeeira fibrocimento - 20</v>
      </c>
      <c r="N123" s="26" t="str">
        <f t="shared" ca="1" si="3"/>
        <v>Previsto</v>
      </c>
      <c r="O123" s="13" t="str">
        <f>IFERROR(INDEX(EXTRATO_IMPORTADO!$A$5:$A$404,MATCH(B123,EXTRATO_IMPORTADO!$I$5:$I$404,0)),"")</f>
        <v/>
      </c>
      <c r="P123" s="14" t="str">
        <f>IFERROR(INDEX(EXTRATO_IMPORTADO!$F$5:$F$404,MATCH(B123,EXTRATO_IMPORTADO!$I$5:$I$404,0)),"")</f>
        <v/>
      </c>
      <c r="Q123" s="26" t="str">
        <f>IFERROR(INDEX(EXTRATO_IMPORTADO!$B$5:$B$404,MATCH(B123,EXTRATO_IMPORTADO!$I$5:$I$404,0)),"")</f>
        <v/>
      </c>
      <c r="R123" s="26" t="str">
        <f>IFERROR(MATCH(B123,EXTRATO_IMPORTADO!$I$5:$I$404,0),"")</f>
        <v/>
      </c>
      <c r="S123" s="14" t="str">
        <f t="shared" si="4"/>
        <v/>
      </c>
      <c r="T123" s="33" t="str">
        <f t="shared" si="5"/>
        <v/>
      </c>
    </row>
    <row r="124" spans="1:20" x14ac:dyDescent="0.3">
      <c r="A124" s="26">
        <f>IF(BASE_CAIXA!A121="","",BASE_CAIXA!A121)</f>
        <v>120</v>
      </c>
      <c r="B124" s="26" t="str">
        <f>IF(A124="","",BASE_CAIXA!AL121)</f>
        <v>000120-DB</v>
      </c>
      <c r="C124" s="13">
        <f>IF(A124="","",BASE_CAIXA!AJ121)</f>
        <v>46143</v>
      </c>
      <c r="D124" s="26" t="str">
        <f>IF(A124="","",IF(BASE_CAIXA!C121="Entrada","Crédito","Débito"))</f>
        <v>Débito</v>
      </c>
      <c r="E124" s="14">
        <f>IF(A124="","",BASE_CAIXA!AA121)</f>
        <v>59520</v>
      </c>
      <c r="F124" s="26">
        <f>IF(A124="","",BASE_CAIXA!N121)</f>
        <v>0</v>
      </c>
      <c r="G124" s="26">
        <f>IF(A124="","",BASE_CAIXA!O121)</f>
        <v>0</v>
      </c>
      <c r="H124" s="26">
        <f>IF(A124="","",BASE_CAIXA!P121)</f>
        <v>0</v>
      </c>
      <c r="I124" s="26" t="str">
        <f>IF(A124="","",IF(BASE_CAIXA!H121&lt;&gt;"",BASE_CAIXA!H121,BASE_CAIXA!G121))</f>
        <v>Estrutura SteelFrame com tesouras</v>
      </c>
      <c r="J124" s="26" t="str">
        <f>IF(A124="","",BASE_CAIXA!G121)</f>
        <v>Estrutura SteelFrame com tesouras</v>
      </c>
      <c r="K124" s="26">
        <f>IF(A124="","",BASE_CAIXA!I121)</f>
        <v>0</v>
      </c>
      <c r="L124" s="26">
        <f>IF(A124="","",BASE_CAIXA!J121)</f>
        <v>0</v>
      </c>
      <c r="M124" s="26" t="str">
        <f>IF(A124="","",BASE_CAIXA!AM121)</f>
        <v>Estrutura SteelFrame com tesouras | Estrutura SteelFrame com</v>
      </c>
      <c r="N124" s="26" t="str">
        <f t="shared" ca="1" si="3"/>
        <v>Previsto</v>
      </c>
      <c r="O124" s="13" t="str">
        <f>IFERROR(INDEX(EXTRATO_IMPORTADO!$A$5:$A$404,MATCH(B124,EXTRATO_IMPORTADO!$I$5:$I$404,0)),"")</f>
        <v/>
      </c>
      <c r="P124" s="14" t="str">
        <f>IFERROR(INDEX(EXTRATO_IMPORTADO!$F$5:$F$404,MATCH(B124,EXTRATO_IMPORTADO!$I$5:$I$404,0)),"")</f>
        <v/>
      </c>
      <c r="Q124" s="26" t="str">
        <f>IFERROR(INDEX(EXTRATO_IMPORTADO!$B$5:$B$404,MATCH(B124,EXTRATO_IMPORTADO!$I$5:$I$404,0)),"")</f>
        <v/>
      </c>
      <c r="R124" s="26" t="str">
        <f>IFERROR(MATCH(B124,EXTRATO_IMPORTADO!$I$5:$I$404,0),"")</f>
        <v/>
      </c>
      <c r="S124" s="14" t="str">
        <f t="shared" si="4"/>
        <v/>
      </c>
      <c r="T124" s="33" t="str">
        <f t="shared" si="5"/>
        <v/>
      </c>
    </row>
    <row r="125" spans="1:20" x14ac:dyDescent="0.3">
      <c r="A125" s="26">
        <f>IF(BASE_CAIXA!A122="","",BASE_CAIXA!A122)</f>
        <v>121</v>
      </c>
      <c r="B125" s="26" t="str">
        <f>IF(A125="","",BASE_CAIXA!AL122)</f>
        <v>000121-DB</v>
      </c>
      <c r="C125" s="13">
        <f>IF(A125="","",BASE_CAIXA!AJ122)</f>
        <v>46143</v>
      </c>
      <c r="D125" s="26" t="str">
        <f>IF(A125="","",IF(BASE_CAIXA!C122="Entrada","Crédito","Débito"))</f>
        <v>Débito</v>
      </c>
      <c r="E125" s="14">
        <f>IF(A125="","",BASE_CAIXA!AA122)</f>
        <v>9304.9599999999991</v>
      </c>
      <c r="F125" s="26">
        <f>IF(A125="","",BASE_CAIXA!N122)</f>
        <v>0</v>
      </c>
      <c r="G125" s="26">
        <f>IF(A125="","",BASE_CAIXA!O122)</f>
        <v>0</v>
      </c>
      <c r="H125" s="26">
        <f>IF(A125="","",BASE_CAIXA!P122)</f>
        <v>0</v>
      </c>
      <c r="I125" s="26" t="str">
        <f>IF(A125="","",IF(BASE_CAIXA!H122&lt;&gt;"",BASE_CAIXA!H122,BASE_CAIXA!G122))</f>
        <v>Mao de obra terceirizada montagem e telhamento</v>
      </c>
      <c r="J125" s="26" t="str">
        <f>IF(A125="","",BASE_CAIXA!G122)</f>
        <v>Mao de obra terceirizada montagem e telhamento</v>
      </c>
      <c r="K125" s="26">
        <f>IF(A125="","",BASE_CAIXA!I122)</f>
        <v>0</v>
      </c>
      <c r="L125" s="26">
        <f>IF(A125="","",BASE_CAIXA!J122)</f>
        <v>0</v>
      </c>
      <c r="M125" s="26" t="str">
        <f>IF(A125="","",BASE_CAIXA!AM122)</f>
        <v>Mao de obra terceirizada montagem e telhamento | Mao de obra</v>
      </c>
      <c r="N125" s="26" t="str">
        <f t="shared" ca="1" si="3"/>
        <v>Previsto</v>
      </c>
      <c r="O125" s="13" t="str">
        <f>IFERROR(INDEX(EXTRATO_IMPORTADO!$A$5:$A$404,MATCH(B125,EXTRATO_IMPORTADO!$I$5:$I$404,0)),"")</f>
        <v/>
      </c>
      <c r="P125" s="14" t="str">
        <f>IFERROR(INDEX(EXTRATO_IMPORTADO!$F$5:$F$404,MATCH(B125,EXTRATO_IMPORTADO!$I$5:$I$404,0)),"")</f>
        <v/>
      </c>
      <c r="Q125" s="26" t="str">
        <f>IFERROR(INDEX(EXTRATO_IMPORTADO!$B$5:$B$404,MATCH(B125,EXTRATO_IMPORTADO!$I$5:$I$404,0)),"")</f>
        <v/>
      </c>
      <c r="R125" s="26" t="str">
        <f>IFERROR(MATCH(B125,EXTRATO_IMPORTADO!$I$5:$I$404,0),"")</f>
        <v/>
      </c>
      <c r="S125" s="14" t="str">
        <f t="shared" si="4"/>
        <v/>
      </c>
      <c r="T125" s="33" t="str">
        <f t="shared" si="5"/>
        <v/>
      </c>
    </row>
    <row r="126" spans="1:20" x14ac:dyDescent="0.3">
      <c r="A126" s="26">
        <f>IF(BASE_CAIXA!A123="","",BASE_CAIXA!A123)</f>
        <v>122</v>
      </c>
      <c r="B126" s="26" t="str">
        <f>IF(A126="","",BASE_CAIXA!AL123)</f>
        <v>000122-DB</v>
      </c>
      <c r="C126" s="13">
        <f>IF(A126="","",BASE_CAIXA!AJ123)</f>
        <v>46143</v>
      </c>
      <c r="D126" s="26" t="str">
        <f>IF(A126="","",IF(BASE_CAIXA!C123="Entrada","Crédito","Débito"))</f>
        <v>Débito</v>
      </c>
      <c r="E126" s="14">
        <f>IF(A126="","",BASE_CAIXA!AA123)</f>
        <v>4188.8</v>
      </c>
      <c r="F126" s="26">
        <f>IF(A126="","",BASE_CAIXA!N123)</f>
        <v>0</v>
      </c>
      <c r="G126" s="26">
        <f>IF(A126="","",BASE_CAIXA!O123)</f>
        <v>0</v>
      </c>
      <c r="H126" s="26">
        <f>IF(A126="","",BASE_CAIXA!P123)</f>
        <v>0</v>
      </c>
      <c r="I126" s="26" t="str">
        <f>IF(A126="","",IF(BASE_CAIXA!H123&lt;&gt;"",BASE_CAIXA!H123,BASE_CAIXA!G123))</f>
        <v>Parafuso telheiro 1/4" x 110 mm com arruela/vedante: 150 un.</v>
      </c>
      <c r="J126" s="26" t="str">
        <f>IF(A126="","",BASE_CAIXA!G123)</f>
        <v>Parafuso telheiro 1/4" x 110 mm com arruela/vedante: 150 un.</v>
      </c>
      <c r="K126" s="26">
        <f>IF(A126="","",BASE_CAIXA!I123)</f>
        <v>0</v>
      </c>
      <c r="L126" s="26">
        <f>IF(A126="","",BASE_CAIXA!J123)</f>
        <v>0</v>
      </c>
      <c r="M126" s="26" t="str">
        <f>IF(A126="","",BASE_CAIXA!AM123)</f>
        <v>Parafuso telheiro 1/4" x 110 mm com arruela/vedante: 150 un.</v>
      </c>
      <c r="N126" s="26" t="str">
        <f t="shared" ca="1" si="3"/>
        <v>Previsto</v>
      </c>
      <c r="O126" s="13" t="str">
        <f>IFERROR(INDEX(EXTRATO_IMPORTADO!$A$5:$A$404,MATCH(B126,EXTRATO_IMPORTADO!$I$5:$I$404,0)),"")</f>
        <v/>
      </c>
      <c r="P126" s="14" t="str">
        <f>IFERROR(INDEX(EXTRATO_IMPORTADO!$F$5:$F$404,MATCH(B126,EXTRATO_IMPORTADO!$I$5:$I$404,0)),"")</f>
        <v/>
      </c>
      <c r="Q126" s="26" t="str">
        <f>IFERROR(INDEX(EXTRATO_IMPORTADO!$B$5:$B$404,MATCH(B126,EXTRATO_IMPORTADO!$I$5:$I$404,0)),"")</f>
        <v/>
      </c>
      <c r="R126" s="26" t="str">
        <f>IFERROR(MATCH(B126,EXTRATO_IMPORTADO!$I$5:$I$404,0),"")</f>
        <v/>
      </c>
      <c r="S126" s="14" t="str">
        <f t="shared" si="4"/>
        <v/>
      </c>
      <c r="T126" s="33" t="str">
        <f t="shared" si="5"/>
        <v/>
      </c>
    </row>
    <row r="127" spans="1:20" x14ac:dyDescent="0.3">
      <c r="A127" s="26">
        <f>IF(BASE_CAIXA!A124="","",BASE_CAIXA!A124)</f>
        <v>123</v>
      </c>
      <c r="B127" s="26" t="str">
        <f>IF(A127="","",BASE_CAIXA!AL124)</f>
        <v>000123-DB</v>
      </c>
      <c r="C127" s="13">
        <f>IF(A127="","",BASE_CAIXA!AJ124)</f>
        <v>46143</v>
      </c>
      <c r="D127" s="26" t="str">
        <f>IF(A127="","",IF(BASE_CAIXA!C124="Entrada","Crédito","Débito"))</f>
        <v>Débito</v>
      </c>
      <c r="E127" s="14">
        <f>IF(A127="","",BASE_CAIXA!AA124)</f>
        <v>38016</v>
      </c>
      <c r="F127" s="26">
        <f>IF(A127="","",BASE_CAIXA!N124)</f>
        <v>0</v>
      </c>
      <c r="G127" s="26">
        <f>IF(A127="","",BASE_CAIXA!O124)</f>
        <v>0</v>
      </c>
      <c r="H127" s="26">
        <f>IF(A127="","",BASE_CAIXA!P124)</f>
        <v>0</v>
      </c>
      <c r="I127" s="26" t="str">
        <f>IF(A127="","",IF(BASE_CAIXA!H124&lt;&gt;"",BASE_CAIXA!H124,BASE_CAIXA!G124))</f>
        <v>Telha fibrocimento 6mm 2,44x1,1m</v>
      </c>
      <c r="J127" s="26" t="str">
        <f>IF(A127="","",BASE_CAIXA!G124)</f>
        <v>Telha fibrocimento 6mm 2,44x1,1m</v>
      </c>
      <c r="K127" s="26">
        <f>IF(A127="","",BASE_CAIXA!I124)</f>
        <v>0</v>
      </c>
      <c r="L127" s="26">
        <f>IF(A127="","",BASE_CAIXA!J124)</f>
        <v>0</v>
      </c>
      <c r="M127" s="26" t="str">
        <f>IF(A127="","",BASE_CAIXA!AM124)</f>
        <v>Telha fibrocimento 6mm 2,44x1,1m | Telha fibrocimento 6mm 2,</v>
      </c>
      <c r="N127" s="26" t="str">
        <f t="shared" ca="1" si="3"/>
        <v>Previsto</v>
      </c>
      <c r="O127" s="13" t="str">
        <f>IFERROR(INDEX(EXTRATO_IMPORTADO!$A$5:$A$404,MATCH(B127,EXTRATO_IMPORTADO!$I$5:$I$404,0)),"")</f>
        <v/>
      </c>
      <c r="P127" s="14" t="str">
        <f>IFERROR(INDEX(EXTRATO_IMPORTADO!$F$5:$F$404,MATCH(B127,EXTRATO_IMPORTADO!$I$5:$I$404,0)),"")</f>
        <v/>
      </c>
      <c r="Q127" s="26" t="str">
        <f>IFERROR(INDEX(EXTRATO_IMPORTADO!$B$5:$B$404,MATCH(B127,EXTRATO_IMPORTADO!$I$5:$I$404,0)),"")</f>
        <v/>
      </c>
      <c r="R127" s="26" t="str">
        <f>IFERROR(MATCH(B127,EXTRATO_IMPORTADO!$I$5:$I$404,0),"")</f>
        <v/>
      </c>
      <c r="S127" s="14" t="str">
        <f t="shared" si="4"/>
        <v/>
      </c>
      <c r="T127" s="33" t="str">
        <f t="shared" si="5"/>
        <v/>
      </c>
    </row>
    <row r="128" spans="1:20" x14ac:dyDescent="0.3">
      <c r="A128" s="26">
        <f>IF(BASE_CAIXA!A125="","",BASE_CAIXA!A125)</f>
        <v>124</v>
      </c>
      <c r="B128" s="26" t="str">
        <f>IF(A128="","",BASE_CAIXA!AL125)</f>
        <v>000124-DB</v>
      </c>
      <c r="C128" s="13">
        <f>IF(A128="","",BASE_CAIXA!AJ125)</f>
        <v>46143</v>
      </c>
      <c r="D128" s="26" t="str">
        <f>IF(A128="","",IF(BASE_CAIXA!C125="Entrada","Crédito","Débito"))</f>
        <v>Débito</v>
      </c>
      <c r="E128" s="14">
        <f>IF(A128="","",BASE_CAIXA!AA125)</f>
        <v>1936.64</v>
      </c>
      <c r="F128" s="26">
        <f>IF(A128="","",BASE_CAIXA!N125)</f>
        <v>0</v>
      </c>
      <c r="G128" s="26">
        <f>IF(A128="","",BASE_CAIXA!O125)</f>
        <v>0</v>
      </c>
      <c r="H128" s="26">
        <f>IF(A128="","",BASE_CAIXA!P125)</f>
        <v>0</v>
      </c>
      <c r="I128" s="26" t="str">
        <f>IF(A128="","",IF(BASE_CAIXA!H125&lt;&gt;"",BASE_CAIXA!H125,BASE_CAIXA!G125))</f>
        <v>Lixa grao 150 -</v>
      </c>
      <c r="J128" s="26" t="str">
        <f>IF(A128="","",BASE_CAIXA!G125)</f>
        <v>Lixa grao 150 -</v>
      </c>
      <c r="K128" s="26">
        <f>IF(A128="","",BASE_CAIXA!I125)</f>
        <v>0</v>
      </c>
      <c r="L128" s="26">
        <f>IF(A128="","",BASE_CAIXA!J125)</f>
        <v>0</v>
      </c>
      <c r="M128" s="26" t="str">
        <f>IF(A128="","",BASE_CAIXA!AM125)</f>
        <v>Lixa grao 150 - | Lixa grao 150 - | Saída | EMASSAMENTO INTE</v>
      </c>
      <c r="N128" s="26" t="str">
        <f t="shared" ca="1" si="3"/>
        <v>Previsto</v>
      </c>
      <c r="O128" s="13" t="str">
        <f>IFERROR(INDEX(EXTRATO_IMPORTADO!$A$5:$A$404,MATCH(B128,EXTRATO_IMPORTADO!$I$5:$I$404,0)),"")</f>
        <v/>
      </c>
      <c r="P128" s="14" t="str">
        <f>IFERROR(INDEX(EXTRATO_IMPORTADO!$F$5:$F$404,MATCH(B128,EXTRATO_IMPORTADO!$I$5:$I$404,0)),"")</f>
        <v/>
      </c>
      <c r="Q128" s="26" t="str">
        <f>IFERROR(INDEX(EXTRATO_IMPORTADO!$B$5:$B$404,MATCH(B128,EXTRATO_IMPORTADO!$I$5:$I$404,0)),"")</f>
        <v/>
      </c>
      <c r="R128" s="26" t="str">
        <f>IFERROR(MATCH(B128,EXTRATO_IMPORTADO!$I$5:$I$404,0),"")</f>
        <v/>
      </c>
      <c r="S128" s="14" t="str">
        <f t="shared" si="4"/>
        <v/>
      </c>
      <c r="T128" s="33" t="str">
        <f t="shared" si="5"/>
        <v/>
      </c>
    </row>
    <row r="129" spans="1:20" x14ac:dyDescent="0.3">
      <c r="A129" s="26">
        <f>IF(BASE_CAIXA!A126="","",BASE_CAIXA!A126)</f>
        <v>125</v>
      </c>
      <c r="B129" s="26" t="str">
        <f>IF(A129="","",BASE_CAIXA!AL126)</f>
        <v>000125-DB</v>
      </c>
      <c r="C129" s="13">
        <f>IF(A129="","",BASE_CAIXA!AJ126)</f>
        <v>46143</v>
      </c>
      <c r="D129" s="26" t="str">
        <f>IF(A129="","",IF(BASE_CAIXA!C126="Entrada","Crédito","Débito"))</f>
        <v>Débito</v>
      </c>
      <c r="E129" s="14">
        <f>IF(A129="","",BASE_CAIXA!AA126)</f>
        <v>6433.509376</v>
      </c>
      <c r="F129" s="26">
        <f>IF(A129="","",BASE_CAIXA!N126)</f>
        <v>0</v>
      </c>
      <c r="G129" s="26">
        <f>IF(A129="","",BASE_CAIXA!O126)</f>
        <v>0</v>
      </c>
      <c r="H129" s="26">
        <f>IF(A129="","",BASE_CAIXA!P126)</f>
        <v>0</v>
      </c>
      <c r="I129" s="26" t="str">
        <f>IF(A129="","",IF(BASE_CAIXA!H126&lt;&gt;"",BASE_CAIXA!H126,BASE_CAIXA!G126))</f>
        <v>Mao de obra terceirizada Emassamento e lixamento  interno paredes e teto</v>
      </c>
      <c r="J129" s="26" t="str">
        <f>IF(A129="","",BASE_CAIXA!G126)</f>
        <v>Mao de obra terceirizada Emassamento e lixamento  interno paredes e teto</v>
      </c>
      <c r="K129" s="26">
        <f>IF(A129="","",BASE_CAIXA!I126)</f>
        <v>0</v>
      </c>
      <c r="L129" s="26">
        <f>IF(A129="","",BASE_CAIXA!J126)</f>
        <v>0</v>
      </c>
      <c r="M129" s="26" t="str">
        <f>IF(A129="","",BASE_CAIXA!AM126)</f>
        <v>Mao de obra terceirizada Emassamento e lixamento  interno pa</v>
      </c>
      <c r="N129" s="26" t="str">
        <f t="shared" ca="1" si="3"/>
        <v>Previsto</v>
      </c>
      <c r="O129" s="13" t="str">
        <f>IFERROR(INDEX(EXTRATO_IMPORTADO!$A$5:$A$404,MATCH(B129,EXTRATO_IMPORTADO!$I$5:$I$404,0)),"")</f>
        <v/>
      </c>
      <c r="P129" s="14" t="str">
        <f>IFERROR(INDEX(EXTRATO_IMPORTADO!$F$5:$F$404,MATCH(B129,EXTRATO_IMPORTADO!$I$5:$I$404,0)),"")</f>
        <v/>
      </c>
      <c r="Q129" s="26" t="str">
        <f>IFERROR(INDEX(EXTRATO_IMPORTADO!$B$5:$B$404,MATCH(B129,EXTRATO_IMPORTADO!$I$5:$I$404,0)),"")</f>
        <v/>
      </c>
      <c r="R129" s="26" t="str">
        <f>IFERROR(MATCH(B129,EXTRATO_IMPORTADO!$I$5:$I$404,0),"")</f>
        <v/>
      </c>
      <c r="S129" s="14" t="str">
        <f t="shared" si="4"/>
        <v/>
      </c>
      <c r="T129" s="33" t="str">
        <f t="shared" si="5"/>
        <v/>
      </c>
    </row>
    <row r="130" spans="1:20" x14ac:dyDescent="0.3">
      <c r="A130" s="26">
        <f>IF(BASE_CAIXA!A127="","",BASE_CAIXA!A127)</f>
        <v>126</v>
      </c>
      <c r="B130" s="26" t="str">
        <f>IF(A130="","",BASE_CAIXA!AL127)</f>
        <v>000126-DB</v>
      </c>
      <c r="C130" s="13">
        <f>IF(A130="","",BASE_CAIXA!AJ127)</f>
        <v>46143</v>
      </c>
      <c r="D130" s="26" t="str">
        <f>IF(A130="","",IF(BASE_CAIXA!C127="Entrada","Crédito","Débito"))</f>
        <v>Débito</v>
      </c>
      <c r="E130" s="14">
        <f>IF(A130="","",BASE_CAIXA!AA127)</f>
        <v>14035.2</v>
      </c>
      <c r="F130" s="26">
        <f>IF(A130="","",BASE_CAIXA!N127)</f>
        <v>0</v>
      </c>
      <c r="G130" s="26">
        <f>IF(A130="","",BASE_CAIXA!O127)</f>
        <v>0</v>
      </c>
      <c r="H130" s="26">
        <f>IF(A130="","",BASE_CAIXA!P127)</f>
        <v>0</v>
      </c>
      <c r="I130" s="26" t="str">
        <f>IF(A130="","",IF(BASE_CAIXA!H127&lt;&gt;"",BASE_CAIXA!H127,BASE_CAIXA!G127))</f>
        <v>Massa fina acabamento 18kg - branca</v>
      </c>
      <c r="J130" s="26" t="str">
        <f>IF(A130="","",BASE_CAIXA!G127)</f>
        <v>Massa fina acabamento 18kg - branca</v>
      </c>
      <c r="K130" s="26">
        <f>IF(A130="","",BASE_CAIXA!I127)</f>
        <v>0</v>
      </c>
      <c r="L130" s="26">
        <f>IF(A130="","",BASE_CAIXA!J127)</f>
        <v>0</v>
      </c>
      <c r="M130" s="26" t="str">
        <f>IF(A130="","",BASE_CAIXA!AM127)</f>
        <v xml:space="preserve">Massa fina acabamento 18kg - branca | Massa fina acabamento </v>
      </c>
      <c r="N130" s="26" t="str">
        <f t="shared" ca="1" si="3"/>
        <v>Previsto</v>
      </c>
      <c r="O130" s="13" t="str">
        <f>IFERROR(INDEX(EXTRATO_IMPORTADO!$A$5:$A$404,MATCH(B130,EXTRATO_IMPORTADO!$I$5:$I$404,0)),"")</f>
        <v/>
      </c>
      <c r="P130" s="14" t="str">
        <f>IFERROR(INDEX(EXTRATO_IMPORTADO!$F$5:$F$404,MATCH(B130,EXTRATO_IMPORTADO!$I$5:$I$404,0)),"")</f>
        <v/>
      </c>
      <c r="Q130" s="26" t="str">
        <f>IFERROR(INDEX(EXTRATO_IMPORTADO!$B$5:$B$404,MATCH(B130,EXTRATO_IMPORTADO!$I$5:$I$404,0)),"")</f>
        <v/>
      </c>
      <c r="R130" s="26" t="str">
        <f>IFERROR(MATCH(B130,EXTRATO_IMPORTADO!$I$5:$I$404,0),"")</f>
        <v/>
      </c>
      <c r="S130" s="14" t="str">
        <f t="shared" si="4"/>
        <v/>
      </c>
      <c r="T130" s="33" t="str">
        <f t="shared" si="5"/>
        <v/>
      </c>
    </row>
    <row r="131" spans="1:20" x14ac:dyDescent="0.3">
      <c r="A131" s="26">
        <f>IF(BASE_CAIXA!A128="","",BASE_CAIXA!A128)</f>
        <v>127</v>
      </c>
      <c r="B131" s="26" t="str">
        <f>IF(A131="","",BASE_CAIXA!AL128)</f>
        <v>000127-DB</v>
      </c>
      <c r="C131" s="13">
        <f>IF(A131="","",BASE_CAIXA!AJ128)</f>
        <v>46143</v>
      </c>
      <c r="D131" s="26" t="str">
        <f>IF(A131="","",IF(BASE_CAIXA!C128="Entrada","Crédito","Débito"))</f>
        <v>Débito</v>
      </c>
      <c r="E131" s="14">
        <f>IF(A131="","",BASE_CAIXA!AA128)</f>
        <v>46.464000000000013</v>
      </c>
      <c r="F131" s="26">
        <f>IF(A131="","",BASE_CAIXA!N128)</f>
        <v>0</v>
      </c>
      <c r="G131" s="26">
        <f>IF(A131="","",BASE_CAIXA!O128)</f>
        <v>0</v>
      </c>
      <c r="H131" s="26">
        <f>IF(A131="","",BASE_CAIXA!P128)</f>
        <v>0</v>
      </c>
      <c r="I131" s="26" t="str">
        <f>IF(A131="","",IF(BASE_CAIXA!H128&lt;&gt;"",BASE_CAIXA!H128,BASE_CAIXA!G128))</f>
        <v>Anel de vedação esg 100 mm</v>
      </c>
      <c r="J131" s="26" t="str">
        <f>IF(A131="","",BASE_CAIXA!G128)</f>
        <v>Anel de vedação esg 100 mm</v>
      </c>
      <c r="K131" s="26">
        <f>IF(A131="","",BASE_CAIXA!I128)</f>
        <v>0</v>
      </c>
      <c r="L131" s="26">
        <f>IF(A131="","",BASE_CAIXA!J128)</f>
        <v>0</v>
      </c>
      <c r="M131" s="26" t="str">
        <f>IF(A131="","",BASE_CAIXA!AM128)</f>
        <v>Anel de vedação esg 100 mm | Anel de vedação esg 100 mm | Sa</v>
      </c>
      <c r="N131" s="26" t="str">
        <f t="shared" ca="1" si="3"/>
        <v>Previsto</v>
      </c>
      <c r="O131" s="13" t="str">
        <f>IFERROR(INDEX(EXTRATO_IMPORTADO!$A$5:$A$404,MATCH(B131,EXTRATO_IMPORTADO!$I$5:$I$404,0)),"")</f>
        <v/>
      </c>
      <c r="P131" s="14" t="str">
        <f>IFERROR(INDEX(EXTRATO_IMPORTADO!$F$5:$F$404,MATCH(B131,EXTRATO_IMPORTADO!$I$5:$I$404,0)),"")</f>
        <v/>
      </c>
      <c r="Q131" s="26" t="str">
        <f>IFERROR(INDEX(EXTRATO_IMPORTADO!$B$5:$B$404,MATCH(B131,EXTRATO_IMPORTADO!$I$5:$I$404,0)),"")</f>
        <v/>
      </c>
      <c r="R131" s="26" t="str">
        <f>IFERROR(MATCH(B131,EXTRATO_IMPORTADO!$I$5:$I$404,0),"")</f>
        <v/>
      </c>
      <c r="S131" s="14" t="str">
        <f t="shared" si="4"/>
        <v/>
      </c>
      <c r="T131" s="33" t="str">
        <f t="shared" si="5"/>
        <v/>
      </c>
    </row>
    <row r="132" spans="1:20" x14ac:dyDescent="0.3">
      <c r="A132" s="26">
        <f>IF(BASE_CAIXA!A129="","",BASE_CAIXA!A129)</f>
        <v>128</v>
      </c>
      <c r="B132" s="26" t="str">
        <f>IF(A132="","",BASE_CAIXA!AL129)</f>
        <v>000128-DB</v>
      </c>
      <c r="C132" s="13">
        <f>IF(A132="","",BASE_CAIXA!AJ129)</f>
        <v>46143</v>
      </c>
      <c r="D132" s="26" t="str">
        <f>IF(A132="","",IF(BASE_CAIXA!C129="Entrada","Crédito","Débito"))</f>
        <v>Débito</v>
      </c>
      <c r="E132" s="14">
        <f>IF(A132="","",BASE_CAIXA!AA129)</f>
        <v>675.84</v>
      </c>
      <c r="F132" s="26">
        <f>IF(A132="","",BASE_CAIXA!N129)</f>
        <v>0</v>
      </c>
      <c r="G132" s="26">
        <f>IF(A132="","",BASE_CAIXA!O129)</f>
        <v>0</v>
      </c>
      <c r="H132" s="26">
        <f>IF(A132="","",BASE_CAIXA!P129)</f>
        <v>0</v>
      </c>
      <c r="I132" s="26" t="str">
        <f>IF(A132="","",IF(BASE_CAIXA!H129&lt;&gt;"",BASE_CAIXA!H129,BASE_CAIXA!G129))</f>
        <v>Caixa Sifonada com grelha quadrada PVC DN 150x150x50 com junta soldável para ramal de esgoto sanitário</v>
      </c>
      <c r="J132" s="26" t="str">
        <f>IF(A132="","",BASE_CAIXA!G129)</f>
        <v>Caixa Sifonada com grelha quadrada PVC DN 150x150x50 com junta soldável para ramal de esgoto sanitário</v>
      </c>
      <c r="K132" s="26">
        <f>IF(A132="","",BASE_CAIXA!I129)</f>
        <v>0</v>
      </c>
      <c r="L132" s="26">
        <f>IF(A132="","",BASE_CAIXA!J129)</f>
        <v>0</v>
      </c>
      <c r="M132" s="26" t="str">
        <f>IF(A132="","",BASE_CAIXA!AM129)</f>
        <v>Caixa Sifonada com grelha quadrada PVC DN 150x150x50 com jun</v>
      </c>
      <c r="N132" s="26" t="str">
        <f t="shared" ca="1" si="3"/>
        <v>Previsto</v>
      </c>
      <c r="O132" s="13" t="str">
        <f>IFERROR(INDEX(EXTRATO_IMPORTADO!$A$5:$A$404,MATCH(B132,EXTRATO_IMPORTADO!$I$5:$I$404,0)),"")</f>
        <v/>
      </c>
      <c r="P132" s="14" t="str">
        <f>IFERROR(INDEX(EXTRATO_IMPORTADO!$F$5:$F$404,MATCH(B132,EXTRATO_IMPORTADO!$I$5:$I$404,0)),"")</f>
        <v/>
      </c>
      <c r="Q132" s="26" t="str">
        <f>IFERROR(INDEX(EXTRATO_IMPORTADO!$B$5:$B$404,MATCH(B132,EXTRATO_IMPORTADO!$I$5:$I$404,0)),"")</f>
        <v/>
      </c>
      <c r="R132" s="26" t="str">
        <f>IFERROR(MATCH(B132,EXTRATO_IMPORTADO!$I$5:$I$404,0),"")</f>
        <v/>
      </c>
      <c r="S132" s="14" t="str">
        <f t="shared" si="4"/>
        <v/>
      </c>
      <c r="T132" s="33" t="str">
        <f t="shared" si="5"/>
        <v/>
      </c>
    </row>
    <row r="133" spans="1:20" x14ac:dyDescent="0.3">
      <c r="A133" s="26">
        <f>IF(BASE_CAIXA!A130="","",BASE_CAIXA!A130)</f>
        <v>129</v>
      </c>
      <c r="B133" s="26" t="str">
        <f>IF(A133="","",BASE_CAIXA!AL130)</f>
        <v>000129-DB</v>
      </c>
      <c r="C133" s="13">
        <f>IF(A133="","",BASE_CAIXA!AJ130)</f>
        <v>46143</v>
      </c>
      <c r="D133" s="26" t="str">
        <f>IF(A133="","",IF(BASE_CAIXA!C130="Entrada","Crédito","Débito"))</f>
        <v>Débito</v>
      </c>
      <c r="E133" s="14">
        <f>IF(A133="","",BASE_CAIXA!AA130)</f>
        <v>295.46879999999999</v>
      </c>
      <c r="F133" s="26">
        <f>IF(A133="","",BASE_CAIXA!N130)</f>
        <v>0</v>
      </c>
      <c r="G133" s="26">
        <f>IF(A133="","",BASE_CAIXA!O130)</f>
        <v>0</v>
      </c>
      <c r="H133" s="26">
        <f>IF(A133="","",BASE_CAIXA!P130)</f>
        <v>0</v>
      </c>
      <c r="I133" s="26" t="str">
        <f>IF(A133="","",IF(BASE_CAIXA!H130&lt;&gt;"",BASE_CAIXA!H130,BASE_CAIXA!G130))</f>
        <v>Cola de cano PVC 175g</v>
      </c>
      <c r="J133" s="26" t="str">
        <f>IF(A133="","",BASE_CAIXA!G130)</f>
        <v>Cola de cano PVC 175g</v>
      </c>
      <c r="K133" s="26">
        <f>IF(A133="","",BASE_CAIXA!I130)</f>
        <v>0</v>
      </c>
      <c r="L133" s="26">
        <f>IF(A133="","",BASE_CAIXA!J130)</f>
        <v>0</v>
      </c>
      <c r="M133" s="26" t="str">
        <f>IF(A133="","",BASE_CAIXA!AM130)</f>
        <v>Cola de cano PVC 175g | Cola de cano PVC 175g | Saída | ESPE</v>
      </c>
      <c r="N133" s="26" t="str">
        <f t="shared" ref="N133:N196" ca="1" si="6">IF(A133="","",IF(R133&lt;&gt;"",IF(AND(ABS(S133)&lt;=0.01,ABS(T133)&lt;=3),"Conciliado","Divergente"),IF(TODAY()&gt;C133,"Pendente vencido","Previsto")))</f>
        <v>Previsto</v>
      </c>
      <c r="O133" s="13" t="str">
        <f>IFERROR(INDEX(EXTRATO_IMPORTADO!$A$5:$A$404,MATCH(B133,EXTRATO_IMPORTADO!$I$5:$I$404,0)),"")</f>
        <v/>
      </c>
      <c r="P133" s="14" t="str">
        <f>IFERROR(INDEX(EXTRATO_IMPORTADO!$F$5:$F$404,MATCH(B133,EXTRATO_IMPORTADO!$I$5:$I$404,0)),"")</f>
        <v/>
      </c>
      <c r="Q133" s="26" t="str">
        <f>IFERROR(INDEX(EXTRATO_IMPORTADO!$B$5:$B$404,MATCH(B133,EXTRATO_IMPORTADO!$I$5:$I$404,0)),"")</f>
        <v/>
      </c>
      <c r="R133" s="26" t="str">
        <f>IFERROR(MATCH(B133,EXTRATO_IMPORTADO!$I$5:$I$404,0),"")</f>
        <v/>
      </c>
      <c r="S133" s="14" t="str">
        <f t="shared" ref="S133:S196" si="7">IF(OR(A133="",P133=""),"",P133-E133)</f>
        <v/>
      </c>
      <c r="T133" s="33" t="str">
        <f t="shared" ref="T133:T196" si="8">IF(OR(A133="",O133=""),"",O133-C133)</f>
        <v/>
      </c>
    </row>
    <row r="134" spans="1:20" x14ac:dyDescent="0.3">
      <c r="A134" s="26">
        <f>IF(BASE_CAIXA!A131="","",BASE_CAIXA!A131)</f>
        <v>130</v>
      </c>
      <c r="B134" s="26" t="str">
        <f>IF(A134="","",BASE_CAIXA!AL131)</f>
        <v>000130-DB</v>
      </c>
      <c r="C134" s="13">
        <f>IF(A134="","",BASE_CAIXA!AJ131)</f>
        <v>46143</v>
      </c>
      <c r="D134" s="26" t="str">
        <f>IF(A134="","",IF(BASE_CAIXA!C131="Entrada","Crédito","Débito"))</f>
        <v>Débito</v>
      </c>
      <c r="E134" s="14">
        <f>IF(A134="","",BASE_CAIXA!AA131)</f>
        <v>29.568000000000001</v>
      </c>
      <c r="F134" s="26">
        <f>IF(A134="","",BASE_CAIXA!N131)</f>
        <v>0</v>
      </c>
      <c r="G134" s="26">
        <f>IF(A134="","",BASE_CAIXA!O131)</f>
        <v>0</v>
      </c>
      <c r="H134" s="26">
        <f>IF(A134="","",BASE_CAIXA!P131)</f>
        <v>0</v>
      </c>
      <c r="I134" s="26" t="str">
        <f>IF(A134="","",IF(BASE_CAIXA!H131&lt;&gt;"",BASE_CAIXA!H131,BASE_CAIXA!G131))</f>
        <v>Joelho 45º PVC DN 40mm branco rígido para esgoto sanitário predial</v>
      </c>
      <c r="J134" s="26" t="str">
        <f>IF(A134="","",BASE_CAIXA!G131)</f>
        <v>Joelho 45º PVC DN 40mm branco rígido para esgoto sanitário predial</v>
      </c>
      <c r="K134" s="26">
        <f>IF(A134="","",BASE_CAIXA!I131)</f>
        <v>0</v>
      </c>
      <c r="L134" s="26">
        <f>IF(A134="","",BASE_CAIXA!J131)</f>
        <v>0</v>
      </c>
      <c r="M134" s="26" t="str">
        <f>IF(A134="","",BASE_CAIXA!AM131)</f>
        <v>Joelho 45º PVC DN 40mm branco rígido para esgoto sanitário p</v>
      </c>
      <c r="N134" s="26" t="str">
        <f t="shared" ca="1" si="6"/>
        <v>Previsto</v>
      </c>
      <c r="O134" s="13" t="str">
        <f>IFERROR(INDEX(EXTRATO_IMPORTADO!$A$5:$A$404,MATCH(B134,EXTRATO_IMPORTADO!$I$5:$I$404,0)),"")</f>
        <v/>
      </c>
      <c r="P134" s="14" t="str">
        <f>IFERROR(INDEX(EXTRATO_IMPORTADO!$F$5:$F$404,MATCH(B134,EXTRATO_IMPORTADO!$I$5:$I$404,0)),"")</f>
        <v/>
      </c>
      <c r="Q134" s="26" t="str">
        <f>IFERROR(INDEX(EXTRATO_IMPORTADO!$B$5:$B$404,MATCH(B134,EXTRATO_IMPORTADO!$I$5:$I$404,0)),"")</f>
        <v/>
      </c>
      <c r="R134" s="26" t="str">
        <f>IFERROR(MATCH(B134,EXTRATO_IMPORTADO!$I$5:$I$404,0),"")</f>
        <v/>
      </c>
      <c r="S134" s="14" t="str">
        <f t="shared" si="7"/>
        <v/>
      </c>
      <c r="T134" s="33" t="str">
        <f t="shared" si="8"/>
        <v/>
      </c>
    </row>
    <row r="135" spans="1:20" x14ac:dyDescent="0.3">
      <c r="A135" s="26">
        <f>IF(BASE_CAIXA!A132="","",BASE_CAIXA!A132)</f>
        <v>131</v>
      </c>
      <c r="B135" s="26" t="str">
        <f>IF(A135="","",BASE_CAIXA!AL132)</f>
        <v>000131-DB</v>
      </c>
      <c r="C135" s="13">
        <f>IF(A135="","",BASE_CAIXA!AJ132)</f>
        <v>46143</v>
      </c>
      <c r="D135" s="26" t="str">
        <f>IF(A135="","",IF(BASE_CAIXA!C132="Entrada","Crédito","Débito"))</f>
        <v>Débito</v>
      </c>
      <c r="E135" s="14">
        <f>IF(A135="","",BASE_CAIXA!AA132)</f>
        <v>126.72</v>
      </c>
      <c r="F135" s="26">
        <f>IF(A135="","",BASE_CAIXA!N132)</f>
        <v>0</v>
      </c>
      <c r="G135" s="26">
        <f>IF(A135="","",BASE_CAIXA!O132)</f>
        <v>0</v>
      </c>
      <c r="H135" s="26">
        <f>IF(A135="","",BASE_CAIXA!P132)</f>
        <v>0</v>
      </c>
      <c r="I135" s="26" t="str">
        <f>IF(A135="","",IF(BASE_CAIXA!H132&lt;&gt;"",BASE_CAIXA!H132,BASE_CAIXA!G132))</f>
        <v>Joelho 45º PVC DN 50mm branco rígido para esgoto sanitário predial</v>
      </c>
      <c r="J135" s="26" t="str">
        <f>IF(A135="","",BASE_CAIXA!G132)</f>
        <v>Joelho 45º PVC DN 50mm branco rígido para esgoto sanitário predial</v>
      </c>
      <c r="K135" s="26">
        <f>IF(A135="","",BASE_CAIXA!I132)</f>
        <v>0</v>
      </c>
      <c r="L135" s="26">
        <f>IF(A135="","",BASE_CAIXA!J132)</f>
        <v>0</v>
      </c>
      <c r="M135" s="26" t="str">
        <f>IF(A135="","",BASE_CAIXA!AM132)</f>
        <v>Joelho 45º PVC DN 50mm branco rígido para esgoto sanitário p</v>
      </c>
      <c r="N135" s="26" t="str">
        <f t="shared" ca="1" si="6"/>
        <v>Previsto</v>
      </c>
      <c r="O135" s="13" t="str">
        <f>IFERROR(INDEX(EXTRATO_IMPORTADO!$A$5:$A$404,MATCH(B135,EXTRATO_IMPORTADO!$I$5:$I$404,0)),"")</f>
        <v/>
      </c>
      <c r="P135" s="14" t="str">
        <f>IFERROR(INDEX(EXTRATO_IMPORTADO!$F$5:$F$404,MATCH(B135,EXTRATO_IMPORTADO!$I$5:$I$404,0)),"")</f>
        <v/>
      </c>
      <c r="Q135" s="26" t="str">
        <f>IFERROR(INDEX(EXTRATO_IMPORTADO!$B$5:$B$404,MATCH(B135,EXTRATO_IMPORTADO!$I$5:$I$404,0)),"")</f>
        <v/>
      </c>
      <c r="R135" s="26" t="str">
        <f>IFERROR(MATCH(B135,EXTRATO_IMPORTADO!$I$5:$I$404,0),"")</f>
        <v/>
      </c>
      <c r="S135" s="14" t="str">
        <f t="shared" si="7"/>
        <v/>
      </c>
      <c r="T135" s="33" t="str">
        <f t="shared" si="8"/>
        <v/>
      </c>
    </row>
    <row r="136" spans="1:20" x14ac:dyDescent="0.3">
      <c r="A136" s="26">
        <f>IF(BASE_CAIXA!A133="","",BASE_CAIXA!A133)</f>
        <v>132</v>
      </c>
      <c r="B136" s="26" t="str">
        <f>IF(A136="","",BASE_CAIXA!AL133)</f>
        <v>000132-DB</v>
      </c>
      <c r="C136" s="13">
        <f>IF(A136="","",BASE_CAIXA!AJ133)</f>
        <v>46143</v>
      </c>
      <c r="D136" s="26" t="str">
        <f>IF(A136="","",IF(BASE_CAIXA!C133="Entrada","Crédito","Débito"))</f>
        <v>Débito</v>
      </c>
      <c r="E136" s="14">
        <f>IF(A136="","",BASE_CAIXA!AA133)</f>
        <v>295.46879999999999</v>
      </c>
      <c r="F136" s="26">
        <f>IF(A136="","",BASE_CAIXA!N133)</f>
        <v>0</v>
      </c>
      <c r="G136" s="26">
        <f>IF(A136="","",BASE_CAIXA!O133)</f>
        <v>0</v>
      </c>
      <c r="H136" s="26">
        <f>IF(A136="","",BASE_CAIXA!P133)</f>
        <v>0</v>
      </c>
      <c r="I136" s="26" t="str">
        <f>IF(A136="","",IF(BASE_CAIXA!H133&lt;&gt;"",BASE_CAIXA!H133,BASE_CAIXA!G133))</f>
        <v>Joelho 90º PVC DN 100mm branco rígido para esgoto sanitário predial</v>
      </c>
      <c r="J136" s="26" t="str">
        <f>IF(A136="","",BASE_CAIXA!G133)</f>
        <v>Joelho 90º PVC DN 100mm branco rígido para esgoto sanitário predial</v>
      </c>
      <c r="K136" s="26">
        <f>IF(A136="","",BASE_CAIXA!I133)</f>
        <v>0</v>
      </c>
      <c r="L136" s="26">
        <f>IF(A136="","",BASE_CAIXA!J133)</f>
        <v>0</v>
      </c>
      <c r="M136" s="26" t="str">
        <f>IF(A136="","",BASE_CAIXA!AM133)</f>
        <v xml:space="preserve">Joelho 90º PVC DN 100mm branco rígido para esgoto sanitário </v>
      </c>
      <c r="N136" s="26" t="str">
        <f t="shared" ca="1" si="6"/>
        <v>Previsto</v>
      </c>
      <c r="O136" s="13" t="str">
        <f>IFERROR(INDEX(EXTRATO_IMPORTADO!$A$5:$A$404,MATCH(B136,EXTRATO_IMPORTADO!$I$5:$I$404,0)),"")</f>
        <v/>
      </c>
      <c r="P136" s="14" t="str">
        <f>IFERROR(INDEX(EXTRATO_IMPORTADO!$F$5:$F$404,MATCH(B136,EXTRATO_IMPORTADO!$I$5:$I$404,0)),"")</f>
        <v/>
      </c>
      <c r="Q136" s="26" t="str">
        <f>IFERROR(INDEX(EXTRATO_IMPORTADO!$B$5:$B$404,MATCH(B136,EXTRATO_IMPORTADO!$I$5:$I$404,0)),"")</f>
        <v/>
      </c>
      <c r="R136" s="26" t="str">
        <f>IFERROR(MATCH(B136,EXTRATO_IMPORTADO!$I$5:$I$404,0),"")</f>
        <v/>
      </c>
      <c r="S136" s="14" t="str">
        <f t="shared" si="7"/>
        <v/>
      </c>
      <c r="T136" s="33" t="str">
        <f t="shared" si="8"/>
        <v/>
      </c>
    </row>
    <row r="137" spans="1:20" x14ac:dyDescent="0.3">
      <c r="A137" s="26">
        <f>IF(BASE_CAIXA!A134="","",BASE_CAIXA!A134)</f>
        <v>133</v>
      </c>
      <c r="B137" s="26" t="str">
        <f>IF(A137="","",BASE_CAIXA!AL134)</f>
        <v>000133-DB</v>
      </c>
      <c r="C137" s="13">
        <f>IF(A137="","",BASE_CAIXA!AJ134)</f>
        <v>46143</v>
      </c>
      <c r="D137" s="26" t="str">
        <f>IF(A137="","",IF(BASE_CAIXA!C134="Entrada","Crédito","Débito"))</f>
        <v>Débito</v>
      </c>
      <c r="E137" s="14">
        <f>IF(A137="","",BASE_CAIXA!AA134)</f>
        <v>130.52160000000001</v>
      </c>
      <c r="F137" s="26">
        <f>IF(A137="","",BASE_CAIXA!N134)</f>
        <v>0</v>
      </c>
      <c r="G137" s="26">
        <f>IF(A137="","",BASE_CAIXA!O134)</f>
        <v>0</v>
      </c>
      <c r="H137" s="26">
        <f>IF(A137="","",BASE_CAIXA!P134)</f>
        <v>0</v>
      </c>
      <c r="I137" s="26" t="str">
        <f>IF(A137="","",IF(BASE_CAIXA!H134&lt;&gt;"",BASE_CAIXA!H134,BASE_CAIXA!G134))</f>
        <v>Joelho 90º PVC DN 40mm branco rígido para esgoto sanitário predial</v>
      </c>
      <c r="J137" s="26" t="str">
        <f>IF(A137="","",BASE_CAIXA!G134)</f>
        <v>Joelho 90º PVC DN 40mm branco rígido para esgoto sanitário predial</v>
      </c>
      <c r="K137" s="26">
        <f>IF(A137="","",BASE_CAIXA!I134)</f>
        <v>0</v>
      </c>
      <c r="L137" s="26">
        <f>IF(A137="","",BASE_CAIXA!J134)</f>
        <v>0</v>
      </c>
      <c r="M137" s="26" t="str">
        <f>IF(A137="","",BASE_CAIXA!AM134)</f>
        <v>Joelho 90º PVC DN 40mm branco rígido para esgoto sanitário p</v>
      </c>
      <c r="N137" s="26" t="str">
        <f t="shared" ca="1" si="6"/>
        <v>Previsto</v>
      </c>
      <c r="O137" s="13" t="str">
        <f>IFERROR(INDEX(EXTRATO_IMPORTADO!$A$5:$A$404,MATCH(B137,EXTRATO_IMPORTADO!$I$5:$I$404,0)),"")</f>
        <v/>
      </c>
      <c r="P137" s="14" t="str">
        <f>IFERROR(INDEX(EXTRATO_IMPORTADO!$F$5:$F$404,MATCH(B137,EXTRATO_IMPORTADO!$I$5:$I$404,0)),"")</f>
        <v/>
      </c>
      <c r="Q137" s="26" t="str">
        <f>IFERROR(INDEX(EXTRATO_IMPORTADO!$B$5:$B$404,MATCH(B137,EXTRATO_IMPORTADO!$I$5:$I$404,0)),"")</f>
        <v/>
      </c>
      <c r="R137" s="26" t="str">
        <f>IFERROR(MATCH(B137,EXTRATO_IMPORTADO!$I$5:$I$404,0),"")</f>
        <v/>
      </c>
      <c r="S137" s="14" t="str">
        <f t="shared" si="7"/>
        <v/>
      </c>
      <c r="T137" s="33" t="str">
        <f t="shared" si="8"/>
        <v/>
      </c>
    </row>
    <row r="138" spans="1:20" x14ac:dyDescent="0.3">
      <c r="A138" s="26">
        <f>IF(BASE_CAIXA!A135="","",BASE_CAIXA!A135)</f>
        <v>134</v>
      </c>
      <c r="B138" s="26" t="str">
        <f>IF(A138="","",BASE_CAIXA!AL135)</f>
        <v>000134-DB</v>
      </c>
      <c r="C138" s="13">
        <f>IF(A138="","",BASE_CAIXA!AJ135)</f>
        <v>46143</v>
      </c>
      <c r="D138" s="26" t="str">
        <f>IF(A138="","",IF(BASE_CAIXA!C135="Entrada","Crédito","Débito"))</f>
        <v>Débito</v>
      </c>
      <c r="E138" s="14">
        <f>IF(A138="","",BASE_CAIXA!AA135)</f>
        <v>724.83840000000009</v>
      </c>
      <c r="F138" s="26">
        <f>IF(A138="","",BASE_CAIXA!N135)</f>
        <v>0</v>
      </c>
      <c r="G138" s="26">
        <f>IF(A138="","",BASE_CAIXA!O135)</f>
        <v>0</v>
      </c>
      <c r="H138" s="26">
        <f>IF(A138="","",BASE_CAIXA!P135)</f>
        <v>0</v>
      </c>
      <c r="I138" s="26" t="str">
        <f>IF(A138="","",IF(BASE_CAIXA!H135&lt;&gt;"",BASE_CAIXA!H135,BASE_CAIXA!G135))</f>
        <v>Joelho 90º PVC DN 50mm branco junta elástica para esgoto sanitário</v>
      </c>
      <c r="J138" s="26" t="str">
        <f>IF(A138="","",BASE_CAIXA!G135)</f>
        <v>Joelho 90º PVC DN 50mm branco junta elástica para esgoto sanitário</v>
      </c>
      <c r="K138" s="26">
        <f>IF(A138="","",BASE_CAIXA!I135)</f>
        <v>0</v>
      </c>
      <c r="L138" s="26">
        <f>IF(A138="","",BASE_CAIXA!J135)</f>
        <v>0</v>
      </c>
      <c r="M138" s="26" t="str">
        <f>IF(A138="","",BASE_CAIXA!AM135)</f>
        <v>Joelho 90º PVC DN 50mm branco junta elástica para esgoto san</v>
      </c>
      <c r="N138" s="26" t="str">
        <f t="shared" ca="1" si="6"/>
        <v>Previsto</v>
      </c>
      <c r="O138" s="13" t="str">
        <f>IFERROR(INDEX(EXTRATO_IMPORTADO!$A$5:$A$404,MATCH(B138,EXTRATO_IMPORTADO!$I$5:$I$404,0)),"")</f>
        <v/>
      </c>
      <c r="P138" s="14" t="str">
        <f>IFERROR(INDEX(EXTRATO_IMPORTADO!$F$5:$F$404,MATCH(B138,EXTRATO_IMPORTADO!$I$5:$I$404,0)),"")</f>
        <v/>
      </c>
      <c r="Q138" s="26" t="str">
        <f>IFERROR(INDEX(EXTRATO_IMPORTADO!$B$5:$B$404,MATCH(B138,EXTRATO_IMPORTADO!$I$5:$I$404,0)),"")</f>
        <v/>
      </c>
      <c r="R138" s="26" t="str">
        <f>IFERROR(MATCH(B138,EXTRATO_IMPORTADO!$I$5:$I$404,0),"")</f>
        <v/>
      </c>
      <c r="S138" s="14" t="str">
        <f t="shared" si="7"/>
        <v/>
      </c>
      <c r="T138" s="33" t="str">
        <f t="shared" si="8"/>
        <v/>
      </c>
    </row>
    <row r="139" spans="1:20" x14ac:dyDescent="0.3">
      <c r="A139" s="26">
        <f>IF(BASE_CAIXA!A136="","",BASE_CAIXA!A136)</f>
        <v>135</v>
      </c>
      <c r="B139" s="26" t="str">
        <f>IF(A139="","",BASE_CAIXA!AL136)</f>
        <v>000135-DB</v>
      </c>
      <c r="C139" s="13">
        <f>IF(A139="","",BASE_CAIXA!AJ136)</f>
        <v>46143</v>
      </c>
      <c r="D139" s="26" t="str">
        <f>IF(A139="","",IF(BASE_CAIXA!C136="Entrada","Crédito","Débito"))</f>
        <v>Débito</v>
      </c>
      <c r="E139" s="14">
        <f>IF(A139="","",BASE_CAIXA!AA136)</f>
        <v>40.128</v>
      </c>
      <c r="F139" s="26">
        <f>IF(A139="","",BASE_CAIXA!N136)</f>
        <v>0</v>
      </c>
      <c r="G139" s="26">
        <f>IF(A139="","",BASE_CAIXA!O136)</f>
        <v>0</v>
      </c>
      <c r="H139" s="26">
        <f>IF(A139="","",BASE_CAIXA!P136)</f>
        <v>0</v>
      </c>
      <c r="I139" s="26" t="str">
        <f>IF(A139="","",IF(BASE_CAIXA!H136&lt;&gt;"",BASE_CAIXA!H136,BASE_CAIXA!G136))</f>
        <v>Joelho 90º marrom DN 25mm soldável para água fria</v>
      </c>
      <c r="J139" s="26" t="str">
        <f>IF(A139="","",BASE_CAIXA!G136)</f>
        <v>Joelho 90º marrom DN 25mm soldável para água fria</v>
      </c>
      <c r="K139" s="26">
        <f>IF(A139="","",BASE_CAIXA!I136)</f>
        <v>0</v>
      </c>
      <c r="L139" s="26">
        <f>IF(A139="","",BASE_CAIXA!J136)</f>
        <v>0</v>
      </c>
      <c r="M139" s="26" t="str">
        <f>IF(A139="","",BASE_CAIXA!AM136)</f>
        <v>Joelho 90º marrom DN 25mm soldável para água fria | Joelho 9</v>
      </c>
      <c r="N139" s="26" t="str">
        <f t="shared" ca="1" si="6"/>
        <v>Previsto</v>
      </c>
      <c r="O139" s="13" t="str">
        <f>IFERROR(INDEX(EXTRATO_IMPORTADO!$A$5:$A$404,MATCH(B139,EXTRATO_IMPORTADO!$I$5:$I$404,0)),"")</f>
        <v/>
      </c>
      <c r="P139" s="14" t="str">
        <f>IFERROR(INDEX(EXTRATO_IMPORTADO!$F$5:$F$404,MATCH(B139,EXTRATO_IMPORTADO!$I$5:$I$404,0)),"")</f>
        <v/>
      </c>
      <c r="Q139" s="26" t="str">
        <f>IFERROR(INDEX(EXTRATO_IMPORTADO!$B$5:$B$404,MATCH(B139,EXTRATO_IMPORTADO!$I$5:$I$404,0)),"")</f>
        <v/>
      </c>
      <c r="R139" s="26" t="str">
        <f>IFERROR(MATCH(B139,EXTRATO_IMPORTADO!$I$5:$I$404,0),"")</f>
        <v/>
      </c>
      <c r="S139" s="14" t="str">
        <f t="shared" si="7"/>
        <v/>
      </c>
      <c r="T139" s="33" t="str">
        <f t="shared" si="8"/>
        <v/>
      </c>
    </row>
    <row r="140" spans="1:20" x14ac:dyDescent="0.3">
      <c r="A140" s="26">
        <f>IF(BASE_CAIXA!A137="","",BASE_CAIXA!A137)</f>
        <v>136</v>
      </c>
      <c r="B140" s="26" t="str">
        <f>IF(A140="","",BASE_CAIXA!AL137)</f>
        <v>000136-DB</v>
      </c>
      <c r="C140" s="13">
        <f>IF(A140="","",BASE_CAIXA!AJ137)</f>
        <v>46143</v>
      </c>
      <c r="D140" s="26" t="str">
        <f>IF(A140="","",IF(BASE_CAIXA!C137="Entrada","Crédito","Débito"))</f>
        <v>Débito</v>
      </c>
      <c r="E140" s="14">
        <f>IF(A140="","",BASE_CAIXA!AA137)</f>
        <v>455.34719999999999</v>
      </c>
      <c r="F140" s="26">
        <f>IF(A140="","",BASE_CAIXA!N137)</f>
        <v>0</v>
      </c>
      <c r="G140" s="26">
        <f>IF(A140="","",BASE_CAIXA!O137)</f>
        <v>0</v>
      </c>
      <c r="H140" s="26">
        <f>IF(A140="","",BASE_CAIXA!P137)</f>
        <v>0</v>
      </c>
      <c r="I140" s="26" t="str">
        <f>IF(A140="","",IF(BASE_CAIXA!H137&lt;&gt;"",BASE_CAIXA!H137,BASE_CAIXA!G137))</f>
        <v>Junção de Redução invertica PVC DN 100x50mm branco rígido para esgoto sanitário predial</v>
      </c>
      <c r="J140" s="26" t="str">
        <f>IF(A140="","",BASE_CAIXA!G137)</f>
        <v>Junção de Redução invertica PVC DN 100x50mm branco rígido para esgoto sanitário predial</v>
      </c>
      <c r="K140" s="26">
        <f>IF(A140="","",BASE_CAIXA!I137)</f>
        <v>0</v>
      </c>
      <c r="L140" s="26">
        <f>IF(A140="","",BASE_CAIXA!J137)</f>
        <v>0</v>
      </c>
      <c r="M140" s="26" t="str">
        <f>IF(A140="","",BASE_CAIXA!AM137)</f>
        <v>Junção de Redução invertica PVC DN 100x50mm branco rígido pa</v>
      </c>
      <c r="N140" s="26" t="str">
        <f t="shared" ca="1" si="6"/>
        <v>Previsto</v>
      </c>
      <c r="O140" s="13" t="str">
        <f>IFERROR(INDEX(EXTRATO_IMPORTADO!$A$5:$A$404,MATCH(B140,EXTRATO_IMPORTADO!$I$5:$I$404,0)),"")</f>
        <v/>
      </c>
      <c r="P140" s="14" t="str">
        <f>IFERROR(INDEX(EXTRATO_IMPORTADO!$F$5:$F$404,MATCH(B140,EXTRATO_IMPORTADO!$I$5:$I$404,0)),"")</f>
        <v/>
      </c>
      <c r="Q140" s="26" t="str">
        <f>IFERROR(INDEX(EXTRATO_IMPORTADO!$B$5:$B$404,MATCH(B140,EXTRATO_IMPORTADO!$I$5:$I$404,0)),"")</f>
        <v/>
      </c>
      <c r="R140" s="26" t="str">
        <f>IFERROR(MATCH(B140,EXTRATO_IMPORTADO!$I$5:$I$404,0),"")</f>
        <v/>
      </c>
      <c r="S140" s="14" t="str">
        <f t="shared" si="7"/>
        <v/>
      </c>
      <c r="T140" s="33" t="str">
        <f t="shared" si="8"/>
        <v/>
      </c>
    </row>
    <row r="141" spans="1:20" x14ac:dyDescent="0.3">
      <c r="A141" s="26">
        <f>IF(BASE_CAIXA!A138="","",BASE_CAIXA!A138)</f>
        <v>137</v>
      </c>
      <c r="B141" s="26" t="str">
        <f>IF(A141="","",BASE_CAIXA!AL138)</f>
        <v>000137-DB</v>
      </c>
      <c r="C141" s="13">
        <f>IF(A141="","",BASE_CAIXA!AJ138)</f>
        <v>46143</v>
      </c>
      <c r="D141" s="26" t="str">
        <f>IF(A141="","",IF(BASE_CAIXA!C138="Entrada","Crédito","Débito"))</f>
        <v>Débito</v>
      </c>
      <c r="E141" s="14">
        <f>IF(A141="","",BASE_CAIXA!AA138)</f>
        <v>379.73759999999999</v>
      </c>
      <c r="F141" s="26">
        <f>IF(A141="","",BASE_CAIXA!N138)</f>
        <v>0</v>
      </c>
      <c r="G141" s="26">
        <f>IF(A141="","",BASE_CAIXA!O138)</f>
        <v>0</v>
      </c>
      <c r="H141" s="26">
        <f>IF(A141="","",BASE_CAIXA!P138)</f>
        <v>0</v>
      </c>
      <c r="I141" s="26" t="str">
        <f>IF(A141="","",IF(BASE_CAIXA!H138&lt;&gt;"",BASE_CAIXA!H138,BASE_CAIXA!G138))</f>
        <v>Junção simples PVC DN 50x50mm branco rígido para esgoto sanitário predial</v>
      </c>
      <c r="J141" s="26" t="str">
        <f>IF(A141="","",BASE_CAIXA!G138)</f>
        <v>Junção simples PVC DN 50x50mm branco rígido para esgoto sanitário predial</v>
      </c>
      <c r="K141" s="26">
        <f>IF(A141="","",BASE_CAIXA!I138)</f>
        <v>0</v>
      </c>
      <c r="L141" s="26">
        <f>IF(A141="","",BASE_CAIXA!J138)</f>
        <v>0</v>
      </c>
      <c r="M141" s="26" t="str">
        <f>IF(A141="","",BASE_CAIXA!AM138)</f>
        <v>Junção simples PVC DN 50x50mm branco rígido para esgoto sani</v>
      </c>
      <c r="N141" s="26" t="str">
        <f t="shared" ca="1" si="6"/>
        <v>Previsto</v>
      </c>
      <c r="O141" s="13" t="str">
        <f>IFERROR(INDEX(EXTRATO_IMPORTADO!$A$5:$A$404,MATCH(B141,EXTRATO_IMPORTADO!$I$5:$I$404,0)),"")</f>
        <v/>
      </c>
      <c r="P141" s="14" t="str">
        <f>IFERROR(INDEX(EXTRATO_IMPORTADO!$F$5:$F$404,MATCH(B141,EXTRATO_IMPORTADO!$I$5:$I$404,0)),"")</f>
        <v/>
      </c>
      <c r="Q141" s="26" t="str">
        <f>IFERROR(INDEX(EXTRATO_IMPORTADO!$B$5:$B$404,MATCH(B141,EXTRATO_IMPORTADO!$I$5:$I$404,0)),"")</f>
        <v/>
      </c>
      <c r="R141" s="26" t="str">
        <f>IFERROR(MATCH(B141,EXTRATO_IMPORTADO!$I$5:$I$404,0),"")</f>
        <v/>
      </c>
      <c r="S141" s="14" t="str">
        <f t="shared" si="7"/>
        <v/>
      </c>
      <c r="T141" s="33" t="str">
        <f t="shared" si="8"/>
        <v/>
      </c>
    </row>
    <row r="142" spans="1:20" x14ac:dyDescent="0.3">
      <c r="A142" s="26">
        <f>IF(BASE_CAIXA!A139="","",BASE_CAIXA!A139)</f>
        <v>138</v>
      </c>
      <c r="B142" s="26" t="str">
        <f>IF(A142="","",BASE_CAIXA!AL139)</f>
        <v>000138-DB</v>
      </c>
      <c r="C142" s="13">
        <f>IF(A142="","",BASE_CAIXA!AJ139)</f>
        <v>46143</v>
      </c>
      <c r="D142" s="26" t="str">
        <f>IF(A142="","",IF(BASE_CAIXA!C139="Entrada","Crédito","Débito"))</f>
        <v>Débito</v>
      </c>
      <c r="E142" s="14">
        <f>IF(A142="","",BASE_CAIXA!AA139)</f>
        <v>35.692799999999998</v>
      </c>
      <c r="F142" s="26">
        <f>IF(A142="","",BASE_CAIXA!N139)</f>
        <v>0</v>
      </c>
      <c r="G142" s="26">
        <f>IF(A142="","",BASE_CAIXA!O139)</f>
        <v>0</v>
      </c>
      <c r="H142" s="26">
        <f>IF(A142="","",BASE_CAIXA!P139)</f>
        <v>0</v>
      </c>
      <c r="I142" s="26" t="str">
        <f>IF(A142="","",IF(BASE_CAIXA!H139&lt;&gt;"",BASE_CAIXA!H139,BASE_CAIXA!G139))</f>
        <v>Lixa ferro p/cano pvc 100</v>
      </c>
      <c r="J142" s="26" t="str">
        <f>IF(A142="","",BASE_CAIXA!G139)</f>
        <v>Lixa ferro p/cano pvc 100</v>
      </c>
      <c r="K142" s="26">
        <f>IF(A142="","",BASE_CAIXA!I139)</f>
        <v>0</v>
      </c>
      <c r="L142" s="26">
        <f>IF(A142="","",BASE_CAIXA!J139)</f>
        <v>0</v>
      </c>
      <c r="M142" s="26" t="str">
        <f>IF(A142="","",BASE_CAIXA!AM139)</f>
        <v>Lixa ferro p/cano pvc 100 | Lixa ferro p/cano pvc 100 | Saíd</v>
      </c>
      <c r="N142" s="26" t="str">
        <f t="shared" ca="1" si="6"/>
        <v>Previsto</v>
      </c>
      <c r="O142" s="13" t="str">
        <f>IFERROR(INDEX(EXTRATO_IMPORTADO!$A$5:$A$404,MATCH(B142,EXTRATO_IMPORTADO!$I$5:$I$404,0)),"")</f>
        <v/>
      </c>
      <c r="P142" s="14" t="str">
        <f>IFERROR(INDEX(EXTRATO_IMPORTADO!$F$5:$F$404,MATCH(B142,EXTRATO_IMPORTADO!$I$5:$I$404,0)),"")</f>
        <v/>
      </c>
      <c r="Q142" s="26" t="str">
        <f>IFERROR(INDEX(EXTRATO_IMPORTADO!$B$5:$B$404,MATCH(B142,EXTRATO_IMPORTADO!$I$5:$I$404,0)),"")</f>
        <v/>
      </c>
      <c r="R142" s="26" t="str">
        <f>IFERROR(MATCH(B142,EXTRATO_IMPORTADO!$I$5:$I$404,0),"")</f>
        <v/>
      </c>
      <c r="S142" s="14" t="str">
        <f t="shared" si="7"/>
        <v/>
      </c>
      <c r="T142" s="33" t="str">
        <f t="shared" si="8"/>
        <v/>
      </c>
    </row>
    <row r="143" spans="1:20" x14ac:dyDescent="0.3">
      <c r="A143" s="26">
        <f>IF(BASE_CAIXA!A140="","",BASE_CAIXA!A140)</f>
        <v>139</v>
      </c>
      <c r="B143" s="26" t="str">
        <f>IF(A143="","",BASE_CAIXA!AL140)</f>
        <v>000139-DB</v>
      </c>
      <c r="C143" s="13">
        <f>IF(A143="","",BASE_CAIXA!AJ140)</f>
        <v>46143</v>
      </c>
      <c r="D143" s="26" t="str">
        <f>IF(A143="","",IF(BASE_CAIXA!C140="Entrada","Crédito","Débito"))</f>
        <v>Débito</v>
      </c>
      <c r="E143" s="14">
        <f>IF(A143="","",BASE_CAIXA!AA140)</f>
        <v>296.80991999999998</v>
      </c>
      <c r="F143" s="26">
        <f>IF(A143="","",BASE_CAIXA!N140)</f>
        <v>0</v>
      </c>
      <c r="G143" s="26">
        <f>IF(A143="","",BASE_CAIXA!O140)</f>
        <v>0</v>
      </c>
      <c r="H143" s="26">
        <f>IF(A143="","",BASE_CAIXA!P140)</f>
        <v>0</v>
      </c>
      <c r="I143" s="26" t="str">
        <f>IF(A143="","",IF(BASE_CAIXA!H140&lt;&gt;"",BASE_CAIXA!H140,BASE_CAIXA!G140))</f>
        <v>Pasta lubrufucante 1 KG</v>
      </c>
      <c r="J143" s="26" t="str">
        <f>IF(A143="","",BASE_CAIXA!G140)</f>
        <v>Pasta lubrufucante 1 KG</v>
      </c>
      <c r="K143" s="26">
        <f>IF(A143="","",BASE_CAIXA!I140)</f>
        <v>0</v>
      </c>
      <c r="L143" s="26">
        <f>IF(A143="","",BASE_CAIXA!J140)</f>
        <v>0</v>
      </c>
      <c r="M143" s="26" t="str">
        <f>IF(A143="","",BASE_CAIXA!AM140)</f>
        <v xml:space="preserve">Pasta lubrufucante 1 KG | Pasta lubrufucante 1 KG | Saída | </v>
      </c>
      <c r="N143" s="26" t="str">
        <f t="shared" ca="1" si="6"/>
        <v>Previsto</v>
      </c>
      <c r="O143" s="13" t="str">
        <f>IFERROR(INDEX(EXTRATO_IMPORTADO!$A$5:$A$404,MATCH(B143,EXTRATO_IMPORTADO!$I$5:$I$404,0)),"")</f>
        <v/>
      </c>
      <c r="P143" s="14" t="str">
        <f>IFERROR(INDEX(EXTRATO_IMPORTADO!$F$5:$F$404,MATCH(B143,EXTRATO_IMPORTADO!$I$5:$I$404,0)),"")</f>
        <v/>
      </c>
      <c r="Q143" s="26" t="str">
        <f>IFERROR(INDEX(EXTRATO_IMPORTADO!$B$5:$B$404,MATCH(B143,EXTRATO_IMPORTADO!$I$5:$I$404,0)),"")</f>
        <v/>
      </c>
      <c r="R143" s="26" t="str">
        <f>IFERROR(MATCH(B143,EXTRATO_IMPORTADO!$I$5:$I$404,0),"")</f>
        <v/>
      </c>
      <c r="S143" s="14" t="str">
        <f t="shared" si="7"/>
        <v/>
      </c>
      <c r="T143" s="33" t="str">
        <f t="shared" si="8"/>
        <v/>
      </c>
    </row>
    <row r="144" spans="1:20" x14ac:dyDescent="0.3">
      <c r="A144" s="26">
        <f>IF(BASE_CAIXA!A141="","",BASE_CAIXA!A141)</f>
        <v>140</v>
      </c>
      <c r="B144" s="26" t="str">
        <f>IF(A144="","",BASE_CAIXA!AL141)</f>
        <v>000140-DB</v>
      </c>
      <c r="C144" s="13">
        <f>IF(A144="","",BASE_CAIXA!AJ141)</f>
        <v>46143</v>
      </c>
      <c r="D144" s="26" t="str">
        <f>IF(A144="","",IF(BASE_CAIXA!C141="Entrada","Crédito","Débito"))</f>
        <v>Débito</v>
      </c>
      <c r="E144" s="14">
        <f>IF(A144="","",BASE_CAIXA!AA141)</f>
        <v>211.2</v>
      </c>
      <c r="F144" s="26">
        <f>IF(A144="","",BASE_CAIXA!N141)</f>
        <v>0</v>
      </c>
      <c r="G144" s="26">
        <f>IF(A144="","",BASE_CAIXA!O141)</f>
        <v>0</v>
      </c>
      <c r="H144" s="26">
        <f>IF(A144="","",BASE_CAIXA!P141)</f>
        <v>0</v>
      </c>
      <c r="I144" s="26" t="str">
        <f>IF(A144="","",IF(BASE_CAIXA!H141&lt;&gt;"",BASE_CAIXA!H141,BASE_CAIXA!G141))</f>
        <v>Ralo seco PVC DN100x40mm Junta soldável para esgoto sanitário predial</v>
      </c>
      <c r="J144" s="26" t="str">
        <f>IF(A144="","",BASE_CAIXA!G141)</f>
        <v>Ralo seco PVC DN100x40mm Junta soldável para esgoto sanitário predial</v>
      </c>
      <c r="K144" s="26">
        <f>IF(A144="","",BASE_CAIXA!I141)</f>
        <v>0</v>
      </c>
      <c r="L144" s="26">
        <f>IF(A144="","",BASE_CAIXA!J141)</f>
        <v>0</v>
      </c>
      <c r="M144" s="26" t="str">
        <f>IF(A144="","",BASE_CAIXA!AM141)</f>
        <v>Ralo seco PVC DN100x40mm Junta soldável para esgoto sanitári</v>
      </c>
      <c r="N144" s="26" t="str">
        <f t="shared" ca="1" si="6"/>
        <v>Previsto</v>
      </c>
      <c r="O144" s="13" t="str">
        <f>IFERROR(INDEX(EXTRATO_IMPORTADO!$A$5:$A$404,MATCH(B144,EXTRATO_IMPORTADO!$I$5:$I$404,0)),"")</f>
        <v/>
      </c>
      <c r="P144" s="14" t="str">
        <f>IFERROR(INDEX(EXTRATO_IMPORTADO!$F$5:$F$404,MATCH(B144,EXTRATO_IMPORTADO!$I$5:$I$404,0)),"")</f>
        <v/>
      </c>
      <c r="Q144" s="26" t="str">
        <f>IFERROR(INDEX(EXTRATO_IMPORTADO!$B$5:$B$404,MATCH(B144,EXTRATO_IMPORTADO!$I$5:$I$404,0)),"")</f>
        <v/>
      </c>
      <c r="R144" s="26" t="str">
        <f>IFERROR(MATCH(B144,EXTRATO_IMPORTADO!$I$5:$I$404,0),"")</f>
        <v/>
      </c>
      <c r="S144" s="14" t="str">
        <f t="shared" si="7"/>
        <v/>
      </c>
      <c r="T144" s="33" t="str">
        <f t="shared" si="8"/>
        <v/>
      </c>
    </row>
    <row r="145" spans="1:20" x14ac:dyDescent="0.3">
      <c r="A145" s="26">
        <f>IF(BASE_CAIXA!A142="","",BASE_CAIXA!A142)</f>
        <v>141</v>
      </c>
      <c r="B145" s="26" t="str">
        <f>IF(A145="","",BASE_CAIXA!AL142)</f>
        <v>000141-DB</v>
      </c>
      <c r="C145" s="13">
        <f>IF(A145="","",BASE_CAIXA!AJ142)</f>
        <v>46143</v>
      </c>
      <c r="D145" s="26" t="str">
        <f>IF(A145="","",IF(BASE_CAIXA!C142="Entrada","Crédito","Débito"))</f>
        <v>Débito</v>
      </c>
      <c r="E145" s="14">
        <f>IF(A145="","",BASE_CAIXA!AA142)</f>
        <v>104.7552</v>
      </c>
      <c r="F145" s="26">
        <f>IF(A145="","",BASE_CAIXA!N142)</f>
        <v>0</v>
      </c>
      <c r="G145" s="26">
        <f>IF(A145="","",BASE_CAIXA!O142)</f>
        <v>0</v>
      </c>
      <c r="H145" s="26">
        <f>IF(A145="","",BASE_CAIXA!P142)</f>
        <v>0</v>
      </c>
      <c r="I145" s="26" t="str">
        <f>IF(A145="","",IF(BASE_CAIXA!H142&lt;&gt;"",BASE_CAIXA!H142,BASE_CAIXA!G142))</f>
        <v>TE DN 50x50mm PVC branco rígido para esgoto sanitário predial</v>
      </c>
      <c r="J145" s="26" t="str">
        <f>IF(A145="","",BASE_CAIXA!G142)</f>
        <v>TE DN 50x50mm PVC branco rígido para esgoto sanitário predial</v>
      </c>
      <c r="K145" s="26">
        <f>IF(A145="","",BASE_CAIXA!I142)</f>
        <v>0</v>
      </c>
      <c r="L145" s="26">
        <f>IF(A145="","",BASE_CAIXA!J142)</f>
        <v>0</v>
      </c>
      <c r="M145" s="26" t="str">
        <f>IF(A145="","",BASE_CAIXA!AM142)</f>
        <v>TE DN 50x50mm PVC branco rígido para esgoto sanitário predia</v>
      </c>
      <c r="N145" s="26" t="str">
        <f t="shared" ca="1" si="6"/>
        <v>Previsto</v>
      </c>
      <c r="O145" s="13" t="str">
        <f>IFERROR(INDEX(EXTRATO_IMPORTADO!$A$5:$A$404,MATCH(B145,EXTRATO_IMPORTADO!$I$5:$I$404,0)),"")</f>
        <v/>
      </c>
      <c r="P145" s="14" t="str">
        <f>IFERROR(INDEX(EXTRATO_IMPORTADO!$F$5:$F$404,MATCH(B145,EXTRATO_IMPORTADO!$I$5:$I$404,0)),"")</f>
        <v/>
      </c>
      <c r="Q145" s="26" t="str">
        <f>IFERROR(INDEX(EXTRATO_IMPORTADO!$B$5:$B$404,MATCH(B145,EXTRATO_IMPORTADO!$I$5:$I$404,0)),"")</f>
        <v/>
      </c>
      <c r="R145" s="26" t="str">
        <f>IFERROR(MATCH(B145,EXTRATO_IMPORTADO!$I$5:$I$404,0),"")</f>
        <v/>
      </c>
      <c r="S145" s="14" t="str">
        <f t="shared" si="7"/>
        <v/>
      </c>
      <c r="T145" s="33" t="str">
        <f t="shared" si="8"/>
        <v/>
      </c>
    </row>
    <row r="146" spans="1:20" x14ac:dyDescent="0.3">
      <c r="A146" s="26">
        <f>IF(BASE_CAIXA!A143="","",BASE_CAIXA!A143)</f>
        <v>142</v>
      </c>
      <c r="B146" s="26" t="str">
        <f>IF(A146="","",BASE_CAIXA!AL143)</f>
        <v>000142-DB</v>
      </c>
      <c r="C146" s="13">
        <f>IF(A146="","",BASE_CAIXA!AJ143)</f>
        <v>46143</v>
      </c>
      <c r="D146" s="26" t="str">
        <f>IF(A146="","",IF(BASE_CAIXA!C143="Entrada","Crédito","Débito"))</f>
        <v>Débito</v>
      </c>
      <c r="E146" s="14">
        <f>IF(A146="","",BASE_CAIXA!AA143)</f>
        <v>339.39839999999998</v>
      </c>
      <c r="F146" s="26">
        <f>IF(A146="","",BASE_CAIXA!N143)</f>
        <v>0</v>
      </c>
      <c r="G146" s="26">
        <f>IF(A146="","",BASE_CAIXA!O143)</f>
        <v>0</v>
      </c>
      <c r="H146" s="26">
        <f>IF(A146="","",BASE_CAIXA!P143)</f>
        <v>0</v>
      </c>
      <c r="I146" s="26" t="str">
        <f>IF(A146="","",IF(BASE_CAIXA!H143&lt;&gt;"",BASE_CAIXA!H143,BASE_CAIXA!G143))</f>
        <v>Tubo DN 25 mm, PVC Rígido Soldável Marrom</v>
      </c>
      <c r="J146" s="26" t="str">
        <f>IF(A146="","",BASE_CAIXA!G143)</f>
        <v>Tubo DN 25 mm, PVC Rígido Soldável Marrom</v>
      </c>
      <c r="K146" s="26">
        <f>IF(A146="","",BASE_CAIXA!I143)</f>
        <v>0</v>
      </c>
      <c r="L146" s="26">
        <f>IF(A146="","",BASE_CAIXA!J143)</f>
        <v>0</v>
      </c>
      <c r="M146" s="26" t="str">
        <f>IF(A146="","",BASE_CAIXA!AM143)</f>
        <v>Tubo DN 25 mm, PVC Rígido Soldável Marrom | Tubo DN 25 mm, P</v>
      </c>
      <c r="N146" s="26" t="str">
        <f t="shared" ca="1" si="6"/>
        <v>Previsto</v>
      </c>
      <c r="O146" s="13" t="str">
        <f>IFERROR(INDEX(EXTRATO_IMPORTADO!$A$5:$A$404,MATCH(B146,EXTRATO_IMPORTADO!$I$5:$I$404,0)),"")</f>
        <v/>
      </c>
      <c r="P146" s="14" t="str">
        <f>IFERROR(INDEX(EXTRATO_IMPORTADO!$F$5:$F$404,MATCH(B146,EXTRATO_IMPORTADO!$I$5:$I$404,0)),"")</f>
        <v/>
      </c>
      <c r="Q146" s="26" t="str">
        <f>IFERROR(INDEX(EXTRATO_IMPORTADO!$B$5:$B$404,MATCH(B146,EXTRATO_IMPORTADO!$I$5:$I$404,0)),"")</f>
        <v/>
      </c>
      <c r="R146" s="26" t="str">
        <f>IFERROR(MATCH(B146,EXTRATO_IMPORTADO!$I$5:$I$404,0),"")</f>
        <v/>
      </c>
      <c r="S146" s="14" t="str">
        <f t="shared" si="7"/>
        <v/>
      </c>
      <c r="T146" s="33" t="str">
        <f t="shared" si="8"/>
        <v/>
      </c>
    </row>
    <row r="147" spans="1:20" x14ac:dyDescent="0.3">
      <c r="A147" s="26">
        <f>IF(BASE_CAIXA!A144="","",BASE_CAIXA!A144)</f>
        <v>143</v>
      </c>
      <c r="B147" s="26" t="str">
        <f>IF(A147="","",BASE_CAIXA!AL144)</f>
        <v>000143-DB</v>
      </c>
      <c r="C147" s="13">
        <f>IF(A147="","",BASE_CAIXA!AJ144)</f>
        <v>46143</v>
      </c>
      <c r="D147" s="26" t="str">
        <f>IF(A147="","",IF(BASE_CAIXA!C144="Entrada","Crédito","Débito"))</f>
        <v>Débito</v>
      </c>
      <c r="E147" s="14">
        <f>IF(A147="","",BASE_CAIXA!AA144)</f>
        <v>742.49472000000014</v>
      </c>
      <c r="F147" s="26">
        <f>IF(A147="","",BASE_CAIXA!N144)</f>
        <v>0</v>
      </c>
      <c r="G147" s="26">
        <f>IF(A147="","",BASE_CAIXA!O144)</f>
        <v>0</v>
      </c>
      <c r="H147" s="26">
        <f>IF(A147="","",BASE_CAIXA!P144)</f>
        <v>0</v>
      </c>
      <c r="I147" s="26" t="str">
        <f>IF(A147="","",IF(BASE_CAIXA!H144&lt;&gt;"",BASE_CAIXA!H144,BASE_CAIXA!G144))</f>
        <v>Tubo PVC DN 100mm branco rígido para esgoto sanitário</v>
      </c>
      <c r="J147" s="26" t="str">
        <f>IF(A147="","",BASE_CAIXA!G144)</f>
        <v>Tubo PVC DN 100mm branco rígido para esgoto sanitário</v>
      </c>
      <c r="K147" s="26">
        <f>IF(A147="","",BASE_CAIXA!I144)</f>
        <v>0</v>
      </c>
      <c r="L147" s="26">
        <f>IF(A147="","",BASE_CAIXA!J144)</f>
        <v>0</v>
      </c>
      <c r="M147" s="26" t="str">
        <f>IF(A147="","",BASE_CAIXA!AM144)</f>
        <v>Tubo PVC DN 100mm branco rígido para esgoto sanitário | Tubo</v>
      </c>
      <c r="N147" s="26" t="str">
        <f t="shared" ca="1" si="6"/>
        <v>Previsto</v>
      </c>
      <c r="O147" s="13" t="str">
        <f>IFERROR(INDEX(EXTRATO_IMPORTADO!$A$5:$A$404,MATCH(B147,EXTRATO_IMPORTADO!$I$5:$I$404,0)),"")</f>
        <v/>
      </c>
      <c r="P147" s="14" t="str">
        <f>IFERROR(INDEX(EXTRATO_IMPORTADO!$F$5:$F$404,MATCH(B147,EXTRATO_IMPORTADO!$I$5:$I$404,0)),"")</f>
        <v/>
      </c>
      <c r="Q147" s="26" t="str">
        <f>IFERROR(INDEX(EXTRATO_IMPORTADO!$B$5:$B$404,MATCH(B147,EXTRATO_IMPORTADO!$I$5:$I$404,0)),"")</f>
        <v/>
      </c>
      <c r="R147" s="26" t="str">
        <f>IFERROR(MATCH(B147,EXTRATO_IMPORTADO!$I$5:$I$404,0),"")</f>
        <v/>
      </c>
      <c r="S147" s="14" t="str">
        <f t="shared" si="7"/>
        <v/>
      </c>
      <c r="T147" s="33" t="str">
        <f t="shared" si="8"/>
        <v/>
      </c>
    </row>
    <row r="148" spans="1:20" x14ac:dyDescent="0.3">
      <c r="A148" s="26">
        <f>IF(BASE_CAIXA!A145="","",BASE_CAIXA!A145)</f>
        <v>144</v>
      </c>
      <c r="B148" s="26" t="str">
        <f>IF(A148="","",BASE_CAIXA!AL145)</f>
        <v>000144-DB</v>
      </c>
      <c r="C148" s="13">
        <f>IF(A148="","",BASE_CAIXA!AJ145)</f>
        <v>46143</v>
      </c>
      <c r="D148" s="26" t="str">
        <f>IF(A148="","",IF(BASE_CAIXA!C145="Entrada","Crédito","Débito"))</f>
        <v>Débito</v>
      </c>
      <c r="E148" s="14">
        <f>IF(A148="","",BASE_CAIXA!AA145)</f>
        <v>139.51027199999999</v>
      </c>
      <c r="F148" s="26">
        <f>IF(A148="","",BASE_CAIXA!N145)</f>
        <v>0</v>
      </c>
      <c r="G148" s="26">
        <f>IF(A148="","",BASE_CAIXA!O145)</f>
        <v>0</v>
      </c>
      <c r="H148" s="26">
        <f>IF(A148="","",BASE_CAIXA!P145)</f>
        <v>0</v>
      </c>
      <c r="I148" s="26" t="str">
        <f>IF(A148="","",IF(BASE_CAIXA!H145&lt;&gt;"",BASE_CAIXA!H145,BASE_CAIXA!G145))</f>
        <v>Tubo PVC DN 40mm branco rígido para esgoto sanitário</v>
      </c>
      <c r="J148" s="26" t="str">
        <f>IF(A148="","",BASE_CAIXA!G145)</f>
        <v>Tubo PVC DN 40mm branco rígido para esgoto sanitário</v>
      </c>
      <c r="K148" s="26">
        <f>IF(A148="","",BASE_CAIXA!I145)</f>
        <v>0</v>
      </c>
      <c r="L148" s="26">
        <f>IF(A148="","",BASE_CAIXA!J145)</f>
        <v>0</v>
      </c>
      <c r="M148" s="26" t="str">
        <f>IF(A148="","",BASE_CAIXA!AM145)</f>
        <v xml:space="preserve">Tubo PVC DN 40mm branco rígido para esgoto sanitário | Tubo </v>
      </c>
      <c r="N148" s="26" t="str">
        <f t="shared" ca="1" si="6"/>
        <v>Previsto</v>
      </c>
      <c r="O148" s="13" t="str">
        <f>IFERROR(INDEX(EXTRATO_IMPORTADO!$A$5:$A$404,MATCH(B148,EXTRATO_IMPORTADO!$I$5:$I$404,0)),"")</f>
        <v/>
      </c>
      <c r="P148" s="14" t="str">
        <f>IFERROR(INDEX(EXTRATO_IMPORTADO!$F$5:$F$404,MATCH(B148,EXTRATO_IMPORTADO!$I$5:$I$404,0)),"")</f>
        <v/>
      </c>
      <c r="Q148" s="26" t="str">
        <f>IFERROR(INDEX(EXTRATO_IMPORTADO!$B$5:$B$404,MATCH(B148,EXTRATO_IMPORTADO!$I$5:$I$404,0)),"")</f>
        <v/>
      </c>
      <c r="R148" s="26" t="str">
        <f>IFERROR(MATCH(B148,EXTRATO_IMPORTADO!$I$5:$I$404,0),"")</f>
        <v/>
      </c>
      <c r="S148" s="14" t="str">
        <f t="shared" si="7"/>
        <v/>
      </c>
      <c r="T148" s="33" t="str">
        <f t="shared" si="8"/>
        <v/>
      </c>
    </row>
    <row r="149" spans="1:20" x14ac:dyDescent="0.3">
      <c r="A149" s="26">
        <f>IF(BASE_CAIXA!A146="","",BASE_CAIXA!A146)</f>
        <v>145</v>
      </c>
      <c r="B149" s="26" t="str">
        <f>IF(A149="","",BASE_CAIXA!AL146)</f>
        <v>000145-DB</v>
      </c>
      <c r="C149" s="13">
        <f>IF(A149="","",BASE_CAIXA!AJ146)</f>
        <v>46143</v>
      </c>
      <c r="D149" s="26" t="str">
        <f>IF(A149="","",IF(BASE_CAIXA!C146="Entrada","Crédito","Débito"))</f>
        <v>Débito</v>
      </c>
      <c r="E149" s="14">
        <f>IF(A149="","",BASE_CAIXA!AA146)</f>
        <v>1098.3793920000001</v>
      </c>
      <c r="F149" s="26">
        <f>IF(A149="","",BASE_CAIXA!N146)</f>
        <v>0</v>
      </c>
      <c r="G149" s="26">
        <f>IF(A149="","",BASE_CAIXA!O146)</f>
        <v>0</v>
      </c>
      <c r="H149" s="26">
        <f>IF(A149="","",BASE_CAIXA!P146)</f>
        <v>0</v>
      </c>
      <c r="I149" s="26" t="str">
        <f>IF(A149="","",IF(BASE_CAIXA!H146&lt;&gt;"",BASE_CAIXA!H146,BASE_CAIXA!G146))</f>
        <v>Tubo PVC DN 50mm branco rígido para esgoto sanitário</v>
      </c>
      <c r="J149" s="26" t="str">
        <f>IF(A149="","",BASE_CAIXA!G146)</f>
        <v>Tubo PVC DN 50mm branco rígido para esgoto sanitário</v>
      </c>
      <c r="K149" s="26">
        <f>IF(A149="","",BASE_CAIXA!I146)</f>
        <v>0</v>
      </c>
      <c r="L149" s="26">
        <f>IF(A149="","",BASE_CAIXA!J146)</f>
        <v>0</v>
      </c>
      <c r="M149" s="26" t="str">
        <f>IF(A149="","",BASE_CAIXA!AM146)</f>
        <v xml:space="preserve">Tubo PVC DN 50mm branco rígido para esgoto sanitário | Tubo </v>
      </c>
      <c r="N149" s="26" t="str">
        <f t="shared" ca="1" si="6"/>
        <v>Previsto</v>
      </c>
      <c r="O149" s="13" t="str">
        <f>IFERROR(INDEX(EXTRATO_IMPORTADO!$A$5:$A$404,MATCH(B149,EXTRATO_IMPORTADO!$I$5:$I$404,0)),"")</f>
        <v/>
      </c>
      <c r="P149" s="14" t="str">
        <f>IFERROR(INDEX(EXTRATO_IMPORTADO!$F$5:$F$404,MATCH(B149,EXTRATO_IMPORTADO!$I$5:$I$404,0)),"")</f>
        <v/>
      </c>
      <c r="Q149" s="26" t="str">
        <f>IFERROR(INDEX(EXTRATO_IMPORTADO!$B$5:$B$404,MATCH(B149,EXTRATO_IMPORTADO!$I$5:$I$404,0)),"")</f>
        <v/>
      </c>
      <c r="R149" s="26" t="str">
        <f>IFERROR(MATCH(B149,EXTRATO_IMPORTADO!$I$5:$I$404,0),"")</f>
        <v/>
      </c>
      <c r="S149" s="14" t="str">
        <f t="shared" si="7"/>
        <v/>
      </c>
      <c r="T149" s="33" t="str">
        <f t="shared" si="8"/>
        <v/>
      </c>
    </row>
    <row r="150" spans="1:20" x14ac:dyDescent="0.3">
      <c r="A150" s="26">
        <f>IF(BASE_CAIXA!A147="","",BASE_CAIXA!A147)</f>
        <v>146</v>
      </c>
      <c r="B150" s="26" t="str">
        <f>IF(A150="","",BASE_CAIXA!AL147)</f>
        <v>000146-DB</v>
      </c>
      <c r="C150" s="13">
        <f>IF(A150="","",BASE_CAIXA!AJ147)</f>
        <v>46143</v>
      </c>
      <c r="D150" s="26" t="str">
        <f>IF(A150="","",IF(BASE_CAIXA!C147="Entrada","Crédito","Débito"))</f>
        <v>Débito</v>
      </c>
      <c r="E150" s="14">
        <f>IF(A150="","",BASE_CAIXA!AA147)</f>
        <v>79.981440000000006</v>
      </c>
      <c r="F150" s="26">
        <f>IF(A150="","",BASE_CAIXA!N147)</f>
        <v>0</v>
      </c>
      <c r="G150" s="26">
        <f>IF(A150="","",BASE_CAIXA!O147)</f>
        <v>0</v>
      </c>
      <c r="H150" s="26">
        <f>IF(A150="","",BASE_CAIXA!P147)</f>
        <v>0</v>
      </c>
      <c r="I150" s="26" t="str">
        <f>IF(A150="","",IF(BASE_CAIXA!H147&lt;&gt;"",BASE_CAIXA!H147,BASE_CAIXA!G147))</f>
        <v>Tubo PVC DN 75mm branco rígido para esgoto sanitário</v>
      </c>
      <c r="J150" s="26" t="str">
        <f>IF(A150="","",BASE_CAIXA!G147)</f>
        <v>Tubo PVC DN 75mm branco rígido para esgoto sanitário</v>
      </c>
      <c r="K150" s="26">
        <f>IF(A150="","",BASE_CAIXA!I147)</f>
        <v>0</v>
      </c>
      <c r="L150" s="26">
        <f>IF(A150="","",BASE_CAIXA!J147)</f>
        <v>0</v>
      </c>
      <c r="M150" s="26" t="str">
        <f>IF(A150="","",BASE_CAIXA!AM147)</f>
        <v xml:space="preserve">Tubo PVC DN 75mm branco rígido para esgoto sanitário | Tubo </v>
      </c>
      <c r="N150" s="26" t="str">
        <f t="shared" ca="1" si="6"/>
        <v>Previsto</v>
      </c>
      <c r="O150" s="13" t="str">
        <f>IFERROR(INDEX(EXTRATO_IMPORTADO!$A$5:$A$404,MATCH(B150,EXTRATO_IMPORTADO!$I$5:$I$404,0)),"")</f>
        <v/>
      </c>
      <c r="P150" s="14" t="str">
        <f>IFERROR(INDEX(EXTRATO_IMPORTADO!$F$5:$F$404,MATCH(B150,EXTRATO_IMPORTADO!$I$5:$I$404,0)),"")</f>
        <v/>
      </c>
      <c r="Q150" s="26" t="str">
        <f>IFERROR(INDEX(EXTRATO_IMPORTADO!$B$5:$B$404,MATCH(B150,EXTRATO_IMPORTADO!$I$5:$I$404,0)),"")</f>
        <v/>
      </c>
      <c r="R150" s="26" t="str">
        <f>IFERROR(MATCH(B150,EXTRATO_IMPORTADO!$I$5:$I$404,0),"")</f>
        <v/>
      </c>
      <c r="S150" s="14" t="str">
        <f t="shared" si="7"/>
        <v/>
      </c>
      <c r="T150" s="33" t="str">
        <f t="shared" si="8"/>
        <v/>
      </c>
    </row>
    <row r="151" spans="1:20" x14ac:dyDescent="0.3">
      <c r="A151" s="26">
        <f>IF(BASE_CAIXA!A148="","",BASE_CAIXA!A148)</f>
        <v>147</v>
      </c>
      <c r="B151" s="26" t="str">
        <f>IF(A151="","",BASE_CAIXA!AL148)</f>
        <v>000147-DB</v>
      </c>
      <c r="C151" s="13">
        <f>IF(A151="","",BASE_CAIXA!AJ148)</f>
        <v>46143</v>
      </c>
      <c r="D151" s="26" t="str">
        <f>IF(A151="","",IF(BASE_CAIXA!C148="Entrada","Crédito","Débito"))</f>
        <v>Débito</v>
      </c>
      <c r="E151" s="14">
        <f>IF(A151="","",BASE_CAIXA!AA148)</f>
        <v>7500</v>
      </c>
      <c r="F151" s="26">
        <f>IF(A151="","",BASE_CAIXA!N148)</f>
        <v>0</v>
      </c>
      <c r="G151" s="26">
        <f>IF(A151="","",BASE_CAIXA!O148)</f>
        <v>0</v>
      </c>
      <c r="H151" s="26">
        <f>IF(A151="","",BASE_CAIXA!P148)</f>
        <v>0</v>
      </c>
      <c r="I151" s="26" t="str">
        <f>IF(A151="","",IF(BASE_CAIXA!H148&lt;&gt;"",BASE_CAIXA!H148,BASE_CAIXA!G148))</f>
        <v>ALMOXARIFADO</v>
      </c>
      <c r="J151" s="26" t="str">
        <f>IF(A151="","",BASE_CAIXA!G148)</f>
        <v>ALMOXARIFADO</v>
      </c>
      <c r="K151" s="26">
        <f>IF(A151="","",BASE_CAIXA!I148)</f>
        <v>0</v>
      </c>
      <c r="L151" s="26">
        <f>IF(A151="","",BASE_CAIXA!J148)</f>
        <v>0</v>
      </c>
      <c r="M151" s="26" t="str">
        <f>IF(A151="","",BASE_CAIXA!AM148)</f>
        <v>ALMOXARIFADO | ALMOXARIFADO | Saída | GESTÃO LOCAL</v>
      </c>
      <c r="N151" s="26" t="str">
        <f t="shared" ca="1" si="6"/>
        <v>Previsto</v>
      </c>
      <c r="O151" s="13" t="str">
        <f>IFERROR(INDEX(EXTRATO_IMPORTADO!$A$5:$A$404,MATCH(B151,EXTRATO_IMPORTADO!$I$5:$I$404,0)),"")</f>
        <v/>
      </c>
      <c r="P151" s="14" t="str">
        <f>IFERROR(INDEX(EXTRATO_IMPORTADO!$F$5:$F$404,MATCH(B151,EXTRATO_IMPORTADO!$I$5:$I$404,0)),"")</f>
        <v/>
      </c>
      <c r="Q151" s="26" t="str">
        <f>IFERROR(INDEX(EXTRATO_IMPORTADO!$B$5:$B$404,MATCH(B151,EXTRATO_IMPORTADO!$I$5:$I$404,0)),"")</f>
        <v/>
      </c>
      <c r="R151" s="26" t="str">
        <f>IFERROR(MATCH(B151,EXTRATO_IMPORTADO!$I$5:$I$404,0),"")</f>
        <v/>
      </c>
      <c r="S151" s="14" t="str">
        <f t="shared" si="7"/>
        <v/>
      </c>
      <c r="T151" s="33" t="str">
        <f t="shared" si="8"/>
        <v/>
      </c>
    </row>
    <row r="152" spans="1:20" x14ac:dyDescent="0.3">
      <c r="A152" s="26">
        <f>IF(BASE_CAIXA!A149="","",BASE_CAIXA!A149)</f>
        <v>148</v>
      </c>
      <c r="B152" s="26" t="str">
        <f>IF(A152="","",BASE_CAIXA!AL149)</f>
        <v>000148-DB</v>
      </c>
      <c r="C152" s="13">
        <f>IF(A152="","",BASE_CAIXA!AJ149)</f>
        <v>46143</v>
      </c>
      <c r="D152" s="26" t="str">
        <f>IF(A152="","",IF(BASE_CAIXA!C149="Entrada","Crédito","Débito"))</f>
        <v>Débito</v>
      </c>
      <c r="E152" s="14">
        <f>IF(A152="","",BASE_CAIXA!AA149)</f>
        <v>3500</v>
      </c>
      <c r="F152" s="26">
        <f>IF(A152="","",BASE_CAIXA!N149)</f>
        <v>0</v>
      </c>
      <c r="G152" s="26">
        <f>IF(A152="","",BASE_CAIXA!O149)</f>
        <v>0</v>
      </c>
      <c r="H152" s="26">
        <f>IF(A152="","",BASE_CAIXA!P149)</f>
        <v>0</v>
      </c>
      <c r="I152" s="26" t="str">
        <f>IF(A152="","",IF(BASE_CAIXA!H149&lt;&gt;"",BASE_CAIXA!H149,BASE_CAIXA!G149))</f>
        <v>Alojamento Arbnb (mestre, engenheiro. Tecnico)</v>
      </c>
      <c r="J152" s="26" t="str">
        <f>IF(A152="","",BASE_CAIXA!G149)</f>
        <v>Alojamento Arbnb (mestre, engenheiro. Tecnico)</v>
      </c>
      <c r="K152" s="26">
        <f>IF(A152="","",BASE_CAIXA!I149)</f>
        <v>0</v>
      </c>
      <c r="L152" s="26">
        <f>IF(A152="","",BASE_CAIXA!J149)</f>
        <v>0</v>
      </c>
      <c r="M152" s="26" t="str">
        <f>IF(A152="","",BASE_CAIXA!AM149)</f>
        <v xml:space="preserve">Alojamento Arbnb (mestre, engenheiro. Tecnico) | Alojamento </v>
      </c>
      <c r="N152" s="26" t="str">
        <f t="shared" ca="1" si="6"/>
        <v>Previsto</v>
      </c>
      <c r="O152" s="13" t="str">
        <f>IFERROR(INDEX(EXTRATO_IMPORTADO!$A$5:$A$404,MATCH(B152,EXTRATO_IMPORTADO!$I$5:$I$404,0)),"")</f>
        <v/>
      </c>
      <c r="P152" s="14" t="str">
        <f>IFERROR(INDEX(EXTRATO_IMPORTADO!$F$5:$F$404,MATCH(B152,EXTRATO_IMPORTADO!$I$5:$I$404,0)),"")</f>
        <v/>
      </c>
      <c r="Q152" s="26" t="str">
        <f>IFERROR(INDEX(EXTRATO_IMPORTADO!$B$5:$B$404,MATCH(B152,EXTRATO_IMPORTADO!$I$5:$I$404,0)),"")</f>
        <v/>
      </c>
      <c r="R152" s="26" t="str">
        <f>IFERROR(MATCH(B152,EXTRATO_IMPORTADO!$I$5:$I$404,0),"")</f>
        <v/>
      </c>
      <c r="S152" s="14" t="str">
        <f t="shared" si="7"/>
        <v/>
      </c>
      <c r="T152" s="33" t="str">
        <f t="shared" si="8"/>
        <v/>
      </c>
    </row>
    <row r="153" spans="1:20" x14ac:dyDescent="0.3">
      <c r="A153" s="26">
        <f>IF(BASE_CAIXA!A150="","",BASE_CAIXA!A150)</f>
        <v>149</v>
      </c>
      <c r="B153" s="26" t="str">
        <f>IF(A153="","",BASE_CAIXA!AL150)</f>
        <v>000149-DB</v>
      </c>
      <c r="C153" s="13">
        <f>IF(A153="","",BASE_CAIXA!AJ150)</f>
        <v>46143</v>
      </c>
      <c r="D153" s="26" t="str">
        <f>IF(A153="","",IF(BASE_CAIXA!C150="Entrada","Crédito","Débito"))</f>
        <v>Débito</v>
      </c>
      <c r="E153" s="14">
        <f>IF(A153="","",BASE_CAIXA!AA150)</f>
        <v>1140</v>
      </c>
      <c r="F153" s="26">
        <f>IF(A153="","",BASE_CAIXA!N150)</f>
        <v>0</v>
      </c>
      <c r="G153" s="26">
        <f>IF(A153="","",BASE_CAIXA!O150)</f>
        <v>0</v>
      </c>
      <c r="H153" s="26">
        <f>IF(A153="","",BASE_CAIXA!P150)</f>
        <v>0</v>
      </c>
      <c r="I153" s="26" t="str">
        <f>IF(A153="","",IF(BASE_CAIXA!H150&lt;&gt;"",BASE_CAIXA!H150,BASE_CAIXA!G150))</f>
        <v>Aluguel container Banheiro</v>
      </c>
      <c r="J153" s="26" t="str">
        <f>IF(A153="","",BASE_CAIXA!G150)</f>
        <v>Aluguel container Banheiro</v>
      </c>
      <c r="K153" s="26">
        <f>IF(A153="","",BASE_CAIXA!I150)</f>
        <v>0</v>
      </c>
      <c r="L153" s="26">
        <f>IF(A153="","",BASE_CAIXA!J150)</f>
        <v>0</v>
      </c>
      <c r="M153" s="26" t="str">
        <f>IF(A153="","",BASE_CAIXA!AM150)</f>
        <v>Aluguel container Banheiro | Aluguel container Banheiro | Sa</v>
      </c>
      <c r="N153" s="26" t="str">
        <f t="shared" ca="1" si="6"/>
        <v>Previsto</v>
      </c>
      <c r="O153" s="13" t="str">
        <f>IFERROR(INDEX(EXTRATO_IMPORTADO!$A$5:$A$404,MATCH(B153,EXTRATO_IMPORTADO!$I$5:$I$404,0)),"")</f>
        <v/>
      </c>
      <c r="P153" s="14" t="str">
        <f>IFERROR(INDEX(EXTRATO_IMPORTADO!$F$5:$F$404,MATCH(B153,EXTRATO_IMPORTADO!$I$5:$I$404,0)),"")</f>
        <v/>
      </c>
      <c r="Q153" s="26" t="str">
        <f>IFERROR(INDEX(EXTRATO_IMPORTADO!$B$5:$B$404,MATCH(B153,EXTRATO_IMPORTADO!$I$5:$I$404,0)),"")</f>
        <v/>
      </c>
      <c r="R153" s="26" t="str">
        <f>IFERROR(MATCH(B153,EXTRATO_IMPORTADO!$I$5:$I$404,0),"")</f>
        <v/>
      </c>
      <c r="S153" s="14" t="str">
        <f t="shared" si="7"/>
        <v/>
      </c>
      <c r="T153" s="33" t="str">
        <f t="shared" si="8"/>
        <v/>
      </c>
    </row>
    <row r="154" spans="1:20" x14ac:dyDescent="0.3">
      <c r="A154" s="26">
        <f>IF(BASE_CAIXA!A151="","",BASE_CAIXA!A151)</f>
        <v>150</v>
      </c>
      <c r="B154" s="26" t="str">
        <f>IF(A154="","",BASE_CAIXA!AL151)</f>
        <v>000150-DB</v>
      </c>
      <c r="C154" s="13">
        <f>IF(A154="","",BASE_CAIXA!AJ151)</f>
        <v>46143</v>
      </c>
      <c r="D154" s="26" t="str">
        <f>IF(A154="","",IF(BASE_CAIXA!C151="Entrada","Crédito","Débito"))</f>
        <v>Débito</v>
      </c>
      <c r="E154" s="14">
        <f>IF(A154="","",BASE_CAIXA!AA151)</f>
        <v>400</v>
      </c>
      <c r="F154" s="26">
        <f>IF(A154="","",BASE_CAIXA!N151)</f>
        <v>0</v>
      </c>
      <c r="G154" s="26">
        <f>IF(A154="","",BASE_CAIXA!O151)</f>
        <v>0</v>
      </c>
      <c r="H154" s="26">
        <f>IF(A154="","",BASE_CAIXA!P151)</f>
        <v>0</v>
      </c>
      <c r="I154" s="26" t="str">
        <f>IF(A154="","",IF(BASE_CAIXA!H151&lt;&gt;"",BASE_CAIXA!H151,BASE_CAIXA!G151))</f>
        <v>Aluguel container almoxarifado</v>
      </c>
      <c r="J154" s="26" t="str">
        <f>IF(A154="","",BASE_CAIXA!G151)</f>
        <v>Aluguel container almoxarifado</v>
      </c>
      <c r="K154" s="26">
        <f>IF(A154="","",BASE_CAIXA!I151)</f>
        <v>0</v>
      </c>
      <c r="L154" s="26">
        <f>IF(A154="","",BASE_CAIXA!J151)</f>
        <v>0</v>
      </c>
      <c r="M154" s="26" t="str">
        <f>IF(A154="","",BASE_CAIXA!AM151)</f>
        <v>Aluguel container almoxarifado | Aluguel container almoxarif</v>
      </c>
      <c r="N154" s="26" t="str">
        <f t="shared" ca="1" si="6"/>
        <v>Previsto</v>
      </c>
      <c r="O154" s="13" t="str">
        <f>IFERROR(INDEX(EXTRATO_IMPORTADO!$A$5:$A$404,MATCH(B154,EXTRATO_IMPORTADO!$I$5:$I$404,0)),"")</f>
        <v/>
      </c>
      <c r="P154" s="14" t="str">
        <f>IFERROR(INDEX(EXTRATO_IMPORTADO!$F$5:$F$404,MATCH(B154,EXTRATO_IMPORTADO!$I$5:$I$404,0)),"")</f>
        <v/>
      </c>
      <c r="Q154" s="26" t="str">
        <f>IFERROR(INDEX(EXTRATO_IMPORTADO!$B$5:$B$404,MATCH(B154,EXTRATO_IMPORTADO!$I$5:$I$404,0)),"")</f>
        <v/>
      </c>
      <c r="R154" s="26" t="str">
        <f>IFERROR(MATCH(B154,EXTRATO_IMPORTADO!$I$5:$I$404,0),"")</f>
        <v/>
      </c>
      <c r="S154" s="14" t="str">
        <f t="shared" si="7"/>
        <v/>
      </c>
      <c r="T154" s="33" t="str">
        <f t="shared" si="8"/>
        <v/>
      </c>
    </row>
    <row r="155" spans="1:20" x14ac:dyDescent="0.3">
      <c r="A155" s="26">
        <f>IF(BASE_CAIXA!A152="","",BASE_CAIXA!A152)</f>
        <v>151</v>
      </c>
      <c r="B155" s="26" t="str">
        <f>IF(A155="","",BASE_CAIXA!AL152)</f>
        <v>000151-DB</v>
      </c>
      <c r="C155" s="13">
        <f>IF(A155="","",BASE_CAIXA!AJ152)</f>
        <v>46143</v>
      </c>
      <c r="D155" s="26" t="str">
        <f>IF(A155="","",IF(BASE_CAIXA!C152="Entrada","Crédito","Débito"))</f>
        <v>Débito</v>
      </c>
      <c r="E155" s="14">
        <f>IF(A155="","",BASE_CAIXA!AA152)</f>
        <v>900</v>
      </c>
      <c r="F155" s="26">
        <f>IF(A155="","",BASE_CAIXA!N152)</f>
        <v>0</v>
      </c>
      <c r="G155" s="26">
        <f>IF(A155="","",BASE_CAIXA!O152)</f>
        <v>0</v>
      </c>
      <c r="H155" s="26">
        <f>IF(A155="","",BASE_CAIXA!P152)</f>
        <v>0</v>
      </c>
      <c r="I155" s="26" t="str">
        <f>IF(A155="","",IF(BASE_CAIXA!H152&lt;&gt;"",BASE_CAIXA!H152,BASE_CAIXA!G152))</f>
        <v>Aluguel container escritorio</v>
      </c>
      <c r="J155" s="26" t="str">
        <f>IF(A155="","",BASE_CAIXA!G152)</f>
        <v>Aluguel container escritorio</v>
      </c>
      <c r="K155" s="26">
        <f>IF(A155="","",BASE_CAIXA!I152)</f>
        <v>0</v>
      </c>
      <c r="L155" s="26">
        <f>IF(A155="","",BASE_CAIXA!J152)</f>
        <v>0</v>
      </c>
      <c r="M155" s="26" t="str">
        <f>IF(A155="","",BASE_CAIXA!AM152)</f>
        <v xml:space="preserve">Aluguel container escritorio | Aluguel container escritorio </v>
      </c>
      <c r="N155" s="26" t="str">
        <f t="shared" ca="1" si="6"/>
        <v>Previsto</v>
      </c>
      <c r="O155" s="13" t="str">
        <f>IFERROR(INDEX(EXTRATO_IMPORTADO!$A$5:$A$404,MATCH(B155,EXTRATO_IMPORTADO!$I$5:$I$404,0)),"")</f>
        <v/>
      </c>
      <c r="P155" s="14" t="str">
        <f>IFERROR(INDEX(EXTRATO_IMPORTADO!$F$5:$F$404,MATCH(B155,EXTRATO_IMPORTADO!$I$5:$I$404,0)),"")</f>
        <v/>
      </c>
      <c r="Q155" s="26" t="str">
        <f>IFERROR(INDEX(EXTRATO_IMPORTADO!$B$5:$B$404,MATCH(B155,EXTRATO_IMPORTADO!$I$5:$I$404,0)),"")</f>
        <v/>
      </c>
      <c r="R155" s="26" t="str">
        <f>IFERROR(MATCH(B155,EXTRATO_IMPORTADO!$I$5:$I$404,0),"")</f>
        <v/>
      </c>
      <c r="S155" s="14" t="str">
        <f t="shared" si="7"/>
        <v/>
      </c>
      <c r="T155" s="33" t="str">
        <f t="shared" si="8"/>
        <v/>
      </c>
    </row>
    <row r="156" spans="1:20" x14ac:dyDescent="0.3">
      <c r="A156" s="26">
        <f>IF(BASE_CAIXA!A153="","",BASE_CAIXA!A153)</f>
        <v>152</v>
      </c>
      <c r="B156" s="26" t="str">
        <f>IF(A156="","",BASE_CAIXA!AL153)</f>
        <v>000152-DB</v>
      </c>
      <c r="C156" s="13">
        <f>IF(A156="","",BASE_CAIXA!AJ153)</f>
        <v>46143</v>
      </c>
      <c r="D156" s="26" t="str">
        <f>IF(A156="","",IF(BASE_CAIXA!C153="Entrada","Crédito","Débito"))</f>
        <v>Débito</v>
      </c>
      <c r="E156" s="14">
        <f>IF(A156="","",BASE_CAIXA!AA153)</f>
        <v>3000</v>
      </c>
      <c r="F156" s="26">
        <f>IF(A156="","",BASE_CAIXA!N153)</f>
        <v>0</v>
      </c>
      <c r="G156" s="26">
        <f>IF(A156="","",BASE_CAIXA!O153)</f>
        <v>0</v>
      </c>
      <c r="H156" s="26">
        <f>IF(A156="","",BASE_CAIXA!P153)</f>
        <v>0</v>
      </c>
      <c r="I156" s="26" t="str">
        <f>IF(A156="","",IF(BASE_CAIXA!H153&lt;&gt;"",BASE_CAIXA!H153,BASE_CAIXA!G153))</f>
        <v>COMPRADOR</v>
      </c>
      <c r="J156" s="26" t="str">
        <f>IF(A156="","",BASE_CAIXA!G153)</f>
        <v>COMPRADOR</v>
      </c>
      <c r="K156" s="26">
        <f>IF(A156="","",BASE_CAIXA!I153)</f>
        <v>0</v>
      </c>
      <c r="L156" s="26">
        <f>IF(A156="","",BASE_CAIXA!J153)</f>
        <v>0</v>
      </c>
      <c r="M156" s="26" t="str">
        <f>IF(A156="","",BASE_CAIXA!AM153)</f>
        <v>COMPRADOR | COMPRADOR | Saída | GESTÃO LOCAL</v>
      </c>
      <c r="N156" s="26" t="str">
        <f t="shared" ca="1" si="6"/>
        <v>Previsto</v>
      </c>
      <c r="O156" s="13" t="str">
        <f>IFERROR(INDEX(EXTRATO_IMPORTADO!$A$5:$A$404,MATCH(B156,EXTRATO_IMPORTADO!$I$5:$I$404,0)),"")</f>
        <v/>
      </c>
      <c r="P156" s="14" t="str">
        <f>IFERROR(INDEX(EXTRATO_IMPORTADO!$F$5:$F$404,MATCH(B156,EXTRATO_IMPORTADO!$I$5:$I$404,0)),"")</f>
        <v/>
      </c>
      <c r="Q156" s="26" t="str">
        <f>IFERROR(INDEX(EXTRATO_IMPORTADO!$B$5:$B$404,MATCH(B156,EXTRATO_IMPORTADO!$I$5:$I$404,0)),"")</f>
        <v/>
      </c>
      <c r="R156" s="26" t="str">
        <f>IFERROR(MATCH(B156,EXTRATO_IMPORTADO!$I$5:$I$404,0),"")</f>
        <v/>
      </c>
      <c r="S156" s="14" t="str">
        <f t="shared" si="7"/>
        <v/>
      </c>
      <c r="T156" s="33" t="str">
        <f t="shared" si="8"/>
        <v/>
      </c>
    </row>
    <row r="157" spans="1:20" x14ac:dyDescent="0.3">
      <c r="A157" s="26">
        <f>IF(BASE_CAIXA!A154="","",BASE_CAIXA!A154)</f>
        <v>153</v>
      </c>
      <c r="B157" s="26" t="str">
        <f>IF(A157="","",BASE_CAIXA!AL154)</f>
        <v>000153-DB</v>
      </c>
      <c r="C157" s="13">
        <f>IF(A157="","",BASE_CAIXA!AJ154)</f>
        <v>46143</v>
      </c>
      <c r="D157" s="26" t="str">
        <f>IF(A157="","",IF(BASE_CAIXA!C154="Entrada","Crédito","Débito"))</f>
        <v>Débito</v>
      </c>
      <c r="E157" s="14">
        <f>IF(A157="","",BASE_CAIXA!AA154)</f>
        <v>10000</v>
      </c>
      <c r="F157" s="26">
        <f>IF(A157="","",BASE_CAIXA!N154)</f>
        <v>0</v>
      </c>
      <c r="G157" s="26">
        <f>IF(A157="","",BASE_CAIXA!O154)</f>
        <v>0</v>
      </c>
      <c r="H157" s="26">
        <f>IF(A157="","",BASE_CAIXA!P154)</f>
        <v>0</v>
      </c>
      <c r="I157" s="26" t="str">
        <f>IF(A157="","",IF(BASE_CAIXA!H154&lt;&gt;"",BASE_CAIXA!H154,BASE_CAIXA!G154))</f>
        <v>ENGENHEIRO RESIDENTE - ( rateado em 3 canteiros) carro incluso</v>
      </c>
      <c r="J157" s="26" t="str">
        <f>IF(A157="","",BASE_CAIXA!G154)</f>
        <v>ENGENHEIRO RESIDENTE - ( rateado em 3 canteiros) carro incluso</v>
      </c>
      <c r="K157" s="26">
        <f>IF(A157="","",BASE_CAIXA!I154)</f>
        <v>0</v>
      </c>
      <c r="L157" s="26">
        <f>IF(A157="","",BASE_CAIXA!J154)</f>
        <v>0</v>
      </c>
      <c r="M157" s="26" t="str">
        <f>IF(A157="","",BASE_CAIXA!AM154)</f>
        <v>ENGENHEIRO RESIDENTE - ( rateado em 3 canteiros) carro inclu</v>
      </c>
      <c r="N157" s="26" t="str">
        <f t="shared" ca="1" si="6"/>
        <v>Previsto</v>
      </c>
      <c r="O157" s="13" t="str">
        <f>IFERROR(INDEX(EXTRATO_IMPORTADO!$A$5:$A$404,MATCH(B157,EXTRATO_IMPORTADO!$I$5:$I$404,0)),"")</f>
        <v/>
      </c>
      <c r="P157" s="14" t="str">
        <f>IFERROR(INDEX(EXTRATO_IMPORTADO!$F$5:$F$404,MATCH(B157,EXTRATO_IMPORTADO!$I$5:$I$404,0)),"")</f>
        <v/>
      </c>
      <c r="Q157" s="26" t="str">
        <f>IFERROR(INDEX(EXTRATO_IMPORTADO!$B$5:$B$404,MATCH(B157,EXTRATO_IMPORTADO!$I$5:$I$404,0)),"")</f>
        <v/>
      </c>
      <c r="R157" s="26" t="str">
        <f>IFERROR(MATCH(B157,EXTRATO_IMPORTADO!$I$5:$I$404,0),"")</f>
        <v/>
      </c>
      <c r="S157" s="14" t="str">
        <f t="shared" si="7"/>
        <v/>
      </c>
      <c r="T157" s="33" t="str">
        <f t="shared" si="8"/>
        <v/>
      </c>
    </row>
    <row r="158" spans="1:20" x14ac:dyDescent="0.3">
      <c r="A158" s="26">
        <f>IF(BASE_CAIXA!A155="","",BASE_CAIXA!A155)</f>
        <v>154</v>
      </c>
      <c r="B158" s="26" t="str">
        <f>IF(A158="","",BASE_CAIXA!AL155)</f>
        <v>000154-DB</v>
      </c>
      <c r="C158" s="13">
        <f>IF(A158="","",BASE_CAIXA!AJ155)</f>
        <v>46143</v>
      </c>
      <c r="D158" s="26" t="str">
        <f>IF(A158="","",IF(BASE_CAIXA!C155="Entrada","Crédito","Débito"))</f>
        <v>Débito</v>
      </c>
      <c r="E158" s="14">
        <f>IF(A158="","",BASE_CAIXA!AA155)</f>
        <v>3000</v>
      </c>
      <c r="F158" s="26">
        <f>IF(A158="","",BASE_CAIXA!N155)</f>
        <v>0</v>
      </c>
      <c r="G158" s="26">
        <f>IF(A158="","",BASE_CAIXA!O155)</f>
        <v>0</v>
      </c>
      <c r="H158" s="26">
        <f>IF(A158="","",BASE_CAIXA!P155)</f>
        <v>0</v>
      </c>
      <c r="I158" s="26" t="str">
        <f>IF(A158="","",IF(BASE_CAIXA!H155&lt;&gt;"",BASE_CAIXA!H155,BASE_CAIXA!G155))</f>
        <v>TECNICO SEGURANÇA TRABALHO - ( rateado em 3 canteiros) carro incluso</v>
      </c>
      <c r="J158" s="26" t="str">
        <f>IF(A158="","",BASE_CAIXA!G155)</f>
        <v>TECNICO SEGURANÇA TRABALHO - ( rateado em 3 canteiros) carro incluso</v>
      </c>
      <c r="K158" s="26">
        <f>IF(A158="","",BASE_CAIXA!I155)</f>
        <v>0</v>
      </c>
      <c r="L158" s="26">
        <f>IF(A158="","",BASE_CAIXA!J155)</f>
        <v>0</v>
      </c>
      <c r="M158" s="26" t="str">
        <f>IF(A158="","",BASE_CAIXA!AM155)</f>
        <v>TECNICO SEGURANÇA TRABALHO - ( rateado em 3 canteiros) carro</v>
      </c>
      <c r="N158" s="26" t="str">
        <f t="shared" ca="1" si="6"/>
        <v>Previsto</v>
      </c>
      <c r="O158" s="13" t="str">
        <f>IFERROR(INDEX(EXTRATO_IMPORTADO!$A$5:$A$404,MATCH(B158,EXTRATO_IMPORTADO!$I$5:$I$404,0)),"")</f>
        <v/>
      </c>
      <c r="P158" s="14" t="str">
        <f>IFERROR(INDEX(EXTRATO_IMPORTADO!$F$5:$F$404,MATCH(B158,EXTRATO_IMPORTADO!$I$5:$I$404,0)),"")</f>
        <v/>
      </c>
      <c r="Q158" s="26" t="str">
        <f>IFERROR(INDEX(EXTRATO_IMPORTADO!$B$5:$B$404,MATCH(B158,EXTRATO_IMPORTADO!$I$5:$I$404,0)),"")</f>
        <v/>
      </c>
      <c r="R158" s="26" t="str">
        <f>IFERROR(MATCH(B158,EXTRATO_IMPORTADO!$I$5:$I$404,0),"")</f>
        <v/>
      </c>
      <c r="S158" s="14" t="str">
        <f t="shared" si="7"/>
        <v/>
      </c>
      <c r="T158" s="33" t="str">
        <f t="shared" si="8"/>
        <v/>
      </c>
    </row>
    <row r="159" spans="1:20" x14ac:dyDescent="0.3">
      <c r="A159" s="26">
        <f>IF(BASE_CAIXA!A156="","",BASE_CAIXA!A156)</f>
        <v>155</v>
      </c>
      <c r="B159" s="26" t="str">
        <f>IF(A159="","",BASE_CAIXA!AL156)</f>
        <v>000155-DB</v>
      </c>
      <c r="C159" s="13">
        <f>IF(A159="","",BASE_CAIXA!AJ156)</f>
        <v>46143</v>
      </c>
      <c r="D159" s="26" t="str">
        <f>IF(A159="","",IF(BASE_CAIXA!C156="Entrada","Crédito","Débito"))</f>
        <v>Débito</v>
      </c>
      <c r="E159" s="14">
        <f>IF(A159="","",BASE_CAIXA!AA156)</f>
        <v>4864</v>
      </c>
      <c r="F159" s="26">
        <f>IF(A159="","",BASE_CAIXA!N156)</f>
        <v>0</v>
      </c>
      <c r="G159" s="26">
        <f>IF(A159="","",BASE_CAIXA!O156)</f>
        <v>0</v>
      </c>
      <c r="H159" s="26">
        <f>IF(A159="","",BASE_CAIXA!P156)</f>
        <v>0</v>
      </c>
      <c r="I159" s="26" t="str">
        <f>IF(A159="","",IF(BASE_CAIXA!H156&lt;&gt;"",BASE_CAIXA!H156,BASE_CAIXA!G156))</f>
        <v>Aditivo supercristalizante Penetron</v>
      </c>
      <c r="J159" s="26" t="str">
        <f>IF(A159="","",BASE_CAIXA!G156)</f>
        <v>Aditivo supercristalizante Penetron</v>
      </c>
      <c r="K159" s="26">
        <f>IF(A159="","",BASE_CAIXA!I156)</f>
        <v>0</v>
      </c>
      <c r="L159" s="26">
        <f>IF(A159="","",BASE_CAIXA!J156)</f>
        <v>0</v>
      </c>
      <c r="M159" s="26" t="str">
        <f>IF(A159="","",BASE_CAIXA!AM156)</f>
        <v>Aditivo supercristalizante Penetron | Aditivo supercristaliz</v>
      </c>
      <c r="N159" s="26" t="str">
        <f t="shared" ca="1" si="6"/>
        <v>Previsto</v>
      </c>
      <c r="O159" s="13" t="str">
        <f>IFERROR(INDEX(EXTRATO_IMPORTADO!$A$5:$A$404,MATCH(B159,EXTRATO_IMPORTADO!$I$5:$I$404,0)),"")</f>
        <v/>
      </c>
      <c r="P159" s="14" t="str">
        <f>IFERROR(INDEX(EXTRATO_IMPORTADO!$F$5:$F$404,MATCH(B159,EXTRATO_IMPORTADO!$I$5:$I$404,0)),"")</f>
        <v/>
      </c>
      <c r="Q159" s="26" t="str">
        <f>IFERROR(INDEX(EXTRATO_IMPORTADO!$B$5:$B$404,MATCH(B159,EXTRATO_IMPORTADO!$I$5:$I$404,0)),"")</f>
        <v/>
      </c>
      <c r="R159" s="26" t="str">
        <f>IFERROR(MATCH(B159,EXTRATO_IMPORTADO!$I$5:$I$404,0),"")</f>
        <v/>
      </c>
      <c r="S159" s="14" t="str">
        <f t="shared" si="7"/>
        <v/>
      </c>
      <c r="T159" s="33" t="str">
        <f t="shared" si="8"/>
        <v/>
      </c>
    </row>
    <row r="160" spans="1:20" x14ac:dyDescent="0.3">
      <c r="A160" s="26">
        <f>IF(BASE_CAIXA!A157="","",BASE_CAIXA!A157)</f>
        <v>156</v>
      </c>
      <c r="B160" s="26" t="str">
        <f>IF(A160="","",BASE_CAIXA!AL157)</f>
        <v>000156-DB</v>
      </c>
      <c r="C160" s="13">
        <f>IF(A160="","",BASE_CAIXA!AJ157)</f>
        <v>46143</v>
      </c>
      <c r="D160" s="26" t="str">
        <f>IF(A160="","",IF(BASE_CAIXA!C157="Entrada","Crédito","Débito"))</f>
        <v>Débito</v>
      </c>
      <c r="E160" s="14">
        <f>IF(A160="","",BASE_CAIXA!AA157)</f>
        <v>5538.1333333333332</v>
      </c>
      <c r="F160" s="26">
        <f>IF(A160="","",BASE_CAIXA!N157)</f>
        <v>0</v>
      </c>
      <c r="G160" s="26">
        <f>IF(A160="","",BASE_CAIXA!O157)</f>
        <v>0</v>
      </c>
      <c r="H160" s="26">
        <f>IF(A160="","",BASE_CAIXA!P157)</f>
        <v>0</v>
      </c>
      <c r="I160" s="26" t="str">
        <f>IF(A160="","",IF(BASE_CAIXA!H157&lt;&gt;"",BASE_CAIXA!H157,BASE_CAIXA!G157))</f>
        <v>Formas de tábua aparelhada de 20x2,5x540cm para fechamento de pilares</v>
      </c>
      <c r="J160" s="26" t="str">
        <f>IF(A160="","",BASE_CAIXA!G157)</f>
        <v>Formas de tábua aparelhada de 20x2,5x540cm para fechamento de pilares</v>
      </c>
      <c r="K160" s="26">
        <f>IF(A160="","",BASE_CAIXA!I157)</f>
        <v>0</v>
      </c>
      <c r="L160" s="26">
        <f>IF(A160="","",BASE_CAIXA!J157)</f>
        <v>0</v>
      </c>
      <c r="M160" s="26" t="str">
        <f>IF(A160="","",BASE_CAIXA!AM157)</f>
        <v>Formas de tábua aparelhada de 20x2,5x540cm para fechamento d</v>
      </c>
      <c r="N160" s="26" t="str">
        <f t="shared" ca="1" si="6"/>
        <v>Previsto</v>
      </c>
      <c r="O160" s="13" t="str">
        <f>IFERROR(INDEX(EXTRATO_IMPORTADO!$A$5:$A$404,MATCH(B160,EXTRATO_IMPORTADO!$I$5:$I$404,0)),"")</f>
        <v/>
      </c>
      <c r="P160" s="14" t="str">
        <f>IFERROR(INDEX(EXTRATO_IMPORTADO!$F$5:$F$404,MATCH(B160,EXTRATO_IMPORTADO!$I$5:$I$404,0)),"")</f>
        <v/>
      </c>
      <c r="Q160" s="26" t="str">
        <f>IFERROR(INDEX(EXTRATO_IMPORTADO!$B$5:$B$404,MATCH(B160,EXTRATO_IMPORTADO!$I$5:$I$404,0)),"")</f>
        <v/>
      </c>
      <c r="R160" s="26" t="str">
        <f>IFERROR(MATCH(B160,EXTRATO_IMPORTADO!$I$5:$I$404,0),"")</f>
        <v/>
      </c>
      <c r="S160" s="14" t="str">
        <f t="shared" si="7"/>
        <v/>
      </c>
      <c r="T160" s="33" t="str">
        <f t="shared" si="8"/>
        <v/>
      </c>
    </row>
    <row r="161" spans="1:20" x14ac:dyDescent="0.3">
      <c r="A161" s="26">
        <f>IF(BASE_CAIXA!A158="","",BASE_CAIXA!A158)</f>
        <v>157</v>
      </c>
      <c r="B161" s="26" t="str">
        <f>IF(A161="","",BASE_CAIXA!AL158)</f>
        <v>000157-DB</v>
      </c>
      <c r="C161" s="13">
        <f>IF(A161="","",BASE_CAIXA!AJ158)</f>
        <v>46143</v>
      </c>
      <c r="D161" s="26" t="str">
        <f>IF(A161="","",IF(BASE_CAIXA!C158="Entrada","Crédito","Débito"))</f>
        <v>Débito</v>
      </c>
      <c r="E161" s="14">
        <f>IF(A161="","",BASE_CAIXA!AA158)</f>
        <v>630</v>
      </c>
      <c r="F161" s="26">
        <f>IF(A161="","",BASE_CAIXA!N158)</f>
        <v>0</v>
      </c>
      <c r="G161" s="26">
        <f>IF(A161="","",BASE_CAIXA!O158)</f>
        <v>0</v>
      </c>
      <c r="H161" s="26">
        <f>IF(A161="","",BASE_CAIXA!P158)</f>
        <v>0</v>
      </c>
      <c r="I161" s="26" t="str">
        <f>IF(A161="","",IF(BASE_CAIXA!H158&lt;&gt;"",BASE_CAIXA!H158,BASE_CAIXA!G158))</f>
        <v>Locação betoneira para bater o graute</v>
      </c>
      <c r="J161" s="26" t="str">
        <f>IF(A161="","",BASE_CAIXA!G158)</f>
        <v>Locação betoneira para bater o graute</v>
      </c>
      <c r="K161" s="26">
        <f>IF(A161="","",BASE_CAIXA!I158)</f>
        <v>0</v>
      </c>
      <c r="L161" s="26">
        <f>IF(A161="","",BASE_CAIXA!J158)</f>
        <v>0</v>
      </c>
      <c r="M161" s="26" t="str">
        <f>IF(A161="","",BASE_CAIXA!AM158)</f>
        <v>Locação betoneira para bater o graute | Locação betoneira pa</v>
      </c>
      <c r="N161" s="26" t="str">
        <f t="shared" ca="1" si="6"/>
        <v>Previsto</v>
      </c>
      <c r="O161" s="13" t="str">
        <f>IFERROR(INDEX(EXTRATO_IMPORTADO!$A$5:$A$404,MATCH(B161,EXTRATO_IMPORTADO!$I$5:$I$404,0)),"")</f>
        <v/>
      </c>
      <c r="P161" s="14" t="str">
        <f>IFERROR(INDEX(EXTRATO_IMPORTADO!$F$5:$F$404,MATCH(B161,EXTRATO_IMPORTADO!$I$5:$I$404,0)),"")</f>
        <v/>
      </c>
      <c r="Q161" s="26" t="str">
        <f>IFERROR(INDEX(EXTRATO_IMPORTADO!$B$5:$B$404,MATCH(B161,EXTRATO_IMPORTADO!$I$5:$I$404,0)),"")</f>
        <v/>
      </c>
      <c r="R161" s="26" t="str">
        <f>IFERROR(MATCH(B161,EXTRATO_IMPORTADO!$I$5:$I$404,0),"")</f>
        <v/>
      </c>
      <c r="S161" s="14" t="str">
        <f t="shared" si="7"/>
        <v/>
      </c>
      <c r="T161" s="33" t="str">
        <f t="shared" si="8"/>
        <v/>
      </c>
    </row>
    <row r="162" spans="1:20" x14ac:dyDescent="0.3">
      <c r="A162" s="26">
        <f>IF(BASE_CAIXA!A159="","",BASE_CAIXA!A159)</f>
        <v>158</v>
      </c>
      <c r="B162" s="26" t="str">
        <f>IF(A162="","",BASE_CAIXA!AL159)</f>
        <v>000158-DB</v>
      </c>
      <c r="C162" s="13">
        <f>IF(A162="","",BASE_CAIXA!AJ159)</f>
        <v>46143</v>
      </c>
      <c r="D162" s="26" t="str">
        <f>IF(A162="","",IF(BASE_CAIXA!C159="Entrada","Crédito","Débito"))</f>
        <v>Débito</v>
      </c>
      <c r="E162" s="14">
        <f>IF(A162="","",BASE_CAIXA!AA159)</f>
        <v>5376</v>
      </c>
      <c r="F162" s="26">
        <f>IF(A162="","",BASE_CAIXA!N159)</f>
        <v>0</v>
      </c>
      <c r="G162" s="26">
        <f>IF(A162="","",BASE_CAIXA!O159)</f>
        <v>0</v>
      </c>
      <c r="H162" s="26">
        <f>IF(A162="","",BASE_CAIXA!P159)</f>
        <v>0</v>
      </c>
      <c r="I162" s="26" t="str">
        <f>IF(A162="","",IF(BASE_CAIXA!H159&lt;&gt;"",BASE_CAIXA!H159,BASE_CAIXA!G159))</f>
        <v>graute:  areia grossa</v>
      </c>
      <c r="J162" s="26" t="str">
        <f>IF(A162="","",BASE_CAIXA!G159)</f>
        <v>graute:  areia grossa</v>
      </c>
      <c r="K162" s="26">
        <f>IF(A162="","",BASE_CAIXA!I159)</f>
        <v>0</v>
      </c>
      <c r="L162" s="26">
        <f>IF(A162="","",BASE_CAIXA!J159)</f>
        <v>0</v>
      </c>
      <c r="M162" s="26" t="str">
        <f>IF(A162="","",BASE_CAIXA!AM159)</f>
        <v>graute:  areia grossa | graute:  areia grossa | Saída | GRAU</v>
      </c>
      <c r="N162" s="26" t="str">
        <f t="shared" ca="1" si="6"/>
        <v>Previsto</v>
      </c>
      <c r="O162" s="13" t="str">
        <f>IFERROR(INDEX(EXTRATO_IMPORTADO!$A$5:$A$404,MATCH(B162,EXTRATO_IMPORTADO!$I$5:$I$404,0)),"")</f>
        <v/>
      </c>
      <c r="P162" s="14" t="str">
        <f>IFERROR(INDEX(EXTRATO_IMPORTADO!$F$5:$F$404,MATCH(B162,EXTRATO_IMPORTADO!$I$5:$I$404,0)),"")</f>
        <v/>
      </c>
      <c r="Q162" s="26" t="str">
        <f>IFERROR(INDEX(EXTRATO_IMPORTADO!$B$5:$B$404,MATCH(B162,EXTRATO_IMPORTADO!$I$5:$I$404,0)),"")</f>
        <v/>
      </c>
      <c r="R162" s="26" t="str">
        <f>IFERROR(MATCH(B162,EXTRATO_IMPORTADO!$I$5:$I$404,0),"")</f>
        <v/>
      </c>
      <c r="S162" s="14" t="str">
        <f t="shared" si="7"/>
        <v/>
      </c>
      <c r="T162" s="33" t="str">
        <f t="shared" si="8"/>
        <v/>
      </c>
    </row>
    <row r="163" spans="1:20" x14ac:dyDescent="0.3">
      <c r="A163" s="26">
        <f>IF(BASE_CAIXA!A160="","",BASE_CAIXA!A160)</f>
        <v>159</v>
      </c>
      <c r="B163" s="26" t="str">
        <f>IF(A163="","",BASE_CAIXA!AL160)</f>
        <v>000159-DB</v>
      </c>
      <c r="C163" s="13">
        <f>IF(A163="","",BASE_CAIXA!AJ160)</f>
        <v>46143</v>
      </c>
      <c r="D163" s="26" t="str">
        <f>IF(A163="","",IF(BASE_CAIXA!C160="Entrada","Crédito","Débito"))</f>
        <v>Débito</v>
      </c>
      <c r="E163" s="14">
        <f>IF(A163="","",BASE_CAIXA!AA160)</f>
        <v>14112</v>
      </c>
      <c r="F163" s="26">
        <f>IF(A163="","",BASE_CAIXA!N160)</f>
        <v>0</v>
      </c>
      <c r="G163" s="26">
        <f>IF(A163="","",BASE_CAIXA!O160)</f>
        <v>0</v>
      </c>
      <c r="H163" s="26">
        <f>IF(A163="","",BASE_CAIXA!P160)</f>
        <v>0</v>
      </c>
      <c r="I163" s="26" t="str">
        <f>IF(A163="","",IF(BASE_CAIXA!H160&lt;&gt;"",BASE_CAIXA!H160,BASE_CAIXA!G160))</f>
        <v>graute:  cimento PortlanD CP IV 32</v>
      </c>
      <c r="J163" s="26" t="str">
        <f>IF(A163="","",BASE_CAIXA!G160)</f>
        <v>graute:  cimento PortlanD CP IV 32</v>
      </c>
      <c r="K163" s="26">
        <f>IF(A163="","",BASE_CAIXA!I160)</f>
        <v>0</v>
      </c>
      <c r="L163" s="26">
        <f>IF(A163="","",BASE_CAIXA!J160)</f>
        <v>0</v>
      </c>
      <c r="M163" s="26" t="str">
        <f>IF(A163="","",BASE_CAIXA!AM160)</f>
        <v>graute:  cimento PortlanD CP IV 32 | graute:  cimento Portla</v>
      </c>
      <c r="N163" s="26" t="str">
        <f t="shared" ca="1" si="6"/>
        <v>Previsto</v>
      </c>
      <c r="O163" s="13" t="str">
        <f>IFERROR(INDEX(EXTRATO_IMPORTADO!$A$5:$A$404,MATCH(B163,EXTRATO_IMPORTADO!$I$5:$I$404,0)),"")</f>
        <v/>
      </c>
      <c r="P163" s="14" t="str">
        <f>IFERROR(INDEX(EXTRATO_IMPORTADO!$F$5:$F$404,MATCH(B163,EXTRATO_IMPORTADO!$I$5:$I$404,0)),"")</f>
        <v/>
      </c>
      <c r="Q163" s="26" t="str">
        <f>IFERROR(INDEX(EXTRATO_IMPORTADO!$B$5:$B$404,MATCH(B163,EXTRATO_IMPORTADO!$I$5:$I$404,0)),"")</f>
        <v/>
      </c>
      <c r="R163" s="26" t="str">
        <f>IFERROR(MATCH(B163,EXTRATO_IMPORTADO!$I$5:$I$404,0),"")</f>
        <v/>
      </c>
      <c r="S163" s="14" t="str">
        <f t="shared" si="7"/>
        <v/>
      </c>
      <c r="T163" s="33" t="str">
        <f t="shared" si="8"/>
        <v/>
      </c>
    </row>
    <row r="164" spans="1:20" x14ac:dyDescent="0.3">
      <c r="A164" s="26">
        <f>IF(BASE_CAIXA!A161="","",BASE_CAIXA!A161)</f>
        <v>160</v>
      </c>
      <c r="B164" s="26" t="str">
        <f>IF(A164="","",BASE_CAIXA!AL161)</f>
        <v>000160-DB</v>
      </c>
      <c r="C164" s="13">
        <f>IF(A164="","",BASE_CAIXA!AJ161)</f>
        <v>46143</v>
      </c>
      <c r="D164" s="26" t="str">
        <f>IF(A164="","",IF(BASE_CAIXA!C161="Entrada","Crédito","Débito"))</f>
        <v>Débito</v>
      </c>
      <c r="E164" s="14">
        <f>IF(A164="","",BASE_CAIXA!AA161)</f>
        <v>4992</v>
      </c>
      <c r="F164" s="26">
        <f>IF(A164="","",BASE_CAIXA!N161)</f>
        <v>0</v>
      </c>
      <c r="G164" s="26">
        <f>IF(A164="","",BASE_CAIXA!O161)</f>
        <v>0</v>
      </c>
      <c r="H164" s="26">
        <f>IF(A164="","",BASE_CAIXA!P161)</f>
        <v>0</v>
      </c>
      <c r="I164" s="26" t="str">
        <f>IF(A164="","",IF(BASE_CAIXA!H161&lt;&gt;"",BASE_CAIXA!H161,BASE_CAIXA!G161))</f>
        <v>graute:  pedrisco (brita zero)</v>
      </c>
      <c r="J164" s="26" t="str">
        <f>IF(A164="","",BASE_CAIXA!G161)</f>
        <v>graute:  pedrisco (brita zero)</v>
      </c>
      <c r="K164" s="26">
        <f>IF(A164="","",BASE_CAIXA!I161)</f>
        <v>0</v>
      </c>
      <c r="L164" s="26">
        <f>IF(A164="","",BASE_CAIXA!J161)</f>
        <v>0</v>
      </c>
      <c r="M164" s="26" t="str">
        <f>IF(A164="","",BASE_CAIXA!AM161)</f>
        <v>graute:  pedrisco (brita zero) | graute:  pedrisco (brita ze</v>
      </c>
      <c r="N164" s="26" t="str">
        <f t="shared" ca="1" si="6"/>
        <v>Previsto</v>
      </c>
      <c r="O164" s="13" t="str">
        <f>IFERROR(INDEX(EXTRATO_IMPORTADO!$A$5:$A$404,MATCH(B164,EXTRATO_IMPORTADO!$I$5:$I$404,0)),"")</f>
        <v/>
      </c>
      <c r="P164" s="14" t="str">
        <f>IFERROR(INDEX(EXTRATO_IMPORTADO!$F$5:$F$404,MATCH(B164,EXTRATO_IMPORTADO!$I$5:$I$404,0)),"")</f>
        <v/>
      </c>
      <c r="Q164" s="26" t="str">
        <f>IFERROR(INDEX(EXTRATO_IMPORTADO!$B$5:$B$404,MATCH(B164,EXTRATO_IMPORTADO!$I$5:$I$404,0)),"")</f>
        <v/>
      </c>
      <c r="R164" s="26" t="str">
        <f>IFERROR(MATCH(B164,EXTRATO_IMPORTADO!$I$5:$I$404,0),"")</f>
        <v/>
      </c>
      <c r="S164" s="14" t="str">
        <f t="shared" si="7"/>
        <v/>
      </c>
      <c r="T164" s="33" t="str">
        <f t="shared" si="8"/>
        <v/>
      </c>
    </row>
    <row r="165" spans="1:20" x14ac:dyDescent="0.3">
      <c r="A165" s="26">
        <f>IF(BASE_CAIXA!A162="","",BASE_CAIXA!A162)</f>
        <v>161</v>
      </c>
      <c r="B165" s="26" t="str">
        <f>IF(A165="","",BASE_CAIXA!AL162)</f>
        <v>000161-DB</v>
      </c>
      <c r="C165" s="13">
        <f>IF(A165="","",BASE_CAIXA!AJ162)</f>
        <v>46143</v>
      </c>
      <c r="D165" s="26" t="str">
        <f>IF(A165="","",IF(BASE_CAIXA!C162="Entrada","Crédito","Débito"))</f>
        <v>Débito</v>
      </c>
      <c r="E165" s="14">
        <f>IF(A165="","",BASE_CAIXA!AA162)</f>
        <v>2521.3440000000001</v>
      </c>
      <c r="F165" s="26">
        <f>IF(A165="","",BASE_CAIXA!N162)</f>
        <v>0</v>
      </c>
      <c r="G165" s="26">
        <f>IF(A165="","",BASE_CAIXA!O162)</f>
        <v>0</v>
      </c>
      <c r="H165" s="26">
        <f>IF(A165="","",BASE_CAIXA!P162)</f>
        <v>0</v>
      </c>
      <c r="I165" s="26" t="str">
        <f>IF(A165="","",IF(BASE_CAIXA!H162&lt;&gt;"",BASE_CAIXA!H162,BASE_CAIXA!G162))</f>
        <v>Mao de obra Impermeabilização de áreas úmidas</v>
      </c>
      <c r="J165" s="26" t="str">
        <f>IF(A165="","",BASE_CAIXA!G162)</f>
        <v>Mao de obra Impermeabilização de áreas úmidas</v>
      </c>
      <c r="K165" s="26">
        <f>IF(A165="","",BASE_CAIXA!I162)</f>
        <v>0</v>
      </c>
      <c r="L165" s="26">
        <f>IF(A165="","",BASE_CAIXA!J162)</f>
        <v>0</v>
      </c>
      <c r="M165" s="26" t="str">
        <f>IF(A165="","",BASE_CAIXA!AM162)</f>
        <v xml:space="preserve">Mao de obra Impermeabilização de áreas úmidas | Mao de obra </v>
      </c>
      <c r="N165" s="26" t="str">
        <f t="shared" ca="1" si="6"/>
        <v>Previsto</v>
      </c>
      <c r="O165" s="13" t="str">
        <f>IFERROR(INDEX(EXTRATO_IMPORTADO!$A$5:$A$404,MATCH(B165,EXTRATO_IMPORTADO!$I$5:$I$404,0)),"")</f>
        <v/>
      </c>
      <c r="P165" s="14" t="str">
        <f>IFERROR(INDEX(EXTRATO_IMPORTADO!$F$5:$F$404,MATCH(B165,EXTRATO_IMPORTADO!$I$5:$I$404,0)),"")</f>
        <v/>
      </c>
      <c r="Q165" s="26" t="str">
        <f>IFERROR(INDEX(EXTRATO_IMPORTADO!$B$5:$B$404,MATCH(B165,EXTRATO_IMPORTADO!$I$5:$I$404,0)),"")</f>
        <v/>
      </c>
      <c r="R165" s="26" t="str">
        <f>IFERROR(MATCH(B165,EXTRATO_IMPORTADO!$I$5:$I$404,0),"")</f>
        <v/>
      </c>
      <c r="S165" s="14" t="str">
        <f t="shared" si="7"/>
        <v/>
      </c>
      <c r="T165" s="33" t="str">
        <f t="shared" si="8"/>
        <v/>
      </c>
    </row>
    <row r="166" spans="1:20" x14ac:dyDescent="0.3">
      <c r="A166" s="26">
        <f>IF(BASE_CAIXA!A163="","",BASE_CAIXA!A163)</f>
        <v>162</v>
      </c>
      <c r="B166" s="26" t="str">
        <f>IF(A166="","",BASE_CAIXA!AL163)</f>
        <v>000162-DB</v>
      </c>
      <c r="C166" s="13">
        <f>IF(A166="","",BASE_CAIXA!AJ163)</f>
        <v>46143</v>
      </c>
      <c r="D166" s="26" t="str">
        <f>IF(A166="","",IF(BASE_CAIXA!C163="Entrada","Crédito","Débito"))</f>
        <v>Débito</v>
      </c>
      <c r="E166" s="14">
        <f>IF(A166="","",BASE_CAIXA!AA163)</f>
        <v>1440</v>
      </c>
      <c r="F166" s="26">
        <f>IF(A166="","",BASE_CAIXA!N163)</f>
        <v>0</v>
      </c>
      <c r="G166" s="26">
        <f>IF(A166="","",BASE_CAIXA!O163)</f>
        <v>0</v>
      </c>
      <c r="H166" s="26">
        <f>IF(A166="","",BASE_CAIXA!P163)</f>
        <v>0</v>
      </c>
      <c r="I166" s="26" t="str">
        <f>IF(A166="","",IF(BASE_CAIXA!H163&lt;&gt;"",BASE_CAIXA!H163,BASE_CAIXA!G163))</f>
        <v>Membrana líquida de poliuretano bicomponente 15Kg flexivel</v>
      </c>
      <c r="J166" s="26" t="str">
        <f>IF(A166="","",BASE_CAIXA!G163)</f>
        <v>Membrana líquida de poliuretano bicomponente 15Kg flexivel</v>
      </c>
      <c r="K166" s="26">
        <f>IF(A166="","",BASE_CAIXA!I163)</f>
        <v>0</v>
      </c>
      <c r="L166" s="26">
        <f>IF(A166="","",BASE_CAIXA!J163)</f>
        <v>0</v>
      </c>
      <c r="M166" s="26" t="str">
        <f>IF(A166="","",BASE_CAIXA!AM163)</f>
        <v>Membrana líquida de poliuretano bicomponente 15Kg flexivel |</v>
      </c>
      <c r="N166" s="26" t="str">
        <f t="shared" ca="1" si="6"/>
        <v>Previsto</v>
      </c>
      <c r="O166" s="13" t="str">
        <f>IFERROR(INDEX(EXTRATO_IMPORTADO!$A$5:$A$404,MATCH(B166,EXTRATO_IMPORTADO!$I$5:$I$404,0)),"")</f>
        <v/>
      </c>
      <c r="P166" s="14" t="str">
        <f>IFERROR(INDEX(EXTRATO_IMPORTADO!$F$5:$F$404,MATCH(B166,EXTRATO_IMPORTADO!$I$5:$I$404,0)),"")</f>
        <v/>
      </c>
      <c r="Q166" s="26" t="str">
        <f>IFERROR(INDEX(EXTRATO_IMPORTADO!$B$5:$B$404,MATCH(B166,EXTRATO_IMPORTADO!$I$5:$I$404,0)),"")</f>
        <v/>
      </c>
      <c r="R166" s="26" t="str">
        <f>IFERROR(MATCH(B166,EXTRATO_IMPORTADO!$I$5:$I$404,0),"")</f>
        <v/>
      </c>
      <c r="S166" s="14" t="str">
        <f t="shared" si="7"/>
        <v/>
      </c>
      <c r="T166" s="33" t="str">
        <f t="shared" si="8"/>
        <v/>
      </c>
    </row>
    <row r="167" spans="1:20" x14ac:dyDescent="0.3">
      <c r="A167" s="26">
        <f>IF(BASE_CAIXA!A164="","",BASE_CAIXA!A164)</f>
        <v>163</v>
      </c>
      <c r="B167" s="26" t="str">
        <f>IF(A167="","",BASE_CAIXA!AL164)</f>
        <v>000163-DB</v>
      </c>
      <c r="C167" s="13">
        <f>IF(A167="","",BASE_CAIXA!AJ164)</f>
        <v>46143</v>
      </c>
      <c r="D167" s="26" t="str">
        <f>IF(A167="","",IF(BASE_CAIXA!C164="Entrada","Crédito","Débito"))</f>
        <v>Débito</v>
      </c>
      <c r="E167" s="14">
        <f>IF(A167="","",BASE_CAIXA!AA164)</f>
        <v>2880</v>
      </c>
      <c r="F167" s="26">
        <f>IF(A167="","",BASE_CAIXA!N164)</f>
        <v>0</v>
      </c>
      <c r="G167" s="26">
        <f>IF(A167="","",BASE_CAIXA!O164)</f>
        <v>0</v>
      </c>
      <c r="H167" s="26">
        <f>IF(A167="","",BASE_CAIXA!P164)</f>
        <v>0</v>
      </c>
      <c r="I167" s="26" t="str">
        <f>IF(A167="","",IF(BASE_CAIXA!H164&lt;&gt;"",BASE_CAIXA!H164,BASE_CAIXA!G164))</f>
        <v>Membrana líquida de poliuretano bicomponente 15Kg semi flexivel</v>
      </c>
      <c r="J167" s="26" t="str">
        <f>IF(A167="","",BASE_CAIXA!G164)</f>
        <v>Membrana líquida de poliuretano bicomponente 15Kg semi flexivel</v>
      </c>
      <c r="K167" s="26">
        <f>IF(A167="","",BASE_CAIXA!I164)</f>
        <v>0</v>
      </c>
      <c r="L167" s="26">
        <f>IF(A167="","",BASE_CAIXA!J164)</f>
        <v>0</v>
      </c>
      <c r="M167" s="26" t="str">
        <f>IF(A167="","",BASE_CAIXA!AM164)</f>
        <v>Membrana líquida de poliuretano bicomponente 15Kg semi flexi</v>
      </c>
      <c r="N167" s="26" t="str">
        <f t="shared" ca="1" si="6"/>
        <v>Previsto</v>
      </c>
      <c r="O167" s="13" t="str">
        <f>IFERROR(INDEX(EXTRATO_IMPORTADO!$A$5:$A$404,MATCH(B167,EXTRATO_IMPORTADO!$I$5:$I$404,0)),"")</f>
        <v/>
      </c>
      <c r="P167" s="14" t="str">
        <f>IFERROR(INDEX(EXTRATO_IMPORTADO!$F$5:$F$404,MATCH(B167,EXTRATO_IMPORTADO!$I$5:$I$404,0)),"")</f>
        <v/>
      </c>
      <c r="Q167" s="26" t="str">
        <f>IFERROR(INDEX(EXTRATO_IMPORTADO!$B$5:$B$404,MATCH(B167,EXTRATO_IMPORTADO!$I$5:$I$404,0)),"")</f>
        <v/>
      </c>
      <c r="R167" s="26" t="str">
        <f>IFERROR(MATCH(B167,EXTRATO_IMPORTADO!$I$5:$I$404,0),"")</f>
        <v/>
      </c>
      <c r="S167" s="14" t="str">
        <f t="shared" si="7"/>
        <v/>
      </c>
      <c r="T167" s="33" t="str">
        <f t="shared" si="8"/>
        <v/>
      </c>
    </row>
    <row r="168" spans="1:20" x14ac:dyDescent="0.3">
      <c r="A168" s="26">
        <f>IF(BASE_CAIXA!A165="","",BASE_CAIXA!A165)</f>
        <v>164</v>
      </c>
      <c r="B168" s="26" t="str">
        <f>IF(A168="","",BASE_CAIXA!AL165)</f>
        <v>000164-DB</v>
      </c>
      <c r="C168" s="13">
        <f>IF(A168="","",BASE_CAIXA!AJ165)</f>
        <v>46143</v>
      </c>
      <c r="D168" s="26" t="str">
        <f>IF(A168="","",IF(BASE_CAIXA!C165="Entrada","Crédito","Débito"))</f>
        <v>Débito</v>
      </c>
      <c r="E168" s="14">
        <f>IF(A168="","",BASE_CAIXA!AA165)</f>
        <v>1127.5840000000001</v>
      </c>
      <c r="F168" s="26">
        <f>IF(A168="","",BASE_CAIXA!N165)</f>
        <v>0</v>
      </c>
      <c r="G168" s="26">
        <f>IF(A168="","",BASE_CAIXA!O165)</f>
        <v>0</v>
      </c>
      <c r="H168" s="26">
        <f>IF(A168="","",BASE_CAIXA!P165)</f>
        <v>0</v>
      </c>
      <c r="I168" s="26" t="str">
        <f>IF(A168="","",IF(BASE_CAIXA!H165&lt;&gt;"",BASE_CAIXA!H165,BASE_CAIXA!G165))</f>
        <v>Tela de Poliester</v>
      </c>
      <c r="J168" s="26" t="str">
        <f>IF(A168="","",BASE_CAIXA!G165)</f>
        <v>Tela de Poliester</v>
      </c>
      <c r="K168" s="26">
        <f>IF(A168="","",BASE_CAIXA!I165)</f>
        <v>0</v>
      </c>
      <c r="L168" s="26">
        <f>IF(A168="","",BASE_CAIXA!J165)</f>
        <v>0</v>
      </c>
      <c r="M168" s="26" t="str">
        <f>IF(A168="","",BASE_CAIXA!AM165)</f>
        <v>Tela de Poliester | Tela de Poliester | Saída | IMPERMEABILI</v>
      </c>
      <c r="N168" s="26" t="str">
        <f t="shared" ca="1" si="6"/>
        <v>Previsto</v>
      </c>
      <c r="O168" s="13" t="str">
        <f>IFERROR(INDEX(EXTRATO_IMPORTADO!$A$5:$A$404,MATCH(B168,EXTRATO_IMPORTADO!$I$5:$I$404,0)),"")</f>
        <v/>
      </c>
      <c r="P168" s="14" t="str">
        <f>IFERROR(INDEX(EXTRATO_IMPORTADO!$F$5:$F$404,MATCH(B168,EXTRATO_IMPORTADO!$I$5:$I$404,0)),"")</f>
        <v/>
      </c>
      <c r="Q168" s="26" t="str">
        <f>IFERROR(INDEX(EXTRATO_IMPORTADO!$B$5:$B$404,MATCH(B168,EXTRATO_IMPORTADO!$I$5:$I$404,0)),"")</f>
        <v/>
      </c>
      <c r="R168" s="26" t="str">
        <f>IFERROR(MATCH(B168,EXTRATO_IMPORTADO!$I$5:$I$404,0),"")</f>
        <v/>
      </c>
      <c r="S168" s="14" t="str">
        <f t="shared" si="7"/>
        <v/>
      </c>
      <c r="T168" s="33" t="str">
        <f t="shared" si="8"/>
        <v/>
      </c>
    </row>
    <row r="169" spans="1:20" x14ac:dyDescent="0.3">
      <c r="A169" s="26">
        <f>IF(BASE_CAIXA!A166="","",BASE_CAIXA!A166)</f>
        <v>165</v>
      </c>
      <c r="B169" s="26" t="str">
        <f>IF(A169="","",BASE_CAIXA!AL166)</f>
        <v>000165-DB</v>
      </c>
      <c r="C169" s="13">
        <f>IF(A169="","",BASE_CAIXA!AJ166)</f>
        <v>46143</v>
      </c>
      <c r="D169" s="26" t="str">
        <f>IF(A169="","",IF(BASE_CAIXA!C166="Entrada","Crédito","Débito"))</f>
        <v>Débito</v>
      </c>
      <c r="E169" s="14">
        <f>IF(A169="","",BASE_CAIXA!AA166)</f>
        <v>53760</v>
      </c>
      <c r="F169" s="26">
        <f>IF(A169="","",BASE_CAIXA!N166)</f>
        <v>0</v>
      </c>
      <c r="G169" s="26">
        <f>IF(A169="","",BASE_CAIXA!O166)</f>
        <v>0</v>
      </c>
      <c r="H169" s="26">
        <f>IF(A169="","",BASE_CAIXA!P166)</f>
        <v>0</v>
      </c>
      <c r="I169" s="26" t="str">
        <f>IF(A169="","",IF(BASE_CAIXA!H166&lt;&gt;"",BASE_CAIXA!H166,BASE_CAIXA!G166))</f>
        <v>Icamento para montagem canteiro de obra - Guindaste</v>
      </c>
      <c r="J169" s="26" t="str">
        <f>IF(A169="","",BASE_CAIXA!G166)</f>
        <v>Icamento para montagem canteiro de obra - Guindaste</v>
      </c>
      <c r="K169" s="26">
        <f>IF(A169="","",BASE_CAIXA!I166)</f>
        <v>0</v>
      </c>
      <c r="L169" s="26">
        <f>IF(A169="","",BASE_CAIXA!J166)</f>
        <v>0</v>
      </c>
      <c r="M169" s="26" t="str">
        <f>IF(A169="","",BASE_CAIXA!AM166)</f>
        <v>Icamento para montagem canteiro de obra - Guindaste | Icamen</v>
      </c>
      <c r="N169" s="26" t="str">
        <f t="shared" ca="1" si="6"/>
        <v>Previsto</v>
      </c>
      <c r="O169" s="13" t="str">
        <f>IFERROR(INDEX(EXTRATO_IMPORTADO!$A$5:$A$404,MATCH(B169,EXTRATO_IMPORTADO!$I$5:$I$404,0)),"")</f>
        <v/>
      </c>
      <c r="P169" s="14" t="str">
        <f>IFERROR(INDEX(EXTRATO_IMPORTADO!$F$5:$F$404,MATCH(B169,EXTRATO_IMPORTADO!$I$5:$I$404,0)),"")</f>
        <v/>
      </c>
      <c r="Q169" s="26" t="str">
        <f>IFERROR(INDEX(EXTRATO_IMPORTADO!$B$5:$B$404,MATCH(B169,EXTRATO_IMPORTADO!$I$5:$I$404,0)),"")</f>
        <v/>
      </c>
      <c r="R169" s="26" t="str">
        <f>IFERROR(MATCH(B169,EXTRATO_IMPORTADO!$I$5:$I$404,0),"")</f>
        <v/>
      </c>
      <c r="S169" s="14" t="str">
        <f t="shared" si="7"/>
        <v/>
      </c>
      <c r="T169" s="33" t="str">
        <f t="shared" si="8"/>
        <v/>
      </c>
    </row>
    <row r="170" spans="1:20" x14ac:dyDescent="0.3">
      <c r="A170" s="26">
        <f>IF(BASE_CAIXA!A167="","",BASE_CAIXA!A167)</f>
        <v>166</v>
      </c>
      <c r="B170" s="26" t="str">
        <f>IF(A170="","",BASE_CAIXA!AL167)</f>
        <v>000166-DB</v>
      </c>
      <c r="C170" s="13">
        <f>IF(A170="","",BASE_CAIXA!AJ167)</f>
        <v>46143</v>
      </c>
      <c r="D170" s="26" t="str">
        <f>IF(A170="","",IF(BASE_CAIXA!C167="Entrada","Crédito","Débito"))</f>
        <v>Débito</v>
      </c>
      <c r="E170" s="14">
        <f>IF(A170="","",BASE_CAIXA!AA167)</f>
        <v>15007.963980799999</v>
      </c>
      <c r="F170" s="26">
        <f>IF(A170="","",BASE_CAIXA!N167)</f>
        <v>0</v>
      </c>
      <c r="G170" s="26">
        <f>IF(A170="","",BASE_CAIXA!O167)</f>
        <v>0</v>
      </c>
      <c r="H170" s="26">
        <f>IF(A170="","",BASE_CAIXA!P167)</f>
        <v>0</v>
      </c>
      <c r="I170" s="26" t="str">
        <f>IF(A170="","",IF(BASE_CAIXA!H167&lt;&gt;"",BASE_CAIXA!H167,BASE_CAIXA!G167))</f>
        <v>Montagem de paredes pré-moldadas (içamento, prumo, alinhamento e escoramento com grauteamento) – até 35 t</v>
      </c>
      <c r="J170" s="26" t="str">
        <f>IF(A170="","",BASE_CAIXA!G167)</f>
        <v>Montagem de paredes pré-moldadas (içamento, prumo, alinhamento e escoramento com grauteamento) – até 35 t</v>
      </c>
      <c r="K170" s="26">
        <f>IF(A170="","",BASE_CAIXA!I167)</f>
        <v>0</v>
      </c>
      <c r="L170" s="26">
        <f>IF(A170="","",BASE_CAIXA!J167)</f>
        <v>0</v>
      </c>
      <c r="M170" s="26" t="str">
        <f>IF(A170="","",BASE_CAIXA!AM167)</f>
        <v>Montagem de paredes pré-moldadas (içamento, prumo, alinhamen</v>
      </c>
      <c r="N170" s="26" t="str">
        <f t="shared" ca="1" si="6"/>
        <v>Previsto</v>
      </c>
      <c r="O170" s="13" t="str">
        <f>IFERROR(INDEX(EXTRATO_IMPORTADO!$A$5:$A$404,MATCH(B170,EXTRATO_IMPORTADO!$I$5:$I$404,0)),"")</f>
        <v/>
      </c>
      <c r="P170" s="14" t="str">
        <f>IFERROR(INDEX(EXTRATO_IMPORTADO!$F$5:$F$404,MATCH(B170,EXTRATO_IMPORTADO!$I$5:$I$404,0)),"")</f>
        <v/>
      </c>
      <c r="Q170" s="26" t="str">
        <f>IFERROR(INDEX(EXTRATO_IMPORTADO!$B$5:$B$404,MATCH(B170,EXTRATO_IMPORTADO!$I$5:$I$404,0)),"")</f>
        <v/>
      </c>
      <c r="R170" s="26" t="str">
        <f>IFERROR(MATCH(B170,EXTRATO_IMPORTADO!$I$5:$I$404,0),"")</f>
        <v/>
      </c>
      <c r="S170" s="14" t="str">
        <f t="shared" si="7"/>
        <v/>
      </c>
      <c r="T170" s="33" t="str">
        <f t="shared" si="8"/>
        <v/>
      </c>
    </row>
    <row r="171" spans="1:20" x14ac:dyDescent="0.3">
      <c r="A171" s="26">
        <f>IF(BASE_CAIXA!A168="","",BASE_CAIXA!A168)</f>
        <v>167</v>
      </c>
      <c r="B171" s="26" t="str">
        <f>IF(A171="","",BASE_CAIXA!AL168)</f>
        <v>000167-DB</v>
      </c>
      <c r="C171" s="13">
        <f>IF(A171="","",BASE_CAIXA!AJ168)</f>
        <v>46143</v>
      </c>
      <c r="D171" s="26" t="str">
        <f>IF(A171="","",IF(BASE_CAIXA!C168="Entrada","Crédito","Débito"))</f>
        <v>Débito</v>
      </c>
      <c r="E171" s="14">
        <f>IF(A171="","",BASE_CAIXA!AA168)</f>
        <v>48384</v>
      </c>
      <c r="F171" s="26">
        <f>IF(A171="","",BASE_CAIXA!N168)</f>
        <v>0</v>
      </c>
      <c r="G171" s="26">
        <f>IF(A171="","",BASE_CAIXA!O168)</f>
        <v>0</v>
      </c>
      <c r="H171" s="26">
        <f>IF(A171="","",BASE_CAIXA!P168)</f>
        <v>0</v>
      </c>
      <c r="I171" s="26" t="str">
        <f>IF(A171="","",IF(BASE_CAIXA!H168&lt;&gt;"",BASE_CAIXA!H168,BASE_CAIXA!G168))</f>
        <v>Transporte de paredes e lajes (carreta + munck + carga/descarga) – até 120 km</v>
      </c>
      <c r="J171" s="26" t="str">
        <f>IF(A171="","",BASE_CAIXA!G168)</f>
        <v>Transporte de paredes e lajes (carreta + munck + carga/descarga) – até 120 km</v>
      </c>
      <c r="K171" s="26">
        <f>IF(A171="","",BASE_CAIXA!I168)</f>
        <v>0</v>
      </c>
      <c r="L171" s="26">
        <f>IF(A171="","",BASE_CAIXA!J168)</f>
        <v>0</v>
      </c>
      <c r="M171" s="26" t="str">
        <f>IF(A171="","",BASE_CAIXA!AM168)</f>
        <v>Transporte de paredes e lajes (carreta + munck + carga/desca</v>
      </c>
      <c r="N171" s="26" t="str">
        <f t="shared" ca="1" si="6"/>
        <v>Previsto</v>
      </c>
      <c r="O171" s="13" t="str">
        <f>IFERROR(INDEX(EXTRATO_IMPORTADO!$A$5:$A$404,MATCH(B171,EXTRATO_IMPORTADO!$I$5:$I$404,0)),"")</f>
        <v/>
      </c>
      <c r="P171" s="14" t="str">
        <f>IFERROR(INDEX(EXTRATO_IMPORTADO!$F$5:$F$404,MATCH(B171,EXTRATO_IMPORTADO!$I$5:$I$404,0)),"")</f>
        <v/>
      </c>
      <c r="Q171" s="26" t="str">
        <f>IFERROR(INDEX(EXTRATO_IMPORTADO!$B$5:$B$404,MATCH(B171,EXTRATO_IMPORTADO!$I$5:$I$404,0)),"")</f>
        <v/>
      </c>
      <c r="R171" s="26" t="str">
        <f>IFERROR(MATCH(B171,EXTRATO_IMPORTADO!$I$5:$I$404,0),"")</f>
        <v/>
      </c>
      <c r="S171" s="14" t="str">
        <f t="shared" si="7"/>
        <v/>
      </c>
      <c r="T171" s="33" t="str">
        <f t="shared" si="8"/>
        <v/>
      </c>
    </row>
    <row r="172" spans="1:20" x14ac:dyDescent="0.3">
      <c r="A172" s="26">
        <f>IF(BASE_CAIXA!A169="","",BASE_CAIXA!A169)</f>
        <v>168</v>
      </c>
      <c r="B172" s="26" t="str">
        <f>IF(A172="","",BASE_CAIXA!AL169)</f>
        <v>000168-DB</v>
      </c>
      <c r="C172" s="13">
        <f>IF(A172="","",BASE_CAIXA!AJ169)</f>
        <v>46143</v>
      </c>
      <c r="D172" s="26" t="str">
        <f>IF(A172="","",IF(BASE_CAIXA!C169="Entrada","Crédito","Débito"))</f>
        <v>Débito</v>
      </c>
      <c r="E172" s="14">
        <f>IF(A172="","",BASE_CAIXA!AA169)</f>
        <v>38381.900689655173</v>
      </c>
      <c r="F172" s="26">
        <f>IF(A172="","",BASE_CAIXA!N169)</f>
        <v>0</v>
      </c>
      <c r="G172" s="26">
        <f>IF(A172="","",BASE_CAIXA!O169)</f>
        <v>0</v>
      </c>
      <c r="H172" s="26">
        <f>IF(A172="","",BASE_CAIXA!P169)</f>
        <v>0</v>
      </c>
      <c r="I172" s="26" t="str">
        <f>IF(A172="","",IF(BASE_CAIXA!H169&lt;&gt;"",BASE_CAIXA!H169,BASE_CAIXA!G169))</f>
        <v>material CIMENTO : KIT Parede e Laje - FOB na Fabrica</v>
      </c>
      <c r="J172" s="26" t="str">
        <f>IF(A172="","",BASE_CAIXA!G169)</f>
        <v>material CIMENTO : KIT Parede e Laje - FOB na Fabrica</v>
      </c>
      <c r="K172" s="26">
        <f>IF(A172="","",BASE_CAIXA!I169)</f>
        <v>0</v>
      </c>
      <c r="L172" s="26">
        <f>IF(A172="","",BASE_CAIXA!J169)</f>
        <v>0</v>
      </c>
      <c r="M172" s="26" t="str">
        <f>IF(A172="","",BASE_CAIXA!AM169)</f>
        <v>material CIMENTO : KIT Parede e Laje - FOB na Fabrica | mate</v>
      </c>
      <c r="N172" s="26" t="str">
        <f t="shared" ca="1" si="6"/>
        <v>Previsto</v>
      </c>
      <c r="O172" s="13" t="str">
        <f>IFERROR(INDEX(EXTRATO_IMPORTADO!$A$5:$A$404,MATCH(B172,EXTRATO_IMPORTADO!$I$5:$I$404,0)),"")</f>
        <v/>
      </c>
      <c r="P172" s="14" t="str">
        <f>IFERROR(INDEX(EXTRATO_IMPORTADO!$F$5:$F$404,MATCH(B172,EXTRATO_IMPORTADO!$I$5:$I$404,0)),"")</f>
        <v/>
      </c>
      <c r="Q172" s="26" t="str">
        <f>IFERROR(INDEX(EXTRATO_IMPORTADO!$B$5:$B$404,MATCH(B172,EXTRATO_IMPORTADO!$I$5:$I$404,0)),"")</f>
        <v/>
      </c>
      <c r="R172" s="26" t="str">
        <f>IFERROR(MATCH(B172,EXTRATO_IMPORTADO!$I$5:$I$404,0),"")</f>
        <v/>
      </c>
      <c r="S172" s="14" t="str">
        <f t="shared" si="7"/>
        <v/>
      </c>
      <c r="T172" s="33" t="str">
        <f t="shared" si="8"/>
        <v/>
      </c>
    </row>
    <row r="173" spans="1:20" x14ac:dyDescent="0.3">
      <c r="A173" s="26">
        <f>IF(BASE_CAIXA!A170="","",BASE_CAIXA!A170)</f>
        <v>169</v>
      </c>
      <c r="B173" s="26" t="str">
        <f>IF(A173="","",BASE_CAIXA!AL170)</f>
        <v>000169-DB</v>
      </c>
      <c r="C173" s="13">
        <f>IF(A173="","",BASE_CAIXA!AJ170)</f>
        <v>46143</v>
      </c>
      <c r="D173" s="26" t="str">
        <f>IF(A173="","",IF(BASE_CAIXA!C170="Entrada","Crédito","Débito"))</f>
        <v>Débito</v>
      </c>
      <c r="E173" s="14">
        <f>IF(A173="","",BASE_CAIXA!AA170)</f>
        <v>38381.900689655173</v>
      </c>
      <c r="F173" s="26">
        <f>IF(A173="","",BASE_CAIXA!N170)</f>
        <v>0</v>
      </c>
      <c r="G173" s="26">
        <f>IF(A173="","",BASE_CAIXA!O170)</f>
        <v>0</v>
      </c>
      <c r="H173" s="26">
        <f>IF(A173="","",BASE_CAIXA!P170)</f>
        <v>0</v>
      </c>
      <c r="I173" s="26" t="str">
        <f>IF(A173="","",IF(BASE_CAIXA!H170&lt;&gt;"",BASE_CAIXA!H170,BASE_CAIXA!G170))</f>
        <v>material CIMENTO : KIT Parede e Laje - FOB na Fabrica</v>
      </c>
      <c r="J173" s="26" t="str">
        <f>IF(A173="","",BASE_CAIXA!G170)</f>
        <v>material CIMENTO : KIT Parede e Laje - FOB na Fabrica</v>
      </c>
      <c r="K173" s="26">
        <f>IF(A173="","",BASE_CAIXA!I170)</f>
        <v>0</v>
      </c>
      <c r="L173" s="26">
        <f>IF(A173="","",BASE_CAIXA!J170)</f>
        <v>0</v>
      </c>
      <c r="M173" s="26" t="str">
        <f>IF(A173="","",BASE_CAIXA!AM170)</f>
        <v>material CIMENTO : KIT Parede e Laje - FOB na Fabrica | mate</v>
      </c>
      <c r="N173" s="26" t="str">
        <f t="shared" ca="1" si="6"/>
        <v>Previsto</v>
      </c>
      <c r="O173" s="13" t="str">
        <f>IFERROR(INDEX(EXTRATO_IMPORTADO!$A$5:$A$404,MATCH(B173,EXTRATO_IMPORTADO!$I$5:$I$404,0)),"")</f>
        <v/>
      </c>
      <c r="P173" s="14" t="str">
        <f>IFERROR(INDEX(EXTRATO_IMPORTADO!$F$5:$F$404,MATCH(B173,EXTRATO_IMPORTADO!$I$5:$I$404,0)),"")</f>
        <v/>
      </c>
      <c r="Q173" s="26" t="str">
        <f>IFERROR(INDEX(EXTRATO_IMPORTADO!$B$5:$B$404,MATCH(B173,EXTRATO_IMPORTADO!$I$5:$I$404,0)),"")</f>
        <v/>
      </c>
      <c r="R173" s="26" t="str">
        <f>IFERROR(MATCH(B173,EXTRATO_IMPORTADO!$I$5:$I$404,0),"")</f>
        <v/>
      </c>
      <c r="S173" s="14" t="str">
        <f t="shared" si="7"/>
        <v/>
      </c>
      <c r="T173" s="33" t="str">
        <f t="shared" si="8"/>
        <v/>
      </c>
    </row>
    <row r="174" spans="1:20" x14ac:dyDescent="0.3">
      <c r="A174" s="26">
        <f>IF(BASE_CAIXA!A171="","",BASE_CAIXA!A171)</f>
        <v>170</v>
      </c>
      <c r="B174" s="26" t="str">
        <f>IF(A174="","",BASE_CAIXA!AL171)</f>
        <v>000170-DB</v>
      </c>
      <c r="C174" s="13">
        <f>IF(A174="","",BASE_CAIXA!AJ171)</f>
        <v>46143</v>
      </c>
      <c r="D174" s="26" t="str">
        <f>IF(A174="","",IF(BASE_CAIXA!C171="Entrada","Crédito","Débito"))</f>
        <v>Débito</v>
      </c>
      <c r="E174" s="14">
        <f>IF(A174="","",BASE_CAIXA!AA171)</f>
        <v>46058.280827586197</v>
      </c>
      <c r="F174" s="26">
        <f>IF(A174="","",BASE_CAIXA!N171)</f>
        <v>0</v>
      </c>
      <c r="G174" s="26">
        <f>IF(A174="","",BASE_CAIXA!O171)</f>
        <v>0</v>
      </c>
      <c r="H174" s="26">
        <f>IF(A174="","",BASE_CAIXA!P171)</f>
        <v>0</v>
      </c>
      <c r="I174" s="26" t="str">
        <f>IF(A174="","",IF(BASE_CAIXA!H171&lt;&gt;"",BASE_CAIXA!H171,BASE_CAIXA!G171))</f>
        <v>material CIMENTO : KIT Parede e Laje - FOB na Fabrica</v>
      </c>
      <c r="J174" s="26" t="str">
        <f>IF(A174="","",BASE_CAIXA!G171)</f>
        <v>material CIMENTO : KIT Parede e Laje - FOB na Fabrica</v>
      </c>
      <c r="K174" s="26">
        <f>IF(A174="","",BASE_CAIXA!I171)</f>
        <v>0</v>
      </c>
      <c r="L174" s="26">
        <f>IF(A174="","",BASE_CAIXA!J171)</f>
        <v>0</v>
      </c>
      <c r="M174" s="26" t="str">
        <f>IF(A174="","",BASE_CAIXA!AM171)</f>
        <v>material CIMENTO : KIT Parede e Laje - FOB na Fabrica | mate</v>
      </c>
      <c r="N174" s="26" t="str">
        <f t="shared" ca="1" si="6"/>
        <v>Previsto</v>
      </c>
      <c r="O174" s="13" t="str">
        <f>IFERROR(INDEX(EXTRATO_IMPORTADO!$A$5:$A$404,MATCH(B174,EXTRATO_IMPORTADO!$I$5:$I$404,0)),"")</f>
        <v/>
      </c>
      <c r="P174" s="14" t="str">
        <f>IFERROR(INDEX(EXTRATO_IMPORTADO!$F$5:$F$404,MATCH(B174,EXTRATO_IMPORTADO!$I$5:$I$404,0)),"")</f>
        <v/>
      </c>
      <c r="Q174" s="26" t="str">
        <f>IFERROR(INDEX(EXTRATO_IMPORTADO!$B$5:$B$404,MATCH(B174,EXTRATO_IMPORTADO!$I$5:$I$404,0)),"")</f>
        <v/>
      </c>
      <c r="R174" s="26" t="str">
        <f>IFERROR(MATCH(B174,EXTRATO_IMPORTADO!$I$5:$I$404,0),"")</f>
        <v/>
      </c>
      <c r="S174" s="14" t="str">
        <f t="shared" si="7"/>
        <v/>
      </c>
      <c r="T174" s="33" t="str">
        <f t="shared" si="8"/>
        <v/>
      </c>
    </row>
    <row r="175" spans="1:20" x14ac:dyDescent="0.3">
      <c r="A175" s="26">
        <f>IF(BASE_CAIXA!A172="","",BASE_CAIXA!A172)</f>
        <v>171</v>
      </c>
      <c r="B175" s="26" t="str">
        <f>IF(A175="","",BASE_CAIXA!AL172)</f>
        <v>000171-DB</v>
      </c>
      <c r="C175" s="13">
        <f>IF(A175="","",BASE_CAIXA!AJ172)</f>
        <v>46143</v>
      </c>
      <c r="D175" s="26" t="str">
        <f>IF(A175="","",IF(BASE_CAIXA!C172="Entrada","Crédito","Débito"))</f>
        <v>Débito</v>
      </c>
      <c r="E175" s="14">
        <f>IF(A175="","",BASE_CAIXA!AA172)</f>
        <v>9718.8835657974523</v>
      </c>
      <c r="F175" s="26">
        <f>IF(A175="","",BASE_CAIXA!N172)</f>
        <v>0</v>
      </c>
      <c r="G175" s="26">
        <f>IF(A175="","",BASE_CAIXA!O172)</f>
        <v>0</v>
      </c>
      <c r="H175" s="26">
        <f>IF(A175="","",BASE_CAIXA!P172)</f>
        <v>0</v>
      </c>
      <c r="I175" s="26" t="str">
        <f>IF(A175="","",IF(BASE_CAIXA!H172&lt;&gt;"",BASE_CAIXA!H172,BASE_CAIXA!G172))</f>
        <v>material FERRO: KIT Parede e Laje - FOB na Fabrica</v>
      </c>
      <c r="J175" s="26" t="str">
        <f>IF(A175="","",BASE_CAIXA!G172)</f>
        <v>material FERRO: KIT Parede e Laje - FOB na Fabrica</v>
      </c>
      <c r="K175" s="26">
        <f>IF(A175="","",BASE_CAIXA!I172)</f>
        <v>0</v>
      </c>
      <c r="L175" s="26">
        <f>IF(A175="","",BASE_CAIXA!J172)</f>
        <v>0</v>
      </c>
      <c r="M175" s="26" t="str">
        <f>IF(A175="","",BASE_CAIXA!AM172)</f>
        <v>material FERRO: KIT Parede e Laje - FOB na Fabrica | materia</v>
      </c>
      <c r="N175" s="26" t="str">
        <f t="shared" ca="1" si="6"/>
        <v>Previsto</v>
      </c>
      <c r="O175" s="13" t="str">
        <f>IFERROR(INDEX(EXTRATO_IMPORTADO!$A$5:$A$404,MATCH(B175,EXTRATO_IMPORTADO!$I$5:$I$404,0)),"")</f>
        <v/>
      </c>
      <c r="P175" s="14" t="str">
        <f>IFERROR(INDEX(EXTRATO_IMPORTADO!$F$5:$F$404,MATCH(B175,EXTRATO_IMPORTADO!$I$5:$I$404,0)),"")</f>
        <v/>
      </c>
      <c r="Q175" s="26" t="str">
        <f>IFERROR(INDEX(EXTRATO_IMPORTADO!$B$5:$B$404,MATCH(B175,EXTRATO_IMPORTADO!$I$5:$I$404,0)),"")</f>
        <v/>
      </c>
      <c r="R175" s="26" t="str">
        <f>IFERROR(MATCH(B175,EXTRATO_IMPORTADO!$I$5:$I$404,0),"")</f>
        <v/>
      </c>
      <c r="S175" s="14" t="str">
        <f t="shared" si="7"/>
        <v/>
      </c>
      <c r="T175" s="33" t="str">
        <f t="shared" si="8"/>
        <v/>
      </c>
    </row>
    <row r="176" spans="1:20" x14ac:dyDescent="0.3">
      <c r="A176" s="26">
        <f>IF(BASE_CAIXA!A173="","",BASE_CAIXA!A173)</f>
        <v>172</v>
      </c>
      <c r="B176" s="26" t="str">
        <f>IF(A176="","",BASE_CAIXA!AL173)</f>
        <v>000172-DB</v>
      </c>
      <c r="C176" s="13">
        <f>IF(A176="","",BASE_CAIXA!AJ173)</f>
        <v>46143</v>
      </c>
      <c r="D176" s="26" t="str">
        <f>IF(A176="","",IF(BASE_CAIXA!C173="Entrada","Crédito","Débito"))</f>
        <v>Débito</v>
      </c>
      <c r="E176" s="14">
        <f>IF(A176="","",BASE_CAIXA!AA173)</f>
        <v>9718.8835657974523</v>
      </c>
      <c r="F176" s="26">
        <f>IF(A176="","",BASE_CAIXA!N173)</f>
        <v>0</v>
      </c>
      <c r="G176" s="26">
        <f>IF(A176="","",BASE_CAIXA!O173)</f>
        <v>0</v>
      </c>
      <c r="H176" s="26">
        <f>IF(A176="","",BASE_CAIXA!P173)</f>
        <v>0</v>
      </c>
      <c r="I176" s="26" t="str">
        <f>IF(A176="","",IF(BASE_CAIXA!H173&lt;&gt;"",BASE_CAIXA!H173,BASE_CAIXA!G173))</f>
        <v>material FERRO: KIT Parede e Laje - FOB na Fabrica</v>
      </c>
      <c r="J176" s="26" t="str">
        <f>IF(A176="","",BASE_CAIXA!G173)</f>
        <v>material FERRO: KIT Parede e Laje - FOB na Fabrica</v>
      </c>
      <c r="K176" s="26">
        <f>IF(A176="","",BASE_CAIXA!I173)</f>
        <v>0</v>
      </c>
      <c r="L176" s="26">
        <f>IF(A176="","",BASE_CAIXA!J173)</f>
        <v>0</v>
      </c>
      <c r="M176" s="26" t="str">
        <f>IF(A176="","",BASE_CAIXA!AM173)</f>
        <v>material FERRO: KIT Parede e Laje - FOB na Fabrica | materia</v>
      </c>
      <c r="N176" s="26" t="str">
        <f t="shared" ca="1" si="6"/>
        <v>Previsto</v>
      </c>
      <c r="O176" s="13" t="str">
        <f>IFERROR(INDEX(EXTRATO_IMPORTADO!$A$5:$A$404,MATCH(B176,EXTRATO_IMPORTADO!$I$5:$I$404,0)),"")</f>
        <v/>
      </c>
      <c r="P176" s="14" t="str">
        <f>IFERROR(INDEX(EXTRATO_IMPORTADO!$F$5:$F$404,MATCH(B176,EXTRATO_IMPORTADO!$I$5:$I$404,0)),"")</f>
        <v/>
      </c>
      <c r="Q176" s="26" t="str">
        <f>IFERROR(INDEX(EXTRATO_IMPORTADO!$B$5:$B$404,MATCH(B176,EXTRATO_IMPORTADO!$I$5:$I$404,0)),"")</f>
        <v/>
      </c>
      <c r="R176" s="26" t="str">
        <f>IFERROR(MATCH(B176,EXTRATO_IMPORTADO!$I$5:$I$404,0),"")</f>
        <v/>
      </c>
      <c r="S176" s="14" t="str">
        <f t="shared" si="7"/>
        <v/>
      </c>
      <c r="T176" s="33" t="str">
        <f t="shared" si="8"/>
        <v/>
      </c>
    </row>
    <row r="177" spans="1:20" x14ac:dyDescent="0.3">
      <c r="A177" s="26">
        <f>IF(BASE_CAIXA!A174="","",BASE_CAIXA!A174)</f>
        <v>173</v>
      </c>
      <c r="B177" s="26" t="str">
        <f>IF(A177="","",BASE_CAIXA!AL174)</f>
        <v>000173-DB</v>
      </c>
      <c r="C177" s="13">
        <f>IF(A177="","",BASE_CAIXA!AJ174)</f>
        <v>46143</v>
      </c>
      <c r="D177" s="26" t="str">
        <f>IF(A177="","",IF(BASE_CAIXA!C174="Entrada","Crédito","Débito"))</f>
        <v>Débito</v>
      </c>
      <c r="E177" s="14">
        <f>IF(A177="","",BASE_CAIXA!AA174)</f>
        <v>11662.660278956941</v>
      </c>
      <c r="F177" s="26">
        <f>IF(A177="","",BASE_CAIXA!N174)</f>
        <v>0</v>
      </c>
      <c r="G177" s="26">
        <f>IF(A177="","",BASE_CAIXA!O174)</f>
        <v>0</v>
      </c>
      <c r="H177" s="26">
        <f>IF(A177="","",BASE_CAIXA!P174)</f>
        <v>0</v>
      </c>
      <c r="I177" s="26" t="str">
        <f>IF(A177="","",IF(BASE_CAIXA!H174&lt;&gt;"",BASE_CAIXA!H174,BASE_CAIXA!G174))</f>
        <v>material FERRO: KIT Parede e Laje - FOB na Fabrica</v>
      </c>
      <c r="J177" s="26" t="str">
        <f>IF(A177="","",BASE_CAIXA!G174)</f>
        <v>material FERRO: KIT Parede e Laje - FOB na Fabrica</v>
      </c>
      <c r="K177" s="26">
        <f>IF(A177="","",BASE_CAIXA!I174)</f>
        <v>0</v>
      </c>
      <c r="L177" s="26">
        <f>IF(A177="","",BASE_CAIXA!J174)</f>
        <v>0</v>
      </c>
      <c r="M177" s="26" t="str">
        <f>IF(A177="","",BASE_CAIXA!AM174)</f>
        <v>material FERRO: KIT Parede e Laje - FOB na Fabrica | materia</v>
      </c>
      <c r="N177" s="26" t="str">
        <f t="shared" ca="1" si="6"/>
        <v>Previsto</v>
      </c>
      <c r="O177" s="13" t="str">
        <f>IFERROR(INDEX(EXTRATO_IMPORTADO!$A$5:$A$404,MATCH(B177,EXTRATO_IMPORTADO!$I$5:$I$404,0)),"")</f>
        <v/>
      </c>
      <c r="P177" s="14" t="str">
        <f>IFERROR(INDEX(EXTRATO_IMPORTADO!$F$5:$F$404,MATCH(B177,EXTRATO_IMPORTADO!$I$5:$I$404,0)),"")</f>
        <v/>
      </c>
      <c r="Q177" s="26" t="str">
        <f>IFERROR(INDEX(EXTRATO_IMPORTADO!$B$5:$B$404,MATCH(B177,EXTRATO_IMPORTADO!$I$5:$I$404,0)),"")</f>
        <v/>
      </c>
      <c r="R177" s="26" t="str">
        <f>IFERROR(MATCH(B177,EXTRATO_IMPORTADO!$I$5:$I$404,0),"")</f>
        <v/>
      </c>
      <c r="S177" s="14" t="str">
        <f t="shared" si="7"/>
        <v/>
      </c>
      <c r="T177" s="33" t="str">
        <f t="shared" si="8"/>
        <v/>
      </c>
    </row>
    <row r="178" spans="1:20" x14ac:dyDescent="0.3">
      <c r="A178" s="26">
        <f>IF(BASE_CAIXA!A175="","",BASE_CAIXA!A175)</f>
        <v>174</v>
      </c>
      <c r="B178" s="26" t="str">
        <f>IF(A178="","",BASE_CAIXA!AL175)</f>
        <v>000174-DB</v>
      </c>
      <c r="C178" s="13">
        <f>IF(A178="","",BASE_CAIXA!AJ175)</f>
        <v>46143</v>
      </c>
      <c r="D178" s="26" t="str">
        <f>IF(A178="","",IF(BASE_CAIXA!C175="Entrada","Crédito","Débito"))</f>
        <v>Débito</v>
      </c>
      <c r="E178" s="14">
        <f>IF(A178="","",BASE_CAIXA!AA175)</f>
        <v>2245.3200000000002</v>
      </c>
      <c r="F178" s="26">
        <f>IF(A178="","",BASE_CAIXA!N175)</f>
        <v>0</v>
      </c>
      <c r="G178" s="26">
        <f>IF(A178="","",BASE_CAIXA!O175)</f>
        <v>0</v>
      </c>
      <c r="H178" s="26">
        <f>IF(A178="","",BASE_CAIXA!P175)</f>
        <v>0</v>
      </c>
      <c r="I178" s="26" t="str">
        <f>IF(A178="","",IF(BASE_CAIXA!H175&lt;&gt;"",BASE_CAIXA!H175,BASE_CAIXA!G175))</f>
        <v>mobilizaçao e desmobilização equipe montagem</v>
      </c>
      <c r="J178" s="26" t="str">
        <f>IF(A178="","",BASE_CAIXA!G175)</f>
        <v>mobilizaçao e desmobilização equipe montagem</v>
      </c>
      <c r="K178" s="26">
        <f>IF(A178="","",BASE_CAIXA!I175)</f>
        <v>0</v>
      </c>
      <c r="L178" s="26">
        <f>IF(A178="","",BASE_CAIXA!J175)</f>
        <v>0</v>
      </c>
      <c r="M178" s="26" t="str">
        <f>IF(A178="","",BASE_CAIXA!AM175)</f>
        <v>mobilizaçao e desmobilização equipe montagem | mobilizaçao e</v>
      </c>
      <c r="N178" s="26" t="str">
        <f t="shared" ca="1" si="6"/>
        <v>Previsto</v>
      </c>
      <c r="O178" s="13" t="str">
        <f>IFERROR(INDEX(EXTRATO_IMPORTADO!$A$5:$A$404,MATCH(B178,EXTRATO_IMPORTADO!$I$5:$I$404,0)),"")</f>
        <v/>
      </c>
      <c r="P178" s="14" t="str">
        <f>IFERROR(INDEX(EXTRATO_IMPORTADO!$F$5:$F$404,MATCH(B178,EXTRATO_IMPORTADO!$I$5:$I$404,0)),"")</f>
        <v/>
      </c>
      <c r="Q178" s="26" t="str">
        <f>IFERROR(INDEX(EXTRATO_IMPORTADO!$B$5:$B$404,MATCH(B178,EXTRATO_IMPORTADO!$I$5:$I$404,0)),"")</f>
        <v/>
      </c>
      <c r="R178" s="26" t="str">
        <f>IFERROR(MATCH(B178,EXTRATO_IMPORTADO!$I$5:$I$404,0),"")</f>
        <v/>
      </c>
      <c r="S178" s="14" t="str">
        <f t="shared" si="7"/>
        <v/>
      </c>
      <c r="T178" s="33" t="str">
        <f t="shared" si="8"/>
        <v/>
      </c>
    </row>
    <row r="179" spans="1:20" x14ac:dyDescent="0.3">
      <c r="A179" s="26">
        <f>IF(BASE_CAIXA!A176="","",BASE_CAIXA!A176)</f>
        <v>175</v>
      </c>
      <c r="B179" s="26" t="str">
        <f>IF(A179="","",BASE_CAIXA!AL176)</f>
        <v>000175-DB</v>
      </c>
      <c r="C179" s="13">
        <f>IF(A179="","",BASE_CAIXA!AJ176)</f>
        <v>46143</v>
      </c>
      <c r="D179" s="26" t="str">
        <f>IF(A179="","",IF(BASE_CAIXA!C176="Entrada","Crédito","Débito"))</f>
        <v>Débito</v>
      </c>
      <c r="E179" s="14">
        <f>IF(A179="","",BASE_CAIXA!AA176)</f>
        <v>7387.52</v>
      </c>
      <c r="F179" s="26">
        <f>IF(A179="","",BASE_CAIXA!N176)</f>
        <v>0</v>
      </c>
      <c r="G179" s="26">
        <f>IF(A179="","",BASE_CAIXA!O176)</f>
        <v>0</v>
      </c>
      <c r="H179" s="26">
        <f>IF(A179="","",BASE_CAIXA!P176)</f>
        <v>0</v>
      </c>
      <c r="I179" s="26" t="str">
        <f>IF(A179="","",IF(BASE_CAIXA!H176&lt;&gt;"",BASE_CAIXA!H176,BASE_CAIXA!G176))</f>
        <v>Argamassa colante AC I</v>
      </c>
      <c r="J179" s="26" t="str">
        <f>IF(A179="","",BASE_CAIXA!G176)</f>
        <v>Argamassa colante AC I</v>
      </c>
      <c r="K179" s="26">
        <f>IF(A179="","",BASE_CAIXA!I176)</f>
        <v>0</v>
      </c>
      <c r="L179" s="26">
        <f>IF(A179="","",BASE_CAIXA!J176)</f>
        <v>0</v>
      </c>
      <c r="M179" s="26" t="str">
        <f>IF(A179="","",BASE_CAIXA!AM176)</f>
        <v>Argamassa colante AC I | Argamassa colante AC I | Saída | PI</v>
      </c>
      <c r="N179" s="26" t="str">
        <f t="shared" ca="1" si="6"/>
        <v>Previsto</v>
      </c>
      <c r="O179" s="13" t="str">
        <f>IFERROR(INDEX(EXTRATO_IMPORTADO!$A$5:$A$404,MATCH(B179,EXTRATO_IMPORTADO!$I$5:$I$404,0)),"")</f>
        <v/>
      </c>
      <c r="P179" s="14" t="str">
        <f>IFERROR(INDEX(EXTRATO_IMPORTADO!$F$5:$F$404,MATCH(B179,EXTRATO_IMPORTADO!$I$5:$I$404,0)),"")</f>
        <v/>
      </c>
      <c r="Q179" s="26" t="str">
        <f>IFERROR(INDEX(EXTRATO_IMPORTADO!$B$5:$B$404,MATCH(B179,EXTRATO_IMPORTADO!$I$5:$I$404,0)),"")</f>
        <v/>
      </c>
      <c r="R179" s="26" t="str">
        <f>IFERROR(MATCH(B179,EXTRATO_IMPORTADO!$I$5:$I$404,0),"")</f>
        <v/>
      </c>
      <c r="S179" s="14" t="str">
        <f t="shared" si="7"/>
        <v/>
      </c>
      <c r="T179" s="33" t="str">
        <f t="shared" si="8"/>
        <v/>
      </c>
    </row>
    <row r="180" spans="1:20" x14ac:dyDescent="0.3">
      <c r="A180" s="26">
        <f>IF(BASE_CAIXA!A177="","",BASE_CAIXA!A177)</f>
        <v>176</v>
      </c>
      <c r="B180" s="26" t="str">
        <f>IF(A180="","",BASE_CAIXA!AL177)</f>
        <v>000176-DB</v>
      </c>
      <c r="C180" s="13">
        <f>IF(A180="","",BASE_CAIXA!AJ177)</f>
        <v>46143</v>
      </c>
      <c r="D180" s="26" t="str">
        <f>IF(A180="","",IF(BASE_CAIXA!C177="Entrada","Crédito","Débito"))</f>
        <v>Débito</v>
      </c>
      <c r="E180" s="14">
        <f>IF(A180="","",BASE_CAIXA!AA177)</f>
        <v>403.2</v>
      </c>
      <c r="F180" s="26">
        <f>IF(A180="","",BASE_CAIXA!N177)</f>
        <v>0</v>
      </c>
      <c r="G180" s="26">
        <f>IF(A180="","",BASE_CAIXA!O177)</f>
        <v>0</v>
      </c>
      <c r="H180" s="26">
        <f>IF(A180="","",BASE_CAIXA!P177)</f>
        <v>0</v>
      </c>
      <c r="I180" s="26" t="str">
        <f>IF(A180="","",IF(BASE_CAIXA!H177&lt;&gt;"",BASE_CAIXA!H177,BASE_CAIXA!G177))</f>
        <v>Espaçador cruzeta - 5mm (pacote com 100 unid)</v>
      </c>
      <c r="J180" s="26" t="str">
        <f>IF(A180="","",BASE_CAIXA!G177)</f>
        <v>Espaçador cruzeta - 5mm (pacote com 100 unid)</v>
      </c>
      <c r="K180" s="26">
        <f>IF(A180="","",BASE_CAIXA!I177)</f>
        <v>0</v>
      </c>
      <c r="L180" s="26">
        <f>IF(A180="","",BASE_CAIXA!J177)</f>
        <v>0</v>
      </c>
      <c r="M180" s="26" t="str">
        <f>IF(A180="","",BASE_CAIXA!AM177)</f>
        <v>Espaçador cruzeta - 5mm (pacote com 100 unid) | Espaçador cr</v>
      </c>
      <c r="N180" s="26" t="str">
        <f t="shared" ca="1" si="6"/>
        <v>Previsto</v>
      </c>
      <c r="O180" s="13" t="str">
        <f>IFERROR(INDEX(EXTRATO_IMPORTADO!$A$5:$A$404,MATCH(B180,EXTRATO_IMPORTADO!$I$5:$I$404,0)),"")</f>
        <v/>
      </c>
      <c r="P180" s="14" t="str">
        <f>IFERROR(INDEX(EXTRATO_IMPORTADO!$F$5:$F$404,MATCH(B180,EXTRATO_IMPORTADO!$I$5:$I$404,0)),"")</f>
        <v/>
      </c>
      <c r="Q180" s="26" t="str">
        <f>IFERROR(INDEX(EXTRATO_IMPORTADO!$B$5:$B$404,MATCH(B180,EXTRATO_IMPORTADO!$I$5:$I$404,0)),"")</f>
        <v/>
      </c>
      <c r="R180" s="26" t="str">
        <f>IFERROR(MATCH(B180,EXTRATO_IMPORTADO!$I$5:$I$404,0),"")</f>
        <v/>
      </c>
      <c r="S180" s="14" t="str">
        <f t="shared" si="7"/>
        <v/>
      </c>
      <c r="T180" s="33" t="str">
        <f t="shared" si="8"/>
        <v/>
      </c>
    </row>
    <row r="181" spans="1:20" x14ac:dyDescent="0.3">
      <c r="A181" s="26">
        <f>IF(BASE_CAIXA!A178="","",BASE_CAIXA!A178)</f>
        <v>177</v>
      </c>
      <c r="B181" s="26" t="str">
        <f>IF(A181="","",BASE_CAIXA!AL178)</f>
        <v>000177-DB</v>
      </c>
      <c r="C181" s="13">
        <f>IF(A181="","",BASE_CAIXA!AJ178)</f>
        <v>46143</v>
      </c>
      <c r="D181" s="26" t="str">
        <f>IF(A181="","",IF(BASE_CAIXA!C178="Entrada","Crédito","Débito"))</f>
        <v>Débito</v>
      </c>
      <c r="E181" s="14">
        <f>IF(A181="","",BASE_CAIXA!AA178)</f>
        <v>8471.7158399999989</v>
      </c>
      <c r="F181" s="26">
        <f>IF(A181="","",BASE_CAIXA!N178)</f>
        <v>0</v>
      </c>
      <c r="G181" s="26">
        <f>IF(A181="","",BASE_CAIXA!O178)</f>
        <v>0</v>
      </c>
      <c r="H181" s="26">
        <f>IF(A181="","",BASE_CAIXA!P178)</f>
        <v>0</v>
      </c>
      <c r="I181" s="26" t="str">
        <f>IF(A181="","",IF(BASE_CAIXA!H178&lt;&gt;"",BASE_CAIXA!H178,BASE_CAIXA!G178))</f>
        <v>Mao de obra terceirizada assentamento Ceramica</v>
      </c>
      <c r="J181" s="26" t="str">
        <f>IF(A181="","",BASE_CAIXA!G178)</f>
        <v>Mao de obra terceirizada assentamento Ceramica</v>
      </c>
      <c r="K181" s="26">
        <f>IF(A181="","",BASE_CAIXA!I178)</f>
        <v>0</v>
      </c>
      <c r="L181" s="26">
        <f>IF(A181="","",BASE_CAIXA!J178)</f>
        <v>0</v>
      </c>
      <c r="M181" s="26" t="str">
        <f>IF(A181="","",BASE_CAIXA!AM178)</f>
        <v>Mao de obra terceirizada assentamento Ceramica | Mao de obra</v>
      </c>
      <c r="N181" s="26" t="str">
        <f t="shared" ca="1" si="6"/>
        <v>Previsto</v>
      </c>
      <c r="O181" s="13" t="str">
        <f>IFERROR(INDEX(EXTRATO_IMPORTADO!$A$5:$A$404,MATCH(B181,EXTRATO_IMPORTADO!$I$5:$I$404,0)),"")</f>
        <v/>
      </c>
      <c r="P181" s="14" t="str">
        <f>IFERROR(INDEX(EXTRATO_IMPORTADO!$F$5:$F$404,MATCH(B181,EXTRATO_IMPORTADO!$I$5:$I$404,0)),"")</f>
        <v/>
      </c>
      <c r="Q181" s="26" t="str">
        <f>IFERROR(INDEX(EXTRATO_IMPORTADO!$B$5:$B$404,MATCH(B181,EXTRATO_IMPORTADO!$I$5:$I$404,0)),"")</f>
        <v/>
      </c>
      <c r="R181" s="26" t="str">
        <f>IFERROR(MATCH(B181,EXTRATO_IMPORTADO!$I$5:$I$404,0),"")</f>
        <v/>
      </c>
      <c r="S181" s="14" t="str">
        <f t="shared" si="7"/>
        <v/>
      </c>
      <c r="T181" s="33" t="str">
        <f t="shared" si="8"/>
        <v/>
      </c>
    </row>
    <row r="182" spans="1:20" x14ac:dyDescent="0.3">
      <c r="A182" s="26">
        <f>IF(BASE_CAIXA!A179="","",BASE_CAIXA!A179)</f>
        <v>178</v>
      </c>
      <c r="B182" s="26" t="str">
        <f>IF(A182="","",BASE_CAIXA!AL179)</f>
        <v>000178-DB</v>
      </c>
      <c r="C182" s="13">
        <f>IF(A182="","",BASE_CAIXA!AJ179)</f>
        <v>46143</v>
      </c>
      <c r="D182" s="26" t="str">
        <f>IF(A182="","",IF(BASE_CAIXA!C179="Entrada","Crédito","Débito"))</f>
        <v>Débito</v>
      </c>
      <c r="E182" s="14">
        <f>IF(A182="","",BASE_CAIXA!AA179)</f>
        <v>2496</v>
      </c>
      <c r="F182" s="26">
        <f>IF(A182="","",BASE_CAIXA!N179)</f>
        <v>0</v>
      </c>
      <c r="G182" s="26">
        <f>IF(A182="","",BASE_CAIXA!O179)</f>
        <v>0</v>
      </c>
      <c r="H182" s="26">
        <f>IF(A182="","",BASE_CAIXA!P179)</f>
        <v>0</v>
      </c>
      <c r="I182" s="26" t="str">
        <f>IF(A182="","",IF(BASE_CAIXA!H179&lt;&gt;"",BASE_CAIXA!H179,BASE_CAIXA!G179))</f>
        <v>Rejunte cimenticio</v>
      </c>
      <c r="J182" s="26" t="str">
        <f>IF(A182="","",BASE_CAIXA!G179)</f>
        <v>Rejunte cimenticio</v>
      </c>
      <c r="K182" s="26">
        <f>IF(A182="","",BASE_CAIXA!I179)</f>
        <v>0</v>
      </c>
      <c r="L182" s="26">
        <f>IF(A182="","",BASE_CAIXA!J179)</f>
        <v>0</v>
      </c>
      <c r="M182" s="26" t="str">
        <f>IF(A182="","",BASE_CAIXA!AM179)</f>
        <v>Rejunte cimenticio | Rejunte cimenticio | Saída | PISO E ROD</v>
      </c>
      <c r="N182" s="26" t="str">
        <f t="shared" ca="1" si="6"/>
        <v>Previsto</v>
      </c>
      <c r="O182" s="13" t="str">
        <f>IFERROR(INDEX(EXTRATO_IMPORTADO!$A$5:$A$404,MATCH(B182,EXTRATO_IMPORTADO!$I$5:$I$404,0)),"")</f>
        <v/>
      </c>
      <c r="P182" s="14" t="str">
        <f>IFERROR(INDEX(EXTRATO_IMPORTADO!$F$5:$F$404,MATCH(B182,EXTRATO_IMPORTADO!$I$5:$I$404,0)),"")</f>
        <v/>
      </c>
      <c r="Q182" s="26" t="str">
        <f>IFERROR(INDEX(EXTRATO_IMPORTADO!$B$5:$B$404,MATCH(B182,EXTRATO_IMPORTADO!$I$5:$I$404,0)),"")</f>
        <v/>
      </c>
      <c r="R182" s="26" t="str">
        <f>IFERROR(MATCH(B182,EXTRATO_IMPORTADO!$I$5:$I$404,0),"")</f>
        <v/>
      </c>
      <c r="S182" s="14" t="str">
        <f t="shared" si="7"/>
        <v/>
      </c>
      <c r="T182" s="33" t="str">
        <f t="shared" si="8"/>
        <v/>
      </c>
    </row>
    <row r="183" spans="1:20" x14ac:dyDescent="0.3">
      <c r="A183" s="26">
        <f>IF(BASE_CAIXA!A180="","",BASE_CAIXA!A180)</f>
        <v>179</v>
      </c>
      <c r="B183" s="26" t="str">
        <f>IF(A183="","",BASE_CAIXA!AL180)</f>
        <v>000179-DB</v>
      </c>
      <c r="C183" s="13">
        <f>IF(A183="","",BASE_CAIXA!AJ180)</f>
        <v>46143</v>
      </c>
      <c r="D183" s="26" t="str">
        <f>IF(A183="","",IF(BASE_CAIXA!C180="Entrada","Crédito","Débito"))</f>
        <v>Débito</v>
      </c>
      <c r="E183" s="14">
        <f>IF(A183="","",BASE_CAIXA!AA180)</f>
        <v>13686.86592</v>
      </c>
      <c r="F183" s="26">
        <f>IF(A183="","",BASE_CAIXA!N180)</f>
        <v>0</v>
      </c>
      <c r="G183" s="26">
        <f>IF(A183="","",BASE_CAIXA!O180)</f>
        <v>0</v>
      </c>
      <c r="H183" s="26">
        <f>IF(A183="","",BASE_CAIXA!P180)</f>
        <v>0</v>
      </c>
      <c r="I183" s="26" t="str">
        <f>IF(A183="","",IF(BASE_CAIXA!H180&lt;&gt;"",BASE_CAIXA!H180,BASE_CAIXA!G180))</f>
        <v>Revestimento Cerâmico  PEI IV 35 x 35- cor,  (perda 15%) - inclui rodapé</v>
      </c>
      <c r="J183" s="26" t="str">
        <f>IF(A183="","",BASE_CAIXA!G180)</f>
        <v>Revestimento Cerâmico  PEI IV 35 x 35- cor,  (perda 15%) - inclui rodapé</v>
      </c>
      <c r="K183" s="26">
        <f>IF(A183="","",BASE_CAIXA!I180)</f>
        <v>0</v>
      </c>
      <c r="L183" s="26">
        <f>IF(A183="","",BASE_CAIXA!J180)</f>
        <v>0</v>
      </c>
      <c r="M183" s="26" t="str">
        <f>IF(A183="","",BASE_CAIXA!AM180)</f>
        <v>Revestimento Cerâmico  PEI IV 35 x 35- cor,  (perda 15%) - i</v>
      </c>
      <c r="N183" s="26" t="str">
        <f t="shared" ca="1" si="6"/>
        <v>Previsto</v>
      </c>
      <c r="O183" s="13" t="str">
        <f>IFERROR(INDEX(EXTRATO_IMPORTADO!$A$5:$A$404,MATCH(B183,EXTRATO_IMPORTADO!$I$5:$I$404,0)),"")</f>
        <v/>
      </c>
      <c r="P183" s="14" t="str">
        <f>IFERROR(INDEX(EXTRATO_IMPORTADO!$F$5:$F$404,MATCH(B183,EXTRATO_IMPORTADO!$I$5:$I$404,0)),"")</f>
        <v/>
      </c>
      <c r="Q183" s="26" t="str">
        <f>IFERROR(INDEX(EXTRATO_IMPORTADO!$B$5:$B$404,MATCH(B183,EXTRATO_IMPORTADO!$I$5:$I$404,0)),"")</f>
        <v/>
      </c>
      <c r="R183" s="26" t="str">
        <f>IFERROR(MATCH(B183,EXTRATO_IMPORTADO!$I$5:$I$404,0),"")</f>
        <v/>
      </c>
      <c r="S183" s="14" t="str">
        <f t="shared" si="7"/>
        <v/>
      </c>
      <c r="T183" s="33" t="str">
        <f t="shared" si="8"/>
        <v/>
      </c>
    </row>
    <row r="184" spans="1:20" x14ac:dyDescent="0.3">
      <c r="A184" s="26">
        <f>IF(BASE_CAIXA!A181="","",BASE_CAIXA!A181)</f>
        <v>180</v>
      </c>
      <c r="B184" s="26" t="str">
        <f>IF(A184="","",BASE_CAIXA!AL181)</f>
        <v>000180-DB</v>
      </c>
      <c r="C184" s="13">
        <f>IF(A184="","",BASE_CAIXA!AJ181)</f>
        <v>46143</v>
      </c>
      <c r="D184" s="26" t="str">
        <f>IF(A184="","",IF(BASE_CAIXA!C181="Entrada","Crédito","Débito"))</f>
        <v>Débito</v>
      </c>
      <c r="E184" s="14">
        <f>IF(A184="","",BASE_CAIXA!AA181)</f>
        <v>192</v>
      </c>
      <c r="F184" s="26">
        <f>IF(A184="","",BASE_CAIXA!N181)</f>
        <v>0</v>
      </c>
      <c r="G184" s="26">
        <f>IF(A184="","",BASE_CAIXA!O181)</f>
        <v>0</v>
      </c>
      <c r="H184" s="26">
        <f>IF(A184="","",BASE_CAIXA!P181)</f>
        <v>0</v>
      </c>
      <c r="I184" s="26" t="str">
        <f>IF(A184="","",IF(BASE_CAIXA!H181&lt;&gt;"",BASE_CAIXA!H181,BASE_CAIXA!G181))</f>
        <v>Arame Recozido bwg 18</v>
      </c>
      <c r="J184" s="26" t="str">
        <f>IF(A184="","",BASE_CAIXA!G181)</f>
        <v>Arame Recozido bwg 18</v>
      </c>
      <c r="K184" s="26">
        <f>IF(A184="","",BASE_CAIXA!I181)</f>
        <v>0</v>
      </c>
      <c r="L184" s="26">
        <f>IF(A184="","",BASE_CAIXA!J181)</f>
        <v>0</v>
      </c>
      <c r="M184" s="26" t="str">
        <f>IF(A184="","",BASE_CAIXA!AM181)</f>
        <v>Arame Recozido bwg 18 | Arame Recozido bwg 18 | Saída | RADI</v>
      </c>
      <c r="N184" s="26" t="str">
        <f t="shared" ca="1" si="6"/>
        <v>Previsto</v>
      </c>
      <c r="O184" s="13" t="str">
        <f>IFERROR(INDEX(EXTRATO_IMPORTADO!$A$5:$A$404,MATCH(B184,EXTRATO_IMPORTADO!$I$5:$I$404,0)),"")</f>
        <v/>
      </c>
      <c r="P184" s="14" t="str">
        <f>IFERROR(INDEX(EXTRATO_IMPORTADO!$F$5:$F$404,MATCH(B184,EXTRATO_IMPORTADO!$I$5:$I$404,0)),"")</f>
        <v/>
      </c>
      <c r="Q184" s="26" t="str">
        <f>IFERROR(INDEX(EXTRATO_IMPORTADO!$B$5:$B$404,MATCH(B184,EXTRATO_IMPORTADO!$I$5:$I$404,0)),"")</f>
        <v/>
      </c>
      <c r="R184" s="26" t="str">
        <f>IFERROR(MATCH(B184,EXTRATO_IMPORTADO!$I$5:$I$404,0),"")</f>
        <v/>
      </c>
      <c r="S184" s="14" t="str">
        <f t="shared" si="7"/>
        <v/>
      </c>
      <c r="T184" s="33" t="str">
        <f t="shared" si="8"/>
        <v/>
      </c>
    </row>
    <row r="185" spans="1:20" x14ac:dyDescent="0.3">
      <c r="A185" s="26">
        <f>IF(BASE_CAIXA!A182="","",BASE_CAIXA!A182)</f>
        <v>181</v>
      </c>
      <c r="B185" s="26" t="str">
        <f>IF(A185="","",BASE_CAIXA!AL182)</f>
        <v>000181-DB</v>
      </c>
      <c r="C185" s="13">
        <f>IF(A185="","",BASE_CAIXA!AJ182)</f>
        <v>46143</v>
      </c>
      <c r="D185" s="26" t="str">
        <f>IF(A185="","",IF(BASE_CAIXA!C182="Entrada","Crédito","Débito"))</f>
        <v>Débito</v>
      </c>
      <c r="E185" s="14">
        <f>IF(A185="","",BASE_CAIXA!AA182)</f>
        <v>39621.120000000003</v>
      </c>
      <c r="F185" s="26">
        <f>IF(A185="","",BASE_CAIXA!N182)</f>
        <v>0</v>
      </c>
      <c r="G185" s="26">
        <f>IF(A185="","",BASE_CAIXA!O182)</f>
        <v>0</v>
      </c>
      <c r="H185" s="26">
        <f>IF(A185="","",BASE_CAIXA!P182)</f>
        <v>0</v>
      </c>
      <c r="I185" s="26" t="str">
        <f>IF(A185="","",IF(BASE_CAIXA!H182&lt;&gt;"",BASE_CAIXA!H182,BASE_CAIXA!G182))</f>
        <v>Aço - Tela Q-138 - 5.0 c/10 -  (245 x 600 cm) (frete de 300 + ipi de 133 incluido</v>
      </c>
      <c r="J185" s="26" t="str">
        <f>IF(A185="","",BASE_CAIXA!G182)</f>
        <v>Aço - Tela Q-138 - 5.0 c/10 -  (245 x 600 cm) (frete de 300 + ipi de 133 incluido</v>
      </c>
      <c r="K185" s="26">
        <f>IF(A185="","",BASE_CAIXA!I182)</f>
        <v>0</v>
      </c>
      <c r="L185" s="26">
        <f>IF(A185="","",BASE_CAIXA!J182)</f>
        <v>0</v>
      </c>
      <c r="M185" s="26" t="str">
        <f>IF(A185="","",BASE_CAIXA!AM182)</f>
        <v xml:space="preserve">Aço - Tela Q-138 - 5.0 c/10 -  (245 x 600 cm) (frete de 300 </v>
      </c>
      <c r="N185" s="26" t="str">
        <f t="shared" ca="1" si="6"/>
        <v>Previsto</v>
      </c>
      <c r="O185" s="13" t="str">
        <f>IFERROR(INDEX(EXTRATO_IMPORTADO!$A$5:$A$404,MATCH(B185,EXTRATO_IMPORTADO!$I$5:$I$404,0)),"")</f>
        <v/>
      </c>
      <c r="P185" s="14" t="str">
        <f>IFERROR(INDEX(EXTRATO_IMPORTADO!$F$5:$F$404,MATCH(B185,EXTRATO_IMPORTADO!$I$5:$I$404,0)),"")</f>
        <v/>
      </c>
      <c r="Q185" s="26" t="str">
        <f>IFERROR(INDEX(EXTRATO_IMPORTADO!$B$5:$B$404,MATCH(B185,EXTRATO_IMPORTADO!$I$5:$I$404,0)),"")</f>
        <v/>
      </c>
      <c r="R185" s="26" t="str">
        <f>IFERROR(MATCH(B185,EXTRATO_IMPORTADO!$I$5:$I$404,0),"")</f>
        <v/>
      </c>
      <c r="S185" s="14" t="str">
        <f t="shared" si="7"/>
        <v/>
      </c>
      <c r="T185" s="33" t="str">
        <f t="shared" si="8"/>
        <v/>
      </c>
    </row>
    <row r="186" spans="1:20" x14ac:dyDescent="0.3">
      <c r="A186" s="26">
        <f>IF(BASE_CAIXA!A183="","",BASE_CAIXA!A183)</f>
        <v>182</v>
      </c>
      <c r="B186" s="26" t="str">
        <f>IF(A186="","",BASE_CAIXA!AL183)</f>
        <v>000182-DB</v>
      </c>
      <c r="C186" s="13">
        <f>IF(A186="","",BASE_CAIXA!AJ183)</f>
        <v>46143</v>
      </c>
      <c r="D186" s="26" t="str">
        <f>IF(A186="","",IF(BASE_CAIXA!C183="Entrada","Crédito","Débito"))</f>
        <v>Débito</v>
      </c>
      <c r="E186" s="14">
        <f>IF(A186="","",BASE_CAIXA!AA183)</f>
        <v>4400</v>
      </c>
      <c r="F186" s="26">
        <f>IF(A186="","",BASE_CAIXA!N183)</f>
        <v>0</v>
      </c>
      <c r="G186" s="26">
        <f>IF(A186="","",BASE_CAIXA!O183)</f>
        <v>0</v>
      </c>
      <c r="H186" s="26">
        <f>IF(A186="","",BASE_CAIXA!P183)</f>
        <v>0</v>
      </c>
      <c r="I186" s="26" t="str">
        <f>IF(A186="","",IF(BASE_CAIXA!H183&lt;&gt;"",BASE_CAIXA!H183,BASE_CAIXA!G183))</f>
        <v>Bomba de concreto  ( Taxa divide 1 casa e 1 radier )</v>
      </c>
      <c r="J186" s="26" t="str">
        <f>IF(A186="","",BASE_CAIXA!G183)</f>
        <v>Bomba de concreto  ( Taxa divide 1 casa e 1 radier )</v>
      </c>
      <c r="K186" s="26">
        <f>IF(A186="","",BASE_CAIXA!I183)</f>
        <v>0</v>
      </c>
      <c r="L186" s="26">
        <f>IF(A186="","",BASE_CAIXA!J183)</f>
        <v>0</v>
      </c>
      <c r="M186" s="26" t="str">
        <f>IF(A186="","",BASE_CAIXA!AM183)</f>
        <v>Bomba de concreto  ( Taxa divide 1 casa e 1 radier ) | Bomba</v>
      </c>
      <c r="N186" s="26" t="str">
        <f t="shared" ca="1" si="6"/>
        <v>Previsto</v>
      </c>
      <c r="O186" s="13" t="str">
        <f>IFERROR(INDEX(EXTRATO_IMPORTADO!$A$5:$A$404,MATCH(B186,EXTRATO_IMPORTADO!$I$5:$I$404,0)),"")</f>
        <v/>
      </c>
      <c r="P186" s="14" t="str">
        <f>IFERROR(INDEX(EXTRATO_IMPORTADO!$F$5:$F$404,MATCH(B186,EXTRATO_IMPORTADO!$I$5:$I$404,0)),"")</f>
        <v/>
      </c>
      <c r="Q186" s="26" t="str">
        <f>IFERROR(INDEX(EXTRATO_IMPORTADO!$B$5:$B$404,MATCH(B186,EXTRATO_IMPORTADO!$I$5:$I$404,0)),"")</f>
        <v/>
      </c>
      <c r="R186" s="26" t="str">
        <f>IFERROR(MATCH(B186,EXTRATO_IMPORTADO!$I$5:$I$404,0),"")</f>
        <v/>
      </c>
      <c r="S186" s="14" t="str">
        <f t="shared" si="7"/>
        <v/>
      </c>
      <c r="T186" s="33" t="str">
        <f t="shared" si="8"/>
        <v/>
      </c>
    </row>
    <row r="187" spans="1:20" x14ac:dyDescent="0.3">
      <c r="A187" s="26">
        <f>IF(BASE_CAIXA!A184="","",BASE_CAIXA!A184)</f>
        <v>183</v>
      </c>
      <c r="B187" s="26" t="str">
        <f>IF(A187="","",BASE_CAIXA!AL184)</f>
        <v>000183-DB</v>
      </c>
      <c r="C187" s="13">
        <f>IF(A187="","",BASE_CAIXA!AJ184)</f>
        <v>46143</v>
      </c>
      <c r="D187" s="26" t="str">
        <f>IF(A187="","",IF(BASE_CAIXA!C184="Entrada","Crédito","Débito"))</f>
        <v>Débito</v>
      </c>
      <c r="E187" s="14">
        <f>IF(A187="","",BASE_CAIXA!AA184)</f>
        <v>261.33333333333331</v>
      </c>
      <c r="F187" s="26">
        <f>IF(A187="","",BASE_CAIXA!N184)</f>
        <v>0</v>
      </c>
      <c r="G187" s="26">
        <f>IF(A187="","",BASE_CAIXA!O184)</f>
        <v>0</v>
      </c>
      <c r="H187" s="26">
        <f>IF(A187="","",BASE_CAIXA!P184)</f>
        <v>0</v>
      </c>
      <c r="I187" s="26" t="str">
        <f>IF(A187="","",IF(BASE_CAIXA!H184&lt;&gt;"",BASE_CAIXA!H184,BASE_CAIXA!G184))</f>
        <v>Cimento PortlanD CP IV 32 para limpeza da bomba</v>
      </c>
      <c r="J187" s="26" t="str">
        <f>IF(A187="","",BASE_CAIXA!G184)</f>
        <v>Cimento PortlanD CP IV 32 para limpeza da bomba</v>
      </c>
      <c r="K187" s="26">
        <f>IF(A187="","",BASE_CAIXA!I184)</f>
        <v>0</v>
      </c>
      <c r="L187" s="26">
        <f>IF(A187="","",BASE_CAIXA!J184)</f>
        <v>0</v>
      </c>
      <c r="M187" s="26" t="str">
        <f>IF(A187="","",BASE_CAIXA!AM184)</f>
        <v>Cimento PortlanD CP IV 32 para limpeza da bomba | Cimento Po</v>
      </c>
      <c r="N187" s="26" t="str">
        <f t="shared" ca="1" si="6"/>
        <v>Previsto</v>
      </c>
      <c r="O187" s="13" t="str">
        <f>IFERROR(INDEX(EXTRATO_IMPORTADO!$A$5:$A$404,MATCH(B187,EXTRATO_IMPORTADO!$I$5:$I$404,0)),"")</f>
        <v/>
      </c>
      <c r="P187" s="14" t="str">
        <f>IFERROR(INDEX(EXTRATO_IMPORTADO!$F$5:$F$404,MATCH(B187,EXTRATO_IMPORTADO!$I$5:$I$404,0)),"")</f>
        <v/>
      </c>
      <c r="Q187" s="26" t="str">
        <f>IFERROR(INDEX(EXTRATO_IMPORTADO!$B$5:$B$404,MATCH(B187,EXTRATO_IMPORTADO!$I$5:$I$404,0)),"")</f>
        <v/>
      </c>
      <c r="R187" s="26" t="str">
        <f>IFERROR(MATCH(B187,EXTRATO_IMPORTADO!$I$5:$I$404,0),"")</f>
        <v/>
      </c>
      <c r="S187" s="14" t="str">
        <f t="shared" si="7"/>
        <v/>
      </c>
      <c r="T187" s="33" t="str">
        <f t="shared" si="8"/>
        <v/>
      </c>
    </row>
    <row r="188" spans="1:20" x14ac:dyDescent="0.3">
      <c r="A188" s="26">
        <f>IF(BASE_CAIXA!A185="","",BASE_CAIXA!A185)</f>
        <v>184</v>
      </c>
      <c r="B188" s="26" t="str">
        <f>IF(A188="","",BASE_CAIXA!AL185)</f>
        <v>000184-DB</v>
      </c>
      <c r="C188" s="13">
        <f>IF(A188="","",BASE_CAIXA!AJ185)</f>
        <v>46143</v>
      </c>
      <c r="D188" s="26" t="str">
        <f>IF(A188="","",IF(BASE_CAIXA!C185="Entrada","Crédito","Débito"))</f>
        <v>Débito</v>
      </c>
      <c r="E188" s="14">
        <f>IF(A188="","",BASE_CAIXA!AA185)</f>
        <v>79635.199999999997</v>
      </c>
      <c r="F188" s="26">
        <f>IF(A188="","",BASE_CAIXA!N185)</f>
        <v>0</v>
      </c>
      <c r="G188" s="26">
        <f>IF(A188="","",BASE_CAIXA!O185)</f>
        <v>0</v>
      </c>
      <c r="H188" s="26">
        <f>IF(A188="","",BASE_CAIXA!P185)</f>
        <v>0</v>
      </c>
      <c r="I188" s="26" t="str">
        <f>IF(A188="","",IF(BASE_CAIXA!H185&lt;&gt;"",BASE_CAIXA!H185,BASE_CAIXA!G185))</f>
        <v>Concreto Usinado fck - 25 Mpa ( Com perda de 10%) - SEM IMPERMEABILIZANTE - 140 +- 30 slump</v>
      </c>
      <c r="J188" s="26" t="str">
        <f>IF(A188="","",BASE_CAIXA!G185)</f>
        <v>Concreto Usinado fck - 25 Mpa ( Com perda de 10%) - SEM IMPERMEABILIZANTE - 140 +- 30 slump</v>
      </c>
      <c r="K188" s="26">
        <f>IF(A188="","",BASE_CAIXA!I185)</f>
        <v>0</v>
      </c>
      <c r="L188" s="26">
        <f>IF(A188="","",BASE_CAIXA!J185)</f>
        <v>0</v>
      </c>
      <c r="M188" s="26" t="str">
        <f>IF(A188="","",BASE_CAIXA!AM185)</f>
        <v>Concreto Usinado fck - 25 Mpa ( Com perda de 10%) - SEM IMPE</v>
      </c>
      <c r="N188" s="26" t="str">
        <f t="shared" ca="1" si="6"/>
        <v>Previsto</v>
      </c>
      <c r="O188" s="13" t="str">
        <f>IFERROR(INDEX(EXTRATO_IMPORTADO!$A$5:$A$404,MATCH(B188,EXTRATO_IMPORTADO!$I$5:$I$404,0)),"")</f>
        <v/>
      </c>
      <c r="P188" s="14" t="str">
        <f>IFERROR(INDEX(EXTRATO_IMPORTADO!$F$5:$F$404,MATCH(B188,EXTRATO_IMPORTADO!$I$5:$I$404,0)),"")</f>
        <v/>
      </c>
      <c r="Q188" s="26" t="str">
        <f>IFERROR(INDEX(EXTRATO_IMPORTADO!$B$5:$B$404,MATCH(B188,EXTRATO_IMPORTADO!$I$5:$I$404,0)),"")</f>
        <v/>
      </c>
      <c r="R188" s="26" t="str">
        <f>IFERROR(MATCH(B188,EXTRATO_IMPORTADO!$I$5:$I$404,0),"")</f>
        <v/>
      </c>
      <c r="S188" s="14" t="str">
        <f t="shared" si="7"/>
        <v/>
      </c>
      <c r="T188" s="33" t="str">
        <f t="shared" si="8"/>
        <v/>
      </c>
    </row>
    <row r="189" spans="1:20" x14ac:dyDescent="0.3">
      <c r="A189" s="26">
        <f>IF(BASE_CAIXA!A186="","",BASE_CAIXA!A186)</f>
        <v>185</v>
      </c>
      <c r="B189" s="26" t="str">
        <f>IF(A189="","",BASE_CAIXA!AL186)</f>
        <v>000185-DB</v>
      </c>
      <c r="C189" s="13">
        <f>IF(A189="","",BASE_CAIXA!AJ186)</f>
        <v>46143</v>
      </c>
      <c r="D189" s="26" t="str">
        <f>IF(A189="","",IF(BASE_CAIXA!C186="Entrada","Crédito","Débito"))</f>
        <v>Débito</v>
      </c>
      <c r="E189" s="14">
        <f>IF(A189="","",BASE_CAIXA!AA186)</f>
        <v>1248</v>
      </c>
      <c r="F189" s="26">
        <f>IF(A189="","",BASE_CAIXA!N186)</f>
        <v>0</v>
      </c>
      <c r="G189" s="26">
        <f>IF(A189="","",BASE_CAIXA!O186)</f>
        <v>0</v>
      </c>
      <c r="H189" s="26">
        <f>IF(A189="","",BASE_CAIXA!P186)</f>
        <v>0</v>
      </c>
      <c r="I189" s="26" t="str">
        <f>IF(A189="","",IF(BASE_CAIXA!H186&lt;&gt;"",BASE_CAIXA!H186,BASE_CAIXA!G186))</f>
        <v>Desmoldante TECNOMOR</v>
      </c>
      <c r="J189" s="26" t="str">
        <f>IF(A189="","",BASE_CAIXA!G186)</f>
        <v>Desmoldante TECNOMOR</v>
      </c>
      <c r="K189" s="26">
        <f>IF(A189="","",BASE_CAIXA!I186)</f>
        <v>0</v>
      </c>
      <c r="L189" s="26">
        <f>IF(A189="","",BASE_CAIXA!J186)</f>
        <v>0</v>
      </c>
      <c r="M189" s="26" t="str">
        <f>IF(A189="","",BASE_CAIXA!AM186)</f>
        <v>Desmoldante TECNOMOR | Desmoldante TECNOMOR | Saída | RADIER</v>
      </c>
      <c r="N189" s="26" t="str">
        <f t="shared" ca="1" si="6"/>
        <v>Previsto</v>
      </c>
      <c r="O189" s="13" t="str">
        <f>IFERROR(INDEX(EXTRATO_IMPORTADO!$A$5:$A$404,MATCH(B189,EXTRATO_IMPORTADO!$I$5:$I$404,0)),"")</f>
        <v/>
      </c>
      <c r="P189" s="14" t="str">
        <f>IFERROR(INDEX(EXTRATO_IMPORTADO!$F$5:$F$404,MATCH(B189,EXTRATO_IMPORTADO!$I$5:$I$404,0)),"")</f>
        <v/>
      </c>
      <c r="Q189" s="26" t="str">
        <f>IFERROR(INDEX(EXTRATO_IMPORTADO!$B$5:$B$404,MATCH(B189,EXTRATO_IMPORTADO!$I$5:$I$404,0)),"")</f>
        <v/>
      </c>
      <c r="R189" s="26" t="str">
        <f>IFERROR(MATCH(B189,EXTRATO_IMPORTADO!$I$5:$I$404,0),"")</f>
        <v/>
      </c>
      <c r="S189" s="14" t="str">
        <f t="shared" si="7"/>
        <v/>
      </c>
      <c r="T189" s="33" t="str">
        <f t="shared" si="8"/>
        <v/>
      </c>
    </row>
    <row r="190" spans="1:20" x14ac:dyDescent="0.3">
      <c r="A190" s="26">
        <f>IF(BASE_CAIXA!A187="","",BASE_CAIXA!A187)</f>
        <v>186</v>
      </c>
      <c r="B190" s="26" t="str">
        <f>IF(A190="","",BASE_CAIXA!AL187)</f>
        <v>000186-DB</v>
      </c>
      <c r="C190" s="13">
        <f>IF(A190="","",BASE_CAIXA!AJ187)</f>
        <v>46143</v>
      </c>
      <c r="D190" s="26" t="str">
        <f>IF(A190="","",IF(BASE_CAIXA!C187="Entrada","Crédito","Débito"))</f>
        <v>Débito</v>
      </c>
      <c r="E190" s="14">
        <f>IF(A190="","",BASE_CAIXA!AA187)</f>
        <v>8320</v>
      </c>
      <c r="F190" s="26">
        <f>IF(A190="","",BASE_CAIXA!N187)</f>
        <v>0</v>
      </c>
      <c r="G190" s="26">
        <f>IF(A190="","",BASE_CAIXA!O187)</f>
        <v>0</v>
      </c>
      <c r="H190" s="26">
        <f>IF(A190="","",BASE_CAIXA!P187)</f>
        <v>0</v>
      </c>
      <c r="I190" s="26" t="str">
        <f>IF(A190="","",IF(BASE_CAIXA!H187&lt;&gt;"",BASE_CAIXA!H187,BASE_CAIXA!G187))</f>
        <v>Espaçador tipo centopeia - 5 unid. por m² - 50 mm</v>
      </c>
      <c r="J190" s="26" t="str">
        <f>IF(A190="","",BASE_CAIXA!G187)</f>
        <v>Espaçador tipo centopeia - 5 unid. por m² - 50 mm</v>
      </c>
      <c r="K190" s="26">
        <f>IF(A190="","",BASE_CAIXA!I187)</f>
        <v>0</v>
      </c>
      <c r="L190" s="26">
        <f>IF(A190="","",BASE_CAIXA!J187)</f>
        <v>0</v>
      </c>
      <c r="M190" s="26" t="str">
        <f>IF(A190="","",BASE_CAIXA!AM187)</f>
        <v>Espaçador tipo centopeia - 5 unid. por m² - 50 mm | Espaçado</v>
      </c>
      <c r="N190" s="26" t="str">
        <f t="shared" ca="1" si="6"/>
        <v>Previsto</v>
      </c>
      <c r="O190" s="13" t="str">
        <f>IFERROR(INDEX(EXTRATO_IMPORTADO!$A$5:$A$404,MATCH(B190,EXTRATO_IMPORTADO!$I$5:$I$404,0)),"")</f>
        <v/>
      </c>
      <c r="P190" s="14" t="str">
        <f>IFERROR(INDEX(EXTRATO_IMPORTADO!$F$5:$F$404,MATCH(B190,EXTRATO_IMPORTADO!$I$5:$I$404,0)),"")</f>
        <v/>
      </c>
      <c r="Q190" s="26" t="str">
        <f>IFERROR(INDEX(EXTRATO_IMPORTADO!$B$5:$B$404,MATCH(B190,EXTRATO_IMPORTADO!$I$5:$I$404,0)),"")</f>
        <v/>
      </c>
      <c r="R190" s="26" t="str">
        <f>IFERROR(MATCH(B190,EXTRATO_IMPORTADO!$I$5:$I$404,0),"")</f>
        <v/>
      </c>
      <c r="S190" s="14" t="str">
        <f t="shared" si="7"/>
        <v/>
      </c>
      <c r="T190" s="33" t="str">
        <f t="shared" si="8"/>
        <v/>
      </c>
    </row>
    <row r="191" spans="1:20" x14ac:dyDescent="0.3">
      <c r="A191" s="26">
        <f>IF(BASE_CAIXA!A188="","",BASE_CAIXA!A188)</f>
        <v>187</v>
      </c>
      <c r="B191" s="26" t="str">
        <f>IF(A191="","",BASE_CAIXA!AL188)</f>
        <v>000187-DB</v>
      </c>
      <c r="C191" s="13">
        <f>IF(A191="","",BASE_CAIXA!AJ188)</f>
        <v>46143</v>
      </c>
      <c r="D191" s="26" t="str">
        <f>IF(A191="","",IF(BASE_CAIXA!C188="Entrada","Crédito","Débito"))</f>
        <v>Débito</v>
      </c>
      <c r="E191" s="14">
        <f>IF(A191="","",BASE_CAIXA!AA188)</f>
        <v>2419.1999999999998</v>
      </c>
      <c r="F191" s="26">
        <f>IF(A191="","",BASE_CAIXA!N188)</f>
        <v>0</v>
      </c>
      <c r="G191" s="26">
        <f>IF(A191="","",BASE_CAIXA!O188)</f>
        <v>0</v>
      </c>
      <c r="H191" s="26">
        <f>IF(A191="","",BASE_CAIXA!P188)</f>
        <v>0</v>
      </c>
      <c r="I191" s="26" t="str">
        <f>IF(A191="","",IF(BASE_CAIXA!H188&lt;&gt;"",BASE_CAIXA!H188,BASE_CAIXA!G188))</f>
        <v>Forma para Radier - chapa de compensado naval plastificado 14mm</v>
      </c>
      <c r="J191" s="26" t="str">
        <f>IF(A191="","",BASE_CAIXA!G188)</f>
        <v>Forma para Radier - chapa de compensado naval plastificado 14mm</v>
      </c>
      <c r="K191" s="26">
        <f>IF(A191="","",BASE_CAIXA!I188)</f>
        <v>0</v>
      </c>
      <c r="L191" s="26">
        <f>IF(A191="","",BASE_CAIXA!J188)</f>
        <v>0</v>
      </c>
      <c r="M191" s="26" t="str">
        <f>IF(A191="","",BASE_CAIXA!AM188)</f>
        <v>Forma para Radier - chapa de compensado naval plastificado 1</v>
      </c>
      <c r="N191" s="26" t="str">
        <f t="shared" ca="1" si="6"/>
        <v>Previsto</v>
      </c>
      <c r="O191" s="13" t="str">
        <f>IFERROR(INDEX(EXTRATO_IMPORTADO!$A$5:$A$404,MATCH(B191,EXTRATO_IMPORTADO!$I$5:$I$404,0)),"")</f>
        <v/>
      </c>
      <c r="P191" s="14" t="str">
        <f>IFERROR(INDEX(EXTRATO_IMPORTADO!$F$5:$F$404,MATCH(B191,EXTRATO_IMPORTADO!$I$5:$I$404,0)),"")</f>
        <v/>
      </c>
      <c r="Q191" s="26" t="str">
        <f>IFERROR(INDEX(EXTRATO_IMPORTADO!$B$5:$B$404,MATCH(B191,EXTRATO_IMPORTADO!$I$5:$I$404,0)),"")</f>
        <v/>
      </c>
      <c r="R191" s="26" t="str">
        <f>IFERROR(MATCH(B191,EXTRATO_IMPORTADO!$I$5:$I$404,0),"")</f>
        <v/>
      </c>
      <c r="S191" s="14" t="str">
        <f t="shared" si="7"/>
        <v/>
      </c>
      <c r="T191" s="33" t="str">
        <f t="shared" si="8"/>
        <v/>
      </c>
    </row>
    <row r="192" spans="1:20" x14ac:dyDescent="0.3">
      <c r="A192" s="26">
        <f>IF(BASE_CAIXA!A189="","",BASE_CAIXA!A189)</f>
        <v>188</v>
      </c>
      <c r="B192" s="26" t="str">
        <f>IF(A192="","",BASE_CAIXA!AL189)</f>
        <v>000188-DB</v>
      </c>
      <c r="C192" s="13">
        <f>IF(A192="","",BASE_CAIXA!AJ189)</f>
        <v>46143</v>
      </c>
      <c r="D192" s="26" t="str">
        <f>IF(A192="","",IF(BASE_CAIXA!C189="Entrada","Crédito","Débito"))</f>
        <v>Débito</v>
      </c>
      <c r="E192" s="14">
        <f>IF(A192="","",BASE_CAIXA!AA189)</f>
        <v>1364</v>
      </c>
      <c r="F192" s="26">
        <f>IF(A192="","",BASE_CAIXA!N189)</f>
        <v>0</v>
      </c>
      <c r="G192" s="26">
        <f>IF(A192="","",BASE_CAIXA!O189)</f>
        <v>0</v>
      </c>
      <c r="H192" s="26">
        <f>IF(A192="","",BASE_CAIXA!P189)</f>
        <v>0</v>
      </c>
      <c r="I192" s="26" t="str">
        <f>IF(A192="","",IF(BASE_CAIXA!H189&lt;&gt;"",BASE_CAIXA!H189,BASE_CAIXA!G189))</f>
        <v>Forma para Radier - tabua pinus 25mm para montagem do gabarito 2,70 m x 15cm</v>
      </c>
      <c r="J192" s="26" t="str">
        <f>IF(A192="","",BASE_CAIXA!G189)</f>
        <v>Forma para Radier - tabua pinus 25mm para montagem do gabarito 2,70 m x 15cm</v>
      </c>
      <c r="K192" s="26">
        <f>IF(A192="","",BASE_CAIXA!I189)</f>
        <v>0</v>
      </c>
      <c r="L192" s="26">
        <f>IF(A192="","",BASE_CAIXA!J189)</f>
        <v>0</v>
      </c>
      <c r="M192" s="26" t="str">
        <f>IF(A192="","",BASE_CAIXA!AM189)</f>
        <v>Forma para Radier - tabua pinus 25mm para montagem do gabari</v>
      </c>
      <c r="N192" s="26" t="str">
        <f t="shared" ca="1" si="6"/>
        <v>Previsto</v>
      </c>
      <c r="O192" s="13" t="str">
        <f>IFERROR(INDEX(EXTRATO_IMPORTADO!$A$5:$A$404,MATCH(B192,EXTRATO_IMPORTADO!$I$5:$I$404,0)),"")</f>
        <v/>
      </c>
      <c r="P192" s="14" t="str">
        <f>IFERROR(INDEX(EXTRATO_IMPORTADO!$F$5:$F$404,MATCH(B192,EXTRATO_IMPORTADO!$I$5:$I$404,0)),"")</f>
        <v/>
      </c>
      <c r="Q192" s="26" t="str">
        <f>IFERROR(INDEX(EXTRATO_IMPORTADO!$B$5:$B$404,MATCH(B192,EXTRATO_IMPORTADO!$I$5:$I$404,0)),"")</f>
        <v/>
      </c>
      <c r="R192" s="26" t="str">
        <f>IFERROR(MATCH(B192,EXTRATO_IMPORTADO!$I$5:$I$404,0),"")</f>
        <v/>
      </c>
      <c r="S192" s="14" t="str">
        <f t="shared" si="7"/>
        <v/>
      </c>
      <c r="T192" s="33" t="str">
        <f t="shared" si="8"/>
        <v/>
      </c>
    </row>
    <row r="193" spans="1:20" x14ac:dyDescent="0.3">
      <c r="A193" s="26">
        <f>IF(BASE_CAIXA!A190="","",BASE_CAIXA!A190)</f>
        <v>189</v>
      </c>
      <c r="B193" s="26" t="str">
        <f>IF(A193="","",BASE_CAIXA!AL190)</f>
        <v>000189-DB</v>
      </c>
      <c r="C193" s="13">
        <f>IF(A193="","",BASE_CAIXA!AJ190)</f>
        <v>46143</v>
      </c>
      <c r="D193" s="26" t="str">
        <f>IF(A193="","",IF(BASE_CAIXA!C190="Entrada","Crédito","Débito"))</f>
        <v>Débito</v>
      </c>
      <c r="E193" s="14">
        <f>IF(A193="","",BASE_CAIXA!AA190)</f>
        <v>4409.6000000000004</v>
      </c>
      <c r="F193" s="26">
        <f>IF(A193="","",BASE_CAIXA!N190)</f>
        <v>0</v>
      </c>
      <c r="G193" s="26">
        <f>IF(A193="","",BASE_CAIXA!O190)</f>
        <v>0</v>
      </c>
      <c r="H193" s="26">
        <f>IF(A193="","",BASE_CAIXA!P190)</f>
        <v>0</v>
      </c>
      <c r="I193" s="26" t="str">
        <f>IF(A193="","",IF(BASE_CAIXA!H190&lt;&gt;"",BASE_CAIXA!H190,BASE_CAIXA!G190))</f>
        <v>Lona 150 micras</v>
      </c>
      <c r="J193" s="26" t="str">
        <f>IF(A193="","",BASE_CAIXA!G190)</f>
        <v>Lona 150 micras</v>
      </c>
      <c r="K193" s="26">
        <f>IF(A193="","",BASE_CAIXA!I190)</f>
        <v>0</v>
      </c>
      <c r="L193" s="26">
        <f>IF(A193="","",BASE_CAIXA!J190)</f>
        <v>0</v>
      </c>
      <c r="M193" s="26" t="str">
        <f>IF(A193="","",BASE_CAIXA!AM190)</f>
        <v>Lona 150 micras | Lona 150 micras | Saída | RADIER - 44,38 M</v>
      </c>
      <c r="N193" s="26" t="str">
        <f t="shared" ca="1" si="6"/>
        <v>Previsto</v>
      </c>
      <c r="O193" s="13" t="str">
        <f>IFERROR(INDEX(EXTRATO_IMPORTADO!$A$5:$A$404,MATCH(B193,EXTRATO_IMPORTADO!$I$5:$I$404,0)),"")</f>
        <v/>
      </c>
      <c r="P193" s="14" t="str">
        <f>IFERROR(INDEX(EXTRATO_IMPORTADO!$F$5:$F$404,MATCH(B193,EXTRATO_IMPORTADO!$I$5:$I$404,0)),"")</f>
        <v/>
      </c>
      <c r="Q193" s="26" t="str">
        <f>IFERROR(INDEX(EXTRATO_IMPORTADO!$B$5:$B$404,MATCH(B193,EXTRATO_IMPORTADO!$I$5:$I$404,0)),"")</f>
        <v/>
      </c>
      <c r="R193" s="26" t="str">
        <f>IFERROR(MATCH(B193,EXTRATO_IMPORTADO!$I$5:$I$404,0),"")</f>
        <v/>
      </c>
      <c r="S193" s="14" t="str">
        <f t="shared" si="7"/>
        <v/>
      </c>
      <c r="T193" s="33" t="str">
        <f t="shared" si="8"/>
        <v/>
      </c>
    </row>
    <row r="194" spans="1:20" x14ac:dyDescent="0.3">
      <c r="A194" s="26">
        <f>IF(BASE_CAIXA!A191="","",BASE_CAIXA!A191)</f>
        <v>190</v>
      </c>
      <c r="B194" s="26" t="str">
        <f>IF(A194="","",BASE_CAIXA!AL191)</f>
        <v>000190-DB</v>
      </c>
      <c r="C194" s="13">
        <f>IF(A194="","",BASE_CAIXA!AJ191)</f>
        <v>46143</v>
      </c>
      <c r="D194" s="26" t="str">
        <f>IF(A194="","",IF(BASE_CAIXA!C191="Entrada","Crédito","Débito"))</f>
        <v>Débito</v>
      </c>
      <c r="E194" s="14">
        <f>IF(A194="","",BASE_CAIXA!AA191)</f>
        <v>32000</v>
      </c>
      <c r="F194" s="26">
        <f>IF(A194="","",BASE_CAIXA!N191)</f>
        <v>0</v>
      </c>
      <c r="G194" s="26">
        <f>IF(A194="","",BASE_CAIXA!O191)</f>
        <v>0</v>
      </c>
      <c r="H194" s="26">
        <f>IF(A194="","",BASE_CAIXA!P191)</f>
        <v>0</v>
      </c>
      <c r="I194" s="26" t="str">
        <f>IF(A194="","",IF(BASE_CAIXA!H191&lt;&gt;"",BASE_CAIXA!H191,BASE_CAIXA!G191))</f>
        <v>Mao de obra Terceirizada Radier</v>
      </c>
      <c r="J194" s="26" t="str">
        <f>IF(A194="","",BASE_CAIXA!G191)</f>
        <v>Mao de obra Terceirizada Radier</v>
      </c>
      <c r="K194" s="26">
        <f>IF(A194="","",BASE_CAIXA!I191)</f>
        <v>0</v>
      </c>
      <c r="L194" s="26">
        <f>IF(A194="","",BASE_CAIXA!J191)</f>
        <v>0</v>
      </c>
      <c r="M194" s="26" t="str">
        <f>IF(A194="","",BASE_CAIXA!AM191)</f>
        <v>Mao de obra Terceirizada Radier | Mao de obra Terceirizada R</v>
      </c>
      <c r="N194" s="26" t="str">
        <f t="shared" ca="1" si="6"/>
        <v>Previsto</v>
      </c>
      <c r="O194" s="13" t="str">
        <f>IFERROR(INDEX(EXTRATO_IMPORTADO!$A$5:$A$404,MATCH(B194,EXTRATO_IMPORTADO!$I$5:$I$404,0)),"")</f>
        <v/>
      </c>
      <c r="P194" s="14" t="str">
        <f>IFERROR(INDEX(EXTRATO_IMPORTADO!$F$5:$F$404,MATCH(B194,EXTRATO_IMPORTADO!$I$5:$I$404,0)),"")</f>
        <v/>
      </c>
      <c r="Q194" s="26" t="str">
        <f>IFERROR(INDEX(EXTRATO_IMPORTADO!$B$5:$B$404,MATCH(B194,EXTRATO_IMPORTADO!$I$5:$I$404,0)),"")</f>
        <v/>
      </c>
      <c r="R194" s="26" t="str">
        <f>IFERROR(MATCH(B194,EXTRATO_IMPORTADO!$I$5:$I$404,0),"")</f>
        <v/>
      </c>
      <c r="S194" s="14" t="str">
        <f t="shared" si="7"/>
        <v/>
      </c>
      <c r="T194" s="33" t="str">
        <f t="shared" si="8"/>
        <v/>
      </c>
    </row>
    <row r="195" spans="1:20" x14ac:dyDescent="0.3">
      <c r="A195" s="26">
        <f>IF(BASE_CAIXA!A192="","",BASE_CAIXA!A192)</f>
        <v>191</v>
      </c>
      <c r="B195" s="26" t="str">
        <f>IF(A195="","",BASE_CAIXA!AL192)</f>
        <v>000191-DB</v>
      </c>
      <c r="C195" s="13">
        <f>IF(A195="","",BASE_CAIXA!AJ192)</f>
        <v>46143</v>
      </c>
      <c r="D195" s="26" t="str">
        <f>IF(A195="","",IF(BASE_CAIXA!C192="Entrada","Crédito","Débito"))</f>
        <v>Débito</v>
      </c>
      <c r="E195" s="14">
        <f>IF(A195="","",BASE_CAIXA!AA192)</f>
        <v>1600</v>
      </c>
      <c r="F195" s="26">
        <f>IF(A195="","",BASE_CAIXA!N192)</f>
        <v>0</v>
      </c>
      <c r="G195" s="26">
        <f>IF(A195="","",BASE_CAIXA!O192)</f>
        <v>0</v>
      </c>
      <c r="H195" s="26">
        <f>IF(A195="","",BASE_CAIXA!P192)</f>
        <v>0</v>
      </c>
      <c r="I195" s="26" t="str">
        <f>IF(A195="","",IF(BASE_CAIXA!H192&lt;&gt;"",BASE_CAIXA!H192,BASE_CAIXA!G192))</f>
        <v>Placa vibratoria reversivél CR5</v>
      </c>
      <c r="J195" s="26" t="str">
        <f>IF(A195="","",BASE_CAIXA!G192)</f>
        <v>Placa vibratoria reversivél CR5</v>
      </c>
      <c r="K195" s="26">
        <f>IF(A195="","",BASE_CAIXA!I192)</f>
        <v>0</v>
      </c>
      <c r="L195" s="26">
        <f>IF(A195="","",BASE_CAIXA!J192)</f>
        <v>0</v>
      </c>
      <c r="M195" s="26" t="str">
        <f>IF(A195="","",BASE_CAIXA!AM192)</f>
        <v>Placa vibratoria reversivél CR5 | Placa vibratoria reversivé</v>
      </c>
      <c r="N195" s="26" t="str">
        <f t="shared" ca="1" si="6"/>
        <v>Previsto</v>
      </c>
      <c r="O195" s="13" t="str">
        <f>IFERROR(INDEX(EXTRATO_IMPORTADO!$A$5:$A$404,MATCH(B195,EXTRATO_IMPORTADO!$I$5:$I$404,0)),"")</f>
        <v/>
      </c>
      <c r="P195" s="14" t="str">
        <f>IFERROR(INDEX(EXTRATO_IMPORTADO!$F$5:$F$404,MATCH(B195,EXTRATO_IMPORTADO!$I$5:$I$404,0)),"")</f>
        <v/>
      </c>
      <c r="Q195" s="26" t="str">
        <f>IFERROR(INDEX(EXTRATO_IMPORTADO!$B$5:$B$404,MATCH(B195,EXTRATO_IMPORTADO!$I$5:$I$404,0)),"")</f>
        <v/>
      </c>
      <c r="R195" s="26" t="str">
        <f>IFERROR(MATCH(B195,EXTRATO_IMPORTADO!$I$5:$I$404,0),"")</f>
        <v/>
      </c>
      <c r="S195" s="14" t="str">
        <f t="shared" si="7"/>
        <v/>
      </c>
      <c r="T195" s="33" t="str">
        <f t="shared" si="8"/>
        <v/>
      </c>
    </row>
    <row r="196" spans="1:20" x14ac:dyDescent="0.3">
      <c r="A196" s="26">
        <f>IF(BASE_CAIXA!A193="","",BASE_CAIXA!A193)</f>
        <v>192</v>
      </c>
      <c r="B196" s="26" t="str">
        <f>IF(A196="","",BASE_CAIXA!AL193)</f>
        <v>000192-DB</v>
      </c>
      <c r="C196" s="13">
        <f>IF(A196="","",BASE_CAIXA!AJ193)</f>
        <v>46143</v>
      </c>
      <c r="D196" s="26" t="str">
        <f>IF(A196="","",IF(BASE_CAIXA!C193="Entrada","Crédito","Débito"))</f>
        <v>Débito</v>
      </c>
      <c r="E196" s="14">
        <f>IF(A196="","",BASE_CAIXA!AA193)</f>
        <v>917.5</v>
      </c>
      <c r="F196" s="26">
        <f>IF(A196="","",BASE_CAIXA!N193)</f>
        <v>0</v>
      </c>
      <c r="G196" s="26">
        <f>IF(A196="","",BASE_CAIXA!O193)</f>
        <v>0</v>
      </c>
      <c r="H196" s="26">
        <f>IF(A196="","",BASE_CAIXA!P193)</f>
        <v>0</v>
      </c>
      <c r="I196" s="26" t="str">
        <f>IF(A196="","",IF(BASE_CAIXA!H193&lt;&gt;"",BASE_CAIXA!H193,BASE_CAIXA!G193))</f>
        <v>Prego 17 x 27 cabeça dupla</v>
      </c>
      <c r="J196" s="26" t="str">
        <f>IF(A196="","",BASE_CAIXA!G193)</f>
        <v>Prego 17 x 27 cabeça dupla</v>
      </c>
      <c r="K196" s="26">
        <f>IF(A196="","",BASE_CAIXA!I193)</f>
        <v>0</v>
      </c>
      <c r="L196" s="26">
        <f>IF(A196="","",BASE_CAIXA!J193)</f>
        <v>0</v>
      </c>
      <c r="M196" s="26" t="str">
        <f>IF(A196="","",BASE_CAIXA!AM193)</f>
        <v>Prego 17 x 27 cabeça dupla | Prego 17 x 27 cabeça dupla | Sa</v>
      </c>
      <c r="N196" s="26" t="str">
        <f t="shared" ca="1" si="6"/>
        <v>Previsto</v>
      </c>
      <c r="O196" s="13" t="str">
        <f>IFERROR(INDEX(EXTRATO_IMPORTADO!$A$5:$A$404,MATCH(B196,EXTRATO_IMPORTADO!$I$5:$I$404,0)),"")</f>
        <v/>
      </c>
      <c r="P196" s="14" t="str">
        <f>IFERROR(INDEX(EXTRATO_IMPORTADO!$F$5:$F$404,MATCH(B196,EXTRATO_IMPORTADO!$I$5:$I$404,0)),"")</f>
        <v/>
      </c>
      <c r="Q196" s="26" t="str">
        <f>IFERROR(INDEX(EXTRATO_IMPORTADO!$B$5:$B$404,MATCH(B196,EXTRATO_IMPORTADO!$I$5:$I$404,0)),"")</f>
        <v/>
      </c>
      <c r="R196" s="26" t="str">
        <f>IFERROR(MATCH(B196,EXTRATO_IMPORTADO!$I$5:$I$404,0),"")</f>
        <v/>
      </c>
      <c r="S196" s="14" t="str">
        <f t="shared" si="7"/>
        <v/>
      </c>
      <c r="T196" s="33" t="str">
        <f t="shared" si="8"/>
        <v/>
      </c>
    </row>
    <row r="197" spans="1:20" x14ac:dyDescent="0.3">
      <c r="A197" s="26">
        <f>IF(BASE_CAIXA!A194="","",BASE_CAIXA!A194)</f>
        <v>193</v>
      </c>
      <c r="B197" s="26" t="str">
        <f>IF(A197="","",BASE_CAIXA!AL194)</f>
        <v>000193-DB</v>
      </c>
      <c r="C197" s="13">
        <f>IF(A197="","",BASE_CAIXA!AJ194)</f>
        <v>46143</v>
      </c>
      <c r="D197" s="26" t="str">
        <f>IF(A197="","",IF(BASE_CAIXA!C194="Entrada","Crédito","Débito"))</f>
        <v>Débito</v>
      </c>
      <c r="E197" s="14">
        <f>IF(A197="","",BASE_CAIXA!AA194)</f>
        <v>57</v>
      </c>
      <c r="F197" s="26">
        <f>IF(A197="","",BASE_CAIXA!N194)</f>
        <v>0</v>
      </c>
      <c r="G197" s="26">
        <f>IF(A197="","",BASE_CAIXA!O194)</f>
        <v>0</v>
      </c>
      <c r="H197" s="26">
        <f>IF(A197="","",BASE_CAIXA!P194)</f>
        <v>0</v>
      </c>
      <c r="I197" s="26" t="str">
        <f>IF(A197="","",IF(BASE_CAIXA!H194&lt;&gt;"",BASE_CAIXA!H194,BASE_CAIXA!G194))</f>
        <v>impermeabilizante para lateral das chapas de compensado (link no grupo)</v>
      </c>
      <c r="J197" s="26" t="str">
        <f>IF(A197="","",BASE_CAIXA!G194)</f>
        <v>impermeabilizante para lateral das chapas de compensado (link no grupo)</v>
      </c>
      <c r="K197" s="26">
        <f>IF(A197="","",BASE_CAIXA!I194)</f>
        <v>0</v>
      </c>
      <c r="L197" s="26">
        <f>IF(A197="","",BASE_CAIXA!J194)</f>
        <v>0</v>
      </c>
      <c r="M197" s="26" t="str">
        <f>IF(A197="","",BASE_CAIXA!AM194)</f>
        <v>impermeabilizante para lateral das chapas de compensado (lin</v>
      </c>
      <c r="N197" s="26" t="str">
        <f t="shared" ref="N197:N260" ca="1" si="9">IF(A197="","",IF(R197&lt;&gt;"",IF(AND(ABS(S197)&lt;=0.01,ABS(T197)&lt;=3),"Conciliado","Divergente"),IF(TODAY()&gt;C197,"Pendente vencido","Previsto")))</f>
        <v>Previsto</v>
      </c>
      <c r="O197" s="13" t="str">
        <f>IFERROR(INDEX(EXTRATO_IMPORTADO!$A$5:$A$404,MATCH(B197,EXTRATO_IMPORTADO!$I$5:$I$404,0)),"")</f>
        <v/>
      </c>
      <c r="P197" s="14" t="str">
        <f>IFERROR(INDEX(EXTRATO_IMPORTADO!$F$5:$F$404,MATCH(B197,EXTRATO_IMPORTADO!$I$5:$I$404,0)),"")</f>
        <v/>
      </c>
      <c r="Q197" s="26" t="str">
        <f>IFERROR(INDEX(EXTRATO_IMPORTADO!$B$5:$B$404,MATCH(B197,EXTRATO_IMPORTADO!$I$5:$I$404,0)),"")</f>
        <v/>
      </c>
      <c r="R197" s="26" t="str">
        <f>IFERROR(MATCH(B197,EXTRATO_IMPORTADO!$I$5:$I$404,0),"")</f>
        <v/>
      </c>
      <c r="S197" s="14" t="str">
        <f t="shared" ref="S197:S260" si="10">IF(OR(A197="",P197=""),"",P197-E197)</f>
        <v/>
      </c>
      <c r="T197" s="33" t="str">
        <f t="shared" ref="T197:T260" si="11">IF(OR(A197="",O197=""),"",O197-C197)</f>
        <v/>
      </c>
    </row>
    <row r="198" spans="1:20" x14ac:dyDescent="0.3">
      <c r="A198" s="26">
        <f>IF(BASE_CAIXA!A195="","",BASE_CAIXA!A195)</f>
        <v>194</v>
      </c>
      <c r="B198" s="26" t="str">
        <f>IF(A198="","",BASE_CAIXA!AL195)</f>
        <v>000194-DB</v>
      </c>
      <c r="C198" s="13">
        <f>IF(A198="","",BASE_CAIXA!AJ195)</f>
        <v>46143</v>
      </c>
      <c r="D198" s="26" t="str">
        <f>IF(A198="","",IF(BASE_CAIXA!C195="Entrada","Crédito","Débito"))</f>
        <v>Débito</v>
      </c>
      <c r="E198" s="14">
        <f>IF(A198="","",BASE_CAIXA!AA195)</f>
        <v>57600</v>
      </c>
      <c r="F198" s="26">
        <f>IF(A198="","",BASE_CAIXA!N195)</f>
        <v>0</v>
      </c>
      <c r="G198" s="26">
        <f>IF(A198="","",BASE_CAIXA!O195)</f>
        <v>0</v>
      </c>
      <c r="H198" s="26">
        <f>IF(A198="","",BASE_CAIXA!P195)</f>
        <v>0</v>
      </c>
      <c r="I198" s="26" t="str">
        <f>IF(A198="","",IF(BASE_CAIXA!H195&lt;&gt;"",BASE_CAIXA!H195,BASE_CAIXA!G195))</f>
        <v>Rufos e calhas</v>
      </c>
      <c r="J198" s="26" t="str">
        <f>IF(A198="","",BASE_CAIXA!G195)</f>
        <v>Rufos e calhas</v>
      </c>
      <c r="K198" s="26">
        <f>IF(A198="","",BASE_CAIXA!I195)</f>
        <v>0</v>
      </c>
      <c r="L198" s="26">
        <f>IF(A198="","",BASE_CAIXA!J195)</f>
        <v>0</v>
      </c>
      <c r="M198" s="26" t="str">
        <f>IF(A198="","",BASE_CAIXA!AM195)</f>
        <v>Rufos e calhas | Rufos e calhas | Saída | RUFOS</v>
      </c>
      <c r="N198" s="26" t="str">
        <f t="shared" ca="1" si="9"/>
        <v>Previsto</v>
      </c>
      <c r="O198" s="13" t="str">
        <f>IFERROR(INDEX(EXTRATO_IMPORTADO!$A$5:$A$404,MATCH(B198,EXTRATO_IMPORTADO!$I$5:$I$404,0)),"")</f>
        <v/>
      </c>
      <c r="P198" s="14" t="str">
        <f>IFERROR(INDEX(EXTRATO_IMPORTADO!$F$5:$F$404,MATCH(B198,EXTRATO_IMPORTADO!$I$5:$I$404,0)),"")</f>
        <v/>
      </c>
      <c r="Q198" s="26" t="str">
        <f>IFERROR(INDEX(EXTRATO_IMPORTADO!$B$5:$B$404,MATCH(B198,EXTRATO_IMPORTADO!$I$5:$I$404,0)),"")</f>
        <v/>
      </c>
      <c r="R198" s="26" t="str">
        <f>IFERROR(MATCH(B198,EXTRATO_IMPORTADO!$I$5:$I$404,0),"")</f>
        <v/>
      </c>
      <c r="S198" s="14" t="str">
        <f t="shared" si="10"/>
        <v/>
      </c>
      <c r="T198" s="33" t="str">
        <f t="shared" si="11"/>
        <v/>
      </c>
    </row>
    <row r="199" spans="1:20" x14ac:dyDescent="0.3">
      <c r="A199" s="26">
        <f>IF(BASE_CAIXA!A196="","",BASE_CAIXA!A196)</f>
        <v>195</v>
      </c>
      <c r="B199" s="26" t="str">
        <f>IF(A199="","",BASE_CAIXA!AL196)</f>
        <v>000195-DB</v>
      </c>
      <c r="C199" s="13">
        <f>IF(A199="","",BASE_CAIXA!AJ196)</f>
        <v>46143</v>
      </c>
      <c r="D199" s="26" t="str">
        <f>IF(A199="","",IF(BASE_CAIXA!C196="Entrada","Crédito","Débito"))</f>
        <v>Débito</v>
      </c>
      <c r="E199" s="14">
        <f>IF(A199="","",BASE_CAIXA!AA196)</f>
        <v>839152.04295291519</v>
      </c>
      <c r="F199" s="26">
        <f>IF(A199="","",BASE_CAIXA!N196)</f>
        <v>0</v>
      </c>
      <c r="G199" s="26">
        <f>IF(A199="","",BASE_CAIXA!O196)</f>
        <v>0</v>
      </c>
      <c r="H199" s="26">
        <f>IF(A199="","",BASE_CAIXA!P196)</f>
        <v>0</v>
      </c>
      <c r="I199" s="26" t="str">
        <f>IF(A199="","",IF(BASE_CAIXA!H196&lt;&gt;"",BASE_CAIXA!H196,BASE_CAIXA!G196))</f>
        <v>TOTALIZADOR CUSTO GLOBAIS OBRAS - MENSAL</v>
      </c>
      <c r="J199" s="26" t="str">
        <f>IF(A199="","",BASE_CAIXA!G196)</f>
        <v>TOTALIZADOR CUSTO GLOBAIS OBRAS - MENSAL</v>
      </c>
      <c r="K199" s="26">
        <f>IF(A199="","",BASE_CAIXA!I196)</f>
        <v>0</v>
      </c>
      <c r="L199" s="26">
        <f>IF(A199="","",BASE_CAIXA!J196)</f>
        <v>0</v>
      </c>
      <c r="M199" s="26" t="str">
        <f>IF(A199="","",BASE_CAIXA!AM196)</f>
        <v>TOTALIZADOR CUSTO GLOBAIS OBRAS - MENSAL | TOTALIZADOR CUSTO</v>
      </c>
      <c r="N199" s="26" t="str">
        <f t="shared" ca="1" si="9"/>
        <v>Previsto</v>
      </c>
      <c r="O199" s="13" t="str">
        <f>IFERROR(INDEX(EXTRATO_IMPORTADO!$A$5:$A$404,MATCH(B199,EXTRATO_IMPORTADO!$I$5:$I$404,0)),"")</f>
        <v/>
      </c>
      <c r="P199" s="14" t="str">
        <f>IFERROR(INDEX(EXTRATO_IMPORTADO!$F$5:$F$404,MATCH(B199,EXTRATO_IMPORTADO!$I$5:$I$404,0)),"")</f>
        <v/>
      </c>
      <c r="Q199" s="26" t="str">
        <f>IFERROR(INDEX(EXTRATO_IMPORTADO!$B$5:$B$404,MATCH(B199,EXTRATO_IMPORTADO!$I$5:$I$404,0)),"")</f>
        <v/>
      </c>
      <c r="R199" s="26" t="str">
        <f>IFERROR(MATCH(B199,EXTRATO_IMPORTADO!$I$5:$I$404,0),"")</f>
        <v/>
      </c>
      <c r="S199" s="14" t="str">
        <f t="shared" si="10"/>
        <v/>
      </c>
      <c r="T199" s="33" t="str">
        <f t="shared" si="11"/>
        <v/>
      </c>
    </row>
    <row r="200" spans="1:20" x14ac:dyDescent="0.3">
      <c r="A200" s="26">
        <f>IF(BASE_CAIXA!A197="","",BASE_CAIXA!A197)</f>
        <v>196</v>
      </c>
      <c r="B200" s="26" t="str">
        <f>IF(A200="","",BASE_CAIXA!AL197)</f>
        <v>000196-DB</v>
      </c>
      <c r="C200" s="13">
        <f>IF(A200="","",BASE_CAIXA!AJ197)</f>
        <v>46143</v>
      </c>
      <c r="D200" s="26" t="str">
        <f>IF(A200="","",IF(BASE_CAIXA!C197="Entrada","Crédito","Débito"))</f>
        <v>Débito</v>
      </c>
      <c r="E200" s="14">
        <f>IF(A200="","",BASE_CAIXA!AA197)</f>
        <v>217.28</v>
      </c>
      <c r="F200" s="26">
        <f>IF(A200="","",BASE_CAIXA!N197)</f>
        <v>0</v>
      </c>
      <c r="G200" s="26">
        <f>IF(A200="","",BASE_CAIXA!O197)</f>
        <v>0</v>
      </c>
      <c r="H200" s="26">
        <f>IF(A200="","",BASE_CAIXA!P197)</f>
        <v>0</v>
      </c>
      <c r="I200" s="26" t="str">
        <f>IF(A200="","",IF(BASE_CAIXA!H197&lt;&gt;"",BASE_CAIXA!H197,BASE_CAIXA!G197))</f>
        <v>Argamassa colante AC I</v>
      </c>
      <c r="J200" s="26" t="str">
        <f>IF(A200="","",BASE_CAIXA!G197)</f>
        <v>Argamassa colante AC I</v>
      </c>
      <c r="K200" s="26">
        <f>IF(A200="","",BASE_CAIXA!I197)</f>
        <v>0</v>
      </c>
      <c r="L200" s="26">
        <f>IF(A200="","",BASE_CAIXA!J197)</f>
        <v>0</v>
      </c>
      <c r="M200" s="26" t="str">
        <f>IF(A200="","",BASE_CAIXA!AM197)</f>
        <v>Argamassa colante AC I | Argamassa colante AC I | Saída | SO</v>
      </c>
      <c r="N200" s="26" t="str">
        <f t="shared" ca="1" si="9"/>
        <v>Previsto</v>
      </c>
      <c r="O200" s="13" t="str">
        <f>IFERROR(INDEX(EXTRATO_IMPORTADO!$A$5:$A$404,MATCH(B200,EXTRATO_IMPORTADO!$I$5:$I$404,0)),"")</f>
        <v/>
      </c>
      <c r="P200" s="14" t="str">
        <f>IFERROR(INDEX(EXTRATO_IMPORTADO!$F$5:$F$404,MATCH(B200,EXTRATO_IMPORTADO!$I$5:$I$404,0)),"")</f>
        <v/>
      </c>
      <c r="Q200" s="26" t="str">
        <f>IFERROR(INDEX(EXTRATO_IMPORTADO!$B$5:$B$404,MATCH(B200,EXTRATO_IMPORTADO!$I$5:$I$404,0)),"")</f>
        <v/>
      </c>
      <c r="R200" s="26" t="str">
        <f>IFERROR(MATCH(B200,EXTRATO_IMPORTADO!$I$5:$I$404,0),"")</f>
        <v/>
      </c>
      <c r="S200" s="14" t="str">
        <f t="shared" si="10"/>
        <v/>
      </c>
      <c r="T200" s="33" t="str">
        <f t="shared" si="11"/>
        <v/>
      </c>
    </row>
    <row r="201" spans="1:20" x14ac:dyDescent="0.3">
      <c r="A201" s="26">
        <f>IF(BASE_CAIXA!A198="","",BASE_CAIXA!A198)</f>
        <v>197</v>
      </c>
      <c r="B201" s="26" t="str">
        <f>IF(A201="","",BASE_CAIXA!AL198)</f>
        <v>000197-DB</v>
      </c>
      <c r="C201" s="13">
        <f>IF(A201="","",BASE_CAIXA!AJ198)</f>
        <v>46143</v>
      </c>
      <c r="D201" s="26" t="str">
        <f>IF(A201="","",IF(BASE_CAIXA!C198="Entrada","Crédito","Débito"))</f>
        <v>Débito</v>
      </c>
      <c r="E201" s="14">
        <f>IF(A201="","",BASE_CAIXA!AA198)</f>
        <v>300.16000000000003</v>
      </c>
      <c r="F201" s="26">
        <f>IF(A201="","",BASE_CAIXA!N198)</f>
        <v>0</v>
      </c>
      <c r="G201" s="26">
        <f>IF(A201="","",BASE_CAIXA!O198)</f>
        <v>0</v>
      </c>
      <c r="H201" s="26">
        <f>IF(A201="","",BASE_CAIXA!P198)</f>
        <v>0</v>
      </c>
      <c r="I201" s="26" t="str">
        <f>IF(A201="","",IF(BASE_CAIXA!H198&lt;&gt;"",BASE_CAIXA!H198,BASE_CAIXA!G198))</f>
        <v>Assentamento Soleira em basalto  0,84 x 0,125 x 0,02 - cozinha</v>
      </c>
      <c r="J201" s="26" t="str">
        <f>IF(A201="","",BASE_CAIXA!G198)</f>
        <v>Assentamento Soleira em basalto  0,84 x 0,125 x 0,02 - cozinha</v>
      </c>
      <c r="K201" s="26">
        <f>IF(A201="","",BASE_CAIXA!I198)</f>
        <v>0</v>
      </c>
      <c r="L201" s="26">
        <f>IF(A201="","",BASE_CAIXA!J198)</f>
        <v>0</v>
      </c>
      <c r="M201" s="26" t="str">
        <f>IF(A201="","",BASE_CAIXA!AM198)</f>
        <v>Assentamento Soleira em basalto  0,84 x 0,125 x 0,02 - cozin</v>
      </c>
      <c r="N201" s="26" t="str">
        <f t="shared" ca="1" si="9"/>
        <v>Previsto</v>
      </c>
      <c r="O201" s="13" t="str">
        <f>IFERROR(INDEX(EXTRATO_IMPORTADO!$A$5:$A$404,MATCH(B201,EXTRATO_IMPORTADO!$I$5:$I$404,0)),"")</f>
        <v/>
      </c>
      <c r="P201" s="14" t="str">
        <f>IFERROR(INDEX(EXTRATO_IMPORTADO!$F$5:$F$404,MATCH(B201,EXTRATO_IMPORTADO!$I$5:$I$404,0)),"")</f>
        <v/>
      </c>
      <c r="Q201" s="26" t="str">
        <f>IFERROR(INDEX(EXTRATO_IMPORTADO!$B$5:$B$404,MATCH(B201,EXTRATO_IMPORTADO!$I$5:$I$404,0)),"")</f>
        <v/>
      </c>
      <c r="R201" s="26" t="str">
        <f>IFERROR(MATCH(B201,EXTRATO_IMPORTADO!$I$5:$I$404,0),"")</f>
        <v/>
      </c>
      <c r="S201" s="14" t="str">
        <f t="shared" si="10"/>
        <v/>
      </c>
      <c r="T201" s="33" t="str">
        <f t="shared" si="11"/>
        <v/>
      </c>
    </row>
    <row r="202" spans="1:20" x14ac:dyDescent="0.3">
      <c r="A202" s="26">
        <f>IF(BASE_CAIXA!A199="","",BASE_CAIXA!A199)</f>
        <v>198</v>
      </c>
      <c r="B202" s="26" t="str">
        <f>IF(A202="","",BASE_CAIXA!AL199)</f>
        <v>000198-DB</v>
      </c>
      <c r="C202" s="13">
        <f>IF(A202="","",BASE_CAIXA!AJ199)</f>
        <v>46143</v>
      </c>
      <c r="D202" s="26" t="str">
        <f>IF(A202="","",IF(BASE_CAIXA!C199="Entrada","Crédito","Débito"))</f>
        <v>Débito</v>
      </c>
      <c r="E202" s="14">
        <f>IF(A202="","",BASE_CAIXA!AA199)</f>
        <v>300.16000000000003</v>
      </c>
      <c r="F202" s="26">
        <f>IF(A202="","",BASE_CAIXA!N199)</f>
        <v>0</v>
      </c>
      <c r="G202" s="26">
        <f>IF(A202="","",BASE_CAIXA!O199)</f>
        <v>0</v>
      </c>
      <c r="H202" s="26">
        <f>IF(A202="","",BASE_CAIXA!P199)</f>
        <v>0</v>
      </c>
      <c r="I202" s="26" t="str">
        <f>IF(A202="","",IF(BASE_CAIXA!H199&lt;&gt;"",BASE_CAIXA!H199,BASE_CAIXA!G199))</f>
        <v>Assentamento Soleira em basalto  0,94 x 0,125 x 0,02 - entrada</v>
      </c>
      <c r="J202" s="26" t="str">
        <f>IF(A202="","",BASE_CAIXA!G199)</f>
        <v>Assentamento Soleira em basalto  0,94 x 0,125 x 0,02 - entrada</v>
      </c>
      <c r="K202" s="26">
        <f>IF(A202="","",BASE_CAIXA!I199)</f>
        <v>0</v>
      </c>
      <c r="L202" s="26">
        <f>IF(A202="","",BASE_CAIXA!J199)</f>
        <v>0</v>
      </c>
      <c r="M202" s="26" t="str">
        <f>IF(A202="","",BASE_CAIXA!AM199)</f>
        <v>Assentamento Soleira em basalto  0,94 x 0,125 x 0,02 - entra</v>
      </c>
      <c r="N202" s="26" t="str">
        <f t="shared" ca="1" si="9"/>
        <v>Previsto</v>
      </c>
      <c r="O202" s="13" t="str">
        <f>IFERROR(INDEX(EXTRATO_IMPORTADO!$A$5:$A$404,MATCH(B202,EXTRATO_IMPORTADO!$I$5:$I$404,0)),"")</f>
        <v/>
      </c>
      <c r="P202" s="14" t="str">
        <f>IFERROR(INDEX(EXTRATO_IMPORTADO!$F$5:$F$404,MATCH(B202,EXTRATO_IMPORTADO!$I$5:$I$404,0)),"")</f>
        <v/>
      </c>
      <c r="Q202" s="26" t="str">
        <f>IFERROR(INDEX(EXTRATO_IMPORTADO!$B$5:$B$404,MATCH(B202,EXTRATO_IMPORTADO!$I$5:$I$404,0)),"")</f>
        <v/>
      </c>
      <c r="R202" s="26" t="str">
        <f>IFERROR(MATCH(B202,EXTRATO_IMPORTADO!$I$5:$I$404,0),"")</f>
        <v/>
      </c>
      <c r="S202" s="14" t="str">
        <f t="shared" si="10"/>
        <v/>
      </c>
      <c r="T202" s="33" t="str">
        <f t="shared" si="11"/>
        <v/>
      </c>
    </row>
    <row r="203" spans="1:20" x14ac:dyDescent="0.3">
      <c r="A203" s="26">
        <f>IF(BASE_CAIXA!A200="","",BASE_CAIXA!A200)</f>
        <v>199</v>
      </c>
      <c r="B203" s="26" t="str">
        <f>IF(A203="","",BASE_CAIXA!AL200)</f>
        <v>000199-DB</v>
      </c>
      <c r="C203" s="13">
        <f>IF(A203="","",BASE_CAIXA!AJ200)</f>
        <v>46143</v>
      </c>
      <c r="D203" s="26" t="str">
        <f>IF(A203="","",IF(BASE_CAIXA!C200="Entrada","Crédito","Débito"))</f>
        <v>Débito</v>
      </c>
      <c r="E203" s="14">
        <f>IF(A203="","",BASE_CAIXA!AA200)</f>
        <v>2240</v>
      </c>
      <c r="F203" s="26">
        <f>IF(A203="","",BASE_CAIXA!N200)</f>
        <v>0</v>
      </c>
      <c r="G203" s="26">
        <f>IF(A203="","",BASE_CAIXA!O200)</f>
        <v>0</v>
      </c>
      <c r="H203" s="26">
        <f>IF(A203="","",BASE_CAIXA!P200)</f>
        <v>0</v>
      </c>
      <c r="I203" s="26" t="str">
        <f>IF(A203="","",IF(BASE_CAIXA!H200&lt;&gt;"",BASE_CAIXA!H200,BASE_CAIXA!G200))</f>
        <v>Soleira em basalto  0,84 x 0,125 x 0,02 - cozinha</v>
      </c>
      <c r="J203" s="26" t="str">
        <f>IF(A203="","",BASE_CAIXA!G200)</f>
        <v>Soleira em basalto  0,84 x 0,125 x 0,02 - cozinha</v>
      </c>
      <c r="K203" s="26">
        <f>IF(A203="","",BASE_CAIXA!I200)</f>
        <v>0</v>
      </c>
      <c r="L203" s="26">
        <f>IF(A203="","",BASE_CAIXA!J200)</f>
        <v>0</v>
      </c>
      <c r="M203" s="26" t="str">
        <f>IF(A203="","",BASE_CAIXA!AM200)</f>
        <v xml:space="preserve">Soleira em basalto  0,84 x 0,125 x 0,02 - cozinha | Soleira </v>
      </c>
      <c r="N203" s="26" t="str">
        <f t="shared" ca="1" si="9"/>
        <v>Previsto</v>
      </c>
      <c r="O203" s="13" t="str">
        <f>IFERROR(INDEX(EXTRATO_IMPORTADO!$A$5:$A$404,MATCH(B203,EXTRATO_IMPORTADO!$I$5:$I$404,0)),"")</f>
        <v/>
      </c>
      <c r="P203" s="14" t="str">
        <f>IFERROR(INDEX(EXTRATO_IMPORTADO!$F$5:$F$404,MATCH(B203,EXTRATO_IMPORTADO!$I$5:$I$404,0)),"")</f>
        <v/>
      </c>
      <c r="Q203" s="26" t="str">
        <f>IFERROR(INDEX(EXTRATO_IMPORTADO!$B$5:$B$404,MATCH(B203,EXTRATO_IMPORTADO!$I$5:$I$404,0)),"")</f>
        <v/>
      </c>
      <c r="R203" s="26" t="str">
        <f>IFERROR(MATCH(B203,EXTRATO_IMPORTADO!$I$5:$I$404,0),"")</f>
        <v/>
      </c>
      <c r="S203" s="14" t="str">
        <f t="shared" si="10"/>
        <v/>
      </c>
      <c r="T203" s="33" t="str">
        <f t="shared" si="11"/>
        <v/>
      </c>
    </row>
    <row r="204" spans="1:20" x14ac:dyDescent="0.3">
      <c r="A204" s="26">
        <f>IF(BASE_CAIXA!A201="","",BASE_CAIXA!A201)</f>
        <v>200</v>
      </c>
      <c r="B204" s="26" t="str">
        <f>IF(A204="","",BASE_CAIXA!AL201)</f>
        <v>000200-DB</v>
      </c>
      <c r="C204" s="13">
        <f>IF(A204="","",BASE_CAIXA!AJ201)</f>
        <v>46143</v>
      </c>
      <c r="D204" s="26" t="str">
        <f>IF(A204="","",IF(BASE_CAIXA!C201="Entrada","Crédito","Débito"))</f>
        <v>Débito</v>
      </c>
      <c r="E204" s="14">
        <f>IF(A204="","",BASE_CAIXA!AA201)</f>
        <v>2240</v>
      </c>
      <c r="F204" s="26">
        <f>IF(A204="","",BASE_CAIXA!N201)</f>
        <v>0</v>
      </c>
      <c r="G204" s="26">
        <f>IF(A204="","",BASE_CAIXA!O201)</f>
        <v>0</v>
      </c>
      <c r="H204" s="26">
        <f>IF(A204="","",BASE_CAIXA!P201)</f>
        <v>0</v>
      </c>
      <c r="I204" s="26" t="str">
        <f>IF(A204="","",IF(BASE_CAIXA!H201&lt;&gt;"",BASE_CAIXA!H201,BASE_CAIXA!G201))</f>
        <v>Soleira em basalto  0,94 x 0,125 x 0,02 - entrada</v>
      </c>
      <c r="J204" s="26" t="str">
        <f>IF(A204="","",BASE_CAIXA!G201)</f>
        <v>Soleira em basalto  0,94 x 0,125 x 0,02 - entrada</v>
      </c>
      <c r="K204" s="26">
        <f>IF(A204="","",BASE_CAIXA!I201)</f>
        <v>0</v>
      </c>
      <c r="L204" s="26">
        <f>IF(A204="","",BASE_CAIXA!J201)</f>
        <v>0</v>
      </c>
      <c r="M204" s="26" t="str">
        <f>IF(A204="","",BASE_CAIXA!AM201)</f>
        <v xml:space="preserve">Soleira em basalto  0,94 x 0,125 x 0,02 - entrada | Soleira </v>
      </c>
      <c r="N204" s="26" t="str">
        <f t="shared" ca="1" si="9"/>
        <v>Previsto</v>
      </c>
      <c r="O204" s="13" t="str">
        <f>IFERROR(INDEX(EXTRATO_IMPORTADO!$A$5:$A$404,MATCH(B204,EXTRATO_IMPORTADO!$I$5:$I$404,0)),"")</f>
        <v/>
      </c>
      <c r="P204" s="14" t="str">
        <f>IFERROR(INDEX(EXTRATO_IMPORTADO!$F$5:$F$404,MATCH(B204,EXTRATO_IMPORTADO!$I$5:$I$404,0)),"")</f>
        <v/>
      </c>
      <c r="Q204" s="26" t="str">
        <f>IFERROR(INDEX(EXTRATO_IMPORTADO!$B$5:$B$404,MATCH(B204,EXTRATO_IMPORTADO!$I$5:$I$404,0)),"")</f>
        <v/>
      </c>
      <c r="R204" s="26" t="str">
        <f>IFERROR(MATCH(B204,EXTRATO_IMPORTADO!$I$5:$I$404,0),"")</f>
        <v/>
      </c>
      <c r="S204" s="14" t="str">
        <f t="shared" si="10"/>
        <v/>
      </c>
      <c r="T204" s="33" t="str">
        <f t="shared" si="11"/>
        <v/>
      </c>
    </row>
    <row r="205" spans="1:20" x14ac:dyDescent="0.3">
      <c r="A205" s="26">
        <f>IF(BASE_CAIXA!A202="","",BASE_CAIXA!A202)</f>
        <v>201</v>
      </c>
      <c r="B205" s="26" t="str">
        <f>IF(A205="","",BASE_CAIXA!AL202)</f>
        <v>000201-DB</v>
      </c>
      <c r="C205" s="13">
        <f>IF(A205="","",BASE_CAIXA!AJ202)</f>
        <v>46143</v>
      </c>
      <c r="D205" s="26" t="str">
        <f>IF(A205="","",IF(BASE_CAIXA!C202="Entrada","Crédito","Débito"))</f>
        <v>Débito</v>
      </c>
      <c r="E205" s="14">
        <f>IF(A205="","",BASE_CAIXA!AA202)</f>
        <v>4280.2215679999999</v>
      </c>
      <c r="F205" s="26">
        <f>IF(A205="","",BASE_CAIXA!N202)</f>
        <v>0</v>
      </c>
      <c r="G205" s="26">
        <f>IF(A205="","",BASE_CAIXA!O202)</f>
        <v>0</v>
      </c>
      <c r="H205" s="26">
        <f>IF(A205="","",BASE_CAIXA!P202)</f>
        <v>0</v>
      </c>
      <c r="I205" s="26" t="str">
        <f>IF(A205="","",IF(BASE_CAIXA!H202&lt;&gt;"",BASE_CAIXA!H202,BASE_CAIXA!G202))</f>
        <v>Mao de obra terceirizada Textura externa</v>
      </c>
      <c r="J205" s="26" t="str">
        <f>IF(A205="","",BASE_CAIXA!G202)</f>
        <v>Mao de obra terceirizada Textura externa</v>
      </c>
      <c r="K205" s="26">
        <f>IF(A205="","",BASE_CAIXA!I202)</f>
        <v>0</v>
      </c>
      <c r="L205" s="26">
        <f>IF(A205="","",BASE_CAIXA!J202)</f>
        <v>0</v>
      </c>
      <c r="M205" s="26" t="str">
        <f>IF(A205="","",BASE_CAIXA!AM202)</f>
        <v>Mao de obra terceirizada Textura externa | Mao de obra terce</v>
      </c>
      <c r="N205" s="26" t="str">
        <f t="shared" ca="1" si="9"/>
        <v>Previsto</v>
      </c>
      <c r="O205" s="13" t="str">
        <f>IFERROR(INDEX(EXTRATO_IMPORTADO!$A$5:$A$404,MATCH(B205,EXTRATO_IMPORTADO!$I$5:$I$404,0)),"")</f>
        <v/>
      </c>
      <c r="P205" s="14" t="str">
        <f>IFERROR(INDEX(EXTRATO_IMPORTADO!$F$5:$F$404,MATCH(B205,EXTRATO_IMPORTADO!$I$5:$I$404,0)),"")</f>
        <v/>
      </c>
      <c r="Q205" s="26" t="str">
        <f>IFERROR(INDEX(EXTRATO_IMPORTADO!$B$5:$B$404,MATCH(B205,EXTRATO_IMPORTADO!$I$5:$I$404,0)),"")</f>
        <v/>
      </c>
      <c r="R205" s="26" t="str">
        <f>IFERROR(MATCH(B205,EXTRATO_IMPORTADO!$I$5:$I$404,0),"")</f>
        <v/>
      </c>
      <c r="S205" s="14" t="str">
        <f t="shared" si="10"/>
        <v/>
      </c>
      <c r="T205" s="33" t="str">
        <f t="shared" si="11"/>
        <v/>
      </c>
    </row>
    <row r="206" spans="1:20" x14ac:dyDescent="0.3">
      <c r="A206" s="26">
        <f>IF(BASE_CAIXA!A203="","",BASE_CAIXA!A203)</f>
        <v>202</v>
      </c>
      <c r="B206" s="26" t="str">
        <f>IF(A206="","",BASE_CAIXA!AL203)</f>
        <v>000202-DB</v>
      </c>
      <c r="C206" s="13">
        <f>IF(A206="","",BASE_CAIXA!AJ203)</f>
        <v>46143</v>
      </c>
      <c r="D206" s="26" t="str">
        <f>IF(A206="","",IF(BASE_CAIXA!C203="Entrada","Crédito","Débito"))</f>
        <v>Débito</v>
      </c>
      <c r="E206" s="14">
        <f>IF(A206="","",BASE_CAIXA!AA203)</f>
        <v>24000</v>
      </c>
      <c r="F206" s="26">
        <f>IF(A206="","",BASE_CAIXA!N203)</f>
        <v>0</v>
      </c>
      <c r="G206" s="26">
        <f>IF(A206="","",BASE_CAIXA!O203)</f>
        <v>0</v>
      </c>
      <c r="H206" s="26">
        <f>IF(A206="","",BASE_CAIXA!P203)</f>
        <v>0</v>
      </c>
      <c r="I206" s="26" t="str">
        <f>IF(A206="","",IF(BASE_CAIXA!H203&lt;&gt;"",BASE_CAIXA!H203,BASE_CAIXA!G203))</f>
        <v>Textura elastomerica na cor</v>
      </c>
      <c r="J206" s="26" t="str">
        <f>IF(A206="","",BASE_CAIXA!G203)</f>
        <v>Textura elastomerica na cor</v>
      </c>
      <c r="K206" s="26">
        <f>IF(A206="","",BASE_CAIXA!I203)</f>
        <v>0</v>
      </c>
      <c r="L206" s="26">
        <f>IF(A206="","",BASE_CAIXA!J203)</f>
        <v>0</v>
      </c>
      <c r="M206" s="26" t="str">
        <f>IF(A206="","",BASE_CAIXA!AM203)</f>
        <v xml:space="preserve">Textura elastomerica na cor | Textura elastomerica na cor | </v>
      </c>
      <c r="N206" s="26" t="str">
        <f t="shared" ca="1" si="9"/>
        <v>Previsto</v>
      </c>
      <c r="O206" s="13" t="str">
        <f>IFERROR(INDEX(EXTRATO_IMPORTADO!$A$5:$A$404,MATCH(B206,EXTRATO_IMPORTADO!$I$5:$I$404,0)),"")</f>
        <v/>
      </c>
      <c r="P206" s="14" t="str">
        <f>IFERROR(INDEX(EXTRATO_IMPORTADO!$F$5:$F$404,MATCH(B206,EXTRATO_IMPORTADO!$I$5:$I$404,0)),"")</f>
        <v/>
      </c>
      <c r="Q206" s="26" t="str">
        <f>IFERROR(INDEX(EXTRATO_IMPORTADO!$B$5:$B$404,MATCH(B206,EXTRATO_IMPORTADO!$I$5:$I$404,0)),"")</f>
        <v/>
      </c>
      <c r="R206" s="26" t="str">
        <f>IFERROR(MATCH(B206,EXTRATO_IMPORTADO!$I$5:$I$404,0),"")</f>
        <v/>
      </c>
      <c r="S206" s="14" t="str">
        <f t="shared" si="10"/>
        <v/>
      </c>
      <c r="T206" s="33" t="str">
        <f t="shared" si="11"/>
        <v/>
      </c>
    </row>
    <row r="207" spans="1:20" x14ac:dyDescent="0.3">
      <c r="A207" s="26">
        <f>IF(BASE_CAIXA!A204="","",BASE_CAIXA!A204)</f>
        <v>203</v>
      </c>
      <c r="B207" s="26" t="str">
        <f>IF(A207="","",BASE_CAIXA!AL204)</f>
        <v>000203-CR</v>
      </c>
      <c r="C207" s="13">
        <f>IF(A207="","",BASE_CAIXA!AJ204)</f>
        <v>46157</v>
      </c>
      <c r="D207" s="26" t="str">
        <f>IF(A207="","",IF(BASE_CAIXA!C204="Entrada","Crédito","Débito"))</f>
        <v>Crédito</v>
      </c>
      <c r="E207" s="14">
        <f>IF(A207="","",BASE_CAIXA!AA204)</f>
        <v>1110679.830144</v>
      </c>
      <c r="F207" s="26">
        <f>IF(A207="","",BASE_CAIXA!N204)</f>
        <v>0</v>
      </c>
      <c r="G207" s="26">
        <f>IF(A207="","",BASE_CAIXA!O204)</f>
        <v>0</v>
      </c>
      <c r="H207" s="26">
        <f>IF(A207="","",BASE_CAIXA!P204)</f>
        <v>0</v>
      </c>
      <c r="I207" s="26" t="str">
        <f>IF(A207="","",IF(BASE_CAIXA!H204&lt;&gt;"",BASE_CAIXA!H204,BASE_CAIXA!G204))</f>
        <v>MEDIÇÃO CONTRATUAL</v>
      </c>
      <c r="J207" s="26" t="str">
        <f>IF(A207="","",BASE_CAIXA!G204)</f>
        <v>MEDIÇÃO CONTRATUAL</v>
      </c>
      <c r="K207" s="26">
        <f>IF(A207="","",BASE_CAIXA!I204)</f>
        <v>0</v>
      </c>
      <c r="L207" s="26">
        <f>IF(A207="","",BASE_CAIXA!J204)</f>
        <v>0</v>
      </c>
      <c r="M207" s="26" t="str">
        <f>IF(A207="","",BASE_CAIXA!AM204)</f>
        <v xml:space="preserve">MEDIÇÃO CONTRATUAL | MEDIÇÃO CONTRATUAL | Entrada | MEDIÇÃO </v>
      </c>
      <c r="N207" s="26" t="str">
        <f t="shared" ca="1" si="9"/>
        <v>Previsto</v>
      </c>
      <c r="O207" s="13" t="str">
        <f>IFERROR(INDEX(EXTRATO_IMPORTADO!$A$5:$A$404,MATCH(B207,EXTRATO_IMPORTADO!$I$5:$I$404,0)),"")</f>
        <v/>
      </c>
      <c r="P207" s="14" t="str">
        <f>IFERROR(INDEX(EXTRATO_IMPORTADO!$F$5:$F$404,MATCH(B207,EXTRATO_IMPORTADO!$I$5:$I$404,0)),"")</f>
        <v/>
      </c>
      <c r="Q207" s="26" t="str">
        <f>IFERROR(INDEX(EXTRATO_IMPORTADO!$B$5:$B$404,MATCH(B207,EXTRATO_IMPORTADO!$I$5:$I$404,0)),"")</f>
        <v/>
      </c>
      <c r="R207" s="26" t="str">
        <f>IFERROR(MATCH(B207,EXTRATO_IMPORTADO!$I$5:$I$404,0),"")</f>
        <v/>
      </c>
      <c r="S207" s="14" t="str">
        <f t="shared" si="10"/>
        <v/>
      </c>
      <c r="T207" s="33" t="str">
        <f t="shared" si="11"/>
        <v/>
      </c>
    </row>
    <row r="208" spans="1:20" x14ac:dyDescent="0.3">
      <c r="A208" s="26">
        <f>IF(BASE_CAIXA!A205="","",BASE_CAIXA!A205)</f>
        <v>204</v>
      </c>
      <c r="B208" s="26" t="str">
        <f>IF(A208="","",BASE_CAIXA!AL205)</f>
        <v>000204-DB</v>
      </c>
      <c r="C208" s="13">
        <f>IF(A208="","",BASE_CAIXA!AJ205)</f>
        <v>46157</v>
      </c>
      <c r="D208" s="26" t="str">
        <f>IF(A208="","",IF(BASE_CAIXA!C205="Entrada","Crédito","Débito"))</f>
        <v>Débito</v>
      </c>
      <c r="E208" s="14">
        <f>IF(A208="","",BASE_CAIXA!AA205)</f>
        <v>27009.912</v>
      </c>
      <c r="F208" s="26">
        <f>IF(A208="","",BASE_CAIXA!N205)</f>
        <v>0</v>
      </c>
      <c r="G208" s="26">
        <f>IF(A208="","",BASE_CAIXA!O205)</f>
        <v>0</v>
      </c>
      <c r="H208" s="26">
        <f>IF(A208="","",BASE_CAIXA!P205)</f>
        <v>0</v>
      </c>
      <c r="I208" s="26" t="str">
        <f>IF(A208="","",IF(BASE_CAIXA!H205&lt;&gt;"",BASE_CAIXA!H205,BASE_CAIXA!G205))</f>
        <v>Mao de obra terceirizada assentamento Azulejo</v>
      </c>
      <c r="J208" s="26" t="str">
        <f>IF(A208="","",BASE_CAIXA!G205)</f>
        <v>Mao de obra terceirizada assentamento Azulejo</v>
      </c>
      <c r="K208" s="26">
        <f>IF(A208="","",BASE_CAIXA!I205)</f>
        <v>0</v>
      </c>
      <c r="L208" s="26">
        <f>IF(A208="","",BASE_CAIXA!J205)</f>
        <v>0</v>
      </c>
      <c r="M208" s="26" t="str">
        <f>IF(A208="","",BASE_CAIXA!AM205)</f>
        <v xml:space="preserve">Mao de obra terceirizada assentamento Azulejo | Mao de obra </v>
      </c>
      <c r="N208" s="26" t="str">
        <f t="shared" ca="1" si="9"/>
        <v>Previsto</v>
      </c>
      <c r="O208" s="13" t="str">
        <f>IFERROR(INDEX(EXTRATO_IMPORTADO!$A$5:$A$404,MATCH(B208,EXTRATO_IMPORTADO!$I$5:$I$404,0)),"")</f>
        <v/>
      </c>
      <c r="P208" s="14" t="str">
        <f>IFERROR(INDEX(EXTRATO_IMPORTADO!$F$5:$F$404,MATCH(B208,EXTRATO_IMPORTADO!$I$5:$I$404,0)),"")</f>
        <v/>
      </c>
      <c r="Q208" s="26" t="str">
        <f>IFERROR(INDEX(EXTRATO_IMPORTADO!$B$5:$B$404,MATCH(B208,EXTRATO_IMPORTADO!$I$5:$I$404,0)),"")</f>
        <v/>
      </c>
      <c r="R208" s="26" t="str">
        <f>IFERROR(MATCH(B208,EXTRATO_IMPORTADO!$I$5:$I$404,0),"")</f>
        <v/>
      </c>
      <c r="S208" s="14" t="str">
        <f t="shared" si="10"/>
        <v/>
      </c>
      <c r="T208" s="33" t="str">
        <f t="shared" si="11"/>
        <v/>
      </c>
    </row>
    <row r="209" spans="1:20" x14ac:dyDescent="0.3">
      <c r="A209" s="26">
        <f>IF(BASE_CAIXA!A206="","",BASE_CAIXA!A206)</f>
        <v>205</v>
      </c>
      <c r="B209" s="26" t="str">
        <f>IF(A209="","",BASE_CAIXA!AL206)</f>
        <v>000205-DB</v>
      </c>
      <c r="C209" s="13">
        <f>IF(A209="","",BASE_CAIXA!AJ206)</f>
        <v>46157</v>
      </c>
      <c r="D209" s="26" t="str">
        <f>IF(A209="","",IF(BASE_CAIXA!C206="Entrada","Crédito","Débito"))</f>
        <v>Débito</v>
      </c>
      <c r="E209" s="14">
        <f>IF(A209="","",BASE_CAIXA!AA206)</f>
        <v>448.44799999999998</v>
      </c>
      <c r="F209" s="26">
        <f>IF(A209="","",BASE_CAIXA!N206)</f>
        <v>0</v>
      </c>
      <c r="G209" s="26">
        <f>IF(A209="","",BASE_CAIXA!O206)</f>
        <v>0</v>
      </c>
      <c r="H209" s="26">
        <f>IF(A209="","",BASE_CAIXA!P206)</f>
        <v>0</v>
      </c>
      <c r="I209" s="26" t="str">
        <f>IF(A209="","",IF(BASE_CAIXA!H206&lt;&gt;"",BASE_CAIXA!H206,BASE_CAIXA!G206))</f>
        <v>Areia grossa</v>
      </c>
      <c r="J209" s="26" t="str">
        <f>IF(A209="","",BASE_CAIXA!G206)</f>
        <v>Areia grossa</v>
      </c>
      <c r="K209" s="26">
        <f>IF(A209="","",BASE_CAIXA!I206)</f>
        <v>0</v>
      </c>
      <c r="L209" s="26">
        <f>IF(A209="","",BASE_CAIXA!J206)</f>
        <v>0</v>
      </c>
      <c r="M209" s="26" t="str">
        <f>IF(A209="","",BASE_CAIXA!AM206)</f>
        <v>Areia grossa | Areia grossa | Saída | CAIXAS DE INSPEÇÃO E G</v>
      </c>
      <c r="N209" s="26" t="str">
        <f t="shared" ca="1" si="9"/>
        <v>Previsto</v>
      </c>
      <c r="O209" s="13" t="str">
        <f>IFERROR(INDEX(EXTRATO_IMPORTADO!$A$5:$A$404,MATCH(B209,EXTRATO_IMPORTADO!$I$5:$I$404,0)),"")</f>
        <v/>
      </c>
      <c r="P209" s="14" t="str">
        <f>IFERROR(INDEX(EXTRATO_IMPORTADO!$F$5:$F$404,MATCH(B209,EXTRATO_IMPORTADO!$I$5:$I$404,0)),"")</f>
        <v/>
      </c>
      <c r="Q209" s="26" t="str">
        <f>IFERROR(INDEX(EXTRATO_IMPORTADO!$B$5:$B$404,MATCH(B209,EXTRATO_IMPORTADO!$I$5:$I$404,0)),"")</f>
        <v/>
      </c>
      <c r="R209" s="26" t="str">
        <f>IFERROR(MATCH(B209,EXTRATO_IMPORTADO!$I$5:$I$404,0),"")</f>
        <v/>
      </c>
      <c r="S209" s="14" t="str">
        <f t="shared" si="10"/>
        <v/>
      </c>
      <c r="T209" s="33" t="str">
        <f t="shared" si="11"/>
        <v/>
      </c>
    </row>
    <row r="210" spans="1:20" x14ac:dyDescent="0.3">
      <c r="A210" s="26">
        <f>IF(BASE_CAIXA!A207="","",BASE_CAIXA!A207)</f>
        <v>206</v>
      </c>
      <c r="B210" s="26" t="str">
        <f>IF(A210="","",BASE_CAIXA!AL207)</f>
        <v>000206-DB</v>
      </c>
      <c r="C210" s="13">
        <f>IF(A210="","",BASE_CAIXA!AJ207)</f>
        <v>46157</v>
      </c>
      <c r="D210" s="26" t="str">
        <f>IF(A210="","",IF(BASE_CAIXA!C207="Entrada","Crédito","Débito"))</f>
        <v>Débito</v>
      </c>
      <c r="E210" s="14">
        <f>IF(A210="","",BASE_CAIXA!AA207)</f>
        <v>5760</v>
      </c>
      <c r="F210" s="26">
        <f>IF(A210="","",BASE_CAIXA!N207)</f>
        <v>0</v>
      </c>
      <c r="G210" s="26">
        <f>IF(A210="","",BASE_CAIXA!O207)</f>
        <v>0</v>
      </c>
      <c r="H210" s="26">
        <f>IF(A210="","",BASE_CAIXA!P207)</f>
        <v>0</v>
      </c>
      <c r="I210" s="26" t="str">
        <f>IF(A210="","",IF(BASE_CAIXA!H207&lt;&gt;"",BASE_CAIXA!H207,BASE_CAIXA!G207))</f>
        <v>Caixa gordura 40x40x40 pre moldada com tampa</v>
      </c>
      <c r="J210" s="26" t="str">
        <f>IF(A210="","",BASE_CAIXA!G207)</f>
        <v>Caixa gordura 40x40x40 pre moldada com tampa</v>
      </c>
      <c r="K210" s="26">
        <f>IF(A210="","",BASE_CAIXA!I207)</f>
        <v>0</v>
      </c>
      <c r="L210" s="26">
        <f>IF(A210="","",BASE_CAIXA!J207)</f>
        <v>0</v>
      </c>
      <c r="M210" s="26" t="str">
        <f>IF(A210="","",BASE_CAIXA!AM207)</f>
        <v>Caixa gordura 40x40x40 pre moldada com tampa | Caixa gordura</v>
      </c>
      <c r="N210" s="26" t="str">
        <f t="shared" ca="1" si="9"/>
        <v>Previsto</v>
      </c>
      <c r="O210" s="13" t="str">
        <f>IFERROR(INDEX(EXTRATO_IMPORTADO!$A$5:$A$404,MATCH(B210,EXTRATO_IMPORTADO!$I$5:$I$404,0)),"")</f>
        <v/>
      </c>
      <c r="P210" s="14" t="str">
        <f>IFERROR(INDEX(EXTRATO_IMPORTADO!$F$5:$F$404,MATCH(B210,EXTRATO_IMPORTADO!$I$5:$I$404,0)),"")</f>
        <v/>
      </c>
      <c r="Q210" s="26" t="str">
        <f>IFERROR(INDEX(EXTRATO_IMPORTADO!$B$5:$B$404,MATCH(B210,EXTRATO_IMPORTADO!$I$5:$I$404,0)),"")</f>
        <v/>
      </c>
      <c r="R210" s="26" t="str">
        <f>IFERROR(MATCH(B210,EXTRATO_IMPORTADO!$I$5:$I$404,0),"")</f>
        <v/>
      </c>
      <c r="S210" s="14" t="str">
        <f t="shared" si="10"/>
        <v/>
      </c>
      <c r="T210" s="33" t="str">
        <f t="shared" si="11"/>
        <v/>
      </c>
    </row>
    <row r="211" spans="1:20" x14ac:dyDescent="0.3">
      <c r="A211" s="26">
        <f>IF(BASE_CAIXA!A208="","",BASE_CAIXA!A208)</f>
        <v>207</v>
      </c>
      <c r="B211" s="26" t="str">
        <f>IF(A211="","",BASE_CAIXA!AL208)</f>
        <v>000207-DB</v>
      </c>
      <c r="C211" s="13">
        <f>IF(A211="","",BASE_CAIXA!AJ208)</f>
        <v>46157</v>
      </c>
      <c r="D211" s="26" t="str">
        <f>IF(A211="","",IF(BASE_CAIXA!C208="Entrada","Crédito","Débito"))</f>
        <v>Débito</v>
      </c>
      <c r="E211" s="14">
        <f>IF(A211="","",BASE_CAIXA!AA208)</f>
        <v>30720</v>
      </c>
      <c r="F211" s="26">
        <f>IF(A211="","",BASE_CAIXA!N208)</f>
        <v>0</v>
      </c>
      <c r="G211" s="26">
        <f>IF(A211="","",BASE_CAIXA!O208)</f>
        <v>0</v>
      </c>
      <c r="H211" s="26">
        <f>IF(A211="","",BASE_CAIXA!P208)</f>
        <v>0</v>
      </c>
      <c r="I211" s="26" t="str">
        <f>IF(A211="","",IF(BASE_CAIXA!H208&lt;&gt;"",BASE_CAIXA!H208,BASE_CAIXA!G208))</f>
        <v>Caixa inspecao 60x60x40 pre moldada com tampa</v>
      </c>
      <c r="J211" s="26" t="str">
        <f>IF(A211="","",BASE_CAIXA!G208)</f>
        <v>Caixa inspecao 60x60x40 pre moldada com tampa</v>
      </c>
      <c r="K211" s="26">
        <f>IF(A211="","",BASE_CAIXA!I208)</f>
        <v>0</v>
      </c>
      <c r="L211" s="26">
        <f>IF(A211="","",BASE_CAIXA!J208)</f>
        <v>0</v>
      </c>
      <c r="M211" s="26" t="str">
        <f>IF(A211="","",BASE_CAIXA!AM208)</f>
        <v>Caixa inspecao 60x60x40 pre moldada com tampa | Caixa inspec</v>
      </c>
      <c r="N211" s="26" t="str">
        <f t="shared" ca="1" si="9"/>
        <v>Previsto</v>
      </c>
      <c r="O211" s="13" t="str">
        <f>IFERROR(INDEX(EXTRATO_IMPORTADO!$A$5:$A$404,MATCH(B211,EXTRATO_IMPORTADO!$I$5:$I$404,0)),"")</f>
        <v/>
      </c>
      <c r="P211" s="14" t="str">
        <f>IFERROR(INDEX(EXTRATO_IMPORTADO!$F$5:$F$404,MATCH(B211,EXTRATO_IMPORTADO!$I$5:$I$404,0)),"")</f>
        <v/>
      </c>
      <c r="Q211" s="26" t="str">
        <f>IFERROR(INDEX(EXTRATO_IMPORTADO!$B$5:$B$404,MATCH(B211,EXTRATO_IMPORTADO!$I$5:$I$404,0)),"")</f>
        <v/>
      </c>
      <c r="R211" s="26" t="str">
        <f>IFERROR(MATCH(B211,EXTRATO_IMPORTADO!$I$5:$I$404,0),"")</f>
        <v/>
      </c>
      <c r="S211" s="14" t="str">
        <f t="shared" si="10"/>
        <v/>
      </c>
      <c r="T211" s="33" t="str">
        <f t="shared" si="11"/>
        <v/>
      </c>
    </row>
    <row r="212" spans="1:20" x14ac:dyDescent="0.3">
      <c r="A212" s="26">
        <f>IF(BASE_CAIXA!A209="","",BASE_CAIXA!A209)</f>
        <v>208</v>
      </c>
      <c r="B212" s="26" t="str">
        <f>IF(A212="","",BASE_CAIXA!AL209)</f>
        <v>000208-DB</v>
      </c>
      <c r="C212" s="13">
        <f>IF(A212="","",BASE_CAIXA!AJ209)</f>
        <v>46157</v>
      </c>
      <c r="D212" s="26" t="str">
        <f>IF(A212="","",IF(BASE_CAIXA!C209="Entrada","Crédito","Débito"))</f>
        <v>Débito</v>
      </c>
      <c r="E212" s="14">
        <f>IF(A212="","",BASE_CAIXA!AA209)</f>
        <v>7744.0000000000009</v>
      </c>
      <c r="F212" s="26">
        <f>IF(A212="","",BASE_CAIXA!N209)</f>
        <v>0</v>
      </c>
      <c r="G212" s="26">
        <f>IF(A212="","",BASE_CAIXA!O209)</f>
        <v>0</v>
      </c>
      <c r="H212" s="26">
        <f>IF(A212="","",BASE_CAIXA!P209)</f>
        <v>0</v>
      </c>
      <c r="I212" s="26" t="str">
        <f>IF(A212="","",IF(BASE_CAIXA!H209&lt;&gt;"",BASE_CAIXA!H209,BASE_CAIXA!G209))</f>
        <v>Locação de miniescavadeira - nivelamento e abertura de valas para caixa de gordura e hidrosanitario do radier</v>
      </c>
      <c r="J212" s="26" t="str">
        <f>IF(A212="","",BASE_CAIXA!G209)</f>
        <v>Locação de miniescavadeira - nivelamento e abertura de valas para caixa de gordura e hidrosanitario do radier</v>
      </c>
      <c r="K212" s="26">
        <f>IF(A212="","",BASE_CAIXA!I209)</f>
        <v>0</v>
      </c>
      <c r="L212" s="26">
        <f>IF(A212="","",BASE_CAIXA!J209)</f>
        <v>0</v>
      </c>
      <c r="M212" s="26" t="str">
        <f>IF(A212="","",BASE_CAIXA!AM209)</f>
        <v>Locação de miniescavadeira - nivelamento e abertura de valas</v>
      </c>
      <c r="N212" s="26" t="str">
        <f t="shared" ca="1" si="9"/>
        <v>Previsto</v>
      </c>
      <c r="O212" s="13" t="str">
        <f>IFERROR(INDEX(EXTRATO_IMPORTADO!$A$5:$A$404,MATCH(B212,EXTRATO_IMPORTADO!$I$5:$I$404,0)),"")</f>
        <v/>
      </c>
      <c r="P212" s="14" t="str">
        <f>IFERROR(INDEX(EXTRATO_IMPORTADO!$F$5:$F$404,MATCH(B212,EXTRATO_IMPORTADO!$I$5:$I$404,0)),"")</f>
        <v/>
      </c>
      <c r="Q212" s="26" t="str">
        <f>IFERROR(INDEX(EXTRATO_IMPORTADO!$B$5:$B$404,MATCH(B212,EXTRATO_IMPORTADO!$I$5:$I$404,0)),"")</f>
        <v/>
      </c>
      <c r="R212" s="26" t="str">
        <f>IFERROR(MATCH(B212,EXTRATO_IMPORTADO!$I$5:$I$404,0),"")</f>
        <v/>
      </c>
      <c r="S212" s="14" t="str">
        <f t="shared" si="10"/>
        <v/>
      </c>
      <c r="T212" s="33" t="str">
        <f t="shared" si="11"/>
        <v/>
      </c>
    </row>
    <row r="213" spans="1:20" x14ac:dyDescent="0.3">
      <c r="A213" s="26">
        <f>IF(BASE_CAIXA!A210="","",BASE_CAIXA!A210)</f>
        <v>209</v>
      </c>
      <c r="B213" s="26" t="str">
        <f>IF(A213="","",BASE_CAIXA!AL210)</f>
        <v>000209-DB</v>
      </c>
      <c r="C213" s="13">
        <f>IF(A213="","",BASE_CAIXA!AJ210)</f>
        <v>46157</v>
      </c>
      <c r="D213" s="26" t="str">
        <f>IF(A213="","",IF(BASE_CAIXA!C210="Entrada","Crédito","Débito"))</f>
        <v>Débito</v>
      </c>
      <c r="E213" s="14">
        <f>IF(A213="","",BASE_CAIXA!AA210)</f>
        <v>17683.135999999999</v>
      </c>
      <c r="F213" s="26">
        <f>IF(A213="","",BASE_CAIXA!N210)</f>
        <v>0</v>
      </c>
      <c r="G213" s="26">
        <f>IF(A213="","",BASE_CAIXA!O210)</f>
        <v>0</v>
      </c>
      <c r="H213" s="26">
        <f>IF(A213="","",BASE_CAIXA!P210)</f>
        <v>0</v>
      </c>
      <c r="I213" s="26" t="str">
        <f>IF(A213="","",IF(BASE_CAIXA!H210&lt;&gt;"",BASE_CAIXA!H210,BASE_CAIXA!G210))</f>
        <v>MO Terceirizada Caixas de inspecao e gordura</v>
      </c>
      <c r="J213" s="26" t="str">
        <f>IF(A213="","",BASE_CAIXA!G210)</f>
        <v>MO Terceirizada Caixas de inspecao e gordura</v>
      </c>
      <c r="K213" s="26">
        <f>IF(A213="","",BASE_CAIXA!I210)</f>
        <v>0</v>
      </c>
      <c r="L213" s="26">
        <f>IF(A213="","",BASE_CAIXA!J210)</f>
        <v>0</v>
      </c>
      <c r="M213" s="26" t="str">
        <f>IF(A213="","",BASE_CAIXA!AM210)</f>
        <v>MO Terceirizada Caixas de inspecao e gordura | MO Terceiriza</v>
      </c>
      <c r="N213" s="26" t="str">
        <f t="shared" ca="1" si="9"/>
        <v>Previsto</v>
      </c>
      <c r="O213" s="13" t="str">
        <f>IFERROR(INDEX(EXTRATO_IMPORTADO!$A$5:$A$404,MATCH(B213,EXTRATO_IMPORTADO!$I$5:$I$404,0)),"")</f>
        <v/>
      </c>
      <c r="P213" s="14" t="str">
        <f>IFERROR(INDEX(EXTRATO_IMPORTADO!$F$5:$F$404,MATCH(B213,EXTRATO_IMPORTADO!$I$5:$I$404,0)),"")</f>
        <v/>
      </c>
      <c r="Q213" s="26" t="str">
        <f>IFERROR(INDEX(EXTRATO_IMPORTADO!$B$5:$B$404,MATCH(B213,EXTRATO_IMPORTADO!$I$5:$I$404,0)),"")</f>
        <v/>
      </c>
      <c r="R213" s="26" t="str">
        <f>IFERROR(MATCH(B213,EXTRATO_IMPORTADO!$I$5:$I$404,0),"")</f>
        <v/>
      </c>
      <c r="S213" s="14" t="str">
        <f t="shared" si="10"/>
        <v/>
      </c>
      <c r="T213" s="33" t="str">
        <f t="shared" si="11"/>
        <v/>
      </c>
    </row>
    <row r="214" spans="1:20" x14ac:dyDescent="0.3">
      <c r="A214" s="26">
        <f>IF(BASE_CAIXA!A211="","",BASE_CAIXA!A211)</f>
        <v>210</v>
      </c>
      <c r="B214" s="26" t="str">
        <f>IF(A214="","",BASE_CAIXA!AL211)</f>
        <v>000210-DB</v>
      </c>
      <c r="C214" s="13">
        <f>IF(A214="","",BASE_CAIXA!AJ211)</f>
        <v>46157</v>
      </c>
      <c r="D214" s="26" t="str">
        <f>IF(A214="","",IF(BASE_CAIXA!C211="Entrada","Crédito","Débito"))</f>
        <v>Débito</v>
      </c>
      <c r="E214" s="14">
        <f>IF(A214="","",BASE_CAIXA!AA211)</f>
        <v>4393.7791999999999</v>
      </c>
      <c r="F214" s="26">
        <f>IF(A214="","",BASE_CAIXA!N211)</f>
        <v>0</v>
      </c>
      <c r="G214" s="26">
        <f>IF(A214="","",BASE_CAIXA!O211)</f>
        <v>0</v>
      </c>
      <c r="H214" s="26">
        <f>IF(A214="","",BASE_CAIXA!P211)</f>
        <v>0</v>
      </c>
      <c r="I214" s="26" t="str">
        <f>IF(A214="","",IF(BASE_CAIXA!H211&lt;&gt;"",BASE_CAIXA!H211,BASE_CAIXA!G211))</f>
        <v>Tubo pvc 100mm - Rede de Esgoto</v>
      </c>
      <c r="J214" s="26" t="str">
        <f>IF(A214="","",BASE_CAIXA!G211)</f>
        <v>Tubo pvc 100mm - Rede de Esgoto</v>
      </c>
      <c r="K214" s="26">
        <f>IF(A214="","",BASE_CAIXA!I211)</f>
        <v>0</v>
      </c>
      <c r="L214" s="26">
        <f>IF(A214="","",BASE_CAIXA!J211)</f>
        <v>0</v>
      </c>
      <c r="M214" s="26" t="str">
        <f>IF(A214="","",BASE_CAIXA!AM211)</f>
        <v>Tubo pvc 100mm - Rede de Esgoto | Tubo pvc 100mm - Rede de E</v>
      </c>
      <c r="N214" s="26" t="str">
        <f t="shared" ca="1" si="9"/>
        <v>Previsto</v>
      </c>
      <c r="O214" s="13" t="str">
        <f>IFERROR(INDEX(EXTRATO_IMPORTADO!$A$5:$A$404,MATCH(B214,EXTRATO_IMPORTADO!$I$5:$I$404,0)),"")</f>
        <v/>
      </c>
      <c r="P214" s="14" t="str">
        <f>IFERROR(INDEX(EXTRATO_IMPORTADO!$F$5:$F$404,MATCH(B214,EXTRATO_IMPORTADO!$I$5:$I$404,0)),"")</f>
        <v/>
      </c>
      <c r="Q214" s="26" t="str">
        <f>IFERROR(INDEX(EXTRATO_IMPORTADO!$B$5:$B$404,MATCH(B214,EXTRATO_IMPORTADO!$I$5:$I$404,0)),"")</f>
        <v/>
      </c>
      <c r="R214" s="26" t="str">
        <f>IFERROR(MATCH(B214,EXTRATO_IMPORTADO!$I$5:$I$404,0),"")</f>
        <v/>
      </c>
      <c r="S214" s="14" t="str">
        <f t="shared" si="10"/>
        <v/>
      </c>
      <c r="T214" s="33" t="str">
        <f t="shared" si="11"/>
        <v/>
      </c>
    </row>
    <row r="215" spans="1:20" x14ac:dyDescent="0.3">
      <c r="A215" s="26">
        <f>IF(BASE_CAIXA!A212="","",BASE_CAIXA!A212)</f>
        <v>211</v>
      </c>
      <c r="B215" s="26" t="str">
        <f>IF(A215="","",BASE_CAIXA!AL212)</f>
        <v>000211-DB</v>
      </c>
      <c r="C215" s="13">
        <f>IF(A215="","",BASE_CAIXA!AJ212)</f>
        <v>46157</v>
      </c>
      <c r="D215" s="26" t="str">
        <f>IF(A215="","",IF(BASE_CAIXA!C212="Entrada","Crédito","Débito"))</f>
        <v>Débito</v>
      </c>
      <c r="E215" s="14">
        <f>IF(A215="","",BASE_CAIXA!AA212)</f>
        <v>210.91968</v>
      </c>
      <c r="F215" s="26">
        <f>IF(A215="","",BASE_CAIXA!N212)</f>
        <v>0</v>
      </c>
      <c r="G215" s="26">
        <f>IF(A215="","",BASE_CAIXA!O212)</f>
        <v>0</v>
      </c>
      <c r="H215" s="26">
        <f>IF(A215="","",BASE_CAIXA!P212)</f>
        <v>0</v>
      </c>
      <c r="I215" s="26" t="str">
        <f>IF(A215="","",IF(BASE_CAIXA!H212&lt;&gt;"",BASE_CAIXA!H212,BASE_CAIXA!G212))</f>
        <v>Tubo pvc 40mm - Rede de Esgoto</v>
      </c>
      <c r="J215" s="26" t="str">
        <f>IF(A215="","",BASE_CAIXA!G212)</f>
        <v>Tubo pvc 40mm - Rede de Esgoto</v>
      </c>
      <c r="K215" s="26">
        <f>IF(A215="","",BASE_CAIXA!I212)</f>
        <v>0</v>
      </c>
      <c r="L215" s="26">
        <f>IF(A215="","",BASE_CAIXA!J212)</f>
        <v>0</v>
      </c>
      <c r="M215" s="26" t="str">
        <f>IF(A215="","",BASE_CAIXA!AM212)</f>
        <v>Tubo pvc 40mm - Rede de Esgoto | Tubo pvc 40mm - Rede de Esg</v>
      </c>
      <c r="N215" s="26" t="str">
        <f t="shared" ca="1" si="9"/>
        <v>Previsto</v>
      </c>
      <c r="O215" s="13" t="str">
        <f>IFERROR(INDEX(EXTRATO_IMPORTADO!$A$5:$A$404,MATCH(B215,EXTRATO_IMPORTADO!$I$5:$I$404,0)),"")</f>
        <v/>
      </c>
      <c r="P215" s="14" t="str">
        <f>IFERROR(INDEX(EXTRATO_IMPORTADO!$F$5:$F$404,MATCH(B215,EXTRATO_IMPORTADO!$I$5:$I$404,0)),"")</f>
        <v/>
      </c>
      <c r="Q215" s="26" t="str">
        <f>IFERROR(INDEX(EXTRATO_IMPORTADO!$B$5:$B$404,MATCH(B215,EXTRATO_IMPORTADO!$I$5:$I$404,0)),"")</f>
        <v/>
      </c>
      <c r="R215" s="26" t="str">
        <f>IFERROR(MATCH(B215,EXTRATO_IMPORTADO!$I$5:$I$404,0),"")</f>
        <v/>
      </c>
      <c r="S215" s="14" t="str">
        <f t="shared" si="10"/>
        <v/>
      </c>
      <c r="T215" s="33" t="str">
        <f t="shared" si="11"/>
        <v/>
      </c>
    </row>
    <row r="216" spans="1:20" x14ac:dyDescent="0.3">
      <c r="A216" s="26">
        <f>IF(BASE_CAIXA!A213="","",BASE_CAIXA!A213)</f>
        <v>212</v>
      </c>
      <c r="B216" s="26" t="str">
        <f>IF(A216="","",BASE_CAIXA!AL213)</f>
        <v>000212-DB</v>
      </c>
      <c r="C216" s="13">
        <f>IF(A216="","",BASE_CAIXA!AJ213)</f>
        <v>46157</v>
      </c>
      <c r="D216" s="26" t="str">
        <f>IF(A216="","",IF(BASE_CAIXA!C213="Entrada","Crédito","Débito"))</f>
        <v>Débito</v>
      </c>
      <c r="E216" s="14">
        <f>IF(A216="","",BASE_CAIXA!AA213)</f>
        <v>222.47424000000001</v>
      </c>
      <c r="F216" s="26">
        <f>IF(A216="","",BASE_CAIXA!N213)</f>
        <v>0</v>
      </c>
      <c r="G216" s="26">
        <f>IF(A216="","",BASE_CAIXA!O213)</f>
        <v>0</v>
      </c>
      <c r="H216" s="26">
        <f>IF(A216="","",BASE_CAIXA!P213)</f>
        <v>0</v>
      </c>
      <c r="I216" s="26" t="str">
        <f>IF(A216="","",IF(BASE_CAIXA!H213&lt;&gt;"",BASE_CAIXA!H213,BASE_CAIXA!G213))</f>
        <v>Tubo pvc 50mm - Rede de Esgoto</v>
      </c>
      <c r="J216" s="26" t="str">
        <f>IF(A216="","",BASE_CAIXA!G213)</f>
        <v>Tubo pvc 50mm - Rede de Esgoto</v>
      </c>
      <c r="K216" s="26">
        <f>IF(A216="","",BASE_CAIXA!I213)</f>
        <v>0</v>
      </c>
      <c r="L216" s="26">
        <f>IF(A216="","",BASE_CAIXA!J213)</f>
        <v>0</v>
      </c>
      <c r="M216" s="26" t="str">
        <f>IF(A216="","",BASE_CAIXA!AM213)</f>
        <v>Tubo pvc 50mm - Rede de Esgoto | Tubo pvc 50mm - Rede de Esg</v>
      </c>
      <c r="N216" s="26" t="str">
        <f t="shared" ca="1" si="9"/>
        <v>Previsto</v>
      </c>
      <c r="O216" s="13" t="str">
        <f>IFERROR(INDEX(EXTRATO_IMPORTADO!$A$5:$A$404,MATCH(B216,EXTRATO_IMPORTADO!$I$5:$I$404,0)),"")</f>
        <v/>
      </c>
      <c r="P216" s="14" t="str">
        <f>IFERROR(INDEX(EXTRATO_IMPORTADO!$F$5:$F$404,MATCH(B216,EXTRATO_IMPORTADO!$I$5:$I$404,0)),"")</f>
        <v/>
      </c>
      <c r="Q216" s="26" t="str">
        <f>IFERROR(INDEX(EXTRATO_IMPORTADO!$B$5:$B$404,MATCH(B216,EXTRATO_IMPORTADO!$I$5:$I$404,0)),"")</f>
        <v/>
      </c>
      <c r="R216" s="26" t="str">
        <f>IFERROR(MATCH(B216,EXTRATO_IMPORTADO!$I$5:$I$404,0),"")</f>
        <v/>
      </c>
      <c r="S216" s="14" t="str">
        <f t="shared" si="10"/>
        <v/>
      </c>
      <c r="T216" s="33" t="str">
        <f t="shared" si="11"/>
        <v/>
      </c>
    </row>
    <row r="217" spans="1:20" x14ac:dyDescent="0.3">
      <c r="A217" s="26">
        <f>IF(BASE_CAIXA!A214="","",BASE_CAIXA!A214)</f>
        <v>213</v>
      </c>
      <c r="B217" s="26" t="str">
        <f>IF(A217="","",BASE_CAIXA!AL214)</f>
        <v>000213-DB</v>
      </c>
      <c r="C217" s="13">
        <f>IF(A217="","",BASE_CAIXA!AJ214)</f>
        <v>46157</v>
      </c>
      <c r="D217" s="26" t="str">
        <f>IF(A217="","",IF(BASE_CAIXA!C214="Entrada","Crédito","Débito"))</f>
        <v>Débito</v>
      </c>
      <c r="E217" s="14">
        <f>IF(A217="","",BASE_CAIXA!AA214)</f>
        <v>718.08</v>
      </c>
      <c r="F217" s="26">
        <f>IF(A217="","",BASE_CAIXA!N214)</f>
        <v>0</v>
      </c>
      <c r="G217" s="26">
        <f>IF(A217="","",BASE_CAIXA!O214)</f>
        <v>0</v>
      </c>
      <c r="H217" s="26">
        <f>IF(A217="","",BASE_CAIXA!P214)</f>
        <v>0</v>
      </c>
      <c r="I217" s="26" t="str">
        <f>IF(A217="","",IF(BASE_CAIXA!H214&lt;&gt;"",BASE_CAIXA!H214,BASE_CAIXA!G214))</f>
        <v>lastro de brita 01 - 10cm</v>
      </c>
      <c r="J217" s="26" t="str">
        <f>IF(A217="","",BASE_CAIXA!G214)</f>
        <v>lastro de brita 01 - 10cm</v>
      </c>
      <c r="K217" s="26">
        <f>IF(A217="","",BASE_CAIXA!I214)</f>
        <v>0</v>
      </c>
      <c r="L217" s="26">
        <f>IF(A217="","",BASE_CAIXA!J214)</f>
        <v>0</v>
      </c>
      <c r="M217" s="26" t="str">
        <f>IF(A217="","",BASE_CAIXA!AM214)</f>
        <v>lastro de brita 01 - 10cm | lastro de brita 01 - 10cm | Saíd</v>
      </c>
      <c r="N217" s="26" t="str">
        <f t="shared" ca="1" si="9"/>
        <v>Previsto</v>
      </c>
      <c r="O217" s="13" t="str">
        <f>IFERROR(INDEX(EXTRATO_IMPORTADO!$A$5:$A$404,MATCH(B217,EXTRATO_IMPORTADO!$I$5:$I$404,0)),"")</f>
        <v/>
      </c>
      <c r="P217" s="14" t="str">
        <f>IFERROR(INDEX(EXTRATO_IMPORTADO!$F$5:$F$404,MATCH(B217,EXTRATO_IMPORTADO!$I$5:$I$404,0)),"")</f>
        <v/>
      </c>
      <c r="Q217" s="26" t="str">
        <f>IFERROR(INDEX(EXTRATO_IMPORTADO!$B$5:$B$404,MATCH(B217,EXTRATO_IMPORTADO!$I$5:$I$404,0)),"")</f>
        <v/>
      </c>
      <c r="R217" s="26" t="str">
        <f>IFERROR(MATCH(B217,EXTRATO_IMPORTADO!$I$5:$I$404,0),"")</f>
        <v/>
      </c>
      <c r="S217" s="14" t="str">
        <f t="shared" si="10"/>
        <v/>
      </c>
      <c r="T217" s="33" t="str">
        <f t="shared" si="11"/>
        <v/>
      </c>
    </row>
    <row r="218" spans="1:20" x14ac:dyDescent="0.3">
      <c r="A218" s="26">
        <f>IF(BASE_CAIXA!A215="","",BASE_CAIXA!A215)</f>
        <v>214</v>
      </c>
      <c r="B218" s="26" t="str">
        <f>IF(A218="","",BASE_CAIXA!AL215)</f>
        <v>000214-DB</v>
      </c>
      <c r="C218" s="13">
        <f>IF(A218="","",BASE_CAIXA!AJ215)</f>
        <v>46157</v>
      </c>
      <c r="D218" s="26" t="str">
        <f>IF(A218="","",IF(BASE_CAIXA!C215="Entrada","Crédito","Débito"))</f>
        <v>Débito</v>
      </c>
      <c r="E218" s="14">
        <f>IF(A218="","",BASE_CAIXA!AA215)</f>
        <v>21190</v>
      </c>
      <c r="F218" s="26">
        <f>IF(A218="","",BASE_CAIXA!N215)</f>
        <v>0</v>
      </c>
      <c r="G218" s="26">
        <f>IF(A218="","",BASE_CAIXA!O215)</f>
        <v>0</v>
      </c>
      <c r="H218" s="26">
        <f>IF(A218="","",BASE_CAIXA!P215)</f>
        <v>0</v>
      </c>
      <c r="I218" s="26" t="str">
        <f>IF(A218="","",IF(BASE_CAIXA!H215&lt;&gt;"",BASE_CAIXA!H215,BASE_CAIXA!G215))</f>
        <v>CARTAO CREDITO SUCOPIRA</v>
      </c>
      <c r="J218" s="26" t="str">
        <f>IF(A218="","",BASE_CAIXA!G215)</f>
        <v>CARTAO CREDITO SUCOPIRA</v>
      </c>
      <c r="K218" s="26">
        <f>IF(A218="","",BASE_CAIXA!I215)</f>
        <v>0</v>
      </c>
      <c r="L218" s="26">
        <f>IF(A218="","",BASE_CAIXA!J215)</f>
        <v>0</v>
      </c>
      <c r="M218" s="26" t="str">
        <f>IF(A218="","",BASE_CAIXA!AM215)</f>
        <v xml:space="preserve">CARTAO CREDITO SUCOPIRA | CARTAO CREDITO SUCOPIRA | Saída | </v>
      </c>
      <c r="N218" s="26" t="str">
        <f t="shared" ca="1" si="9"/>
        <v>Previsto</v>
      </c>
      <c r="O218" s="13" t="str">
        <f>IFERROR(INDEX(EXTRATO_IMPORTADO!$A$5:$A$404,MATCH(B218,EXTRATO_IMPORTADO!$I$5:$I$404,0)),"")</f>
        <v/>
      </c>
      <c r="P218" s="14" t="str">
        <f>IFERROR(INDEX(EXTRATO_IMPORTADO!$F$5:$F$404,MATCH(B218,EXTRATO_IMPORTADO!$I$5:$I$404,0)),"")</f>
        <v/>
      </c>
      <c r="Q218" s="26" t="str">
        <f>IFERROR(INDEX(EXTRATO_IMPORTADO!$B$5:$B$404,MATCH(B218,EXTRATO_IMPORTADO!$I$5:$I$404,0)),"")</f>
        <v/>
      </c>
      <c r="R218" s="26" t="str">
        <f>IFERROR(MATCH(B218,EXTRATO_IMPORTADO!$I$5:$I$404,0),"")</f>
        <v/>
      </c>
      <c r="S218" s="14" t="str">
        <f t="shared" si="10"/>
        <v/>
      </c>
      <c r="T218" s="33" t="str">
        <f t="shared" si="11"/>
        <v/>
      </c>
    </row>
    <row r="219" spans="1:20" x14ac:dyDescent="0.3">
      <c r="A219" s="26">
        <f>IF(BASE_CAIXA!A216="","",BASE_CAIXA!A216)</f>
        <v>215</v>
      </c>
      <c r="B219" s="26" t="str">
        <f>IF(A219="","",BASE_CAIXA!AL216)</f>
        <v>000215-DB</v>
      </c>
      <c r="C219" s="13">
        <f>IF(A219="","",BASE_CAIXA!AJ216)</f>
        <v>46157</v>
      </c>
      <c r="D219" s="26" t="str">
        <f>IF(A219="","",IF(BASE_CAIXA!C216="Entrada","Crédito","Débito"))</f>
        <v>Débito</v>
      </c>
      <c r="E219" s="14">
        <f>IF(A219="","",BASE_CAIXA!AA216)</f>
        <v>14716.35</v>
      </c>
      <c r="F219" s="26">
        <f>IF(A219="","",BASE_CAIXA!N216)</f>
        <v>0</v>
      </c>
      <c r="G219" s="26">
        <f>IF(A219="","",BASE_CAIXA!O216)</f>
        <v>0</v>
      </c>
      <c r="H219" s="26">
        <f>IF(A219="","",BASE_CAIXA!P216)</f>
        <v>0</v>
      </c>
      <c r="I219" s="26" t="str">
        <f>IF(A219="","",IF(BASE_CAIXA!H216&lt;&gt;"",BASE_CAIXA!H216,BASE_CAIXA!G216))</f>
        <v>EMPRESTIMO BRADESCO</v>
      </c>
      <c r="J219" s="26" t="str">
        <f>IF(A219="","",BASE_CAIXA!G216)</f>
        <v>EMPRESTIMO BRADESCO</v>
      </c>
      <c r="K219" s="26">
        <f>IF(A219="","",BASE_CAIXA!I216)</f>
        <v>0</v>
      </c>
      <c r="L219" s="26">
        <f>IF(A219="","",BASE_CAIXA!J216)</f>
        <v>0</v>
      </c>
      <c r="M219" s="26" t="str">
        <f>IF(A219="","",BASE_CAIXA!AM216)</f>
        <v xml:space="preserve">EMPRESTIMO BRADESCO | EMPRESTIMO BRADESCO | Saída | CAPITAL </v>
      </c>
      <c r="N219" s="26" t="str">
        <f t="shared" ca="1" si="9"/>
        <v>Previsto</v>
      </c>
      <c r="O219" s="13" t="str">
        <f>IFERROR(INDEX(EXTRATO_IMPORTADO!$A$5:$A$404,MATCH(B219,EXTRATO_IMPORTADO!$I$5:$I$404,0)),"")</f>
        <v/>
      </c>
      <c r="P219" s="14" t="str">
        <f>IFERROR(INDEX(EXTRATO_IMPORTADO!$F$5:$F$404,MATCH(B219,EXTRATO_IMPORTADO!$I$5:$I$404,0)),"")</f>
        <v/>
      </c>
      <c r="Q219" s="26" t="str">
        <f>IFERROR(INDEX(EXTRATO_IMPORTADO!$B$5:$B$404,MATCH(B219,EXTRATO_IMPORTADO!$I$5:$I$404,0)),"")</f>
        <v/>
      </c>
      <c r="R219" s="26" t="str">
        <f>IFERROR(MATCH(B219,EXTRATO_IMPORTADO!$I$5:$I$404,0),"")</f>
        <v/>
      </c>
      <c r="S219" s="14" t="str">
        <f t="shared" si="10"/>
        <v/>
      </c>
      <c r="T219" s="33" t="str">
        <f t="shared" si="11"/>
        <v/>
      </c>
    </row>
    <row r="220" spans="1:20" x14ac:dyDescent="0.3">
      <c r="A220" s="26">
        <f>IF(BASE_CAIXA!A217="","",BASE_CAIXA!A217)</f>
        <v>216</v>
      </c>
      <c r="B220" s="26" t="str">
        <f>IF(A220="","",BASE_CAIXA!AL217)</f>
        <v>000216-DB</v>
      </c>
      <c r="C220" s="13">
        <f>IF(A220="","",BASE_CAIXA!AJ217)</f>
        <v>46157</v>
      </c>
      <c r="D220" s="26" t="str">
        <f>IF(A220="","",IF(BASE_CAIXA!C217="Entrada","Crédito","Débito"))</f>
        <v>Débito</v>
      </c>
      <c r="E220" s="14">
        <f>IF(A220="","",BASE_CAIXA!AA217)</f>
        <v>7670</v>
      </c>
      <c r="F220" s="26">
        <f>IF(A220="","",BASE_CAIXA!N217)</f>
        <v>0</v>
      </c>
      <c r="G220" s="26">
        <f>IF(A220="","",BASE_CAIXA!O217)</f>
        <v>0</v>
      </c>
      <c r="H220" s="26">
        <f>IF(A220="","",BASE_CAIXA!P217)</f>
        <v>0</v>
      </c>
      <c r="I220" s="26" t="str">
        <f>IF(A220="","",IF(BASE_CAIXA!H217&lt;&gt;"",BASE_CAIXA!H217,BASE_CAIXA!G217))</f>
        <v>EMPRÉSTIMO EXTRA</v>
      </c>
      <c r="J220" s="26" t="str">
        <f>IF(A220="","",BASE_CAIXA!G217)</f>
        <v>EMPRÉSTIMO EXTRA</v>
      </c>
      <c r="K220" s="26">
        <f>IF(A220="","",BASE_CAIXA!I217)</f>
        <v>0</v>
      </c>
      <c r="L220" s="26">
        <f>IF(A220="","",BASE_CAIXA!J217)</f>
        <v>0</v>
      </c>
      <c r="M220" s="26" t="str">
        <f>IF(A220="","",BASE_CAIXA!AM217)</f>
        <v>EMPRÉSTIMO EXTRA | EMPRÉSTIMO EXTRA | Saída | CAPITAL DE GIR</v>
      </c>
      <c r="N220" s="26" t="str">
        <f t="shared" ca="1" si="9"/>
        <v>Previsto</v>
      </c>
      <c r="O220" s="13" t="str">
        <f>IFERROR(INDEX(EXTRATO_IMPORTADO!$A$5:$A$404,MATCH(B220,EXTRATO_IMPORTADO!$I$5:$I$404,0)),"")</f>
        <v/>
      </c>
      <c r="P220" s="14" t="str">
        <f>IFERROR(INDEX(EXTRATO_IMPORTADO!$F$5:$F$404,MATCH(B220,EXTRATO_IMPORTADO!$I$5:$I$404,0)),"")</f>
        <v/>
      </c>
      <c r="Q220" s="26" t="str">
        <f>IFERROR(INDEX(EXTRATO_IMPORTADO!$B$5:$B$404,MATCH(B220,EXTRATO_IMPORTADO!$I$5:$I$404,0)),"")</f>
        <v/>
      </c>
      <c r="R220" s="26" t="str">
        <f>IFERROR(MATCH(B220,EXTRATO_IMPORTADO!$I$5:$I$404,0),"")</f>
        <v/>
      </c>
      <c r="S220" s="14" t="str">
        <f t="shared" si="10"/>
        <v/>
      </c>
      <c r="T220" s="33" t="str">
        <f t="shared" si="11"/>
        <v/>
      </c>
    </row>
    <row r="221" spans="1:20" x14ac:dyDescent="0.3">
      <c r="A221" s="26">
        <f>IF(BASE_CAIXA!A218="","",BASE_CAIXA!A218)</f>
        <v>217</v>
      </c>
      <c r="B221" s="26" t="str">
        <f>IF(A221="","",BASE_CAIXA!AL218)</f>
        <v>000217-DB</v>
      </c>
      <c r="C221" s="13">
        <f>IF(A221="","",BASE_CAIXA!AJ218)</f>
        <v>46157</v>
      </c>
      <c r="D221" s="26" t="str">
        <f>IF(A221="","",IF(BASE_CAIXA!C218="Entrada","Crédito","Débito"))</f>
        <v>Débito</v>
      </c>
      <c r="E221" s="14">
        <f>IF(A221="","",BASE_CAIXA!AA218)</f>
        <v>4906.58</v>
      </c>
      <c r="F221" s="26">
        <f>IF(A221="","",BASE_CAIXA!N218)</f>
        <v>0</v>
      </c>
      <c r="G221" s="26">
        <f>IF(A221="","",BASE_CAIXA!O218)</f>
        <v>0</v>
      </c>
      <c r="H221" s="26">
        <f>IF(A221="","",BASE_CAIXA!P218)</f>
        <v>0</v>
      </c>
      <c r="I221" s="26" t="str">
        <f>IF(A221="","",IF(BASE_CAIXA!H218&lt;&gt;"",BASE_CAIXA!H218,BASE_CAIXA!G218))</f>
        <v>NUBANK</v>
      </c>
      <c r="J221" s="26" t="str">
        <f>IF(A221="","",BASE_CAIXA!G218)</f>
        <v>NUBANK</v>
      </c>
      <c r="K221" s="26">
        <f>IF(A221="","",BASE_CAIXA!I218)</f>
        <v>0</v>
      </c>
      <c r="L221" s="26">
        <f>IF(A221="","",BASE_CAIXA!J218)</f>
        <v>0</v>
      </c>
      <c r="M221" s="26" t="str">
        <f>IF(A221="","",BASE_CAIXA!AM218)</f>
        <v>NUBANK | NUBANK | Saída | CAPITAL DE GIRO</v>
      </c>
      <c r="N221" s="26" t="str">
        <f t="shared" ca="1" si="9"/>
        <v>Previsto</v>
      </c>
      <c r="O221" s="13" t="str">
        <f>IFERROR(INDEX(EXTRATO_IMPORTADO!$A$5:$A$404,MATCH(B221,EXTRATO_IMPORTADO!$I$5:$I$404,0)),"")</f>
        <v/>
      </c>
      <c r="P221" s="14" t="str">
        <f>IFERROR(INDEX(EXTRATO_IMPORTADO!$F$5:$F$404,MATCH(B221,EXTRATO_IMPORTADO!$I$5:$I$404,0)),"")</f>
        <v/>
      </c>
      <c r="Q221" s="26" t="str">
        <f>IFERROR(INDEX(EXTRATO_IMPORTADO!$B$5:$B$404,MATCH(B221,EXTRATO_IMPORTADO!$I$5:$I$404,0)),"")</f>
        <v/>
      </c>
      <c r="R221" s="26" t="str">
        <f>IFERROR(MATCH(B221,EXTRATO_IMPORTADO!$I$5:$I$404,0),"")</f>
        <v/>
      </c>
      <c r="S221" s="14" t="str">
        <f t="shared" si="10"/>
        <v/>
      </c>
      <c r="T221" s="33" t="str">
        <f t="shared" si="11"/>
        <v/>
      </c>
    </row>
    <row r="222" spans="1:20" x14ac:dyDescent="0.3">
      <c r="A222" s="26">
        <f>IF(BASE_CAIXA!A219="","",BASE_CAIXA!A219)</f>
        <v>218</v>
      </c>
      <c r="B222" s="26" t="str">
        <f>IF(A222="","",BASE_CAIXA!AL219)</f>
        <v>000218-DB</v>
      </c>
      <c r="C222" s="13">
        <f>IF(A222="","",BASE_CAIXA!AJ219)</f>
        <v>46157</v>
      </c>
      <c r="D222" s="26" t="str">
        <f>IF(A222="","",IF(BASE_CAIXA!C219="Entrada","Crédito","Débito"))</f>
        <v>Débito</v>
      </c>
      <c r="E222" s="14">
        <f>IF(A222="","",BASE_CAIXA!AA219)</f>
        <v>33425.440000000002</v>
      </c>
      <c r="F222" s="26">
        <f>IF(A222="","",BASE_CAIXA!N219)</f>
        <v>0</v>
      </c>
      <c r="G222" s="26">
        <f>IF(A222="","",BASE_CAIXA!O219)</f>
        <v>0</v>
      </c>
      <c r="H222" s="26">
        <f>IF(A222="","",BASE_CAIXA!P219)</f>
        <v>0</v>
      </c>
      <c r="I222" s="26" t="str">
        <f>IF(A222="","",IF(BASE_CAIXA!H219&lt;&gt;"",BASE_CAIXA!H219,BASE_CAIXA!G219))</f>
        <v>Mao de obra terceirizada montagem e telhamento</v>
      </c>
      <c r="J222" s="26" t="str">
        <f>IF(A222="","",BASE_CAIXA!G219)</f>
        <v>Mao de obra terceirizada montagem e telhamento</v>
      </c>
      <c r="K222" s="26">
        <f>IF(A222="","",BASE_CAIXA!I219)</f>
        <v>0</v>
      </c>
      <c r="L222" s="26">
        <f>IF(A222="","",BASE_CAIXA!J219)</f>
        <v>0</v>
      </c>
      <c r="M222" s="26" t="str">
        <f>IF(A222="","",BASE_CAIXA!AM219)</f>
        <v>Mao de obra terceirizada montagem e telhamento | Mao de obra</v>
      </c>
      <c r="N222" s="26" t="str">
        <f t="shared" ca="1" si="9"/>
        <v>Previsto</v>
      </c>
      <c r="O222" s="13" t="str">
        <f>IFERROR(INDEX(EXTRATO_IMPORTADO!$A$5:$A$404,MATCH(B222,EXTRATO_IMPORTADO!$I$5:$I$404,0)),"")</f>
        <v/>
      </c>
      <c r="P222" s="14" t="str">
        <f>IFERROR(INDEX(EXTRATO_IMPORTADO!$F$5:$F$404,MATCH(B222,EXTRATO_IMPORTADO!$I$5:$I$404,0)),"")</f>
        <v/>
      </c>
      <c r="Q222" s="26" t="str">
        <f>IFERROR(INDEX(EXTRATO_IMPORTADO!$B$5:$B$404,MATCH(B222,EXTRATO_IMPORTADO!$I$5:$I$404,0)),"")</f>
        <v/>
      </c>
      <c r="R222" s="26" t="str">
        <f>IFERROR(MATCH(B222,EXTRATO_IMPORTADO!$I$5:$I$404,0),"")</f>
        <v/>
      </c>
      <c r="S222" s="14" t="str">
        <f t="shared" si="10"/>
        <v/>
      </c>
      <c r="T222" s="33" t="str">
        <f t="shared" si="11"/>
        <v/>
      </c>
    </row>
    <row r="223" spans="1:20" x14ac:dyDescent="0.3">
      <c r="A223" s="26">
        <f>IF(BASE_CAIXA!A220="","",BASE_CAIXA!A220)</f>
        <v>219</v>
      </c>
      <c r="B223" s="26" t="str">
        <f>IF(A223="","",BASE_CAIXA!AL220)</f>
        <v>000219-DB</v>
      </c>
      <c r="C223" s="13">
        <f>IF(A223="","",BASE_CAIXA!AJ220)</f>
        <v>46157</v>
      </c>
      <c r="D223" s="26" t="str">
        <f>IF(A223="","",IF(BASE_CAIXA!C220="Entrada","Crédito","Débito"))</f>
        <v>Débito</v>
      </c>
      <c r="E223" s="14">
        <f>IF(A223="","",BASE_CAIXA!AA220)</f>
        <v>8000</v>
      </c>
      <c r="F223" s="26">
        <f>IF(A223="","",BASE_CAIXA!N220)</f>
        <v>0</v>
      </c>
      <c r="G223" s="26">
        <f>IF(A223="","",BASE_CAIXA!O220)</f>
        <v>0</v>
      </c>
      <c r="H223" s="26">
        <f>IF(A223="","",BASE_CAIXA!P220)</f>
        <v>0</v>
      </c>
      <c r="I223" s="26" t="str">
        <f>IF(A223="","",IF(BASE_CAIXA!H220&lt;&gt;"",BASE_CAIXA!H220,BASE_CAIXA!G220))</f>
        <v>LOGISTICA GESTÃO VISITA À OBRA</v>
      </c>
      <c r="J223" s="26" t="str">
        <f>IF(A223="","",BASE_CAIXA!G220)</f>
        <v>LOGISTICA GESTÃO VISITA À OBRA</v>
      </c>
      <c r="K223" s="26">
        <f>IF(A223="","",BASE_CAIXA!I220)</f>
        <v>0</v>
      </c>
      <c r="L223" s="26">
        <f>IF(A223="","",BASE_CAIXA!J220)</f>
        <v>0</v>
      </c>
      <c r="M223" s="26" t="str">
        <f>IF(A223="","",BASE_CAIXA!AM220)</f>
        <v>LOGISTICA GESTÃO VISITA À OBRA | LOGISTICA GESTÃO VISITA À O</v>
      </c>
      <c r="N223" s="26" t="str">
        <f t="shared" ca="1" si="9"/>
        <v>Previsto</v>
      </c>
      <c r="O223" s="13" t="str">
        <f>IFERROR(INDEX(EXTRATO_IMPORTADO!$A$5:$A$404,MATCH(B223,EXTRATO_IMPORTADO!$I$5:$I$404,0)),"")</f>
        <v/>
      </c>
      <c r="P223" s="14" t="str">
        <f>IFERROR(INDEX(EXTRATO_IMPORTADO!$F$5:$F$404,MATCH(B223,EXTRATO_IMPORTADO!$I$5:$I$404,0)),"")</f>
        <v/>
      </c>
      <c r="Q223" s="26" t="str">
        <f>IFERROR(INDEX(EXTRATO_IMPORTADO!$B$5:$B$404,MATCH(B223,EXTRATO_IMPORTADO!$I$5:$I$404,0)),"")</f>
        <v/>
      </c>
      <c r="R223" s="26" t="str">
        <f>IFERROR(MATCH(B223,EXTRATO_IMPORTADO!$I$5:$I$404,0),"")</f>
        <v/>
      </c>
      <c r="S223" s="14" t="str">
        <f t="shared" si="10"/>
        <v/>
      </c>
      <c r="T223" s="33" t="str">
        <f t="shared" si="11"/>
        <v/>
      </c>
    </row>
    <row r="224" spans="1:20" x14ac:dyDescent="0.3">
      <c r="A224" s="26">
        <f>IF(BASE_CAIXA!A221="","",BASE_CAIXA!A221)</f>
        <v>220</v>
      </c>
      <c r="B224" s="26" t="str">
        <f>IF(A224="","",BASE_CAIXA!AL221)</f>
        <v>000220-DB</v>
      </c>
      <c r="C224" s="13">
        <f>IF(A224="","",BASE_CAIXA!AJ221)</f>
        <v>46157</v>
      </c>
      <c r="D224" s="26" t="str">
        <f>IF(A224="","",IF(BASE_CAIXA!C221="Entrada","Crédito","Débito"))</f>
        <v>Débito</v>
      </c>
      <c r="E224" s="14">
        <f>IF(A224="","",BASE_CAIXA!AA221)</f>
        <v>23110.564864</v>
      </c>
      <c r="F224" s="26">
        <f>IF(A224="","",BASE_CAIXA!N221)</f>
        <v>0</v>
      </c>
      <c r="G224" s="26">
        <f>IF(A224="","",BASE_CAIXA!O221)</f>
        <v>0</v>
      </c>
      <c r="H224" s="26">
        <f>IF(A224="","",BASE_CAIXA!P221)</f>
        <v>0</v>
      </c>
      <c r="I224" s="26" t="str">
        <f>IF(A224="","",IF(BASE_CAIXA!H221&lt;&gt;"",BASE_CAIXA!H221,BASE_CAIXA!G221))</f>
        <v>Mao de obra terceirizada Emassamento e lixamento  interno paredes e teto</v>
      </c>
      <c r="J224" s="26" t="str">
        <f>IF(A224="","",BASE_CAIXA!G221)</f>
        <v>Mao de obra terceirizada Emassamento e lixamento  interno paredes e teto</v>
      </c>
      <c r="K224" s="26">
        <f>IF(A224="","",BASE_CAIXA!I221)</f>
        <v>0</v>
      </c>
      <c r="L224" s="26">
        <f>IF(A224="","",BASE_CAIXA!J221)</f>
        <v>0</v>
      </c>
      <c r="M224" s="26" t="str">
        <f>IF(A224="","",BASE_CAIXA!AM221)</f>
        <v>Mao de obra terceirizada Emassamento e lixamento  interno pa</v>
      </c>
      <c r="N224" s="26" t="str">
        <f t="shared" ca="1" si="9"/>
        <v>Previsto</v>
      </c>
      <c r="O224" s="13" t="str">
        <f>IFERROR(INDEX(EXTRATO_IMPORTADO!$A$5:$A$404,MATCH(B224,EXTRATO_IMPORTADO!$I$5:$I$404,0)),"")</f>
        <v/>
      </c>
      <c r="P224" s="14" t="str">
        <f>IFERROR(INDEX(EXTRATO_IMPORTADO!$F$5:$F$404,MATCH(B224,EXTRATO_IMPORTADO!$I$5:$I$404,0)),"")</f>
        <v/>
      </c>
      <c r="Q224" s="26" t="str">
        <f>IFERROR(INDEX(EXTRATO_IMPORTADO!$B$5:$B$404,MATCH(B224,EXTRATO_IMPORTADO!$I$5:$I$404,0)),"")</f>
        <v/>
      </c>
      <c r="R224" s="26" t="str">
        <f>IFERROR(MATCH(B224,EXTRATO_IMPORTADO!$I$5:$I$404,0),"")</f>
        <v/>
      </c>
      <c r="S224" s="14" t="str">
        <f t="shared" si="10"/>
        <v/>
      </c>
      <c r="T224" s="33" t="str">
        <f t="shared" si="11"/>
        <v/>
      </c>
    </row>
    <row r="225" spans="1:20" x14ac:dyDescent="0.3">
      <c r="A225" s="26">
        <f>IF(BASE_CAIXA!A222="","",BASE_CAIXA!A222)</f>
        <v>221</v>
      </c>
      <c r="B225" s="26" t="str">
        <f>IF(A225="","",BASE_CAIXA!AL222)</f>
        <v>000221-DB</v>
      </c>
      <c r="C225" s="13">
        <f>IF(A225="","",BASE_CAIXA!AJ222)</f>
        <v>46157</v>
      </c>
      <c r="D225" s="26" t="str">
        <f>IF(A225="","",IF(BASE_CAIXA!C222="Entrada","Crédito","Débito"))</f>
        <v>Débito</v>
      </c>
      <c r="E225" s="14">
        <f>IF(A225="","",BASE_CAIXA!AA222)</f>
        <v>6544</v>
      </c>
      <c r="F225" s="26">
        <f>IF(A225="","",BASE_CAIXA!N222)</f>
        <v>0</v>
      </c>
      <c r="G225" s="26">
        <f>IF(A225="","",BASE_CAIXA!O222)</f>
        <v>0</v>
      </c>
      <c r="H225" s="26">
        <f>IF(A225="","",BASE_CAIXA!P222)</f>
        <v>0</v>
      </c>
      <c r="I225" s="26" t="str">
        <f>IF(A225="","",IF(BASE_CAIXA!H222&lt;&gt;"",BASE_CAIXA!H222,BASE_CAIXA!G222))</f>
        <v>Kit cavalete e hidrômetro - padrão corsan</v>
      </c>
      <c r="J225" s="26" t="str">
        <f>IF(A225="","",BASE_CAIXA!G222)</f>
        <v>Kit cavalete e hidrômetro - padrão corsan</v>
      </c>
      <c r="K225" s="26">
        <f>IF(A225="","",BASE_CAIXA!I222)</f>
        <v>0</v>
      </c>
      <c r="L225" s="26">
        <f>IF(A225="","",BASE_CAIXA!J222)</f>
        <v>0</v>
      </c>
      <c r="M225" s="26" t="str">
        <f>IF(A225="","",BASE_CAIXA!AM222)</f>
        <v>Kit cavalete e hidrômetro - padrão corsan | Kit cavalete e h</v>
      </c>
      <c r="N225" s="26" t="str">
        <f t="shared" ca="1" si="9"/>
        <v>Previsto</v>
      </c>
      <c r="O225" s="13" t="str">
        <f>IFERROR(INDEX(EXTRATO_IMPORTADO!$A$5:$A$404,MATCH(B225,EXTRATO_IMPORTADO!$I$5:$I$404,0)),"")</f>
        <v/>
      </c>
      <c r="P225" s="14" t="str">
        <f>IFERROR(INDEX(EXTRATO_IMPORTADO!$F$5:$F$404,MATCH(B225,EXTRATO_IMPORTADO!$I$5:$I$404,0)),"")</f>
        <v/>
      </c>
      <c r="Q225" s="26" t="str">
        <f>IFERROR(INDEX(EXTRATO_IMPORTADO!$B$5:$B$404,MATCH(B225,EXTRATO_IMPORTADO!$I$5:$I$404,0)),"")</f>
        <v/>
      </c>
      <c r="R225" s="26" t="str">
        <f>IFERROR(MATCH(B225,EXTRATO_IMPORTADO!$I$5:$I$404,0),"")</f>
        <v/>
      </c>
      <c r="S225" s="14" t="str">
        <f t="shared" si="10"/>
        <v/>
      </c>
      <c r="T225" s="33" t="str">
        <f t="shared" si="11"/>
        <v/>
      </c>
    </row>
    <row r="226" spans="1:20" x14ac:dyDescent="0.3">
      <c r="A226" s="26">
        <f>IF(BASE_CAIXA!A223="","",BASE_CAIXA!A223)</f>
        <v>222</v>
      </c>
      <c r="B226" s="26" t="str">
        <f>IF(A226="","",BASE_CAIXA!AL223)</f>
        <v>000222-DB</v>
      </c>
      <c r="C226" s="13">
        <f>IF(A226="","",BASE_CAIXA!AJ223)</f>
        <v>46157</v>
      </c>
      <c r="D226" s="26" t="str">
        <f>IF(A226="","",IF(BASE_CAIXA!C223="Entrada","Crédito","Débito"))</f>
        <v>Débito</v>
      </c>
      <c r="E226" s="14">
        <f>IF(A226="","",BASE_CAIXA!AA223)</f>
        <v>17600</v>
      </c>
      <c r="F226" s="26">
        <f>IF(A226="","",BASE_CAIXA!N223)</f>
        <v>0</v>
      </c>
      <c r="G226" s="26">
        <f>IF(A226="","",BASE_CAIXA!O223)</f>
        <v>0</v>
      </c>
      <c r="H226" s="26">
        <f>IF(A226="","",BASE_CAIXA!P223)</f>
        <v>0</v>
      </c>
      <c r="I226" s="26" t="str">
        <f>IF(A226="","",IF(BASE_CAIXA!H223&lt;&gt;"",BASE_CAIXA!H223,BASE_CAIXA!G223))</f>
        <v>Mureta padrão corsan com caixa de polietileno padrão corsan instalada</v>
      </c>
      <c r="J226" s="26" t="str">
        <f>IF(A226="","",BASE_CAIXA!G223)</f>
        <v>Mureta padrão corsan com caixa de polietileno padrão corsan instalada</v>
      </c>
      <c r="K226" s="26">
        <f>IF(A226="","",BASE_CAIXA!I223)</f>
        <v>0</v>
      </c>
      <c r="L226" s="26">
        <f>IF(A226="","",BASE_CAIXA!J223)</f>
        <v>0</v>
      </c>
      <c r="M226" s="26" t="str">
        <f>IF(A226="","",BASE_CAIXA!AM223)</f>
        <v xml:space="preserve">Mureta padrão corsan com caixa de polietileno padrão corsan </v>
      </c>
      <c r="N226" s="26" t="str">
        <f t="shared" ca="1" si="9"/>
        <v>Previsto</v>
      </c>
      <c r="O226" s="13" t="str">
        <f>IFERROR(INDEX(EXTRATO_IMPORTADO!$A$5:$A$404,MATCH(B226,EXTRATO_IMPORTADO!$I$5:$I$404,0)),"")</f>
        <v/>
      </c>
      <c r="P226" s="14" t="str">
        <f>IFERROR(INDEX(EXTRATO_IMPORTADO!$F$5:$F$404,MATCH(B226,EXTRATO_IMPORTADO!$I$5:$I$404,0)),"")</f>
        <v/>
      </c>
      <c r="Q226" s="26" t="str">
        <f>IFERROR(INDEX(EXTRATO_IMPORTADO!$B$5:$B$404,MATCH(B226,EXTRATO_IMPORTADO!$I$5:$I$404,0)),"")</f>
        <v/>
      </c>
      <c r="R226" s="26" t="str">
        <f>IFERROR(MATCH(B226,EXTRATO_IMPORTADO!$I$5:$I$404,0),"")</f>
        <v/>
      </c>
      <c r="S226" s="14" t="str">
        <f t="shared" si="10"/>
        <v/>
      </c>
      <c r="T226" s="33" t="str">
        <f t="shared" si="11"/>
        <v/>
      </c>
    </row>
    <row r="227" spans="1:20" x14ac:dyDescent="0.3">
      <c r="A227" s="26">
        <f>IF(BASE_CAIXA!A224="","",BASE_CAIXA!A224)</f>
        <v>223</v>
      </c>
      <c r="B227" s="26" t="str">
        <f>IF(A227="","",BASE_CAIXA!AL224)</f>
        <v>000223-DB</v>
      </c>
      <c r="C227" s="13">
        <f>IF(A227="","",BASE_CAIXA!AJ224)</f>
        <v>46157</v>
      </c>
      <c r="D227" s="26" t="str">
        <f>IF(A227="","",IF(BASE_CAIXA!C224="Entrada","Crédito","Débito"))</f>
        <v>Débito</v>
      </c>
      <c r="E227" s="14">
        <f>IF(A227="","",BASE_CAIXA!AA224)</f>
        <v>4497.6000000000004</v>
      </c>
      <c r="F227" s="26">
        <f>IF(A227="","",BASE_CAIXA!N224)</f>
        <v>0</v>
      </c>
      <c r="G227" s="26">
        <f>IF(A227="","",BASE_CAIXA!O224)</f>
        <v>0</v>
      </c>
      <c r="H227" s="26">
        <f>IF(A227="","",BASE_CAIXA!P224)</f>
        <v>0</v>
      </c>
      <c r="I227" s="26" t="str">
        <f>IF(A227="","",IF(BASE_CAIXA!H224&lt;&gt;"",BASE_CAIXA!H224,BASE_CAIXA!G224))</f>
        <v>Mao de obra terceirizada colocaçao de Esquadrias aluminio</v>
      </c>
      <c r="J227" s="26" t="str">
        <f>IF(A227="","",BASE_CAIXA!G224)</f>
        <v>Mao de obra terceirizada colocaçao de Esquadrias aluminio</v>
      </c>
      <c r="K227" s="26">
        <f>IF(A227="","",BASE_CAIXA!I224)</f>
        <v>0</v>
      </c>
      <c r="L227" s="26">
        <f>IF(A227="","",BASE_CAIXA!J224)</f>
        <v>0</v>
      </c>
      <c r="M227" s="26" t="str">
        <f>IF(A227="","",BASE_CAIXA!AM224)</f>
        <v xml:space="preserve">Mao de obra terceirizada colocaçao de Esquadrias aluminio | </v>
      </c>
      <c r="N227" s="26" t="str">
        <f t="shared" ca="1" si="9"/>
        <v>Previsto</v>
      </c>
      <c r="O227" s="13" t="str">
        <f>IFERROR(INDEX(EXTRATO_IMPORTADO!$A$5:$A$404,MATCH(B227,EXTRATO_IMPORTADO!$I$5:$I$404,0)),"")</f>
        <v/>
      </c>
      <c r="P227" s="14" t="str">
        <f>IFERROR(INDEX(EXTRATO_IMPORTADO!$F$5:$F$404,MATCH(B227,EXTRATO_IMPORTADO!$I$5:$I$404,0)),"")</f>
        <v/>
      </c>
      <c r="Q227" s="26" t="str">
        <f>IFERROR(INDEX(EXTRATO_IMPORTADO!$B$5:$B$404,MATCH(B227,EXTRATO_IMPORTADO!$I$5:$I$404,0)),"")</f>
        <v/>
      </c>
      <c r="R227" s="26" t="str">
        <f>IFERROR(MATCH(B227,EXTRATO_IMPORTADO!$I$5:$I$404,0),"")</f>
        <v/>
      </c>
      <c r="S227" s="14" t="str">
        <f t="shared" si="10"/>
        <v/>
      </c>
      <c r="T227" s="33" t="str">
        <f t="shared" si="11"/>
        <v/>
      </c>
    </row>
    <row r="228" spans="1:20" x14ac:dyDescent="0.3">
      <c r="A228" s="26">
        <f>IF(BASE_CAIXA!A225="","",BASE_CAIXA!A225)</f>
        <v>224</v>
      </c>
      <c r="B228" s="26" t="str">
        <f>IF(A228="","",BASE_CAIXA!AL225)</f>
        <v>000224-DB</v>
      </c>
      <c r="C228" s="13">
        <f>IF(A228="","",BASE_CAIXA!AJ225)</f>
        <v>46157</v>
      </c>
      <c r="D228" s="26" t="str">
        <f>IF(A228="","",IF(BASE_CAIXA!C225="Entrada","Crédito","Débito"))</f>
        <v>Débito</v>
      </c>
      <c r="E228" s="14">
        <f>IF(A228="","",BASE_CAIXA!AA225)</f>
        <v>3000</v>
      </c>
      <c r="F228" s="26">
        <f>IF(A228="","",BASE_CAIXA!N225)</f>
        <v>0</v>
      </c>
      <c r="G228" s="26">
        <f>IF(A228="","",BASE_CAIXA!O225)</f>
        <v>0</v>
      </c>
      <c r="H228" s="26">
        <f>IF(A228="","",BASE_CAIXA!P225)</f>
        <v>0</v>
      </c>
      <c r="I228" s="26" t="str">
        <f>IF(A228="","",IF(BASE_CAIXA!H225&lt;&gt;"",BASE_CAIXA!H225,BASE_CAIXA!G225))</f>
        <v>TECNICO SEGURANÇA TRABALHO - ( rateado em 3 canteiros) carro incluso</v>
      </c>
      <c r="J228" s="26" t="str">
        <f>IF(A228="","",BASE_CAIXA!G225)</f>
        <v>TECNICO SEGURANÇA TRABALHO - ( rateado em 3 canteiros) carro incluso</v>
      </c>
      <c r="K228" s="26">
        <f>IF(A228="","",BASE_CAIXA!I225)</f>
        <v>0</v>
      </c>
      <c r="L228" s="26">
        <f>IF(A228="","",BASE_CAIXA!J225)</f>
        <v>0</v>
      </c>
      <c r="M228" s="26" t="str">
        <f>IF(A228="","",BASE_CAIXA!AM225)</f>
        <v>TECNICO SEGURANÇA TRABALHO - ( rateado em 3 canteiros) carro</v>
      </c>
      <c r="N228" s="26" t="str">
        <f t="shared" ca="1" si="9"/>
        <v>Previsto</v>
      </c>
      <c r="O228" s="13" t="str">
        <f>IFERROR(INDEX(EXTRATO_IMPORTADO!$A$5:$A$404,MATCH(B228,EXTRATO_IMPORTADO!$I$5:$I$404,0)),"")</f>
        <v/>
      </c>
      <c r="P228" s="14" t="str">
        <f>IFERROR(INDEX(EXTRATO_IMPORTADO!$F$5:$F$404,MATCH(B228,EXTRATO_IMPORTADO!$I$5:$I$404,0)),"")</f>
        <v/>
      </c>
      <c r="Q228" s="26" t="str">
        <f>IFERROR(INDEX(EXTRATO_IMPORTADO!$B$5:$B$404,MATCH(B228,EXTRATO_IMPORTADO!$I$5:$I$404,0)),"")</f>
        <v/>
      </c>
      <c r="R228" s="26" t="str">
        <f>IFERROR(MATCH(B228,EXTRATO_IMPORTADO!$I$5:$I$404,0),"")</f>
        <v/>
      </c>
      <c r="S228" s="14" t="str">
        <f t="shared" si="10"/>
        <v/>
      </c>
      <c r="T228" s="33" t="str">
        <f t="shared" si="11"/>
        <v/>
      </c>
    </row>
    <row r="229" spans="1:20" x14ac:dyDescent="0.3">
      <c r="A229" s="26">
        <f>IF(BASE_CAIXA!A226="","",BASE_CAIXA!A226)</f>
        <v>225</v>
      </c>
      <c r="B229" s="26" t="str">
        <f>IF(A229="","",BASE_CAIXA!AL226)</f>
        <v>000225-DB</v>
      </c>
      <c r="C229" s="13">
        <f>IF(A229="","",BASE_CAIXA!AJ226)</f>
        <v>46157</v>
      </c>
      <c r="D229" s="26" t="str">
        <f>IF(A229="","",IF(BASE_CAIXA!C226="Entrada","Crédito","Débito"))</f>
        <v>Débito</v>
      </c>
      <c r="E229" s="14">
        <f>IF(A229="","",BASE_CAIXA!AA226)</f>
        <v>630</v>
      </c>
      <c r="F229" s="26">
        <f>IF(A229="","",BASE_CAIXA!N226)</f>
        <v>0</v>
      </c>
      <c r="G229" s="26">
        <f>IF(A229="","",BASE_CAIXA!O226)</f>
        <v>0</v>
      </c>
      <c r="H229" s="26">
        <f>IF(A229="","",BASE_CAIXA!P226)</f>
        <v>0</v>
      </c>
      <c r="I229" s="26" t="str">
        <f>IF(A229="","",IF(BASE_CAIXA!H226&lt;&gt;"",BASE_CAIXA!H226,BASE_CAIXA!G226))</f>
        <v>Locação betoneira para bater o graute</v>
      </c>
      <c r="J229" s="26" t="str">
        <f>IF(A229="","",BASE_CAIXA!G226)</f>
        <v>Locação betoneira para bater o graute</v>
      </c>
      <c r="K229" s="26">
        <f>IF(A229="","",BASE_CAIXA!I226)</f>
        <v>0</v>
      </c>
      <c r="L229" s="26">
        <f>IF(A229="","",BASE_CAIXA!J226)</f>
        <v>0</v>
      </c>
      <c r="M229" s="26" t="str">
        <f>IF(A229="","",BASE_CAIXA!AM226)</f>
        <v>Locação betoneira para bater o graute | Locação betoneira pa</v>
      </c>
      <c r="N229" s="26" t="str">
        <f t="shared" ca="1" si="9"/>
        <v>Previsto</v>
      </c>
      <c r="O229" s="13" t="str">
        <f>IFERROR(INDEX(EXTRATO_IMPORTADO!$A$5:$A$404,MATCH(B229,EXTRATO_IMPORTADO!$I$5:$I$404,0)),"")</f>
        <v/>
      </c>
      <c r="P229" s="14" t="str">
        <f>IFERROR(INDEX(EXTRATO_IMPORTADO!$F$5:$F$404,MATCH(B229,EXTRATO_IMPORTADO!$I$5:$I$404,0)),"")</f>
        <v/>
      </c>
      <c r="Q229" s="26" t="str">
        <f>IFERROR(INDEX(EXTRATO_IMPORTADO!$B$5:$B$404,MATCH(B229,EXTRATO_IMPORTADO!$I$5:$I$404,0)),"")</f>
        <v/>
      </c>
      <c r="R229" s="26" t="str">
        <f>IFERROR(MATCH(B229,EXTRATO_IMPORTADO!$I$5:$I$404,0),"")</f>
        <v/>
      </c>
      <c r="S229" s="14" t="str">
        <f t="shared" si="10"/>
        <v/>
      </c>
      <c r="T229" s="33" t="str">
        <f t="shared" si="11"/>
        <v/>
      </c>
    </row>
    <row r="230" spans="1:20" x14ac:dyDescent="0.3">
      <c r="A230" s="26">
        <f>IF(BASE_CAIXA!A227="","",BASE_CAIXA!A227)</f>
        <v>226</v>
      </c>
      <c r="B230" s="26" t="str">
        <f>IF(A230="","",BASE_CAIXA!AL227)</f>
        <v>000226-DB</v>
      </c>
      <c r="C230" s="13">
        <f>IF(A230="","",BASE_CAIXA!AJ227)</f>
        <v>46157</v>
      </c>
      <c r="D230" s="26" t="str">
        <f>IF(A230="","",IF(BASE_CAIXA!C227="Entrada","Crédito","Débito"))</f>
        <v>Débito</v>
      </c>
      <c r="E230" s="14">
        <f>IF(A230="","",BASE_CAIXA!AA227)</f>
        <v>9057.2159999999985</v>
      </c>
      <c r="F230" s="26">
        <f>IF(A230="","",BASE_CAIXA!N227)</f>
        <v>0</v>
      </c>
      <c r="G230" s="26">
        <f>IF(A230="","",BASE_CAIXA!O227)</f>
        <v>0</v>
      </c>
      <c r="H230" s="26">
        <f>IF(A230="","",BASE_CAIXA!P227)</f>
        <v>0</v>
      </c>
      <c r="I230" s="26" t="str">
        <f>IF(A230="","",IF(BASE_CAIXA!H227&lt;&gt;"",BASE_CAIXA!H227,BASE_CAIXA!G227))</f>
        <v>Mao de obra Impermeabilização de áreas úmidas</v>
      </c>
      <c r="J230" s="26" t="str">
        <f>IF(A230="","",BASE_CAIXA!G227)</f>
        <v>Mao de obra Impermeabilização de áreas úmidas</v>
      </c>
      <c r="K230" s="26">
        <f>IF(A230="","",BASE_CAIXA!I227)</f>
        <v>0</v>
      </c>
      <c r="L230" s="26">
        <f>IF(A230="","",BASE_CAIXA!J227)</f>
        <v>0</v>
      </c>
      <c r="M230" s="26" t="str">
        <f>IF(A230="","",BASE_CAIXA!AM227)</f>
        <v xml:space="preserve">Mao de obra Impermeabilização de áreas úmidas | Mao de obra </v>
      </c>
      <c r="N230" s="26" t="str">
        <f t="shared" ca="1" si="9"/>
        <v>Previsto</v>
      </c>
      <c r="O230" s="13" t="str">
        <f>IFERROR(INDEX(EXTRATO_IMPORTADO!$A$5:$A$404,MATCH(B230,EXTRATO_IMPORTADO!$I$5:$I$404,0)),"")</f>
        <v/>
      </c>
      <c r="P230" s="14" t="str">
        <f>IFERROR(INDEX(EXTRATO_IMPORTADO!$F$5:$F$404,MATCH(B230,EXTRATO_IMPORTADO!$I$5:$I$404,0)),"")</f>
        <v/>
      </c>
      <c r="Q230" s="26" t="str">
        <f>IFERROR(INDEX(EXTRATO_IMPORTADO!$B$5:$B$404,MATCH(B230,EXTRATO_IMPORTADO!$I$5:$I$404,0)),"")</f>
        <v/>
      </c>
      <c r="R230" s="26" t="str">
        <f>IFERROR(MATCH(B230,EXTRATO_IMPORTADO!$I$5:$I$404,0),"")</f>
        <v/>
      </c>
      <c r="S230" s="14" t="str">
        <f t="shared" si="10"/>
        <v/>
      </c>
      <c r="T230" s="33" t="str">
        <f t="shared" si="11"/>
        <v/>
      </c>
    </row>
    <row r="231" spans="1:20" x14ac:dyDescent="0.3">
      <c r="A231" s="26">
        <f>IF(BASE_CAIXA!A228="","",BASE_CAIXA!A228)</f>
        <v>227</v>
      </c>
      <c r="B231" s="26" t="str">
        <f>IF(A231="","",BASE_CAIXA!AL228)</f>
        <v>000227-DB</v>
      </c>
      <c r="C231" s="13">
        <f>IF(A231="","",BASE_CAIXA!AJ228)</f>
        <v>46157</v>
      </c>
      <c r="D231" s="26" t="str">
        <f>IF(A231="","",IF(BASE_CAIXA!C228="Entrada","Crédito","Débito"))</f>
        <v>Débito</v>
      </c>
      <c r="E231" s="14">
        <f>IF(A231="","",BASE_CAIXA!AA228)</f>
        <v>53760</v>
      </c>
      <c r="F231" s="26">
        <f>IF(A231="","",BASE_CAIXA!N228)</f>
        <v>0</v>
      </c>
      <c r="G231" s="26">
        <f>IF(A231="","",BASE_CAIXA!O228)</f>
        <v>0</v>
      </c>
      <c r="H231" s="26">
        <f>IF(A231="","",BASE_CAIXA!P228)</f>
        <v>0</v>
      </c>
      <c r="I231" s="26" t="str">
        <f>IF(A231="","",IF(BASE_CAIXA!H228&lt;&gt;"",BASE_CAIXA!H228,BASE_CAIXA!G228))</f>
        <v>Icamento para montagem canteiro de obra - Guindaste</v>
      </c>
      <c r="J231" s="26" t="str">
        <f>IF(A231="","",BASE_CAIXA!G228)</f>
        <v>Icamento para montagem canteiro de obra - Guindaste</v>
      </c>
      <c r="K231" s="26">
        <f>IF(A231="","",BASE_CAIXA!I228)</f>
        <v>0</v>
      </c>
      <c r="L231" s="26">
        <f>IF(A231="","",BASE_CAIXA!J228)</f>
        <v>0</v>
      </c>
      <c r="M231" s="26" t="str">
        <f>IF(A231="","",BASE_CAIXA!AM228)</f>
        <v>Icamento para montagem canteiro de obra - Guindaste | Icamen</v>
      </c>
      <c r="N231" s="26" t="str">
        <f t="shared" ca="1" si="9"/>
        <v>Previsto</v>
      </c>
      <c r="O231" s="13" t="str">
        <f>IFERROR(INDEX(EXTRATO_IMPORTADO!$A$5:$A$404,MATCH(B231,EXTRATO_IMPORTADO!$I$5:$I$404,0)),"")</f>
        <v/>
      </c>
      <c r="P231" s="14" t="str">
        <f>IFERROR(INDEX(EXTRATO_IMPORTADO!$F$5:$F$404,MATCH(B231,EXTRATO_IMPORTADO!$I$5:$I$404,0)),"")</f>
        <v/>
      </c>
      <c r="Q231" s="26" t="str">
        <f>IFERROR(INDEX(EXTRATO_IMPORTADO!$B$5:$B$404,MATCH(B231,EXTRATO_IMPORTADO!$I$5:$I$404,0)),"")</f>
        <v/>
      </c>
      <c r="R231" s="26" t="str">
        <f>IFERROR(MATCH(B231,EXTRATO_IMPORTADO!$I$5:$I$404,0),"")</f>
        <v/>
      </c>
      <c r="S231" s="14" t="str">
        <f t="shared" si="10"/>
        <v/>
      </c>
      <c r="T231" s="33" t="str">
        <f t="shared" si="11"/>
        <v/>
      </c>
    </row>
    <row r="232" spans="1:20" x14ac:dyDescent="0.3">
      <c r="A232" s="26">
        <f>IF(BASE_CAIXA!A229="","",BASE_CAIXA!A229)</f>
        <v>228</v>
      </c>
      <c r="B232" s="26" t="str">
        <f>IF(A232="","",BASE_CAIXA!AL229)</f>
        <v>000228-DB</v>
      </c>
      <c r="C232" s="13">
        <f>IF(A232="","",BASE_CAIXA!AJ229)</f>
        <v>46157</v>
      </c>
      <c r="D232" s="26" t="str">
        <f>IF(A232="","",IF(BASE_CAIXA!C229="Entrada","Crédito","Débito"))</f>
        <v>Débito</v>
      </c>
      <c r="E232" s="14">
        <f>IF(A232="","",BASE_CAIXA!AA229)</f>
        <v>53911.8706112</v>
      </c>
      <c r="F232" s="26">
        <f>IF(A232="","",BASE_CAIXA!N229)</f>
        <v>0</v>
      </c>
      <c r="G232" s="26">
        <f>IF(A232="","",BASE_CAIXA!O229)</f>
        <v>0</v>
      </c>
      <c r="H232" s="26">
        <f>IF(A232="","",BASE_CAIXA!P229)</f>
        <v>0</v>
      </c>
      <c r="I232" s="26" t="str">
        <f>IF(A232="","",IF(BASE_CAIXA!H229&lt;&gt;"",BASE_CAIXA!H229,BASE_CAIXA!G229))</f>
        <v>Montagem de paredes pré-moldadas (içamento, prumo, alinhamento e escoramento com grauteamento) – até 35 t</v>
      </c>
      <c r="J232" s="26" t="str">
        <f>IF(A232="","",BASE_CAIXA!G229)</f>
        <v>Montagem de paredes pré-moldadas (içamento, prumo, alinhamento e escoramento com grauteamento) – até 35 t</v>
      </c>
      <c r="K232" s="26">
        <f>IF(A232="","",BASE_CAIXA!I229)</f>
        <v>0</v>
      </c>
      <c r="L232" s="26">
        <f>IF(A232="","",BASE_CAIXA!J229)</f>
        <v>0</v>
      </c>
      <c r="M232" s="26" t="str">
        <f>IF(A232="","",BASE_CAIXA!AM229)</f>
        <v>Montagem de paredes pré-moldadas (içamento, prumo, alinhamen</v>
      </c>
      <c r="N232" s="26" t="str">
        <f t="shared" ca="1" si="9"/>
        <v>Previsto</v>
      </c>
      <c r="O232" s="13" t="str">
        <f>IFERROR(INDEX(EXTRATO_IMPORTADO!$A$5:$A$404,MATCH(B232,EXTRATO_IMPORTADO!$I$5:$I$404,0)),"")</f>
        <v/>
      </c>
      <c r="P232" s="14" t="str">
        <f>IFERROR(INDEX(EXTRATO_IMPORTADO!$F$5:$F$404,MATCH(B232,EXTRATO_IMPORTADO!$I$5:$I$404,0)),"")</f>
        <v/>
      </c>
      <c r="Q232" s="26" t="str">
        <f>IFERROR(INDEX(EXTRATO_IMPORTADO!$B$5:$B$404,MATCH(B232,EXTRATO_IMPORTADO!$I$5:$I$404,0)),"")</f>
        <v/>
      </c>
      <c r="R232" s="26" t="str">
        <f>IFERROR(MATCH(B232,EXTRATO_IMPORTADO!$I$5:$I$404,0),"")</f>
        <v/>
      </c>
      <c r="S232" s="14" t="str">
        <f t="shared" si="10"/>
        <v/>
      </c>
      <c r="T232" s="33" t="str">
        <f t="shared" si="11"/>
        <v/>
      </c>
    </row>
    <row r="233" spans="1:20" x14ac:dyDescent="0.3">
      <c r="A233" s="26">
        <f>IF(BASE_CAIXA!A230="","",BASE_CAIXA!A230)</f>
        <v>229</v>
      </c>
      <c r="B233" s="26" t="str">
        <f>IF(A233="","",BASE_CAIXA!AL230)</f>
        <v>000229-DB</v>
      </c>
      <c r="C233" s="13">
        <f>IF(A233="","",BASE_CAIXA!AJ230)</f>
        <v>46157</v>
      </c>
      <c r="D233" s="26" t="str">
        <f>IF(A233="","",IF(BASE_CAIXA!C230="Entrada","Crédito","Débito"))</f>
        <v>Débito</v>
      </c>
      <c r="E233" s="14">
        <f>IF(A233="","",BASE_CAIXA!AA230)</f>
        <v>48384</v>
      </c>
      <c r="F233" s="26">
        <f>IF(A233="","",BASE_CAIXA!N230)</f>
        <v>0</v>
      </c>
      <c r="G233" s="26">
        <f>IF(A233="","",BASE_CAIXA!O230)</f>
        <v>0</v>
      </c>
      <c r="H233" s="26">
        <f>IF(A233="","",BASE_CAIXA!P230)</f>
        <v>0</v>
      </c>
      <c r="I233" s="26" t="str">
        <f>IF(A233="","",IF(BASE_CAIXA!H230&lt;&gt;"",BASE_CAIXA!H230,BASE_CAIXA!G230))</f>
        <v>Transporte de paredes e lajes (carreta + munck + carga/descarga) – até 120 km</v>
      </c>
      <c r="J233" s="26" t="str">
        <f>IF(A233="","",BASE_CAIXA!G230)</f>
        <v>Transporte de paredes e lajes (carreta + munck + carga/descarga) – até 120 km</v>
      </c>
      <c r="K233" s="26">
        <f>IF(A233="","",BASE_CAIXA!I230)</f>
        <v>0</v>
      </c>
      <c r="L233" s="26">
        <f>IF(A233="","",BASE_CAIXA!J230)</f>
        <v>0</v>
      </c>
      <c r="M233" s="26" t="str">
        <f>IF(A233="","",BASE_CAIXA!AM230)</f>
        <v>Transporte de paredes e lajes (carreta + munck + carga/desca</v>
      </c>
      <c r="N233" s="26" t="str">
        <f t="shared" ca="1" si="9"/>
        <v>Previsto</v>
      </c>
      <c r="O233" s="13" t="str">
        <f>IFERROR(INDEX(EXTRATO_IMPORTADO!$A$5:$A$404,MATCH(B233,EXTRATO_IMPORTADO!$I$5:$I$404,0)),"")</f>
        <v/>
      </c>
      <c r="P233" s="14" t="str">
        <f>IFERROR(INDEX(EXTRATO_IMPORTADO!$F$5:$F$404,MATCH(B233,EXTRATO_IMPORTADO!$I$5:$I$404,0)),"")</f>
        <v/>
      </c>
      <c r="Q233" s="26" t="str">
        <f>IFERROR(INDEX(EXTRATO_IMPORTADO!$B$5:$B$404,MATCH(B233,EXTRATO_IMPORTADO!$I$5:$I$404,0)),"")</f>
        <v/>
      </c>
      <c r="R233" s="26" t="str">
        <f>IFERROR(MATCH(B233,EXTRATO_IMPORTADO!$I$5:$I$404,0),"")</f>
        <v/>
      </c>
      <c r="S233" s="14" t="str">
        <f t="shared" si="10"/>
        <v/>
      </c>
      <c r="T233" s="33" t="str">
        <f t="shared" si="11"/>
        <v/>
      </c>
    </row>
    <row r="234" spans="1:20" x14ac:dyDescent="0.3">
      <c r="A234" s="26">
        <f>IF(BASE_CAIXA!A231="","",BASE_CAIXA!A231)</f>
        <v>230</v>
      </c>
      <c r="B234" s="26" t="str">
        <f>IF(A234="","",BASE_CAIXA!AL231)</f>
        <v>000230-DB</v>
      </c>
      <c r="C234" s="13">
        <f>IF(A234="","",BASE_CAIXA!AJ231)</f>
        <v>46157</v>
      </c>
      <c r="D234" s="26" t="str">
        <f>IF(A234="","",IF(BASE_CAIXA!C231="Entrada","Crédito","Débito"))</f>
        <v>Débito</v>
      </c>
      <c r="E234" s="14">
        <f>IF(A234="","",BASE_CAIXA!AA231)</f>
        <v>74656</v>
      </c>
      <c r="F234" s="26">
        <f>IF(A234="","",BASE_CAIXA!N231)</f>
        <v>0</v>
      </c>
      <c r="G234" s="26">
        <f>IF(A234="","",BASE_CAIXA!O231)</f>
        <v>0</v>
      </c>
      <c r="H234" s="26">
        <f>IF(A234="","",BASE_CAIXA!P231)</f>
        <v>0</v>
      </c>
      <c r="I234" s="26" t="str">
        <f>IF(A234="","",IF(BASE_CAIXA!H231&lt;&gt;"",BASE_CAIXA!H231,BASE_CAIXA!G231))</f>
        <v>contrato industrializaçao paredes</v>
      </c>
      <c r="J234" s="26" t="str">
        <f>IF(A234="","",BASE_CAIXA!G231)</f>
        <v>contrato industrializaçao paredes</v>
      </c>
      <c r="K234" s="26">
        <f>IF(A234="","",BASE_CAIXA!I231)</f>
        <v>0</v>
      </c>
      <c r="L234" s="26">
        <f>IF(A234="","",BASE_CAIXA!J231)</f>
        <v>0</v>
      </c>
      <c r="M234" s="26" t="str">
        <f>IF(A234="","",BASE_CAIXA!AM231)</f>
        <v>contrato industrializaçao paredes | contrato industrializaça</v>
      </c>
      <c r="N234" s="26" t="str">
        <f t="shared" ca="1" si="9"/>
        <v>Previsto</v>
      </c>
      <c r="O234" s="13" t="str">
        <f>IFERROR(INDEX(EXTRATO_IMPORTADO!$A$5:$A$404,MATCH(B234,EXTRATO_IMPORTADO!$I$5:$I$404,0)),"")</f>
        <v/>
      </c>
      <c r="P234" s="14" t="str">
        <f>IFERROR(INDEX(EXTRATO_IMPORTADO!$F$5:$F$404,MATCH(B234,EXTRATO_IMPORTADO!$I$5:$I$404,0)),"")</f>
        <v/>
      </c>
      <c r="Q234" s="26" t="str">
        <f>IFERROR(INDEX(EXTRATO_IMPORTADO!$B$5:$B$404,MATCH(B234,EXTRATO_IMPORTADO!$I$5:$I$404,0)),"")</f>
        <v/>
      </c>
      <c r="R234" s="26" t="str">
        <f>IFERROR(MATCH(B234,EXTRATO_IMPORTADO!$I$5:$I$404,0),"")</f>
        <v/>
      </c>
      <c r="S234" s="14" t="str">
        <f t="shared" si="10"/>
        <v/>
      </c>
      <c r="T234" s="33" t="str">
        <f t="shared" si="11"/>
        <v/>
      </c>
    </row>
    <row r="235" spans="1:20" x14ac:dyDescent="0.3">
      <c r="A235" s="26">
        <f>IF(BASE_CAIXA!A232="","",BASE_CAIXA!A232)</f>
        <v>231</v>
      </c>
      <c r="B235" s="26" t="str">
        <f>IF(A235="","",BASE_CAIXA!AL232)</f>
        <v>000231-DB</v>
      </c>
      <c r="C235" s="13">
        <f>IF(A235="","",BASE_CAIXA!AJ232)</f>
        <v>46157</v>
      </c>
      <c r="D235" s="26" t="str">
        <f>IF(A235="","",IF(BASE_CAIXA!C232="Entrada","Crédito","Débito"))</f>
        <v>Débito</v>
      </c>
      <c r="E235" s="14">
        <f>IF(A235="","",BASE_CAIXA!AA232)</f>
        <v>74656</v>
      </c>
      <c r="F235" s="26">
        <f>IF(A235="","",BASE_CAIXA!N232)</f>
        <v>0</v>
      </c>
      <c r="G235" s="26">
        <f>IF(A235="","",BASE_CAIXA!O232)</f>
        <v>0</v>
      </c>
      <c r="H235" s="26">
        <f>IF(A235="","",BASE_CAIXA!P232)</f>
        <v>0</v>
      </c>
      <c r="I235" s="26" t="str">
        <f>IF(A235="","",IF(BASE_CAIXA!H232&lt;&gt;"",BASE_CAIXA!H232,BASE_CAIXA!G232))</f>
        <v>contrato industrializaçao paredes</v>
      </c>
      <c r="J235" s="26" t="str">
        <f>IF(A235="","",BASE_CAIXA!G232)</f>
        <v>contrato industrializaçao paredes</v>
      </c>
      <c r="K235" s="26">
        <f>IF(A235="","",BASE_CAIXA!I232)</f>
        <v>0</v>
      </c>
      <c r="L235" s="26">
        <f>IF(A235="","",BASE_CAIXA!J232)</f>
        <v>0</v>
      </c>
      <c r="M235" s="26" t="str">
        <f>IF(A235="","",BASE_CAIXA!AM232)</f>
        <v>contrato industrializaçao paredes | contrato industrializaça</v>
      </c>
      <c r="N235" s="26" t="str">
        <f t="shared" ca="1" si="9"/>
        <v>Previsto</v>
      </c>
      <c r="O235" s="13" t="str">
        <f>IFERROR(INDEX(EXTRATO_IMPORTADO!$A$5:$A$404,MATCH(B235,EXTRATO_IMPORTADO!$I$5:$I$404,0)),"")</f>
        <v/>
      </c>
      <c r="P235" s="14" t="str">
        <f>IFERROR(INDEX(EXTRATO_IMPORTADO!$F$5:$F$404,MATCH(B235,EXTRATO_IMPORTADO!$I$5:$I$404,0)),"")</f>
        <v/>
      </c>
      <c r="Q235" s="26" t="str">
        <f>IFERROR(INDEX(EXTRATO_IMPORTADO!$B$5:$B$404,MATCH(B235,EXTRATO_IMPORTADO!$I$5:$I$404,0)),"")</f>
        <v/>
      </c>
      <c r="R235" s="26" t="str">
        <f>IFERROR(MATCH(B235,EXTRATO_IMPORTADO!$I$5:$I$404,0),"")</f>
        <v/>
      </c>
      <c r="S235" s="14" t="str">
        <f t="shared" si="10"/>
        <v/>
      </c>
      <c r="T235" s="33" t="str">
        <f t="shared" si="11"/>
        <v/>
      </c>
    </row>
    <row r="236" spans="1:20" x14ac:dyDescent="0.3">
      <c r="A236" s="26">
        <f>IF(BASE_CAIXA!A233="","",BASE_CAIXA!A233)</f>
        <v>232</v>
      </c>
      <c r="B236" s="26" t="str">
        <f>IF(A236="","",BASE_CAIXA!AL233)</f>
        <v>000232-DB</v>
      </c>
      <c r="C236" s="13">
        <f>IF(A236="","",BASE_CAIXA!AJ233)</f>
        <v>46157</v>
      </c>
      <c r="D236" s="26" t="str">
        <f>IF(A236="","",IF(BASE_CAIXA!C233="Entrada","Crédito","Débito"))</f>
        <v>Débito</v>
      </c>
      <c r="E236" s="14">
        <f>IF(A236="","",BASE_CAIXA!AA233)</f>
        <v>89587.199999999997</v>
      </c>
      <c r="F236" s="26">
        <f>IF(A236="","",BASE_CAIXA!N233)</f>
        <v>0</v>
      </c>
      <c r="G236" s="26">
        <f>IF(A236="","",BASE_CAIXA!O233)</f>
        <v>0</v>
      </c>
      <c r="H236" s="26">
        <f>IF(A236="","",BASE_CAIXA!P233)</f>
        <v>0</v>
      </c>
      <c r="I236" s="26" t="str">
        <f>IF(A236="","",IF(BASE_CAIXA!H233&lt;&gt;"",BASE_CAIXA!H233,BASE_CAIXA!G233))</f>
        <v>contrato industrializaçao paredes</v>
      </c>
      <c r="J236" s="26" t="str">
        <f>IF(A236="","",BASE_CAIXA!G233)</f>
        <v>contrato industrializaçao paredes</v>
      </c>
      <c r="K236" s="26">
        <f>IF(A236="","",BASE_CAIXA!I233)</f>
        <v>0</v>
      </c>
      <c r="L236" s="26">
        <f>IF(A236="","",BASE_CAIXA!J233)</f>
        <v>0</v>
      </c>
      <c r="M236" s="26" t="str">
        <f>IF(A236="","",BASE_CAIXA!AM233)</f>
        <v>contrato industrializaçao paredes | contrato industrializaça</v>
      </c>
      <c r="N236" s="26" t="str">
        <f t="shared" ca="1" si="9"/>
        <v>Previsto</v>
      </c>
      <c r="O236" s="13" t="str">
        <f>IFERROR(INDEX(EXTRATO_IMPORTADO!$A$5:$A$404,MATCH(B236,EXTRATO_IMPORTADO!$I$5:$I$404,0)),"")</f>
        <v/>
      </c>
      <c r="P236" s="14" t="str">
        <f>IFERROR(INDEX(EXTRATO_IMPORTADO!$F$5:$F$404,MATCH(B236,EXTRATO_IMPORTADO!$I$5:$I$404,0)),"")</f>
        <v/>
      </c>
      <c r="Q236" s="26" t="str">
        <f>IFERROR(INDEX(EXTRATO_IMPORTADO!$B$5:$B$404,MATCH(B236,EXTRATO_IMPORTADO!$I$5:$I$404,0)),"")</f>
        <v/>
      </c>
      <c r="R236" s="26" t="str">
        <f>IFERROR(MATCH(B236,EXTRATO_IMPORTADO!$I$5:$I$404,0),"")</f>
        <v/>
      </c>
      <c r="S236" s="14" t="str">
        <f t="shared" si="10"/>
        <v/>
      </c>
      <c r="T236" s="33" t="str">
        <f t="shared" si="11"/>
        <v/>
      </c>
    </row>
    <row r="237" spans="1:20" x14ac:dyDescent="0.3">
      <c r="A237" s="26">
        <f>IF(BASE_CAIXA!A234="","",BASE_CAIXA!A234)</f>
        <v>233</v>
      </c>
      <c r="B237" s="26" t="str">
        <f>IF(A237="","",BASE_CAIXA!AL234)</f>
        <v>000233-DB</v>
      </c>
      <c r="C237" s="13">
        <f>IF(A237="","",BASE_CAIXA!AJ234)</f>
        <v>46157</v>
      </c>
      <c r="D237" s="26" t="str">
        <f>IF(A237="","",IF(BASE_CAIXA!C234="Entrada","Crédito","Débito"))</f>
        <v>Débito</v>
      </c>
      <c r="E237" s="14">
        <f>IF(A237="","",BASE_CAIXA!AA234)</f>
        <v>38381.900689655173</v>
      </c>
      <c r="F237" s="26">
        <f>IF(A237="","",BASE_CAIXA!N234)</f>
        <v>0</v>
      </c>
      <c r="G237" s="26">
        <f>IF(A237="","",BASE_CAIXA!O234)</f>
        <v>0</v>
      </c>
      <c r="H237" s="26">
        <f>IF(A237="","",BASE_CAIXA!P234)</f>
        <v>0</v>
      </c>
      <c r="I237" s="26" t="str">
        <f>IF(A237="","",IF(BASE_CAIXA!H234&lt;&gt;"",BASE_CAIXA!H234,BASE_CAIXA!G234))</f>
        <v>material CIMENTO : KIT Parede e Laje - FOB na Fabrica</v>
      </c>
      <c r="J237" s="26" t="str">
        <f>IF(A237="","",BASE_CAIXA!G234)</f>
        <v>material CIMENTO : KIT Parede e Laje - FOB na Fabrica</v>
      </c>
      <c r="K237" s="26">
        <f>IF(A237="","",BASE_CAIXA!I234)</f>
        <v>0</v>
      </c>
      <c r="L237" s="26">
        <f>IF(A237="","",BASE_CAIXA!J234)</f>
        <v>0</v>
      </c>
      <c r="M237" s="26" t="str">
        <f>IF(A237="","",BASE_CAIXA!AM234)</f>
        <v>material CIMENTO : KIT Parede e Laje - FOB na Fabrica | mate</v>
      </c>
      <c r="N237" s="26" t="str">
        <f t="shared" ca="1" si="9"/>
        <v>Previsto</v>
      </c>
      <c r="O237" s="13" t="str">
        <f>IFERROR(INDEX(EXTRATO_IMPORTADO!$A$5:$A$404,MATCH(B237,EXTRATO_IMPORTADO!$I$5:$I$404,0)),"")</f>
        <v/>
      </c>
      <c r="P237" s="14" t="str">
        <f>IFERROR(INDEX(EXTRATO_IMPORTADO!$F$5:$F$404,MATCH(B237,EXTRATO_IMPORTADO!$I$5:$I$404,0)),"")</f>
        <v/>
      </c>
      <c r="Q237" s="26" t="str">
        <f>IFERROR(INDEX(EXTRATO_IMPORTADO!$B$5:$B$404,MATCH(B237,EXTRATO_IMPORTADO!$I$5:$I$404,0)),"")</f>
        <v/>
      </c>
      <c r="R237" s="26" t="str">
        <f>IFERROR(MATCH(B237,EXTRATO_IMPORTADO!$I$5:$I$404,0),"")</f>
        <v/>
      </c>
      <c r="S237" s="14" t="str">
        <f t="shared" si="10"/>
        <v/>
      </c>
      <c r="T237" s="33" t="str">
        <f t="shared" si="11"/>
        <v/>
      </c>
    </row>
    <row r="238" spans="1:20" x14ac:dyDescent="0.3">
      <c r="A238" s="26">
        <f>IF(BASE_CAIXA!A235="","",BASE_CAIXA!A235)</f>
        <v>234</v>
      </c>
      <c r="B238" s="26" t="str">
        <f>IF(A238="","",BASE_CAIXA!AL235)</f>
        <v>000234-DB</v>
      </c>
      <c r="C238" s="13">
        <f>IF(A238="","",BASE_CAIXA!AJ235)</f>
        <v>46157</v>
      </c>
      <c r="D238" s="26" t="str">
        <f>IF(A238="","",IF(BASE_CAIXA!C235="Entrada","Crédito","Débito"))</f>
        <v>Débito</v>
      </c>
      <c r="E238" s="14">
        <f>IF(A238="","",BASE_CAIXA!AA235)</f>
        <v>38381.900689655173</v>
      </c>
      <c r="F238" s="26">
        <f>IF(A238="","",BASE_CAIXA!N235)</f>
        <v>0</v>
      </c>
      <c r="G238" s="26">
        <f>IF(A238="","",BASE_CAIXA!O235)</f>
        <v>0</v>
      </c>
      <c r="H238" s="26">
        <f>IF(A238="","",BASE_CAIXA!P235)</f>
        <v>0</v>
      </c>
      <c r="I238" s="26" t="str">
        <f>IF(A238="","",IF(BASE_CAIXA!H235&lt;&gt;"",BASE_CAIXA!H235,BASE_CAIXA!G235))</f>
        <v>material CIMENTO : KIT Parede e Laje - FOB na Fabrica</v>
      </c>
      <c r="J238" s="26" t="str">
        <f>IF(A238="","",BASE_CAIXA!G235)</f>
        <v>material CIMENTO : KIT Parede e Laje - FOB na Fabrica</v>
      </c>
      <c r="K238" s="26">
        <f>IF(A238="","",BASE_CAIXA!I235)</f>
        <v>0</v>
      </c>
      <c r="L238" s="26">
        <f>IF(A238="","",BASE_CAIXA!J235)</f>
        <v>0</v>
      </c>
      <c r="M238" s="26" t="str">
        <f>IF(A238="","",BASE_CAIXA!AM235)</f>
        <v>material CIMENTO : KIT Parede e Laje - FOB na Fabrica | mate</v>
      </c>
      <c r="N238" s="26" t="str">
        <f t="shared" ca="1" si="9"/>
        <v>Previsto</v>
      </c>
      <c r="O238" s="13" t="str">
        <f>IFERROR(INDEX(EXTRATO_IMPORTADO!$A$5:$A$404,MATCH(B238,EXTRATO_IMPORTADO!$I$5:$I$404,0)),"")</f>
        <v/>
      </c>
      <c r="P238" s="14" t="str">
        <f>IFERROR(INDEX(EXTRATO_IMPORTADO!$F$5:$F$404,MATCH(B238,EXTRATO_IMPORTADO!$I$5:$I$404,0)),"")</f>
        <v/>
      </c>
      <c r="Q238" s="26" t="str">
        <f>IFERROR(INDEX(EXTRATO_IMPORTADO!$B$5:$B$404,MATCH(B238,EXTRATO_IMPORTADO!$I$5:$I$404,0)),"")</f>
        <v/>
      </c>
      <c r="R238" s="26" t="str">
        <f>IFERROR(MATCH(B238,EXTRATO_IMPORTADO!$I$5:$I$404,0),"")</f>
        <v/>
      </c>
      <c r="S238" s="14" t="str">
        <f t="shared" si="10"/>
        <v/>
      </c>
      <c r="T238" s="33" t="str">
        <f t="shared" si="11"/>
        <v/>
      </c>
    </row>
    <row r="239" spans="1:20" x14ac:dyDescent="0.3">
      <c r="A239" s="26">
        <f>IF(BASE_CAIXA!A236="","",BASE_CAIXA!A236)</f>
        <v>235</v>
      </c>
      <c r="B239" s="26" t="str">
        <f>IF(A239="","",BASE_CAIXA!AL236)</f>
        <v>000235-DB</v>
      </c>
      <c r="C239" s="13">
        <f>IF(A239="","",BASE_CAIXA!AJ236)</f>
        <v>46157</v>
      </c>
      <c r="D239" s="26" t="str">
        <f>IF(A239="","",IF(BASE_CAIXA!C236="Entrada","Crédito","Débito"))</f>
        <v>Débito</v>
      </c>
      <c r="E239" s="14">
        <f>IF(A239="","",BASE_CAIXA!AA236)</f>
        <v>46058.280827586197</v>
      </c>
      <c r="F239" s="26">
        <f>IF(A239="","",BASE_CAIXA!N236)</f>
        <v>0</v>
      </c>
      <c r="G239" s="26">
        <f>IF(A239="","",BASE_CAIXA!O236)</f>
        <v>0</v>
      </c>
      <c r="H239" s="26">
        <f>IF(A239="","",BASE_CAIXA!P236)</f>
        <v>0</v>
      </c>
      <c r="I239" s="26" t="str">
        <f>IF(A239="","",IF(BASE_CAIXA!H236&lt;&gt;"",BASE_CAIXA!H236,BASE_CAIXA!G236))</f>
        <v>material CIMENTO : KIT Parede e Laje - FOB na Fabrica</v>
      </c>
      <c r="J239" s="26" t="str">
        <f>IF(A239="","",BASE_CAIXA!G236)</f>
        <v>material CIMENTO : KIT Parede e Laje - FOB na Fabrica</v>
      </c>
      <c r="K239" s="26">
        <f>IF(A239="","",BASE_CAIXA!I236)</f>
        <v>0</v>
      </c>
      <c r="L239" s="26">
        <f>IF(A239="","",BASE_CAIXA!J236)</f>
        <v>0</v>
      </c>
      <c r="M239" s="26" t="str">
        <f>IF(A239="","",BASE_CAIXA!AM236)</f>
        <v>material CIMENTO : KIT Parede e Laje - FOB na Fabrica | mate</v>
      </c>
      <c r="N239" s="26" t="str">
        <f t="shared" ca="1" si="9"/>
        <v>Previsto</v>
      </c>
      <c r="O239" s="13" t="str">
        <f>IFERROR(INDEX(EXTRATO_IMPORTADO!$A$5:$A$404,MATCH(B239,EXTRATO_IMPORTADO!$I$5:$I$404,0)),"")</f>
        <v/>
      </c>
      <c r="P239" s="14" t="str">
        <f>IFERROR(INDEX(EXTRATO_IMPORTADO!$F$5:$F$404,MATCH(B239,EXTRATO_IMPORTADO!$I$5:$I$404,0)),"")</f>
        <v/>
      </c>
      <c r="Q239" s="26" t="str">
        <f>IFERROR(INDEX(EXTRATO_IMPORTADO!$B$5:$B$404,MATCH(B239,EXTRATO_IMPORTADO!$I$5:$I$404,0)),"")</f>
        <v/>
      </c>
      <c r="R239" s="26" t="str">
        <f>IFERROR(MATCH(B239,EXTRATO_IMPORTADO!$I$5:$I$404,0),"")</f>
        <v/>
      </c>
      <c r="S239" s="14" t="str">
        <f t="shared" si="10"/>
        <v/>
      </c>
      <c r="T239" s="33" t="str">
        <f t="shared" si="11"/>
        <v/>
      </c>
    </row>
    <row r="240" spans="1:20" x14ac:dyDescent="0.3">
      <c r="A240" s="26">
        <f>IF(BASE_CAIXA!A237="","",BASE_CAIXA!A237)</f>
        <v>236</v>
      </c>
      <c r="B240" s="26" t="str">
        <f>IF(A240="","",BASE_CAIXA!AL237)</f>
        <v>000236-DB</v>
      </c>
      <c r="C240" s="13">
        <f>IF(A240="","",BASE_CAIXA!AJ237)</f>
        <v>46157</v>
      </c>
      <c r="D240" s="26" t="str">
        <f>IF(A240="","",IF(BASE_CAIXA!C237="Entrada","Crédito","Débito"))</f>
        <v>Débito</v>
      </c>
      <c r="E240" s="14">
        <f>IF(A240="","",BASE_CAIXA!AA237)</f>
        <v>40819.310976349298</v>
      </c>
      <c r="F240" s="26">
        <f>IF(A240="","",BASE_CAIXA!N237)</f>
        <v>0</v>
      </c>
      <c r="G240" s="26">
        <f>IF(A240="","",BASE_CAIXA!O237)</f>
        <v>0</v>
      </c>
      <c r="H240" s="26">
        <f>IF(A240="","",BASE_CAIXA!P237)</f>
        <v>0</v>
      </c>
      <c r="I240" s="26" t="str">
        <f>IF(A240="","",IF(BASE_CAIXA!H237&lt;&gt;"",BASE_CAIXA!H237,BASE_CAIXA!G237))</f>
        <v>material FERRO: KIT Parede e Laje - FOB na Fabrica</v>
      </c>
      <c r="J240" s="26" t="str">
        <f>IF(A240="","",BASE_CAIXA!G237)</f>
        <v>material FERRO: KIT Parede e Laje - FOB na Fabrica</v>
      </c>
      <c r="K240" s="26">
        <f>IF(A240="","",BASE_CAIXA!I237)</f>
        <v>0</v>
      </c>
      <c r="L240" s="26">
        <f>IF(A240="","",BASE_CAIXA!J237)</f>
        <v>0</v>
      </c>
      <c r="M240" s="26" t="str">
        <f>IF(A240="","",BASE_CAIXA!AM237)</f>
        <v>material FERRO: KIT Parede e Laje - FOB na Fabrica | materia</v>
      </c>
      <c r="N240" s="26" t="str">
        <f t="shared" ca="1" si="9"/>
        <v>Previsto</v>
      </c>
      <c r="O240" s="13" t="str">
        <f>IFERROR(INDEX(EXTRATO_IMPORTADO!$A$5:$A$404,MATCH(B240,EXTRATO_IMPORTADO!$I$5:$I$404,0)),"")</f>
        <v/>
      </c>
      <c r="P240" s="14" t="str">
        <f>IFERROR(INDEX(EXTRATO_IMPORTADO!$F$5:$F$404,MATCH(B240,EXTRATO_IMPORTADO!$I$5:$I$404,0)),"")</f>
        <v/>
      </c>
      <c r="Q240" s="26" t="str">
        <f>IFERROR(INDEX(EXTRATO_IMPORTADO!$B$5:$B$404,MATCH(B240,EXTRATO_IMPORTADO!$I$5:$I$404,0)),"")</f>
        <v/>
      </c>
      <c r="R240" s="26" t="str">
        <f>IFERROR(MATCH(B240,EXTRATO_IMPORTADO!$I$5:$I$404,0),"")</f>
        <v/>
      </c>
      <c r="S240" s="14" t="str">
        <f t="shared" si="10"/>
        <v/>
      </c>
      <c r="T240" s="33" t="str">
        <f t="shared" si="11"/>
        <v/>
      </c>
    </row>
    <row r="241" spans="1:20" x14ac:dyDescent="0.3">
      <c r="A241" s="26">
        <f>IF(BASE_CAIXA!A238="","",BASE_CAIXA!A238)</f>
        <v>237</v>
      </c>
      <c r="B241" s="26" t="str">
        <f>IF(A241="","",BASE_CAIXA!AL238)</f>
        <v>000237-DB</v>
      </c>
      <c r="C241" s="13">
        <f>IF(A241="","",BASE_CAIXA!AJ238)</f>
        <v>46157</v>
      </c>
      <c r="D241" s="26" t="str">
        <f>IF(A241="","",IF(BASE_CAIXA!C238="Entrada","Crédito","Débito"))</f>
        <v>Débito</v>
      </c>
      <c r="E241" s="14">
        <f>IF(A241="","",BASE_CAIXA!AA238)</f>
        <v>40819.310976349298</v>
      </c>
      <c r="F241" s="26">
        <f>IF(A241="","",BASE_CAIXA!N238)</f>
        <v>0</v>
      </c>
      <c r="G241" s="26">
        <f>IF(A241="","",BASE_CAIXA!O238)</f>
        <v>0</v>
      </c>
      <c r="H241" s="26">
        <f>IF(A241="","",BASE_CAIXA!P238)</f>
        <v>0</v>
      </c>
      <c r="I241" s="26" t="str">
        <f>IF(A241="","",IF(BASE_CAIXA!H238&lt;&gt;"",BASE_CAIXA!H238,BASE_CAIXA!G238))</f>
        <v>material FERRO: KIT Parede e Laje - FOB na Fabrica</v>
      </c>
      <c r="J241" s="26" t="str">
        <f>IF(A241="","",BASE_CAIXA!G238)</f>
        <v>material FERRO: KIT Parede e Laje - FOB na Fabrica</v>
      </c>
      <c r="K241" s="26">
        <f>IF(A241="","",BASE_CAIXA!I238)</f>
        <v>0</v>
      </c>
      <c r="L241" s="26">
        <f>IF(A241="","",BASE_CAIXA!J238)</f>
        <v>0</v>
      </c>
      <c r="M241" s="26" t="str">
        <f>IF(A241="","",BASE_CAIXA!AM238)</f>
        <v>material FERRO: KIT Parede e Laje - FOB na Fabrica | materia</v>
      </c>
      <c r="N241" s="26" t="str">
        <f t="shared" ca="1" si="9"/>
        <v>Previsto</v>
      </c>
      <c r="O241" s="13" t="str">
        <f>IFERROR(INDEX(EXTRATO_IMPORTADO!$A$5:$A$404,MATCH(B241,EXTRATO_IMPORTADO!$I$5:$I$404,0)),"")</f>
        <v/>
      </c>
      <c r="P241" s="14" t="str">
        <f>IFERROR(INDEX(EXTRATO_IMPORTADO!$F$5:$F$404,MATCH(B241,EXTRATO_IMPORTADO!$I$5:$I$404,0)),"")</f>
        <v/>
      </c>
      <c r="Q241" s="26" t="str">
        <f>IFERROR(INDEX(EXTRATO_IMPORTADO!$B$5:$B$404,MATCH(B241,EXTRATO_IMPORTADO!$I$5:$I$404,0)),"")</f>
        <v/>
      </c>
      <c r="R241" s="26" t="str">
        <f>IFERROR(MATCH(B241,EXTRATO_IMPORTADO!$I$5:$I$404,0),"")</f>
        <v/>
      </c>
      <c r="S241" s="14" t="str">
        <f t="shared" si="10"/>
        <v/>
      </c>
      <c r="T241" s="33" t="str">
        <f t="shared" si="11"/>
        <v/>
      </c>
    </row>
    <row r="242" spans="1:20" x14ac:dyDescent="0.3">
      <c r="A242" s="26">
        <f>IF(BASE_CAIXA!A239="","",BASE_CAIXA!A239)</f>
        <v>238</v>
      </c>
      <c r="B242" s="26" t="str">
        <f>IF(A242="","",BASE_CAIXA!AL239)</f>
        <v>000238-DB</v>
      </c>
      <c r="C242" s="13">
        <f>IF(A242="","",BASE_CAIXA!AJ239)</f>
        <v>46157</v>
      </c>
      <c r="D242" s="26" t="str">
        <f>IF(A242="","",IF(BASE_CAIXA!C239="Entrada","Crédito","Débito"))</f>
        <v>Débito</v>
      </c>
      <c r="E242" s="14">
        <f>IF(A242="","",BASE_CAIXA!AA239)</f>
        <v>48983.173171619157</v>
      </c>
      <c r="F242" s="26">
        <f>IF(A242="","",BASE_CAIXA!N239)</f>
        <v>0</v>
      </c>
      <c r="G242" s="26">
        <f>IF(A242="","",BASE_CAIXA!O239)</f>
        <v>0</v>
      </c>
      <c r="H242" s="26">
        <f>IF(A242="","",BASE_CAIXA!P239)</f>
        <v>0</v>
      </c>
      <c r="I242" s="26" t="str">
        <f>IF(A242="","",IF(BASE_CAIXA!H239&lt;&gt;"",BASE_CAIXA!H239,BASE_CAIXA!G239))</f>
        <v>material FERRO: KIT Parede e Laje - FOB na Fabrica</v>
      </c>
      <c r="J242" s="26" t="str">
        <f>IF(A242="","",BASE_CAIXA!G239)</f>
        <v>material FERRO: KIT Parede e Laje - FOB na Fabrica</v>
      </c>
      <c r="K242" s="26">
        <f>IF(A242="","",BASE_CAIXA!I239)</f>
        <v>0</v>
      </c>
      <c r="L242" s="26">
        <f>IF(A242="","",BASE_CAIXA!J239)</f>
        <v>0</v>
      </c>
      <c r="M242" s="26" t="str">
        <f>IF(A242="","",BASE_CAIXA!AM239)</f>
        <v>material FERRO: KIT Parede e Laje - FOB na Fabrica | materia</v>
      </c>
      <c r="N242" s="26" t="str">
        <f t="shared" ca="1" si="9"/>
        <v>Previsto</v>
      </c>
      <c r="O242" s="13" t="str">
        <f>IFERROR(INDEX(EXTRATO_IMPORTADO!$A$5:$A$404,MATCH(B242,EXTRATO_IMPORTADO!$I$5:$I$404,0)),"")</f>
        <v/>
      </c>
      <c r="P242" s="14" t="str">
        <f>IFERROR(INDEX(EXTRATO_IMPORTADO!$F$5:$F$404,MATCH(B242,EXTRATO_IMPORTADO!$I$5:$I$404,0)),"")</f>
        <v/>
      </c>
      <c r="Q242" s="26" t="str">
        <f>IFERROR(INDEX(EXTRATO_IMPORTADO!$B$5:$B$404,MATCH(B242,EXTRATO_IMPORTADO!$I$5:$I$404,0)),"")</f>
        <v/>
      </c>
      <c r="R242" s="26" t="str">
        <f>IFERROR(MATCH(B242,EXTRATO_IMPORTADO!$I$5:$I$404,0),"")</f>
        <v/>
      </c>
      <c r="S242" s="14" t="str">
        <f t="shared" si="10"/>
        <v/>
      </c>
      <c r="T242" s="33" t="str">
        <f t="shared" si="11"/>
        <v/>
      </c>
    </row>
    <row r="243" spans="1:20" x14ac:dyDescent="0.3">
      <c r="A243" s="26">
        <f>IF(BASE_CAIXA!A240="","",BASE_CAIXA!A240)</f>
        <v>239</v>
      </c>
      <c r="B243" s="26" t="str">
        <f>IF(A243="","",BASE_CAIXA!AL240)</f>
        <v>000239-DB</v>
      </c>
      <c r="C243" s="13">
        <f>IF(A243="","",BASE_CAIXA!AJ240)</f>
        <v>46157</v>
      </c>
      <c r="D243" s="26" t="str">
        <f>IF(A243="","",IF(BASE_CAIXA!C240="Entrada","Crédito","Débito"))</f>
        <v>Débito</v>
      </c>
      <c r="E243" s="14">
        <f>IF(A243="","",BASE_CAIXA!AA240)</f>
        <v>2245.3200000000002</v>
      </c>
      <c r="F243" s="26">
        <f>IF(A243="","",BASE_CAIXA!N240)</f>
        <v>0</v>
      </c>
      <c r="G243" s="26">
        <f>IF(A243="","",BASE_CAIXA!O240)</f>
        <v>0</v>
      </c>
      <c r="H243" s="26">
        <f>IF(A243="","",BASE_CAIXA!P240)</f>
        <v>0</v>
      </c>
      <c r="I243" s="26" t="str">
        <f>IF(A243="","",IF(BASE_CAIXA!H240&lt;&gt;"",BASE_CAIXA!H240,BASE_CAIXA!G240))</f>
        <v>mobilizaçao e desmobilização equipe montagem</v>
      </c>
      <c r="J243" s="26" t="str">
        <f>IF(A243="","",BASE_CAIXA!G240)</f>
        <v>mobilizaçao e desmobilização equipe montagem</v>
      </c>
      <c r="K243" s="26">
        <f>IF(A243="","",BASE_CAIXA!I240)</f>
        <v>0</v>
      </c>
      <c r="L243" s="26">
        <f>IF(A243="","",BASE_CAIXA!J240)</f>
        <v>0</v>
      </c>
      <c r="M243" s="26" t="str">
        <f>IF(A243="","",BASE_CAIXA!AM240)</f>
        <v>mobilizaçao e desmobilização equipe montagem | mobilizaçao e</v>
      </c>
      <c r="N243" s="26" t="str">
        <f t="shared" ca="1" si="9"/>
        <v>Previsto</v>
      </c>
      <c r="O243" s="13" t="str">
        <f>IFERROR(INDEX(EXTRATO_IMPORTADO!$A$5:$A$404,MATCH(B243,EXTRATO_IMPORTADO!$I$5:$I$404,0)),"")</f>
        <v/>
      </c>
      <c r="P243" s="14" t="str">
        <f>IFERROR(INDEX(EXTRATO_IMPORTADO!$F$5:$F$404,MATCH(B243,EXTRATO_IMPORTADO!$I$5:$I$404,0)),"")</f>
        <v/>
      </c>
      <c r="Q243" s="26" t="str">
        <f>IFERROR(INDEX(EXTRATO_IMPORTADO!$B$5:$B$404,MATCH(B243,EXTRATO_IMPORTADO!$I$5:$I$404,0)),"")</f>
        <v/>
      </c>
      <c r="R243" s="26" t="str">
        <f>IFERROR(MATCH(B243,EXTRATO_IMPORTADO!$I$5:$I$404,0),"")</f>
        <v/>
      </c>
      <c r="S243" s="14" t="str">
        <f t="shared" si="10"/>
        <v/>
      </c>
      <c r="T243" s="33" t="str">
        <f t="shared" si="11"/>
        <v/>
      </c>
    </row>
    <row r="244" spans="1:20" x14ac:dyDescent="0.3">
      <c r="A244" s="26">
        <f>IF(BASE_CAIXA!A241="","",BASE_CAIXA!A241)</f>
        <v>240</v>
      </c>
      <c r="B244" s="26" t="str">
        <f>IF(A244="","",BASE_CAIXA!AL241)</f>
        <v>000240-DB</v>
      </c>
      <c r="C244" s="13">
        <f>IF(A244="","",BASE_CAIXA!AJ241)</f>
        <v>46157</v>
      </c>
      <c r="D244" s="26" t="str">
        <f>IF(A244="","",IF(BASE_CAIXA!C241="Entrada","Crédito","Débito"))</f>
        <v>Débito</v>
      </c>
      <c r="E244" s="14">
        <f>IF(A244="","",BASE_CAIXA!AA241)</f>
        <v>8033.3132800000012</v>
      </c>
      <c r="F244" s="26">
        <f>IF(A244="","",BASE_CAIXA!N241)</f>
        <v>0</v>
      </c>
      <c r="G244" s="26">
        <f>IF(A244="","",BASE_CAIXA!O241)</f>
        <v>0</v>
      </c>
      <c r="H244" s="26">
        <f>IF(A244="","",BASE_CAIXA!P241)</f>
        <v>0</v>
      </c>
      <c r="I244" s="26" t="str">
        <f>IF(A244="","",IF(BASE_CAIXA!H241&lt;&gt;"",BASE_CAIXA!H241,BASE_CAIXA!G241))</f>
        <v>Mao de obra terceirizada com equipamentos Pintura interna (2 demãos)</v>
      </c>
      <c r="J244" s="26" t="str">
        <f>IF(A244="","",BASE_CAIXA!G241)</f>
        <v>Mao de obra terceirizada com equipamentos Pintura interna (2 demãos)</v>
      </c>
      <c r="K244" s="26">
        <f>IF(A244="","",BASE_CAIXA!I241)</f>
        <v>0</v>
      </c>
      <c r="L244" s="26">
        <f>IF(A244="","",BASE_CAIXA!J241)</f>
        <v>0</v>
      </c>
      <c r="M244" s="26" t="str">
        <f>IF(A244="","",BASE_CAIXA!AM241)</f>
        <v>Mao de obra terceirizada com equipamentos Pintura interna (2</v>
      </c>
      <c r="N244" s="26" t="str">
        <f t="shared" ca="1" si="9"/>
        <v>Previsto</v>
      </c>
      <c r="O244" s="13" t="str">
        <f>IFERROR(INDEX(EXTRATO_IMPORTADO!$A$5:$A$404,MATCH(B244,EXTRATO_IMPORTADO!$I$5:$I$404,0)),"")</f>
        <v/>
      </c>
      <c r="P244" s="14" t="str">
        <f>IFERROR(INDEX(EXTRATO_IMPORTADO!$F$5:$F$404,MATCH(B244,EXTRATO_IMPORTADO!$I$5:$I$404,0)),"")</f>
        <v/>
      </c>
      <c r="Q244" s="26" t="str">
        <f>IFERROR(INDEX(EXTRATO_IMPORTADO!$B$5:$B$404,MATCH(B244,EXTRATO_IMPORTADO!$I$5:$I$404,0)),"")</f>
        <v/>
      </c>
      <c r="R244" s="26" t="str">
        <f>IFERROR(MATCH(B244,EXTRATO_IMPORTADO!$I$5:$I$404,0),"")</f>
        <v/>
      </c>
      <c r="S244" s="14" t="str">
        <f t="shared" si="10"/>
        <v/>
      </c>
      <c r="T244" s="33" t="str">
        <f t="shared" si="11"/>
        <v/>
      </c>
    </row>
    <row r="245" spans="1:20" x14ac:dyDescent="0.3">
      <c r="A245" s="26">
        <f>IF(BASE_CAIXA!A242="","",BASE_CAIXA!A242)</f>
        <v>241</v>
      </c>
      <c r="B245" s="26" t="str">
        <f>IF(A245="","",BASE_CAIXA!AL242)</f>
        <v>000241-DB</v>
      </c>
      <c r="C245" s="13">
        <f>IF(A245="","",BASE_CAIXA!AJ242)</f>
        <v>46157</v>
      </c>
      <c r="D245" s="26" t="str">
        <f>IF(A245="","",IF(BASE_CAIXA!C242="Entrada","Crédito","Débito"))</f>
        <v>Débito</v>
      </c>
      <c r="E245" s="14">
        <f>IF(A245="","",BASE_CAIXA!AA242)</f>
        <v>30432.245760000002</v>
      </c>
      <c r="F245" s="26">
        <f>IF(A245="","",BASE_CAIXA!N242)</f>
        <v>0</v>
      </c>
      <c r="G245" s="26">
        <f>IF(A245="","",BASE_CAIXA!O242)</f>
        <v>0</v>
      </c>
      <c r="H245" s="26">
        <f>IF(A245="","",BASE_CAIXA!P242)</f>
        <v>0</v>
      </c>
      <c r="I245" s="26" t="str">
        <f>IF(A245="","",IF(BASE_CAIXA!H242&lt;&gt;"",BASE_CAIXA!H242,BASE_CAIXA!G242))</f>
        <v>Mao de obra terceirizada assentamento Ceramica</v>
      </c>
      <c r="J245" s="26" t="str">
        <f>IF(A245="","",BASE_CAIXA!G242)</f>
        <v>Mao de obra terceirizada assentamento Ceramica</v>
      </c>
      <c r="K245" s="26">
        <f>IF(A245="","",BASE_CAIXA!I242)</f>
        <v>0</v>
      </c>
      <c r="L245" s="26">
        <f>IF(A245="","",BASE_CAIXA!J242)</f>
        <v>0</v>
      </c>
      <c r="M245" s="26" t="str">
        <f>IF(A245="","",BASE_CAIXA!AM242)</f>
        <v>Mao de obra terceirizada assentamento Ceramica | Mao de obra</v>
      </c>
      <c r="N245" s="26" t="str">
        <f t="shared" ca="1" si="9"/>
        <v>Previsto</v>
      </c>
      <c r="O245" s="13" t="str">
        <f>IFERROR(INDEX(EXTRATO_IMPORTADO!$A$5:$A$404,MATCH(B245,EXTRATO_IMPORTADO!$I$5:$I$404,0)),"")</f>
        <v/>
      </c>
      <c r="P245" s="14" t="str">
        <f>IFERROR(INDEX(EXTRATO_IMPORTADO!$F$5:$F$404,MATCH(B245,EXTRATO_IMPORTADO!$I$5:$I$404,0)),"")</f>
        <v/>
      </c>
      <c r="Q245" s="26" t="str">
        <f>IFERROR(INDEX(EXTRATO_IMPORTADO!$B$5:$B$404,MATCH(B245,EXTRATO_IMPORTADO!$I$5:$I$404,0)),"")</f>
        <v/>
      </c>
      <c r="R245" s="26" t="str">
        <f>IFERROR(MATCH(B245,EXTRATO_IMPORTADO!$I$5:$I$404,0),"")</f>
        <v/>
      </c>
      <c r="S245" s="14" t="str">
        <f t="shared" si="10"/>
        <v/>
      </c>
      <c r="T245" s="33" t="str">
        <f t="shared" si="11"/>
        <v/>
      </c>
    </row>
    <row r="246" spans="1:20" x14ac:dyDescent="0.3">
      <c r="A246" s="26">
        <f>IF(BASE_CAIXA!A243="","",BASE_CAIXA!A243)</f>
        <v>242</v>
      </c>
      <c r="B246" s="26" t="str">
        <f>IF(A246="","",BASE_CAIXA!AL243)</f>
        <v>000242-DB</v>
      </c>
      <c r="C246" s="13">
        <f>IF(A246="","",BASE_CAIXA!AJ243)</f>
        <v>46157</v>
      </c>
      <c r="D246" s="26" t="str">
        <f>IF(A246="","",IF(BASE_CAIXA!C243="Entrada","Crédito","Débito"))</f>
        <v>Débito</v>
      </c>
      <c r="E246" s="14">
        <f>IF(A246="","",BASE_CAIXA!AA243)</f>
        <v>1799.04</v>
      </c>
      <c r="F246" s="26">
        <f>IF(A246="","",BASE_CAIXA!N243)</f>
        <v>0</v>
      </c>
      <c r="G246" s="26">
        <f>IF(A246="","",BASE_CAIXA!O243)</f>
        <v>0</v>
      </c>
      <c r="H246" s="26">
        <f>IF(A246="","",BASE_CAIXA!P243)</f>
        <v>0</v>
      </c>
      <c r="I246" s="26" t="str">
        <f>IF(A246="","",IF(BASE_CAIXA!H243&lt;&gt;"",BASE_CAIXA!H243,BASE_CAIXA!G243))</f>
        <v>Mao de obra terceirizada colocaçao de Portas externa</v>
      </c>
      <c r="J246" s="26" t="str">
        <f>IF(A246="","",BASE_CAIXA!G243)</f>
        <v>Mao de obra terceirizada colocaçao de Portas externa</v>
      </c>
      <c r="K246" s="26">
        <f>IF(A246="","",BASE_CAIXA!I243)</f>
        <v>0</v>
      </c>
      <c r="L246" s="26">
        <f>IF(A246="","",BASE_CAIXA!J243)</f>
        <v>0</v>
      </c>
      <c r="M246" s="26" t="str">
        <f>IF(A246="","",BASE_CAIXA!AM243)</f>
        <v>Mao de obra terceirizada colocaçao de Portas externa | Mao d</v>
      </c>
      <c r="N246" s="26" t="str">
        <f t="shared" ca="1" si="9"/>
        <v>Previsto</v>
      </c>
      <c r="O246" s="13" t="str">
        <f>IFERROR(INDEX(EXTRATO_IMPORTADO!$A$5:$A$404,MATCH(B246,EXTRATO_IMPORTADO!$I$5:$I$404,0)),"")</f>
        <v/>
      </c>
      <c r="P246" s="14" t="str">
        <f>IFERROR(INDEX(EXTRATO_IMPORTADO!$F$5:$F$404,MATCH(B246,EXTRATO_IMPORTADO!$I$5:$I$404,0)),"")</f>
        <v/>
      </c>
      <c r="Q246" s="26" t="str">
        <f>IFERROR(INDEX(EXTRATO_IMPORTADO!$B$5:$B$404,MATCH(B246,EXTRATO_IMPORTADO!$I$5:$I$404,0)),"")</f>
        <v/>
      </c>
      <c r="R246" s="26" t="str">
        <f>IFERROR(MATCH(B246,EXTRATO_IMPORTADO!$I$5:$I$404,0),"")</f>
        <v/>
      </c>
      <c r="S246" s="14" t="str">
        <f t="shared" si="10"/>
        <v/>
      </c>
      <c r="T246" s="33" t="str">
        <f t="shared" si="11"/>
        <v/>
      </c>
    </row>
    <row r="247" spans="1:20" x14ac:dyDescent="0.3">
      <c r="A247" s="26">
        <f>IF(BASE_CAIXA!A244="","",BASE_CAIXA!A244)</f>
        <v>243</v>
      </c>
      <c r="B247" s="26" t="str">
        <f>IF(A247="","",BASE_CAIXA!AL244)</f>
        <v>000243-DB</v>
      </c>
      <c r="C247" s="13">
        <f>IF(A247="","",BASE_CAIXA!AJ244)</f>
        <v>46157</v>
      </c>
      <c r="D247" s="26" t="str">
        <f>IF(A247="","",IF(BASE_CAIXA!C244="Entrada","Crédito","Débito"))</f>
        <v>Débito</v>
      </c>
      <c r="E247" s="14">
        <f>IF(A247="","",BASE_CAIXA!AA244)</f>
        <v>2698.56</v>
      </c>
      <c r="F247" s="26">
        <f>IF(A247="","",BASE_CAIXA!N244)</f>
        <v>0</v>
      </c>
      <c r="G247" s="26">
        <f>IF(A247="","",BASE_CAIXA!O244)</f>
        <v>0</v>
      </c>
      <c r="H247" s="26">
        <f>IF(A247="","",BASE_CAIXA!P244)</f>
        <v>0</v>
      </c>
      <c r="I247" s="26" t="str">
        <f>IF(A247="","",IF(BASE_CAIXA!H244&lt;&gt;"",BASE_CAIXA!H244,BASE_CAIXA!G244))</f>
        <v>Mao de obra terceirizada colocaçao de Portas interna</v>
      </c>
      <c r="J247" s="26" t="str">
        <f>IF(A247="","",BASE_CAIXA!G244)</f>
        <v>Mao de obra terceirizada colocaçao de Portas interna</v>
      </c>
      <c r="K247" s="26">
        <f>IF(A247="","",BASE_CAIXA!I244)</f>
        <v>0</v>
      </c>
      <c r="L247" s="26">
        <f>IF(A247="","",BASE_CAIXA!J244)</f>
        <v>0</v>
      </c>
      <c r="M247" s="26" t="str">
        <f>IF(A247="","",BASE_CAIXA!AM244)</f>
        <v>Mao de obra terceirizada colocaçao de Portas interna | Mao d</v>
      </c>
      <c r="N247" s="26" t="str">
        <f t="shared" ca="1" si="9"/>
        <v>Previsto</v>
      </c>
      <c r="O247" s="13" t="str">
        <f>IFERROR(INDEX(EXTRATO_IMPORTADO!$A$5:$A$404,MATCH(B247,EXTRATO_IMPORTADO!$I$5:$I$404,0)),"")</f>
        <v/>
      </c>
      <c r="P247" s="14" t="str">
        <f>IFERROR(INDEX(EXTRATO_IMPORTADO!$F$5:$F$404,MATCH(B247,EXTRATO_IMPORTADO!$I$5:$I$404,0)),"")</f>
        <v/>
      </c>
      <c r="Q247" s="26" t="str">
        <f>IFERROR(INDEX(EXTRATO_IMPORTADO!$B$5:$B$404,MATCH(B247,EXTRATO_IMPORTADO!$I$5:$I$404,0)),"")</f>
        <v/>
      </c>
      <c r="R247" s="26" t="str">
        <f>IFERROR(MATCH(B247,EXTRATO_IMPORTADO!$I$5:$I$404,0),"")</f>
        <v/>
      </c>
      <c r="S247" s="14" t="str">
        <f t="shared" si="10"/>
        <v/>
      </c>
      <c r="T247" s="33" t="str">
        <f t="shared" si="11"/>
        <v/>
      </c>
    </row>
    <row r="248" spans="1:20" x14ac:dyDescent="0.3">
      <c r="A248" s="26">
        <f>IF(BASE_CAIXA!A245="","",BASE_CAIXA!A245)</f>
        <v>244</v>
      </c>
      <c r="B248" s="26" t="str">
        <f>IF(A248="","",BASE_CAIXA!AL245)</f>
        <v>000244-DB</v>
      </c>
      <c r="C248" s="13">
        <f>IF(A248="","",BASE_CAIXA!AJ245)</f>
        <v>46157</v>
      </c>
      <c r="D248" s="26" t="str">
        <f>IF(A248="","",IF(BASE_CAIXA!C245="Entrada","Crédito","Débito"))</f>
        <v>Débito</v>
      </c>
      <c r="E248" s="14">
        <f>IF(A248="","",BASE_CAIXA!AA245)</f>
        <v>19200</v>
      </c>
      <c r="F248" s="26">
        <f>IF(A248="","",BASE_CAIXA!N245)</f>
        <v>0</v>
      </c>
      <c r="G248" s="26">
        <f>IF(A248="","",BASE_CAIXA!O245)</f>
        <v>0</v>
      </c>
      <c r="H248" s="26">
        <f>IF(A248="","",BASE_CAIXA!P245)</f>
        <v>0</v>
      </c>
      <c r="I248" s="26" t="str">
        <f>IF(A248="","",IF(BASE_CAIXA!H245&lt;&gt;"",BASE_CAIXA!H245,BASE_CAIXA!G245))</f>
        <v>Instalação de Poste Padrão de Energia</v>
      </c>
      <c r="J248" s="26" t="str">
        <f>IF(A248="","",BASE_CAIXA!G245)</f>
        <v>Instalação de Poste Padrão de Energia</v>
      </c>
      <c r="K248" s="26">
        <f>IF(A248="","",BASE_CAIXA!I245)</f>
        <v>0</v>
      </c>
      <c r="L248" s="26">
        <f>IF(A248="","",BASE_CAIXA!J245)</f>
        <v>0</v>
      </c>
      <c r="M248" s="26" t="str">
        <f>IF(A248="","",BASE_CAIXA!AM245)</f>
        <v xml:space="preserve">Instalação de Poste Padrão de Energia | Instalação de Poste </v>
      </c>
      <c r="N248" s="26" t="str">
        <f t="shared" ca="1" si="9"/>
        <v>Previsto</v>
      </c>
      <c r="O248" s="13" t="str">
        <f>IFERROR(INDEX(EXTRATO_IMPORTADO!$A$5:$A$404,MATCH(B248,EXTRATO_IMPORTADO!$I$5:$I$404,0)),"")</f>
        <v/>
      </c>
      <c r="P248" s="14" t="str">
        <f>IFERROR(INDEX(EXTRATO_IMPORTADO!$F$5:$F$404,MATCH(B248,EXTRATO_IMPORTADO!$I$5:$I$404,0)),"")</f>
        <v/>
      </c>
      <c r="Q248" s="26" t="str">
        <f>IFERROR(INDEX(EXTRATO_IMPORTADO!$B$5:$B$404,MATCH(B248,EXTRATO_IMPORTADO!$I$5:$I$404,0)),"")</f>
        <v/>
      </c>
      <c r="R248" s="26" t="str">
        <f>IFERROR(MATCH(B248,EXTRATO_IMPORTADO!$I$5:$I$404,0),"")</f>
        <v/>
      </c>
      <c r="S248" s="14" t="str">
        <f t="shared" si="10"/>
        <v/>
      </c>
      <c r="T248" s="33" t="str">
        <f t="shared" si="11"/>
        <v/>
      </c>
    </row>
    <row r="249" spans="1:20" x14ac:dyDescent="0.3">
      <c r="A249" s="26">
        <f>IF(BASE_CAIXA!A246="","",BASE_CAIXA!A246)</f>
        <v>245</v>
      </c>
      <c r="B249" s="26" t="str">
        <f>IF(A249="","",BASE_CAIXA!AL246)</f>
        <v>000245-DB</v>
      </c>
      <c r="C249" s="13">
        <f>IF(A249="","",BASE_CAIXA!AJ246)</f>
        <v>46157</v>
      </c>
      <c r="D249" s="26" t="str">
        <f>IF(A249="","",IF(BASE_CAIXA!C246="Entrada","Crédito","Débito"))</f>
        <v>Débito</v>
      </c>
      <c r="E249" s="14">
        <f>IF(A249="","",BASE_CAIXA!AA246)</f>
        <v>32000</v>
      </c>
      <c r="F249" s="26">
        <f>IF(A249="","",BASE_CAIXA!N246)</f>
        <v>0</v>
      </c>
      <c r="G249" s="26">
        <f>IF(A249="","",BASE_CAIXA!O246)</f>
        <v>0</v>
      </c>
      <c r="H249" s="26">
        <f>IF(A249="","",BASE_CAIXA!P246)</f>
        <v>0</v>
      </c>
      <c r="I249" s="26" t="str">
        <f>IF(A249="","",IF(BASE_CAIXA!H246&lt;&gt;"",BASE_CAIXA!H246,BASE_CAIXA!G246))</f>
        <v>Poste de Energia - padrão da concessionária local</v>
      </c>
      <c r="J249" s="26" t="str">
        <f>IF(A249="","",BASE_CAIXA!G246)</f>
        <v>Poste de Energia - padrão da concessionária local</v>
      </c>
      <c r="K249" s="26">
        <f>IF(A249="","",BASE_CAIXA!I246)</f>
        <v>0</v>
      </c>
      <c r="L249" s="26">
        <f>IF(A249="","",BASE_CAIXA!J246)</f>
        <v>0</v>
      </c>
      <c r="M249" s="26" t="str">
        <f>IF(A249="","",BASE_CAIXA!AM246)</f>
        <v>Poste de Energia - padrão da concessionária local | Poste de</v>
      </c>
      <c r="N249" s="26" t="str">
        <f t="shared" ca="1" si="9"/>
        <v>Previsto</v>
      </c>
      <c r="O249" s="13" t="str">
        <f>IFERROR(INDEX(EXTRATO_IMPORTADO!$A$5:$A$404,MATCH(B249,EXTRATO_IMPORTADO!$I$5:$I$404,0)),"")</f>
        <v/>
      </c>
      <c r="P249" s="14" t="str">
        <f>IFERROR(INDEX(EXTRATO_IMPORTADO!$F$5:$F$404,MATCH(B249,EXTRATO_IMPORTADO!$I$5:$I$404,0)),"")</f>
        <v/>
      </c>
      <c r="Q249" s="26" t="str">
        <f>IFERROR(INDEX(EXTRATO_IMPORTADO!$B$5:$B$404,MATCH(B249,EXTRATO_IMPORTADO!$I$5:$I$404,0)),"")</f>
        <v/>
      </c>
      <c r="R249" s="26" t="str">
        <f>IFERROR(MATCH(B249,EXTRATO_IMPORTADO!$I$5:$I$404,0),"")</f>
        <v/>
      </c>
      <c r="S249" s="14" t="str">
        <f t="shared" si="10"/>
        <v/>
      </c>
      <c r="T249" s="33" t="str">
        <f t="shared" si="11"/>
        <v/>
      </c>
    </row>
    <row r="250" spans="1:20" x14ac:dyDescent="0.3">
      <c r="A250" s="26">
        <f>IF(BASE_CAIXA!A247="","",BASE_CAIXA!A247)</f>
        <v>246</v>
      </c>
      <c r="B250" s="26" t="str">
        <f>IF(A250="","",BASE_CAIXA!AL247)</f>
        <v>000246-DB</v>
      </c>
      <c r="C250" s="13">
        <f>IF(A250="","",BASE_CAIXA!AJ247)</f>
        <v>46157</v>
      </c>
      <c r="D250" s="26" t="str">
        <f>IF(A250="","",IF(BASE_CAIXA!C247="Entrada","Crédito","Débito"))</f>
        <v>Débito</v>
      </c>
      <c r="E250" s="14">
        <f>IF(A250="","",BASE_CAIXA!AA247)</f>
        <v>4400</v>
      </c>
      <c r="F250" s="26">
        <f>IF(A250="","",BASE_CAIXA!N247)</f>
        <v>0</v>
      </c>
      <c r="G250" s="26">
        <f>IF(A250="","",BASE_CAIXA!O247)</f>
        <v>0</v>
      </c>
      <c r="H250" s="26">
        <f>IF(A250="","",BASE_CAIXA!P247)</f>
        <v>0</v>
      </c>
      <c r="I250" s="26" t="str">
        <f>IF(A250="","",IF(BASE_CAIXA!H247&lt;&gt;"",BASE_CAIXA!H247,BASE_CAIXA!G247))</f>
        <v>Bomba de concreto  ( Taxa divide 1 casa e 1 radier )</v>
      </c>
      <c r="J250" s="26" t="str">
        <f>IF(A250="","",BASE_CAIXA!G247)</f>
        <v>Bomba de concreto  ( Taxa divide 1 casa e 1 radier )</v>
      </c>
      <c r="K250" s="26">
        <f>IF(A250="","",BASE_CAIXA!I247)</f>
        <v>0</v>
      </c>
      <c r="L250" s="26">
        <f>IF(A250="","",BASE_CAIXA!J247)</f>
        <v>0</v>
      </c>
      <c r="M250" s="26" t="str">
        <f>IF(A250="","",BASE_CAIXA!AM247)</f>
        <v>Bomba de concreto  ( Taxa divide 1 casa e 1 radier ) | Bomba</v>
      </c>
      <c r="N250" s="26" t="str">
        <f t="shared" ca="1" si="9"/>
        <v>Previsto</v>
      </c>
      <c r="O250" s="13" t="str">
        <f>IFERROR(INDEX(EXTRATO_IMPORTADO!$A$5:$A$404,MATCH(B250,EXTRATO_IMPORTADO!$I$5:$I$404,0)),"")</f>
        <v/>
      </c>
      <c r="P250" s="14" t="str">
        <f>IFERROR(INDEX(EXTRATO_IMPORTADO!$F$5:$F$404,MATCH(B250,EXTRATO_IMPORTADO!$I$5:$I$404,0)),"")</f>
        <v/>
      </c>
      <c r="Q250" s="26" t="str">
        <f>IFERROR(INDEX(EXTRATO_IMPORTADO!$B$5:$B$404,MATCH(B250,EXTRATO_IMPORTADO!$I$5:$I$404,0)),"")</f>
        <v/>
      </c>
      <c r="R250" s="26" t="str">
        <f>IFERROR(MATCH(B250,EXTRATO_IMPORTADO!$I$5:$I$404,0),"")</f>
        <v/>
      </c>
      <c r="S250" s="14" t="str">
        <f t="shared" si="10"/>
        <v/>
      </c>
      <c r="T250" s="33" t="str">
        <f t="shared" si="11"/>
        <v/>
      </c>
    </row>
    <row r="251" spans="1:20" x14ac:dyDescent="0.3">
      <c r="A251" s="26">
        <f>IF(BASE_CAIXA!A248="","",BASE_CAIXA!A248)</f>
        <v>247</v>
      </c>
      <c r="B251" s="26" t="str">
        <f>IF(A251="","",BASE_CAIXA!AL248)</f>
        <v>000247-DB</v>
      </c>
      <c r="C251" s="13">
        <f>IF(A251="","",BASE_CAIXA!AJ248)</f>
        <v>46157</v>
      </c>
      <c r="D251" s="26" t="str">
        <f>IF(A251="","",IF(BASE_CAIXA!C248="Entrada","Crédito","Débito"))</f>
        <v>Débito</v>
      </c>
      <c r="E251" s="14">
        <f>IF(A251="","",BASE_CAIXA!AA248)</f>
        <v>79635.199999999997</v>
      </c>
      <c r="F251" s="26">
        <f>IF(A251="","",BASE_CAIXA!N248)</f>
        <v>0</v>
      </c>
      <c r="G251" s="26">
        <f>IF(A251="","",BASE_CAIXA!O248)</f>
        <v>0</v>
      </c>
      <c r="H251" s="26">
        <f>IF(A251="","",BASE_CAIXA!P248)</f>
        <v>0</v>
      </c>
      <c r="I251" s="26" t="str">
        <f>IF(A251="","",IF(BASE_CAIXA!H248&lt;&gt;"",BASE_CAIXA!H248,BASE_CAIXA!G248))</f>
        <v>Concreto Usinado fck - 25 Mpa ( Com perda de 10%) - SEM IMPERMEABILIZANTE - 140 +- 30 slump</v>
      </c>
      <c r="J251" s="26" t="str">
        <f>IF(A251="","",BASE_CAIXA!G248)</f>
        <v>Concreto Usinado fck - 25 Mpa ( Com perda de 10%) - SEM IMPERMEABILIZANTE - 140 +- 30 slump</v>
      </c>
      <c r="K251" s="26">
        <f>IF(A251="","",BASE_CAIXA!I248)</f>
        <v>0</v>
      </c>
      <c r="L251" s="26">
        <f>IF(A251="","",BASE_CAIXA!J248)</f>
        <v>0</v>
      </c>
      <c r="M251" s="26" t="str">
        <f>IF(A251="","",BASE_CAIXA!AM248)</f>
        <v>Concreto Usinado fck - 25 Mpa ( Com perda de 10%) - SEM IMPE</v>
      </c>
      <c r="N251" s="26" t="str">
        <f t="shared" ca="1" si="9"/>
        <v>Previsto</v>
      </c>
      <c r="O251" s="13" t="str">
        <f>IFERROR(INDEX(EXTRATO_IMPORTADO!$A$5:$A$404,MATCH(B251,EXTRATO_IMPORTADO!$I$5:$I$404,0)),"")</f>
        <v/>
      </c>
      <c r="P251" s="14" t="str">
        <f>IFERROR(INDEX(EXTRATO_IMPORTADO!$F$5:$F$404,MATCH(B251,EXTRATO_IMPORTADO!$I$5:$I$404,0)),"")</f>
        <v/>
      </c>
      <c r="Q251" s="26" t="str">
        <f>IFERROR(INDEX(EXTRATO_IMPORTADO!$B$5:$B$404,MATCH(B251,EXTRATO_IMPORTADO!$I$5:$I$404,0)),"")</f>
        <v/>
      </c>
      <c r="R251" s="26" t="str">
        <f>IFERROR(MATCH(B251,EXTRATO_IMPORTADO!$I$5:$I$404,0),"")</f>
        <v/>
      </c>
      <c r="S251" s="14" t="str">
        <f t="shared" si="10"/>
        <v/>
      </c>
      <c r="T251" s="33" t="str">
        <f t="shared" si="11"/>
        <v/>
      </c>
    </row>
    <row r="252" spans="1:20" x14ac:dyDescent="0.3">
      <c r="A252" s="26">
        <f>IF(BASE_CAIXA!A249="","",BASE_CAIXA!A249)</f>
        <v>248</v>
      </c>
      <c r="B252" s="26" t="str">
        <f>IF(A252="","",BASE_CAIXA!AL249)</f>
        <v>000248-DB</v>
      </c>
      <c r="C252" s="13">
        <f>IF(A252="","",BASE_CAIXA!AJ249)</f>
        <v>46157</v>
      </c>
      <c r="D252" s="26" t="str">
        <f>IF(A252="","",IF(BASE_CAIXA!C249="Entrada","Crédito","Débito"))</f>
        <v>Débito</v>
      </c>
      <c r="E252" s="14">
        <f>IF(A252="","",BASE_CAIXA!AA249)</f>
        <v>29978.50106666666</v>
      </c>
      <c r="F252" s="26">
        <f>IF(A252="","",BASE_CAIXA!N249)</f>
        <v>0</v>
      </c>
      <c r="G252" s="26">
        <f>IF(A252="","",BASE_CAIXA!O249)</f>
        <v>0</v>
      </c>
      <c r="H252" s="26">
        <f>IF(A252="","",BASE_CAIXA!P249)</f>
        <v>0</v>
      </c>
      <c r="I252" s="26" t="str">
        <f>IF(A252="","",IF(BASE_CAIXA!H249&lt;&gt;"",BASE_CAIXA!H249,BASE_CAIXA!G249))</f>
        <v>Mao de obra Terceirizada Radier</v>
      </c>
      <c r="J252" s="26" t="str">
        <f>IF(A252="","",BASE_CAIXA!G249)</f>
        <v>Mao de obra Terceirizada Radier</v>
      </c>
      <c r="K252" s="26">
        <f>IF(A252="","",BASE_CAIXA!I249)</f>
        <v>0</v>
      </c>
      <c r="L252" s="26">
        <f>IF(A252="","",BASE_CAIXA!J249)</f>
        <v>0</v>
      </c>
      <c r="M252" s="26" t="str">
        <f>IF(A252="","",BASE_CAIXA!AM249)</f>
        <v>Mao de obra Terceirizada Radier | Mao de obra Terceirizada R</v>
      </c>
      <c r="N252" s="26" t="str">
        <f t="shared" ca="1" si="9"/>
        <v>Previsto</v>
      </c>
      <c r="O252" s="13" t="str">
        <f>IFERROR(INDEX(EXTRATO_IMPORTADO!$A$5:$A$404,MATCH(B252,EXTRATO_IMPORTADO!$I$5:$I$404,0)),"")</f>
        <v/>
      </c>
      <c r="P252" s="14" t="str">
        <f>IFERROR(INDEX(EXTRATO_IMPORTADO!$F$5:$F$404,MATCH(B252,EXTRATO_IMPORTADO!$I$5:$I$404,0)),"")</f>
        <v/>
      </c>
      <c r="Q252" s="26" t="str">
        <f>IFERROR(INDEX(EXTRATO_IMPORTADO!$B$5:$B$404,MATCH(B252,EXTRATO_IMPORTADO!$I$5:$I$404,0)),"")</f>
        <v/>
      </c>
      <c r="R252" s="26" t="str">
        <f>IFERROR(MATCH(B252,EXTRATO_IMPORTADO!$I$5:$I$404,0),"")</f>
        <v/>
      </c>
      <c r="S252" s="14" t="str">
        <f t="shared" si="10"/>
        <v/>
      </c>
      <c r="T252" s="33" t="str">
        <f t="shared" si="11"/>
        <v/>
      </c>
    </row>
    <row r="253" spans="1:20" x14ac:dyDescent="0.3">
      <c r="A253" s="26">
        <f>IF(BASE_CAIXA!A250="","",BASE_CAIXA!A250)</f>
        <v>249</v>
      </c>
      <c r="B253" s="26" t="str">
        <f>IF(A253="","",BASE_CAIXA!AL250)</f>
        <v>000249-DB</v>
      </c>
      <c r="C253" s="13">
        <f>IF(A253="","",BASE_CAIXA!AJ250)</f>
        <v>46157</v>
      </c>
      <c r="D253" s="26" t="str">
        <f>IF(A253="","",IF(BASE_CAIXA!C250="Entrada","Crédito","Débito"))</f>
        <v>Débito</v>
      </c>
      <c r="E253" s="14">
        <f>IF(A253="","",BASE_CAIXA!AA250)</f>
        <v>1069128.6647850811</v>
      </c>
      <c r="F253" s="26">
        <f>IF(A253="","",BASE_CAIXA!N250)</f>
        <v>0</v>
      </c>
      <c r="G253" s="26">
        <f>IF(A253="","",BASE_CAIXA!O250)</f>
        <v>0</v>
      </c>
      <c r="H253" s="26">
        <f>IF(A253="","",BASE_CAIXA!P250)</f>
        <v>0</v>
      </c>
      <c r="I253" s="26" t="str">
        <f>IF(A253="","",IF(BASE_CAIXA!H250&lt;&gt;"",BASE_CAIXA!H250,BASE_CAIXA!G250))</f>
        <v>TOTALIZADOR CUSTO GLOBAIS OBRAS - MENSAL</v>
      </c>
      <c r="J253" s="26" t="str">
        <f>IF(A253="","",BASE_CAIXA!G250)</f>
        <v>TOTALIZADOR CUSTO GLOBAIS OBRAS - MENSAL</v>
      </c>
      <c r="K253" s="26">
        <f>IF(A253="","",BASE_CAIXA!I250)</f>
        <v>0</v>
      </c>
      <c r="L253" s="26">
        <f>IF(A253="","",BASE_CAIXA!J250)</f>
        <v>0</v>
      </c>
      <c r="M253" s="26" t="str">
        <f>IF(A253="","",BASE_CAIXA!AM250)</f>
        <v>TOTALIZADOR CUSTO GLOBAIS OBRAS - MENSAL | TOTALIZADOR CUSTO</v>
      </c>
      <c r="N253" s="26" t="str">
        <f t="shared" ca="1" si="9"/>
        <v>Previsto</v>
      </c>
      <c r="O253" s="13" t="str">
        <f>IFERROR(INDEX(EXTRATO_IMPORTADO!$A$5:$A$404,MATCH(B253,EXTRATO_IMPORTADO!$I$5:$I$404,0)),"")</f>
        <v/>
      </c>
      <c r="P253" s="14" t="str">
        <f>IFERROR(INDEX(EXTRATO_IMPORTADO!$F$5:$F$404,MATCH(B253,EXTRATO_IMPORTADO!$I$5:$I$404,0)),"")</f>
        <v/>
      </c>
      <c r="Q253" s="26" t="str">
        <f>IFERROR(INDEX(EXTRATO_IMPORTADO!$B$5:$B$404,MATCH(B253,EXTRATO_IMPORTADO!$I$5:$I$404,0)),"")</f>
        <v/>
      </c>
      <c r="R253" s="26" t="str">
        <f>IFERROR(MATCH(B253,EXTRATO_IMPORTADO!$I$5:$I$404,0),"")</f>
        <v/>
      </c>
      <c r="S253" s="14" t="str">
        <f t="shared" si="10"/>
        <v/>
      </c>
      <c r="T253" s="33" t="str">
        <f t="shared" si="11"/>
        <v/>
      </c>
    </row>
    <row r="254" spans="1:20" x14ac:dyDescent="0.3">
      <c r="A254" s="26">
        <f>IF(BASE_CAIXA!A251="","",BASE_CAIXA!A251)</f>
        <v>250</v>
      </c>
      <c r="B254" s="26" t="str">
        <f>IF(A254="","",BASE_CAIXA!AL251)</f>
        <v>000250-DB</v>
      </c>
      <c r="C254" s="13">
        <f>IF(A254="","",BASE_CAIXA!AJ251)</f>
        <v>46157</v>
      </c>
      <c r="D254" s="26" t="str">
        <f>IF(A254="","",IF(BASE_CAIXA!C251="Entrada","Crédito","Débito"))</f>
        <v>Débito</v>
      </c>
      <c r="E254" s="14">
        <f>IF(A254="","",BASE_CAIXA!AA251)</f>
        <v>1078.24</v>
      </c>
      <c r="F254" s="26">
        <f>IF(A254="","",BASE_CAIXA!N251)</f>
        <v>0</v>
      </c>
      <c r="G254" s="26">
        <f>IF(A254="","",BASE_CAIXA!O251)</f>
        <v>0</v>
      </c>
      <c r="H254" s="26">
        <f>IF(A254="","",BASE_CAIXA!P251)</f>
        <v>0</v>
      </c>
      <c r="I254" s="26" t="str">
        <f>IF(A254="","",IF(BASE_CAIXA!H251&lt;&gt;"",BASE_CAIXA!H251,BASE_CAIXA!G251))</f>
        <v>Assentamento Soleira em basalto  0,84 x 0,125 x 0,02 - cozinha</v>
      </c>
      <c r="J254" s="26" t="str">
        <f>IF(A254="","",BASE_CAIXA!G251)</f>
        <v>Assentamento Soleira em basalto  0,84 x 0,125 x 0,02 - cozinha</v>
      </c>
      <c r="K254" s="26">
        <f>IF(A254="","",BASE_CAIXA!I251)</f>
        <v>0</v>
      </c>
      <c r="L254" s="26">
        <f>IF(A254="","",BASE_CAIXA!J251)</f>
        <v>0</v>
      </c>
      <c r="M254" s="26" t="str">
        <f>IF(A254="","",BASE_CAIXA!AM251)</f>
        <v>Assentamento Soleira em basalto  0,84 x 0,125 x 0,02 - cozin</v>
      </c>
      <c r="N254" s="26" t="str">
        <f t="shared" ca="1" si="9"/>
        <v>Previsto</v>
      </c>
      <c r="O254" s="13" t="str">
        <f>IFERROR(INDEX(EXTRATO_IMPORTADO!$A$5:$A$404,MATCH(B254,EXTRATO_IMPORTADO!$I$5:$I$404,0)),"")</f>
        <v/>
      </c>
      <c r="P254" s="14" t="str">
        <f>IFERROR(INDEX(EXTRATO_IMPORTADO!$F$5:$F$404,MATCH(B254,EXTRATO_IMPORTADO!$I$5:$I$404,0)),"")</f>
        <v/>
      </c>
      <c r="Q254" s="26" t="str">
        <f>IFERROR(INDEX(EXTRATO_IMPORTADO!$B$5:$B$404,MATCH(B254,EXTRATO_IMPORTADO!$I$5:$I$404,0)),"")</f>
        <v/>
      </c>
      <c r="R254" s="26" t="str">
        <f>IFERROR(MATCH(B254,EXTRATO_IMPORTADO!$I$5:$I$404,0),"")</f>
        <v/>
      </c>
      <c r="S254" s="14" t="str">
        <f t="shared" si="10"/>
        <v/>
      </c>
      <c r="T254" s="33" t="str">
        <f t="shared" si="11"/>
        <v/>
      </c>
    </row>
    <row r="255" spans="1:20" x14ac:dyDescent="0.3">
      <c r="A255" s="26">
        <f>IF(BASE_CAIXA!A252="","",BASE_CAIXA!A252)</f>
        <v>251</v>
      </c>
      <c r="B255" s="26" t="str">
        <f>IF(A255="","",BASE_CAIXA!AL252)</f>
        <v>000251-DB</v>
      </c>
      <c r="C255" s="13">
        <f>IF(A255="","",BASE_CAIXA!AJ252)</f>
        <v>46157</v>
      </c>
      <c r="D255" s="26" t="str">
        <f>IF(A255="","",IF(BASE_CAIXA!C252="Entrada","Crédito","Débito"))</f>
        <v>Débito</v>
      </c>
      <c r="E255" s="14">
        <f>IF(A255="","",BASE_CAIXA!AA252)</f>
        <v>1078.24</v>
      </c>
      <c r="F255" s="26">
        <f>IF(A255="","",BASE_CAIXA!N252)</f>
        <v>0</v>
      </c>
      <c r="G255" s="26">
        <f>IF(A255="","",BASE_CAIXA!O252)</f>
        <v>0</v>
      </c>
      <c r="H255" s="26">
        <f>IF(A255="","",BASE_CAIXA!P252)</f>
        <v>0</v>
      </c>
      <c r="I255" s="26" t="str">
        <f>IF(A255="","",IF(BASE_CAIXA!H252&lt;&gt;"",BASE_CAIXA!H252,BASE_CAIXA!G252))</f>
        <v>Assentamento Soleira em basalto  0,94 x 0,125 x 0,02 - entrada</v>
      </c>
      <c r="J255" s="26" t="str">
        <f>IF(A255="","",BASE_CAIXA!G252)</f>
        <v>Assentamento Soleira em basalto  0,94 x 0,125 x 0,02 - entrada</v>
      </c>
      <c r="K255" s="26">
        <f>IF(A255="","",BASE_CAIXA!I252)</f>
        <v>0</v>
      </c>
      <c r="L255" s="26">
        <f>IF(A255="","",BASE_CAIXA!J252)</f>
        <v>0</v>
      </c>
      <c r="M255" s="26" t="str">
        <f>IF(A255="","",BASE_CAIXA!AM252)</f>
        <v>Assentamento Soleira em basalto  0,94 x 0,125 x 0,02 - entra</v>
      </c>
      <c r="N255" s="26" t="str">
        <f t="shared" ca="1" si="9"/>
        <v>Previsto</v>
      </c>
      <c r="O255" s="13" t="str">
        <f>IFERROR(INDEX(EXTRATO_IMPORTADO!$A$5:$A$404,MATCH(B255,EXTRATO_IMPORTADO!$I$5:$I$404,0)),"")</f>
        <v/>
      </c>
      <c r="P255" s="14" t="str">
        <f>IFERROR(INDEX(EXTRATO_IMPORTADO!$F$5:$F$404,MATCH(B255,EXTRATO_IMPORTADO!$I$5:$I$404,0)),"")</f>
        <v/>
      </c>
      <c r="Q255" s="26" t="str">
        <f>IFERROR(INDEX(EXTRATO_IMPORTADO!$B$5:$B$404,MATCH(B255,EXTRATO_IMPORTADO!$I$5:$I$404,0)),"")</f>
        <v/>
      </c>
      <c r="R255" s="26" t="str">
        <f>IFERROR(MATCH(B255,EXTRATO_IMPORTADO!$I$5:$I$404,0),"")</f>
        <v/>
      </c>
      <c r="S255" s="14" t="str">
        <f t="shared" si="10"/>
        <v/>
      </c>
      <c r="T255" s="33" t="str">
        <f t="shared" si="11"/>
        <v/>
      </c>
    </row>
    <row r="256" spans="1:20" x14ac:dyDescent="0.3">
      <c r="A256" s="26">
        <f>IF(BASE_CAIXA!A253="","",BASE_CAIXA!A253)</f>
        <v>252</v>
      </c>
      <c r="B256" s="26" t="str">
        <f>IF(A256="","",BASE_CAIXA!AL253)</f>
        <v>000252-DB</v>
      </c>
      <c r="C256" s="13">
        <f>IF(A256="","",BASE_CAIXA!AJ253)</f>
        <v>46157</v>
      </c>
      <c r="D256" s="26" t="str">
        <f>IF(A256="","",IF(BASE_CAIXA!C253="Entrada","Crédito","Débito"))</f>
        <v>Débito</v>
      </c>
      <c r="E256" s="14">
        <f>IF(A256="","",BASE_CAIXA!AA253)</f>
        <v>15375.486752000001</v>
      </c>
      <c r="F256" s="26">
        <f>IF(A256="","",BASE_CAIXA!N253)</f>
        <v>0</v>
      </c>
      <c r="G256" s="26">
        <f>IF(A256="","",BASE_CAIXA!O253)</f>
        <v>0</v>
      </c>
      <c r="H256" s="26">
        <f>IF(A256="","",BASE_CAIXA!P253)</f>
        <v>0</v>
      </c>
      <c r="I256" s="26" t="str">
        <f>IF(A256="","",IF(BASE_CAIXA!H253&lt;&gt;"",BASE_CAIXA!H253,BASE_CAIXA!G253))</f>
        <v>Mao de obra terceirizada Textura externa</v>
      </c>
      <c r="J256" s="26" t="str">
        <f>IF(A256="","",BASE_CAIXA!G253)</f>
        <v>Mao de obra terceirizada Textura externa</v>
      </c>
      <c r="K256" s="26">
        <f>IF(A256="","",BASE_CAIXA!I253)</f>
        <v>0</v>
      </c>
      <c r="L256" s="26">
        <f>IF(A256="","",BASE_CAIXA!J253)</f>
        <v>0</v>
      </c>
      <c r="M256" s="26" t="str">
        <f>IF(A256="","",BASE_CAIXA!AM253)</f>
        <v>Mao de obra terceirizada Textura externa | Mao de obra terce</v>
      </c>
      <c r="N256" s="26" t="str">
        <f t="shared" ca="1" si="9"/>
        <v>Previsto</v>
      </c>
      <c r="O256" s="13" t="str">
        <f>IFERROR(INDEX(EXTRATO_IMPORTADO!$A$5:$A$404,MATCH(B256,EXTRATO_IMPORTADO!$I$5:$I$404,0)),"")</f>
        <v/>
      </c>
      <c r="P256" s="14" t="str">
        <f>IFERROR(INDEX(EXTRATO_IMPORTADO!$F$5:$F$404,MATCH(B256,EXTRATO_IMPORTADO!$I$5:$I$404,0)),"")</f>
        <v/>
      </c>
      <c r="Q256" s="26" t="str">
        <f>IFERROR(INDEX(EXTRATO_IMPORTADO!$B$5:$B$404,MATCH(B256,EXTRATO_IMPORTADO!$I$5:$I$404,0)),"")</f>
        <v/>
      </c>
      <c r="R256" s="26" t="str">
        <f>IFERROR(MATCH(B256,EXTRATO_IMPORTADO!$I$5:$I$404,0),"")</f>
        <v/>
      </c>
      <c r="S256" s="14" t="str">
        <f t="shared" si="10"/>
        <v/>
      </c>
      <c r="T256" s="33" t="str">
        <f t="shared" si="11"/>
        <v/>
      </c>
    </row>
    <row r="257" spans="1:20" x14ac:dyDescent="0.3">
      <c r="A257" s="26">
        <f>IF(BASE_CAIXA!A254="","",BASE_CAIXA!A254)</f>
        <v>253</v>
      </c>
      <c r="B257" s="26" t="str">
        <f>IF(A257="","",BASE_CAIXA!AL254)</f>
        <v>000253-CR</v>
      </c>
      <c r="C257" s="13">
        <f>IF(A257="","",BASE_CAIXA!AJ254)</f>
        <v>46171</v>
      </c>
      <c r="D257" s="26" t="str">
        <f>IF(A257="","",IF(BASE_CAIXA!C254="Entrada","Crédito","Débito"))</f>
        <v>Crédito</v>
      </c>
      <c r="E257" s="14">
        <f>IF(A257="","",BASE_CAIXA!AA254)</f>
        <v>1219493.518464</v>
      </c>
      <c r="F257" s="26">
        <f>IF(A257="","",BASE_CAIXA!N254)</f>
        <v>0</v>
      </c>
      <c r="G257" s="26">
        <f>IF(A257="","",BASE_CAIXA!O254)</f>
        <v>0</v>
      </c>
      <c r="H257" s="26">
        <f>IF(A257="","",BASE_CAIXA!P254)</f>
        <v>0</v>
      </c>
      <c r="I257" s="26" t="str">
        <f>IF(A257="","",IF(BASE_CAIXA!H254&lt;&gt;"",BASE_CAIXA!H254,BASE_CAIXA!G254))</f>
        <v>MEDIÇÃO CONTRATUAL</v>
      </c>
      <c r="J257" s="26" t="str">
        <f>IF(A257="","",BASE_CAIXA!G254)</f>
        <v>MEDIÇÃO CONTRATUAL</v>
      </c>
      <c r="K257" s="26">
        <f>IF(A257="","",BASE_CAIXA!I254)</f>
        <v>0</v>
      </c>
      <c r="L257" s="26">
        <f>IF(A257="","",BASE_CAIXA!J254)</f>
        <v>0</v>
      </c>
      <c r="M257" s="26" t="str">
        <f>IF(A257="","",BASE_CAIXA!AM254)</f>
        <v xml:space="preserve">MEDIÇÃO CONTRATUAL | MEDIÇÃO CONTRATUAL | Entrada | MEDIÇÃO </v>
      </c>
      <c r="N257" s="26" t="str">
        <f t="shared" ca="1" si="9"/>
        <v>Previsto</v>
      </c>
      <c r="O257" s="13" t="str">
        <f>IFERROR(INDEX(EXTRATO_IMPORTADO!$A$5:$A$404,MATCH(B257,EXTRATO_IMPORTADO!$I$5:$I$404,0)),"")</f>
        <v/>
      </c>
      <c r="P257" s="14" t="str">
        <f>IFERROR(INDEX(EXTRATO_IMPORTADO!$F$5:$F$404,MATCH(B257,EXTRATO_IMPORTADO!$I$5:$I$404,0)),"")</f>
        <v/>
      </c>
      <c r="Q257" s="26" t="str">
        <f>IFERROR(INDEX(EXTRATO_IMPORTADO!$B$5:$B$404,MATCH(B257,EXTRATO_IMPORTADO!$I$5:$I$404,0)),"")</f>
        <v/>
      </c>
      <c r="R257" s="26" t="str">
        <f>IFERROR(MATCH(B257,EXTRATO_IMPORTADO!$I$5:$I$404,0),"")</f>
        <v/>
      </c>
      <c r="S257" s="14" t="str">
        <f t="shared" si="10"/>
        <v/>
      </c>
      <c r="T257" s="33" t="str">
        <f t="shared" si="11"/>
        <v/>
      </c>
    </row>
    <row r="258" spans="1:20" x14ac:dyDescent="0.3">
      <c r="A258" s="26">
        <f>IF(BASE_CAIXA!A255="","",BASE_CAIXA!A255)</f>
        <v>254</v>
      </c>
      <c r="B258" s="26" t="str">
        <f>IF(A258="","",BASE_CAIXA!AL255)</f>
        <v>000254-DB</v>
      </c>
      <c r="C258" s="13">
        <f>IF(A258="","",BASE_CAIXA!AJ255)</f>
        <v>46171</v>
      </c>
      <c r="D258" s="26" t="str">
        <f>IF(A258="","",IF(BASE_CAIXA!C255="Entrada","Crédito","Débito"))</f>
        <v>Débito</v>
      </c>
      <c r="E258" s="14">
        <f>IF(A258="","",BASE_CAIXA!AA255)</f>
        <v>4345.6000000000004</v>
      </c>
      <c r="F258" s="26">
        <f>IF(A258="","",BASE_CAIXA!N255)</f>
        <v>0</v>
      </c>
      <c r="G258" s="26">
        <f>IF(A258="","",BASE_CAIXA!O255)</f>
        <v>0</v>
      </c>
      <c r="H258" s="26">
        <f>IF(A258="","",BASE_CAIXA!P255)</f>
        <v>0</v>
      </c>
      <c r="I258" s="26" t="str">
        <f>IF(A258="","",IF(BASE_CAIXA!H255&lt;&gt;"",BASE_CAIXA!H255,BASE_CAIXA!G255))</f>
        <v>Argamassa colante AC I - Saco 20 Kg</v>
      </c>
      <c r="J258" s="26" t="str">
        <f>IF(A258="","",BASE_CAIXA!G255)</f>
        <v>Argamassa colante AC I - Saco 20 Kg</v>
      </c>
      <c r="K258" s="26">
        <f>IF(A258="","",BASE_CAIXA!I255)</f>
        <v>0</v>
      </c>
      <c r="L258" s="26">
        <f>IF(A258="","",BASE_CAIXA!J255)</f>
        <v>0</v>
      </c>
      <c r="M258" s="26" t="str">
        <f>IF(A258="","",BASE_CAIXA!AM255)</f>
        <v>Argamassa colante AC I - Saco 20 Kg | Argamassa colante AC I</v>
      </c>
      <c r="N258" s="26" t="str">
        <f t="shared" ca="1" si="9"/>
        <v>Previsto</v>
      </c>
      <c r="O258" s="13" t="str">
        <f>IFERROR(INDEX(EXTRATO_IMPORTADO!$A$5:$A$404,MATCH(B258,EXTRATO_IMPORTADO!$I$5:$I$404,0)),"")</f>
        <v/>
      </c>
      <c r="P258" s="14" t="str">
        <f>IFERROR(INDEX(EXTRATO_IMPORTADO!$F$5:$F$404,MATCH(B258,EXTRATO_IMPORTADO!$I$5:$I$404,0)),"")</f>
        <v/>
      </c>
      <c r="Q258" s="26" t="str">
        <f>IFERROR(INDEX(EXTRATO_IMPORTADO!$B$5:$B$404,MATCH(B258,EXTRATO_IMPORTADO!$I$5:$I$404,0)),"")</f>
        <v/>
      </c>
      <c r="R258" s="26" t="str">
        <f>IFERROR(MATCH(B258,EXTRATO_IMPORTADO!$I$5:$I$404,0),"")</f>
        <v/>
      </c>
      <c r="S258" s="14" t="str">
        <f t="shared" si="10"/>
        <v/>
      </c>
      <c r="T258" s="33" t="str">
        <f t="shared" si="11"/>
        <v/>
      </c>
    </row>
    <row r="259" spans="1:20" x14ac:dyDescent="0.3">
      <c r="A259" s="26">
        <f>IF(BASE_CAIXA!A256="","",BASE_CAIXA!A256)</f>
        <v>255</v>
      </c>
      <c r="B259" s="26" t="str">
        <f>IF(A259="","",BASE_CAIXA!AL256)</f>
        <v>000255-DB</v>
      </c>
      <c r="C259" s="13">
        <f>IF(A259="","",BASE_CAIXA!AJ256)</f>
        <v>46171</v>
      </c>
      <c r="D259" s="26" t="str">
        <f>IF(A259="","",IF(BASE_CAIXA!C256="Entrada","Crédito","Débito"))</f>
        <v>Débito</v>
      </c>
      <c r="E259" s="14">
        <f>IF(A259="","",BASE_CAIXA!AA256)</f>
        <v>134.4</v>
      </c>
      <c r="F259" s="26">
        <f>IF(A259="","",BASE_CAIXA!N256)</f>
        <v>0</v>
      </c>
      <c r="G259" s="26">
        <f>IF(A259="","",BASE_CAIXA!O256)</f>
        <v>0</v>
      </c>
      <c r="H259" s="26">
        <f>IF(A259="","",BASE_CAIXA!P256)</f>
        <v>0</v>
      </c>
      <c r="I259" s="26" t="str">
        <f>IF(A259="","",IF(BASE_CAIXA!H256&lt;&gt;"",BASE_CAIXA!H256,BASE_CAIXA!G256))</f>
        <v>Espaçador cruzeta - 5mm (pacote com 100 unid)</v>
      </c>
      <c r="J259" s="26" t="str">
        <f>IF(A259="","",BASE_CAIXA!G256)</f>
        <v>Espaçador cruzeta - 5mm (pacote com 100 unid)</v>
      </c>
      <c r="K259" s="26">
        <f>IF(A259="","",BASE_CAIXA!I256)</f>
        <v>0</v>
      </c>
      <c r="L259" s="26">
        <f>IF(A259="","",BASE_CAIXA!J256)</f>
        <v>0</v>
      </c>
      <c r="M259" s="26" t="str">
        <f>IF(A259="","",BASE_CAIXA!AM256)</f>
        <v>Espaçador cruzeta - 5mm (pacote com 100 unid) | Espaçador cr</v>
      </c>
      <c r="N259" s="26" t="str">
        <f t="shared" ca="1" si="9"/>
        <v>Previsto</v>
      </c>
      <c r="O259" s="13" t="str">
        <f>IFERROR(INDEX(EXTRATO_IMPORTADO!$A$5:$A$404,MATCH(B259,EXTRATO_IMPORTADO!$I$5:$I$404,0)),"")</f>
        <v/>
      </c>
      <c r="P259" s="14" t="str">
        <f>IFERROR(INDEX(EXTRATO_IMPORTADO!$F$5:$F$404,MATCH(B259,EXTRATO_IMPORTADO!$I$5:$I$404,0)),"")</f>
        <v/>
      </c>
      <c r="Q259" s="26" t="str">
        <f>IFERROR(INDEX(EXTRATO_IMPORTADO!$B$5:$B$404,MATCH(B259,EXTRATO_IMPORTADO!$I$5:$I$404,0)),"")</f>
        <v/>
      </c>
      <c r="R259" s="26" t="str">
        <f>IFERROR(MATCH(B259,EXTRATO_IMPORTADO!$I$5:$I$404,0),"")</f>
        <v/>
      </c>
      <c r="S259" s="14" t="str">
        <f t="shared" si="10"/>
        <v/>
      </c>
      <c r="T259" s="33" t="str">
        <f t="shared" si="11"/>
        <v/>
      </c>
    </row>
    <row r="260" spans="1:20" x14ac:dyDescent="0.3">
      <c r="A260" s="26">
        <f>IF(BASE_CAIXA!A257="","",BASE_CAIXA!A257)</f>
        <v>256</v>
      </c>
      <c r="B260" s="26" t="str">
        <f>IF(A260="","",BASE_CAIXA!AL257)</f>
        <v>000256-DB</v>
      </c>
      <c r="C260" s="13">
        <f>IF(A260="","",BASE_CAIXA!AJ257)</f>
        <v>46171</v>
      </c>
      <c r="D260" s="26" t="str">
        <f>IF(A260="","",IF(BASE_CAIXA!C257="Entrada","Crédito","Débito"))</f>
        <v>Débito</v>
      </c>
      <c r="E260" s="14">
        <f>IF(A260="","",BASE_CAIXA!AA257)</f>
        <v>17835.599999999999</v>
      </c>
      <c r="F260" s="26">
        <f>IF(A260="","",BASE_CAIXA!N257)</f>
        <v>0</v>
      </c>
      <c r="G260" s="26">
        <f>IF(A260="","",BASE_CAIXA!O257)</f>
        <v>0</v>
      </c>
      <c r="H260" s="26">
        <f>IF(A260="","",BASE_CAIXA!P257)</f>
        <v>0</v>
      </c>
      <c r="I260" s="26" t="str">
        <f>IF(A260="","",IF(BASE_CAIXA!H257&lt;&gt;"",BASE_CAIXA!H257,BASE_CAIXA!G257))</f>
        <v>Mao de obra terceirizada assentamento Azulejo</v>
      </c>
      <c r="J260" s="26" t="str">
        <f>IF(A260="","",BASE_CAIXA!G257)</f>
        <v>Mao de obra terceirizada assentamento Azulejo</v>
      </c>
      <c r="K260" s="26">
        <f>IF(A260="","",BASE_CAIXA!I257)</f>
        <v>0</v>
      </c>
      <c r="L260" s="26">
        <f>IF(A260="","",BASE_CAIXA!J257)</f>
        <v>0</v>
      </c>
      <c r="M260" s="26" t="str">
        <f>IF(A260="","",BASE_CAIXA!AM257)</f>
        <v xml:space="preserve">Mao de obra terceirizada assentamento Azulejo | Mao de obra </v>
      </c>
      <c r="N260" s="26" t="str">
        <f t="shared" ca="1" si="9"/>
        <v>Previsto</v>
      </c>
      <c r="O260" s="13" t="str">
        <f>IFERROR(INDEX(EXTRATO_IMPORTADO!$A$5:$A$404,MATCH(B260,EXTRATO_IMPORTADO!$I$5:$I$404,0)),"")</f>
        <v/>
      </c>
      <c r="P260" s="14" t="str">
        <f>IFERROR(INDEX(EXTRATO_IMPORTADO!$F$5:$F$404,MATCH(B260,EXTRATO_IMPORTADO!$I$5:$I$404,0)),"")</f>
        <v/>
      </c>
      <c r="Q260" s="26" t="str">
        <f>IFERROR(INDEX(EXTRATO_IMPORTADO!$B$5:$B$404,MATCH(B260,EXTRATO_IMPORTADO!$I$5:$I$404,0)),"")</f>
        <v/>
      </c>
      <c r="R260" s="26" t="str">
        <f>IFERROR(MATCH(B260,EXTRATO_IMPORTADO!$I$5:$I$404,0),"")</f>
        <v/>
      </c>
      <c r="S260" s="14" t="str">
        <f t="shared" si="10"/>
        <v/>
      </c>
      <c r="T260" s="33" t="str">
        <f t="shared" si="11"/>
        <v/>
      </c>
    </row>
    <row r="261" spans="1:20" x14ac:dyDescent="0.3">
      <c r="A261" s="26">
        <f>IF(BASE_CAIXA!A258="","",BASE_CAIXA!A258)</f>
        <v>257</v>
      </c>
      <c r="B261" s="26" t="str">
        <f>IF(A261="","",BASE_CAIXA!AL258)</f>
        <v>000257-DB</v>
      </c>
      <c r="C261" s="13">
        <f>IF(A261="","",BASE_CAIXA!AJ258)</f>
        <v>46171</v>
      </c>
      <c r="D261" s="26" t="str">
        <f>IF(A261="","",IF(BASE_CAIXA!C258="Entrada","Crédito","Débito"))</f>
        <v>Débito</v>
      </c>
      <c r="E261" s="14">
        <f>IF(A261="","",BASE_CAIXA!AA258)</f>
        <v>1104</v>
      </c>
      <c r="F261" s="26">
        <f>IF(A261="","",BASE_CAIXA!N258)</f>
        <v>0</v>
      </c>
      <c r="G261" s="26">
        <f>IF(A261="","",BASE_CAIXA!O258)</f>
        <v>0</v>
      </c>
      <c r="H261" s="26">
        <f>IF(A261="","",BASE_CAIXA!P258)</f>
        <v>0</v>
      </c>
      <c r="I261" s="26" t="str">
        <f>IF(A261="","",IF(BASE_CAIXA!H258&lt;&gt;"",BASE_CAIXA!H258,BASE_CAIXA!G258))</f>
        <v>Rejunte cimenticio</v>
      </c>
      <c r="J261" s="26" t="str">
        <f>IF(A261="","",BASE_CAIXA!G258)</f>
        <v>Rejunte cimenticio</v>
      </c>
      <c r="K261" s="26">
        <f>IF(A261="","",BASE_CAIXA!I258)</f>
        <v>0</v>
      </c>
      <c r="L261" s="26">
        <f>IF(A261="","",BASE_CAIXA!J258)</f>
        <v>0</v>
      </c>
      <c r="M261" s="26" t="str">
        <f>IF(A261="","",BASE_CAIXA!AM258)</f>
        <v>Rejunte cimenticio | Rejunte cimenticio | Saída | AZULEJOS</v>
      </c>
      <c r="N261" s="26" t="str">
        <f t="shared" ref="N261:N324" ca="1" si="12">IF(A261="","",IF(R261&lt;&gt;"",IF(AND(ABS(S261)&lt;=0.01,ABS(T261)&lt;=3),"Conciliado","Divergente"),IF(TODAY()&gt;C261,"Pendente vencido","Previsto")))</f>
        <v>Previsto</v>
      </c>
      <c r="O261" s="13" t="str">
        <f>IFERROR(INDEX(EXTRATO_IMPORTADO!$A$5:$A$404,MATCH(B261,EXTRATO_IMPORTADO!$I$5:$I$404,0)),"")</f>
        <v/>
      </c>
      <c r="P261" s="14" t="str">
        <f>IFERROR(INDEX(EXTRATO_IMPORTADO!$F$5:$F$404,MATCH(B261,EXTRATO_IMPORTADO!$I$5:$I$404,0)),"")</f>
        <v/>
      </c>
      <c r="Q261" s="26" t="str">
        <f>IFERROR(INDEX(EXTRATO_IMPORTADO!$B$5:$B$404,MATCH(B261,EXTRATO_IMPORTADO!$I$5:$I$404,0)),"")</f>
        <v/>
      </c>
      <c r="R261" s="26" t="str">
        <f>IFERROR(MATCH(B261,EXTRATO_IMPORTADO!$I$5:$I$404,0),"")</f>
        <v/>
      </c>
      <c r="S261" s="14" t="str">
        <f t="shared" ref="S261:S324" si="13">IF(OR(A261="",P261=""),"",P261-E261)</f>
        <v/>
      </c>
      <c r="T261" s="33" t="str">
        <f t="shared" ref="T261:T324" si="14">IF(OR(A261="",O261=""),"",O261-C261)</f>
        <v/>
      </c>
    </row>
    <row r="262" spans="1:20" x14ac:dyDescent="0.3">
      <c r="A262" s="26">
        <f>IF(BASE_CAIXA!A259="","",BASE_CAIXA!A259)</f>
        <v>258</v>
      </c>
      <c r="B262" s="26" t="str">
        <f>IF(A262="","",BASE_CAIXA!AL259)</f>
        <v>000258-DB</v>
      </c>
      <c r="C262" s="13">
        <f>IF(A262="","",BASE_CAIXA!AJ259)</f>
        <v>46171</v>
      </c>
      <c r="D262" s="26" t="str">
        <f>IF(A262="","",IF(BASE_CAIXA!C259="Entrada","Crédito","Débito"))</f>
        <v>Débito</v>
      </c>
      <c r="E262" s="14">
        <f>IF(A262="","",BASE_CAIXA!AA259)</f>
        <v>7834.9920000000011</v>
      </c>
      <c r="F262" s="26">
        <f>IF(A262="","",BASE_CAIXA!N259)</f>
        <v>0</v>
      </c>
      <c r="G262" s="26">
        <f>IF(A262="","",BASE_CAIXA!O259)</f>
        <v>0</v>
      </c>
      <c r="H262" s="26">
        <f>IF(A262="","",BASE_CAIXA!P259)</f>
        <v>0</v>
      </c>
      <c r="I262" s="26" t="str">
        <f>IF(A262="","",IF(BASE_CAIXA!H259&lt;&gt;"",BASE_CAIXA!H259,BASE_CAIXA!G259))</f>
        <v>Revestimento Cerâmico PEI II - 20 X 20, cor,  (perda 10%)</v>
      </c>
      <c r="J262" s="26" t="str">
        <f>IF(A262="","",BASE_CAIXA!G259)</f>
        <v>Revestimento Cerâmico PEI II - 20 X 20, cor,  (perda 10%)</v>
      </c>
      <c r="K262" s="26">
        <f>IF(A262="","",BASE_CAIXA!I259)</f>
        <v>0</v>
      </c>
      <c r="L262" s="26">
        <f>IF(A262="","",BASE_CAIXA!J259)</f>
        <v>0</v>
      </c>
      <c r="M262" s="26" t="str">
        <f>IF(A262="","",BASE_CAIXA!AM259)</f>
        <v xml:space="preserve">Revestimento Cerâmico PEI II - 20 X 20, cor,  (perda 10%) | </v>
      </c>
      <c r="N262" s="26" t="str">
        <f t="shared" ca="1" si="12"/>
        <v>Previsto</v>
      </c>
      <c r="O262" s="13" t="str">
        <f>IFERROR(INDEX(EXTRATO_IMPORTADO!$A$5:$A$404,MATCH(B262,EXTRATO_IMPORTADO!$I$5:$I$404,0)),"")</f>
        <v/>
      </c>
      <c r="P262" s="14" t="str">
        <f>IFERROR(INDEX(EXTRATO_IMPORTADO!$F$5:$F$404,MATCH(B262,EXTRATO_IMPORTADO!$I$5:$I$404,0)),"")</f>
        <v/>
      </c>
      <c r="Q262" s="26" t="str">
        <f>IFERROR(INDEX(EXTRATO_IMPORTADO!$B$5:$B$404,MATCH(B262,EXTRATO_IMPORTADO!$I$5:$I$404,0)),"")</f>
        <v/>
      </c>
      <c r="R262" s="26" t="str">
        <f>IFERROR(MATCH(B262,EXTRATO_IMPORTADO!$I$5:$I$404,0),"")</f>
        <v/>
      </c>
      <c r="S262" s="14" t="str">
        <f t="shared" si="13"/>
        <v/>
      </c>
      <c r="T262" s="33" t="str">
        <f t="shared" si="14"/>
        <v/>
      </c>
    </row>
    <row r="263" spans="1:20" x14ac:dyDescent="0.3">
      <c r="A263" s="26">
        <f>IF(BASE_CAIXA!A260="","",BASE_CAIXA!A260)</f>
        <v>259</v>
      </c>
      <c r="B263" s="26" t="str">
        <f>IF(A263="","",BASE_CAIXA!AL260)</f>
        <v>000259-DB</v>
      </c>
      <c r="C263" s="13">
        <f>IF(A263="","",BASE_CAIXA!AJ260)</f>
        <v>46171</v>
      </c>
      <c r="D263" s="26" t="str">
        <f>IF(A263="","",IF(BASE_CAIXA!C260="Entrada","Crédito","Débito"))</f>
        <v>Débito</v>
      </c>
      <c r="E263" s="14">
        <f>IF(A263="","",BASE_CAIXA!AA260)</f>
        <v>285.12</v>
      </c>
      <c r="F263" s="26">
        <f>IF(A263="","",BASE_CAIXA!N260)</f>
        <v>0</v>
      </c>
      <c r="G263" s="26">
        <f>IF(A263="","",BASE_CAIXA!O260)</f>
        <v>0</v>
      </c>
      <c r="H263" s="26">
        <f>IF(A263="","",BASE_CAIXA!P260)</f>
        <v>0</v>
      </c>
      <c r="I263" s="26" t="str">
        <f>IF(A263="","",IF(BASE_CAIXA!H260&lt;&gt;"",BASE_CAIXA!H260,BASE_CAIXA!G260))</f>
        <v>Adaptador soldável flange 25mm 3/4</v>
      </c>
      <c r="J263" s="26" t="str">
        <f>IF(A263="","",BASE_CAIXA!G260)</f>
        <v>Adaptador soldável flange 25mm 3/4</v>
      </c>
      <c r="K263" s="26">
        <f>IF(A263="","",BASE_CAIXA!I260)</f>
        <v>0</v>
      </c>
      <c r="L263" s="26">
        <f>IF(A263="","",BASE_CAIXA!J260)</f>
        <v>0</v>
      </c>
      <c r="M263" s="26" t="str">
        <f>IF(A263="","",BASE_CAIXA!AM260)</f>
        <v>Adaptador soldável flange 25mm 3/4 | Adaptador soldável flan</v>
      </c>
      <c r="N263" s="26" t="str">
        <f t="shared" ca="1" si="12"/>
        <v>Previsto</v>
      </c>
      <c r="O263" s="13" t="str">
        <f>IFERROR(INDEX(EXTRATO_IMPORTADO!$A$5:$A$404,MATCH(B263,EXTRATO_IMPORTADO!$I$5:$I$404,0)),"")</f>
        <v/>
      </c>
      <c r="P263" s="14" t="str">
        <f>IFERROR(INDEX(EXTRATO_IMPORTADO!$F$5:$F$404,MATCH(B263,EXTRATO_IMPORTADO!$I$5:$I$404,0)),"")</f>
        <v/>
      </c>
      <c r="Q263" s="26" t="str">
        <f>IFERROR(INDEX(EXTRATO_IMPORTADO!$B$5:$B$404,MATCH(B263,EXTRATO_IMPORTADO!$I$5:$I$404,0)),"")</f>
        <v/>
      </c>
      <c r="R263" s="26" t="str">
        <f>IFERROR(MATCH(B263,EXTRATO_IMPORTADO!$I$5:$I$404,0),"")</f>
        <v/>
      </c>
      <c r="S263" s="14" t="str">
        <f t="shared" si="13"/>
        <v/>
      </c>
      <c r="T263" s="33" t="str">
        <f t="shared" si="14"/>
        <v/>
      </c>
    </row>
    <row r="264" spans="1:20" x14ac:dyDescent="0.3">
      <c r="A264" s="26">
        <f>IF(BASE_CAIXA!A261="","",BASE_CAIXA!A261)</f>
        <v>260</v>
      </c>
      <c r="B264" s="26" t="str">
        <f>IF(A264="","",BASE_CAIXA!AL261)</f>
        <v>000260-DB</v>
      </c>
      <c r="C264" s="13">
        <f>IF(A264="","",BASE_CAIXA!AJ261)</f>
        <v>46171</v>
      </c>
      <c r="D264" s="26" t="str">
        <f>IF(A264="","",IF(BASE_CAIXA!C261="Entrada","Crédito","Débito"))</f>
        <v>Débito</v>
      </c>
      <c r="E264" s="14">
        <f>IF(A264="","",BASE_CAIXA!AA261)</f>
        <v>555.24480000000005</v>
      </c>
      <c r="F264" s="26">
        <f>IF(A264="","",BASE_CAIXA!N261)</f>
        <v>0</v>
      </c>
      <c r="G264" s="26">
        <f>IF(A264="","",BASE_CAIXA!O261)</f>
        <v>0</v>
      </c>
      <c r="H264" s="26">
        <f>IF(A264="","",BASE_CAIXA!P261)</f>
        <v>0</v>
      </c>
      <c r="I264" s="26" t="str">
        <f>IF(A264="","",IF(BASE_CAIXA!H261&lt;&gt;"",BASE_CAIXA!H261,BASE_CAIXA!G261))</f>
        <v>Adaptador soldável flange 32 mm</v>
      </c>
      <c r="J264" s="26" t="str">
        <f>IF(A264="","",BASE_CAIXA!G261)</f>
        <v>Adaptador soldável flange 32 mm</v>
      </c>
      <c r="K264" s="26">
        <f>IF(A264="","",BASE_CAIXA!I261)</f>
        <v>0</v>
      </c>
      <c r="L264" s="26">
        <f>IF(A264="","",BASE_CAIXA!J261)</f>
        <v>0</v>
      </c>
      <c r="M264" s="26" t="str">
        <f>IF(A264="","",BASE_CAIXA!AM261)</f>
        <v xml:space="preserve">Adaptador soldável flange 32 mm | Adaptador soldável flange </v>
      </c>
      <c r="N264" s="26" t="str">
        <f t="shared" ca="1" si="12"/>
        <v>Previsto</v>
      </c>
      <c r="O264" s="13" t="str">
        <f>IFERROR(INDEX(EXTRATO_IMPORTADO!$A$5:$A$404,MATCH(B264,EXTRATO_IMPORTADO!$I$5:$I$404,0)),"")</f>
        <v/>
      </c>
      <c r="P264" s="14" t="str">
        <f>IFERROR(INDEX(EXTRATO_IMPORTADO!$F$5:$F$404,MATCH(B264,EXTRATO_IMPORTADO!$I$5:$I$404,0)),"")</f>
        <v/>
      </c>
      <c r="Q264" s="26" t="str">
        <f>IFERROR(INDEX(EXTRATO_IMPORTADO!$B$5:$B$404,MATCH(B264,EXTRATO_IMPORTADO!$I$5:$I$404,0)),"")</f>
        <v/>
      </c>
      <c r="R264" s="26" t="str">
        <f>IFERROR(MATCH(B264,EXTRATO_IMPORTADO!$I$5:$I$404,0),"")</f>
        <v/>
      </c>
      <c r="S264" s="14" t="str">
        <f t="shared" si="13"/>
        <v/>
      </c>
      <c r="T264" s="33" t="str">
        <f t="shared" si="14"/>
        <v/>
      </c>
    </row>
    <row r="265" spans="1:20" x14ac:dyDescent="0.3">
      <c r="A265" s="26">
        <f>IF(BASE_CAIXA!A262="","",BASE_CAIXA!A262)</f>
        <v>261</v>
      </c>
      <c r="B265" s="26" t="str">
        <f>IF(A265="","",BASE_CAIXA!AL262)</f>
        <v>000261-DB</v>
      </c>
      <c r="C265" s="13">
        <f>IF(A265="","",BASE_CAIXA!AJ262)</f>
        <v>46171</v>
      </c>
      <c r="D265" s="26" t="str">
        <f>IF(A265="","",IF(BASE_CAIXA!C262="Entrada","Crédito","Débito"))</f>
        <v>Débito</v>
      </c>
      <c r="E265" s="14">
        <f>IF(A265="","",BASE_CAIXA!AA262)</f>
        <v>33.792000000000002</v>
      </c>
      <c r="F265" s="26">
        <f>IF(A265="","",BASE_CAIXA!N262)</f>
        <v>0</v>
      </c>
      <c r="G265" s="26">
        <f>IF(A265="","",BASE_CAIXA!O262)</f>
        <v>0</v>
      </c>
      <c r="H265" s="26">
        <f>IF(A265="","",BASE_CAIXA!P262)</f>
        <v>0</v>
      </c>
      <c r="I265" s="26" t="str">
        <f>IF(A265="","",IF(BASE_CAIXA!H262&lt;&gt;"",BASE_CAIXA!H262,BASE_CAIXA!G262))</f>
        <v>Bucha de redução soldável curta 32mm x 25mm</v>
      </c>
      <c r="J265" s="26" t="str">
        <f>IF(A265="","",BASE_CAIXA!G262)</f>
        <v>Bucha de redução soldável curta 32mm x 25mm</v>
      </c>
      <c r="K265" s="26">
        <f>IF(A265="","",BASE_CAIXA!I262)</f>
        <v>0</v>
      </c>
      <c r="L265" s="26">
        <f>IF(A265="","",BASE_CAIXA!J262)</f>
        <v>0</v>
      </c>
      <c r="M265" s="26" t="str">
        <f>IF(A265="","",BASE_CAIXA!AM262)</f>
        <v>Bucha de redução soldável curta 32mm x 25mm | Bucha de reduç</v>
      </c>
      <c r="N265" s="26" t="str">
        <f t="shared" ca="1" si="12"/>
        <v>Previsto</v>
      </c>
      <c r="O265" s="13" t="str">
        <f>IFERROR(INDEX(EXTRATO_IMPORTADO!$A$5:$A$404,MATCH(B265,EXTRATO_IMPORTADO!$I$5:$I$404,0)),"")</f>
        <v/>
      </c>
      <c r="P265" s="14" t="str">
        <f>IFERROR(INDEX(EXTRATO_IMPORTADO!$F$5:$F$404,MATCH(B265,EXTRATO_IMPORTADO!$I$5:$I$404,0)),"")</f>
        <v/>
      </c>
      <c r="Q265" s="26" t="str">
        <f>IFERROR(INDEX(EXTRATO_IMPORTADO!$B$5:$B$404,MATCH(B265,EXTRATO_IMPORTADO!$I$5:$I$404,0)),"")</f>
        <v/>
      </c>
      <c r="R265" s="26" t="str">
        <f>IFERROR(MATCH(B265,EXTRATO_IMPORTADO!$I$5:$I$404,0),"")</f>
        <v/>
      </c>
      <c r="S265" s="14" t="str">
        <f t="shared" si="13"/>
        <v/>
      </c>
      <c r="T265" s="33" t="str">
        <f t="shared" si="14"/>
        <v/>
      </c>
    </row>
    <row r="266" spans="1:20" x14ac:dyDescent="0.3">
      <c r="A266" s="26">
        <f>IF(BASE_CAIXA!A263="","",BASE_CAIXA!A263)</f>
        <v>262</v>
      </c>
      <c r="B266" s="26" t="str">
        <f>IF(A266="","",BASE_CAIXA!AL263)</f>
        <v>000262-DB</v>
      </c>
      <c r="C266" s="13">
        <f>IF(A266="","",BASE_CAIXA!AJ263)</f>
        <v>46171</v>
      </c>
      <c r="D266" s="26" t="str">
        <f>IF(A266="","",IF(BASE_CAIXA!C263="Entrada","Crédito","Débito"))</f>
        <v>Débito</v>
      </c>
      <c r="E266" s="14">
        <f>IF(A266="","",BASE_CAIXA!AA263)</f>
        <v>5066.6880000000001</v>
      </c>
      <c r="F266" s="26">
        <f>IF(A266="","",BASE_CAIXA!N263)</f>
        <v>0</v>
      </c>
      <c r="G266" s="26">
        <f>IF(A266="","",BASE_CAIXA!O263)</f>
        <v>0</v>
      </c>
      <c r="H266" s="26">
        <f>IF(A266="","",BASE_CAIXA!P263)</f>
        <v>0</v>
      </c>
      <c r="I266" s="26" t="str">
        <f>IF(A266="","",IF(BASE_CAIXA!H263&lt;&gt;"",BASE_CAIXA!H263,BASE_CAIXA!G263))</f>
        <v>Caixa D'Água Polietileno 500 Litros - FORTLEV</v>
      </c>
      <c r="J266" s="26" t="str">
        <f>IF(A266="","",BASE_CAIXA!G263)</f>
        <v>Caixa D'Água Polietileno 500 Litros - FORTLEV</v>
      </c>
      <c r="K266" s="26">
        <f>IF(A266="","",BASE_CAIXA!I263)</f>
        <v>0</v>
      </c>
      <c r="L266" s="26">
        <f>IF(A266="","",BASE_CAIXA!J263)</f>
        <v>0</v>
      </c>
      <c r="M266" s="26" t="str">
        <f>IF(A266="","",BASE_CAIXA!AM263)</f>
        <v>Caixa D'Água Polietileno 500 Litros - FORTLEV | Caixa D'Água</v>
      </c>
      <c r="N266" s="26" t="str">
        <f t="shared" ca="1" si="12"/>
        <v>Previsto</v>
      </c>
      <c r="O266" s="13" t="str">
        <f>IFERROR(INDEX(EXTRATO_IMPORTADO!$A$5:$A$404,MATCH(B266,EXTRATO_IMPORTADO!$I$5:$I$404,0)),"")</f>
        <v/>
      </c>
      <c r="P266" s="14" t="str">
        <f>IFERROR(INDEX(EXTRATO_IMPORTADO!$F$5:$F$404,MATCH(B266,EXTRATO_IMPORTADO!$I$5:$I$404,0)),"")</f>
        <v/>
      </c>
      <c r="Q266" s="26" t="str">
        <f>IFERROR(INDEX(EXTRATO_IMPORTADO!$B$5:$B$404,MATCH(B266,EXTRATO_IMPORTADO!$I$5:$I$404,0)),"")</f>
        <v/>
      </c>
      <c r="R266" s="26" t="str">
        <f>IFERROR(MATCH(B266,EXTRATO_IMPORTADO!$I$5:$I$404,0),"")</f>
        <v/>
      </c>
      <c r="S266" s="14" t="str">
        <f t="shared" si="13"/>
        <v/>
      </c>
      <c r="T266" s="33" t="str">
        <f t="shared" si="14"/>
        <v/>
      </c>
    </row>
    <row r="267" spans="1:20" x14ac:dyDescent="0.3">
      <c r="A267" s="26">
        <f>IF(BASE_CAIXA!A264="","",BASE_CAIXA!A264)</f>
        <v>263</v>
      </c>
      <c r="B267" s="26" t="str">
        <f>IF(A267="","",BASE_CAIXA!AL264)</f>
        <v>000263-DB</v>
      </c>
      <c r="C267" s="13">
        <f>IF(A267="","",BASE_CAIXA!AJ264)</f>
        <v>46171</v>
      </c>
      <c r="D267" s="26" t="str">
        <f>IF(A267="","",IF(BASE_CAIXA!C264="Entrada","Crédito","Débito"))</f>
        <v>Débito</v>
      </c>
      <c r="E267" s="14">
        <f>IF(A267="","",BASE_CAIXA!AA264)</f>
        <v>94.406400000000005</v>
      </c>
      <c r="F267" s="26">
        <f>IF(A267="","",BASE_CAIXA!N264)</f>
        <v>0</v>
      </c>
      <c r="G267" s="26">
        <f>IF(A267="","",BASE_CAIXA!O264)</f>
        <v>0</v>
      </c>
      <c r="H267" s="26">
        <f>IF(A267="","",BASE_CAIXA!P264)</f>
        <v>0</v>
      </c>
      <c r="I267" s="26" t="str">
        <f>IF(A267="","",IF(BASE_CAIXA!H264&lt;&gt;"",BASE_CAIXA!H264,BASE_CAIXA!G264))</f>
        <v>Cola Pincel 175 g</v>
      </c>
      <c r="J267" s="26" t="str">
        <f>IF(A267="","",BASE_CAIXA!G264)</f>
        <v>Cola Pincel 175 g</v>
      </c>
      <c r="K267" s="26">
        <f>IF(A267="","",BASE_CAIXA!I264)</f>
        <v>0</v>
      </c>
      <c r="L267" s="26">
        <f>IF(A267="","",BASE_CAIXA!J264)</f>
        <v>0</v>
      </c>
      <c r="M267" s="26" t="str">
        <f>IF(A267="","",BASE_CAIXA!AM264)</f>
        <v>Cola Pincel 175 g | Cola Pincel 175 g | Saída | CAIXA D'ÁGUA</v>
      </c>
      <c r="N267" s="26" t="str">
        <f t="shared" ca="1" si="12"/>
        <v>Previsto</v>
      </c>
      <c r="O267" s="13" t="str">
        <f>IFERROR(INDEX(EXTRATO_IMPORTADO!$A$5:$A$404,MATCH(B267,EXTRATO_IMPORTADO!$I$5:$I$404,0)),"")</f>
        <v/>
      </c>
      <c r="P267" s="14" t="str">
        <f>IFERROR(INDEX(EXTRATO_IMPORTADO!$F$5:$F$404,MATCH(B267,EXTRATO_IMPORTADO!$I$5:$I$404,0)),"")</f>
        <v/>
      </c>
      <c r="Q267" s="26" t="str">
        <f>IFERROR(INDEX(EXTRATO_IMPORTADO!$B$5:$B$404,MATCH(B267,EXTRATO_IMPORTADO!$I$5:$I$404,0)),"")</f>
        <v/>
      </c>
      <c r="R267" s="26" t="str">
        <f>IFERROR(MATCH(B267,EXTRATO_IMPORTADO!$I$5:$I$404,0),"")</f>
        <v/>
      </c>
      <c r="S267" s="14" t="str">
        <f t="shared" si="13"/>
        <v/>
      </c>
      <c r="T267" s="33" t="str">
        <f t="shared" si="14"/>
        <v/>
      </c>
    </row>
    <row r="268" spans="1:20" x14ac:dyDescent="0.3">
      <c r="A268" s="26">
        <f>IF(BASE_CAIXA!A265="","",BASE_CAIXA!A265)</f>
        <v>264</v>
      </c>
      <c r="B268" s="26" t="str">
        <f>IF(A268="","",BASE_CAIXA!AL265)</f>
        <v>000264-DB</v>
      </c>
      <c r="C268" s="13">
        <f>IF(A268="","",BASE_CAIXA!AJ265)</f>
        <v>46171</v>
      </c>
      <c r="D268" s="26" t="str">
        <f>IF(A268="","",IF(BASE_CAIXA!C265="Entrada","Crédito","Débito"))</f>
        <v>Débito</v>
      </c>
      <c r="E268" s="14">
        <f>IF(A268="","",BASE_CAIXA!AA265)</f>
        <v>69.062399999999997</v>
      </c>
      <c r="F268" s="26">
        <f>IF(A268="","",BASE_CAIXA!N265)</f>
        <v>0</v>
      </c>
      <c r="G268" s="26">
        <f>IF(A268="","",BASE_CAIXA!O265)</f>
        <v>0</v>
      </c>
      <c r="H268" s="26">
        <f>IF(A268="","",BASE_CAIXA!P265)</f>
        <v>0</v>
      </c>
      <c r="I268" s="26" t="str">
        <f>IF(A268="","",IF(BASE_CAIXA!H265&lt;&gt;"",BASE_CAIXA!H265,BASE_CAIXA!G265))</f>
        <v>Curva 90° Soldável 25mm</v>
      </c>
      <c r="J268" s="26" t="str">
        <f>IF(A268="","",BASE_CAIXA!G265)</f>
        <v>Curva 90° Soldável 25mm</v>
      </c>
      <c r="K268" s="26">
        <f>IF(A268="","",BASE_CAIXA!I265)</f>
        <v>0</v>
      </c>
      <c r="L268" s="26">
        <f>IF(A268="","",BASE_CAIXA!J265)</f>
        <v>0</v>
      </c>
      <c r="M268" s="26" t="str">
        <f>IF(A268="","",BASE_CAIXA!AM265)</f>
        <v xml:space="preserve">Curva 90° Soldável 25mm | Curva 90° Soldável 25mm | Saída | </v>
      </c>
      <c r="N268" s="26" t="str">
        <f t="shared" ca="1" si="12"/>
        <v>Previsto</v>
      </c>
      <c r="O268" s="13" t="str">
        <f>IFERROR(INDEX(EXTRATO_IMPORTADO!$A$5:$A$404,MATCH(B268,EXTRATO_IMPORTADO!$I$5:$I$404,0)),"")</f>
        <v/>
      </c>
      <c r="P268" s="14" t="str">
        <f>IFERROR(INDEX(EXTRATO_IMPORTADO!$F$5:$F$404,MATCH(B268,EXTRATO_IMPORTADO!$I$5:$I$404,0)),"")</f>
        <v/>
      </c>
      <c r="Q268" s="26" t="str">
        <f>IFERROR(INDEX(EXTRATO_IMPORTADO!$B$5:$B$404,MATCH(B268,EXTRATO_IMPORTADO!$I$5:$I$404,0)),"")</f>
        <v/>
      </c>
      <c r="R268" s="26" t="str">
        <f>IFERROR(MATCH(B268,EXTRATO_IMPORTADO!$I$5:$I$404,0),"")</f>
        <v/>
      </c>
      <c r="S268" s="14" t="str">
        <f t="shared" si="13"/>
        <v/>
      </c>
      <c r="T268" s="33" t="str">
        <f t="shared" si="14"/>
        <v/>
      </c>
    </row>
    <row r="269" spans="1:20" x14ac:dyDescent="0.3">
      <c r="A269" s="26">
        <f>IF(BASE_CAIXA!A266="","",BASE_CAIXA!A266)</f>
        <v>265</v>
      </c>
      <c r="B269" s="26" t="str">
        <f>IF(A269="","",BASE_CAIXA!AL266)</f>
        <v>000265-DB</v>
      </c>
      <c r="C269" s="13">
        <f>IF(A269="","",BASE_CAIXA!AJ266)</f>
        <v>46171</v>
      </c>
      <c r="D269" s="26" t="str">
        <f>IF(A269="","",IF(BASE_CAIXA!C266="Entrada","Crédito","Débito"))</f>
        <v>Débito</v>
      </c>
      <c r="E269" s="14">
        <f>IF(A269="","",BASE_CAIXA!AA266)</f>
        <v>101.376</v>
      </c>
      <c r="F269" s="26">
        <f>IF(A269="","",BASE_CAIXA!N266)</f>
        <v>0</v>
      </c>
      <c r="G269" s="26">
        <f>IF(A269="","",BASE_CAIXA!O266)</f>
        <v>0</v>
      </c>
      <c r="H269" s="26">
        <f>IF(A269="","",BASE_CAIXA!P266)</f>
        <v>0</v>
      </c>
      <c r="I269" s="26" t="str">
        <f>IF(A269="","",IF(BASE_CAIXA!H266&lt;&gt;"",BASE_CAIXA!H266,BASE_CAIXA!G266))</f>
        <v>Joelho 90 soldavel 25 mm, PVC marrom, água fria</v>
      </c>
      <c r="J269" s="26" t="str">
        <f>IF(A269="","",BASE_CAIXA!G266)</f>
        <v>Joelho 90 soldavel 25 mm, PVC marrom, água fria</v>
      </c>
      <c r="K269" s="26">
        <f>IF(A269="","",BASE_CAIXA!I266)</f>
        <v>0</v>
      </c>
      <c r="L269" s="26">
        <f>IF(A269="","",BASE_CAIXA!J266)</f>
        <v>0</v>
      </c>
      <c r="M269" s="26" t="str">
        <f>IF(A269="","",BASE_CAIXA!AM266)</f>
        <v xml:space="preserve">Joelho 90 soldavel 25 mm, PVC marrom, água fria | Joelho 90 </v>
      </c>
      <c r="N269" s="26" t="str">
        <f t="shared" ca="1" si="12"/>
        <v>Previsto</v>
      </c>
      <c r="O269" s="13" t="str">
        <f>IFERROR(INDEX(EXTRATO_IMPORTADO!$A$5:$A$404,MATCH(B269,EXTRATO_IMPORTADO!$I$5:$I$404,0)),"")</f>
        <v/>
      </c>
      <c r="P269" s="14" t="str">
        <f>IFERROR(INDEX(EXTRATO_IMPORTADO!$F$5:$F$404,MATCH(B269,EXTRATO_IMPORTADO!$I$5:$I$404,0)),"")</f>
        <v/>
      </c>
      <c r="Q269" s="26" t="str">
        <f>IFERROR(INDEX(EXTRATO_IMPORTADO!$B$5:$B$404,MATCH(B269,EXTRATO_IMPORTADO!$I$5:$I$404,0)),"")</f>
        <v/>
      </c>
      <c r="R269" s="26" t="str">
        <f>IFERROR(MATCH(B269,EXTRATO_IMPORTADO!$I$5:$I$404,0),"")</f>
        <v/>
      </c>
      <c r="S269" s="14" t="str">
        <f t="shared" si="13"/>
        <v/>
      </c>
      <c r="T269" s="33" t="str">
        <f t="shared" si="14"/>
        <v/>
      </c>
    </row>
    <row r="270" spans="1:20" x14ac:dyDescent="0.3">
      <c r="A270" s="26">
        <f>IF(BASE_CAIXA!A267="","",BASE_CAIXA!A267)</f>
        <v>266</v>
      </c>
      <c r="B270" s="26" t="str">
        <f>IF(A270="","",BASE_CAIXA!AL267)</f>
        <v>000266-DB</v>
      </c>
      <c r="C270" s="13">
        <f>IF(A270="","",BASE_CAIXA!AJ267)</f>
        <v>46171</v>
      </c>
      <c r="D270" s="26" t="str">
        <f>IF(A270="","",IF(BASE_CAIXA!C267="Entrada","Crédito","Débito"))</f>
        <v>Débito</v>
      </c>
      <c r="E270" s="14">
        <f>IF(A270="","",BASE_CAIXA!AA267)</f>
        <v>112.3584</v>
      </c>
      <c r="F270" s="26">
        <f>IF(A270="","",BASE_CAIXA!N267)</f>
        <v>0</v>
      </c>
      <c r="G270" s="26">
        <f>IF(A270="","",BASE_CAIXA!O267)</f>
        <v>0</v>
      </c>
      <c r="H270" s="26">
        <f>IF(A270="","",BASE_CAIXA!P267)</f>
        <v>0</v>
      </c>
      <c r="I270" s="26" t="str">
        <f>IF(A270="","",IF(BASE_CAIXA!H267&lt;&gt;"",BASE_CAIXA!H267,BASE_CAIXA!G267))</f>
        <v>Joelho 90 soldavel 32 mm, PVC marrom, água fria</v>
      </c>
      <c r="J270" s="26" t="str">
        <f>IF(A270="","",BASE_CAIXA!G267)</f>
        <v>Joelho 90 soldavel 32 mm, PVC marrom, água fria</v>
      </c>
      <c r="K270" s="26">
        <f>IF(A270="","",BASE_CAIXA!I267)</f>
        <v>0</v>
      </c>
      <c r="L270" s="26">
        <f>IF(A270="","",BASE_CAIXA!J267)</f>
        <v>0</v>
      </c>
      <c r="M270" s="26" t="str">
        <f>IF(A270="","",BASE_CAIXA!AM267)</f>
        <v xml:space="preserve">Joelho 90 soldavel 32 mm, PVC marrom, água fria | Joelho 90 </v>
      </c>
      <c r="N270" s="26" t="str">
        <f t="shared" ca="1" si="12"/>
        <v>Previsto</v>
      </c>
      <c r="O270" s="13" t="str">
        <f>IFERROR(INDEX(EXTRATO_IMPORTADO!$A$5:$A$404,MATCH(B270,EXTRATO_IMPORTADO!$I$5:$I$404,0)),"")</f>
        <v/>
      </c>
      <c r="P270" s="14" t="str">
        <f>IFERROR(INDEX(EXTRATO_IMPORTADO!$F$5:$F$404,MATCH(B270,EXTRATO_IMPORTADO!$I$5:$I$404,0)),"")</f>
        <v/>
      </c>
      <c r="Q270" s="26" t="str">
        <f>IFERROR(INDEX(EXTRATO_IMPORTADO!$B$5:$B$404,MATCH(B270,EXTRATO_IMPORTADO!$I$5:$I$404,0)),"")</f>
        <v/>
      </c>
      <c r="R270" s="26" t="str">
        <f>IFERROR(MATCH(B270,EXTRATO_IMPORTADO!$I$5:$I$404,0),"")</f>
        <v/>
      </c>
      <c r="S270" s="14" t="str">
        <f t="shared" si="13"/>
        <v/>
      </c>
      <c r="T270" s="33" t="str">
        <f t="shared" si="14"/>
        <v/>
      </c>
    </row>
    <row r="271" spans="1:20" x14ac:dyDescent="0.3">
      <c r="A271" s="26">
        <f>IF(BASE_CAIXA!A268="","",BASE_CAIXA!A268)</f>
        <v>267</v>
      </c>
      <c r="B271" s="26" t="str">
        <f>IF(A271="","",BASE_CAIXA!AL268)</f>
        <v>000267-DB</v>
      </c>
      <c r="C271" s="13">
        <f>IF(A271="","",BASE_CAIXA!AJ268)</f>
        <v>46171</v>
      </c>
      <c r="D271" s="26" t="str">
        <f>IF(A271="","",IF(BASE_CAIXA!C268="Entrada","Crédito","Débito"))</f>
        <v>Débito</v>
      </c>
      <c r="E271" s="14">
        <f>IF(A271="","",BASE_CAIXA!AA268)</f>
        <v>135.16800000000001</v>
      </c>
      <c r="F271" s="26">
        <f>IF(A271="","",BASE_CAIXA!N268)</f>
        <v>0</v>
      </c>
      <c r="G271" s="26">
        <f>IF(A271="","",BASE_CAIXA!O268)</f>
        <v>0</v>
      </c>
      <c r="H271" s="26">
        <f>IF(A271="","",BASE_CAIXA!P268)</f>
        <v>0</v>
      </c>
      <c r="I271" s="26" t="str">
        <f>IF(A271="","",IF(BASE_CAIXA!H268&lt;&gt;"",BASE_CAIXA!H268,BASE_CAIXA!G268))</f>
        <v>LuvaPVC soldavél - 32 mm</v>
      </c>
      <c r="J271" s="26" t="str">
        <f>IF(A271="","",BASE_CAIXA!G268)</f>
        <v>LuvaPVC soldavél - 32 mm</v>
      </c>
      <c r="K271" s="26">
        <f>IF(A271="","",BASE_CAIXA!I268)</f>
        <v>0</v>
      </c>
      <c r="L271" s="26">
        <f>IF(A271="","",BASE_CAIXA!J268)</f>
        <v>0</v>
      </c>
      <c r="M271" s="26" t="str">
        <f>IF(A271="","",BASE_CAIXA!AM268)</f>
        <v xml:space="preserve">LuvaPVC soldavél - 32 mm | LuvaPVC soldavél - 32 mm | Saída </v>
      </c>
      <c r="N271" s="26" t="str">
        <f t="shared" ca="1" si="12"/>
        <v>Previsto</v>
      </c>
      <c r="O271" s="13" t="str">
        <f>IFERROR(INDEX(EXTRATO_IMPORTADO!$A$5:$A$404,MATCH(B271,EXTRATO_IMPORTADO!$I$5:$I$404,0)),"")</f>
        <v/>
      </c>
      <c r="P271" s="14" t="str">
        <f>IFERROR(INDEX(EXTRATO_IMPORTADO!$F$5:$F$404,MATCH(B271,EXTRATO_IMPORTADO!$I$5:$I$404,0)),"")</f>
        <v/>
      </c>
      <c r="Q271" s="26" t="str">
        <f>IFERROR(INDEX(EXTRATO_IMPORTADO!$B$5:$B$404,MATCH(B271,EXTRATO_IMPORTADO!$I$5:$I$404,0)),"")</f>
        <v/>
      </c>
      <c r="R271" s="26" t="str">
        <f>IFERROR(MATCH(B271,EXTRATO_IMPORTADO!$I$5:$I$404,0),"")</f>
        <v/>
      </c>
      <c r="S271" s="14" t="str">
        <f t="shared" si="13"/>
        <v/>
      </c>
      <c r="T271" s="33" t="str">
        <f t="shared" si="14"/>
        <v/>
      </c>
    </row>
    <row r="272" spans="1:20" x14ac:dyDescent="0.3">
      <c r="A272" s="26">
        <f>IF(BASE_CAIXA!A269="","",BASE_CAIXA!A269)</f>
        <v>268</v>
      </c>
      <c r="B272" s="26" t="str">
        <f>IF(A272="","",BASE_CAIXA!AL269)</f>
        <v>000268-DB</v>
      </c>
      <c r="C272" s="13">
        <f>IF(A272="","",BASE_CAIXA!AJ269)</f>
        <v>46171</v>
      </c>
      <c r="D272" s="26" t="str">
        <f>IF(A272="","",IF(BASE_CAIXA!C269="Entrada","Crédito","Débito"))</f>
        <v>Débito</v>
      </c>
      <c r="E272" s="14">
        <f>IF(A272="","",BASE_CAIXA!AA269)</f>
        <v>485.76</v>
      </c>
      <c r="F272" s="26">
        <f>IF(A272="","",BASE_CAIXA!N269)</f>
        <v>0</v>
      </c>
      <c r="G272" s="26">
        <f>IF(A272="","",BASE_CAIXA!O269)</f>
        <v>0</v>
      </c>
      <c r="H272" s="26">
        <f>IF(A272="","",BASE_CAIXA!P269)</f>
        <v>0</v>
      </c>
      <c r="I272" s="26" t="str">
        <f>IF(A272="","",IF(BASE_CAIXA!H269&lt;&gt;"",BASE_CAIXA!H269,BASE_CAIXA!G269))</f>
        <v>Registro PVC Esfera Borboleta Soldável 25MM</v>
      </c>
      <c r="J272" s="26" t="str">
        <f>IF(A272="","",BASE_CAIXA!G269)</f>
        <v>Registro PVC Esfera Borboleta Soldável 25MM</v>
      </c>
      <c r="K272" s="26">
        <f>IF(A272="","",BASE_CAIXA!I269)</f>
        <v>0</v>
      </c>
      <c r="L272" s="26">
        <f>IF(A272="","",BASE_CAIXA!J269)</f>
        <v>0</v>
      </c>
      <c r="M272" s="26" t="str">
        <f>IF(A272="","",BASE_CAIXA!AM269)</f>
        <v>Registro PVC Esfera Borboleta Soldável 25MM | Registro PVC E</v>
      </c>
      <c r="N272" s="26" t="str">
        <f t="shared" ca="1" si="12"/>
        <v>Previsto</v>
      </c>
      <c r="O272" s="13" t="str">
        <f>IFERROR(INDEX(EXTRATO_IMPORTADO!$A$5:$A$404,MATCH(B272,EXTRATO_IMPORTADO!$I$5:$I$404,0)),"")</f>
        <v/>
      </c>
      <c r="P272" s="14" t="str">
        <f>IFERROR(INDEX(EXTRATO_IMPORTADO!$F$5:$F$404,MATCH(B272,EXTRATO_IMPORTADO!$I$5:$I$404,0)),"")</f>
        <v/>
      </c>
      <c r="Q272" s="26" t="str">
        <f>IFERROR(INDEX(EXTRATO_IMPORTADO!$B$5:$B$404,MATCH(B272,EXTRATO_IMPORTADO!$I$5:$I$404,0)),"")</f>
        <v/>
      </c>
      <c r="R272" s="26" t="str">
        <f>IFERROR(MATCH(B272,EXTRATO_IMPORTADO!$I$5:$I$404,0),"")</f>
        <v/>
      </c>
      <c r="S272" s="14" t="str">
        <f t="shared" si="13"/>
        <v/>
      </c>
      <c r="T272" s="33" t="str">
        <f t="shared" si="14"/>
        <v/>
      </c>
    </row>
    <row r="273" spans="1:20" x14ac:dyDescent="0.3">
      <c r="A273" s="26">
        <f>IF(BASE_CAIXA!A270="","",BASE_CAIXA!A270)</f>
        <v>269</v>
      </c>
      <c r="B273" s="26" t="str">
        <f>IF(A273="","",BASE_CAIXA!AL270)</f>
        <v>000269-DB</v>
      </c>
      <c r="C273" s="13">
        <f>IF(A273="","",BASE_CAIXA!AJ270)</f>
        <v>46171</v>
      </c>
      <c r="D273" s="26" t="str">
        <f>IF(A273="","",IF(BASE_CAIXA!C270="Entrada","Crédito","Débito"))</f>
        <v>Débito</v>
      </c>
      <c r="E273" s="14">
        <f>IF(A273="","",BASE_CAIXA!AA270)</f>
        <v>633.6</v>
      </c>
      <c r="F273" s="26">
        <f>IF(A273="","",BASE_CAIXA!N270)</f>
        <v>0</v>
      </c>
      <c r="G273" s="26">
        <f>IF(A273="","",BASE_CAIXA!O270)</f>
        <v>0</v>
      </c>
      <c r="H273" s="26">
        <f>IF(A273="","",BASE_CAIXA!P270)</f>
        <v>0</v>
      </c>
      <c r="I273" s="26" t="str">
        <f>IF(A273="","",IF(BASE_CAIXA!H270&lt;&gt;"",BASE_CAIXA!H270,BASE_CAIXA!G270))</f>
        <v>Registro PVC Esfera Borboleta Soldável 32MM</v>
      </c>
      <c r="J273" s="26" t="str">
        <f>IF(A273="","",BASE_CAIXA!G270)</f>
        <v>Registro PVC Esfera Borboleta Soldável 32MM</v>
      </c>
      <c r="K273" s="26">
        <f>IF(A273="","",BASE_CAIXA!I270)</f>
        <v>0</v>
      </c>
      <c r="L273" s="26">
        <f>IF(A273="","",BASE_CAIXA!J270)</f>
        <v>0</v>
      </c>
      <c r="M273" s="26" t="str">
        <f>IF(A273="","",BASE_CAIXA!AM270)</f>
        <v>Registro PVC Esfera Borboleta Soldável 32MM | Registro PVC E</v>
      </c>
      <c r="N273" s="26" t="str">
        <f t="shared" ca="1" si="12"/>
        <v>Previsto</v>
      </c>
      <c r="O273" s="13" t="str">
        <f>IFERROR(INDEX(EXTRATO_IMPORTADO!$A$5:$A$404,MATCH(B273,EXTRATO_IMPORTADO!$I$5:$I$404,0)),"")</f>
        <v/>
      </c>
      <c r="P273" s="14" t="str">
        <f>IFERROR(INDEX(EXTRATO_IMPORTADO!$F$5:$F$404,MATCH(B273,EXTRATO_IMPORTADO!$I$5:$I$404,0)),"")</f>
        <v/>
      </c>
      <c r="Q273" s="26" t="str">
        <f>IFERROR(INDEX(EXTRATO_IMPORTADO!$B$5:$B$404,MATCH(B273,EXTRATO_IMPORTADO!$I$5:$I$404,0)),"")</f>
        <v/>
      </c>
      <c r="R273" s="26" t="str">
        <f>IFERROR(MATCH(B273,EXTRATO_IMPORTADO!$I$5:$I$404,0),"")</f>
        <v/>
      </c>
      <c r="S273" s="14" t="str">
        <f t="shared" si="13"/>
        <v/>
      </c>
      <c r="T273" s="33" t="str">
        <f t="shared" si="14"/>
        <v/>
      </c>
    </row>
    <row r="274" spans="1:20" x14ac:dyDescent="0.3">
      <c r="A274" s="26">
        <f>IF(BASE_CAIXA!A271="","",BASE_CAIXA!A271)</f>
        <v>270</v>
      </c>
      <c r="B274" s="26" t="str">
        <f>IF(A274="","",BASE_CAIXA!AL271)</f>
        <v>000270-DB</v>
      </c>
      <c r="C274" s="13">
        <f>IF(A274="","",BASE_CAIXA!AJ271)</f>
        <v>46171</v>
      </c>
      <c r="D274" s="26" t="str">
        <f>IF(A274="","",IF(BASE_CAIXA!C271="Entrada","Crédito","Débito"))</f>
        <v>Débito</v>
      </c>
      <c r="E274" s="14">
        <f>IF(A274="","",BASE_CAIXA!AA271)</f>
        <v>174.4512</v>
      </c>
      <c r="F274" s="26">
        <f>IF(A274="","",BASE_CAIXA!N271)</f>
        <v>0</v>
      </c>
      <c r="G274" s="26">
        <f>IF(A274="","",BASE_CAIXA!O271)</f>
        <v>0</v>
      </c>
      <c r="H274" s="26">
        <f>IF(A274="","",BASE_CAIXA!P271)</f>
        <v>0</v>
      </c>
      <c r="I274" s="26" t="str">
        <f>IF(A274="","",IF(BASE_CAIXA!H271&lt;&gt;"",BASE_CAIXA!H271,BASE_CAIXA!G271))</f>
        <v>TE PVC Soldável 32 MM</v>
      </c>
      <c r="J274" s="26" t="str">
        <f>IF(A274="","",BASE_CAIXA!G271)</f>
        <v>TE PVC Soldável 32 MM</v>
      </c>
      <c r="K274" s="26">
        <f>IF(A274="","",BASE_CAIXA!I271)</f>
        <v>0</v>
      </c>
      <c r="L274" s="26">
        <f>IF(A274="","",BASE_CAIXA!J271)</f>
        <v>0</v>
      </c>
      <c r="M274" s="26" t="str">
        <f>IF(A274="","",BASE_CAIXA!AM271)</f>
        <v>TE PVC Soldável 32 MM | TE PVC Soldável 32 MM | Saída | CAIX</v>
      </c>
      <c r="N274" s="26" t="str">
        <f t="shared" ca="1" si="12"/>
        <v>Previsto</v>
      </c>
      <c r="O274" s="13" t="str">
        <f>IFERROR(INDEX(EXTRATO_IMPORTADO!$A$5:$A$404,MATCH(B274,EXTRATO_IMPORTADO!$I$5:$I$404,0)),"")</f>
        <v/>
      </c>
      <c r="P274" s="14" t="str">
        <f>IFERROR(INDEX(EXTRATO_IMPORTADO!$F$5:$F$404,MATCH(B274,EXTRATO_IMPORTADO!$I$5:$I$404,0)),"")</f>
        <v/>
      </c>
      <c r="Q274" s="26" t="str">
        <f>IFERROR(INDEX(EXTRATO_IMPORTADO!$B$5:$B$404,MATCH(B274,EXTRATO_IMPORTADO!$I$5:$I$404,0)),"")</f>
        <v/>
      </c>
      <c r="R274" s="26" t="str">
        <f>IFERROR(MATCH(B274,EXTRATO_IMPORTADO!$I$5:$I$404,0),"")</f>
        <v/>
      </c>
      <c r="S274" s="14" t="str">
        <f t="shared" si="13"/>
        <v/>
      </c>
      <c r="T274" s="33" t="str">
        <f t="shared" si="14"/>
        <v/>
      </c>
    </row>
    <row r="275" spans="1:20" x14ac:dyDescent="0.3">
      <c r="A275" s="26">
        <f>IF(BASE_CAIXA!A272="","",BASE_CAIXA!A272)</f>
        <v>271</v>
      </c>
      <c r="B275" s="26" t="str">
        <f>IF(A275="","",BASE_CAIXA!AL272)</f>
        <v>000271-DB</v>
      </c>
      <c r="C275" s="13">
        <f>IF(A275="","",BASE_CAIXA!AJ272)</f>
        <v>46171</v>
      </c>
      <c r="D275" s="26" t="str">
        <f>IF(A275="","",IF(BASE_CAIXA!C272="Entrada","Crédito","Débito"))</f>
        <v>Débito</v>
      </c>
      <c r="E275" s="14">
        <f>IF(A275="","",BASE_CAIXA!AA272)</f>
        <v>1592.4480000000001</v>
      </c>
      <c r="F275" s="26">
        <f>IF(A275="","",BASE_CAIXA!N272)</f>
        <v>0</v>
      </c>
      <c r="G275" s="26">
        <f>IF(A275="","",BASE_CAIXA!O272)</f>
        <v>0</v>
      </c>
      <c r="H275" s="26">
        <f>IF(A275="","",BASE_CAIXA!P272)</f>
        <v>0</v>
      </c>
      <c r="I275" s="26" t="str">
        <f>IF(A275="","",IF(BASE_CAIXA!H272&lt;&gt;"",BASE_CAIXA!H272,BASE_CAIXA!G272))</f>
        <v>Torneira Boia PVC Com Balão Plástico Para Caixa D'água 3/4"</v>
      </c>
      <c r="J275" s="26" t="str">
        <f>IF(A275="","",BASE_CAIXA!G272)</f>
        <v>Torneira Boia PVC Com Balão Plástico Para Caixa D'água 3/4"</v>
      </c>
      <c r="K275" s="26">
        <f>IF(A275="","",BASE_CAIXA!I272)</f>
        <v>0</v>
      </c>
      <c r="L275" s="26">
        <f>IF(A275="","",BASE_CAIXA!J272)</f>
        <v>0</v>
      </c>
      <c r="M275" s="26" t="str">
        <f>IF(A275="","",BASE_CAIXA!AM272)</f>
        <v xml:space="preserve">Torneira Boia PVC Com Balão Plástico Para Caixa D'água 3/4" </v>
      </c>
      <c r="N275" s="26" t="str">
        <f t="shared" ca="1" si="12"/>
        <v>Previsto</v>
      </c>
      <c r="O275" s="13" t="str">
        <f>IFERROR(INDEX(EXTRATO_IMPORTADO!$A$5:$A$404,MATCH(B275,EXTRATO_IMPORTADO!$I$5:$I$404,0)),"")</f>
        <v/>
      </c>
      <c r="P275" s="14" t="str">
        <f>IFERROR(INDEX(EXTRATO_IMPORTADO!$F$5:$F$404,MATCH(B275,EXTRATO_IMPORTADO!$I$5:$I$404,0)),"")</f>
        <v/>
      </c>
      <c r="Q275" s="26" t="str">
        <f>IFERROR(INDEX(EXTRATO_IMPORTADO!$B$5:$B$404,MATCH(B275,EXTRATO_IMPORTADO!$I$5:$I$404,0)),"")</f>
        <v/>
      </c>
      <c r="R275" s="26" t="str">
        <f>IFERROR(MATCH(B275,EXTRATO_IMPORTADO!$I$5:$I$404,0),"")</f>
        <v/>
      </c>
      <c r="S275" s="14" t="str">
        <f t="shared" si="13"/>
        <v/>
      </c>
      <c r="T275" s="33" t="str">
        <f t="shared" si="14"/>
        <v/>
      </c>
    </row>
    <row r="276" spans="1:20" x14ac:dyDescent="0.3">
      <c r="A276" s="26">
        <f>IF(BASE_CAIXA!A273="","",BASE_CAIXA!A273)</f>
        <v>272</v>
      </c>
      <c r="B276" s="26" t="str">
        <f>IF(A276="","",BASE_CAIXA!AL273)</f>
        <v>000272-DB</v>
      </c>
      <c r="C276" s="13">
        <f>IF(A276="","",BASE_CAIXA!AJ273)</f>
        <v>46171</v>
      </c>
      <c r="D276" s="26" t="str">
        <f>IF(A276="","",IF(BASE_CAIXA!C273="Entrada","Crédito","Débito"))</f>
        <v>Débito</v>
      </c>
      <c r="E276" s="14">
        <f>IF(A276="","",BASE_CAIXA!AA273)</f>
        <v>853.33248000000015</v>
      </c>
      <c r="F276" s="26">
        <f>IF(A276="","",BASE_CAIXA!N273)</f>
        <v>0</v>
      </c>
      <c r="G276" s="26">
        <f>IF(A276="","",BASE_CAIXA!O273)</f>
        <v>0</v>
      </c>
      <c r="H276" s="26">
        <f>IF(A276="","",BASE_CAIXA!P273)</f>
        <v>0</v>
      </c>
      <c r="I276" s="26" t="str">
        <f>IF(A276="","",IF(BASE_CAIXA!H273&lt;&gt;"",BASE_CAIXA!H273,BASE_CAIXA!G273))</f>
        <v>Tubo DN 25 mm, PVC Rígido Soldável Marrom</v>
      </c>
      <c r="J276" s="26" t="str">
        <f>IF(A276="","",BASE_CAIXA!G273)</f>
        <v>Tubo DN 25 mm, PVC Rígido Soldável Marrom</v>
      </c>
      <c r="K276" s="26">
        <f>IF(A276="","",BASE_CAIXA!I273)</f>
        <v>0</v>
      </c>
      <c r="L276" s="26">
        <f>IF(A276="","",BASE_CAIXA!J273)</f>
        <v>0</v>
      </c>
      <c r="M276" s="26" t="str">
        <f>IF(A276="","",BASE_CAIXA!AM273)</f>
        <v>Tubo DN 25 mm, PVC Rígido Soldável Marrom | Tubo DN 25 mm, P</v>
      </c>
      <c r="N276" s="26" t="str">
        <f t="shared" ca="1" si="12"/>
        <v>Previsto</v>
      </c>
      <c r="O276" s="13" t="str">
        <f>IFERROR(INDEX(EXTRATO_IMPORTADO!$A$5:$A$404,MATCH(B276,EXTRATO_IMPORTADO!$I$5:$I$404,0)),"")</f>
        <v/>
      </c>
      <c r="P276" s="14" t="str">
        <f>IFERROR(INDEX(EXTRATO_IMPORTADO!$F$5:$F$404,MATCH(B276,EXTRATO_IMPORTADO!$I$5:$I$404,0)),"")</f>
        <v/>
      </c>
      <c r="Q276" s="26" t="str">
        <f>IFERROR(INDEX(EXTRATO_IMPORTADO!$B$5:$B$404,MATCH(B276,EXTRATO_IMPORTADO!$I$5:$I$404,0)),"")</f>
        <v/>
      </c>
      <c r="R276" s="26" t="str">
        <f>IFERROR(MATCH(B276,EXTRATO_IMPORTADO!$I$5:$I$404,0),"")</f>
        <v/>
      </c>
      <c r="S276" s="14" t="str">
        <f t="shared" si="13"/>
        <v/>
      </c>
      <c r="T276" s="33" t="str">
        <f t="shared" si="14"/>
        <v/>
      </c>
    </row>
    <row r="277" spans="1:20" x14ac:dyDescent="0.3">
      <c r="A277" s="26">
        <f>IF(BASE_CAIXA!A274="","",BASE_CAIXA!A274)</f>
        <v>273</v>
      </c>
      <c r="B277" s="26" t="str">
        <f>IF(A277="","",BASE_CAIXA!AL274)</f>
        <v>000273-DB</v>
      </c>
      <c r="C277" s="13">
        <f>IF(A277="","",BASE_CAIXA!AJ274)</f>
        <v>46171</v>
      </c>
      <c r="D277" s="26" t="str">
        <f>IF(A277="","",IF(BASE_CAIXA!C274="Entrada","Crédito","Débito"))</f>
        <v>Débito</v>
      </c>
      <c r="E277" s="14">
        <f>IF(A277="","",BASE_CAIXA!AA274)</f>
        <v>1866.5856000000001</v>
      </c>
      <c r="F277" s="26">
        <f>IF(A277="","",BASE_CAIXA!N274)</f>
        <v>0</v>
      </c>
      <c r="G277" s="26">
        <f>IF(A277="","",BASE_CAIXA!O274)</f>
        <v>0</v>
      </c>
      <c r="H277" s="26">
        <f>IF(A277="","",BASE_CAIXA!P274)</f>
        <v>0</v>
      </c>
      <c r="I277" s="26" t="str">
        <f>IF(A277="","",IF(BASE_CAIXA!H274&lt;&gt;"",BASE_CAIXA!H274,BASE_CAIXA!G274))</f>
        <v>Tubo DN 32 mm, PVC Rígido Soldável Marrom</v>
      </c>
      <c r="J277" s="26" t="str">
        <f>IF(A277="","",BASE_CAIXA!G274)</f>
        <v>Tubo DN 32 mm, PVC Rígido Soldável Marrom</v>
      </c>
      <c r="K277" s="26">
        <f>IF(A277="","",BASE_CAIXA!I274)</f>
        <v>0</v>
      </c>
      <c r="L277" s="26">
        <f>IF(A277="","",BASE_CAIXA!J274)</f>
        <v>0</v>
      </c>
      <c r="M277" s="26" t="str">
        <f>IF(A277="","",BASE_CAIXA!AM274)</f>
        <v>Tubo DN 32 mm, PVC Rígido Soldável Marrom | Tubo DN 32 mm, P</v>
      </c>
      <c r="N277" s="26" t="str">
        <f t="shared" ca="1" si="12"/>
        <v>Previsto</v>
      </c>
      <c r="O277" s="13" t="str">
        <f>IFERROR(INDEX(EXTRATO_IMPORTADO!$A$5:$A$404,MATCH(B277,EXTRATO_IMPORTADO!$I$5:$I$404,0)),"")</f>
        <v/>
      </c>
      <c r="P277" s="14" t="str">
        <f>IFERROR(INDEX(EXTRATO_IMPORTADO!$F$5:$F$404,MATCH(B277,EXTRATO_IMPORTADO!$I$5:$I$404,0)),"")</f>
        <v/>
      </c>
      <c r="Q277" s="26" t="str">
        <f>IFERROR(INDEX(EXTRATO_IMPORTADO!$B$5:$B$404,MATCH(B277,EXTRATO_IMPORTADO!$I$5:$I$404,0)),"")</f>
        <v/>
      </c>
      <c r="R277" s="26" t="str">
        <f>IFERROR(MATCH(B277,EXTRATO_IMPORTADO!$I$5:$I$404,0),"")</f>
        <v/>
      </c>
      <c r="S277" s="14" t="str">
        <f t="shared" si="13"/>
        <v/>
      </c>
      <c r="T277" s="33" t="str">
        <f t="shared" si="14"/>
        <v/>
      </c>
    </row>
    <row r="278" spans="1:20" x14ac:dyDescent="0.3">
      <c r="A278" s="26">
        <f>IF(BASE_CAIXA!A275="","",BASE_CAIXA!A275)</f>
        <v>274</v>
      </c>
      <c r="B278" s="26" t="str">
        <f>IF(A278="","",BASE_CAIXA!AL275)</f>
        <v>000274-DB</v>
      </c>
      <c r="C278" s="13">
        <f>IF(A278="","",BASE_CAIXA!AJ275)</f>
        <v>46171</v>
      </c>
      <c r="D278" s="26" t="str">
        <f>IF(A278="","",IF(BASE_CAIXA!C275="Entrada","Crédito","Débito"))</f>
        <v>Débito</v>
      </c>
      <c r="E278" s="14">
        <f>IF(A278="","",BASE_CAIXA!AA275)</f>
        <v>11676.8</v>
      </c>
      <c r="F278" s="26">
        <f>IF(A278="","",BASE_CAIXA!N275)</f>
        <v>0</v>
      </c>
      <c r="G278" s="26">
        <f>IF(A278="","",BASE_CAIXA!O275)</f>
        <v>0</v>
      </c>
      <c r="H278" s="26">
        <f>IF(A278="","",BASE_CAIXA!P275)</f>
        <v>0</v>
      </c>
      <c r="I278" s="26" t="str">
        <f>IF(A278="","",IF(BASE_CAIXA!H275&lt;&gt;"",BASE_CAIXA!H275,BASE_CAIXA!G275))</f>
        <v>MO Terceirizada Caixas de inspecao e gordura</v>
      </c>
      <c r="J278" s="26" t="str">
        <f>IF(A278="","",BASE_CAIXA!G275)</f>
        <v>MO Terceirizada Caixas de inspecao e gordura</v>
      </c>
      <c r="K278" s="26">
        <f>IF(A278="","",BASE_CAIXA!I275)</f>
        <v>0</v>
      </c>
      <c r="L278" s="26">
        <f>IF(A278="","",BASE_CAIXA!J275)</f>
        <v>0</v>
      </c>
      <c r="M278" s="26" t="str">
        <f>IF(A278="","",BASE_CAIXA!AM275)</f>
        <v>MO Terceirizada Caixas de inspecao e gordura | MO Terceiriza</v>
      </c>
      <c r="N278" s="26" t="str">
        <f t="shared" ca="1" si="12"/>
        <v>Previsto</v>
      </c>
      <c r="O278" s="13" t="str">
        <f>IFERROR(INDEX(EXTRATO_IMPORTADO!$A$5:$A$404,MATCH(B278,EXTRATO_IMPORTADO!$I$5:$I$404,0)),"")</f>
        <v/>
      </c>
      <c r="P278" s="14" t="str">
        <f>IFERROR(INDEX(EXTRATO_IMPORTADO!$F$5:$F$404,MATCH(B278,EXTRATO_IMPORTADO!$I$5:$I$404,0)),"")</f>
        <v/>
      </c>
      <c r="Q278" s="26" t="str">
        <f>IFERROR(INDEX(EXTRATO_IMPORTADO!$B$5:$B$404,MATCH(B278,EXTRATO_IMPORTADO!$I$5:$I$404,0)),"")</f>
        <v/>
      </c>
      <c r="R278" s="26" t="str">
        <f>IFERROR(MATCH(B278,EXTRATO_IMPORTADO!$I$5:$I$404,0),"")</f>
        <v/>
      </c>
      <c r="S278" s="14" t="str">
        <f t="shared" si="13"/>
        <v/>
      </c>
      <c r="T278" s="33" t="str">
        <f t="shared" si="14"/>
        <v/>
      </c>
    </row>
    <row r="279" spans="1:20" x14ac:dyDescent="0.3">
      <c r="A279" s="26">
        <f>IF(BASE_CAIXA!A276="","",BASE_CAIXA!A276)</f>
        <v>275</v>
      </c>
      <c r="B279" s="26" t="str">
        <f>IF(A279="","",BASE_CAIXA!AL276)</f>
        <v>000275-DB</v>
      </c>
      <c r="C279" s="13">
        <f>IF(A279="","",BASE_CAIXA!AJ276)</f>
        <v>46171</v>
      </c>
      <c r="D279" s="26" t="str">
        <f>IF(A279="","",IF(BASE_CAIXA!C276="Entrada","Crédito","Débito"))</f>
        <v>Débito</v>
      </c>
      <c r="E279" s="14">
        <f>IF(A279="","",BASE_CAIXA!AA276)</f>
        <v>6240</v>
      </c>
      <c r="F279" s="26">
        <f>IF(A279="","",BASE_CAIXA!N276)</f>
        <v>0</v>
      </c>
      <c r="G279" s="26">
        <f>IF(A279="","",BASE_CAIXA!O276)</f>
        <v>0</v>
      </c>
      <c r="H279" s="26">
        <f>IF(A279="","",BASE_CAIXA!P276)</f>
        <v>0</v>
      </c>
      <c r="I279" s="26" t="str">
        <f>IF(A279="","",IF(BASE_CAIXA!H276&lt;&gt;"",BASE_CAIXA!H276,BASE_CAIXA!G276))</f>
        <v>Brita 01 para espalhamento</v>
      </c>
      <c r="J279" s="26" t="str">
        <f>IF(A279="","",BASE_CAIXA!G276)</f>
        <v>Brita 01 para espalhamento</v>
      </c>
      <c r="K279" s="26">
        <f>IF(A279="","",BASE_CAIXA!I276)</f>
        <v>0</v>
      </c>
      <c r="L279" s="26">
        <f>IF(A279="","",BASE_CAIXA!J276)</f>
        <v>0</v>
      </c>
      <c r="M279" s="26" t="str">
        <f>IF(A279="","",BASE_CAIXA!AM276)</f>
        <v>Brita 01 para espalhamento | Brita 01 para espalhamento | Sa</v>
      </c>
      <c r="N279" s="26" t="str">
        <f t="shared" ca="1" si="12"/>
        <v>Previsto</v>
      </c>
      <c r="O279" s="13" t="str">
        <f>IFERROR(INDEX(EXTRATO_IMPORTADO!$A$5:$A$404,MATCH(B279,EXTRATO_IMPORTADO!$I$5:$I$404,0)),"")</f>
        <v/>
      </c>
      <c r="P279" s="14" t="str">
        <f>IFERROR(INDEX(EXTRATO_IMPORTADO!$F$5:$F$404,MATCH(B279,EXTRATO_IMPORTADO!$I$5:$I$404,0)),"")</f>
        <v/>
      </c>
      <c r="Q279" s="26" t="str">
        <f>IFERROR(INDEX(EXTRATO_IMPORTADO!$B$5:$B$404,MATCH(B279,EXTRATO_IMPORTADO!$I$5:$I$404,0)),"")</f>
        <v/>
      </c>
      <c r="R279" s="26" t="str">
        <f>IFERROR(MATCH(B279,EXTRATO_IMPORTADO!$I$5:$I$404,0),"")</f>
        <v/>
      </c>
      <c r="S279" s="14" t="str">
        <f t="shared" si="13"/>
        <v/>
      </c>
      <c r="T279" s="33" t="str">
        <f t="shared" si="14"/>
        <v/>
      </c>
    </row>
    <row r="280" spans="1:20" x14ac:dyDescent="0.3">
      <c r="A280" s="26">
        <f>IF(BASE_CAIXA!A277="","",BASE_CAIXA!A277)</f>
        <v>276</v>
      </c>
      <c r="B280" s="26" t="str">
        <f>IF(A280="","",BASE_CAIXA!AL277)</f>
        <v>000276-DB</v>
      </c>
      <c r="C280" s="13">
        <f>IF(A280="","",BASE_CAIXA!AJ277)</f>
        <v>46171</v>
      </c>
      <c r="D280" s="26" t="str">
        <f>IF(A280="","",IF(BASE_CAIXA!C277="Entrada","Crédito","Débito"))</f>
        <v>Débito</v>
      </c>
      <c r="E280" s="14">
        <f>IF(A280="","",BASE_CAIXA!AA277)</f>
        <v>2998.4</v>
      </c>
      <c r="F280" s="26">
        <f>IF(A280="","",BASE_CAIXA!N277)</f>
        <v>0</v>
      </c>
      <c r="G280" s="26">
        <f>IF(A280="","",BASE_CAIXA!O277)</f>
        <v>0</v>
      </c>
      <c r="H280" s="26">
        <f>IF(A280="","",BASE_CAIXA!P277)</f>
        <v>0</v>
      </c>
      <c r="I280" s="26" t="str">
        <f>IF(A280="","",IF(BASE_CAIXA!H277&lt;&gt;"",BASE_CAIXA!H277,BASE_CAIXA!G277))</f>
        <v>Mao de obra calçada acesso</v>
      </c>
      <c r="J280" s="26" t="str">
        <f>IF(A280="","",BASE_CAIXA!G277)</f>
        <v>Mao de obra calçada acesso</v>
      </c>
      <c r="K280" s="26">
        <f>IF(A280="","",BASE_CAIXA!I277)</f>
        <v>0</v>
      </c>
      <c r="L280" s="26">
        <f>IF(A280="","",BASE_CAIXA!J277)</f>
        <v>0</v>
      </c>
      <c r="M280" s="26" t="str">
        <f>IF(A280="","",BASE_CAIXA!AM277)</f>
        <v>Mao de obra calçada acesso | Mao de obra calçada acesso | Sa</v>
      </c>
      <c r="N280" s="26" t="str">
        <f t="shared" ca="1" si="12"/>
        <v>Previsto</v>
      </c>
      <c r="O280" s="13" t="str">
        <f>IFERROR(INDEX(EXTRATO_IMPORTADO!$A$5:$A$404,MATCH(B280,EXTRATO_IMPORTADO!$I$5:$I$404,0)),"")</f>
        <v/>
      </c>
      <c r="P280" s="14" t="str">
        <f>IFERROR(INDEX(EXTRATO_IMPORTADO!$F$5:$F$404,MATCH(B280,EXTRATO_IMPORTADO!$I$5:$I$404,0)),"")</f>
        <v/>
      </c>
      <c r="Q280" s="26" t="str">
        <f>IFERROR(INDEX(EXTRATO_IMPORTADO!$B$5:$B$404,MATCH(B280,EXTRATO_IMPORTADO!$I$5:$I$404,0)),"")</f>
        <v/>
      </c>
      <c r="R280" s="26" t="str">
        <f>IFERROR(MATCH(B280,EXTRATO_IMPORTADO!$I$5:$I$404,0),"")</f>
        <v/>
      </c>
      <c r="S280" s="14" t="str">
        <f t="shared" si="13"/>
        <v/>
      </c>
      <c r="T280" s="33" t="str">
        <f t="shared" si="14"/>
        <v/>
      </c>
    </row>
    <row r="281" spans="1:20" x14ac:dyDescent="0.3">
      <c r="A281" s="26">
        <f>IF(BASE_CAIXA!A278="","",BASE_CAIXA!A278)</f>
        <v>277</v>
      </c>
      <c r="B281" s="26" t="str">
        <f>IF(A281="","",BASE_CAIXA!AL278)</f>
        <v>000277-DB</v>
      </c>
      <c r="C281" s="13">
        <f>IF(A281="","",BASE_CAIXA!AJ278)</f>
        <v>46171</v>
      </c>
      <c r="D281" s="26" t="str">
        <f>IF(A281="","",IF(BASE_CAIXA!C278="Entrada","Crédito","Débito"))</f>
        <v>Débito</v>
      </c>
      <c r="E281" s="14">
        <f>IF(A281="","",BASE_CAIXA!AA278)</f>
        <v>640</v>
      </c>
      <c r="F281" s="26">
        <f>IF(A281="","",BASE_CAIXA!N278)</f>
        <v>0</v>
      </c>
      <c r="G281" s="26">
        <f>IF(A281="","",BASE_CAIXA!O278)</f>
        <v>0</v>
      </c>
      <c r="H281" s="26">
        <f>IF(A281="","",BASE_CAIXA!P278)</f>
        <v>0</v>
      </c>
      <c r="I281" s="26" t="str">
        <f>IF(A281="","",IF(BASE_CAIXA!H278&lt;&gt;"",BASE_CAIXA!H278,BASE_CAIXA!G278))</f>
        <v>Prego 17 x 27 cabeça simples</v>
      </c>
      <c r="J281" s="26" t="str">
        <f>IF(A281="","",BASE_CAIXA!G278)</f>
        <v>Prego 17 x 27 cabeça simples</v>
      </c>
      <c r="K281" s="26">
        <f>IF(A281="","",BASE_CAIXA!I278)</f>
        <v>0</v>
      </c>
      <c r="L281" s="26">
        <f>IF(A281="","",BASE_CAIXA!J278)</f>
        <v>0</v>
      </c>
      <c r="M281" s="26" t="str">
        <f>IF(A281="","",BASE_CAIXA!AM278)</f>
        <v xml:space="preserve">Prego 17 x 27 cabeça simples | Prego 17 x 27 cabeça simples </v>
      </c>
      <c r="N281" s="26" t="str">
        <f t="shared" ca="1" si="12"/>
        <v>Previsto</v>
      </c>
      <c r="O281" s="13" t="str">
        <f>IFERROR(INDEX(EXTRATO_IMPORTADO!$A$5:$A$404,MATCH(B281,EXTRATO_IMPORTADO!$I$5:$I$404,0)),"")</f>
        <v/>
      </c>
      <c r="P281" s="14" t="str">
        <f>IFERROR(INDEX(EXTRATO_IMPORTADO!$F$5:$F$404,MATCH(B281,EXTRATO_IMPORTADO!$I$5:$I$404,0)),"")</f>
        <v/>
      </c>
      <c r="Q281" s="26" t="str">
        <f>IFERROR(INDEX(EXTRATO_IMPORTADO!$B$5:$B$404,MATCH(B281,EXTRATO_IMPORTADO!$I$5:$I$404,0)),"")</f>
        <v/>
      </c>
      <c r="R281" s="26" t="str">
        <f>IFERROR(MATCH(B281,EXTRATO_IMPORTADO!$I$5:$I$404,0),"")</f>
        <v/>
      </c>
      <c r="S281" s="14" t="str">
        <f t="shared" si="13"/>
        <v/>
      </c>
      <c r="T281" s="33" t="str">
        <f t="shared" si="14"/>
        <v/>
      </c>
    </row>
    <row r="282" spans="1:20" x14ac:dyDescent="0.3">
      <c r="A282" s="26">
        <f>IF(BASE_CAIXA!A279="","",BASE_CAIXA!A279)</f>
        <v>278</v>
      </c>
      <c r="B282" s="26" t="str">
        <f>IF(A282="","",BASE_CAIXA!AL279)</f>
        <v>000278-DB</v>
      </c>
      <c r="C282" s="13">
        <f>IF(A282="","",BASE_CAIXA!AJ279)</f>
        <v>46171</v>
      </c>
      <c r="D282" s="26" t="str">
        <f>IF(A282="","",IF(BASE_CAIXA!C279="Entrada","Crédito","Débito"))</f>
        <v>Débito</v>
      </c>
      <c r="E282" s="14">
        <f>IF(A282="","",BASE_CAIXA!AA279)</f>
        <v>1292.1600000000001</v>
      </c>
      <c r="F282" s="26">
        <f>IF(A282="","",BASE_CAIXA!N279)</f>
        <v>0</v>
      </c>
      <c r="G282" s="26">
        <f>IF(A282="","",BASE_CAIXA!O279)</f>
        <v>0</v>
      </c>
      <c r="H282" s="26">
        <f>IF(A282="","",BASE_CAIXA!P279)</f>
        <v>0</v>
      </c>
      <c r="I282" s="26" t="str">
        <f>IF(A282="","",IF(BASE_CAIXA!H279&lt;&gt;"",BASE_CAIXA!H279,BASE_CAIXA!G279))</f>
        <v>Sarrafo 2,5x7,5x600cm em pinus</v>
      </c>
      <c r="J282" s="26" t="str">
        <f>IF(A282="","",BASE_CAIXA!G279)</f>
        <v>Sarrafo 2,5x7,5x600cm em pinus</v>
      </c>
      <c r="K282" s="26">
        <f>IF(A282="","",BASE_CAIXA!I279)</f>
        <v>0</v>
      </c>
      <c r="L282" s="26">
        <f>IF(A282="","",BASE_CAIXA!J279)</f>
        <v>0</v>
      </c>
      <c r="M282" s="26" t="str">
        <f>IF(A282="","",BASE_CAIXA!AM279)</f>
        <v>Sarrafo 2,5x7,5x600cm em pinus | Sarrafo 2,5x7,5x600cm em pi</v>
      </c>
      <c r="N282" s="26" t="str">
        <f t="shared" ca="1" si="12"/>
        <v>Previsto</v>
      </c>
      <c r="O282" s="13" t="str">
        <f>IFERROR(INDEX(EXTRATO_IMPORTADO!$A$5:$A$404,MATCH(B282,EXTRATO_IMPORTADO!$I$5:$I$404,0)),"")</f>
        <v/>
      </c>
      <c r="P282" s="14" t="str">
        <f>IFERROR(INDEX(EXTRATO_IMPORTADO!$F$5:$F$404,MATCH(B282,EXTRATO_IMPORTADO!$I$5:$I$404,0)),"")</f>
        <v/>
      </c>
      <c r="Q282" s="26" t="str">
        <f>IFERROR(INDEX(EXTRATO_IMPORTADO!$B$5:$B$404,MATCH(B282,EXTRATO_IMPORTADO!$I$5:$I$404,0)),"")</f>
        <v/>
      </c>
      <c r="R282" s="26" t="str">
        <f>IFERROR(MATCH(B282,EXTRATO_IMPORTADO!$I$5:$I$404,0),"")</f>
        <v/>
      </c>
      <c r="S282" s="14" t="str">
        <f t="shared" si="13"/>
        <v/>
      </c>
      <c r="T282" s="33" t="str">
        <f t="shared" si="14"/>
        <v/>
      </c>
    </row>
    <row r="283" spans="1:20" x14ac:dyDescent="0.3">
      <c r="A283" s="26">
        <f>IF(BASE_CAIXA!A280="","",BASE_CAIXA!A280)</f>
        <v>279</v>
      </c>
      <c r="B283" s="26" t="str">
        <f>IF(A283="","",BASE_CAIXA!AL280)</f>
        <v>000279-DB</v>
      </c>
      <c r="C283" s="13">
        <f>IF(A283="","",BASE_CAIXA!AJ280)</f>
        <v>46171</v>
      </c>
      <c r="D283" s="26" t="str">
        <f>IF(A283="","",IF(BASE_CAIXA!C280="Entrada","Crédito","Débito"))</f>
        <v>Débito</v>
      </c>
      <c r="E283" s="14">
        <f>IF(A283="","",BASE_CAIXA!AA280)</f>
        <v>3196.8</v>
      </c>
      <c r="F283" s="26">
        <f>IF(A283="","",BASE_CAIXA!N280)</f>
        <v>0</v>
      </c>
      <c r="G283" s="26">
        <f>IF(A283="","",BASE_CAIXA!O280)</f>
        <v>0</v>
      </c>
      <c r="H283" s="26">
        <f>IF(A283="","",BASE_CAIXA!P280)</f>
        <v>0</v>
      </c>
      <c r="I283" s="26" t="str">
        <f>IF(A283="","",IF(BASE_CAIXA!H280&lt;&gt;"",BASE_CAIXA!H280,BASE_CAIXA!G280))</f>
        <v>Tela Q - 61 aço CA50 a c/10 4.2mm</v>
      </c>
      <c r="J283" s="26" t="str">
        <f>IF(A283="","",BASE_CAIXA!G280)</f>
        <v>Tela Q - 61 aço CA50 a c/10 4.2mm</v>
      </c>
      <c r="K283" s="26">
        <f>IF(A283="","",BASE_CAIXA!I280)</f>
        <v>0</v>
      </c>
      <c r="L283" s="26">
        <f>IF(A283="","",BASE_CAIXA!J280)</f>
        <v>0</v>
      </c>
      <c r="M283" s="26" t="str">
        <f>IF(A283="","",BASE_CAIXA!AM280)</f>
        <v>Tela Q - 61 aço CA50 a c/10 4.2mm | Tela Q - 61 aço CA50 a c</v>
      </c>
      <c r="N283" s="26" t="str">
        <f t="shared" ca="1" si="12"/>
        <v>Previsto</v>
      </c>
      <c r="O283" s="13" t="str">
        <f>IFERROR(INDEX(EXTRATO_IMPORTADO!$A$5:$A$404,MATCH(B283,EXTRATO_IMPORTADO!$I$5:$I$404,0)),"")</f>
        <v/>
      </c>
      <c r="P283" s="14" t="str">
        <f>IFERROR(INDEX(EXTRATO_IMPORTADO!$F$5:$F$404,MATCH(B283,EXTRATO_IMPORTADO!$I$5:$I$404,0)),"")</f>
        <v/>
      </c>
      <c r="Q283" s="26" t="str">
        <f>IFERROR(INDEX(EXTRATO_IMPORTADO!$B$5:$B$404,MATCH(B283,EXTRATO_IMPORTADO!$I$5:$I$404,0)),"")</f>
        <v/>
      </c>
      <c r="R283" s="26" t="str">
        <f>IFERROR(MATCH(B283,EXTRATO_IMPORTADO!$I$5:$I$404,0),"")</f>
        <v/>
      </c>
      <c r="S283" s="14" t="str">
        <f t="shared" si="13"/>
        <v/>
      </c>
      <c r="T283" s="33" t="str">
        <f t="shared" si="14"/>
        <v/>
      </c>
    </row>
    <row r="284" spans="1:20" x14ac:dyDescent="0.3">
      <c r="A284" s="26">
        <f>IF(BASE_CAIXA!A281="","",BASE_CAIXA!A281)</f>
        <v>280</v>
      </c>
      <c r="B284" s="26" t="str">
        <f>IF(A284="","",BASE_CAIXA!AL281)</f>
        <v>000280-DB</v>
      </c>
      <c r="C284" s="13">
        <f>IF(A284="","",BASE_CAIXA!AJ281)</f>
        <v>46171</v>
      </c>
      <c r="D284" s="26" t="str">
        <f>IF(A284="","",IF(BASE_CAIXA!C281="Entrada","Crédito","Débito"))</f>
        <v>Débito</v>
      </c>
      <c r="E284" s="14">
        <f>IF(A284="","",BASE_CAIXA!AA281)</f>
        <v>15872</v>
      </c>
      <c r="F284" s="26">
        <f>IF(A284="","",BASE_CAIXA!N281)</f>
        <v>0</v>
      </c>
      <c r="G284" s="26">
        <f>IF(A284="","",BASE_CAIXA!O281)</f>
        <v>0</v>
      </c>
      <c r="H284" s="26">
        <f>IF(A284="","",BASE_CAIXA!P281)</f>
        <v>0</v>
      </c>
      <c r="I284" s="26" t="str">
        <f>IF(A284="","",IF(BASE_CAIXA!H281&lt;&gt;"",BASE_CAIXA!H281,BASE_CAIXA!G281))</f>
        <v>concreto usinado FCK 20 Mpa</v>
      </c>
      <c r="J284" s="26" t="str">
        <f>IF(A284="","",BASE_CAIXA!G281)</f>
        <v>concreto usinado FCK 20 Mpa</v>
      </c>
      <c r="K284" s="26">
        <f>IF(A284="","",BASE_CAIXA!I281)</f>
        <v>0</v>
      </c>
      <c r="L284" s="26">
        <f>IF(A284="","",BASE_CAIXA!J281)</f>
        <v>0</v>
      </c>
      <c r="M284" s="26" t="str">
        <f>IF(A284="","",BASE_CAIXA!AM281)</f>
        <v xml:space="preserve">concreto usinado FCK 20 Mpa | concreto usinado FCK 20 Mpa | </v>
      </c>
      <c r="N284" s="26" t="str">
        <f t="shared" ca="1" si="12"/>
        <v>Previsto</v>
      </c>
      <c r="O284" s="13" t="str">
        <f>IFERROR(INDEX(EXTRATO_IMPORTADO!$A$5:$A$404,MATCH(B284,EXTRATO_IMPORTADO!$I$5:$I$404,0)),"")</f>
        <v/>
      </c>
      <c r="P284" s="14" t="str">
        <f>IFERROR(INDEX(EXTRATO_IMPORTADO!$F$5:$F$404,MATCH(B284,EXTRATO_IMPORTADO!$I$5:$I$404,0)),"")</f>
        <v/>
      </c>
      <c r="Q284" s="26" t="str">
        <f>IFERROR(INDEX(EXTRATO_IMPORTADO!$B$5:$B$404,MATCH(B284,EXTRATO_IMPORTADO!$I$5:$I$404,0)),"")</f>
        <v/>
      </c>
      <c r="R284" s="26" t="str">
        <f>IFERROR(MATCH(B284,EXTRATO_IMPORTADO!$I$5:$I$404,0),"")</f>
        <v/>
      </c>
      <c r="S284" s="14" t="str">
        <f t="shared" si="13"/>
        <v/>
      </c>
      <c r="T284" s="33" t="str">
        <f t="shared" si="14"/>
        <v/>
      </c>
    </row>
    <row r="285" spans="1:20" x14ac:dyDescent="0.3">
      <c r="A285" s="26">
        <f>IF(BASE_CAIXA!A282="","",BASE_CAIXA!A282)</f>
        <v>281</v>
      </c>
      <c r="B285" s="26" t="str">
        <f>IF(A285="","",BASE_CAIXA!AL282)</f>
        <v>000281-DB</v>
      </c>
      <c r="C285" s="13">
        <f>IF(A285="","",BASE_CAIXA!AJ282)</f>
        <v>46171</v>
      </c>
      <c r="D285" s="26" t="str">
        <f>IF(A285="","",IF(BASE_CAIXA!C282="Entrada","Crédito","Débito"))</f>
        <v>Débito</v>
      </c>
      <c r="E285" s="14">
        <f>IF(A285="","",BASE_CAIXA!AA282)</f>
        <v>21190</v>
      </c>
      <c r="F285" s="26">
        <f>IF(A285="","",BASE_CAIXA!N282)</f>
        <v>0</v>
      </c>
      <c r="G285" s="26">
        <f>IF(A285="","",BASE_CAIXA!O282)</f>
        <v>0</v>
      </c>
      <c r="H285" s="26">
        <f>IF(A285="","",BASE_CAIXA!P282)</f>
        <v>0</v>
      </c>
      <c r="I285" s="26" t="str">
        <f>IF(A285="","",IF(BASE_CAIXA!H282&lt;&gt;"",BASE_CAIXA!H282,BASE_CAIXA!G282))</f>
        <v>CARTAO CREDITO SUCOPIRA</v>
      </c>
      <c r="J285" s="26" t="str">
        <f>IF(A285="","",BASE_CAIXA!G282)</f>
        <v>CARTAO CREDITO SUCOPIRA</v>
      </c>
      <c r="K285" s="26">
        <f>IF(A285="","",BASE_CAIXA!I282)</f>
        <v>0</v>
      </c>
      <c r="L285" s="26">
        <f>IF(A285="","",BASE_CAIXA!J282)</f>
        <v>0</v>
      </c>
      <c r="M285" s="26" t="str">
        <f>IF(A285="","",BASE_CAIXA!AM282)</f>
        <v xml:space="preserve">CARTAO CREDITO SUCOPIRA | CARTAO CREDITO SUCOPIRA | Saída | </v>
      </c>
      <c r="N285" s="26" t="str">
        <f t="shared" ca="1" si="12"/>
        <v>Previsto</v>
      </c>
      <c r="O285" s="13" t="str">
        <f>IFERROR(INDEX(EXTRATO_IMPORTADO!$A$5:$A$404,MATCH(B285,EXTRATO_IMPORTADO!$I$5:$I$404,0)),"")</f>
        <v/>
      </c>
      <c r="P285" s="14" t="str">
        <f>IFERROR(INDEX(EXTRATO_IMPORTADO!$F$5:$F$404,MATCH(B285,EXTRATO_IMPORTADO!$I$5:$I$404,0)),"")</f>
        <v/>
      </c>
      <c r="Q285" s="26" t="str">
        <f>IFERROR(INDEX(EXTRATO_IMPORTADO!$B$5:$B$404,MATCH(B285,EXTRATO_IMPORTADO!$I$5:$I$404,0)),"")</f>
        <v/>
      </c>
      <c r="R285" s="26" t="str">
        <f>IFERROR(MATCH(B285,EXTRATO_IMPORTADO!$I$5:$I$404,0),"")</f>
        <v/>
      </c>
      <c r="S285" s="14" t="str">
        <f t="shared" si="13"/>
        <v/>
      </c>
      <c r="T285" s="33" t="str">
        <f t="shared" si="14"/>
        <v/>
      </c>
    </row>
    <row r="286" spans="1:20" x14ac:dyDescent="0.3">
      <c r="A286" s="26">
        <f>IF(BASE_CAIXA!A283="","",BASE_CAIXA!A283)</f>
        <v>282</v>
      </c>
      <c r="B286" s="26" t="str">
        <f>IF(A286="","",BASE_CAIXA!AL283)</f>
        <v>000282-DB</v>
      </c>
      <c r="C286" s="13">
        <f>IF(A286="","",BASE_CAIXA!AJ283)</f>
        <v>46171</v>
      </c>
      <c r="D286" s="26" t="str">
        <f>IF(A286="","",IF(BASE_CAIXA!C283="Entrada","Crédito","Débito"))</f>
        <v>Débito</v>
      </c>
      <c r="E286" s="14">
        <f>IF(A286="","",BASE_CAIXA!AA283)</f>
        <v>7670</v>
      </c>
      <c r="F286" s="26">
        <f>IF(A286="","",BASE_CAIXA!N283)</f>
        <v>0</v>
      </c>
      <c r="G286" s="26">
        <f>IF(A286="","",BASE_CAIXA!O283)</f>
        <v>0</v>
      </c>
      <c r="H286" s="26">
        <f>IF(A286="","",BASE_CAIXA!P283)</f>
        <v>0</v>
      </c>
      <c r="I286" s="26" t="str">
        <f>IF(A286="","",IF(BASE_CAIXA!H283&lt;&gt;"",BASE_CAIXA!H283,BASE_CAIXA!G283))</f>
        <v>EMPRÉSTIMO EXTRA</v>
      </c>
      <c r="J286" s="26" t="str">
        <f>IF(A286="","",BASE_CAIXA!G283)</f>
        <v>EMPRÉSTIMO EXTRA</v>
      </c>
      <c r="K286" s="26">
        <f>IF(A286="","",BASE_CAIXA!I283)</f>
        <v>0</v>
      </c>
      <c r="L286" s="26">
        <f>IF(A286="","",BASE_CAIXA!J283)</f>
        <v>0</v>
      </c>
      <c r="M286" s="26" t="str">
        <f>IF(A286="","",BASE_CAIXA!AM283)</f>
        <v>EMPRÉSTIMO EXTRA | EMPRÉSTIMO EXTRA | Saída | CAPITAL DE GIR</v>
      </c>
      <c r="N286" s="26" t="str">
        <f t="shared" ca="1" si="12"/>
        <v>Previsto</v>
      </c>
      <c r="O286" s="13" t="str">
        <f>IFERROR(INDEX(EXTRATO_IMPORTADO!$A$5:$A$404,MATCH(B286,EXTRATO_IMPORTADO!$I$5:$I$404,0)),"")</f>
        <v/>
      </c>
      <c r="P286" s="14" t="str">
        <f>IFERROR(INDEX(EXTRATO_IMPORTADO!$F$5:$F$404,MATCH(B286,EXTRATO_IMPORTADO!$I$5:$I$404,0)),"")</f>
        <v/>
      </c>
      <c r="Q286" s="26" t="str">
        <f>IFERROR(INDEX(EXTRATO_IMPORTADO!$B$5:$B$404,MATCH(B286,EXTRATO_IMPORTADO!$I$5:$I$404,0)),"")</f>
        <v/>
      </c>
      <c r="R286" s="26" t="str">
        <f>IFERROR(MATCH(B286,EXTRATO_IMPORTADO!$I$5:$I$404,0),"")</f>
        <v/>
      </c>
      <c r="S286" s="14" t="str">
        <f t="shared" si="13"/>
        <v/>
      </c>
      <c r="T286" s="33" t="str">
        <f t="shared" si="14"/>
        <v/>
      </c>
    </row>
    <row r="287" spans="1:20" x14ac:dyDescent="0.3">
      <c r="A287" s="26">
        <f>IF(BASE_CAIXA!A284="","",BASE_CAIXA!A284)</f>
        <v>283</v>
      </c>
      <c r="B287" s="26" t="str">
        <f>IF(A287="","",BASE_CAIXA!AL284)</f>
        <v>000283-DB</v>
      </c>
      <c r="C287" s="13">
        <f>IF(A287="","",BASE_CAIXA!AJ284)</f>
        <v>46171</v>
      </c>
      <c r="D287" s="26" t="str">
        <f>IF(A287="","",IF(BASE_CAIXA!C284="Entrada","Crédito","Débito"))</f>
        <v>Débito</v>
      </c>
      <c r="E287" s="14">
        <f>IF(A287="","",BASE_CAIXA!AA284)</f>
        <v>19943.37</v>
      </c>
      <c r="F287" s="26">
        <f>IF(A287="","",BASE_CAIXA!N284)</f>
        <v>0</v>
      </c>
      <c r="G287" s="26">
        <f>IF(A287="","",BASE_CAIXA!O284)</f>
        <v>0</v>
      </c>
      <c r="H287" s="26">
        <f>IF(A287="","",BASE_CAIXA!P284)</f>
        <v>0</v>
      </c>
      <c r="I287" s="26" t="str">
        <f>IF(A287="","",IF(BASE_CAIXA!H284&lt;&gt;"",BASE_CAIXA!H284,BASE_CAIXA!G284))</f>
        <v>ITAU</v>
      </c>
      <c r="J287" s="26" t="str">
        <f>IF(A287="","",BASE_CAIXA!G284)</f>
        <v>ITAU</v>
      </c>
      <c r="K287" s="26">
        <f>IF(A287="","",BASE_CAIXA!I284)</f>
        <v>0</v>
      </c>
      <c r="L287" s="26">
        <f>IF(A287="","",BASE_CAIXA!J284)</f>
        <v>0</v>
      </c>
      <c r="M287" s="26" t="str">
        <f>IF(A287="","",BASE_CAIXA!AM284)</f>
        <v>ITAU | ITAU | Saída | CAPITAL DE GIRO</v>
      </c>
      <c r="N287" s="26" t="str">
        <f t="shared" ca="1" si="12"/>
        <v>Previsto</v>
      </c>
      <c r="O287" s="13" t="str">
        <f>IFERROR(INDEX(EXTRATO_IMPORTADO!$A$5:$A$404,MATCH(B287,EXTRATO_IMPORTADO!$I$5:$I$404,0)),"")</f>
        <v/>
      </c>
      <c r="P287" s="14" t="str">
        <f>IFERROR(INDEX(EXTRATO_IMPORTADO!$F$5:$F$404,MATCH(B287,EXTRATO_IMPORTADO!$I$5:$I$404,0)),"")</f>
        <v/>
      </c>
      <c r="Q287" s="26" t="str">
        <f>IFERROR(INDEX(EXTRATO_IMPORTADO!$B$5:$B$404,MATCH(B287,EXTRATO_IMPORTADO!$I$5:$I$404,0)),"")</f>
        <v/>
      </c>
      <c r="R287" s="26" t="str">
        <f>IFERROR(MATCH(B287,EXTRATO_IMPORTADO!$I$5:$I$404,0),"")</f>
        <v/>
      </c>
      <c r="S287" s="14" t="str">
        <f t="shared" si="13"/>
        <v/>
      </c>
      <c r="T287" s="33" t="str">
        <f t="shared" si="14"/>
        <v/>
      </c>
    </row>
    <row r="288" spans="1:20" x14ac:dyDescent="0.3">
      <c r="A288" s="26">
        <f>IF(BASE_CAIXA!A285="","",BASE_CAIXA!A285)</f>
        <v>284</v>
      </c>
      <c r="B288" s="26" t="str">
        <f>IF(A288="","",BASE_CAIXA!AL285)</f>
        <v>000284-DB</v>
      </c>
      <c r="C288" s="13">
        <f>IF(A288="","",BASE_CAIXA!AJ285)</f>
        <v>46171</v>
      </c>
      <c r="D288" s="26" t="str">
        <f>IF(A288="","",IF(BASE_CAIXA!C285="Entrada","Crédito","Débito"))</f>
        <v>Débito</v>
      </c>
      <c r="E288" s="14">
        <f>IF(A288="","",BASE_CAIXA!AA285)</f>
        <v>6892.7999999999993</v>
      </c>
      <c r="F288" s="26">
        <f>IF(A288="","",BASE_CAIXA!N285)</f>
        <v>0</v>
      </c>
      <c r="G288" s="26">
        <f>IF(A288="","",BASE_CAIXA!O285)</f>
        <v>0</v>
      </c>
      <c r="H288" s="26">
        <f>IF(A288="","",BASE_CAIXA!P285)</f>
        <v>0</v>
      </c>
      <c r="I288" s="26" t="str">
        <f>IF(A288="","",IF(BASE_CAIXA!H285&lt;&gt;"",BASE_CAIXA!H285,BASE_CAIXA!G285))</f>
        <v>Cumeeira fibrocimento - 20º 6mm</v>
      </c>
      <c r="J288" s="26" t="str">
        <f>IF(A288="","",BASE_CAIXA!G285)</f>
        <v>Cumeeira fibrocimento - 20º 6mm</v>
      </c>
      <c r="K288" s="26">
        <f>IF(A288="","",BASE_CAIXA!I285)</f>
        <v>0</v>
      </c>
      <c r="L288" s="26">
        <f>IF(A288="","",BASE_CAIXA!J285)</f>
        <v>0</v>
      </c>
      <c r="M288" s="26" t="str">
        <f>IF(A288="","",BASE_CAIXA!AM285)</f>
        <v>Cumeeira fibrocimento - 20º 6mm | Cumeeira fibrocimento - 20</v>
      </c>
      <c r="N288" s="26" t="str">
        <f t="shared" ca="1" si="12"/>
        <v>Previsto</v>
      </c>
      <c r="O288" s="13" t="str">
        <f>IFERROR(INDEX(EXTRATO_IMPORTADO!$A$5:$A$404,MATCH(B288,EXTRATO_IMPORTADO!$I$5:$I$404,0)),"")</f>
        <v/>
      </c>
      <c r="P288" s="14" t="str">
        <f>IFERROR(INDEX(EXTRATO_IMPORTADO!$F$5:$F$404,MATCH(B288,EXTRATO_IMPORTADO!$I$5:$I$404,0)),"")</f>
        <v/>
      </c>
      <c r="Q288" s="26" t="str">
        <f>IFERROR(INDEX(EXTRATO_IMPORTADO!$B$5:$B$404,MATCH(B288,EXTRATO_IMPORTADO!$I$5:$I$404,0)),"")</f>
        <v/>
      </c>
      <c r="R288" s="26" t="str">
        <f>IFERROR(MATCH(B288,EXTRATO_IMPORTADO!$I$5:$I$404,0),"")</f>
        <v/>
      </c>
      <c r="S288" s="14" t="str">
        <f t="shared" si="13"/>
        <v/>
      </c>
      <c r="T288" s="33" t="str">
        <f t="shared" si="14"/>
        <v/>
      </c>
    </row>
    <row r="289" spans="1:20" x14ac:dyDescent="0.3">
      <c r="A289" s="26">
        <f>IF(BASE_CAIXA!A286="","",BASE_CAIXA!A286)</f>
        <v>285</v>
      </c>
      <c r="B289" s="26" t="str">
        <f>IF(A289="","",BASE_CAIXA!AL286)</f>
        <v>000285-DB</v>
      </c>
      <c r="C289" s="13">
        <f>IF(A289="","",BASE_CAIXA!AJ286)</f>
        <v>46171</v>
      </c>
      <c r="D289" s="26" t="str">
        <f>IF(A289="","",IF(BASE_CAIXA!C286="Entrada","Crédito","Débito"))</f>
        <v>Débito</v>
      </c>
      <c r="E289" s="14">
        <f>IF(A289="","",BASE_CAIXA!AA286)</f>
        <v>119040</v>
      </c>
      <c r="F289" s="26">
        <f>IF(A289="","",BASE_CAIXA!N286)</f>
        <v>0</v>
      </c>
      <c r="G289" s="26">
        <f>IF(A289="","",BASE_CAIXA!O286)</f>
        <v>0</v>
      </c>
      <c r="H289" s="26">
        <f>IF(A289="","",BASE_CAIXA!P286)</f>
        <v>0</v>
      </c>
      <c r="I289" s="26" t="str">
        <f>IF(A289="","",IF(BASE_CAIXA!H286&lt;&gt;"",BASE_CAIXA!H286,BASE_CAIXA!G286))</f>
        <v>Estrutura SteelFrame com tesouras</v>
      </c>
      <c r="J289" s="26" t="str">
        <f>IF(A289="","",BASE_CAIXA!G286)</f>
        <v>Estrutura SteelFrame com tesouras</v>
      </c>
      <c r="K289" s="26">
        <f>IF(A289="","",BASE_CAIXA!I286)</f>
        <v>0</v>
      </c>
      <c r="L289" s="26">
        <f>IF(A289="","",BASE_CAIXA!J286)</f>
        <v>0</v>
      </c>
      <c r="M289" s="26" t="str">
        <f>IF(A289="","",BASE_CAIXA!AM286)</f>
        <v>Estrutura SteelFrame com tesouras | Estrutura SteelFrame com</v>
      </c>
      <c r="N289" s="26" t="str">
        <f t="shared" ca="1" si="12"/>
        <v>Previsto</v>
      </c>
      <c r="O289" s="13" t="str">
        <f>IFERROR(INDEX(EXTRATO_IMPORTADO!$A$5:$A$404,MATCH(B289,EXTRATO_IMPORTADO!$I$5:$I$404,0)),"")</f>
        <v/>
      </c>
      <c r="P289" s="14" t="str">
        <f>IFERROR(INDEX(EXTRATO_IMPORTADO!$F$5:$F$404,MATCH(B289,EXTRATO_IMPORTADO!$I$5:$I$404,0)),"")</f>
        <v/>
      </c>
      <c r="Q289" s="26" t="str">
        <f>IFERROR(INDEX(EXTRATO_IMPORTADO!$B$5:$B$404,MATCH(B289,EXTRATO_IMPORTADO!$I$5:$I$404,0)),"")</f>
        <v/>
      </c>
      <c r="R289" s="26" t="str">
        <f>IFERROR(MATCH(B289,EXTRATO_IMPORTADO!$I$5:$I$404,0),"")</f>
        <v/>
      </c>
      <c r="S289" s="14" t="str">
        <f t="shared" si="13"/>
        <v/>
      </c>
      <c r="T289" s="33" t="str">
        <f t="shared" si="14"/>
        <v/>
      </c>
    </row>
    <row r="290" spans="1:20" x14ac:dyDescent="0.3">
      <c r="A290" s="26">
        <f>IF(BASE_CAIXA!A287="","",BASE_CAIXA!A287)</f>
        <v>286</v>
      </c>
      <c r="B290" s="26" t="str">
        <f>IF(A290="","",BASE_CAIXA!AL287)</f>
        <v>000286-DB</v>
      </c>
      <c r="C290" s="13">
        <f>IF(A290="","",BASE_CAIXA!AJ287)</f>
        <v>46171</v>
      </c>
      <c r="D290" s="26" t="str">
        <f>IF(A290="","",IF(BASE_CAIXA!C287="Entrada","Crédito","Débito"))</f>
        <v>Débito</v>
      </c>
      <c r="E290" s="14">
        <f>IF(A290="","",BASE_CAIXA!AA287)</f>
        <v>22072</v>
      </c>
      <c r="F290" s="26">
        <f>IF(A290="","",BASE_CAIXA!N287)</f>
        <v>0</v>
      </c>
      <c r="G290" s="26">
        <f>IF(A290="","",BASE_CAIXA!O287)</f>
        <v>0</v>
      </c>
      <c r="H290" s="26">
        <f>IF(A290="","",BASE_CAIXA!P287)</f>
        <v>0</v>
      </c>
      <c r="I290" s="26" t="str">
        <f>IF(A290="","",IF(BASE_CAIXA!H287&lt;&gt;"",BASE_CAIXA!H287,BASE_CAIXA!G287))</f>
        <v>Mao de obra terceirizada montagem e telhamento</v>
      </c>
      <c r="J290" s="26" t="str">
        <f>IF(A290="","",BASE_CAIXA!G287)</f>
        <v>Mao de obra terceirizada montagem e telhamento</v>
      </c>
      <c r="K290" s="26">
        <f>IF(A290="","",BASE_CAIXA!I287)</f>
        <v>0</v>
      </c>
      <c r="L290" s="26">
        <f>IF(A290="","",BASE_CAIXA!J287)</f>
        <v>0</v>
      </c>
      <c r="M290" s="26" t="str">
        <f>IF(A290="","",BASE_CAIXA!AM287)</f>
        <v>Mao de obra terceirizada montagem e telhamento | Mao de obra</v>
      </c>
      <c r="N290" s="26" t="str">
        <f t="shared" ca="1" si="12"/>
        <v>Previsto</v>
      </c>
      <c r="O290" s="13" t="str">
        <f>IFERROR(INDEX(EXTRATO_IMPORTADO!$A$5:$A$404,MATCH(B290,EXTRATO_IMPORTADO!$I$5:$I$404,0)),"")</f>
        <v/>
      </c>
      <c r="P290" s="14" t="str">
        <f>IFERROR(INDEX(EXTRATO_IMPORTADO!$F$5:$F$404,MATCH(B290,EXTRATO_IMPORTADO!$I$5:$I$404,0)),"")</f>
        <v/>
      </c>
      <c r="Q290" s="26" t="str">
        <f>IFERROR(INDEX(EXTRATO_IMPORTADO!$B$5:$B$404,MATCH(B290,EXTRATO_IMPORTADO!$I$5:$I$404,0)),"")</f>
        <v/>
      </c>
      <c r="R290" s="26" t="str">
        <f>IFERROR(MATCH(B290,EXTRATO_IMPORTADO!$I$5:$I$404,0),"")</f>
        <v/>
      </c>
      <c r="S290" s="14" t="str">
        <f t="shared" si="13"/>
        <v/>
      </c>
      <c r="T290" s="33" t="str">
        <f t="shared" si="14"/>
        <v/>
      </c>
    </row>
    <row r="291" spans="1:20" x14ac:dyDescent="0.3">
      <c r="A291" s="26">
        <f>IF(BASE_CAIXA!A288="","",BASE_CAIXA!A288)</f>
        <v>287</v>
      </c>
      <c r="B291" s="26" t="str">
        <f>IF(A291="","",BASE_CAIXA!AL288)</f>
        <v>000287-DB</v>
      </c>
      <c r="C291" s="13">
        <f>IF(A291="","",BASE_CAIXA!AJ288)</f>
        <v>46171</v>
      </c>
      <c r="D291" s="26" t="str">
        <f>IF(A291="","",IF(BASE_CAIXA!C288="Entrada","Crédito","Débito"))</f>
        <v>Débito</v>
      </c>
      <c r="E291" s="14">
        <f>IF(A291="","",BASE_CAIXA!AA288)</f>
        <v>4188.8</v>
      </c>
      <c r="F291" s="26">
        <f>IF(A291="","",BASE_CAIXA!N288)</f>
        <v>0</v>
      </c>
      <c r="G291" s="26">
        <f>IF(A291="","",BASE_CAIXA!O288)</f>
        <v>0</v>
      </c>
      <c r="H291" s="26">
        <f>IF(A291="","",BASE_CAIXA!P288)</f>
        <v>0</v>
      </c>
      <c r="I291" s="26" t="str">
        <f>IF(A291="","",IF(BASE_CAIXA!H288&lt;&gt;"",BASE_CAIXA!H288,BASE_CAIXA!G288))</f>
        <v>Parafuso telheiro 1/4" x 110 mm com arruela/vedante: 150 un.</v>
      </c>
      <c r="J291" s="26" t="str">
        <f>IF(A291="","",BASE_CAIXA!G288)</f>
        <v>Parafuso telheiro 1/4" x 110 mm com arruela/vedante: 150 un.</v>
      </c>
      <c r="K291" s="26">
        <f>IF(A291="","",BASE_CAIXA!I288)</f>
        <v>0</v>
      </c>
      <c r="L291" s="26">
        <f>IF(A291="","",BASE_CAIXA!J288)</f>
        <v>0</v>
      </c>
      <c r="M291" s="26" t="str">
        <f>IF(A291="","",BASE_CAIXA!AM288)</f>
        <v>Parafuso telheiro 1/4" x 110 mm com arruela/vedante: 150 un.</v>
      </c>
      <c r="N291" s="26" t="str">
        <f t="shared" ca="1" si="12"/>
        <v>Previsto</v>
      </c>
      <c r="O291" s="13" t="str">
        <f>IFERROR(INDEX(EXTRATO_IMPORTADO!$A$5:$A$404,MATCH(B291,EXTRATO_IMPORTADO!$I$5:$I$404,0)),"")</f>
        <v/>
      </c>
      <c r="P291" s="14" t="str">
        <f>IFERROR(INDEX(EXTRATO_IMPORTADO!$F$5:$F$404,MATCH(B291,EXTRATO_IMPORTADO!$I$5:$I$404,0)),"")</f>
        <v/>
      </c>
      <c r="Q291" s="26" t="str">
        <f>IFERROR(INDEX(EXTRATO_IMPORTADO!$B$5:$B$404,MATCH(B291,EXTRATO_IMPORTADO!$I$5:$I$404,0)),"")</f>
        <v/>
      </c>
      <c r="R291" s="26" t="str">
        <f>IFERROR(MATCH(B291,EXTRATO_IMPORTADO!$I$5:$I$404,0),"")</f>
        <v/>
      </c>
      <c r="S291" s="14" t="str">
        <f t="shared" si="13"/>
        <v/>
      </c>
      <c r="T291" s="33" t="str">
        <f t="shared" si="14"/>
        <v/>
      </c>
    </row>
    <row r="292" spans="1:20" x14ac:dyDescent="0.3">
      <c r="A292" s="26">
        <f>IF(BASE_CAIXA!A289="","",BASE_CAIXA!A289)</f>
        <v>288</v>
      </c>
      <c r="B292" s="26" t="str">
        <f>IF(A292="","",BASE_CAIXA!AL289)</f>
        <v>000288-DB</v>
      </c>
      <c r="C292" s="13">
        <f>IF(A292="","",BASE_CAIXA!AJ289)</f>
        <v>46171</v>
      </c>
      <c r="D292" s="26" t="str">
        <f>IF(A292="","",IF(BASE_CAIXA!C289="Entrada","Crédito","Débito"))</f>
        <v>Débito</v>
      </c>
      <c r="E292" s="14">
        <f>IF(A292="","",BASE_CAIXA!AA289)</f>
        <v>38016</v>
      </c>
      <c r="F292" s="26">
        <f>IF(A292="","",BASE_CAIXA!N289)</f>
        <v>0</v>
      </c>
      <c r="G292" s="26">
        <f>IF(A292="","",BASE_CAIXA!O289)</f>
        <v>0</v>
      </c>
      <c r="H292" s="26">
        <f>IF(A292="","",BASE_CAIXA!P289)</f>
        <v>0</v>
      </c>
      <c r="I292" s="26" t="str">
        <f>IF(A292="","",IF(BASE_CAIXA!H289&lt;&gt;"",BASE_CAIXA!H289,BASE_CAIXA!G289))</f>
        <v>Telha fibrocimento 6mm 2,44x1,1m</v>
      </c>
      <c r="J292" s="26" t="str">
        <f>IF(A292="","",BASE_CAIXA!G289)</f>
        <v>Telha fibrocimento 6mm 2,44x1,1m</v>
      </c>
      <c r="K292" s="26">
        <f>IF(A292="","",BASE_CAIXA!I289)</f>
        <v>0</v>
      </c>
      <c r="L292" s="26">
        <f>IF(A292="","",BASE_CAIXA!J289)</f>
        <v>0</v>
      </c>
      <c r="M292" s="26" t="str">
        <f>IF(A292="","",BASE_CAIXA!AM289)</f>
        <v>Telha fibrocimento 6mm 2,44x1,1m | Telha fibrocimento 6mm 2,</v>
      </c>
      <c r="N292" s="26" t="str">
        <f t="shared" ca="1" si="12"/>
        <v>Previsto</v>
      </c>
      <c r="O292" s="13" t="str">
        <f>IFERROR(INDEX(EXTRATO_IMPORTADO!$A$5:$A$404,MATCH(B292,EXTRATO_IMPORTADO!$I$5:$I$404,0)),"")</f>
        <v/>
      </c>
      <c r="P292" s="14" t="str">
        <f>IFERROR(INDEX(EXTRATO_IMPORTADO!$F$5:$F$404,MATCH(B292,EXTRATO_IMPORTADO!$I$5:$I$404,0)),"")</f>
        <v/>
      </c>
      <c r="Q292" s="26" t="str">
        <f>IFERROR(INDEX(EXTRATO_IMPORTADO!$B$5:$B$404,MATCH(B292,EXTRATO_IMPORTADO!$I$5:$I$404,0)),"")</f>
        <v/>
      </c>
      <c r="R292" s="26" t="str">
        <f>IFERROR(MATCH(B292,EXTRATO_IMPORTADO!$I$5:$I$404,0),"")</f>
        <v/>
      </c>
      <c r="S292" s="14" t="str">
        <f t="shared" si="13"/>
        <v/>
      </c>
      <c r="T292" s="33" t="str">
        <f t="shared" si="14"/>
        <v/>
      </c>
    </row>
    <row r="293" spans="1:20" x14ac:dyDescent="0.3">
      <c r="A293" s="26">
        <f>IF(BASE_CAIXA!A290="","",BASE_CAIXA!A290)</f>
        <v>289</v>
      </c>
      <c r="B293" s="26" t="str">
        <f>IF(A293="","",BASE_CAIXA!AL290)</f>
        <v>000289-DB</v>
      </c>
      <c r="C293" s="13">
        <f>IF(A293="","",BASE_CAIXA!AJ290)</f>
        <v>46171</v>
      </c>
      <c r="D293" s="26" t="str">
        <f>IF(A293="","",IF(BASE_CAIXA!C290="Entrada","Crédito","Débito"))</f>
        <v>Débito</v>
      </c>
      <c r="E293" s="14">
        <f>IF(A293="","",BASE_CAIXA!AA290)</f>
        <v>1879.68</v>
      </c>
      <c r="F293" s="26">
        <f>IF(A293="","",BASE_CAIXA!N290)</f>
        <v>0</v>
      </c>
      <c r="G293" s="26">
        <f>IF(A293="","",BASE_CAIXA!O290)</f>
        <v>0</v>
      </c>
      <c r="H293" s="26">
        <f>IF(A293="","",BASE_CAIXA!P290)</f>
        <v>0</v>
      </c>
      <c r="I293" s="26" t="str">
        <f>IF(A293="","",IF(BASE_CAIXA!H290&lt;&gt;"",BASE_CAIXA!H290,BASE_CAIXA!G290))</f>
        <v>Lixa grao 150 -</v>
      </c>
      <c r="J293" s="26" t="str">
        <f>IF(A293="","",BASE_CAIXA!G290)</f>
        <v>Lixa grao 150 -</v>
      </c>
      <c r="K293" s="26">
        <f>IF(A293="","",BASE_CAIXA!I290)</f>
        <v>0</v>
      </c>
      <c r="L293" s="26">
        <f>IF(A293="","",BASE_CAIXA!J290)</f>
        <v>0</v>
      </c>
      <c r="M293" s="26" t="str">
        <f>IF(A293="","",BASE_CAIXA!AM290)</f>
        <v>Lixa grao 150 - | Lixa grao 150 - | Saída | EMASSAMENTO INTE</v>
      </c>
      <c r="N293" s="26" t="str">
        <f t="shared" ca="1" si="12"/>
        <v>Previsto</v>
      </c>
      <c r="O293" s="13" t="str">
        <f>IFERROR(INDEX(EXTRATO_IMPORTADO!$A$5:$A$404,MATCH(B293,EXTRATO_IMPORTADO!$I$5:$I$404,0)),"")</f>
        <v/>
      </c>
      <c r="P293" s="14" t="str">
        <f>IFERROR(INDEX(EXTRATO_IMPORTADO!$F$5:$F$404,MATCH(B293,EXTRATO_IMPORTADO!$I$5:$I$404,0)),"")</f>
        <v/>
      </c>
      <c r="Q293" s="26" t="str">
        <f>IFERROR(INDEX(EXTRATO_IMPORTADO!$B$5:$B$404,MATCH(B293,EXTRATO_IMPORTADO!$I$5:$I$404,0)),"")</f>
        <v/>
      </c>
      <c r="R293" s="26" t="str">
        <f>IFERROR(MATCH(B293,EXTRATO_IMPORTADO!$I$5:$I$404,0),"")</f>
        <v/>
      </c>
      <c r="S293" s="14" t="str">
        <f t="shared" si="13"/>
        <v/>
      </c>
      <c r="T293" s="33" t="str">
        <f t="shared" si="14"/>
        <v/>
      </c>
    </row>
    <row r="294" spans="1:20" x14ac:dyDescent="0.3">
      <c r="A294" s="26">
        <f>IF(BASE_CAIXA!A291="","",BASE_CAIXA!A291)</f>
        <v>290</v>
      </c>
      <c r="B294" s="26" t="str">
        <f>IF(A294="","",BASE_CAIXA!AL291)</f>
        <v>000290-DB</v>
      </c>
      <c r="C294" s="13">
        <f>IF(A294="","",BASE_CAIXA!AJ291)</f>
        <v>46171</v>
      </c>
      <c r="D294" s="26" t="str">
        <f>IF(A294="","",IF(BASE_CAIXA!C291="Entrada","Crédito","Débito"))</f>
        <v>Débito</v>
      </c>
      <c r="E294" s="14">
        <f>IF(A294="","",BASE_CAIXA!AA291)</f>
        <v>15260.7232</v>
      </c>
      <c r="F294" s="26">
        <f>IF(A294="","",BASE_CAIXA!N291)</f>
        <v>0</v>
      </c>
      <c r="G294" s="26">
        <f>IF(A294="","",BASE_CAIXA!O291)</f>
        <v>0</v>
      </c>
      <c r="H294" s="26">
        <f>IF(A294="","",BASE_CAIXA!P291)</f>
        <v>0</v>
      </c>
      <c r="I294" s="26" t="str">
        <f>IF(A294="","",IF(BASE_CAIXA!H291&lt;&gt;"",BASE_CAIXA!H291,BASE_CAIXA!G291))</f>
        <v>Mao de obra terceirizada Emassamento e lixamento  interno paredes e teto</v>
      </c>
      <c r="J294" s="26" t="str">
        <f>IF(A294="","",BASE_CAIXA!G291)</f>
        <v>Mao de obra terceirizada Emassamento e lixamento  interno paredes e teto</v>
      </c>
      <c r="K294" s="26">
        <f>IF(A294="","",BASE_CAIXA!I291)</f>
        <v>0</v>
      </c>
      <c r="L294" s="26">
        <f>IF(A294="","",BASE_CAIXA!J291)</f>
        <v>0</v>
      </c>
      <c r="M294" s="26" t="str">
        <f>IF(A294="","",BASE_CAIXA!AM291)</f>
        <v>Mao de obra terceirizada Emassamento e lixamento  interno pa</v>
      </c>
      <c r="N294" s="26" t="str">
        <f t="shared" ca="1" si="12"/>
        <v>Previsto</v>
      </c>
      <c r="O294" s="13" t="str">
        <f>IFERROR(INDEX(EXTRATO_IMPORTADO!$A$5:$A$404,MATCH(B294,EXTRATO_IMPORTADO!$I$5:$I$404,0)),"")</f>
        <v/>
      </c>
      <c r="P294" s="14" t="str">
        <f>IFERROR(INDEX(EXTRATO_IMPORTADO!$F$5:$F$404,MATCH(B294,EXTRATO_IMPORTADO!$I$5:$I$404,0)),"")</f>
        <v/>
      </c>
      <c r="Q294" s="26" t="str">
        <f>IFERROR(INDEX(EXTRATO_IMPORTADO!$B$5:$B$404,MATCH(B294,EXTRATO_IMPORTADO!$I$5:$I$404,0)),"")</f>
        <v/>
      </c>
      <c r="R294" s="26" t="str">
        <f>IFERROR(MATCH(B294,EXTRATO_IMPORTADO!$I$5:$I$404,0),"")</f>
        <v/>
      </c>
      <c r="S294" s="14" t="str">
        <f t="shared" si="13"/>
        <v/>
      </c>
      <c r="T294" s="33" t="str">
        <f t="shared" si="14"/>
        <v/>
      </c>
    </row>
    <row r="295" spans="1:20" x14ac:dyDescent="0.3">
      <c r="A295" s="26">
        <f>IF(BASE_CAIXA!A292="","",BASE_CAIXA!A292)</f>
        <v>291</v>
      </c>
      <c r="B295" s="26" t="str">
        <f>IF(A295="","",BASE_CAIXA!AL292)</f>
        <v>000291-DB</v>
      </c>
      <c r="C295" s="13">
        <f>IF(A295="","",BASE_CAIXA!AJ292)</f>
        <v>46171</v>
      </c>
      <c r="D295" s="26" t="str">
        <f>IF(A295="","",IF(BASE_CAIXA!C292="Entrada","Crédito","Débito"))</f>
        <v>Débito</v>
      </c>
      <c r="E295" s="14">
        <f>IF(A295="","",BASE_CAIXA!AA292)</f>
        <v>13622.4</v>
      </c>
      <c r="F295" s="26">
        <f>IF(A295="","",BASE_CAIXA!N292)</f>
        <v>0</v>
      </c>
      <c r="G295" s="26">
        <f>IF(A295="","",BASE_CAIXA!O292)</f>
        <v>0</v>
      </c>
      <c r="H295" s="26">
        <f>IF(A295="","",BASE_CAIXA!P292)</f>
        <v>0</v>
      </c>
      <c r="I295" s="26" t="str">
        <f>IF(A295="","",IF(BASE_CAIXA!H292&lt;&gt;"",BASE_CAIXA!H292,BASE_CAIXA!G292))</f>
        <v>Massa fina acabamento 18kg - branca</v>
      </c>
      <c r="J295" s="26" t="str">
        <f>IF(A295="","",BASE_CAIXA!G292)</f>
        <v>Massa fina acabamento 18kg - branca</v>
      </c>
      <c r="K295" s="26">
        <f>IF(A295="","",BASE_CAIXA!I292)</f>
        <v>0</v>
      </c>
      <c r="L295" s="26">
        <f>IF(A295="","",BASE_CAIXA!J292)</f>
        <v>0</v>
      </c>
      <c r="M295" s="26" t="str">
        <f>IF(A295="","",BASE_CAIXA!AM292)</f>
        <v xml:space="preserve">Massa fina acabamento 18kg - branca | Massa fina acabamento </v>
      </c>
      <c r="N295" s="26" t="str">
        <f t="shared" ca="1" si="12"/>
        <v>Previsto</v>
      </c>
      <c r="O295" s="13" t="str">
        <f>IFERROR(INDEX(EXTRATO_IMPORTADO!$A$5:$A$404,MATCH(B295,EXTRATO_IMPORTADO!$I$5:$I$404,0)),"")</f>
        <v/>
      </c>
      <c r="P295" s="14" t="str">
        <f>IFERROR(INDEX(EXTRATO_IMPORTADO!$F$5:$F$404,MATCH(B295,EXTRATO_IMPORTADO!$I$5:$I$404,0)),"")</f>
        <v/>
      </c>
      <c r="Q295" s="26" t="str">
        <f>IFERROR(INDEX(EXTRATO_IMPORTADO!$B$5:$B$404,MATCH(B295,EXTRATO_IMPORTADO!$I$5:$I$404,0)),"")</f>
        <v/>
      </c>
      <c r="R295" s="26" t="str">
        <f>IFERROR(MATCH(B295,EXTRATO_IMPORTADO!$I$5:$I$404,0),"")</f>
        <v/>
      </c>
      <c r="S295" s="14" t="str">
        <f t="shared" si="13"/>
        <v/>
      </c>
      <c r="T295" s="33" t="str">
        <f t="shared" si="14"/>
        <v/>
      </c>
    </row>
    <row r="296" spans="1:20" x14ac:dyDescent="0.3">
      <c r="A296" s="26">
        <f>IF(BASE_CAIXA!A293="","",BASE_CAIXA!A293)</f>
        <v>292</v>
      </c>
      <c r="B296" s="26" t="str">
        <f>IF(A296="","",BASE_CAIXA!AL293)</f>
        <v>000292-DB</v>
      </c>
      <c r="C296" s="13">
        <f>IF(A296="","",BASE_CAIXA!AJ293)</f>
        <v>46171</v>
      </c>
      <c r="D296" s="26" t="str">
        <f>IF(A296="","",IF(BASE_CAIXA!C293="Entrada","Crédito","Débito"))</f>
        <v>Débito</v>
      </c>
      <c r="E296" s="14">
        <f>IF(A296="","",BASE_CAIXA!AA293)</f>
        <v>46.464000000000013</v>
      </c>
      <c r="F296" s="26">
        <f>IF(A296="","",BASE_CAIXA!N293)</f>
        <v>0</v>
      </c>
      <c r="G296" s="26">
        <f>IF(A296="","",BASE_CAIXA!O293)</f>
        <v>0</v>
      </c>
      <c r="H296" s="26">
        <f>IF(A296="","",BASE_CAIXA!P293)</f>
        <v>0</v>
      </c>
      <c r="I296" s="26" t="str">
        <f>IF(A296="","",IF(BASE_CAIXA!H293&lt;&gt;"",BASE_CAIXA!H293,BASE_CAIXA!G293))</f>
        <v>Anel de vedação esg 100 mm</v>
      </c>
      <c r="J296" s="26" t="str">
        <f>IF(A296="","",BASE_CAIXA!G293)</f>
        <v>Anel de vedação esg 100 mm</v>
      </c>
      <c r="K296" s="26">
        <f>IF(A296="","",BASE_CAIXA!I293)</f>
        <v>0</v>
      </c>
      <c r="L296" s="26">
        <f>IF(A296="","",BASE_CAIXA!J293)</f>
        <v>0</v>
      </c>
      <c r="M296" s="26" t="str">
        <f>IF(A296="","",BASE_CAIXA!AM293)</f>
        <v>Anel de vedação esg 100 mm | Anel de vedação esg 100 mm | Sa</v>
      </c>
      <c r="N296" s="26" t="str">
        <f t="shared" ca="1" si="12"/>
        <v>Previsto</v>
      </c>
      <c r="O296" s="13" t="str">
        <f>IFERROR(INDEX(EXTRATO_IMPORTADO!$A$5:$A$404,MATCH(B296,EXTRATO_IMPORTADO!$I$5:$I$404,0)),"")</f>
        <v/>
      </c>
      <c r="P296" s="14" t="str">
        <f>IFERROR(INDEX(EXTRATO_IMPORTADO!$F$5:$F$404,MATCH(B296,EXTRATO_IMPORTADO!$I$5:$I$404,0)),"")</f>
        <v/>
      </c>
      <c r="Q296" s="26" t="str">
        <f>IFERROR(INDEX(EXTRATO_IMPORTADO!$B$5:$B$404,MATCH(B296,EXTRATO_IMPORTADO!$I$5:$I$404,0)),"")</f>
        <v/>
      </c>
      <c r="R296" s="26" t="str">
        <f>IFERROR(MATCH(B296,EXTRATO_IMPORTADO!$I$5:$I$404,0),"")</f>
        <v/>
      </c>
      <c r="S296" s="14" t="str">
        <f t="shared" si="13"/>
        <v/>
      </c>
      <c r="T296" s="33" t="str">
        <f t="shared" si="14"/>
        <v/>
      </c>
    </row>
    <row r="297" spans="1:20" x14ac:dyDescent="0.3">
      <c r="A297" s="26">
        <f>IF(BASE_CAIXA!A294="","",BASE_CAIXA!A294)</f>
        <v>293</v>
      </c>
      <c r="B297" s="26" t="str">
        <f>IF(A297="","",BASE_CAIXA!AL294)</f>
        <v>000293-DB</v>
      </c>
      <c r="C297" s="13">
        <f>IF(A297="","",BASE_CAIXA!AJ294)</f>
        <v>46171</v>
      </c>
      <c r="D297" s="26" t="str">
        <f>IF(A297="","",IF(BASE_CAIXA!C294="Entrada","Crédito","Débito"))</f>
        <v>Débito</v>
      </c>
      <c r="E297" s="14">
        <f>IF(A297="","",BASE_CAIXA!AA294)</f>
        <v>675.84</v>
      </c>
      <c r="F297" s="26">
        <f>IF(A297="","",BASE_CAIXA!N294)</f>
        <v>0</v>
      </c>
      <c r="G297" s="26">
        <f>IF(A297="","",BASE_CAIXA!O294)</f>
        <v>0</v>
      </c>
      <c r="H297" s="26">
        <f>IF(A297="","",BASE_CAIXA!P294)</f>
        <v>0</v>
      </c>
      <c r="I297" s="26" t="str">
        <f>IF(A297="","",IF(BASE_CAIXA!H294&lt;&gt;"",BASE_CAIXA!H294,BASE_CAIXA!G294))</f>
        <v>Caixa Sifonada com grelha quadrada PVC DN 150x150x50 com junta soldável para ramal de esgoto sanitário</v>
      </c>
      <c r="J297" s="26" t="str">
        <f>IF(A297="","",BASE_CAIXA!G294)</f>
        <v>Caixa Sifonada com grelha quadrada PVC DN 150x150x50 com junta soldável para ramal de esgoto sanitário</v>
      </c>
      <c r="K297" s="26">
        <f>IF(A297="","",BASE_CAIXA!I294)</f>
        <v>0</v>
      </c>
      <c r="L297" s="26">
        <f>IF(A297="","",BASE_CAIXA!J294)</f>
        <v>0</v>
      </c>
      <c r="M297" s="26" t="str">
        <f>IF(A297="","",BASE_CAIXA!AM294)</f>
        <v>Caixa Sifonada com grelha quadrada PVC DN 150x150x50 com jun</v>
      </c>
      <c r="N297" s="26" t="str">
        <f t="shared" ca="1" si="12"/>
        <v>Previsto</v>
      </c>
      <c r="O297" s="13" t="str">
        <f>IFERROR(INDEX(EXTRATO_IMPORTADO!$A$5:$A$404,MATCH(B297,EXTRATO_IMPORTADO!$I$5:$I$404,0)),"")</f>
        <v/>
      </c>
      <c r="P297" s="14" t="str">
        <f>IFERROR(INDEX(EXTRATO_IMPORTADO!$F$5:$F$404,MATCH(B297,EXTRATO_IMPORTADO!$I$5:$I$404,0)),"")</f>
        <v/>
      </c>
      <c r="Q297" s="26" t="str">
        <f>IFERROR(INDEX(EXTRATO_IMPORTADO!$B$5:$B$404,MATCH(B297,EXTRATO_IMPORTADO!$I$5:$I$404,0)),"")</f>
        <v/>
      </c>
      <c r="R297" s="26" t="str">
        <f>IFERROR(MATCH(B297,EXTRATO_IMPORTADO!$I$5:$I$404,0),"")</f>
        <v/>
      </c>
      <c r="S297" s="14" t="str">
        <f t="shared" si="13"/>
        <v/>
      </c>
      <c r="T297" s="33" t="str">
        <f t="shared" si="14"/>
        <v/>
      </c>
    </row>
    <row r="298" spans="1:20" x14ac:dyDescent="0.3">
      <c r="A298" s="26">
        <f>IF(BASE_CAIXA!A295="","",BASE_CAIXA!A295)</f>
        <v>294</v>
      </c>
      <c r="B298" s="26" t="str">
        <f>IF(A298="","",BASE_CAIXA!AL295)</f>
        <v>000294-DB</v>
      </c>
      <c r="C298" s="13">
        <f>IF(A298="","",BASE_CAIXA!AJ295)</f>
        <v>46171</v>
      </c>
      <c r="D298" s="26" t="str">
        <f>IF(A298="","",IF(BASE_CAIXA!C295="Entrada","Crédito","Débito"))</f>
        <v>Débito</v>
      </c>
      <c r="E298" s="14">
        <f>IF(A298="","",BASE_CAIXA!AA295)</f>
        <v>295.46879999999999</v>
      </c>
      <c r="F298" s="26">
        <f>IF(A298="","",BASE_CAIXA!N295)</f>
        <v>0</v>
      </c>
      <c r="G298" s="26">
        <f>IF(A298="","",BASE_CAIXA!O295)</f>
        <v>0</v>
      </c>
      <c r="H298" s="26">
        <f>IF(A298="","",BASE_CAIXA!P295)</f>
        <v>0</v>
      </c>
      <c r="I298" s="26" t="str">
        <f>IF(A298="","",IF(BASE_CAIXA!H295&lt;&gt;"",BASE_CAIXA!H295,BASE_CAIXA!G295))</f>
        <v>Cola de cano PVC 175g</v>
      </c>
      <c r="J298" s="26" t="str">
        <f>IF(A298="","",BASE_CAIXA!G295)</f>
        <v>Cola de cano PVC 175g</v>
      </c>
      <c r="K298" s="26">
        <f>IF(A298="","",BASE_CAIXA!I295)</f>
        <v>0</v>
      </c>
      <c r="L298" s="26">
        <f>IF(A298="","",BASE_CAIXA!J295)</f>
        <v>0</v>
      </c>
      <c r="M298" s="26" t="str">
        <f>IF(A298="","",BASE_CAIXA!AM295)</f>
        <v>Cola de cano PVC 175g | Cola de cano PVC 175g | Saída | ESPE</v>
      </c>
      <c r="N298" s="26" t="str">
        <f t="shared" ca="1" si="12"/>
        <v>Previsto</v>
      </c>
      <c r="O298" s="13" t="str">
        <f>IFERROR(INDEX(EXTRATO_IMPORTADO!$A$5:$A$404,MATCH(B298,EXTRATO_IMPORTADO!$I$5:$I$404,0)),"")</f>
        <v/>
      </c>
      <c r="P298" s="14" t="str">
        <f>IFERROR(INDEX(EXTRATO_IMPORTADO!$F$5:$F$404,MATCH(B298,EXTRATO_IMPORTADO!$I$5:$I$404,0)),"")</f>
        <v/>
      </c>
      <c r="Q298" s="26" t="str">
        <f>IFERROR(INDEX(EXTRATO_IMPORTADO!$B$5:$B$404,MATCH(B298,EXTRATO_IMPORTADO!$I$5:$I$404,0)),"")</f>
        <v/>
      </c>
      <c r="R298" s="26" t="str">
        <f>IFERROR(MATCH(B298,EXTRATO_IMPORTADO!$I$5:$I$404,0),"")</f>
        <v/>
      </c>
      <c r="S298" s="14" t="str">
        <f t="shared" si="13"/>
        <v/>
      </c>
      <c r="T298" s="33" t="str">
        <f t="shared" si="14"/>
        <v/>
      </c>
    </row>
    <row r="299" spans="1:20" x14ac:dyDescent="0.3">
      <c r="A299" s="26">
        <f>IF(BASE_CAIXA!A296="","",BASE_CAIXA!A296)</f>
        <v>295</v>
      </c>
      <c r="B299" s="26" t="str">
        <f>IF(A299="","",BASE_CAIXA!AL296)</f>
        <v>000295-DB</v>
      </c>
      <c r="C299" s="13">
        <f>IF(A299="","",BASE_CAIXA!AJ296)</f>
        <v>46171</v>
      </c>
      <c r="D299" s="26" t="str">
        <f>IF(A299="","",IF(BASE_CAIXA!C296="Entrada","Crédito","Débito"))</f>
        <v>Débito</v>
      </c>
      <c r="E299" s="14">
        <f>IF(A299="","",BASE_CAIXA!AA296)</f>
        <v>29.568000000000001</v>
      </c>
      <c r="F299" s="26">
        <f>IF(A299="","",BASE_CAIXA!N296)</f>
        <v>0</v>
      </c>
      <c r="G299" s="26">
        <f>IF(A299="","",BASE_CAIXA!O296)</f>
        <v>0</v>
      </c>
      <c r="H299" s="26">
        <f>IF(A299="","",BASE_CAIXA!P296)</f>
        <v>0</v>
      </c>
      <c r="I299" s="26" t="str">
        <f>IF(A299="","",IF(BASE_CAIXA!H296&lt;&gt;"",BASE_CAIXA!H296,BASE_CAIXA!G296))</f>
        <v>Joelho 45º PVC DN 40mm branco rígido para esgoto sanitário predial</v>
      </c>
      <c r="J299" s="26" t="str">
        <f>IF(A299="","",BASE_CAIXA!G296)</f>
        <v>Joelho 45º PVC DN 40mm branco rígido para esgoto sanitário predial</v>
      </c>
      <c r="K299" s="26">
        <f>IF(A299="","",BASE_CAIXA!I296)</f>
        <v>0</v>
      </c>
      <c r="L299" s="26">
        <f>IF(A299="","",BASE_CAIXA!J296)</f>
        <v>0</v>
      </c>
      <c r="M299" s="26" t="str">
        <f>IF(A299="","",BASE_CAIXA!AM296)</f>
        <v>Joelho 45º PVC DN 40mm branco rígido para esgoto sanitário p</v>
      </c>
      <c r="N299" s="26" t="str">
        <f t="shared" ca="1" si="12"/>
        <v>Previsto</v>
      </c>
      <c r="O299" s="13" t="str">
        <f>IFERROR(INDEX(EXTRATO_IMPORTADO!$A$5:$A$404,MATCH(B299,EXTRATO_IMPORTADO!$I$5:$I$404,0)),"")</f>
        <v/>
      </c>
      <c r="P299" s="14" t="str">
        <f>IFERROR(INDEX(EXTRATO_IMPORTADO!$F$5:$F$404,MATCH(B299,EXTRATO_IMPORTADO!$I$5:$I$404,0)),"")</f>
        <v/>
      </c>
      <c r="Q299" s="26" t="str">
        <f>IFERROR(INDEX(EXTRATO_IMPORTADO!$B$5:$B$404,MATCH(B299,EXTRATO_IMPORTADO!$I$5:$I$404,0)),"")</f>
        <v/>
      </c>
      <c r="R299" s="26" t="str">
        <f>IFERROR(MATCH(B299,EXTRATO_IMPORTADO!$I$5:$I$404,0),"")</f>
        <v/>
      </c>
      <c r="S299" s="14" t="str">
        <f t="shared" si="13"/>
        <v/>
      </c>
      <c r="T299" s="33" t="str">
        <f t="shared" si="14"/>
        <v/>
      </c>
    </row>
    <row r="300" spans="1:20" x14ac:dyDescent="0.3">
      <c r="A300" s="26">
        <f>IF(BASE_CAIXA!A297="","",BASE_CAIXA!A297)</f>
        <v>296</v>
      </c>
      <c r="B300" s="26" t="str">
        <f>IF(A300="","",BASE_CAIXA!AL297)</f>
        <v>000296-DB</v>
      </c>
      <c r="C300" s="13">
        <f>IF(A300="","",BASE_CAIXA!AJ297)</f>
        <v>46171</v>
      </c>
      <c r="D300" s="26" t="str">
        <f>IF(A300="","",IF(BASE_CAIXA!C297="Entrada","Crédito","Débito"))</f>
        <v>Débito</v>
      </c>
      <c r="E300" s="14">
        <f>IF(A300="","",BASE_CAIXA!AA297)</f>
        <v>126.72</v>
      </c>
      <c r="F300" s="26">
        <f>IF(A300="","",BASE_CAIXA!N297)</f>
        <v>0</v>
      </c>
      <c r="G300" s="26">
        <f>IF(A300="","",BASE_CAIXA!O297)</f>
        <v>0</v>
      </c>
      <c r="H300" s="26">
        <f>IF(A300="","",BASE_CAIXA!P297)</f>
        <v>0</v>
      </c>
      <c r="I300" s="26" t="str">
        <f>IF(A300="","",IF(BASE_CAIXA!H297&lt;&gt;"",BASE_CAIXA!H297,BASE_CAIXA!G297))</f>
        <v>Joelho 45º PVC DN 50mm branco rígido para esgoto sanitário predial</v>
      </c>
      <c r="J300" s="26" t="str">
        <f>IF(A300="","",BASE_CAIXA!G297)</f>
        <v>Joelho 45º PVC DN 50mm branco rígido para esgoto sanitário predial</v>
      </c>
      <c r="K300" s="26">
        <f>IF(A300="","",BASE_CAIXA!I297)</f>
        <v>0</v>
      </c>
      <c r="L300" s="26">
        <f>IF(A300="","",BASE_CAIXA!J297)</f>
        <v>0</v>
      </c>
      <c r="M300" s="26" t="str">
        <f>IF(A300="","",BASE_CAIXA!AM297)</f>
        <v>Joelho 45º PVC DN 50mm branco rígido para esgoto sanitário p</v>
      </c>
      <c r="N300" s="26" t="str">
        <f t="shared" ca="1" si="12"/>
        <v>Previsto</v>
      </c>
      <c r="O300" s="13" t="str">
        <f>IFERROR(INDEX(EXTRATO_IMPORTADO!$A$5:$A$404,MATCH(B300,EXTRATO_IMPORTADO!$I$5:$I$404,0)),"")</f>
        <v/>
      </c>
      <c r="P300" s="14" t="str">
        <f>IFERROR(INDEX(EXTRATO_IMPORTADO!$F$5:$F$404,MATCH(B300,EXTRATO_IMPORTADO!$I$5:$I$404,0)),"")</f>
        <v/>
      </c>
      <c r="Q300" s="26" t="str">
        <f>IFERROR(INDEX(EXTRATO_IMPORTADO!$B$5:$B$404,MATCH(B300,EXTRATO_IMPORTADO!$I$5:$I$404,0)),"")</f>
        <v/>
      </c>
      <c r="R300" s="26" t="str">
        <f>IFERROR(MATCH(B300,EXTRATO_IMPORTADO!$I$5:$I$404,0),"")</f>
        <v/>
      </c>
      <c r="S300" s="14" t="str">
        <f t="shared" si="13"/>
        <v/>
      </c>
      <c r="T300" s="33" t="str">
        <f t="shared" si="14"/>
        <v/>
      </c>
    </row>
    <row r="301" spans="1:20" x14ac:dyDescent="0.3">
      <c r="A301" s="26">
        <f>IF(BASE_CAIXA!A298="","",BASE_CAIXA!A298)</f>
        <v>297</v>
      </c>
      <c r="B301" s="26" t="str">
        <f>IF(A301="","",BASE_CAIXA!AL298)</f>
        <v>000297-DB</v>
      </c>
      <c r="C301" s="13">
        <f>IF(A301="","",BASE_CAIXA!AJ298)</f>
        <v>46171</v>
      </c>
      <c r="D301" s="26" t="str">
        <f>IF(A301="","",IF(BASE_CAIXA!C298="Entrada","Crédito","Débito"))</f>
        <v>Débito</v>
      </c>
      <c r="E301" s="14">
        <f>IF(A301="","",BASE_CAIXA!AA298)</f>
        <v>295.46879999999999</v>
      </c>
      <c r="F301" s="26">
        <f>IF(A301="","",BASE_CAIXA!N298)</f>
        <v>0</v>
      </c>
      <c r="G301" s="26">
        <f>IF(A301="","",BASE_CAIXA!O298)</f>
        <v>0</v>
      </c>
      <c r="H301" s="26">
        <f>IF(A301="","",BASE_CAIXA!P298)</f>
        <v>0</v>
      </c>
      <c r="I301" s="26" t="str">
        <f>IF(A301="","",IF(BASE_CAIXA!H298&lt;&gt;"",BASE_CAIXA!H298,BASE_CAIXA!G298))</f>
        <v>Joelho 90º PVC DN 100mm branco rígido para esgoto sanitário predial</v>
      </c>
      <c r="J301" s="26" t="str">
        <f>IF(A301="","",BASE_CAIXA!G298)</f>
        <v>Joelho 90º PVC DN 100mm branco rígido para esgoto sanitário predial</v>
      </c>
      <c r="K301" s="26">
        <f>IF(A301="","",BASE_CAIXA!I298)</f>
        <v>0</v>
      </c>
      <c r="L301" s="26">
        <f>IF(A301="","",BASE_CAIXA!J298)</f>
        <v>0</v>
      </c>
      <c r="M301" s="26" t="str">
        <f>IF(A301="","",BASE_CAIXA!AM298)</f>
        <v xml:space="preserve">Joelho 90º PVC DN 100mm branco rígido para esgoto sanitário </v>
      </c>
      <c r="N301" s="26" t="str">
        <f t="shared" ca="1" si="12"/>
        <v>Previsto</v>
      </c>
      <c r="O301" s="13" t="str">
        <f>IFERROR(INDEX(EXTRATO_IMPORTADO!$A$5:$A$404,MATCH(B301,EXTRATO_IMPORTADO!$I$5:$I$404,0)),"")</f>
        <v/>
      </c>
      <c r="P301" s="14" t="str">
        <f>IFERROR(INDEX(EXTRATO_IMPORTADO!$F$5:$F$404,MATCH(B301,EXTRATO_IMPORTADO!$I$5:$I$404,0)),"")</f>
        <v/>
      </c>
      <c r="Q301" s="26" t="str">
        <f>IFERROR(INDEX(EXTRATO_IMPORTADO!$B$5:$B$404,MATCH(B301,EXTRATO_IMPORTADO!$I$5:$I$404,0)),"")</f>
        <v/>
      </c>
      <c r="R301" s="26" t="str">
        <f>IFERROR(MATCH(B301,EXTRATO_IMPORTADO!$I$5:$I$404,0),"")</f>
        <v/>
      </c>
      <c r="S301" s="14" t="str">
        <f t="shared" si="13"/>
        <v/>
      </c>
      <c r="T301" s="33" t="str">
        <f t="shared" si="14"/>
        <v/>
      </c>
    </row>
    <row r="302" spans="1:20" x14ac:dyDescent="0.3">
      <c r="A302" s="26">
        <f>IF(BASE_CAIXA!A299="","",BASE_CAIXA!A299)</f>
        <v>298</v>
      </c>
      <c r="B302" s="26" t="str">
        <f>IF(A302="","",BASE_CAIXA!AL299)</f>
        <v>000298-DB</v>
      </c>
      <c r="C302" s="13">
        <f>IF(A302="","",BASE_CAIXA!AJ299)</f>
        <v>46171</v>
      </c>
      <c r="D302" s="26" t="str">
        <f>IF(A302="","",IF(BASE_CAIXA!C299="Entrada","Crédito","Débito"))</f>
        <v>Débito</v>
      </c>
      <c r="E302" s="14">
        <f>IF(A302="","",BASE_CAIXA!AA299)</f>
        <v>130.52160000000001</v>
      </c>
      <c r="F302" s="26">
        <f>IF(A302="","",BASE_CAIXA!N299)</f>
        <v>0</v>
      </c>
      <c r="G302" s="26">
        <f>IF(A302="","",BASE_CAIXA!O299)</f>
        <v>0</v>
      </c>
      <c r="H302" s="26">
        <f>IF(A302="","",BASE_CAIXA!P299)</f>
        <v>0</v>
      </c>
      <c r="I302" s="26" t="str">
        <f>IF(A302="","",IF(BASE_CAIXA!H299&lt;&gt;"",BASE_CAIXA!H299,BASE_CAIXA!G299))</f>
        <v>Joelho 90º PVC DN 40mm branco rígido para esgoto sanitário predial</v>
      </c>
      <c r="J302" s="26" t="str">
        <f>IF(A302="","",BASE_CAIXA!G299)</f>
        <v>Joelho 90º PVC DN 40mm branco rígido para esgoto sanitário predial</v>
      </c>
      <c r="K302" s="26">
        <f>IF(A302="","",BASE_CAIXA!I299)</f>
        <v>0</v>
      </c>
      <c r="L302" s="26">
        <f>IF(A302="","",BASE_CAIXA!J299)</f>
        <v>0</v>
      </c>
      <c r="M302" s="26" t="str">
        <f>IF(A302="","",BASE_CAIXA!AM299)</f>
        <v>Joelho 90º PVC DN 40mm branco rígido para esgoto sanitário p</v>
      </c>
      <c r="N302" s="26" t="str">
        <f t="shared" ca="1" si="12"/>
        <v>Previsto</v>
      </c>
      <c r="O302" s="13" t="str">
        <f>IFERROR(INDEX(EXTRATO_IMPORTADO!$A$5:$A$404,MATCH(B302,EXTRATO_IMPORTADO!$I$5:$I$404,0)),"")</f>
        <v/>
      </c>
      <c r="P302" s="14" t="str">
        <f>IFERROR(INDEX(EXTRATO_IMPORTADO!$F$5:$F$404,MATCH(B302,EXTRATO_IMPORTADO!$I$5:$I$404,0)),"")</f>
        <v/>
      </c>
      <c r="Q302" s="26" t="str">
        <f>IFERROR(INDEX(EXTRATO_IMPORTADO!$B$5:$B$404,MATCH(B302,EXTRATO_IMPORTADO!$I$5:$I$404,0)),"")</f>
        <v/>
      </c>
      <c r="R302" s="26" t="str">
        <f>IFERROR(MATCH(B302,EXTRATO_IMPORTADO!$I$5:$I$404,0),"")</f>
        <v/>
      </c>
      <c r="S302" s="14" t="str">
        <f t="shared" si="13"/>
        <v/>
      </c>
      <c r="T302" s="33" t="str">
        <f t="shared" si="14"/>
        <v/>
      </c>
    </row>
    <row r="303" spans="1:20" x14ac:dyDescent="0.3">
      <c r="A303" s="26">
        <f>IF(BASE_CAIXA!A300="","",BASE_CAIXA!A300)</f>
        <v>299</v>
      </c>
      <c r="B303" s="26" t="str">
        <f>IF(A303="","",BASE_CAIXA!AL300)</f>
        <v>000299-DB</v>
      </c>
      <c r="C303" s="13">
        <f>IF(A303="","",BASE_CAIXA!AJ300)</f>
        <v>46171</v>
      </c>
      <c r="D303" s="26" t="str">
        <f>IF(A303="","",IF(BASE_CAIXA!C300="Entrada","Crédito","Débito"))</f>
        <v>Débito</v>
      </c>
      <c r="E303" s="14">
        <f>IF(A303="","",BASE_CAIXA!AA300)</f>
        <v>724.83840000000009</v>
      </c>
      <c r="F303" s="26">
        <f>IF(A303="","",BASE_CAIXA!N300)</f>
        <v>0</v>
      </c>
      <c r="G303" s="26">
        <f>IF(A303="","",BASE_CAIXA!O300)</f>
        <v>0</v>
      </c>
      <c r="H303" s="26">
        <f>IF(A303="","",BASE_CAIXA!P300)</f>
        <v>0</v>
      </c>
      <c r="I303" s="26" t="str">
        <f>IF(A303="","",IF(BASE_CAIXA!H300&lt;&gt;"",BASE_CAIXA!H300,BASE_CAIXA!G300))</f>
        <v>Joelho 90º PVC DN 50mm branco junta elástica para esgoto sanitário</v>
      </c>
      <c r="J303" s="26" t="str">
        <f>IF(A303="","",BASE_CAIXA!G300)</f>
        <v>Joelho 90º PVC DN 50mm branco junta elástica para esgoto sanitário</v>
      </c>
      <c r="K303" s="26">
        <f>IF(A303="","",BASE_CAIXA!I300)</f>
        <v>0</v>
      </c>
      <c r="L303" s="26">
        <f>IF(A303="","",BASE_CAIXA!J300)</f>
        <v>0</v>
      </c>
      <c r="M303" s="26" t="str">
        <f>IF(A303="","",BASE_CAIXA!AM300)</f>
        <v>Joelho 90º PVC DN 50mm branco junta elástica para esgoto san</v>
      </c>
      <c r="N303" s="26" t="str">
        <f t="shared" ca="1" si="12"/>
        <v>Previsto</v>
      </c>
      <c r="O303" s="13" t="str">
        <f>IFERROR(INDEX(EXTRATO_IMPORTADO!$A$5:$A$404,MATCH(B303,EXTRATO_IMPORTADO!$I$5:$I$404,0)),"")</f>
        <v/>
      </c>
      <c r="P303" s="14" t="str">
        <f>IFERROR(INDEX(EXTRATO_IMPORTADO!$F$5:$F$404,MATCH(B303,EXTRATO_IMPORTADO!$I$5:$I$404,0)),"")</f>
        <v/>
      </c>
      <c r="Q303" s="26" t="str">
        <f>IFERROR(INDEX(EXTRATO_IMPORTADO!$B$5:$B$404,MATCH(B303,EXTRATO_IMPORTADO!$I$5:$I$404,0)),"")</f>
        <v/>
      </c>
      <c r="R303" s="26" t="str">
        <f>IFERROR(MATCH(B303,EXTRATO_IMPORTADO!$I$5:$I$404,0),"")</f>
        <v/>
      </c>
      <c r="S303" s="14" t="str">
        <f t="shared" si="13"/>
        <v/>
      </c>
      <c r="T303" s="33" t="str">
        <f t="shared" si="14"/>
        <v/>
      </c>
    </row>
    <row r="304" spans="1:20" x14ac:dyDescent="0.3">
      <c r="A304" s="26">
        <f>IF(BASE_CAIXA!A301="","",BASE_CAIXA!A301)</f>
        <v>300</v>
      </c>
      <c r="B304" s="26" t="str">
        <f>IF(A304="","",BASE_CAIXA!AL301)</f>
        <v>000300-DB</v>
      </c>
      <c r="C304" s="13">
        <f>IF(A304="","",BASE_CAIXA!AJ301)</f>
        <v>46171</v>
      </c>
      <c r="D304" s="26" t="str">
        <f>IF(A304="","",IF(BASE_CAIXA!C301="Entrada","Crédito","Débito"))</f>
        <v>Débito</v>
      </c>
      <c r="E304" s="14">
        <f>IF(A304="","",BASE_CAIXA!AA301)</f>
        <v>40.128</v>
      </c>
      <c r="F304" s="26">
        <f>IF(A304="","",BASE_CAIXA!N301)</f>
        <v>0</v>
      </c>
      <c r="G304" s="26">
        <f>IF(A304="","",BASE_CAIXA!O301)</f>
        <v>0</v>
      </c>
      <c r="H304" s="26">
        <f>IF(A304="","",BASE_CAIXA!P301)</f>
        <v>0</v>
      </c>
      <c r="I304" s="26" t="str">
        <f>IF(A304="","",IF(BASE_CAIXA!H301&lt;&gt;"",BASE_CAIXA!H301,BASE_CAIXA!G301))</f>
        <v>Joelho 90º marrom DN 25mm soldável para água fria</v>
      </c>
      <c r="J304" s="26" t="str">
        <f>IF(A304="","",BASE_CAIXA!G301)</f>
        <v>Joelho 90º marrom DN 25mm soldável para água fria</v>
      </c>
      <c r="K304" s="26">
        <f>IF(A304="","",BASE_CAIXA!I301)</f>
        <v>0</v>
      </c>
      <c r="L304" s="26">
        <f>IF(A304="","",BASE_CAIXA!J301)</f>
        <v>0</v>
      </c>
      <c r="M304" s="26" t="str">
        <f>IF(A304="","",BASE_CAIXA!AM301)</f>
        <v>Joelho 90º marrom DN 25mm soldável para água fria | Joelho 9</v>
      </c>
      <c r="N304" s="26" t="str">
        <f t="shared" ca="1" si="12"/>
        <v>Previsto</v>
      </c>
      <c r="O304" s="13" t="str">
        <f>IFERROR(INDEX(EXTRATO_IMPORTADO!$A$5:$A$404,MATCH(B304,EXTRATO_IMPORTADO!$I$5:$I$404,0)),"")</f>
        <v/>
      </c>
      <c r="P304" s="14" t="str">
        <f>IFERROR(INDEX(EXTRATO_IMPORTADO!$F$5:$F$404,MATCH(B304,EXTRATO_IMPORTADO!$I$5:$I$404,0)),"")</f>
        <v/>
      </c>
      <c r="Q304" s="26" t="str">
        <f>IFERROR(INDEX(EXTRATO_IMPORTADO!$B$5:$B$404,MATCH(B304,EXTRATO_IMPORTADO!$I$5:$I$404,0)),"")</f>
        <v/>
      </c>
      <c r="R304" s="26" t="str">
        <f>IFERROR(MATCH(B304,EXTRATO_IMPORTADO!$I$5:$I$404,0),"")</f>
        <v/>
      </c>
      <c r="S304" s="14" t="str">
        <f t="shared" si="13"/>
        <v/>
      </c>
      <c r="T304" s="33" t="str">
        <f t="shared" si="14"/>
        <v/>
      </c>
    </row>
    <row r="305" spans="1:20" x14ac:dyDescent="0.3">
      <c r="A305" s="26">
        <f>IF(BASE_CAIXA!A302="","",BASE_CAIXA!A302)</f>
        <v>301</v>
      </c>
      <c r="B305" s="26" t="str">
        <f>IF(A305="","",BASE_CAIXA!AL302)</f>
        <v>000301-DB</v>
      </c>
      <c r="C305" s="13">
        <f>IF(A305="","",BASE_CAIXA!AJ302)</f>
        <v>46171</v>
      </c>
      <c r="D305" s="26" t="str">
        <f>IF(A305="","",IF(BASE_CAIXA!C302="Entrada","Crédito","Débito"))</f>
        <v>Débito</v>
      </c>
      <c r="E305" s="14">
        <f>IF(A305="","",BASE_CAIXA!AA302)</f>
        <v>455.34719999999999</v>
      </c>
      <c r="F305" s="26">
        <f>IF(A305="","",BASE_CAIXA!N302)</f>
        <v>0</v>
      </c>
      <c r="G305" s="26">
        <f>IF(A305="","",BASE_CAIXA!O302)</f>
        <v>0</v>
      </c>
      <c r="H305" s="26">
        <f>IF(A305="","",BASE_CAIXA!P302)</f>
        <v>0</v>
      </c>
      <c r="I305" s="26" t="str">
        <f>IF(A305="","",IF(BASE_CAIXA!H302&lt;&gt;"",BASE_CAIXA!H302,BASE_CAIXA!G302))</f>
        <v>Junção de Redução invertica PVC DN 100x50mm branco rígido para esgoto sanitário predial</v>
      </c>
      <c r="J305" s="26" t="str">
        <f>IF(A305="","",BASE_CAIXA!G302)</f>
        <v>Junção de Redução invertica PVC DN 100x50mm branco rígido para esgoto sanitário predial</v>
      </c>
      <c r="K305" s="26">
        <f>IF(A305="","",BASE_CAIXA!I302)</f>
        <v>0</v>
      </c>
      <c r="L305" s="26">
        <f>IF(A305="","",BASE_CAIXA!J302)</f>
        <v>0</v>
      </c>
      <c r="M305" s="26" t="str">
        <f>IF(A305="","",BASE_CAIXA!AM302)</f>
        <v>Junção de Redução invertica PVC DN 100x50mm branco rígido pa</v>
      </c>
      <c r="N305" s="26" t="str">
        <f t="shared" ca="1" si="12"/>
        <v>Previsto</v>
      </c>
      <c r="O305" s="13" t="str">
        <f>IFERROR(INDEX(EXTRATO_IMPORTADO!$A$5:$A$404,MATCH(B305,EXTRATO_IMPORTADO!$I$5:$I$404,0)),"")</f>
        <v/>
      </c>
      <c r="P305" s="14" t="str">
        <f>IFERROR(INDEX(EXTRATO_IMPORTADO!$F$5:$F$404,MATCH(B305,EXTRATO_IMPORTADO!$I$5:$I$404,0)),"")</f>
        <v/>
      </c>
      <c r="Q305" s="26" t="str">
        <f>IFERROR(INDEX(EXTRATO_IMPORTADO!$B$5:$B$404,MATCH(B305,EXTRATO_IMPORTADO!$I$5:$I$404,0)),"")</f>
        <v/>
      </c>
      <c r="R305" s="26" t="str">
        <f>IFERROR(MATCH(B305,EXTRATO_IMPORTADO!$I$5:$I$404,0),"")</f>
        <v/>
      </c>
      <c r="S305" s="14" t="str">
        <f t="shared" si="13"/>
        <v/>
      </c>
      <c r="T305" s="33" t="str">
        <f t="shared" si="14"/>
        <v/>
      </c>
    </row>
    <row r="306" spans="1:20" x14ac:dyDescent="0.3">
      <c r="A306" s="26">
        <f>IF(BASE_CAIXA!A303="","",BASE_CAIXA!A303)</f>
        <v>302</v>
      </c>
      <c r="B306" s="26" t="str">
        <f>IF(A306="","",BASE_CAIXA!AL303)</f>
        <v>000302-DB</v>
      </c>
      <c r="C306" s="13">
        <f>IF(A306="","",BASE_CAIXA!AJ303)</f>
        <v>46171</v>
      </c>
      <c r="D306" s="26" t="str">
        <f>IF(A306="","",IF(BASE_CAIXA!C303="Entrada","Crédito","Débito"))</f>
        <v>Débito</v>
      </c>
      <c r="E306" s="14">
        <f>IF(A306="","",BASE_CAIXA!AA303)</f>
        <v>379.73759999999999</v>
      </c>
      <c r="F306" s="26">
        <f>IF(A306="","",BASE_CAIXA!N303)</f>
        <v>0</v>
      </c>
      <c r="G306" s="26">
        <f>IF(A306="","",BASE_CAIXA!O303)</f>
        <v>0</v>
      </c>
      <c r="H306" s="26">
        <f>IF(A306="","",BASE_CAIXA!P303)</f>
        <v>0</v>
      </c>
      <c r="I306" s="26" t="str">
        <f>IF(A306="","",IF(BASE_CAIXA!H303&lt;&gt;"",BASE_CAIXA!H303,BASE_CAIXA!G303))</f>
        <v>Junção simples PVC DN 50x50mm branco rígido para esgoto sanitário predial</v>
      </c>
      <c r="J306" s="26" t="str">
        <f>IF(A306="","",BASE_CAIXA!G303)</f>
        <v>Junção simples PVC DN 50x50mm branco rígido para esgoto sanitário predial</v>
      </c>
      <c r="K306" s="26">
        <f>IF(A306="","",BASE_CAIXA!I303)</f>
        <v>0</v>
      </c>
      <c r="L306" s="26">
        <f>IF(A306="","",BASE_CAIXA!J303)</f>
        <v>0</v>
      </c>
      <c r="M306" s="26" t="str">
        <f>IF(A306="","",BASE_CAIXA!AM303)</f>
        <v>Junção simples PVC DN 50x50mm branco rígido para esgoto sani</v>
      </c>
      <c r="N306" s="26" t="str">
        <f t="shared" ca="1" si="12"/>
        <v>Previsto</v>
      </c>
      <c r="O306" s="13" t="str">
        <f>IFERROR(INDEX(EXTRATO_IMPORTADO!$A$5:$A$404,MATCH(B306,EXTRATO_IMPORTADO!$I$5:$I$404,0)),"")</f>
        <v/>
      </c>
      <c r="P306" s="14" t="str">
        <f>IFERROR(INDEX(EXTRATO_IMPORTADO!$F$5:$F$404,MATCH(B306,EXTRATO_IMPORTADO!$I$5:$I$404,0)),"")</f>
        <v/>
      </c>
      <c r="Q306" s="26" t="str">
        <f>IFERROR(INDEX(EXTRATO_IMPORTADO!$B$5:$B$404,MATCH(B306,EXTRATO_IMPORTADO!$I$5:$I$404,0)),"")</f>
        <v/>
      </c>
      <c r="R306" s="26" t="str">
        <f>IFERROR(MATCH(B306,EXTRATO_IMPORTADO!$I$5:$I$404,0),"")</f>
        <v/>
      </c>
      <c r="S306" s="14" t="str">
        <f t="shared" si="13"/>
        <v/>
      </c>
      <c r="T306" s="33" t="str">
        <f t="shared" si="14"/>
        <v/>
      </c>
    </row>
    <row r="307" spans="1:20" x14ac:dyDescent="0.3">
      <c r="A307" s="26">
        <f>IF(BASE_CAIXA!A304="","",BASE_CAIXA!A304)</f>
        <v>303</v>
      </c>
      <c r="B307" s="26" t="str">
        <f>IF(A307="","",BASE_CAIXA!AL304)</f>
        <v>000303-DB</v>
      </c>
      <c r="C307" s="13">
        <f>IF(A307="","",BASE_CAIXA!AJ304)</f>
        <v>46171</v>
      </c>
      <c r="D307" s="26" t="str">
        <f>IF(A307="","",IF(BASE_CAIXA!C304="Entrada","Crédito","Débito"))</f>
        <v>Débito</v>
      </c>
      <c r="E307" s="14">
        <f>IF(A307="","",BASE_CAIXA!AA304)</f>
        <v>35.692799999999998</v>
      </c>
      <c r="F307" s="26">
        <f>IF(A307="","",BASE_CAIXA!N304)</f>
        <v>0</v>
      </c>
      <c r="G307" s="26">
        <f>IF(A307="","",BASE_CAIXA!O304)</f>
        <v>0</v>
      </c>
      <c r="H307" s="26">
        <f>IF(A307="","",BASE_CAIXA!P304)</f>
        <v>0</v>
      </c>
      <c r="I307" s="26" t="str">
        <f>IF(A307="","",IF(BASE_CAIXA!H304&lt;&gt;"",BASE_CAIXA!H304,BASE_CAIXA!G304))</f>
        <v>Lixa ferro p/cano pvc 100</v>
      </c>
      <c r="J307" s="26" t="str">
        <f>IF(A307="","",BASE_CAIXA!G304)</f>
        <v>Lixa ferro p/cano pvc 100</v>
      </c>
      <c r="K307" s="26">
        <f>IF(A307="","",BASE_CAIXA!I304)</f>
        <v>0</v>
      </c>
      <c r="L307" s="26">
        <f>IF(A307="","",BASE_CAIXA!J304)</f>
        <v>0</v>
      </c>
      <c r="M307" s="26" t="str">
        <f>IF(A307="","",BASE_CAIXA!AM304)</f>
        <v>Lixa ferro p/cano pvc 100 | Lixa ferro p/cano pvc 100 | Saíd</v>
      </c>
      <c r="N307" s="26" t="str">
        <f t="shared" ca="1" si="12"/>
        <v>Previsto</v>
      </c>
      <c r="O307" s="13" t="str">
        <f>IFERROR(INDEX(EXTRATO_IMPORTADO!$A$5:$A$404,MATCH(B307,EXTRATO_IMPORTADO!$I$5:$I$404,0)),"")</f>
        <v/>
      </c>
      <c r="P307" s="14" t="str">
        <f>IFERROR(INDEX(EXTRATO_IMPORTADO!$F$5:$F$404,MATCH(B307,EXTRATO_IMPORTADO!$I$5:$I$404,0)),"")</f>
        <v/>
      </c>
      <c r="Q307" s="26" t="str">
        <f>IFERROR(INDEX(EXTRATO_IMPORTADO!$B$5:$B$404,MATCH(B307,EXTRATO_IMPORTADO!$I$5:$I$404,0)),"")</f>
        <v/>
      </c>
      <c r="R307" s="26" t="str">
        <f>IFERROR(MATCH(B307,EXTRATO_IMPORTADO!$I$5:$I$404,0),"")</f>
        <v/>
      </c>
      <c r="S307" s="14" t="str">
        <f t="shared" si="13"/>
        <v/>
      </c>
      <c r="T307" s="33" t="str">
        <f t="shared" si="14"/>
        <v/>
      </c>
    </row>
    <row r="308" spans="1:20" x14ac:dyDescent="0.3">
      <c r="A308" s="26">
        <f>IF(BASE_CAIXA!A305="","",BASE_CAIXA!A305)</f>
        <v>304</v>
      </c>
      <c r="B308" s="26" t="str">
        <f>IF(A308="","",BASE_CAIXA!AL305)</f>
        <v>000304-DB</v>
      </c>
      <c r="C308" s="13">
        <f>IF(A308="","",BASE_CAIXA!AJ305)</f>
        <v>46171</v>
      </c>
      <c r="D308" s="26" t="str">
        <f>IF(A308="","",IF(BASE_CAIXA!C305="Entrada","Crédito","Débito"))</f>
        <v>Débito</v>
      </c>
      <c r="E308" s="14">
        <f>IF(A308="","",BASE_CAIXA!AA305)</f>
        <v>296.80991999999998</v>
      </c>
      <c r="F308" s="26">
        <f>IF(A308="","",BASE_CAIXA!N305)</f>
        <v>0</v>
      </c>
      <c r="G308" s="26">
        <f>IF(A308="","",BASE_CAIXA!O305)</f>
        <v>0</v>
      </c>
      <c r="H308" s="26">
        <f>IF(A308="","",BASE_CAIXA!P305)</f>
        <v>0</v>
      </c>
      <c r="I308" s="26" t="str">
        <f>IF(A308="","",IF(BASE_CAIXA!H305&lt;&gt;"",BASE_CAIXA!H305,BASE_CAIXA!G305))</f>
        <v>Pasta lubrufucante 1 KG</v>
      </c>
      <c r="J308" s="26" t="str">
        <f>IF(A308="","",BASE_CAIXA!G305)</f>
        <v>Pasta lubrufucante 1 KG</v>
      </c>
      <c r="K308" s="26">
        <f>IF(A308="","",BASE_CAIXA!I305)</f>
        <v>0</v>
      </c>
      <c r="L308" s="26">
        <f>IF(A308="","",BASE_CAIXA!J305)</f>
        <v>0</v>
      </c>
      <c r="M308" s="26" t="str">
        <f>IF(A308="","",BASE_CAIXA!AM305)</f>
        <v xml:space="preserve">Pasta lubrufucante 1 KG | Pasta lubrufucante 1 KG | Saída | </v>
      </c>
      <c r="N308" s="26" t="str">
        <f t="shared" ca="1" si="12"/>
        <v>Previsto</v>
      </c>
      <c r="O308" s="13" t="str">
        <f>IFERROR(INDEX(EXTRATO_IMPORTADO!$A$5:$A$404,MATCH(B308,EXTRATO_IMPORTADO!$I$5:$I$404,0)),"")</f>
        <v/>
      </c>
      <c r="P308" s="14" t="str">
        <f>IFERROR(INDEX(EXTRATO_IMPORTADO!$F$5:$F$404,MATCH(B308,EXTRATO_IMPORTADO!$I$5:$I$404,0)),"")</f>
        <v/>
      </c>
      <c r="Q308" s="26" t="str">
        <f>IFERROR(INDEX(EXTRATO_IMPORTADO!$B$5:$B$404,MATCH(B308,EXTRATO_IMPORTADO!$I$5:$I$404,0)),"")</f>
        <v/>
      </c>
      <c r="R308" s="26" t="str">
        <f>IFERROR(MATCH(B308,EXTRATO_IMPORTADO!$I$5:$I$404,0),"")</f>
        <v/>
      </c>
      <c r="S308" s="14" t="str">
        <f t="shared" si="13"/>
        <v/>
      </c>
      <c r="T308" s="33" t="str">
        <f t="shared" si="14"/>
        <v/>
      </c>
    </row>
    <row r="309" spans="1:20" x14ac:dyDescent="0.3">
      <c r="A309" s="26">
        <f>IF(BASE_CAIXA!A306="","",BASE_CAIXA!A306)</f>
        <v>305</v>
      </c>
      <c r="B309" s="26" t="str">
        <f>IF(A309="","",BASE_CAIXA!AL306)</f>
        <v>000305-DB</v>
      </c>
      <c r="C309" s="13">
        <f>IF(A309="","",BASE_CAIXA!AJ306)</f>
        <v>46171</v>
      </c>
      <c r="D309" s="26" t="str">
        <f>IF(A309="","",IF(BASE_CAIXA!C306="Entrada","Crédito","Débito"))</f>
        <v>Débito</v>
      </c>
      <c r="E309" s="14">
        <f>IF(A309="","",BASE_CAIXA!AA306)</f>
        <v>211.2</v>
      </c>
      <c r="F309" s="26">
        <f>IF(A309="","",BASE_CAIXA!N306)</f>
        <v>0</v>
      </c>
      <c r="G309" s="26">
        <f>IF(A309="","",BASE_CAIXA!O306)</f>
        <v>0</v>
      </c>
      <c r="H309" s="26">
        <f>IF(A309="","",BASE_CAIXA!P306)</f>
        <v>0</v>
      </c>
      <c r="I309" s="26" t="str">
        <f>IF(A309="","",IF(BASE_CAIXA!H306&lt;&gt;"",BASE_CAIXA!H306,BASE_CAIXA!G306))</f>
        <v>Ralo seco PVC DN100x40mm Junta soldável para esgoto sanitário predial</v>
      </c>
      <c r="J309" s="26" t="str">
        <f>IF(A309="","",BASE_CAIXA!G306)</f>
        <v>Ralo seco PVC DN100x40mm Junta soldável para esgoto sanitário predial</v>
      </c>
      <c r="K309" s="26">
        <f>IF(A309="","",BASE_CAIXA!I306)</f>
        <v>0</v>
      </c>
      <c r="L309" s="26">
        <f>IF(A309="","",BASE_CAIXA!J306)</f>
        <v>0</v>
      </c>
      <c r="M309" s="26" t="str">
        <f>IF(A309="","",BASE_CAIXA!AM306)</f>
        <v>Ralo seco PVC DN100x40mm Junta soldável para esgoto sanitári</v>
      </c>
      <c r="N309" s="26" t="str">
        <f t="shared" ca="1" si="12"/>
        <v>Previsto</v>
      </c>
      <c r="O309" s="13" t="str">
        <f>IFERROR(INDEX(EXTRATO_IMPORTADO!$A$5:$A$404,MATCH(B309,EXTRATO_IMPORTADO!$I$5:$I$404,0)),"")</f>
        <v/>
      </c>
      <c r="P309" s="14" t="str">
        <f>IFERROR(INDEX(EXTRATO_IMPORTADO!$F$5:$F$404,MATCH(B309,EXTRATO_IMPORTADO!$I$5:$I$404,0)),"")</f>
        <v/>
      </c>
      <c r="Q309" s="26" t="str">
        <f>IFERROR(INDEX(EXTRATO_IMPORTADO!$B$5:$B$404,MATCH(B309,EXTRATO_IMPORTADO!$I$5:$I$404,0)),"")</f>
        <v/>
      </c>
      <c r="R309" s="26" t="str">
        <f>IFERROR(MATCH(B309,EXTRATO_IMPORTADO!$I$5:$I$404,0),"")</f>
        <v/>
      </c>
      <c r="S309" s="14" t="str">
        <f t="shared" si="13"/>
        <v/>
      </c>
      <c r="T309" s="33" t="str">
        <f t="shared" si="14"/>
        <v/>
      </c>
    </row>
    <row r="310" spans="1:20" x14ac:dyDescent="0.3">
      <c r="A310" s="26">
        <f>IF(BASE_CAIXA!A307="","",BASE_CAIXA!A307)</f>
        <v>306</v>
      </c>
      <c r="B310" s="26" t="str">
        <f>IF(A310="","",BASE_CAIXA!AL307)</f>
        <v>000306-DB</v>
      </c>
      <c r="C310" s="13">
        <f>IF(A310="","",BASE_CAIXA!AJ307)</f>
        <v>46171</v>
      </c>
      <c r="D310" s="26" t="str">
        <f>IF(A310="","",IF(BASE_CAIXA!C307="Entrada","Crédito","Débito"))</f>
        <v>Débito</v>
      </c>
      <c r="E310" s="14">
        <f>IF(A310="","",BASE_CAIXA!AA307)</f>
        <v>104.7552</v>
      </c>
      <c r="F310" s="26">
        <f>IF(A310="","",BASE_CAIXA!N307)</f>
        <v>0</v>
      </c>
      <c r="G310" s="26">
        <f>IF(A310="","",BASE_CAIXA!O307)</f>
        <v>0</v>
      </c>
      <c r="H310" s="26">
        <f>IF(A310="","",BASE_CAIXA!P307)</f>
        <v>0</v>
      </c>
      <c r="I310" s="26" t="str">
        <f>IF(A310="","",IF(BASE_CAIXA!H307&lt;&gt;"",BASE_CAIXA!H307,BASE_CAIXA!G307))</f>
        <v>TE DN 50x50mm PVC branco rígido para esgoto sanitário predial</v>
      </c>
      <c r="J310" s="26" t="str">
        <f>IF(A310="","",BASE_CAIXA!G307)</f>
        <v>TE DN 50x50mm PVC branco rígido para esgoto sanitário predial</v>
      </c>
      <c r="K310" s="26">
        <f>IF(A310="","",BASE_CAIXA!I307)</f>
        <v>0</v>
      </c>
      <c r="L310" s="26">
        <f>IF(A310="","",BASE_CAIXA!J307)</f>
        <v>0</v>
      </c>
      <c r="M310" s="26" t="str">
        <f>IF(A310="","",BASE_CAIXA!AM307)</f>
        <v>TE DN 50x50mm PVC branco rígido para esgoto sanitário predia</v>
      </c>
      <c r="N310" s="26" t="str">
        <f t="shared" ca="1" si="12"/>
        <v>Previsto</v>
      </c>
      <c r="O310" s="13" t="str">
        <f>IFERROR(INDEX(EXTRATO_IMPORTADO!$A$5:$A$404,MATCH(B310,EXTRATO_IMPORTADO!$I$5:$I$404,0)),"")</f>
        <v/>
      </c>
      <c r="P310" s="14" t="str">
        <f>IFERROR(INDEX(EXTRATO_IMPORTADO!$F$5:$F$404,MATCH(B310,EXTRATO_IMPORTADO!$I$5:$I$404,0)),"")</f>
        <v/>
      </c>
      <c r="Q310" s="26" t="str">
        <f>IFERROR(INDEX(EXTRATO_IMPORTADO!$B$5:$B$404,MATCH(B310,EXTRATO_IMPORTADO!$I$5:$I$404,0)),"")</f>
        <v/>
      </c>
      <c r="R310" s="26" t="str">
        <f>IFERROR(MATCH(B310,EXTRATO_IMPORTADO!$I$5:$I$404,0),"")</f>
        <v/>
      </c>
      <c r="S310" s="14" t="str">
        <f t="shared" si="13"/>
        <v/>
      </c>
      <c r="T310" s="33" t="str">
        <f t="shared" si="14"/>
        <v/>
      </c>
    </row>
    <row r="311" spans="1:20" x14ac:dyDescent="0.3">
      <c r="A311" s="26">
        <f>IF(BASE_CAIXA!A308="","",BASE_CAIXA!A308)</f>
        <v>307</v>
      </c>
      <c r="B311" s="26" t="str">
        <f>IF(A311="","",BASE_CAIXA!AL308)</f>
        <v>000307-DB</v>
      </c>
      <c r="C311" s="13">
        <f>IF(A311="","",BASE_CAIXA!AJ308)</f>
        <v>46171</v>
      </c>
      <c r="D311" s="26" t="str">
        <f>IF(A311="","",IF(BASE_CAIXA!C308="Entrada","Crédito","Débito"))</f>
        <v>Débito</v>
      </c>
      <c r="E311" s="14">
        <f>IF(A311="","",BASE_CAIXA!AA308)</f>
        <v>339.39839999999998</v>
      </c>
      <c r="F311" s="26">
        <f>IF(A311="","",BASE_CAIXA!N308)</f>
        <v>0</v>
      </c>
      <c r="G311" s="26">
        <f>IF(A311="","",BASE_CAIXA!O308)</f>
        <v>0</v>
      </c>
      <c r="H311" s="26">
        <f>IF(A311="","",BASE_CAIXA!P308)</f>
        <v>0</v>
      </c>
      <c r="I311" s="26" t="str">
        <f>IF(A311="","",IF(BASE_CAIXA!H308&lt;&gt;"",BASE_CAIXA!H308,BASE_CAIXA!G308))</f>
        <v>Tubo DN 25 mm, PVC Rígido Soldável Marrom</v>
      </c>
      <c r="J311" s="26" t="str">
        <f>IF(A311="","",BASE_CAIXA!G308)</f>
        <v>Tubo DN 25 mm, PVC Rígido Soldável Marrom</v>
      </c>
      <c r="K311" s="26">
        <f>IF(A311="","",BASE_CAIXA!I308)</f>
        <v>0</v>
      </c>
      <c r="L311" s="26">
        <f>IF(A311="","",BASE_CAIXA!J308)</f>
        <v>0</v>
      </c>
      <c r="M311" s="26" t="str">
        <f>IF(A311="","",BASE_CAIXA!AM308)</f>
        <v>Tubo DN 25 mm, PVC Rígido Soldável Marrom | Tubo DN 25 mm, P</v>
      </c>
      <c r="N311" s="26" t="str">
        <f t="shared" ca="1" si="12"/>
        <v>Previsto</v>
      </c>
      <c r="O311" s="13" t="str">
        <f>IFERROR(INDEX(EXTRATO_IMPORTADO!$A$5:$A$404,MATCH(B311,EXTRATO_IMPORTADO!$I$5:$I$404,0)),"")</f>
        <v/>
      </c>
      <c r="P311" s="14" t="str">
        <f>IFERROR(INDEX(EXTRATO_IMPORTADO!$F$5:$F$404,MATCH(B311,EXTRATO_IMPORTADO!$I$5:$I$404,0)),"")</f>
        <v/>
      </c>
      <c r="Q311" s="26" t="str">
        <f>IFERROR(INDEX(EXTRATO_IMPORTADO!$B$5:$B$404,MATCH(B311,EXTRATO_IMPORTADO!$I$5:$I$404,0)),"")</f>
        <v/>
      </c>
      <c r="R311" s="26" t="str">
        <f>IFERROR(MATCH(B311,EXTRATO_IMPORTADO!$I$5:$I$404,0),"")</f>
        <v/>
      </c>
      <c r="S311" s="14" t="str">
        <f t="shared" si="13"/>
        <v/>
      </c>
      <c r="T311" s="33" t="str">
        <f t="shared" si="14"/>
        <v/>
      </c>
    </row>
    <row r="312" spans="1:20" x14ac:dyDescent="0.3">
      <c r="A312" s="26">
        <f>IF(BASE_CAIXA!A309="","",BASE_CAIXA!A309)</f>
        <v>308</v>
      </c>
      <c r="B312" s="26" t="str">
        <f>IF(A312="","",BASE_CAIXA!AL309)</f>
        <v>000308-DB</v>
      </c>
      <c r="C312" s="13">
        <f>IF(A312="","",BASE_CAIXA!AJ309)</f>
        <v>46171</v>
      </c>
      <c r="D312" s="26" t="str">
        <f>IF(A312="","",IF(BASE_CAIXA!C309="Entrada","Crédito","Débito"))</f>
        <v>Débito</v>
      </c>
      <c r="E312" s="14">
        <f>IF(A312="","",BASE_CAIXA!AA309)</f>
        <v>742.49472000000014</v>
      </c>
      <c r="F312" s="26">
        <f>IF(A312="","",BASE_CAIXA!N309)</f>
        <v>0</v>
      </c>
      <c r="G312" s="26">
        <f>IF(A312="","",BASE_CAIXA!O309)</f>
        <v>0</v>
      </c>
      <c r="H312" s="26">
        <f>IF(A312="","",BASE_CAIXA!P309)</f>
        <v>0</v>
      </c>
      <c r="I312" s="26" t="str">
        <f>IF(A312="","",IF(BASE_CAIXA!H309&lt;&gt;"",BASE_CAIXA!H309,BASE_CAIXA!G309))</f>
        <v>Tubo PVC DN 100mm branco rígido para esgoto sanitário</v>
      </c>
      <c r="J312" s="26" t="str">
        <f>IF(A312="","",BASE_CAIXA!G309)</f>
        <v>Tubo PVC DN 100mm branco rígido para esgoto sanitário</v>
      </c>
      <c r="K312" s="26">
        <f>IF(A312="","",BASE_CAIXA!I309)</f>
        <v>0</v>
      </c>
      <c r="L312" s="26">
        <f>IF(A312="","",BASE_CAIXA!J309)</f>
        <v>0</v>
      </c>
      <c r="M312" s="26" t="str">
        <f>IF(A312="","",BASE_CAIXA!AM309)</f>
        <v>Tubo PVC DN 100mm branco rígido para esgoto sanitário | Tubo</v>
      </c>
      <c r="N312" s="26" t="str">
        <f t="shared" ca="1" si="12"/>
        <v>Previsto</v>
      </c>
      <c r="O312" s="13" t="str">
        <f>IFERROR(INDEX(EXTRATO_IMPORTADO!$A$5:$A$404,MATCH(B312,EXTRATO_IMPORTADO!$I$5:$I$404,0)),"")</f>
        <v/>
      </c>
      <c r="P312" s="14" t="str">
        <f>IFERROR(INDEX(EXTRATO_IMPORTADO!$F$5:$F$404,MATCH(B312,EXTRATO_IMPORTADO!$I$5:$I$404,0)),"")</f>
        <v/>
      </c>
      <c r="Q312" s="26" t="str">
        <f>IFERROR(INDEX(EXTRATO_IMPORTADO!$B$5:$B$404,MATCH(B312,EXTRATO_IMPORTADO!$I$5:$I$404,0)),"")</f>
        <v/>
      </c>
      <c r="R312" s="26" t="str">
        <f>IFERROR(MATCH(B312,EXTRATO_IMPORTADO!$I$5:$I$404,0),"")</f>
        <v/>
      </c>
      <c r="S312" s="14" t="str">
        <f t="shared" si="13"/>
        <v/>
      </c>
      <c r="T312" s="33" t="str">
        <f t="shared" si="14"/>
        <v/>
      </c>
    </row>
    <row r="313" spans="1:20" x14ac:dyDescent="0.3">
      <c r="A313" s="26">
        <f>IF(BASE_CAIXA!A310="","",BASE_CAIXA!A310)</f>
        <v>309</v>
      </c>
      <c r="B313" s="26" t="str">
        <f>IF(A313="","",BASE_CAIXA!AL310)</f>
        <v>000309-DB</v>
      </c>
      <c r="C313" s="13">
        <f>IF(A313="","",BASE_CAIXA!AJ310)</f>
        <v>46171</v>
      </c>
      <c r="D313" s="26" t="str">
        <f>IF(A313="","",IF(BASE_CAIXA!C310="Entrada","Crédito","Débito"))</f>
        <v>Débito</v>
      </c>
      <c r="E313" s="14">
        <f>IF(A313="","",BASE_CAIXA!AA310)</f>
        <v>139.51027199999999</v>
      </c>
      <c r="F313" s="26">
        <f>IF(A313="","",BASE_CAIXA!N310)</f>
        <v>0</v>
      </c>
      <c r="G313" s="26">
        <f>IF(A313="","",BASE_CAIXA!O310)</f>
        <v>0</v>
      </c>
      <c r="H313" s="26">
        <f>IF(A313="","",BASE_CAIXA!P310)</f>
        <v>0</v>
      </c>
      <c r="I313" s="26" t="str">
        <f>IF(A313="","",IF(BASE_CAIXA!H310&lt;&gt;"",BASE_CAIXA!H310,BASE_CAIXA!G310))</f>
        <v>Tubo PVC DN 40mm branco rígido para esgoto sanitário</v>
      </c>
      <c r="J313" s="26" t="str">
        <f>IF(A313="","",BASE_CAIXA!G310)</f>
        <v>Tubo PVC DN 40mm branco rígido para esgoto sanitário</v>
      </c>
      <c r="K313" s="26">
        <f>IF(A313="","",BASE_CAIXA!I310)</f>
        <v>0</v>
      </c>
      <c r="L313" s="26">
        <f>IF(A313="","",BASE_CAIXA!J310)</f>
        <v>0</v>
      </c>
      <c r="M313" s="26" t="str">
        <f>IF(A313="","",BASE_CAIXA!AM310)</f>
        <v xml:space="preserve">Tubo PVC DN 40mm branco rígido para esgoto sanitário | Tubo </v>
      </c>
      <c r="N313" s="26" t="str">
        <f t="shared" ca="1" si="12"/>
        <v>Previsto</v>
      </c>
      <c r="O313" s="13" t="str">
        <f>IFERROR(INDEX(EXTRATO_IMPORTADO!$A$5:$A$404,MATCH(B313,EXTRATO_IMPORTADO!$I$5:$I$404,0)),"")</f>
        <v/>
      </c>
      <c r="P313" s="14" t="str">
        <f>IFERROR(INDEX(EXTRATO_IMPORTADO!$F$5:$F$404,MATCH(B313,EXTRATO_IMPORTADO!$I$5:$I$404,0)),"")</f>
        <v/>
      </c>
      <c r="Q313" s="26" t="str">
        <f>IFERROR(INDEX(EXTRATO_IMPORTADO!$B$5:$B$404,MATCH(B313,EXTRATO_IMPORTADO!$I$5:$I$404,0)),"")</f>
        <v/>
      </c>
      <c r="R313" s="26" t="str">
        <f>IFERROR(MATCH(B313,EXTRATO_IMPORTADO!$I$5:$I$404,0),"")</f>
        <v/>
      </c>
      <c r="S313" s="14" t="str">
        <f t="shared" si="13"/>
        <v/>
      </c>
      <c r="T313" s="33" t="str">
        <f t="shared" si="14"/>
        <v/>
      </c>
    </row>
    <row r="314" spans="1:20" x14ac:dyDescent="0.3">
      <c r="A314" s="26">
        <f>IF(BASE_CAIXA!A311="","",BASE_CAIXA!A311)</f>
        <v>310</v>
      </c>
      <c r="B314" s="26" t="str">
        <f>IF(A314="","",BASE_CAIXA!AL311)</f>
        <v>000310-DB</v>
      </c>
      <c r="C314" s="13">
        <f>IF(A314="","",BASE_CAIXA!AJ311)</f>
        <v>46171</v>
      </c>
      <c r="D314" s="26" t="str">
        <f>IF(A314="","",IF(BASE_CAIXA!C311="Entrada","Crédito","Débito"))</f>
        <v>Débito</v>
      </c>
      <c r="E314" s="14">
        <f>IF(A314="","",BASE_CAIXA!AA311)</f>
        <v>1098.3793920000001</v>
      </c>
      <c r="F314" s="26">
        <f>IF(A314="","",BASE_CAIXA!N311)</f>
        <v>0</v>
      </c>
      <c r="G314" s="26">
        <f>IF(A314="","",BASE_CAIXA!O311)</f>
        <v>0</v>
      </c>
      <c r="H314" s="26">
        <f>IF(A314="","",BASE_CAIXA!P311)</f>
        <v>0</v>
      </c>
      <c r="I314" s="26" t="str">
        <f>IF(A314="","",IF(BASE_CAIXA!H311&lt;&gt;"",BASE_CAIXA!H311,BASE_CAIXA!G311))</f>
        <v>Tubo PVC DN 50mm branco rígido para esgoto sanitário</v>
      </c>
      <c r="J314" s="26" t="str">
        <f>IF(A314="","",BASE_CAIXA!G311)</f>
        <v>Tubo PVC DN 50mm branco rígido para esgoto sanitário</v>
      </c>
      <c r="K314" s="26">
        <f>IF(A314="","",BASE_CAIXA!I311)</f>
        <v>0</v>
      </c>
      <c r="L314" s="26">
        <f>IF(A314="","",BASE_CAIXA!J311)</f>
        <v>0</v>
      </c>
      <c r="M314" s="26" t="str">
        <f>IF(A314="","",BASE_CAIXA!AM311)</f>
        <v xml:space="preserve">Tubo PVC DN 50mm branco rígido para esgoto sanitário | Tubo </v>
      </c>
      <c r="N314" s="26" t="str">
        <f t="shared" ca="1" si="12"/>
        <v>Previsto</v>
      </c>
      <c r="O314" s="13" t="str">
        <f>IFERROR(INDEX(EXTRATO_IMPORTADO!$A$5:$A$404,MATCH(B314,EXTRATO_IMPORTADO!$I$5:$I$404,0)),"")</f>
        <v/>
      </c>
      <c r="P314" s="14" t="str">
        <f>IFERROR(INDEX(EXTRATO_IMPORTADO!$F$5:$F$404,MATCH(B314,EXTRATO_IMPORTADO!$I$5:$I$404,0)),"")</f>
        <v/>
      </c>
      <c r="Q314" s="26" t="str">
        <f>IFERROR(INDEX(EXTRATO_IMPORTADO!$B$5:$B$404,MATCH(B314,EXTRATO_IMPORTADO!$I$5:$I$404,0)),"")</f>
        <v/>
      </c>
      <c r="R314" s="26" t="str">
        <f>IFERROR(MATCH(B314,EXTRATO_IMPORTADO!$I$5:$I$404,0),"")</f>
        <v/>
      </c>
      <c r="S314" s="14" t="str">
        <f t="shared" si="13"/>
        <v/>
      </c>
      <c r="T314" s="33" t="str">
        <f t="shared" si="14"/>
        <v/>
      </c>
    </row>
    <row r="315" spans="1:20" x14ac:dyDescent="0.3">
      <c r="A315" s="26">
        <f>IF(BASE_CAIXA!A312="","",BASE_CAIXA!A312)</f>
        <v>311</v>
      </c>
      <c r="B315" s="26" t="str">
        <f>IF(A315="","",BASE_CAIXA!AL312)</f>
        <v>000311-DB</v>
      </c>
      <c r="C315" s="13">
        <f>IF(A315="","",BASE_CAIXA!AJ312)</f>
        <v>46171</v>
      </c>
      <c r="D315" s="26" t="str">
        <f>IF(A315="","",IF(BASE_CAIXA!C312="Entrada","Crédito","Débito"))</f>
        <v>Débito</v>
      </c>
      <c r="E315" s="14">
        <f>IF(A315="","",BASE_CAIXA!AA312)</f>
        <v>79.981440000000006</v>
      </c>
      <c r="F315" s="26">
        <f>IF(A315="","",BASE_CAIXA!N312)</f>
        <v>0</v>
      </c>
      <c r="G315" s="26">
        <f>IF(A315="","",BASE_CAIXA!O312)</f>
        <v>0</v>
      </c>
      <c r="H315" s="26">
        <f>IF(A315="","",BASE_CAIXA!P312)</f>
        <v>0</v>
      </c>
      <c r="I315" s="26" t="str">
        <f>IF(A315="","",IF(BASE_CAIXA!H312&lt;&gt;"",BASE_CAIXA!H312,BASE_CAIXA!G312))</f>
        <v>Tubo PVC DN 75mm branco rígido para esgoto sanitário</v>
      </c>
      <c r="J315" s="26" t="str">
        <f>IF(A315="","",BASE_CAIXA!G312)</f>
        <v>Tubo PVC DN 75mm branco rígido para esgoto sanitário</v>
      </c>
      <c r="K315" s="26">
        <f>IF(A315="","",BASE_CAIXA!I312)</f>
        <v>0</v>
      </c>
      <c r="L315" s="26">
        <f>IF(A315="","",BASE_CAIXA!J312)</f>
        <v>0</v>
      </c>
      <c r="M315" s="26" t="str">
        <f>IF(A315="","",BASE_CAIXA!AM312)</f>
        <v xml:space="preserve">Tubo PVC DN 75mm branco rígido para esgoto sanitário | Tubo </v>
      </c>
      <c r="N315" s="26" t="str">
        <f t="shared" ca="1" si="12"/>
        <v>Previsto</v>
      </c>
      <c r="O315" s="13" t="str">
        <f>IFERROR(INDEX(EXTRATO_IMPORTADO!$A$5:$A$404,MATCH(B315,EXTRATO_IMPORTADO!$I$5:$I$404,0)),"")</f>
        <v/>
      </c>
      <c r="P315" s="14" t="str">
        <f>IFERROR(INDEX(EXTRATO_IMPORTADO!$F$5:$F$404,MATCH(B315,EXTRATO_IMPORTADO!$I$5:$I$404,0)),"")</f>
        <v/>
      </c>
      <c r="Q315" s="26" t="str">
        <f>IFERROR(INDEX(EXTRATO_IMPORTADO!$B$5:$B$404,MATCH(B315,EXTRATO_IMPORTADO!$I$5:$I$404,0)),"")</f>
        <v/>
      </c>
      <c r="R315" s="26" t="str">
        <f>IFERROR(MATCH(B315,EXTRATO_IMPORTADO!$I$5:$I$404,0),"")</f>
        <v/>
      </c>
      <c r="S315" s="14" t="str">
        <f t="shared" si="13"/>
        <v/>
      </c>
      <c r="T315" s="33" t="str">
        <f t="shared" si="14"/>
        <v/>
      </c>
    </row>
    <row r="316" spans="1:20" x14ac:dyDescent="0.3">
      <c r="A316" s="26">
        <f>IF(BASE_CAIXA!A313="","",BASE_CAIXA!A313)</f>
        <v>312</v>
      </c>
      <c r="B316" s="26" t="str">
        <f>IF(A316="","",BASE_CAIXA!AL313)</f>
        <v>000312-DB</v>
      </c>
      <c r="C316" s="13">
        <f>IF(A316="","",BASE_CAIXA!AJ313)</f>
        <v>46171</v>
      </c>
      <c r="D316" s="26" t="str">
        <f>IF(A316="","",IF(BASE_CAIXA!C313="Entrada","Crédito","Débito"))</f>
        <v>Débito</v>
      </c>
      <c r="E316" s="14">
        <f>IF(A316="","",BASE_CAIXA!AA313)</f>
        <v>166.4</v>
      </c>
      <c r="F316" s="26">
        <f>IF(A316="","",BASE_CAIXA!N313)</f>
        <v>0</v>
      </c>
      <c r="G316" s="26">
        <f>IF(A316="","",BASE_CAIXA!O313)</f>
        <v>0</v>
      </c>
      <c r="H316" s="26">
        <f>IF(A316="","",BASE_CAIXA!P313)</f>
        <v>0</v>
      </c>
      <c r="I316" s="26" t="str">
        <f>IF(A316="","",IF(BASE_CAIXA!H313&lt;&gt;"",BASE_CAIXA!H313,BASE_CAIXA!G313))</f>
        <v>Bucha 6 mm para concreto</v>
      </c>
      <c r="J316" s="26" t="str">
        <f>IF(A316="","",BASE_CAIXA!G313)</f>
        <v>Bucha 6 mm para concreto</v>
      </c>
      <c r="K316" s="26">
        <f>IF(A316="","",BASE_CAIXA!I313)</f>
        <v>0</v>
      </c>
      <c r="L316" s="26">
        <f>IF(A316="","",BASE_CAIXA!J313)</f>
        <v>0</v>
      </c>
      <c r="M316" s="26" t="str">
        <f>IF(A316="","",BASE_CAIXA!AM313)</f>
        <v xml:space="preserve">Bucha 6 mm para concreto | Bucha 6 mm para concreto | Saída </v>
      </c>
      <c r="N316" s="26" t="str">
        <f t="shared" ca="1" si="12"/>
        <v>Previsto</v>
      </c>
      <c r="O316" s="13" t="str">
        <f>IFERROR(INDEX(EXTRATO_IMPORTADO!$A$5:$A$404,MATCH(B316,EXTRATO_IMPORTADO!$I$5:$I$404,0)),"")</f>
        <v/>
      </c>
      <c r="P316" s="14" t="str">
        <f>IFERROR(INDEX(EXTRATO_IMPORTADO!$F$5:$F$404,MATCH(B316,EXTRATO_IMPORTADO!$I$5:$I$404,0)),"")</f>
        <v/>
      </c>
      <c r="Q316" s="26" t="str">
        <f>IFERROR(INDEX(EXTRATO_IMPORTADO!$B$5:$B$404,MATCH(B316,EXTRATO_IMPORTADO!$I$5:$I$404,0)),"")</f>
        <v/>
      </c>
      <c r="R316" s="26" t="str">
        <f>IFERROR(MATCH(B316,EXTRATO_IMPORTADO!$I$5:$I$404,0),"")</f>
        <v/>
      </c>
      <c r="S316" s="14" t="str">
        <f t="shared" si="13"/>
        <v/>
      </c>
      <c r="T316" s="33" t="str">
        <f t="shared" si="14"/>
        <v/>
      </c>
    </row>
    <row r="317" spans="1:20" x14ac:dyDescent="0.3">
      <c r="A317" s="26">
        <f>IF(BASE_CAIXA!A314="","",BASE_CAIXA!A314)</f>
        <v>313</v>
      </c>
      <c r="B317" s="26" t="str">
        <f>IF(A317="","",BASE_CAIXA!AL314)</f>
        <v>000313-DB</v>
      </c>
      <c r="C317" s="13">
        <f>IF(A317="","",BASE_CAIXA!AJ314)</f>
        <v>46171</v>
      </c>
      <c r="D317" s="26" t="str">
        <f>IF(A317="","",IF(BASE_CAIXA!C314="Entrada","Crédito","Débito"))</f>
        <v>Débito</v>
      </c>
      <c r="E317" s="14">
        <f>IF(A317="","",BASE_CAIXA!AA314)</f>
        <v>812.8</v>
      </c>
      <c r="F317" s="26">
        <f>IF(A317="","",BASE_CAIXA!N314)</f>
        <v>0</v>
      </c>
      <c r="G317" s="26">
        <f>IF(A317="","",BASE_CAIXA!O314)</f>
        <v>0</v>
      </c>
      <c r="H317" s="26">
        <f>IF(A317="","",BASE_CAIXA!P314)</f>
        <v>0</v>
      </c>
      <c r="I317" s="26" t="str">
        <f>IF(A317="","",IF(BASE_CAIXA!H314&lt;&gt;"",BASE_CAIXA!H314,BASE_CAIXA!G314))</f>
        <v>Espuma Expansiva de Poliuretano 300ml</v>
      </c>
      <c r="J317" s="26" t="str">
        <f>IF(A317="","",BASE_CAIXA!G314)</f>
        <v>Espuma Expansiva de Poliuretano 300ml</v>
      </c>
      <c r="K317" s="26">
        <f>IF(A317="","",BASE_CAIXA!I314)</f>
        <v>0</v>
      </c>
      <c r="L317" s="26">
        <f>IF(A317="","",BASE_CAIXA!J314)</f>
        <v>0</v>
      </c>
      <c r="M317" s="26" t="str">
        <f>IF(A317="","",BASE_CAIXA!AM314)</f>
        <v xml:space="preserve">Espuma Expansiva de Poliuretano 300ml | Espuma Expansiva de </v>
      </c>
      <c r="N317" s="26" t="str">
        <f t="shared" ca="1" si="12"/>
        <v>Previsto</v>
      </c>
      <c r="O317" s="13" t="str">
        <f>IFERROR(INDEX(EXTRATO_IMPORTADO!$A$5:$A$404,MATCH(B317,EXTRATO_IMPORTADO!$I$5:$I$404,0)),"")</f>
        <v/>
      </c>
      <c r="P317" s="14" t="str">
        <f>IFERROR(INDEX(EXTRATO_IMPORTADO!$F$5:$F$404,MATCH(B317,EXTRATO_IMPORTADO!$I$5:$I$404,0)),"")</f>
        <v/>
      </c>
      <c r="Q317" s="26" t="str">
        <f>IFERROR(INDEX(EXTRATO_IMPORTADO!$B$5:$B$404,MATCH(B317,EXTRATO_IMPORTADO!$I$5:$I$404,0)),"")</f>
        <v/>
      </c>
      <c r="R317" s="26" t="str">
        <f>IFERROR(MATCH(B317,EXTRATO_IMPORTADO!$I$5:$I$404,0),"")</f>
        <v/>
      </c>
      <c r="S317" s="14" t="str">
        <f t="shared" si="13"/>
        <v/>
      </c>
      <c r="T317" s="33" t="str">
        <f t="shared" si="14"/>
        <v/>
      </c>
    </row>
    <row r="318" spans="1:20" x14ac:dyDescent="0.3">
      <c r="A318" s="26">
        <f>IF(BASE_CAIXA!A315="","",BASE_CAIXA!A315)</f>
        <v>314</v>
      </c>
      <c r="B318" s="26" t="str">
        <f>IF(A318="","",BASE_CAIXA!AL315)</f>
        <v>000314-DB</v>
      </c>
      <c r="C318" s="13">
        <f>IF(A318="","",BASE_CAIXA!AJ315)</f>
        <v>46171</v>
      </c>
      <c r="D318" s="26" t="str">
        <f>IF(A318="","",IF(BASE_CAIXA!C315="Entrada","Crédito","Débito"))</f>
        <v>Débito</v>
      </c>
      <c r="E318" s="14">
        <f>IF(A318="","",BASE_CAIXA!AA315)</f>
        <v>1145.5999999999999</v>
      </c>
      <c r="F318" s="26">
        <f>IF(A318="","",BASE_CAIXA!N315)</f>
        <v>0</v>
      </c>
      <c r="G318" s="26">
        <f>IF(A318="","",BASE_CAIXA!O315)</f>
        <v>0</v>
      </c>
      <c r="H318" s="26">
        <f>IF(A318="","",BASE_CAIXA!P315)</f>
        <v>0</v>
      </c>
      <c r="I318" s="26" t="str">
        <f>IF(A318="","",IF(BASE_CAIXA!H315&lt;&gt;"",BASE_CAIXA!H315,BASE_CAIXA!G315))</f>
        <v>Fita crepe 48 mm x 50 m</v>
      </c>
      <c r="J318" s="26" t="str">
        <f>IF(A318="","",BASE_CAIXA!G315)</f>
        <v>Fita crepe 48 mm x 50 m</v>
      </c>
      <c r="K318" s="26">
        <f>IF(A318="","",BASE_CAIXA!I315)</f>
        <v>0</v>
      </c>
      <c r="L318" s="26">
        <f>IF(A318="","",BASE_CAIXA!J315)</f>
        <v>0</v>
      </c>
      <c r="M318" s="26" t="str">
        <f>IF(A318="","",BASE_CAIXA!AM315)</f>
        <v xml:space="preserve">Fita crepe 48 mm x 50 m | Fita crepe 48 mm x 50 m | Saída | </v>
      </c>
      <c r="N318" s="26" t="str">
        <f t="shared" ca="1" si="12"/>
        <v>Previsto</v>
      </c>
      <c r="O318" s="13" t="str">
        <f>IFERROR(INDEX(EXTRATO_IMPORTADO!$A$5:$A$404,MATCH(B318,EXTRATO_IMPORTADO!$I$5:$I$404,0)),"")</f>
        <v/>
      </c>
      <c r="P318" s="14" t="str">
        <f>IFERROR(INDEX(EXTRATO_IMPORTADO!$F$5:$F$404,MATCH(B318,EXTRATO_IMPORTADO!$I$5:$I$404,0)),"")</f>
        <v/>
      </c>
      <c r="Q318" s="26" t="str">
        <f>IFERROR(INDEX(EXTRATO_IMPORTADO!$B$5:$B$404,MATCH(B318,EXTRATO_IMPORTADO!$I$5:$I$404,0)),"")</f>
        <v/>
      </c>
      <c r="R318" s="26" t="str">
        <f>IFERROR(MATCH(B318,EXTRATO_IMPORTADO!$I$5:$I$404,0),"")</f>
        <v/>
      </c>
      <c r="S318" s="14" t="str">
        <f t="shared" si="13"/>
        <v/>
      </c>
      <c r="T318" s="33" t="str">
        <f t="shared" si="14"/>
        <v/>
      </c>
    </row>
    <row r="319" spans="1:20" x14ac:dyDescent="0.3">
      <c r="A319" s="26">
        <f>IF(BASE_CAIXA!A316="","",BASE_CAIXA!A316)</f>
        <v>315</v>
      </c>
      <c r="B319" s="26" t="str">
        <f>IF(A319="","",BASE_CAIXA!AL316)</f>
        <v>000315-DB</v>
      </c>
      <c r="C319" s="13">
        <f>IF(A319="","",BASE_CAIXA!AJ316)</f>
        <v>46171</v>
      </c>
      <c r="D319" s="26" t="str">
        <f>IF(A319="","",IF(BASE_CAIXA!C316="Entrada","Crédito","Débito"))</f>
        <v>Débito</v>
      </c>
      <c r="E319" s="14">
        <f>IF(A319="","",BASE_CAIXA!AA316)</f>
        <v>1488</v>
      </c>
      <c r="F319" s="26">
        <f>IF(A319="","",BASE_CAIXA!N316)</f>
        <v>0</v>
      </c>
      <c r="G319" s="26">
        <f>IF(A319="","",BASE_CAIXA!O316)</f>
        <v>0</v>
      </c>
      <c r="H319" s="26">
        <f>IF(A319="","",BASE_CAIXA!P316)</f>
        <v>0</v>
      </c>
      <c r="I319" s="26" t="str">
        <f>IF(A319="","",IF(BASE_CAIXA!H316&lt;&gt;"",BASE_CAIXA!H316,BASE_CAIXA!G316))</f>
        <v>Impermeabilizante bi componente semi flexível - IMPER TOP 512 ( 2 demaos - 1,8 kg/m²)</v>
      </c>
      <c r="J319" s="26" t="str">
        <f>IF(A319="","",BASE_CAIXA!G316)</f>
        <v>Impermeabilizante bi componente semi flexível - IMPER TOP 512 ( 2 demaos - 1,8 kg/m²)</v>
      </c>
      <c r="K319" s="26">
        <f>IF(A319="","",BASE_CAIXA!I316)</f>
        <v>0</v>
      </c>
      <c r="L319" s="26">
        <f>IF(A319="","",BASE_CAIXA!J316)</f>
        <v>0</v>
      </c>
      <c r="M319" s="26" t="str">
        <f>IF(A319="","",BASE_CAIXA!AM316)</f>
        <v>Impermeabilizante bi componente semi flexível - IMPER TOP 51</v>
      </c>
      <c r="N319" s="26" t="str">
        <f t="shared" ca="1" si="12"/>
        <v>Previsto</v>
      </c>
      <c r="O319" s="13" t="str">
        <f>IFERROR(INDEX(EXTRATO_IMPORTADO!$A$5:$A$404,MATCH(B319,EXTRATO_IMPORTADO!$I$5:$I$404,0)),"")</f>
        <v/>
      </c>
      <c r="P319" s="14" t="str">
        <f>IFERROR(INDEX(EXTRATO_IMPORTADO!$F$5:$F$404,MATCH(B319,EXTRATO_IMPORTADO!$I$5:$I$404,0)),"")</f>
        <v/>
      </c>
      <c r="Q319" s="26" t="str">
        <f>IFERROR(INDEX(EXTRATO_IMPORTADO!$B$5:$B$404,MATCH(B319,EXTRATO_IMPORTADO!$I$5:$I$404,0)),"")</f>
        <v/>
      </c>
      <c r="R319" s="26" t="str">
        <f>IFERROR(MATCH(B319,EXTRATO_IMPORTADO!$I$5:$I$404,0),"")</f>
        <v/>
      </c>
      <c r="S319" s="14" t="str">
        <f t="shared" si="13"/>
        <v/>
      </c>
      <c r="T319" s="33" t="str">
        <f t="shared" si="14"/>
        <v/>
      </c>
    </row>
    <row r="320" spans="1:20" x14ac:dyDescent="0.3">
      <c r="A320" s="26">
        <f>IF(BASE_CAIXA!A317="","",BASE_CAIXA!A317)</f>
        <v>316</v>
      </c>
      <c r="B320" s="26" t="str">
        <f>IF(A320="","",BASE_CAIXA!AL317)</f>
        <v>000316-DB</v>
      </c>
      <c r="C320" s="13">
        <f>IF(A320="","",BASE_CAIXA!AJ317)</f>
        <v>46171</v>
      </c>
      <c r="D320" s="26" t="str">
        <f>IF(A320="","",IF(BASE_CAIXA!C317="Entrada","Crédito","Débito"))</f>
        <v>Débito</v>
      </c>
      <c r="E320" s="14">
        <f>IF(A320="","",BASE_CAIXA!AA317)</f>
        <v>4502.3999999999996</v>
      </c>
      <c r="F320" s="26">
        <f>IF(A320="","",BASE_CAIXA!N317)</f>
        <v>0</v>
      </c>
      <c r="G320" s="26">
        <f>IF(A320="","",BASE_CAIXA!O317)</f>
        <v>0</v>
      </c>
      <c r="H320" s="26">
        <f>IF(A320="","",BASE_CAIXA!P317)</f>
        <v>0</v>
      </c>
      <c r="I320" s="26" t="str">
        <f>IF(A320="","",IF(BASE_CAIXA!H317&lt;&gt;"",BASE_CAIXA!H317,BASE_CAIXA!G317))</f>
        <v>Mao de obra terceirizada colocaçao de Esquadrias aluminio</v>
      </c>
      <c r="J320" s="26" t="str">
        <f>IF(A320="","",BASE_CAIXA!G317)</f>
        <v>Mao de obra terceirizada colocaçao de Esquadrias aluminio</v>
      </c>
      <c r="K320" s="26">
        <f>IF(A320="","",BASE_CAIXA!I317)</f>
        <v>0</v>
      </c>
      <c r="L320" s="26">
        <f>IF(A320="","",BASE_CAIXA!J317)</f>
        <v>0</v>
      </c>
      <c r="M320" s="26" t="str">
        <f>IF(A320="","",BASE_CAIXA!AM317)</f>
        <v xml:space="preserve">Mao de obra terceirizada colocaçao de Esquadrias aluminio | </v>
      </c>
      <c r="N320" s="26" t="str">
        <f t="shared" ca="1" si="12"/>
        <v>Previsto</v>
      </c>
      <c r="O320" s="13" t="str">
        <f>IFERROR(INDEX(EXTRATO_IMPORTADO!$A$5:$A$404,MATCH(B320,EXTRATO_IMPORTADO!$I$5:$I$404,0)),"")</f>
        <v/>
      </c>
      <c r="P320" s="14" t="str">
        <f>IFERROR(INDEX(EXTRATO_IMPORTADO!$F$5:$F$404,MATCH(B320,EXTRATO_IMPORTADO!$I$5:$I$404,0)),"")</f>
        <v/>
      </c>
      <c r="Q320" s="26" t="str">
        <f>IFERROR(INDEX(EXTRATO_IMPORTADO!$B$5:$B$404,MATCH(B320,EXTRATO_IMPORTADO!$I$5:$I$404,0)),"")</f>
        <v/>
      </c>
      <c r="R320" s="26" t="str">
        <f>IFERROR(MATCH(B320,EXTRATO_IMPORTADO!$I$5:$I$404,0),"")</f>
        <v/>
      </c>
      <c r="S320" s="14" t="str">
        <f t="shared" si="13"/>
        <v/>
      </c>
      <c r="T320" s="33" t="str">
        <f t="shared" si="14"/>
        <v/>
      </c>
    </row>
    <row r="321" spans="1:20" x14ac:dyDescent="0.3">
      <c r="A321" s="26">
        <f>IF(BASE_CAIXA!A318="","",BASE_CAIXA!A318)</f>
        <v>317</v>
      </c>
      <c r="B321" s="26" t="str">
        <f>IF(A321="","",BASE_CAIXA!AL318)</f>
        <v>000317-DB</v>
      </c>
      <c r="C321" s="13">
        <f>IF(A321="","",BASE_CAIXA!AJ318)</f>
        <v>46171</v>
      </c>
      <c r="D321" s="26" t="str">
        <f>IF(A321="","",IF(BASE_CAIXA!C318="Entrada","Crédito","Débito"))</f>
        <v>Débito</v>
      </c>
      <c r="E321" s="14">
        <f>IF(A321="","",BASE_CAIXA!AA318)</f>
        <v>8203.52</v>
      </c>
      <c r="F321" s="26">
        <f>IF(A321="","",BASE_CAIXA!N318)</f>
        <v>0</v>
      </c>
      <c r="G321" s="26">
        <f>IF(A321="","",BASE_CAIXA!O318)</f>
        <v>0</v>
      </c>
      <c r="H321" s="26">
        <f>IF(A321="","",BASE_CAIXA!P318)</f>
        <v>0</v>
      </c>
      <c r="I321" s="26" t="str">
        <f>IF(A321="","",IF(BASE_CAIXA!H318&lt;&gt;"",BASE_CAIXA!H318,BASE_CAIXA!G318))</f>
        <v>PORTA ALCAPAO ALUM.BCO (37MM) 60 x 50</v>
      </c>
      <c r="J321" s="26" t="str">
        <f>IF(A321="","",BASE_CAIXA!G318)</f>
        <v>PORTA ALCAPAO ALUM.BCO (37MM) 60 x 50</v>
      </c>
      <c r="K321" s="26">
        <f>IF(A321="","",BASE_CAIXA!I318)</f>
        <v>0</v>
      </c>
      <c r="L321" s="26">
        <f>IF(A321="","",BASE_CAIXA!J318)</f>
        <v>0</v>
      </c>
      <c r="M321" s="26" t="str">
        <f>IF(A321="","",BASE_CAIXA!AM318)</f>
        <v>PORTA ALCAPAO ALUM.BCO (37MM) 60 x 50 | PORTA ALCAPAO ALUM.B</v>
      </c>
      <c r="N321" s="26" t="str">
        <f t="shared" ca="1" si="12"/>
        <v>Previsto</v>
      </c>
      <c r="O321" s="13" t="str">
        <f>IFERROR(INDEX(EXTRATO_IMPORTADO!$A$5:$A$404,MATCH(B321,EXTRATO_IMPORTADO!$I$5:$I$404,0)),"")</f>
        <v/>
      </c>
      <c r="P321" s="14" t="str">
        <f>IFERROR(INDEX(EXTRATO_IMPORTADO!$F$5:$F$404,MATCH(B321,EXTRATO_IMPORTADO!$I$5:$I$404,0)),"")</f>
        <v/>
      </c>
      <c r="Q321" s="26" t="str">
        <f>IFERROR(INDEX(EXTRATO_IMPORTADO!$B$5:$B$404,MATCH(B321,EXTRATO_IMPORTADO!$I$5:$I$404,0)),"")</f>
        <v/>
      </c>
      <c r="R321" s="26" t="str">
        <f>IFERROR(MATCH(B321,EXTRATO_IMPORTADO!$I$5:$I$404,0),"")</f>
        <v/>
      </c>
      <c r="S321" s="14" t="str">
        <f t="shared" si="13"/>
        <v/>
      </c>
      <c r="T321" s="33" t="str">
        <f t="shared" si="14"/>
        <v/>
      </c>
    </row>
    <row r="322" spans="1:20" x14ac:dyDescent="0.3">
      <c r="A322" s="26">
        <f>IF(BASE_CAIXA!A319="","",BASE_CAIXA!A319)</f>
        <v>318</v>
      </c>
      <c r="B322" s="26" t="str">
        <f>IF(A322="","",BASE_CAIXA!AL319)</f>
        <v>000318-DB</v>
      </c>
      <c r="C322" s="13">
        <f>IF(A322="","",BASE_CAIXA!AJ319)</f>
        <v>46171</v>
      </c>
      <c r="D322" s="26" t="str">
        <f>IF(A322="","",IF(BASE_CAIXA!C319="Entrada","Crédito","Débito"))</f>
        <v>Débito</v>
      </c>
      <c r="E322" s="14">
        <f>IF(A322="","",BASE_CAIXA!AA319)</f>
        <v>540.80000000000007</v>
      </c>
      <c r="F322" s="26">
        <f>IF(A322="","",BASE_CAIXA!N319)</f>
        <v>0</v>
      </c>
      <c r="G322" s="26">
        <f>IF(A322="","",BASE_CAIXA!O319)</f>
        <v>0</v>
      </c>
      <c r="H322" s="26">
        <f>IF(A322="","",BASE_CAIXA!P319)</f>
        <v>0</v>
      </c>
      <c r="I322" s="26" t="str">
        <f>IF(A322="","",IF(BASE_CAIXA!H319&lt;&gt;"",BASE_CAIXA!H319,BASE_CAIXA!G319))</f>
        <v>Parafuso panela fenda/phillips 4,8 x 50 mm - INOX</v>
      </c>
      <c r="J322" s="26" t="str">
        <f>IF(A322="","",BASE_CAIXA!G319)</f>
        <v>Parafuso panela fenda/phillips 4,8 x 50 mm - INOX</v>
      </c>
      <c r="K322" s="26">
        <f>IF(A322="","",BASE_CAIXA!I319)</f>
        <v>0</v>
      </c>
      <c r="L322" s="26">
        <f>IF(A322="","",BASE_CAIXA!J319)</f>
        <v>0</v>
      </c>
      <c r="M322" s="26" t="str">
        <f>IF(A322="","",BASE_CAIXA!AM319)</f>
        <v>Parafuso panela fenda/phillips 4,8 x 50 mm - INOX | Parafuso</v>
      </c>
      <c r="N322" s="26" t="str">
        <f t="shared" ca="1" si="12"/>
        <v>Previsto</v>
      </c>
      <c r="O322" s="13" t="str">
        <f>IFERROR(INDEX(EXTRATO_IMPORTADO!$A$5:$A$404,MATCH(B322,EXTRATO_IMPORTADO!$I$5:$I$404,0)),"")</f>
        <v/>
      </c>
      <c r="P322" s="14" t="str">
        <f>IFERROR(INDEX(EXTRATO_IMPORTADO!$F$5:$F$404,MATCH(B322,EXTRATO_IMPORTADO!$I$5:$I$404,0)),"")</f>
        <v/>
      </c>
      <c r="Q322" s="26" t="str">
        <f>IFERROR(INDEX(EXTRATO_IMPORTADO!$B$5:$B$404,MATCH(B322,EXTRATO_IMPORTADO!$I$5:$I$404,0)),"")</f>
        <v/>
      </c>
      <c r="R322" s="26" t="str">
        <f>IFERROR(MATCH(B322,EXTRATO_IMPORTADO!$I$5:$I$404,0),"")</f>
        <v/>
      </c>
      <c r="S322" s="14" t="str">
        <f t="shared" si="13"/>
        <v/>
      </c>
      <c r="T322" s="33" t="str">
        <f t="shared" si="14"/>
        <v/>
      </c>
    </row>
    <row r="323" spans="1:20" x14ac:dyDescent="0.3">
      <c r="A323" s="26">
        <f>IF(BASE_CAIXA!A320="","",BASE_CAIXA!A320)</f>
        <v>319</v>
      </c>
      <c r="B323" s="26" t="str">
        <f>IF(A323="","",BASE_CAIXA!AL320)</f>
        <v>000319-DB</v>
      </c>
      <c r="C323" s="13">
        <f>IF(A323="","",BASE_CAIXA!AJ320)</f>
        <v>46171</v>
      </c>
      <c r="D323" s="26" t="str">
        <f>IF(A323="","",IF(BASE_CAIXA!C320="Entrada","Crédito","Débito"))</f>
        <v>Débito</v>
      </c>
      <c r="E323" s="14">
        <f>IF(A323="","",BASE_CAIXA!AA320)</f>
        <v>1920</v>
      </c>
      <c r="F323" s="26">
        <f>IF(A323="","",BASE_CAIXA!N320)</f>
        <v>0</v>
      </c>
      <c r="G323" s="26">
        <f>IF(A323="","",BASE_CAIXA!O320)</f>
        <v>0</v>
      </c>
      <c r="H323" s="26">
        <f>IF(A323="","",BASE_CAIXA!P320)</f>
        <v>0</v>
      </c>
      <c r="I323" s="26" t="str">
        <f>IF(A323="","",IF(BASE_CAIXA!H320&lt;&gt;"",BASE_CAIXA!H320,BASE_CAIXA!G320))</f>
        <v>Selante acrilico c / 390 g - TECKBOND</v>
      </c>
      <c r="J323" s="26" t="str">
        <f>IF(A323="","",BASE_CAIXA!G320)</f>
        <v>Selante acrilico c / 390 g - TECKBOND</v>
      </c>
      <c r="K323" s="26">
        <f>IF(A323="","",BASE_CAIXA!I320)</f>
        <v>0</v>
      </c>
      <c r="L323" s="26">
        <f>IF(A323="","",BASE_CAIXA!J320)</f>
        <v>0</v>
      </c>
      <c r="M323" s="26" t="str">
        <f>IF(A323="","",BASE_CAIXA!AM320)</f>
        <v>Selante acrilico c / 390 g - TECKBOND | Selante acrilico c /</v>
      </c>
      <c r="N323" s="26" t="str">
        <f t="shared" ca="1" si="12"/>
        <v>Previsto</v>
      </c>
      <c r="O323" s="13" t="str">
        <f>IFERROR(INDEX(EXTRATO_IMPORTADO!$A$5:$A$404,MATCH(B323,EXTRATO_IMPORTADO!$I$5:$I$404,0)),"")</f>
        <v/>
      </c>
      <c r="P323" s="14" t="str">
        <f>IFERROR(INDEX(EXTRATO_IMPORTADO!$F$5:$F$404,MATCH(B323,EXTRATO_IMPORTADO!$I$5:$I$404,0)),"")</f>
        <v/>
      </c>
      <c r="Q323" s="26" t="str">
        <f>IFERROR(INDEX(EXTRATO_IMPORTADO!$B$5:$B$404,MATCH(B323,EXTRATO_IMPORTADO!$I$5:$I$404,0)),"")</f>
        <v/>
      </c>
      <c r="R323" s="26" t="str">
        <f>IFERROR(MATCH(B323,EXTRATO_IMPORTADO!$I$5:$I$404,0),"")</f>
        <v/>
      </c>
      <c r="S323" s="14" t="str">
        <f t="shared" si="13"/>
        <v/>
      </c>
      <c r="T323" s="33" t="str">
        <f t="shared" si="14"/>
        <v/>
      </c>
    </row>
    <row r="324" spans="1:20" x14ac:dyDescent="0.3">
      <c r="A324" s="26">
        <f>IF(BASE_CAIXA!A321="","",BASE_CAIXA!A321)</f>
        <v>320</v>
      </c>
      <c r="B324" s="26" t="str">
        <f>IF(A324="","",BASE_CAIXA!AL321)</f>
        <v>000320-DB</v>
      </c>
      <c r="C324" s="13">
        <f>IF(A324="","",BASE_CAIXA!AJ321)</f>
        <v>46171</v>
      </c>
      <c r="D324" s="26" t="str">
        <f>IF(A324="","",IF(BASE_CAIXA!C321="Entrada","Crédito","Débito"))</f>
        <v>Débito</v>
      </c>
      <c r="E324" s="14">
        <f>IF(A324="","",BASE_CAIXA!AA321)</f>
        <v>4025.6</v>
      </c>
      <c r="F324" s="26">
        <f>IF(A324="","",BASE_CAIXA!N321)</f>
        <v>0</v>
      </c>
      <c r="G324" s="26">
        <f>IF(A324="","",BASE_CAIXA!O321)</f>
        <v>0</v>
      </c>
      <c r="H324" s="26">
        <f>IF(A324="","",BASE_CAIXA!P321)</f>
        <v>0</v>
      </c>
      <c r="I324" s="26" t="str">
        <f>IF(A324="","",IF(BASE_CAIXA!H321&lt;&gt;"",BASE_CAIXA!H321,BASE_CAIXA!G321))</f>
        <v>VITRO MAXIMO-AR ALUM.BCO (38MM) 60 X 60 MBOREAL</v>
      </c>
      <c r="J324" s="26" t="str">
        <f>IF(A324="","",BASE_CAIXA!G321)</f>
        <v>VITRO MAXIMO-AR ALUM.BCO (38MM) 60 X 60 MBOREAL</v>
      </c>
      <c r="K324" s="26">
        <f>IF(A324="","",BASE_CAIXA!I321)</f>
        <v>0</v>
      </c>
      <c r="L324" s="26">
        <f>IF(A324="","",BASE_CAIXA!J321)</f>
        <v>0</v>
      </c>
      <c r="M324" s="26" t="str">
        <f>IF(A324="","",BASE_CAIXA!AM321)</f>
        <v>VITRO MAXIMO-AR ALUM.BCO (38MM) 60 X 60 MBOREAL | VITRO MAXI</v>
      </c>
      <c r="N324" s="26" t="str">
        <f t="shared" ca="1" si="12"/>
        <v>Previsto</v>
      </c>
      <c r="O324" s="13" t="str">
        <f>IFERROR(INDEX(EXTRATO_IMPORTADO!$A$5:$A$404,MATCH(B324,EXTRATO_IMPORTADO!$I$5:$I$404,0)),"")</f>
        <v/>
      </c>
      <c r="P324" s="14" t="str">
        <f>IFERROR(INDEX(EXTRATO_IMPORTADO!$F$5:$F$404,MATCH(B324,EXTRATO_IMPORTADO!$I$5:$I$404,0)),"")</f>
        <v/>
      </c>
      <c r="Q324" s="26" t="str">
        <f>IFERROR(INDEX(EXTRATO_IMPORTADO!$B$5:$B$404,MATCH(B324,EXTRATO_IMPORTADO!$I$5:$I$404,0)),"")</f>
        <v/>
      </c>
      <c r="R324" s="26" t="str">
        <f>IFERROR(MATCH(B324,EXTRATO_IMPORTADO!$I$5:$I$404,0),"")</f>
        <v/>
      </c>
      <c r="S324" s="14" t="str">
        <f t="shared" si="13"/>
        <v/>
      </c>
      <c r="T324" s="33" t="str">
        <f t="shared" si="14"/>
        <v/>
      </c>
    </row>
    <row r="325" spans="1:20" x14ac:dyDescent="0.3">
      <c r="A325" s="26">
        <f>IF(BASE_CAIXA!A322="","",BASE_CAIXA!A322)</f>
        <v>321</v>
      </c>
      <c r="B325" s="26" t="str">
        <f>IF(A325="","",BASE_CAIXA!AL322)</f>
        <v>000321-DB</v>
      </c>
      <c r="C325" s="13">
        <f>IF(A325="","",BASE_CAIXA!AJ322)</f>
        <v>46171</v>
      </c>
      <c r="D325" s="26" t="str">
        <f>IF(A325="","",IF(BASE_CAIXA!C322="Entrada","Crédito","Débito"))</f>
        <v>Débito</v>
      </c>
      <c r="E325" s="14">
        <f>IF(A325="","",BASE_CAIXA!AA322)</f>
        <v>30028.799999999999</v>
      </c>
      <c r="F325" s="26">
        <f>IF(A325="","",BASE_CAIXA!N322)</f>
        <v>0</v>
      </c>
      <c r="G325" s="26">
        <f>IF(A325="","",BASE_CAIXA!O322)</f>
        <v>0</v>
      </c>
      <c r="H325" s="26">
        <f>IF(A325="","",BASE_CAIXA!P322)</f>
        <v>0</v>
      </c>
      <c r="I325" s="26" t="str">
        <f>IF(A325="","",IF(BASE_CAIXA!H322&lt;&gt;"",BASE_CAIXA!H322,BASE_CAIXA!G322))</f>
        <v>VITRO SOFT AL.BC 2FL (53MM) 120 X 1,20</v>
      </c>
      <c r="J325" s="26" t="str">
        <f>IF(A325="","",BASE_CAIXA!G322)</f>
        <v>VITRO SOFT AL.BC 2FL (53MM) 120 X 1,20</v>
      </c>
      <c r="K325" s="26">
        <f>IF(A325="","",BASE_CAIXA!I322)</f>
        <v>0</v>
      </c>
      <c r="L325" s="26">
        <f>IF(A325="","",BASE_CAIXA!J322)</f>
        <v>0</v>
      </c>
      <c r="M325" s="26" t="str">
        <f>IF(A325="","",BASE_CAIXA!AM322)</f>
        <v>VITRO SOFT AL.BC 2FL (53MM) 120 X 1,20 | VITRO SOFT AL.BC 2F</v>
      </c>
      <c r="N325" s="26" t="str">
        <f t="shared" ref="N325:N388" ca="1" si="15">IF(A325="","",IF(R325&lt;&gt;"",IF(AND(ABS(S325)&lt;=0.01,ABS(T325)&lt;=3),"Conciliado","Divergente"),IF(TODAY()&gt;C325,"Pendente vencido","Previsto")))</f>
        <v>Previsto</v>
      </c>
      <c r="O325" s="13" t="str">
        <f>IFERROR(INDEX(EXTRATO_IMPORTADO!$A$5:$A$404,MATCH(B325,EXTRATO_IMPORTADO!$I$5:$I$404,0)),"")</f>
        <v/>
      </c>
      <c r="P325" s="14" t="str">
        <f>IFERROR(INDEX(EXTRATO_IMPORTADO!$F$5:$F$404,MATCH(B325,EXTRATO_IMPORTADO!$I$5:$I$404,0)),"")</f>
        <v/>
      </c>
      <c r="Q325" s="26" t="str">
        <f>IFERROR(INDEX(EXTRATO_IMPORTADO!$B$5:$B$404,MATCH(B325,EXTRATO_IMPORTADO!$I$5:$I$404,0)),"")</f>
        <v/>
      </c>
      <c r="R325" s="26" t="str">
        <f>IFERROR(MATCH(B325,EXTRATO_IMPORTADO!$I$5:$I$404,0),"")</f>
        <v/>
      </c>
      <c r="S325" s="14" t="str">
        <f t="shared" ref="S325:S388" si="16">IF(OR(A325="",P325=""),"",P325-E325)</f>
        <v/>
      </c>
      <c r="T325" s="33" t="str">
        <f t="shared" ref="T325:T388" si="17">IF(OR(A325="",O325=""),"",O325-C325)</f>
        <v/>
      </c>
    </row>
    <row r="326" spans="1:20" x14ac:dyDescent="0.3">
      <c r="A326" s="26">
        <f>IF(BASE_CAIXA!A323="","",BASE_CAIXA!A323)</f>
        <v>322</v>
      </c>
      <c r="B326" s="26" t="str">
        <f>IF(A326="","",BASE_CAIXA!AL323)</f>
        <v>000322-DB</v>
      </c>
      <c r="C326" s="13">
        <f>IF(A326="","",BASE_CAIXA!AJ323)</f>
        <v>46171</v>
      </c>
      <c r="D326" s="26" t="str">
        <f>IF(A326="","",IF(BASE_CAIXA!C323="Entrada","Crédito","Débito"))</f>
        <v>Débito</v>
      </c>
      <c r="E326" s="14">
        <f>IF(A326="","",BASE_CAIXA!AA323)</f>
        <v>7500</v>
      </c>
      <c r="F326" s="26">
        <f>IF(A326="","",BASE_CAIXA!N323)</f>
        <v>0</v>
      </c>
      <c r="G326" s="26">
        <f>IF(A326="","",BASE_CAIXA!O323)</f>
        <v>0</v>
      </c>
      <c r="H326" s="26">
        <f>IF(A326="","",BASE_CAIXA!P323)</f>
        <v>0</v>
      </c>
      <c r="I326" s="26" t="str">
        <f>IF(A326="","",IF(BASE_CAIXA!H323&lt;&gt;"",BASE_CAIXA!H323,BASE_CAIXA!G323))</f>
        <v>ALMOXARIFADO</v>
      </c>
      <c r="J326" s="26" t="str">
        <f>IF(A326="","",BASE_CAIXA!G323)</f>
        <v>ALMOXARIFADO</v>
      </c>
      <c r="K326" s="26">
        <f>IF(A326="","",BASE_CAIXA!I323)</f>
        <v>0</v>
      </c>
      <c r="L326" s="26">
        <f>IF(A326="","",BASE_CAIXA!J323)</f>
        <v>0</v>
      </c>
      <c r="M326" s="26" t="str">
        <f>IF(A326="","",BASE_CAIXA!AM323)</f>
        <v>ALMOXARIFADO | ALMOXARIFADO | Saída | GESTÃO LOCAL</v>
      </c>
      <c r="N326" s="26" t="str">
        <f t="shared" ca="1" si="15"/>
        <v>Previsto</v>
      </c>
      <c r="O326" s="13" t="str">
        <f>IFERROR(INDEX(EXTRATO_IMPORTADO!$A$5:$A$404,MATCH(B326,EXTRATO_IMPORTADO!$I$5:$I$404,0)),"")</f>
        <v/>
      </c>
      <c r="P326" s="14" t="str">
        <f>IFERROR(INDEX(EXTRATO_IMPORTADO!$F$5:$F$404,MATCH(B326,EXTRATO_IMPORTADO!$I$5:$I$404,0)),"")</f>
        <v/>
      </c>
      <c r="Q326" s="26" t="str">
        <f>IFERROR(INDEX(EXTRATO_IMPORTADO!$B$5:$B$404,MATCH(B326,EXTRATO_IMPORTADO!$I$5:$I$404,0)),"")</f>
        <v/>
      </c>
      <c r="R326" s="26" t="str">
        <f>IFERROR(MATCH(B326,EXTRATO_IMPORTADO!$I$5:$I$404,0),"")</f>
        <v/>
      </c>
      <c r="S326" s="14" t="str">
        <f t="shared" si="16"/>
        <v/>
      </c>
      <c r="T326" s="33" t="str">
        <f t="shared" si="17"/>
        <v/>
      </c>
    </row>
    <row r="327" spans="1:20" x14ac:dyDescent="0.3">
      <c r="A327" s="26">
        <f>IF(BASE_CAIXA!A324="","",BASE_CAIXA!A324)</f>
        <v>323</v>
      </c>
      <c r="B327" s="26" t="str">
        <f>IF(A327="","",BASE_CAIXA!AL324)</f>
        <v>000323-DB</v>
      </c>
      <c r="C327" s="13">
        <f>IF(A327="","",BASE_CAIXA!AJ324)</f>
        <v>46171</v>
      </c>
      <c r="D327" s="26" t="str">
        <f>IF(A327="","",IF(BASE_CAIXA!C324="Entrada","Crédito","Débito"))</f>
        <v>Débito</v>
      </c>
      <c r="E327" s="14">
        <f>IF(A327="","",BASE_CAIXA!AA324)</f>
        <v>3500</v>
      </c>
      <c r="F327" s="26">
        <f>IF(A327="","",BASE_CAIXA!N324)</f>
        <v>0</v>
      </c>
      <c r="G327" s="26">
        <f>IF(A327="","",BASE_CAIXA!O324)</f>
        <v>0</v>
      </c>
      <c r="H327" s="26">
        <f>IF(A327="","",BASE_CAIXA!P324)</f>
        <v>0</v>
      </c>
      <c r="I327" s="26" t="str">
        <f>IF(A327="","",IF(BASE_CAIXA!H324&lt;&gt;"",BASE_CAIXA!H324,BASE_CAIXA!G324))</f>
        <v>Alojamento Arbnb (mestre, engenheiro. Tecnico)</v>
      </c>
      <c r="J327" s="26" t="str">
        <f>IF(A327="","",BASE_CAIXA!G324)</f>
        <v>Alojamento Arbnb (mestre, engenheiro. Tecnico)</v>
      </c>
      <c r="K327" s="26">
        <f>IF(A327="","",BASE_CAIXA!I324)</f>
        <v>0</v>
      </c>
      <c r="L327" s="26">
        <f>IF(A327="","",BASE_CAIXA!J324)</f>
        <v>0</v>
      </c>
      <c r="M327" s="26" t="str">
        <f>IF(A327="","",BASE_CAIXA!AM324)</f>
        <v xml:space="preserve">Alojamento Arbnb (mestre, engenheiro. Tecnico) | Alojamento </v>
      </c>
      <c r="N327" s="26" t="str">
        <f t="shared" ca="1" si="15"/>
        <v>Previsto</v>
      </c>
      <c r="O327" s="13" t="str">
        <f>IFERROR(INDEX(EXTRATO_IMPORTADO!$A$5:$A$404,MATCH(B327,EXTRATO_IMPORTADO!$I$5:$I$404,0)),"")</f>
        <v/>
      </c>
      <c r="P327" s="14" t="str">
        <f>IFERROR(INDEX(EXTRATO_IMPORTADO!$F$5:$F$404,MATCH(B327,EXTRATO_IMPORTADO!$I$5:$I$404,0)),"")</f>
        <v/>
      </c>
      <c r="Q327" s="26" t="str">
        <f>IFERROR(INDEX(EXTRATO_IMPORTADO!$B$5:$B$404,MATCH(B327,EXTRATO_IMPORTADO!$I$5:$I$404,0)),"")</f>
        <v/>
      </c>
      <c r="R327" s="26" t="str">
        <f>IFERROR(MATCH(B327,EXTRATO_IMPORTADO!$I$5:$I$404,0),"")</f>
        <v/>
      </c>
      <c r="S327" s="14" t="str">
        <f t="shared" si="16"/>
        <v/>
      </c>
      <c r="T327" s="33" t="str">
        <f t="shared" si="17"/>
        <v/>
      </c>
    </row>
    <row r="328" spans="1:20" x14ac:dyDescent="0.3">
      <c r="A328" s="26">
        <f>IF(BASE_CAIXA!A325="","",BASE_CAIXA!A325)</f>
        <v>324</v>
      </c>
      <c r="B328" s="26" t="str">
        <f>IF(A328="","",BASE_CAIXA!AL325)</f>
        <v>000324-DB</v>
      </c>
      <c r="C328" s="13">
        <f>IF(A328="","",BASE_CAIXA!AJ325)</f>
        <v>46171</v>
      </c>
      <c r="D328" s="26" t="str">
        <f>IF(A328="","",IF(BASE_CAIXA!C325="Entrada","Crédito","Débito"))</f>
        <v>Débito</v>
      </c>
      <c r="E328" s="14">
        <f>IF(A328="","",BASE_CAIXA!AA325)</f>
        <v>1140</v>
      </c>
      <c r="F328" s="26">
        <f>IF(A328="","",BASE_CAIXA!N325)</f>
        <v>0</v>
      </c>
      <c r="G328" s="26">
        <f>IF(A328="","",BASE_CAIXA!O325)</f>
        <v>0</v>
      </c>
      <c r="H328" s="26">
        <f>IF(A328="","",BASE_CAIXA!P325)</f>
        <v>0</v>
      </c>
      <c r="I328" s="26" t="str">
        <f>IF(A328="","",IF(BASE_CAIXA!H325&lt;&gt;"",BASE_CAIXA!H325,BASE_CAIXA!G325))</f>
        <v>Aluguel container Banheiro</v>
      </c>
      <c r="J328" s="26" t="str">
        <f>IF(A328="","",BASE_CAIXA!G325)</f>
        <v>Aluguel container Banheiro</v>
      </c>
      <c r="K328" s="26">
        <f>IF(A328="","",BASE_CAIXA!I325)</f>
        <v>0</v>
      </c>
      <c r="L328" s="26">
        <f>IF(A328="","",BASE_CAIXA!J325)</f>
        <v>0</v>
      </c>
      <c r="M328" s="26" t="str">
        <f>IF(A328="","",BASE_CAIXA!AM325)</f>
        <v>Aluguel container Banheiro | Aluguel container Banheiro | Sa</v>
      </c>
      <c r="N328" s="26" t="str">
        <f t="shared" ca="1" si="15"/>
        <v>Previsto</v>
      </c>
      <c r="O328" s="13" t="str">
        <f>IFERROR(INDEX(EXTRATO_IMPORTADO!$A$5:$A$404,MATCH(B328,EXTRATO_IMPORTADO!$I$5:$I$404,0)),"")</f>
        <v/>
      </c>
      <c r="P328" s="14" t="str">
        <f>IFERROR(INDEX(EXTRATO_IMPORTADO!$F$5:$F$404,MATCH(B328,EXTRATO_IMPORTADO!$I$5:$I$404,0)),"")</f>
        <v/>
      </c>
      <c r="Q328" s="26" t="str">
        <f>IFERROR(INDEX(EXTRATO_IMPORTADO!$B$5:$B$404,MATCH(B328,EXTRATO_IMPORTADO!$I$5:$I$404,0)),"")</f>
        <v/>
      </c>
      <c r="R328" s="26" t="str">
        <f>IFERROR(MATCH(B328,EXTRATO_IMPORTADO!$I$5:$I$404,0),"")</f>
        <v/>
      </c>
      <c r="S328" s="14" t="str">
        <f t="shared" si="16"/>
        <v/>
      </c>
      <c r="T328" s="33" t="str">
        <f t="shared" si="17"/>
        <v/>
      </c>
    </row>
    <row r="329" spans="1:20" x14ac:dyDescent="0.3">
      <c r="A329" s="26">
        <f>IF(BASE_CAIXA!A326="","",BASE_CAIXA!A326)</f>
        <v>325</v>
      </c>
      <c r="B329" s="26" t="str">
        <f>IF(A329="","",BASE_CAIXA!AL326)</f>
        <v>000325-DB</v>
      </c>
      <c r="C329" s="13">
        <f>IF(A329="","",BASE_CAIXA!AJ326)</f>
        <v>46171</v>
      </c>
      <c r="D329" s="26" t="str">
        <f>IF(A329="","",IF(BASE_CAIXA!C326="Entrada","Crédito","Débito"))</f>
        <v>Débito</v>
      </c>
      <c r="E329" s="14">
        <f>IF(A329="","",BASE_CAIXA!AA326)</f>
        <v>400</v>
      </c>
      <c r="F329" s="26">
        <f>IF(A329="","",BASE_CAIXA!N326)</f>
        <v>0</v>
      </c>
      <c r="G329" s="26">
        <f>IF(A329="","",BASE_CAIXA!O326)</f>
        <v>0</v>
      </c>
      <c r="H329" s="26">
        <f>IF(A329="","",BASE_CAIXA!P326)</f>
        <v>0</v>
      </c>
      <c r="I329" s="26" t="str">
        <f>IF(A329="","",IF(BASE_CAIXA!H326&lt;&gt;"",BASE_CAIXA!H326,BASE_CAIXA!G326))</f>
        <v>Aluguel container almoxarifado</v>
      </c>
      <c r="J329" s="26" t="str">
        <f>IF(A329="","",BASE_CAIXA!G326)</f>
        <v>Aluguel container almoxarifado</v>
      </c>
      <c r="K329" s="26">
        <f>IF(A329="","",BASE_CAIXA!I326)</f>
        <v>0</v>
      </c>
      <c r="L329" s="26">
        <f>IF(A329="","",BASE_CAIXA!J326)</f>
        <v>0</v>
      </c>
      <c r="M329" s="26" t="str">
        <f>IF(A329="","",BASE_CAIXA!AM326)</f>
        <v>Aluguel container almoxarifado | Aluguel container almoxarif</v>
      </c>
      <c r="N329" s="26" t="str">
        <f t="shared" ca="1" si="15"/>
        <v>Previsto</v>
      </c>
      <c r="O329" s="13" t="str">
        <f>IFERROR(INDEX(EXTRATO_IMPORTADO!$A$5:$A$404,MATCH(B329,EXTRATO_IMPORTADO!$I$5:$I$404,0)),"")</f>
        <v/>
      </c>
      <c r="P329" s="14" t="str">
        <f>IFERROR(INDEX(EXTRATO_IMPORTADO!$F$5:$F$404,MATCH(B329,EXTRATO_IMPORTADO!$I$5:$I$404,0)),"")</f>
        <v/>
      </c>
      <c r="Q329" s="26" t="str">
        <f>IFERROR(INDEX(EXTRATO_IMPORTADO!$B$5:$B$404,MATCH(B329,EXTRATO_IMPORTADO!$I$5:$I$404,0)),"")</f>
        <v/>
      </c>
      <c r="R329" s="26" t="str">
        <f>IFERROR(MATCH(B329,EXTRATO_IMPORTADO!$I$5:$I$404,0),"")</f>
        <v/>
      </c>
      <c r="S329" s="14" t="str">
        <f t="shared" si="16"/>
        <v/>
      </c>
      <c r="T329" s="33" t="str">
        <f t="shared" si="17"/>
        <v/>
      </c>
    </row>
    <row r="330" spans="1:20" x14ac:dyDescent="0.3">
      <c r="A330" s="26">
        <f>IF(BASE_CAIXA!A327="","",BASE_CAIXA!A327)</f>
        <v>326</v>
      </c>
      <c r="B330" s="26" t="str">
        <f>IF(A330="","",BASE_CAIXA!AL327)</f>
        <v>000326-DB</v>
      </c>
      <c r="C330" s="13">
        <f>IF(A330="","",BASE_CAIXA!AJ327)</f>
        <v>46171</v>
      </c>
      <c r="D330" s="26" t="str">
        <f>IF(A330="","",IF(BASE_CAIXA!C327="Entrada","Crédito","Débito"))</f>
        <v>Débito</v>
      </c>
      <c r="E330" s="14">
        <f>IF(A330="","",BASE_CAIXA!AA327)</f>
        <v>900</v>
      </c>
      <c r="F330" s="26">
        <f>IF(A330="","",BASE_CAIXA!N327)</f>
        <v>0</v>
      </c>
      <c r="G330" s="26">
        <f>IF(A330="","",BASE_CAIXA!O327)</f>
        <v>0</v>
      </c>
      <c r="H330" s="26">
        <f>IF(A330="","",BASE_CAIXA!P327)</f>
        <v>0</v>
      </c>
      <c r="I330" s="26" t="str">
        <f>IF(A330="","",IF(BASE_CAIXA!H327&lt;&gt;"",BASE_CAIXA!H327,BASE_CAIXA!G327))</f>
        <v>Aluguel container escritorio</v>
      </c>
      <c r="J330" s="26" t="str">
        <f>IF(A330="","",BASE_CAIXA!G327)</f>
        <v>Aluguel container escritorio</v>
      </c>
      <c r="K330" s="26">
        <f>IF(A330="","",BASE_CAIXA!I327)</f>
        <v>0</v>
      </c>
      <c r="L330" s="26">
        <f>IF(A330="","",BASE_CAIXA!J327)</f>
        <v>0</v>
      </c>
      <c r="M330" s="26" t="str">
        <f>IF(A330="","",BASE_CAIXA!AM327)</f>
        <v xml:space="preserve">Aluguel container escritorio | Aluguel container escritorio </v>
      </c>
      <c r="N330" s="26" t="str">
        <f t="shared" ca="1" si="15"/>
        <v>Previsto</v>
      </c>
      <c r="O330" s="13" t="str">
        <f>IFERROR(INDEX(EXTRATO_IMPORTADO!$A$5:$A$404,MATCH(B330,EXTRATO_IMPORTADO!$I$5:$I$404,0)),"")</f>
        <v/>
      </c>
      <c r="P330" s="14" t="str">
        <f>IFERROR(INDEX(EXTRATO_IMPORTADO!$F$5:$F$404,MATCH(B330,EXTRATO_IMPORTADO!$I$5:$I$404,0)),"")</f>
        <v/>
      </c>
      <c r="Q330" s="26" t="str">
        <f>IFERROR(INDEX(EXTRATO_IMPORTADO!$B$5:$B$404,MATCH(B330,EXTRATO_IMPORTADO!$I$5:$I$404,0)),"")</f>
        <v/>
      </c>
      <c r="R330" s="26" t="str">
        <f>IFERROR(MATCH(B330,EXTRATO_IMPORTADO!$I$5:$I$404,0),"")</f>
        <v/>
      </c>
      <c r="S330" s="14" t="str">
        <f t="shared" si="16"/>
        <v/>
      </c>
      <c r="T330" s="33" t="str">
        <f t="shared" si="17"/>
        <v/>
      </c>
    </row>
    <row r="331" spans="1:20" x14ac:dyDescent="0.3">
      <c r="A331" s="26">
        <f>IF(BASE_CAIXA!A328="","",BASE_CAIXA!A328)</f>
        <v>327</v>
      </c>
      <c r="B331" s="26" t="str">
        <f>IF(A331="","",BASE_CAIXA!AL328)</f>
        <v>000327-DB</v>
      </c>
      <c r="C331" s="13">
        <f>IF(A331="","",BASE_CAIXA!AJ328)</f>
        <v>46171</v>
      </c>
      <c r="D331" s="26" t="str">
        <f>IF(A331="","",IF(BASE_CAIXA!C328="Entrada","Crédito","Débito"))</f>
        <v>Débito</v>
      </c>
      <c r="E331" s="14">
        <f>IF(A331="","",BASE_CAIXA!AA328)</f>
        <v>3000</v>
      </c>
      <c r="F331" s="26">
        <f>IF(A331="","",BASE_CAIXA!N328)</f>
        <v>0</v>
      </c>
      <c r="G331" s="26">
        <f>IF(A331="","",BASE_CAIXA!O328)</f>
        <v>0</v>
      </c>
      <c r="H331" s="26">
        <f>IF(A331="","",BASE_CAIXA!P328)</f>
        <v>0</v>
      </c>
      <c r="I331" s="26" t="str">
        <f>IF(A331="","",IF(BASE_CAIXA!H328&lt;&gt;"",BASE_CAIXA!H328,BASE_CAIXA!G328))</f>
        <v>COMPRADOR</v>
      </c>
      <c r="J331" s="26" t="str">
        <f>IF(A331="","",BASE_CAIXA!G328)</f>
        <v>COMPRADOR</v>
      </c>
      <c r="K331" s="26">
        <f>IF(A331="","",BASE_CAIXA!I328)</f>
        <v>0</v>
      </c>
      <c r="L331" s="26">
        <f>IF(A331="","",BASE_CAIXA!J328)</f>
        <v>0</v>
      </c>
      <c r="M331" s="26" t="str">
        <f>IF(A331="","",BASE_CAIXA!AM328)</f>
        <v>COMPRADOR | COMPRADOR | Saída | GESTÃO LOCAL</v>
      </c>
      <c r="N331" s="26" t="str">
        <f t="shared" ca="1" si="15"/>
        <v>Previsto</v>
      </c>
      <c r="O331" s="13" t="str">
        <f>IFERROR(INDEX(EXTRATO_IMPORTADO!$A$5:$A$404,MATCH(B331,EXTRATO_IMPORTADO!$I$5:$I$404,0)),"")</f>
        <v/>
      </c>
      <c r="P331" s="14" t="str">
        <f>IFERROR(INDEX(EXTRATO_IMPORTADO!$F$5:$F$404,MATCH(B331,EXTRATO_IMPORTADO!$I$5:$I$404,0)),"")</f>
        <v/>
      </c>
      <c r="Q331" s="26" t="str">
        <f>IFERROR(INDEX(EXTRATO_IMPORTADO!$B$5:$B$404,MATCH(B331,EXTRATO_IMPORTADO!$I$5:$I$404,0)),"")</f>
        <v/>
      </c>
      <c r="R331" s="26" t="str">
        <f>IFERROR(MATCH(B331,EXTRATO_IMPORTADO!$I$5:$I$404,0),"")</f>
        <v/>
      </c>
      <c r="S331" s="14" t="str">
        <f t="shared" si="16"/>
        <v/>
      </c>
      <c r="T331" s="33" t="str">
        <f t="shared" si="17"/>
        <v/>
      </c>
    </row>
    <row r="332" spans="1:20" x14ac:dyDescent="0.3">
      <c r="A332" s="26">
        <f>IF(BASE_CAIXA!A329="","",BASE_CAIXA!A329)</f>
        <v>328</v>
      </c>
      <c r="B332" s="26" t="str">
        <f>IF(A332="","",BASE_CAIXA!AL329)</f>
        <v>000328-DB</v>
      </c>
      <c r="C332" s="13">
        <f>IF(A332="","",BASE_CAIXA!AJ329)</f>
        <v>46171</v>
      </c>
      <c r="D332" s="26" t="str">
        <f>IF(A332="","",IF(BASE_CAIXA!C329="Entrada","Crédito","Débito"))</f>
        <v>Débito</v>
      </c>
      <c r="E332" s="14">
        <f>IF(A332="","",BASE_CAIXA!AA329)</f>
        <v>10000</v>
      </c>
      <c r="F332" s="26">
        <f>IF(A332="","",BASE_CAIXA!N329)</f>
        <v>0</v>
      </c>
      <c r="G332" s="26">
        <f>IF(A332="","",BASE_CAIXA!O329)</f>
        <v>0</v>
      </c>
      <c r="H332" s="26">
        <f>IF(A332="","",BASE_CAIXA!P329)</f>
        <v>0</v>
      </c>
      <c r="I332" s="26" t="str">
        <f>IF(A332="","",IF(BASE_CAIXA!H329&lt;&gt;"",BASE_CAIXA!H329,BASE_CAIXA!G329))</f>
        <v>ENGENHEIRO RESIDENTE - ( rateado em 3 canteiros) carro incluso</v>
      </c>
      <c r="J332" s="26" t="str">
        <f>IF(A332="","",BASE_CAIXA!G329)</f>
        <v>ENGENHEIRO RESIDENTE - ( rateado em 3 canteiros) carro incluso</v>
      </c>
      <c r="K332" s="26">
        <f>IF(A332="","",BASE_CAIXA!I329)</f>
        <v>0</v>
      </c>
      <c r="L332" s="26">
        <f>IF(A332="","",BASE_CAIXA!J329)</f>
        <v>0</v>
      </c>
      <c r="M332" s="26" t="str">
        <f>IF(A332="","",BASE_CAIXA!AM329)</f>
        <v>ENGENHEIRO RESIDENTE - ( rateado em 3 canteiros) carro inclu</v>
      </c>
      <c r="N332" s="26" t="str">
        <f t="shared" ca="1" si="15"/>
        <v>Previsto</v>
      </c>
      <c r="O332" s="13" t="str">
        <f>IFERROR(INDEX(EXTRATO_IMPORTADO!$A$5:$A$404,MATCH(B332,EXTRATO_IMPORTADO!$I$5:$I$404,0)),"")</f>
        <v/>
      </c>
      <c r="P332" s="14" t="str">
        <f>IFERROR(INDEX(EXTRATO_IMPORTADO!$F$5:$F$404,MATCH(B332,EXTRATO_IMPORTADO!$I$5:$I$404,0)),"")</f>
        <v/>
      </c>
      <c r="Q332" s="26" t="str">
        <f>IFERROR(INDEX(EXTRATO_IMPORTADO!$B$5:$B$404,MATCH(B332,EXTRATO_IMPORTADO!$I$5:$I$404,0)),"")</f>
        <v/>
      </c>
      <c r="R332" s="26" t="str">
        <f>IFERROR(MATCH(B332,EXTRATO_IMPORTADO!$I$5:$I$404,0),"")</f>
        <v/>
      </c>
      <c r="S332" s="14" t="str">
        <f t="shared" si="16"/>
        <v/>
      </c>
      <c r="T332" s="33" t="str">
        <f t="shared" si="17"/>
        <v/>
      </c>
    </row>
    <row r="333" spans="1:20" x14ac:dyDescent="0.3">
      <c r="A333" s="26">
        <f>IF(BASE_CAIXA!A330="","",BASE_CAIXA!A330)</f>
        <v>329</v>
      </c>
      <c r="B333" s="26" t="str">
        <f>IF(A333="","",BASE_CAIXA!AL330)</f>
        <v>000329-DB</v>
      </c>
      <c r="C333" s="13">
        <f>IF(A333="","",BASE_CAIXA!AJ330)</f>
        <v>46171</v>
      </c>
      <c r="D333" s="26" t="str">
        <f>IF(A333="","",IF(BASE_CAIXA!C330="Entrada","Crédito","Débito"))</f>
        <v>Débito</v>
      </c>
      <c r="E333" s="14">
        <f>IF(A333="","",BASE_CAIXA!AA330)</f>
        <v>3000</v>
      </c>
      <c r="F333" s="26">
        <f>IF(A333="","",BASE_CAIXA!N330)</f>
        <v>0</v>
      </c>
      <c r="G333" s="26">
        <f>IF(A333="","",BASE_CAIXA!O330)</f>
        <v>0</v>
      </c>
      <c r="H333" s="26">
        <f>IF(A333="","",BASE_CAIXA!P330)</f>
        <v>0</v>
      </c>
      <c r="I333" s="26" t="str">
        <f>IF(A333="","",IF(BASE_CAIXA!H330&lt;&gt;"",BASE_CAIXA!H330,BASE_CAIXA!G330))</f>
        <v>TECNICO SEGURANÇA TRABALHO - ( rateado em 3 canteiros) carro incluso</v>
      </c>
      <c r="J333" s="26" t="str">
        <f>IF(A333="","",BASE_CAIXA!G330)</f>
        <v>TECNICO SEGURANÇA TRABALHO - ( rateado em 3 canteiros) carro incluso</v>
      </c>
      <c r="K333" s="26">
        <f>IF(A333="","",BASE_CAIXA!I330)</f>
        <v>0</v>
      </c>
      <c r="L333" s="26">
        <f>IF(A333="","",BASE_CAIXA!J330)</f>
        <v>0</v>
      </c>
      <c r="M333" s="26" t="str">
        <f>IF(A333="","",BASE_CAIXA!AM330)</f>
        <v>TECNICO SEGURANÇA TRABALHO - ( rateado em 3 canteiros) carro</v>
      </c>
      <c r="N333" s="26" t="str">
        <f t="shared" ca="1" si="15"/>
        <v>Previsto</v>
      </c>
      <c r="O333" s="13" t="str">
        <f>IFERROR(INDEX(EXTRATO_IMPORTADO!$A$5:$A$404,MATCH(B333,EXTRATO_IMPORTADO!$I$5:$I$404,0)),"")</f>
        <v/>
      </c>
      <c r="P333" s="14" t="str">
        <f>IFERROR(INDEX(EXTRATO_IMPORTADO!$F$5:$F$404,MATCH(B333,EXTRATO_IMPORTADO!$I$5:$I$404,0)),"")</f>
        <v/>
      </c>
      <c r="Q333" s="26" t="str">
        <f>IFERROR(INDEX(EXTRATO_IMPORTADO!$B$5:$B$404,MATCH(B333,EXTRATO_IMPORTADO!$I$5:$I$404,0)),"")</f>
        <v/>
      </c>
      <c r="R333" s="26" t="str">
        <f>IFERROR(MATCH(B333,EXTRATO_IMPORTADO!$I$5:$I$404,0),"")</f>
        <v/>
      </c>
      <c r="S333" s="14" t="str">
        <f t="shared" si="16"/>
        <v/>
      </c>
      <c r="T333" s="33" t="str">
        <f t="shared" si="17"/>
        <v/>
      </c>
    </row>
    <row r="334" spans="1:20" x14ac:dyDescent="0.3">
      <c r="A334" s="26">
        <f>IF(BASE_CAIXA!A331="","",BASE_CAIXA!A331)</f>
        <v>330</v>
      </c>
      <c r="B334" s="26" t="str">
        <f>IF(A334="","",BASE_CAIXA!AL331)</f>
        <v>000330-DB</v>
      </c>
      <c r="C334" s="13">
        <f>IF(A334="","",BASE_CAIXA!AJ331)</f>
        <v>46171</v>
      </c>
      <c r="D334" s="26" t="str">
        <f>IF(A334="","",IF(BASE_CAIXA!C331="Entrada","Crédito","Débito"))</f>
        <v>Débito</v>
      </c>
      <c r="E334" s="14">
        <f>IF(A334="","",BASE_CAIXA!AA331)</f>
        <v>4864</v>
      </c>
      <c r="F334" s="26">
        <f>IF(A334="","",BASE_CAIXA!N331)</f>
        <v>0</v>
      </c>
      <c r="G334" s="26">
        <f>IF(A334="","",BASE_CAIXA!O331)</f>
        <v>0</v>
      </c>
      <c r="H334" s="26">
        <f>IF(A334="","",BASE_CAIXA!P331)</f>
        <v>0</v>
      </c>
      <c r="I334" s="26" t="str">
        <f>IF(A334="","",IF(BASE_CAIXA!H331&lt;&gt;"",BASE_CAIXA!H331,BASE_CAIXA!G331))</f>
        <v>Aditivo supercristalizante Penetron</v>
      </c>
      <c r="J334" s="26" t="str">
        <f>IF(A334="","",BASE_CAIXA!G331)</f>
        <v>Aditivo supercristalizante Penetron</v>
      </c>
      <c r="K334" s="26">
        <f>IF(A334="","",BASE_CAIXA!I331)</f>
        <v>0</v>
      </c>
      <c r="L334" s="26">
        <f>IF(A334="","",BASE_CAIXA!J331)</f>
        <v>0</v>
      </c>
      <c r="M334" s="26" t="str">
        <f>IF(A334="","",BASE_CAIXA!AM331)</f>
        <v>Aditivo supercristalizante Penetron | Aditivo supercristaliz</v>
      </c>
      <c r="N334" s="26" t="str">
        <f t="shared" ca="1" si="15"/>
        <v>Previsto</v>
      </c>
      <c r="O334" s="13" t="str">
        <f>IFERROR(INDEX(EXTRATO_IMPORTADO!$A$5:$A$404,MATCH(B334,EXTRATO_IMPORTADO!$I$5:$I$404,0)),"")</f>
        <v/>
      </c>
      <c r="P334" s="14" t="str">
        <f>IFERROR(INDEX(EXTRATO_IMPORTADO!$F$5:$F$404,MATCH(B334,EXTRATO_IMPORTADO!$I$5:$I$404,0)),"")</f>
        <v/>
      </c>
      <c r="Q334" s="26" t="str">
        <f>IFERROR(INDEX(EXTRATO_IMPORTADO!$B$5:$B$404,MATCH(B334,EXTRATO_IMPORTADO!$I$5:$I$404,0)),"")</f>
        <v/>
      </c>
      <c r="R334" s="26" t="str">
        <f>IFERROR(MATCH(B334,EXTRATO_IMPORTADO!$I$5:$I$404,0),"")</f>
        <v/>
      </c>
      <c r="S334" s="14" t="str">
        <f t="shared" si="16"/>
        <v/>
      </c>
      <c r="T334" s="33" t="str">
        <f t="shared" si="17"/>
        <v/>
      </c>
    </row>
    <row r="335" spans="1:20" x14ac:dyDescent="0.3">
      <c r="A335" s="26">
        <f>IF(BASE_CAIXA!A332="","",BASE_CAIXA!A332)</f>
        <v>331</v>
      </c>
      <c r="B335" s="26" t="str">
        <f>IF(A335="","",BASE_CAIXA!AL332)</f>
        <v>000331-DB</v>
      </c>
      <c r="C335" s="13">
        <f>IF(A335="","",BASE_CAIXA!AJ332)</f>
        <v>46171</v>
      </c>
      <c r="D335" s="26" t="str">
        <f>IF(A335="","",IF(BASE_CAIXA!C332="Entrada","Crédito","Débito"))</f>
        <v>Débito</v>
      </c>
      <c r="E335" s="14">
        <f>IF(A335="","",BASE_CAIXA!AA332)</f>
        <v>840</v>
      </c>
      <c r="F335" s="26">
        <f>IF(A335="","",BASE_CAIXA!N332)</f>
        <v>0</v>
      </c>
      <c r="G335" s="26">
        <f>IF(A335="","",BASE_CAIXA!O332)</f>
        <v>0</v>
      </c>
      <c r="H335" s="26">
        <f>IF(A335="","",BASE_CAIXA!P332)</f>
        <v>0</v>
      </c>
      <c r="I335" s="26" t="str">
        <f>IF(A335="","",IF(BASE_CAIXA!H332&lt;&gt;"",BASE_CAIXA!H332,BASE_CAIXA!G332))</f>
        <v>Locação betoneira para bater o graute</v>
      </c>
      <c r="J335" s="26" t="str">
        <f>IF(A335="","",BASE_CAIXA!G332)</f>
        <v>Locação betoneira para bater o graute</v>
      </c>
      <c r="K335" s="26">
        <f>IF(A335="","",BASE_CAIXA!I332)</f>
        <v>0</v>
      </c>
      <c r="L335" s="26">
        <f>IF(A335="","",BASE_CAIXA!J332)</f>
        <v>0</v>
      </c>
      <c r="M335" s="26" t="str">
        <f>IF(A335="","",BASE_CAIXA!AM332)</f>
        <v>Locação betoneira para bater o graute | Locação betoneira pa</v>
      </c>
      <c r="N335" s="26" t="str">
        <f t="shared" ca="1" si="15"/>
        <v>Previsto</v>
      </c>
      <c r="O335" s="13" t="str">
        <f>IFERROR(INDEX(EXTRATO_IMPORTADO!$A$5:$A$404,MATCH(B335,EXTRATO_IMPORTADO!$I$5:$I$404,0)),"")</f>
        <v/>
      </c>
      <c r="P335" s="14" t="str">
        <f>IFERROR(INDEX(EXTRATO_IMPORTADO!$F$5:$F$404,MATCH(B335,EXTRATO_IMPORTADO!$I$5:$I$404,0)),"")</f>
        <v/>
      </c>
      <c r="Q335" s="26" t="str">
        <f>IFERROR(INDEX(EXTRATO_IMPORTADO!$B$5:$B$404,MATCH(B335,EXTRATO_IMPORTADO!$I$5:$I$404,0)),"")</f>
        <v/>
      </c>
      <c r="R335" s="26" t="str">
        <f>IFERROR(MATCH(B335,EXTRATO_IMPORTADO!$I$5:$I$404,0),"")</f>
        <v/>
      </c>
      <c r="S335" s="14" t="str">
        <f t="shared" si="16"/>
        <v/>
      </c>
      <c r="T335" s="33" t="str">
        <f t="shared" si="17"/>
        <v/>
      </c>
    </row>
    <row r="336" spans="1:20" x14ac:dyDescent="0.3">
      <c r="A336" s="26">
        <f>IF(BASE_CAIXA!A333="","",BASE_CAIXA!A333)</f>
        <v>332</v>
      </c>
      <c r="B336" s="26" t="str">
        <f>IF(A336="","",BASE_CAIXA!AL333)</f>
        <v>000332-DB</v>
      </c>
      <c r="C336" s="13">
        <f>IF(A336="","",BASE_CAIXA!AJ333)</f>
        <v>46171</v>
      </c>
      <c r="D336" s="26" t="str">
        <f>IF(A336="","",IF(BASE_CAIXA!C333="Entrada","Crédito","Débito"))</f>
        <v>Débito</v>
      </c>
      <c r="E336" s="14">
        <f>IF(A336="","",BASE_CAIXA!AA333)</f>
        <v>14112</v>
      </c>
      <c r="F336" s="26">
        <f>IF(A336="","",BASE_CAIXA!N333)</f>
        <v>0</v>
      </c>
      <c r="G336" s="26">
        <f>IF(A336="","",BASE_CAIXA!O333)</f>
        <v>0</v>
      </c>
      <c r="H336" s="26">
        <f>IF(A336="","",BASE_CAIXA!P333)</f>
        <v>0</v>
      </c>
      <c r="I336" s="26" t="str">
        <f>IF(A336="","",IF(BASE_CAIXA!H333&lt;&gt;"",BASE_CAIXA!H333,BASE_CAIXA!G333))</f>
        <v>graute:  cimento PortlanD CP IV 32</v>
      </c>
      <c r="J336" s="26" t="str">
        <f>IF(A336="","",BASE_CAIXA!G333)</f>
        <v>graute:  cimento PortlanD CP IV 32</v>
      </c>
      <c r="K336" s="26">
        <f>IF(A336="","",BASE_CAIXA!I333)</f>
        <v>0</v>
      </c>
      <c r="L336" s="26">
        <f>IF(A336="","",BASE_CAIXA!J333)</f>
        <v>0</v>
      </c>
      <c r="M336" s="26" t="str">
        <f>IF(A336="","",BASE_CAIXA!AM333)</f>
        <v>graute:  cimento PortlanD CP IV 32 | graute:  cimento Portla</v>
      </c>
      <c r="N336" s="26" t="str">
        <f t="shared" ca="1" si="15"/>
        <v>Previsto</v>
      </c>
      <c r="O336" s="13" t="str">
        <f>IFERROR(INDEX(EXTRATO_IMPORTADO!$A$5:$A$404,MATCH(B336,EXTRATO_IMPORTADO!$I$5:$I$404,0)),"")</f>
        <v/>
      </c>
      <c r="P336" s="14" t="str">
        <f>IFERROR(INDEX(EXTRATO_IMPORTADO!$F$5:$F$404,MATCH(B336,EXTRATO_IMPORTADO!$I$5:$I$404,0)),"")</f>
        <v/>
      </c>
      <c r="Q336" s="26" t="str">
        <f>IFERROR(INDEX(EXTRATO_IMPORTADO!$B$5:$B$404,MATCH(B336,EXTRATO_IMPORTADO!$I$5:$I$404,0)),"")</f>
        <v/>
      </c>
      <c r="R336" s="26" t="str">
        <f>IFERROR(MATCH(B336,EXTRATO_IMPORTADO!$I$5:$I$404,0),"")</f>
        <v/>
      </c>
      <c r="S336" s="14" t="str">
        <f t="shared" si="16"/>
        <v/>
      </c>
      <c r="T336" s="33" t="str">
        <f t="shared" si="17"/>
        <v/>
      </c>
    </row>
    <row r="337" spans="1:20" x14ac:dyDescent="0.3">
      <c r="A337" s="26">
        <f>IF(BASE_CAIXA!A334="","",BASE_CAIXA!A334)</f>
        <v>333</v>
      </c>
      <c r="B337" s="26" t="str">
        <f>IF(A337="","",BASE_CAIXA!AL334)</f>
        <v>000333-DB</v>
      </c>
      <c r="C337" s="13">
        <f>IF(A337="","",BASE_CAIXA!AJ334)</f>
        <v>46171</v>
      </c>
      <c r="D337" s="26" t="str">
        <f>IF(A337="","",IF(BASE_CAIXA!C334="Entrada","Crédito","Débito"))</f>
        <v>Débito</v>
      </c>
      <c r="E337" s="14">
        <f>IF(A337="","",BASE_CAIXA!AA334)</f>
        <v>5980.8</v>
      </c>
      <c r="F337" s="26">
        <f>IF(A337="","",BASE_CAIXA!N334)</f>
        <v>0</v>
      </c>
      <c r="G337" s="26">
        <f>IF(A337="","",BASE_CAIXA!O334)</f>
        <v>0</v>
      </c>
      <c r="H337" s="26">
        <f>IF(A337="","",BASE_CAIXA!P334)</f>
        <v>0</v>
      </c>
      <c r="I337" s="26" t="str">
        <f>IF(A337="","",IF(BASE_CAIXA!H334&lt;&gt;"",BASE_CAIXA!H334,BASE_CAIXA!G334))</f>
        <v>Mao de obra Impermeabilização de áreas úmidas</v>
      </c>
      <c r="J337" s="26" t="str">
        <f>IF(A337="","",BASE_CAIXA!G334)</f>
        <v>Mao de obra Impermeabilização de áreas úmidas</v>
      </c>
      <c r="K337" s="26">
        <f>IF(A337="","",BASE_CAIXA!I334)</f>
        <v>0</v>
      </c>
      <c r="L337" s="26">
        <f>IF(A337="","",BASE_CAIXA!J334)</f>
        <v>0</v>
      </c>
      <c r="M337" s="26" t="str">
        <f>IF(A337="","",BASE_CAIXA!AM334)</f>
        <v xml:space="preserve">Mao de obra Impermeabilização de áreas úmidas | Mao de obra </v>
      </c>
      <c r="N337" s="26" t="str">
        <f t="shared" ca="1" si="15"/>
        <v>Previsto</v>
      </c>
      <c r="O337" s="13" t="str">
        <f>IFERROR(INDEX(EXTRATO_IMPORTADO!$A$5:$A$404,MATCH(B337,EXTRATO_IMPORTADO!$I$5:$I$404,0)),"")</f>
        <v/>
      </c>
      <c r="P337" s="14" t="str">
        <f>IFERROR(INDEX(EXTRATO_IMPORTADO!$F$5:$F$404,MATCH(B337,EXTRATO_IMPORTADO!$I$5:$I$404,0)),"")</f>
        <v/>
      </c>
      <c r="Q337" s="26" t="str">
        <f>IFERROR(INDEX(EXTRATO_IMPORTADO!$B$5:$B$404,MATCH(B337,EXTRATO_IMPORTADO!$I$5:$I$404,0)),"")</f>
        <v/>
      </c>
      <c r="R337" s="26" t="str">
        <f>IFERROR(MATCH(B337,EXTRATO_IMPORTADO!$I$5:$I$404,0),"")</f>
        <v/>
      </c>
      <c r="S337" s="14" t="str">
        <f t="shared" si="16"/>
        <v/>
      </c>
      <c r="T337" s="33" t="str">
        <f t="shared" si="17"/>
        <v/>
      </c>
    </row>
    <row r="338" spans="1:20" x14ac:dyDescent="0.3">
      <c r="A338" s="26">
        <f>IF(BASE_CAIXA!A335="","",BASE_CAIXA!A335)</f>
        <v>334</v>
      </c>
      <c r="B338" s="26" t="str">
        <f>IF(A338="","",BASE_CAIXA!AL335)</f>
        <v>000334-DB</v>
      </c>
      <c r="C338" s="13">
        <f>IF(A338="","",BASE_CAIXA!AJ335)</f>
        <v>46171</v>
      </c>
      <c r="D338" s="26" t="str">
        <f>IF(A338="","",IF(BASE_CAIXA!C335="Entrada","Crédito","Débito"))</f>
        <v>Débito</v>
      </c>
      <c r="E338" s="14">
        <f>IF(A338="","",BASE_CAIXA!AA335)</f>
        <v>1440</v>
      </c>
      <c r="F338" s="26">
        <f>IF(A338="","",BASE_CAIXA!N335)</f>
        <v>0</v>
      </c>
      <c r="G338" s="26">
        <f>IF(A338="","",BASE_CAIXA!O335)</f>
        <v>0</v>
      </c>
      <c r="H338" s="26">
        <f>IF(A338="","",BASE_CAIXA!P335)</f>
        <v>0</v>
      </c>
      <c r="I338" s="26" t="str">
        <f>IF(A338="","",IF(BASE_CAIXA!H335&lt;&gt;"",BASE_CAIXA!H335,BASE_CAIXA!G335))</f>
        <v>Membrana líquida de poliuretano bicomponente 15Kg flexivel</v>
      </c>
      <c r="J338" s="26" t="str">
        <f>IF(A338="","",BASE_CAIXA!G335)</f>
        <v>Membrana líquida de poliuretano bicomponente 15Kg flexivel</v>
      </c>
      <c r="K338" s="26">
        <f>IF(A338="","",BASE_CAIXA!I335)</f>
        <v>0</v>
      </c>
      <c r="L338" s="26">
        <f>IF(A338="","",BASE_CAIXA!J335)</f>
        <v>0</v>
      </c>
      <c r="M338" s="26" t="str">
        <f>IF(A338="","",BASE_CAIXA!AM335)</f>
        <v>Membrana líquida de poliuretano bicomponente 15Kg flexivel |</v>
      </c>
      <c r="N338" s="26" t="str">
        <f t="shared" ca="1" si="15"/>
        <v>Previsto</v>
      </c>
      <c r="O338" s="13" t="str">
        <f>IFERROR(INDEX(EXTRATO_IMPORTADO!$A$5:$A$404,MATCH(B338,EXTRATO_IMPORTADO!$I$5:$I$404,0)),"")</f>
        <v/>
      </c>
      <c r="P338" s="14" t="str">
        <f>IFERROR(INDEX(EXTRATO_IMPORTADO!$F$5:$F$404,MATCH(B338,EXTRATO_IMPORTADO!$I$5:$I$404,0)),"")</f>
        <v/>
      </c>
      <c r="Q338" s="26" t="str">
        <f>IFERROR(INDEX(EXTRATO_IMPORTADO!$B$5:$B$404,MATCH(B338,EXTRATO_IMPORTADO!$I$5:$I$404,0)),"")</f>
        <v/>
      </c>
      <c r="R338" s="26" t="str">
        <f>IFERROR(MATCH(B338,EXTRATO_IMPORTADO!$I$5:$I$404,0),"")</f>
        <v/>
      </c>
      <c r="S338" s="14" t="str">
        <f t="shared" si="16"/>
        <v/>
      </c>
      <c r="T338" s="33" t="str">
        <f t="shared" si="17"/>
        <v/>
      </c>
    </row>
    <row r="339" spans="1:20" x14ac:dyDescent="0.3">
      <c r="A339" s="26">
        <f>IF(BASE_CAIXA!A336="","",BASE_CAIXA!A336)</f>
        <v>335</v>
      </c>
      <c r="B339" s="26" t="str">
        <f>IF(A339="","",BASE_CAIXA!AL336)</f>
        <v>000335-DB</v>
      </c>
      <c r="C339" s="13">
        <f>IF(A339="","",BASE_CAIXA!AJ336)</f>
        <v>46171</v>
      </c>
      <c r="D339" s="26" t="str">
        <f>IF(A339="","",IF(BASE_CAIXA!C336="Entrada","Crédito","Débito"))</f>
        <v>Débito</v>
      </c>
      <c r="E339" s="14">
        <f>IF(A339="","",BASE_CAIXA!AA336)</f>
        <v>2880</v>
      </c>
      <c r="F339" s="26">
        <f>IF(A339="","",BASE_CAIXA!N336)</f>
        <v>0</v>
      </c>
      <c r="G339" s="26">
        <f>IF(A339="","",BASE_CAIXA!O336)</f>
        <v>0</v>
      </c>
      <c r="H339" s="26">
        <f>IF(A339="","",BASE_CAIXA!P336)</f>
        <v>0</v>
      </c>
      <c r="I339" s="26" t="str">
        <f>IF(A339="","",IF(BASE_CAIXA!H336&lt;&gt;"",BASE_CAIXA!H336,BASE_CAIXA!G336))</f>
        <v>Membrana líquida de poliuretano bicomponente 15Kg semi flexivel</v>
      </c>
      <c r="J339" s="26" t="str">
        <f>IF(A339="","",BASE_CAIXA!G336)</f>
        <v>Membrana líquida de poliuretano bicomponente 15Kg semi flexivel</v>
      </c>
      <c r="K339" s="26">
        <f>IF(A339="","",BASE_CAIXA!I336)</f>
        <v>0</v>
      </c>
      <c r="L339" s="26">
        <f>IF(A339="","",BASE_CAIXA!J336)</f>
        <v>0</v>
      </c>
      <c r="M339" s="26" t="str">
        <f>IF(A339="","",BASE_CAIXA!AM336)</f>
        <v>Membrana líquida de poliuretano bicomponente 15Kg semi flexi</v>
      </c>
      <c r="N339" s="26" t="str">
        <f t="shared" ca="1" si="15"/>
        <v>Previsto</v>
      </c>
      <c r="O339" s="13" t="str">
        <f>IFERROR(INDEX(EXTRATO_IMPORTADO!$A$5:$A$404,MATCH(B339,EXTRATO_IMPORTADO!$I$5:$I$404,0)),"")</f>
        <v/>
      </c>
      <c r="P339" s="14" t="str">
        <f>IFERROR(INDEX(EXTRATO_IMPORTADO!$F$5:$F$404,MATCH(B339,EXTRATO_IMPORTADO!$I$5:$I$404,0)),"")</f>
        <v/>
      </c>
      <c r="Q339" s="26" t="str">
        <f>IFERROR(INDEX(EXTRATO_IMPORTADO!$B$5:$B$404,MATCH(B339,EXTRATO_IMPORTADO!$I$5:$I$404,0)),"")</f>
        <v/>
      </c>
      <c r="R339" s="26" t="str">
        <f>IFERROR(MATCH(B339,EXTRATO_IMPORTADO!$I$5:$I$404,0),"")</f>
        <v/>
      </c>
      <c r="S339" s="14" t="str">
        <f t="shared" si="16"/>
        <v/>
      </c>
      <c r="T339" s="33" t="str">
        <f t="shared" si="17"/>
        <v/>
      </c>
    </row>
    <row r="340" spans="1:20" x14ac:dyDescent="0.3">
      <c r="A340" s="26">
        <f>IF(BASE_CAIXA!A337="","",BASE_CAIXA!A337)</f>
        <v>336</v>
      </c>
      <c r="B340" s="26" t="str">
        <f>IF(A340="","",BASE_CAIXA!AL337)</f>
        <v>000336-DB</v>
      </c>
      <c r="C340" s="13">
        <f>IF(A340="","",BASE_CAIXA!AJ337)</f>
        <v>46171</v>
      </c>
      <c r="D340" s="26" t="str">
        <f>IF(A340="","",IF(BASE_CAIXA!C337="Entrada","Crédito","Débito"))</f>
        <v>Débito</v>
      </c>
      <c r="E340" s="14">
        <f>IF(A340="","",BASE_CAIXA!AA337)</f>
        <v>1127.5840000000001</v>
      </c>
      <c r="F340" s="26">
        <f>IF(A340="","",BASE_CAIXA!N337)</f>
        <v>0</v>
      </c>
      <c r="G340" s="26">
        <f>IF(A340="","",BASE_CAIXA!O337)</f>
        <v>0</v>
      </c>
      <c r="H340" s="26">
        <f>IF(A340="","",BASE_CAIXA!P337)</f>
        <v>0</v>
      </c>
      <c r="I340" s="26" t="str">
        <f>IF(A340="","",IF(BASE_CAIXA!H337&lt;&gt;"",BASE_CAIXA!H337,BASE_CAIXA!G337))</f>
        <v>Tela de Poliester</v>
      </c>
      <c r="J340" s="26" t="str">
        <f>IF(A340="","",BASE_CAIXA!G337)</f>
        <v>Tela de Poliester</v>
      </c>
      <c r="K340" s="26">
        <f>IF(A340="","",BASE_CAIXA!I337)</f>
        <v>0</v>
      </c>
      <c r="L340" s="26">
        <f>IF(A340="","",BASE_CAIXA!J337)</f>
        <v>0</v>
      </c>
      <c r="M340" s="26" t="str">
        <f>IF(A340="","",BASE_CAIXA!AM337)</f>
        <v>Tela de Poliester | Tela de Poliester | Saída | IMPERMEABILI</v>
      </c>
      <c r="N340" s="26" t="str">
        <f t="shared" ca="1" si="15"/>
        <v>Previsto</v>
      </c>
      <c r="O340" s="13" t="str">
        <f>IFERROR(INDEX(EXTRATO_IMPORTADO!$A$5:$A$404,MATCH(B340,EXTRATO_IMPORTADO!$I$5:$I$404,0)),"")</f>
        <v/>
      </c>
      <c r="P340" s="14" t="str">
        <f>IFERROR(INDEX(EXTRATO_IMPORTADO!$F$5:$F$404,MATCH(B340,EXTRATO_IMPORTADO!$I$5:$I$404,0)),"")</f>
        <v/>
      </c>
      <c r="Q340" s="26" t="str">
        <f>IFERROR(INDEX(EXTRATO_IMPORTADO!$B$5:$B$404,MATCH(B340,EXTRATO_IMPORTADO!$I$5:$I$404,0)),"")</f>
        <v/>
      </c>
      <c r="R340" s="26" t="str">
        <f>IFERROR(MATCH(B340,EXTRATO_IMPORTADO!$I$5:$I$404,0),"")</f>
        <v/>
      </c>
      <c r="S340" s="14" t="str">
        <f t="shared" si="16"/>
        <v/>
      </c>
      <c r="T340" s="33" t="str">
        <f t="shared" si="17"/>
        <v/>
      </c>
    </row>
    <row r="341" spans="1:20" x14ac:dyDescent="0.3">
      <c r="A341" s="26">
        <f>IF(BASE_CAIXA!A338="","",BASE_CAIXA!A338)</f>
        <v>337</v>
      </c>
      <c r="B341" s="26" t="str">
        <f>IF(A341="","",BASE_CAIXA!AL338)</f>
        <v>000337-DB</v>
      </c>
      <c r="C341" s="13">
        <f>IF(A341="","",BASE_CAIXA!AJ338)</f>
        <v>46171</v>
      </c>
      <c r="D341" s="26" t="str">
        <f>IF(A341="","",IF(BASE_CAIXA!C338="Entrada","Crédito","Débito"))</f>
        <v>Débito</v>
      </c>
      <c r="E341" s="14">
        <f>IF(A341="","",BASE_CAIXA!AA338)</f>
        <v>1799.04</v>
      </c>
      <c r="F341" s="26">
        <f>IF(A341="","",BASE_CAIXA!N338)</f>
        <v>0</v>
      </c>
      <c r="G341" s="26">
        <f>IF(A341="","",BASE_CAIXA!O338)</f>
        <v>0</v>
      </c>
      <c r="H341" s="26">
        <f>IF(A341="","",BASE_CAIXA!P338)</f>
        <v>0</v>
      </c>
      <c r="I341" s="26" t="str">
        <f>IF(A341="","",IF(BASE_CAIXA!H338&lt;&gt;"",BASE_CAIXA!H338,BASE_CAIXA!G338))</f>
        <v>Mao de obra cozinha e tanque completos</v>
      </c>
      <c r="J341" s="26" t="str">
        <f>IF(A341="","",BASE_CAIXA!G338)</f>
        <v>Mao de obra cozinha e tanque completos</v>
      </c>
      <c r="K341" s="26">
        <f>IF(A341="","",BASE_CAIXA!I338)</f>
        <v>0</v>
      </c>
      <c r="L341" s="26">
        <f>IF(A341="","",BASE_CAIXA!J338)</f>
        <v>0</v>
      </c>
      <c r="M341" s="26" t="str">
        <f>IF(A341="","",BASE_CAIXA!AM338)</f>
        <v>Mao de obra cozinha e tanque completos | Mao de obra cozinha</v>
      </c>
      <c r="N341" s="26" t="str">
        <f t="shared" ca="1" si="15"/>
        <v>Previsto</v>
      </c>
      <c r="O341" s="13" t="str">
        <f>IFERROR(INDEX(EXTRATO_IMPORTADO!$A$5:$A$404,MATCH(B341,EXTRATO_IMPORTADO!$I$5:$I$404,0)),"")</f>
        <v/>
      </c>
      <c r="P341" s="14" t="str">
        <f>IFERROR(INDEX(EXTRATO_IMPORTADO!$F$5:$F$404,MATCH(B341,EXTRATO_IMPORTADO!$I$5:$I$404,0)),"")</f>
        <v/>
      </c>
      <c r="Q341" s="26" t="str">
        <f>IFERROR(INDEX(EXTRATO_IMPORTADO!$B$5:$B$404,MATCH(B341,EXTRATO_IMPORTADO!$I$5:$I$404,0)),"")</f>
        <v/>
      </c>
      <c r="R341" s="26" t="str">
        <f>IFERROR(MATCH(B341,EXTRATO_IMPORTADO!$I$5:$I$404,0),"")</f>
        <v/>
      </c>
      <c r="S341" s="14" t="str">
        <f t="shared" si="16"/>
        <v/>
      </c>
      <c r="T341" s="33" t="str">
        <f t="shared" si="17"/>
        <v/>
      </c>
    </row>
    <row r="342" spans="1:20" x14ac:dyDescent="0.3">
      <c r="A342" s="26">
        <f>IF(BASE_CAIXA!A339="","",BASE_CAIXA!A339)</f>
        <v>338</v>
      </c>
      <c r="B342" s="26" t="str">
        <f>IF(A342="","",BASE_CAIXA!AL339)</f>
        <v>000338-DB</v>
      </c>
      <c r="C342" s="13">
        <f>IF(A342="","",BASE_CAIXA!AJ339)</f>
        <v>46171</v>
      </c>
      <c r="D342" s="26" t="str">
        <f>IF(A342="","",IF(BASE_CAIXA!C339="Entrada","Crédito","Débito"))</f>
        <v>Débito</v>
      </c>
      <c r="E342" s="14">
        <f>IF(A342="","",BASE_CAIXA!AA339)</f>
        <v>1799.04</v>
      </c>
      <c r="F342" s="26">
        <f>IF(A342="","",BASE_CAIXA!N339)</f>
        <v>0</v>
      </c>
      <c r="G342" s="26">
        <f>IF(A342="","",BASE_CAIXA!O339)</f>
        <v>0</v>
      </c>
      <c r="H342" s="26">
        <f>IF(A342="","",BASE_CAIXA!P339)</f>
        <v>0</v>
      </c>
      <c r="I342" s="26" t="str">
        <f>IF(A342="","",IF(BASE_CAIXA!H339&lt;&gt;"",BASE_CAIXA!H339,BASE_CAIXA!G339))</f>
        <v>Mao de obra loucas e metais Banheiro completo</v>
      </c>
      <c r="J342" s="26" t="str">
        <f>IF(A342="","",BASE_CAIXA!G339)</f>
        <v>Mao de obra loucas e metais Banheiro completo</v>
      </c>
      <c r="K342" s="26">
        <f>IF(A342="","",BASE_CAIXA!I339)</f>
        <v>0</v>
      </c>
      <c r="L342" s="26">
        <f>IF(A342="","",BASE_CAIXA!J339)</f>
        <v>0</v>
      </c>
      <c r="M342" s="26" t="str">
        <f>IF(A342="","",BASE_CAIXA!AM339)</f>
        <v xml:space="preserve">Mao de obra loucas e metais Banheiro completo | Mao de obra </v>
      </c>
      <c r="N342" s="26" t="str">
        <f t="shared" ca="1" si="15"/>
        <v>Previsto</v>
      </c>
      <c r="O342" s="13" t="str">
        <f>IFERROR(INDEX(EXTRATO_IMPORTADO!$A$5:$A$404,MATCH(B342,EXTRATO_IMPORTADO!$I$5:$I$404,0)),"")</f>
        <v/>
      </c>
      <c r="P342" s="14" t="str">
        <f>IFERROR(INDEX(EXTRATO_IMPORTADO!$F$5:$F$404,MATCH(B342,EXTRATO_IMPORTADO!$I$5:$I$404,0)),"")</f>
        <v/>
      </c>
      <c r="Q342" s="26" t="str">
        <f>IFERROR(INDEX(EXTRATO_IMPORTADO!$B$5:$B$404,MATCH(B342,EXTRATO_IMPORTADO!$I$5:$I$404,0)),"")</f>
        <v/>
      </c>
      <c r="R342" s="26" t="str">
        <f>IFERROR(MATCH(B342,EXTRATO_IMPORTADO!$I$5:$I$404,0),"")</f>
        <v/>
      </c>
      <c r="S342" s="14" t="str">
        <f t="shared" si="16"/>
        <v/>
      </c>
      <c r="T342" s="33" t="str">
        <f t="shared" si="17"/>
        <v/>
      </c>
    </row>
    <row r="343" spans="1:20" x14ac:dyDescent="0.3">
      <c r="A343" s="26">
        <f>IF(BASE_CAIXA!A340="","",BASE_CAIXA!A340)</f>
        <v>339</v>
      </c>
      <c r="B343" s="26" t="str">
        <f>IF(A343="","",BASE_CAIXA!AL340)</f>
        <v>000339-DB</v>
      </c>
      <c r="C343" s="13">
        <f>IF(A343="","",BASE_CAIXA!AJ340)</f>
        <v>46171</v>
      </c>
      <c r="D343" s="26" t="str">
        <f>IF(A343="","",IF(BASE_CAIXA!C340="Entrada","Crédito","Débito"))</f>
        <v>Débito</v>
      </c>
      <c r="E343" s="14">
        <f>IF(A343="","",BASE_CAIXA!AA340)</f>
        <v>71680</v>
      </c>
      <c r="F343" s="26">
        <f>IF(A343="","",BASE_CAIXA!N340)</f>
        <v>0</v>
      </c>
      <c r="G343" s="26">
        <f>IF(A343="","",BASE_CAIXA!O340)</f>
        <v>0</v>
      </c>
      <c r="H343" s="26">
        <f>IF(A343="","",BASE_CAIXA!P340)</f>
        <v>0</v>
      </c>
      <c r="I343" s="26" t="str">
        <f>IF(A343="","",IF(BASE_CAIXA!H340&lt;&gt;"",BASE_CAIXA!H340,BASE_CAIXA!G340))</f>
        <v>Icamento para montagem canteiro de obra - Guindaste</v>
      </c>
      <c r="J343" s="26" t="str">
        <f>IF(A343="","",BASE_CAIXA!G340)</f>
        <v>Icamento para montagem canteiro de obra - Guindaste</v>
      </c>
      <c r="K343" s="26">
        <f>IF(A343="","",BASE_CAIXA!I340)</f>
        <v>0</v>
      </c>
      <c r="L343" s="26">
        <f>IF(A343="","",BASE_CAIXA!J340)</f>
        <v>0</v>
      </c>
      <c r="M343" s="26" t="str">
        <f>IF(A343="","",BASE_CAIXA!AM340)</f>
        <v>Icamento para montagem canteiro de obra - Guindaste | Icamen</v>
      </c>
      <c r="N343" s="26" t="str">
        <f t="shared" ca="1" si="15"/>
        <v>Previsto</v>
      </c>
      <c r="O343" s="13" t="str">
        <f>IFERROR(INDEX(EXTRATO_IMPORTADO!$A$5:$A$404,MATCH(B343,EXTRATO_IMPORTADO!$I$5:$I$404,0)),"")</f>
        <v/>
      </c>
      <c r="P343" s="14" t="str">
        <f>IFERROR(INDEX(EXTRATO_IMPORTADO!$F$5:$F$404,MATCH(B343,EXTRATO_IMPORTADO!$I$5:$I$404,0)),"")</f>
        <v/>
      </c>
      <c r="Q343" s="26" t="str">
        <f>IFERROR(INDEX(EXTRATO_IMPORTADO!$B$5:$B$404,MATCH(B343,EXTRATO_IMPORTADO!$I$5:$I$404,0)),"")</f>
        <v/>
      </c>
      <c r="R343" s="26" t="str">
        <f>IFERROR(MATCH(B343,EXTRATO_IMPORTADO!$I$5:$I$404,0),"")</f>
        <v/>
      </c>
      <c r="S343" s="14" t="str">
        <f t="shared" si="16"/>
        <v/>
      </c>
      <c r="T343" s="33" t="str">
        <f t="shared" si="17"/>
        <v/>
      </c>
    </row>
    <row r="344" spans="1:20" x14ac:dyDescent="0.3">
      <c r="A344" s="26">
        <f>IF(BASE_CAIXA!A341="","",BASE_CAIXA!A341)</f>
        <v>340</v>
      </c>
      <c r="B344" s="26" t="str">
        <f>IF(A344="","",BASE_CAIXA!AL341)</f>
        <v>000340-DB</v>
      </c>
      <c r="C344" s="13">
        <f>IF(A344="","",BASE_CAIXA!AJ341)</f>
        <v>46171</v>
      </c>
      <c r="D344" s="26" t="str">
        <f>IF(A344="","",IF(BASE_CAIXA!C341="Entrada","Crédito","Débito"))</f>
        <v>Débito</v>
      </c>
      <c r="E344" s="14">
        <f>IF(A344="","",BASE_CAIXA!AA341)</f>
        <v>35599.914559999997</v>
      </c>
      <c r="F344" s="26">
        <f>IF(A344="","",BASE_CAIXA!N341)</f>
        <v>0</v>
      </c>
      <c r="G344" s="26">
        <f>IF(A344="","",BASE_CAIXA!O341)</f>
        <v>0</v>
      </c>
      <c r="H344" s="26">
        <f>IF(A344="","",BASE_CAIXA!P341)</f>
        <v>0</v>
      </c>
      <c r="I344" s="26" t="str">
        <f>IF(A344="","",IF(BASE_CAIXA!H341&lt;&gt;"",BASE_CAIXA!H341,BASE_CAIXA!G341))</f>
        <v>Montagem de paredes pré-moldadas (içamento, prumo, alinhamento e escoramento com grauteamento) – até 35 t</v>
      </c>
      <c r="J344" s="26" t="str">
        <f>IF(A344="","",BASE_CAIXA!G341)</f>
        <v>Montagem de paredes pré-moldadas (içamento, prumo, alinhamento e escoramento com grauteamento) – até 35 t</v>
      </c>
      <c r="K344" s="26">
        <f>IF(A344="","",BASE_CAIXA!I341)</f>
        <v>0</v>
      </c>
      <c r="L344" s="26">
        <f>IF(A344="","",BASE_CAIXA!J341)</f>
        <v>0</v>
      </c>
      <c r="M344" s="26" t="str">
        <f>IF(A344="","",BASE_CAIXA!AM341)</f>
        <v>Montagem de paredes pré-moldadas (içamento, prumo, alinhamen</v>
      </c>
      <c r="N344" s="26" t="str">
        <f t="shared" ca="1" si="15"/>
        <v>Previsto</v>
      </c>
      <c r="O344" s="13" t="str">
        <f>IFERROR(INDEX(EXTRATO_IMPORTADO!$A$5:$A$404,MATCH(B344,EXTRATO_IMPORTADO!$I$5:$I$404,0)),"")</f>
        <v/>
      </c>
      <c r="P344" s="14" t="str">
        <f>IFERROR(INDEX(EXTRATO_IMPORTADO!$F$5:$F$404,MATCH(B344,EXTRATO_IMPORTADO!$I$5:$I$404,0)),"")</f>
        <v/>
      </c>
      <c r="Q344" s="26" t="str">
        <f>IFERROR(INDEX(EXTRATO_IMPORTADO!$B$5:$B$404,MATCH(B344,EXTRATO_IMPORTADO!$I$5:$I$404,0)),"")</f>
        <v/>
      </c>
      <c r="R344" s="26" t="str">
        <f>IFERROR(MATCH(B344,EXTRATO_IMPORTADO!$I$5:$I$404,0),"")</f>
        <v/>
      </c>
      <c r="S344" s="14" t="str">
        <f t="shared" si="16"/>
        <v/>
      </c>
      <c r="T344" s="33" t="str">
        <f t="shared" si="17"/>
        <v/>
      </c>
    </row>
    <row r="345" spans="1:20" x14ac:dyDescent="0.3">
      <c r="A345" s="26">
        <f>IF(BASE_CAIXA!A342="","",BASE_CAIXA!A342)</f>
        <v>341</v>
      </c>
      <c r="B345" s="26" t="str">
        <f>IF(A345="","",BASE_CAIXA!AL342)</f>
        <v>000341-DB</v>
      </c>
      <c r="C345" s="13">
        <f>IF(A345="","",BASE_CAIXA!AJ342)</f>
        <v>46171</v>
      </c>
      <c r="D345" s="26" t="str">
        <f>IF(A345="","",IF(BASE_CAIXA!C342="Entrada","Crédito","Débito"))</f>
        <v>Débito</v>
      </c>
      <c r="E345" s="14">
        <f>IF(A345="","",BASE_CAIXA!AA342)</f>
        <v>64512</v>
      </c>
      <c r="F345" s="26">
        <f>IF(A345="","",BASE_CAIXA!N342)</f>
        <v>0</v>
      </c>
      <c r="G345" s="26">
        <f>IF(A345="","",BASE_CAIXA!O342)</f>
        <v>0</v>
      </c>
      <c r="H345" s="26">
        <f>IF(A345="","",BASE_CAIXA!P342)</f>
        <v>0</v>
      </c>
      <c r="I345" s="26" t="str">
        <f>IF(A345="","",IF(BASE_CAIXA!H342&lt;&gt;"",BASE_CAIXA!H342,BASE_CAIXA!G342))</f>
        <v>Transporte de paredes e lajes (carreta + munck + carga/descarga) – até 120 km</v>
      </c>
      <c r="J345" s="26" t="str">
        <f>IF(A345="","",BASE_CAIXA!G342)</f>
        <v>Transporte de paredes e lajes (carreta + munck + carga/descarga) – até 120 km</v>
      </c>
      <c r="K345" s="26">
        <f>IF(A345="","",BASE_CAIXA!I342)</f>
        <v>0</v>
      </c>
      <c r="L345" s="26">
        <f>IF(A345="","",BASE_CAIXA!J342)</f>
        <v>0</v>
      </c>
      <c r="M345" s="26" t="str">
        <f>IF(A345="","",BASE_CAIXA!AM342)</f>
        <v>Transporte de paredes e lajes (carreta + munck + carga/desca</v>
      </c>
      <c r="N345" s="26" t="str">
        <f t="shared" ca="1" si="15"/>
        <v>Previsto</v>
      </c>
      <c r="O345" s="13" t="str">
        <f>IFERROR(INDEX(EXTRATO_IMPORTADO!$A$5:$A$404,MATCH(B345,EXTRATO_IMPORTADO!$I$5:$I$404,0)),"")</f>
        <v/>
      </c>
      <c r="P345" s="14" t="str">
        <f>IFERROR(INDEX(EXTRATO_IMPORTADO!$F$5:$F$404,MATCH(B345,EXTRATO_IMPORTADO!$I$5:$I$404,0)),"")</f>
        <v/>
      </c>
      <c r="Q345" s="26" t="str">
        <f>IFERROR(INDEX(EXTRATO_IMPORTADO!$B$5:$B$404,MATCH(B345,EXTRATO_IMPORTADO!$I$5:$I$404,0)),"")</f>
        <v/>
      </c>
      <c r="R345" s="26" t="str">
        <f>IFERROR(MATCH(B345,EXTRATO_IMPORTADO!$I$5:$I$404,0),"")</f>
        <v/>
      </c>
      <c r="S345" s="14" t="str">
        <f t="shared" si="16"/>
        <v/>
      </c>
      <c r="T345" s="33" t="str">
        <f t="shared" si="17"/>
        <v/>
      </c>
    </row>
    <row r="346" spans="1:20" x14ac:dyDescent="0.3">
      <c r="A346" s="26">
        <f>IF(BASE_CAIXA!A343="","",BASE_CAIXA!A343)</f>
        <v>342</v>
      </c>
      <c r="B346" s="26" t="str">
        <f>IF(A346="","",BASE_CAIXA!AL343)</f>
        <v>000342-DB</v>
      </c>
      <c r="C346" s="13">
        <f>IF(A346="","",BASE_CAIXA!AJ343)</f>
        <v>46171</v>
      </c>
      <c r="D346" s="26" t="str">
        <f>IF(A346="","",IF(BASE_CAIXA!C343="Entrada","Crédito","Débito"))</f>
        <v>Débito</v>
      </c>
      <c r="E346" s="14">
        <f>IF(A346="","",BASE_CAIXA!AA343)</f>
        <v>38381.900689655173</v>
      </c>
      <c r="F346" s="26">
        <f>IF(A346="","",BASE_CAIXA!N343)</f>
        <v>0</v>
      </c>
      <c r="G346" s="26">
        <f>IF(A346="","",BASE_CAIXA!O343)</f>
        <v>0</v>
      </c>
      <c r="H346" s="26">
        <f>IF(A346="","",BASE_CAIXA!P343)</f>
        <v>0</v>
      </c>
      <c r="I346" s="26" t="str">
        <f>IF(A346="","",IF(BASE_CAIXA!H343&lt;&gt;"",BASE_CAIXA!H343,BASE_CAIXA!G343))</f>
        <v>material CIMENTO : KIT Parede e Laje - FOB na Fabrica</v>
      </c>
      <c r="J346" s="26" t="str">
        <f>IF(A346="","",BASE_CAIXA!G343)</f>
        <v>material CIMENTO : KIT Parede e Laje - FOB na Fabrica</v>
      </c>
      <c r="K346" s="26">
        <f>IF(A346="","",BASE_CAIXA!I343)</f>
        <v>0</v>
      </c>
      <c r="L346" s="26">
        <f>IF(A346="","",BASE_CAIXA!J343)</f>
        <v>0</v>
      </c>
      <c r="M346" s="26" t="str">
        <f>IF(A346="","",BASE_CAIXA!AM343)</f>
        <v>material CIMENTO : KIT Parede e Laje - FOB na Fabrica | mate</v>
      </c>
      <c r="N346" s="26" t="str">
        <f t="shared" ca="1" si="15"/>
        <v>Previsto</v>
      </c>
      <c r="O346" s="13" t="str">
        <f>IFERROR(INDEX(EXTRATO_IMPORTADO!$A$5:$A$404,MATCH(B346,EXTRATO_IMPORTADO!$I$5:$I$404,0)),"")</f>
        <v/>
      </c>
      <c r="P346" s="14" t="str">
        <f>IFERROR(INDEX(EXTRATO_IMPORTADO!$F$5:$F$404,MATCH(B346,EXTRATO_IMPORTADO!$I$5:$I$404,0)),"")</f>
        <v/>
      </c>
      <c r="Q346" s="26" t="str">
        <f>IFERROR(INDEX(EXTRATO_IMPORTADO!$B$5:$B$404,MATCH(B346,EXTRATO_IMPORTADO!$I$5:$I$404,0)),"")</f>
        <v/>
      </c>
      <c r="R346" s="26" t="str">
        <f>IFERROR(MATCH(B346,EXTRATO_IMPORTADO!$I$5:$I$404,0),"")</f>
        <v/>
      </c>
      <c r="S346" s="14" t="str">
        <f t="shared" si="16"/>
        <v/>
      </c>
      <c r="T346" s="33" t="str">
        <f t="shared" si="17"/>
        <v/>
      </c>
    </row>
    <row r="347" spans="1:20" x14ac:dyDescent="0.3">
      <c r="A347" s="26">
        <f>IF(BASE_CAIXA!A344="","",BASE_CAIXA!A344)</f>
        <v>343</v>
      </c>
      <c r="B347" s="26" t="str">
        <f>IF(A347="","",BASE_CAIXA!AL344)</f>
        <v>000343-DB</v>
      </c>
      <c r="C347" s="13">
        <f>IF(A347="","",BASE_CAIXA!AJ344)</f>
        <v>46171</v>
      </c>
      <c r="D347" s="26" t="str">
        <f>IF(A347="","",IF(BASE_CAIXA!C344="Entrada","Crédito","Débito"))</f>
        <v>Débito</v>
      </c>
      <c r="E347" s="14">
        <f>IF(A347="","",BASE_CAIXA!AA344)</f>
        <v>38381.900689655173</v>
      </c>
      <c r="F347" s="26">
        <f>IF(A347="","",BASE_CAIXA!N344)</f>
        <v>0</v>
      </c>
      <c r="G347" s="26">
        <f>IF(A347="","",BASE_CAIXA!O344)</f>
        <v>0</v>
      </c>
      <c r="H347" s="26">
        <f>IF(A347="","",BASE_CAIXA!P344)</f>
        <v>0</v>
      </c>
      <c r="I347" s="26" t="str">
        <f>IF(A347="","",IF(BASE_CAIXA!H344&lt;&gt;"",BASE_CAIXA!H344,BASE_CAIXA!G344))</f>
        <v>material CIMENTO : KIT Parede e Laje - FOB na Fabrica</v>
      </c>
      <c r="J347" s="26" t="str">
        <f>IF(A347="","",BASE_CAIXA!G344)</f>
        <v>material CIMENTO : KIT Parede e Laje - FOB na Fabrica</v>
      </c>
      <c r="K347" s="26">
        <f>IF(A347="","",BASE_CAIXA!I344)</f>
        <v>0</v>
      </c>
      <c r="L347" s="26">
        <f>IF(A347="","",BASE_CAIXA!J344)</f>
        <v>0</v>
      </c>
      <c r="M347" s="26" t="str">
        <f>IF(A347="","",BASE_CAIXA!AM344)</f>
        <v>material CIMENTO : KIT Parede e Laje - FOB na Fabrica | mate</v>
      </c>
      <c r="N347" s="26" t="str">
        <f t="shared" ca="1" si="15"/>
        <v>Previsto</v>
      </c>
      <c r="O347" s="13" t="str">
        <f>IFERROR(INDEX(EXTRATO_IMPORTADO!$A$5:$A$404,MATCH(B347,EXTRATO_IMPORTADO!$I$5:$I$404,0)),"")</f>
        <v/>
      </c>
      <c r="P347" s="14" t="str">
        <f>IFERROR(INDEX(EXTRATO_IMPORTADO!$F$5:$F$404,MATCH(B347,EXTRATO_IMPORTADO!$I$5:$I$404,0)),"")</f>
        <v/>
      </c>
      <c r="Q347" s="26" t="str">
        <f>IFERROR(INDEX(EXTRATO_IMPORTADO!$B$5:$B$404,MATCH(B347,EXTRATO_IMPORTADO!$I$5:$I$404,0)),"")</f>
        <v/>
      </c>
      <c r="R347" s="26" t="str">
        <f>IFERROR(MATCH(B347,EXTRATO_IMPORTADO!$I$5:$I$404,0),"")</f>
        <v/>
      </c>
      <c r="S347" s="14" t="str">
        <f t="shared" si="16"/>
        <v/>
      </c>
      <c r="T347" s="33" t="str">
        <f t="shared" si="17"/>
        <v/>
      </c>
    </row>
    <row r="348" spans="1:20" x14ac:dyDescent="0.3">
      <c r="A348" s="26">
        <f>IF(BASE_CAIXA!A345="","",BASE_CAIXA!A345)</f>
        <v>344</v>
      </c>
      <c r="B348" s="26" t="str">
        <f>IF(A348="","",BASE_CAIXA!AL345)</f>
        <v>000344-DB</v>
      </c>
      <c r="C348" s="13">
        <f>IF(A348="","",BASE_CAIXA!AJ345)</f>
        <v>46171</v>
      </c>
      <c r="D348" s="26" t="str">
        <f>IF(A348="","",IF(BASE_CAIXA!C345="Entrada","Crédito","Débito"))</f>
        <v>Débito</v>
      </c>
      <c r="E348" s="14">
        <f>IF(A348="","",BASE_CAIXA!AA345)</f>
        <v>46058.280827586197</v>
      </c>
      <c r="F348" s="26">
        <f>IF(A348="","",BASE_CAIXA!N345)</f>
        <v>0</v>
      </c>
      <c r="G348" s="26">
        <f>IF(A348="","",BASE_CAIXA!O345)</f>
        <v>0</v>
      </c>
      <c r="H348" s="26">
        <f>IF(A348="","",BASE_CAIXA!P345)</f>
        <v>0</v>
      </c>
      <c r="I348" s="26" t="str">
        <f>IF(A348="","",IF(BASE_CAIXA!H345&lt;&gt;"",BASE_CAIXA!H345,BASE_CAIXA!G345))</f>
        <v>material CIMENTO : KIT Parede e Laje - FOB na Fabrica</v>
      </c>
      <c r="J348" s="26" t="str">
        <f>IF(A348="","",BASE_CAIXA!G345)</f>
        <v>material CIMENTO : KIT Parede e Laje - FOB na Fabrica</v>
      </c>
      <c r="K348" s="26">
        <f>IF(A348="","",BASE_CAIXA!I345)</f>
        <v>0</v>
      </c>
      <c r="L348" s="26">
        <f>IF(A348="","",BASE_CAIXA!J345)</f>
        <v>0</v>
      </c>
      <c r="M348" s="26" t="str">
        <f>IF(A348="","",BASE_CAIXA!AM345)</f>
        <v>material CIMENTO : KIT Parede e Laje - FOB na Fabrica | mate</v>
      </c>
      <c r="N348" s="26" t="str">
        <f t="shared" ca="1" si="15"/>
        <v>Previsto</v>
      </c>
      <c r="O348" s="13" t="str">
        <f>IFERROR(INDEX(EXTRATO_IMPORTADO!$A$5:$A$404,MATCH(B348,EXTRATO_IMPORTADO!$I$5:$I$404,0)),"")</f>
        <v/>
      </c>
      <c r="P348" s="14" t="str">
        <f>IFERROR(INDEX(EXTRATO_IMPORTADO!$F$5:$F$404,MATCH(B348,EXTRATO_IMPORTADO!$I$5:$I$404,0)),"")</f>
        <v/>
      </c>
      <c r="Q348" s="26" t="str">
        <f>IFERROR(INDEX(EXTRATO_IMPORTADO!$B$5:$B$404,MATCH(B348,EXTRATO_IMPORTADO!$I$5:$I$404,0)),"")</f>
        <v/>
      </c>
      <c r="R348" s="26" t="str">
        <f>IFERROR(MATCH(B348,EXTRATO_IMPORTADO!$I$5:$I$404,0),"")</f>
        <v/>
      </c>
      <c r="S348" s="14" t="str">
        <f t="shared" si="16"/>
        <v/>
      </c>
      <c r="T348" s="33" t="str">
        <f t="shared" si="17"/>
        <v/>
      </c>
    </row>
    <row r="349" spans="1:20" x14ac:dyDescent="0.3">
      <c r="A349" s="26">
        <f>IF(BASE_CAIXA!A346="","",BASE_CAIXA!A346)</f>
        <v>345</v>
      </c>
      <c r="B349" s="26" t="str">
        <f>IF(A349="","",BASE_CAIXA!AL346)</f>
        <v>000345-DB</v>
      </c>
      <c r="C349" s="13">
        <f>IF(A349="","",BASE_CAIXA!AJ346)</f>
        <v>46171</v>
      </c>
      <c r="D349" s="26" t="str">
        <f>IF(A349="","",IF(BASE_CAIXA!C346="Entrada","Crédito","Débito"))</f>
        <v>Débito</v>
      </c>
      <c r="E349" s="14">
        <f>IF(A349="","",BASE_CAIXA!AA346)</f>
        <v>21381.5438447544</v>
      </c>
      <c r="F349" s="26">
        <f>IF(A349="","",BASE_CAIXA!N346)</f>
        <v>0</v>
      </c>
      <c r="G349" s="26">
        <f>IF(A349="","",BASE_CAIXA!O346)</f>
        <v>0</v>
      </c>
      <c r="H349" s="26">
        <f>IF(A349="","",BASE_CAIXA!P346)</f>
        <v>0</v>
      </c>
      <c r="I349" s="26" t="str">
        <f>IF(A349="","",IF(BASE_CAIXA!H346&lt;&gt;"",BASE_CAIXA!H346,BASE_CAIXA!G346))</f>
        <v>material FERRO: KIT Parede e Laje - FOB na Fabrica</v>
      </c>
      <c r="J349" s="26" t="str">
        <f>IF(A349="","",BASE_CAIXA!G346)</f>
        <v>material FERRO: KIT Parede e Laje - FOB na Fabrica</v>
      </c>
      <c r="K349" s="26">
        <f>IF(A349="","",BASE_CAIXA!I346)</f>
        <v>0</v>
      </c>
      <c r="L349" s="26">
        <f>IF(A349="","",BASE_CAIXA!J346)</f>
        <v>0</v>
      </c>
      <c r="M349" s="26" t="str">
        <f>IF(A349="","",BASE_CAIXA!AM346)</f>
        <v>material FERRO: KIT Parede e Laje - FOB na Fabrica | materia</v>
      </c>
      <c r="N349" s="26" t="str">
        <f t="shared" ca="1" si="15"/>
        <v>Previsto</v>
      </c>
      <c r="O349" s="13" t="str">
        <f>IFERROR(INDEX(EXTRATO_IMPORTADO!$A$5:$A$404,MATCH(B349,EXTRATO_IMPORTADO!$I$5:$I$404,0)),"")</f>
        <v/>
      </c>
      <c r="P349" s="14" t="str">
        <f>IFERROR(INDEX(EXTRATO_IMPORTADO!$F$5:$F$404,MATCH(B349,EXTRATO_IMPORTADO!$I$5:$I$404,0)),"")</f>
        <v/>
      </c>
      <c r="Q349" s="26" t="str">
        <f>IFERROR(INDEX(EXTRATO_IMPORTADO!$B$5:$B$404,MATCH(B349,EXTRATO_IMPORTADO!$I$5:$I$404,0)),"")</f>
        <v/>
      </c>
      <c r="R349" s="26" t="str">
        <f>IFERROR(MATCH(B349,EXTRATO_IMPORTADO!$I$5:$I$404,0),"")</f>
        <v/>
      </c>
      <c r="S349" s="14" t="str">
        <f t="shared" si="16"/>
        <v/>
      </c>
      <c r="T349" s="33" t="str">
        <f t="shared" si="17"/>
        <v/>
      </c>
    </row>
    <row r="350" spans="1:20" x14ac:dyDescent="0.3">
      <c r="A350" s="26">
        <f>IF(BASE_CAIXA!A347="","",BASE_CAIXA!A347)</f>
        <v>346</v>
      </c>
      <c r="B350" s="26" t="str">
        <f>IF(A350="","",BASE_CAIXA!AL347)</f>
        <v>000346-DB</v>
      </c>
      <c r="C350" s="13">
        <f>IF(A350="","",BASE_CAIXA!AJ347)</f>
        <v>46171</v>
      </c>
      <c r="D350" s="26" t="str">
        <f>IF(A350="","",IF(BASE_CAIXA!C347="Entrada","Crédito","Débito"))</f>
        <v>Débito</v>
      </c>
      <c r="E350" s="14">
        <f>IF(A350="","",BASE_CAIXA!AA347)</f>
        <v>21381.5438447544</v>
      </c>
      <c r="F350" s="26">
        <f>IF(A350="","",BASE_CAIXA!N347)</f>
        <v>0</v>
      </c>
      <c r="G350" s="26">
        <f>IF(A350="","",BASE_CAIXA!O347)</f>
        <v>0</v>
      </c>
      <c r="H350" s="26">
        <f>IF(A350="","",BASE_CAIXA!P347)</f>
        <v>0</v>
      </c>
      <c r="I350" s="26" t="str">
        <f>IF(A350="","",IF(BASE_CAIXA!H347&lt;&gt;"",BASE_CAIXA!H347,BASE_CAIXA!G347))</f>
        <v>material FERRO: KIT Parede e Laje - FOB na Fabrica</v>
      </c>
      <c r="J350" s="26" t="str">
        <f>IF(A350="","",BASE_CAIXA!G347)</f>
        <v>material FERRO: KIT Parede e Laje - FOB na Fabrica</v>
      </c>
      <c r="K350" s="26">
        <f>IF(A350="","",BASE_CAIXA!I347)</f>
        <v>0</v>
      </c>
      <c r="L350" s="26">
        <f>IF(A350="","",BASE_CAIXA!J347)</f>
        <v>0</v>
      </c>
      <c r="M350" s="26" t="str">
        <f>IF(A350="","",BASE_CAIXA!AM347)</f>
        <v>material FERRO: KIT Parede e Laje - FOB na Fabrica | materia</v>
      </c>
      <c r="N350" s="26" t="str">
        <f t="shared" ca="1" si="15"/>
        <v>Previsto</v>
      </c>
      <c r="O350" s="13" t="str">
        <f>IFERROR(INDEX(EXTRATO_IMPORTADO!$A$5:$A$404,MATCH(B350,EXTRATO_IMPORTADO!$I$5:$I$404,0)),"")</f>
        <v/>
      </c>
      <c r="P350" s="14" t="str">
        <f>IFERROR(INDEX(EXTRATO_IMPORTADO!$F$5:$F$404,MATCH(B350,EXTRATO_IMPORTADO!$I$5:$I$404,0)),"")</f>
        <v/>
      </c>
      <c r="Q350" s="26" t="str">
        <f>IFERROR(INDEX(EXTRATO_IMPORTADO!$B$5:$B$404,MATCH(B350,EXTRATO_IMPORTADO!$I$5:$I$404,0)),"")</f>
        <v/>
      </c>
      <c r="R350" s="26" t="str">
        <f>IFERROR(MATCH(B350,EXTRATO_IMPORTADO!$I$5:$I$404,0),"")</f>
        <v/>
      </c>
      <c r="S350" s="14" t="str">
        <f t="shared" si="16"/>
        <v/>
      </c>
      <c r="T350" s="33" t="str">
        <f t="shared" si="17"/>
        <v/>
      </c>
    </row>
    <row r="351" spans="1:20" x14ac:dyDescent="0.3">
      <c r="A351" s="26">
        <f>IF(BASE_CAIXA!A348="","",BASE_CAIXA!A348)</f>
        <v>347</v>
      </c>
      <c r="B351" s="26" t="str">
        <f>IF(A351="","",BASE_CAIXA!AL348)</f>
        <v>000347-DB</v>
      </c>
      <c r="C351" s="13">
        <f>IF(A351="","",BASE_CAIXA!AJ348)</f>
        <v>46171</v>
      </c>
      <c r="D351" s="26" t="str">
        <f>IF(A351="","",IF(BASE_CAIXA!C348="Entrada","Crédito","Débito"))</f>
        <v>Débito</v>
      </c>
      <c r="E351" s="14">
        <f>IF(A351="","",BASE_CAIXA!AA348)</f>
        <v>25657.852613705269</v>
      </c>
      <c r="F351" s="26">
        <f>IF(A351="","",BASE_CAIXA!N348)</f>
        <v>0</v>
      </c>
      <c r="G351" s="26">
        <f>IF(A351="","",BASE_CAIXA!O348)</f>
        <v>0</v>
      </c>
      <c r="H351" s="26">
        <f>IF(A351="","",BASE_CAIXA!P348)</f>
        <v>0</v>
      </c>
      <c r="I351" s="26" t="str">
        <f>IF(A351="","",IF(BASE_CAIXA!H348&lt;&gt;"",BASE_CAIXA!H348,BASE_CAIXA!G348))</f>
        <v>material FERRO: KIT Parede e Laje - FOB na Fabrica</v>
      </c>
      <c r="J351" s="26" t="str">
        <f>IF(A351="","",BASE_CAIXA!G348)</f>
        <v>material FERRO: KIT Parede e Laje - FOB na Fabrica</v>
      </c>
      <c r="K351" s="26">
        <f>IF(A351="","",BASE_CAIXA!I348)</f>
        <v>0</v>
      </c>
      <c r="L351" s="26">
        <f>IF(A351="","",BASE_CAIXA!J348)</f>
        <v>0</v>
      </c>
      <c r="M351" s="26" t="str">
        <f>IF(A351="","",BASE_CAIXA!AM348)</f>
        <v>material FERRO: KIT Parede e Laje - FOB na Fabrica | materia</v>
      </c>
      <c r="N351" s="26" t="str">
        <f t="shared" ca="1" si="15"/>
        <v>Previsto</v>
      </c>
      <c r="O351" s="13" t="str">
        <f>IFERROR(INDEX(EXTRATO_IMPORTADO!$A$5:$A$404,MATCH(B351,EXTRATO_IMPORTADO!$I$5:$I$404,0)),"")</f>
        <v/>
      </c>
      <c r="P351" s="14" t="str">
        <f>IFERROR(INDEX(EXTRATO_IMPORTADO!$F$5:$F$404,MATCH(B351,EXTRATO_IMPORTADO!$I$5:$I$404,0)),"")</f>
        <v/>
      </c>
      <c r="Q351" s="26" t="str">
        <f>IFERROR(INDEX(EXTRATO_IMPORTADO!$B$5:$B$404,MATCH(B351,EXTRATO_IMPORTADO!$I$5:$I$404,0)),"")</f>
        <v/>
      </c>
      <c r="R351" s="26" t="str">
        <f>IFERROR(MATCH(B351,EXTRATO_IMPORTADO!$I$5:$I$404,0),"")</f>
        <v/>
      </c>
      <c r="S351" s="14" t="str">
        <f t="shared" si="16"/>
        <v/>
      </c>
      <c r="T351" s="33" t="str">
        <f t="shared" si="17"/>
        <v/>
      </c>
    </row>
    <row r="352" spans="1:20" x14ac:dyDescent="0.3">
      <c r="A352" s="26">
        <f>IF(BASE_CAIXA!A349="","",BASE_CAIXA!A349)</f>
        <v>348</v>
      </c>
      <c r="B352" s="26" t="str">
        <f>IF(A352="","",BASE_CAIXA!AL349)</f>
        <v>000348-DB</v>
      </c>
      <c r="C352" s="13">
        <f>IF(A352="","",BASE_CAIXA!AJ349)</f>
        <v>46171</v>
      </c>
      <c r="D352" s="26" t="str">
        <f>IF(A352="","",IF(BASE_CAIXA!C349="Entrada","Crédito","Débito"))</f>
        <v>Débito</v>
      </c>
      <c r="E352" s="14">
        <f>IF(A352="","",BASE_CAIXA!AA349)</f>
        <v>2993.76</v>
      </c>
      <c r="F352" s="26">
        <f>IF(A352="","",BASE_CAIXA!N349)</f>
        <v>0</v>
      </c>
      <c r="G352" s="26">
        <f>IF(A352="","",BASE_CAIXA!O349)</f>
        <v>0</v>
      </c>
      <c r="H352" s="26">
        <f>IF(A352="","",BASE_CAIXA!P349)</f>
        <v>0</v>
      </c>
      <c r="I352" s="26" t="str">
        <f>IF(A352="","",IF(BASE_CAIXA!H349&lt;&gt;"",BASE_CAIXA!H349,BASE_CAIXA!G349))</f>
        <v>mobilizaçao e desmobilização equipe montagem</v>
      </c>
      <c r="J352" s="26" t="str">
        <f>IF(A352="","",BASE_CAIXA!G349)</f>
        <v>mobilizaçao e desmobilização equipe montagem</v>
      </c>
      <c r="K352" s="26">
        <f>IF(A352="","",BASE_CAIXA!I349)</f>
        <v>0</v>
      </c>
      <c r="L352" s="26">
        <f>IF(A352="","",BASE_CAIXA!J349)</f>
        <v>0</v>
      </c>
      <c r="M352" s="26" t="str">
        <f>IF(A352="","",BASE_CAIXA!AM349)</f>
        <v>mobilizaçao e desmobilização equipe montagem | mobilizaçao e</v>
      </c>
      <c r="N352" s="26" t="str">
        <f t="shared" ca="1" si="15"/>
        <v>Previsto</v>
      </c>
      <c r="O352" s="13" t="str">
        <f>IFERROR(INDEX(EXTRATO_IMPORTADO!$A$5:$A$404,MATCH(B352,EXTRATO_IMPORTADO!$I$5:$I$404,0)),"")</f>
        <v/>
      </c>
      <c r="P352" s="14" t="str">
        <f>IFERROR(INDEX(EXTRATO_IMPORTADO!$F$5:$F$404,MATCH(B352,EXTRATO_IMPORTADO!$I$5:$I$404,0)),"")</f>
        <v/>
      </c>
      <c r="Q352" s="26" t="str">
        <f>IFERROR(INDEX(EXTRATO_IMPORTADO!$B$5:$B$404,MATCH(B352,EXTRATO_IMPORTADO!$I$5:$I$404,0)),"")</f>
        <v/>
      </c>
      <c r="R352" s="26" t="str">
        <f>IFERROR(MATCH(B352,EXTRATO_IMPORTADO!$I$5:$I$404,0),"")</f>
        <v/>
      </c>
      <c r="S352" s="14" t="str">
        <f t="shared" si="16"/>
        <v/>
      </c>
      <c r="T352" s="33" t="str">
        <f t="shared" si="17"/>
        <v/>
      </c>
    </row>
    <row r="353" spans="1:20" x14ac:dyDescent="0.3">
      <c r="A353" s="26">
        <f>IF(BASE_CAIXA!A350="","",BASE_CAIXA!A350)</f>
        <v>349</v>
      </c>
      <c r="B353" s="26" t="str">
        <f>IF(A353="","",BASE_CAIXA!AL350)</f>
        <v>000349-DB</v>
      </c>
      <c r="C353" s="13">
        <f>IF(A353="","",BASE_CAIXA!AJ350)</f>
        <v>46171</v>
      </c>
      <c r="D353" s="26" t="str">
        <f>IF(A353="","",IF(BASE_CAIXA!C350="Entrada","Crédito","Débito"))</f>
        <v>Débito</v>
      </c>
      <c r="E353" s="14">
        <f>IF(A353="","",BASE_CAIXA!AA350)</f>
        <v>1164.8</v>
      </c>
      <c r="F353" s="26">
        <f>IF(A353="","",BASE_CAIXA!N350)</f>
        <v>0</v>
      </c>
      <c r="G353" s="26">
        <f>IF(A353="","",BASE_CAIXA!O350)</f>
        <v>0</v>
      </c>
      <c r="H353" s="26">
        <f>IF(A353="","",BASE_CAIXA!P350)</f>
        <v>0</v>
      </c>
      <c r="I353" s="26" t="str">
        <f>IF(A353="","",IF(BASE_CAIXA!H350&lt;&gt;"",BASE_CAIXA!H350,BASE_CAIXA!G350))</f>
        <v>Fira crepe 50 mm x 50 m</v>
      </c>
      <c r="J353" s="26" t="str">
        <f>IF(A353="","",BASE_CAIXA!G350)</f>
        <v>Fira crepe 50 mm x 50 m</v>
      </c>
      <c r="K353" s="26">
        <f>IF(A353="","",BASE_CAIXA!I350)</f>
        <v>0</v>
      </c>
      <c r="L353" s="26">
        <f>IF(A353="","",BASE_CAIXA!J350)</f>
        <v>0</v>
      </c>
      <c r="M353" s="26" t="str">
        <f>IF(A353="","",BASE_CAIXA!AM350)</f>
        <v xml:space="preserve">Fira crepe 50 mm x 50 m | Fira crepe 50 mm x 50 m | Saída | </v>
      </c>
      <c r="N353" s="26" t="str">
        <f t="shared" ca="1" si="15"/>
        <v>Previsto</v>
      </c>
      <c r="O353" s="13" t="str">
        <f>IFERROR(INDEX(EXTRATO_IMPORTADO!$A$5:$A$404,MATCH(B353,EXTRATO_IMPORTADO!$I$5:$I$404,0)),"")</f>
        <v/>
      </c>
      <c r="P353" s="14" t="str">
        <f>IFERROR(INDEX(EXTRATO_IMPORTADO!$F$5:$F$404,MATCH(B353,EXTRATO_IMPORTADO!$I$5:$I$404,0)),"")</f>
        <v/>
      </c>
      <c r="Q353" s="26" t="str">
        <f>IFERROR(INDEX(EXTRATO_IMPORTADO!$B$5:$B$404,MATCH(B353,EXTRATO_IMPORTADO!$I$5:$I$404,0)),"")</f>
        <v/>
      </c>
      <c r="R353" s="26" t="str">
        <f>IFERROR(MATCH(B353,EXTRATO_IMPORTADO!$I$5:$I$404,0),"")</f>
        <v/>
      </c>
      <c r="S353" s="14" t="str">
        <f t="shared" si="16"/>
        <v/>
      </c>
      <c r="T353" s="33" t="str">
        <f t="shared" si="17"/>
        <v/>
      </c>
    </row>
    <row r="354" spans="1:20" x14ac:dyDescent="0.3">
      <c r="A354" s="26">
        <f>IF(BASE_CAIXA!A351="","",BASE_CAIXA!A351)</f>
        <v>350</v>
      </c>
      <c r="B354" s="26" t="str">
        <f>IF(A354="","",BASE_CAIXA!AL351)</f>
        <v>000350-DB</v>
      </c>
      <c r="C354" s="13">
        <f>IF(A354="","",BASE_CAIXA!AJ351)</f>
        <v>46171</v>
      </c>
      <c r="D354" s="26" t="str">
        <f>IF(A354="","",IF(BASE_CAIXA!C351="Entrada","Crédito","Débito"))</f>
        <v>Débito</v>
      </c>
      <c r="E354" s="14">
        <f>IF(A354="","",BASE_CAIXA!AA351)</f>
        <v>8041.8867200000004</v>
      </c>
      <c r="F354" s="26">
        <f>IF(A354="","",BASE_CAIXA!N351)</f>
        <v>0</v>
      </c>
      <c r="G354" s="26">
        <f>IF(A354="","",BASE_CAIXA!O351)</f>
        <v>0</v>
      </c>
      <c r="H354" s="26">
        <f>IF(A354="","",BASE_CAIXA!P351)</f>
        <v>0</v>
      </c>
      <c r="I354" s="26" t="str">
        <f>IF(A354="","",IF(BASE_CAIXA!H351&lt;&gt;"",BASE_CAIXA!H351,BASE_CAIXA!G351))</f>
        <v>Mao de obra terceirizada com equipamentos Pintura interna (2 demãos)</v>
      </c>
      <c r="J354" s="26" t="str">
        <f>IF(A354="","",BASE_CAIXA!G351)</f>
        <v>Mao de obra terceirizada com equipamentos Pintura interna (2 demãos)</v>
      </c>
      <c r="K354" s="26">
        <f>IF(A354="","",BASE_CAIXA!I351)</f>
        <v>0</v>
      </c>
      <c r="L354" s="26">
        <f>IF(A354="","",BASE_CAIXA!J351)</f>
        <v>0</v>
      </c>
      <c r="M354" s="26" t="str">
        <f>IF(A354="","",BASE_CAIXA!AM351)</f>
        <v>Mao de obra terceirizada com equipamentos Pintura interna (2</v>
      </c>
      <c r="N354" s="26" t="str">
        <f t="shared" ca="1" si="15"/>
        <v>Previsto</v>
      </c>
      <c r="O354" s="13" t="str">
        <f>IFERROR(INDEX(EXTRATO_IMPORTADO!$A$5:$A$404,MATCH(B354,EXTRATO_IMPORTADO!$I$5:$I$404,0)),"")</f>
        <v/>
      </c>
      <c r="P354" s="14" t="str">
        <f>IFERROR(INDEX(EXTRATO_IMPORTADO!$F$5:$F$404,MATCH(B354,EXTRATO_IMPORTADO!$I$5:$I$404,0)),"")</f>
        <v/>
      </c>
      <c r="Q354" s="26" t="str">
        <f>IFERROR(INDEX(EXTRATO_IMPORTADO!$B$5:$B$404,MATCH(B354,EXTRATO_IMPORTADO!$I$5:$I$404,0)),"")</f>
        <v/>
      </c>
      <c r="R354" s="26" t="str">
        <f>IFERROR(MATCH(B354,EXTRATO_IMPORTADO!$I$5:$I$404,0),"")</f>
        <v/>
      </c>
      <c r="S354" s="14" t="str">
        <f t="shared" si="16"/>
        <v/>
      </c>
      <c r="T354" s="33" t="str">
        <f t="shared" si="17"/>
        <v/>
      </c>
    </row>
    <row r="355" spans="1:20" x14ac:dyDescent="0.3">
      <c r="A355" s="26">
        <f>IF(BASE_CAIXA!A352="","",BASE_CAIXA!A352)</f>
        <v>351</v>
      </c>
      <c r="B355" s="26" t="str">
        <f>IF(A355="","",BASE_CAIXA!AL352)</f>
        <v>000351-DB</v>
      </c>
      <c r="C355" s="13">
        <f>IF(A355="","",BASE_CAIXA!AJ352)</f>
        <v>46171</v>
      </c>
      <c r="D355" s="26" t="str">
        <f>IF(A355="","",IF(BASE_CAIXA!C352="Entrada","Crédito","Débito"))</f>
        <v>Débito</v>
      </c>
      <c r="E355" s="14">
        <f>IF(A355="","",BASE_CAIXA!AA352)</f>
        <v>17017.599999999999</v>
      </c>
      <c r="F355" s="26">
        <f>IF(A355="","",BASE_CAIXA!N352)</f>
        <v>0</v>
      </c>
      <c r="G355" s="26">
        <f>IF(A355="","",BASE_CAIXA!O352)</f>
        <v>0</v>
      </c>
      <c r="H355" s="26">
        <f>IF(A355="","",BASE_CAIXA!P352)</f>
        <v>0</v>
      </c>
      <c r="I355" s="26" t="str">
        <f>IF(A355="","",IF(BASE_CAIXA!H352&lt;&gt;"",BASE_CAIXA!H352,BASE_CAIXA!G352))</f>
        <v>TINTA ACRILICA CORALAR BRANCO 18 LITROS - laje (  cor BRANCA  ou similar) - 2 demaos</v>
      </c>
      <c r="J355" s="26" t="str">
        <f>IF(A355="","",BASE_CAIXA!G352)</f>
        <v>TINTA ACRILICA CORALAR BRANCO 18 LITROS - laje (  cor BRANCA  ou similar) - 2 demaos</v>
      </c>
      <c r="K355" s="26">
        <f>IF(A355="","",BASE_CAIXA!I352)</f>
        <v>0</v>
      </c>
      <c r="L355" s="26">
        <f>IF(A355="","",BASE_CAIXA!J352)</f>
        <v>0</v>
      </c>
      <c r="M355" s="26" t="str">
        <f>IF(A355="","",BASE_CAIXA!AM352)</f>
        <v>TINTA ACRILICA CORALAR BRANCO 18 LITROS - laje (  cor BRANCA</v>
      </c>
      <c r="N355" s="26" t="str">
        <f t="shared" ca="1" si="15"/>
        <v>Previsto</v>
      </c>
      <c r="O355" s="13" t="str">
        <f>IFERROR(INDEX(EXTRATO_IMPORTADO!$A$5:$A$404,MATCH(B355,EXTRATO_IMPORTADO!$I$5:$I$404,0)),"")</f>
        <v/>
      </c>
      <c r="P355" s="14" t="str">
        <f>IFERROR(INDEX(EXTRATO_IMPORTADO!$F$5:$F$404,MATCH(B355,EXTRATO_IMPORTADO!$I$5:$I$404,0)),"")</f>
        <v/>
      </c>
      <c r="Q355" s="26" t="str">
        <f>IFERROR(INDEX(EXTRATO_IMPORTADO!$B$5:$B$404,MATCH(B355,EXTRATO_IMPORTADO!$I$5:$I$404,0)),"")</f>
        <v/>
      </c>
      <c r="R355" s="26" t="str">
        <f>IFERROR(MATCH(B355,EXTRATO_IMPORTADO!$I$5:$I$404,0),"")</f>
        <v/>
      </c>
      <c r="S355" s="14" t="str">
        <f t="shared" si="16"/>
        <v/>
      </c>
      <c r="T355" s="33" t="str">
        <f t="shared" si="17"/>
        <v/>
      </c>
    </row>
    <row r="356" spans="1:20" x14ac:dyDescent="0.3">
      <c r="A356" s="26">
        <f>IF(BASE_CAIXA!A353="","",BASE_CAIXA!A353)</f>
        <v>352</v>
      </c>
      <c r="B356" s="26" t="str">
        <f>IF(A356="","",BASE_CAIXA!AL353)</f>
        <v>000352-DB</v>
      </c>
      <c r="C356" s="13">
        <f>IF(A356="","",BASE_CAIXA!AJ353)</f>
        <v>46171</v>
      </c>
      <c r="D356" s="26" t="str">
        <f>IF(A356="","",IF(BASE_CAIXA!C353="Entrada","Crédito","Débito"))</f>
        <v>Débito</v>
      </c>
      <c r="E356" s="14">
        <f>IF(A356="","",BASE_CAIXA!AA353)</f>
        <v>7387.52</v>
      </c>
      <c r="F356" s="26">
        <f>IF(A356="","",BASE_CAIXA!N353)</f>
        <v>0</v>
      </c>
      <c r="G356" s="26">
        <f>IF(A356="","",BASE_CAIXA!O353)</f>
        <v>0</v>
      </c>
      <c r="H356" s="26">
        <f>IF(A356="","",BASE_CAIXA!P353)</f>
        <v>0</v>
      </c>
      <c r="I356" s="26" t="str">
        <f>IF(A356="","",IF(BASE_CAIXA!H353&lt;&gt;"",BASE_CAIXA!H353,BASE_CAIXA!G353))</f>
        <v>Argamassa colante AC I</v>
      </c>
      <c r="J356" s="26" t="str">
        <f>IF(A356="","",BASE_CAIXA!G353)</f>
        <v>Argamassa colante AC I</v>
      </c>
      <c r="K356" s="26">
        <f>IF(A356="","",BASE_CAIXA!I353)</f>
        <v>0</v>
      </c>
      <c r="L356" s="26">
        <f>IF(A356="","",BASE_CAIXA!J353)</f>
        <v>0</v>
      </c>
      <c r="M356" s="26" t="str">
        <f>IF(A356="","",BASE_CAIXA!AM353)</f>
        <v>Argamassa colante AC I | Argamassa colante AC I | Saída | PI</v>
      </c>
      <c r="N356" s="26" t="str">
        <f t="shared" ca="1" si="15"/>
        <v>Previsto</v>
      </c>
      <c r="O356" s="13" t="str">
        <f>IFERROR(INDEX(EXTRATO_IMPORTADO!$A$5:$A$404,MATCH(B356,EXTRATO_IMPORTADO!$I$5:$I$404,0)),"")</f>
        <v/>
      </c>
      <c r="P356" s="14" t="str">
        <f>IFERROR(INDEX(EXTRATO_IMPORTADO!$F$5:$F$404,MATCH(B356,EXTRATO_IMPORTADO!$I$5:$I$404,0)),"")</f>
        <v/>
      </c>
      <c r="Q356" s="26" t="str">
        <f>IFERROR(INDEX(EXTRATO_IMPORTADO!$B$5:$B$404,MATCH(B356,EXTRATO_IMPORTADO!$I$5:$I$404,0)),"")</f>
        <v/>
      </c>
      <c r="R356" s="26" t="str">
        <f>IFERROR(MATCH(B356,EXTRATO_IMPORTADO!$I$5:$I$404,0),"")</f>
        <v/>
      </c>
      <c r="S356" s="14" t="str">
        <f t="shared" si="16"/>
        <v/>
      </c>
      <c r="T356" s="33" t="str">
        <f t="shared" si="17"/>
        <v/>
      </c>
    </row>
    <row r="357" spans="1:20" x14ac:dyDescent="0.3">
      <c r="A357" s="26">
        <f>IF(BASE_CAIXA!A354="","",BASE_CAIXA!A354)</f>
        <v>353</v>
      </c>
      <c r="B357" s="26" t="str">
        <f>IF(A357="","",BASE_CAIXA!AL354)</f>
        <v>000353-DB</v>
      </c>
      <c r="C357" s="13">
        <f>IF(A357="","",BASE_CAIXA!AJ354)</f>
        <v>46171</v>
      </c>
      <c r="D357" s="26" t="str">
        <f>IF(A357="","",IF(BASE_CAIXA!C354="Entrada","Crédito","Débito"))</f>
        <v>Débito</v>
      </c>
      <c r="E357" s="14">
        <f>IF(A357="","",BASE_CAIXA!AA354)</f>
        <v>403.2</v>
      </c>
      <c r="F357" s="26">
        <f>IF(A357="","",BASE_CAIXA!N354)</f>
        <v>0</v>
      </c>
      <c r="G357" s="26">
        <f>IF(A357="","",BASE_CAIXA!O354)</f>
        <v>0</v>
      </c>
      <c r="H357" s="26">
        <f>IF(A357="","",BASE_CAIXA!P354)</f>
        <v>0</v>
      </c>
      <c r="I357" s="26" t="str">
        <f>IF(A357="","",IF(BASE_CAIXA!H354&lt;&gt;"",BASE_CAIXA!H354,BASE_CAIXA!G354))</f>
        <v>Espaçador cruzeta - 5mm (pacote com 100 unid)</v>
      </c>
      <c r="J357" s="26" t="str">
        <f>IF(A357="","",BASE_CAIXA!G354)</f>
        <v>Espaçador cruzeta - 5mm (pacote com 100 unid)</v>
      </c>
      <c r="K357" s="26">
        <f>IF(A357="","",BASE_CAIXA!I354)</f>
        <v>0</v>
      </c>
      <c r="L357" s="26">
        <f>IF(A357="","",BASE_CAIXA!J354)</f>
        <v>0</v>
      </c>
      <c r="M357" s="26" t="str">
        <f>IF(A357="","",BASE_CAIXA!AM354)</f>
        <v>Espaçador cruzeta - 5mm (pacote com 100 unid) | Espaçador cr</v>
      </c>
      <c r="N357" s="26" t="str">
        <f t="shared" ca="1" si="15"/>
        <v>Previsto</v>
      </c>
      <c r="O357" s="13" t="str">
        <f>IFERROR(INDEX(EXTRATO_IMPORTADO!$A$5:$A$404,MATCH(B357,EXTRATO_IMPORTADO!$I$5:$I$404,0)),"")</f>
        <v/>
      </c>
      <c r="P357" s="14" t="str">
        <f>IFERROR(INDEX(EXTRATO_IMPORTADO!$F$5:$F$404,MATCH(B357,EXTRATO_IMPORTADO!$I$5:$I$404,0)),"")</f>
        <v/>
      </c>
      <c r="Q357" s="26" t="str">
        <f>IFERROR(INDEX(EXTRATO_IMPORTADO!$B$5:$B$404,MATCH(B357,EXTRATO_IMPORTADO!$I$5:$I$404,0)),"")</f>
        <v/>
      </c>
      <c r="R357" s="26" t="str">
        <f>IFERROR(MATCH(B357,EXTRATO_IMPORTADO!$I$5:$I$404,0),"")</f>
        <v/>
      </c>
      <c r="S357" s="14" t="str">
        <f t="shared" si="16"/>
        <v/>
      </c>
      <c r="T357" s="33" t="str">
        <f t="shared" si="17"/>
        <v/>
      </c>
    </row>
    <row r="358" spans="1:20" x14ac:dyDescent="0.3">
      <c r="A358" s="26">
        <f>IF(BASE_CAIXA!A355="","",BASE_CAIXA!A355)</f>
        <v>354</v>
      </c>
      <c r="B358" s="26" t="str">
        <f>IF(A358="","",BASE_CAIXA!AL355)</f>
        <v>000354-DB</v>
      </c>
      <c r="C358" s="13">
        <f>IF(A358="","",BASE_CAIXA!AJ355)</f>
        <v>46171</v>
      </c>
      <c r="D358" s="26" t="str">
        <f>IF(A358="","",IF(BASE_CAIXA!C355="Entrada","Crédito","Débito"))</f>
        <v>Débito</v>
      </c>
      <c r="E358" s="14">
        <f>IF(A358="","",BASE_CAIXA!AA355)</f>
        <v>20095.488000000001</v>
      </c>
      <c r="F358" s="26">
        <f>IF(A358="","",BASE_CAIXA!N355)</f>
        <v>0</v>
      </c>
      <c r="G358" s="26">
        <f>IF(A358="","",BASE_CAIXA!O355)</f>
        <v>0</v>
      </c>
      <c r="H358" s="26">
        <f>IF(A358="","",BASE_CAIXA!P355)</f>
        <v>0</v>
      </c>
      <c r="I358" s="26" t="str">
        <f>IF(A358="","",IF(BASE_CAIXA!H355&lt;&gt;"",BASE_CAIXA!H355,BASE_CAIXA!G355))</f>
        <v>Mao de obra terceirizada assentamento Ceramica</v>
      </c>
      <c r="J358" s="26" t="str">
        <f>IF(A358="","",BASE_CAIXA!G355)</f>
        <v>Mao de obra terceirizada assentamento Ceramica</v>
      </c>
      <c r="K358" s="26">
        <f>IF(A358="","",BASE_CAIXA!I355)</f>
        <v>0</v>
      </c>
      <c r="L358" s="26">
        <f>IF(A358="","",BASE_CAIXA!J355)</f>
        <v>0</v>
      </c>
      <c r="M358" s="26" t="str">
        <f>IF(A358="","",BASE_CAIXA!AM355)</f>
        <v>Mao de obra terceirizada assentamento Ceramica | Mao de obra</v>
      </c>
      <c r="N358" s="26" t="str">
        <f t="shared" ca="1" si="15"/>
        <v>Previsto</v>
      </c>
      <c r="O358" s="13" t="str">
        <f>IFERROR(INDEX(EXTRATO_IMPORTADO!$A$5:$A$404,MATCH(B358,EXTRATO_IMPORTADO!$I$5:$I$404,0)),"")</f>
        <v/>
      </c>
      <c r="P358" s="14" t="str">
        <f>IFERROR(INDEX(EXTRATO_IMPORTADO!$F$5:$F$404,MATCH(B358,EXTRATO_IMPORTADO!$I$5:$I$404,0)),"")</f>
        <v/>
      </c>
      <c r="Q358" s="26" t="str">
        <f>IFERROR(INDEX(EXTRATO_IMPORTADO!$B$5:$B$404,MATCH(B358,EXTRATO_IMPORTADO!$I$5:$I$404,0)),"")</f>
        <v/>
      </c>
      <c r="R358" s="26" t="str">
        <f>IFERROR(MATCH(B358,EXTRATO_IMPORTADO!$I$5:$I$404,0),"")</f>
        <v/>
      </c>
      <c r="S358" s="14" t="str">
        <f t="shared" si="16"/>
        <v/>
      </c>
      <c r="T358" s="33" t="str">
        <f t="shared" si="17"/>
        <v/>
      </c>
    </row>
    <row r="359" spans="1:20" x14ac:dyDescent="0.3">
      <c r="A359" s="26">
        <f>IF(BASE_CAIXA!A356="","",BASE_CAIXA!A356)</f>
        <v>355</v>
      </c>
      <c r="B359" s="26" t="str">
        <f>IF(A359="","",BASE_CAIXA!AL356)</f>
        <v>000355-DB</v>
      </c>
      <c r="C359" s="13">
        <f>IF(A359="","",BASE_CAIXA!AJ356)</f>
        <v>46171</v>
      </c>
      <c r="D359" s="26" t="str">
        <f>IF(A359="","",IF(BASE_CAIXA!C356="Entrada","Crédito","Débito"))</f>
        <v>Débito</v>
      </c>
      <c r="E359" s="14">
        <f>IF(A359="","",BASE_CAIXA!AA356)</f>
        <v>2496</v>
      </c>
      <c r="F359" s="26">
        <f>IF(A359="","",BASE_CAIXA!N356)</f>
        <v>0</v>
      </c>
      <c r="G359" s="26">
        <f>IF(A359="","",BASE_CAIXA!O356)</f>
        <v>0</v>
      </c>
      <c r="H359" s="26">
        <f>IF(A359="","",BASE_CAIXA!P356)</f>
        <v>0</v>
      </c>
      <c r="I359" s="26" t="str">
        <f>IF(A359="","",IF(BASE_CAIXA!H356&lt;&gt;"",BASE_CAIXA!H356,BASE_CAIXA!G356))</f>
        <v>Rejunte cimenticio</v>
      </c>
      <c r="J359" s="26" t="str">
        <f>IF(A359="","",BASE_CAIXA!G356)</f>
        <v>Rejunte cimenticio</v>
      </c>
      <c r="K359" s="26">
        <f>IF(A359="","",BASE_CAIXA!I356)</f>
        <v>0</v>
      </c>
      <c r="L359" s="26">
        <f>IF(A359="","",BASE_CAIXA!J356)</f>
        <v>0</v>
      </c>
      <c r="M359" s="26" t="str">
        <f>IF(A359="","",BASE_CAIXA!AM356)</f>
        <v>Rejunte cimenticio | Rejunte cimenticio | Saída | PISO E ROD</v>
      </c>
      <c r="N359" s="26" t="str">
        <f t="shared" ca="1" si="15"/>
        <v>Previsto</v>
      </c>
      <c r="O359" s="13" t="str">
        <f>IFERROR(INDEX(EXTRATO_IMPORTADO!$A$5:$A$404,MATCH(B359,EXTRATO_IMPORTADO!$I$5:$I$404,0)),"")</f>
        <v/>
      </c>
      <c r="P359" s="14" t="str">
        <f>IFERROR(INDEX(EXTRATO_IMPORTADO!$F$5:$F$404,MATCH(B359,EXTRATO_IMPORTADO!$I$5:$I$404,0)),"")</f>
        <v/>
      </c>
      <c r="Q359" s="26" t="str">
        <f>IFERROR(INDEX(EXTRATO_IMPORTADO!$B$5:$B$404,MATCH(B359,EXTRATO_IMPORTADO!$I$5:$I$404,0)),"")</f>
        <v/>
      </c>
      <c r="R359" s="26" t="str">
        <f>IFERROR(MATCH(B359,EXTRATO_IMPORTADO!$I$5:$I$404,0),"")</f>
        <v/>
      </c>
      <c r="S359" s="14" t="str">
        <f t="shared" si="16"/>
        <v/>
      </c>
      <c r="T359" s="33" t="str">
        <f t="shared" si="17"/>
        <v/>
      </c>
    </row>
    <row r="360" spans="1:20" x14ac:dyDescent="0.3">
      <c r="A360" s="26">
        <f>IF(BASE_CAIXA!A357="","",BASE_CAIXA!A357)</f>
        <v>356</v>
      </c>
      <c r="B360" s="26" t="str">
        <f>IF(A360="","",BASE_CAIXA!AL357)</f>
        <v>000356-DB</v>
      </c>
      <c r="C360" s="13">
        <f>IF(A360="","",BASE_CAIXA!AJ357)</f>
        <v>46171</v>
      </c>
      <c r="D360" s="26" t="str">
        <f>IF(A360="","",IF(BASE_CAIXA!C357="Entrada","Crédito","Débito"))</f>
        <v>Débito</v>
      </c>
      <c r="E360" s="14">
        <f>IF(A360="","",BASE_CAIXA!AA357)</f>
        <v>13284.311040000001</v>
      </c>
      <c r="F360" s="26">
        <f>IF(A360="","",BASE_CAIXA!N357)</f>
        <v>0</v>
      </c>
      <c r="G360" s="26">
        <f>IF(A360="","",BASE_CAIXA!O357)</f>
        <v>0</v>
      </c>
      <c r="H360" s="26">
        <f>IF(A360="","",BASE_CAIXA!P357)</f>
        <v>0</v>
      </c>
      <c r="I360" s="26" t="str">
        <f>IF(A360="","",IF(BASE_CAIXA!H357&lt;&gt;"",BASE_CAIXA!H357,BASE_CAIXA!G357))</f>
        <v>Revestimento Cerâmico  PEI IV 35 x 35- cor,  (perda 15%) - inclui rodapé</v>
      </c>
      <c r="J360" s="26" t="str">
        <f>IF(A360="","",BASE_CAIXA!G357)</f>
        <v>Revestimento Cerâmico  PEI IV 35 x 35- cor,  (perda 15%) - inclui rodapé</v>
      </c>
      <c r="K360" s="26">
        <f>IF(A360="","",BASE_CAIXA!I357)</f>
        <v>0</v>
      </c>
      <c r="L360" s="26">
        <f>IF(A360="","",BASE_CAIXA!J357)</f>
        <v>0</v>
      </c>
      <c r="M360" s="26" t="str">
        <f>IF(A360="","",BASE_CAIXA!AM357)</f>
        <v>Revestimento Cerâmico  PEI IV 35 x 35- cor,  (perda 15%) - i</v>
      </c>
      <c r="N360" s="26" t="str">
        <f t="shared" ca="1" si="15"/>
        <v>Previsto</v>
      </c>
      <c r="O360" s="13" t="str">
        <f>IFERROR(INDEX(EXTRATO_IMPORTADO!$A$5:$A$404,MATCH(B360,EXTRATO_IMPORTADO!$I$5:$I$404,0)),"")</f>
        <v/>
      </c>
      <c r="P360" s="14" t="str">
        <f>IFERROR(INDEX(EXTRATO_IMPORTADO!$F$5:$F$404,MATCH(B360,EXTRATO_IMPORTADO!$I$5:$I$404,0)),"")</f>
        <v/>
      </c>
      <c r="Q360" s="26" t="str">
        <f>IFERROR(INDEX(EXTRATO_IMPORTADO!$B$5:$B$404,MATCH(B360,EXTRATO_IMPORTADO!$I$5:$I$404,0)),"")</f>
        <v/>
      </c>
      <c r="R360" s="26" t="str">
        <f>IFERROR(MATCH(B360,EXTRATO_IMPORTADO!$I$5:$I$404,0),"")</f>
        <v/>
      </c>
      <c r="S360" s="14" t="str">
        <f t="shared" si="16"/>
        <v/>
      </c>
      <c r="T360" s="33" t="str">
        <f t="shared" si="17"/>
        <v/>
      </c>
    </row>
    <row r="361" spans="1:20" x14ac:dyDescent="0.3">
      <c r="A361" s="26">
        <f>IF(BASE_CAIXA!A358="","",BASE_CAIXA!A358)</f>
        <v>357</v>
      </c>
      <c r="B361" s="26" t="str">
        <f>IF(A361="","",BASE_CAIXA!AL358)</f>
        <v>000357-DB</v>
      </c>
      <c r="C361" s="13">
        <f>IF(A361="","",BASE_CAIXA!AJ358)</f>
        <v>46171</v>
      </c>
      <c r="D361" s="26" t="str">
        <f>IF(A361="","",IF(BASE_CAIXA!C358="Entrada","Crédito","Débito"))</f>
        <v>Débito</v>
      </c>
      <c r="E361" s="14">
        <f>IF(A361="","",BASE_CAIXA!AA358)</f>
        <v>38.400000000000013</v>
      </c>
      <c r="F361" s="26">
        <f>IF(A361="","",BASE_CAIXA!N358)</f>
        <v>0</v>
      </c>
      <c r="G361" s="26">
        <f>IF(A361="","",BASE_CAIXA!O358)</f>
        <v>0</v>
      </c>
      <c r="H361" s="26">
        <f>IF(A361="","",BASE_CAIXA!P358)</f>
        <v>0</v>
      </c>
      <c r="I361" s="26" t="str">
        <f>IF(A361="","",IF(BASE_CAIXA!H358&lt;&gt;"",BASE_CAIXA!H358,BASE_CAIXA!G358))</f>
        <v>Bucha 6 mm para concreto</v>
      </c>
      <c r="J361" s="26" t="str">
        <f>IF(A361="","",BASE_CAIXA!G358)</f>
        <v>Bucha 6 mm para concreto</v>
      </c>
      <c r="K361" s="26">
        <f>IF(A361="","",BASE_CAIXA!I358)</f>
        <v>0</v>
      </c>
      <c r="L361" s="26">
        <f>IF(A361="","",BASE_CAIXA!J358)</f>
        <v>0</v>
      </c>
      <c r="M361" s="26" t="str">
        <f>IF(A361="","",BASE_CAIXA!AM358)</f>
        <v xml:space="preserve">Bucha 6 mm para concreto | Bucha 6 mm para concreto | Saída </v>
      </c>
      <c r="N361" s="26" t="str">
        <f t="shared" ca="1" si="15"/>
        <v>Previsto</v>
      </c>
      <c r="O361" s="13" t="str">
        <f>IFERROR(INDEX(EXTRATO_IMPORTADO!$A$5:$A$404,MATCH(B361,EXTRATO_IMPORTADO!$I$5:$I$404,0)),"")</f>
        <v/>
      </c>
      <c r="P361" s="14" t="str">
        <f>IFERROR(INDEX(EXTRATO_IMPORTADO!$F$5:$F$404,MATCH(B361,EXTRATO_IMPORTADO!$I$5:$I$404,0)),"")</f>
        <v/>
      </c>
      <c r="Q361" s="26" t="str">
        <f>IFERROR(INDEX(EXTRATO_IMPORTADO!$B$5:$B$404,MATCH(B361,EXTRATO_IMPORTADO!$I$5:$I$404,0)),"")</f>
        <v/>
      </c>
      <c r="R361" s="26" t="str">
        <f>IFERROR(MATCH(B361,EXTRATO_IMPORTADO!$I$5:$I$404,0),"")</f>
        <v/>
      </c>
      <c r="S361" s="14" t="str">
        <f t="shared" si="16"/>
        <v/>
      </c>
      <c r="T361" s="33" t="str">
        <f t="shared" si="17"/>
        <v/>
      </c>
    </row>
    <row r="362" spans="1:20" x14ac:dyDescent="0.3">
      <c r="A362" s="26">
        <f>IF(BASE_CAIXA!A359="","",BASE_CAIXA!A359)</f>
        <v>358</v>
      </c>
      <c r="B362" s="26" t="str">
        <f>IF(A362="","",BASE_CAIXA!AL359)</f>
        <v>000358-DB</v>
      </c>
      <c r="C362" s="13">
        <f>IF(A362="","",BASE_CAIXA!AJ359)</f>
        <v>46171</v>
      </c>
      <c r="D362" s="26" t="str">
        <f>IF(A362="","",IF(BASE_CAIXA!C359="Entrada","Crédito","Débito"))</f>
        <v>Débito</v>
      </c>
      <c r="E362" s="14">
        <f>IF(A362="","",BASE_CAIXA!AA359)</f>
        <v>1625.6</v>
      </c>
      <c r="F362" s="26">
        <f>IF(A362="","",BASE_CAIXA!N359)</f>
        <v>0</v>
      </c>
      <c r="G362" s="26">
        <f>IF(A362="","",BASE_CAIXA!O359)</f>
        <v>0</v>
      </c>
      <c r="H362" s="26">
        <f>IF(A362="","",BASE_CAIXA!P359)</f>
        <v>0</v>
      </c>
      <c r="I362" s="26" t="str">
        <f>IF(A362="","",IF(BASE_CAIXA!H359&lt;&gt;"",BASE_CAIXA!H359,BASE_CAIXA!G359))</f>
        <v>Espuma Expansiva de Poliuretano 300ml</v>
      </c>
      <c r="J362" s="26" t="str">
        <f>IF(A362="","",BASE_CAIXA!G359)</f>
        <v>Espuma Expansiva de Poliuretano 300ml</v>
      </c>
      <c r="K362" s="26">
        <f>IF(A362="","",BASE_CAIXA!I359)</f>
        <v>0</v>
      </c>
      <c r="L362" s="26">
        <f>IF(A362="","",BASE_CAIXA!J359)</f>
        <v>0</v>
      </c>
      <c r="M362" s="26" t="str">
        <f>IF(A362="","",BASE_CAIXA!AM359)</f>
        <v xml:space="preserve">Espuma Expansiva de Poliuretano 300ml | Espuma Expansiva de </v>
      </c>
      <c r="N362" s="26" t="str">
        <f t="shared" ca="1" si="15"/>
        <v>Previsto</v>
      </c>
      <c r="O362" s="13" t="str">
        <f>IFERROR(INDEX(EXTRATO_IMPORTADO!$A$5:$A$404,MATCH(B362,EXTRATO_IMPORTADO!$I$5:$I$404,0)),"")</f>
        <v/>
      </c>
      <c r="P362" s="14" t="str">
        <f>IFERROR(INDEX(EXTRATO_IMPORTADO!$F$5:$F$404,MATCH(B362,EXTRATO_IMPORTADO!$I$5:$I$404,0)),"")</f>
        <v/>
      </c>
      <c r="Q362" s="26" t="str">
        <f>IFERROR(INDEX(EXTRATO_IMPORTADO!$B$5:$B$404,MATCH(B362,EXTRATO_IMPORTADO!$I$5:$I$404,0)),"")</f>
        <v/>
      </c>
      <c r="R362" s="26" t="str">
        <f>IFERROR(MATCH(B362,EXTRATO_IMPORTADO!$I$5:$I$404,0),"")</f>
        <v/>
      </c>
      <c r="S362" s="14" t="str">
        <f t="shared" si="16"/>
        <v/>
      </c>
      <c r="T362" s="33" t="str">
        <f t="shared" si="17"/>
        <v/>
      </c>
    </row>
    <row r="363" spans="1:20" x14ac:dyDescent="0.3">
      <c r="A363" s="26">
        <f>IF(BASE_CAIXA!A360="","",BASE_CAIXA!A360)</f>
        <v>359</v>
      </c>
      <c r="B363" s="26" t="str">
        <f>IF(A363="","",BASE_CAIXA!AL360)</f>
        <v>000359-DB</v>
      </c>
      <c r="C363" s="13">
        <f>IF(A363="","",BASE_CAIXA!AJ360)</f>
        <v>46171</v>
      </c>
      <c r="D363" s="26" t="str">
        <f>IF(A363="","",IF(BASE_CAIXA!C360="Entrada","Crédito","Débito"))</f>
        <v>Débito</v>
      </c>
      <c r="E363" s="14">
        <f>IF(A363="","",BASE_CAIXA!AA360)</f>
        <v>286.39999999999998</v>
      </c>
      <c r="F363" s="26">
        <f>IF(A363="","",BASE_CAIXA!N360)</f>
        <v>0</v>
      </c>
      <c r="G363" s="26">
        <f>IF(A363="","",BASE_CAIXA!O360)</f>
        <v>0</v>
      </c>
      <c r="H363" s="26">
        <f>IF(A363="","",BASE_CAIXA!P360)</f>
        <v>0</v>
      </c>
      <c r="I363" s="26" t="str">
        <f>IF(A363="","",IF(BASE_CAIXA!H360&lt;&gt;"",BASE_CAIXA!H360,BASE_CAIXA!G360))</f>
        <v>Fita crepe 48 mm x 50 m</v>
      </c>
      <c r="J363" s="26" t="str">
        <f>IF(A363="","",BASE_CAIXA!G360)</f>
        <v>Fita crepe 48 mm x 50 m</v>
      </c>
      <c r="K363" s="26">
        <f>IF(A363="","",BASE_CAIXA!I360)</f>
        <v>0</v>
      </c>
      <c r="L363" s="26">
        <f>IF(A363="","",BASE_CAIXA!J360)</f>
        <v>0</v>
      </c>
      <c r="M363" s="26" t="str">
        <f>IF(A363="","",BASE_CAIXA!AM360)</f>
        <v xml:space="preserve">Fita crepe 48 mm x 50 m | Fita crepe 48 mm x 50 m | Saída | </v>
      </c>
      <c r="N363" s="26" t="str">
        <f t="shared" ca="1" si="15"/>
        <v>Previsto</v>
      </c>
      <c r="O363" s="13" t="str">
        <f>IFERROR(INDEX(EXTRATO_IMPORTADO!$A$5:$A$404,MATCH(B363,EXTRATO_IMPORTADO!$I$5:$I$404,0)),"")</f>
        <v/>
      </c>
      <c r="P363" s="14" t="str">
        <f>IFERROR(INDEX(EXTRATO_IMPORTADO!$F$5:$F$404,MATCH(B363,EXTRATO_IMPORTADO!$I$5:$I$404,0)),"")</f>
        <v/>
      </c>
      <c r="Q363" s="26" t="str">
        <f>IFERROR(INDEX(EXTRATO_IMPORTADO!$B$5:$B$404,MATCH(B363,EXTRATO_IMPORTADO!$I$5:$I$404,0)),"")</f>
        <v/>
      </c>
      <c r="R363" s="26" t="str">
        <f>IFERROR(MATCH(B363,EXTRATO_IMPORTADO!$I$5:$I$404,0),"")</f>
        <v/>
      </c>
      <c r="S363" s="14" t="str">
        <f t="shared" si="16"/>
        <v/>
      </c>
      <c r="T363" s="33" t="str">
        <f t="shared" si="17"/>
        <v/>
      </c>
    </row>
    <row r="364" spans="1:20" x14ac:dyDescent="0.3">
      <c r="A364" s="26">
        <f>IF(BASE_CAIXA!A361="","",BASE_CAIXA!A361)</f>
        <v>360</v>
      </c>
      <c r="B364" s="26" t="str">
        <f>IF(A364="","",BASE_CAIXA!AL361)</f>
        <v>000360-DB</v>
      </c>
      <c r="C364" s="13">
        <f>IF(A364="","",BASE_CAIXA!AJ361)</f>
        <v>46171</v>
      </c>
      <c r="D364" s="26" t="str">
        <f>IF(A364="","",IF(BASE_CAIXA!C361="Entrada","Crédito","Débito"))</f>
        <v>Débito</v>
      </c>
      <c r="E364" s="14">
        <f>IF(A364="","",BASE_CAIXA!AA361)</f>
        <v>1800.96</v>
      </c>
      <c r="F364" s="26">
        <f>IF(A364="","",BASE_CAIXA!N361)</f>
        <v>0</v>
      </c>
      <c r="G364" s="26">
        <f>IF(A364="","",BASE_CAIXA!O361)</f>
        <v>0</v>
      </c>
      <c r="H364" s="26">
        <f>IF(A364="","",BASE_CAIXA!P361)</f>
        <v>0</v>
      </c>
      <c r="I364" s="26" t="str">
        <f>IF(A364="","",IF(BASE_CAIXA!H361&lt;&gt;"",BASE_CAIXA!H361,BASE_CAIXA!G361))</f>
        <v>Mao de obra terceirizada colocaçao de Portas externa</v>
      </c>
      <c r="J364" s="26" t="str">
        <f>IF(A364="","",BASE_CAIXA!G361)</f>
        <v>Mao de obra terceirizada colocaçao de Portas externa</v>
      </c>
      <c r="K364" s="26">
        <f>IF(A364="","",BASE_CAIXA!I361)</f>
        <v>0</v>
      </c>
      <c r="L364" s="26">
        <f>IF(A364="","",BASE_CAIXA!J361)</f>
        <v>0</v>
      </c>
      <c r="M364" s="26" t="str">
        <f>IF(A364="","",BASE_CAIXA!AM361)</f>
        <v>Mao de obra terceirizada colocaçao de Portas externa | Mao d</v>
      </c>
      <c r="N364" s="26" t="str">
        <f t="shared" ca="1" si="15"/>
        <v>Previsto</v>
      </c>
      <c r="O364" s="13" t="str">
        <f>IFERROR(INDEX(EXTRATO_IMPORTADO!$A$5:$A$404,MATCH(B364,EXTRATO_IMPORTADO!$I$5:$I$404,0)),"")</f>
        <v/>
      </c>
      <c r="P364" s="14" t="str">
        <f>IFERROR(INDEX(EXTRATO_IMPORTADO!$F$5:$F$404,MATCH(B364,EXTRATO_IMPORTADO!$I$5:$I$404,0)),"")</f>
        <v/>
      </c>
      <c r="Q364" s="26" t="str">
        <f>IFERROR(INDEX(EXTRATO_IMPORTADO!$B$5:$B$404,MATCH(B364,EXTRATO_IMPORTADO!$I$5:$I$404,0)),"")</f>
        <v/>
      </c>
      <c r="R364" s="26" t="str">
        <f>IFERROR(MATCH(B364,EXTRATO_IMPORTADO!$I$5:$I$404,0),"")</f>
        <v/>
      </c>
      <c r="S364" s="14" t="str">
        <f t="shared" si="16"/>
        <v/>
      </c>
      <c r="T364" s="33" t="str">
        <f t="shared" si="17"/>
        <v/>
      </c>
    </row>
    <row r="365" spans="1:20" x14ac:dyDescent="0.3">
      <c r="A365" s="26">
        <f>IF(BASE_CAIXA!A362="","",BASE_CAIXA!A362)</f>
        <v>361</v>
      </c>
      <c r="B365" s="26" t="str">
        <f>IF(A365="","",BASE_CAIXA!AL362)</f>
        <v>000361-DB</v>
      </c>
      <c r="C365" s="13">
        <f>IF(A365="","",BASE_CAIXA!AJ362)</f>
        <v>46171</v>
      </c>
      <c r="D365" s="26" t="str">
        <f>IF(A365="","",IF(BASE_CAIXA!C362="Entrada","Crédito","Débito"))</f>
        <v>Débito</v>
      </c>
      <c r="E365" s="14">
        <f>IF(A365="","",BASE_CAIXA!AA362)</f>
        <v>33371.136000000013</v>
      </c>
      <c r="F365" s="26">
        <f>IF(A365="","",BASE_CAIXA!N362)</f>
        <v>0</v>
      </c>
      <c r="G365" s="26">
        <f>IF(A365="","",BASE_CAIXA!O362)</f>
        <v>0</v>
      </c>
      <c r="H365" s="26">
        <f>IF(A365="","",BASE_CAIXA!P362)</f>
        <v>0</v>
      </c>
      <c r="I365" s="26" t="str">
        <f>IF(A365="","",IF(BASE_CAIXA!H362&lt;&gt;"",BASE_CAIXA!H362,BASE_CAIXA!G362))</f>
        <v>PORTA LAMINADA AL.BCO SOFT (37MM) ESQUERDA. 215X120</v>
      </c>
      <c r="J365" s="26" t="str">
        <f>IF(A365="","",BASE_CAIXA!G362)</f>
        <v>PORTA LAMINADA AL.BCO SOFT (37MM) ESQUERDA. 215X120</v>
      </c>
      <c r="K365" s="26">
        <f>IF(A365="","",BASE_CAIXA!I362)</f>
        <v>0</v>
      </c>
      <c r="L365" s="26">
        <f>IF(A365="","",BASE_CAIXA!J362)</f>
        <v>0</v>
      </c>
      <c r="M365" s="26" t="str">
        <f>IF(A365="","",BASE_CAIXA!AM362)</f>
        <v xml:space="preserve">PORTA LAMINADA AL.BCO SOFT (37MM) ESQUERDA. 215X120 | PORTA </v>
      </c>
      <c r="N365" s="26" t="str">
        <f t="shared" ca="1" si="15"/>
        <v>Previsto</v>
      </c>
      <c r="O365" s="13" t="str">
        <f>IFERROR(INDEX(EXTRATO_IMPORTADO!$A$5:$A$404,MATCH(B365,EXTRATO_IMPORTADO!$I$5:$I$404,0)),"")</f>
        <v/>
      </c>
      <c r="P365" s="14" t="str">
        <f>IFERROR(INDEX(EXTRATO_IMPORTADO!$F$5:$F$404,MATCH(B365,EXTRATO_IMPORTADO!$I$5:$I$404,0)),"")</f>
        <v/>
      </c>
      <c r="Q365" s="26" t="str">
        <f>IFERROR(INDEX(EXTRATO_IMPORTADO!$B$5:$B$404,MATCH(B365,EXTRATO_IMPORTADO!$I$5:$I$404,0)),"")</f>
        <v/>
      </c>
      <c r="R365" s="26" t="str">
        <f>IFERROR(MATCH(B365,EXTRATO_IMPORTADO!$I$5:$I$404,0),"")</f>
        <v/>
      </c>
      <c r="S365" s="14" t="str">
        <f t="shared" si="16"/>
        <v/>
      </c>
      <c r="T365" s="33" t="str">
        <f t="shared" si="17"/>
        <v/>
      </c>
    </row>
    <row r="366" spans="1:20" x14ac:dyDescent="0.3">
      <c r="A366" s="26">
        <f>IF(BASE_CAIXA!A363="","",BASE_CAIXA!A363)</f>
        <v>362</v>
      </c>
      <c r="B366" s="26" t="str">
        <f>IF(A366="","",BASE_CAIXA!AL363)</f>
        <v>000362-DB</v>
      </c>
      <c r="C366" s="13">
        <f>IF(A366="","",BASE_CAIXA!AJ363)</f>
        <v>46171</v>
      </c>
      <c r="D366" s="26" t="str">
        <f>IF(A366="","",IF(BASE_CAIXA!C363="Entrada","Crédito","Débito"))</f>
        <v>Débito</v>
      </c>
      <c r="E366" s="14">
        <f>IF(A366="","",BASE_CAIXA!AA363)</f>
        <v>13395.0208</v>
      </c>
      <c r="F366" s="26">
        <f>IF(A366="","",BASE_CAIXA!N363)</f>
        <v>0</v>
      </c>
      <c r="G366" s="26">
        <f>IF(A366="","",BASE_CAIXA!O363)</f>
        <v>0</v>
      </c>
      <c r="H366" s="26">
        <f>IF(A366="","",BASE_CAIXA!P363)</f>
        <v>0</v>
      </c>
      <c r="I366" s="26" t="str">
        <f>IF(A366="","",IF(BASE_CAIXA!H363&lt;&gt;"",BASE_CAIXA!H363,BASE_CAIXA!G363))</f>
        <v>PORTA LAMINADA AL.BCO SOFT(37MM) DIR. 215X94</v>
      </c>
      <c r="J366" s="26" t="str">
        <f>IF(A366="","",BASE_CAIXA!G363)</f>
        <v>PORTA LAMINADA AL.BCO SOFT(37MM) DIR. 215X94</v>
      </c>
      <c r="K366" s="26">
        <f>IF(A366="","",BASE_CAIXA!I363)</f>
        <v>0</v>
      </c>
      <c r="L366" s="26">
        <f>IF(A366="","",BASE_CAIXA!J363)</f>
        <v>0</v>
      </c>
      <c r="M366" s="26" t="str">
        <f>IF(A366="","",BASE_CAIXA!AM363)</f>
        <v>PORTA LAMINADA AL.BCO SOFT(37MM) DIR. 215X94 | PORTA LAMINAD</v>
      </c>
      <c r="N366" s="26" t="str">
        <f t="shared" ca="1" si="15"/>
        <v>Previsto</v>
      </c>
      <c r="O366" s="13" t="str">
        <f>IFERROR(INDEX(EXTRATO_IMPORTADO!$A$5:$A$404,MATCH(B366,EXTRATO_IMPORTADO!$I$5:$I$404,0)),"")</f>
        <v/>
      </c>
      <c r="P366" s="14" t="str">
        <f>IFERROR(INDEX(EXTRATO_IMPORTADO!$F$5:$F$404,MATCH(B366,EXTRATO_IMPORTADO!$I$5:$I$404,0)),"")</f>
        <v/>
      </c>
      <c r="Q366" s="26" t="str">
        <f>IFERROR(INDEX(EXTRATO_IMPORTADO!$B$5:$B$404,MATCH(B366,EXTRATO_IMPORTADO!$I$5:$I$404,0)),"")</f>
        <v/>
      </c>
      <c r="R366" s="26" t="str">
        <f>IFERROR(MATCH(B366,EXTRATO_IMPORTADO!$I$5:$I$404,0),"")</f>
        <v/>
      </c>
      <c r="S366" s="14" t="str">
        <f t="shared" si="16"/>
        <v/>
      </c>
      <c r="T366" s="33" t="str">
        <f t="shared" si="17"/>
        <v/>
      </c>
    </row>
    <row r="367" spans="1:20" x14ac:dyDescent="0.3">
      <c r="A367" s="26">
        <f>IF(BASE_CAIXA!A364="","",BASE_CAIXA!A364)</f>
        <v>363</v>
      </c>
      <c r="B367" s="26" t="str">
        <f>IF(A367="","",BASE_CAIXA!AL364)</f>
        <v>000363-DB</v>
      </c>
      <c r="C367" s="13">
        <f>IF(A367="","",BASE_CAIXA!AJ364)</f>
        <v>46171</v>
      </c>
      <c r="D367" s="26" t="str">
        <f>IF(A367="","",IF(BASE_CAIXA!C364="Entrada","Crédito","Débito"))</f>
        <v>Débito</v>
      </c>
      <c r="E367" s="14">
        <f>IF(A367="","",BASE_CAIXA!AA364)</f>
        <v>124.8</v>
      </c>
      <c r="F367" s="26">
        <f>IF(A367="","",BASE_CAIXA!N364)</f>
        <v>0</v>
      </c>
      <c r="G367" s="26">
        <f>IF(A367="","",BASE_CAIXA!O364)</f>
        <v>0</v>
      </c>
      <c r="H367" s="26">
        <f>IF(A367="","",BASE_CAIXA!P364)</f>
        <v>0</v>
      </c>
      <c r="I367" s="26" t="str">
        <f>IF(A367="","",IF(BASE_CAIXA!H364&lt;&gt;"",BASE_CAIXA!H364,BASE_CAIXA!G364))</f>
        <v>Parafuso panela fenda/phillips 4,8 x 50 mm - INOX</v>
      </c>
      <c r="J367" s="26" t="str">
        <f>IF(A367="","",BASE_CAIXA!G364)</f>
        <v>Parafuso panela fenda/phillips 4,8 x 50 mm - INOX</v>
      </c>
      <c r="K367" s="26">
        <f>IF(A367="","",BASE_CAIXA!I364)</f>
        <v>0</v>
      </c>
      <c r="L367" s="26">
        <f>IF(A367="","",BASE_CAIXA!J364)</f>
        <v>0</v>
      </c>
      <c r="M367" s="26" t="str">
        <f>IF(A367="","",BASE_CAIXA!AM364)</f>
        <v>Parafuso panela fenda/phillips 4,8 x 50 mm - INOX | Parafuso</v>
      </c>
      <c r="N367" s="26" t="str">
        <f t="shared" ca="1" si="15"/>
        <v>Previsto</v>
      </c>
      <c r="O367" s="13" t="str">
        <f>IFERROR(INDEX(EXTRATO_IMPORTADO!$A$5:$A$404,MATCH(B367,EXTRATO_IMPORTADO!$I$5:$I$404,0)),"")</f>
        <v/>
      </c>
      <c r="P367" s="14" t="str">
        <f>IFERROR(INDEX(EXTRATO_IMPORTADO!$F$5:$F$404,MATCH(B367,EXTRATO_IMPORTADO!$I$5:$I$404,0)),"")</f>
        <v/>
      </c>
      <c r="Q367" s="26" t="str">
        <f>IFERROR(INDEX(EXTRATO_IMPORTADO!$B$5:$B$404,MATCH(B367,EXTRATO_IMPORTADO!$I$5:$I$404,0)),"")</f>
        <v/>
      </c>
      <c r="R367" s="26" t="str">
        <f>IFERROR(MATCH(B367,EXTRATO_IMPORTADO!$I$5:$I$404,0),"")</f>
        <v/>
      </c>
      <c r="S367" s="14" t="str">
        <f t="shared" si="16"/>
        <v/>
      </c>
      <c r="T367" s="33" t="str">
        <f t="shared" si="17"/>
        <v/>
      </c>
    </row>
    <row r="368" spans="1:20" x14ac:dyDescent="0.3">
      <c r="A368" s="26">
        <f>IF(BASE_CAIXA!A365="","",BASE_CAIXA!A365)</f>
        <v>364</v>
      </c>
      <c r="B368" s="26" t="str">
        <f>IF(A368="","",BASE_CAIXA!AL365)</f>
        <v>000364-DB</v>
      </c>
      <c r="C368" s="13">
        <f>IF(A368="","",BASE_CAIXA!AJ365)</f>
        <v>46171</v>
      </c>
      <c r="D368" s="26" t="str">
        <f>IF(A368="","",IF(BASE_CAIXA!C365="Entrada","Crédito","Débito"))</f>
        <v>Débito</v>
      </c>
      <c r="E368" s="14">
        <f>IF(A368="","",BASE_CAIXA!AA365)</f>
        <v>480</v>
      </c>
      <c r="F368" s="26">
        <f>IF(A368="","",BASE_CAIXA!N365)</f>
        <v>0</v>
      </c>
      <c r="G368" s="26">
        <f>IF(A368="","",BASE_CAIXA!O365)</f>
        <v>0</v>
      </c>
      <c r="H368" s="26">
        <f>IF(A368="","",BASE_CAIXA!P365)</f>
        <v>0</v>
      </c>
      <c r="I368" s="26" t="str">
        <f>IF(A368="","",IF(BASE_CAIXA!H365&lt;&gt;"",BASE_CAIXA!H365,BASE_CAIXA!G365))</f>
        <v>Selante acrilico c / 390 g - TECKBOND</v>
      </c>
      <c r="J368" s="26" t="str">
        <f>IF(A368="","",BASE_CAIXA!G365)</f>
        <v>Selante acrilico c / 390 g - TECKBOND</v>
      </c>
      <c r="K368" s="26">
        <f>IF(A368="","",BASE_CAIXA!I365)</f>
        <v>0</v>
      </c>
      <c r="L368" s="26">
        <f>IF(A368="","",BASE_CAIXA!J365)</f>
        <v>0</v>
      </c>
      <c r="M368" s="26" t="str">
        <f>IF(A368="","",BASE_CAIXA!AM365)</f>
        <v>Selante acrilico c / 390 g - TECKBOND | Selante acrilico c /</v>
      </c>
      <c r="N368" s="26" t="str">
        <f t="shared" ca="1" si="15"/>
        <v>Previsto</v>
      </c>
      <c r="O368" s="13" t="str">
        <f>IFERROR(INDEX(EXTRATO_IMPORTADO!$A$5:$A$404,MATCH(B368,EXTRATO_IMPORTADO!$I$5:$I$404,0)),"")</f>
        <v/>
      </c>
      <c r="P368" s="14" t="str">
        <f>IFERROR(INDEX(EXTRATO_IMPORTADO!$F$5:$F$404,MATCH(B368,EXTRATO_IMPORTADO!$I$5:$I$404,0)),"")</f>
        <v/>
      </c>
      <c r="Q368" s="26" t="str">
        <f>IFERROR(INDEX(EXTRATO_IMPORTADO!$B$5:$B$404,MATCH(B368,EXTRATO_IMPORTADO!$I$5:$I$404,0)),"")</f>
        <v/>
      </c>
      <c r="R368" s="26" t="str">
        <f>IFERROR(MATCH(B368,EXTRATO_IMPORTADO!$I$5:$I$404,0),"")</f>
        <v/>
      </c>
      <c r="S368" s="14" t="str">
        <f t="shared" si="16"/>
        <v/>
      </c>
      <c r="T368" s="33" t="str">
        <f t="shared" si="17"/>
        <v/>
      </c>
    </row>
    <row r="369" spans="1:20" x14ac:dyDescent="0.3">
      <c r="A369" s="26">
        <f>IF(BASE_CAIXA!A366="","",BASE_CAIXA!A366)</f>
        <v>365</v>
      </c>
      <c r="B369" s="26" t="str">
        <f>IF(A369="","",BASE_CAIXA!AL366)</f>
        <v>000365-DB</v>
      </c>
      <c r="C369" s="13">
        <f>IF(A369="","",BASE_CAIXA!AJ366)</f>
        <v>46171</v>
      </c>
      <c r="D369" s="26" t="str">
        <f>IF(A369="","",IF(BASE_CAIXA!C366="Entrada","Crédito","Débito"))</f>
        <v>Débito</v>
      </c>
      <c r="E369" s="14">
        <f>IF(A369="","",BASE_CAIXA!AA366)</f>
        <v>4000</v>
      </c>
      <c r="F369" s="26">
        <f>IF(A369="","",BASE_CAIXA!N366)</f>
        <v>0</v>
      </c>
      <c r="G369" s="26">
        <f>IF(A369="","",BASE_CAIXA!O366)</f>
        <v>0</v>
      </c>
      <c r="H369" s="26">
        <f>IF(A369="","",BASE_CAIXA!P366)</f>
        <v>0</v>
      </c>
      <c r="I369" s="26" t="str">
        <f>IF(A369="","",IF(BASE_CAIXA!H366&lt;&gt;"",BASE_CAIXA!H366,BASE_CAIXA!G366))</f>
        <v>ESPUMA EXPANSIVA DE POLIURETANO - 500 ML</v>
      </c>
      <c r="J369" s="26" t="str">
        <f>IF(A369="","",BASE_CAIXA!G366)</f>
        <v>ESPUMA EXPANSIVA DE POLIURETANO - 500 ML</v>
      </c>
      <c r="K369" s="26">
        <f>IF(A369="","",BASE_CAIXA!I366)</f>
        <v>0</v>
      </c>
      <c r="L369" s="26">
        <f>IF(A369="","",BASE_CAIXA!J366)</f>
        <v>0</v>
      </c>
      <c r="M369" s="26" t="str">
        <f>IF(A369="","",BASE_CAIXA!AM366)</f>
        <v xml:space="preserve">ESPUMA EXPANSIVA DE POLIURETANO - 500 ML | ESPUMA EXPANSIVA </v>
      </c>
      <c r="N369" s="26" t="str">
        <f t="shared" ca="1" si="15"/>
        <v>Previsto</v>
      </c>
      <c r="O369" s="13" t="str">
        <f>IFERROR(INDEX(EXTRATO_IMPORTADO!$A$5:$A$404,MATCH(B369,EXTRATO_IMPORTADO!$I$5:$I$404,0)),"")</f>
        <v/>
      </c>
      <c r="P369" s="14" t="str">
        <f>IFERROR(INDEX(EXTRATO_IMPORTADO!$F$5:$F$404,MATCH(B369,EXTRATO_IMPORTADO!$I$5:$I$404,0)),"")</f>
        <v/>
      </c>
      <c r="Q369" s="26" t="str">
        <f>IFERROR(INDEX(EXTRATO_IMPORTADO!$B$5:$B$404,MATCH(B369,EXTRATO_IMPORTADO!$I$5:$I$404,0)),"")</f>
        <v/>
      </c>
      <c r="R369" s="26" t="str">
        <f>IFERROR(MATCH(B369,EXTRATO_IMPORTADO!$I$5:$I$404,0),"")</f>
        <v/>
      </c>
      <c r="S369" s="14" t="str">
        <f t="shared" si="16"/>
        <v/>
      </c>
      <c r="T369" s="33" t="str">
        <f t="shared" si="17"/>
        <v/>
      </c>
    </row>
    <row r="370" spans="1:20" x14ac:dyDescent="0.3">
      <c r="A370" s="26">
        <f>IF(BASE_CAIXA!A367="","",BASE_CAIXA!A367)</f>
        <v>366</v>
      </c>
      <c r="B370" s="26" t="str">
        <f>IF(A370="","",BASE_CAIXA!AL367)</f>
        <v>000366-DB</v>
      </c>
      <c r="C370" s="13">
        <f>IF(A370="","",BASE_CAIXA!AJ367)</f>
        <v>46171</v>
      </c>
      <c r="D370" s="26" t="str">
        <f>IF(A370="","",IF(BASE_CAIXA!C367="Entrada","Crédito","Débito"))</f>
        <v>Débito</v>
      </c>
      <c r="E370" s="14">
        <f>IF(A370="","",BASE_CAIXA!AA367)</f>
        <v>2701.44</v>
      </c>
      <c r="F370" s="26">
        <f>IF(A370="","",BASE_CAIXA!N367)</f>
        <v>0</v>
      </c>
      <c r="G370" s="26">
        <f>IF(A370="","",BASE_CAIXA!O367)</f>
        <v>0</v>
      </c>
      <c r="H370" s="26">
        <f>IF(A370="","",BASE_CAIXA!P367)</f>
        <v>0</v>
      </c>
      <c r="I370" s="26" t="str">
        <f>IF(A370="","",IF(BASE_CAIXA!H367&lt;&gt;"",BASE_CAIXA!H367,BASE_CAIXA!G367))</f>
        <v>Mao de obra terceirizada colocaçao de Portas interna</v>
      </c>
      <c r="J370" s="26" t="str">
        <f>IF(A370="","",BASE_CAIXA!G367)</f>
        <v>Mao de obra terceirizada colocaçao de Portas interna</v>
      </c>
      <c r="K370" s="26">
        <f>IF(A370="","",BASE_CAIXA!I367)</f>
        <v>0</v>
      </c>
      <c r="L370" s="26">
        <f>IF(A370="","",BASE_CAIXA!J367)</f>
        <v>0</v>
      </c>
      <c r="M370" s="26" t="str">
        <f>IF(A370="","",BASE_CAIXA!AM367)</f>
        <v>Mao de obra terceirizada colocaçao de Portas interna | Mao d</v>
      </c>
      <c r="N370" s="26" t="str">
        <f t="shared" ca="1" si="15"/>
        <v>Previsto</v>
      </c>
      <c r="O370" s="13" t="str">
        <f>IFERROR(INDEX(EXTRATO_IMPORTADO!$A$5:$A$404,MATCH(B370,EXTRATO_IMPORTADO!$I$5:$I$404,0)),"")</f>
        <v/>
      </c>
      <c r="P370" s="14" t="str">
        <f>IFERROR(INDEX(EXTRATO_IMPORTADO!$F$5:$F$404,MATCH(B370,EXTRATO_IMPORTADO!$I$5:$I$404,0)),"")</f>
        <v/>
      </c>
      <c r="Q370" s="26" t="str">
        <f>IFERROR(INDEX(EXTRATO_IMPORTADO!$B$5:$B$404,MATCH(B370,EXTRATO_IMPORTADO!$I$5:$I$404,0)),"")</f>
        <v/>
      </c>
      <c r="R370" s="26" t="str">
        <f>IFERROR(MATCH(B370,EXTRATO_IMPORTADO!$I$5:$I$404,0),"")</f>
        <v/>
      </c>
      <c r="S370" s="14" t="str">
        <f t="shared" si="16"/>
        <v/>
      </c>
      <c r="T370" s="33" t="str">
        <f t="shared" si="17"/>
        <v/>
      </c>
    </row>
    <row r="371" spans="1:20" x14ac:dyDescent="0.3">
      <c r="A371" s="26">
        <f>IF(BASE_CAIXA!A368="","",BASE_CAIXA!A368)</f>
        <v>367</v>
      </c>
      <c r="B371" s="26" t="str">
        <f>IF(A371="","",BASE_CAIXA!AL368)</f>
        <v>000367-DB</v>
      </c>
      <c r="C371" s="13">
        <f>IF(A371="","",BASE_CAIXA!AJ368)</f>
        <v>46171</v>
      </c>
      <c r="D371" s="26" t="str">
        <f>IF(A371="","",IF(BASE_CAIXA!C368="Entrada","Crédito","Débito"))</f>
        <v>Débito</v>
      </c>
      <c r="E371" s="14">
        <f>IF(A371="","",BASE_CAIXA!AA368)</f>
        <v>25920</v>
      </c>
      <c r="F371" s="26">
        <f>IF(A371="","",BASE_CAIXA!N368)</f>
        <v>0</v>
      </c>
      <c r="G371" s="26">
        <f>IF(A371="","",BASE_CAIXA!O368)</f>
        <v>0</v>
      </c>
      <c r="H371" s="26">
        <f>IF(A371="","",BASE_CAIXA!P368)</f>
        <v>0</v>
      </c>
      <c r="I371" s="26" t="str">
        <f>IF(A371="","",IF(BASE_CAIXA!H368&lt;&gt;"",BASE_CAIXA!H368,BASE_CAIXA!G368))</f>
        <v>PORTA EM MADEIRA PINUS SECA EM ESTUFA P/ USO INTERNO  INCLUSO
DOBRADIÇA E FECHADURA SOPRANO</v>
      </c>
      <c r="J371" s="26" t="str">
        <f>IF(A371="","",BASE_CAIXA!G368)</f>
        <v>PORTA EM MADEIRA PINUS SECA EM ESTUFA P/ USO INTERNO  INCLUSO
DOBRADIÇA E FECHADURA SOPRANO</v>
      </c>
      <c r="K371" s="26">
        <f>IF(A371="","",BASE_CAIXA!I368)</f>
        <v>0</v>
      </c>
      <c r="L371" s="26">
        <f>IF(A371="","",BASE_CAIXA!J368)</f>
        <v>0</v>
      </c>
      <c r="M371" s="26" t="str">
        <f>IF(A371="","",BASE_CAIXA!AM368)</f>
        <v>PORTA EM MADEIRA PINUS SECA EM ESTUFA P/ USO INTERNO  INCLUS</v>
      </c>
      <c r="N371" s="26" t="str">
        <f t="shared" ca="1" si="15"/>
        <v>Previsto</v>
      </c>
      <c r="O371" s="13" t="str">
        <f>IFERROR(INDEX(EXTRATO_IMPORTADO!$A$5:$A$404,MATCH(B371,EXTRATO_IMPORTADO!$I$5:$I$404,0)),"")</f>
        <v/>
      </c>
      <c r="P371" s="14" t="str">
        <f>IFERROR(INDEX(EXTRATO_IMPORTADO!$F$5:$F$404,MATCH(B371,EXTRATO_IMPORTADO!$I$5:$I$404,0)),"")</f>
        <v/>
      </c>
      <c r="Q371" s="26" t="str">
        <f>IFERROR(INDEX(EXTRATO_IMPORTADO!$B$5:$B$404,MATCH(B371,EXTRATO_IMPORTADO!$I$5:$I$404,0)),"")</f>
        <v/>
      </c>
      <c r="R371" s="26" t="str">
        <f>IFERROR(MATCH(B371,EXTRATO_IMPORTADO!$I$5:$I$404,0),"")</f>
        <v/>
      </c>
      <c r="S371" s="14" t="str">
        <f t="shared" si="16"/>
        <v/>
      </c>
      <c r="T371" s="33" t="str">
        <f t="shared" si="17"/>
        <v/>
      </c>
    </row>
    <row r="372" spans="1:20" x14ac:dyDescent="0.3">
      <c r="A372" s="26">
        <f>IF(BASE_CAIXA!A369="","",BASE_CAIXA!A369)</f>
        <v>368</v>
      </c>
      <c r="B372" s="26" t="str">
        <f>IF(A372="","",BASE_CAIXA!AL369)</f>
        <v>000368-DB</v>
      </c>
      <c r="C372" s="13">
        <f>IF(A372="","",BASE_CAIXA!AJ369)</f>
        <v>46171</v>
      </c>
      <c r="D372" s="26" t="str">
        <f>IF(A372="","",IF(BASE_CAIXA!C369="Entrada","Crédito","Débito"))</f>
        <v>Débito</v>
      </c>
      <c r="E372" s="14">
        <f>IF(A372="","",BASE_CAIXA!AA369)</f>
        <v>39621.120000000003</v>
      </c>
      <c r="F372" s="26">
        <f>IF(A372="","",BASE_CAIXA!N369)</f>
        <v>0</v>
      </c>
      <c r="G372" s="26">
        <f>IF(A372="","",BASE_CAIXA!O369)</f>
        <v>0</v>
      </c>
      <c r="H372" s="26">
        <f>IF(A372="","",BASE_CAIXA!P369)</f>
        <v>0</v>
      </c>
      <c r="I372" s="26" t="str">
        <f>IF(A372="","",IF(BASE_CAIXA!H369&lt;&gt;"",BASE_CAIXA!H369,BASE_CAIXA!G369))</f>
        <v>Aço - Tela Q-138 - 5.0 c/10 -  (245 x 600 cm) (frete de 300 + ipi de 133 incluido</v>
      </c>
      <c r="J372" s="26" t="str">
        <f>IF(A372="","",BASE_CAIXA!G369)</f>
        <v>Aço - Tela Q-138 - 5.0 c/10 -  (245 x 600 cm) (frete de 300 + ipi de 133 incluido</v>
      </c>
      <c r="K372" s="26">
        <f>IF(A372="","",BASE_CAIXA!I369)</f>
        <v>0</v>
      </c>
      <c r="L372" s="26">
        <f>IF(A372="","",BASE_CAIXA!J369)</f>
        <v>0</v>
      </c>
      <c r="M372" s="26" t="str">
        <f>IF(A372="","",BASE_CAIXA!AM369)</f>
        <v xml:space="preserve">Aço - Tela Q-138 - 5.0 c/10 -  (245 x 600 cm) (frete de 300 </v>
      </c>
      <c r="N372" s="26" t="str">
        <f t="shared" ca="1" si="15"/>
        <v>Previsto</v>
      </c>
      <c r="O372" s="13" t="str">
        <f>IFERROR(INDEX(EXTRATO_IMPORTADO!$A$5:$A$404,MATCH(B372,EXTRATO_IMPORTADO!$I$5:$I$404,0)),"")</f>
        <v/>
      </c>
      <c r="P372" s="14" t="str">
        <f>IFERROR(INDEX(EXTRATO_IMPORTADO!$F$5:$F$404,MATCH(B372,EXTRATO_IMPORTADO!$I$5:$I$404,0)),"")</f>
        <v/>
      </c>
      <c r="Q372" s="26" t="str">
        <f>IFERROR(INDEX(EXTRATO_IMPORTADO!$B$5:$B$404,MATCH(B372,EXTRATO_IMPORTADO!$I$5:$I$404,0)),"")</f>
        <v/>
      </c>
      <c r="R372" s="26" t="str">
        <f>IFERROR(MATCH(B372,EXTRATO_IMPORTADO!$I$5:$I$404,0),"")</f>
        <v/>
      </c>
      <c r="S372" s="14" t="str">
        <f t="shared" si="16"/>
        <v/>
      </c>
      <c r="T372" s="33" t="str">
        <f t="shared" si="17"/>
        <v/>
      </c>
    </row>
    <row r="373" spans="1:20" x14ac:dyDescent="0.3">
      <c r="A373" s="26">
        <f>IF(BASE_CAIXA!A370="","",BASE_CAIXA!A370)</f>
        <v>369</v>
      </c>
      <c r="B373" s="26" t="str">
        <f>IF(A373="","",BASE_CAIXA!AL370)</f>
        <v>000369-DB</v>
      </c>
      <c r="C373" s="13">
        <f>IF(A373="","",BASE_CAIXA!AJ370)</f>
        <v>46171</v>
      </c>
      <c r="D373" s="26" t="str">
        <f>IF(A373="","",IF(BASE_CAIXA!C370="Entrada","Crédito","Débito"))</f>
        <v>Débito</v>
      </c>
      <c r="E373" s="14">
        <f>IF(A373="","",BASE_CAIXA!AA370)</f>
        <v>57600</v>
      </c>
      <c r="F373" s="26">
        <f>IF(A373="","",BASE_CAIXA!N370)</f>
        <v>0</v>
      </c>
      <c r="G373" s="26">
        <f>IF(A373="","",BASE_CAIXA!O370)</f>
        <v>0</v>
      </c>
      <c r="H373" s="26">
        <f>IF(A373="","",BASE_CAIXA!P370)</f>
        <v>0</v>
      </c>
      <c r="I373" s="26" t="str">
        <f>IF(A373="","",IF(BASE_CAIXA!H370&lt;&gt;"",BASE_CAIXA!H370,BASE_CAIXA!G370))</f>
        <v>Rufos e calhas</v>
      </c>
      <c r="J373" s="26" t="str">
        <f>IF(A373="","",BASE_CAIXA!G370)</f>
        <v>Rufos e calhas</v>
      </c>
      <c r="K373" s="26">
        <f>IF(A373="","",BASE_CAIXA!I370)</f>
        <v>0</v>
      </c>
      <c r="L373" s="26">
        <f>IF(A373="","",BASE_CAIXA!J370)</f>
        <v>0</v>
      </c>
      <c r="M373" s="26" t="str">
        <f>IF(A373="","",BASE_CAIXA!AM370)</f>
        <v>Rufos e calhas | Rufos e calhas | Saída | RUFOS</v>
      </c>
      <c r="N373" s="26" t="str">
        <f t="shared" ca="1" si="15"/>
        <v>Previsto</v>
      </c>
      <c r="O373" s="13" t="str">
        <f>IFERROR(INDEX(EXTRATO_IMPORTADO!$A$5:$A$404,MATCH(B373,EXTRATO_IMPORTADO!$I$5:$I$404,0)),"")</f>
        <v/>
      </c>
      <c r="P373" s="14" t="str">
        <f>IFERROR(INDEX(EXTRATO_IMPORTADO!$F$5:$F$404,MATCH(B373,EXTRATO_IMPORTADO!$I$5:$I$404,0)),"")</f>
        <v/>
      </c>
      <c r="Q373" s="26" t="str">
        <f>IFERROR(INDEX(EXTRATO_IMPORTADO!$B$5:$B$404,MATCH(B373,EXTRATO_IMPORTADO!$I$5:$I$404,0)),"")</f>
        <v/>
      </c>
      <c r="R373" s="26" t="str">
        <f>IFERROR(MATCH(B373,EXTRATO_IMPORTADO!$I$5:$I$404,0),"")</f>
        <v/>
      </c>
      <c r="S373" s="14" t="str">
        <f t="shared" si="16"/>
        <v/>
      </c>
      <c r="T373" s="33" t="str">
        <f t="shared" si="17"/>
        <v/>
      </c>
    </row>
    <row r="374" spans="1:20" x14ac:dyDescent="0.3">
      <c r="A374" s="26">
        <f>IF(BASE_CAIXA!A371="","",BASE_CAIXA!A371)</f>
        <v>370</v>
      </c>
      <c r="B374" s="26" t="str">
        <f>IF(A374="","",BASE_CAIXA!AL371)</f>
        <v>000370-DB</v>
      </c>
      <c r="C374" s="13">
        <f>IF(A374="","",BASE_CAIXA!AJ371)</f>
        <v>46171</v>
      </c>
      <c r="D374" s="26" t="str">
        <f>IF(A374="","",IF(BASE_CAIXA!C371="Entrada","Crédito","Débito"))</f>
        <v>Débito</v>
      </c>
      <c r="E374" s="14">
        <f>IF(A374="","",BASE_CAIXA!AA371)</f>
        <v>1086725.894254111</v>
      </c>
      <c r="F374" s="26">
        <f>IF(A374="","",BASE_CAIXA!N371)</f>
        <v>0</v>
      </c>
      <c r="G374" s="26">
        <f>IF(A374="","",BASE_CAIXA!O371)</f>
        <v>0</v>
      </c>
      <c r="H374" s="26">
        <f>IF(A374="","",BASE_CAIXA!P371)</f>
        <v>0</v>
      </c>
      <c r="I374" s="26" t="str">
        <f>IF(A374="","",IF(BASE_CAIXA!H371&lt;&gt;"",BASE_CAIXA!H371,BASE_CAIXA!G371))</f>
        <v>TOTALIZADOR CUSTO GLOBAIS OBRAS - MENSAL</v>
      </c>
      <c r="J374" s="26" t="str">
        <f>IF(A374="","",BASE_CAIXA!G371)</f>
        <v>TOTALIZADOR CUSTO GLOBAIS OBRAS - MENSAL</v>
      </c>
      <c r="K374" s="26">
        <f>IF(A374="","",BASE_CAIXA!I371)</f>
        <v>0</v>
      </c>
      <c r="L374" s="26">
        <f>IF(A374="","",BASE_CAIXA!J371)</f>
        <v>0</v>
      </c>
      <c r="M374" s="26" t="str">
        <f>IF(A374="","",BASE_CAIXA!AM371)</f>
        <v>TOTALIZADOR CUSTO GLOBAIS OBRAS - MENSAL | TOTALIZADOR CUSTO</v>
      </c>
      <c r="N374" s="26" t="str">
        <f t="shared" ca="1" si="15"/>
        <v>Previsto</v>
      </c>
      <c r="O374" s="13" t="str">
        <f>IFERROR(INDEX(EXTRATO_IMPORTADO!$A$5:$A$404,MATCH(B374,EXTRATO_IMPORTADO!$I$5:$I$404,0)),"")</f>
        <v/>
      </c>
      <c r="P374" s="14" t="str">
        <f>IFERROR(INDEX(EXTRATO_IMPORTADO!$F$5:$F$404,MATCH(B374,EXTRATO_IMPORTADO!$I$5:$I$404,0)),"")</f>
        <v/>
      </c>
      <c r="Q374" s="26" t="str">
        <f>IFERROR(INDEX(EXTRATO_IMPORTADO!$B$5:$B$404,MATCH(B374,EXTRATO_IMPORTADO!$I$5:$I$404,0)),"")</f>
        <v/>
      </c>
      <c r="R374" s="26" t="str">
        <f>IFERROR(MATCH(B374,EXTRATO_IMPORTADO!$I$5:$I$404,0),"")</f>
        <v/>
      </c>
      <c r="S374" s="14" t="str">
        <f t="shared" si="16"/>
        <v/>
      </c>
      <c r="T374" s="33" t="str">
        <f t="shared" si="17"/>
        <v/>
      </c>
    </row>
    <row r="375" spans="1:20" x14ac:dyDescent="0.3">
      <c r="A375" s="26">
        <f>IF(BASE_CAIXA!A372="","",BASE_CAIXA!A372)</f>
        <v>371</v>
      </c>
      <c r="B375" s="26" t="str">
        <f>IF(A375="","",BASE_CAIXA!AL372)</f>
        <v>000371-DB</v>
      </c>
      <c r="C375" s="13">
        <f>IF(A375="","",BASE_CAIXA!AJ372)</f>
        <v>46171</v>
      </c>
      <c r="D375" s="26" t="str">
        <f>IF(A375="","",IF(BASE_CAIXA!C372="Entrada","Crédito","Débito"))</f>
        <v>Débito</v>
      </c>
      <c r="E375" s="14">
        <f>IF(A375="","",BASE_CAIXA!AA372)</f>
        <v>217.28</v>
      </c>
      <c r="F375" s="26">
        <f>IF(A375="","",BASE_CAIXA!N372)</f>
        <v>0</v>
      </c>
      <c r="G375" s="26">
        <f>IF(A375="","",BASE_CAIXA!O372)</f>
        <v>0</v>
      </c>
      <c r="H375" s="26">
        <f>IF(A375="","",BASE_CAIXA!P372)</f>
        <v>0</v>
      </c>
      <c r="I375" s="26" t="str">
        <f>IF(A375="","",IF(BASE_CAIXA!H372&lt;&gt;"",BASE_CAIXA!H372,BASE_CAIXA!G372))</f>
        <v>Argamassa colante AC I</v>
      </c>
      <c r="J375" s="26" t="str">
        <f>IF(A375="","",BASE_CAIXA!G372)</f>
        <v>Argamassa colante AC I</v>
      </c>
      <c r="K375" s="26">
        <f>IF(A375="","",BASE_CAIXA!I372)</f>
        <v>0</v>
      </c>
      <c r="L375" s="26">
        <f>IF(A375="","",BASE_CAIXA!J372)</f>
        <v>0</v>
      </c>
      <c r="M375" s="26" t="str">
        <f>IF(A375="","",BASE_CAIXA!AM372)</f>
        <v>Argamassa colante AC I | Argamassa colante AC I | Saída | SO</v>
      </c>
      <c r="N375" s="26" t="str">
        <f t="shared" ca="1" si="15"/>
        <v>Previsto</v>
      </c>
      <c r="O375" s="13" t="str">
        <f>IFERROR(INDEX(EXTRATO_IMPORTADO!$A$5:$A$404,MATCH(B375,EXTRATO_IMPORTADO!$I$5:$I$404,0)),"")</f>
        <v/>
      </c>
      <c r="P375" s="14" t="str">
        <f>IFERROR(INDEX(EXTRATO_IMPORTADO!$F$5:$F$404,MATCH(B375,EXTRATO_IMPORTADO!$I$5:$I$404,0)),"")</f>
        <v/>
      </c>
      <c r="Q375" s="26" t="str">
        <f>IFERROR(INDEX(EXTRATO_IMPORTADO!$B$5:$B$404,MATCH(B375,EXTRATO_IMPORTADO!$I$5:$I$404,0)),"")</f>
        <v/>
      </c>
      <c r="R375" s="26" t="str">
        <f>IFERROR(MATCH(B375,EXTRATO_IMPORTADO!$I$5:$I$404,0),"")</f>
        <v/>
      </c>
      <c r="S375" s="14" t="str">
        <f t="shared" si="16"/>
        <v/>
      </c>
      <c r="T375" s="33" t="str">
        <f t="shared" si="17"/>
        <v/>
      </c>
    </row>
    <row r="376" spans="1:20" x14ac:dyDescent="0.3">
      <c r="A376" s="26">
        <f>IF(BASE_CAIXA!A373="","",BASE_CAIXA!A373)</f>
        <v>372</v>
      </c>
      <c r="B376" s="26" t="str">
        <f>IF(A376="","",BASE_CAIXA!AL373)</f>
        <v>000372-DB</v>
      </c>
      <c r="C376" s="13">
        <f>IF(A376="","",BASE_CAIXA!AJ373)</f>
        <v>46171</v>
      </c>
      <c r="D376" s="26" t="str">
        <f>IF(A376="","",IF(BASE_CAIXA!C373="Entrada","Crédito","Débito"))</f>
        <v>Débito</v>
      </c>
      <c r="E376" s="14">
        <f>IF(A376="","",BASE_CAIXA!AA373)</f>
        <v>712</v>
      </c>
      <c r="F376" s="26">
        <f>IF(A376="","",BASE_CAIXA!N373)</f>
        <v>0</v>
      </c>
      <c r="G376" s="26">
        <f>IF(A376="","",BASE_CAIXA!O373)</f>
        <v>0</v>
      </c>
      <c r="H376" s="26">
        <f>IF(A376="","",BASE_CAIXA!P373)</f>
        <v>0</v>
      </c>
      <c r="I376" s="26" t="str">
        <f>IF(A376="","",IF(BASE_CAIXA!H373&lt;&gt;"",BASE_CAIXA!H373,BASE_CAIXA!G373))</f>
        <v>Assentamento Soleira em basalto  0,84 x 0,125 x 0,02 - cozinha</v>
      </c>
      <c r="J376" s="26" t="str">
        <f>IF(A376="","",BASE_CAIXA!G373)</f>
        <v>Assentamento Soleira em basalto  0,84 x 0,125 x 0,02 - cozinha</v>
      </c>
      <c r="K376" s="26">
        <f>IF(A376="","",BASE_CAIXA!I373)</f>
        <v>0</v>
      </c>
      <c r="L376" s="26">
        <f>IF(A376="","",BASE_CAIXA!J373)</f>
        <v>0</v>
      </c>
      <c r="M376" s="26" t="str">
        <f>IF(A376="","",BASE_CAIXA!AM373)</f>
        <v>Assentamento Soleira em basalto  0,84 x 0,125 x 0,02 - cozin</v>
      </c>
      <c r="N376" s="26" t="str">
        <f t="shared" ca="1" si="15"/>
        <v>Previsto</v>
      </c>
      <c r="O376" s="13" t="str">
        <f>IFERROR(INDEX(EXTRATO_IMPORTADO!$A$5:$A$404,MATCH(B376,EXTRATO_IMPORTADO!$I$5:$I$404,0)),"")</f>
        <v/>
      </c>
      <c r="P376" s="14" t="str">
        <f>IFERROR(INDEX(EXTRATO_IMPORTADO!$F$5:$F$404,MATCH(B376,EXTRATO_IMPORTADO!$I$5:$I$404,0)),"")</f>
        <v/>
      </c>
      <c r="Q376" s="26" t="str">
        <f>IFERROR(INDEX(EXTRATO_IMPORTADO!$B$5:$B$404,MATCH(B376,EXTRATO_IMPORTADO!$I$5:$I$404,0)),"")</f>
        <v/>
      </c>
      <c r="R376" s="26" t="str">
        <f>IFERROR(MATCH(B376,EXTRATO_IMPORTADO!$I$5:$I$404,0),"")</f>
        <v/>
      </c>
      <c r="S376" s="14" t="str">
        <f t="shared" si="16"/>
        <v/>
      </c>
      <c r="T376" s="33" t="str">
        <f t="shared" si="17"/>
        <v/>
      </c>
    </row>
    <row r="377" spans="1:20" x14ac:dyDescent="0.3">
      <c r="A377" s="26">
        <f>IF(BASE_CAIXA!A374="","",BASE_CAIXA!A374)</f>
        <v>373</v>
      </c>
      <c r="B377" s="26" t="str">
        <f>IF(A377="","",BASE_CAIXA!AL374)</f>
        <v>000373-DB</v>
      </c>
      <c r="C377" s="13">
        <f>IF(A377="","",BASE_CAIXA!AJ374)</f>
        <v>46171</v>
      </c>
      <c r="D377" s="26" t="str">
        <f>IF(A377="","",IF(BASE_CAIXA!C374="Entrada","Crédito","Débito"))</f>
        <v>Débito</v>
      </c>
      <c r="E377" s="14">
        <f>IF(A377="","",BASE_CAIXA!AA374)</f>
        <v>712</v>
      </c>
      <c r="F377" s="26">
        <f>IF(A377="","",BASE_CAIXA!N374)</f>
        <v>0</v>
      </c>
      <c r="G377" s="26">
        <f>IF(A377="","",BASE_CAIXA!O374)</f>
        <v>0</v>
      </c>
      <c r="H377" s="26">
        <f>IF(A377="","",BASE_CAIXA!P374)</f>
        <v>0</v>
      </c>
      <c r="I377" s="26" t="str">
        <f>IF(A377="","",IF(BASE_CAIXA!H374&lt;&gt;"",BASE_CAIXA!H374,BASE_CAIXA!G374))</f>
        <v>Assentamento Soleira em basalto  0,94 x 0,125 x 0,02 - entrada</v>
      </c>
      <c r="J377" s="26" t="str">
        <f>IF(A377="","",BASE_CAIXA!G374)</f>
        <v>Assentamento Soleira em basalto  0,94 x 0,125 x 0,02 - entrada</v>
      </c>
      <c r="K377" s="26">
        <f>IF(A377="","",BASE_CAIXA!I374)</f>
        <v>0</v>
      </c>
      <c r="L377" s="26">
        <f>IF(A377="","",BASE_CAIXA!J374)</f>
        <v>0</v>
      </c>
      <c r="M377" s="26" t="str">
        <f>IF(A377="","",BASE_CAIXA!AM374)</f>
        <v>Assentamento Soleira em basalto  0,94 x 0,125 x 0,02 - entra</v>
      </c>
      <c r="N377" s="26" t="str">
        <f t="shared" ca="1" si="15"/>
        <v>Previsto</v>
      </c>
      <c r="O377" s="13" t="str">
        <f>IFERROR(INDEX(EXTRATO_IMPORTADO!$A$5:$A$404,MATCH(B377,EXTRATO_IMPORTADO!$I$5:$I$404,0)),"")</f>
        <v/>
      </c>
      <c r="P377" s="14" t="str">
        <f>IFERROR(INDEX(EXTRATO_IMPORTADO!$F$5:$F$404,MATCH(B377,EXTRATO_IMPORTADO!$I$5:$I$404,0)),"")</f>
        <v/>
      </c>
      <c r="Q377" s="26" t="str">
        <f>IFERROR(INDEX(EXTRATO_IMPORTADO!$B$5:$B$404,MATCH(B377,EXTRATO_IMPORTADO!$I$5:$I$404,0)),"")</f>
        <v/>
      </c>
      <c r="R377" s="26" t="str">
        <f>IFERROR(MATCH(B377,EXTRATO_IMPORTADO!$I$5:$I$404,0),"")</f>
        <v/>
      </c>
      <c r="S377" s="14" t="str">
        <f t="shared" si="16"/>
        <v/>
      </c>
      <c r="T377" s="33" t="str">
        <f t="shared" si="17"/>
        <v/>
      </c>
    </row>
    <row r="378" spans="1:20" x14ac:dyDescent="0.3">
      <c r="A378" s="26">
        <f>IF(BASE_CAIXA!A375="","",BASE_CAIXA!A375)</f>
        <v>374</v>
      </c>
      <c r="B378" s="26" t="str">
        <f>IF(A378="","",BASE_CAIXA!AL375)</f>
        <v>000374-DB</v>
      </c>
      <c r="C378" s="13">
        <f>IF(A378="","",BASE_CAIXA!AJ375)</f>
        <v>46171</v>
      </c>
      <c r="D378" s="26" t="str">
        <f>IF(A378="","",IF(BASE_CAIXA!C375="Entrada","Crédito","Débito"))</f>
        <v>Débito</v>
      </c>
      <c r="E378" s="14">
        <f>IF(A378="","",BASE_CAIXA!AA375)</f>
        <v>2240</v>
      </c>
      <c r="F378" s="26">
        <f>IF(A378="","",BASE_CAIXA!N375)</f>
        <v>0</v>
      </c>
      <c r="G378" s="26">
        <f>IF(A378="","",BASE_CAIXA!O375)</f>
        <v>0</v>
      </c>
      <c r="H378" s="26">
        <f>IF(A378="","",BASE_CAIXA!P375)</f>
        <v>0</v>
      </c>
      <c r="I378" s="26" t="str">
        <f>IF(A378="","",IF(BASE_CAIXA!H375&lt;&gt;"",BASE_CAIXA!H375,BASE_CAIXA!G375))</f>
        <v>Soleira em basalto  0,84 x 0,125 x 0,02 - cozinha</v>
      </c>
      <c r="J378" s="26" t="str">
        <f>IF(A378="","",BASE_CAIXA!G375)</f>
        <v>Soleira em basalto  0,84 x 0,125 x 0,02 - cozinha</v>
      </c>
      <c r="K378" s="26">
        <f>IF(A378="","",BASE_CAIXA!I375)</f>
        <v>0</v>
      </c>
      <c r="L378" s="26">
        <f>IF(A378="","",BASE_CAIXA!J375)</f>
        <v>0</v>
      </c>
      <c r="M378" s="26" t="str">
        <f>IF(A378="","",BASE_CAIXA!AM375)</f>
        <v xml:space="preserve">Soleira em basalto  0,84 x 0,125 x 0,02 - cozinha | Soleira </v>
      </c>
      <c r="N378" s="26" t="str">
        <f t="shared" ca="1" si="15"/>
        <v>Previsto</v>
      </c>
      <c r="O378" s="13" t="str">
        <f>IFERROR(INDEX(EXTRATO_IMPORTADO!$A$5:$A$404,MATCH(B378,EXTRATO_IMPORTADO!$I$5:$I$404,0)),"")</f>
        <v/>
      </c>
      <c r="P378" s="14" t="str">
        <f>IFERROR(INDEX(EXTRATO_IMPORTADO!$F$5:$F$404,MATCH(B378,EXTRATO_IMPORTADO!$I$5:$I$404,0)),"")</f>
        <v/>
      </c>
      <c r="Q378" s="26" t="str">
        <f>IFERROR(INDEX(EXTRATO_IMPORTADO!$B$5:$B$404,MATCH(B378,EXTRATO_IMPORTADO!$I$5:$I$404,0)),"")</f>
        <v/>
      </c>
      <c r="R378" s="26" t="str">
        <f>IFERROR(MATCH(B378,EXTRATO_IMPORTADO!$I$5:$I$404,0),"")</f>
        <v/>
      </c>
      <c r="S378" s="14" t="str">
        <f t="shared" si="16"/>
        <v/>
      </c>
      <c r="T378" s="33" t="str">
        <f t="shared" si="17"/>
        <v/>
      </c>
    </row>
    <row r="379" spans="1:20" x14ac:dyDescent="0.3">
      <c r="A379" s="26">
        <f>IF(BASE_CAIXA!A376="","",BASE_CAIXA!A376)</f>
        <v>375</v>
      </c>
      <c r="B379" s="26" t="str">
        <f>IF(A379="","",BASE_CAIXA!AL376)</f>
        <v>000375-DB</v>
      </c>
      <c r="C379" s="13">
        <f>IF(A379="","",BASE_CAIXA!AJ376)</f>
        <v>46171</v>
      </c>
      <c r="D379" s="26" t="str">
        <f>IF(A379="","",IF(BASE_CAIXA!C376="Entrada","Crédito","Débito"))</f>
        <v>Débito</v>
      </c>
      <c r="E379" s="14">
        <f>IF(A379="","",BASE_CAIXA!AA376)</f>
        <v>2240</v>
      </c>
      <c r="F379" s="26">
        <f>IF(A379="","",BASE_CAIXA!N376)</f>
        <v>0</v>
      </c>
      <c r="G379" s="26">
        <f>IF(A379="","",BASE_CAIXA!O376)</f>
        <v>0</v>
      </c>
      <c r="H379" s="26">
        <f>IF(A379="","",BASE_CAIXA!P376)</f>
        <v>0</v>
      </c>
      <c r="I379" s="26" t="str">
        <f>IF(A379="","",IF(BASE_CAIXA!H376&lt;&gt;"",BASE_CAIXA!H376,BASE_CAIXA!G376))</f>
        <v>Soleira em basalto  0,94 x 0,125 x 0,02 - entrada</v>
      </c>
      <c r="J379" s="26" t="str">
        <f>IF(A379="","",BASE_CAIXA!G376)</f>
        <v>Soleira em basalto  0,94 x 0,125 x 0,02 - entrada</v>
      </c>
      <c r="K379" s="26">
        <f>IF(A379="","",BASE_CAIXA!I376)</f>
        <v>0</v>
      </c>
      <c r="L379" s="26">
        <f>IF(A379="","",BASE_CAIXA!J376)</f>
        <v>0</v>
      </c>
      <c r="M379" s="26" t="str">
        <f>IF(A379="","",BASE_CAIXA!AM376)</f>
        <v xml:space="preserve">Soleira em basalto  0,94 x 0,125 x 0,02 - entrada | Soleira </v>
      </c>
      <c r="N379" s="26" t="str">
        <f t="shared" ca="1" si="15"/>
        <v>Previsto</v>
      </c>
      <c r="O379" s="13" t="str">
        <f>IFERROR(INDEX(EXTRATO_IMPORTADO!$A$5:$A$404,MATCH(B379,EXTRATO_IMPORTADO!$I$5:$I$404,0)),"")</f>
        <v/>
      </c>
      <c r="P379" s="14" t="str">
        <f>IFERROR(INDEX(EXTRATO_IMPORTADO!$F$5:$F$404,MATCH(B379,EXTRATO_IMPORTADO!$I$5:$I$404,0)),"")</f>
        <v/>
      </c>
      <c r="Q379" s="26" t="str">
        <f>IFERROR(INDEX(EXTRATO_IMPORTADO!$B$5:$B$404,MATCH(B379,EXTRATO_IMPORTADO!$I$5:$I$404,0)),"")</f>
        <v/>
      </c>
      <c r="R379" s="26" t="str">
        <f>IFERROR(MATCH(B379,EXTRATO_IMPORTADO!$I$5:$I$404,0),"")</f>
        <v/>
      </c>
      <c r="S379" s="14" t="str">
        <f t="shared" si="16"/>
        <v/>
      </c>
      <c r="T379" s="33" t="str">
        <f t="shared" si="17"/>
        <v/>
      </c>
    </row>
    <row r="380" spans="1:20" x14ac:dyDescent="0.3">
      <c r="A380" s="26">
        <f>IF(BASE_CAIXA!A377="","",BASE_CAIXA!A377)</f>
        <v>376</v>
      </c>
      <c r="B380" s="26" t="str">
        <f>IF(A380="","",BASE_CAIXA!AL377)</f>
        <v>000376-DB</v>
      </c>
      <c r="C380" s="13">
        <f>IF(A380="","",BASE_CAIXA!AJ377)</f>
        <v>46171</v>
      </c>
      <c r="D380" s="26" t="str">
        <f>IF(A380="","",IF(BASE_CAIXA!C377="Entrada","Crédito","Débito"))</f>
        <v>Débito</v>
      </c>
      <c r="E380" s="14">
        <f>IF(A380="","",BASE_CAIXA!AA377)</f>
        <v>10152.9776</v>
      </c>
      <c r="F380" s="26">
        <f>IF(A380="","",BASE_CAIXA!N377)</f>
        <v>0</v>
      </c>
      <c r="G380" s="26">
        <f>IF(A380="","",BASE_CAIXA!O377)</f>
        <v>0</v>
      </c>
      <c r="H380" s="26">
        <f>IF(A380="","",BASE_CAIXA!P377)</f>
        <v>0</v>
      </c>
      <c r="I380" s="26" t="str">
        <f>IF(A380="","",IF(BASE_CAIXA!H377&lt;&gt;"",BASE_CAIXA!H377,BASE_CAIXA!G377))</f>
        <v>Mao de obra terceirizada Textura externa</v>
      </c>
      <c r="J380" s="26" t="str">
        <f>IF(A380="","",BASE_CAIXA!G377)</f>
        <v>Mao de obra terceirizada Textura externa</v>
      </c>
      <c r="K380" s="26">
        <f>IF(A380="","",BASE_CAIXA!I377)</f>
        <v>0</v>
      </c>
      <c r="L380" s="26">
        <f>IF(A380="","",BASE_CAIXA!J377)</f>
        <v>0</v>
      </c>
      <c r="M380" s="26" t="str">
        <f>IF(A380="","",BASE_CAIXA!AM377)</f>
        <v>Mao de obra terceirizada Textura externa | Mao de obra terce</v>
      </c>
      <c r="N380" s="26" t="str">
        <f t="shared" ca="1" si="15"/>
        <v>Previsto</v>
      </c>
      <c r="O380" s="13" t="str">
        <f>IFERROR(INDEX(EXTRATO_IMPORTADO!$A$5:$A$404,MATCH(B380,EXTRATO_IMPORTADO!$I$5:$I$404,0)),"")</f>
        <v/>
      </c>
      <c r="P380" s="14" t="str">
        <f>IFERROR(INDEX(EXTRATO_IMPORTADO!$F$5:$F$404,MATCH(B380,EXTRATO_IMPORTADO!$I$5:$I$404,0)),"")</f>
        <v/>
      </c>
      <c r="Q380" s="26" t="str">
        <f>IFERROR(INDEX(EXTRATO_IMPORTADO!$B$5:$B$404,MATCH(B380,EXTRATO_IMPORTADO!$I$5:$I$404,0)),"")</f>
        <v/>
      </c>
      <c r="R380" s="26" t="str">
        <f>IFERROR(MATCH(B380,EXTRATO_IMPORTADO!$I$5:$I$404,0),"")</f>
        <v/>
      </c>
      <c r="S380" s="14" t="str">
        <f t="shared" si="16"/>
        <v/>
      </c>
      <c r="T380" s="33" t="str">
        <f t="shared" si="17"/>
        <v/>
      </c>
    </row>
    <row r="381" spans="1:20" x14ac:dyDescent="0.3">
      <c r="A381" s="26">
        <f>IF(BASE_CAIXA!A378="","",BASE_CAIXA!A378)</f>
        <v>377</v>
      </c>
      <c r="B381" s="26" t="str">
        <f>IF(A381="","",BASE_CAIXA!AL378)</f>
        <v>000377-DB</v>
      </c>
      <c r="C381" s="13">
        <f>IF(A381="","",BASE_CAIXA!AJ378)</f>
        <v>46171</v>
      </c>
      <c r="D381" s="26" t="str">
        <f>IF(A381="","",IF(BASE_CAIXA!C378="Entrada","Crédito","Débito"))</f>
        <v>Débito</v>
      </c>
      <c r="E381" s="14">
        <f>IF(A381="","",BASE_CAIXA!AA378)</f>
        <v>24000</v>
      </c>
      <c r="F381" s="26">
        <f>IF(A381="","",BASE_CAIXA!N378)</f>
        <v>0</v>
      </c>
      <c r="G381" s="26">
        <f>IF(A381="","",BASE_CAIXA!O378)</f>
        <v>0</v>
      </c>
      <c r="H381" s="26">
        <f>IF(A381="","",BASE_CAIXA!P378)</f>
        <v>0</v>
      </c>
      <c r="I381" s="26" t="str">
        <f>IF(A381="","",IF(BASE_CAIXA!H378&lt;&gt;"",BASE_CAIXA!H378,BASE_CAIXA!G378))</f>
        <v>Textura elastomerica na cor</v>
      </c>
      <c r="J381" s="26" t="str">
        <f>IF(A381="","",BASE_CAIXA!G378)</f>
        <v>Textura elastomerica na cor</v>
      </c>
      <c r="K381" s="26">
        <f>IF(A381="","",BASE_CAIXA!I378)</f>
        <v>0</v>
      </c>
      <c r="L381" s="26">
        <f>IF(A381="","",BASE_CAIXA!J378)</f>
        <v>0</v>
      </c>
      <c r="M381" s="26" t="str">
        <f>IF(A381="","",BASE_CAIXA!AM378)</f>
        <v xml:space="preserve">Textura elastomerica na cor | Textura elastomerica na cor | </v>
      </c>
      <c r="N381" s="26" t="str">
        <f t="shared" ca="1" si="15"/>
        <v>Previsto</v>
      </c>
      <c r="O381" s="13" t="str">
        <f>IFERROR(INDEX(EXTRATO_IMPORTADO!$A$5:$A$404,MATCH(B381,EXTRATO_IMPORTADO!$I$5:$I$404,0)),"")</f>
        <v/>
      </c>
      <c r="P381" s="14" t="str">
        <f>IFERROR(INDEX(EXTRATO_IMPORTADO!$F$5:$F$404,MATCH(B381,EXTRATO_IMPORTADO!$I$5:$I$404,0)),"")</f>
        <v/>
      </c>
      <c r="Q381" s="26" t="str">
        <f>IFERROR(INDEX(EXTRATO_IMPORTADO!$B$5:$B$404,MATCH(B381,EXTRATO_IMPORTADO!$I$5:$I$404,0)),"")</f>
        <v/>
      </c>
      <c r="R381" s="26" t="str">
        <f>IFERROR(MATCH(B381,EXTRATO_IMPORTADO!$I$5:$I$404,0),"")</f>
        <v/>
      </c>
      <c r="S381" s="14" t="str">
        <f t="shared" si="16"/>
        <v/>
      </c>
      <c r="T381" s="33" t="str">
        <f t="shared" si="17"/>
        <v/>
      </c>
    </row>
    <row r="382" spans="1:20" x14ac:dyDescent="0.3">
      <c r="A382" s="26">
        <f>IF(BASE_CAIXA!A379="","",BASE_CAIXA!A379)</f>
        <v>378</v>
      </c>
      <c r="B382" s="26" t="str">
        <f>IF(A382="","",BASE_CAIXA!AL379)</f>
        <v>000378-CR</v>
      </c>
      <c r="C382" s="13">
        <f>IF(A382="","",BASE_CAIXA!AJ379)</f>
        <v>46185</v>
      </c>
      <c r="D382" s="26" t="str">
        <f>IF(A382="","",IF(BASE_CAIXA!C379="Entrada","Crédito","Débito"))</f>
        <v>Crédito</v>
      </c>
      <c r="E382" s="14">
        <f>IF(A382="","",BASE_CAIXA!AA379)</f>
        <v>1842453.5438079999</v>
      </c>
      <c r="F382" s="26">
        <f>IF(A382="","",BASE_CAIXA!N379)</f>
        <v>0</v>
      </c>
      <c r="G382" s="26">
        <f>IF(A382="","",BASE_CAIXA!O379)</f>
        <v>0</v>
      </c>
      <c r="H382" s="26">
        <f>IF(A382="","",BASE_CAIXA!P379)</f>
        <v>0</v>
      </c>
      <c r="I382" s="26" t="str">
        <f>IF(A382="","",IF(BASE_CAIXA!H379&lt;&gt;"",BASE_CAIXA!H379,BASE_CAIXA!G379))</f>
        <v>MEDIÇÃO CONTRATUAL</v>
      </c>
      <c r="J382" s="26" t="str">
        <f>IF(A382="","",BASE_CAIXA!G379)</f>
        <v>MEDIÇÃO CONTRATUAL</v>
      </c>
      <c r="K382" s="26">
        <f>IF(A382="","",BASE_CAIXA!I379)</f>
        <v>0</v>
      </c>
      <c r="L382" s="26">
        <f>IF(A382="","",BASE_CAIXA!J379)</f>
        <v>0</v>
      </c>
      <c r="M382" s="26" t="str">
        <f>IF(A382="","",BASE_CAIXA!AM379)</f>
        <v xml:space="preserve">MEDIÇÃO CONTRATUAL | MEDIÇÃO CONTRATUAL | Entrada | MEDIÇÃO </v>
      </c>
      <c r="N382" s="26" t="str">
        <f t="shared" ca="1" si="15"/>
        <v>Previsto</v>
      </c>
      <c r="O382" s="13" t="str">
        <f>IFERROR(INDEX(EXTRATO_IMPORTADO!$A$5:$A$404,MATCH(B382,EXTRATO_IMPORTADO!$I$5:$I$404,0)),"")</f>
        <v/>
      </c>
      <c r="P382" s="14" t="str">
        <f>IFERROR(INDEX(EXTRATO_IMPORTADO!$F$5:$F$404,MATCH(B382,EXTRATO_IMPORTADO!$I$5:$I$404,0)),"")</f>
        <v/>
      </c>
      <c r="Q382" s="26" t="str">
        <f>IFERROR(INDEX(EXTRATO_IMPORTADO!$B$5:$B$404,MATCH(B382,EXTRATO_IMPORTADO!$I$5:$I$404,0)),"")</f>
        <v/>
      </c>
      <c r="R382" s="26" t="str">
        <f>IFERROR(MATCH(B382,EXTRATO_IMPORTADO!$I$5:$I$404,0),"")</f>
        <v/>
      </c>
      <c r="S382" s="14" t="str">
        <f t="shared" si="16"/>
        <v/>
      </c>
      <c r="T382" s="33" t="str">
        <f t="shared" si="17"/>
        <v/>
      </c>
    </row>
    <row r="383" spans="1:20" x14ac:dyDescent="0.3">
      <c r="A383" s="26">
        <f>IF(BASE_CAIXA!A380="","",BASE_CAIXA!A380)</f>
        <v>379</v>
      </c>
      <c r="B383" s="26" t="str">
        <f>IF(A383="","",BASE_CAIXA!AL380)</f>
        <v>000379-DB</v>
      </c>
      <c r="C383" s="13">
        <f>IF(A383="","",BASE_CAIXA!AJ380)</f>
        <v>46185</v>
      </c>
      <c r="D383" s="26" t="str">
        <f>IF(A383="","",IF(BASE_CAIXA!C380="Entrada","Crédito","Débito"))</f>
        <v>Débito</v>
      </c>
      <c r="E383" s="14">
        <f>IF(A383="","",BASE_CAIXA!AA380)</f>
        <v>20284.488000000001</v>
      </c>
      <c r="F383" s="26">
        <f>IF(A383="","",BASE_CAIXA!N380)</f>
        <v>0</v>
      </c>
      <c r="G383" s="26">
        <f>IF(A383="","",BASE_CAIXA!O380)</f>
        <v>0</v>
      </c>
      <c r="H383" s="26">
        <f>IF(A383="","",BASE_CAIXA!P380)</f>
        <v>0</v>
      </c>
      <c r="I383" s="26" t="str">
        <f>IF(A383="","",IF(BASE_CAIXA!H380&lt;&gt;"",BASE_CAIXA!H380,BASE_CAIXA!G380))</f>
        <v>Mao de obra terceirizada assentamento Azulejo</v>
      </c>
      <c r="J383" s="26" t="str">
        <f>IF(A383="","",BASE_CAIXA!G380)</f>
        <v>Mao de obra terceirizada assentamento Azulejo</v>
      </c>
      <c r="K383" s="26">
        <f>IF(A383="","",BASE_CAIXA!I380)</f>
        <v>0</v>
      </c>
      <c r="L383" s="26">
        <f>IF(A383="","",BASE_CAIXA!J380)</f>
        <v>0</v>
      </c>
      <c r="M383" s="26" t="str">
        <f>IF(A383="","",BASE_CAIXA!AM380)</f>
        <v xml:space="preserve">Mao de obra terceirizada assentamento Azulejo | Mao de obra </v>
      </c>
      <c r="N383" s="26" t="str">
        <f t="shared" ca="1" si="15"/>
        <v>Previsto</v>
      </c>
      <c r="O383" s="13" t="str">
        <f>IFERROR(INDEX(EXTRATO_IMPORTADO!$A$5:$A$404,MATCH(B383,EXTRATO_IMPORTADO!$I$5:$I$404,0)),"")</f>
        <v/>
      </c>
      <c r="P383" s="14" t="str">
        <f>IFERROR(INDEX(EXTRATO_IMPORTADO!$F$5:$F$404,MATCH(B383,EXTRATO_IMPORTADO!$I$5:$I$404,0)),"")</f>
        <v/>
      </c>
      <c r="Q383" s="26" t="str">
        <f>IFERROR(INDEX(EXTRATO_IMPORTADO!$B$5:$B$404,MATCH(B383,EXTRATO_IMPORTADO!$I$5:$I$404,0)),"")</f>
        <v/>
      </c>
      <c r="R383" s="26" t="str">
        <f>IFERROR(MATCH(B383,EXTRATO_IMPORTADO!$I$5:$I$404,0),"")</f>
        <v/>
      </c>
      <c r="S383" s="14" t="str">
        <f t="shared" si="16"/>
        <v/>
      </c>
      <c r="T383" s="33" t="str">
        <f t="shared" si="17"/>
        <v/>
      </c>
    </row>
    <row r="384" spans="1:20" x14ac:dyDescent="0.3">
      <c r="A384" s="26">
        <f>IF(BASE_CAIXA!A381="","",BASE_CAIXA!A381)</f>
        <v>380</v>
      </c>
      <c r="B384" s="26" t="str">
        <f>IF(A384="","",BASE_CAIXA!AL381)</f>
        <v>000380-DB</v>
      </c>
      <c r="C384" s="13">
        <f>IF(A384="","",BASE_CAIXA!AJ381)</f>
        <v>46185</v>
      </c>
      <c r="D384" s="26" t="str">
        <f>IF(A384="","",IF(BASE_CAIXA!C381="Entrada","Crédito","Débito"))</f>
        <v>Débito</v>
      </c>
      <c r="E384" s="14">
        <f>IF(A384="","",BASE_CAIXA!AA381)</f>
        <v>13280.064</v>
      </c>
      <c r="F384" s="26">
        <f>IF(A384="","",BASE_CAIXA!N381)</f>
        <v>0</v>
      </c>
      <c r="G384" s="26">
        <f>IF(A384="","",BASE_CAIXA!O381)</f>
        <v>0</v>
      </c>
      <c r="H384" s="26">
        <f>IF(A384="","",BASE_CAIXA!P381)</f>
        <v>0</v>
      </c>
      <c r="I384" s="26" t="str">
        <f>IF(A384="","",IF(BASE_CAIXA!H381&lt;&gt;"",BASE_CAIXA!H381,BASE_CAIXA!G381))</f>
        <v>MO Terceirizada Caixas de inspecao e gordura</v>
      </c>
      <c r="J384" s="26" t="str">
        <f>IF(A384="","",BASE_CAIXA!G381)</f>
        <v>MO Terceirizada Caixas de inspecao e gordura</v>
      </c>
      <c r="K384" s="26">
        <f>IF(A384="","",BASE_CAIXA!I381)</f>
        <v>0</v>
      </c>
      <c r="L384" s="26">
        <f>IF(A384="","",BASE_CAIXA!J381)</f>
        <v>0</v>
      </c>
      <c r="M384" s="26" t="str">
        <f>IF(A384="","",BASE_CAIXA!AM381)</f>
        <v>MO Terceirizada Caixas de inspecao e gordura | MO Terceiriza</v>
      </c>
      <c r="N384" s="26" t="str">
        <f t="shared" ca="1" si="15"/>
        <v>Previsto</v>
      </c>
      <c r="O384" s="13" t="str">
        <f>IFERROR(INDEX(EXTRATO_IMPORTADO!$A$5:$A$404,MATCH(B384,EXTRATO_IMPORTADO!$I$5:$I$404,0)),"")</f>
        <v/>
      </c>
      <c r="P384" s="14" t="str">
        <f>IFERROR(INDEX(EXTRATO_IMPORTADO!$F$5:$F$404,MATCH(B384,EXTRATO_IMPORTADO!$I$5:$I$404,0)),"")</f>
        <v/>
      </c>
      <c r="Q384" s="26" t="str">
        <f>IFERROR(INDEX(EXTRATO_IMPORTADO!$B$5:$B$404,MATCH(B384,EXTRATO_IMPORTADO!$I$5:$I$404,0)),"")</f>
        <v/>
      </c>
      <c r="R384" s="26" t="str">
        <f>IFERROR(MATCH(B384,EXTRATO_IMPORTADO!$I$5:$I$404,0),"")</f>
        <v/>
      </c>
      <c r="S384" s="14" t="str">
        <f t="shared" si="16"/>
        <v/>
      </c>
      <c r="T384" s="33" t="str">
        <f t="shared" si="17"/>
        <v/>
      </c>
    </row>
    <row r="385" spans="1:20" x14ac:dyDescent="0.3">
      <c r="A385" s="26">
        <f>IF(BASE_CAIXA!A382="","",BASE_CAIXA!A382)</f>
        <v>381</v>
      </c>
      <c r="B385" s="26" t="str">
        <f>IF(A385="","",BASE_CAIXA!AL382)</f>
        <v>000381-DB</v>
      </c>
      <c r="C385" s="13">
        <f>IF(A385="","",BASE_CAIXA!AJ382)</f>
        <v>46185</v>
      </c>
      <c r="D385" s="26" t="str">
        <f>IF(A385="","",IF(BASE_CAIXA!C382="Entrada","Crédito","Débito"))</f>
        <v>Débito</v>
      </c>
      <c r="E385" s="14">
        <f>IF(A385="","",BASE_CAIXA!AA382)</f>
        <v>4264.5504000000001</v>
      </c>
      <c r="F385" s="26">
        <f>IF(A385="","",BASE_CAIXA!N382)</f>
        <v>0</v>
      </c>
      <c r="G385" s="26">
        <f>IF(A385="","",BASE_CAIXA!O382)</f>
        <v>0</v>
      </c>
      <c r="H385" s="26">
        <f>IF(A385="","",BASE_CAIXA!P382)</f>
        <v>0</v>
      </c>
      <c r="I385" s="26" t="str">
        <f>IF(A385="","",IF(BASE_CAIXA!H382&lt;&gt;"",BASE_CAIXA!H382,BASE_CAIXA!G382))</f>
        <v>Tubo pvc 100mm - Rede de Esgoto</v>
      </c>
      <c r="J385" s="26" t="str">
        <f>IF(A385="","",BASE_CAIXA!G382)</f>
        <v>Tubo pvc 100mm - Rede de Esgoto</v>
      </c>
      <c r="K385" s="26">
        <f>IF(A385="","",BASE_CAIXA!I382)</f>
        <v>0</v>
      </c>
      <c r="L385" s="26">
        <f>IF(A385="","",BASE_CAIXA!J382)</f>
        <v>0</v>
      </c>
      <c r="M385" s="26" t="str">
        <f>IF(A385="","",BASE_CAIXA!AM382)</f>
        <v>Tubo pvc 100mm - Rede de Esgoto | Tubo pvc 100mm - Rede de E</v>
      </c>
      <c r="N385" s="26" t="str">
        <f t="shared" ca="1" si="15"/>
        <v>Previsto</v>
      </c>
      <c r="O385" s="13" t="str">
        <f>IFERROR(INDEX(EXTRATO_IMPORTADO!$A$5:$A$404,MATCH(B385,EXTRATO_IMPORTADO!$I$5:$I$404,0)),"")</f>
        <v/>
      </c>
      <c r="P385" s="14" t="str">
        <f>IFERROR(INDEX(EXTRATO_IMPORTADO!$F$5:$F$404,MATCH(B385,EXTRATO_IMPORTADO!$I$5:$I$404,0)),"")</f>
        <v/>
      </c>
      <c r="Q385" s="26" t="str">
        <f>IFERROR(INDEX(EXTRATO_IMPORTADO!$B$5:$B$404,MATCH(B385,EXTRATO_IMPORTADO!$I$5:$I$404,0)),"")</f>
        <v/>
      </c>
      <c r="R385" s="26" t="str">
        <f>IFERROR(MATCH(B385,EXTRATO_IMPORTADO!$I$5:$I$404,0),"")</f>
        <v/>
      </c>
      <c r="S385" s="14" t="str">
        <f t="shared" si="16"/>
        <v/>
      </c>
      <c r="T385" s="33" t="str">
        <f t="shared" si="17"/>
        <v/>
      </c>
    </row>
    <row r="386" spans="1:20" x14ac:dyDescent="0.3">
      <c r="A386" s="26">
        <f>IF(BASE_CAIXA!A383="","",BASE_CAIXA!A383)</f>
        <v>382</v>
      </c>
      <c r="B386" s="26" t="str">
        <f>IF(A386="","",BASE_CAIXA!AL383)</f>
        <v>000382-DB</v>
      </c>
      <c r="C386" s="13">
        <f>IF(A386="","",BASE_CAIXA!AJ383)</f>
        <v>46185</v>
      </c>
      <c r="D386" s="26" t="str">
        <f>IF(A386="","",IF(BASE_CAIXA!C383="Entrada","Crédito","Débito"))</f>
        <v>Débito</v>
      </c>
      <c r="E386" s="14">
        <f>IF(A386="","",BASE_CAIXA!AA383)</f>
        <v>204.71616</v>
      </c>
      <c r="F386" s="26">
        <f>IF(A386="","",BASE_CAIXA!N383)</f>
        <v>0</v>
      </c>
      <c r="G386" s="26">
        <f>IF(A386="","",BASE_CAIXA!O383)</f>
        <v>0</v>
      </c>
      <c r="H386" s="26">
        <f>IF(A386="","",BASE_CAIXA!P383)</f>
        <v>0</v>
      </c>
      <c r="I386" s="26" t="str">
        <f>IF(A386="","",IF(BASE_CAIXA!H383&lt;&gt;"",BASE_CAIXA!H383,BASE_CAIXA!G383))</f>
        <v>Tubo pvc 40mm - Rede de Esgoto</v>
      </c>
      <c r="J386" s="26" t="str">
        <f>IF(A386="","",BASE_CAIXA!G383)</f>
        <v>Tubo pvc 40mm - Rede de Esgoto</v>
      </c>
      <c r="K386" s="26">
        <f>IF(A386="","",BASE_CAIXA!I383)</f>
        <v>0</v>
      </c>
      <c r="L386" s="26">
        <f>IF(A386="","",BASE_CAIXA!J383)</f>
        <v>0</v>
      </c>
      <c r="M386" s="26" t="str">
        <f>IF(A386="","",BASE_CAIXA!AM383)</f>
        <v>Tubo pvc 40mm - Rede de Esgoto | Tubo pvc 40mm - Rede de Esg</v>
      </c>
      <c r="N386" s="26" t="str">
        <f t="shared" ca="1" si="15"/>
        <v>Previsto</v>
      </c>
      <c r="O386" s="13" t="str">
        <f>IFERROR(INDEX(EXTRATO_IMPORTADO!$A$5:$A$404,MATCH(B386,EXTRATO_IMPORTADO!$I$5:$I$404,0)),"")</f>
        <v/>
      </c>
      <c r="P386" s="14" t="str">
        <f>IFERROR(INDEX(EXTRATO_IMPORTADO!$F$5:$F$404,MATCH(B386,EXTRATO_IMPORTADO!$I$5:$I$404,0)),"")</f>
        <v/>
      </c>
      <c r="Q386" s="26" t="str">
        <f>IFERROR(INDEX(EXTRATO_IMPORTADO!$B$5:$B$404,MATCH(B386,EXTRATO_IMPORTADO!$I$5:$I$404,0)),"")</f>
        <v/>
      </c>
      <c r="R386" s="26" t="str">
        <f>IFERROR(MATCH(B386,EXTRATO_IMPORTADO!$I$5:$I$404,0),"")</f>
        <v/>
      </c>
      <c r="S386" s="14" t="str">
        <f t="shared" si="16"/>
        <v/>
      </c>
      <c r="T386" s="33" t="str">
        <f t="shared" si="17"/>
        <v/>
      </c>
    </row>
    <row r="387" spans="1:20" x14ac:dyDescent="0.3">
      <c r="A387" s="26">
        <f>IF(BASE_CAIXA!A384="","",BASE_CAIXA!A384)</f>
        <v>383</v>
      </c>
      <c r="B387" s="26" t="str">
        <f>IF(A387="","",BASE_CAIXA!AL384)</f>
        <v>000383-DB</v>
      </c>
      <c r="C387" s="13">
        <f>IF(A387="","",BASE_CAIXA!AJ384)</f>
        <v>46185</v>
      </c>
      <c r="D387" s="26" t="str">
        <f>IF(A387="","",IF(BASE_CAIXA!C384="Entrada","Crédito","Débito"))</f>
        <v>Débito</v>
      </c>
      <c r="E387" s="14">
        <f>IF(A387="","",BASE_CAIXA!AA384)</f>
        <v>215.93088</v>
      </c>
      <c r="F387" s="26">
        <f>IF(A387="","",BASE_CAIXA!N384)</f>
        <v>0</v>
      </c>
      <c r="G387" s="26">
        <f>IF(A387="","",BASE_CAIXA!O384)</f>
        <v>0</v>
      </c>
      <c r="H387" s="26">
        <f>IF(A387="","",BASE_CAIXA!P384)</f>
        <v>0</v>
      </c>
      <c r="I387" s="26" t="str">
        <f>IF(A387="","",IF(BASE_CAIXA!H384&lt;&gt;"",BASE_CAIXA!H384,BASE_CAIXA!G384))</f>
        <v>Tubo pvc 50mm - Rede de Esgoto</v>
      </c>
      <c r="J387" s="26" t="str">
        <f>IF(A387="","",BASE_CAIXA!G384)</f>
        <v>Tubo pvc 50mm - Rede de Esgoto</v>
      </c>
      <c r="K387" s="26">
        <f>IF(A387="","",BASE_CAIXA!I384)</f>
        <v>0</v>
      </c>
      <c r="L387" s="26">
        <f>IF(A387="","",BASE_CAIXA!J384)</f>
        <v>0</v>
      </c>
      <c r="M387" s="26" t="str">
        <f>IF(A387="","",BASE_CAIXA!AM384)</f>
        <v>Tubo pvc 50mm - Rede de Esgoto | Tubo pvc 50mm - Rede de Esg</v>
      </c>
      <c r="N387" s="26" t="str">
        <f t="shared" ca="1" si="15"/>
        <v>Previsto</v>
      </c>
      <c r="O387" s="13" t="str">
        <f>IFERROR(INDEX(EXTRATO_IMPORTADO!$A$5:$A$404,MATCH(B387,EXTRATO_IMPORTADO!$I$5:$I$404,0)),"")</f>
        <v/>
      </c>
      <c r="P387" s="14" t="str">
        <f>IFERROR(INDEX(EXTRATO_IMPORTADO!$F$5:$F$404,MATCH(B387,EXTRATO_IMPORTADO!$I$5:$I$404,0)),"")</f>
        <v/>
      </c>
      <c r="Q387" s="26" t="str">
        <f>IFERROR(INDEX(EXTRATO_IMPORTADO!$B$5:$B$404,MATCH(B387,EXTRATO_IMPORTADO!$I$5:$I$404,0)),"")</f>
        <v/>
      </c>
      <c r="R387" s="26" t="str">
        <f>IFERROR(MATCH(B387,EXTRATO_IMPORTADO!$I$5:$I$404,0),"")</f>
        <v/>
      </c>
      <c r="S387" s="14" t="str">
        <f t="shared" si="16"/>
        <v/>
      </c>
      <c r="T387" s="33" t="str">
        <f t="shared" si="17"/>
        <v/>
      </c>
    </row>
    <row r="388" spans="1:20" x14ac:dyDescent="0.3">
      <c r="A388" s="26">
        <f>IF(BASE_CAIXA!A385="","",BASE_CAIXA!A385)</f>
        <v>384</v>
      </c>
      <c r="B388" s="26" t="str">
        <f>IF(A388="","",BASE_CAIXA!AL385)</f>
        <v>000384-DB</v>
      </c>
      <c r="C388" s="13">
        <f>IF(A388="","",BASE_CAIXA!AJ385)</f>
        <v>46185</v>
      </c>
      <c r="D388" s="26" t="str">
        <f>IF(A388="","",IF(BASE_CAIXA!C385="Entrada","Crédito","Débito"))</f>
        <v>Débito</v>
      </c>
      <c r="E388" s="14">
        <f>IF(A388="","",BASE_CAIXA!AA385)</f>
        <v>6240</v>
      </c>
      <c r="F388" s="26">
        <f>IF(A388="","",BASE_CAIXA!N385)</f>
        <v>0</v>
      </c>
      <c r="G388" s="26">
        <f>IF(A388="","",BASE_CAIXA!O385)</f>
        <v>0</v>
      </c>
      <c r="H388" s="26">
        <f>IF(A388="","",BASE_CAIXA!P385)</f>
        <v>0</v>
      </c>
      <c r="I388" s="26" t="str">
        <f>IF(A388="","",IF(BASE_CAIXA!H385&lt;&gt;"",BASE_CAIXA!H385,BASE_CAIXA!G385))</f>
        <v>Brita 01 para espalhamento</v>
      </c>
      <c r="J388" s="26" t="str">
        <f>IF(A388="","",BASE_CAIXA!G385)</f>
        <v>Brita 01 para espalhamento</v>
      </c>
      <c r="K388" s="26">
        <f>IF(A388="","",BASE_CAIXA!I385)</f>
        <v>0</v>
      </c>
      <c r="L388" s="26">
        <f>IF(A388="","",BASE_CAIXA!J385)</f>
        <v>0</v>
      </c>
      <c r="M388" s="26" t="str">
        <f>IF(A388="","",BASE_CAIXA!AM385)</f>
        <v>Brita 01 para espalhamento | Brita 01 para espalhamento | Sa</v>
      </c>
      <c r="N388" s="26" t="str">
        <f t="shared" ca="1" si="15"/>
        <v>Previsto</v>
      </c>
      <c r="O388" s="13" t="str">
        <f>IFERROR(INDEX(EXTRATO_IMPORTADO!$A$5:$A$404,MATCH(B388,EXTRATO_IMPORTADO!$I$5:$I$404,0)),"")</f>
        <v/>
      </c>
      <c r="P388" s="14" t="str">
        <f>IFERROR(INDEX(EXTRATO_IMPORTADO!$F$5:$F$404,MATCH(B388,EXTRATO_IMPORTADO!$I$5:$I$404,0)),"")</f>
        <v/>
      </c>
      <c r="Q388" s="26" t="str">
        <f>IFERROR(INDEX(EXTRATO_IMPORTADO!$B$5:$B$404,MATCH(B388,EXTRATO_IMPORTADO!$I$5:$I$404,0)),"")</f>
        <v/>
      </c>
      <c r="R388" s="26" t="str">
        <f>IFERROR(MATCH(B388,EXTRATO_IMPORTADO!$I$5:$I$404,0),"")</f>
        <v/>
      </c>
      <c r="S388" s="14" t="str">
        <f t="shared" si="16"/>
        <v/>
      </c>
      <c r="T388" s="33" t="str">
        <f t="shared" si="17"/>
        <v/>
      </c>
    </row>
    <row r="389" spans="1:20" x14ac:dyDescent="0.3">
      <c r="A389" s="26">
        <f>IF(BASE_CAIXA!A386="","",BASE_CAIXA!A386)</f>
        <v>385</v>
      </c>
      <c r="B389" s="26" t="str">
        <f>IF(A389="","",BASE_CAIXA!AL386)</f>
        <v>000385-DB</v>
      </c>
      <c r="C389" s="13">
        <f>IF(A389="","",BASE_CAIXA!AJ386)</f>
        <v>46185</v>
      </c>
      <c r="D389" s="26" t="str">
        <f>IF(A389="","",IF(BASE_CAIXA!C386="Entrada","Crédito","Débito"))</f>
        <v>Débito</v>
      </c>
      <c r="E389" s="14">
        <f>IF(A389="","",BASE_CAIXA!AA386)</f>
        <v>3001.6</v>
      </c>
      <c r="F389" s="26">
        <f>IF(A389="","",BASE_CAIXA!N386)</f>
        <v>0</v>
      </c>
      <c r="G389" s="26">
        <f>IF(A389="","",BASE_CAIXA!O386)</f>
        <v>0</v>
      </c>
      <c r="H389" s="26">
        <f>IF(A389="","",BASE_CAIXA!P386)</f>
        <v>0</v>
      </c>
      <c r="I389" s="26" t="str">
        <f>IF(A389="","",IF(BASE_CAIXA!H386&lt;&gt;"",BASE_CAIXA!H386,BASE_CAIXA!G386))</f>
        <v>Mao de obra calçada acesso</v>
      </c>
      <c r="J389" s="26" t="str">
        <f>IF(A389="","",BASE_CAIXA!G386)</f>
        <v>Mao de obra calçada acesso</v>
      </c>
      <c r="K389" s="26">
        <f>IF(A389="","",BASE_CAIXA!I386)</f>
        <v>0</v>
      </c>
      <c r="L389" s="26">
        <f>IF(A389="","",BASE_CAIXA!J386)</f>
        <v>0</v>
      </c>
      <c r="M389" s="26" t="str">
        <f>IF(A389="","",BASE_CAIXA!AM386)</f>
        <v>Mao de obra calçada acesso | Mao de obra calçada acesso | Sa</v>
      </c>
      <c r="N389" s="26" t="str">
        <f t="shared" ref="N389:N452" ca="1" si="18">IF(A389="","",IF(R389&lt;&gt;"",IF(AND(ABS(S389)&lt;=0.01,ABS(T389)&lt;=3),"Conciliado","Divergente"),IF(TODAY()&gt;C389,"Pendente vencido","Previsto")))</f>
        <v>Previsto</v>
      </c>
      <c r="O389" s="13" t="str">
        <f>IFERROR(INDEX(EXTRATO_IMPORTADO!$A$5:$A$404,MATCH(B389,EXTRATO_IMPORTADO!$I$5:$I$404,0)),"")</f>
        <v/>
      </c>
      <c r="P389" s="14" t="str">
        <f>IFERROR(INDEX(EXTRATO_IMPORTADO!$F$5:$F$404,MATCH(B389,EXTRATO_IMPORTADO!$I$5:$I$404,0)),"")</f>
        <v/>
      </c>
      <c r="Q389" s="26" t="str">
        <f>IFERROR(INDEX(EXTRATO_IMPORTADO!$B$5:$B$404,MATCH(B389,EXTRATO_IMPORTADO!$I$5:$I$404,0)),"")</f>
        <v/>
      </c>
      <c r="R389" s="26" t="str">
        <f>IFERROR(MATCH(B389,EXTRATO_IMPORTADO!$I$5:$I$404,0),"")</f>
        <v/>
      </c>
      <c r="S389" s="14" t="str">
        <f t="shared" ref="S389:S452" si="19">IF(OR(A389="",P389=""),"",P389-E389)</f>
        <v/>
      </c>
      <c r="T389" s="33" t="str">
        <f t="shared" ref="T389:T452" si="20">IF(OR(A389="",O389=""),"",O389-C389)</f>
        <v/>
      </c>
    </row>
    <row r="390" spans="1:20" x14ac:dyDescent="0.3">
      <c r="A390" s="26">
        <f>IF(BASE_CAIXA!A387="","",BASE_CAIXA!A387)</f>
        <v>386</v>
      </c>
      <c r="B390" s="26" t="str">
        <f>IF(A390="","",BASE_CAIXA!AL387)</f>
        <v>000386-DB</v>
      </c>
      <c r="C390" s="13">
        <f>IF(A390="","",BASE_CAIXA!AJ387)</f>
        <v>46185</v>
      </c>
      <c r="D390" s="26" t="str">
        <f>IF(A390="","",IF(BASE_CAIXA!C387="Entrada","Crédito","Débito"))</f>
        <v>Débito</v>
      </c>
      <c r="E390" s="14">
        <f>IF(A390="","",BASE_CAIXA!AA387)</f>
        <v>640</v>
      </c>
      <c r="F390" s="26">
        <f>IF(A390="","",BASE_CAIXA!N387)</f>
        <v>0</v>
      </c>
      <c r="G390" s="26">
        <f>IF(A390="","",BASE_CAIXA!O387)</f>
        <v>0</v>
      </c>
      <c r="H390" s="26">
        <f>IF(A390="","",BASE_CAIXA!P387)</f>
        <v>0</v>
      </c>
      <c r="I390" s="26" t="str">
        <f>IF(A390="","",IF(BASE_CAIXA!H387&lt;&gt;"",BASE_CAIXA!H387,BASE_CAIXA!G387))</f>
        <v>Prego 17 x 27 cabeça simples</v>
      </c>
      <c r="J390" s="26" t="str">
        <f>IF(A390="","",BASE_CAIXA!G387)</f>
        <v>Prego 17 x 27 cabeça simples</v>
      </c>
      <c r="K390" s="26">
        <f>IF(A390="","",BASE_CAIXA!I387)</f>
        <v>0</v>
      </c>
      <c r="L390" s="26">
        <f>IF(A390="","",BASE_CAIXA!J387)</f>
        <v>0</v>
      </c>
      <c r="M390" s="26" t="str">
        <f>IF(A390="","",BASE_CAIXA!AM387)</f>
        <v xml:space="preserve">Prego 17 x 27 cabeça simples | Prego 17 x 27 cabeça simples </v>
      </c>
      <c r="N390" s="26" t="str">
        <f t="shared" ca="1" si="18"/>
        <v>Previsto</v>
      </c>
      <c r="O390" s="13" t="str">
        <f>IFERROR(INDEX(EXTRATO_IMPORTADO!$A$5:$A$404,MATCH(B390,EXTRATO_IMPORTADO!$I$5:$I$404,0)),"")</f>
        <v/>
      </c>
      <c r="P390" s="14" t="str">
        <f>IFERROR(INDEX(EXTRATO_IMPORTADO!$F$5:$F$404,MATCH(B390,EXTRATO_IMPORTADO!$I$5:$I$404,0)),"")</f>
        <v/>
      </c>
      <c r="Q390" s="26" t="str">
        <f>IFERROR(INDEX(EXTRATO_IMPORTADO!$B$5:$B$404,MATCH(B390,EXTRATO_IMPORTADO!$I$5:$I$404,0)),"")</f>
        <v/>
      </c>
      <c r="R390" s="26" t="str">
        <f>IFERROR(MATCH(B390,EXTRATO_IMPORTADO!$I$5:$I$404,0),"")</f>
        <v/>
      </c>
      <c r="S390" s="14" t="str">
        <f t="shared" si="19"/>
        <v/>
      </c>
      <c r="T390" s="33" t="str">
        <f t="shared" si="20"/>
        <v/>
      </c>
    </row>
    <row r="391" spans="1:20" x14ac:dyDescent="0.3">
      <c r="A391" s="26">
        <f>IF(BASE_CAIXA!A388="","",BASE_CAIXA!A388)</f>
        <v>387</v>
      </c>
      <c r="B391" s="26" t="str">
        <f>IF(A391="","",BASE_CAIXA!AL388)</f>
        <v>000387-DB</v>
      </c>
      <c r="C391" s="13">
        <f>IF(A391="","",BASE_CAIXA!AJ388)</f>
        <v>46185</v>
      </c>
      <c r="D391" s="26" t="str">
        <f>IF(A391="","",IF(BASE_CAIXA!C388="Entrada","Crédito","Débito"))</f>
        <v>Débito</v>
      </c>
      <c r="E391" s="14">
        <f>IF(A391="","",BASE_CAIXA!AA388)</f>
        <v>1292.1600000000001</v>
      </c>
      <c r="F391" s="26">
        <f>IF(A391="","",BASE_CAIXA!N388)</f>
        <v>0</v>
      </c>
      <c r="G391" s="26">
        <f>IF(A391="","",BASE_CAIXA!O388)</f>
        <v>0</v>
      </c>
      <c r="H391" s="26">
        <f>IF(A391="","",BASE_CAIXA!P388)</f>
        <v>0</v>
      </c>
      <c r="I391" s="26" t="str">
        <f>IF(A391="","",IF(BASE_CAIXA!H388&lt;&gt;"",BASE_CAIXA!H388,BASE_CAIXA!G388))</f>
        <v>Sarrafo 2,5x7,5x600cm em pinus</v>
      </c>
      <c r="J391" s="26" t="str">
        <f>IF(A391="","",BASE_CAIXA!G388)</f>
        <v>Sarrafo 2,5x7,5x600cm em pinus</v>
      </c>
      <c r="K391" s="26">
        <f>IF(A391="","",BASE_CAIXA!I388)</f>
        <v>0</v>
      </c>
      <c r="L391" s="26">
        <f>IF(A391="","",BASE_CAIXA!J388)</f>
        <v>0</v>
      </c>
      <c r="M391" s="26" t="str">
        <f>IF(A391="","",BASE_CAIXA!AM388)</f>
        <v>Sarrafo 2,5x7,5x600cm em pinus | Sarrafo 2,5x7,5x600cm em pi</v>
      </c>
      <c r="N391" s="26" t="str">
        <f t="shared" ca="1" si="18"/>
        <v>Previsto</v>
      </c>
      <c r="O391" s="13" t="str">
        <f>IFERROR(INDEX(EXTRATO_IMPORTADO!$A$5:$A$404,MATCH(B391,EXTRATO_IMPORTADO!$I$5:$I$404,0)),"")</f>
        <v/>
      </c>
      <c r="P391" s="14" t="str">
        <f>IFERROR(INDEX(EXTRATO_IMPORTADO!$F$5:$F$404,MATCH(B391,EXTRATO_IMPORTADO!$I$5:$I$404,0)),"")</f>
        <v/>
      </c>
      <c r="Q391" s="26" t="str">
        <f>IFERROR(INDEX(EXTRATO_IMPORTADO!$B$5:$B$404,MATCH(B391,EXTRATO_IMPORTADO!$I$5:$I$404,0)),"")</f>
        <v/>
      </c>
      <c r="R391" s="26" t="str">
        <f>IFERROR(MATCH(B391,EXTRATO_IMPORTADO!$I$5:$I$404,0),"")</f>
        <v/>
      </c>
      <c r="S391" s="14" t="str">
        <f t="shared" si="19"/>
        <v/>
      </c>
      <c r="T391" s="33" t="str">
        <f t="shared" si="20"/>
        <v/>
      </c>
    </row>
    <row r="392" spans="1:20" x14ac:dyDescent="0.3">
      <c r="A392" s="26">
        <f>IF(BASE_CAIXA!A389="","",BASE_CAIXA!A389)</f>
        <v>388</v>
      </c>
      <c r="B392" s="26" t="str">
        <f>IF(A392="","",BASE_CAIXA!AL389)</f>
        <v>000388-DB</v>
      </c>
      <c r="C392" s="13">
        <f>IF(A392="","",BASE_CAIXA!AJ389)</f>
        <v>46185</v>
      </c>
      <c r="D392" s="26" t="str">
        <f>IF(A392="","",IF(BASE_CAIXA!C389="Entrada","Crédito","Débito"))</f>
        <v>Débito</v>
      </c>
      <c r="E392" s="14">
        <f>IF(A392="","",BASE_CAIXA!AA389)</f>
        <v>3196.8</v>
      </c>
      <c r="F392" s="26">
        <f>IF(A392="","",BASE_CAIXA!N389)</f>
        <v>0</v>
      </c>
      <c r="G392" s="26">
        <f>IF(A392="","",BASE_CAIXA!O389)</f>
        <v>0</v>
      </c>
      <c r="H392" s="26">
        <f>IF(A392="","",BASE_CAIXA!P389)</f>
        <v>0</v>
      </c>
      <c r="I392" s="26" t="str">
        <f>IF(A392="","",IF(BASE_CAIXA!H389&lt;&gt;"",BASE_CAIXA!H389,BASE_CAIXA!G389))</f>
        <v>Tela Q - 61 aço CA50 a c/10 4.2mm</v>
      </c>
      <c r="J392" s="26" t="str">
        <f>IF(A392="","",BASE_CAIXA!G389)</f>
        <v>Tela Q - 61 aço CA50 a c/10 4.2mm</v>
      </c>
      <c r="K392" s="26">
        <f>IF(A392="","",BASE_CAIXA!I389)</f>
        <v>0</v>
      </c>
      <c r="L392" s="26">
        <f>IF(A392="","",BASE_CAIXA!J389)</f>
        <v>0</v>
      </c>
      <c r="M392" s="26" t="str">
        <f>IF(A392="","",BASE_CAIXA!AM389)</f>
        <v>Tela Q - 61 aço CA50 a c/10 4.2mm | Tela Q - 61 aço CA50 a c</v>
      </c>
      <c r="N392" s="26" t="str">
        <f t="shared" ca="1" si="18"/>
        <v>Previsto</v>
      </c>
      <c r="O392" s="13" t="str">
        <f>IFERROR(INDEX(EXTRATO_IMPORTADO!$A$5:$A$404,MATCH(B392,EXTRATO_IMPORTADO!$I$5:$I$404,0)),"")</f>
        <v/>
      </c>
      <c r="P392" s="14" t="str">
        <f>IFERROR(INDEX(EXTRATO_IMPORTADO!$F$5:$F$404,MATCH(B392,EXTRATO_IMPORTADO!$I$5:$I$404,0)),"")</f>
        <v/>
      </c>
      <c r="Q392" s="26" t="str">
        <f>IFERROR(INDEX(EXTRATO_IMPORTADO!$B$5:$B$404,MATCH(B392,EXTRATO_IMPORTADO!$I$5:$I$404,0)),"")</f>
        <v/>
      </c>
      <c r="R392" s="26" t="str">
        <f>IFERROR(MATCH(B392,EXTRATO_IMPORTADO!$I$5:$I$404,0),"")</f>
        <v/>
      </c>
      <c r="S392" s="14" t="str">
        <f t="shared" si="19"/>
        <v/>
      </c>
      <c r="T392" s="33" t="str">
        <f t="shared" si="20"/>
        <v/>
      </c>
    </row>
    <row r="393" spans="1:20" x14ac:dyDescent="0.3">
      <c r="A393" s="26">
        <f>IF(BASE_CAIXA!A390="","",BASE_CAIXA!A390)</f>
        <v>389</v>
      </c>
      <c r="B393" s="26" t="str">
        <f>IF(A393="","",BASE_CAIXA!AL390)</f>
        <v>000389-DB</v>
      </c>
      <c r="C393" s="13">
        <f>IF(A393="","",BASE_CAIXA!AJ390)</f>
        <v>46185</v>
      </c>
      <c r="D393" s="26" t="str">
        <f>IF(A393="","",IF(BASE_CAIXA!C390="Entrada","Crédito","Débito"))</f>
        <v>Débito</v>
      </c>
      <c r="E393" s="14">
        <f>IF(A393="","",BASE_CAIXA!AA390)</f>
        <v>15872</v>
      </c>
      <c r="F393" s="26">
        <f>IF(A393="","",BASE_CAIXA!N390)</f>
        <v>0</v>
      </c>
      <c r="G393" s="26">
        <f>IF(A393="","",BASE_CAIXA!O390)</f>
        <v>0</v>
      </c>
      <c r="H393" s="26">
        <f>IF(A393="","",BASE_CAIXA!P390)</f>
        <v>0</v>
      </c>
      <c r="I393" s="26" t="str">
        <f>IF(A393="","",IF(BASE_CAIXA!H390&lt;&gt;"",BASE_CAIXA!H390,BASE_CAIXA!G390))</f>
        <v>concreto usinado FCK 20 Mpa</v>
      </c>
      <c r="J393" s="26" t="str">
        <f>IF(A393="","",BASE_CAIXA!G390)</f>
        <v>concreto usinado FCK 20 Mpa</v>
      </c>
      <c r="K393" s="26">
        <f>IF(A393="","",BASE_CAIXA!I390)</f>
        <v>0</v>
      </c>
      <c r="L393" s="26">
        <f>IF(A393="","",BASE_CAIXA!J390)</f>
        <v>0</v>
      </c>
      <c r="M393" s="26" t="str">
        <f>IF(A393="","",BASE_CAIXA!AM390)</f>
        <v xml:space="preserve">concreto usinado FCK 20 Mpa | concreto usinado FCK 20 Mpa | </v>
      </c>
      <c r="N393" s="26" t="str">
        <f t="shared" ca="1" si="18"/>
        <v>Previsto</v>
      </c>
      <c r="O393" s="13" t="str">
        <f>IFERROR(INDEX(EXTRATO_IMPORTADO!$A$5:$A$404,MATCH(B393,EXTRATO_IMPORTADO!$I$5:$I$404,0)),"")</f>
        <v/>
      </c>
      <c r="P393" s="14" t="str">
        <f>IFERROR(INDEX(EXTRATO_IMPORTADO!$F$5:$F$404,MATCH(B393,EXTRATO_IMPORTADO!$I$5:$I$404,0)),"")</f>
        <v/>
      </c>
      <c r="Q393" s="26" t="str">
        <f>IFERROR(INDEX(EXTRATO_IMPORTADO!$B$5:$B$404,MATCH(B393,EXTRATO_IMPORTADO!$I$5:$I$404,0)),"")</f>
        <v/>
      </c>
      <c r="R393" s="26" t="str">
        <f>IFERROR(MATCH(B393,EXTRATO_IMPORTADO!$I$5:$I$404,0),"")</f>
        <v/>
      </c>
      <c r="S393" s="14" t="str">
        <f t="shared" si="19"/>
        <v/>
      </c>
      <c r="T393" s="33" t="str">
        <f t="shared" si="20"/>
        <v/>
      </c>
    </row>
    <row r="394" spans="1:20" x14ac:dyDescent="0.3">
      <c r="A394" s="26">
        <f>IF(BASE_CAIXA!A391="","",BASE_CAIXA!A391)</f>
        <v>390</v>
      </c>
      <c r="B394" s="26" t="str">
        <f>IF(A394="","",BASE_CAIXA!AL391)</f>
        <v>000390-DB</v>
      </c>
      <c r="C394" s="13">
        <f>IF(A394="","",BASE_CAIXA!AJ391)</f>
        <v>46185</v>
      </c>
      <c r="D394" s="26" t="str">
        <f>IF(A394="","",IF(BASE_CAIXA!C391="Entrada","Crédito","Débito"))</f>
        <v>Débito</v>
      </c>
      <c r="E394" s="14">
        <f>IF(A394="","",BASE_CAIXA!AA391)</f>
        <v>21190</v>
      </c>
      <c r="F394" s="26">
        <f>IF(A394="","",BASE_CAIXA!N391)</f>
        <v>0</v>
      </c>
      <c r="G394" s="26">
        <f>IF(A394="","",BASE_CAIXA!O391)</f>
        <v>0</v>
      </c>
      <c r="H394" s="26">
        <f>IF(A394="","",BASE_CAIXA!P391)</f>
        <v>0</v>
      </c>
      <c r="I394" s="26" t="str">
        <f>IF(A394="","",IF(BASE_CAIXA!H391&lt;&gt;"",BASE_CAIXA!H391,BASE_CAIXA!G391))</f>
        <v>CARTAO CREDITO SUCOPIRA</v>
      </c>
      <c r="J394" s="26" t="str">
        <f>IF(A394="","",BASE_CAIXA!G391)</f>
        <v>CARTAO CREDITO SUCOPIRA</v>
      </c>
      <c r="K394" s="26">
        <f>IF(A394="","",BASE_CAIXA!I391)</f>
        <v>0</v>
      </c>
      <c r="L394" s="26">
        <f>IF(A394="","",BASE_CAIXA!J391)</f>
        <v>0</v>
      </c>
      <c r="M394" s="26" t="str">
        <f>IF(A394="","",BASE_CAIXA!AM391)</f>
        <v xml:space="preserve">CARTAO CREDITO SUCOPIRA | CARTAO CREDITO SUCOPIRA | Saída | </v>
      </c>
      <c r="N394" s="26" t="str">
        <f t="shared" ca="1" si="18"/>
        <v>Previsto</v>
      </c>
      <c r="O394" s="13" t="str">
        <f>IFERROR(INDEX(EXTRATO_IMPORTADO!$A$5:$A$404,MATCH(B394,EXTRATO_IMPORTADO!$I$5:$I$404,0)),"")</f>
        <v/>
      </c>
      <c r="P394" s="14" t="str">
        <f>IFERROR(INDEX(EXTRATO_IMPORTADO!$F$5:$F$404,MATCH(B394,EXTRATO_IMPORTADO!$I$5:$I$404,0)),"")</f>
        <v/>
      </c>
      <c r="Q394" s="26" t="str">
        <f>IFERROR(INDEX(EXTRATO_IMPORTADO!$B$5:$B$404,MATCH(B394,EXTRATO_IMPORTADO!$I$5:$I$404,0)),"")</f>
        <v/>
      </c>
      <c r="R394" s="26" t="str">
        <f>IFERROR(MATCH(B394,EXTRATO_IMPORTADO!$I$5:$I$404,0),"")</f>
        <v/>
      </c>
      <c r="S394" s="14" t="str">
        <f t="shared" si="19"/>
        <v/>
      </c>
      <c r="T394" s="33" t="str">
        <f t="shared" si="20"/>
        <v/>
      </c>
    </row>
    <row r="395" spans="1:20" x14ac:dyDescent="0.3">
      <c r="A395" s="26">
        <f>IF(BASE_CAIXA!A392="","",BASE_CAIXA!A392)</f>
        <v>391</v>
      </c>
      <c r="B395" s="26" t="str">
        <f>IF(A395="","",BASE_CAIXA!AL392)</f>
        <v>000391-DB</v>
      </c>
      <c r="C395" s="13">
        <f>IF(A395="","",BASE_CAIXA!AJ392)</f>
        <v>46185</v>
      </c>
      <c r="D395" s="26" t="str">
        <f>IF(A395="","",IF(BASE_CAIXA!C392="Entrada","Crédito","Débito"))</f>
        <v>Débito</v>
      </c>
      <c r="E395" s="14">
        <f>IF(A395="","",BASE_CAIXA!AA392)</f>
        <v>214716.35</v>
      </c>
      <c r="F395" s="26">
        <f>IF(A395="","",BASE_CAIXA!N392)</f>
        <v>0</v>
      </c>
      <c r="G395" s="26">
        <f>IF(A395="","",BASE_CAIXA!O392)</f>
        <v>0</v>
      </c>
      <c r="H395" s="26">
        <f>IF(A395="","",BASE_CAIXA!P392)</f>
        <v>0</v>
      </c>
      <c r="I395" s="26" t="str">
        <f>IF(A395="","",IF(BASE_CAIXA!H392&lt;&gt;"",BASE_CAIXA!H392,BASE_CAIXA!G392))</f>
        <v>EMPRESTIMO BRADESCO</v>
      </c>
      <c r="J395" s="26" t="str">
        <f>IF(A395="","",BASE_CAIXA!G392)</f>
        <v>EMPRESTIMO BRADESCO</v>
      </c>
      <c r="K395" s="26">
        <f>IF(A395="","",BASE_CAIXA!I392)</f>
        <v>0</v>
      </c>
      <c r="L395" s="26">
        <f>IF(A395="","",BASE_CAIXA!J392)</f>
        <v>0</v>
      </c>
      <c r="M395" s="26" t="str">
        <f>IF(A395="","",BASE_CAIXA!AM392)</f>
        <v xml:space="preserve">EMPRESTIMO BRADESCO | EMPRESTIMO BRADESCO | Saída | CAPITAL </v>
      </c>
      <c r="N395" s="26" t="str">
        <f t="shared" ca="1" si="18"/>
        <v>Previsto</v>
      </c>
      <c r="O395" s="13" t="str">
        <f>IFERROR(INDEX(EXTRATO_IMPORTADO!$A$5:$A$404,MATCH(B395,EXTRATO_IMPORTADO!$I$5:$I$404,0)),"")</f>
        <v/>
      </c>
      <c r="P395" s="14" t="str">
        <f>IFERROR(INDEX(EXTRATO_IMPORTADO!$F$5:$F$404,MATCH(B395,EXTRATO_IMPORTADO!$I$5:$I$404,0)),"")</f>
        <v/>
      </c>
      <c r="Q395" s="26" t="str">
        <f>IFERROR(INDEX(EXTRATO_IMPORTADO!$B$5:$B$404,MATCH(B395,EXTRATO_IMPORTADO!$I$5:$I$404,0)),"")</f>
        <v/>
      </c>
      <c r="R395" s="26" t="str">
        <f>IFERROR(MATCH(B395,EXTRATO_IMPORTADO!$I$5:$I$404,0),"")</f>
        <v/>
      </c>
      <c r="S395" s="14" t="str">
        <f t="shared" si="19"/>
        <v/>
      </c>
      <c r="T395" s="33" t="str">
        <f t="shared" si="20"/>
        <v/>
      </c>
    </row>
    <row r="396" spans="1:20" x14ac:dyDescent="0.3">
      <c r="A396" s="26">
        <f>IF(BASE_CAIXA!A393="","",BASE_CAIXA!A393)</f>
        <v>392</v>
      </c>
      <c r="B396" s="26" t="str">
        <f>IF(A396="","",BASE_CAIXA!AL393)</f>
        <v>000392-DB</v>
      </c>
      <c r="C396" s="13">
        <f>IF(A396="","",BASE_CAIXA!AJ393)</f>
        <v>46185</v>
      </c>
      <c r="D396" s="26" t="str">
        <f>IF(A396="","",IF(BASE_CAIXA!C393="Entrada","Crédito","Débito"))</f>
        <v>Débito</v>
      </c>
      <c r="E396" s="14">
        <f>IF(A396="","",BASE_CAIXA!AA393)</f>
        <v>7670</v>
      </c>
      <c r="F396" s="26">
        <f>IF(A396="","",BASE_CAIXA!N393)</f>
        <v>0</v>
      </c>
      <c r="G396" s="26">
        <f>IF(A396="","",BASE_CAIXA!O393)</f>
        <v>0</v>
      </c>
      <c r="H396" s="26">
        <f>IF(A396="","",BASE_CAIXA!P393)</f>
        <v>0</v>
      </c>
      <c r="I396" s="26" t="str">
        <f>IF(A396="","",IF(BASE_CAIXA!H393&lt;&gt;"",BASE_CAIXA!H393,BASE_CAIXA!G393))</f>
        <v>EMPRÉSTIMO EXTRA</v>
      </c>
      <c r="J396" s="26" t="str">
        <f>IF(A396="","",BASE_CAIXA!G393)</f>
        <v>EMPRÉSTIMO EXTRA</v>
      </c>
      <c r="K396" s="26">
        <f>IF(A396="","",BASE_CAIXA!I393)</f>
        <v>0</v>
      </c>
      <c r="L396" s="26">
        <f>IF(A396="","",BASE_CAIXA!J393)</f>
        <v>0</v>
      </c>
      <c r="M396" s="26" t="str">
        <f>IF(A396="","",BASE_CAIXA!AM393)</f>
        <v>EMPRÉSTIMO EXTRA | EMPRÉSTIMO EXTRA | Saída | CAPITAL DE GIR</v>
      </c>
      <c r="N396" s="26" t="str">
        <f t="shared" ca="1" si="18"/>
        <v>Previsto</v>
      </c>
      <c r="O396" s="13" t="str">
        <f>IFERROR(INDEX(EXTRATO_IMPORTADO!$A$5:$A$404,MATCH(B396,EXTRATO_IMPORTADO!$I$5:$I$404,0)),"")</f>
        <v/>
      </c>
      <c r="P396" s="14" t="str">
        <f>IFERROR(INDEX(EXTRATO_IMPORTADO!$F$5:$F$404,MATCH(B396,EXTRATO_IMPORTADO!$I$5:$I$404,0)),"")</f>
        <v/>
      </c>
      <c r="Q396" s="26" t="str">
        <f>IFERROR(INDEX(EXTRATO_IMPORTADO!$B$5:$B$404,MATCH(B396,EXTRATO_IMPORTADO!$I$5:$I$404,0)),"")</f>
        <v/>
      </c>
      <c r="R396" s="26" t="str">
        <f>IFERROR(MATCH(B396,EXTRATO_IMPORTADO!$I$5:$I$404,0),"")</f>
        <v/>
      </c>
      <c r="S396" s="14" t="str">
        <f t="shared" si="19"/>
        <v/>
      </c>
      <c r="T396" s="33" t="str">
        <f t="shared" si="20"/>
        <v/>
      </c>
    </row>
    <row r="397" spans="1:20" x14ac:dyDescent="0.3">
      <c r="A397" s="26">
        <f>IF(BASE_CAIXA!A394="","",BASE_CAIXA!A394)</f>
        <v>393</v>
      </c>
      <c r="B397" s="26" t="str">
        <f>IF(A397="","",BASE_CAIXA!AL394)</f>
        <v>000393-DB</v>
      </c>
      <c r="C397" s="13">
        <f>IF(A397="","",BASE_CAIXA!AJ394)</f>
        <v>46185</v>
      </c>
      <c r="D397" s="26" t="str">
        <f>IF(A397="","",IF(BASE_CAIXA!C394="Entrada","Crédito","Débito"))</f>
        <v>Débito</v>
      </c>
      <c r="E397" s="14">
        <f>IF(A397="","",BASE_CAIXA!AA394)</f>
        <v>248000</v>
      </c>
      <c r="F397" s="26">
        <f>IF(A397="","",BASE_CAIXA!N394)</f>
        <v>0</v>
      </c>
      <c r="G397" s="26">
        <f>IF(A397="","",BASE_CAIXA!O394)</f>
        <v>0</v>
      </c>
      <c r="H397" s="26">
        <f>IF(A397="","",BASE_CAIXA!P394)</f>
        <v>0</v>
      </c>
      <c r="I397" s="26" t="str">
        <f>IF(A397="","",IF(BASE_CAIXA!H394&lt;&gt;"",BASE_CAIXA!H394,BASE_CAIXA!G394))</f>
        <v>ITAU</v>
      </c>
      <c r="J397" s="26" t="str">
        <f>IF(A397="","",BASE_CAIXA!G394)</f>
        <v>ITAU</v>
      </c>
      <c r="K397" s="26">
        <f>IF(A397="","",BASE_CAIXA!I394)</f>
        <v>0</v>
      </c>
      <c r="L397" s="26">
        <f>IF(A397="","",BASE_CAIXA!J394)</f>
        <v>0</v>
      </c>
      <c r="M397" s="26" t="str">
        <f>IF(A397="","",BASE_CAIXA!AM394)</f>
        <v>ITAU | ITAU | Saída | CAPITAL DE GIRO</v>
      </c>
      <c r="N397" s="26" t="str">
        <f t="shared" ca="1" si="18"/>
        <v>Previsto</v>
      </c>
      <c r="O397" s="13" t="str">
        <f>IFERROR(INDEX(EXTRATO_IMPORTADO!$A$5:$A$404,MATCH(B397,EXTRATO_IMPORTADO!$I$5:$I$404,0)),"")</f>
        <v/>
      </c>
      <c r="P397" s="14" t="str">
        <f>IFERROR(INDEX(EXTRATO_IMPORTADO!$F$5:$F$404,MATCH(B397,EXTRATO_IMPORTADO!$I$5:$I$404,0)),"")</f>
        <v/>
      </c>
      <c r="Q397" s="26" t="str">
        <f>IFERROR(INDEX(EXTRATO_IMPORTADO!$B$5:$B$404,MATCH(B397,EXTRATO_IMPORTADO!$I$5:$I$404,0)),"")</f>
        <v/>
      </c>
      <c r="R397" s="26" t="str">
        <f>IFERROR(MATCH(B397,EXTRATO_IMPORTADO!$I$5:$I$404,0),"")</f>
        <v/>
      </c>
      <c r="S397" s="14" t="str">
        <f t="shared" si="19"/>
        <v/>
      </c>
      <c r="T397" s="33" t="str">
        <f t="shared" si="20"/>
        <v/>
      </c>
    </row>
    <row r="398" spans="1:20" x14ac:dyDescent="0.3">
      <c r="A398" s="26">
        <f>IF(BASE_CAIXA!A395="","",BASE_CAIXA!A395)</f>
        <v>394</v>
      </c>
      <c r="B398" s="26" t="str">
        <f>IF(A398="","",BASE_CAIXA!AL395)</f>
        <v>000394-DB</v>
      </c>
      <c r="C398" s="13">
        <f>IF(A398="","",BASE_CAIXA!AJ395)</f>
        <v>46185</v>
      </c>
      <c r="D398" s="26" t="str">
        <f>IF(A398="","",IF(BASE_CAIXA!C395="Entrada","Crédito","Débito"))</f>
        <v>Débito</v>
      </c>
      <c r="E398" s="14">
        <f>IF(A398="","",BASE_CAIXA!AA395)</f>
        <v>52453.29</v>
      </c>
      <c r="F398" s="26">
        <f>IF(A398="","",BASE_CAIXA!N395)</f>
        <v>0</v>
      </c>
      <c r="G398" s="26">
        <f>IF(A398="","",BASE_CAIXA!O395)</f>
        <v>0</v>
      </c>
      <c r="H398" s="26">
        <f>IF(A398="","",BASE_CAIXA!P395)</f>
        <v>0</v>
      </c>
      <c r="I398" s="26" t="str">
        <f>IF(A398="","",IF(BASE_CAIXA!H395&lt;&gt;"",BASE_CAIXA!H395,BASE_CAIXA!G395))</f>
        <v>NUBANK</v>
      </c>
      <c r="J398" s="26" t="str">
        <f>IF(A398="","",BASE_CAIXA!G395)</f>
        <v>NUBANK</v>
      </c>
      <c r="K398" s="26">
        <f>IF(A398="","",BASE_CAIXA!I395)</f>
        <v>0</v>
      </c>
      <c r="L398" s="26">
        <f>IF(A398="","",BASE_CAIXA!J395)</f>
        <v>0</v>
      </c>
      <c r="M398" s="26" t="str">
        <f>IF(A398="","",BASE_CAIXA!AM395)</f>
        <v>NUBANK | NUBANK | Saída | CAPITAL DE GIRO</v>
      </c>
      <c r="N398" s="26" t="str">
        <f t="shared" ca="1" si="18"/>
        <v>Previsto</v>
      </c>
      <c r="O398" s="13" t="str">
        <f>IFERROR(INDEX(EXTRATO_IMPORTADO!$A$5:$A$404,MATCH(B398,EXTRATO_IMPORTADO!$I$5:$I$404,0)),"")</f>
        <v/>
      </c>
      <c r="P398" s="14" t="str">
        <f>IFERROR(INDEX(EXTRATO_IMPORTADO!$F$5:$F$404,MATCH(B398,EXTRATO_IMPORTADO!$I$5:$I$404,0)),"")</f>
        <v/>
      </c>
      <c r="Q398" s="26" t="str">
        <f>IFERROR(INDEX(EXTRATO_IMPORTADO!$B$5:$B$404,MATCH(B398,EXTRATO_IMPORTADO!$I$5:$I$404,0)),"")</f>
        <v/>
      </c>
      <c r="R398" s="26" t="str">
        <f>IFERROR(MATCH(B398,EXTRATO_IMPORTADO!$I$5:$I$404,0),"")</f>
        <v/>
      </c>
      <c r="S398" s="14" t="str">
        <f t="shared" si="19"/>
        <v/>
      </c>
      <c r="T398" s="33" t="str">
        <f t="shared" si="20"/>
        <v/>
      </c>
    </row>
    <row r="399" spans="1:20" x14ac:dyDescent="0.3">
      <c r="A399" s="26">
        <f>IF(BASE_CAIXA!A396="","",BASE_CAIXA!A396)</f>
        <v>395</v>
      </c>
      <c r="B399" s="26" t="str">
        <f>IF(A399="","",BASE_CAIXA!AL396)</f>
        <v>000395-DB</v>
      </c>
      <c r="C399" s="13">
        <f>IF(A399="","",BASE_CAIXA!AJ396)</f>
        <v>46185</v>
      </c>
      <c r="D399" s="26" t="str">
        <f>IF(A399="","",IF(BASE_CAIXA!C396="Entrada","Crédito","Débito"))</f>
        <v>Débito</v>
      </c>
      <c r="E399" s="14">
        <f>IF(A399="","",BASE_CAIXA!AA396)</f>
        <v>25102.560000000001</v>
      </c>
      <c r="F399" s="26">
        <f>IF(A399="","",BASE_CAIXA!N396)</f>
        <v>0</v>
      </c>
      <c r="G399" s="26">
        <f>IF(A399="","",BASE_CAIXA!O396)</f>
        <v>0</v>
      </c>
      <c r="H399" s="26">
        <f>IF(A399="","",BASE_CAIXA!P396)</f>
        <v>0</v>
      </c>
      <c r="I399" s="26" t="str">
        <f>IF(A399="","",IF(BASE_CAIXA!H396&lt;&gt;"",BASE_CAIXA!H396,BASE_CAIXA!G396))</f>
        <v>Mao de obra terceirizada montagem e telhamento</v>
      </c>
      <c r="J399" s="26" t="str">
        <f>IF(A399="","",BASE_CAIXA!G396)</f>
        <v>Mao de obra terceirizada montagem e telhamento</v>
      </c>
      <c r="K399" s="26">
        <f>IF(A399="","",BASE_CAIXA!I396)</f>
        <v>0</v>
      </c>
      <c r="L399" s="26">
        <f>IF(A399="","",BASE_CAIXA!J396)</f>
        <v>0</v>
      </c>
      <c r="M399" s="26" t="str">
        <f>IF(A399="","",BASE_CAIXA!AM396)</f>
        <v>Mao de obra terceirizada montagem e telhamento | Mao de obra</v>
      </c>
      <c r="N399" s="26" t="str">
        <f t="shared" ca="1" si="18"/>
        <v>Previsto</v>
      </c>
      <c r="O399" s="13" t="str">
        <f>IFERROR(INDEX(EXTRATO_IMPORTADO!$A$5:$A$404,MATCH(B399,EXTRATO_IMPORTADO!$I$5:$I$404,0)),"")</f>
        <v/>
      </c>
      <c r="P399" s="14" t="str">
        <f>IFERROR(INDEX(EXTRATO_IMPORTADO!$F$5:$F$404,MATCH(B399,EXTRATO_IMPORTADO!$I$5:$I$404,0)),"")</f>
        <v/>
      </c>
      <c r="Q399" s="26" t="str">
        <f>IFERROR(INDEX(EXTRATO_IMPORTADO!$B$5:$B$404,MATCH(B399,EXTRATO_IMPORTADO!$I$5:$I$404,0)),"")</f>
        <v/>
      </c>
      <c r="R399" s="26" t="str">
        <f>IFERROR(MATCH(B399,EXTRATO_IMPORTADO!$I$5:$I$404,0),"")</f>
        <v/>
      </c>
      <c r="S399" s="14" t="str">
        <f t="shared" si="19"/>
        <v/>
      </c>
      <c r="T399" s="33" t="str">
        <f t="shared" si="20"/>
        <v/>
      </c>
    </row>
    <row r="400" spans="1:20" x14ac:dyDescent="0.3">
      <c r="A400" s="26">
        <f>IF(BASE_CAIXA!A397="","",BASE_CAIXA!A397)</f>
        <v>396</v>
      </c>
      <c r="B400" s="26" t="str">
        <f>IF(A400="","",BASE_CAIXA!AL397)</f>
        <v>000396-DB</v>
      </c>
      <c r="C400" s="13">
        <f>IF(A400="","",BASE_CAIXA!AJ397)</f>
        <v>46185</v>
      </c>
      <c r="D400" s="26" t="str">
        <f>IF(A400="","",IF(BASE_CAIXA!C397="Entrada","Crédito","Débito"))</f>
        <v>Débito</v>
      </c>
      <c r="E400" s="14">
        <f>IF(A400="","",BASE_CAIXA!AA397)</f>
        <v>2932.16</v>
      </c>
      <c r="F400" s="26">
        <f>IF(A400="","",BASE_CAIXA!N397)</f>
        <v>0</v>
      </c>
      <c r="G400" s="26">
        <f>IF(A400="","",BASE_CAIXA!O397)</f>
        <v>0</v>
      </c>
      <c r="H400" s="26">
        <f>IF(A400="","",BASE_CAIXA!P397)</f>
        <v>0</v>
      </c>
      <c r="I400" s="26" t="str">
        <f>IF(A400="","",IF(BASE_CAIXA!H397&lt;&gt;"",BASE_CAIXA!H397,BASE_CAIXA!G397))</f>
        <v>Parafuso telheiro 1/4" x 110 mm com arruela/vedante: 150 un.</v>
      </c>
      <c r="J400" s="26" t="str">
        <f>IF(A400="","",BASE_CAIXA!G397)</f>
        <v>Parafuso telheiro 1/4" x 110 mm com arruela/vedante: 150 un.</v>
      </c>
      <c r="K400" s="26">
        <f>IF(A400="","",BASE_CAIXA!I397)</f>
        <v>0</v>
      </c>
      <c r="L400" s="26">
        <f>IF(A400="","",BASE_CAIXA!J397)</f>
        <v>0</v>
      </c>
      <c r="M400" s="26" t="str">
        <f>IF(A400="","",BASE_CAIXA!AM397)</f>
        <v>Parafuso telheiro 1/4" x 110 mm com arruela/vedante: 150 un.</v>
      </c>
      <c r="N400" s="26" t="str">
        <f t="shared" ca="1" si="18"/>
        <v>Previsto</v>
      </c>
      <c r="O400" s="13" t="str">
        <f>IFERROR(INDEX(EXTRATO_IMPORTADO!$A$5:$A$404,MATCH(B400,EXTRATO_IMPORTADO!$I$5:$I$404,0)),"")</f>
        <v/>
      </c>
      <c r="P400" s="14" t="str">
        <f>IFERROR(INDEX(EXTRATO_IMPORTADO!$F$5:$F$404,MATCH(B400,EXTRATO_IMPORTADO!$I$5:$I$404,0)),"")</f>
        <v/>
      </c>
      <c r="Q400" s="26" t="str">
        <f>IFERROR(INDEX(EXTRATO_IMPORTADO!$B$5:$B$404,MATCH(B400,EXTRATO_IMPORTADO!$I$5:$I$404,0)),"")</f>
        <v/>
      </c>
      <c r="R400" s="26" t="str">
        <f>IFERROR(MATCH(B400,EXTRATO_IMPORTADO!$I$5:$I$404,0),"")</f>
        <v/>
      </c>
      <c r="S400" s="14" t="str">
        <f t="shared" si="19"/>
        <v/>
      </c>
      <c r="T400" s="33" t="str">
        <f t="shared" si="20"/>
        <v/>
      </c>
    </row>
    <row r="401" spans="1:20" x14ac:dyDescent="0.3">
      <c r="A401" s="26">
        <f>IF(BASE_CAIXA!A398="","",BASE_CAIXA!A398)</f>
        <v>397</v>
      </c>
      <c r="B401" s="26" t="str">
        <f>IF(A401="","",BASE_CAIXA!AL398)</f>
        <v>000397-DB</v>
      </c>
      <c r="C401" s="13">
        <f>IF(A401="","",BASE_CAIXA!AJ398)</f>
        <v>46185</v>
      </c>
      <c r="D401" s="26" t="str">
        <f>IF(A401="","",IF(BASE_CAIXA!C398="Entrada","Crédito","Débito"))</f>
        <v>Débito</v>
      </c>
      <c r="E401" s="14">
        <f>IF(A401="","",BASE_CAIXA!AA398)</f>
        <v>8000</v>
      </c>
      <c r="F401" s="26">
        <f>IF(A401="","",BASE_CAIXA!N398)</f>
        <v>0</v>
      </c>
      <c r="G401" s="26">
        <f>IF(A401="","",BASE_CAIXA!O398)</f>
        <v>0</v>
      </c>
      <c r="H401" s="26">
        <f>IF(A401="","",BASE_CAIXA!P398)</f>
        <v>0</v>
      </c>
      <c r="I401" s="26" t="str">
        <f>IF(A401="","",IF(BASE_CAIXA!H398&lt;&gt;"",BASE_CAIXA!H398,BASE_CAIXA!G398))</f>
        <v>LOGISTICA GESTÃO VISITA À OBRA</v>
      </c>
      <c r="J401" s="26" t="str">
        <f>IF(A401="","",BASE_CAIXA!G398)</f>
        <v>LOGISTICA GESTÃO VISITA À OBRA</v>
      </c>
      <c r="K401" s="26">
        <f>IF(A401="","",BASE_CAIXA!I398)</f>
        <v>0</v>
      </c>
      <c r="L401" s="26">
        <f>IF(A401="","",BASE_CAIXA!J398)</f>
        <v>0</v>
      </c>
      <c r="M401" s="26" t="str">
        <f>IF(A401="","",BASE_CAIXA!AM398)</f>
        <v>LOGISTICA GESTÃO VISITA À OBRA | LOGISTICA GESTÃO VISITA À O</v>
      </c>
      <c r="N401" s="26" t="str">
        <f t="shared" ca="1" si="18"/>
        <v>Previsto</v>
      </c>
      <c r="O401" s="13" t="str">
        <f>IFERROR(INDEX(EXTRATO_IMPORTADO!$A$5:$A$404,MATCH(B401,EXTRATO_IMPORTADO!$I$5:$I$404,0)),"")</f>
        <v/>
      </c>
      <c r="P401" s="14" t="str">
        <f>IFERROR(INDEX(EXTRATO_IMPORTADO!$F$5:$F$404,MATCH(B401,EXTRATO_IMPORTADO!$I$5:$I$404,0)),"")</f>
        <v/>
      </c>
      <c r="Q401" s="26" t="str">
        <f>IFERROR(INDEX(EXTRATO_IMPORTADO!$B$5:$B$404,MATCH(B401,EXTRATO_IMPORTADO!$I$5:$I$404,0)),"")</f>
        <v/>
      </c>
      <c r="R401" s="26" t="str">
        <f>IFERROR(MATCH(B401,EXTRATO_IMPORTADO!$I$5:$I$404,0),"")</f>
        <v/>
      </c>
      <c r="S401" s="14" t="str">
        <f t="shared" si="19"/>
        <v/>
      </c>
      <c r="T401" s="33" t="str">
        <f t="shared" si="20"/>
        <v/>
      </c>
    </row>
    <row r="402" spans="1:20" x14ac:dyDescent="0.3">
      <c r="A402" s="26">
        <f>IF(BASE_CAIXA!A399="","",BASE_CAIXA!A399)</f>
        <v>398</v>
      </c>
      <c r="B402" s="26" t="str">
        <f>IF(A402="","",BASE_CAIXA!AL399)</f>
        <v>000398-DB</v>
      </c>
      <c r="C402" s="13">
        <f>IF(A402="","",BASE_CAIXA!AJ399)</f>
        <v>46185</v>
      </c>
      <c r="D402" s="26" t="str">
        <f>IF(A402="","",IF(BASE_CAIXA!C399="Entrada","Crédito","Débito"))</f>
        <v>Débito</v>
      </c>
      <c r="E402" s="14">
        <f>IF(A402="","",BASE_CAIXA!AA399)</f>
        <v>5247.2000000000007</v>
      </c>
      <c r="F402" s="26">
        <f>IF(A402="","",BASE_CAIXA!N399)</f>
        <v>0</v>
      </c>
      <c r="G402" s="26">
        <f>IF(A402="","",BASE_CAIXA!O399)</f>
        <v>0</v>
      </c>
      <c r="H402" s="26">
        <f>IF(A402="","",BASE_CAIXA!P399)</f>
        <v>0</v>
      </c>
      <c r="I402" s="26" t="str">
        <f>IF(A402="","",IF(BASE_CAIXA!H399&lt;&gt;"",BASE_CAIXA!H399,BASE_CAIXA!G399))</f>
        <v>Mao de obra terceirizada Pontos eletricos completos  + quadro</v>
      </c>
      <c r="J402" s="26" t="str">
        <f>IF(A402="","",BASE_CAIXA!G399)</f>
        <v>Mao de obra terceirizada Pontos eletricos completos  + quadro</v>
      </c>
      <c r="K402" s="26">
        <f>IF(A402="","",BASE_CAIXA!I399)</f>
        <v>0</v>
      </c>
      <c r="L402" s="26">
        <f>IF(A402="","",BASE_CAIXA!J399)</f>
        <v>0</v>
      </c>
      <c r="M402" s="26" t="str">
        <f>IF(A402="","",BASE_CAIXA!AM399)</f>
        <v>Mao de obra terceirizada Pontos eletricos completos  + quadr</v>
      </c>
      <c r="N402" s="26" t="str">
        <f t="shared" ca="1" si="18"/>
        <v>Previsto</v>
      </c>
      <c r="O402" s="13" t="str">
        <f>IFERROR(INDEX(EXTRATO_IMPORTADO!$A$5:$A$404,MATCH(B402,EXTRATO_IMPORTADO!$I$5:$I$404,0)),"")</f>
        <v/>
      </c>
      <c r="P402" s="14" t="str">
        <f>IFERROR(INDEX(EXTRATO_IMPORTADO!$F$5:$F$404,MATCH(B402,EXTRATO_IMPORTADO!$I$5:$I$404,0)),"")</f>
        <v/>
      </c>
      <c r="Q402" s="26" t="str">
        <f>IFERROR(INDEX(EXTRATO_IMPORTADO!$B$5:$B$404,MATCH(B402,EXTRATO_IMPORTADO!$I$5:$I$404,0)),"")</f>
        <v/>
      </c>
      <c r="R402" s="26" t="str">
        <f>IFERROR(MATCH(B402,EXTRATO_IMPORTADO!$I$5:$I$404,0),"")</f>
        <v/>
      </c>
      <c r="S402" s="14" t="str">
        <f t="shared" si="19"/>
        <v/>
      </c>
      <c r="T402" s="33" t="str">
        <f t="shared" si="20"/>
        <v/>
      </c>
    </row>
    <row r="403" spans="1:20" x14ac:dyDescent="0.3">
      <c r="A403" s="26">
        <f>IF(BASE_CAIXA!A400="","",BASE_CAIXA!A400)</f>
        <v>399</v>
      </c>
      <c r="B403" s="26" t="str">
        <f>IF(A403="","",BASE_CAIXA!AL400)</f>
        <v>000399-DB</v>
      </c>
      <c r="C403" s="13">
        <f>IF(A403="","",BASE_CAIXA!AJ400)</f>
        <v>46185</v>
      </c>
      <c r="D403" s="26" t="str">
        <f>IF(A403="","",IF(BASE_CAIXA!C400="Entrada","Crédito","Débito"))</f>
        <v>Débito</v>
      </c>
      <c r="E403" s="14">
        <f>IF(A403="","",BASE_CAIXA!AA400)</f>
        <v>2248.8000000000002</v>
      </c>
      <c r="F403" s="26">
        <f>IF(A403="","",BASE_CAIXA!N400)</f>
        <v>0</v>
      </c>
      <c r="G403" s="26">
        <f>IF(A403="","",BASE_CAIXA!O400)</f>
        <v>0</v>
      </c>
      <c r="H403" s="26">
        <f>IF(A403="","",BASE_CAIXA!P400)</f>
        <v>0</v>
      </c>
      <c r="I403" s="26" t="str">
        <f>IF(A403="","",IF(BASE_CAIXA!H400&lt;&gt;"",BASE_CAIXA!H400,BASE_CAIXA!G400))</f>
        <v>Mao de obra terceirizada colocaçao Espelhos, lampadas e testes</v>
      </c>
      <c r="J403" s="26" t="str">
        <f>IF(A403="","",BASE_CAIXA!G400)</f>
        <v>Mao de obra terceirizada colocaçao Espelhos, lampadas e testes</v>
      </c>
      <c r="K403" s="26">
        <f>IF(A403="","",BASE_CAIXA!I400)</f>
        <v>0</v>
      </c>
      <c r="L403" s="26">
        <f>IF(A403="","",BASE_CAIXA!J400)</f>
        <v>0</v>
      </c>
      <c r="M403" s="26" t="str">
        <f>IF(A403="","",BASE_CAIXA!AM400)</f>
        <v>Mao de obra terceirizada colocaçao Espelhos, lampadas e test</v>
      </c>
      <c r="N403" s="26" t="str">
        <f t="shared" ca="1" si="18"/>
        <v>Previsto</v>
      </c>
      <c r="O403" s="13" t="str">
        <f>IFERROR(INDEX(EXTRATO_IMPORTADO!$A$5:$A$404,MATCH(B403,EXTRATO_IMPORTADO!$I$5:$I$404,0)),"")</f>
        <v/>
      </c>
      <c r="P403" s="14" t="str">
        <f>IFERROR(INDEX(EXTRATO_IMPORTADO!$F$5:$F$404,MATCH(B403,EXTRATO_IMPORTADO!$I$5:$I$404,0)),"")</f>
        <v/>
      </c>
      <c r="Q403" s="26" t="str">
        <f>IFERROR(INDEX(EXTRATO_IMPORTADO!$B$5:$B$404,MATCH(B403,EXTRATO_IMPORTADO!$I$5:$I$404,0)),"")</f>
        <v/>
      </c>
      <c r="R403" s="26" t="str">
        <f>IFERROR(MATCH(B403,EXTRATO_IMPORTADO!$I$5:$I$404,0),"")</f>
        <v/>
      </c>
      <c r="S403" s="14" t="str">
        <f t="shared" si="19"/>
        <v/>
      </c>
      <c r="T403" s="33" t="str">
        <f t="shared" si="20"/>
        <v/>
      </c>
    </row>
    <row r="404" spans="1:20" x14ac:dyDescent="0.3">
      <c r="A404" s="26">
        <f>IF(BASE_CAIXA!A401="","",BASE_CAIXA!A401)</f>
        <v>400</v>
      </c>
      <c r="B404" s="26" t="str">
        <f>IF(A404="","",BASE_CAIXA!AL401)</f>
        <v>000400-DB</v>
      </c>
      <c r="C404" s="13">
        <f>IF(A404="","",BASE_CAIXA!AJ401)</f>
        <v>46185</v>
      </c>
      <c r="D404" s="26" t="str">
        <f>IF(A404="","",IF(BASE_CAIXA!C401="Entrada","Crédito","Débito"))</f>
        <v>Débito</v>
      </c>
      <c r="E404" s="14">
        <f>IF(A404="","",BASE_CAIXA!AA401)</f>
        <v>17356.071936</v>
      </c>
      <c r="F404" s="26">
        <f>IF(A404="","",BASE_CAIXA!N401)</f>
        <v>0</v>
      </c>
      <c r="G404" s="26">
        <f>IF(A404="","",BASE_CAIXA!O401)</f>
        <v>0</v>
      </c>
      <c r="H404" s="26">
        <f>IF(A404="","",BASE_CAIXA!P401)</f>
        <v>0</v>
      </c>
      <c r="I404" s="26" t="str">
        <f>IF(A404="","",IF(BASE_CAIXA!H401&lt;&gt;"",BASE_CAIXA!H401,BASE_CAIXA!G401))</f>
        <v>Mao de obra terceirizada Emassamento e lixamento  interno paredes e teto</v>
      </c>
      <c r="J404" s="26" t="str">
        <f>IF(A404="","",BASE_CAIXA!G401)</f>
        <v>Mao de obra terceirizada Emassamento e lixamento  interno paredes e teto</v>
      </c>
      <c r="K404" s="26">
        <f>IF(A404="","",BASE_CAIXA!I401)</f>
        <v>0</v>
      </c>
      <c r="L404" s="26">
        <f>IF(A404="","",BASE_CAIXA!J401)</f>
        <v>0</v>
      </c>
      <c r="M404" s="26" t="str">
        <f>IF(A404="","",BASE_CAIXA!AM401)</f>
        <v>Mao de obra terceirizada Emassamento e lixamento  interno pa</v>
      </c>
      <c r="N404" s="26" t="str">
        <f t="shared" ca="1" si="18"/>
        <v>Previsto</v>
      </c>
      <c r="O404" s="13" t="str">
        <f>IFERROR(INDEX(EXTRATO_IMPORTADO!$A$5:$A$404,MATCH(B404,EXTRATO_IMPORTADO!$I$5:$I$404,0)),"")</f>
        <v/>
      </c>
      <c r="P404" s="14" t="str">
        <f>IFERROR(INDEX(EXTRATO_IMPORTADO!$F$5:$F$404,MATCH(B404,EXTRATO_IMPORTADO!$I$5:$I$404,0)),"")</f>
        <v/>
      </c>
      <c r="Q404" s="26" t="str">
        <f>IFERROR(INDEX(EXTRATO_IMPORTADO!$B$5:$B$404,MATCH(B404,EXTRATO_IMPORTADO!$I$5:$I$404,0)),"")</f>
        <v/>
      </c>
      <c r="R404" s="26" t="str">
        <f>IFERROR(MATCH(B404,EXTRATO_IMPORTADO!$I$5:$I$404,0),"")</f>
        <v/>
      </c>
      <c r="S404" s="14" t="str">
        <f t="shared" si="19"/>
        <v/>
      </c>
      <c r="T404" s="33" t="str">
        <f t="shared" si="20"/>
        <v/>
      </c>
    </row>
    <row r="405" spans="1:20" x14ac:dyDescent="0.3">
      <c r="A405" s="26">
        <f>IF(BASE_CAIXA!A402="","",BASE_CAIXA!A402)</f>
        <v>401</v>
      </c>
      <c r="B405" s="26" t="str">
        <f>IF(A405="","",BASE_CAIXA!AL402)</f>
        <v>000401-DB</v>
      </c>
      <c r="C405" s="13">
        <f>IF(A405="","",BASE_CAIXA!AJ402)</f>
        <v>46185</v>
      </c>
      <c r="D405" s="26" t="str">
        <f>IF(A405="","",IF(BASE_CAIXA!C402="Entrada","Crédito","Débito"))</f>
        <v>Débito</v>
      </c>
      <c r="E405" s="14">
        <f>IF(A405="","",BASE_CAIXA!AA402)</f>
        <v>6544</v>
      </c>
      <c r="F405" s="26">
        <f>IF(A405="","",BASE_CAIXA!N402)</f>
        <v>0</v>
      </c>
      <c r="G405" s="26">
        <f>IF(A405="","",BASE_CAIXA!O402)</f>
        <v>0</v>
      </c>
      <c r="H405" s="26">
        <f>IF(A405="","",BASE_CAIXA!P402)</f>
        <v>0</v>
      </c>
      <c r="I405" s="26" t="str">
        <f>IF(A405="","",IF(BASE_CAIXA!H402&lt;&gt;"",BASE_CAIXA!H402,BASE_CAIXA!G402))</f>
        <v>Kit cavalete e hidrômetro - padrão corsan</v>
      </c>
      <c r="J405" s="26" t="str">
        <f>IF(A405="","",BASE_CAIXA!G402)</f>
        <v>Kit cavalete e hidrômetro - padrão corsan</v>
      </c>
      <c r="K405" s="26">
        <f>IF(A405="","",BASE_CAIXA!I402)</f>
        <v>0</v>
      </c>
      <c r="L405" s="26">
        <f>IF(A405="","",BASE_CAIXA!J402)</f>
        <v>0</v>
      </c>
      <c r="M405" s="26" t="str">
        <f>IF(A405="","",BASE_CAIXA!AM402)</f>
        <v>Kit cavalete e hidrômetro - padrão corsan | Kit cavalete e h</v>
      </c>
      <c r="N405" s="26" t="str">
        <f t="shared" ca="1" si="18"/>
        <v>Previsto</v>
      </c>
      <c r="O405" s="13" t="str">
        <f>IFERROR(INDEX(EXTRATO_IMPORTADO!$A$5:$A$404,MATCH(B405,EXTRATO_IMPORTADO!$I$5:$I$404,0)),"")</f>
        <v/>
      </c>
      <c r="P405" s="14" t="str">
        <f>IFERROR(INDEX(EXTRATO_IMPORTADO!$F$5:$F$404,MATCH(B405,EXTRATO_IMPORTADO!$I$5:$I$404,0)),"")</f>
        <v/>
      </c>
      <c r="Q405" s="26" t="str">
        <f>IFERROR(INDEX(EXTRATO_IMPORTADO!$B$5:$B$404,MATCH(B405,EXTRATO_IMPORTADO!$I$5:$I$404,0)),"")</f>
        <v/>
      </c>
      <c r="R405" s="26" t="str">
        <f>IFERROR(MATCH(B405,EXTRATO_IMPORTADO!$I$5:$I$404,0),"")</f>
        <v/>
      </c>
      <c r="S405" s="14" t="str">
        <f t="shared" si="19"/>
        <v/>
      </c>
      <c r="T405" s="33" t="str">
        <f t="shared" si="20"/>
        <v/>
      </c>
    </row>
    <row r="406" spans="1:20" x14ac:dyDescent="0.3">
      <c r="A406" s="26">
        <f>IF(BASE_CAIXA!A403="","",BASE_CAIXA!A403)</f>
        <v>402</v>
      </c>
      <c r="B406" s="26" t="str">
        <f>IF(A406="","",BASE_CAIXA!AL403)</f>
        <v>000402-DB</v>
      </c>
      <c r="C406" s="13">
        <f>IF(A406="","",BASE_CAIXA!AJ403)</f>
        <v>46185</v>
      </c>
      <c r="D406" s="26" t="str">
        <f>IF(A406="","",IF(BASE_CAIXA!C403="Entrada","Crédito","Débito"))</f>
        <v>Débito</v>
      </c>
      <c r="E406" s="14">
        <f>IF(A406="","",BASE_CAIXA!AA403)</f>
        <v>17600</v>
      </c>
      <c r="F406" s="26">
        <f>IF(A406="","",BASE_CAIXA!N403)</f>
        <v>0</v>
      </c>
      <c r="G406" s="26">
        <f>IF(A406="","",BASE_CAIXA!O403)</f>
        <v>0</v>
      </c>
      <c r="H406" s="26">
        <f>IF(A406="","",BASE_CAIXA!P403)</f>
        <v>0</v>
      </c>
      <c r="I406" s="26" t="str">
        <f>IF(A406="","",IF(BASE_CAIXA!H403&lt;&gt;"",BASE_CAIXA!H403,BASE_CAIXA!G403))</f>
        <v>Mureta padrão corsan com caixa de polietileno padrão corsan instalada</v>
      </c>
      <c r="J406" s="26" t="str">
        <f>IF(A406="","",BASE_CAIXA!G403)</f>
        <v>Mureta padrão corsan com caixa de polietileno padrão corsan instalada</v>
      </c>
      <c r="K406" s="26">
        <f>IF(A406="","",BASE_CAIXA!I403)</f>
        <v>0</v>
      </c>
      <c r="L406" s="26">
        <f>IF(A406="","",BASE_CAIXA!J403)</f>
        <v>0</v>
      </c>
      <c r="M406" s="26" t="str">
        <f>IF(A406="","",BASE_CAIXA!AM403)</f>
        <v xml:space="preserve">Mureta padrão corsan com caixa de polietileno padrão corsan </v>
      </c>
      <c r="N406" s="26" t="str">
        <f t="shared" ca="1" si="18"/>
        <v>Previsto</v>
      </c>
      <c r="O406" s="13" t="str">
        <f>IFERROR(INDEX(EXTRATO_IMPORTADO!$A$5:$A$404,MATCH(B406,EXTRATO_IMPORTADO!$I$5:$I$404,0)),"")</f>
        <v/>
      </c>
      <c r="P406" s="14" t="str">
        <f>IFERROR(INDEX(EXTRATO_IMPORTADO!$F$5:$F$404,MATCH(B406,EXTRATO_IMPORTADO!$I$5:$I$404,0)),"")</f>
        <v/>
      </c>
      <c r="Q406" s="26" t="str">
        <f>IFERROR(INDEX(EXTRATO_IMPORTADO!$B$5:$B$404,MATCH(B406,EXTRATO_IMPORTADO!$I$5:$I$404,0)),"")</f>
        <v/>
      </c>
      <c r="R406" s="26" t="str">
        <f>IFERROR(MATCH(B406,EXTRATO_IMPORTADO!$I$5:$I$404,0),"")</f>
        <v/>
      </c>
      <c r="S406" s="14" t="str">
        <f t="shared" si="19"/>
        <v/>
      </c>
      <c r="T406" s="33" t="str">
        <f t="shared" si="20"/>
        <v/>
      </c>
    </row>
    <row r="407" spans="1:20" x14ac:dyDescent="0.3">
      <c r="A407" s="26">
        <f>IF(BASE_CAIXA!A404="","",BASE_CAIXA!A404)</f>
        <v>403</v>
      </c>
      <c r="B407" s="26" t="str">
        <f>IF(A407="","",BASE_CAIXA!AL404)</f>
        <v>000403-DB</v>
      </c>
      <c r="C407" s="13">
        <f>IF(A407="","",BASE_CAIXA!AJ404)</f>
        <v>46185</v>
      </c>
      <c r="D407" s="26" t="str">
        <f>IF(A407="","",IF(BASE_CAIXA!C404="Entrada","Crédito","Débito"))</f>
        <v>Débito</v>
      </c>
      <c r="E407" s="14">
        <f>IF(A407="","",BASE_CAIXA!AA404)</f>
        <v>16173.6</v>
      </c>
      <c r="F407" s="26">
        <f>IF(A407="","",BASE_CAIXA!N404)</f>
        <v>0</v>
      </c>
      <c r="G407" s="26">
        <f>IF(A407="","",BASE_CAIXA!O404)</f>
        <v>0</v>
      </c>
      <c r="H407" s="26">
        <f>IF(A407="","",BASE_CAIXA!P404)</f>
        <v>0</v>
      </c>
      <c r="I407" s="26" t="str">
        <f>IF(A407="","",IF(BASE_CAIXA!H404&lt;&gt;"",BASE_CAIXA!H404,BASE_CAIXA!G404))</f>
        <v>Mao de obra terceirizada colocaçao de Esquadrias aluminio</v>
      </c>
      <c r="J407" s="26" t="str">
        <f>IF(A407="","",BASE_CAIXA!G404)</f>
        <v>Mao de obra terceirizada colocaçao de Esquadrias aluminio</v>
      </c>
      <c r="K407" s="26">
        <f>IF(A407="","",BASE_CAIXA!I404)</f>
        <v>0</v>
      </c>
      <c r="L407" s="26">
        <f>IF(A407="","",BASE_CAIXA!J404)</f>
        <v>0</v>
      </c>
      <c r="M407" s="26" t="str">
        <f>IF(A407="","",BASE_CAIXA!AM404)</f>
        <v xml:space="preserve">Mao de obra terceirizada colocaçao de Esquadrias aluminio | </v>
      </c>
      <c r="N407" s="26" t="str">
        <f t="shared" ca="1" si="18"/>
        <v>Previsto</v>
      </c>
      <c r="O407" s="13" t="str">
        <f>IFERROR(INDEX(EXTRATO_IMPORTADO!$A$5:$A$404,MATCH(B407,EXTRATO_IMPORTADO!$I$5:$I$404,0)),"")</f>
        <v/>
      </c>
      <c r="P407" s="14" t="str">
        <f>IFERROR(INDEX(EXTRATO_IMPORTADO!$F$5:$F$404,MATCH(B407,EXTRATO_IMPORTADO!$I$5:$I$404,0)),"")</f>
        <v/>
      </c>
      <c r="Q407" s="26" t="str">
        <f>IFERROR(INDEX(EXTRATO_IMPORTADO!$B$5:$B$404,MATCH(B407,EXTRATO_IMPORTADO!$I$5:$I$404,0)),"")</f>
        <v/>
      </c>
      <c r="R407" s="26" t="str">
        <f>IFERROR(MATCH(B407,EXTRATO_IMPORTADO!$I$5:$I$404,0),"")</f>
        <v/>
      </c>
      <c r="S407" s="14" t="str">
        <f t="shared" si="19"/>
        <v/>
      </c>
      <c r="T407" s="33" t="str">
        <f t="shared" si="20"/>
        <v/>
      </c>
    </row>
    <row r="408" spans="1:20" x14ac:dyDescent="0.3">
      <c r="A408" s="26">
        <f>IF(BASE_CAIXA!A405="","",BASE_CAIXA!A405)</f>
        <v>404</v>
      </c>
      <c r="B408" s="26" t="str">
        <f>IF(A408="","",BASE_CAIXA!AL405)</f>
        <v>000404-DB</v>
      </c>
      <c r="C408" s="13">
        <f>IF(A408="","",BASE_CAIXA!AJ405)</f>
        <v>46185</v>
      </c>
      <c r="D408" s="26" t="str">
        <f>IF(A408="","",IF(BASE_CAIXA!C405="Entrada","Crédito","Débito"))</f>
        <v>Débito</v>
      </c>
      <c r="E408" s="14">
        <f>IF(A408="","",BASE_CAIXA!AA405)</f>
        <v>6801.9840000000004</v>
      </c>
      <c r="F408" s="26">
        <f>IF(A408="","",BASE_CAIXA!N405)</f>
        <v>0</v>
      </c>
      <c r="G408" s="26">
        <f>IF(A408="","",BASE_CAIXA!O405)</f>
        <v>0</v>
      </c>
      <c r="H408" s="26">
        <f>IF(A408="","",BASE_CAIXA!P405)</f>
        <v>0</v>
      </c>
      <c r="I408" s="26" t="str">
        <f>IF(A408="","",IF(BASE_CAIXA!H405&lt;&gt;"",BASE_CAIXA!H405,BASE_CAIXA!G405))</f>
        <v>Mao de obra Impermeabilização de áreas úmidas</v>
      </c>
      <c r="J408" s="26" t="str">
        <f>IF(A408="","",BASE_CAIXA!G405)</f>
        <v>Mao de obra Impermeabilização de áreas úmidas</v>
      </c>
      <c r="K408" s="26">
        <f>IF(A408="","",BASE_CAIXA!I405)</f>
        <v>0</v>
      </c>
      <c r="L408" s="26">
        <f>IF(A408="","",BASE_CAIXA!J405)</f>
        <v>0</v>
      </c>
      <c r="M408" s="26" t="str">
        <f>IF(A408="","",BASE_CAIXA!AM405)</f>
        <v xml:space="preserve">Mao de obra Impermeabilização de áreas úmidas | Mao de obra </v>
      </c>
      <c r="N408" s="26" t="str">
        <f t="shared" ca="1" si="18"/>
        <v>Previsto</v>
      </c>
      <c r="O408" s="13" t="str">
        <f>IFERROR(INDEX(EXTRATO_IMPORTADO!$A$5:$A$404,MATCH(B408,EXTRATO_IMPORTADO!$I$5:$I$404,0)),"")</f>
        <v/>
      </c>
      <c r="P408" s="14" t="str">
        <f>IFERROR(INDEX(EXTRATO_IMPORTADO!$F$5:$F$404,MATCH(B408,EXTRATO_IMPORTADO!$I$5:$I$404,0)),"")</f>
        <v/>
      </c>
      <c r="Q408" s="26" t="str">
        <f>IFERROR(INDEX(EXTRATO_IMPORTADO!$B$5:$B$404,MATCH(B408,EXTRATO_IMPORTADO!$I$5:$I$404,0)),"")</f>
        <v/>
      </c>
      <c r="R408" s="26" t="str">
        <f>IFERROR(MATCH(B408,EXTRATO_IMPORTADO!$I$5:$I$404,0),"")</f>
        <v/>
      </c>
      <c r="S408" s="14" t="str">
        <f t="shared" si="19"/>
        <v/>
      </c>
      <c r="T408" s="33" t="str">
        <f t="shared" si="20"/>
        <v/>
      </c>
    </row>
    <row r="409" spans="1:20" x14ac:dyDescent="0.3">
      <c r="A409" s="26">
        <f>IF(BASE_CAIXA!A406="","",BASE_CAIXA!A406)</f>
        <v>405</v>
      </c>
      <c r="B409" s="26" t="str">
        <f>IF(A409="","",BASE_CAIXA!AL406)</f>
        <v>000405-DB</v>
      </c>
      <c r="C409" s="13">
        <f>IF(A409="","",BASE_CAIXA!AJ406)</f>
        <v>46185</v>
      </c>
      <c r="D409" s="26" t="str">
        <f>IF(A409="","",IF(BASE_CAIXA!C406="Entrada","Crédito","Débito"))</f>
        <v>Débito</v>
      </c>
      <c r="E409" s="14">
        <f>IF(A409="","",BASE_CAIXA!AA406)</f>
        <v>246.88</v>
      </c>
      <c r="F409" s="26">
        <f>IF(A409="","",BASE_CAIXA!N406)</f>
        <v>0</v>
      </c>
      <c r="G409" s="26">
        <f>IF(A409="","",BASE_CAIXA!O406)</f>
        <v>0</v>
      </c>
      <c r="H409" s="26">
        <f>IF(A409="","",BASE_CAIXA!P406)</f>
        <v>0</v>
      </c>
      <c r="I409" s="26" t="str">
        <f>IF(A409="","",IF(BASE_CAIXA!H406&lt;&gt;"",BASE_CAIXA!H406,BASE_CAIXA!G406))</f>
        <v>DESINFETANTE 5L</v>
      </c>
      <c r="J409" s="26" t="str">
        <f>IF(A409="","",BASE_CAIXA!G406)</f>
        <v>DESINFETANTE 5L</v>
      </c>
      <c r="K409" s="26">
        <f>IF(A409="","",BASE_CAIXA!I406)</f>
        <v>0</v>
      </c>
      <c r="L409" s="26">
        <f>IF(A409="","",BASE_CAIXA!J406)</f>
        <v>0</v>
      </c>
      <c r="M409" s="26" t="str">
        <f>IF(A409="","",BASE_CAIXA!AM406)</f>
        <v>DESINFETANTE 5L | DESINFETANTE 5L | Saída | LIMPEZA FINAL</v>
      </c>
      <c r="N409" s="26" t="str">
        <f t="shared" ca="1" si="18"/>
        <v>Previsto</v>
      </c>
      <c r="O409" s="13" t="str">
        <f>IFERROR(INDEX(EXTRATO_IMPORTADO!$A$5:$A$404,MATCH(B409,EXTRATO_IMPORTADO!$I$5:$I$404,0)),"")</f>
        <v/>
      </c>
      <c r="P409" s="14" t="str">
        <f>IFERROR(INDEX(EXTRATO_IMPORTADO!$F$5:$F$404,MATCH(B409,EXTRATO_IMPORTADO!$I$5:$I$404,0)),"")</f>
        <v/>
      </c>
      <c r="Q409" s="26" t="str">
        <f>IFERROR(INDEX(EXTRATO_IMPORTADO!$B$5:$B$404,MATCH(B409,EXTRATO_IMPORTADO!$I$5:$I$404,0)),"")</f>
        <v/>
      </c>
      <c r="R409" s="26" t="str">
        <f>IFERROR(MATCH(B409,EXTRATO_IMPORTADO!$I$5:$I$404,0),"")</f>
        <v/>
      </c>
      <c r="S409" s="14" t="str">
        <f t="shared" si="19"/>
        <v/>
      </c>
      <c r="T409" s="33" t="str">
        <f t="shared" si="20"/>
        <v/>
      </c>
    </row>
    <row r="410" spans="1:20" x14ac:dyDescent="0.3">
      <c r="A410" s="26">
        <f>IF(BASE_CAIXA!A407="","",BASE_CAIXA!A407)</f>
        <v>406</v>
      </c>
      <c r="B410" s="26" t="str">
        <f>IF(A410="","",BASE_CAIXA!AL407)</f>
        <v>000406-DB</v>
      </c>
      <c r="C410" s="13">
        <f>IF(A410="","",BASE_CAIXA!AJ407)</f>
        <v>46185</v>
      </c>
      <c r="D410" s="26" t="str">
        <f>IF(A410="","",IF(BASE_CAIXA!C407="Entrada","Crédito","Débito"))</f>
        <v>Débito</v>
      </c>
      <c r="E410" s="14">
        <f>IF(A410="","",BASE_CAIXA!AA407)</f>
        <v>250.72</v>
      </c>
      <c r="F410" s="26">
        <f>IF(A410="","",BASE_CAIXA!N407)</f>
        <v>0</v>
      </c>
      <c r="G410" s="26">
        <f>IF(A410="","",BASE_CAIXA!O407)</f>
        <v>0</v>
      </c>
      <c r="H410" s="26">
        <f>IF(A410="","",BASE_CAIXA!P407)</f>
        <v>0</v>
      </c>
      <c r="I410" s="26" t="str">
        <f>IF(A410="","",IF(BASE_CAIXA!H407&lt;&gt;"",BASE_CAIXA!H407,BASE_CAIXA!G407))</f>
        <v>DETERGENTE 5L</v>
      </c>
      <c r="J410" s="26" t="str">
        <f>IF(A410="","",BASE_CAIXA!G407)</f>
        <v>DETERGENTE 5L</v>
      </c>
      <c r="K410" s="26">
        <f>IF(A410="","",BASE_CAIXA!I407)</f>
        <v>0</v>
      </c>
      <c r="L410" s="26">
        <f>IF(A410="","",BASE_CAIXA!J407)</f>
        <v>0</v>
      </c>
      <c r="M410" s="26" t="str">
        <f>IF(A410="","",BASE_CAIXA!AM407)</f>
        <v>DETERGENTE 5L | DETERGENTE 5L | Saída | LIMPEZA FINAL</v>
      </c>
      <c r="N410" s="26" t="str">
        <f t="shared" ca="1" si="18"/>
        <v>Previsto</v>
      </c>
      <c r="O410" s="13" t="str">
        <f>IFERROR(INDEX(EXTRATO_IMPORTADO!$A$5:$A$404,MATCH(B410,EXTRATO_IMPORTADO!$I$5:$I$404,0)),"")</f>
        <v/>
      </c>
      <c r="P410" s="14" t="str">
        <f>IFERROR(INDEX(EXTRATO_IMPORTADO!$F$5:$F$404,MATCH(B410,EXTRATO_IMPORTADO!$I$5:$I$404,0)),"")</f>
        <v/>
      </c>
      <c r="Q410" s="26" t="str">
        <f>IFERROR(INDEX(EXTRATO_IMPORTADO!$B$5:$B$404,MATCH(B410,EXTRATO_IMPORTADO!$I$5:$I$404,0)),"")</f>
        <v/>
      </c>
      <c r="R410" s="26" t="str">
        <f>IFERROR(MATCH(B410,EXTRATO_IMPORTADO!$I$5:$I$404,0),"")</f>
        <v/>
      </c>
      <c r="S410" s="14" t="str">
        <f t="shared" si="19"/>
        <v/>
      </c>
      <c r="T410" s="33" t="str">
        <f t="shared" si="20"/>
        <v/>
      </c>
    </row>
    <row r="411" spans="1:20" x14ac:dyDescent="0.3">
      <c r="A411" s="26">
        <f>IF(BASE_CAIXA!A408="","",BASE_CAIXA!A408)</f>
        <v>407</v>
      </c>
      <c r="B411" s="26" t="str">
        <f>IF(A411="","",BASE_CAIXA!AL408)</f>
        <v>000407-DB</v>
      </c>
      <c r="C411" s="13">
        <f>IF(A411="","",BASE_CAIXA!AJ408)</f>
        <v>46185</v>
      </c>
      <c r="D411" s="26" t="str">
        <f>IF(A411="","",IF(BASE_CAIXA!C408="Entrada","Crédito","Débito"))</f>
        <v>Débito</v>
      </c>
      <c r="E411" s="14">
        <f>IF(A411="","",BASE_CAIXA!AA408)</f>
        <v>931.48294400000009</v>
      </c>
      <c r="F411" s="26">
        <f>IF(A411="","",BASE_CAIXA!N408)</f>
        <v>0</v>
      </c>
      <c r="G411" s="26">
        <f>IF(A411="","",BASE_CAIXA!O408)</f>
        <v>0</v>
      </c>
      <c r="H411" s="26">
        <f>IF(A411="","",BASE_CAIXA!P408)</f>
        <v>0</v>
      </c>
      <c r="I411" s="26" t="str">
        <f>IF(A411="","",IF(BASE_CAIXA!H408&lt;&gt;"",BASE_CAIXA!H408,BASE_CAIXA!G408))</f>
        <v>Mao de obra terceirizada limpeza final</v>
      </c>
      <c r="J411" s="26" t="str">
        <f>IF(A411="","",BASE_CAIXA!G408)</f>
        <v>Mao de obra terceirizada limpeza final</v>
      </c>
      <c r="K411" s="26">
        <f>IF(A411="","",BASE_CAIXA!I408)</f>
        <v>0</v>
      </c>
      <c r="L411" s="26">
        <f>IF(A411="","",BASE_CAIXA!J408)</f>
        <v>0</v>
      </c>
      <c r="M411" s="26" t="str">
        <f>IF(A411="","",BASE_CAIXA!AM408)</f>
        <v>Mao de obra terceirizada limpeza final | Mao de obra terceir</v>
      </c>
      <c r="N411" s="26" t="str">
        <f t="shared" ca="1" si="18"/>
        <v>Previsto</v>
      </c>
      <c r="O411" s="13" t="str">
        <f>IFERROR(INDEX(EXTRATO_IMPORTADO!$A$5:$A$404,MATCH(B411,EXTRATO_IMPORTADO!$I$5:$I$404,0)),"")</f>
        <v/>
      </c>
      <c r="P411" s="14" t="str">
        <f>IFERROR(INDEX(EXTRATO_IMPORTADO!$F$5:$F$404,MATCH(B411,EXTRATO_IMPORTADO!$I$5:$I$404,0)),"")</f>
        <v/>
      </c>
      <c r="Q411" s="26" t="str">
        <f>IFERROR(INDEX(EXTRATO_IMPORTADO!$B$5:$B$404,MATCH(B411,EXTRATO_IMPORTADO!$I$5:$I$404,0)),"")</f>
        <v/>
      </c>
      <c r="R411" s="26" t="str">
        <f>IFERROR(MATCH(B411,EXTRATO_IMPORTADO!$I$5:$I$404,0),"")</f>
        <v/>
      </c>
      <c r="S411" s="14" t="str">
        <f t="shared" si="19"/>
        <v/>
      </c>
      <c r="T411" s="33" t="str">
        <f t="shared" si="20"/>
        <v/>
      </c>
    </row>
    <row r="412" spans="1:20" x14ac:dyDescent="0.3">
      <c r="A412" s="26">
        <f>IF(BASE_CAIXA!A409="","",BASE_CAIXA!A409)</f>
        <v>408</v>
      </c>
      <c r="B412" s="26" t="str">
        <f>IF(A412="","",BASE_CAIXA!AL409)</f>
        <v>000408-DB</v>
      </c>
      <c r="C412" s="13">
        <f>IF(A412="","",BASE_CAIXA!AJ409)</f>
        <v>46185</v>
      </c>
      <c r="D412" s="26" t="str">
        <f>IF(A412="","",IF(BASE_CAIXA!C409="Entrada","Crédito","Débito"))</f>
        <v>Débito</v>
      </c>
      <c r="E412" s="14">
        <f>IF(A412="","",BASE_CAIXA!AA409)</f>
        <v>579.36</v>
      </c>
      <c r="F412" s="26">
        <f>IF(A412="","",BASE_CAIXA!N409)</f>
        <v>0</v>
      </c>
      <c r="G412" s="26">
        <f>IF(A412="","",BASE_CAIXA!O409)</f>
        <v>0</v>
      </c>
      <c r="H412" s="26">
        <f>IF(A412="","",BASE_CAIXA!P409)</f>
        <v>0</v>
      </c>
      <c r="I412" s="26" t="str">
        <f>IF(A412="","",IF(BASE_CAIXA!H409&lt;&gt;"",BASE_CAIXA!H409,BASE_CAIXA!G409))</f>
        <v>ÁLCOOL 70 LIQUIDO 5L</v>
      </c>
      <c r="J412" s="26" t="str">
        <f>IF(A412="","",BASE_CAIXA!G409)</f>
        <v>ÁLCOOL 70 LIQUIDO 5L</v>
      </c>
      <c r="K412" s="26">
        <f>IF(A412="","",BASE_CAIXA!I409)</f>
        <v>0</v>
      </c>
      <c r="L412" s="26">
        <f>IF(A412="","",BASE_CAIXA!J409)</f>
        <v>0</v>
      </c>
      <c r="M412" s="26" t="str">
        <f>IF(A412="","",BASE_CAIXA!AM409)</f>
        <v>ÁLCOOL 70 LIQUIDO 5L | ÁLCOOL 70 LIQUIDO 5L | Saída | LIMPEZ</v>
      </c>
      <c r="N412" s="26" t="str">
        <f t="shared" ca="1" si="18"/>
        <v>Previsto</v>
      </c>
      <c r="O412" s="13" t="str">
        <f>IFERROR(INDEX(EXTRATO_IMPORTADO!$A$5:$A$404,MATCH(B412,EXTRATO_IMPORTADO!$I$5:$I$404,0)),"")</f>
        <v/>
      </c>
      <c r="P412" s="14" t="str">
        <f>IFERROR(INDEX(EXTRATO_IMPORTADO!$F$5:$F$404,MATCH(B412,EXTRATO_IMPORTADO!$I$5:$I$404,0)),"")</f>
        <v/>
      </c>
      <c r="Q412" s="26" t="str">
        <f>IFERROR(INDEX(EXTRATO_IMPORTADO!$B$5:$B$404,MATCH(B412,EXTRATO_IMPORTADO!$I$5:$I$404,0)),"")</f>
        <v/>
      </c>
      <c r="R412" s="26" t="str">
        <f>IFERROR(MATCH(B412,EXTRATO_IMPORTADO!$I$5:$I$404,0),"")</f>
        <v/>
      </c>
      <c r="S412" s="14" t="str">
        <f t="shared" si="19"/>
        <v/>
      </c>
      <c r="T412" s="33" t="str">
        <f t="shared" si="20"/>
        <v/>
      </c>
    </row>
    <row r="413" spans="1:20" x14ac:dyDescent="0.3">
      <c r="A413" s="26">
        <f>IF(BASE_CAIXA!A410="","",BASE_CAIXA!A410)</f>
        <v>409</v>
      </c>
      <c r="B413" s="26" t="str">
        <f>IF(A413="","",BASE_CAIXA!AL410)</f>
        <v>000409-DB</v>
      </c>
      <c r="C413" s="13">
        <f>IF(A413="","",BASE_CAIXA!AJ410)</f>
        <v>46185</v>
      </c>
      <c r="D413" s="26" t="str">
        <f>IF(A413="","",IF(BASE_CAIXA!C410="Entrada","Crédito","Débito"))</f>
        <v>Débito</v>
      </c>
      <c r="E413" s="14">
        <f>IF(A413="","",BASE_CAIXA!AA410)</f>
        <v>1219.2</v>
      </c>
      <c r="F413" s="26">
        <f>IF(A413="","",BASE_CAIXA!N410)</f>
        <v>0</v>
      </c>
      <c r="G413" s="26">
        <f>IF(A413="","",BASE_CAIXA!O410)</f>
        <v>0</v>
      </c>
      <c r="H413" s="26">
        <f>IF(A413="","",BASE_CAIXA!P410)</f>
        <v>0</v>
      </c>
      <c r="I413" s="26" t="str">
        <f>IF(A413="","",IF(BASE_CAIXA!H410&lt;&gt;"",BASE_CAIXA!H410,BASE_CAIXA!G410))</f>
        <v>ACABAMENTO CROMADO PARA REGISTRO GAVETA 3/4 ( tanque, maquina, pia coz)</v>
      </c>
      <c r="J413" s="26" t="str">
        <f>IF(A413="","",BASE_CAIXA!G410)</f>
        <v>ACABAMENTO CROMADO PARA REGISTRO GAVETA 3/4 ( tanque, maquina, pia coz)</v>
      </c>
      <c r="K413" s="26">
        <f>IF(A413="","",BASE_CAIXA!I410)</f>
        <v>0</v>
      </c>
      <c r="L413" s="26">
        <f>IF(A413="","",BASE_CAIXA!J410)</f>
        <v>0</v>
      </c>
      <c r="M413" s="26" t="str">
        <f>IF(A413="","",BASE_CAIXA!AM410)</f>
        <v>ACABAMENTO CROMADO PARA REGISTRO GAVETA 3/4 ( tanque, maquin</v>
      </c>
      <c r="N413" s="26" t="str">
        <f t="shared" ca="1" si="18"/>
        <v>Previsto</v>
      </c>
      <c r="O413" s="13" t="str">
        <f>IFERROR(INDEX(EXTRATO_IMPORTADO!$A$5:$A$404,MATCH(B413,EXTRATO_IMPORTADO!$I$5:$I$404,0)),"")</f>
        <v/>
      </c>
      <c r="P413" s="14" t="str">
        <f>IFERROR(INDEX(EXTRATO_IMPORTADO!$F$5:$F$404,MATCH(B413,EXTRATO_IMPORTADO!$I$5:$I$404,0)),"")</f>
        <v/>
      </c>
      <c r="Q413" s="26" t="str">
        <f>IFERROR(INDEX(EXTRATO_IMPORTADO!$B$5:$B$404,MATCH(B413,EXTRATO_IMPORTADO!$I$5:$I$404,0)),"")</f>
        <v/>
      </c>
      <c r="R413" s="26" t="str">
        <f>IFERROR(MATCH(B413,EXTRATO_IMPORTADO!$I$5:$I$404,0),"")</f>
        <v/>
      </c>
      <c r="S413" s="14" t="str">
        <f t="shared" si="19"/>
        <v/>
      </c>
      <c r="T413" s="33" t="str">
        <f t="shared" si="20"/>
        <v/>
      </c>
    </row>
    <row r="414" spans="1:20" x14ac:dyDescent="0.3">
      <c r="A414" s="26">
        <f>IF(BASE_CAIXA!A411="","",BASE_CAIXA!A411)</f>
        <v>410</v>
      </c>
      <c r="B414" s="26" t="str">
        <f>IF(A414="","",BASE_CAIXA!AL411)</f>
        <v>000410-DB</v>
      </c>
      <c r="C414" s="13">
        <f>IF(A414="","",BASE_CAIXA!AJ411)</f>
        <v>46185</v>
      </c>
      <c r="D414" s="26" t="str">
        <f>IF(A414="","",IF(BASE_CAIXA!C411="Entrada","Crédito","Débito"))</f>
        <v>Débito</v>
      </c>
      <c r="E414" s="14">
        <f>IF(A414="","",BASE_CAIXA!AA411)</f>
        <v>609.6</v>
      </c>
      <c r="F414" s="26">
        <f>IF(A414="","",BASE_CAIXA!N411)</f>
        <v>0</v>
      </c>
      <c r="G414" s="26">
        <f>IF(A414="","",BASE_CAIXA!O411)</f>
        <v>0</v>
      </c>
      <c r="H414" s="26">
        <f>IF(A414="","",BASE_CAIXA!P411)</f>
        <v>0</v>
      </c>
      <c r="I414" s="26" t="str">
        <f>IF(A414="","",IF(BASE_CAIXA!H411&lt;&gt;"",BASE_CAIXA!H411,BASE_CAIXA!G411))</f>
        <v>ACABAMENTO CROMADO PARA REGISTRO pressao 3/4 ( tanque, maquina, pia coz)</v>
      </c>
      <c r="J414" s="26" t="str">
        <f>IF(A414="","",BASE_CAIXA!G411)</f>
        <v>ACABAMENTO CROMADO PARA REGISTRO pressao 3/4 ( tanque, maquina, pia coz)</v>
      </c>
      <c r="K414" s="26">
        <f>IF(A414="","",BASE_CAIXA!I411)</f>
        <v>0</v>
      </c>
      <c r="L414" s="26">
        <f>IF(A414="","",BASE_CAIXA!J411)</f>
        <v>0</v>
      </c>
      <c r="M414" s="26" t="str">
        <f>IF(A414="","",BASE_CAIXA!AM411)</f>
        <v>ACABAMENTO CROMADO PARA REGISTRO pressao 3/4 ( tanque, maqui</v>
      </c>
      <c r="N414" s="26" t="str">
        <f t="shared" ca="1" si="18"/>
        <v>Previsto</v>
      </c>
      <c r="O414" s="13" t="str">
        <f>IFERROR(INDEX(EXTRATO_IMPORTADO!$A$5:$A$404,MATCH(B414,EXTRATO_IMPORTADO!$I$5:$I$404,0)),"")</f>
        <v/>
      </c>
      <c r="P414" s="14" t="str">
        <f>IFERROR(INDEX(EXTRATO_IMPORTADO!$F$5:$F$404,MATCH(B414,EXTRATO_IMPORTADO!$I$5:$I$404,0)),"")</f>
        <v/>
      </c>
      <c r="Q414" s="26" t="str">
        <f>IFERROR(INDEX(EXTRATO_IMPORTADO!$B$5:$B$404,MATCH(B414,EXTRATO_IMPORTADO!$I$5:$I$404,0)),"")</f>
        <v/>
      </c>
      <c r="R414" s="26" t="str">
        <f>IFERROR(MATCH(B414,EXTRATO_IMPORTADO!$I$5:$I$404,0),"")</f>
        <v/>
      </c>
      <c r="S414" s="14" t="str">
        <f t="shared" si="19"/>
        <v/>
      </c>
      <c r="T414" s="33" t="str">
        <f t="shared" si="20"/>
        <v/>
      </c>
    </row>
    <row r="415" spans="1:20" x14ac:dyDescent="0.3">
      <c r="A415" s="26">
        <f>IF(BASE_CAIXA!A412="","",BASE_CAIXA!A412)</f>
        <v>411</v>
      </c>
      <c r="B415" s="26" t="str">
        <f>IF(A415="","",BASE_CAIXA!AL412)</f>
        <v>000411-DB</v>
      </c>
      <c r="C415" s="13">
        <f>IF(A415="","",BASE_CAIXA!AJ412)</f>
        <v>46185</v>
      </c>
      <c r="D415" s="26" t="str">
        <f>IF(A415="","",IF(BASE_CAIXA!C412="Entrada","Crédito","Débito"))</f>
        <v>Débito</v>
      </c>
      <c r="E415" s="14">
        <f>IF(A415="","",BASE_CAIXA!AA412)</f>
        <v>229.44</v>
      </c>
      <c r="F415" s="26">
        <f>IF(A415="","",BASE_CAIXA!N412)</f>
        <v>0</v>
      </c>
      <c r="G415" s="26">
        <f>IF(A415="","",BASE_CAIXA!O412)</f>
        <v>0</v>
      </c>
      <c r="H415" s="26">
        <f>IF(A415="","",BASE_CAIXA!P412)</f>
        <v>0</v>
      </c>
      <c r="I415" s="26" t="str">
        <f>IF(A415="","",IF(BASE_CAIXA!H412&lt;&gt;"",BASE_CAIXA!H412,BASE_CAIXA!G412))</f>
        <v>Anel Vedação P/bacia Sanitária C/guia 100MM Preto Amanco</v>
      </c>
      <c r="J415" s="26" t="str">
        <f>IF(A415="","",BASE_CAIXA!G412)</f>
        <v>Anel Vedação P/bacia Sanitária C/guia 100MM Preto Amanco</v>
      </c>
      <c r="K415" s="26">
        <f>IF(A415="","",BASE_CAIXA!I412)</f>
        <v>0</v>
      </c>
      <c r="L415" s="26">
        <f>IF(A415="","",BASE_CAIXA!J412)</f>
        <v>0</v>
      </c>
      <c r="M415" s="26" t="str">
        <f>IF(A415="","",BASE_CAIXA!AM412)</f>
        <v>Anel Vedação P/bacia Sanitária C/guia 100MM Preto Amanco | A</v>
      </c>
      <c r="N415" s="26" t="str">
        <f t="shared" ca="1" si="18"/>
        <v>Previsto</v>
      </c>
      <c r="O415" s="13" t="str">
        <f>IFERROR(INDEX(EXTRATO_IMPORTADO!$A$5:$A$404,MATCH(B415,EXTRATO_IMPORTADO!$I$5:$I$404,0)),"")</f>
        <v/>
      </c>
      <c r="P415" s="14" t="str">
        <f>IFERROR(INDEX(EXTRATO_IMPORTADO!$F$5:$F$404,MATCH(B415,EXTRATO_IMPORTADO!$I$5:$I$404,0)),"")</f>
        <v/>
      </c>
      <c r="Q415" s="26" t="str">
        <f>IFERROR(INDEX(EXTRATO_IMPORTADO!$B$5:$B$404,MATCH(B415,EXTRATO_IMPORTADO!$I$5:$I$404,0)),"")</f>
        <v/>
      </c>
      <c r="R415" s="26" t="str">
        <f>IFERROR(MATCH(B415,EXTRATO_IMPORTADO!$I$5:$I$404,0),"")</f>
        <v/>
      </c>
      <c r="S415" s="14" t="str">
        <f t="shared" si="19"/>
        <v/>
      </c>
      <c r="T415" s="33" t="str">
        <f t="shared" si="20"/>
        <v/>
      </c>
    </row>
    <row r="416" spans="1:20" x14ac:dyDescent="0.3">
      <c r="A416" s="26">
        <f>IF(BASE_CAIXA!A413="","",BASE_CAIXA!A413)</f>
        <v>412</v>
      </c>
      <c r="B416" s="26" t="str">
        <f>IF(A416="","",BASE_CAIXA!AL413)</f>
        <v>000412-DB</v>
      </c>
      <c r="C416" s="13">
        <f>IF(A416="","",BASE_CAIXA!AJ413)</f>
        <v>46185</v>
      </c>
      <c r="D416" s="26" t="str">
        <f>IF(A416="","",IF(BASE_CAIXA!C413="Entrada","Crédito","Débito"))</f>
        <v>Débito</v>
      </c>
      <c r="E416" s="14">
        <f>IF(A416="","",BASE_CAIXA!AA413)</f>
        <v>8319.0400000000009</v>
      </c>
      <c r="F416" s="26">
        <f>IF(A416="","",BASE_CAIXA!N413)</f>
        <v>0</v>
      </c>
      <c r="G416" s="26">
        <f>IF(A416="","",BASE_CAIXA!O413)</f>
        <v>0</v>
      </c>
      <c r="H416" s="26">
        <f>IF(A416="","",BASE_CAIXA!P413)</f>
        <v>0</v>
      </c>
      <c r="I416" s="26" t="str">
        <f>IF(A416="","",IF(BASE_CAIXA!H413&lt;&gt;"",BASE_CAIXA!H413,BASE_CAIXA!G413))</f>
        <v>BACIA SANITARIA (VASO) C/ CAIXA ACOPLADA, DE LOUCA BRANCA EACIONAMENTO DUPLO</v>
      </c>
      <c r="J416" s="26" t="str">
        <f>IF(A416="","",BASE_CAIXA!G413)</f>
        <v>BACIA SANITARIA (VASO) C/ CAIXA ACOPLADA, DE LOUCA BRANCA EACIONAMENTO DUPLO</v>
      </c>
      <c r="K416" s="26">
        <f>IF(A416="","",BASE_CAIXA!I413)</f>
        <v>0</v>
      </c>
      <c r="L416" s="26">
        <f>IF(A416="","",BASE_CAIXA!J413)</f>
        <v>0</v>
      </c>
      <c r="M416" s="26" t="str">
        <f>IF(A416="","",BASE_CAIXA!AM413)</f>
        <v>BACIA SANITARIA (VASO) C/ CAIXA ACOPLADA, DE LOUCA BRANCA EA</v>
      </c>
      <c r="N416" s="26" t="str">
        <f t="shared" ca="1" si="18"/>
        <v>Previsto</v>
      </c>
      <c r="O416" s="13" t="str">
        <f>IFERROR(INDEX(EXTRATO_IMPORTADO!$A$5:$A$404,MATCH(B416,EXTRATO_IMPORTADO!$I$5:$I$404,0)),"")</f>
        <v/>
      </c>
      <c r="P416" s="14" t="str">
        <f>IFERROR(INDEX(EXTRATO_IMPORTADO!$F$5:$F$404,MATCH(B416,EXTRATO_IMPORTADO!$I$5:$I$404,0)),"")</f>
        <v/>
      </c>
      <c r="Q416" s="26" t="str">
        <f>IFERROR(INDEX(EXTRATO_IMPORTADO!$B$5:$B$404,MATCH(B416,EXTRATO_IMPORTADO!$I$5:$I$404,0)),"")</f>
        <v/>
      </c>
      <c r="R416" s="26" t="str">
        <f>IFERROR(MATCH(B416,EXTRATO_IMPORTADO!$I$5:$I$404,0),"")</f>
        <v/>
      </c>
      <c r="S416" s="14" t="str">
        <f t="shared" si="19"/>
        <v/>
      </c>
      <c r="T416" s="33" t="str">
        <f t="shared" si="20"/>
        <v/>
      </c>
    </row>
    <row r="417" spans="1:20" x14ac:dyDescent="0.3">
      <c r="A417" s="26">
        <f>IF(BASE_CAIXA!A414="","",BASE_CAIXA!A414)</f>
        <v>413</v>
      </c>
      <c r="B417" s="26" t="str">
        <f>IF(A417="","",BASE_CAIXA!AL414)</f>
        <v>000413-DB</v>
      </c>
      <c r="C417" s="13">
        <f>IF(A417="","",BASE_CAIXA!AJ414)</f>
        <v>46185</v>
      </c>
      <c r="D417" s="26" t="str">
        <f>IF(A417="","",IF(BASE_CAIXA!C414="Entrada","Crédito","Débito"))</f>
        <v>Débito</v>
      </c>
      <c r="E417" s="14">
        <f>IF(A417="","",BASE_CAIXA!AA414)</f>
        <v>7996.8</v>
      </c>
      <c r="F417" s="26">
        <f>IF(A417="","",BASE_CAIXA!N414)</f>
        <v>0</v>
      </c>
      <c r="G417" s="26">
        <f>IF(A417="","",BASE_CAIXA!O414)</f>
        <v>0</v>
      </c>
      <c r="H417" s="26">
        <f>IF(A417="","",BASE_CAIXA!P414)</f>
        <v>0</v>
      </c>
      <c r="I417" s="26" t="str">
        <f>IF(A417="","",IF(BASE_CAIXA!H414&lt;&gt;"",BASE_CAIXA!H414,BASE_CAIXA!G414))</f>
        <v>Bancada de mármore sintético 120x60</v>
      </c>
      <c r="J417" s="26" t="str">
        <f>IF(A417="","",BASE_CAIXA!G414)</f>
        <v>Bancada de mármore sintético 120x60</v>
      </c>
      <c r="K417" s="26">
        <f>IF(A417="","",BASE_CAIXA!I414)</f>
        <v>0</v>
      </c>
      <c r="L417" s="26">
        <f>IF(A417="","",BASE_CAIXA!J414)</f>
        <v>0</v>
      </c>
      <c r="M417" s="26" t="str">
        <f>IF(A417="","",BASE_CAIXA!AM414)</f>
        <v>Bancada de mármore sintético 120x60 | Bancada de mármore sin</v>
      </c>
      <c r="N417" s="26" t="str">
        <f t="shared" ca="1" si="18"/>
        <v>Previsto</v>
      </c>
      <c r="O417" s="13" t="str">
        <f>IFERROR(INDEX(EXTRATO_IMPORTADO!$A$5:$A$404,MATCH(B417,EXTRATO_IMPORTADO!$I$5:$I$404,0)),"")</f>
        <v/>
      </c>
      <c r="P417" s="14" t="str">
        <f>IFERROR(INDEX(EXTRATO_IMPORTADO!$F$5:$F$404,MATCH(B417,EXTRATO_IMPORTADO!$I$5:$I$404,0)),"")</f>
        <v/>
      </c>
      <c r="Q417" s="26" t="str">
        <f>IFERROR(INDEX(EXTRATO_IMPORTADO!$B$5:$B$404,MATCH(B417,EXTRATO_IMPORTADO!$I$5:$I$404,0)),"")</f>
        <v/>
      </c>
      <c r="R417" s="26" t="str">
        <f>IFERROR(MATCH(B417,EXTRATO_IMPORTADO!$I$5:$I$404,0),"")</f>
        <v/>
      </c>
      <c r="S417" s="14" t="str">
        <f t="shared" si="19"/>
        <v/>
      </c>
      <c r="T417" s="33" t="str">
        <f t="shared" si="20"/>
        <v/>
      </c>
    </row>
    <row r="418" spans="1:20" x14ac:dyDescent="0.3">
      <c r="A418" s="26">
        <f>IF(BASE_CAIXA!A415="","",BASE_CAIXA!A415)</f>
        <v>414</v>
      </c>
      <c r="B418" s="26" t="str">
        <f>IF(A418="","",BASE_CAIXA!AL415)</f>
        <v>000414-DB</v>
      </c>
      <c r="C418" s="13">
        <f>IF(A418="","",BASE_CAIXA!AJ415)</f>
        <v>46185</v>
      </c>
      <c r="D418" s="26" t="str">
        <f>IF(A418="","",IF(BASE_CAIXA!C415="Entrada","Crédito","Débito"))</f>
        <v>Débito</v>
      </c>
      <c r="E418" s="14">
        <f>IF(A418="","",BASE_CAIXA!AA415)</f>
        <v>2332.8000000000002</v>
      </c>
      <c r="F418" s="26">
        <f>IF(A418="","",BASE_CAIXA!N415)</f>
        <v>0</v>
      </c>
      <c r="G418" s="26">
        <f>IF(A418="","",BASE_CAIXA!O415)</f>
        <v>0</v>
      </c>
      <c r="H418" s="26">
        <f>IF(A418="","",BASE_CAIXA!P415)</f>
        <v>0</v>
      </c>
      <c r="I418" s="26" t="str">
        <f>IF(A418="","",IF(BASE_CAIXA!H415&lt;&gt;"",BASE_CAIXA!H415,BASE_CAIXA!G415))</f>
        <v>COLUNA P/ LAVATÓRIO BRANCO</v>
      </c>
      <c r="J418" s="26" t="str">
        <f>IF(A418="","",BASE_CAIXA!G415)</f>
        <v>COLUNA P/ LAVATÓRIO BRANCO</v>
      </c>
      <c r="K418" s="26">
        <f>IF(A418="","",BASE_CAIXA!I415)</f>
        <v>0</v>
      </c>
      <c r="L418" s="26">
        <f>IF(A418="","",BASE_CAIXA!J415)</f>
        <v>0</v>
      </c>
      <c r="M418" s="26" t="str">
        <f>IF(A418="","",BASE_CAIXA!AM415)</f>
        <v>COLUNA P/ LAVATÓRIO BRANCO | COLUNA P/ LAVATÓRIO BRANCO | Sa</v>
      </c>
      <c r="N418" s="26" t="str">
        <f t="shared" ca="1" si="18"/>
        <v>Previsto</v>
      </c>
      <c r="O418" s="13" t="str">
        <f>IFERROR(INDEX(EXTRATO_IMPORTADO!$A$5:$A$404,MATCH(B418,EXTRATO_IMPORTADO!$I$5:$I$404,0)),"")</f>
        <v/>
      </c>
      <c r="P418" s="14" t="str">
        <f>IFERROR(INDEX(EXTRATO_IMPORTADO!$F$5:$F$404,MATCH(B418,EXTRATO_IMPORTADO!$I$5:$I$404,0)),"")</f>
        <v/>
      </c>
      <c r="Q418" s="26" t="str">
        <f>IFERROR(INDEX(EXTRATO_IMPORTADO!$B$5:$B$404,MATCH(B418,EXTRATO_IMPORTADO!$I$5:$I$404,0)),"")</f>
        <v/>
      </c>
      <c r="R418" s="26" t="str">
        <f>IFERROR(MATCH(B418,EXTRATO_IMPORTADO!$I$5:$I$404,0),"")</f>
        <v/>
      </c>
      <c r="S418" s="14" t="str">
        <f t="shared" si="19"/>
        <v/>
      </c>
      <c r="T418" s="33" t="str">
        <f t="shared" si="20"/>
        <v/>
      </c>
    </row>
    <row r="419" spans="1:20" x14ac:dyDescent="0.3">
      <c r="A419" s="26">
        <f>IF(BASE_CAIXA!A416="","",BASE_CAIXA!A416)</f>
        <v>415</v>
      </c>
      <c r="B419" s="26" t="str">
        <f>IF(A419="","",BASE_CAIXA!AL416)</f>
        <v>000415-DB</v>
      </c>
      <c r="C419" s="13">
        <f>IF(A419="","",BASE_CAIXA!AJ416)</f>
        <v>46185</v>
      </c>
      <c r="D419" s="26" t="str">
        <f>IF(A419="","",IF(BASE_CAIXA!C416="Entrada","Crédito","Débito"))</f>
        <v>Débito</v>
      </c>
      <c r="E419" s="14">
        <f>IF(A419="","",BASE_CAIXA!AA416)</f>
        <v>144</v>
      </c>
      <c r="F419" s="26">
        <f>IF(A419="","",BASE_CAIXA!N416)</f>
        <v>0</v>
      </c>
      <c r="G419" s="26">
        <f>IF(A419="","",BASE_CAIXA!O416)</f>
        <v>0</v>
      </c>
      <c r="H419" s="26">
        <f>IF(A419="","",BASE_CAIXA!P416)</f>
        <v>0</v>
      </c>
      <c r="I419" s="26" t="str">
        <f>IF(A419="","",IF(BASE_CAIXA!H416&lt;&gt;"",BASE_CAIXA!H416,BASE_CAIXA!G416))</f>
        <v>ENGATE FLEXÍVEL EM PLÁSTICO BRANCO, 1/2" X 40CM</v>
      </c>
      <c r="J419" s="26" t="str">
        <f>IF(A419="","",BASE_CAIXA!G416)</f>
        <v>ENGATE FLEXÍVEL EM PLÁSTICO BRANCO, 1/2" X 40CM</v>
      </c>
      <c r="K419" s="26">
        <f>IF(A419="","",BASE_CAIXA!I416)</f>
        <v>0</v>
      </c>
      <c r="L419" s="26">
        <f>IF(A419="","",BASE_CAIXA!J416)</f>
        <v>0</v>
      </c>
      <c r="M419" s="26" t="str">
        <f>IF(A419="","",BASE_CAIXA!AM416)</f>
        <v>ENGATE FLEXÍVEL EM PLÁSTICO BRANCO, 1/2" X 40CM | ENGATE FLE</v>
      </c>
      <c r="N419" s="26" t="str">
        <f t="shared" ca="1" si="18"/>
        <v>Previsto</v>
      </c>
      <c r="O419" s="13" t="str">
        <f>IFERROR(INDEX(EXTRATO_IMPORTADO!$A$5:$A$404,MATCH(B419,EXTRATO_IMPORTADO!$I$5:$I$404,0)),"")</f>
        <v/>
      </c>
      <c r="P419" s="14" t="str">
        <f>IFERROR(INDEX(EXTRATO_IMPORTADO!$F$5:$F$404,MATCH(B419,EXTRATO_IMPORTADO!$I$5:$I$404,0)),"")</f>
        <v/>
      </c>
      <c r="Q419" s="26" t="str">
        <f>IFERROR(INDEX(EXTRATO_IMPORTADO!$B$5:$B$404,MATCH(B419,EXTRATO_IMPORTADO!$I$5:$I$404,0)),"")</f>
        <v/>
      </c>
      <c r="R419" s="26" t="str">
        <f>IFERROR(MATCH(B419,EXTRATO_IMPORTADO!$I$5:$I$404,0),"")</f>
        <v/>
      </c>
      <c r="S419" s="14" t="str">
        <f t="shared" si="19"/>
        <v/>
      </c>
      <c r="T419" s="33" t="str">
        <f t="shared" si="20"/>
        <v/>
      </c>
    </row>
    <row r="420" spans="1:20" x14ac:dyDescent="0.3">
      <c r="A420" s="26">
        <f>IF(BASE_CAIXA!A417="","",BASE_CAIXA!A417)</f>
        <v>416</v>
      </c>
      <c r="B420" s="26" t="str">
        <f>IF(A420="","",BASE_CAIXA!AL417)</f>
        <v>000416-DB</v>
      </c>
      <c r="C420" s="13">
        <f>IF(A420="","",BASE_CAIXA!AJ417)</f>
        <v>46185</v>
      </c>
      <c r="D420" s="26" t="str">
        <f>IF(A420="","",IF(BASE_CAIXA!C417="Entrada","Crédito","Débito"))</f>
        <v>Débito</v>
      </c>
      <c r="E420" s="14">
        <f>IF(A420="","",BASE_CAIXA!AA417)</f>
        <v>252.48</v>
      </c>
      <c r="F420" s="26">
        <f>IF(A420="","",BASE_CAIXA!N417)</f>
        <v>0</v>
      </c>
      <c r="G420" s="26">
        <f>IF(A420="","",BASE_CAIXA!O417)</f>
        <v>0</v>
      </c>
      <c r="H420" s="26">
        <f>IF(A420="","",BASE_CAIXA!P417)</f>
        <v>0</v>
      </c>
      <c r="I420" s="26" t="str">
        <f>IF(A420="","",IF(BASE_CAIXA!H417&lt;&gt;"",BASE_CAIXA!H417,BASE_CAIXA!G417))</f>
        <v>ENGATE FLEXÍVEL EM PLÁSTICO BRANCO, 1/2" X 40CM</v>
      </c>
      <c r="J420" s="26" t="str">
        <f>IF(A420="","",BASE_CAIXA!G417)</f>
        <v>ENGATE FLEXÍVEL EM PLÁSTICO BRANCO, 1/2" X 40CM</v>
      </c>
      <c r="K420" s="26">
        <f>IF(A420="","",BASE_CAIXA!I417)</f>
        <v>0</v>
      </c>
      <c r="L420" s="26">
        <f>IF(A420="","",BASE_CAIXA!J417)</f>
        <v>0</v>
      </c>
      <c r="M420" s="26" t="str">
        <f>IF(A420="","",BASE_CAIXA!AM417)</f>
        <v>ENGATE FLEXÍVEL EM PLÁSTICO BRANCO, 1/2" X 40CM | ENGATE FLE</v>
      </c>
      <c r="N420" s="26" t="str">
        <f t="shared" ca="1" si="18"/>
        <v>Previsto</v>
      </c>
      <c r="O420" s="13" t="str">
        <f>IFERROR(INDEX(EXTRATO_IMPORTADO!$A$5:$A$404,MATCH(B420,EXTRATO_IMPORTADO!$I$5:$I$404,0)),"")</f>
        <v/>
      </c>
      <c r="P420" s="14" t="str">
        <f>IFERROR(INDEX(EXTRATO_IMPORTADO!$F$5:$F$404,MATCH(B420,EXTRATO_IMPORTADO!$I$5:$I$404,0)),"")</f>
        <v/>
      </c>
      <c r="Q420" s="26" t="str">
        <f>IFERROR(INDEX(EXTRATO_IMPORTADO!$B$5:$B$404,MATCH(B420,EXTRATO_IMPORTADO!$I$5:$I$404,0)),"")</f>
        <v/>
      </c>
      <c r="R420" s="26" t="str">
        <f>IFERROR(MATCH(B420,EXTRATO_IMPORTADO!$I$5:$I$404,0),"")</f>
        <v/>
      </c>
      <c r="S420" s="14" t="str">
        <f t="shared" si="19"/>
        <v/>
      </c>
      <c r="T420" s="33" t="str">
        <f t="shared" si="20"/>
        <v/>
      </c>
    </row>
    <row r="421" spans="1:20" x14ac:dyDescent="0.3">
      <c r="A421" s="26">
        <f>IF(BASE_CAIXA!A418="","",BASE_CAIXA!A418)</f>
        <v>417</v>
      </c>
      <c r="B421" s="26" t="str">
        <f>IF(A421="","",BASE_CAIXA!AL418)</f>
        <v>000417-DB</v>
      </c>
      <c r="C421" s="13">
        <f>IF(A421="","",BASE_CAIXA!AJ418)</f>
        <v>46185</v>
      </c>
      <c r="D421" s="26" t="str">
        <f>IF(A421="","",IF(BASE_CAIXA!C418="Entrada","Crédito","Débito"))</f>
        <v>Débito</v>
      </c>
      <c r="E421" s="14">
        <f>IF(A421="","",BASE_CAIXA!AA418)</f>
        <v>204.8</v>
      </c>
      <c r="F421" s="26">
        <f>IF(A421="","",BASE_CAIXA!N418)</f>
        <v>0</v>
      </c>
      <c r="G421" s="26">
        <f>IF(A421="","",BASE_CAIXA!O418)</f>
        <v>0</v>
      </c>
      <c r="H421" s="26">
        <f>IF(A421="","",BASE_CAIXA!P418)</f>
        <v>0</v>
      </c>
      <c r="I421" s="26" t="str">
        <f>IF(A421="","",IF(BASE_CAIXA!H418&lt;&gt;"",BASE_CAIXA!H418,BASE_CAIXA!G418))</f>
        <v>Grelha 100x100mm - chuveiro</v>
      </c>
      <c r="J421" s="26" t="str">
        <f>IF(A421="","",BASE_CAIXA!G418)</f>
        <v>Grelha 100x100mm - chuveiro</v>
      </c>
      <c r="K421" s="26">
        <f>IF(A421="","",BASE_CAIXA!I418)</f>
        <v>0</v>
      </c>
      <c r="L421" s="26">
        <f>IF(A421="","",BASE_CAIXA!J418)</f>
        <v>0</v>
      </c>
      <c r="M421" s="26" t="str">
        <f>IF(A421="","",BASE_CAIXA!AM418)</f>
        <v xml:space="preserve">Grelha 100x100mm - chuveiro | Grelha 100x100mm - chuveiro | </v>
      </c>
      <c r="N421" s="26" t="str">
        <f t="shared" ca="1" si="18"/>
        <v>Previsto</v>
      </c>
      <c r="O421" s="13" t="str">
        <f>IFERROR(INDEX(EXTRATO_IMPORTADO!$A$5:$A$404,MATCH(B421,EXTRATO_IMPORTADO!$I$5:$I$404,0)),"")</f>
        <v/>
      </c>
      <c r="P421" s="14" t="str">
        <f>IFERROR(INDEX(EXTRATO_IMPORTADO!$F$5:$F$404,MATCH(B421,EXTRATO_IMPORTADO!$I$5:$I$404,0)),"")</f>
        <v/>
      </c>
      <c r="Q421" s="26" t="str">
        <f>IFERROR(INDEX(EXTRATO_IMPORTADO!$B$5:$B$404,MATCH(B421,EXTRATO_IMPORTADO!$I$5:$I$404,0)),"")</f>
        <v/>
      </c>
      <c r="R421" s="26" t="str">
        <f>IFERROR(MATCH(B421,EXTRATO_IMPORTADO!$I$5:$I$404,0),"")</f>
        <v/>
      </c>
      <c r="S421" s="14" t="str">
        <f t="shared" si="19"/>
        <v/>
      </c>
      <c r="T421" s="33" t="str">
        <f t="shared" si="20"/>
        <v/>
      </c>
    </row>
    <row r="422" spans="1:20" x14ac:dyDescent="0.3">
      <c r="A422" s="26">
        <f>IF(BASE_CAIXA!A419="","",BASE_CAIXA!A419)</f>
        <v>418</v>
      </c>
      <c r="B422" s="26" t="str">
        <f>IF(A422="","",BASE_CAIXA!AL419)</f>
        <v>000418-DB</v>
      </c>
      <c r="C422" s="13">
        <f>IF(A422="","",BASE_CAIXA!AJ419)</f>
        <v>46185</v>
      </c>
      <c r="D422" s="26" t="str">
        <f>IF(A422="","",IF(BASE_CAIXA!C419="Entrada","Crédito","Débito"))</f>
        <v>Débito</v>
      </c>
      <c r="E422" s="14">
        <f>IF(A422="","",BASE_CAIXA!AA419)</f>
        <v>2460.8000000000002</v>
      </c>
      <c r="F422" s="26">
        <f>IF(A422="","",BASE_CAIXA!N419)</f>
        <v>0</v>
      </c>
      <c r="G422" s="26">
        <f>IF(A422="","",BASE_CAIXA!O419)</f>
        <v>0</v>
      </c>
      <c r="H422" s="26">
        <f>IF(A422="","",BASE_CAIXA!P419)</f>
        <v>0</v>
      </c>
      <c r="I422" s="26" t="str">
        <f>IF(A422="","",IF(BASE_CAIXA!H419&lt;&gt;"",BASE_CAIXA!H419,BASE_CAIXA!G419))</f>
        <v>LAVATORIO LOUCA BRANCA C/ COLUNA 470 X 425 MM (SOMENTELAVATÓRIO)</v>
      </c>
      <c r="J422" s="26" t="str">
        <f>IF(A422="","",BASE_CAIXA!G419)</f>
        <v>LAVATORIO LOUCA BRANCA C/ COLUNA 470 X 425 MM (SOMENTELAVATÓRIO)</v>
      </c>
      <c r="K422" s="26">
        <f>IF(A422="","",BASE_CAIXA!I419)</f>
        <v>0</v>
      </c>
      <c r="L422" s="26">
        <f>IF(A422="","",BASE_CAIXA!J419)</f>
        <v>0</v>
      </c>
      <c r="M422" s="26" t="str">
        <f>IF(A422="","",BASE_CAIXA!AM419)</f>
        <v>LAVATORIO LOUCA BRANCA C/ COLUNA 470 X 425 MM (SOMENTELAVATÓ</v>
      </c>
      <c r="N422" s="26" t="str">
        <f t="shared" ca="1" si="18"/>
        <v>Previsto</v>
      </c>
      <c r="O422" s="13" t="str">
        <f>IFERROR(INDEX(EXTRATO_IMPORTADO!$A$5:$A$404,MATCH(B422,EXTRATO_IMPORTADO!$I$5:$I$404,0)),"")</f>
        <v/>
      </c>
      <c r="P422" s="14" t="str">
        <f>IFERROR(INDEX(EXTRATO_IMPORTADO!$F$5:$F$404,MATCH(B422,EXTRATO_IMPORTADO!$I$5:$I$404,0)),"")</f>
        <v/>
      </c>
      <c r="Q422" s="26" t="str">
        <f>IFERROR(INDEX(EXTRATO_IMPORTADO!$B$5:$B$404,MATCH(B422,EXTRATO_IMPORTADO!$I$5:$I$404,0)),"")</f>
        <v/>
      </c>
      <c r="R422" s="26" t="str">
        <f>IFERROR(MATCH(B422,EXTRATO_IMPORTADO!$I$5:$I$404,0),"")</f>
        <v/>
      </c>
      <c r="S422" s="14" t="str">
        <f t="shared" si="19"/>
        <v/>
      </c>
      <c r="T422" s="33" t="str">
        <f t="shared" si="20"/>
        <v/>
      </c>
    </row>
    <row r="423" spans="1:20" x14ac:dyDescent="0.3">
      <c r="A423" s="26">
        <f>IF(BASE_CAIXA!A420="","",BASE_CAIXA!A420)</f>
        <v>419</v>
      </c>
      <c r="B423" s="26" t="str">
        <f>IF(A423="","",BASE_CAIXA!AL420)</f>
        <v>000419-DB</v>
      </c>
      <c r="C423" s="13">
        <f>IF(A423="","",BASE_CAIXA!AJ420)</f>
        <v>46185</v>
      </c>
      <c r="D423" s="26" t="str">
        <f>IF(A423="","",IF(BASE_CAIXA!C420="Entrada","Crédito","Débito"))</f>
        <v>Débito</v>
      </c>
      <c r="E423" s="14">
        <f>IF(A423="","",BASE_CAIXA!AA420)</f>
        <v>1800.96</v>
      </c>
      <c r="F423" s="26">
        <f>IF(A423="","",BASE_CAIXA!N420)</f>
        <v>0</v>
      </c>
      <c r="G423" s="26">
        <f>IF(A423="","",BASE_CAIXA!O420)</f>
        <v>0</v>
      </c>
      <c r="H423" s="26">
        <f>IF(A423="","",BASE_CAIXA!P420)</f>
        <v>0</v>
      </c>
      <c r="I423" s="26" t="str">
        <f>IF(A423="","",IF(BASE_CAIXA!H420&lt;&gt;"",BASE_CAIXA!H420,BASE_CAIXA!G420))</f>
        <v>Mao de obra cozinha e tanque completos</v>
      </c>
      <c r="J423" s="26" t="str">
        <f>IF(A423="","",BASE_CAIXA!G420)</f>
        <v>Mao de obra cozinha e tanque completos</v>
      </c>
      <c r="K423" s="26">
        <f>IF(A423="","",BASE_CAIXA!I420)</f>
        <v>0</v>
      </c>
      <c r="L423" s="26">
        <f>IF(A423="","",BASE_CAIXA!J420)</f>
        <v>0</v>
      </c>
      <c r="M423" s="26" t="str">
        <f>IF(A423="","",BASE_CAIXA!AM420)</f>
        <v>Mao de obra cozinha e tanque completos | Mao de obra cozinha</v>
      </c>
      <c r="N423" s="26" t="str">
        <f t="shared" ca="1" si="18"/>
        <v>Previsto</v>
      </c>
      <c r="O423" s="13" t="str">
        <f>IFERROR(INDEX(EXTRATO_IMPORTADO!$A$5:$A$404,MATCH(B423,EXTRATO_IMPORTADO!$I$5:$I$404,0)),"")</f>
        <v/>
      </c>
      <c r="P423" s="14" t="str">
        <f>IFERROR(INDEX(EXTRATO_IMPORTADO!$F$5:$F$404,MATCH(B423,EXTRATO_IMPORTADO!$I$5:$I$404,0)),"")</f>
        <v/>
      </c>
      <c r="Q423" s="26" t="str">
        <f>IFERROR(INDEX(EXTRATO_IMPORTADO!$B$5:$B$404,MATCH(B423,EXTRATO_IMPORTADO!$I$5:$I$404,0)),"")</f>
        <v/>
      </c>
      <c r="R423" s="26" t="str">
        <f>IFERROR(MATCH(B423,EXTRATO_IMPORTADO!$I$5:$I$404,0),"")</f>
        <v/>
      </c>
      <c r="S423" s="14" t="str">
        <f t="shared" si="19"/>
        <v/>
      </c>
      <c r="T423" s="33" t="str">
        <f t="shared" si="20"/>
        <v/>
      </c>
    </row>
    <row r="424" spans="1:20" x14ac:dyDescent="0.3">
      <c r="A424" s="26">
        <f>IF(BASE_CAIXA!A421="","",BASE_CAIXA!A421)</f>
        <v>420</v>
      </c>
      <c r="B424" s="26" t="str">
        <f>IF(A424="","",BASE_CAIXA!AL421)</f>
        <v>000420-DB</v>
      </c>
      <c r="C424" s="13">
        <f>IF(A424="","",BASE_CAIXA!AJ421)</f>
        <v>46185</v>
      </c>
      <c r="D424" s="26" t="str">
        <f>IF(A424="","",IF(BASE_CAIXA!C421="Entrada","Crédito","Débito"))</f>
        <v>Débito</v>
      </c>
      <c r="E424" s="14">
        <f>IF(A424="","",BASE_CAIXA!AA421)</f>
        <v>1800.96</v>
      </c>
      <c r="F424" s="26">
        <f>IF(A424="","",BASE_CAIXA!N421)</f>
        <v>0</v>
      </c>
      <c r="G424" s="26">
        <f>IF(A424="","",BASE_CAIXA!O421)</f>
        <v>0</v>
      </c>
      <c r="H424" s="26">
        <f>IF(A424="","",BASE_CAIXA!P421)</f>
        <v>0</v>
      </c>
      <c r="I424" s="26" t="str">
        <f>IF(A424="","",IF(BASE_CAIXA!H421&lt;&gt;"",BASE_CAIXA!H421,BASE_CAIXA!G421))</f>
        <v>Mao de obra loucas e metais Banheiro completo</v>
      </c>
      <c r="J424" s="26" t="str">
        <f>IF(A424="","",BASE_CAIXA!G421)</f>
        <v>Mao de obra loucas e metais Banheiro completo</v>
      </c>
      <c r="K424" s="26">
        <f>IF(A424="","",BASE_CAIXA!I421)</f>
        <v>0</v>
      </c>
      <c r="L424" s="26">
        <f>IF(A424="","",BASE_CAIXA!J421)</f>
        <v>0</v>
      </c>
      <c r="M424" s="26" t="str">
        <f>IF(A424="","",BASE_CAIXA!AM421)</f>
        <v xml:space="preserve">Mao de obra loucas e metais Banheiro completo | Mao de obra </v>
      </c>
      <c r="N424" s="26" t="str">
        <f t="shared" ca="1" si="18"/>
        <v>Previsto</v>
      </c>
      <c r="O424" s="13" t="str">
        <f>IFERROR(INDEX(EXTRATO_IMPORTADO!$A$5:$A$404,MATCH(B424,EXTRATO_IMPORTADO!$I$5:$I$404,0)),"")</f>
        <v/>
      </c>
      <c r="P424" s="14" t="str">
        <f>IFERROR(INDEX(EXTRATO_IMPORTADO!$F$5:$F$404,MATCH(B424,EXTRATO_IMPORTADO!$I$5:$I$404,0)),"")</f>
        <v/>
      </c>
      <c r="Q424" s="26" t="str">
        <f>IFERROR(INDEX(EXTRATO_IMPORTADO!$B$5:$B$404,MATCH(B424,EXTRATO_IMPORTADO!$I$5:$I$404,0)),"")</f>
        <v/>
      </c>
      <c r="R424" s="26" t="str">
        <f>IFERROR(MATCH(B424,EXTRATO_IMPORTADO!$I$5:$I$404,0),"")</f>
        <v/>
      </c>
      <c r="S424" s="14" t="str">
        <f t="shared" si="19"/>
        <v/>
      </c>
      <c r="T424" s="33" t="str">
        <f t="shared" si="20"/>
        <v/>
      </c>
    </row>
    <row r="425" spans="1:20" x14ac:dyDescent="0.3">
      <c r="A425" s="26">
        <f>IF(BASE_CAIXA!A422="","",BASE_CAIXA!A422)</f>
        <v>421</v>
      </c>
      <c r="B425" s="26" t="str">
        <f>IF(A425="","",BASE_CAIXA!AL422)</f>
        <v>000421-DB</v>
      </c>
      <c r="C425" s="13">
        <f>IF(A425="","",BASE_CAIXA!AJ422)</f>
        <v>46185</v>
      </c>
      <c r="D425" s="26" t="str">
        <f>IF(A425="","",IF(BASE_CAIXA!C422="Entrada","Crédito","Débito"))</f>
        <v>Débito</v>
      </c>
      <c r="E425" s="14">
        <f>IF(A425="","",BASE_CAIXA!AA422)</f>
        <v>466.24</v>
      </c>
      <c r="F425" s="26">
        <f>IF(A425="","",BASE_CAIXA!N422)</f>
        <v>0</v>
      </c>
      <c r="G425" s="26">
        <f>IF(A425="","",BASE_CAIXA!O422)</f>
        <v>0</v>
      </c>
      <c r="H425" s="26">
        <f>IF(A425="","",BASE_CAIXA!P422)</f>
        <v>0</v>
      </c>
      <c r="I425" s="26" t="str">
        <f>IF(A425="","",IF(BASE_CAIXA!H422&lt;&gt;"",BASE_CAIXA!H422,BASE_CAIXA!G422))</f>
        <v>PARAFUSO PARA VASO E LAVATORIO / 8MM - COM BUCHA</v>
      </c>
      <c r="J425" s="26" t="str">
        <f>IF(A425="","",BASE_CAIXA!G422)</f>
        <v>PARAFUSO PARA VASO E LAVATORIO / 8MM - COM BUCHA</v>
      </c>
      <c r="K425" s="26">
        <f>IF(A425="","",BASE_CAIXA!I422)</f>
        <v>0</v>
      </c>
      <c r="L425" s="26">
        <f>IF(A425="","",BASE_CAIXA!J422)</f>
        <v>0</v>
      </c>
      <c r="M425" s="26" t="str">
        <f>IF(A425="","",BASE_CAIXA!AM422)</f>
        <v xml:space="preserve">PARAFUSO PARA VASO E LAVATORIO / 8MM - COM BUCHA | PARAFUSO </v>
      </c>
      <c r="N425" s="26" t="str">
        <f t="shared" ca="1" si="18"/>
        <v>Previsto</v>
      </c>
      <c r="O425" s="13" t="str">
        <f>IFERROR(INDEX(EXTRATO_IMPORTADO!$A$5:$A$404,MATCH(B425,EXTRATO_IMPORTADO!$I$5:$I$404,0)),"")</f>
        <v/>
      </c>
      <c r="P425" s="14" t="str">
        <f>IFERROR(INDEX(EXTRATO_IMPORTADO!$F$5:$F$404,MATCH(B425,EXTRATO_IMPORTADO!$I$5:$I$404,0)),"")</f>
        <v/>
      </c>
      <c r="Q425" s="26" t="str">
        <f>IFERROR(INDEX(EXTRATO_IMPORTADO!$B$5:$B$404,MATCH(B425,EXTRATO_IMPORTADO!$I$5:$I$404,0)),"")</f>
        <v/>
      </c>
      <c r="R425" s="26" t="str">
        <f>IFERROR(MATCH(B425,EXTRATO_IMPORTADO!$I$5:$I$404,0),"")</f>
        <v/>
      </c>
      <c r="S425" s="14" t="str">
        <f t="shared" si="19"/>
        <v/>
      </c>
      <c r="T425" s="33" t="str">
        <f t="shared" si="20"/>
        <v/>
      </c>
    </row>
    <row r="426" spans="1:20" x14ac:dyDescent="0.3">
      <c r="A426" s="26">
        <f>IF(BASE_CAIXA!A423="","",BASE_CAIXA!A423)</f>
        <v>422</v>
      </c>
      <c r="B426" s="26" t="str">
        <f>IF(A426="","",BASE_CAIXA!AL423)</f>
        <v>000422-DB</v>
      </c>
      <c r="C426" s="13">
        <f>IF(A426="","",BASE_CAIXA!AJ423)</f>
        <v>46185</v>
      </c>
      <c r="D426" s="26" t="str">
        <f>IF(A426="","",IF(BASE_CAIXA!C423="Entrada","Crédito","Débito"))</f>
        <v>Débito</v>
      </c>
      <c r="E426" s="14">
        <f>IF(A426="","",BASE_CAIXA!AA423)</f>
        <v>1056</v>
      </c>
      <c r="F426" s="26">
        <f>IF(A426="","",BASE_CAIXA!N423)</f>
        <v>0</v>
      </c>
      <c r="G426" s="26">
        <f>IF(A426="","",BASE_CAIXA!O423)</f>
        <v>0</v>
      </c>
      <c r="H426" s="26">
        <f>IF(A426="","",BASE_CAIXA!P423)</f>
        <v>0</v>
      </c>
      <c r="I426" s="26" t="str">
        <f>IF(A426="","",IF(BASE_CAIXA!H423&lt;&gt;"",BASE_CAIXA!H423,BASE_CAIXA!G423))</f>
        <v>PARAFUSO PARA VASO E LAVATORIO / 8MM - COM BUCHA</v>
      </c>
      <c r="J426" s="26" t="str">
        <f>IF(A426="","",BASE_CAIXA!G423)</f>
        <v>PARAFUSO PARA VASO E LAVATORIO / 8MM - COM BUCHA</v>
      </c>
      <c r="K426" s="26">
        <f>IF(A426="","",BASE_CAIXA!I423)</f>
        <v>0</v>
      </c>
      <c r="L426" s="26">
        <f>IF(A426="","",BASE_CAIXA!J423)</f>
        <v>0</v>
      </c>
      <c r="M426" s="26" t="str">
        <f>IF(A426="","",BASE_CAIXA!AM423)</f>
        <v xml:space="preserve">PARAFUSO PARA VASO E LAVATORIO / 8MM - COM BUCHA | PARAFUSO </v>
      </c>
      <c r="N426" s="26" t="str">
        <f t="shared" ca="1" si="18"/>
        <v>Previsto</v>
      </c>
      <c r="O426" s="13" t="str">
        <f>IFERROR(INDEX(EXTRATO_IMPORTADO!$A$5:$A$404,MATCH(B426,EXTRATO_IMPORTADO!$I$5:$I$404,0)),"")</f>
        <v/>
      </c>
      <c r="P426" s="14" t="str">
        <f>IFERROR(INDEX(EXTRATO_IMPORTADO!$F$5:$F$404,MATCH(B426,EXTRATO_IMPORTADO!$I$5:$I$404,0)),"")</f>
        <v/>
      </c>
      <c r="Q426" s="26" t="str">
        <f>IFERROR(INDEX(EXTRATO_IMPORTADO!$B$5:$B$404,MATCH(B426,EXTRATO_IMPORTADO!$I$5:$I$404,0)),"")</f>
        <v/>
      </c>
      <c r="R426" s="26" t="str">
        <f>IFERROR(MATCH(B426,EXTRATO_IMPORTADO!$I$5:$I$404,0),"")</f>
        <v/>
      </c>
      <c r="S426" s="14" t="str">
        <f t="shared" si="19"/>
        <v/>
      </c>
      <c r="T426" s="33" t="str">
        <f t="shared" si="20"/>
        <v/>
      </c>
    </row>
    <row r="427" spans="1:20" x14ac:dyDescent="0.3">
      <c r="A427" s="26">
        <f>IF(BASE_CAIXA!A424="","",BASE_CAIXA!A424)</f>
        <v>423</v>
      </c>
      <c r="B427" s="26" t="str">
        <f>IF(A427="","",BASE_CAIXA!AL424)</f>
        <v>000423-DB</v>
      </c>
      <c r="C427" s="13">
        <f>IF(A427="","",BASE_CAIXA!AJ424)</f>
        <v>46185</v>
      </c>
      <c r="D427" s="26" t="str">
        <f>IF(A427="","",IF(BASE_CAIXA!C424="Entrada","Crédito","Débito"))</f>
        <v>Débito</v>
      </c>
      <c r="E427" s="14">
        <f>IF(A427="","",BASE_CAIXA!AA424)</f>
        <v>1056</v>
      </c>
      <c r="F427" s="26">
        <f>IF(A427="","",BASE_CAIXA!N424)</f>
        <v>0</v>
      </c>
      <c r="G427" s="26">
        <f>IF(A427="","",BASE_CAIXA!O424)</f>
        <v>0</v>
      </c>
      <c r="H427" s="26">
        <f>IF(A427="","",BASE_CAIXA!P424)</f>
        <v>0</v>
      </c>
      <c r="I427" s="26" t="str">
        <f>IF(A427="","",IF(BASE_CAIXA!H424&lt;&gt;"",BASE_CAIXA!H424,BASE_CAIXA!G424))</f>
        <v>PARAFUSO PARA VASO E LAVATORIO / 8MM - COM BUCHA</v>
      </c>
      <c r="J427" s="26" t="str">
        <f>IF(A427="","",BASE_CAIXA!G424)</f>
        <v>PARAFUSO PARA VASO E LAVATORIO / 8MM - COM BUCHA</v>
      </c>
      <c r="K427" s="26">
        <f>IF(A427="","",BASE_CAIXA!I424)</f>
        <v>0</v>
      </c>
      <c r="L427" s="26">
        <f>IF(A427="","",BASE_CAIXA!J424)</f>
        <v>0</v>
      </c>
      <c r="M427" s="26" t="str">
        <f>IF(A427="","",BASE_CAIXA!AM424)</f>
        <v xml:space="preserve">PARAFUSO PARA VASO E LAVATORIO / 8MM - COM BUCHA | PARAFUSO </v>
      </c>
      <c r="N427" s="26" t="str">
        <f t="shared" ca="1" si="18"/>
        <v>Previsto</v>
      </c>
      <c r="O427" s="13" t="str">
        <f>IFERROR(INDEX(EXTRATO_IMPORTADO!$A$5:$A$404,MATCH(B427,EXTRATO_IMPORTADO!$I$5:$I$404,0)),"")</f>
        <v/>
      </c>
      <c r="P427" s="14" t="str">
        <f>IFERROR(INDEX(EXTRATO_IMPORTADO!$F$5:$F$404,MATCH(B427,EXTRATO_IMPORTADO!$I$5:$I$404,0)),"")</f>
        <v/>
      </c>
      <c r="Q427" s="26" t="str">
        <f>IFERROR(INDEX(EXTRATO_IMPORTADO!$B$5:$B$404,MATCH(B427,EXTRATO_IMPORTADO!$I$5:$I$404,0)),"")</f>
        <v/>
      </c>
      <c r="R427" s="26" t="str">
        <f>IFERROR(MATCH(B427,EXTRATO_IMPORTADO!$I$5:$I$404,0),"")</f>
        <v/>
      </c>
      <c r="S427" s="14" t="str">
        <f t="shared" si="19"/>
        <v/>
      </c>
      <c r="T427" s="33" t="str">
        <f t="shared" si="20"/>
        <v/>
      </c>
    </row>
    <row r="428" spans="1:20" x14ac:dyDescent="0.3">
      <c r="A428" s="26">
        <f>IF(BASE_CAIXA!A425="","",BASE_CAIXA!A425)</f>
        <v>424</v>
      </c>
      <c r="B428" s="26" t="str">
        <f>IF(A428="","",BASE_CAIXA!AL425)</f>
        <v>000424-DB</v>
      </c>
      <c r="C428" s="13">
        <f>IF(A428="","",BASE_CAIXA!AJ425)</f>
        <v>46185</v>
      </c>
      <c r="D428" s="26" t="str">
        <f>IF(A428="","",IF(BASE_CAIXA!C425="Entrada","Crédito","Débito"))</f>
        <v>Débito</v>
      </c>
      <c r="E428" s="14">
        <f>IF(A428="","",BASE_CAIXA!AA425)</f>
        <v>860.8</v>
      </c>
      <c r="F428" s="26">
        <f>IF(A428="","",BASE_CAIXA!N425)</f>
        <v>0</v>
      </c>
      <c r="G428" s="26">
        <f>IF(A428="","",BASE_CAIXA!O425)</f>
        <v>0</v>
      </c>
      <c r="H428" s="26">
        <f>IF(A428="","",BASE_CAIXA!P425)</f>
        <v>0</v>
      </c>
      <c r="I428" s="26" t="str">
        <f>IF(A428="","",IF(BASE_CAIXA!H425&lt;&gt;"",BASE_CAIXA!H425,BASE_CAIXA!G425))</f>
        <v>Porta Toalha de rosto em metal cromado para banheiro</v>
      </c>
      <c r="J428" s="26" t="str">
        <f>IF(A428="","",BASE_CAIXA!G425)</f>
        <v>Porta Toalha de rosto em metal cromado para banheiro</v>
      </c>
      <c r="K428" s="26">
        <f>IF(A428="","",BASE_CAIXA!I425)</f>
        <v>0</v>
      </c>
      <c r="L428" s="26">
        <f>IF(A428="","",BASE_CAIXA!J425)</f>
        <v>0</v>
      </c>
      <c r="M428" s="26" t="str">
        <f>IF(A428="","",BASE_CAIXA!AM425)</f>
        <v>Porta Toalha de rosto em metal cromado para banheiro | Porta</v>
      </c>
      <c r="N428" s="26" t="str">
        <f t="shared" ca="1" si="18"/>
        <v>Previsto</v>
      </c>
      <c r="O428" s="13" t="str">
        <f>IFERROR(INDEX(EXTRATO_IMPORTADO!$A$5:$A$404,MATCH(B428,EXTRATO_IMPORTADO!$I$5:$I$404,0)),"")</f>
        <v/>
      </c>
      <c r="P428" s="14" t="str">
        <f>IFERROR(INDEX(EXTRATO_IMPORTADO!$F$5:$F$404,MATCH(B428,EXTRATO_IMPORTADO!$I$5:$I$404,0)),"")</f>
        <v/>
      </c>
      <c r="Q428" s="26" t="str">
        <f>IFERROR(INDEX(EXTRATO_IMPORTADO!$B$5:$B$404,MATCH(B428,EXTRATO_IMPORTADO!$I$5:$I$404,0)),"")</f>
        <v/>
      </c>
      <c r="R428" s="26" t="str">
        <f>IFERROR(MATCH(B428,EXTRATO_IMPORTADO!$I$5:$I$404,0),"")</f>
        <v/>
      </c>
      <c r="S428" s="14" t="str">
        <f t="shared" si="19"/>
        <v/>
      </c>
      <c r="T428" s="33" t="str">
        <f t="shared" si="20"/>
        <v/>
      </c>
    </row>
    <row r="429" spans="1:20" x14ac:dyDescent="0.3">
      <c r="A429" s="26">
        <f>IF(BASE_CAIXA!A426="","",BASE_CAIXA!A426)</f>
        <v>425</v>
      </c>
      <c r="B429" s="26" t="str">
        <f>IF(A429="","",BASE_CAIXA!AL426)</f>
        <v>000425-DB</v>
      </c>
      <c r="C429" s="13">
        <f>IF(A429="","",BASE_CAIXA!AJ426)</f>
        <v>46185</v>
      </c>
      <c r="D429" s="26" t="str">
        <f>IF(A429="","",IF(BASE_CAIXA!C426="Entrada","Crédito","Débito"))</f>
        <v>Débito</v>
      </c>
      <c r="E429" s="14">
        <f>IF(A429="","",BASE_CAIXA!AA426)</f>
        <v>323.2</v>
      </c>
      <c r="F429" s="26">
        <f>IF(A429="","",BASE_CAIXA!N426)</f>
        <v>0</v>
      </c>
      <c r="G429" s="26">
        <f>IF(A429="","",BASE_CAIXA!O426)</f>
        <v>0</v>
      </c>
      <c r="H429" s="26">
        <f>IF(A429="","",BASE_CAIXA!P426)</f>
        <v>0</v>
      </c>
      <c r="I429" s="26" t="str">
        <f>IF(A429="","",IF(BASE_CAIXA!H426&lt;&gt;"",BASE_CAIXA!H426,BASE_CAIXA!G426))</f>
        <v>Porta grelha dn 100mm - Chuveiro</v>
      </c>
      <c r="J429" s="26" t="str">
        <f>IF(A429="","",BASE_CAIXA!G426)</f>
        <v>Porta grelha dn 100mm - Chuveiro</v>
      </c>
      <c r="K429" s="26">
        <f>IF(A429="","",BASE_CAIXA!I426)</f>
        <v>0</v>
      </c>
      <c r="L429" s="26">
        <f>IF(A429="","",BASE_CAIXA!J426)</f>
        <v>0</v>
      </c>
      <c r="M429" s="26" t="str">
        <f>IF(A429="","",BASE_CAIXA!AM426)</f>
        <v>Porta grelha dn 100mm - Chuveiro | Porta grelha dn 100mm - C</v>
      </c>
      <c r="N429" s="26" t="str">
        <f t="shared" ca="1" si="18"/>
        <v>Previsto</v>
      </c>
      <c r="O429" s="13" t="str">
        <f>IFERROR(INDEX(EXTRATO_IMPORTADO!$A$5:$A$404,MATCH(B429,EXTRATO_IMPORTADO!$I$5:$I$404,0)),"")</f>
        <v/>
      </c>
      <c r="P429" s="14" t="str">
        <f>IFERROR(INDEX(EXTRATO_IMPORTADO!$F$5:$F$404,MATCH(B429,EXTRATO_IMPORTADO!$I$5:$I$404,0)),"")</f>
        <v/>
      </c>
      <c r="Q429" s="26" t="str">
        <f>IFERROR(INDEX(EXTRATO_IMPORTADO!$B$5:$B$404,MATCH(B429,EXTRATO_IMPORTADO!$I$5:$I$404,0)),"")</f>
        <v/>
      </c>
      <c r="R429" s="26" t="str">
        <f>IFERROR(MATCH(B429,EXTRATO_IMPORTADO!$I$5:$I$404,0),"")</f>
        <v/>
      </c>
      <c r="S429" s="14" t="str">
        <f t="shared" si="19"/>
        <v/>
      </c>
      <c r="T429" s="33" t="str">
        <f t="shared" si="20"/>
        <v/>
      </c>
    </row>
    <row r="430" spans="1:20" x14ac:dyDescent="0.3">
      <c r="A430" s="26">
        <f>IF(BASE_CAIXA!A427="","",BASE_CAIXA!A427)</f>
        <v>426</v>
      </c>
      <c r="B430" s="26" t="str">
        <f>IF(A430="","",BASE_CAIXA!AL427)</f>
        <v>000426-DB</v>
      </c>
      <c r="C430" s="13">
        <f>IF(A430="","",BASE_CAIXA!AJ427)</f>
        <v>46185</v>
      </c>
      <c r="D430" s="26" t="str">
        <f>IF(A430="","",IF(BASE_CAIXA!C427="Entrada","Crédito","Débito"))</f>
        <v>Débito</v>
      </c>
      <c r="E430" s="14">
        <f>IF(A430="","",BASE_CAIXA!AA427)</f>
        <v>1020.8</v>
      </c>
      <c r="F430" s="26">
        <f>IF(A430="","",BASE_CAIXA!N427)</f>
        <v>0</v>
      </c>
      <c r="G430" s="26">
        <f>IF(A430="","",BASE_CAIXA!O427)</f>
        <v>0</v>
      </c>
      <c r="H430" s="26">
        <f>IF(A430="","",BASE_CAIXA!P427)</f>
        <v>0</v>
      </c>
      <c r="I430" s="26" t="str">
        <f>IF(A430="","",IF(BASE_CAIXA!H427&lt;&gt;"",BASE_CAIXA!H427,BASE_CAIXA!G427))</f>
        <v>Porta papel higiênico sem tampa, cromado</v>
      </c>
      <c r="J430" s="26" t="str">
        <f>IF(A430="","",BASE_CAIXA!G427)</f>
        <v>Porta papel higiênico sem tampa, cromado</v>
      </c>
      <c r="K430" s="26">
        <f>IF(A430="","",BASE_CAIXA!I427)</f>
        <v>0</v>
      </c>
      <c r="L430" s="26">
        <f>IF(A430="","",BASE_CAIXA!J427)</f>
        <v>0</v>
      </c>
      <c r="M430" s="26" t="str">
        <f>IF(A430="","",BASE_CAIXA!AM427)</f>
        <v>Porta papel higiênico sem tampa, cromado | Porta papel higiê</v>
      </c>
      <c r="N430" s="26" t="str">
        <f t="shared" ca="1" si="18"/>
        <v>Previsto</v>
      </c>
      <c r="O430" s="13" t="str">
        <f>IFERROR(INDEX(EXTRATO_IMPORTADO!$A$5:$A$404,MATCH(B430,EXTRATO_IMPORTADO!$I$5:$I$404,0)),"")</f>
        <v/>
      </c>
      <c r="P430" s="14" t="str">
        <f>IFERROR(INDEX(EXTRATO_IMPORTADO!$F$5:$F$404,MATCH(B430,EXTRATO_IMPORTADO!$I$5:$I$404,0)),"")</f>
        <v/>
      </c>
      <c r="Q430" s="26" t="str">
        <f>IFERROR(INDEX(EXTRATO_IMPORTADO!$B$5:$B$404,MATCH(B430,EXTRATO_IMPORTADO!$I$5:$I$404,0)),"")</f>
        <v/>
      </c>
      <c r="R430" s="26" t="str">
        <f>IFERROR(MATCH(B430,EXTRATO_IMPORTADO!$I$5:$I$404,0),"")</f>
        <v/>
      </c>
      <c r="S430" s="14" t="str">
        <f t="shared" si="19"/>
        <v/>
      </c>
      <c r="T430" s="33" t="str">
        <f t="shared" si="20"/>
        <v/>
      </c>
    </row>
    <row r="431" spans="1:20" x14ac:dyDescent="0.3">
      <c r="A431" s="26">
        <f>IF(BASE_CAIXA!A428="","",BASE_CAIXA!A428)</f>
        <v>427</v>
      </c>
      <c r="B431" s="26" t="str">
        <f>IF(A431="","",BASE_CAIXA!AL428)</f>
        <v>000427-DB</v>
      </c>
      <c r="C431" s="13">
        <f>IF(A431="","",BASE_CAIXA!AJ428)</f>
        <v>46185</v>
      </c>
      <c r="D431" s="26" t="str">
        <f>IF(A431="","",IF(BASE_CAIXA!C428="Entrada","Crédito","Débito"))</f>
        <v>Débito</v>
      </c>
      <c r="E431" s="14">
        <f>IF(A431="","",BASE_CAIXA!AA428)</f>
        <v>636.79999999999995</v>
      </c>
      <c r="F431" s="26">
        <f>IF(A431="","",BASE_CAIXA!N428)</f>
        <v>0</v>
      </c>
      <c r="G431" s="26">
        <f>IF(A431="","",BASE_CAIXA!O428)</f>
        <v>0</v>
      </c>
      <c r="H431" s="26">
        <f>IF(A431="","",BASE_CAIXA!P428)</f>
        <v>0</v>
      </c>
      <c r="I431" s="26" t="str">
        <f>IF(A431="","",IF(BASE_CAIXA!H428&lt;&gt;"",BASE_CAIXA!H428,BASE_CAIXA!G428))</f>
        <v>Selante Acrílico Elastométrico Top Gun 300 ml TG140 Renner</v>
      </c>
      <c r="J431" s="26" t="str">
        <f>IF(A431="","",BASE_CAIXA!G428)</f>
        <v>Selante Acrílico Elastométrico Top Gun 300 ml TG140 Renner</v>
      </c>
      <c r="K431" s="26">
        <f>IF(A431="","",BASE_CAIXA!I428)</f>
        <v>0</v>
      </c>
      <c r="L431" s="26">
        <f>IF(A431="","",BASE_CAIXA!J428)</f>
        <v>0</v>
      </c>
      <c r="M431" s="26" t="str">
        <f>IF(A431="","",BASE_CAIXA!AM428)</f>
        <v>Selante Acrílico Elastométrico Top Gun 300 ml TG140 Renner |</v>
      </c>
      <c r="N431" s="26" t="str">
        <f t="shared" ca="1" si="18"/>
        <v>Previsto</v>
      </c>
      <c r="O431" s="13" t="str">
        <f>IFERROR(INDEX(EXTRATO_IMPORTADO!$A$5:$A$404,MATCH(B431,EXTRATO_IMPORTADO!$I$5:$I$404,0)),"")</f>
        <v/>
      </c>
      <c r="P431" s="14" t="str">
        <f>IFERROR(INDEX(EXTRATO_IMPORTADO!$F$5:$F$404,MATCH(B431,EXTRATO_IMPORTADO!$I$5:$I$404,0)),"")</f>
        <v/>
      </c>
      <c r="Q431" s="26" t="str">
        <f>IFERROR(INDEX(EXTRATO_IMPORTADO!$B$5:$B$404,MATCH(B431,EXTRATO_IMPORTADO!$I$5:$I$404,0)),"")</f>
        <v/>
      </c>
      <c r="R431" s="26" t="str">
        <f>IFERROR(MATCH(B431,EXTRATO_IMPORTADO!$I$5:$I$404,0),"")</f>
        <v/>
      </c>
      <c r="S431" s="14" t="str">
        <f t="shared" si="19"/>
        <v/>
      </c>
      <c r="T431" s="33" t="str">
        <f t="shared" si="20"/>
        <v/>
      </c>
    </row>
    <row r="432" spans="1:20" x14ac:dyDescent="0.3">
      <c r="A432" s="26">
        <f>IF(BASE_CAIXA!A429="","",BASE_CAIXA!A429)</f>
        <v>428</v>
      </c>
      <c r="B432" s="26" t="str">
        <f>IF(A432="","",BASE_CAIXA!AL429)</f>
        <v>000428-DB</v>
      </c>
      <c r="C432" s="13">
        <f>IF(A432="","",BASE_CAIXA!AJ429)</f>
        <v>46185</v>
      </c>
      <c r="D432" s="26" t="str">
        <f>IF(A432="","",IF(BASE_CAIXA!C429="Entrada","Crédito","Débito"))</f>
        <v>Débito</v>
      </c>
      <c r="E432" s="14">
        <f>IF(A432="","",BASE_CAIXA!AA429)</f>
        <v>382.08</v>
      </c>
      <c r="F432" s="26">
        <f>IF(A432="","",BASE_CAIXA!N429)</f>
        <v>0</v>
      </c>
      <c r="G432" s="26">
        <f>IF(A432="","",BASE_CAIXA!O429)</f>
        <v>0</v>
      </c>
      <c r="H432" s="26">
        <f>IF(A432="","",BASE_CAIXA!P429)</f>
        <v>0</v>
      </c>
      <c r="I432" s="26" t="str">
        <f>IF(A432="","",IF(BASE_CAIXA!H429&lt;&gt;"",BASE_CAIXA!H429,BASE_CAIXA!G429))</f>
        <v>Selante Acrílico Elastométrico Top Gun 300 ml TG140 Renner</v>
      </c>
      <c r="J432" s="26" t="str">
        <f>IF(A432="","",BASE_CAIXA!G429)</f>
        <v>Selante Acrílico Elastométrico Top Gun 300 ml TG140 Renner</v>
      </c>
      <c r="K432" s="26">
        <f>IF(A432="","",BASE_CAIXA!I429)</f>
        <v>0</v>
      </c>
      <c r="L432" s="26">
        <f>IF(A432="","",BASE_CAIXA!J429)</f>
        <v>0</v>
      </c>
      <c r="M432" s="26" t="str">
        <f>IF(A432="","",BASE_CAIXA!AM429)</f>
        <v>Selante Acrílico Elastométrico Top Gun 300 ml TG140 Renner |</v>
      </c>
      <c r="N432" s="26" t="str">
        <f t="shared" ca="1" si="18"/>
        <v>Previsto</v>
      </c>
      <c r="O432" s="13" t="str">
        <f>IFERROR(INDEX(EXTRATO_IMPORTADO!$A$5:$A$404,MATCH(B432,EXTRATO_IMPORTADO!$I$5:$I$404,0)),"")</f>
        <v/>
      </c>
      <c r="P432" s="14" t="str">
        <f>IFERROR(INDEX(EXTRATO_IMPORTADO!$F$5:$F$404,MATCH(B432,EXTRATO_IMPORTADO!$I$5:$I$404,0)),"")</f>
        <v/>
      </c>
      <c r="Q432" s="26" t="str">
        <f>IFERROR(INDEX(EXTRATO_IMPORTADO!$B$5:$B$404,MATCH(B432,EXTRATO_IMPORTADO!$I$5:$I$404,0)),"")</f>
        <v/>
      </c>
      <c r="R432" s="26" t="str">
        <f>IFERROR(MATCH(B432,EXTRATO_IMPORTADO!$I$5:$I$404,0),"")</f>
        <v/>
      </c>
      <c r="S432" s="14" t="str">
        <f t="shared" si="19"/>
        <v/>
      </c>
      <c r="T432" s="33" t="str">
        <f t="shared" si="20"/>
        <v/>
      </c>
    </row>
    <row r="433" spans="1:20" x14ac:dyDescent="0.3">
      <c r="A433" s="26">
        <f>IF(BASE_CAIXA!A430="","",BASE_CAIXA!A430)</f>
        <v>429</v>
      </c>
      <c r="B433" s="26" t="str">
        <f>IF(A433="","",BASE_CAIXA!AL430)</f>
        <v>000429-DB</v>
      </c>
      <c r="C433" s="13">
        <f>IF(A433="","",BASE_CAIXA!AJ430)</f>
        <v>46185</v>
      </c>
      <c r="D433" s="26" t="str">
        <f>IF(A433="","",IF(BASE_CAIXA!C430="Entrada","Crédito","Débito"))</f>
        <v>Débito</v>
      </c>
      <c r="E433" s="14">
        <f>IF(A433="","",BASE_CAIXA!AA430)</f>
        <v>479.68</v>
      </c>
      <c r="F433" s="26">
        <f>IF(A433="","",BASE_CAIXA!N430)</f>
        <v>0</v>
      </c>
      <c r="G433" s="26">
        <f>IF(A433="","",BASE_CAIXA!O430)</f>
        <v>0</v>
      </c>
      <c r="H433" s="26">
        <f>IF(A433="","",BASE_CAIXA!P430)</f>
        <v>0</v>
      </c>
      <c r="I433" s="26" t="str">
        <f>IF(A433="","",IF(BASE_CAIXA!H430&lt;&gt;"",BASE_CAIXA!H430,BASE_CAIXA!G430))</f>
        <v>Sifão PVC Extensivo Corrugado Universal Para Lavatório E Tanque 7/8"-11/4" 740MM Branco Censi</v>
      </c>
      <c r="J433" s="26" t="str">
        <f>IF(A433="","",BASE_CAIXA!G430)</f>
        <v>Sifão PVC Extensivo Corrugado Universal Para Lavatório E Tanque 7/8"-11/4" 740MM Branco Censi</v>
      </c>
      <c r="K433" s="26">
        <f>IF(A433="","",BASE_CAIXA!I430)</f>
        <v>0</v>
      </c>
      <c r="L433" s="26">
        <f>IF(A433="","",BASE_CAIXA!J430)</f>
        <v>0</v>
      </c>
      <c r="M433" s="26" t="str">
        <f>IF(A433="","",BASE_CAIXA!AM430)</f>
        <v>Sifão PVC Extensivo Corrugado Universal Para Lavatório E Tan</v>
      </c>
      <c r="N433" s="26" t="str">
        <f t="shared" ca="1" si="18"/>
        <v>Previsto</v>
      </c>
      <c r="O433" s="13" t="str">
        <f>IFERROR(INDEX(EXTRATO_IMPORTADO!$A$5:$A$404,MATCH(B433,EXTRATO_IMPORTADO!$I$5:$I$404,0)),"")</f>
        <v/>
      </c>
      <c r="P433" s="14" t="str">
        <f>IFERROR(INDEX(EXTRATO_IMPORTADO!$F$5:$F$404,MATCH(B433,EXTRATO_IMPORTADO!$I$5:$I$404,0)),"")</f>
        <v/>
      </c>
      <c r="Q433" s="26" t="str">
        <f>IFERROR(INDEX(EXTRATO_IMPORTADO!$B$5:$B$404,MATCH(B433,EXTRATO_IMPORTADO!$I$5:$I$404,0)),"")</f>
        <v/>
      </c>
      <c r="R433" s="26" t="str">
        <f>IFERROR(MATCH(B433,EXTRATO_IMPORTADO!$I$5:$I$404,0),"")</f>
        <v/>
      </c>
      <c r="S433" s="14" t="str">
        <f t="shared" si="19"/>
        <v/>
      </c>
      <c r="T433" s="33" t="str">
        <f t="shared" si="20"/>
        <v/>
      </c>
    </row>
    <row r="434" spans="1:20" x14ac:dyDescent="0.3">
      <c r="A434" s="26">
        <f>IF(BASE_CAIXA!A431="","",BASE_CAIXA!A431)</f>
        <v>430</v>
      </c>
      <c r="B434" s="26" t="str">
        <f>IF(A434="","",BASE_CAIXA!AL431)</f>
        <v>000430-DB</v>
      </c>
      <c r="C434" s="13">
        <f>IF(A434="","",BASE_CAIXA!AJ431)</f>
        <v>46185</v>
      </c>
      <c r="D434" s="26" t="str">
        <f>IF(A434="","",IF(BASE_CAIXA!C431="Entrada","Crédito","Débito"))</f>
        <v>Débito</v>
      </c>
      <c r="E434" s="14">
        <f>IF(A434="","",BASE_CAIXA!AA431)</f>
        <v>959.36</v>
      </c>
      <c r="F434" s="26">
        <f>IF(A434="","",BASE_CAIXA!N431)</f>
        <v>0</v>
      </c>
      <c r="G434" s="26">
        <f>IF(A434="","",BASE_CAIXA!O431)</f>
        <v>0</v>
      </c>
      <c r="H434" s="26">
        <f>IF(A434="","",BASE_CAIXA!P431)</f>
        <v>0</v>
      </c>
      <c r="I434" s="26" t="str">
        <f>IF(A434="","",IF(BASE_CAIXA!H431&lt;&gt;"",BASE_CAIXA!H431,BASE_CAIXA!G431))</f>
        <v>Sifão PVC Extensivo Corrugado Universal Para Lavatório E Tanque 7/8"-11/4" 740MM Branco Censi</v>
      </c>
      <c r="J434" s="26" t="str">
        <f>IF(A434="","",BASE_CAIXA!G431)</f>
        <v>Sifão PVC Extensivo Corrugado Universal Para Lavatório E Tanque 7/8"-11/4" 740MM Branco Censi</v>
      </c>
      <c r="K434" s="26">
        <f>IF(A434="","",BASE_CAIXA!I431)</f>
        <v>0</v>
      </c>
      <c r="L434" s="26">
        <f>IF(A434="","",BASE_CAIXA!J431)</f>
        <v>0</v>
      </c>
      <c r="M434" s="26" t="str">
        <f>IF(A434="","",BASE_CAIXA!AM431)</f>
        <v>Sifão PVC Extensivo Corrugado Universal Para Lavatório E Tan</v>
      </c>
      <c r="N434" s="26" t="str">
        <f t="shared" ca="1" si="18"/>
        <v>Previsto</v>
      </c>
      <c r="O434" s="13" t="str">
        <f>IFERROR(INDEX(EXTRATO_IMPORTADO!$A$5:$A$404,MATCH(B434,EXTRATO_IMPORTADO!$I$5:$I$404,0)),"")</f>
        <v/>
      </c>
      <c r="P434" s="14" t="str">
        <f>IFERROR(INDEX(EXTRATO_IMPORTADO!$F$5:$F$404,MATCH(B434,EXTRATO_IMPORTADO!$I$5:$I$404,0)),"")</f>
        <v/>
      </c>
      <c r="Q434" s="26" t="str">
        <f>IFERROR(INDEX(EXTRATO_IMPORTADO!$B$5:$B$404,MATCH(B434,EXTRATO_IMPORTADO!$I$5:$I$404,0)),"")</f>
        <v/>
      </c>
      <c r="R434" s="26" t="str">
        <f>IFERROR(MATCH(B434,EXTRATO_IMPORTADO!$I$5:$I$404,0),"")</f>
        <v/>
      </c>
      <c r="S434" s="14" t="str">
        <f t="shared" si="19"/>
        <v/>
      </c>
      <c r="T434" s="33" t="str">
        <f t="shared" si="20"/>
        <v/>
      </c>
    </row>
    <row r="435" spans="1:20" x14ac:dyDescent="0.3">
      <c r="A435" s="26">
        <f>IF(BASE_CAIXA!A432="","",BASE_CAIXA!A432)</f>
        <v>431</v>
      </c>
      <c r="B435" s="26" t="str">
        <f>IF(A435="","",BASE_CAIXA!AL432)</f>
        <v>000431-DB</v>
      </c>
      <c r="C435" s="13">
        <f>IF(A435="","",BASE_CAIXA!AJ432)</f>
        <v>46185</v>
      </c>
      <c r="D435" s="26" t="str">
        <f>IF(A435="","",IF(BASE_CAIXA!C432="Entrada","Crédito","Débito"))</f>
        <v>Débito</v>
      </c>
      <c r="E435" s="14">
        <f>IF(A435="","",BASE_CAIXA!AA432)</f>
        <v>4872</v>
      </c>
      <c r="F435" s="26">
        <f>IF(A435="","",BASE_CAIXA!N432)</f>
        <v>0</v>
      </c>
      <c r="G435" s="26">
        <f>IF(A435="","",BASE_CAIXA!O432)</f>
        <v>0</v>
      </c>
      <c r="H435" s="26">
        <f>IF(A435="","",BASE_CAIXA!P432)</f>
        <v>0</v>
      </c>
      <c r="I435" s="26" t="str">
        <f>IF(A435="","",IF(BASE_CAIXA!H432&lt;&gt;"",BASE_CAIXA!H432,BASE_CAIXA!G432))</f>
        <v>TANQUE LOUÇA BRANCO 20L , COM VALVULA DE SAIDA INTEGRADA 40MM</v>
      </c>
      <c r="J435" s="26" t="str">
        <f>IF(A435="","",BASE_CAIXA!G432)</f>
        <v>TANQUE LOUÇA BRANCO 20L , COM VALVULA DE SAIDA INTEGRADA 40MM</v>
      </c>
      <c r="K435" s="26">
        <f>IF(A435="","",BASE_CAIXA!I432)</f>
        <v>0</v>
      </c>
      <c r="L435" s="26">
        <f>IF(A435="","",BASE_CAIXA!J432)</f>
        <v>0</v>
      </c>
      <c r="M435" s="26" t="str">
        <f>IF(A435="","",BASE_CAIXA!AM432)</f>
        <v>TANQUE LOUÇA BRANCO 20L , COM VALVULA DE SAIDA INTEGRADA 40M</v>
      </c>
      <c r="N435" s="26" t="str">
        <f t="shared" ca="1" si="18"/>
        <v>Previsto</v>
      </c>
      <c r="O435" s="13" t="str">
        <f>IFERROR(INDEX(EXTRATO_IMPORTADO!$A$5:$A$404,MATCH(B435,EXTRATO_IMPORTADO!$I$5:$I$404,0)),"")</f>
        <v/>
      </c>
      <c r="P435" s="14" t="str">
        <f>IFERROR(INDEX(EXTRATO_IMPORTADO!$F$5:$F$404,MATCH(B435,EXTRATO_IMPORTADO!$I$5:$I$404,0)),"")</f>
        <v/>
      </c>
      <c r="Q435" s="26" t="str">
        <f>IFERROR(INDEX(EXTRATO_IMPORTADO!$B$5:$B$404,MATCH(B435,EXTRATO_IMPORTADO!$I$5:$I$404,0)),"")</f>
        <v/>
      </c>
      <c r="R435" s="26" t="str">
        <f>IFERROR(MATCH(B435,EXTRATO_IMPORTADO!$I$5:$I$404,0),"")</f>
        <v/>
      </c>
      <c r="S435" s="14" t="str">
        <f t="shared" si="19"/>
        <v/>
      </c>
      <c r="T435" s="33" t="str">
        <f t="shared" si="20"/>
        <v/>
      </c>
    </row>
    <row r="436" spans="1:20" x14ac:dyDescent="0.3">
      <c r="A436" s="26">
        <f>IF(BASE_CAIXA!A433="","",BASE_CAIXA!A433)</f>
        <v>432</v>
      </c>
      <c r="B436" s="26" t="str">
        <f>IF(A436="","",BASE_CAIXA!AL433)</f>
        <v>000432-DB</v>
      </c>
      <c r="C436" s="13">
        <f>IF(A436="","",BASE_CAIXA!AJ433)</f>
        <v>46185</v>
      </c>
      <c r="D436" s="26" t="str">
        <f>IF(A436="","",IF(BASE_CAIXA!C433="Entrada","Crédito","Débito"))</f>
        <v>Débito</v>
      </c>
      <c r="E436" s="14">
        <f>IF(A436="","",BASE_CAIXA!AA433)</f>
        <v>1286.4000000000001</v>
      </c>
      <c r="F436" s="26">
        <f>IF(A436="","",BASE_CAIXA!N433)</f>
        <v>0</v>
      </c>
      <c r="G436" s="26">
        <f>IF(A436="","",BASE_CAIXA!O433)</f>
        <v>0</v>
      </c>
      <c r="H436" s="26">
        <f>IF(A436="","",BASE_CAIXA!P433)</f>
        <v>0</v>
      </c>
      <c r="I436" s="26" t="str">
        <f>IF(A436="","",IF(BASE_CAIXA!H433&lt;&gt;"",BASE_CAIXA!H433,BASE_CAIXA!G433))</f>
        <v>Torneira Banheiro Lavatório Bancada 1193 Metal C-23 Cromada</v>
      </c>
      <c r="J436" s="26" t="str">
        <f>IF(A436="","",BASE_CAIXA!G433)</f>
        <v>Torneira Banheiro Lavatório Bancada 1193 Metal C-23 Cromada</v>
      </c>
      <c r="K436" s="26">
        <f>IF(A436="","",BASE_CAIXA!I433)</f>
        <v>0</v>
      </c>
      <c r="L436" s="26">
        <f>IF(A436="","",BASE_CAIXA!J433)</f>
        <v>0</v>
      </c>
      <c r="M436" s="26" t="str">
        <f>IF(A436="","",BASE_CAIXA!AM433)</f>
        <v xml:space="preserve">Torneira Banheiro Lavatório Bancada 1193 Metal C-23 Cromada </v>
      </c>
      <c r="N436" s="26" t="str">
        <f t="shared" ca="1" si="18"/>
        <v>Previsto</v>
      </c>
      <c r="O436" s="13" t="str">
        <f>IFERROR(INDEX(EXTRATO_IMPORTADO!$A$5:$A$404,MATCH(B436,EXTRATO_IMPORTADO!$I$5:$I$404,0)),"")</f>
        <v/>
      </c>
      <c r="P436" s="14" t="str">
        <f>IFERROR(INDEX(EXTRATO_IMPORTADO!$F$5:$F$404,MATCH(B436,EXTRATO_IMPORTADO!$I$5:$I$404,0)),"")</f>
        <v/>
      </c>
      <c r="Q436" s="26" t="str">
        <f>IFERROR(INDEX(EXTRATO_IMPORTADO!$B$5:$B$404,MATCH(B436,EXTRATO_IMPORTADO!$I$5:$I$404,0)),"")</f>
        <v/>
      </c>
      <c r="R436" s="26" t="str">
        <f>IFERROR(MATCH(B436,EXTRATO_IMPORTADO!$I$5:$I$404,0),"")</f>
        <v/>
      </c>
      <c r="S436" s="14" t="str">
        <f t="shared" si="19"/>
        <v/>
      </c>
      <c r="T436" s="33" t="str">
        <f t="shared" si="20"/>
        <v/>
      </c>
    </row>
    <row r="437" spans="1:20" x14ac:dyDescent="0.3">
      <c r="A437" s="26">
        <f>IF(BASE_CAIXA!A434="","",BASE_CAIXA!A434)</f>
        <v>433</v>
      </c>
      <c r="B437" s="26" t="str">
        <f>IF(A437="","",BASE_CAIXA!AL434)</f>
        <v>000433-DB</v>
      </c>
      <c r="C437" s="13">
        <f>IF(A437="","",BASE_CAIXA!AJ434)</f>
        <v>46185</v>
      </c>
      <c r="D437" s="26" t="str">
        <f>IF(A437="","",IF(BASE_CAIXA!C434="Entrada","Crédito","Débito"))</f>
        <v>Débito</v>
      </c>
      <c r="E437" s="14">
        <f>IF(A437="","",BASE_CAIXA!AA434)</f>
        <v>1523.52</v>
      </c>
      <c r="F437" s="26">
        <f>IF(A437="","",BASE_CAIXA!N434)</f>
        <v>0</v>
      </c>
      <c r="G437" s="26">
        <f>IF(A437="","",BASE_CAIXA!O434)</f>
        <v>0</v>
      </c>
      <c r="H437" s="26">
        <f>IF(A437="","",BASE_CAIXA!P434)</f>
        <v>0</v>
      </c>
      <c r="I437" s="26" t="str">
        <f>IF(A437="","",IF(BASE_CAIXA!H434&lt;&gt;"",BASE_CAIXA!H434,BASE_CAIXA!G434))</f>
        <v>Torneira De Tanque / Jardim Luxo ¼ De Volta 100% Metal C-31</v>
      </c>
      <c r="J437" s="26" t="str">
        <f>IF(A437="","",BASE_CAIXA!G434)</f>
        <v>Torneira De Tanque / Jardim Luxo ¼ De Volta 100% Metal C-31</v>
      </c>
      <c r="K437" s="26">
        <f>IF(A437="","",BASE_CAIXA!I434)</f>
        <v>0</v>
      </c>
      <c r="L437" s="26">
        <f>IF(A437="","",BASE_CAIXA!J434)</f>
        <v>0</v>
      </c>
      <c r="M437" s="26" t="str">
        <f>IF(A437="","",BASE_CAIXA!AM434)</f>
        <v xml:space="preserve">Torneira De Tanque / Jardim Luxo ¼ De Volta 100% Metal C-31 </v>
      </c>
      <c r="N437" s="26" t="str">
        <f t="shared" ca="1" si="18"/>
        <v>Previsto</v>
      </c>
      <c r="O437" s="13" t="str">
        <f>IFERROR(INDEX(EXTRATO_IMPORTADO!$A$5:$A$404,MATCH(B437,EXTRATO_IMPORTADO!$I$5:$I$404,0)),"")</f>
        <v/>
      </c>
      <c r="P437" s="14" t="str">
        <f>IFERROR(INDEX(EXTRATO_IMPORTADO!$F$5:$F$404,MATCH(B437,EXTRATO_IMPORTADO!$I$5:$I$404,0)),"")</f>
        <v/>
      </c>
      <c r="Q437" s="26" t="str">
        <f>IFERROR(INDEX(EXTRATO_IMPORTADO!$B$5:$B$404,MATCH(B437,EXTRATO_IMPORTADO!$I$5:$I$404,0)),"")</f>
        <v/>
      </c>
      <c r="R437" s="26" t="str">
        <f>IFERROR(MATCH(B437,EXTRATO_IMPORTADO!$I$5:$I$404,0),"")</f>
        <v/>
      </c>
      <c r="S437" s="14" t="str">
        <f t="shared" si="19"/>
        <v/>
      </c>
      <c r="T437" s="33" t="str">
        <f t="shared" si="20"/>
        <v/>
      </c>
    </row>
    <row r="438" spans="1:20" x14ac:dyDescent="0.3">
      <c r="A438" s="26">
        <f>IF(BASE_CAIXA!A435="","",BASE_CAIXA!A435)</f>
        <v>434</v>
      </c>
      <c r="B438" s="26" t="str">
        <f>IF(A438="","",BASE_CAIXA!AL435)</f>
        <v>000434-DB</v>
      </c>
      <c r="C438" s="13">
        <f>IF(A438="","",BASE_CAIXA!AJ435)</f>
        <v>46185</v>
      </c>
      <c r="D438" s="26" t="str">
        <f>IF(A438="","",IF(BASE_CAIXA!C435="Entrada","Crédito","Débito"))</f>
        <v>Débito</v>
      </c>
      <c r="E438" s="14">
        <f>IF(A438="","",BASE_CAIXA!AA435)</f>
        <v>114.24</v>
      </c>
      <c r="F438" s="26">
        <f>IF(A438="","",BASE_CAIXA!N435)</f>
        <v>0</v>
      </c>
      <c r="G438" s="26">
        <f>IF(A438="","",BASE_CAIXA!O435)</f>
        <v>0</v>
      </c>
      <c r="H438" s="26">
        <f>IF(A438="","",BASE_CAIXA!P435)</f>
        <v>0</v>
      </c>
      <c r="I438" s="26" t="str">
        <f>IF(A438="","",IF(BASE_CAIXA!H435&lt;&gt;"",BASE_CAIXA!H435,BASE_CAIXA!G435))</f>
        <v>Veda Rosca Teflon Veda Tubulações 18mm x 50M</v>
      </c>
      <c r="J438" s="26" t="str">
        <f>IF(A438="","",BASE_CAIXA!G435)</f>
        <v>Veda Rosca Teflon Veda Tubulações 18mm x 50M</v>
      </c>
      <c r="K438" s="26">
        <f>IF(A438="","",BASE_CAIXA!I435)</f>
        <v>0</v>
      </c>
      <c r="L438" s="26">
        <f>IF(A438="","",BASE_CAIXA!J435)</f>
        <v>0</v>
      </c>
      <c r="M438" s="26" t="str">
        <f>IF(A438="","",BASE_CAIXA!AM435)</f>
        <v>Veda Rosca Teflon Veda Tubulações 18mm x 50M | Veda Rosca Te</v>
      </c>
      <c r="N438" s="26" t="str">
        <f t="shared" ca="1" si="18"/>
        <v>Previsto</v>
      </c>
      <c r="O438" s="13" t="str">
        <f>IFERROR(INDEX(EXTRATO_IMPORTADO!$A$5:$A$404,MATCH(B438,EXTRATO_IMPORTADO!$I$5:$I$404,0)),"")</f>
        <v/>
      </c>
      <c r="P438" s="14" t="str">
        <f>IFERROR(INDEX(EXTRATO_IMPORTADO!$F$5:$F$404,MATCH(B438,EXTRATO_IMPORTADO!$I$5:$I$404,0)),"")</f>
        <v/>
      </c>
      <c r="Q438" s="26" t="str">
        <f>IFERROR(INDEX(EXTRATO_IMPORTADO!$B$5:$B$404,MATCH(B438,EXTRATO_IMPORTADO!$I$5:$I$404,0)),"")</f>
        <v/>
      </c>
      <c r="R438" s="26" t="str">
        <f>IFERROR(MATCH(B438,EXTRATO_IMPORTADO!$I$5:$I$404,0),"")</f>
        <v/>
      </c>
      <c r="S438" s="14" t="str">
        <f t="shared" si="19"/>
        <v/>
      </c>
      <c r="T438" s="33" t="str">
        <f t="shared" si="20"/>
        <v/>
      </c>
    </row>
    <row r="439" spans="1:20" x14ac:dyDescent="0.3">
      <c r="A439" s="26">
        <f>IF(BASE_CAIXA!A436="","",BASE_CAIXA!A436)</f>
        <v>435</v>
      </c>
      <c r="B439" s="26" t="str">
        <f>IF(A439="","",BASE_CAIXA!AL436)</f>
        <v>000435-DB</v>
      </c>
      <c r="C439" s="13">
        <f>IF(A439="","",BASE_CAIXA!AJ436)</f>
        <v>46185</v>
      </c>
      <c r="D439" s="26" t="str">
        <f>IF(A439="","",IF(BASE_CAIXA!C436="Entrada","Crédito","Débito"))</f>
        <v>Débito</v>
      </c>
      <c r="E439" s="14">
        <f>IF(A439="","",BASE_CAIXA!AA436)</f>
        <v>76.160000000000011</v>
      </c>
      <c r="F439" s="26">
        <f>IF(A439="","",BASE_CAIXA!N436)</f>
        <v>0</v>
      </c>
      <c r="G439" s="26">
        <f>IF(A439="","",BASE_CAIXA!O436)</f>
        <v>0</v>
      </c>
      <c r="H439" s="26">
        <f>IF(A439="","",BASE_CAIXA!P436)</f>
        <v>0</v>
      </c>
      <c r="I439" s="26" t="str">
        <f>IF(A439="","",IF(BASE_CAIXA!H436&lt;&gt;"",BASE_CAIXA!H436,BASE_CAIXA!G436))</f>
        <v>Veda Rosca Teflon Veda Tubulações 18mm x 50M</v>
      </c>
      <c r="J439" s="26" t="str">
        <f>IF(A439="","",BASE_CAIXA!G436)</f>
        <v>Veda Rosca Teflon Veda Tubulações 18mm x 50M</v>
      </c>
      <c r="K439" s="26">
        <f>IF(A439="","",BASE_CAIXA!I436)</f>
        <v>0</v>
      </c>
      <c r="L439" s="26">
        <f>IF(A439="","",BASE_CAIXA!J436)</f>
        <v>0</v>
      </c>
      <c r="M439" s="26" t="str">
        <f>IF(A439="","",BASE_CAIXA!AM436)</f>
        <v>Veda Rosca Teflon Veda Tubulações 18mm x 50M | Veda Rosca Te</v>
      </c>
      <c r="N439" s="26" t="str">
        <f t="shared" ca="1" si="18"/>
        <v>Previsto</v>
      </c>
      <c r="O439" s="13" t="str">
        <f>IFERROR(INDEX(EXTRATO_IMPORTADO!$A$5:$A$404,MATCH(B439,EXTRATO_IMPORTADO!$I$5:$I$404,0)),"")</f>
        <v/>
      </c>
      <c r="P439" s="14" t="str">
        <f>IFERROR(INDEX(EXTRATO_IMPORTADO!$F$5:$F$404,MATCH(B439,EXTRATO_IMPORTADO!$I$5:$I$404,0)),"")</f>
        <v/>
      </c>
      <c r="Q439" s="26" t="str">
        <f>IFERROR(INDEX(EXTRATO_IMPORTADO!$B$5:$B$404,MATCH(B439,EXTRATO_IMPORTADO!$I$5:$I$404,0)),"")</f>
        <v/>
      </c>
      <c r="R439" s="26" t="str">
        <f>IFERROR(MATCH(B439,EXTRATO_IMPORTADO!$I$5:$I$404,0),"")</f>
        <v/>
      </c>
      <c r="S439" s="14" t="str">
        <f t="shared" si="19"/>
        <v/>
      </c>
      <c r="T439" s="33" t="str">
        <f t="shared" si="20"/>
        <v/>
      </c>
    </row>
    <row r="440" spans="1:20" x14ac:dyDescent="0.3">
      <c r="A440" s="26">
        <f>IF(BASE_CAIXA!A437="","",BASE_CAIXA!A437)</f>
        <v>436</v>
      </c>
      <c r="B440" s="26" t="str">
        <f>IF(A440="","",BASE_CAIXA!AL437)</f>
        <v>000436-DB</v>
      </c>
      <c r="C440" s="13">
        <f>IF(A440="","",BASE_CAIXA!AJ437)</f>
        <v>46185</v>
      </c>
      <c r="D440" s="26" t="str">
        <f>IF(A440="","",IF(BASE_CAIXA!C437="Entrada","Crédito","Débito"))</f>
        <v>Débito</v>
      </c>
      <c r="E440" s="14">
        <f>IF(A440="","",BASE_CAIXA!AA437)</f>
        <v>76.160000000000011</v>
      </c>
      <c r="F440" s="26">
        <f>IF(A440="","",BASE_CAIXA!N437)</f>
        <v>0</v>
      </c>
      <c r="G440" s="26">
        <f>IF(A440="","",BASE_CAIXA!O437)</f>
        <v>0</v>
      </c>
      <c r="H440" s="26">
        <f>IF(A440="","",BASE_CAIXA!P437)</f>
        <v>0</v>
      </c>
      <c r="I440" s="26" t="str">
        <f>IF(A440="","",IF(BASE_CAIXA!H437&lt;&gt;"",BASE_CAIXA!H437,BASE_CAIXA!G437))</f>
        <v>Veda Rosca Teflon Veda Tubulações 18mm x 50M</v>
      </c>
      <c r="J440" s="26" t="str">
        <f>IF(A440="","",BASE_CAIXA!G437)</f>
        <v>Veda Rosca Teflon Veda Tubulações 18mm x 50M</v>
      </c>
      <c r="K440" s="26">
        <f>IF(A440="","",BASE_CAIXA!I437)</f>
        <v>0</v>
      </c>
      <c r="L440" s="26">
        <f>IF(A440="","",BASE_CAIXA!J437)</f>
        <v>0</v>
      </c>
      <c r="M440" s="26" t="str">
        <f>IF(A440="","",BASE_CAIXA!AM437)</f>
        <v>Veda Rosca Teflon Veda Tubulações 18mm x 50M | Veda Rosca Te</v>
      </c>
      <c r="N440" s="26" t="str">
        <f t="shared" ca="1" si="18"/>
        <v>Previsto</v>
      </c>
      <c r="O440" s="13" t="str">
        <f>IFERROR(INDEX(EXTRATO_IMPORTADO!$A$5:$A$404,MATCH(B440,EXTRATO_IMPORTADO!$I$5:$I$404,0)),"")</f>
        <v/>
      </c>
      <c r="P440" s="14" t="str">
        <f>IFERROR(INDEX(EXTRATO_IMPORTADO!$F$5:$F$404,MATCH(B440,EXTRATO_IMPORTADO!$I$5:$I$404,0)),"")</f>
        <v/>
      </c>
      <c r="Q440" s="26" t="str">
        <f>IFERROR(INDEX(EXTRATO_IMPORTADO!$B$5:$B$404,MATCH(B440,EXTRATO_IMPORTADO!$I$5:$I$404,0)),"")</f>
        <v/>
      </c>
      <c r="R440" s="26" t="str">
        <f>IFERROR(MATCH(B440,EXTRATO_IMPORTADO!$I$5:$I$404,0),"")</f>
        <v/>
      </c>
      <c r="S440" s="14" t="str">
        <f t="shared" si="19"/>
        <v/>
      </c>
      <c r="T440" s="33" t="str">
        <f t="shared" si="20"/>
        <v/>
      </c>
    </row>
    <row r="441" spans="1:20" x14ac:dyDescent="0.3">
      <c r="A441" s="26">
        <f>IF(BASE_CAIXA!A438="","",BASE_CAIXA!A438)</f>
        <v>437</v>
      </c>
      <c r="B441" s="26" t="str">
        <f>IF(A441="","",BASE_CAIXA!AL438)</f>
        <v>000437-DB</v>
      </c>
      <c r="C441" s="13">
        <f>IF(A441="","",BASE_CAIXA!AJ438)</f>
        <v>46185</v>
      </c>
      <c r="D441" s="26" t="str">
        <f>IF(A441="","",IF(BASE_CAIXA!C438="Entrada","Crédito","Débito"))</f>
        <v>Débito</v>
      </c>
      <c r="E441" s="14">
        <f>IF(A441="","",BASE_CAIXA!AA438)</f>
        <v>152.96</v>
      </c>
      <c r="F441" s="26">
        <f>IF(A441="","",BASE_CAIXA!N438)</f>
        <v>0</v>
      </c>
      <c r="G441" s="26">
        <f>IF(A441="","",BASE_CAIXA!O438)</f>
        <v>0</v>
      </c>
      <c r="H441" s="26">
        <f>IF(A441="","",BASE_CAIXA!P438)</f>
        <v>0</v>
      </c>
      <c r="I441" s="26" t="str">
        <f>IF(A441="","",IF(BASE_CAIXA!H438&lt;&gt;"",BASE_CAIXA!H438,BASE_CAIXA!G438))</f>
        <v>Válvula PVC Para Lavatório S/ladrao Amanco</v>
      </c>
      <c r="J441" s="26" t="str">
        <f>IF(A441="","",BASE_CAIXA!G438)</f>
        <v>Válvula PVC Para Lavatório S/ladrao Amanco</v>
      </c>
      <c r="K441" s="26">
        <f>IF(A441="","",BASE_CAIXA!I438)</f>
        <v>0</v>
      </c>
      <c r="L441" s="26">
        <f>IF(A441="","",BASE_CAIXA!J438)</f>
        <v>0</v>
      </c>
      <c r="M441" s="26" t="str">
        <f>IF(A441="","",BASE_CAIXA!AM438)</f>
        <v>Válvula PVC Para Lavatório S/ladrao Amanco | Válvula PVC Par</v>
      </c>
      <c r="N441" s="26" t="str">
        <f t="shared" ca="1" si="18"/>
        <v>Previsto</v>
      </c>
      <c r="O441" s="13" t="str">
        <f>IFERROR(INDEX(EXTRATO_IMPORTADO!$A$5:$A$404,MATCH(B441,EXTRATO_IMPORTADO!$I$5:$I$404,0)),"")</f>
        <v/>
      </c>
      <c r="P441" s="14" t="str">
        <f>IFERROR(INDEX(EXTRATO_IMPORTADO!$F$5:$F$404,MATCH(B441,EXTRATO_IMPORTADO!$I$5:$I$404,0)),"")</f>
        <v/>
      </c>
      <c r="Q441" s="26" t="str">
        <f>IFERROR(INDEX(EXTRATO_IMPORTADO!$B$5:$B$404,MATCH(B441,EXTRATO_IMPORTADO!$I$5:$I$404,0)),"")</f>
        <v/>
      </c>
      <c r="R441" s="26" t="str">
        <f>IFERROR(MATCH(B441,EXTRATO_IMPORTADO!$I$5:$I$404,0),"")</f>
        <v/>
      </c>
      <c r="S441" s="14" t="str">
        <f t="shared" si="19"/>
        <v/>
      </c>
      <c r="T441" s="33" t="str">
        <f t="shared" si="20"/>
        <v/>
      </c>
    </row>
    <row r="442" spans="1:20" x14ac:dyDescent="0.3">
      <c r="A442" s="26">
        <f>IF(BASE_CAIXA!A439="","",BASE_CAIXA!A439)</f>
        <v>438</v>
      </c>
      <c r="B442" s="26" t="str">
        <f>IF(A442="","",BASE_CAIXA!AL439)</f>
        <v>000438-DB</v>
      </c>
      <c r="C442" s="13">
        <f>IF(A442="","",BASE_CAIXA!AJ439)</f>
        <v>46185</v>
      </c>
      <c r="D442" s="26" t="str">
        <f>IF(A442="","",IF(BASE_CAIXA!C439="Entrada","Crédito","Débito"))</f>
        <v>Débito</v>
      </c>
      <c r="E442" s="14">
        <f>IF(A442="","",BASE_CAIXA!AA439)</f>
        <v>1820.8</v>
      </c>
      <c r="F442" s="26">
        <f>IF(A442="","",BASE_CAIXA!N439)</f>
        <v>0</v>
      </c>
      <c r="G442" s="26">
        <f>IF(A442="","",BASE_CAIXA!O439)</f>
        <v>0</v>
      </c>
      <c r="H442" s="26">
        <f>IF(A442="","",BASE_CAIXA!P439)</f>
        <v>0</v>
      </c>
      <c r="I442" s="26" t="str">
        <f>IF(A442="","",IF(BASE_CAIXA!H439&lt;&gt;"",BASE_CAIXA!H439,BASE_CAIXA!G439))</f>
        <v>torneira cromada para pia da cozinha</v>
      </c>
      <c r="J442" s="26" t="str">
        <f>IF(A442="","",BASE_CAIXA!G439)</f>
        <v>torneira cromada para pia da cozinha</v>
      </c>
      <c r="K442" s="26">
        <f>IF(A442="","",BASE_CAIXA!I439)</f>
        <v>0</v>
      </c>
      <c r="L442" s="26">
        <f>IF(A442="","",BASE_CAIXA!J439)</f>
        <v>0</v>
      </c>
      <c r="M442" s="26" t="str">
        <f>IF(A442="","",BASE_CAIXA!AM439)</f>
        <v>torneira cromada para pia da cozinha | torneira cromada para</v>
      </c>
      <c r="N442" s="26" t="str">
        <f t="shared" ca="1" si="18"/>
        <v>Previsto</v>
      </c>
      <c r="O442" s="13" t="str">
        <f>IFERROR(INDEX(EXTRATO_IMPORTADO!$A$5:$A$404,MATCH(B442,EXTRATO_IMPORTADO!$I$5:$I$404,0)),"")</f>
        <v/>
      </c>
      <c r="P442" s="14" t="str">
        <f>IFERROR(INDEX(EXTRATO_IMPORTADO!$F$5:$F$404,MATCH(B442,EXTRATO_IMPORTADO!$I$5:$I$404,0)),"")</f>
        <v/>
      </c>
      <c r="Q442" s="26" t="str">
        <f>IFERROR(INDEX(EXTRATO_IMPORTADO!$B$5:$B$404,MATCH(B442,EXTRATO_IMPORTADO!$I$5:$I$404,0)),"")</f>
        <v/>
      </c>
      <c r="R442" s="26" t="str">
        <f>IFERROR(MATCH(B442,EXTRATO_IMPORTADO!$I$5:$I$404,0),"")</f>
        <v/>
      </c>
      <c r="S442" s="14" t="str">
        <f t="shared" si="19"/>
        <v/>
      </c>
      <c r="T442" s="33" t="str">
        <f t="shared" si="20"/>
        <v/>
      </c>
    </row>
    <row r="443" spans="1:20" x14ac:dyDescent="0.3">
      <c r="A443" s="26">
        <f>IF(BASE_CAIXA!A440="","",BASE_CAIXA!A440)</f>
        <v>439</v>
      </c>
      <c r="B443" s="26" t="str">
        <f>IF(A443="","",BASE_CAIXA!AL440)</f>
        <v>000439-DB</v>
      </c>
      <c r="C443" s="13">
        <f>IF(A443="","",BASE_CAIXA!AJ440)</f>
        <v>46185</v>
      </c>
      <c r="D443" s="26" t="str">
        <f>IF(A443="","",IF(BASE_CAIXA!C440="Entrada","Crédito","Débito"))</f>
        <v>Débito</v>
      </c>
      <c r="E443" s="14">
        <f>IF(A443="","",BASE_CAIXA!AA440)</f>
        <v>40487.902828799997</v>
      </c>
      <c r="F443" s="26">
        <f>IF(A443="","",BASE_CAIXA!N440)</f>
        <v>0</v>
      </c>
      <c r="G443" s="26">
        <f>IF(A443="","",BASE_CAIXA!O440)</f>
        <v>0</v>
      </c>
      <c r="H443" s="26">
        <f>IF(A443="","",BASE_CAIXA!P440)</f>
        <v>0</v>
      </c>
      <c r="I443" s="26" t="str">
        <f>IF(A443="","",IF(BASE_CAIXA!H440&lt;&gt;"",BASE_CAIXA!H440,BASE_CAIXA!G440))</f>
        <v>Montagem de paredes pré-moldadas (içamento, prumo, alinhamento e escoramento com grauteamento) – até 35 t</v>
      </c>
      <c r="J443" s="26" t="str">
        <f>IF(A443="","",BASE_CAIXA!G440)</f>
        <v>Montagem de paredes pré-moldadas (içamento, prumo, alinhamento e escoramento com grauteamento) – até 35 t</v>
      </c>
      <c r="K443" s="26">
        <f>IF(A443="","",BASE_CAIXA!I440)</f>
        <v>0</v>
      </c>
      <c r="L443" s="26">
        <f>IF(A443="","",BASE_CAIXA!J440)</f>
        <v>0</v>
      </c>
      <c r="M443" s="26" t="str">
        <f>IF(A443="","",BASE_CAIXA!AM440)</f>
        <v>Montagem de paredes pré-moldadas (içamento, prumo, alinhamen</v>
      </c>
      <c r="N443" s="26" t="str">
        <f t="shared" ca="1" si="18"/>
        <v>Previsto</v>
      </c>
      <c r="O443" s="13" t="str">
        <f>IFERROR(INDEX(EXTRATO_IMPORTADO!$A$5:$A$404,MATCH(B443,EXTRATO_IMPORTADO!$I$5:$I$404,0)),"")</f>
        <v/>
      </c>
      <c r="P443" s="14" t="str">
        <f>IFERROR(INDEX(EXTRATO_IMPORTADO!$F$5:$F$404,MATCH(B443,EXTRATO_IMPORTADO!$I$5:$I$404,0)),"")</f>
        <v/>
      </c>
      <c r="Q443" s="26" t="str">
        <f>IFERROR(INDEX(EXTRATO_IMPORTADO!$B$5:$B$404,MATCH(B443,EXTRATO_IMPORTADO!$I$5:$I$404,0)),"")</f>
        <v/>
      </c>
      <c r="R443" s="26" t="str">
        <f>IFERROR(MATCH(B443,EXTRATO_IMPORTADO!$I$5:$I$404,0),"")</f>
        <v/>
      </c>
      <c r="S443" s="14" t="str">
        <f t="shared" si="19"/>
        <v/>
      </c>
      <c r="T443" s="33" t="str">
        <f t="shared" si="20"/>
        <v/>
      </c>
    </row>
    <row r="444" spans="1:20" x14ac:dyDescent="0.3">
      <c r="A444" s="26">
        <f>IF(BASE_CAIXA!A441="","",BASE_CAIXA!A441)</f>
        <v>440</v>
      </c>
      <c r="B444" s="26" t="str">
        <f>IF(A444="","",BASE_CAIXA!AL441)</f>
        <v>000440-DB</v>
      </c>
      <c r="C444" s="13">
        <f>IF(A444="","",BASE_CAIXA!AJ441)</f>
        <v>46185</v>
      </c>
      <c r="D444" s="26" t="str">
        <f>IF(A444="","",IF(BASE_CAIXA!C441="Entrada","Crédito","Débito"))</f>
        <v>Débito</v>
      </c>
      <c r="E444" s="14">
        <f>IF(A444="","",BASE_CAIXA!AA441)</f>
        <v>74656</v>
      </c>
      <c r="F444" s="26">
        <f>IF(A444="","",BASE_CAIXA!N441)</f>
        <v>0</v>
      </c>
      <c r="G444" s="26">
        <f>IF(A444="","",BASE_CAIXA!O441)</f>
        <v>0</v>
      </c>
      <c r="H444" s="26">
        <f>IF(A444="","",BASE_CAIXA!P441)</f>
        <v>0</v>
      </c>
      <c r="I444" s="26" t="str">
        <f>IF(A444="","",IF(BASE_CAIXA!H441&lt;&gt;"",BASE_CAIXA!H441,BASE_CAIXA!G441))</f>
        <v>contrato industrializaçao paredes</v>
      </c>
      <c r="J444" s="26" t="str">
        <f>IF(A444="","",BASE_CAIXA!G441)</f>
        <v>contrato industrializaçao paredes</v>
      </c>
      <c r="K444" s="26">
        <f>IF(A444="","",BASE_CAIXA!I441)</f>
        <v>0</v>
      </c>
      <c r="L444" s="26">
        <f>IF(A444="","",BASE_CAIXA!J441)</f>
        <v>0</v>
      </c>
      <c r="M444" s="26" t="str">
        <f>IF(A444="","",BASE_CAIXA!AM441)</f>
        <v>contrato industrializaçao paredes | contrato industrializaça</v>
      </c>
      <c r="N444" s="26" t="str">
        <f t="shared" ca="1" si="18"/>
        <v>Previsto</v>
      </c>
      <c r="O444" s="13" t="str">
        <f>IFERROR(INDEX(EXTRATO_IMPORTADO!$A$5:$A$404,MATCH(B444,EXTRATO_IMPORTADO!$I$5:$I$404,0)),"")</f>
        <v/>
      </c>
      <c r="P444" s="14" t="str">
        <f>IFERROR(INDEX(EXTRATO_IMPORTADO!$F$5:$F$404,MATCH(B444,EXTRATO_IMPORTADO!$I$5:$I$404,0)),"")</f>
        <v/>
      </c>
      <c r="Q444" s="26" t="str">
        <f>IFERROR(INDEX(EXTRATO_IMPORTADO!$B$5:$B$404,MATCH(B444,EXTRATO_IMPORTADO!$I$5:$I$404,0)),"")</f>
        <v/>
      </c>
      <c r="R444" s="26" t="str">
        <f>IFERROR(MATCH(B444,EXTRATO_IMPORTADO!$I$5:$I$404,0),"")</f>
        <v/>
      </c>
      <c r="S444" s="14" t="str">
        <f t="shared" si="19"/>
        <v/>
      </c>
      <c r="T444" s="33" t="str">
        <f t="shared" si="20"/>
        <v/>
      </c>
    </row>
    <row r="445" spans="1:20" x14ac:dyDescent="0.3">
      <c r="A445" s="26">
        <f>IF(BASE_CAIXA!A442="","",BASE_CAIXA!A442)</f>
        <v>441</v>
      </c>
      <c r="B445" s="26" t="str">
        <f>IF(A445="","",BASE_CAIXA!AL442)</f>
        <v>000441-DB</v>
      </c>
      <c r="C445" s="13">
        <f>IF(A445="","",BASE_CAIXA!AJ442)</f>
        <v>46185</v>
      </c>
      <c r="D445" s="26" t="str">
        <f>IF(A445="","",IF(BASE_CAIXA!C442="Entrada","Crédito","Débito"))</f>
        <v>Débito</v>
      </c>
      <c r="E445" s="14">
        <f>IF(A445="","",BASE_CAIXA!AA442)</f>
        <v>74656</v>
      </c>
      <c r="F445" s="26">
        <f>IF(A445="","",BASE_CAIXA!N442)</f>
        <v>0</v>
      </c>
      <c r="G445" s="26">
        <f>IF(A445="","",BASE_CAIXA!O442)</f>
        <v>0</v>
      </c>
      <c r="H445" s="26">
        <f>IF(A445="","",BASE_CAIXA!P442)</f>
        <v>0</v>
      </c>
      <c r="I445" s="26" t="str">
        <f>IF(A445="","",IF(BASE_CAIXA!H442&lt;&gt;"",BASE_CAIXA!H442,BASE_CAIXA!G442))</f>
        <v>contrato industrializaçao paredes</v>
      </c>
      <c r="J445" s="26" t="str">
        <f>IF(A445="","",BASE_CAIXA!G442)</f>
        <v>contrato industrializaçao paredes</v>
      </c>
      <c r="K445" s="26">
        <f>IF(A445="","",BASE_CAIXA!I442)</f>
        <v>0</v>
      </c>
      <c r="L445" s="26">
        <f>IF(A445="","",BASE_CAIXA!J442)</f>
        <v>0</v>
      </c>
      <c r="M445" s="26" t="str">
        <f>IF(A445="","",BASE_CAIXA!AM442)</f>
        <v>contrato industrializaçao paredes | contrato industrializaça</v>
      </c>
      <c r="N445" s="26" t="str">
        <f t="shared" ca="1" si="18"/>
        <v>Previsto</v>
      </c>
      <c r="O445" s="13" t="str">
        <f>IFERROR(INDEX(EXTRATO_IMPORTADO!$A$5:$A$404,MATCH(B445,EXTRATO_IMPORTADO!$I$5:$I$404,0)),"")</f>
        <v/>
      </c>
      <c r="P445" s="14" t="str">
        <f>IFERROR(INDEX(EXTRATO_IMPORTADO!$F$5:$F$404,MATCH(B445,EXTRATO_IMPORTADO!$I$5:$I$404,0)),"")</f>
        <v/>
      </c>
      <c r="Q445" s="26" t="str">
        <f>IFERROR(INDEX(EXTRATO_IMPORTADO!$B$5:$B$404,MATCH(B445,EXTRATO_IMPORTADO!$I$5:$I$404,0)),"")</f>
        <v/>
      </c>
      <c r="R445" s="26" t="str">
        <f>IFERROR(MATCH(B445,EXTRATO_IMPORTADO!$I$5:$I$404,0),"")</f>
        <v/>
      </c>
      <c r="S445" s="14" t="str">
        <f t="shared" si="19"/>
        <v/>
      </c>
      <c r="T445" s="33" t="str">
        <f t="shared" si="20"/>
        <v/>
      </c>
    </row>
    <row r="446" spans="1:20" x14ac:dyDescent="0.3">
      <c r="A446" s="26">
        <f>IF(BASE_CAIXA!A443="","",BASE_CAIXA!A443)</f>
        <v>442</v>
      </c>
      <c r="B446" s="26" t="str">
        <f>IF(A446="","",BASE_CAIXA!AL443)</f>
        <v>000442-DB</v>
      </c>
      <c r="C446" s="13">
        <f>IF(A446="","",BASE_CAIXA!AJ443)</f>
        <v>46185</v>
      </c>
      <c r="D446" s="26" t="str">
        <f>IF(A446="","",IF(BASE_CAIXA!C443="Entrada","Crédito","Débito"))</f>
        <v>Débito</v>
      </c>
      <c r="E446" s="14">
        <f>IF(A446="","",BASE_CAIXA!AA443)</f>
        <v>89472</v>
      </c>
      <c r="F446" s="26">
        <f>IF(A446="","",BASE_CAIXA!N443)</f>
        <v>0</v>
      </c>
      <c r="G446" s="26">
        <f>IF(A446="","",BASE_CAIXA!O443)</f>
        <v>0</v>
      </c>
      <c r="H446" s="26">
        <f>IF(A446="","",BASE_CAIXA!P443)</f>
        <v>0</v>
      </c>
      <c r="I446" s="26" t="str">
        <f>IF(A446="","",IF(BASE_CAIXA!H443&lt;&gt;"",BASE_CAIXA!H443,BASE_CAIXA!G443))</f>
        <v>contrato industrializaçao paredes</v>
      </c>
      <c r="J446" s="26" t="str">
        <f>IF(A446="","",BASE_CAIXA!G443)</f>
        <v>contrato industrializaçao paredes</v>
      </c>
      <c r="K446" s="26">
        <f>IF(A446="","",BASE_CAIXA!I443)</f>
        <v>0</v>
      </c>
      <c r="L446" s="26">
        <f>IF(A446="","",BASE_CAIXA!J443)</f>
        <v>0</v>
      </c>
      <c r="M446" s="26" t="str">
        <f>IF(A446="","",BASE_CAIXA!AM443)</f>
        <v>contrato industrializaçao paredes | contrato industrializaça</v>
      </c>
      <c r="N446" s="26" t="str">
        <f t="shared" ca="1" si="18"/>
        <v>Previsto</v>
      </c>
      <c r="O446" s="13" t="str">
        <f>IFERROR(INDEX(EXTRATO_IMPORTADO!$A$5:$A$404,MATCH(B446,EXTRATO_IMPORTADO!$I$5:$I$404,0)),"")</f>
        <v/>
      </c>
      <c r="P446" s="14" t="str">
        <f>IFERROR(INDEX(EXTRATO_IMPORTADO!$F$5:$F$404,MATCH(B446,EXTRATO_IMPORTADO!$I$5:$I$404,0)),"")</f>
        <v/>
      </c>
      <c r="Q446" s="26" t="str">
        <f>IFERROR(INDEX(EXTRATO_IMPORTADO!$B$5:$B$404,MATCH(B446,EXTRATO_IMPORTADO!$I$5:$I$404,0)),"")</f>
        <v/>
      </c>
      <c r="R446" s="26" t="str">
        <f>IFERROR(MATCH(B446,EXTRATO_IMPORTADO!$I$5:$I$404,0),"")</f>
        <v/>
      </c>
      <c r="S446" s="14" t="str">
        <f t="shared" si="19"/>
        <v/>
      </c>
      <c r="T446" s="33" t="str">
        <f t="shared" si="20"/>
        <v/>
      </c>
    </row>
    <row r="447" spans="1:20" x14ac:dyDescent="0.3">
      <c r="A447" s="26">
        <f>IF(BASE_CAIXA!A444="","",BASE_CAIXA!A444)</f>
        <v>443</v>
      </c>
      <c r="B447" s="26" t="str">
        <f>IF(A447="","",BASE_CAIXA!AL444)</f>
        <v>000443-DB</v>
      </c>
      <c r="C447" s="13">
        <f>IF(A447="","",BASE_CAIXA!AJ444)</f>
        <v>46185</v>
      </c>
      <c r="D447" s="26" t="str">
        <f>IF(A447="","",IF(BASE_CAIXA!C444="Entrada","Crédito","Débito"))</f>
        <v>Débito</v>
      </c>
      <c r="E447" s="14">
        <f>IF(A447="","",BASE_CAIXA!AA444)</f>
        <v>31984.91724137932</v>
      </c>
      <c r="F447" s="26">
        <f>IF(A447="","",BASE_CAIXA!N444)</f>
        <v>0</v>
      </c>
      <c r="G447" s="26">
        <f>IF(A447="","",BASE_CAIXA!O444)</f>
        <v>0</v>
      </c>
      <c r="H447" s="26">
        <f>IF(A447="","",BASE_CAIXA!P444)</f>
        <v>0</v>
      </c>
      <c r="I447" s="26" t="str">
        <f>IF(A447="","",IF(BASE_CAIXA!H444&lt;&gt;"",BASE_CAIXA!H444,BASE_CAIXA!G444))</f>
        <v>material CIMENTO : KIT Parede e Laje - FOB na Fabrica</v>
      </c>
      <c r="J447" s="26" t="str">
        <f>IF(A447="","",BASE_CAIXA!G444)</f>
        <v>material CIMENTO : KIT Parede e Laje - FOB na Fabrica</v>
      </c>
      <c r="K447" s="26">
        <f>IF(A447="","",BASE_CAIXA!I444)</f>
        <v>0</v>
      </c>
      <c r="L447" s="26">
        <f>IF(A447="","",BASE_CAIXA!J444)</f>
        <v>0</v>
      </c>
      <c r="M447" s="26" t="str">
        <f>IF(A447="","",BASE_CAIXA!AM444)</f>
        <v>material CIMENTO : KIT Parede e Laje - FOB na Fabrica | mate</v>
      </c>
      <c r="N447" s="26" t="str">
        <f t="shared" ca="1" si="18"/>
        <v>Previsto</v>
      </c>
      <c r="O447" s="13" t="str">
        <f>IFERROR(INDEX(EXTRATO_IMPORTADO!$A$5:$A$404,MATCH(B447,EXTRATO_IMPORTADO!$I$5:$I$404,0)),"")</f>
        <v/>
      </c>
      <c r="P447" s="14" t="str">
        <f>IFERROR(INDEX(EXTRATO_IMPORTADO!$F$5:$F$404,MATCH(B447,EXTRATO_IMPORTADO!$I$5:$I$404,0)),"")</f>
        <v/>
      </c>
      <c r="Q447" s="26" t="str">
        <f>IFERROR(INDEX(EXTRATO_IMPORTADO!$B$5:$B$404,MATCH(B447,EXTRATO_IMPORTADO!$I$5:$I$404,0)),"")</f>
        <v/>
      </c>
      <c r="R447" s="26" t="str">
        <f>IFERROR(MATCH(B447,EXTRATO_IMPORTADO!$I$5:$I$404,0),"")</f>
        <v/>
      </c>
      <c r="S447" s="14" t="str">
        <f t="shared" si="19"/>
        <v/>
      </c>
      <c r="T447" s="33" t="str">
        <f t="shared" si="20"/>
        <v/>
      </c>
    </row>
    <row r="448" spans="1:20" x14ac:dyDescent="0.3">
      <c r="A448" s="26">
        <f>IF(BASE_CAIXA!A445="","",BASE_CAIXA!A445)</f>
        <v>444</v>
      </c>
      <c r="B448" s="26" t="str">
        <f>IF(A448="","",BASE_CAIXA!AL445)</f>
        <v>000444-DB</v>
      </c>
      <c r="C448" s="13">
        <f>IF(A448="","",BASE_CAIXA!AJ445)</f>
        <v>46185</v>
      </c>
      <c r="D448" s="26" t="str">
        <f>IF(A448="","",IF(BASE_CAIXA!C445="Entrada","Crédito","Débito"))</f>
        <v>Débito</v>
      </c>
      <c r="E448" s="14">
        <f>IF(A448="","",BASE_CAIXA!AA445)</f>
        <v>31984.91724137932</v>
      </c>
      <c r="F448" s="26">
        <f>IF(A448="","",BASE_CAIXA!N445)</f>
        <v>0</v>
      </c>
      <c r="G448" s="26">
        <f>IF(A448="","",BASE_CAIXA!O445)</f>
        <v>0</v>
      </c>
      <c r="H448" s="26">
        <f>IF(A448="","",BASE_CAIXA!P445)</f>
        <v>0</v>
      </c>
      <c r="I448" s="26" t="str">
        <f>IF(A448="","",IF(BASE_CAIXA!H445&lt;&gt;"",BASE_CAIXA!H445,BASE_CAIXA!G445))</f>
        <v>material CIMENTO : KIT Parede e Laje - FOB na Fabrica</v>
      </c>
      <c r="J448" s="26" t="str">
        <f>IF(A448="","",BASE_CAIXA!G445)</f>
        <v>material CIMENTO : KIT Parede e Laje - FOB na Fabrica</v>
      </c>
      <c r="K448" s="26">
        <f>IF(A448="","",BASE_CAIXA!I445)</f>
        <v>0</v>
      </c>
      <c r="L448" s="26">
        <f>IF(A448="","",BASE_CAIXA!J445)</f>
        <v>0</v>
      </c>
      <c r="M448" s="26" t="str">
        <f>IF(A448="","",BASE_CAIXA!AM445)</f>
        <v>material CIMENTO : KIT Parede e Laje - FOB na Fabrica | mate</v>
      </c>
      <c r="N448" s="26" t="str">
        <f t="shared" ca="1" si="18"/>
        <v>Previsto</v>
      </c>
      <c r="O448" s="13" t="str">
        <f>IFERROR(INDEX(EXTRATO_IMPORTADO!$A$5:$A$404,MATCH(B448,EXTRATO_IMPORTADO!$I$5:$I$404,0)),"")</f>
        <v/>
      </c>
      <c r="P448" s="14" t="str">
        <f>IFERROR(INDEX(EXTRATO_IMPORTADO!$F$5:$F$404,MATCH(B448,EXTRATO_IMPORTADO!$I$5:$I$404,0)),"")</f>
        <v/>
      </c>
      <c r="Q448" s="26" t="str">
        <f>IFERROR(INDEX(EXTRATO_IMPORTADO!$B$5:$B$404,MATCH(B448,EXTRATO_IMPORTADO!$I$5:$I$404,0)),"")</f>
        <v/>
      </c>
      <c r="R448" s="26" t="str">
        <f>IFERROR(MATCH(B448,EXTRATO_IMPORTADO!$I$5:$I$404,0),"")</f>
        <v/>
      </c>
      <c r="S448" s="14" t="str">
        <f t="shared" si="19"/>
        <v/>
      </c>
      <c r="T448" s="33" t="str">
        <f t="shared" si="20"/>
        <v/>
      </c>
    </row>
    <row r="449" spans="1:20" x14ac:dyDescent="0.3">
      <c r="A449" s="26">
        <f>IF(BASE_CAIXA!A446="","",BASE_CAIXA!A446)</f>
        <v>445</v>
      </c>
      <c r="B449" s="26" t="str">
        <f>IF(A449="","",BASE_CAIXA!AL446)</f>
        <v>000445-DB</v>
      </c>
      <c r="C449" s="13">
        <f>IF(A449="","",BASE_CAIXA!AJ446)</f>
        <v>46185</v>
      </c>
      <c r="D449" s="26" t="str">
        <f>IF(A449="","",IF(BASE_CAIXA!C446="Entrada","Crédito","Débito"))</f>
        <v>Débito</v>
      </c>
      <c r="E449" s="14">
        <f>IF(A449="","",BASE_CAIXA!AA446)</f>
        <v>38381.900689655173</v>
      </c>
      <c r="F449" s="26">
        <f>IF(A449="","",BASE_CAIXA!N446)</f>
        <v>0</v>
      </c>
      <c r="G449" s="26">
        <f>IF(A449="","",BASE_CAIXA!O446)</f>
        <v>0</v>
      </c>
      <c r="H449" s="26">
        <f>IF(A449="","",BASE_CAIXA!P446)</f>
        <v>0</v>
      </c>
      <c r="I449" s="26" t="str">
        <f>IF(A449="","",IF(BASE_CAIXA!H446&lt;&gt;"",BASE_CAIXA!H446,BASE_CAIXA!G446))</f>
        <v>material CIMENTO : KIT Parede e Laje - FOB na Fabrica</v>
      </c>
      <c r="J449" s="26" t="str">
        <f>IF(A449="","",BASE_CAIXA!G446)</f>
        <v>material CIMENTO : KIT Parede e Laje - FOB na Fabrica</v>
      </c>
      <c r="K449" s="26">
        <f>IF(A449="","",BASE_CAIXA!I446)</f>
        <v>0</v>
      </c>
      <c r="L449" s="26">
        <f>IF(A449="","",BASE_CAIXA!J446)</f>
        <v>0</v>
      </c>
      <c r="M449" s="26" t="str">
        <f>IF(A449="","",BASE_CAIXA!AM446)</f>
        <v>material CIMENTO : KIT Parede e Laje - FOB na Fabrica | mate</v>
      </c>
      <c r="N449" s="26" t="str">
        <f t="shared" ca="1" si="18"/>
        <v>Previsto</v>
      </c>
      <c r="O449" s="13" t="str">
        <f>IFERROR(INDEX(EXTRATO_IMPORTADO!$A$5:$A$404,MATCH(B449,EXTRATO_IMPORTADO!$I$5:$I$404,0)),"")</f>
        <v/>
      </c>
      <c r="P449" s="14" t="str">
        <f>IFERROR(INDEX(EXTRATO_IMPORTADO!$F$5:$F$404,MATCH(B449,EXTRATO_IMPORTADO!$I$5:$I$404,0)),"")</f>
        <v/>
      </c>
      <c r="Q449" s="26" t="str">
        <f>IFERROR(INDEX(EXTRATO_IMPORTADO!$B$5:$B$404,MATCH(B449,EXTRATO_IMPORTADO!$I$5:$I$404,0)),"")</f>
        <v/>
      </c>
      <c r="R449" s="26" t="str">
        <f>IFERROR(MATCH(B449,EXTRATO_IMPORTADO!$I$5:$I$404,0),"")</f>
        <v/>
      </c>
      <c r="S449" s="14" t="str">
        <f t="shared" si="19"/>
        <v/>
      </c>
      <c r="T449" s="33" t="str">
        <f t="shared" si="20"/>
        <v/>
      </c>
    </row>
    <row r="450" spans="1:20" x14ac:dyDescent="0.3">
      <c r="A450" s="26">
        <f>IF(BASE_CAIXA!A447="","",BASE_CAIXA!A447)</f>
        <v>446</v>
      </c>
      <c r="B450" s="26" t="str">
        <f>IF(A450="","",BASE_CAIXA!AL447)</f>
        <v>000446-DB</v>
      </c>
      <c r="C450" s="13">
        <f>IF(A450="","",BASE_CAIXA!AJ447)</f>
        <v>46185</v>
      </c>
      <c r="D450" s="26" t="str">
        <f>IF(A450="","",IF(BASE_CAIXA!C447="Entrada","Crédito","Débito"))</f>
        <v>Débito</v>
      </c>
      <c r="E450" s="14">
        <f>IF(A450="","",BASE_CAIXA!AA447)</f>
        <v>33044.204123711337</v>
      </c>
      <c r="F450" s="26">
        <f>IF(A450="","",BASE_CAIXA!N447)</f>
        <v>0</v>
      </c>
      <c r="G450" s="26">
        <f>IF(A450="","",BASE_CAIXA!O447)</f>
        <v>0</v>
      </c>
      <c r="H450" s="26">
        <f>IF(A450="","",BASE_CAIXA!P447)</f>
        <v>0</v>
      </c>
      <c r="I450" s="26" t="str">
        <f>IF(A450="","",IF(BASE_CAIXA!H447&lt;&gt;"",BASE_CAIXA!H447,BASE_CAIXA!G447))</f>
        <v>material FERRO: KIT Parede e Laje - FOB na Fabrica</v>
      </c>
      <c r="J450" s="26" t="str">
        <f>IF(A450="","",BASE_CAIXA!G447)</f>
        <v>material FERRO: KIT Parede e Laje - FOB na Fabrica</v>
      </c>
      <c r="K450" s="26">
        <f>IF(A450="","",BASE_CAIXA!I447)</f>
        <v>0</v>
      </c>
      <c r="L450" s="26">
        <f>IF(A450="","",BASE_CAIXA!J447)</f>
        <v>0</v>
      </c>
      <c r="M450" s="26" t="str">
        <f>IF(A450="","",BASE_CAIXA!AM447)</f>
        <v>material FERRO: KIT Parede e Laje - FOB na Fabrica | materia</v>
      </c>
      <c r="N450" s="26" t="str">
        <f t="shared" ca="1" si="18"/>
        <v>Previsto</v>
      </c>
      <c r="O450" s="13" t="str">
        <f>IFERROR(INDEX(EXTRATO_IMPORTADO!$A$5:$A$404,MATCH(B450,EXTRATO_IMPORTADO!$I$5:$I$404,0)),"")</f>
        <v/>
      </c>
      <c r="P450" s="14" t="str">
        <f>IFERROR(INDEX(EXTRATO_IMPORTADO!$F$5:$F$404,MATCH(B450,EXTRATO_IMPORTADO!$I$5:$I$404,0)),"")</f>
        <v/>
      </c>
      <c r="Q450" s="26" t="str">
        <f>IFERROR(INDEX(EXTRATO_IMPORTADO!$B$5:$B$404,MATCH(B450,EXTRATO_IMPORTADO!$I$5:$I$404,0)),"")</f>
        <v/>
      </c>
      <c r="R450" s="26" t="str">
        <f>IFERROR(MATCH(B450,EXTRATO_IMPORTADO!$I$5:$I$404,0),"")</f>
        <v/>
      </c>
      <c r="S450" s="14" t="str">
        <f t="shared" si="19"/>
        <v/>
      </c>
      <c r="T450" s="33" t="str">
        <f t="shared" si="20"/>
        <v/>
      </c>
    </row>
    <row r="451" spans="1:20" x14ac:dyDescent="0.3">
      <c r="A451" s="26">
        <f>IF(BASE_CAIXA!A448="","",BASE_CAIXA!A448)</f>
        <v>447</v>
      </c>
      <c r="B451" s="26" t="str">
        <f>IF(A451="","",BASE_CAIXA!AL448)</f>
        <v>000447-DB</v>
      </c>
      <c r="C451" s="13">
        <f>IF(A451="","",BASE_CAIXA!AJ448)</f>
        <v>46185</v>
      </c>
      <c r="D451" s="26" t="str">
        <f>IF(A451="","",IF(BASE_CAIXA!C448="Entrada","Crédito","Débito"))</f>
        <v>Débito</v>
      </c>
      <c r="E451" s="14">
        <f>IF(A451="","",BASE_CAIXA!AA448)</f>
        <v>33044.204123711337</v>
      </c>
      <c r="F451" s="26">
        <f>IF(A451="","",BASE_CAIXA!N448)</f>
        <v>0</v>
      </c>
      <c r="G451" s="26">
        <f>IF(A451="","",BASE_CAIXA!O448)</f>
        <v>0</v>
      </c>
      <c r="H451" s="26">
        <f>IF(A451="","",BASE_CAIXA!P448)</f>
        <v>0</v>
      </c>
      <c r="I451" s="26" t="str">
        <f>IF(A451="","",IF(BASE_CAIXA!H448&lt;&gt;"",BASE_CAIXA!H448,BASE_CAIXA!G448))</f>
        <v>material FERRO: KIT Parede e Laje - FOB na Fabrica</v>
      </c>
      <c r="J451" s="26" t="str">
        <f>IF(A451="","",BASE_CAIXA!G448)</f>
        <v>material FERRO: KIT Parede e Laje - FOB na Fabrica</v>
      </c>
      <c r="K451" s="26">
        <f>IF(A451="","",BASE_CAIXA!I448)</f>
        <v>0</v>
      </c>
      <c r="L451" s="26">
        <f>IF(A451="","",BASE_CAIXA!J448)</f>
        <v>0</v>
      </c>
      <c r="M451" s="26" t="str">
        <f>IF(A451="","",BASE_CAIXA!AM448)</f>
        <v>material FERRO: KIT Parede e Laje - FOB na Fabrica | materia</v>
      </c>
      <c r="N451" s="26" t="str">
        <f t="shared" ca="1" si="18"/>
        <v>Previsto</v>
      </c>
      <c r="O451" s="13" t="str">
        <f>IFERROR(INDEX(EXTRATO_IMPORTADO!$A$5:$A$404,MATCH(B451,EXTRATO_IMPORTADO!$I$5:$I$404,0)),"")</f>
        <v/>
      </c>
      <c r="P451" s="14" t="str">
        <f>IFERROR(INDEX(EXTRATO_IMPORTADO!$F$5:$F$404,MATCH(B451,EXTRATO_IMPORTADO!$I$5:$I$404,0)),"")</f>
        <v/>
      </c>
      <c r="Q451" s="26" t="str">
        <f>IFERROR(INDEX(EXTRATO_IMPORTADO!$B$5:$B$404,MATCH(B451,EXTRATO_IMPORTADO!$I$5:$I$404,0)),"")</f>
        <v/>
      </c>
      <c r="R451" s="26" t="str">
        <f>IFERROR(MATCH(B451,EXTRATO_IMPORTADO!$I$5:$I$404,0),"")</f>
        <v/>
      </c>
      <c r="S451" s="14" t="str">
        <f t="shared" si="19"/>
        <v/>
      </c>
      <c r="T451" s="33" t="str">
        <f t="shared" si="20"/>
        <v/>
      </c>
    </row>
    <row r="452" spans="1:20" x14ac:dyDescent="0.3">
      <c r="A452" s="26">
        <f>IF(BASE_CAIXA!A449="","",BASE_CAIXA!A449)</f>
        <v>448</v>
      </c>
      <c r="B452" s="26" t="str">
        <f>IF(A452="","",BASE_CAIXA!AL449)</f>
        <v>000448-DB</v>
      </c>
      <c r="C452" s="13">
        <f>IF(A452="","",BASE_CAIXA!AJ449)</f>
        <v>46185</v>
      </c>
      <c r="D452" s="26" t="str">
        <f>IF(A452="","",IF(BASE_CAIXA!C449="Entrada","Crédito","Débito"))</f>
        <v>Débito</v>
      </c>
      <c r="E452" s="14">
        <f>IF(A452="","",BASE_CAIXA!AA449)</f>
        <v>39653.044948453608</v>
      </c>
      <c r="F452" s="26">
        <f>IF(A452="","",BASE_CAIXA!N449)</f>
        <v>0</v>
      </c>
      <c r="G452" s="26">
        <f>IF(A452="","",BASE_CAIXA!O449)</f>
        <v>0</v>
      </c>
      <c r="H452" s="26">
        <f>IF(A452="","",BASE_CAIXA!P449)</f>
        <v>0</v>
      </c>
      <c r="I452" s="26" t="str">
        <f>IF(A452="","",IF(BASE_CAIXA!H449&lt;&gt;"",BASE_CAIXA!H449,BASE_CAIXA!G449))</f>
        <v>material FERRO: KIT Parede e Laje - FOB na Fabrica</v>
      </c>
      <c r="J452" s="26" t="str">
        <f>IF(A452="","",BASE_CAIXA!G449)</f>
        <v>material FERRO: KIT Parede e Laje - FOB na Fabrica</v>
      </c>
      <c r="K452" s="26">
        <f>IF(A452="","",BASE_CAIXA!I449)</f>
        <v>0</v>
      </c>
      <c r="L452" s="26">
        <f>IF(A452="","",BASE_CAIXA!J449)</f>
        <v>0</v>
      </c>
      <c r="M452" s="26" t="str">
        <f>IF(A452="","",BASE_CAIXA!AM449)</f>
        <v>material FERRO: KIT Parede e Laje - FOB na Fabrica | materia</v>
      </c>
      <c r="N452" s="26" t="str">
        <f t="shared" ca="1" si="18"/>
        <v>Previsto</v>
      </c>
      <c r="O452" s="13" t="str">
        <f>IFERROR(INDEX(EXTRATO_IMPORTADO!$A$5:$A$404,MATCH(B452,EXTRATO_IMPORTADO!$I$5:$I$404,0)),"")</f>
        <v/>
      </c>
      <c r="P452" s="14" t="str">
        <f>IFERROR(INDEX(EXTRATO_IMPORTADO!$F$5:$F$404,MATCH(B452,EXTRATO_IMPORTADO!$I$5:$I$404,0)),"")</f>
        <v/>
      </c>
      <c r="Q452" s="26" t="str">
        <f>IFERROR(INDEX(EXTRATO_IMPORTADO!$B$5:$B$404,MATCH(B452,EXTRATO_IMPORTADO!$I$5:$I$404,0)),"")</f>
        <v/>
      </c>
      <c r="R452" s="26" t="str">
        <f>IFERROR(MATCH(B452,EXTRATO_IMPORTADO!$I$5:$I$404,0),"")</f>
        <v/>
      </c>
      <c r="S452" s="14" t="str">
        <f t="shared" si="19"/>
        <v/>
      </c>
      <c r="T452" s="33" t="str">
        <f t="shared" si="20"/>
        <v/>
      </c>
    </row>
    <row r="453" spans="1:20" x14ac:dyDescent="0.3">
      <c r="A453" s="26">
        <f>IF(BASE_CAIXA!A450="","",BASE_CAIXA!A450)</f>
        <v>449</v>
      </c>
      <c r="B453" s="26" t="str">
        <f>IF(A453="","",BASE_CAIXA!AL450)</f>
        <v>000449-DB</v>
      </c>
      <c r="C453" s="13">
        <f>IF(A453="","",BASE_CAIXA!AJ450)</f>
        <v>46185</v>
      </c>
      <c r="D453" s="26" t="str">
        <f>IF(A453="","",IF(BASE_CAIXA!C450="Entrada","Crédito","Débito"))</f>
        <v>Débito</v>
      </c>
      <c r="E453" s="14">
        <f>IF(A453="","",BASE_CAIXA!AA450)</f>
        <v>28888.20608</v>
      </c>
      <c r="F453" s="26">
        <f>IF(A453="","",BASE_CAIXA!N450)</f>
        <v>0</v>
      </c>
      <c r="G453" s="26">
        <f>IF(A453="","",BASE_CAIXA!O450)</f>
        <v>0</v>
      </c>
      <c r="H453" s="26">
        <f>IF(A453="","",BASE_CAIXA!P450)</f>
        <v>0</v>
      </c>
      <c r="I453" s="26" t="str">
        <f>IF(A453="","",IF(BASE_CAIXA!H450&lt;&gt;"",BASE_CAIXA!H450,BASE_CAIXA!G450))</f>
        <v>Mao de obra terceirizada com equipamentos Pintura interna (2 demãos)</v>
      </c>
      <c r="J453" s="26" t="str">
        <f>IF(A453="","",BASE_CAIXA!G450)</f>
        <v>Mao de obra terceirizada com equipamentos Pintura interna (2 demãos)</v>
      </c>
      <c r="K453" s="26">
        <f>IF(A453="","",BASE_CAIXA!I450)</f>
        <v>0</v>
      </c>
      <c r="L453" s="26">
        <f>IF(A453="","",BASE_CAIXA!J450)</f>
        <v>0</v>
      </c>
      <c r="M453" s="26" t="str">
        <f>IF(A453="","",BASE_CAIXA!AM450)</f>
        <v>Mao de obra terceirizada com equipamentos Pintura interna (2</v>
      </c>
      <c r="N453" s="26" t="str">
        <f t="shared" ref="N453:N516" ca="1" si="21">IF(A453="","",IF(R453&lt;&gt;"",IF(AND(ABS(S453)&lt;=0.01,ABS(T453)&lt;=3),"Conciliado","Divergente"),IF(TODAY()&gt;C453,"Pendente vencido","Previsto")))</f>
        <v>Previsto</v>
      </c>
      <c r="O453" s="13" t="str">
        <f>IFERROR(INDEX(EXTRATO_IMPORTADO!$A$5:$A$404,MATCH(B453,EXTRATO_IMPORTADO!$I$5:$I$404,0)),"")</f>
        <v/>
      </c>
      <c r="P453" s="14" t="str">
        <f>IFERROR(INDEX(EXTRATO_IMPORTADO!$F$5:$F$404,MATCH(B453,EXTRATO_IMPORTADO!$I$5:$I$404,0)),"")</f>
        <v/>
      </c>
      <c r="Q453" s="26" t="str">
        <f>IFERROR(INDEX(EXTRATO_IMPORTADO!$B$5:$B$404,MATCH(B453,EXTRATO_IMPORTADO!$I$5:$I$404,0)),"")</f>
        <v/>
      </c>
      <c r="R453" s="26" t="str">
        <f>IFERROR(MATCH(B453,EXTRATO_IMPORTADO!$I$5:$I$404,0),"")</f>
        <v/>
      </c>
      <c r="S453" s="14" t="str">
        <f t="shared" ref="S453:S516" si="22">IF(OR(A453="",P453=""),"",P453-E453)</f>
        <v/>
      </c>
      <c r="T453" s="33" t="str">
        <f t="shared" ref="T453:T516" si="23">IF(OR(A453="",O453=""),"",O453-C453)</f>
        <v/>
      </c>
    </row>
    <row r="454" spans="1:20" x14ac:dyDescent="0.3">
      <c r="A454" s="26">
        <f>IF(BASE_CAIXA!A451="","",BASE_CAIXA!A451)</f>
        <v>450</v>
      </c>
      <c r="B454" s="26" t="str">
        <f>IF(A454="","",BASE_CAIXA!AL451)</f>
        <v>000450-DB</v>
      </c>
      <c r="C454" s="13">
        <f>IF(A454="","",BASE_CAIXA!AJ451)</f>
        <v>46185</v>
      </c>
      <c r="D454" s="26" t="str">
        <f>IF(A454="","",IF(BASE_CAIXA!C451="Entrada","Crédito","Débito"))</f>
        <v>Débito</v>
      </c>
      <c r="E454" s="14">
        <f>IF(A454="","",BASE_CAIXA!AA451)</f>
        <v>22854.666239999999</v>
      </c>
      <c r="F454" s="26">
        <f>IF(A454="","",BASE_CAIXA!N451)</f>
        <v>0</v>
      </c>
      <c r="G454" s="26">
        <f>IF(A454="","",BASE_CAIXA!O451)</f>
        <v>0</v>
      </c>
      <c r="H454" s="26">
        <f>IF(A454="","",BASE_CAIXA!P451)</f>
        <v>0</v>
      </c>
      <c r="I454" s="26" t="str">
        <f>IF(A454="","",IF(BASE_CAIXA!H451&lt;&gt;"",BASE_CAIXA!H451,BASE_CAIXA!G451))</f>
        <v>Mao de obra terceirizada assentamento Ceramica</v>
      </c>
      <c r="J454" s="26" t="str">
        <f>IF(A454="","",BASE_CAIXA!G451)</f>
        <v>Mao de obra terceirizada assentamento Ceramica</v>
      </c>
      <c r="K454" s="26">
        <f>IF(A454="","",BASE_CAIXA!I451)</f>
        <v>0</v>
      </c>
      <c r="L454" s="26">
        <f>IF(A454="","",BASE_CAIXA!J451)</f>
        <v>0</v>
      </c>
      <c r="M454" s="26" t="str">
        <f>IF(A454="","",BASE_CAIXA!AM451)</f>
        <v>Mao de obra terceirizada assentamento Ceramica | Mao de obra</v>
      </c>
      <c r="N454" s="26" t="str">
        <f t="shared" ca="1" si="21"/>
        <v>Previsto</v>
      </c>
      <c r="O454" s="13" t="str">
        <f>IFERROR(INDEX(EXTRATO_IMPORTADO!$A$5:$A$404,MATCH(B454,EXTRATO_IMPORTADO!$I$5:$I$404,0)),"")</f>
        <v/>
      </c>
      <c r="P454" s="14" t="str">
        <f>IFERROR(INDEX(EXTRATO_IMPORTADO!$F$5:$F$404,MATCH(B454,EXTRATO_IMPORTADO!$I$5:$I$404,0)),"")</f>
        <v/>
      </c>
      <c r="Q454" s="26" t="str">
        <f>IFERROR(INDEX(EXTRATO_IMPORTADO!$B$5:$B$404,MATCH(B454,EXTRATO_IMPORTADO!$I$5:$I$404,0)),"")</f>
        <v/>
      </c>
      <c r="R454" s="26" t="str">
        <f>IFERROR(MATCH(B454,EXTRATO_IMPORTADO!$I$5:$I$404,0),"")</f>
        <v/>
      </c>
      <c r="S454" s="14" t="str">
        <f t="shared" si="22"/>
        <v/>
      </c>
      <c r="T454" s="33" t="str">
        <f t="shared" si="23"/>
        <v/>
      </c>
    </row>
    <row r="455" spans="1:20" x14ac:dyDescent="0.3">
      <c r="A455" s="26">
        <f>IF(BASE_CAIXA!A452="","",BASE_CAIXA!A452)</f>
        <v>451</v>
      </c>
      <c r="B455" s="26" t="str">
        <f>IF(A455="","",BASE_CAIXA!AL452)</f>
        <v>000451-DB</v>
      </c>
      <c r="C455" s="13">
        <f>IF(A455="","",BASE_CAIXA!AJ452)</f>
        <v>46185</v>
      </c>
      <c r="D455" s="26" t="str">
        <f>IF(A455="","",IF(BASE_CAIXA!C452="Entrada","Crédito","Débito"))</f>
        <v>Débito</v>
      </c>
      <c r="E455" s="14">
        <f>IF(A455="","",BASE_CAIXA!AA452)</f>
        <v>6469.44</v>
      </c>
      <c r="F455" s="26">
        <f>IF(A455="","",BASE_CAIXA!N452)</f>
        <v>0</v>
      </c>
      <c r="G455" s="26">
        <f>IF(A455="","",BASE_CAIXA!O452)</f>
        <v>0</v>
      </c>
      <c r="H455" s="26">
        <f>IF(A455="","",BASE_CAIXA!P452)</f>
        <v>0</v>
      </c>
      <c r="I455" s="26" t="str">
        <f>IF(A455="","",IF(BASE_CAIXA!H452&lt;&gt;"",BASE_CAIXA!H452,BASE_CAIXA!G452))</f>
        <v>Mao de obra terceirizada colocaçao de Portas externa</v>
      </c>
      <c r="J455" s="26" t="str">
        <f>IF(A455="","",BASE_CAIXA!G452)</f>
        <v>Mao de obra terceirizada colocaçao de Portas externa</v>
      </c>
      <c r="K455" s="26">
        <f>IF(A455="","",BASE_CAIXA!I452)</f>
        <v>0</v>
      </c>
      <c r="L455" s="26">
        <f>IF(A455="","",BASE_CAIXA!J452)</f>
        <v>0</v>
      </c>
      <c r="M455" s="26" t="str">
        <f>IF(A455="","",BASE_CAIXA!AM452)</f>
        <v>Mao de obra terceirizada colocaçao de Portas externa | Mao d</v>
      </c>
      <c r="N455" s="26" t="str">
        <f t="shared" ca="1" si="21"/>
        <v>Previsto</v>
      </c>
      <c r="O455" s="13" t="str">
        <f>IFERROR(INDEX(EXTRATO_IMPORTADO!$A$5:$A$404,MATCH(B455,EXTRATO_IMPORTADO!$I$5:$I$404,0)),"")</f>
        <v/>
      </c>
      <c r="P455" s="14" t="str">
        <f>IFERROR(INDEX(EXTRATO_IMPORTADO!$F$5:$F$404,MATCH(B455,EXTRATO_IMPORTADO!$I$5:$I$404,0)),"")</f>
        <v/>
      </c>
      <c r="Q455" s="26" t="str">
        <f>IFERROR(INDEX(EXTRATO_IMPORTADO!$B$5:$B$404,MATCH(B455,EXTRATO_IMPORTADO!$I$5:$I$404,0)),"")</f>
        <v/>
      </c>
      <c r="R455" s="26" t="str">
        <f>IFERROR(MATCH(B455,EXTRATO_IMPORTADO!$I$5:$I$404,0),"")</f>
        <v/>
      </c>
      <c r="S455" s="14" t="str">
        <f t="shared" si="22"/>
        <v/>
      </c>
      <c r="T455" s="33" t="str">
        <f t="shared" si="23"/>
        <v/>
      </c>
    </row>
    <row r="456" spans="1:20" x14ac:dyDescent="0.3">
      <c r="A456" s="26">
        <f>IF(BASE_CAIXA!A453="","",BASE_CAIXA!A453)</f>
        <v>452</v>
      </c>
      <c r="B456" s="26" t="str">
        <f>IF(A456="","",BASE_CAIXA!AL453)</f>
        <v>000452-DB</v>
      </c>
      <c r="C456" s="13">
        <f>IF(A456="","",BASE_CAIXA!AJ453)</f>
        <v>46185</v>
      </c>
      <c r="D456" s="26" t="str">
        <f>IF(A456="","",IF(BASE_CAIXA!C453="Entrada","Crédito","Débito"))</f>
        <v>Débito</v>
      </c>
      <c r="E456" s="14">
        <f>IF(A456="","",BASE_CAIXA!AA453)</f>
        <v>9704.16</v>
      </c>
      <c r="F456" s="26">
        <f>IF(A456="","",BASE_CAIXA!N453)</f>
        <v>0</v>
      </c>
      <c r="G456" s="26">
        <f>IF(A456="","",BASE_CAIXA!O453)</f>
        <v>0</v>
      </c>
      <c r="H456" s="26">
        <f>IF(A456="","",BASE_CAIXA!P453)</f>
        <v>0</v>
      </c>
      <c r="I456" s="26" t="str">
        <f>IF(A456="","",IF(BASE_CAIXA!H453&lt;&gt;"",BASE_CAIXA!H453,BASE_CAIXA!G453))</f>
        <v>Mao de obra terceirizada colocaçao de Portas interna</v>
      </c>
      <c r="J456" s="26" t="str">
        <f>IF(A456="","",BASE_CAIXA!G453)</f>
        <v>Mao de obra terceirizada colocaçao de Portas interna</v>
      </c>
      <c r="K456" s="26">
        <f>IF(A456="","",BASE_CAIXA!I453)</f>
        <v>0</v>
      </c>
      <c r="L456" s="26">
        <f>IF(A456="","",BASE_CAIXA!J453)</f>
        <v>0</v>
      </c>
      <c r="M456" s="26" t="str">
        <f>IF(A456="","",BASE_CAIXA!AM453)</f>
        <v>Mao de obra terceirizada colocaçao de Portas interna | Mao d</v>
      </c>
      <c r="N456" s="26" t="str">
        <f t="shared" ca="1" si="21"/>
        <v>Previsto</v>
      </c>
      <c r="O456" s="13" t="str">
        <f>IFERROR(INDEX(EXTRATO_IMPORTADO!$A$5:$A$404,MATCH(B456,EXTRATO_IMPORTADO!$I$5:$I$404,0)),"")</f>
        <v/>
      </c>
      <c r="P456" s="14" t="str">
        <f>IFERROR(INDEX(EXTRATO_IMPORTADO!$F$5:$F$404,MATCH(B456,EXTRATO_IMPORTADO!$I$5:$I$404,0)),"")</f>
        <v/>
      </c>
      <c r="Q456" s="26" t="str">
        <f>IFERROR(INDEX(EXTRATO_IMPORTADO!$B$5:$B$404,MATCH(B456,EXTRATO_IMPORTADO!$I$5:$I$404,0)),"")</f>
        <v/>
      </c>
      <c r="R456" s="26" t="str">
        <f>IFERROR(MATCH(B456,EXTRATO_IMPORTADO!$I$5:$I$404,0),"")</f>
        <v/>
      </c>
      <c r="S456" s="14" t="str">
        <f t="shared" si="22"/>
        <v/>
      </c>
      <c r="T456" s="33" t="str">
        <f t="shared" si="23"/>
        <v/>
      </c>
    </row>
    <row r="457" spans="1:20" x14ac:dyDescent="0.3">
      <c r="A457" s="26">
        <f>IF(BASE_CAIXA!A454="","",BASE_CAIXA!A454)</f>
        <v>453</v>
      </c>
      <c r="B457" s="26" t="str">
        <f>IF(A457="","",BASE_CAIXA!AL454)</f>
        <v>000453-DB</v>
      </c>
      <c r="C457" s="13">
        <f>IF(A457="","",BASE_CAIXA!AJ454)</f>
        <v>46185</v>
      </c>
      <c r="D457" s="26" t="str">
        <f>IF(A457="","",IF(BASE_CAIXA!C454="Entrada","Crédito","Débito"))</f>
        <v>Débito</v>
      </c>
      <c r="E457" s="14">
        <f>IF(A457="","",BASE_CAIXA!AA454)</f>
        <v>19200</v>
      </c>
      <c r="F457" s="26">
        <f>IF(A457="","",BASE_CAIXA!N454)</f>
        <v>0</v>
      </c>
      <c r="G457" s="26">
        <f>IF(A457="","",BASE_CAIXA!O454)</f>
        <v>0</v>
      </c>
      <c r="H457" s="26">
        <f>IF(A457="","",BASE_CAIXA!P454)</f>
        <v>0</v>
      </c>
      <c r="I457" s="26" t="str">
        <f>IF(A457="","",IF(BASE_CAIXA!H454&lt;&gt;"",BASE_CAIXA!H454,BASE_CAIXA!G454))</f>
        <v>Instalação de Poste Padrão de Energia</v>
      </c>
      <c r="J457" s="26" t="str">
        <f>IF(A457="","",BASE_CAIXA!G454)</f>
        <v>Instalação de Poste Padrão de Energia</v>
      </c>
      <c r="K457" s="26">
        <f>IF(A457="","",BASE_CAIXA!I454)</f>
        <v>0</v>
      </c>
      <c r="L457" s="26">
        <f>IF(A457="","",BASE_CAIXA!J454)</f>
        <v>0</v>
      </c>
      <c r="M457" s="26" t="str">
        <f>IF(A457="","",BASE_CAIXA!AM454)</f>
        <v xml:space="preserve">Instalação de Poste Padrão de Energia | Instalação de Poste </v>
      </c>
      <c r="N457" s="26" t="str">
        <f t="shared" ca="1" si="21"/>
        <v>Previsto</v>
      </c>
      <c r="O457" s="13" t="str">
        <f>IFERROR(INDEX(EXTRATO_IMPORTADO!$A$5:$A$404,MATCH(B457,EXTRATO_IMPORTADO!$I$5:$I$404,0)),"")</f>
        <v/>
      </c>
      <c r="P457" s="14" t="str">
        <f>IFERROR(INDEX(EXTRATO_IMPORTADO!$F$5:$F$404,MATCH(B457,EXTRATO_IMPORTADO!$I$5:$I$404,0)),"")</f>
        <v/>
      </c>
      <c r="Q457" s="26" t="str">
        <f>IFERROR(INDEX(EXTRATO_IMPORTADO!$B$5:$B$404,MATCH(B457,EXTRATO_IMPORTADO!$I$5:$I$404,0)),"")</f>
        <v/>
      </c>
      <c r="R457" s="26" t="str">
        <f>IFERROR(MATCH(B457,EXTRATO_IMPORTADO!$I$5:$I$404,0),"")</f>
        <v/>
      </c>
      <c r="S457" s="14" t="str">
        <f t="shared" si="22"/>
        <v/>
      </c>
      <c r="T457" s="33" t="str">
        <f t="shared" si="23"/>
        <v/>
      </c>
    </row>
    <row r="458" spans="1:20" x14ac:dyDescent="0.3">
      <c r="A458" s="26">
        <f>IF(BASE_CAIXA!A455="","",BASE_CAIXA!A455)</f>
        <v>454</v>
      </c>
      <c r="B458" s="26" t="str">
        <f>IF(A458="","",BASE_CAIXA!AL455)</f>
        <v>000454-DB</v>
      </c>
      <c r="C458" s="13">
        <f>IF(A458="","",BASE_CAIXA!AJ455)</f>
        <v>46185</v>
      </c>
      <c r="D458" s="26" t="str">
        <f>IF(A458="","",IF(BASE_CAIXA!C455="Entrada","Crédito","Débito"))</f>
        <v>Débito</v>
      </c>
      <c r="E458" s="14">
        <f>IF(A458="","",BASE_CAIXA!AA455)</f>
        <v>32000</v>
      </c>
      <c r="F458" s="26">
        <f>IF(A458="","",BASE_CAIXA!N455)</f>
        <v>0</v>
      </c>
      <c r="G458" s="26">
        <f>IF(A458="","",BASE_CAIXA!O455)</f>
        <v>0</v>
      </c>
      <c r="H458" s="26">
        <f>IF(A458="","",BASE_CAIXA!P455)</f>
        <v>0</v>
      </c>
      <c r="I458" s="26" t="str">
        <f>IF(A458="","",IF(BASE_CAIXA!H455&lt;&gt;"",BASE_CAIXA!H455,BASE_CAIXA!G455))</f>
        <v>Poste de Energia - padrão da concessionária local</v>
      </c>
      <c r="J458" s="26" t="str">
        <f>IF(A458="","",BASE_CAIXA!G455)</f>
        <v>Poste de Energia - padrão da concessionária local</v>
      </c>
      <c r="K458" s="26">
        <f>IF(A458="","",BASE_CAIXA!I455)</f>
        <v>0</v>
      </c>
      <c r="L458" s="26">
        <f>IF(A458="","",BASE_CAIXA!J455)</f>
        <v>0</v>
      </c>
      <c r="M458" s="26" t="str">
        <f>IF(A458="","",BASE_CAIXA!AM455)</f>
        <v>Poste de Energia - padrão da concessionária local | Poste de</v>
      </c>
      <c r="N458" s="26" t="str">
        <f t="shared" ca="1" si="21"/>
        <v>Previsto</v>
      </c>
      <c r="O458" s="13" t="str">
        <f>IFERROR(INDEX(EXTRATO_IMPORTADO!$A$5:$A$404,MATCH(B458,EXTRATO_IMPORTADO!$I$5:$I$404,0)),"")</f>
        <v/>
      </c>
      <c r="P458" s="14" t="str">
        <f>IFERROR(INDEX(EXTRATO_IMPORTADO!$F$5:$F$404,MATCH(B458,EXTRATO_IMPORTADO!$I$5:$I$404,0)),"")</f>
        <v/>
      </c>
      <c r="Q458" s="26" t="str">
        <f>IFERROR(INDEX(EXTRATO_IMPORTADO!$B$5:$B$404,MATCH(B458,EXTRATO_IMPORTADO!$I$5:$I$404,0)),"")</f>
        <v/>
      </c>
      <c r="R458" s="26" t="str">
        <f>IFERROR(MATCH(B458,EXTRATO_IMPORTADO!$I$5:$I$404,0),"")</f>
        <v/>
      </c>
      <c r="S458" s="14" t="str">
        <f t="shared" si="22"/>
        <v/>
      </c>
      <c r="T458" s="33" t="str">
        <f t="shared" si="23"/>
        <v/>
      </c>
    </row>
    <row r="459" spans="1:20" x14ac:dyDescent="0.3">
      <c r="A459" s="26">
        <f>IF(BASE_CAIXA!A456="","",BASE_CAIXA!A456)</f>
        <v>455</v>
      </c>
      <c r="B459" s="26" t="str">
        <f>IF(A459="","",BASE_CAIXA!AL456)</f>
        <v>000455-DB</v>
      </c>
      <c r="C459" s="13">
        <f>IF(A459="","",BASE_CAIXA!AJ456)</f>
        <v>46185</v>
      </c>
      <c r="D459" s="26" t="str">
        <f>IF(A459="","",IF(BASE_CAIXA!C456="Entrada","Crédito","Débito"))</f>
        <v>Débito</v>
      </c>
      <c r="E459" s="14">
        <f>IF(A459="","",BASE_CAIXA!AA456)</f>
        <v>834689.30748509045</v>
      </c>
      <c r="F459" s="26">
        <f>IF(A459="","",BASE_CAIXA!N456)</f>
        <v>0</v>
      </c>
      <c r="G459" s="26">
        <f>IF(A459="","",BASE_CAIXA!O456)</f>
        <v>0</v>
      </c>
      <c r="H459" s="26">
        <f>IF(A459="","",BASE_CAIXA!P456)</f>
        <v>0</v>
      </c>
      <c r="I459" s="26" t="str">
        <f>IF(A459="","",IF(BASE_CAIXA!H456&lt;&gt;"",BASE_CAIXA!H456,BASE_CAIXA!G456))</f>
        <v>TOTALIZADOR CUSTO GLOBAIS OBRAS - MENSAL</v>
      </c>
      <c r="J459" s="26" t="str">
        <f>IF(A459="","",BASE_CAIXA!G456)</f>
        <v>TOTALIZADOR CUSTO GLOBAIS OBRAS - MENSAL</v>
      </c>
      <c r="K459" s="26">
        <f>IF(A459="","",BASE_CAIXA!I456)</f>
        <v>0</v>
      </c>
      <c r="L459" s="26">
        <f>IF(A459="","",BASE_CAIXA!J456)</f>
        <v>0</v>
      </c>
      <c r="M459" s="26" t="str">
        <f>IF(A459="","",BASE_CAIXA!AM456)</f>
        <v>TOTALIZADOR CUSTO GLOBAIS OBRAS - MENSAL | TOTALIZADOR CUSTO</v>
      </c>
      <c r="N459" s="26" t="str">
        <f t="shared" ca="1" si="21"/>
        <v>Previsto</v>
      </c>
      <c r="O459" s="13" t="str">
        <f>IFERROR(INDEX(EXTRATO_IMPORTADO!$A$5:$A$404,MATCH(B459,EXTRATO_IMPORTADO!$I$5:$I$404,0)),"")</f>
        <v/>
      </c>
      <c r="P459" s="14" t="str">
        <f>IFERROR(INDEX(EXTRATO_IMPORTADO!$F$5:$F$404,MATCH(B459,EXTRATO_IMPORTADO!$I$5:$I$404,0)),"")</f>
        <v/>
      </c>
      <c r="Q459" s="26" t="str">
        <f>IFERROR(INDEX(EXTRATO_IMPORTADO!$B$5:$B$404,MATCH(B459,EXTRATO_IMPORTADO!$I$5:$I$404,0)),"")</f>
        <v/>
      </c>
      <c r="R459" s="26" t="str">
        <f>IFERROR(MATCH(B459,EXTRATO_IMPORTADO!$I$5:$I$404,0),"")</f>
        <v/>
      </c>
      <c r="S459" s="14" t="str">
        <f t="shared" si="22"/>
        <v/>
      </c>
      <c r="T459" s="33" t="str">
        <f t="shared" si="23"/>
        <v/>
      </c>
    </row>
    <row r="460" spans="1:20" x14ac:dyDescent="0.3">
      <c r="A460" s="26">
        <f>IF(BASE_CAIXA!A457="","",BASE_CAIXA!A457)</f>
        <v>456</v>
      </c>
      <c r="B460" s="26" t="str">
        <f>IF(A460="","",BASE_CAIXA!AL457)</f>
        <v>000456-DB</v>
      </c>
      <c r="C460" s="13">
        <f>IF(A460="","",BASE_CAIXA!AJ457)</f>
        <v>46185</v>
      </c>
      <c r="D460" s="26" t="str">
        <f>IF(A460="","",IF(BASE_CAIXA!C457="Entrada","Crédito","Débito"))</f>
        <v>Débito</v>
      </c>
      <c r="E460" s="14">
        <f>IF(A460="","",BASE_CAIXA!AA457)</f>
        <v>809.76</v>
      </c>
      <c r="F460" s="26">
        <f>IF(A460="","",BASE_CAIXA!N457)</f>
        <v>0</v>
      </c>
      <c r="G460" s="26">
        <f>IF(A460="","",BASE_CAIXA!O457)</f>
        <v>0</v>
      </c>
      <c r="H460" s="26">
        <f>IF(A460="","",BASE_CAIXA!P457)</f>
        <v>0</v>
      </c>
      <c r="I460" s="26" t="str">
        <f>IF(A460="","",IF(BASE_CAIXA!H457&lt;&gt;"",BASE_CAIXA!H457,BASE_CAIXA!G457))</f>
        <v>Assentamento Soleira em basalto  0,84 x 0,125 x 0,02 - cozinha</v>
      </c>
      <c r="J460" s="26" t="str">
        <f>IF(A460="","",BASE_CAIXA!G457)</f>
        <v>Assentamento Soleira em basalto  0,84 x 0,125 x 0,02 - cozinha</v>
      </c>
      <c r="K460" s="26">
        <f>IF(A460="","",BASE_CAIXA!I457)</f>
        <v>0</v>
      </c>
      <c r="L460" s="26">
        <f>IF(A460="","",BASE_CAIXA!J457)</f>
        <v>0</v>
      </c>
      <c r="M460" s="26" t="str">
        <f>IF(A460="","",BASE_CAIXA!AM457)</f>
        <v>Assentamento Soleira em basalto  0,84 x 0,125 x 0,02 - cozin</v>
      </c>
      <c r="N460" s="26" t="str">
        <f t="shared" ca="1" si="21"/>
        <v>Previsto</v>
      </c>
      <c r="O460" s="13" t="str">
        <f>IFERROR(INDEX(EXTRATO_IMPORTADO!$A$5:$A$404,MATCH(B460,EXTRATO_IMPORTADO!$I$5:$I$404,0)),"")</f>
        <v/>
      </c>
      <c r="P460" s="14" t="str">
        <f>IFERROR(INDEX(EXTRATO_IMPORTADO!$F$5:$F$404,MATCH(B460,EXTRATO_IMPORTADO!$I$5:$I$404,0)),"")</f>
        <v/>
      </c>
      <c r="Q460" s="26" t="str">
        <f>IFERROR(INDEX(EXTRATO_IMPORTADO!$B$5:$B$404,MATCH(B460,EXTRATO_IMPORTADO!$I$5:$I$404,0)),"")</f>
        <v/>
      </c>
      <c r="R460" s="26" t="str">
        <f>IFERROR(MATCH(B460,EXTRATO_IMPORTADO!$I$5:$I$404,0),"")</f>
        <v/>
      </c>
      <c r="S460" s="14" t="str">
        <f t="shared" si="22"/>
        <v/>
      </c>
      <c r="T460" s="33" t="str">
        <f t="shared" si="23"/>
        <v/>
      </c>
    </row>
    <row r="461" spans="1:20" x14ac:dyDescent="0.3">
      <c r="A461" s="26">
        <f>IF(BASE_CAIXA!A458="","",BASE_CAIXA!A458)</f>
        <v>457</v>
      </c>
      <c r="B461" s="26" t="str">
        <f>IF(A461="","",BASE_CAIXA!AL458)</f>
        <v>000457-DB</v>
      </c>
      <c r="C461" s="13">
        <f>IF(A461="","",BASE_CAIXA!AJ458)</f>
        <v>46185</v>
      </c>
      <c r="D461" s="26" t="str">
        <f>IF(A461="","",IF(BASE_CAIXA!C458="Entrada","Crédito","Débito"))</f>
        <v>Débito</v>
      </c>
      <c r="E461" s="14">
        <f>IF(A461="","",BASE_CAIXA!AA458)</f>
        <v>809.76</v>
      </c>
      <c r="F461" s="26">
        <f>IF(A461="","",BASE_CAIXA!N458)</f>
        <v>0</v>
      </c>
      <c r="G461" s="26">
        <f>IF(A461="","",BASE_CAIXA!O458)</f>
        <v>0</v>
      </c>
      <c r="H461" s="26">
        <f>IF(A461="","",BASE_CAIXA!P458)</f>
        <v>0</v>
      </c>
      <c r="I461" s="26" t="str">
        <f>IF(A461="","",IF(BASE_CAIXA!H458&lt;&gt;"",BASE_CAIXA!H458,BASE_CAIXA!G458))</f>
        <v>Assentamento Soleira em basalto  0,94 x 0,125 x 0,02 - entrada</v>
      </c>
      <c r="J461" s="26" t="str">
        <f>IF(A461="","",BASE_CAIXA!G458)</f>
        <v>Assentamento Soleira em basalto  0,94 x 0,125 x 0,02 - entrada</v>
      </c>
      <c r="K461" s="26">
        <f>IF(A461="","",BASE_CAIXA!I458)</f>
        <v>0</v>
      </c>
      <c r="L461" s="26">
        <f>IF(A461="","",BASE_CAIXA!J458)</f>
        <v>0</v>
      </c>
      <c r="M461" s="26" t="str">
        <f>IF(A461="","",BASE_CAIXA!AM458)</f>
        <v>Assentamento Soleira em basalto  0,94 x 0,125 x 0,02 - entra</v>
      </c>
      <c r="N461" s="26" t="str">
        <f t="shared" ca="1" si="21"/>
        <v>Previsto</v>
      </c>
      <c r="O461" s="13" t="str">
        <f>IFERROR(INDEX(EXTRATO_IMPORTADO!$A$5:$A$404,MATCH(B461,EXTRATO_IMPORTADO!$I$5:$I$404,0)),"")</f>
        <v/>
      </c>
      <c r="P461" s="14" t="str">
        <f>IFERROR(INDEX(EXTRATO_IMPORTADO!$F$5:$F$404,MATCH(B461,EXTRATO_IMPORTADO!$I$5:$I$404,0)),"")</f>
        <v/>
      </c>
      <c r="Q461" s="26" t="str">
        <f>IFERROR(INDEX(EXTRATO_IMPORTADO!$B$5:$B$404,MATCH(B461,EXTRATO_IMPORTADO!$I$5:$I$404,0)),"")</f>
        <v/>
      </c>
      <c r="R461" s="26" t="str">
        <f>IFERROR(MATCH(B461,EXTRATO_IMPORTADO!$I$5:$I$404,0),"")</f>
        <v/>
      </c>
      <c r="S461" s="14" t="str">
        <f t="shared" si="22"/>
        <v/>
      </c>
      <c r="T461" s="33" t="str">
        <f t="shared" si="23"/>
        <v/>
      </c>
    </row>
    <row r="462" spans="1:20" x14ac:dyDescent="0.3">
      <c r="A462" s="26">
        <f>IF(BASE_CAIXA!A459="","",BASE_CAIXA!A459)</f>
        <v>458</v>
      </c>
      <c r="B462" s="26" t="str">
        <f>IF(A462="","",BASE_CAIXA!AL459)</f>
        <v>000458-DB</v>
      </c>
      <c r="C462" s="13">
        <f>IF(A462="","",BASE_CAIXA!AJ459)</f>
        <v>46185</v>
      </c>
      <c r="D462" s="26" t="str">
        <f>IF(A462="","",IF(BASE_CAIXA!C459="Entrada","Crédito","Débito"))</f>
        <v>Débito</v>
      </c>
      <c r="E462" s="14">
        <f>IF(A462="","",BASE_CAIXA!AA459)</f>
        <v>11547.015648000001</v>
      </c>
      <c r="F462" s="26">
        <f>IF(A462="","",BASE_CAIXA!N459)</f>
        <v>0</v>
      </c>
      <c r="G462" s="26">
        <f>IF(A462="","",BASE_CAIXA!O459)</f>
        <v>0</v>
      </c>
      <c r="H462" s="26">
        <f>IF(A462="","",BASE_CAIXA!P459)</f>
        <v>0</v>
      </c>
      <c r="I462" s="26" t="str">
        <f>IF(A462="","",IF(BASE_CAIXA!H459&lt;&gt;"",BASE_CAIXA!H459,BASE_CAIXA!G459))</f>
        <v>Mao de obra terceirizada Textura externa</v>
      </c>
      <c r="J462" s="26" t="str">
        <f>IF(A462="","",BASE_CAIXA!G459)</f>
        <v>Mao de obra terceirizada Textura externa</v>
      </c>
      <c r="K462" s="26">
        <f>IF(A462="","",BASE_CAIXA!I459)</f>
        <v>0</v>
      </c>
      <c r="L462" s="26">
        <f>IF(A462="","",BASE_CAIXA!J459)</f>
        <v>0</v>
      </c>
      <c r="M462" s="26" t="str">
        <f>IF(A462="","",BASE_CAIXA!AM459)</f>
        <v>Mao de obra terceirizada Textura externa | Mao de obra terce</v>
      </c>
      <c r="N462" s="26" t="str">
        <f t="shared" ca="1" si="21"/>
        <v>Previsto</v>
      </c>
      <c r="O462" s="13" t="str">
        <f>IFERROR(INDEX(EXTRATO_IMPORTADO!$A$5:$A$404,MATCH(B462,EXTRATO_IMPORTADO!$I$5:$I$404,0)),"")</f>
        <v/>
      </c>
      <c r="P462" s="14" t="str">
        <f>IFERROR(INDEX(EXTRATO_IMPORTADO!$F$5:$F$404,MATCH(B462,EXTRATO_IMPORTADO!$I$5:$I$404,0)),"")</f>
        <v/>
      </c>
      <c r="Q462" s="26" t="str">
        <f>IFERROR(INDEX(EXTRATO_IMPORTADO!$B$5:$B$404,MATCH(B462,EXTRATO_IMPORTADO!$I$5:$I$404,0)),"")</f>
        <v/>
      </c>
      <c r="R462" s="26" t="str">
        <f>IFERROR(MATCH(B462,EXTRATO_IMPORTADO!$I$5:$I$404,0),"")</f>
        <v/>
      </c>
      <c r="S462" s="14" t="str">
        <f t="shared" si="22"/>
        <v/>
      </c>
      <c r="T462" s="33" t="str">
        <f t="shared" si="23"/>
        <v/>
      </c>
    </row>
    <row r="463" spans="1:20" x14ac:dyDescent="0.3">
      <c r="A463" s="26">
        <f>IF(BASE_CAIXA!A460="","",BASE_CAIXA!A460)</f>
        <v>459</v>
      </c>
      <c r="B463" s="26" t="str">
        <f>IF(A463="","",BASE_CAIXA!AL460)</f>
        <v>000459-CR</v>
      </c>
      <c r="C463" s="13">
        <f>IF(A463="","",BASE_CAIXA!AJ460)</f>
        <v>46199</v>
      </c>
      <c r="D463" s="26" t="str">
        <f>IF(A463="","",IF(BASE_CAIXA!C460="Entrada","Crédito","Débito"))</f>
        <v>Crédito</v>
      </c>
      <c r="E463" s="14">
        <f>IF(A463="","",BASE_CAIXA!AA460)</f>
        <v>838686.67072000005</v>
      </c>
      <c r="F463" s="26">
        <f>IF(A463="","",BASE_CAIXA!N460)</f>
        <v>0</v>
      </c>
      <c r="G463" s="26">
        <f>IF(A463="","",BASE_CAIXA!O460)</f>
        <v>0</v>
      </c>
      <c r="H463" s="26">
        <f>IF(A463="","",BASE_CAIXA!P460)</f>
        <v>0</v>
      </c>
      <c r="I463" s="26" t="str">
        <f>IF(A463="","",IF(BASE_CAIXA!H460&lt;&gt;"",BASE_CAIXA!H460,BASE_CAIXA!G460))</f>
        <v>MEDIÇÃO CONTRATUAL</v>
      </c>
      <c r="J463" s="26" t="str">
        <f>IF(A463="","",BASE_CAIXA!G460)</f>
        <v>MEDIÇÃO CONTRATUAL</v>
      </c>
      <c r="K463" s="26">
        <f>IF(A463="","",BASE_CAIXA!I460)</f>
        <v>0</v>
      </c>
      <c r="L463" s="26">
        <f>IF(A463="","",BASE_CAIXA!J460)</f>
        <v>0</v>
      </c>
      <c r="M463" s="26" t="str">
        <f>IF(A463="","",BASE_CAIXA!AM460)</f>
        <v xml:space="preserve">MEDIÇÃO CONTRATUAL | MEDIÇÃO CONTRATUAL | Entrada | MEDIÇÃO </v>
      </c>
      <c r="N463" s="26" t="str">
        <f t="shared" ca="1" si="21"/>
        <v>Previsto</v>
      </c>
      <c r="O463" s="13" t="str">
        <f>IFERROR(INDEX(EXTRATO_IMPORTADO!$A$5:$A$404,MATCH(B463,EXTRATO_IMPORTADO!$I$5:$I$404,0)),"")</f>
        <v/>
      </c>
      <c r="P463" s="14" t="str">
        <f>IFERROR(INDEX(EXTRATO_IMPORTADO!$F$5:$F$404,MATCH(B463,EXTRATO_IMPORTADO!$I$5:$I$404,0)),"")</f>
        <v/>
      </c>
      <c r="Q463" s="26" t="str">
        <f>IFERROR(INDEX(EXTRATO_IMPORTADO!$B$5:$B$404,MATCH(B463,EXTRATO_IMPORTADO!$I$5:$I$404,0)),"")</f>
        <v/>
      </c>
      <c r="R463" s="26" t="str">
        <f>IFERROR(MATCH(B463,EXTRATO_IMPORTADO!$I$5:$I$404,0),"")</f>
        <v/>
      </c>
      <c r="S463" s="14" t="str">
        <f t="shared" si="22"/>
        <v/>
      </c>
      <c r="T463" s="33" t="str">
        <f t="shared" si="23"/>
        <v/>
      </c>
    </row>
    <row r="464" spans="1:20" x14ac:dyDescent="0.3">
      <c r="A464" s="26">
        <f>IF(BASE_CAIXA!A461="","",BASE_CAIXA!A461)</f>
        <v>460</v>
      </c>
      <c r="B464" s="26" t="str">
        <f>IF(A464="","",BASE_CAIXA!AL461)</f>
        <v>000460-DB</v>
      </c>
      <c r="C464" s="13">
        <f>IF(A464="","",BASE_CAIXA!AJ461)</f>
        <v>46199</v>
      </c>
      <c r="D464" s="26" t="str">
        <f>IF(A464="","",IF(BASE_CAIXA!C461="Entrada","Crédito","Débito"))</f>
        <v>Débito</v>
      </c>
      <c r="E464" s="14">
        <f>IF(A464="","",BASE_CAIXA!AA461)</f>
        <v>7834.9920000000011</v>
      </c>
      <c r="F464" s="26">
        <f>IF(A464="","",BASE_CAIXA!N461)</f>
        <v>0</v>
      </c>
      <c r="G464" s="26">
        <f>IF(A464="","",BASE_CAIXA!O461)</f>
        <v>0</v>
      </c>
      <c r="H464" s="26">
        <f>IF(A464="","",BASE_CAIXA!P461)</f>
        <v>0</v>
      </c>
      <c r="I464" s="26" t="str">
        <f>IF(A464="","",IF(BASE_CAIXA!H461&lt;&gt;"",BASE_CAIXA!H461,BASE_CAIXA!G461))</f>
        <v>Revestimento Cerâmico PEI II - 20 X 20, cor,  (perda 10%)</v>
      </c>
      <c r="J464" s="26" t="str">
        <f>IF(A464="","",BASE_CAIXA!G461)</f>
        <v>Revestimento Cerâmico PEI II - 20 X 20, cor,  (perda 10%)</v>
      </c>
      <c r="K464" s="26">
        <f>IF(A464="","",BASE_CAIXA!I461)</f>
        <v>0</v>
      </c>
      <c r="L464" s="26">
        <f>IF(A464="","",BASE_CAIXA!J461)</f>
        <v>0</v>
      </c>
      <c r="M464" s="26" t="str">
        <f>IF(A464="","",BASE_CAIXA!AM461)</f>
        <v xml:space="preserve">Revestimento Cerâmico PEI II - 20 X 20, cor,  (perda 10%) | </v>
      </c>
      <c r="N464" s="26" t="str">
        <f t="shared" ca="1" si="21"/>
        <v>Previsto</v>
      </c>
      <c r="O464" s="13" t="str">
        <f>IFERROR(INDEX(EXTRATO_IMPORTADO!$A$5:$A$404,MATCH(B464,EXTRATO_IMPORTADO!$I$5:$I$404,0)),"")</f>
        <v/>
      </c>
      <c r="P464" s="14" t="str">
        <f>IFERROR(INDEX(EXTRATO_IMPORTADO!$F$5:$F$404,MATCH(B464,EXTRATO_IMPORTADO!$I$5:$I$404,0)),"")</f>
        <v/>
      </c>
      <c r="Q464" s="26" t="str">
        <f>IFERROR(INDEX(EXTRATO_IMPORTADO!$B$5:$B$404,MATCH(B464,EXTRATO_IMPORTADO!$I$5:$I$404,0)),"")</f>
        <v/>
      </c>
      <c r="R464" s="26" t="str">
        <f>IFERROR(MATCH(B464,EXTRATO_IMPORTADO!$I$5:$I$404,0),"")</f>
        <v/>
      </c>
      <c r="S464" s="14" t="str">
        <f t="shared" si="22"/>
        <v/>
      </c>
      <c r="T464" s="33" t="str">
        <f t="shared" si="23"/>
        <v/>
      </c>
    </row>
    <row r="465" spans="1:20" x14ac:dyDescent="0.3">
      <c r="A465" s="26">
        <f>IF(BASE_CAIXA!A462="","",BASE_CAIXA!A462)</f>
        <v>461</v>
      </c>
      <c r="B465" s="26" t="str">
        <f>IF(A465="","",BASE_CAIXA!AL462)</f>
        <v>000461-DB</v>
      </c>
      <c r="C465" s="13">
        <f>IF(A465="","",BASE_CAIXA!AJ462)</f>
        <v>46199</v>
      </c>
      <c r="D465" s="26" t="str">
        <f>IF(A465="","",IF(BASE_CAIXA!C462="Entrada","Crédito","Débito"))</f>
        <v>Débito</v>
      </c>
      <c r="E465" s="14">
        <f>IF(A465="","",BASE_CAIXA!AA462)</f>
        <v>285.12</v>
      </c>
      <c r="F465" s="26">
        <f>IF(A465="","",BASE_CAIXA!N462)</f>
        <v>0</v>
      </c>
      <c r="G465" s="26">
        <f>IF(A465="","",BASE_CAIXA!O462)</f>
        <v>0</v>
      </c>
      <c r="H465" s="26">
        <f>IF(A465="","",BASE_CAIXA!P462)</f>
        <v>0</v>
      </c>
      <c r="I465" s="26" t="str">
        <f>IF(A465="","",IF(BASE_CAIXA!H462&lt;&gt;"",BASE_CAIXA!H462,BASE_CAIXA!G462))</f>
        <v>Adaptador soldável flange 25mm 3/4</v>
      </c>
      <c r="J465" s="26" t="str">
        <f>IF(A465="","",BASE_CAIXA!G462)</f>
        <v>Adaptador soldável flange 25mm 3/4</v>
      </c>
      <c r="K465" s="26">
        <f>IF(A465="","",BASE_CAIXA!I462)</f>
        <v>0</v>
      </c>
      <c r="L465" s="26">
        <f>IF(A465="","",BASE_CAIXA!J462)</f>
        <v>0</v>
      </c>
      <c r="M465" s="26" t="str">
        <f>IF(A465="","",BASE_CAIXA!AM462)</f>
        <v>Adaptador soldável flange 25mm 3/4 | Adaptador soldável flan</v>
      </c>
      <c r="N465" s="26" t="str">
        <f t="shared" ca="1" si="21"/>
        <v>Previsto</v>
      </c>
      <c r="O465" s="13" t="str">
        <f>IFERROR(INDEX(EXTRATO_IMPORTADO!$A$5:$A$404,MATCH(B465,EXTRATO_IMPORTADO!$I$5:$I$404,0)),"")</f>
        <v/>
      </c>
      <c r="P465" s="14" t="str">
        <f>IFERROR(INDEX(EXTRATO_IMPORTADO!$F$5:$F$404,MATCH(B465,EXTRATO_IMPORTADO!$I$5:$I$404,0)),"")</f>
        <v/>
      </c>
      <c r="Q465" s="26" t="str">
        <f>IFERROR(INDEX(EXTRATO_IMPORTADO!$B$5:$B$404,MATCH(B465,EXTRATO_IMPORTADO!$I$5:$I$404,0)),"")</f>
        <v/>
      </c>
      <c r="R465" s="26" t="str">
        <f>IFERROR(MATCH(B465,EXTRATO_IMPORTADO!$I$5:$I$404,0),"")</f>
        <v/>
      </c>
      <c r="S465" s="14" t="str">
        <f t="shared" si="22"/>
        <v/>
      </c>
      <c r="T465" s="33" t="str">
        <f t="shared" si="23"/>
        <v/>
      </c>
    </row>
    <row r="466" spans="1:20" x14ac:dyDescent="0.3">
      <c r="A466" s="26">
        <f>IF(BASE_CAIXA!A463="","",BASE_CAIXA!A463)</f>
        <v>462</v>
      </c>
      <c r="B466" s="26" t="str">
        <f>IF(A466="","",BASE_CAIXA!AL463)</f>
        <v>000462-DB</v>
      </c>
      <c r="C466" s="13">
        <f>IF(A466="","",BASE_CAIXA!AJ463)</f>
        <v>46199</v>
      </c>
      <c r="D466" s="26" t="str">
        <f>IF(A466="","",IF(BASE_CAIXA!C463="Entrada","Crédito","Débito"))</f>
        <v>Débito</v>
      </c>
      <c r="E466" s="14">
        <f>IF(A466="","",BASE_CAIXA!AA463)</f>
        <v>555.24480000000005</v>
      </c>
      <c r="F466" s="26">
        <f>IF(A466="","",BASE_CAIXA!N463)</f>
        <v>0</v>
      </c>
      <c r="G466" s="26">
        <f>IF(A466="","",BASE_CAIXA!O463)</f>
        <v>0</v>
      </c>
      <c r="H466" s="26">
        <f>IF(A466="","",BASE_CAIXA!P463)</f>
        <v>0</v>
      </c>
      <c r="I466" s="26" t="str">
        <f>IF(A466="","",IF(BASE_CAIXA!H463&lt;&gt;"",BASE_CAIXA!H463,BASE_CAIXA!G463))</f>
        <v>Adaptador soldável flange 32 mm</v>
      </c>
      <c r="J466" s="26" t="str">
        <f>IF(A466="","",BASE_CAIXA!G463)</f>
        <v>Adaptador soldável flange 32 mm</v>
      </c>
      <c r="K466" s="26">
        <f>IF(A466="","",BASE_CAIXA!I463)</f>
        <v>0</v>
      </c>
      <c r="L466" s="26">
        <f>IF(A466="","",BASE_CAIXA!J463)</f>
        <v>0</v>
      </c>
      <c r="M466" s="26" t="str">
        <f>IF(A466="","",BASE_CAIXA!AM463)</f>
        <v xml:space="preserve">Adaptador soldável flange 32 mm | Adaptador soldável flange </v>
      </c>
      <c r="N466" s="26" t="str">
        <f t="shared" ca="1" si="21"/>
        <v>Previsto</v>
      </c>
      <c r="O466" s="13" t="str">
        <f>IFERROR(INDEX(EXTRATO_IMPORTADO!$A$5:$A$404,MATCH(B466,EXTRATO_IMPORTADO!$I$5:$I$404,0)),"")</f>
        <v/>
      </c>
      <c r="P466" s="14" t="str">
        <f>IFERROR(INDEX(EXTRATO_IMPORTADO!$F$5:$F$404,MATCH(B466,EXTRATO_IMPORTADO!$I$5:$I$404,0)),"")</f>
        <v/>
      </c>
      <c r="Q466" s="26" t="str">
        <f>IFERROR(INDEX(EXTRATO_IMPORTADO!$B$5:$B$404,MATCH(B466,EXTRATO_IMPORTADO!$I$5:$I$404,0)),"")</f>
        <v/>
      </c>
      <c r="R466" s="26" t="str">
        <f>IFERROR(MATCH(B466,EXTRATO_IMPORTADO!$I$5:$I$404,0),"")</f>
        <v/>
      </c>
      <c r="S466" s="14" t="str">
        <f t="shared" si="22"/>
        <v/>
      </c>
      <c r="T466" s="33" t="str">
        <f t="shared" si="23"/>
        <v/>
      </c>
    </row>
    <row r="467" spans="1:20" x14ac:dyDescent="0.3">
      <c r="A467" s="26">
        <f>IF(BASE_CAIXA!A464="","",BASE_CAIXA!A464)</f>
        <v>463</v>
      </c>
      <c r="B467" s="26" t="str">
        <f>IF(A467="","",BASE_CAIXA!AL464)</f>
        <v>000463-DB</v>
      </c>
      <c r="C467" s="13">
        <f>IF(A467="","",BASE_CAIXA!AJ464)</f>
        <v>46199</v>
      </c>
      <c r="D467" s="26" t="str">
        <f>IF(A467="","",IF(BASE_CAIXA!C464="Entrada","Crédito","Débito"))</f>
        <v>Débito</v>
      </c>
      <c r="E467" s="14">
        <f>IF(A467="","",BASE_CAIXA!AA464)</f>
        <v>33.792000000000002</v>
      </c>
      <c r="F467" s="26">
        <f>IF(A467="","",BASE_CAIXA!N464)</f>
        <v>0</v>
      </c>
      <c r="G467" s="26">
        <f>IF(A467="","",BASE_CAIXA!O464)</f>
        <v>0</v>
      </c>
      <c r="H467" s="26">
        <f>IF(A467="","",BASE_CAIXA!P464)</f>
        <v>0</v>
      </c>
      <c r="I467" s="26" t="str">
        <f>IF(A467="","",IF(BASE_CAIXA!H464&lt;&gt;"",BASE_CAIXA!H464,BASE_CAIXA!G464))</f>
        <v>Bucha de redução soldável curta 32mm x 25mm</v>
      </c>
      <c r="J467" s="26" t="str">
        <f>IF(A467="","",BASE_CAIXA!G464)</f>
        <v>Bucha de redução soldável curta 32mm x 25mm</v>
      </c>
      <c r="K467" s="26">
        <f>IF(A467="","",BASE_CAIXA!I464)</f>
        <v>0</v>
      </c>
      <c r="L467" s="26">
        <f>IF(A467="","",BASE_CAIXA!J464)</f>
        <v>0</v>
      </c>
      <c r="M467" s="26" t="str">
        <f>IF(A467="","",BASE_CAIXA!AM464)</f>
        <v>Bucha de redução soldável curta 32mm x 25mm | Bucha de reduç</v>
      </c>
      <c r="N467" s="26" t="str">
        <f t="shared" ca="1" si="21"/>
        <v>Previsto</v>
      </c>
      <c r="O467" s="13" t="str">
        <f>IFERROR(INDEX(EXTRATO_IMPORTADO!$A$5:$A$404,MATCH(B467,EXTRATO_IMPORTADO!$I$5:$I$404,0)),"")</f>
        <v/>
      </c>
      <c r="P467" s="14" t="str">
        <f>IFERROR(INDEX(EXTRATO_IMPORTADO!$F$5:$F$404,MATCH(B467,EXTRATO_IMPORTADO!$I$5:$I$404,0)),"")</f>
        <v/>
      </c>
      <c r="Q467" s="26" t="str">
        <f>IFERROR(INDEX(EXTRATO_IMPORTADO!$B$5:$B$404,MATCH(B467,EXTRATO_IMPORTADO!$I$5:$I$404,0)),"")</f>
        <v/>
      </c>
      <c r="R467" s="26" t="str">
        <f>IFERROR(MATCH(B467,EXTRATO_IMPORTADO!$I$5:$I$404,0),"")</f>
        <v/>
      </c>
      <c r="S467" s="14" t="str">
        <f t="shared" si="22"/>
        <v/>
      </c>
      <c r="T467" s="33" t="str">
        <f t="shared" si="23"/>
        <v/>
      </c>
    </row>
    <row r="468" spans="1:20" x14ac:dyDescent="0.3">
      <c r="A468" s="26">
        <f>IF(BASE_CAIXA!A465="","",BASE_CAIXA!A465)</f>
        <v>464</v>
      </c>
      <c r="B468" s="26" t="str">
        <f>IF(A468="","",BASE_CAIXA!AL465)</f>
        <v>000464-DB</v>
      </c>
      <c r="C468" s="13">
        <f>IF(A468="","",BASE_CAIXA!AJ465)</f>
        <v>46199</v>
      </c>
      <c r="D468" s="26" t="str">
        <f>IF(A468="","",IF(BASE_CAIXA!C465="Entrada","Crédito","Débito"))</f>
        <v>Débito</v>
      </c>
      <c r="E468" s="14">
        <f>IF(A468="","",BASE_CAIXA!AA465)</f>
        <v>5066.6880000000001</v>
      </c>
      <c r="F468" s="26">
        <f>IF(A468="","",BASE_CAIXA!N465)</f>
        <v>0</v>
      </c>
      <c r="G468" s="26">
        <f>IF(A468="","",BASE_CAIXA!O465)</f>
        <v>0</v>
      </c>
      <c r="H468" s="26">
        <f>IF(A468="","",BASE_CAIXA!P465)</f>
        <v>0</v>
      </c>
      <c r="I468" s="26" t="str">
        <f>IF(A468="","",IF(BASE_CAIXA!H465&lt;&gt;"",BASE_CAIXA!H465,BASE_CAIXA!G465))</f>
        <v>Caixa D'Água Polietileno 500 Litros - FORTLEV</v>
      </c>
      <c r="J468" s="26" t="str">
        <f>IF(A468="","",BASE_CAIXA!G465)</f>
        <v>Caixa D'Água Polietileno 500 Litros - FORTLEV</v>
      </c>
      <c r="K468" s="26">
        <f>IF(A468="","",BASE_CAIXA!I465)</f>
        <v>0</v>
      </c>
      <c r="L468" s="26">
        <f>IF(A468="","",BASE_CAIXA!J465)</f>
        <v>0</v>
      </c>
      <c r="M468" s="26" t="str">
        <f>IF(A468="","",BASE_CAIXA!AM465)</f>
        <v>Caixa D'Água Polietileno 500 Litros - FORTLEV | Caixa D'Água</v>
      </c>
      <c r="N468" s="26" t="str">
        <f t="shared" ca="1" si="21"/>
        <v>Previsto</v>
      </c>
      <c r="O468" s="13" t="str">
        <f>IFERROR(INDEX(EXTRATO_IMPORTADO!$A$5:$A$404,MATCH(B468,EXTRATO_IMPORTADO!$I$5:$I$404,0)),"")</f>
        <v/>
      </c>
      <c r="P468" s="14" t="str">
        <f>IFERROR(INDEX(EXTRATO_IMPORTADO!$F$5:$F$404,MATCH(B468,EXTRATO_IMPORTADO!$I$5:$I$404,0)),"")</f>
        <v/>
      </c>
      <c r="Q468" s="26" t="str">
        <f>IFERROR(INDEX(EXTRATO_IMPORTADO!$B$5:$B$404,MATCH(B468,EXTRATO_IMPORTADO!$I$5:$I$404,0)),"")</f>
        <v/>
      </c>
      <c r="R468" s="26" t="str">
        <f>IFERROR(MATCH(B468,EXTRATO_IMPORTADO!$I$5:$I$404,0),"")</f>
        <v/>
      </c>
      <c r="S468" s="14" t="str">
        <f t="shared" si="22"/>
        <v/>
      </c>
      <c r="T468" s="33" t="str">
        <f t="shared" si="23"/>
        <v/>
      </c>
    </row>
    <row r="469" spans="1:20" x14ac:dyDescent="0.3">
      <c r="A469" s="26">
        <f>IF(BASE_CAIXA!A466="","",BASE_CAIXA!A466)</f>
        <v>465</v>
      </c>
      <c r="B469" s="26" t="str">
        <f>IF(A469="","",BASE_CAIXA!AL466)</f>
        <v>000465-DB</v>
      </c>
      <c r="C469" s="13">
        <f>IF(A469="","",BASE_CAIXA!AJ466)</f>
        <v>46199</v>
      </c>
      <c r="D469" s="26" t="str">
        <f>IF(A469="","",IF(BASE_CAIXA!C466="Entrada","Crédito","Débito"))</f>
        <v>Débito</v>
      </c>
      <c r="E469" s="14">
        <f>IF(A469="","",BASE_CAIXA!AA466)</f>
        <v>94.406400000000005</v>
      </c>
      <c r="F469" s="26">
        <f>IF(A469="","",BASE_CAIXA!N466)</f>
        <v>0</v>
      </c>
      <c r="G469" s="26">
        <f>IF(A469="","",BASE_CAIXA!O466)</f>
        <v>0</v>
      </c>
      <c r="H469" s="26">
        <f>IF(A469="","",BASE_CAIXA!P466)</f>
        <v>0</v>
      </c>
      <c r="I469" s="26" t="str">
        <f>IF(A469="","",IF(BASE_CAIXA!H466&lt;&gt;"",BASE_CAIXA!H466,BASE_CAIXA!G466))</f>
        <v>Cola Pincel 175 g</v>
      </c>
      <c r="J469" s="26" t="str">
        <f>IF(A469="","",BASE_CAIXA!G466)</f>
        <v>Cola Pincel 175 g</v>
      </c>
      <c r="K469" s="26">
        <f>IF(A469="","",BASE_CAIXA!I466)</f>
        <v>0</v>
      </c>
      <c r="L469" s="26">
        <f>IF(A469="","",BASE_CAIXA!J466)</f>
        <v>0</v>
      </c>
      <c r="M469" s="26" t="str">
        <f>IF(A469="","",BASE_CAIXA!AM466)</f>
        <v>Cola Pincel 175 g | Cola Pincel 175 g | Saída | CAIXA D'ÁGUA</v>
      </c>
      <c r="N469" s="26" t="str">
        <f t="shared" ca="1" si="21"/>
        <v>Previsto</v>
      </c>
      <c r="O469" s="13" t="str">
        <f>IFERROR(INDEX(EXTRATO_IMPORTADO!$A$5:$A$404,MATCH(B469,EXTRATO_IMPORTADO!$I$5:$I$404,0)),"")</f>
        <v/>
      </c>
      <c r="P469" s="14" t="str">
        <f>IFERROR(INDEX(EXTRATO_IMPORTADO!$F$5:$F$404,MATCH(B469,EXTRATO_IMPORTADO!$I$5:$I$404,0)),"")</f>
        <v/>
      </c>
      <c r="Q469" s="26" t="str">
        <f>IFERROR(INDEX(EXTRATO_IMPORTADO!$B$5:$B$404,MATCH(B469,EXTRATO_IMPORTADO!$I$5:$I$404,0)),"")</f>
        <v/>
      </c>
      <c r="R469" s="26" t="str">
        <f>IFERROR(MATCH(B469,EXTRATO_IMPORTADO!$I$5:$I$404,0),"")</f>
        <v/>
      </c>
      <c r="S469" s="14" t="str">
        <f t="shared" si="22"/>
        <v/>
      </c>
      <c r="T469" s="33" t="str">
        <f t="shared" si="23"/>
        <v/>
      </c>
    </row>
    <row r="470" spans="1:20" x14ac:dyDescent="0.3">
      <c r="A470" s="26">
        <f>IF(BASE_CAIXA!A467="","",BASE_CAIXA!A467)</f>
        <v>466</v>
      </c>
      <c r="B470" s="26" t="str">
        <f>IF(A470="","",BASE_CAIXA!AL467)</f>
        <v>000466-DB</v>
      </c>
      <c r="C470" s="13">
        <f>IF(A470="","",BASE_CAIXA!AJ467)</f>
        <v>46199</v>
      </c>
      <c r="D470" s="26" t="str">
        <f>IF(A470="","",IF(BASE_CAIXA!C467="Entrada","Crédito","Débito"))</f>
        <v>Débito</v>
      </c>
      <c r="E470" s="14">
        <f>IF(A470="","",BASE_CAIXA!AA467)</f>
        <v>69.062399999999997</v>
      </c>
      <c r="F470" s="26">
        <f>IF(A470="","",BASE_CAIXA!N467)</f>
        <v>0</v>
      </c>
      <c r="G470" s="26">
        <f>IF(A470="","",BASE_CAIXA!O467)</f>
        <v>0</v>
      </c>
      <c r="H470" s="26">
        <f>IF(A470="","",BASE_CAIXA!P467)</f>
        <v>0</v>
      </c>
      <c r="I470" s="26" t="str">
        <f>IF(A470="","",IF(BASE_CAIXA!H467&lt;&gt;"",BASE_CAIXA!H467,BASE_CAIXA!G467))</f>
        <v>Curva 90° Soldável 25mm</v>
      </c>
      <c r="J470" s="26" t="str">
        <f>IF(A470="","",BASE_CAIXA!G467)</f>
        <v>Curva 90° Soldável 25mm</v>
      </c>
      <c r="K470" s="26">
        <f>IF(A470="","",BASE_CAIXA!I467)</f>
        <v>0</v>
      </c>
      <c r="L470" s="26">
        <f>IF(A470="","",BASE_CAIXA!J467)</f>
        <v>0</v>
      </c>
      <c r="M470" s="26" t="str">
        <f>IF(A470="","",BASE_CAIXA!AM467)</f>
        <v xml:space="preserve">Curva 90° Soldável 25mm | Curva 90° Soldável 25mm | Saída | </v>
      </c>
      <c r="N470" s="26" t="str">
        <f t="shared" ca="1" si="21"/>
        <v>Previsto</v>
      </c>
      <c r="O470" s="13" t="str">
        <f>IFERROR(INDEX(EXTRATO_IMPORTADO!$A$5:$A$404,MATCH(B470,EXTRATO_IMPORTADO!$I$5:$I$404,0)),"")</f>
        <v/>
      </c>
      <c r="P470" s="14" t="str">
        <f>IFERROR(INDEX(EXTRATO_IMPORTADO!$F$5:$F$404,MATCH(B470,EXTRATO_IMPORTADO!$I$5:$I$404,0)),"")</f>
        <v/>
      </c>
      <c r="Q470" s="26" t="str">
        <f>IFERROR(INDEX(EXTRATO_IMPORTADO!$B$5:$B$404,MATCH(B470,EXTRATO_IMPORTADO!$I$5:$I$404,0)),"")</f>
        <v/>
      </c>
      <c r="R470" s="26" t="str">
        <f>IFERROR(MATCH(B470,EXTRATO_IMPORTADO!$I$5:$I$404,0),"")</f>
        <v/>
      </c>
      <c r="S470" s="14" t="str">
        <f t="shared" si="22"/>
        <v/>
      </c>
      <c r="T470" s="33" t="str">
        <f t="shared" si="23"/>
        <v/>
      </c>
    </row>
    <row r="471" spans="1:20" x14ac:dyDescent="0.3">
      <c r="A471" s="26">
        <f>IF(BASE_CAIXA!A468="","",BASE_CAIXA!A468)</f>
        <v>467</v>
      </c>
      <c r="B471" s="26" t="str">
        <f>IF(A471="","",BASE_CAIXA!AL468)</f>
        <v>000467-DB</v>
      </c>
      <c r="C471" s="13">
        <f>IF(A471="","",BASE_CAIXA!AJ468)</f>
        <v>46199</v>
      </c>
      <c r="D471" s="26" t="str">
        <f>IF(A471="","",IF(BASE_CAIXA!C468="Entrada","Crédito","Débito"))</f>
        <v>Débito</v>
      </c>
      <c r="E471" s="14">
        <f>IF(A471="","",BASE_CAIXA!AA468)</f>
        <v>101.376</v>
      </c>
      <c r="F471" s="26">
        <f>IF(A471="","",BASE_CAIXA!N468)</f>
        <v>0</v>
      </c>
      <c r="G471" s="26">
        <f>IF(A471="","",BASE_CAIXA!O468)</f>
        <v>0</v>
      </c>
      <c r="H471" s="26">
        <f>IF(A471="","",BASE_CAIXA!P468)</f>
        <v>0</v>
      </c>
      <c r="I471" s="26" t="str">
        <f>IF(A471="","",IF(BASE_CAIXA!H468&lt;&gt;"",BASE_CAIXA!H468,BASE_CAIXA!G468))</f>
        <v>Joelho 90 soldavel 25 mm, PVC marrom, água fria</v>
      </c>
      <c r="J471" s="26" t="str">
        <f>IF(A471="","",BASE_CAIXA!G468)</f>
        <v>Joelho 90 soldavel 25 mm, PVC marrom, água fria</v>
      </c>
      <c r="K471" s="26">
        <f>IF(A471="","",BASE_CAIXA!I468)</f>
        <v>0</v>
      </c>
      <c r="L471" s="26">
        <f>IF(A471="","",BASE_CAIXA!J468)</f>
        <v>0</v>
      </c>
      <c r="M471" s="26" t="str">
        <f>IF(A471="","",BASE_CAIXA!AM468)</f>
        <v xml:space="preserve">Joelho 90 soldavel 25 mm, PVC marrom, água fria | Joelho 90 </v>
      </c>
      <c r="N471" s="26" t="str">
        <f t="shared" ca="1" si="21"/>
        <v>Previsto</v>
      </c>
      <c r="O471" s="13" t="str">
        <f>IFERROR(INDEX(EXTRATO_IMPORTADO!$A$5:$A$404,MATCH(B471,EXTRATO_IMPORTADO!$I$5:$I$404,0)),"")</f>
        <v/>
      </c>
      <c r="P471" s="14" t="str">
        <f>IFERROR(INDEX(EXTRATO_IMPORTADO!$F$5:$F$404,MATCH(B471,EXTRATO_IMPORTADO!$I$5:$I$404,0)),"")</f>
        <v/>
      </c>
      <c r="Q471" s="26" t="str">
        <f>IFERROR(INDEX(EXTRATO_IMPORTADO!$B$5:$B$404,MATCH(B471,EXTRATO_IMPORTADO!$I$5:$I$404,0)),"")</f>
        <v/>
      </c>
      <c r="R471" s="26" t="str">
        <f>IFERROR(MATCH(B471,EXTRATO_IMPORTADO!$I$5:$I$404,0),"")</f>
        <v/>
      </c>
      <c r="S471" s="14" t="str">
        <f t="shared" si="22"/>
        <v/>
      </c>
      <c r="T471" s="33" t="str">
        <f t="shared" si="23"/>
        <v/>
      </c>
    </row>
    <row r="472" spans="1:20" x14ac:dyDescent="0.3">
      <c r="A472" s="26">
        <f>IF(BASE_CAIXA!A469="","",BASE_CAIXA!A469)</f>
        <v>468</v>
      </c>
      <c r="B472" s="26" t="str">
        <f>IF(A472="","",BASE_CAIXA!AL469)</f>
        <v>000468-DB</v>
      </c>
      <c r="C472" s="13">
        <f>IF(A472="","",BASE_CAIXA!AJ469)</f>
        <v>46199</v>
      </c>
      <c r="D472" s="26" t="str">
        <f>IF(A472="","",IF(BASE_CAIXA!C469="Entrada","Crédito","Débito"))</f>
        <v>Débito</v>
      </c>
      <c r="E472" s="14">
        <f>IF(A472="","",BASE_CAIXA!AA469)</f>
        <v>112.3584</v>
      </c>
      <c r="F472" s="26">
        <f>IF(A472="","",BASE_CAIXA!N469)</f>
        <v>0</v>
      </c>
      <c r="G472" s="26">
        <f>IF(A472="","",BASE_CAIXA!O469)</f>
        <v>0</v>
      </c>
      <c r="H472" s="26">
        <f>IF(A472="","",BASE_CAIXA!P469)</f>
        <v>0</v>
      </c>
      <c r="I472" s="26" t="str">
        <f>IF(A472="","",IF(BASE_CAIXA!H469&lt;&gt;"",BASE_CAIXA!H469,BASE_CAIXA!G469))</f>
        <v>Joelho 90 soldavel 32 mm, PVC marrom, água fria</v>
      </c>
      <c r="J472" s="26" t="str">
        <f>IF(A472="","",BASE_CAIXA!G469)</f>
        <v>Joelho 90 soldavel 32 mm, PVC marrom, água fria</v>
      </c>
      <c r="K472" s="26">
        <f>IF(A472="","",BASE_CAIXA!I469)</f>
        <v>0</v>
      </c>
      <c r="L472" s="26">
        <f>IF(A472="","",BASE_CAIXA!J469)</f>
        <v>0</v>
      </c>
      <c r="M472" s="26" t="str">
        <f>IF(A472="","",BASE_CAIXA!AM469)</f>
        <v xml:space="preserve">Joelho 90 soldavel 32 mm, PVC marrom, água fria | Joelho 90 </v>
      </c>
      <c r="N472" s="26" t="str">
        <f t="shared" ca="1" si="21"/>
        <v>Previsto</v>
      </c>
      <c r="O472" s="13" t="str">
        <f>IFERROR(INDEX(EXTRATO_IMPORTADO!$A$5:$A$404,MATCH(B472,EXTRATO_IMPORTADO!$I$5:$I$404,0)),"")</f>
        <v/>
      </c>
      <c r="P472" s="14" t="str">
        <f>IFERROR(INDEX(EXTRATO_IMPORTADO!$F$5:$F$404,MATCH(B472,EXTRATO_IMPORTADO!$I$5:$I$404,0)),"")</f>
        <v/>
      </c>
      <c r="Q472" s="26" t="str">
        <f>IFERROR(INDEX(EXTRATO_IMPORTADO!$B$5:$B$404,MATCH(B472,EXTRATO_IMPORTADO!$I$5:$I$404,0)),"")</f>
        <v/>
      </c>
      <c r="R472" s="26" t="str">
        <f>IFERROR(MATCH(B472,EXTRATO_IMPORTADO!$I$5:$I$404,0),"")</f>
        <v/>
      </c>
      <c r="S472" s="14" t="str">
        <f t="shared" si="22"/>
        <v/>
      </c>
      <c r="T472" s="33" t="str">
        <f t="shared" si="23"/>
        <v/>
      </c>
    </row>
    <row r="473" spans="1:20" x14ac:dyDescent="0.3">
      <c r="A473" s="26">
        <f>IF(BASE_CAIXA!A470="","",BASE_CAIXA!A470)</f>
        <v>469</v>
      </c>
      <c r="B473" s="26" t="str">
        <f>IF(A473="","",BASE_CAIXA!AL470)</f>
        <v>000469-DB</v>
      </c>
      <c r="C473" s="13">
        <f>IF(A473="","",BASE_CAIXA!AJ470)</f>
        <v>46199</v>
      </c>
      <c r="D473" s="26" t="str">
        <f>IF(A473="","",IF(BASE_CAIXA!C470="Entrada","Crédito","Débito"))</f>
        <v>Débito</v>
      </c>
      <c r="E473" s="14">
        <f>IF(A473="","",BASE_CAIXA!AA470)</f>
        <v>135.16800000000001</v>
      </c>
      <c r="F473" s="26">
        <f>IF(A473="","",BASE_CAIXA!N470)</f>
        <v>0</v>
      </c>
      <c r="G473" s="26">
        <f>IF(A473="","",BASE_CAIXA!O470)</f>
        <v>0</v>
      </c>
      <c r="H473" s="26">
        <f>IF(A473="","",BASE_CAIXA!P470)</f>
        <v>0</v>
      </c>
      <c r="I473" s="26" t="str">
        <f>IF(A473="","",IF(BASE_CAIXA!H470&lt;&gt;"",BASE_CAIXA!H470,BASE_CAIXA!G470))</f>
        <v>LuvaPVC soldavél - 32 mm</v>
      </c>
      <c r="J473" s="26" t="str">
        <f>IF(A473="","",BASE_CAIXA!G470)</f>
        <v>LuvaPVC soldavél - 32 mm</v>
      </c>
      <c r="K473" s="26">
        <f>IF(A473="","",BASE_CAIXA!I470)</f>
        <v>0</v>
      </c>
      <c r="L473" s="26">
        <f>IF(A473="","",BASE_CAIXA!J470)</f>
        <v>0</v>
      </c>
      <c r="M473" s="26" t="str">
        <f>IF(A473="","",BASE_CAIXA!AM470)</f>
        <v xml:space="preserve">LuvaPVC soldavél - 32 mm | LuvaPVC soldavél - 32 mm | Saída </v>
      </c>
      <c r="N473" s="26" t="str">
        <f t="shared" ca="1" si="21"/>
        <v>Previsto</v>
      </c>
      <c r="O473" s="13" t="str">
        <f>IFERROR(INDEX(EXTRATO_IMPORTADO!$A$5:$A$404,MATCH(B473,EXTRATO_IMPORTADO!$I$5:$I$404,0)),"")</f>
        <v/>
      </c>
      <c r="P473" s="14" t="str">
        <f>IFERROR(INDEX(EXTRATO_IMPORTADO!$F$5:$F$404,MATCH(B473,EXTRATO_IMPORTADO!$I$5:$I$404,0)),"")</f>
        <v/>
      </c>
      <c r="Q473" s="26" t="str">
        <f>IFERROR(INDEX(EXTRATO_IMPORTADO!$B$5:$B$404,MATCH(B473,EXTRATO_IMPORTADO!$I$5:$I$404,0)),"")</f>
        <v/>
      </c>
      <c r="R473" s="26" t="str">
        <f>IFERROR(MATCH(B473,EXTRATO_IMPORTADO!$I$5:$I$404,0),"")</f>
        <v/>
      </c>
      <c r="S473" s="14" t="str">
        <f t="shared" si="22"/>
        <v/>
      </c>
      <c r="T473" s="33" t="str">
        <f t="shared" si="23"/>
        <v/>
      </c>
    </row>
    <row r="474" spans="1:20" x14ac:dyDescent="0.3">
      <c r="A474" s="26">
        <f>IF(BASE_CAIXA!A471="","",BASE_CAIXA!A471)</f>
        <v>470</v>
      </c>
      <c r="B474" s="26" t="str">
        <f>IF(A474="","",BASE_CAIXA!AL471)</f>
        <v>000470-DB</v>
      </c>
      <c r="C474" s="13">
        <f>IF(A474="","",BASE_CAIXA!AJ471)</f>
        <v>46199</v>
      </c>
      <c r="D474" s="26" t="str">
        <f>IF(A474="","",IF(BASE_CAIXA!C471="Entrada","Crédito","Débito"))</f>
        <v>Débito</v>
      </c>
      <c r="E474" s="14">
        <f>IF(A474="","",BASE_CAIXA!AA471)</f>
        <v>485.76</v>
      </c>
      <c r="F474" s="26">
        <f>IF(A474="","",BASE_CAIXA!N471)</f>
        <v>0</v>
      </c>
      <c r="G474" s="26">
        <f>IF(A474="","",BASE_CAIXA!O471)</f>
        <v>0</v>
      </c>
      <c r="H474" s="26">
        <f>IF(A474="","",BASE_CAIXA!P471)</f>
        <v>0</v>
      </c>
      <c r="I474" s="26" t="str">
        <f>IF(A474="","",IF(BASE_CAIXA!H471&lt;&gt;"",BASE_CAIXA!H471,BASE_CAIXA!G471))</f>
        <v>Registro PVC Esfera Borboleta Soldável 25MM</v>
      </c>
      <c r="J474" s="26" t="str">
        <f>IF(A474="","",BASE_CAIXA!G471)</f>
        <v>Registro PVC Esfera Borboleta Soldável 25MM</v>
      </c>
      <c r="K474" s="26">
        <f>IF(A474="","",BASE_CAIXA!I471)</f>
        <v>0</v>
      </c>
      <c r="L474" s="26">
        <f>IF(A474="","",BASE_CAIXA!J471)</f>
        <v>0</v>
      </c>
      <c r="M474" s="26" t="str">
        <f>IF(A474="","",BASE_CAIXA!AM471)</f>
        <v>Registro PVC Esfera Borboleta Soldável 25MM | Registro PVC E</v>
      </c>
      <c r="N474" s="26" t="str">
        <f t="shared" ca="1" si="21"/>
        <v>Previsto</v>
      </c>
      <c r="O474" s="13" t="str">
        <f>IFERROR(INDEX(EXTRATO_IMPORTADO!$A$5:$A$404,MATCH(B474,EXTRATO_IMPORTADO!$I$5:$I$404,0)),"")</f>
        <v/>
      </c>
      <c r="P474" s="14" t="str">
        <f>IFERROR(INDEX(EXTRATO_IMPORTADO!$F$5:$F$404,MATCH(B474,EXTRATO_IMPORTADO!$I$5:$I$404,0)),"")</f>
        <v/>
      </c>
      <c r="Q474" s="26" t="str">
        <f>IFERROR(INDEX(EXTRATO_IMPORTADO!$B$5:$B$404,MATCH(B474,EXTRATO_IMPORTADO!$I$5:$I$404,0)),"")</f>
        <v/>
      </c>
      <c r="R474" s="26" t="str">
        <f>IFERROR(MATCH(B474,EXTRATO_IMPORTADO!$I$5:$I$404,0),"")</f>
        <v/>
      </c>
      <c r="S474" s="14" t="str">
        <f t="shared" si="22"/>
        <v/>
      </c>
      <c r="T474" s="33" t="str">
        <f t="shared" si="23"/>
        <v/>
      </c>
    </row>
    <row r="475" spans="1:20" x14ac:dyDescent="0.3">
      <c r="A475" s="26">
        <f>IF(BASE_CAIXA!A472="","",BASE_CAIXA!A472)</f>
        <v>471</v>
      </c>
      <c r="B475" s="26" t="str">
        <f>IF(A475="","",BASE_CAIXA!AL472)</f>
        <v>000471-DB</v>
      </c>
      <c r="C475" s="13">
        <f>IF(A475="","",BASE_CAIXA!AJ472)</f>
        <v>46199</v>
      </c>
      <c r="D475" s="26" t="str">
        <f>IF(A475="","",IF(BASE_CAIXA!C472="Entrada","Crédito","Débito"))</f>
        <v>Débito</v>
      </c>
      <c r="E475" s="14">
        <f>IF(A475="","",BASE_CAIXA!AA472)</f>
        <v>633.6</v>
      </c>
      <c r="F475" s="26">
        <f>IF(A475="","",BASE_CAIXA!N472)</f>
        <v>0</v>
      </c>
      <c r="G475" s="26">
        <f>IF(A475="","",BASE_CAIXA!O472)</f>
        <v>0</v>
      </c>
      <c r="H475" s="26">
        <f>IF(A475="","",BASE_CAIXA!P472)</f>
        <v>0</v>
      </c>
      <c r="I475" s="26" t="str">
        <f>IF(A475="","",IF(BASE_CAIXA!H472&lt;&gt;"",BASE_CAIXA!H472,BASE_CAIXA!G472))</f>
        <v>Registro PVC Esfera Borboleta Soldável 32MM</v>
      </c>
      <c r="J475" s="26" t="str">
        <f>IF(A475="","",BASE_CAIXA!G472)</f>
        <v>Registro PVC Esfera Borboleta Soldável 32MM</v>
      </c>
      <c r="K475" s="26">
        <f>IF(A475="","",BASE_CAIXA!I472)</f>
        <v>0</v>
      </c>
      <c r="L475" s="26">
        <f>IF(A475="","",BASE_CAIXA!J472)</f>
        <v>0</v>
      </c>
      <c r="M475" s="26" t="str">
        <f>IF(A475="","",BASE_CAIXA!AM472)</f>
        <v>Registro PVC Esfera Borboleta Soldável 32MM | Registro PVC E</v>
      </c>
      <c r="N475" s="26" t="str">
        <f t="shared" ca="1" si="21"/>
        <v>Previsto</v>
      </c>
      <c r="O475" s="13" t="str">
        <f>IFERROR(INDEX(EXTRATO_IMPORTADO!$A$5:$A$404,MATCH(B475,EXTRATO_IMPORTADO!$I$5:$I$404,0)),"")</f>
        <v/>
      </c>
      <c r="P475" s="14" t="str">
        <f>IFERROR(INDEX(EXTRATO_IMPORTADO!$F$5:$F$404,MATCH(B475,EXTRATO_IMPORTADO!$I$5:$I$404,0)),"")</f>
        <v/>
      </c>
      <c r="Q475" s="26" t="str">
        <f>IFERROR(INDEX(EXTRATO_IMPORTADO!$B$5:$B$404,MATCH(B475,EXTRATO_IMPORTADO!$I$5:$I$404,0)),"")</f>
        <v/>
      </c>
      <c r="R475" s="26" t="str">
        <f>IFERROR(MATCH(B475,EXTRATO_IMPORTADO!$I$5:$I$404,0),"")</f>
        <v/>
      </c>
      <c r="S475" s="14" t="str">
        <f t="shared" si="22"/>
        <v/>
      </c>
      <c r="T475" s="33" t="str">
        <f t="shared" si="23"/>
        <v/>
      </c>
    </row>
    <row r="476" spans="1:20" x14ac:dyDescent="0.3">
      <c r="A476" s="26">
        <f>IF(BASE_CAIXA!A473="","",BASE_CAIXA!A473)</f>
        <v>472</v>
      </c>
      <c r="B476" s="26" t="str">
        <f>IF(A476="","",BASE_CAIXA!AL473)</f>
        <v>000472-DB</v>
      </c>
      <c r="C476" s="13">
        <f>IF(A476="","",BASE_CAIXA!AJ473)</f>
        <v>46199</v>
      </c>
      <c r="D476" s="26" t="str">
        <f>IF(A476="","",IF(BASE_CAIXA!C473="Entrada","Crédito","Débito"))</f>
        <v>Débito</v>
      </c>
      <c r="E476" s="14">
        <f>IF(A476="","",BASE_CAIXA!AA473)</f>
        <v>174.4512</v>
      </c>
      <c r="F476" s="26">
        <f>IF(A476="","",BASE_CAIXA!N473)</f>
        <v>0</v>
      </c>
      <c r="G476" s="26">
        <f>IF(A476="","",BASE_CAIXA!O473)</f>
        <v>0</v>
      </c>
      <c r="H476" s="26">
        <f>IF(A476="","",BASE_CAIXA!P473)</f>
        <v>0</v>
      </c>
      <c r="I476" s="26" t="str">
        <f>IF(A476="","",IF(BASE_CAIXA!H473&lt;&gt;"",BASE_CAIXA!H473,BASE_CAIXA!G473))</f>
        <v>TE PVC Soldável 32 MM</v>
      </c>
      <c r="J476" s="26" t="str">
        <f>IF(A476="","",BASE_CAIXA!G473)</f>
        <v>TE PVC Soldável 32 MM</v>
      </c>
      <c r="K476" s="26">
        <f>IF(A476="","",BASE_CAIXA!I473)</f>
        <v>0</v>
      </c>
      <c r="L476" s="26">
        <f>IF(A476="","",BASE_CAIXA!J473)</f>
        <v>0</v>
      </c>
      <c r="M476" s="26" t="str">
        <f>IF(A476="","",BASE_CAIXA!AM473)</f>
        <v>TE PVC Soldável 32 MM | TE PVC Soldável 32 MM | Saída | CAIX</v>
      </c>
      <c r="N476" s="26" t="str">
        <f t="shared" ca="1" si="21"/>
        <v>Previsto</v>
      </c>
      <c r="O476" s="13" t="str">
        <f>IFERROR(INDEX(EXTRATO_IMPORTADO!$A$5:$A$404,MATCH(B476,EXTRATO_IMPORTADO!$I$5:$I$404,0)),"")</f>
        <v/>
      </c>
      <c r="P476" s="14" t="str">
        <f>IFERROR(INDEX(EXTRATO_IMPORTADO!$F$5:$F$404,MATCH(B476,EXTRATO_IMPORTADO!$I$5:$I$404,0)),"")</f>
        <v/>
      </c>
      <c r="Q476" s="26" t="str">
        <f>IFERROR(INDEX(EXTRATO_IMPORTADO!$B$5:$B$404,MATCH(B476,EXTRATO_IMPORTADO!$I$5:$I$404,0)),"")</f>
        <v/>
      </c>
      <c r="R476" s="26" t="str">
        <f>IFERROR(MATCH(B476,EXTRATO_IMPORTADO!$I$5:$I$404,0),"")</f>
        <v/>
      </c>
      <c r="S476" s="14" t="str">
        <f t="shared" si="22"/>
        <v/>
      </c>
      <c r="T476" s="33" t="str">
        <f t="shared" si="23"/>
        <v/>
      </c>
    </row>
    <row r="477" spans="1:20" x14ac:dyDescent="0.3">
      <c r="A477" s="26">
        <f>IF(BASE_CAIXA!A474="","",BASE_CAIXA!A474)</f>
        <v>473</v>
      </c>
      <c r="B477" s="26" t="str">
        <f>IF(A477="","",BASE_CAIXA!AL474)</f>
        <v>000473-DB</v>
      </c>
      <c r="C477" s="13">
        <f>IF(A477="","",BASE_CAIXA!AJ474)</f>
        <v>46199</v>
      </c>
      <c r="D477" s="26" t="str">
        <f>IF(A477="","",IF(BASE_CAIXA!C474="Entrada","Crédito","Débito"))</f>
        <v>Débito</v>
      </c>
      <c r="E477" s="14">
        <f>IF(A477="","",BASE_CAIXA!AA474)</f>
        <v>1592.4480000000001</v>
      </c>
      <c r="F477" s="26">
        <f>IF(A477="","",BASE_CAIXA!N474)</f>
        <v>0</v>
      </c>
      <c r="G477" s="26">
        <f>IF(A477="","",BASE_CAIXA!O474)</f>
        <v>0</v>
      </c>
      <c r="H477" s="26">
        <f>IF(A477="","",BASE_CAIXA!P474)</f>
        <v>0</v>
      </c>
      <c r="I477" s="26" t="str">
        <f>IF(A477="","",IF(BASE_CAIXA!H474&lt;&gt;"",BASE_CAIXA!H474,BASE_CAIXA!G474))</f>
        <v>Torneira Boia PVC Com Balão Plástico Para Caixa D'água 3/4"</v>
      </c>
      <c r="J477" s="26" t="str">
        <f>IF(A477="","",BASE_CAIXA!G474)</f>
        <v>Torneira Boia PVC Com Balão Plástico Para Caixa D'água 3/4"</v>
      </c>
      <c r="K477" s="26">
        <f>IF(A477="","",BASE_CAIXA!I474)</f>
        <v>0</v>
      </c>
      <c r="L477" s="26">
        <f>IF(A477="","",BASE_CAIXA!J474)</f>
        <v>0</v>
      </c>
      <c r="M477" s="26" t="str">
        <f>IF(A477="","",BASE_CAIXA!AM474)</f>
        <v xml:space="preserve">Torneira Boia PVC Com Balão Plástico Para Caixa D'água 3/4" </v>
      </c>
      <c r="N477" s="26" t="str">
        <f t="shared" ca="1" si="21"/>
        <v>Previsto</v>
      </c>
      <c r="O477" s="13" t="str">
        <f>IFERROR(INDEX(EXTRATO_IMPORTADO!$A$5:$A$404,MATCH(B477,EXTRATO_IMPORTADO!$I$5:$I$404,0)),"")</f>
        <v/>
      </c>
      <c r="P477" s="14" t="str">
        <f>IFERROR(INDEX(EXTRATO_IMPORTADO!$F$5:$F$404,MATCH(B477,EXTRATO_IMPORTADO!$I$5:$I$404,0)),"")</f>
        <v/>
      </c>
      <c r="Q477" s="26" t="str">
        <f>IFERROR(INDEX(EXTRATO_IMPORTADO!$B$5:$B$404,MATCH(B477,EXTRATO_IMPORTADO!$I$5:$I$404,0)),"")</f>
        <v/>
      </c>
      <c r="R477" s="26" t="str">
        <f>IFERROR(MATCH(B477,EXTRATO_IMPORTADO!$I$5:$I$404,0),"")</f>
        <v/>
      </c>
      <c r="S477" s="14" t="str">
        <f t="shared" si="22"/>
        <v/>
      </c>
      <c r="T477" s="33" t="str">
        <f t="shared" si="23"/>
        <v/>
      </c>
    </row>
    <row r="478" spans="1:20" x14ac:dyDescent="0.3">
      <c r="A478" s="26">
        <f>IF(BASE_CAIXA!A475="","",BASE_CAIXA!A475)</f>
        <v>474</v>
      </c>
      <c r="B478" s="26" t="str">
        <f>IF(A478="","",BASE_CAIXA!AL475)</f>
        <v>000474-DB</v>
      </c>
      <c r="C478" s="13">
        <f>IF(A478="","",BASE_CAIXA!AJ475)</f>
        <v>46199</v>
      </c>
      <c r="D478" s="26" t="str">
        <f>IF(A478="","",IF(BASE_CAIXA!C475="Entrada","Crédito","Débito"))</f>
        <v>Débito</v>
      </c>
      <c r="E478" s="14">
        <f>IF(A478="","",BASE_CAIXA!AA475)</f>
        <v>853.33248000000015</v>
      </c>
      <c r="F478" s="26">
        <f>IF(A478="","",BASE_CAIXA!N475)</f>
        <v>0</v>
      </c>
      <c r="G478" s="26">
        <f>IF(A478="","",BASE_CAIXA!O475)</f>
        <v>0</v>
      </c>
      <c r="H478" s="26">
        <f>IF(A478="","",BASE_CAIXA!P475)</f>
        <v>0</v>
      </c>
      <c r="I478" s="26" t="str">
        <f>IF(A478="","",IF(BASE_CAIXA!H475&lt;&gt;"",BASE_CAIXA!H475,BASE_CAIXA!G475))</f>
        <v>Tubo DN 25 mm, PVC Rígido Soldável Marrom</v>
      </c>
      <c r="J478" s="26" t="str">
        <f>IF(A478="","",BASE_CAIXA!G475)</f>
        <v>Tubo DN 25 mm, PVC Rígido Soldável Marrom</v>
      </c>
      <c r="K478" s="26">
        <f>IF(A478="","",BASE_CAIXA!I475)</f>
        <v>0</v>
      </c>
      <c r="L478" s="26">
        <f>IF(A478="","",BASE_CAIXA!J475)</f>
        <v>0</v>
      </c>
      <c r="M478" s="26" t="str">
        <f>IF(A478="","",BASE_CAIXA!AM475)</f>
        <v>Tubo DN 25 mm, PVC Rígido Soldável Marrom | Tubo DN 25 mm, P</v>
      </c>
      <c r="N478" s="26" t="str">
        <f t="shared" ca="1" si="21"/>
        <v>Previsto</v>
      </c>
      <c r="O478" s="13" t="str">
        <f>IFERROR(INDEX(EXTRATO_IMPORTADO!$A$5:$A$404,MATCH(B478,EXTRATO_IMPORTADO!$I$5:$I$404,0)),"")</f>
        <v/>
      </c>
      <c r="P478" s="14" t="str">
        <f>IFERROR(INDEX(EXTRATO_IMPORTADO!$F$5:$F$404,MATCH(B478,EXTRATO_IMPORTADO!$I$5:$I$404,0)),"")</f>
        <v/>
      </c>
      <c r="Q478" s="26" t="str">
        <f>IFERROR(INDEX(EXTRATO_IMPORTADO!$B$5:$B$404,MATCH(B478,EXTRATO_IMPORTADO!$I$5:$I$404,0)),"")</f>
        <v/>
      </c>
      <c r="R478" s="26" t="str">
        <f>IFERROR(MATCH(B478,EXTRATO_IMPORTADO!$I$5:$I$404,0),"")</f>
        <v/>
      </c>
      <c r="S478" s="14" t="str">
        <f t="shared" si="22"/>
        <v/>
      </c>
      <c r="T478" s="33" t="str">
        <f t="shared" si="23"/>
        <v/>
      </c>
    </row>
    <row r="479" spans="1:20" x14ac:dyDescent="0.3">
      <c r="A479" s="26">
        <f>IF(BASE_CAIXA!A476="","",BASE_CAIXA!A476)</f>
        <v>475</v>
      </c>
      <c r="B479" s="26" t="str">
        <f>IF(A479="","",BASE_CAIXA!AL476)</f>
        <v>000475-DB</v>
      </c>
      <c r="C479" s="13">
        <f>IF(A479="","",BASE_CAIXA!AJ476)</f>
        <v>46199</v>
      </c>
      <c r="D479" s="26" t="str">
        <f>IF(A479="","",IF(BASE_CAIXA!C476="Entrada","Crédito","Débito"))</f>
        <v>Débito</v>
      </c>
      <c r="E479" s="14">
        <f>IF(A479="","",BASE_CAIXA!AA476)</f>
        <v>1866.5856000000001</v>
      </c>
      <c r="F479" s="26">
        <f>IF(A479="","",BASE_CAIXA!N476)</f>
        <v>0</v>
      </c>
      <c r="G479" s="26">
        <f>IF(A479="","",BASE_CAIXA!O476)</f>
        <v>0</v>
      </c>
      <c r="H479" s="26">
        <f>IF(A479="","",BASE_CAIXA!P476)</f>
        <v>0</v>
      </c>
      <c r="I479" s="26" t="str">
        <f>IF(A479="","",IF(BASE_CAIXA!H476&lt;&gt;"",BASE_CAIXA!H476,BASE_CAIXA!G476))</f>
        <v>Tubo DN 32 mm, PVC Rígido Soldável Marrom</v>
      </c>
      <c r="J479" s="26" t="str">
        <f>IF(A479="","",BASE_CAIXA!G476)</f>
        <v>Tubo DN 32 mm, PVC Rígido Soldável Marrom</v>
      </c>
      <c r="K479" s="26">
        <f>IF(A479="","",BASE_CAIXA!I476)</f>
        <v>0</v>
      </c>
      <c r="L479" s="26">
        <f>IF(A479="","",BASE_CAIXA!J476)</f>
        <v>0</v>
      </c>
      <c r="M479" s="26" t="str">
        <f>IF(A479="","",BASE_CAIXA!AM476)</f>
        <v>Tubo DN 32 mm, PVC Rígido Soldável Marrom | Tubo DN 32 mm, P</v>
      </c>
      <c r="N479" s="26" t="str">
        <f t="shared" ca="1" si="21"/>
        <v>Previsto</v>
      </c>
      <c r="O479" s="13" t="str">
        <f>IFERROR(INDEX(EXTRATO_IMPORTADO!$A$5:$A$404,MATCH(B479,EXTRATO_IMPORTADO!$I$5:$I$404,0)),"")</f>
        <v/>
      </c>
      <c r="P479" s="14" t="str">
        <f>IFERROR(INDEX(EXTRATO_IMPORTADO!$F$5:$F$404,MATCH(B479,EXTRATO_IMPORTADO!$I$5:$I$404,0)),"")</f>
        <v/>
      </c>
      <c r="Q479" s="26" t="str">
        <f>IFERROR(INDEX(EXTRATO_IMPORTADO!$B$5:$B$404,MATCH(B479,EXTRATO_IMPORTADO!$I$5:$I$404,0)),"")</f>
        <v/>
      </c>
      <c r="R479" s="26" t="str">
        <f>IFERROR(MATCH(B479,EXTRATO_IMPORTADO!$I$5:$I$404,0),"")</f>
        <v/>
      </c>
      <c r="S479" s="14" t="str">
        <f t="shared" si="22"/>
        <v/>
      </c>
      <c r="T479" s="33" t="str">
        <f t="shared" si="23"/>
        <v/>
      </c>
    </row>
    <row r="480" spans="1:20" x14ac:dyDescent="0.3">
      <c r="A480" s="26">
        <f>IF(BASE_CAIXA!A477="","",BASE_CAIXA!A477)</f>
        <v>476</v>
      </c>
      <c r="B480" s="26" t="str">
        <f>IF(A480="","",BASE_CAIXA!AL477)</f>
        <v>000476-DB</v>
      </c>
      <c r="C480" s="13">
        <f>IF(A480="","",BASE_CAIXA!AJ477)</f>
        <v>46199</v>
      </c>
      <c r="D480" s="26" t="str">
        <f>IF(A480="","",IF(BASE_CAIXA!C477="Entrada","Crédito","Débito"))</f>
        <v>Débito</v>
      </c>
      <c r="E480" s="14">
        <f>IF(A480="","",BASE_CAIXA!AA477)</f>
        <v>10782.4</v>
      </c>
      <c r="F480" s="26">
        <f>IF(A480="","",BASE_CAIXA!N477)</f>
        <v>0</v>
      </c>
      <c r="G480" s="26">
        <f>IF(A480="","",BASE_CAIXA!O477)</f>
        <v>0</v>
      </c>
      <c r="H480" s="26">
        <f>IF(A480="","",BASE_CAIXA!P477)</f>
        <v>0</v>
      </c>
      <c r="I480" s="26" t="str">
        <f>IF(A480="","",IF(BASE_CAIXA!H477&lt;&gt;"",BASE_CAIXA!H477,BASE_CAIXA!G477))</f>
        <v>Mao de obra calçada acesso</v>
      </c>
      <c r="J480" s="26" t="str">
        <f>IF(A480="","",BASE_CAIXA!G477)</f>
        <v>Mao de obra calçada acesso</v>
      </c>
      <c r="K480" s="26">
        <f>IF(A480="","",BASE_CAIXA!I477)</f>
        <v>0</v>
      </c>
      <c r="L480" s="26">
        <f>IF(A480="","",BASE_CAIXA!J477)</f>
        <v>0</v>
      </c>
      <c r="M480" s="26" t="str">
        <f>IF(A480="","",BASE_CAIXA!AM477)</f>
        <v>Mao de obra calçada acesso | Mao de obra calçada acesso | Sa</v>
      </c>
      <c r="N480" s="26" t="str">
        <f t="shared" ca="1" si="21"/>
        <v>Previsto</v>
      </c>
      <c r="O480" s="13" t="str">
        <f>IFERROR(INDEX(EXTRATO_IMPORTADO!$A$5:$A$404,MATCH(B480,EXTRATO_IMPORTADO!$I$5:$I$404,0)),"")</f>
        <v/>
      </c>
      <c r="P480" s="14" t="str">
        <f>IFERROR(INDEX(EXTRATO_IMPORTADO!$F$5:$F$404,MATCH(B480,EXTRATO_IMPORTADO!$I$5:$I$404,0)),"")</f>
        <v/>
      </c>
      <c r="Q480" s="26" t="str">
        <f>IFERROR(INDEX(EXTRATO_IMPORTADO!$B$5:$B$404,MATCH(B480,EXTRATO_IMPORTADO!$I$5:$I$404,0)),"")</f>
        <v/>
      </c>
      <c r="R480" s="26" t="str">
        <f>IFERROR(MATCH(B480,EXTRATO_IMPORTADO!$I$5:$I$404,0),"")</f>
        <v/>
      </c>
      <c r="S480" s="14" t="str">
        <f t="shared" si="22"/>
        <v/>
      </c>
      <c r="T480" s="33" t="str">
        <f t="shared" si="23"/>
        <v/>
      </c>
    </row>
    <row r="481" spans="1:20" x14ac:dyDescent="0.3">
      <c r="A481" s="26">
        <f>IF(BASE_CAIXA!A478="","",BASE_CAIXA!A478)</f>
        <v>477</v>
      </c>
      <c r="B481" s="26" t="str">
        <f>IF(A481="","",BASE_CAIXA!AL478)</f>
        <v>000477-DB</v>
      </c>
      <c r="C481" s="13">
        <f>IF(A481="","",BASE_CAIXA!AJ478)</f>
        <v>46199</v>
      </c>
      <c r="D481" s="26" t="str">
        <f>IF(A481="","",IF(BASE_CAIXA!C478="Entrada","Crédito","Débito"))</f>
        <v>Débito</v>
      </c>
      <c r="E481" s="14">
        <f>IF(A481="","",BASE_CAIXA!AA478)</f>
        <v>21190</v>
      </c>
      <c r="F481" s="26">
        <f>IF(A481="","",BASE_CAIXA!N478)</f>
        <v>0</v>
      </c>
      <c r="G481" s="26">
        <f>IF(A481="","",BASE_CAIXA!O478)</f>
        <v>0</v>
      </c>
      <c r="H481" s="26">
        <f>IF(A481="","",BASE_CAIXA!P478)</f>
        <v>0</v>
      </c>
      <c r="I481" s="26" t="str">
        <f>IF(A481="","",IF(BASE_CAIXA!H478&lt;&gt;"",BASE_CAIXA!H478,BASE_CAIXA!G478))</f>
        <v>CARTAO CREDITO SUCOPIRA</v>
      </c>
      <c r="J481" s="26" t="str">
        <f>IF(A481="","",BASE_CAIXA!G478)</f>
        <v>CARTAO CREDITO SUCOPIRA</v>
      </c>
      <c r="K481" s="26">
        <f>IF(A481="","",BASE_CAIXA!I478)</f>
        <v>0</v>
      </c>
      <c r="L481" s="26">
        <f>IF(A481="","",BASE_CAIXA!J478)</f>
        <v>0</v>
      </c>
      <c r="M481" s="26" t="str">
        <f>IF(A481="","",BASE_CAIXA!AM478)</f>
        <v xml:space="preserve">CARTAO CREDITO SUCOPIRA | CARTAO CREDITO SUCOPIRA | Saída | </v>
      </c>
      <c r="N481" s="26" t="str">
        <f t="shared" ca="1" si="21"/>
        <v>Previsto</v>
      </c>
      <c r="O481" s="13" t="str">
        <f>IFERROR(INDEX(EXTRATO_IMPORTADO!$A$5:$A$404,MATCH(B481,EXTRATO_IMPORTADO!$I$5:$I$404,0)),"")</f>
        <v/>
      </c>
      <c r="P481" s="14" t="str">
        <f>IFERROR(INDEX(EXTRATO_IMPORTADO!$F$5:$F$404,MATCH(B481,EXTRATO_IMPORTADO!$I$5:$I$404,0)),"")</f>
        <v/>
      </c>
      <c r="Q481" s="26" t="str">
        <f>IFERROR(INDEX(EXTRATO_IMPORTADO!$B$5:$B$404,MATCH(B481,EXTRATO_IMPORTADO!$I$5:$I$404,0)),"")</f>
        <v/>
      </c>
      <c r="R481" s="26" t="str">
        <f>IFERROR(MATCH(B481,EXTRATO_IMPORTADO!$I$5:$I$404,0),"")</f>
        <v/>
      </c>
      <c r="S481" s="14" t="str">
        <f t="shared" si="22"/>
        <v/>
      </c>
      <c r="T481" s="33" t="str">
        <f t="shared" si="23"/>
        <v/>
      </c>
    </row>
    <row r="482" spans="1:20" x14ac:dyDescent="0.3">
      <c r="A482" s="26">
        <f>IF(BASE_CAIXA!A479="","",BASE_CAIXA!A479)</f>
        <v>478</v>
      </c>
      <c r="B482" s="26" t="str">
        <f>IF(A482="","",BASE_CAIXA!AL479)</f>
        <v>000478-DB</v>
      </c>
      <c r="C482" s="13">
        <f>IF(A482="","",BASE_CAIXA!AJ479)</f>
        <v>46199</v>
      </c>
      <c r="D482" s="26" t="str">
        <f>IF(A482="","",IF(BASE_CAIXA!C479="Entrada","Crédito","Débito"))</f>
        <v>Débito</v>
      </c>
      <c r="E482" s="14">
        <f>IF(A482="","",BASE_CAIXA!AA479)</f>
        <v>7670</v>
      </c>
      <c r="F482" s="26">
        <f>IF(A482="","",BASE_CAIXA!N479)</f>
        <v>0</v>
      </c>
      <c r="G482" s="26">
        <f>IF(A482="","",BASE_CAIXA!O479)</f>
        <v>0</v>
      </c>
      <c r="H482" s="26">
        <f>IF(A482="","",BASE_CAIXA!P479)</f>
        <v>0</v>
      </c>
      <c r="I482" s="26" t="str">
        <f>IF(A482="","",IF(BASE_CAIXA!H479&lt;&gt;"",BASE_CAIXA!H479,BASE_CAIXA!G479))</f>
        <v>EMPRÉSTIMO EXTRA</v>
      </c>
      <c r="J482" s="26" t="str">
        <f>IF(A482="","",BASE_CAIXA!G479)</f>
        <v>EMPRÉSTIMO EXTRA</v>
      </c>
      <c r="K482" s="26">
        <f>IF(A482="","",BASE_CAIXA!I479)</f>
        <v>0</v>
      </c>
      <c r="L482" s="26">
        <f>IF(A482="","",BASE_CAIXA!J479)</f>
        <v>0</v>
      </c>
      <c r="M482" s="26" t="str">
        <f>IF(A482="","",BASE_CAIXA!AM479)</f>
        <v>EMPRÉSTIMO EXTRA | EMPRÉSTIMO EXTRA | Saída | CAPITAL DE GIR</v>
      </c>
      <c r="N482" s="26" t="str">
        <f t="shared" ca="1" si="21"/>
        <v>Previsto</v>
      </c>
      <c r="O482" s="13" t="str">
        <f>IFERROR(INDEX(EXTRATO_IMPORTADO!$A$5:$A$404,MATCH(B482,EXTRATO_IMPORTADO!$I$5:$I$404,0)),"")</f>
        <v/>
      </c>
      <c r="P482" s="14" t="str">
        <f>IFERROR(INDEX(EXTRATO_IMPORTADO!$F$5:$F$404,MATCH(B482,EXTRATO_IMPORTADO!$I$5:$I$404,0)),"")</f>
        <v/>
      </c>
      <c r="Q482" s="26" t="str">
        <f>IFERROR(INDEX(EXTRATO_IMPORTADO!$B$5:$B$404,MATCH(B482,EXTRATO_IMPORTADO!$I$5:$I$404,0)),"")</f>
        <v/>
      </c>
      <c r="R482" s="26" t="str">
        <f>IFERROR(MATCH(B482,EXTRATO_IMPORTADO!$I$5:$I$404,0),"")</f>
        <v/>
      </c>
      <c r="S482" s="14" t="str">
        <f t="shared" si="22"/>
        <v/>
      </c>
      <c r="T482" s="33" t="str">
        <f t="shared" si="23"/>
        <v/>
      </c>
    </row>
    <row r="483" spans="1:20" x14ac:dyDescent="0.3">
      <c r="A483" s="26">
        <f>IF(BASE_CAIXA!A480="","",BASE_CAIXA!A480)</f>
        <v>479</v>
      </c>
      <c r="B483" s="26" t="str">
        <f>IF(A483="","",BASE_CAIXA!AL480)</f>
        <v>000479-DB</v>
      </c>
      <c r="C483" s="13">
        <f>IF(A483="","",BASE_CAIXA!AJ480)</f>
        <v>46199</v>
      </c>
      <c r="D483" s="26" t="str">
        <f>IF(A483="","",IF(BASE_CAIXA!C480="Entrada","Crédito","Débito"))</f>
        <v>Débito</v>
      </c>
      <c r="E483" s="14">
        <f>IF(A483="","",BASE_CAIXA!AA480)</f>
        <v>668.8</v>
      </c>
      <c r="F483" s="26">
        <f>IF(A483="","",BASE_CAIXA!N480)</f>
        <v>0</v>
      </c>
      <c r="G483" s="26">
        <f>IF(A483="","",BASE_CAIXA!O480)</f>
        <v>0</v>
      </c>
      <c r="H483" s="26">
        <f>IF(A483="","",BASE_CAIXA!P480)</f>
        <v>0</v>
      </c>
      <c r="I483" s="26" t="str">
        <f>IF(A483="","",IF(BASE_CAIXA!H480&lt;&gt;"",BASE_CAIXA!H480,BASE_CAIXA!G480))</f>
        <v>Arandela do tipo meia-lua de sobrepor cor branca com lâmpada</v>
      </c>
      <c r="J483" s="26" t="str">
        <f>IF(A483="","",BASE_CAIXA!G480)</f>
        <v>Arandela do tipo meia-lua de sobrepor cor branca com lâmpada</v>
      </c>
      <c r="K483" s="26">
        <f>IF(A483="","",BASE_CAIXA!I480)</f>
        <v>0</v>
      </c>
      <c r="L483" s="26">
        <f>IF(A483="","",BASE_CAIXA!J480)</f>
        <v>0</v>
      </c>
      <c r="M483" s="26" t="str">
        <f>IF(A483="","",BASE_CAIXA!AM480)</f>
        <v>Arandela do tipo meia-lua de sobrepor cor branca com lâmpada</v>
      </c>
      <c r="N483" s="26" t="str">
        <f t="shared" ca="1" si="21"/>
        <v>Previsto</v>
      </c>
      <c r="O483" s="13" t="str">
        <f>IFERROR(INDEX(EXTRATO_IMPORTADO!$A$5:$A$404,MATCH(B483,EXTRATO_IMPORTADO!$I$5:$I$404,0)),"")</f>
        <v/>
      </c>
      <c r="P483" s="14" t="str">
        <f>IFERROR(INDEX(EXTRATO_IMPORTADO!$F$5:$F$404,MATCH(B483,EXTRATO_IMPORTADO!$I$5:$I$404,0)),"")</f>
        <v/>
      </c>
      <c r="Q483" s="26" t="str">
        <f>IFERROR(INDEX(EXTRATO_IMPORTADO!$B$5:$B$404,MATCH(B483,EXTRATO_IMPORTADO!$I$5:$I$404,0)),"")</f>
        <v/>
      </c>
      <c r="R483" s="26" t="str">
        <f>IFERROR(MATCH(B483,EXTRATO_IMPORTADO!$I$5:$I$404,0),"")</f>
        <v/>
      </c>
      <c r="S483" s="14" t="str">
        <f t="shared" si="22"/>
        <v/>
      </c>
      <c r="T483" s="33" t="str">
        <f t="shared" si="23"/>
        <v/>
      </c>
    </row>
    <row r="484" spans="1:20" x14ac:dyDescent="0.3">
      <c r="A484" s="26">
        <f>IF(BASE_CAIXA!A481="","",BASE_CAIXA!A481)</f>
        <v>480</v>
      </c>
      <c r="B484" s="26" t="str">
        <f>IF(A484="","",BASE_CAIXA!AL481)</f>
        <v>000480-DB</v>
      </c>
      <c r="C484" s="13">
        <f>IF(A484="","",BASE_CAIXA!AJ481)</f>
        <v>46199</v>
      </c>
      <c r="D484" s="26" t="str">
        <f>IF(A484="","",IF(BASE_CAIXA!C481="Entrada","Crédito","Débito"))</f>
        <v>Débito</v>
      </c>
      <c r="E484" s="14">
        <f>IF(A484="","",BASE_CAIXA!AA481)</f>
        <v>540.79999999999995</v>
      </c>
      <c r="F484" s="26">
        <f>IF(A484="","",BASE_CAIXA!N481)</f>
        <v>0</v>
      </c>
      <c r="G484" s="26">
        <f>IF(A484="","",BASE_CAIXA!O481)</f>
        <v>0</v>
      </c>
      <c r="H484" s="26">
        <f>IF(A484="","",BASE_CAIXA!P481)</f>
        <v>0</v>
      </c>
      <c r="I484" s="26" t="str">
        <f>IF(A484="","",IF(BASE_CAIXA!H481&lt;&gt;"",BASE_CAIXA!H481,BASE_CAIXA!G481))</f>
        <v>Arandela tipo tartaruga para uso externo com grade na cor branca com lampada</v>
      </c>
      <c r="J484" s="26" t="str">
        <f>IF(A484="","",BASE_CAIXA!G481)</f>
        <v>Arandela tipo tartaruga para uso externo com grade na cor branca com lampada</v>
      </c>
      <c r="K484" s="26">
        <f>IF(A484="","",BASE_CAIXA!I481)</f>
        <v>0</v>
      </c>
      <c r="L484" s="26">
        <f>IF(A484="","",BASE_CAIXA!J481)</f>
        <v>0</v>
      </c>
      <c r="M484" s="26" t="str">
        <f>IF(A484="","",BASE_CAIXA!AM481)</f>
        <v>Arandela tipo tartaruga para uso externo com grade na cor br</v>
      </c>
      <c r="N484" s="26" t="str">
        <f t="shared" ca="1" si="21"/>
        <v>Previsto</v>
      </c>
      <c r="O484" s="13" t="str">
        <f>IFERROR(INDEX(EXTRATO_IMPORTADO!$A$5:$A$404,MATCH(B484,EXTRATO_IMPORTADO!$I$5:$I$404,0)),"")</f>
        <v/>
      </c>
      <c r="P484" s="14" t="str">
        <f>IFERROR(INDEX(EXTRATO_IMPORTADO!$F$5:$F$404,MATCH(B484,EXTRATO_IMPORTADO!$I$5:$I$404,0)),"")</f>
        <v/>
      </c>
      <c r="Q484" s="26" t="str">
        <f>IFERROR(INDEX(EXTRATO_IMPORTADO!$B$5:$B$404,MATCH(B484,EXTRATO_IMPORTADO!$I$5:$I$404,0)),"")</f>
        <v/>
      </c>
      <c r="R484" s="26" t="str">
        <f>IFERROR(MATCH(B484,EXTRATO_IMPORTADO!$I$5:$I$404,0),"")</f>
        <v/>
      </c>
      <c r="S484" s="14" t="str">
        <f t="shared" si="22"/>
        <v/>
      </c>
      <c r="T484" s="33" t="str">
        <f t="shared" si="23"/>
        <v/>
      </c>
    </row>
    <row r="485" spans="1:20" x14ac:dyDescent="0.3">
      <c r="A485" s="26">
        <f>IF(BASE_CAIXA!A482="","",BASE_CAIXA!A482)</f>
        <v>481</v>
      </c>
      <c r="B485" s="26" t="str">
        <f>IF(A485="","",BASE_CAIXA!AL482)</f>
        <v>000481-DB</v>
      </c>
      <c r="C485" s="13">
        <f>IF(A485="","",BASE_CAIXA!AJ482)</f>
        <v>46199</v>
      </c>
      <c r="D485" s="26" t="str">
        <f>IF(A485="","",IF(BASE_CAIXA!C482="Entrada","Crédito","Débito"))</f>
        <v>Débito</v>
      </c>
      <c r="E485" s="14">
        <f>IF(A485="","",BASE_CAIXA!AA482)</f>
        <v>2104.96</v>
      </c>
      <c r="F485" s="26">
        <f>IF(A485="","",BASE_CAIXA!N482)</f>
        <v>0</v>
      </c>
      <c r="G485" s="26">
        <f>IF(A485="","",BASE_CAIXA!O482)</f>
        <v>0</v>
      </c>
      <c r="H485" s="26">
        <f>IF(A485="","",BASE_CAIXA!P482)</f>
        <v>0</v>
      </c>
      <c r="I485" s="26" t="str">
        <f>IF(A485="","",IF(BASE_CAIXA!H482&lt;&gt;"",BASE_CAIXA!H482,BASE_CAIXA!G482))</f>
        <v>CHUVEIRO, COM CANO, 3 TEMPERATURAS, 5500 W (110/220 V)</v>
      </c>
      <c r="J485" s="26" t="str">
        <f>IF(A485="","",BASE_CAIXA!G482)</f>
        <v>CHUVEIRO, COM CANO, 3 TEMPERATURAS, 5500 W (110/220 V)</v>
      </c>
      <c r="K485" s="26">
        <f>IF(A485="","",BASE_CAIXA!I482)</f>
        <v>0</v>
      </c>
      <c r="L485" s="26">
        <f>IF(A485="","",BASE_CAIXA!J482)</f>
        <v>0</v>
      </c>
      <c r="M485" s="26" t="str">
        <f>IF(A485="","",BASE_CAIXA!AM482)</f>
        <v>CHUVEIRO, COM CANO, 3 TEMPERATURAS, 5500 W (110/220 V) | CHU</v>
      </c>
      <c r="N485" s="26" t="str">
        <f t="shared" ca="1" si="21"/>
        <v>Previsto</v>
      </c>
      <c r="O485" s="13" t="str">
        <f>IFERROR(INDEX(EXTRATO_IMPORTADO!$A$5:$A$404,MATCH(B485,EXTRATO_IMPORTADO!$I$5:$I$404,0)),"")</f>
        <v/>
      </c>
      <c r="P485" s="14" t="str">
        <f>IFERROR(INDEX(EXTRATO_IMPORTADO!$F$5:$F$404,MATCH(B485,EXTRATO_IMPORTADO!$I$5:$I$404,0)),"")</f>
        <v/>
      </c>
      <c r="Q485" s="26" t="str">
        <f>IFERROR(INDEX(EXTRATO_IMPORTADO!$B$5:$B$404,MATCH(B485,EXTRATO_IMPORTADO!$I$5:$I$404,0)),"")</f>
        <v/>
      </c>
      <c r="R485" s="26" t="str">
        <f>IFERROR(MATCH(B485,EXTRATO_IMPORTADO!$I$5:$I$404,0),"")</f>
        <v/>
      </c>
      <c r="S485" s="14" t="str">
        <f t="shared" si="22"/>
        <v/>
      </c>
      <c r="T485" s="33" t="str">
        <f t="shared" si="23"/>
        <v/>
      </c>
    </row>
    <row r="486" spans="1:20" x14ac:dyDescent="0.3">
      <c r="A486" s="26">
        <f>IF(BASE_CAIXA!A483="","",BASE_CAIXA!A483)</f>
        <v>482</v>
      </c>
      <c r="B486" s="26" t="str">
        <f>IF(A486="","",BASE_CAIXA!AL483)</f>
        <v>000482-DB</v>
      </c>
      <c r="C486" s="13">
        <f>IF(A486="","",BASE_CAIXA!AJ483)</f>
        <v>46199</v>
      </c>
      <c r="D486" s="26" t="str">
        <f>IF(A486="","",IF(BASE_CAIXA!C483="Entrada","Crédito","Débito"))</f>
        <v>Débito</v>
      </c>
      <c r="E486" s="14">
        <f>IF(A486="","",BASE_CAIXA!AA483)</f>
        <v>255.36</v>
      </c>
      <c r="F486" s="26">
        <f>IF(A486="","",BASE_CAIXA!N483)</f>
        <v>0</v>
      </c>
      <c r="G486" s="26">
        <f>IF(A486="","",BASE_CAIXA!O483)</f>
        <v>0</v>
      </c>
      <c r="H486" s="26">
        <f>IF(A486="","",BASE_CAIXA!P483)</f>
        <v>0</v>
      </c>
      <c r="I486" s="26" t="str">
        <f>IF(A486="","",IF(BASE_CAIXA!H483&lt;&gt;"",BASE_CAIXA!H483,BASE_CAIXA!G483))</f>
        <v>Cabo unipolar 1.5 mm² azul claro</v>
      </c>
      <c r="J486" s="26" t="str">
        <f>IF(A486="","",BASE_CAIXA!G483)</f>
        <v>Cabo unipolar 1.5 mm² azul claro</v>
      </c>
      <c r="K486" s="26">
        <f>IF(A486="","",BASE_CAIXA!I483)</f>
        <v>0</v>
      </c>
      <c r="L486" s="26">
        <f>IF(A486="","",BASE_CAIXA!J483)</f>
        <v>0</v>
      </c>
      <c r="M486" s="26" t="str">
        <f>IF(A486="","",BASE_CAIXA!AM483)</f>
        <v>Cabo unipolar 1.5 mm² azul claro | Cabo unipolar 1.5 mm² azu</v>
      </c>
      <c r="N486" s="26" t="str">
        <f t="shared" ca="1" si="21"/>
        <v>Previsto</v>
      </c>
      <c r="O486" s="13" t="str">
        <f>IFERROR(INDEX(EXTRATO_IMPORTADO!$A$5:$A$404,MATCH(B486,EXTRATO_IMPORTADO!$I$5:$I$404,0)),"")</f>
        <v/>
      </c>
      <c r="P486" s="14" t="str">
        <f>IFERROR(INDEX(EXTRATO_IMPORTADO!$F$5:$F$404,MATCH(B486,EXTRATO_IMPORTADO!$I$5:$I$404,0)),"")</f>
        <v/>
      </c>
      <c r="Q486" s="26" t="str">
        <f>IFERROR(INDEX(EXTRATO_IMPORTADO!$B$5:$B$404,MATCH(B486,EXTRATO_IMPORTADO!$I$5:$I$404,0)),"")</f>
        <v/>
      </c>
      <c r="R486" s="26" t="str">
        <f>IFERROR(MATCH(B486,EXTRATO_IMPORTADO!$I$5:$I$404,0),"")</f>
        <v/>
      </c>
      <c r="S486" s="14" t="str">
        <f t="shared" si="22"/>
        <v/>
      </c>
      <c r="T486" s="33" t="str">
        <f t="shared" si="23"/>
        <v/>
      </c>
    </row>
    <row r="487" spans="1:20" x14ac:dyDescent="0.3">
      <c r="A487" s="26">
        <f>IF(BASE_CAIXA!A484="","",BASE_CAIXA!A484)</f>
        <v>483</v>
      </c>
      <c r="B487" s="26" t="str">
        <f>IF(A487="","",BASE_CAIXA!AL484)</f>
        <v>000483-DB</v>
      </c>
      <c r="C487" s="13">
        <f>IF(A487="","",BASE_CAIXA!AJ484)</f>
        <v>46199</v>
      </c>
      <c r="D487" s="26" t="str">
        <f>IF(A487="","",IF(BASE_CAIXA!C484="Entrada","Crédito","Débito"))</f>
        <v>Débito</v>
      </c>
      <c r="E487" s="14">
        <f>IF(A487="","",BASE_CAIXA!AA484)</f>
        <v>255.36</v>
      </c>
      <c r="F487" s="26">
        <f>IF(A487="","",BASE_CAIXA!N484)</f>
        <v>0</v>
      </c>
      <c r="G487" s="26">
        <f>IF(A487="","",BASE_CAIXA!O484)</f>
        <v>0</v>
      </c>
      <c r="H487" s="26">
        <f>IF(A487="","",BASE_CAIXA!P484)</f>
        <v>0</v>
      </c>
      <c r="I487" s="26" t="str">
        <f>IF(A487="","",IF(BASE_CAIXA!H484&lt;&gt;"",BASE_CAIXA!H484,BASE_CAIXA!G484))</f>
        <v>Cabo unipolar 1.5 mm² marrom</v>
      </c>
      <c r="J487" s="26" t="str">
        <f>IF(A487="","",BASE_CAIXA!G484)</f>
        <v>Cabo unipolar 1.5 mm² marrom</v>
      </c>
      <c r="K487" s="26">
        <f>IF(A487="","",BASE_CAIXA!I484)</f>
        <v>0</v>
      </c>
      <c r="L487" s="26">
        <f>IF(A487="","",BASE_CAIXA!J484)</f>
        <v>0</v>
      </c>
      <c r="M487" s="26" t="str">
        <f>IF(A487="","",BASE_CAIXA!AM484)</f>
        <v xml:space="preserve">Cabo unipolar 1.5 mm² marrom | Cabo unipolar 1.5 mm² marrom </v>
      </c>
      <c r="N487" s="26" t="str">
        <f t="shared" ca="1" si="21"/>
        <v>Previsto</v>
      </c>
      <c r="O487" s="13" t="str">
        <f>IFERROR(INDEX(EXTRATO_IMPORTADO!$A$5:$A$404,MATCH(B487,EXTRATO_IMPORTADO!$I$5:$I$404,0)),"")</f>
        <v/>
      </c>
      <c r="P487" s="14" t="str">
        <f>IFERROR(INDEX(EXTRATO_IMPORTADO!$F$5:$F$404,MATCH(B487,EXTRATO_IMPORTADO!$I$5:$I$404,0)),"")</f>
        <v/>
      </c>
      <c r="Q487" s="26" t="str">
        <f>IFERROR(INDEX(EXTRATO_IMPORTADO!$B$5:$B$404,MATCH(B487,EXTRATO_IMPORTADO!$I$5:$I$404,0)),"")</f>
        <v/>
      </c>
      <c r="R487" s="26" t="str">
        <f>IFERROR(MATCH(B487,EXTRATO_IMPORTADO!$I$5:$I$404,0),"")</f>
        <v/>
      </c>
      <c r="S487" s="14" t="str">
        <f t="shared" si="22"/>
        <v/>
      </c>
      <c r="T487" s="33" t="str">
        <f t="shared" si="23"/>
        <v/>
      </c>
    </row>
    <row r="488" spans="1:20" x14ac:dyDescent="0.3">
      <c r="A488" s="26">
        <f>IF(BASE_CAIXA!A485="","",BASE_CAIXA!A485)</f>
        <v>484</v>
      </c>
      <c r="B488" s="26" t="str">
        <f>IF(A488="","",BASE_CAIXA!AL485)</f>
        <v>000484-DB</v>
      </c>
      <c r="C488" s="13">
        <f>IF(A488="","",BASE_CAIXA!AJ485)</f>
        <v>46199</v>
      </c>
      <c r="D488" s="26" t="str">
        <f>IF(A488="","",IF(BASE_CAIXA!C485="Entrada","Crédito","Débito"))</f>
        <v>Débito</v>
      </c>
      <c r="E488" s="14">
        <f>IF(A488="","",BASE_CAIXA!AA485)</f>
        <v>5804.8</v>
      </c>
      <c r="F488" s="26">
        <f>IF(A488="","",BASE_CAIXA!N485)</f>
        <v>0</v>
      </c>
      <c r="G488" s="26">
        <f>IF(A488="","",BASE_CAIXA!O485)</f>
        <v>0</v>
      </c>
      <c r="H488" s="26">
        <f>IF(A488="","",BASE_CAIXA!P485)</f>
        <v>0</v>
      </c>
      <c r="I488" s="26" t="str">
        <f>IF(A488="","",IF(BASE_CAIXA!H485&lt;&gt;"",BASE_CAIXA!H485,BASE_CAIXA!G485))</f>
        <v>Cabo unipolar 10 mm² azul claro</v>
      </c>
      <c r="J488" s="26" t="str">
        <f>IF(A488="","",BASE_CAIXA!G485)</f>
        <v>Cabo unipolar 10 mm² azul claro</v>
      </c>
      <c r="K488" s="26">
        <f>IF(A488="","",BASE_CAIXA!I485)</f>
        <v>0</v>
      </c>
      <c r="L488" s="26">
        <f>IF(A488="","",BASE_CAIXA!J485)</f>
        <v>0</v>
      </c>
      <c r="M488" s="26" t="str">
        <f>IF(A488="","",BASE_CAIXA!AM485)</f>
        <v xml:space="preserve">Cabo unipolar 10 mm² azul claro | Cabo unipolar 10 mm² azul </v>
      </c>
      <c r="N488" s="26" t="str">
        <f t="shared" ca="1" si="21"/>
        <v>Previsto</v>
      </c>
      <c r="O488" s="13" t="str">
        <f>IFERROR(INDEX(EXTRATO_IMPORTADO!$A$5:$A$404,MATCH(B488,EXTRATO_IMPORTADO!$I$5:$I$404,0)),"")</f>
        <v/>
      </c>
      <c r="P488" s="14" t="str">
        <f>IFERROR(INDEX(EXTRATO_IMPORTADO!$F$5:$F$404,MATCH(B488,EXTRATO_IMPORTADO!$I$5:$I$404,0)),"")</f>
        <v/>
      </c>
      <c r="Q488" s="26" t="str">
        <f>IFERROR(INDEX(EXTRATO_IMPORTADO!$B$5:$B$404,MATCH(B488,EXTRATO_IMPORTADO!$I$5:$I$404,0)),"")</f>
        <v/>
      </c>
      <c r="R488" s="26" t="str">
        <f>IFERROR(MATCH(B488,EXTRATO_IMPORTADO!$I$5:$I$404,0),"")</f>
        <v/>
      </c>
      <c r="S488" s="14" t="str">
        <f t="shared" si="22"/>
        <v/>
      </c>
      <c r="T488" s="33" t="str">
        <f t="shared" si="23"/>
        <v/>
      </c>
    </row>
    <row r="489" spans="1:20" x14ac:dyDescent="0.3">
      <c r="A489" s="26">
        <f>IF(BASE_CAIXA!A486="","",BASE_CAIXA!A486)</f>
        <v>485</v>
      </c>
      <c r="B489" s="26" t="str">
        <f>IF(A489="","",BASE_CAIXA!AL486)</f>
        <v>000485-DB</v>
      </c>
      <c r="C489" s="13">
        <f>IF(A489="","",BASE_CAIXA!AJ486)</f>
        <v>46199</v>
      </c>
      <c r="D489" s="26" t="str">
        <f>IF(A489="","",IF(BASE_CAIXA!C486="Entrada","Crédito","Débito"))</f>
        <v>Débito</v>
      </c>
      <c r="E489" s="14">
        <f>IF(A489="","",BASE_CAIXA!AA486)</f>
        <v>5804.8</v>
      </c>
      <c r="F489" s="26">
        <f>IF(A489="","",BASE_CAIXA!N486)</f>
        <v>0</v>
      </c>
      <c r="G489" s="26">
        <f>IF(A489="","",BASE_CAIXA!O486)</f>
        <v>0</v>
      </c>
      <c r="H489" s="26">
        <f>IF(A489="","",BASE_CAIXA!P486)</f>
        <v>0</v>
      </c>
      <c r="I489" s="26" t="str">
        <f>IF(A489="","",IF(BASE_CAIXA!H486&lt;&gt;"",BASE_CAIXA!H486,BASE_CAIXA!G486))</f>
        <v>Cabo unipolar 10 mm² marrom</v>
      </c>
      <c r="J489" s="26" t="str">
        <f>IF(A489="","",BASE_CAIXA!G486)</f>
        <v>Cabo unipolar 10 mm² marrom</v>
      </c>
      <c r="K489" s="26">
        <f>IF(A489="","",BASE_CAIXA!I486)</f>
        <v>0</v>
      </c>
      <c r="L489" s="26">
        <f>IF(A489="","",BASE_CAIXA!J486)</f>
        <v>0</v>
      </c>
      <c r="M489" s="26" t="str">
        <f>IF(A489="","",BASE_CAIXA!AM486)</f>
        <v xml:space="preserve">Cabo unipolar 10 mm² marrom | Cabo unipolar 10 mm² marrom | </v>
      </c>
      <c r="N489" s="26" t="str">
        <f t="shared" ca="1" si="21"/>
        <v>Previsto</v>
      </c>
      <c r="O489" s="13" t="str">
        <f>IFERROR(INDEX(EXTRATO_IMPORTADO!$A$5:$A$404,MATCH(B489,EXTRATO_IMPORTADO!$I$5:$I$404,0)),"")</f>
        <v/>
      </c>
      <c r="P489" s="14" t="str">
        <f>IFERROR(INDEX(EXTRATO_IMPORTADO!$F$5:$F$404,MATCH(B489,EXTRATO_IMPORTADO!$I$5:$I$404,0)),"")</f>
        <v/>
      </c>
      <c r="Q489" s="26" t="str">
        <f>IFERROR(INDEX(EXTRATO_IMPORTADO!$B$5:$B$404,MATCH(B489,EXTRATO_IMPORTADO!$I$5:$I$404,0)),"")</f>
        <v/>
      </c>
      <c r="R489" s="26" t="str">
        <f>IFERROR(MATCH(B489,EXTRATO_IMPORTADO!$I$5:$I$404,0),"")</f>
        <v/>
      </c>
      <c r="S489" s="14" t="str">
        <f t="shared" si="22"/>
        <v/>
      </c>
      <c r="T489" s="33" t="str">
        <f t="shared" si="23"/>
        <v/>
      </c>
    </row>
    <row r="490" spans="1:20" x14ac:dyDescent="0.3">
      <c r="A490" s="26">
        <f>IF(BASE_CAIXA!A487="","",BASE_CAIXA!A487)</f>
        <v>486</v>
      </c>
      <c r="B490" s="26" t="str">
        <f>IF(A490="","",BASE_CAIXA!AL487)</f>
        <v>000486-DB</v>
      </c>
      <c r="C490" s="13">
        <f>IF(A490="","",BASE_CAIXA!AJ487)</f>
        <v>46199</v>
      </c>
      <c r="D490" s="26" t="str">
        <f>IF(A490="","",IF(BASE_CAIXA!C487="Entrada","Crédito","Débito"))</f>
        <v>Débito</v>
      </c>
      <c r="E490" s="14">
        <f>IF(A490="","",BASE_CAIXA!AA487)</f>
        <v>5804.8</v>
      </c>
      <c r="F490" s="26">
        <f>IF(A490="","",BASE_CAIXA!N487)</f>
        <v>0</v>
      </c>
      <c r="G490" s="26">
        <f>IF(A490="","",BASE_CAIXA!O487)</f>
        <v>0</v>
      </c>
      <c r="H490" s="26">
        <f>IF(A490="","",BASE_CAIXA!P487)</f>
        <v>0</v>
      </c>
      <c r="I490" s="26" t="str">
        <f>IF(A490="","",IF(BASE_CAIXA!H487&lt;&gt;"",BASE_CAIXA!H487,BASE_CAIXA!G487))</f>
        <v>Cabo unipolar 10 mm² preto</v>
      </c>
      <c r="J490" s="26" t="str">
        <f>IF(A490="","",BASE_CAIXA!G487)</f>
        <v>Cabo unipolar 10 mm² preto</v>
      </c>
      <c r="K490" s="26">
        <f>IF(A490="","",BASE_CAIXA!I487)</f>
        <v>0</v>
      </c>
      <c r="L490" s="26">
        <f>IF(A490="","",BASE_CAIXA!J487)</f>
        <v>0</v>
      </c>
      <c r="M490" s="26" t="str">
        <f>IF(A490="","",BASE_CAIXA!AM487)</f>
        <v>Cabo unipolar 10 mm² preto | Cabo unipolar 10 mm² preto | Sa</v>
      </c>
      <c r="N490" s="26" t="str">
        <f t="shared" ca="1" si="21"/>
        <v>Previsto</v>
      </c>
      <c r="O490" s="13" t="str">
        <f>IFERROR(INDEX(EXTRATO_IMPORTADO!$A$5:$A$404,MATCH(B490,EXTRATO_IMPORTADO!$I$5:$I$404,0)),"")</f>
        <v/>
      </c>
      <c r="P490" s="14" t="str">
        <f>IFERROR(INDEX(EXTRATO_IMPORTADO!$F$5:$F$404,MATCH(B490,EXTRATO_IMPORTADO!$I$5:$I$404,0)),"")</f>
        <v/>
      </c>
      <c r="Q490" s="26" t="str">
        <f>IFERROR(INDEX(EXTRATO_IMPORTADO!$B$5:$B$404,MATCH(B490,EXTRATO_IMPORTADO!$I$5:$I$404,0)),"")</f>
        <v/>
      </c>
      <c r="R490" s="26" t="str">
        <f>IFERROR(MATCH(B490,EXTRATO_IMPORTADO!$I$5:$I$404,0),"")</f>
        <v/>
      </c>
      <c r="S490" s="14" t="str">
        <f t="shared" si="22"/>
        <v/>
      </c>
      <c r="T490" s="33" t="str">
        <f t="shared" si="23"/>
        <v/>
      </c>
    </row>
    <row r="491" spans="1:20" x14ac:dyDescent="0.3">
      <c r="A491" s="26">
        <f>IF(BASE_CAIXA!A488="","",BASE_CAIXA!A488)</f>
        <v>487</v>
      </c>
      <c r="B491" s="26" t="str">
        <f>IF(A491="","",BASE_CAIXA!AL488)</f>
        <v>000487-DB</v>
      </c>
      <c r="C491" s="13">
        <f>IF(A491="","",BASE_CAIXA!AJ488)</f>
        <v>46199</v>
      </c>
      <c r="D491" s="26" t="str">
        <f>IF(A491="","",IF(BASE_CAIXA!C488="Entrada","Crédito","Débito"))</f>
        <v>Débito</v>
      </c>
      <c r="E491" s="14">
        <f>IF(A491="","",BASE_CAIXA!AA488)</f>
        <v>5601.6320000000014</v>
      </c>
      <c r="F491" s="26">
        <f>IF(A491="","",BASE_CAIXA!N488)</f>
        <v>0</v>
      </c>
      <c r="G491" s="26">
        <f>IF(A491="","",BASE_CAIXA!O488)</f>
        <v>0</v>
      </c>
      <c r="H491" s="26">
        <f>IF(A491="","",BASE_CAIXA!P488)</f>
        <v>0</v>
      </c>
      <c r="I491" s="26" t="str">
        <f>IF(A491="","",IF(BASE_CAIXA!H488&lt;&gt;"",BASE_CAIXA!H488,BASE_CAIXA!G488))</f>
        <v>Cabo unipolar 10 mm² verde-amarelo</v>
      </c>
      <c r="J491" s="26" t="str">
        <f>IF(A491="","",BASE_CAIXA!G488)</f>
        <v>Cabo unipolar 10 mm² verde-amarelo</v>
      </c>
      <c r="K491" s="26">
        <f>IF(A491="","",BASE_CAIXA!I488)</f>
        <v>0</v>
      </c>
      <c r="L491" s="26">
        <f>IF(A491="","",BASE_CAIXA!J488)</f>
        <v>0</v>
      </c>
      <c r="M491" s="26" t="str">
        <f>IF(A491="","",BASE_CAIXA!AM488)</f>
        <v>Cabo unipolar 10 mm² verde-amarelo | Cabo unipolar 10 mm² ve</v>
      </c>
      <c r="N491" s="26" t="str">
        <f t="shared" ca="1" si="21"/>
        <v>Previsto</v>
      </c>
      <c r="O491" s="13" t="str">
        <f>IFERROR(INDEX(EXTRATO_IMPORTADO!$A$5:$A$404,MATCH(B491,EXTRATO_IMPORTADO!$I$5:$I$404,0)),"")</f>
        <v/>
      </c>
      <c r="P491" s="14" t="str">
        <f>IFERROR(INDEX(EXTRATO_IMPORTADO!$F$5:$F$404,MATCH(B491,EXTRATO_IMPORTADO!$I$5:$I$404,0)),"")</f>
        <v/>
      </c>
      <c r="Q491" s="26" t="str">
        <f>IFERROR(INDEX(EXTRATO_IMPORTADO!$B$5:$B$404,MATCH(B491,EXTRATO_IMPORTADO!$I$5:$I$404,0)),"")</f>
        <v/>
      </c>
      <c r="R491" s="26" t="str">
        <f>IFERROR(MATCH(B491,EXTRATO_IMPORTADO!$I$5:$I$404,0),"")</f>
        <v/>
      </c>
      <c r="S491" s="14" t="str">
        <f t="shared" si="22"/>
        <v/>
      </c>
      <c r="T491" s="33" t="str">
        <f t="shared" si="23"/>
        <v/>
      </c>
    </row>
    <row r="492" spans="1:20" x14ac:dyDescent="0.3">
      <c r="A492" s="26">
        <f>IF(BASE_CAIXA!A489="","",BASE_CAIXA!A489)</f>
        <v>488</v>
      </c>
      <c r="B492" s="26" t="str">
        <f>IF(A492="","",BASE_CAIXA!AL489)</f>
        <v>000488-DB</v>
      </c>
      <c r="C492" s="13">
        <f>IF(A492="","",BASE_CAIXA!AJ489)</f>
        <v>46199</v>
      </c>
      <c r="D492" s="26" t="str">
        <f>IF(A492="","",IF(BASE_CAIXA!C489="Entrada","Crédito","Débito"))</f>
        <v>Débito</v>
      </c>
      <c r="E492" s="14">
        <f>IF(A492="","",BASE_CAIXA!AA489)</f>
        <v>7840.0000000000009</v>
      </c>
      <c r="F492" s="26">
        <f>IF(A492="","",BASE_CAIXA!N489)</f>
        <v>0</v>
      </c>
      <c r="G492" s="26">
        <f>IF(A492="","",BASE_CAIXA!O489)</f>
        <v>0</v>
      </c>
      <c r="H492" s="26">
        <f>IF(A492="","",BASE_CAIXA!P489)</f>
        <v>0</v>
      </c>
      <c r="I492" s="26" t="str">
        <f>IF(A492="","",IF(BASE_CAIXA!H489&lt;&gt;"",BASE_CAIXA!H489,BASE_CAIXA!G489))</f>
        <v>Cabo unipolar 2.5 mm² azul claro</v>
      </c>
      <c r="J492" s="26" t="str">
        <f>IF(A492="","",BASE_CAIXA!G489)</f>
        <v>Cabo unipolar 2.5 mm² azul claro</v>
      </c>
      <c r="K492" s="26">
        <f>IF(A492="","",BASE_CAIXA!I489)</f>
        <v>0</v>
      </c>
      <c r="L492" s="26">
        <f>IF(A492="","",BASE_CAIXA!J489)</f>
        <v>0</v>
      </c>
      <c r="M492" s="26" t="str">
        <f>IF(A492="","",BASE_CAIXA!AM489)</f>
        <v>Cabo unipolar 2.5 mm² azul claro | Cabo unipolar 2.5 mm² azu</v>
      </c>
      <c r="N492" s="26" t="str">
        <f t="shared" ca="1" si="21"/>
        <v>Previsto</v>
      </c>
      <c r="O492" s="13" t="str">
        <f>IFERROR(INDEX(EXTRATO_IMPORTADO!$A$5:$A$404,MATCH(B492,EXTRATO_IMPORTADO!$I$5:$I$404,0)),"")</f>
        <v/>
      </c>
      <c r="P492" s="14" t="str">
        <f>IFERROR(INDEX(EXTRATO_IMPORTADO!$F$5:$F$404,MATCH(B492,EXTRATO_IMPORTADO!$I$5:$I$404,0)),"")</f>
        <v/>
      </c>
      <c r="Q492" s="26" t="str">
        <f>IFERROR(INDEX(EXTRATO_IMPORTADO!$B$5:$B$404,MATCH(B492,EXTRATO_IMPORTADO!$I$5:$I$404,0)),"")</f>
        <v/>
      </c>
      <c r="R492" s="26" t="str">
        <f>IFERROR(MATCH(B492,EXTRATO_IMPORTADO!$I$5:$I$404,0),"")</f>
        <v/>
      </c>
      <c r="S492" s="14" t="str">
        <f t="shared" si="22"/>
        <v/>
      </c>
      <c r="T492" s="33" t="str">
        <f t="shared" si="23"/>
        <v/>
      </c>
    </row>
    <row r="493" spans="1:20" x14ac:dyDescent="0.3">
      <c r="A493" s="26">
        <f>IF(BASE_CAIXA!A490="","",BASE_CAIXA!A490)</f>
        <v>489</v>
      </c>
      <c r="B493" s="26" t="str">
        <f>IF(A493="","",BASE_CAIXA!AL490)</f>
        <v>000489-DB</v>
      </c>
      <c r="C493" s="13">
        <f>IF(A493="","",BASE_CAIXA!AJ490)</f>
        <v>46199</v>
      </c>
      <c r="D493" s="26" t="str">
        <f>IF(A493="","",IF(BASE_CAIXA!C490="Entrada","Crédito","Débito"))</f>
        <v>Débito</v>
      </c>
      <c r="E493" s="14">
        <f>IF(A493="","",BASE_CAIXA!AA490)</f>
        <v>7840.0000000000009</v>
      </c>
      <c r="F493" s="26">
        <f>IF(A493="","",BASE_CAIXA!N490)</f>
        <v>0</v>
      </c>
      <c r="G493" s="26">
        <f>IF(A493="","",BASE_CAIXA!O490)</f>
        <v>0</v>
      </c>
      <c r="H493" s="26">
        <f>IF(A493="","",BASE_CAIXA!P490)</f>
        <v>0</v>
      </c>
      <c r="I493" s="26" t="str">
        <f>IF(A493="","",IF(BASE_CAIXA!H490&lt;&gt;"",BASE_CAIXA!H490,BASE_CAIXA!G490))</f>
        <v>Cabo unipolar 2.5 mm² marrom</v>
      </c>
      <c r="J493" s="26" t="str">
        <f>IF(A493="","",BASE_CAIXA!G490)</f>
        <v>Cabo unipolar 2.5 mm² marrom</v>
      </c>
      <c r="K493" s="26">
        <f>IF(A493="","",BASE_CAIXA!I490)</f>
        <v>0</v>
      </c>
      <c r="L493" s="26">
        <f>IF(A493="","",BASE_CAIXA!J490)</f>
        <v>0</v>
      </c>
      <c r="M493" s="26" t="str">
        <f>IF(A493="","",BASE_CAIXA!AM490)</f>
        <v xml:space="preserve">Cabo unipolar 2.5 mm² marrom | Cabo unipolar 2.5 mm² marrom </v>
      </c>
      <c r="N493" s="26" t="str">
        <f t="shared" ca="1" si="21"/>
        <v>Previsto</v>
      </c>
      <c r="O493" s="13" t="str">
        <f>IFERROR(INDEX(EXTRATO_IMPORTADO!$A$5:$A$404,MATCH(B493,EXTRATO_IMPORTADO!$I$5:$I$404,0)),"")</f>
        <v/>
      </c>
      <c r="P493" s="14" t="str">
        <f>IFERROR(INDEX(EXTRATO_IMPORTADO!$F$5:$F$404,MATCH(B493,EXTRATO_IMPORTADO!$I$5:$I$404,0)),"")</f>
        <v/>
      </c>
      <c r="Q493" s="26" t="str">
        <f>IFERROR(INDEX(EXTRATO_IMPORTADO!$B$5:$B$404,MATCH(B493,EXTRATO_IMPORTADO!$I$5:$I$404,0)),"")</f>
        <v/>
      </c>
      <c r="R493" s="26" t="str">
        <f>IFERROR(MATCH(B493,EXTRATO_IMPORTADO!$I$5:$I$404,0),"")</f>
        <v/>
      </c>
      <c r="S493" s="14" t="str">
        <f t="shared" si="22"/>
        <v/>
      </c>
      <c r="T493" s="33" t="str">
        <f t="shared" si="23"/>
        <v/>
      </c>
    </row>
    <row r="494" spans="1:20" x14ac:dyDescent="0.3">
      <c r="A494" s="26">
        <f>IF(BASE_CAIXA!A491="","",BASE_CAIXA!A491)</f>
        <v>490</v>
      </c>
      <c r="B494" s="26" t="str">
        <f>IF(A494="","",BASE_CAIXA!AL491)</f>
        <v>000490-DB</v>
      </c>
      <c r="C494" s="13">
        <f>IF(A494="","",BASE_CAIXA!AJ491)</f>
        <v>46199</v>
      </c>
      <c r="D494" s="26" t="str">
        <f>IF(A494="","",IF(BASE_CAIXA!C491="Entrada","Crédito","Débito"))</f>
        <v>Débito</v>
      </c>
      <c r="E494" s="14">
        <f>IF(A494="","",BASE_CAIXA!AA491)</f>
        <v>7840.0000000000009</v>
      </c>
      <c r="F494" s="26">
        <f>IF(A494="","",BASE_CAIXA!N491)</f>
        <v>0</v>
      </c>
      <c r="G494" s="26">
        <f>IF(A494="","",BASE_CAIXA!O491)</f>
        <v>0</v>
      </c>
      <c r="H494" s="26">
        <f>IF(A494="","",BASE_CAIXA!P491)</f>
        <v>0</v>
      </c>
      <c r="I494" s="26" t="str">
        <f>IF(A494="","",IF(BASE_CAIXA!H491&lt;&gt;"",BASE_CAIXA!H491,BASE_CAIXA!G491))</f>
        <v>Cabo unipolar 2.5 mm² verde-amarelo</v>
      </c>
      <c r="J494" s="26" t="str">
        <f>IF(A494="","",BASE_CAIXA!G491)</f>
        <v>Cabo unipolar 2.5 mm² verde-amarelo</v>
      </c>
      <c r="K494" s="26">
        <f>IF(A494="","",BASE_CAIXA!I491)</f>
        <v>0</v>
      </c>
      <c r="L494" s="26">
        <f>IF(A494="","",BASE_CAIXA!J491)</f>
        <v>0</v>
      </c>
      <c r="M494" s="26" t="str">
        <f>IF(A494="","",BASE_CAIXA!AM491)</f>
        <v xml:space="preserve">Cabo unipolar 2.5 mm² verde-amarelo | Cabo unipolar 2.5 mm² </v>
      </c>
      <c r="N494" s="26" t="str">
        <f t="shared" ca="1" si="21"/>
        <v>Previsto</v>
      </c>
      <c r="O494" s="13" t="str">
        <f>IFERROR(INDEX(EXTRATO_IMPORTADO!$A$5:$A$404,MATCH(B494,EXTRATO_IMPORTADO!$I$5:$I$404,0)),"")</f>
        <v/>
      </c>
      <c r="P494" s="14" t="str">
        <f>IFERROR(INDEX(EXTRATO_IMPORTADO!$F$5:$F$404,MATCH(B494,EXTRATO_IMPORTADO!$I$5:$I$404,0)),"")</f>
        <v/>
      </c>
      <c r="Q494" s="26" t="str">
        <f>IFERROR(INDEX(EXTRATO_IMPORTADO!$B$5:$B$404,MATCH(B494,EXTRATO_IMPORTADO!$I$5:$I$404,0)),"")</f>
        <v/>
      </c>
      <c r="R494" s="26" t="str">
        <f>IFERROR(MATCH(B494,EXTRATO_IMPORTADO!$I$5:$I$404,0),"")</f>
        <v/>
      </c>
      <c r="S494" s="14" t="str">
        <f t="shared" si="22"/>
        <v/>
      </c>
      <c r="T494" s="33" t="str">
        <f t="shared" si="23"/>
        <v/>
      </c>
    </row>
    <row r="495" spans="1:20" x14ac:dyDescent="0.3">
      <c r="A495" s="26">
        <f>IF(BASE_CAIXA!A492="","",BASE_CAIXA!A492)</f>
        <v>491</v>
      </c>
      <c r="B495" s="26" t="str">
        <f>IF(A495="","",BASE_CAIXA!AL492)</f>
        <v>000491-DB</v>
      </c>
      <c r="C495" s="13">
        <f>IF(A495="","",BASE_CAIXA!AJ492)</f>
        <v>46199</v>
      </c>
      <c r="D495" s="26" t="str">
        <f>IF(A495="","",IF(BASE_CAIXA!C492="Entrada","Crédito","Débito"))</f>
        <v>Débito</v>
      </c>
      <c r="E495" s="14">
        <f>IF(A495="","",BASE_CAIXA!AA492)</f>
        <v>444.16</v>
      </c>
      <c r="F495" s="26">
        <f>IF(A495="","",BASE_CAIXA!N492)</f>
        <v>0</v>
      </c>
      <c r="G495" s="26">
        <f>IF(A495="","",BASE_CAIXA!O492)</f>
        <v>0</v>
      </c>
      <c r="H495" s="26">
        <f>IF(A495="","",BASE_CAIXA!P492)</f>
        <v>0</v>
      </c>
      <c r="I495" s="26" t="str">
        <f>IF(A495="","",IF(BASE_CAIXA!H492&lt;&gt;"",BASE_CAIXA!H492,BASE_CAIXA!G492))</f>
        <v>Cabo unipolar 6 mm² azul claro</v>
      </c>
      <c r="J495" s="26" t="str">
        <f>IF(A495="","",BASE_CAIXA!G492)</f>
        <v>Cabo unipolar 6 mm² azul claro</v>
      </c>
      <c r="K495" s="26">
        <f>IF(A495="","",BASE_CAIXA!I492)</f>
        <v>0</v>
      </c>
      <c r="L495" s="26">
        <f>IF(A495="","",BASE_CAIXA!J492)</f>
        <v>0</v>
      </c>
      <c r="M495" s="26" t="str">
        <f>IF(A495="","",BASE_CAIXA!AM492)</f>
        <v>Cabo unipolar 6 mm² azul claro | Cabo unipolar 6 mm² azul cl</v>
      </c>
      <c r="N495" s="26" t="str">
        <f t="shared" ca="1" si="21"/>
        <v>Previsto</v>
      </c>
      <c r="O495" s="13" t="str">
        <f>IFERROR(INDEX(EXTRATO_IMPORTADO!$A$5:$A$404,MATCH(B495,EXTRATO_IMPORTADO!$I$5:$I$404,0)),"")</f>
        <v/>
      </c>
      <c r="P495" s="14" t="str">
        <f>IFERROR(INDEX(EXTRATO_IMPORTADO!$F$5:$F$404,MATCH(B495,EXTRATO_IMPORTADO!$I$5:$I$404,0)),"")</f>
        <v/>
      </c>
      <c r="Q495" s="26" t="str">
        <f>IFERROR(INDEX(EXTRATO_IMPORTADO!$B$5:$B$404,MATCH(B495,EXTRATO_IMPORTADO!$I$5:$I$404,0)),"")</f>
        <v/>
      </c>
      <c r="R495" s="26" t="str">
        <f>IFERROR(MATCH(B495,EXTRATO_IMPORTADO!$I$5:$I$404,0),"")</f>
        <v/>
      </c>
      <c r="S495" s="14" t="str">
        <f t="shared" si="22"/>
        <v/>
      </c>
      <c r="T495" s="33" t="str">
        <f t="shared" si="23"/>
        <v/>
      </c>
    </row>
    <row r="496" spans="1:20" x14ac:dyDescent="0.3">
      <c r="A496" s="26">
        <f>IF(BASE_CAIXA!A493="","",BASE_CAIXA!A493)</f>
        <v>492</v>
      </c>
      <c r="B496" s="26" t="str">
        <f>IF(A496="","",BASE_CAIXA!AL493)</f>
        <v>000492-DB</v>
      </c>
      <c r="C496" s="13">
        <f>IF(A496="","",BASE_CAIXA!AJ493)</f>
        <v>46199</v>
      </c>
      <c r="D496" s="26" t="str">
        <f>IF(A496="","",IF(BASE_CAIXA!C493="Entrada","Crédito","Débito"))</f>
        <v>Débito</v>
      </c>
      <c r="E496" s="14">
        <f>IF(A496="","",BASE_CAIXA!AA493)</f>
        <v>444.16</v>
      </c>
      <c r="F496" s="26">
        <f>IF(A496="","",BASE_CAIXA!N493)</f>
        <v>0</v>
      </c>
      <c r="G496" s="26">
        <f>IF(A496="","",BASE_CAIXA!O493)</f>
        <v>0</v>
      </c>
      <c r="H496" s="26">
        <f>IF(A496="","",BASE_CAIXA!P493)</f>
        <v>0</v>
      </c>
      <c r="I496" s="26" t="str">
        <f>IF(A496="","",IF(BASE_CAIXA!H493&lt;&gt;"",BASE_CAIXA!H493,BASE_CAIXA!G493))</f>
        <v>Cabo unipolar 6 mm² marrom</v>
      </c>
      <c r="J496" s="26" t="str">
        <f>IF(A496="","",BASE_CAIXA!G493)</f>
        <v>Cabo unipolar 6 mm² marrom</v>
      </c>
      <c r="K496" s="26">
        <f>IF(A496="","",BASE_CAIXA!I493)</f>
        <v>0</v>
      </c>
      <c r="L496" s="26">
        <f>IF(A496="","",BASE_CAIXA!J493)</f>
        <v>0</v>
      </c>
      <c r="M496" s="26" t="str">
        <f>IF(A496="","",BASE_CAIXA!AM493)</f>
        <v>Cabo unipolar 6 mm² marrom | Cabo unipolar 6 mm² marrom | Sa</v>
      </c>
      <c r="N496" s="26" t="str">
        <f t="shared" ca="1" si="21"/>
        <v>Previsto</v>
      </c>
      <c r="O496" s="13" t="str">
        <f>IFERROR(INDEX(EXTRATO_IMPORTADO!$A$5:$A$404,MATCH(B496,EXTRATO_IMPORTADO!$I$5:$I$404,0)),"")</f>
        <v/>
      </c>
      <c r="P496" s="14" t="str">
        <f>IFERROR(INDEX(EXTRATO_IMPORTADO!$F$5:$F$404,MATCH(B496,EXTRATO_IMPORTADO!$I$5:$I$404,0)),"")</f>
        <v/>
      </c>
      <c r="Q496" s="26" t="str">
        <f>IFERROR(INDEX(EXTRATO_IMPORTADO!$B$5:$B$404,MATCH(B496,EXTRATO_IMPORTADO!$I$5:$I$404,0)),"")</f>
        <v/>
      </c>
      <c r="R496" s="26" t="str">
        <f>IFERROR(MATCH(B496,EXTRATO_IMPORTADO!$I$5:$I$404,0),"")</f>
        <v/>
      </c>
      <c r="S496" s="14" t="str">
        <f t="shared" si="22"/>
        <v/>
      </c>
      <c r="T496" s="33" t="str">
        <f t="shared" si="23"/>
        <v/>
      </c>
    </row>
    <row r="497" spans="1:20" x14ac:dyDescent="0.3">
      <c r="A497" s="26">
        <f>IF(BASE_CAIXA!A494="","",BASE_CAIXA!A494)</f>
        <v>493</v>
      </c>
      <c r="B497" s="26" t="str">
        <f>IF(A497="","",BASE_CAIXA!AL494)</f>
        <v>000493-DB</v>
      </c>
      <c r="C497" s="13">
        <f>IF(A497="","",BASE_CAIXA!AJ494)</f>
        <v>46199</v>
      </c>
      <c r="D497" s="26" t="str">
        <f>IF(A497="","",IF(BASE_CAIXA!C494="Entrada","Crédito","Débito"))</f>
        <v>Débito</v>
      </c>
      <c r="E497" s="14">
        <f>IF(A497="","",BASE_CAIXA!AA494)</f>
        <v>444.16</v>
      </c>
      <c r="F497" s="26">
        <f>IF(A497="","",BASE_CAIXA!N494)</f>
        <v>0</v>
      </c>
      <c r="G497" s="26">
        <f>IF(A497="","",BASE_CAIXA!O494)</f>
        <v>0</v>
      </c>
      <c r="H497" s="26">
        <f>IF(A497="","",BASE_CAIXA!P494)</f>
        <v>0</v>
      </c>
      <c r="I497" s="26" t="str">
        <f>IF(A497="","",IF(BASE_CAIXA!H494&lt;&gt;"",BASE_CAIXA!H494,BASE_CAIXA!G494))</f>
        <v>Cabo unipolar 6 mm² verde-amarelo</v>
      </c>
      <c r="J497" s="26" t="str">
        <f>IF(A497="","",BASE_CAIXA!G494)</f>
        <v>Cabo unipolar 6 mm² verde-amarelo</v>
      </c>
      <c r="K497" s="26">
        <f>IF(A497="","",BASE_CAIXA!I494)</f>
        <v>0</v>
      </c>
      <c r="L497" s="26">
        <f>IF(A497="","",BASE_CAIXA!J494)</f>
        <v>0</v>
      </c>
      <c r="M497" s="26" t="str">
        <f>IF(A497="","",BASE_CAIXA!AM494)</f>
        <v>Cabo unipolar 6 mm² verde-amarelo | Cabo unipolar 6 mm² verd</v>
      </c>
      <c r="N497" s="26" t="str">
        <f t="shared" ca="1" si="21"/>
        <v>Previsto</v>
      </c>
      <c r="O497" s="13" t="str">
        <f>IFERROR(INDEX(EXTRATO_IMPORTADO!$A$5:$A$404,MATCH(B497,EXTRATO_IMPORTADO!$I$5:$I$404,0)),"")</f>
        <v/>
      </c>
      <c r="P497" s="14" t="str">
        <f>IFERROR(INDEX(EXTRATO_IMPORTADO!$F$5:$F$404,MATCH(B497,EXTRATO_IMPORTADO!$I$5:$I$404,0)),"")</f>
        <v/>
      </c>
      <c r="Q497" s="26" t="str">
        <f>IFERROR(INDEX(EXTRATO_IMPORTADO!$B$5:$B$404,MATCH(B497,EXTRATO_IMPORTADO!$I$5:$I$404,0)),"")</f>
        <v/>
      </c>
      <c r="R497" s="26" t="str">
        <f>IFERROR(MATCH(B497,EXTRATO_IMPORTADO!$I$5:$I$404,0),"")</f>
        <v/>
      </c>
      <c r="S497" s="14" t="str">
        <f t="shared" si="22"/>
        <v/>
      </c>
      <c r="T497" s="33" t="str">
        <f t="shared" si="23"/>
        <v/>
      </c>
    </row>
    <row r="498" spans="1:20" x14ac:dyDescent="0.3">
      <c r="A498" s="26">
        <f>IF(BASE_CAIXA!A495="","",BASE_CAIXA!A495)</f>
        <v>494</v>
      </c>
      <c r="B498" s="26" t="str">
        <f>IF(A498="","",BASE_CAIXA!AL495)</f>
        <v>000494-DB</v>
      </c>
      <c r="C498" s="13">
        <f>IF(A498="","",BASE_CAIXA!AJ495)</f>
        <v>46199</v>
      </c>
      <c r="D498" s="26" t="str">
        <f>IF(A498="","",IF(BASE_CAIXA!C495="Entrada","Crédito","Débito"))</f>
        <v>Débito</v>
      </c>
      <c r="E498" s="14">
        <f>IF(A498="","",BASE_CAIXA!AA495)</f>
        <v>1276.8</v>
      </c>
      <c r="F498" s="26">
        <f>IF(A498="","",BASE_CAIXA!N495)</f>
        <v>0</v>
      </c>
      <c r="G498" s="26">
        <f>IF(A498="","",BASE_CAIXA!O495)</f>
        <v>0</v>
      </c>
      <c r="H498" s="26">
        <f>IF(A498="","",BASE_CAIXA!P495)</f>
        <v>0</v>
      </c>
      <c r="I498" s="26" t="str">
        <f>IF(A498="","",IF(BASE_CAIXA!H495&lt;&gt;"",BASE_CAIXA!H495,BASE_CAIXA!G495))</f>
        <v>Campainha Cigarra + 1 Tecla Campainha Pollar Radial</v>
      </c>
      <c r="J498" s="26" t="str">
        <f>IF(A498="","",BASE_CAIXA!G495)</f>
        <v>Campainha Cigarra + 1 Tecla Campainha Pollar Radial</v>
      </c>
      <c r="K498" s="26">
        <f>IF(A498="","",BASE_CAIXA!I495)</f>
        <v>0</v>
      </c>
      <c r="L498" s="26">
        <f>IF(A498="","",BASE_CAIXA!J495)</f>
        <v>0</v>
      </c>
      <c r="M498" s="26" t="str">
        <f>IF(A498="","",BASE_CAIXA!AM495)</f>
        <v>Campainha Cigarra + 1 Tecla Campainha Pollar Radial | Campai</v>
      </c>
      <c r="N498" s="26" t="str">
        <f t="shared" ca="1" si="21"/>
        <v>Previsto</v>
      </c>
      <c r="O498" s="13" t="str">
        <f>IFERROR(INDEX(EXTRATO_IMPORTADO!$A$5:$A$404,MATCH(B498,EXTRATO_IMPORTADO!$I$5:$I$404,0)),"")</f>
        <v/>
      </c>
      <c r="P498" s="14" t="str">
        <f>IFERROR(INDEX(EXTRATO_IMPORTADO!$F$5:$F$404,MATCH(B498,EXTRATO_IMPORTADO!$I$5:$I$404,0)),"")</f>
        <v/>
      </c>
      <c r="Q498" s="26" t="str">
        <f>IFERROR(INDEX(EXTRATO_IMPORTADO!$B$5:$B$404,MATCH(B498,EXTRATO_IMPORTADO!$I$5:$I$404,0)),"")</f>
        <v/>
      </c>
      <c r="R498" s="26" t="str">
        <f>IFERROR(MATCH(B498,EXTRATO_IMPORTADO!$I$5:$I$404,0),"")</f>
        <v/>
      </c>
      <c r="S498" s="14" t="str">
        <f t="shared" si="22"/>
        <v/>
      </c>
      <c r="T498" s="33" t="str">
        <f t="shared" si="23"/>
        <v/>
      </c>
    </row>
    <row r="499" spans="1:20" x14ac:dyDescent="0.3">
      <c r="A499" s="26">
        <f>IF(BASE_CAIXA!A496="","",BASE_CAIXA!A496)</f>
        <v>495</v>
      </c>
      <c r="B499" s="26" t="str">
        <f>IF(A499="","",BASE_CAIXA!AL496)</f>
        <v>000495-DB</v>
      </c>
      <c r="C499" s="13">
        <f>IF(A499="","",BASE_CAIXA!AJ496)</f>
        <v>46199</v>
      </c>
      <c r="D499" s="26" t="str">
        <f>IF(A499="","",IF(BASE_CAIXA!C496="Entrada","Crédito","Débito"))</f>
        <v>Débito</v>
      </c>
      <c r="E499" s="14">
        <f>IF(A499="","",BASE_CAIXA!AA496)</f>
        <v>1142.4000000000001</v>
      </c>
      <c r="F499" s="26">
        <f>IF(A499="","",BASE_CAIXA!N496)</f>
        <v>0</v>
      </c>
      <c r="G499" s="26">
        <f>IF(A499="","",BASE_CAIXA!O496)</f>
        <v>0</v>
      </c>
      <c r="H499" s="26">
        <f>IF(A499="","",BASE_CAIXA!P496)</f>
        <v>0</v>
      </c>
      <c r="I499" s="26" t="str">
        <f>IF(A499="","",IF(BASE_CAIXA!H496&lt;&gt;"",BASE_CAIXA!H496,BASE_CAIXA!G496))</f>
        <v>Disjuntor unipolar termomagnético DIN 15A</v>
      </c>
      <c r="J499" s="26" t="str">
        <f>IF(A499="","",BASE_CAIXA!G496)</f>
        <v>Disjuntor unipolar termomagnético DIN 15A</v>
      </c>
      <c r="K499" s="26">
        <f>IF(A499="","",BASE_CAIXA!I496)</f>
        <v>0</v>
      </c>
      <c r="L499" s="26">
        <f>IF(A499="","",BASE_CAIXA!J496)</f>
        <v>0</v>
      </c>
      <c r="M499" s="26" t="str">
        <f>IF(A499="","",BASE_CAIXA!AM496)</f>
        <v>Disjuntor unipolar termomagnético DIN 15A | Disjuntor unipol</v>
      </c>
      <c r="N499" s="26" t="str">
        <f t="shared" ca="1" si="21"/>
        <v>Previsto</v>
      </c>
      <c r="O499" s="13" t="str">
        <f>IFERROR(INDEX(EXTRATO_IMPORTADO!$A$5:$A$404,MATCH(B499,EXTRATO_IMPORTADO!$I$5:$I$404,0)),"")</f>
        <v/>
      </c>
      <c r="P499" s="14" t="str">
        <f>IFERROR(INDEX(EXTRATO_IMPORTADO!$F$5:$F$404,MATCH(B499,EXTRATO_IMPORTADO!$I$5:$I$404,0)),"")</f>
        <v/>
      </c>
      <c r="Q499" s="26" t="str">
        <f>IFERROR(INDEX(EXTRATO_IMPORTADO!$B$5:$B$404,MATCH(B499,EXTRATO_IMPORTADO!$I$5:$I$404,0)),"")</f>
        <v/>
      </c>
      <c r="R499" s="26" t="str">
        <f>IFERROR(MATCH(B499,EXTRATO_IMPORTADO!$I$5:$I$404,0),"")</f>
        <v/>
      </c>
      <c r="S499" s="14" t="str">
        <f t="shared" si="22"/>
        <v/>
      </c>
      <c r="T499" s="33" t="str">
        <f t="shared" si="23"/>
        <v/>
      </c>
    </row>
    <row r="500" spans="1:20" x14ac:dyDescent="0.3">
      <c r="A500" s="26">
        <f>IF(BASE_CAIXA!A497="","",BASE_CAIXA!A497)</f>
        <v>496</v>
      </c>
      <c r="B500" s="26" t="str">
        <f>IF(A500="","",BASE_CAIXA!AL497)</f>
        <v>000496-DB</v>
      </c>
      <c r="C500" s="13">
        <f>IF(A500="","",BASE_CAIXA!AJ497)</f>
        <v>46199</v>
      </c>
      <c r="D500" s="26" t="str">
        <f>IF(A500="","",IF(BASE_CAIXA!C497="Entrada","Crédito","Débito"))</f>
        <v>Débito</v>
      </c>
      <c r="E500" s="14">
        <f>IF(A500="","",BASE_CAIXA!AA497)</f>
        <v>482.24</v>
      </c>
      <c r="F500" s="26">
        <f>IF(A500="","",BASE_CAIXA!N497)</f>
        <v>0</v>
      </c>
      <c r="G500" s="26">
        <f>IF(A500="","",BASE_CAIXA!O497)</f>
        <v>0</v>
      </c>
      <c r="H500" s="26">
        <f>IF(A500="","",BASE_CAIXA!P497)</f>
        <v>0</v>
      </c>
      <c r="I500" s="26" t="str">
        <f>IF(A500="","",IF(BASE_CAIXA!H497&lt;&gt;"",BASE_CAIXA!H497,BASE_CAIXA!G497))</f>
        <v>Disjuntor unipolar termomagnético DIN 60A</v>
      </c>
      <c r="J500" s="26" t="str">
        <f>IF(A500="","",BASE_CAIXA!G497)</f>
        <v>Disjuntor unipolar termomagnético DIN 60A</v>
      </c>
      <c r="K500" s="26">
        <f>IF(A500="","",BASE_CAIXA!I497)</f>
        <v>0</v>
      </c>
      <c r="L500" s="26">
        <f>IF(A500="","",BASE_CAIXA!J497)</f>
        <v>0</v>
      </c>
      <c r="M500" s="26" t="str">
        <f>IF(A500="","",BASE_CAIXA!AM497)</f>
        <v>Disjuntor unipolar termomagnético DIN 60A | Disjuntor unipol</v>
      </c>
      <c r="N500" s="26" t="str">
        <f t="shared" ca="1" si="21"/>
        <v>Previsto</v>
      </c>
      <c r="O500" s="13" t="str">
        <f>IFERROR(INDEX(EXTRATO_IMPORTADO!$A$5:$A$404,MATCH(B500,EXTRATO_IMPORTADO!$I$5:$I$404,0)),"")</f>
        <v/>
      </c>
      <c r="P500" s="14" t="str">
        <f>IFERROR(INDEX(EXTRATO_IMPORTADO!$F$5:$F$404,MATCH(B500,EXTRATO_IMPORTADO!$I$5:$I$404,0)),"")</f>
        <v/>
      </c>
      <c r="Q500" s="26" t="str">
        <f>IFERROR(INDEX(EXTRATO_IMPORTADO!$B$5:$B$404,MATCH(B500,EXTRATO_IMPORTADO!$I$5:$I$404,0)),"")</f>
        <v/>
      </c>
      <c r="R500" s="26" t="str">
        <f>IFERROR(MATCH(B500,EXTRATO_IMPORTADO!$I$5:$I$404,0),"")</f>
        <v/>
      </c>
      <c r="S500" s="14" t="str">
        <f t="shared" si="22"/>
        <v/>
      </c>
      <c r="T500" s="33" t="str">
        <f t="shared" si="23"/>
        <v/>
      </c>
    </row>
    <row r="501" spans="1:20" x14ac:dyDescent="0.3">
      <c r="A501" s="26">
        <f>IF(BASE_CAIXA!A498="","",BASE_CAIXA!A498)</f>
        <v>497</v>
      </c>
      <c r="B501" s="26" t="str">
        <f>IF(A501="","",BASE_CAIXA!AL498)</f>
        <v>000497-DB</v>
      </c>
      <c r="C501" s="13">
        <f>IF(A501="","",BASE_CAIXA!AJ498)</f>
        <v>46199</v>
      </c>
      <c r="D501" s="26" t="str">
        <f>IF(A501="","",IF(BASE_CAIXA!C498="Entrada","Crédito","Débito"))</f>
        <v>Débito</v>
      </c>
      <c r="E501" s="14">
        <f>IF(A501="","",BASE_CAIXA!AA498)</f>
        <v>1200</v>
      </c>
      <c r="F501" s="26">
        <f>IF(A501="","",BASE_CAIXA!N498)</f>
        <v>0</v>
      </c>
      <c r="G501" s="26">
        <f>IF(A501="","",BASE_CAIXA!O498)</f>
        <v>0</v>
      </c>
      <c r="H501" s="26">
        <f>IF(A501="","",BASE_CAIXA!P498)</f>
        <v>0</v>
      </c>
      <c r="I501" s="26" t="str">
        <f>IF(A501="","",IF(BASE_CAIXA!H498&lt;&gt;"",BASE_CAIXA!H498,BASE_CAIXA!G498))</f>
        <v>Fita isolante preta 20 metros</v>
      </c>
      <c r="J501" s="26" t="str">
        <f>IF(A501="","",BASE_CAIXA!G498)</f>
        <v>Fita isolante preta 20 metros</v>
      </c>
      <c r="K501" s="26">
        <f>IF(A501="","",BASE_CAIXA!I498)</f>
        <v>0</v>
      </c>
      <c r="L501" s="26">
        <f>IF(A501="","",BASE_CAIXA!J498)</f>
        <v>0</v>
      </c>
      <c r="M501" s="26" t="str">
        <f>IF(A501="","",BASE_CAIXA!AM498)</f>
        <v>Fita isolante preta 20 metros | Fita isolante preta 20 metro</v>
      </c>
      <c r="N501" s="26" t="str">
        <f t="shared" ca="1" si="21"/>
        <v>Previsto</v>
      </c>
      <c r="O501" s="13" t="str">
        <f>IFERROR(INDEX(EXTRATO_IMPORTADO!$A$5:$A$404,MATCH(B501,EXTRATO_IMPORTADO!$I$5:$I$404,0)),"")</f>
        <v/>
      </c>
      <c r="P501" s="14" t="str">
        <f>IFERROR(INDEX(EXTRATO_IMPORTADO!$F$5:$F$404,MATCH(B501,EXTRATO_IMPORTADO!$I$5:$I$404,0)),"")</f>
        <v/>
      </c>
      <c r="Q501" s="26" t="str">
        <f>IFERROR(INDEX(EXTRATO_IMPORTADO!$B$5:$B$404,MATCH(B501,EXTRATO_IMPORTADO!$I$5:$I$404,0)),"")</f>
        <v/>
      </c>
      <c r="R501" s="26" t="str">
        <f>IFERROR(MATCH(B501,EXTRATO_IMPORTADO!$I$5:$I$404,0),"")</f>
        <v/>
      </c>
      <c r="S501" s="14" t="str">
        <f t="shared" si="22"/>
        <v/>
      </c>
      <c r="T501" s="33" t="str">
        <f t="shared" si="23"/>
        <v/>
      </c>
    </row>
    <row r="502" spans="1:20" x14ac:dyDescent="0.3">
      <c r="A502" s="26">
        <f>IF(BASE_CAIXA!A499="","",BASE_CAIXA!A499)</f>
        <v>498</v>
      </c>
      <c r="B502" s="26" t="str">
        <f>IF(A502="","",BASE_CAIXA!AL499)</f>
        <v>000498-DB</v>
      </c>
      <c r="C502" s="13">
        <f>IF(A502="","",BASE_CAIXA!AJ499)</f>
        <v>46199</v>
      </c>
      <c r="D502" s="26" t="str">
        <f>IF(A502="","",IF(BASE_CAIXA!C499="Entrada","Crédito","Débito"))</f>
        <v>Débito</v>
      </c>
      <c r="E502" s="14">
        <f>IF(A502="","",BASE_CAIXA!AA499)</f>
        <v>621.44000000000005</v>
      </c>
      <c r="F502" s="26">
        <f>IF(A502="","",BASE_CAIXA!N499)</f>
        <v>0</v>
      </c>
      <c r="G502" s="26">
        <f>IF(A502="","",BASE_CAIXA!O499)</f>
        <v>0</v>
      </c>
      <c r="H502" s="26">
        <f>IF(A502="","",BASE_CAIXA!P499)</f>
        <v>0</v>
      </c>
      <c r="I502" s="26" t="str">
        <f>IF(A502="","",IF(BASE_CAIXA!H499&lt;&gt;"",BASE_CAIXA!H499,BASE_CAIXA!G499))</f>
        <v>Interruptor 1 tecla simples</v>
      </c>
      <c r="J502" s="26" t="str">
        <f>IF(A502="","",BASE_CAIXA!G499)</f>
        <v>Interruptor 1 tecla simples</v>
      </c>
      <c r="K502" s="26">
        <f>IF(A502="","",BASE_CAIXA!I499)</f>
        <v>0</v>
      </c>
      <c r="L502" s="26">
        <f>IF(A502="","",BASE_CAIXA!J499)</f>
        <v>0</v>
      </c>
      <c r="M502" s="26" t="str">
        <f>IF(A502="","",BASE_CAIXA!AM499)</f>
        <v xml:space="preserve">Interruptor 1 tecla simples | Interruptor 1 tecla simples | </v>
      </c>
      <c r="N502" s="26" t="str">
        <f t="shared" ca="1" si="21"/>
        <v>Previsto</v>
      </c>
      <c r="O502" s="13" t="str">
        <f>IFERROR(INDEX(EXTRATO_IMPORTADO!$A$5:$A$404,MATCH(B502,EXTRATO_IMPORTADO!$I$5:$I$404,0)),"")</f>
        <v/>
      </c>
      <c r="P502" s="14" t="str">
        <f>IFERROR(INDEX(EXTRATO_IMPORTADO!$F$5:$F$404,MATCH(B502,EXTRATO_IMPORTADO!$I$5:$I$404,0)),"")</f>
        <v/>
      </c>
      <c r="Q502" s="26" t="str">
        <f>IFERROR(INDEX(EXTRATO_IMPORTADO!$B$5:$B$404,MATCH(B502,EXTRATO_IMPORTADO!$I$5:$I$404,0)),"")</f>
        <v/>
      </c>
      <c r="R502" s="26" t="str">
        <f>IFERROR(MATCH(B502,EXTRATO_IMPORTADO!$I$5:$I$404,0),"")</f>
        <v/>
      </c>
      <c r="S502" s="14" t="str">
        <f t="shared" si="22"/>
        <v/>
      </c>
      <c r="T502" s="33" t="str">
        <f t="shared" si="23"/>
        <v/>
      </c>
    </row>
    <row r="503" spans="1:20" x14ac:dyDescent="0.3">
      <c r="A503" s="26">
        <f>IF(BASE_CAIXA!A500="","",BASE_CAIXA!A500)</f>
        <v>499</v>
      </c>
      <c r="B503" s="26" t="str">
        <f>IF(A503="","",BASE_CAIXA!AL500)</f>
        <v>000499-DB</v>
      </c>
      <c r="C503" s="13">
        <f>IF(A503="","",BASE_CAIXA!AJ500)</f>
        <v>46199</v>
      </c>
      <c r="D503" s="26" t="str">
        <f>IF(A503="","",IF(BASE_CAIXA!C500="Entrada","Crédito","Débito"))</f>
        <v>Débito</v>
      </c>
      <c r="E503" s="14">
        <f>IF(A503="","",BASE_CAIXA!AA500)</f>
        <v>1429.76</v>
      </c>
      <c r="F503" s="26">
        <f>IF(A503="","",BASE_CAIXA!N500)</f>
        <v>0</v>
      </c>
      <c r="G503" s="26">
        <f>IF(A503="","",BASE_CAIXA!O500)</f>
        <v>0</v>
      </c>
      <c r="H503" s="26">
        <f>IF(A503="","",BASE_CAIXA!P500)</f>
        <v>0</v>
      </c>
      <c r="I503" s="26" t="str">
        <f>IF(A503="","",IF(BASE_CAIXA!H500&lt;&gt;"",BASE_CAIXA!H500,BASE_CAIXA!G500))</f>
        <v>Interruptor 1 tecla simples + tomada hexagonal NBR14136</v>
      </c>
      <c r="J503" s="26" t="str">
        <f>IF(A503="","",BASE_CAIXA!G500)</f>
        <v>Interruptor 1 tecla simples + tomada hexagonal NBR14136</v>
      </c>
      <c r="K503" s="26">
        <f>IF(A503="","",BASE_CAIXA!I500)</f>
        <v>0</v>
      </c>
      <c r="L503" s="26">
        <f>IF(A503="","",BASE_CAIXA!J500)</f>
        <v>0</v>
      </c>
      <c r="M503" s="26" t="str">
        <f>IF(A503="","",BASE_CAIXA!AM500)</f>
        <v>Interruptor 1 tecla simples + tomada hexagonal NBR14136 | In</v>
      </c>
      <c r="N503" s="26" t="str">
        <f t="shared" ca="1" si="21"/>
        <v>Previsto</v>
      </c>
      <c r="O503" s="13" t="str">
        <f>IFERROR(INDEX(EXTRATO_IMPORTADO!$A$5:$A$404,MATCH(B503,EXTRATO_IMPORTADO!$I$5:$I$404,0)),"")</f>
        <v/>
      </c>
      <c r="P503" s="14" t="str">
        <f>IFERROR(INDEX(EXTRATO_IMPORTADO!$F$5:$F$404,MATCH(B503,EXTRATO_IMPORTADO!$I$5:$I$404,0)),"")</f>
        <v/>
      </c>
      <c r="Q503" s="26" t="str">
        <f>IFERROR(INDEX(EXTRATO_IMPORTADO!$B$5:$B$404,MATCH(B503,EXTRATO_IMPORTADO!$I$5:$I$404,0)),"")</f>
        <v/>
      </c>
      <c r="R503" s="26" t="str">
        <f>IFERROR(MATCH(B503,EXTRATO_IMPORTADO!$I$5:$I$404,0),"")</f>
        <v/>
      </c>
      <c r="S503" s="14" t="str">
        <f t="shared" si="22"/>
        <v/>
      </c>
      <c r="T503" s="33" t="str">
        <f t="shared" si="23"/>
        <v/>
      </c>
    </row>
    <row r="504" spans="1:20" x14ac:dyDescent="0.3">
      <c r="A504" s="26">
        <f>IF(BASE_CAIXA!A501="","",BASE_CAIXA!A501)</f>
        <v>500</v>
      </c>
      <c r="B504" s="26" t="str">
        <f>IF(A504="","",BASE_CAIXA!AL501)</f>
        <v>000500-DB</v>
      </c>
      <c r="C504" s="13">
        <f>IF(A504="","",BASE_CAIXA!AJ501)</f>
        <v>46199</v>
      </c>
      <c r="D504" s="26" t="str">
        <f>IF(A504="","",IF(BASE_CAIXA!C501="Entrada","Crédito","Débito"))</f>
        <v>Débito</v>
      </c>
      <c r="E504" s="14">
        <f>IF(A504="","",BASE_CAIXA!AA501)</f>
        <v>1097.5999999999999</v>
      </c>
      <c r="F504" s="26">
        <f>IF(A504="","",BASE_CAIXA!N501)</f>
        <v>0</v>
      </c>
      <c r="G504" s="26">
        <f>IF(A504="","",BASE_CAIXA!O501)</f>
        <v>0</v>
      </c>
      <c r="H504" s="26">
        <f>IF(A504="","",BASE_CAIXA!P501)</f>
        <v>0</v>
      </c>
      <c r="I504" s="26" t="str">
        <f>IF(A504="","",IF(BASE_CAIXA!H501&lt;&gt;"",BASE_CAIXA!H501,BASE_CAIXA!G501))</f>
        <v>Interruptor 2 teclas simples</v>
      </c>
      <c r="J504" s="26" t="str">
        <f>IF(A504="","",BASE_CAIXA!G501)</f>
        <v>Interruptor 2 teclas simples</v>
      </c>
      <c r="K504" s="26">
        <f>IF(A504="","",BASE_CAIXA!I501)</f>
        <v>0</v>
      </c>
      <c r="L504" s="26">
        <f>IF(A504="","",BASE_CAIXA!J501)</f>
        <v>0</v>
      </c>
      <c r="M504" s="26" t="str">
        <f>IF(A504="","",BASE_CAIXA!AM501)</f>
        <v xml:space="preserve">Interruptor 2 teclas simples | Interruptor 2 teclas simples </v>
      </c>
      <c r="N504" s="26" t="str">
        <f t="shared" ca="1" si="21"/>
        <v>Previsto</v>
      </c>
      <c r="O504" s="13" t="str">
        <f>IFERROR(INDEX(EXTRATO_IMPORTADO!$A$5:$A$404,MATCH(B504,EXTRATO_IMPORTADO!$I$5:$I$404,0)),"")</f>
        <v/>
      </c>
      <c r="P504" s="14" t="str">
        <f>IFERROR(INDEX(EXTRATO_IMPORTADO!$F$5:$F$404,MATCH(B504,EXTRATO_IMPORTADO!$I$5:$I$404,0)),"")</f>
        <v/>
      </c>
      <c r="Q504" s="26" t="str">
        <f>IFERROR(INDEX(EXTRATO_IMPORTADO!$B$5:$B$404,MATCH(B504,EXTRATO_IMPORTADO!$I$5:$I$404,0)),"")</f>
        <v/>
      </c>
      <c r="R504" s="26" t="str">
        <f>IFERROR(MATCH(B504,EXTRATO_IMPORTADO!$I$5:$I$404,0),"")</f>
        <v/>
      </c>
      <c r="S504" s="14" t="str">
        <f t="shared" si="22"/>
        <v/>
      </c>
      <c r="T504" s="33" t="str">
        <f t="shared" si="23"/>
        <v/>
      </c>
    </row>
    <row r="505" spans="1:20" x14ac:dyDescent="0.3">
      <c r="A505" s="26">
        <f>IF(BASE_CAIXA!A502="","",BASE_CAIXA!A502)</f>
        <v>501</v>
      </c>
      <c r="B505" s="26" t="str">
        <f>IF(A505="","",BASE_CAIXA!AL502)</f>
        <v>000501-DB</v>
      </c>
      <c r="C505" s="13">
        <f>IF(A505="","",BASE_CAIXA!AJ502)</f>
        <v>46199</v>
      </c>
      <c r="D505" s="26" t="str">
        <f>IF(A505="","",IF(BASE_CAIXA!C502="Entrada","Crédito","Débito"))</f>
        <v>Débito</v>
      </c>
      <c r="E505" s="14">
        <f>IF(A505="","",BASE_CAIXA!AA502)</f>
        <v>552</v>
      </c>
      <c r="F505" s="26">
        <f>IF(A505="","",BASE_CAIXA!N502)</f>
        <v>0</v>
      </c>
      <c r="G505" s="26">
        <f>IF(A505="","",BASE_CAIXA!O502)</f>
        <v>0</v>
      </c>
      <c r="H505" s="26">
        <f>IF(A505="","",BASE_CAIXA!P502)</f>
        <v>0</v>
      </c>
      <c r="I505" s="26" t="str">
        <f>IF(A505="","",IF(BASE_CAIXA!H502&lt;&gt;"",BASE_CAIXA!H502,BASE_CAIXA!G502))</f>
        <v>Kit 1 Barramento Neutro + 1 Barramento Terra sem Proteção HC-004 80A | 12 Entradas</v>
      </c>
      <c r="J505" s="26" t="str">
        <f>IF(A505="","",BASE_CAIXA!G502)</f>
        <v>Kit 1 Barramento Neutro + 1 Barramento Terra sem Proteção HC-004 80A | 12 Entradas</v>
      </c>
      <c r="K505" s="26">
        <f>IF(A505="","",BASE_CAIXA!I502)</f>
        <v>0</v>
      </c>
      <c r="L505" s="26">
        <f>IF(A505="","",BASE_CAIXA!J502)</f>
        <v>0</v>
      </c>
      <c r="M505" s="26" t="str">
        <f>IF(A505="","",BASE_CAIXA!AM502)</f>
        <v>Kit 1 Barramento Neutro + 1 Barramento Terra sem Proteção HC</v>
      </c>
      <c r="N505" s="26" t="str">
        <f t="shared" ca="1" si="21"/>
        <v>Previsto</v>
      </c>
      <c r="O505" s="13" t="str">
        <f>IFERROR(INDEX(EXTRATO_IMPORTADO!$A$5:$A$404,MATCH(B505,EXTRATO_IMPORTADO!$I$5:$I$404,0)),"")</f>
        <v/>
      </c>
      <c r="P505" s="14" t="str">
        <f>IFERROR(INDEX(EXTRATO_IMPORTADO!$F$5:$F$404,MATCH(B505,EXTRATO_IMPORTADO!$I$5:$I$404,0)),"")</f>
        <v/>
      </c>
      <c r="Q505" s="26" t="str">
        <f>IFERROR(INDEX(EXTRATO_IMPORTADO!$B$5:$B$404,MATCH(B505,EXTRATO_IMPORTADO!$I$5:$I$404,0)),"")</f>
        <v/>
      </c>
      <c r="R505" s="26" t="str">
        <f>IFERROR(MATCH(B505,EXTRATO_IMPORTADO!$I$5:$I$404,0),"")</f>
        <v/>
      </c>
      <c r="S505" s="14" t="str">
        <f t="shared" si="22"/>
        <v/>
      </c>
      <c r="T505" s="33" t="str">
        <f t="shared" si="23"/>
        <v/>
      </c>
    </row>
    <row r="506" spans="1:20" x14ac:dyDescent="0.3">
      <c r="A506" s="26">
        <f>IF(BASE_CAIXA!A503="","",BASE_CAIXA!A503)</f>
        <v>502</v>
      </c>
      <c r="B506" s="26" t="str">
        <f>IF(A506="","",BASE_CAIXA!AL503)</f>
        <v>000502-DB</v>
      </c>
      <c r="C506" s="13">
        <f>IF(A506="","",BASE_CAIXA!AJ503)</f>
        <v>46199</v>
      </c>
      <c r="D506" s="26" t="str">
        <f>IF(A506="","",IF(BASE_CAIXA!C503="Entrada","Crédito","Débito"))</f>
        <v>Débito</v>
      </c>
      <c r="E506" s="14">
        <f>IF(A506="","",BASE_CAIXA!AA503)</f>
        <v>4160</v>
      </c>
      <c r="F506" s="26">
        <f>IF(A506="","",BASE_CAIXA!N503)</f>
        <v>0</v>
      </c>
      <c r="G506" s="26">
        <f>IF(A506="","",BASE_CAIXA!O503)</f>
        <v>0</v>
      </c>
      <c r="H506" s="26">
        <f>IF(A506="","",BASE_CAIXA!P503)</f>
        <v>0</v>
      </c>
      <c r="I506" s="26" t="str">
        <f>IF(A506="","",IF(BASE_CAIXA!H503&lt;&gt;"",BASE_CAIXA!H503,BASE_CAIXA!G503))</f>
        <v>Kit tampa quadro de distribuição 6 disjuntores</v>
      </c>
      <c r="J506" s="26" t="str">
        <f>IF(A506="","",BASE_CAIXA!G503)</f>
        <v>Kit tampa quadro de distribuição 6 disjuntores</v>
      </c>
      <c r="K506" s="26">
        <f>IF(A506="","",BASE_CAIXA!I503)</f>
        <v>0</v>
      </c>
      <c r="L506" s="26">
        <f>IF(A506="","",BASE_CAIXA!J503)</f>
        <v>0</v>
      </c>
      <c r="M506" s="26" t="str">
        <f>IF(A506="","",BASE_CAIXA!AM503)</f>
        <v>Kit tampa quadro de distribuição 6 disjuntores | Kit tampa q</v>
      </c>
      <c r="N506" s="26" t="str">
        <f t="shared" ca="1" si="21"/>
        <v>Previsto</v>
      </c>
      <c r="O506" s="13" t="str">
        <f>IFERROR(INDEX(EXTRATO_IMPORTADO!$A$5:$A$404,MATCH(B506,EXTRATO_IMPORTADO!$I$5:$I$404,0)),"")</f>
        <v/>
      </c>
      <c r="P506" s="14" t="str">
        <f>IFERROR(INDEX(EXTRATO_IMPORTADO!$F$5:$F$404,MATCH(B506,EXTRATO_IMPORTADO!$I$5:$I$404,0)),"")</f>
        <v/>
      </c>
      <c r="Q506" s="26" t="str">
        <f>IFERROR(INDEX(EXTRATO_IMPORTADO!$B$5:$B$404,MATCH(B506,EXTRATO_IMPORTADO!$I$5:$I$404,0)),"")</f>
        <v/>
      </c>
      <c r="R506" s="26" t="str">
        <f>IFERROR(MATCH(B506,EXTRATO_IMPORTADO!$I$5:$I$404,0),"")</f>
        <v/>
      </c>
      <c r="S506" s="14" t="str">
        <f t="shared" si="22"/>
        <v/>
      </c>
      <c r="T506" s="33" t="str">
        <f t="shared" si="23"/>
        <v/>
      </c>
    </row>
    <row r="507" spans="1:20" x14ac:dyDescent="0.3">
      <c r="A507" s="26">
        <f>IF(BASE_CAIXA!A504="","",BASE_CAIXA!A504)</f>
        <v>503</v>
      </c>
      <c r="B507" s="26" t="str">
        <f>IF(A507="","",BASE_CAIXA!AL504)</f>
        <v>000503-DB</v>
      </c>
      <c r="C507" s="13">
        <f>IF(A507="","",BASE_CAIXA!AJ504)</f>
        <v>46199</v>
      </c>
      <c r="D507" s="26" t="str">
        <f>IF(A507="","",IF(BASE_CAIXA!C504="Entrada","Crédito","Débito"))</f>
        <v>Débito</v>
      </c>
      <c r="E507" s="14">
        <f>IF(A507="","",BASE_CAIXA!AA504)</f>
        <v>1545.6</v>
      </c>
      <c r="F507" s="26">
        <f>IF(A507="","",BASE_CAIXA!N504)</f>
        <v>0</v>
      </c>
      <c r="G507" s="26">
        <f>IF(A507="","",BASE_CAIXA!O504)</f>
        <v>0</v>
      </c>
      <c r="H507" s="26">
        <f>IF(A507="","",BASE_CAIXA!P504)</f>
        <v>0</v>
      </c>
      <c r="I507" s="26" t="str">
        <f>IF(A507="","",IF(BASE_CAIXA!H504&lt;&gt;"",BASE_CAIXA!H504,BASE_CAIXA!G504))</f>
        <v>LAMPADA LED 10 W B</v>
      </c>
      <c r="J507" s="26" t="str">
        <f>IF(A507="","",BASE_CAIXA!G504)</f>
        <v>LAMPADA LED 10 W B</v>
      </c>
      <c r="K507" s="26">
        <f>IF(A507="","",BASE_CAIXA!I504)</f>
        <v>0</v>
      </c>
      <c r="L507" s="26">
        <f>IF(A507="","",BASE_CAIXA!J504)</f>
        <v>0</v>
      </c>
      <c r="M507" s="26" t="str">
        <f>IF(A507="","",BASE_CAIXA!AM504)</f>
        <v>LAMPADA LED 10 W B | LAMPADA LED 10 W B | Saída | ELETRICA E</v>
      </c>
      <c r="N507" s="26" t="str">
        <f t="shared" ca="1" si="21"/>
        <v>Previsto</v>
      </c>
      <c r="O507" s="13" t="str">
        <f>IFERROR(INDEX(EXTRATO_IMPORTADO!$A$5:$A$404,MATCH(B507,EXTRATO_IMPORTADO!$I$5:$I$404,0)),"")</f>
        <v/>
      </c>
      <c r="P507" s="14" t="str">
        <f>IFERROR(INDEX(EXTRATO_IMPORTADO!$F$5:$F$404,MATCH(B507,EXTRATO_IMPORTADO!$I$5:$I$404,0)),"")</f>
        <v/>
      </c>
      <c r="Q507" s="26" t="str">
        <f>IFERROR(INDEX(EXTRATO_IMPORTADO!$B$5:$B$404,MATCH(B507,EXTRATO_IMPORTADO!$I$5:$I$404,0)),"")</f>
        <v/>
      </c>
      <c r="R507" s="26" t="str">
        <f>IFERROR(MATCH(B507,EXTRATO_IMPORTADO!$I$5:$I$404,0),"")</f>
        <v/>
      </c>
      <c r="S507" s="14" t="str">
        <f t="shared" si="22"/>
        <v/>
      </c>
      <c r="T507" s="33" t="str">
        <f t="shared" si="23"/>
        <v/>
      </c>
    </row>
    <row r="508" spans="1:20" x14ac:dyDescent="0.3">
      <c r="A508" s="26">
        <f>IF(BASE_CAIXA!A505="","",BASE_CAIXA!A505)</f>
        <v>504</v>
      </c>
      <c r="B508" s="26" t="str">
        <f>IF(A508="","",BASE_CAIXA!AL505)</f>
        <v>000504-DB</v>
      </c>
      <c r="C508" s="13">
        <f>IF(A508="","",BASE_CAIXA!AJ505)</f>
        <v>46199</v>
      </c>
      <c r="D508" s="26" t="str">
        <f>IF(A508="","",IF(BASE_CAIXA!C505="Entrada","Crédito","Débito"))</f>
        <v>Débito</v>
      </c>
      <c r="E508" s="14">
        <f>IF(A508="","",BASE_CAIXA!AA505)</f>
        <v>5252.7999999999993</v>
      </c>
      <c r="F508" s="26">
        <f>IF(A508="","",BASE_CAIXA!N505)</f>
        <v>0</v>
      </c>
      <c r="G508" s="26">
        <f>IF(A508="","",BASE_CAIXA!O505)</f>
        <v>0</v>
      </c>
      <c r="H508" s="26">
        <f>IF(A508="","",BASE_CAIXA!P505)</f>
        <v>0</v>
      </c>
      <c r="I508" s="26" t="str">
        <f>IF(A508="","",IF(BASE_CAIXA!H505&lt;&gt;"",BASE_CAIXA!H505,BASE_CAIXA!G505))</f>
        <v>Mao de obra terceirizada Pontos eletricos completos  + quadro</v>
      </c>
      <c r="J508" s="26" t="str">
        <f>IF(A508="","",BASE_CAIXA!G505)</f>
        <v>Mao de obra terceirizada Pontos eletricos completos  + quadro</v>
      </c>
      <c r="K508" s="26">
        <f>IF(A508="","",BASE_CAIXA!I505)</f>
        <v>0</v>
      </c>
      <c r="L508" s="26">
        <f>IF(A508="","",BASE_CAIXA!J505)</f>
        <v>0</v>
      </c>
      <c r="M508" s="26" t="str">
        <f>IF(A508="","",BASE_CAIXA!AM505)</f>
        <v>Mao de obra terceirizada Pontos eletricos completos  + quadr</v>
      </c>
      <c r="N508" s="26" t="str">
        <f t="shared" ca="1" si="21"/>
        <v>Previsto</v>
      </c>
      <c r="O508" s="13" t="str">
        <f>IFERROR(INDEX(EXTRATO_IMPORTADO!$A$5:$A$404,MATCH(B508,EXTRATO_IMPORTADO!$I$5:$I$404,0)),"")</f>
        <v/>
      </c>
      <c r="P508" s="14" t="str">
        <f>IFERROR(INDEX(EXTRATO_IMPORTADO!$F$5:$F$404,MATCH(B508,EXTRATO_IMPORTADO!$I$5:$I$404,0)),"")</f>
        <v/>
      </c>
      <c r="Q508" s="26" t="str">
        <f>IFERROR(INDEX(EXTRATO_IMPORTADO!$B$5:$B$404,MATCH(B508,EXTRATO_IMPORTADO!$I$5:$I$404,0)),"")</f>
        <v/>
      </c>
      <c r="R508" s="26" t="str">
        <f>IFERROR(MATCH(B508,EXTRATO_IMPORTADO!$I$5:$I$404,0),"")</f>
        <v/>
      </c>
      <c r="S508" s="14" t="str">
        <f t="shared" si="22"/>
        <v/>
      </c>
      <c r="T508" s="33" t="str">
        <f t="shared" si="23"/>
        <v/>
      </c>
    </row>
    <row r="509" spans="1:20" x14ac:dyDescent="0.3">
      <c r="A509" s="26">
        <f>IF(BASE_CAIXA!A506="","",BASE_CAIXA!A506)</f>
        <v>505</v>
      </c>
      <c r="B509" s="26" t="str">
        <f>IF(A509="","",BASE_CAIXA!AL506)</f>
        <v>000505-DB</v>
      </c>
      <c r="C509" s="13">
        <f>IF(A509="","",BASE_CAIXA!AJ506)</f>
        <v>46199</v>
      </c>
      <c r="D509" s="26" t="str">
        <f>IF(A509="","",IF(BASE_CAIXA!C506="Entrada","Crédito","Débito"))</f>
        <v>Débito</v>
      </c>
      <c r="E509" s="14">
        <f>IF(A509="","",BASE_CAIXA!AA506)</f>
        <v>2251.1999999999998</v>
      </c>
      <c r="F509" s="26">
        <f>IF(A509="","",BASE_CAIXA!N506)</f>
        <v>0</v>
      </c>
      <c r="G509" s="26">
        <f>IF(A509="","",BASE_CAIXA!O506)</f>
        <v>0</v>
      </c>
      <c r="H509" s="26">
        <f>IF(A509="","",BASE_CAIXA!P506)</f>
        <v>0</v>
      </c>
      <c r="I509" s="26" t="str">
        <f>IF(A509="","",IF(BASE_CAIXA!H506&lt;&gt;"",BASE_CAIXA!H506,BASE_CAIXA!G506))</f>
        <v>Mao de obra terceirizada colocaçao Espelhos, lampadas e testes</v>
      </c>
      <c r="J509" s="26" t="str">
        <f>IF(A509="","",BASE_CAIXA!G506)</f>
        <v>Mao de obra terceirizada colocaçao Espelhos, lampadas e testes</v>
      </c>
      <c r="K509" s="26">
        <f>IF(A509="","",BASE_CAIXA!I506)</f>
        <v>0</v>
      </c>
      <c r="L509" s="26">
        <f>IF(A509="","",BASE_CAIXA!J506)</f>
        <v>0</v>
      </c>
      <c r="M509" s="26" t="str">
        <f>IF(A509="","",BASE_CAIXA!AM506)</f>
        <v>Mao de obra terceirizada colocaçao Espelhos, lampadas e test</v>
      </c>
      <c r="N509" s="26" t="str">
        <f t="shared" ca="1" si="21"/>
        <v>Previsto</v>
      </c>
      <c r="O509" s="13" t="str">
        <f>IFERROR(INDEX(EXTRATO_IMPORTADO!$A$5:$A$404,MATCH(B509,EXTRATO_IMPORTADO!$I$5:$I$404,0)),"")</f>
        <v/>
      </c>
      <c r="P509" s="14" t="str">
        <f>IFERROR(INDEX(EXTRATO_IMPORTADO!$F$5:$F$404,MATCH(B509,EXTRATO_IMPORTADO!$I$5:$I$404,0)),"")</f>
        <v/>
      </c>
      <c r="Q509" s="26" t="str">
        <f>IFERROR(INDEX(EXTRATO_IMPORTADO!$B$5:$B$404,MATCH(B509,EXTRATO_IMPORTADO!$I$5:$I$404,0)),"")</f>
        <v/>
      </c>
      <c r="R509" s="26" t="str">
        <f>IFERROR(MATCH(B509,EXTRATO_IMPORTADO!$I$5:$I$404,0),"")</f>
        <v/>
      </c>
      <c r="S509" s="14" t="str">
        <f t="shared" si="22"/>
        <v/>
      </c>
      <c r="T509" s="33" t="str">
        <f t="shared" si="23"/>
        <v/>
      </c>
    </row>
    <row r="510" spans="1:20" x14ac:dyDescent="0.3">
      <c r="A510" s="26">
        <f>IF(BASE_CAIXA!A507="","",BASE_CAIXA!A507)</f>
        <v>506</v>
      </c>
      <c r="B510" s="26" t="str">
        <f>IF(A510="","",BASE_CAIXA!AL507)</f>
        <v>000506-DB</v>
      </c>
      <c r="C510" s="13">
        <f>IF(A510="","",BASE_CAIXA!AJ507)</f>
        <v>46199</v>
      </c>
      <c r="D510" s="26" t="str">
        <f>IF(A510="","",IF(BASE_CAIXA!C507="Entrada","Crédito","Débito"))</f>
        <v>Débito</v>
      </c>
      <c r="E510" s="14">
        <f>IF(A510="","",BASE_CAIXA!AA507)</f>
        <v>161.6</v>
      </c>
      <c r="F510" s="26">
        <f>IF(A510="","",BASE_CAIXA!N507)</f>
        <v>0</v>
      </c>
      <c r="G510" s="26">
        <f>IF(A510="","",BASE_CAIXA!O507)</f>
        <v>0</v>
      </c>
      <c r="H510" s="26">
        <f>IF(A510="","",BASE_CAIXA!P507)</f>
        <v>0</v>
      </c>
      <c r="I510" s="26" t="str">
        <f>IF(A510="","",IF(BASE_CAIXA!H507&lt;&gt;"",BASE_CAIXA!H507,BASE_CAIXA!G507))</f>
        <v>Placa 2x4" p/ 1 função redonda telefone</v>
      </c>
      <c r="J510" s="26" t="str">
        <f>IF(A510="","",BASE_CAIXA!G507)</f>
        <v>Placa 2x4" p/ 1 função redonda telefone</v>
      </c>
      <c r="K510" s="26">
        <f>IF(A510="","",BASE_CAIXA!I507)</f>
        <v>0</v>
      </c>
      <c r="L510" s="26">
        <f>IF(A510="","",BASE_CAIXA!J507)</f>
        <v>0</v>
      </c>
      <c r="M510" s="26" t="str">
        <f>IF(A510="","",BASE_CAIXA!AM507)</f>
        <v>Placa 2x4" p/ 1 função redonda telefone | Placa 2x4" p/ 1 fu</v>
      </c>
      <c r="N510" s="26" t="str">
        <f t="shared" ca="1" si="21"/>
        <v>Previsto</v>
      </c>
      <c r="O510" s="13" t="str">
        <f>IFERROR(INDEX(EXTRATO_IMPORTADO!$A$5:$A$404,MATCH(B510,EXTRATO_IMPORTADO!$I$5:$I$404,0)),"")</f>
        <v/>
      </c>
      <c r="P510" s="14" t="str">
        <f>IFERROR(INDEX(EXTRATO_IMPORTADO!$F$5:$F$404,MATCH(B510,EXTRATO_IMPORTADO!$I$5:$I$404,0)),"")</f>
        <v/>
      </c>
      <c r="Q510" s="26" t="str">
        <f>IFERROR(INDEX(EXTRATO_IMPORTADO!$B$5:$B$404,MATCH(B510,EXTRATO_IMPORTADO!$I$5:$I$404,0)),"")</f>
        <v/>
      </c>
      <c r="R510" s="26" t="str">
        <f>IFERROR(MATCH(B510,EXTRATO_IMPORTADO!$I$5:$I$404,0),"")</f>
        <v/>
      </c>
      <c r="S510" s="14" t="str">
        <f t="shared" si="22"/>
        <v/>
      </c>
      <c r="T510" s="33" t="str">
        <f t="shared" si="23"/>
        <v/>
      </c>
    </row>
    <row r="511" spans="1:20" x14ac:dyDescent="0.3">
      <c r="A511" s="26">
        <f>IF(BASE_CAIXA!A508="","",BASE_CAIXA!A508)</f>
        <v>507</v>
      </c>
      <c r="B511" s="26" t="str">
        <f>IF(A511="","",BASE_CAIXA!AL508)</f>
        <v>000507-DB</v>
      </c>
      <c r="C511" s="13">
        <f>IF(A511="","",BASE_CAIXA!AJ508)</f>
        <v>46199</v>
      </c>
      <c r="D511" s="26" t="str">
        <f>IF(A511="","",IF(BASE_CAIXA!C508="Entrada","Crédito","Débito"))</f>
        <v>Débito</v>
      </c>
      <c r="E511" s="14">
        <f>IF(A511="","",BASE_CAIXA!AA508)</f>
        <v>415.68</v>
      </c>
      <c r="F511" s="26">
        <f>IF(A511="","",BASE_CAIXA!N508)</f>
        <v>0</v>
      </c>
      <c r="G511" s="26">
        <f>IF(A511="","",BASE_CAIXA!O508)</f>
        <v>0</v>
      </c>
      <c r="H511" s="26">
        <f>IF(A511="","",BASE_CAIXA!P508)</f>
        <v>0</v>
      </c>
      <c r="I511" s="26" t="str">
        <f>IF(A511="","",IF(BASE_CAIXA!H508&lt;&gt;"",BASE_CAIXA!H508,BASE_CAIXA!G508))</f>
        <v>Placa 2x4" tomada TV/SAT</v>
      </c>
      <c r="J511" s="26" t="str">
        <f>IF(A511="","",BASE_CAIXA!G508)</f>
        <v>Placa 2x4" tomada TV/SAT</v>
      </c>
      <c r="K511" s="26">
        <f>IF(A511="","",BASE_CAIXA!I508)</f>
        <v>0</v>
      </c>
      <c r="L511" s="26">
        <f>IF(A511="","",BASE_CAIXA!J508)</f>
        <v>0</v>
      </c>
      <c r="M511" s="26" t="str">
        <f>IF(A511="","",BASE_CAIXA!AM508)</f>
        <v xml:space="preserve">Placa 2x4" tomada TV/SAT | Placa 2x4" tomada TV/SAT | Saída </v>
      </c>
      <c r="N511" s="26" t="str">
        <f t="shared" ca="1" si="21"/>
        <v>Previsto</v>
      </c>
      <c r="O511" s="13" t="str">
        <f>IFERROR(INDEX(EXTRATO_IMPORTADO!$A$5:$A$404,MATCH(B511,EXTRATO_IMPORTADO!$I$5:$I$404,0)),"")</f>
        <v/>
      </c>
      <c r="P511" s="14" t="str">
        <f>IFERROR(INDEX(EXTRATO_IMPORTADO!$F$5:$F$404,MATCH(B511,EXTRATO_IMPORTADO!$I$5:$I$404,0)),"")</f>
        <v/>
      </c>
      <c r="Q511" s="26" t="str">
        <f>IFERROR(INDEX(EXTRATO_IMPORTADO!$B$5:$B$404,MATCH(B511,EXTRATO_IMPORTADO!$I$5:$I$404,0)),"")</f>
        <v/>
      </c>
      <c r="R511" s="26" t="str">
        <f>IFERROR(MATCH(B511,EXTRATO_IMPORTADO!$I$5:$I$404,0),"")</f>
        <v/>
      </c>
      <c r="S511" s="14" t="str">
        <f t="shared" si="22"/>
        <v/>
      </c>
      <c r="T511" s="33" t="str">
        <f t="shared" si="23"/>
        <v/>
      </c>
    </row>
    <row r="512" spans="1:20" x14ac:dyDescent="0.3">
      <c r="A512" s="26">
        <f>IF(BASE_CAIXA!A509="","",BASE_CAIXA!A509)</f>
        <v>508</v>
      </c>
      <c r="B512" s="26" t="str">
        <f>IF(A512="","",BASE_CAIXA!AL509)</f>
        <v>000508-DB</v>
      </c>
      <c r="C512" s="13">
        <f>IF(A512="","",BASE_CAIXA!AJ509)</f>
        <v>46199</v>
      </c>
      <c r="D512" s="26" t="str">
        <f>IF(A512="","",IF(BASE_CAIXA!C509="Entrada","Crédito","Débito"))</f>
        <v>Débito</v>
      </c>
      <c r="E512" s="14">
        <f>IF(A512="","",BASE_CAIXA!AA509)</f>
        <v>3782.4</v>
      </c>
      <c r="F512" s="26">
        <f>IF(A512="","",BASE_CAIXA!N509)</f>
        <v>0</v>
      </c>
      <c r="G512" s="26">
        <f>IF(A512="","",BASE_CAIXA!O509)</f>
        <v>0</v>
      </c>
      <c r="H512" s="26">
        <f>IF(A512="","",BASE_CAIXA!P509)</f>
        <v>0</v>
      </c>
      <c r="I512" s="26" t="str">
        <f>IF(A512="","",IF(BASE_CAIXA!H509&lt;&gt;"",BASE_CAIXA!H509,BASE_CAIXA!G509))</f>
        <v>Placa p/ 1 função</v>
      </c>
      <c r="J512" s="26" t="str">
        <f>IF(A512="","",BASE_CAIXA!G509)</f>
        <v>Placa p/ 1 função</v>
      </c>
      <c r="K512" s="26">
        <f>IF(A512="","",BASE_CAIXA!I509)</f>
        <v>0</v>
      </c>
      <c r="L512" s="26">
        <f>IF(A512="","",BASE_CAIXA!J509)</f>
        <v>0</v>
      </c>
      <c r="M512" s="26" t="str">
        <f>IF(A512="","",BASE_CAIXA!AM509)</f>
        <v>Placa p/ 1 função | Placa p/ 1 função | Saída | ELETRICA EFI</v>
      </c>
      <c r="N512" s="26" t="str">
        <f t="shared" ca="1" si="21"/>
        <v>Previsto</v>
      </c>
      <c r="O512" s="13" t="str">
        <f>IFERROR(INDEX(EXTRATO_IMPORTADO!$A$5:$A$404,MATCH(B512,EXTRATO_IMPORTADO!$I$5:$I$404,0)),"")</f>
        <v/>
      </c>
      <c r="P512" s="14" t="str">
        <f>IFERROR(INDEX(EXTRATO_IMPORTADO!$F$5:$F$404,MATCH(B512,EXTRATO_IMPORTADO!$I$5:$I$404,0)),"")</f>
        <v/>
      </c>
      <c r="Q512" s="26" t="str">
        <f>IFERROR(INDEX(EXTRATO_IMPORTADO!$B$5:$B$404,MATCH(B512,EXTRATO_IMPORTADO!$I$5:$I$404,0)),"")</f>
        <v/>
      </c>
      <c r="R512" s="26" t="str">
        <f>IFERROR(MATCH(B512,EXTRATO_IMPORTADO!$I$5:$I$404,0),"")</f>
        <v/>
      </c>
      <c r="S512" s="14" t="str">
        <f t="shared" si="22"/>
        <v/>
      </c>
      <c r="T512" s="33" t="str">
        <f t="shared" si="23"/>
        <v/>
      </c>
    </row>
    <row r="513" spans="1:20" x14ac:dyDescent="0.3">
      <c r="A513" s="26">
        <f>IF(BASE_CAIXA!A510="","",BASE_CAIXA!A510)</f>
        <v>509</v>
      </c>
      <c r="B513" s="26" t="str">
        <f>IF(A513="","",BASE_CAIXA!AL510)</f>
        <v>000509-DB</v>
      </c>
      <c r="C513" s="13">
        <f>IF(A513="","",BASE_CAIXA!AJ510)</f>
        <v>46199</v>
      </c>
      <c r="D513" s="26" t="str">
        <f>IF(A513="","",IF(BASE_CAIXA!C510="Entrada","Crédito","Débito"))</f>
        <v>Débito</v>
      </c>
      <c r="E513" s="14">
        <f>IF(A513="","",BASE_CAIXA!AA510)</f>
        <v>1219.8399999999999</v>
      </c>
      <c r="F513" s="26">
        <f>IF(A513="","",BASE_CAIXA!N510)</f>
        <v>0</v>
      </c>
      <c r="G513" s="26">
        <f>IF(A513="","",BASE_CAIXA!O510)</f>
        <v>0</v>
      </c>
      <c r="H513" s="26">
        <f>IF(A513="","",BASE_CAIXA!P510)</f>
        <v>0</v>
      </c>
      <c r="I513" s="26" t="str">
        <f>IF(A513="","",IF(BASE_CAIXA!H510&lt;&gt;"",BASE_CAIXA!H510,BASE_CAIXA!G510))</f>
        <v>Placa p/ 2 funções</v>
      </c>
      <c r="J513" s="26" t="str">
        <f>IF(A513="","",BASE_CAIXA!G510)</f>
        <v>Placa p/ 2 funções</v>
      </c>
      <c r="K513" s="26">
        <f>IF(A513="","",BASE_CAIXA!I510)</f>
        <v>0</v>
      </c>
      <c r="L513" s="26">
        <f>IF(A513="","",BASE_CAIXA!J510)</f>
        <v>0</v>
      </c>
      <c r="M513" s="26" t="str">
        <f>IF(A513="","",BASE_CAIXA!AM510)</f>
        <v>Placa p/ 2 funções | Placa p/ 2 funções | Saída | ELETRICA E</v>
      </c>
      <c r="N513" s="26" t="str">
        <f t="shared" ca="1" si="21"/>
        <v>Previsto</v>
      </c>
      <c r="O513" s="13" t="str">
        <f>IFERROR(INDEX(EXTRATO_IMPORTADO!$A$5:$A$404,MATCH(B513,EXTRATO_IMPORTADO!$I$5:$I$404,0)),"")</f>
        <v/>
      </c>
      <c r="P513" s="14" t="str">
        <f>IFERROR(INDEX(EXTRATO_IMPORTADO!$F$5:$F$404,MATCH(B513,EXTRATO_IMPORTADO!$I$5:$I$404,0)),"")</f>
        <v/>
      </c>
      <c r="Q513" s="26" t="str">
        <f>IFERROR(INDEX(EXTRATO_IMPORTADO!$B$5:$B$404,MATCH(B513,EXTRATO_IMPORTADO!$I$5:$I$404,0)),"")</f>
        <v/>
      </c>
      <c r="R513" s="26" t="str">
        <f>IFERROR(MATCH(B513,EXTRATO_IMPORTADO!$I$5:$I$404,0),"")</f>
        <v/>
      </c>
      <c r="S513" s="14" t="str">
        <f t="shared" si="22"/>
        <v/>
      </c>
      <c r="T513" s="33" t="str">
        <f t="shared" si="23"/>
        <v/>
      </c>
    </row>
    <row r="514" spans="1:20" x14ac:dyDescent="0.3">
      <c r="A514" s="26">
        <f>IF(BASE_CAIXA!A511="","",BASE_CAIXA!A511)</f>
        <v>510</v>
      </c>
      <c r="B514" s="26" t="str">
        <f>IF(A514="","",BASE_CAIXA!AL511)</f>
        <v>000510-DB</v>
      </c>
      <c r="C514" s="13">
        <f>IF(A514="","",BASE_CAIXA!AJ511)</f>
        <v>46199</v>
      </c>
      <c r="D514" s="26" t="str">
        <f>IF(A514="","",IF(BASE_CAIXA!C511="Entrada","Crédito","Débito"))</f>
        <v>Débito</v>
      </c>
      <c r="E514" s="14">
        <f>IF(A514="","",BASE_CAIXA!AA511)</f>
        <v>1682.24</v>
      </c>
      <c r="F514" s="26">
        <f>IF(A514="","",BASE_CAIXA!N511)</f>
        <v>0</v>
      </c>
      <c r="G514" s="26">
        <f>IF(A514="","",BASE_CAIXA!O511)</f>
        <v>0</v>
      </c>
      <c r="H514" s="26">
        <f>IF(A514="","",BASE_CAIXA!P511)</f>
        <v>0</v>
      </c>
      <c r="I514" s="26" t="str">
        <f>IF(A514="","",IF(BASE_CAIXA!H511&lt;&gt;"",BASE_CAIXA!H511,BASE_CAIXA!G511))</f>
        <v>Plafon branco para lampada soquete</v>
      </c>
      <c r="J514" s="26" t="str">
        <f>IF(A514="","",BASE_CAIXA!G511)</f>
        <v>Plafon branco para lampada soquete</v>
      </c>
      <c r="K514" s="26">
        <f>IF(A514="","",BASE_CAIXA!I511)</f>
        <v>0</v>
      </c>
      <c r="L514" s="26">
        <f>IF(A514="","",BASE_CAIXA!J511)</f>
        <v>0</v>
      </c>
      <c r="M514" s="26" t="str">
        <f>IF(A514="","",BASE_CAIXA!AM511)</f>
        <v>Plafon branco para lampada soquete | Plafon branco para lamp</v>
      </c>
      <c r="N514" s="26" t="str">
        <f t="shared" ca="1" si="21"/>
        <v>Previsto</v>
      </c>
      <c r="O514" s="13" t="str">
        <f>IFERROR(INDEX(EXTRATO_IMPORTADO!$A$5:$A$404,MATCH(B514,EXTRATO_IMPORTADO!$I$5:$I$404,0)),"")</f>
        <v/>
      </c>
      <c r="P514" s="14" t="str">
        <f>IFERROR(INDEX(EXTRATO_IMPORTADO!$F$5:$F$404,MATCH(B514,EXTRATO_IMPORTADO!$I$5:$I$404,0)),"")</f>
        <v/>
      </c>
      <c r="Q514" s="26" t="str">
        <f>IFERROR(INDEX(EXTRATO_IMPORTADO!$B$5:$B$404,MATCH(B514,EXTRATO_IMPORTADO!$I$5:$I$404,0)),"")</f>
        <v/>
      </c>
      <c r="R514" s="26" t="str">
        <f>IFERROR(MATCH(B514,EXTRATO_IMPORTADO!$I$5:$I$404,0),"")</f>
        <v/>
      </c>
      <c r="S514" s="14" t="str">
        <f t="shared" si="22"/>
        <v/>
      </c>
      <c r="T514" s="33" t="str">
        <f t="shared" si="23"/>
        <v/>
      </c>
    </row>
    <row r="515" spans="1:20" x14ac:dyDescent="0.3">
      <c r="A515" s="26">
        <f>IF(BASE_CAIXA!A512="","",BASE_CAIXA!A512)</f>
        <v>511</v>
      </c>
      <c r="B515" s="26" t="str">
        <f>IF(A515="","",BASE_CAIXA!AL512)</f>
        <v>000511-DB</v>
      </c>
      <c r="C515" s="13">
        <f>IF(A515="","",BASE_CAIXA!AJ512)</f>
        <v>46199</v>
      </c>
      <c r="D515" s="26" t="str">
        <f>IF(A515="","",IF(BASE_CAIXA!C512="Entrada","Crédito","Débito"))</f>
        <v>Débito</v>
      </c>
      <c r="E515" s="14">
        <f>IF(A515="","",BASE_CAIXA!AA512)</f>
        <v>181.44</v>
      </c>
      <c r="F515" s="26">
        <f>IF(A515="","",BASE_CAIXA!N512)</f>
        <v>0</v>
      </c>
      <c r="G515" s="26">
        <f>IF(A515="","",BASE_CAIXA!O512)</f>
        <v>0</v>
      </c>
      <c r="H515" s="26">
        <f>IF(A515="","",BASE_CAIXA!P512)</f>
        <v>0</v>
      </c>
      <c r="I515" s="26" t="str">
        <f>IF(A515="","",IF(BASE_CAIXA!H512&lt;&gt;"",BASE_CAIXA!H512,BASE_CAIXA!G512))</f>
        <v>Tomada telefone redonda 4P</v>
      </c>
      <c r="J515" s="26" t="str">
        <f>IF(A515="","",BASE_CAIXA!G512)</f>
        <v>Tomada telefone redonda 4P</v>
      </c>
      <c r="K515" s="26">
        <f>IF(A515="","",BASE_CAIXA!I512)</f>
        <v>0</v>
      </c>
      <c r="L515" s="26">
        <f>IF(A515="","",BASE_CAIXA!J512)</f>
        <v>0</v>
      </c>
      <c r="M515" s="26" t="str">
        <f>IF(A515="","",BASE_CAIXA!AM512)</f>
        <v>Tomada telefone redonda 4P | Tomada telefone redonda 4P | Sa</v>
      </c>
      <c r="N515" s="26" t="str">
        <f t="shared" ca="1" si="21"/>
        <v>Previsto</v>
      </c>
      <c r="O515" s="13" t="str">
        <f>IFERROR(INDEX(EXTRATO_IMPORTADO!$A$5:$A$404,MATCH(B515,EXTRATO_IMPORTADO!$I$5:$I$404,0)),"")</f>
        <v/>
      </c>
      <c r="P515" s="14" t="str">
        <f>IFERROR(INDEX(EXTRATO_IMPORTADO!$F$5:$F$404,MATCH(B515,EXTRATO_IMPORTADO!$I$5:$I$404,0)),"")</f>
        <v/>
      </c>
      <c r="Q515" s="26" t="str">
        <f>IFERROR(INDEX(EXTRATO_IMPORTADO!$B$5:$B$404,MATCH(B515,EXTRATO_IMPORTADO!$I$5:$I$404,0)),"")</f>
        <v/>
      </c>
      <c r="R515" s="26" t="str">
        <f>IFERROR(MATCH(B515,EXTRATO_IMPORTADO!$I$5:$I$404,0),"")</f>
        <v/>
      </c>
      <c r="S515" s="14" t="str">
        <f t="shared" si="22"/>
        <v/>
      </c>
      <c r="T515" s="33" t="str">
        <f t="shared" si="23"/>
        <v/>
      </c>
    </row>
    <row r="516" spans="1:20" x14ac:dyDescent="0.3">
      <c r="A516" s="26">
        <f>IF(BASE_CAIXA!A513="","",BASE_CAIXA!A513)</f>
        <v>512</v>
      </c>
      <c r="B516" s="26" t="str">
        <f>IF(A516="","",BASE_CAIXA!AL513)</f>
        <v>000512-DB</v>
      </c>
      <c r="C516" s="13">
        <f>IF(A516="","",BASE_CAIXA!AJ513)</f>
        <v>46199</v>
      </c>
      <c r="D516" s="26" t="str">
        <f>IF(A516="","",IF(BASE_CAIXA!C513="Entrada","Crédito","Débito"))</f>
        <v>Débito</v>
      </c>
      <c r="E516" s="14">
        <f>IF(A516="","",BASE_CAIXA!AA513)</f>
        <v>5104</v>
      </c>
      <c r="F516" s="26">
        <f>IF(A516="","",BASE_CAIXA!N513)</f>
        <v>0</v>
      </c>
      <c r="G516" s="26">
        <f>IF(A516="","",BASE_CAIXA!O513)</f>
        <v>0</v>
      </c>
      <c r="H516" s="26">
        <f>IF(A516="","",BASE_CAIXA!P513)</f>
        <v>0</v>
      </c>
      <c r="I516" s="26" t="str">
        <f>IF(A516="","",IF(BASE_CAIXA!H513&lt;&gt;"",BASE_CAIXA!H513,BASE_CAIXA!G513))</f>
        <v>Tomada universal retangular simples 2P+T 15A</v>
      </c>
      <c r="J516" s="26" t="str">
        <f>IF(A516="","",BASE_CAIXA!G513)</f>
        <v>Tomada universal retangular simples 2P+T 15A</v>
      </c>
      <c r="K516" s="26">
        <f>IF(A516="","",BASE_CAIXA!I513)</f>
        <v>0</v>
      </c>
      <c r="L516" s="26">
        <f>IF(A516="","",BASE_CAIXA!J513)</f>
        <v>0</v>
      </c>
      <c r="M516" s="26" t="str">
        <f>IF(A516="","",BASE_CAIXA!AM513)</f>
        <v>Tomada universal retangular simples 2P+T 15A | Tomada univer</v>
      </c>
      <c r="N516" s="26" t="str">
        <f t="shared" ca="1" si="21"/>
        <v>Previsto</v>
      </c>
      <c r="O516" s="13" t="str">
        <f>IFERROR(INDEX(EXTRATO_IMPORTADO!$A$5:$A$404,MATCH(B516,EXTRATO_IMPORTADO!$I$5:$I$404,0)),"")</f>
        <v/>
      </c>
      <c r="P516" s="14" t="str">
        <f>IFERROR(INDEX(EXTRATO_IMPORTADO!$F$5:$F$404,MATCH(B516,EXTRATO_IMPORTADO!$I$5:$I$404,0)),"")</f>
        <v/>
      </c>
      <c r="Q516" s="26" t="str">
        <f>IFERROR(INDEX(EXTRATO_IMPORTADO!$B$5:$B$404,MATCH(B516,EXTRATO_IMPORTADO!$I$5:$I$404,0)),"")</f>
        <v/>
      </c>
      <c r="R516" s="26" t="str">
        <f>IFERROR(MATCH(B516,EXTRATO_IMPORTADO!$I$5:$I$404,0),"")</f>
        <v/>
      </c>
      <c r="S516" s="14" t="str">
        <f t="shared" si="22"/>
        <v/>
      </c>
      <c r="T516" s="33" t="str">
        <f t="shared" si="23"/>
        <v/>
      </c>
    </row>
    <row r="517" spans="1:20" x14ac:dyDescent="0.3">
      <c r="A517" s="26">
        <f>IF(BASE_CAIXA!A514="","",BASE_CAIXA!A514)</f>
        <v>513</v>
      </c>
      <c r="B517" s="26" t="str">
        <f>IF(A517="","",BASE_CAIXA!AL514)</f>
        <v>000513-DB</v>
      </c>
      <c r="C517" s="13">
        <f>IF(A517="","",BASE_CAIXA!AJ514)</f>
        <v>46199</v>
      </c>
      <c r="D517" s="26" t="str">
        <f>IF(A517="","",IF(BASE_CAIXA!C514="Entrada","Crédito","Débito"))</f>
        <v>Débito</v>
      </c>
      <c r="E517" s="14">
        <f>IF(A517="","",BASE_CAIXA!AA514)</f>
        <v>1879.68</v>
      </c>
      <c r="F517" s="26">
        <f>IF(A517="","",BASE_CAIXA!N514)</f>
        <v>0</v>
      </c>
      <c r="G517" s="26">
        <f>IF(A517="","",BASE_CAIXA!O514)</f>
        <v>0</v>
      </c>
      <c r="H517" s="26">
        <f>IF(A517="","",BASE_CAIXA!P514)</f>
        <v>0</v>
      </c>
      <c r="I517" s="26" t="str">
        <f>IF(A517="","",IF(BASE_CAIXA!H514&lt;&gt;"",BASE_CAIXA!H514,BASE_CAIXA!G514))</f>
        <v>Lixa grao 150 -</v>
      </c>
      <c r="J517" s="26" t="str">
        <f>IF(A517="","",BASE_CAIXA!G514)</f>
        <v>Lixa grao 150 -</v>
      </c>
      <c r="K517" s="26">
        <f>IF(A517="","",BASE_CAIXA!I514)</f>
        <v>0</v>
      </c>
      <c r="L517" s="26">
        <f>IF(A517="","",BASE_CAIXA!J514)</f>
        <v>0</v>
      </c>
      <c r="M517" s="26" t="str">
        <f>IF(A517="","",BASE_CAIXA!AM514)</f>
        <v>Lixa grao 150 - | Lixa grao 150 - | Saída | EMASSAMENTO INTE</v>
      </c>
      <c r="N517" s="26" t="str">
        <f t="shared" ref="N517:N580" ca="1" si="24">IF(A517="","",IF(R517&lt;&gt;"",IF(AND(ABS(S517)&lt;=0.01,ABS(T517)&lt;=3),"Conciliado","Divergente"),IF(TODAY()&gt;C517,"Pendente vencido","Previsto")))</f>
        <v>Previsto</v>
      </c>
      <c r="O517" s="13" t="str">
        <f>IFERROR(INDEX(EXTRATO_IMPORTADO!$A$5:$A$404,MATCH(B517,EXTRATO_IMPORTADO!$I$5:$I$404,0)),"")</f>
        <v/>
      </c>
      <c r="P517" s="14" t="str">
        <f>IFERROR(INDEX(EXTRATO_IMPORTADO!$F$5:$F$404,MATCH(B517,EXTRATO_IMPORTADO!$I$5:$I$404,0)),"")</f>
        <v/>
      </c>
      <c r="Q517" s="26" t="str">
        <f>IFERROR(INDEX(EXTRATO_IMPORTADO!$B$5:$B$404,MATCH(B517,EXTRATO_IMPORTADO!$I$5:$I$404,0)),"")</f>
        <v/>
      </c>
      <c r="R517" s="26" t="str">
        <f>IFERROR(MATCH(B517,EXTRATO_IMPORTADO!$I$5:$I$404,0),"")</f>
        <v/>
      </c>
      <c r="S517" s="14" t="str">
        <f t="shared" ref="S517:S580" si="25">IF(OR(A517="",P517=""),"",P517-E517)</f>
        <v/>
      </c>
      <c r="T517" s="33" t="str">
        <f t="shared" ref="T517:T580" si="26">IF(OR(A517="",O517=""),"",O517-C517)</f>
        <v/>
      </c>
    </row>
    <row r="518" spans="1:20" x14ac:dyDescent="0.3">
      <c r="A518" s="26">
        <f>IF(BASE_CAIXA!A515="","",BASE_CAIXA!A515)</f>
        <v>514</v>
      </c>
      <c r="B518" s="26" t="str">
        <f>IF(A518="","",BASE_CAIXA!AL515)</f>
        <v>000514-DB</v>
      </c>
      <c r="C518" s="13">
        <f>IF(A518="","",BASE_CAIXA!AJ515)</f>
        <v>46199</v>
      </c>
      <c r="D518" s="26" t="str">
        <f>IF(A518="","",IF(BASE_CAIXA!C515="Entrada","Crédito","Débito"))</f>
        <v>Débito</v>
      </c>
      <c r="E518" s="14">
        <f>IF(A518="","",BASE_CAIXA!AA515)</f>
        <v>13622.4</v>
      </c>
      <c r="F518" s="26">
        <f>IF(A518="","",BASE_CAIXA!N515)</f>
        <v>0</v>
      </c>
      <c r="G518" s="26">
        <f>IF(A518="","",BASE_CAIXA!O515)</f>
        <v>0</v>
      </c>
      <c r="H518" s="26">
        <f>IF(A518="","",BASE_CAIXA!P515)</f>
        <v>0</v>
      </c>
      <c r="I518" s="26" t="str">
        <f>IF(A518="","",IF(BASE_CAIXA!H515&lt;&gt;"",BASE_CAIXA!H515,BASE_CAIXA!G515))</f>
        <v>Massa fina acabamento 18kg - branca</v>
      </c>
      <c r="J518" s="26" t="str">
        <f>IF(A518="","",BASE_CAIXA!G515)</f>
        <v>Massa fina acabamento 18kg - branca</v>
      </c>
      <c r="K518" s="26">
        <f>IF(A518="","",BASE_CAIXA!I515)</f>
        <v>0</v>
      </c>
      <c r="L518" s="26">
        <f>IF(A518="","",BASE_CAIXA!J515)</f>
        <v>0</v>
      </c>
      <c r="M518" s="26" t="str">
        <f>IF(A518="","",BASE_CAIXA!AM515)</f>
        <v xml:space="preserve">Massa fina acabamento 18kg - branca | Massa fina acabamento </v>
      </c>
      <c r="N518" s="26" t="str">
        <f t="shared" ca="1" si="24"/>
        <v>Previsto</v>
      </c>
      <c r="O518" s="13" t="str">
        <f>IFERROR(INDEX(EXTRATO_IMPORTADO!$A$5:$A$404,MATCH(B518,EXTRATO_IMPORTADO!$I$5:$I$404,0)),"")</f>
        <v/>
      </c>
      <c r="P518" s="14" t="str">
        <f>IFERROR(INDEX(EXTRATO_IMPORTADO!$F$5:$F$404,MATCH(B518,EXTRATO_IMPORTADO!$I$5:$I$404,0)),"")</f>
        <v/>
      </c>
      <c r="Q518" s="26" t="str">
        <f>IFERROR(INDEX(EXTRATO_IMPORTADO!$B$5:$B$404,MATCH(B518,EXTRATO_IMPORTADO!$I$5:$I$404,0)),"")</f>
        <v/>
      </c>
      <c r="R518" s="26" t="str">
        <f>IFERROR(MATCH(B518,EXTRATO_IMPORTADO!$I$5:$I$404,0),"")</f>
        <v/>
      </c>
      <c r="S518" s="14" t="str">
        <f t="shared" si="25"/>
        <v/>
      </c>
      <c r="T518" s="33" t="str">
        <f t="shared" si="26"/>
        <v/>
      </c>
    </row>
    <row r="519" spans="1:20" x14ac:dyDescent="0.3">
      <c r="A519" s="26">
        <f>IF(BASE_CAIXA!A516="","",BASE_CAIXA!A516)</f>
        <v>515</v>
      </c>
      <c r="B519" s="26" t="str">
        <f>IF(A519="","",BASE_CAIXA!AL516)</f>
        <v>000515-DB</v>
      </c>
      <c r="C519" s="13">
        <f>IF(A519="","",BASE_CAIXA!AJ516)</f>
        <v>46199</v>
      </c>
      <c r="D519" s="26" t="str">
        <f>IF(A519="","",IF(BASE_CAIXA!C516="Entrada","Crédito","Débito"))</f>
        <v>Débito</v>
      </c>
      <c r="E519" s="14">
        <f>IF(A519="","",BASE_CAIXA!AA516)</f>
        <v>166.4</v>
      </c>
      <c r="F519" s="26">
        <f>IF(A519="","",BASE_CAIXA!N516)</f>
        <v>0</v>
      </c>
      <c r="G519" s="26">
        <f>IF(A519="","",BASE_CAIXA!O516)</f>
        <v>0</v>
      </c>
      <c r="H519" s="26">
        <f>IF(A519="","",BASE_CAIXA!P516)</f>
        <v>0</v>
      </c>
      <c r="I519" s="26" t="str">
        <f>IF(A519="","",IF(BASE_CAIXA!H516&lt;&gt;"",BASE_CAIXA!H516,BASE_CAIXA!G516))</f>
        <v>Bucha 6 mm para concreto</v>
      </c>
      <c r="J519" s="26" t="str">
        <f>IF(A519="","",BASE_CAIXA!G516)</f>
        <v>Bucha 6 mm para concreto</v>
      </c>
      <c r="K519" s="26">
        <f>IF(A519="","",BASE_CAIXA!I516)</f>
        <v>0</v>
      </c>
      <c r="L519" s="26">
        <f>IF(A519="","",BASE_CAIXA!J516)</f>
        <v>0</v>
      </c>
      <c r="M519" s="26" t="str">
        <f>IF(A519="","",BASE_CAIXA!AM516)</f>
        <v xml:space="preserve">Bucha 6 mm para concreto | Bucha 6 mm para concreto | Saída </v>
      </c>
      <c r="N519" s="26" t="str">
        <f t="shared" ca="1" si="24"/>
        <v>Previsto</v>
      </c>
      <c r="O519" s="13" t="str">
        <f>IFERROR(INDEX(EXTRATO_IMPORTADO!$A$5:$A$404,MATCH(B519,EXTRATO_IMPORTADO!$I$5:$I$404,0)),"")</f>
        <v/>
      </c>
      <c r="P519" s="14" t="str">
        <f>IFERROR(INDEX(EXTRATO_IMPORTADO!$F$5:$F$404,MATCH(B519,EXTRATO_IMPORTADO!$I$5:$I$404,0)),"")</f>
        <v/>
      </c>
      <c r="Q519" s="26" t="str">
        <f>IFERROR(INDEX(EXTRATO_IMPORTADO!$B$5:$B$404,MATCH(B519,EXTRATO_IMPORTADO!$I$5:$I$404,0)),"")</f>
        <v/>
      </c>
      <c r="R519" s="26" t="str">
        <f>IFERROR(MATCH(B519,EXTRATO_IMPORTADO!$I$5:$I$404,0),"")</f>
        <v/>
      </c>
      <c r="S519" s="14" t="str">
        <f t="shared" si="25"/>
        <v/>
      </c>
      <c r="T519" s="33" t="str">
        <f t="shared" si="26"/>
        <v/>
      </c>
    </row>
    <row r="520" spans="1:20" x14ac:dyDescent="0.3">
      <c r="A520" s="26">
        <f>IF(BASE_CAIXA!A517="","",BASE_CAIXA!A517)</f>
        <v>516</v>
      </c>
      <c r="B520" s="26" t="str">
        <f>IF(A520="","",BASE_CAIXA!AL517)</f>
        <v>000516-DB</v>
      </c>
      <c r="C520" s="13">
        <f>IF(A520="","",BASE_CAIXA!AJ517)</f>
        <v>46199</v>
      </c>
      <c r="D520" s="26" t="str">
        <f>IF(A520="","",IF(BASE_CAIXA!C517="Entrada","Crédito","Débito"))</f>
        <v>Débito</v>
      </c>
      <c r="E520" s="14">
        <f>IF(A520="","",BASE_CAIXA!AA517)</f>
        <v>812.8</v>
      </c>
      <c r="F520" s="26">
        <f>IF(A520="","",BASE_CAIXA!N517)</f>
        <v>0</v>
      </c>
      <c r="G520" s="26">
        <f>IF(A520="","",BASE_CAIXA!O517)</f>
        <v>0</v>
      </c>
      <c r="H520" s="26">
        <f>IF(A520="","",BASE_CAIXA!P517)</f>
        <v>0</v>
      </c>
      <c r="I520" s="26" t="str">
        <f>IF(A520="","",IF(BASE_CAIXA!H517&lt;&gt;"",BASE_CAIXA!H517,BASE_CAIXA!G517))</f>
        <v>Espuma Expansiva de Poliuretano 300ml</v>
      </c>
      <c r="J520" s="26" t="str">
        <f>IF(A520="","",BASE_CAIXA!G517)</f>
        <v>Espuma Expansiva de Poliuretano 300ml</v>
      </c>
      <c r="K520" s="26">
        <f>IF(A520="","",BASE_CAIXA!I517)</f>
        <v>0</v>
      </c>
      <c r="L520" s="26">
        <f>IF(A520="","",BASE_CAIXA!J517)</f>
        <v>0</v>
      </c>
      <c r="M520" s="26" t="str">
        <f>IF(A520="","",BASE_CAIXA!AM517)</f>
        <v xml:space="preserve">Espuma Expansiva de Poliuretano 300ml | Espuma Expansiva de </v>
      </c>
      <c r="N520" s="26" t="str">
        <f t="shared" ca="1" si="24"/>
        <v>Previsto</v>
      </c>
      <c r="O520" s="13" t="str">
        <f>IFERROR(INDEX(EXTRATO_IMPORTADO!$A$5:$A$404,MATCH(B520,EXTRATO_IMPORTADO!$I$5:$I$404,0)),"")</f>
        <v/>
      </c>
      <c r="P520" s="14" t="str">
        <f>IFERROR(INDEX(EXTRATO_IMPORTADO!$F$5:$F$404,MATCH(B520,EXTRATO_IMPORTADO!$I$5:$I$404,0)),"")</f>
        <v/>
      </c>
      <c r="Q520" s="26" t="str">
        <f>IFERROR(INDEX(EXTRATO_IMPORTADO!$B$5:$B$404,MATCH(B520,EXTRATO_IMPORTADO!$I$5:$I$404,0)),"")</f>
        <v/>
      </c>
      <c r="R520" s="26" t="str">
        <f>IFERROR(MATCH(B520,EXTRATO_IMPORTADO!$I$5:$I$404,0),"")</f>
        <v/>
      </c>
      <c r="S520" s="14" t="str">
        <f t="shared" si="25"/>
        <v/>
      </c>
      <c r="T520" s="33" t="str">
        <f t="shared" si="26"/>
        <v/>
      </c>
    </row>
    <row r="521" spans="1:20" x14ac:dyDescent="0.3">
      <c r="A521" s="26">
        <f>IF(BASE_CAIXA!A518="","",BASE_CAIXA!A518)</f>
        <v>517</v>
      </c>
      <c r="B521" s="26" t="str">
        <f>IF(A521="","",BASE_CAIXA!AL518)</f>
        <v>000517-DB</v>
      </c>
      <c r="C521" s="13">
        <f>IF(A521="","",BASE_CAIXA!AJ518)</f>
        <v>46199</v>
      </c>
      <c r="D521" s="26" t="str">
        <f>IF(A521="","",IF(BASE_CAIXA!C518="Entrada","Crédito","Débito"))</f>
        <v>Débito</v>
      </c>
      <c r="E521" s="14">
        <f>IF(A521="","",BASE_CAIXA!AA518)</f>
        <v>1145.5999999999999</v>
      </c>
      <c r="F521" s="26">
        <f>IF(A521="","",BASE_CAIXA!N518)</f>
        <v>0</v>
      </c>
      <c r="G521" s="26">
        <f>IF(A521="","",BASE_CAIXA!O518)</f>
        <v>0</v>
      </c>
      <c r="H521" s="26">
        <f>IF(A521="","",BASE_CAIXA!P518)</f>
        <v>0</v>
      </c>
      <c r="I521" s="26" t="str">
        <f>IF(A521="","",IF(BASE_CAIXA!H518&lt;&gt;"",BASE_CAIXA!H518,BASE_CAIXA!G518))</f>
        <v>Fita crepe 48 mm x 50 m</v>
      </c>
      <c r="J521" s="26" t="str">
        <f>IF(A521="","",BASE_CAIXA!G518)</f>
        <v>Fita crepe 48 mm x 50 m</v>
      </c>
      <c r="K521" s="26">
        <f>IF(A521="","",BASE_CAIXA!I518)</f>
        <v>0</v>
      </c>
      <c r="L521" s="26">
        <f>IF(A521="","",BASE_CAIXA!J518)</f>
        <v>0</v>
      </c>
      <c r="M521" s="26" t="str">
        <f>IF(A521="","",BASE_CAIXA!AM518)</f>
        <v xml:space="preserve">Fita crepe 48 mm x 50 m | Fita crepe 48 mm x 50 m | Saída | </v>
      </c>
      <c r="N521" s="26" t="str">
        <f t="shared" ca="1" si="24"/>
        <v>Previsto</v>
      </c>
      <c r="O521" s="13" t="str">
        <f>IFERROR(INDEX(EXTRATO_IMPORTADO!$A$5:$A$404,MATCH(B521,EXTRATO_IMPORTADO!$I$5:$I$404,0)),"")</f>
        <v/>
      </c>
      <c r="P521" s="14" t="str">
        <f>IFERROR(INDEX(EXTRATO_IMPORTADO!$F$5:$F$404,MATCH(B521,EXTRATO_IMPORTADO!$I$5:$I$404,0)),"")</f>
        <v/>
      </c>
      <c r="Q521" s="26" t="str">
        <f>IFERROR(INDEX(EXTRATO_IMPORTADO!$B$5:$B$404,MATCH(B521,EXTRATO_IMPORTADO!$I$5:$I$404,0)),"")</f>
        <v/>
      </c>
      <c r="R521" s="26" t="str">
        <f>IFERROR(MATCH(B521,EXTRATO_IMPORTADO!$I$5:$I$404,0),"")</f>
        <v/>
      </c>
      <c r="S521" s="14" t="str">
        <f t="shared" si="25"/>
        <v/>
      </c>
      <c r="T521" s="33" t="str">
        <f t="shared" si="26"/>
        <v/>
      </c>
    </row>
    <row r="522" spans="1:20" x14ac:dyDescent="0.3">
      <c r="A522" s="26">
        <f>IF(BASE_CAIXA!A519="","",BASE_CAIXA!A519)</f>
        <v>518</v>
      </c>
      <c r="B522" s="26" t="str">
        <f>IF(A522="","",BASE_CAIXA!AL519)</f>
        <v>000518-DB</v>
      </c>
      <c r="C522" s="13">
        <f>IF(A522="","",BASE_CAIXA!AJ519)</f>
        <v>46199</v>
      </c>
      <c r="D522" s="26" t="str">
        <f>IF(A522="","",IF(BASE_CAIXA!C519="Entrada","Crédito","Débito"))</f>
        <v>Débito</v>
      </c>
      <c r="E522" s="14">
        <f>IF(A522="","",BASE_CAIXA!AA519)</f>
        <v>1488</v>
      </c>
      <c r="F522" s="26">
        <f>IF(A522="","",BASE_CAIXA!N519)</f>
        <v>0</v>
      </c>
      <c r="G522" s="26">
        <f>IF(A522="","",BASE_CAIXA!O519)</f>
        <v>0</v>
      </c>
      <c r="H522" s="26">
        <f>IF(A522="","",BASE_CAIXA!P519)</f>
        <v>0</v>
      </c>
      <c r="I522" s="26" t="str">
        <f>IF(A522="","",IF(BASE_CAIXA!H519&lt;&gt;"",BASE_CAIXA!H519,BASE_CAIXA!G519))</f>
        <v>Impermeabilizante bi componente semi flexível - IMPER TOP 512 ( 2 demaos - 1,8 kg/m²)</v>
      </c>
      <c r="J522" s="26" t="str">
        <f>IF(A522="","",BASE_CAIXA!G519)</f>
        <v>Impermeabilizante bi componente semi flexível - IMPER TOP 512 ( 2 demaos - 1,8 kg/m²)</v>
      </c>
      <c r="K522" s="26">
        <f>IF(A522="","",BASE_CAIXA!I519)</f>
        <v>0</v>
      </c>
      <c r="L522" s="26">
        <f>IF(A522="","",BASE_CAIXA!J519)</f>
        <v>0</v>
      </c>
      <c r="M522" s="26" t="str">
        <f>IF(A522="","",BASE_CAIXA!AM519)</f>
        <v>Impermeabilizante bi componente semi flexível - IMPER TOP 51</v>
      </c>
      <c r="N522" s="26" t="str">
        <f t="shared" ca="1" si="24"/>
        <v>Previsto</v>
      </c>
      <c r="O522" s="13" t="str">
        <f>IFERROR(INDEX(EXTRATO_IMPORTADO!$A$5:$A$404,MATCH(B522,EXTRATO_IMPORTADO!$I$5:$I$404,0)),"")</f>
        <v/>
      </c>
      <c r="P522" s="14" t="str">
        <f>IFERROR(INDEX(EXTRATO_IMPORTADO!$F$5:$F$404,MATCH(B522,EXTRATO_IMPORTADO!$I$5:$I$404,0)),"")</f>
        <v/>
      </c>
      <c r="Q522" s="26" t="str">
        <f>IFERROR(INDEX(EXTRATO_IMPORTADO!$B$5:$B$404,MATCH(B522,EXTRATO_IMPORTADO!$I$5:$I$404,0)),"")</f>
        <v/>
      </c>
      <c r="R522" s="26" t="str">
        <f>IFERROR(MATCH(B522,EXTRATO_IMPORTADO!$I$5:$I$404,0),"")</f>
        <v/>
      </c>
      <c r="S522" s="14" t="str">
        <f t="shared" si="25"/>
        <v/>
      </c>
      <c r="T522" s="33" t="str">
        <f t="shared" si="26"/>
        <v/>
      </c>
    </row>
    <row r="523" spans="1:20" x14ac:dyDescent="0.3">
      <c r="A523" s="26">
        <f>IF(BASE_CAIXA!A520="","",BASE_CAIXA!A520)</f>
        <v>519</v>
      </c>
      <c r="B523" s="26" t="str">
        <f>IF(A523="","",BASE_CAIXA!AL520)</f>
        <v>000519-DB</v>
      </c>
      <c r="C523" s="13">
        <f>IF(A523="","",BASE_CAIXA!AJ520)</f>
        <v>46199</v>
      </c>
      <c r="D523" s="26" t="str">
        <f>IF(A523="","",IF(BASE_CAIXA!C520="Entrada","Crédito","Débito"))</f>
        <v>Débito</v>
      </c>
      <c r="E523" s="14">
        <f>IF(A523="","",BASE_CAIXA!AA520)</f>
        <v>22826.400000000001</v>
      </c>
      <c r="F523" s="26">
        <f>IF(A523="","",BASE_CAIXA!N520)</f>
        <v>0</v>
      </c>
      <c r="G523" s="26">
        <f>IF(A523="","",BASE_CAIXA!O520)</f>
        <v>0</v>
      </c>
      <c r="H523" s="26">
        <f>IF(A523="","",BASE_CAIXA!P520)</f>
        <v>0</v>
      </c>
      <c r="I523" s="26" t="str">
        <f>IF(A523="","",IF(BASE_CAIXA!H520&lt;&gt;"",BASE_CAIXA!H520,BASE_CAIXA!G520))</f>
        <v>Mao de obra terceirizada colocaçao de Esquadrias aluminio</v>
      </c>
      <c r="J523" s="26" t="str">
        <f>IF(A523="","",BASE_CAIXA!G520)</f>
        <v>Mao de obra terceirizada colocaçao de Esquadrias aluminio</v>
      </c>
      <c r="K523" s="26">
        <f>IF(A523="","",BASE_CAIXA!I520)</f>
        <v>0</v>
      </c>
      <c r="L523" s="26">
        <f>IF(A523="","",BASE_CAIXA!J520)</f>
        <v>0</v>
      </c>
      <c r="M523" s="26" t="str">
        <f>IF(A523="","",BASE_CAIXA!AM520)</f>
        <v xml:space="preserve">Mao de obra terceirizada colocaçao de Esquadrias aluminio | </v>
      </c>
      <c r="N523" s="26" t="str">
        <f t="shared" ca="1" si="24"/>
        <v>Previsto</v>
      </c>
      <c r="O523" s="13" t="str">
        <f>IFERROR(INDEX(EXTRATO_IMPORTADO!$A$5:$A$404,MATCH(B523,EXTRATO_IMPORTADO!$I$5:$I$404,0)),"")</f>
        <v/>
      </c>
      <c r="P523" s="14" t="str">
        <f>IFERROR(INDEX(EXTRATO_IMPORTADO!$F$5:$F$404,MATCH(B523,EXTRATO_IMPORTADO!$I$5:$I$404,0)),"")</f>
        <v/>
      </c>
      <c r="Q523" s="26" t="str">
        <f>IFERROR(INDEX(EXTRATO_IMPORTADO!$B$5:$B$404,MATCH(B523,EXTRATO_IMPORTADO!$I$5:$I$404,0)),"")</f>
        <v/>
      </c>
      <c r="R523" s="26" t="str">
        <f>IFERROR(MATCH(B523,EXTRATO_IMPORTADO!$I$5:$I$404,0),"")</f>
        <v/>
      </c>
      <c r="S523" s="14" t="str">
        <f t="shared" si="25"/>
        <v/>
      </c>
      <c r="T523" s="33" t="str">
        <f t="shared" si="26"/>
        <v/>
      </c>
    </row>
    <row r="524" spans="1:20" x14ac:dyDescent="0.3">
      <c r="A524" s="26">
        <f>IF(BASE_CAIXA!A521="","",BASE_CAIXA!A521)</f>
        <v>520</v>
      </c>
      <c r="B524" s="26" t="str">
        <f>IF(A524="","",BASE_CAIXA!AL521)</f>
        <v>000520-DB</v>
      </c>
      <c r="C524" s="13">
        <f>IF(A524="","",BASE_CAIXA!AJ521)</f>
        <v>46199</v>
      </c>
      <c r="D524" s="26" t="str">
        <f>IF(A524="","",IF(BASE_CAIXA!C521="Entrada","Crédito","Débito"))</f>
        <v>Débito</v>
      </c>
      <c r="E524" s="14">
        <f>IF(A524="","",BASE_CAIXA!AA521)</f>
        <v>7962.2400000000007</v>
      </c>
      <c r="F524" s="26">
        <f>IF(A524="","",BASE_CAIXA!N521)</f>
        <v>0</v>
      </c>
      <c r="G524" s="26">
        <f>IF(A524="","",BASE_CAIXA!O521)</f>
        <v>0</v>
      </c>
      <c r="H524" s="26">
        <f>IF(A524="","",BASE_CAIXA!P521)</f>
        <v>0</v>
      </c>
      <c r="I524" s="26" t="str">
        <f>IF(A524="","",IF(BASE_CAIXA!H521&lt;&gt;"",BASE_CAIXA!H521,BASE_CAIXA!G521))</f>
        <v>PORTA ALCAPAO ALUM.BCO (37MM) 60 x 50</v>
      </c>
      <c r="J524" s="26" t="str">
        <f>IF(A524="","",BASE_CAIXA!G521)</f>
        <v>PORTA ALCAPAO ALUM.BCO (37MM) 60 x 50</v>
      </c>
      <c r="K524" s="26">
        <f>IF(A524="","",BASE_CAIXA!I521)</f>
        <v>0</v>
      </c>
      <c r="L524" s="26">
        <f>IF(A524="","",BASE_CAIXA!J521)</f>
        <v>0</v>
      </c>
      <c r="M524" s="26" t="str">
        <f>IF(A524="","",BASE_CAIXA!AM521)</f>
        <v>PORTA ALCAPAO ALUM.BCO (37MM) 60 x 50 | PORTA ALCAPAO ALUM.B</v>
      </c>
      <c r="N524" s="26" t="str">
        <f t="shared" ca="1" si="24"/>
        <v>Previsto</v>
      </c>
      <c r="O524" s="13" t="str">
        <f>IFERROR(INDEX(EXTRATO_IMPORTADO!$A$5:$A$404,MATCH(B524,EXTRATO_IMPORTADO!$I$5:$I$404,0)),"")</f>
        <v/>
      </c>
      <c r="P524" s="14" t="str">
        <f>IFERROR(INDEX(EXTRATO_IMPORTADO!$F$5:$F$404,MATCH(B524,EXTRATO_IMPORTADO!$I$5:$I$404,0)),"")</f>
        <v/>
      </c>
      <c r="Q524" s="26" t="str">
        <f>IFERROR(INDEX(EXTRATO_IMPORTADO!$B$5:$B$404,MATCH(B524,EXTRATO_IMPORTADO!$I$5:$I$404,0)),"")</f>
        <v/>
      </c>
      <c r="R524" s="26" t="str">
        <f>IFERROR(MATCH(B524,EXTRATO_IMPORTADO!$I$5:$I$404,0),"")</f>
        <v/>
      </c>
      <c r="S524" s="14" t="str">
        <f t="shared" si="25"/>
        <v/>
      </c>
      <c r="T524" s="33" t="str">
        <f t="shared" si="26"/>
        <v/>
      </c>
    </row>
    <row r="525" spans="1:20" x14ac:dyDescent="0.3">
      <c r="A525" s="26">
        <f>IF(BASE_CAIXA!A522="","",BASE_CAIXA!A522)</f>
        <v>521</v>
      </c>
      <c r="B525" s="26" t="str">
        <f>IF(A525="","",BASE_CAIXA!AL522)</f>
        <v>000521-DB</v>
      </c>
      <c r="C525" s="13">
        <f>IF(A525="","",BASE_CAIXA!AJ522)</f>
        <v>46199</v>
      </c>
      <c r="D525" s="26" t="str">
        <f>IF(A525="","",IF(BASE_CAIXA!C522="Entrada","Crédito","Débito"))</f>
        <v>Débito</v>
      </c>
      <c r="E525" s="14">
        <f>IF(A525="","",BASE_CAIXA!AA522)</f>
        <v>540.80000000000007</v>
      </c>
      <c r="F525" s="26">
        <f>IF(A525="","",BASE_CAIXA!N522)</f>
        <v>0</v>
      </c>
      <c r="G525" s="26">
        <f>IF(A525="","",BASE_CAIXA!O522)</f>
        <v>0</v>
      </c>
      <c r="H525" s="26">
        <f>IF(A525="","",BASE_CAIXA!P522)</f>
        <v>0</v>
      </c>
      <c r="I525" s="26" t="str">
        <f>IF(A525="","",IF(BASE_CAIXA!H522&lt;&gt;"",BASE_CAIXA!H522,BASE_CAIXA!G522))</f>
        <v>Parafuso panela fenda/phillips 4,8 x 50 mm - INOX</v>
      </c>
      <c r="J525" s="26" t="str">
        <f>IF(A525="","",BASE_CAIXA!G522)</f>
        <v>Parafuso panela fenda/phillips 4,8 x 50 mm - INOX</v>
      </c>
      <c r="K525" s="26">
        <f>IF(A525="","",BASE_CAIXA!I522)</f>
        <v>0</v>
      </c>
      <c r="L525" s="26">
        <f>IF(A525="","",BASE_CAIXA!J522)</f>
        <v>0</v>
      </c>
      <c r="M525" s="26" t="str">
        <f>IF(A525="","",BASE_CAIXA!AM522)</f>
        <v>Parafuso panela fenda/phillips 4,8 x 50 mm - INOX | Parafuso</v>
      </c>
      <c r="N525" s="26" t="str">
        <f t="shared" ca="1" si="24"/>
        <v>Previsto</v>
      </c>
      <c r="O525" s="13" t="str">
        <f>IFERROR(INDEX(EXTRATO_IMPORTADO!$A$5:$A$404,MATCH(B525,EXTRATO_IMPORTADO!$I$5:$I$404,0)),"")</f>
        <v/>
      </c>
      <c r="P525" s="14" t="str">
        <f>IFERROR(INDEX(EXTRATO_IMPORTADO!$F$5:$F$404,MATCH(B525,EXTRATO_IMPORTADO!$I$5:$I$404,0)),"")</f>
        <v/>
      </c>
      <c r="Q525" s="26" t="str">
        <f>IFERROR(INDEX(EXTRATO_IMPORTADO!$B$5:$B$404,MATCH(B525,EXTRATO_IMPORTADO!$I$5:$I$404,0)),"")</f>
        <v/>
      </c>
      <c r="R525" s="26" t="str">
        <f>IFERROR(MATCH(B525,EXTRATO_IMPORTADO!$I$5:$I$404,0),"")</f>
        <v/>
      </c>
      <c r="S525" s="14" t="str">
        <f t="shared" si="25"/>
        <v/>
      </c>
      <c r="T525" s="33" t="str">
        <f t="shared" si="26"/>
        <v/>
      </c>
    </row>
    <row r="526" spans="1:20" x14ac:dyDescent="0.3">
      <c r="A526" s="26">
        <f>IF(BASE_CAIXA!A523="","",BASE_CAIXA!A523)</f>
        <v>522</v>
      </c>
      <c r="B526" s="26" t="str">
        <f>IF(A526="","",BASE_CAIXA!AL523)</f>
        <v>000522-DB</v>
      </c>
      <c r="C526" s="13">
        <f>IF(A526="","",BASE_CAIXA!AJ523)</f>
        <v>46199</v>
      </c>
      <c r="D526" s="26" t="str">
        <f>IF(A526="","",IF(BASE_CAIXA!C523="Entrada","Crédito","Débito"))</f>
        <v>Débito</v>
      </c>
      <c r="E526" s="14">
        <f>IF(A526="","",BASE_CAIXA!AA523)</f>
        <v>1920</v>
      </c>
      <c r="F526" s="26">
        <f>IF(A526="","",BASE_CAIXA!N523)</f>
        <v>0</v>
      </c>
      <c r="G526" s="26">
        <f>IF(A526="","",BASE_CAIXA!O523)</f>
        <v>0</v>
      </c>
      <c r="H526" s="26">
        <f>IF(A526="","",BASE_CAIXA!P523)</f>
        <v>0</v>
      </c>
      <c r="I526" s="26" t="str">
        <f>IF(A526="","",IF(BASE_CAIXA!H523&lt;&gt;"",BASE_CAIXA!H523,BASE_CAIXA!G523))</f>
        <v>Selante acrilico c / 390 g - TECKBOND</v>
      </c>
      <c r="J526" s="26" t="str">
        <f>IF(A526="","",BASE_CAIXA!G523)</f>
        <v>Selante acrilico c / 390 g - TECKBOND</v>
      </c>
      <c r="K526" s="26">
        <f>IF(A526="","",BASE_CAIXA!I523)</f>
        <v>0</v>
      </c>
      <c r="L526" s="26">
        <f>IF(A526="","",BASE_CAIXA!J523)</f>
        <v>0</v>
      </c>
      <c r="M526" s="26" t="str">
        <f>IF(A526="","",BASE_CAIXA!AM523)</f>
        <v>Selante acrilico c / 390 g - TECKBOND | Selante acrilico c /</v>
      </c>
      <c r="N526" s="26" t="str">
        <f t="shared" ca="1" si="24"/>
        <v>Previsto</v>
      </c>
      <c r="O526" s="13" t="str">
        <f>IFERROR(INDEX(EXTRATO_IMPORTADO!$A$5:$A$404,MATCH(B526,EXTRATO_IMPORTADO!$I$5:$I$404,0)),"")</f>
        <v/>
      </c>
      <c r="P526" s="14" t="str">
        <f>IFERROR(INDEX(EXTRATO_IMPORTADO!$F$5:$F$404,MATCH(B526,EXTRATO_IMPORTADO!$I$5:$I$404,0)),"")</f>
        <v/>
      </c>
      <c r="Q526" s="26" t="str">
        <f>IFERROR(INDEX(EXTRATO_IMPORTADO!$B$5:$B$404,MATCH(B526,EXTRATO_IMPORTADO!$I$5:$I$404,0)),"")</f>
        <v/>
      </c>
      <c r="R526" s="26" t="str">
        <f>IFERROR(MATCH(B526,EXTRATO_IMPORTADO!$I$5:$I$404,0),"")</f>
        <v/>
      </c>
      <c r="S526" s="14" t="str">
        <f t="shared" si="25"/>
        <v/>
      </c>
      <c r="T526" s="33" t="str">
        <f t="shared" si="26"/>
        <v/>
      </c>
    </row>
    <row r="527" spans="1:20" x14ac:dyDescent="0.3">
      <c r="A527" s="26">
        <f>IF(BASE_CAIXA!A524="","",BASE_CAIXA!A524)</f>
        <v>523</v>
      </c>
      <c r="B527" s="26" t="str">
        <f>IF(A527="","",BASE_CAIXA!AL524)</f>
        <v>000523-DB</v>
      </c>
      <c r="C527" s="13">
        <f>IF(A527="","",BASE_CAIXA!AJ524)</f>
        <v>46199</v>
      </c>
      <c r="D527" s="26" t="str">
        <f>IF(A527="","",IF(BASE_CAIXA!C524="Entrada","Crédito","Débito"))</f>
        <v>Débito</v>
      </c>
      <c r="E527" s="14">
        <f>IF(A527="","",BASE_CAIXA!AA524)</f>
        <v>3907.2</v>
      </c>
      <c r="F527" s="26">
        <f>IF(A527="","",BASE_CAIXA!N524)</f>
        <v>0</v>
      </c>
      <c r="G527" s="26">
        <f>IF(A527="","",BASE_CAIXA!O524)</f>
        <v>0</v>
      </c>
      <c r="H527" s="26">
        <f>IF(A527="","",BASE_CAIXA!P524)</f>
        <v>0</v>
      </c>
      <c r="I527" s="26" t="str">
        <f>IF(A527="","",IF(BASE_CAIXA!H524&lt;&gt;"",BASE_CAIXA!H524,BASE_CAIXA!G524))</f>
        <v>VITRO MAXIMO-AR ALUM.BCO (38MM) 60 X 60 MBOREAL</v>
      </c>
      <c r="J527" s="26" t="str">
        <f>IF(A527="","",BASE_CAIXA!G524)</f>
        <v>VITRO MAXIMO-AR ALUM.BCO (38MM) 60 X 60 MBOREAL</v>
      </c>
      <c r="K527" s="26">
        <f>IF(A527="","",BASE_CAIXA!I524)</f>
        <v>0</v>
      </c>
      <c r="L527" s="26">
        <f>IF(A527="","",BASE_CAIXA!J524)</f>
        <v>0</v>
      </c>
      <c r="M527" s="26" t="str">
        <f>IF(A527="","",BASE_CAIXA!AM524)</f>
        <v>VITRO MAXIMO-AR ALUM.BCO (38MM) 60 X 60 MBOREAL | VITRO MAXI</v>
      </c>
      <c r="N527" s="26" t="str">
        <f t="shared" ca="1" si="24"/>
        <v>Previsto</v>
      </c>
      <c r="O527" s="13" t="str">
        <f>IFERROR(INDEX(EXTRATO_IMPORTADO!$A$5:$A$404,MATCH(B527,EXTRATO_IMPORTADO!$I$5:$I$404,0)),"")</f>
        <v/>
      </c>
      <c r="P527" s="14" t="str">
        <f>IFERROR(INDEX(EXTRATO_IMPORTADO!$F$5:$F$404,MATCH(B527,EXTRATO_IMPORTADO!$I$5:$I$404,0)),"")</f>
        <v/>
      </c>
      <c r="Q527" s="26" t="str">
        <f>IFERROR(INDEX(EXTRATO_IMPORTADO!$B$5:$B$404,MATCH(B527,EXTRATO_IMPORTADO!$I$5:$I$404,0)),"")</f>
        <v/>
      </c>
      <c r="R527" s="26" t="str">
        <f>IFERROR(MATCH(B527,EXTRATO_IMPORTADO!$I$5:$I$404,0),"")</f>
        <v/>
      </c>
      <c r="S527" s="14" t="str">
        <f t="shared" si="25"/>
        <v/>
      </c>
      <c r="T527" s="33" t="str">
        <f t="shared" si="26"/>
        <v/>
      </c>
    </row>
    <row r="528" spans="1:20" x14ac:dyDescent="0.3">
      <c r="A528" s="26">
        <f>IF(BASE_CAIXA!A525="","",BASE_CAIXA!A525)</f>
        <v>524</v>
      </c>
      <c r="B528" s="26" t="str">
        <f>IF(A528="","",BASE_CAIXA!AL525)</f>
        <v>000524-DB</v>
      </c>
      <c r="C528" s="13">
        <f>IF(A528="","",BASE_CAIXA!AJ525)</f>
        <v>46199</v>
      </c>
      <c r="D528" s="26" t="str">
        <f>IF(A528="","",IF(BASE_CAIXA!C525="Entrada","Crédito","Débito"))</f>
        <v>Débito</v>
      </c>
      <c r="E528" s="14">
        <f>IF(A528="","",BASE_CAIXA!AA525)</f>
        <v>29145.599999999999</v>
      </c>
      <c r="F528" s="26">
        <f>IF(A528="","",BASE_CAIXA!N525)</f>
        <v>0</v>
      </c>
      <c r="G528" s="26">
        <f>IF(A528="","",BASE_CAIXA!O525)</f>
        <v>0</v>
      </c>
      <c r="H528" s="26">
        <f>IF(A528="","",BASE_CAIXA!P525)</f>
        <v>0</v>
      </c>
      <c r="I528" s="26" t="str">
        <f>IF(A528="","",IF(BASE_CAIXA!H525&lt;&gt;"",BASE_CAIXA!H525,BASE_CAIXA!G525))</f>
        <v>VITRO SOFT AL.BC 2FL (53MM) 120 X 1,20</v>
      </c>
      <c r="J528" s="26" t="str">
        <f>IF(A528="","",BASE_CAIXA!G525)</f>
        <v>VITRO SOFT AL.BC 2FL (53MM) 120 X 1,20</v>
      </c>
      <c r="K528" s="26">
        <f>IF(A528="","",BASE_CAIXA!I525)</f>
        <v>0</v>
      </c>
      <c r="L528" s="26">
        <f>IF(A528="","",BASE_CAIXA!J525)</f>
        <v>0</v>
      </c>
      <c r="M528" s="26" t="str">
        <f>IF(A528="","",BASE_CAIXA!AM525)</f>
        <v>VITRO SOFT AL.BC 2FL (53MM) 120 X 1,20 | VITRO SOFT AL.BC 2F</v>
      </c>
      <c r="N528" s="26" t="str">
        <f t="shared" ca="1" si="24"/>
        <v>Previsto</v>
      </c>
      <c r="O528" s="13" t="str">
        <f>IFERROR(INDEX(EXTRATO_IMPORTADO!$A$5:$A$404,MATCH(B528,EXTRATO_IMPORTADO!$I$5:$I$404,0)),"")</f>
        <v/>
      </c>
      <c r="P528" s="14" t="str">
        <f>IFERROR(INDEX(EXTRATO_IMPORTADO!$F$5:$F$404,MATCH(B528,EXTRATO_IMPORTADO!$I$5:$I$404,0)),"")</f>
        <v/>
      </c>
      <c r="Q528" s="26" t="str">
        <f>IFERROR(INDEX(EXTRATO_IMPORTADO!$B$5:$B$404,MATCH(B528,EXTRATO_IMPORTADO!$I$5:$I$404,0)),"")</f>
        <v/>
      </c>
      <c r="R528" s="26" t="str">
        <f>IFERROR(MATCH(B528,EXTRATO_IMPORTADO!$I$5:$I$404,0),"")</f>
        <v/>
      </c>
      <c r="S528" s="14" t="str">
        <f t="shared" si="25"/>
        <v/>
      </c>
      <c r="T528" s="33" t="str">
        <f t="shared" si="26"/>
        <v/>
      </c>
    </row>
    <row r="529" spans="1:20" x14ac:dyDescent="0.3">
      <c r="A529" s="26">
        <f>IF(BASE_CAIXA!A526="","",BASE_CAIXA!A526)</f>
        <v>525</v>
      </c>
      <c r="B529" s="26" t="str">
        <f>IF(A529="","",BASE_CAIXA!AL526)</f>
        <v>000525-DB</v>
      </c>
      <c r="C529" s="13">
        <f>IF(A529="","",BASE_CAIXA!AJ526)</f>
        <v>46199</v>
      </c>
      <c r="D529" s="26" t="str">
        <f>IF(A529="","",IF(BASE_CAIXA!C526="Entrada","Crédito","Débito"))</f>
        <v>Débito</v>
      </c>
      <c r="E529" s="14">
        <f>IF(A529="","",BASE_CAIXA!AA526)</f>
        <v>7500</v>
      </c>
      <c r="F529" s="26">
        <f>IF(A529="","",BASE_CAIXA!N526)</f>
        <v>0</v>
      </c>
      <c r="G529" s="26">
        <f>IF(A529="","",BASE_CAIXA!O526)</f>
        <v>0</v>
      </c>
      <c r="H529" s="26">
        <f>IF(A529="","",BASE_CAIXA!P526)</f>
        <v>0</v>
      </c>
      <c r="I529" s="26" t="str">
        <f>IF(A529="","",IF(BASE_CAIXA!H526&lt;&gt;"",BASE_CAIXA!H526,BASE_CAIXA!G526))</f>
        <v>ALMOXARIFADO</v>
      </c>
      <c r="J529" s="26" t="str">
        <f>IF(A529="","",BASE_CAIXA!G526)</f>
        <v>ALMOXARIFADO</v>
      </c>
      <c r="K529" s="26">
        <f>IF(A529="","",BASE_CAIXA!I526)</f>
        <v>0</v>
      </c>
      <c r="L529" s="26">
        <f>IF(A529="","",BASE_CAIXA!J526)</f>
        <v>0</v>
      </c>
      <c r="M529" s="26" t="str">
        <f>IF(A529="","",BASE_CAIXA!AM526)</f>
        <v>ALMOXARIFADO | ALMOXARIFADO | Saída | GESTÃO LOCAL</v>
      </c>
      <c r="N529" s="26" t="str">
        <f t="shared" ca="1" si="24"/>
        <v>Previsto</v>
      </c>
      <c r="O529" s="13" t="str">
        <f>IFERROR(INDEX(EXTRATO_IMPORTADO!$A$5:$A$404,MATCH(B529,EXTRATO_IMPORTADO!$I$5:$I$404,0)),"")</f>
        <v/>
      </c>
      <c r="P529" s="14" t="str">
        <f>IFERROR(INDEX(EXTRATO_IMPORTADO!$F$5:$F$404,MATCH(B529,EXTRATO_IMPORTADO!$I$5:$I$404,0)),"")</f>
        <v/>
      </c>
      <c r="Q529" s="26" t="str">
        <f>IFERROR(INDEX(EXTRATO_IMPORTADO!$B$5:$B$404,MATCH(B529,EXTRATO_IMPORTADO!$I$5:$I$404,0)),"")</f>
        <v/>
      </c>
      <c r="R529" s="26" t="str">
        <f>IFERROR(MATCH(B529,EXTRATO_IMPORTADO!$I$5:$I$404,0),"")</f>
        <v/>
      </c>
      <c r="S529" s="14" t="str">
        <f t="shared" si="25"/>
        <v/>
      </c>
      <c r="T529" s="33" t="str">
        <f t="shared" si="26"/>
        <v/>
      </c>
    </row>
    <row r="530" spans="1:20" x14ac:dyDescent="0.3">
      <c r="A530" s="26">
        <f>IF(BASE_CAIXA!A527="","",BASE_CAIXA!A527)</f>
        <v>526</v>
      </c>
      <c r="B530" s="26" t="str">
        <f>IF(A530="","",BASE_CAIXA!AL527)</f>
        <v>000526-DB</v>
      </c>
      <c r="C530" s="13">
        <f>IF(A530="","",BASE_CAIXA!AJ527)</f>
        <v>46199</v>
      </c>
      <c r="D530" s="26" t="str">
        <f>IF(A530="","",IF(BASE_CAIXA!C527="Entrada","Crédito","Débito"))</f>
        <v>Débito</v>
      </c>
      <c r="E530" s="14">
        <f>IF(A530="","",BASE_CAIXA!AA527)</f>
        <v>3500</v>
      </c>
      <c r="F530" s="26">
        <f>IF(A530="","",BASE_CAIXA!N527)</f>
        <v>0</v>
      </c>
      <c r="G530" s="26">
        <f>IF(A530="","",BASE_CAIXA!O527)</f>
        <v>0</v>
      </c>
      <c r="H530" s="26">
        <f>IF(A530="","",BASE_CAIXA!P527)</f>
        <v>0</v>
      </c>
      <c r="I530" s="26" t="str">
        <f>IF(A530="","",IF(BASE_CAIXA!H527&lt;&gt;"",BASE_CAIXA!H527,BASE_CAIXA!G527))</f>
        <v>Alojamento Arbnb (mestre, engenheiro. Tecnico)</v>
      </c>
      <c r="J530" s="26" t="str">
        <f>IF(A530="","",BASE_CAIXA!G527)</f>
        <v>Alojamento Arbnb (mestre, engenheiro. Tecnico)</v>
      </c>
      <c r="K530" s="26">
        <f>IF(A530="","",BASE_CAIXA!I527)</f>
        <v>0</v>
      </c>
      <c r="L530" s="26">
        <f>IF(A530="","",BASE_CAIXA!J527)</f>
        <v>0</v>
      </c>
      <c r="M530" s="26" t="str">
        <f>IF(A530="","",BASE_CAIXA!AM527)</f>
        <v xml:space="preserve">Alojamento Arbnb (mestre, engenheiro. Tecnico) | Alojamento </v>
      </c>
      <c r="N530" s="26" t="str">
        <f t="shared" ca="1" si="24"/>
        <v>Previsto</v>
      </c>
      <c r="O530" s="13" t="str">
        <f>IFERROR(INDEX(EXTRATO_IMPORTADO!$A$5:$A$404,MATCH(B530,EXTRATO_IMPORTADO!$I$5:$I$404,0)),"")</f>
        <v/>
      </c>
      <c r="P530" s="14" t="str">
        <f>IFERROR(INDEX(EXTRATO_IMPORTADO!$F$5:$F$404,MATCH(B530,EXTRATO_IMPORTADO!$I$5:$I$404,0)),"")</f>
        <v/>
      </c>
      <c r="Q530" s="26" t="str">
        <f>IFERROR(INDEX(EXTRATO_IMPORTADO!$B$5:$B$404,MATCH(B530,EXTRATO_IMPORTADO!$I$5:$I$404,0)),"")</f>
        <v/>
      </c>
      <c r="R530" s="26" t="str">
        <f>IFERROR(MATCH(B530,EXTRATO_IMPORTADO!$I$5:$I$404,0),"")</f>
        <v/>
      </c>
      <c r="S530" s="14" t="str">
        <f t="shared" si="25"/>
        <v/>
      </c>
      <c r="T530" s="33" t="str">
        <f t="shared" si="26"/>
        <v/>
      </c>
    </row>
    <row r="531" spans="1:20" x14ac:dyDescent="0.3">
      <c r="A531" s="26">
        <f>IF(BASE_CAIXA!A528="","",BASE_CAIXA!A528)</f>
        <v>527</v>
      </c>
      <c r="B531" s="26" t="str">
        <f>IF(A531="","",BASE_CAIXA!AL528)</f>
        <v>000527-DB</v>
      </c>
      <c r="C531" s="13">
        <f>IF(A531="","",BASE_CAIXA!AJ528)</f>
        <v>46199</v>
      </c>
      <c r="D531" s="26" t="str">
        <f>IF(A531="","",IF(BASE_CAIXA!C528="Entrada","Crédito","Débito"))</f>
        <v>Débito</v>
      </c>
      <c r="E531" s="14">
        <f>IF(A531="","",BASE_CAIXA!AA528)</f>
        <v>1140</v>
      </c>
      <c r="F531" s="26">
        <f>IF(A531="","",BASE_CAIXA!N528)</f>
        <v>0</v>
      </c>
      <c r="G531" s="26">
        <f>IF(A531="","",BASE_CAIXA!O528)</f>
        <v>0</v>
      </c>
      <c r="H531" s="26">
        <f>IF(A531="","",BASE_CAIXA!P528)</f>
        <v>0</v>
      </c>
      <c r="I531" s="26" t="str">
        <f>IF(A531="","",IF(BASE_CAIXA!H528&lt;&gt;"",BASE_CAIXA!H528,BASE_CAIXA!G528))</f>
        <v>Aluguel container Banheiro</v>
      </c>
      <c r="J531" s="26" t="str">
        <f>IF(A531="","",BASE_CAIXA!G528)</f>
        <v>Aluguel container Banheiro</v>
      </c>
      <c r="K531" s="26">
        <f>IF(A531="","",BASE_CAIXA!I528)</f>
        <v>0</v>
      </c>
      <c r="L531" s="26">
        <f>IF(A531="","",BASE_CAIXA!J528)</f>
        <v>0</v>
      </c>
      <c r="M531" s="26" t="str">
        <f>IF(A531="","",BASE_CAIXA!AM528)</f>
        <v>Aluguel container Banheiro | Aluguel container Banheiro | Sa</v>
      </c>
      <c r="N531" s="26" t="str">
        <f t="shared" ca="1" si="24"/>
        <v>Previsto</v>
      </c>
      <c r="O531" s="13" t="str">
        <f>IFERROR(INDEX(EXTRATO_IMPORTADO!$A$5:$A$404,MATCH(B531,EXTRATO_IMPORTADO!$I$5:$I$404,0)),"")</f>
        <v/>
      </c>
      <c r="P531" s="14" t="str">
        <f>IFERROR(INDEX(EXTRATO_IMPORTADO!$F$5:$F$404,MATCH(B531,EXTRATO_IMPORTADO!$I$5:$I$404,0)),"")</f>
        <v/>
      </c>
      <c r="Q531" s="26" t="str">
        <f>IFERROR(INDEX(EXTRATO_IMPORTADO!$B$5:$B$404,MATCH(B531,EXTRATO_IMPORTADO!$I$5:$I$404,0)),"")</f>
        <v/>
      </c>
      <c r="R531" s="26" t="str">
        <f>IFERROR(MATCH(B531,EXTRATO_IMPORTADO!$I$5:$I$404,0),"")</f>
        <v/>
      </c>
      <c r="S531" s="14" t="str">
        <f t="shared" si="25"/>
        <v/>
      </c>
      <c r="T531" s="33" t="str">
        <f t="shared" si="26"/>
        <v/>
      </c>
    </row>
    <row r="532" spans="1:20" x14ac:dyDescent="0.3">
      <c r="A532" s="26">
        <f>IF(BASE_CAIXA!A529="","",BASE_CAIXA!A529)</f>
        <v>528</v>
      </c>
      <c r="B532" s="26" t="str">
        <f>IF(A532="","",BASE_CAIXA!AL529)</f>
        <v>000528-DB</v>
      </c>
      <c r="C532" s="13">
        <f>IF(A532="","",BASE_CAIXA!AJ529)</f>
        <v>46199</v>
      </c>
      <c r="D532" s="26" t="str">
        <f>IF(A532="","",IF(BASE_CAIXA!C529="Entrada","Crédito","Débito"))</f>
        <v>Débito</v>
      </c>
      <c r="E532" s="14">
        <f>IF(A532="","",BASE_CAIXA!AA529)</f>
        <v>400</v>
      </c>
      <c r="F532" s="26">
        <f>IF(A532="","",BASE_CAIXA!N529)</f>
        <v>0</v>
      </c>
      <c r="G532" s="26">
        <f>IF(A532="","",BASE_CAIXA!O529)</f>
        <v>0</v>
      </c>
      <c r="H532" s="26">
        <f>IF(A532="","",BASE_CAIXA!P529)</f>
        <v>0</v>
      </c>
      <c r="I532" s="26" t="str">
        <f>IF(A532="","",IF(BASE_CAIXA!H529&lt;&gt;"",BASE_CAIXA!H529,BASE_CAIXA!G529))</f>
        <v>Aluguel container almoxarifado</v>
      </c>
      <c r="J532" s="26" t="str">
        <f>IF(A532="","",BASE_CAIXA!G529)</f>
        <v>Aluguel container almoxarifado</v>
      </c>
      <c r="K532" s="26">
        <f>IF(A532="","",BASE_CAIXA!I529)</f>
        <v>0</v>
      </c>
      <c r="L532" s="26">
        <f>IF(A532="","",BASE_CAIXA!J529)</f>
        <v>0</v>
      </c>
      <c r="M532" s="26" t="str">
        <f>IF(A532="","",BASE_CAIXA!AM529)</f>
        <v>Aluguel container almoxarifado | Aluguel container almoxarif</v>
      </c>
      <c r="N532" s="26" t="str">
        <f t="shared" ca="1" si="24"/>
        <v>Previsto</v>
      </c>
      <c r="O532" s="13" t="str">
        <f>IFERROR(INDEX(EXTRATO_IMPORTADO!$A$5:$A$404,MATCH(B532,EXTRATO_IMPORTADO!$I$5:$I$404,0)),"")</f>
        <v/>
      </c>
      <c r="P532" s="14" t="str">
        <f>IFERROR(INDEX(EXTRATO_IMPORTADO!$F$5:$F$404,MATCH(B532,EXTRATO_IMPORTADO!$I$5:$I$404,0)),"")</f>
        <v/>
      </c>
      <c r="Q532" s="26" t="str">
        <f>IFERROR(INDEX(EXTRATO_IMPORTADO!$B$5:$B$404,MATCH(B532,EXTRATO_IMPORTADO!$I$5:$I$404,0)),"")</f>
        <v/>
      </c>
      <c r="R532" s="26" t="str">
        <f>IFERROR(MATCH(B532,EXTRATO_IMPORTADO!$I$5:$I$404,0),"")</f>
        <v/>
      </c>
      <c r="S532" s="14" t="str">
        <f t="shared" si="25"/>
        <v/>
      </c>
      <c r="T532" s="33" t="str">
        <f t="shared" si="26"/>
        <v/>
      </c>
    </row>
    <row r="533" spans="1:20" x14ac:dyDescent="0.3">
      <c r="A533" s="26">
        <f>IF(BASE_CAIXA!A530="","",BASE_CAIXA!A530)</f>
        <v>529</v>
      </c>
      <c r="B533" s="26" t="str">
        <f>IF(A533="","",BASE_CAIXA!AL530)</f>
        <v>000529-DB</v>
      </c>
      <c r="C533" s="13">
        <f>IF(A533="","",BASE_CAIXA!AJ530)</f>
        <v>46199</v>
      </c>
      <c r="D533" s="26" t="str">
        <f>IF(A533="","",IF(BASE_CAIXA!C530="Entrada","Crédito","Débito"))</f>
        <v>Débito</v>
      </c>
      <c r="E533" s="14">
        <f>IF(A533="","",BASE_CAIXA!AA530)</f>
        <v>900</v>
      </c>
      <c r="F533" s="26">
        <f>IF(A533="","",BASE_CAIXA!N530)</f>
        <v>0</v>
      </c>
      <c r="G533" s="26">
        <f>IF(A533="","",BASE_CAIXA!O530)</f>
        <v>0</v>
      </c>
      <c r="H533" s="26">
        <f>IF(A533="","",BASE_CAIXA!P530)</f>
        <v>0</v>
      </c>
      <c r="I533" s="26" t="str">
        <f>IF(A533="","",IF(BASE_CAIXA!H530&lt;&gt;"",BASE_CAIXA!H530,BASE_CAIXA!G530))</f>
        <v>Aluguel container escritorio</v>
      </c>
      <c r="J533" s="26" t="str">
        <f>IF(A533="","",BASE_CAIXA!G530)</f>
        <v>Aluguel container escritorio</v>
      </c>
      <c r="K533" s="26">
        <f>IF(A533="","",BASE_CAIXA!I530)</f>
        <v>0</v>
      </c>
      <c r="L533" s="26">
        <f>IF(A533="","",BASE_CAIXA!J530)</f>
        <v>0</v>
      </c>
      <c r="M533" s="26" t="str">
        <f>IF(A533="","",BASE_CAIXA!AM530)</f>
        <v xml:space="preserve">Aluguel container escritorio | Aluguel container escritorio </v>
      </c>
      <c r="N533" s="26" t="str">
        <f t="shared" ca="1" si="24"/>
        <v>Previsto</v>
      </c>
      <c r="O533" s="13" t="str">
        <f>IFERROR(INDEX(EXTRATO_IMPORTADO!$A$5:$A$404,MATCH(B533,EXTRATO_IMPORTADO!$I$5:$I$404,0)),"")</f>
        <v/>
      </c>
      <c r="P533" s="14" t="str">
        <f>IFERROR(INDEX(EXTRATO_IMPORTADO!$F$5:$F$404,MATCH(B533,EXTRATO_IMPORTADO!$I$5:$I$404,0)),"")</f>
        <v/>
      </c>
      <c r="Q533" s="26" t="str">
        <f>IFERROR(INDEX(EXTRATO_IMPORTADO!$B$5:$B$404,MATCH(B533,EXTRATO_IMPORTADO!$I$5:$I$404,0)),"")</f>
        <v/>
      </c>
      <c r="R533" s="26" t="str">
        <f>IFERROR(MATCH(B533,EXTRATO_IMPORTADO!$I$5:$I$404,0),"")</f>
        <v/>
      </c>
      <c r="S533" s="14" t="str">
        <f t="shared" si="25"/>
        <v/>
      </c>
      <c r="T533" s="33" t="str">
        <f t="shared" si="26"/>
        <v/>
      </c>
    </row>
    <row r="534" spans="1:20" x14ac:dyDescent="0.3">
      <c r="A534" s="26">
        <f>IF(BASE_CAIXA!A531="","",BASE_CAIXA!A531)</f>
        <v>530</v>
      </c>
      <c r="B534" s="26" t="str">
        <f>IF(A534="","",BASE_CAIXA!AL531)</f>
        <v>000530-DB</v>
      </c>
      <c r="C534" s="13">
        <f>IF(A534="","",BASE_CAIXA!AJ531)</f>
        <v>46199</v>
      </c>
      <c r="D534" s="26" t="str">
        <f>IF(A534="","",IF(BASE_CAIXA!C531="Entrada","Crédito","Débito"))</f>
        <v>Débito</v>
      </c>
      <c r="E534" s="14">
        <f>IF(A534="","",BASE_CAIXA!AA531)</f>
        <v>3000</v>
      </c>
      <c r="F534" s="26">
        <f>IF(A534="","",BASE_CAIXA!N531)</f>
        <v>0</v>
      </c>
      <c r="G534" s="26">
        <f>IF(A534="","",BASE_CAIXA!O531)</f>
        <v>0</v>
      </c>
      <c r="H534" s="26">
        <f>IF(A534="","",BASE_CAIXA!P531)</f>
        <v>0</v>
      </c>
      <c r="I534" s="26" t="str">
        <f>IF(A534="","",IF(BASE_CAIXA!H531&lt;&gt;"",BASE_CAIXA!H531,BASE_CAIXA!G531))</f>
        <v>COMPRADOR</v>
      </c>
      <c r="J534" s="26" t="str">
        <f>IF(A534="","",BASE_CAIXA!G531)</f>
        <v>COMPRADOR</v>
      </c>
      <c r="K534" s="26">
        <f>IF(A534="","",BASE_CAIXA!I531)</f>
        <v>0</v>
      </c>
      <c r="L534" s="26">
        <f>IF(A534="","",BASE_CAIXA!J531)</f>
        <v>0</v>
      </c>
      <c r="M534" s="26" t="str">
        <f>IF(A534="","",BASE_CAIXA!AM531)</f>
        <v>COMPRADOR | COMPRADOR | Saída | GESTÃO LOCAL</v>
      </c>
      <c r="N534" s="26" t="str">
        <f t="shared" ca="1" si="24"/>
        <v>Previsto</v>
      </c>
      <c r="O534" s="13" t="str">
        <f>IFERROR(INDEX(EXTRATO_IMPORTADO!$A$5:$A$404,MATCH(B534,EXTRATO_IMPORTADO!$I$5:$I$404,0)),"")</f>
        <v/>
      </c>
      <c r="P534" s="14" t="str">
        <f>IFERROR(INDEX(EXTRATO_IMPORTADO!$F$5:$F$404,MATCH(B534,EXTRATO_IMPORTADO!$I$5:$I$404,0)),"")</f>
        <v/>
      </c>
      <c r="Q534" s="26" t="str">
        <f>IFERROR(INDEX(EXTRATO_IMPORTADO!$B$5:$B$404,MATCH(B534,EXTRATO_IMPORTADO!$I$5:$I$404,0)),"")</f>
        <v/>
      </c>
      <c r="R534" s="26" t="str">
        <f>IFERROR(MATCH(B534,EXTRATO_IMPORTADO!$I$5:$I$404,0),"")</f>
        <v/>
      </c>
      <c r="S534" s="14" t="str">
        <f t="shared" si="25"/>
        <v/>
      </c>
      <c r="T534" s="33" t="str">
        <f t="shared" si="26"/>
        <v/>
      </c>
    </row>
    <row r="535" spans="1:20" x14ac:dyDescent="0.3">
      <c r="A535" s="26">
        <f>IF(BASE_CAIXA!A532="","",BASE_CAIXA!A532)</f>
        <v>531</v>
      </c>
      <c r="B535" s="26" t="str">
        <f>IF(A535="","",BASE_CAIXA!AL532)</f>
        <v>000531-DB</v>
      </c>
      <c r="C535" s="13">
        <f>IF(A535="","",BASE_CAIXA!AJ532)</f>
        <v>46199</v>
      </c>
      <c r="D535" s="26" t="str">
        <f>IF(A535="","",IF(BASE_CAIXA!C532="Entrada","Crédito","Débito"))</f>
        <v>Débito</v>
      </c>
      <c r="E535" s="14">
        <f>IF(A535="","",BASE_CAIXA!AA532)</f>
        <v>10000</v>
      </c>
      <c r="F535" s="26">
        <f>IF(A535="","",BASE_CAIXA!N532)</f>
        <v>0</v>
      </c>
      <c r="G535" s="26">
        <f>IF(A535="","",BASE_CAIXA!O532)</f>
        <v>0</v>
      </c>
      <c r="H535" s="26">
        <f>IF(A535="","",BASE_CAIXA!P532)</f>
        <v>0</v>
      </c>
      <c r="I535" s="26" t="str">
        <f>IF(A535="","",IF(BASE_CAIXA!H532&lt;&gt;"",BASE_CAIXA!H532,BASE_CAIXA!G532))</f>
        <v>ENGENHEIRO RESIDENTE - ( rateado em 3 canteiros) carro incluso</v>
      </c>
      <c r="J535" s="26" t="str">
        <f>IF(A535="","",BASE_CAIXA!G532)</f>
        <v>ENGENHEIRO RESIDENTE - ( rateado em 3 canteiros) carro incluso</v>
      </c>
      <c r="K535" s="26">
        <f>IF(A535="","",BASE_CAIXA!I532)</f>
        <v>0</v>
      </c>
      <c r="L535" s="26">
        <f>IF(A535="","",BASE_CAIXA!J532)</f>
        <v>0</v>
      </c>
      <c r="M535" s="26" t="str">
        <f>IF(A535="","",BASE_CAIXA!AM532)</f>
        <v>ENGENHEIRO RESIDENTE - ( rateado em 3 canteiros) carro inclu</v>
      </c>
      <c r="N535" s="26" t="str">
        <f t="shared" ca="1" si="24"/>
        <v>Previsto</v>
      </c>
      <c r="O535" s="13" t="str">
        <f>IFERROR(INDEX(EXTRATO_IMPORTADO!$A$5:$A$404,MATCH(B535,EXTRATO_IMPORTADO!$I$5:$I$404,0)),"")</f>
        <v/>
      </c>
      <c r="P535" s="14" t="str">
        <f>IFERROR(INDEX(EXTRATO_IMPORTADO!$F$5:$F$404,MATCH(B535,EXTRATO_IMPORTADO!$I$5:$I$404,0)),"")</f>
        <v/>
      </c>
      <c r="Q535" s="26" t="str">
        <f>IFERROR(INDEX(EXTRATO_IMPORTADO!$B$5:$B$404,MATCH(B535,EXTRATO_IMPORTADO!$I$5:$I$404,0)),"")</f>
        <v/>
      </c>
      <c r="R535" s="26" t="str">
        <f>IFERROR(MATCH(B535,EXTRATO_IMPORTADO!$I$5:$I$404,0),"")</f>
        <v/>
      </c>
      <c r="S535" s="14" t="str">
        <f t="shared" si="25"/>
        <v/>
      </c>
      <c r="T535" s="33" t="str">
        <f t="shared" si="26"/>
        <v/>
      </c>
    </row>
    <row r="536" spans="1:20" x14ac:dyDescent="0.3">
      <c r="A536" s="26">
        <f>IF(BASE_CAIXA!A533="","",BASE_CAIXA!A533)</f>
        <v>532</v>
      </c>
      <c r="B536" s="26" t="str">
        <f>IF(A536="","",BASE_CAIXA!AL533)</f>
        <v>000532-DB</v>
      </c>
      <c r="C536" s="13">
        <f>IF(A536="","",BASE_CAIXA!AJ533)</f>
        <v>46199</v>
      </c>
      <c r="D536" s="26" t="str">
        <f>IF(A536="","",IF(BASE_CAIXA!C533="Entrada","Crédito","Débito"))</f>
        <v>Débito</v>
      </c>
      <c r="E536" s="14">
        <f>IF(A536="","",BASE_CAIXA!AA533)</f>
        <v>6100</v>
      </c>
      <c r="F536" s="26">
        <f>IF(A536="","",BASE_CAIXA!N533)</f>
        <v>0</v>
      </c>
      <c r="G536" s="26">
        <f>IF(A536="","",BASE_CAIXA!O533)</f>
        <v>0</v>
      </c>
      <c r="H536" s="26">
        <f>IF(A536="","",BASE_CAIXA!P533)</f>
        <v>0</v>
      </c>
      <c r="I536" s="26" t="str">
        <f>IF(A536="","",IF(BASE_CAIXA!H533&lt;&gt;"",BASE_CAIXA!H533,BASE_CAIXA!G533))</f>
        <v>mobilização / desmobilzaçao containers</v>
      </c>
      <c r="J536" s="26" t="str">
        <f>IF(A536="","",BASE_CAIXA!G533)</f>
        <v>mobilização / desmobilzaçao containers</v>
      </c>
      <c r="K536" s="26">
        <f>IF(A536="","",BASE_CAIXA!I533)</f>
        <v>0</v>
      </c>
      <c r="L536" s="26">
        <f>IF(A536="","",BASE_CAIXA!J533)</f>
        <v>0</v>
      </c>
      <c r="M536" s="26" t="str">
        <f>IF(A536="","",BASE_CAIXA!AM533)</f>
        <v>mobilização / desmobilzaçao containers | mobilização / desmo</v>
      </c>
      <c r="N536" s="26" t="str">
        <f t="shared" ca="1" si="24"/>
        <v>Previsto</v>
      </c>
      <c r="O536" s="13" t="str">
        <f>IFERROR(INDEX(EXTRATO_IMPORTADO!$A$5:$A$404,MATCH(B536,EXTRATO_IMPORTADO!$I$5:$I$404,0)),"")</f>
        <v/>
      </c>
      <c r="P536" s="14" t="str">
        <f>IFERROR(INDEX(EXTRATO_IMPORTADO!$F$5:$F$404,MATCH(B536,EXTRATO_IMPORTADO!$I$5:$I$404,0)),"")</f>
        <v/>
      </c>
      <c r="Q536" s="26" t="str">
        <f>IFERROR(INDEX(EXTRATO_IMPORTADO!$B$5:$B$404,MATCH(B536,EXTRATO_IMPORTADO!$I$5:$I$404,0)),"")</f>
        <v/>
      </c>
      <c r="R536" s="26" t="str">
        <f>IFERROR(MATCH(B536,EXTRATO_IMPORTADO!$I$5:$I$404,0),"")</f>
        <v/>
      </c>
      <c r="S536" s="14" t="str">
        <f t="shared" si="25"/>
        <v/>
      </c>
      <c r="T536" s="33" t="str">
        <f t="shared" si="26"/>
        <v/>
      </c>
    </row>
    <row r="537" spans="1:20" x14ac:dyDescent="0.3">
      <c r="A537" s="26">
        <f>IF(BASE_CAIXA!A534="","",BASE_CAIXA!A534)</f>
        <v>533</v>
      </c>
      <c r="B537" s="26" t="str">
        <f>IF(A537="","",BASE_CAIXA!AL534)</f>
        <v>000533-DB</v>
      </c>
      <c r="C537" s="13">
        <f>IF(A537="","",BASE_CAIXA!AJ534)</f>
        <v>46199</v>
      </c>
      <c r="D537" s="26" t="str">
        <f>IF(A537="","",IF(BASE_CAIXA!C534="Entrada","Crédito","Débito"))</f>
        <v>Débito</v>
      </c>
      <c r="E537" s="14">
        <f>IF(A537="","",BASE_CAIXA!AA534)</f>
        <v>246.88</v>
      </c>
      <c r="F537" s="26">
        <f>IF(A537="","",BASE_CAIXA!N534)</f>
        <v>0</v>
      </c>
      <c r="G537" s="26">
        <f>IF(A537="","",BASE_CAIXA!O534)</f>
        <v>0</v>
      </c>
      <c r="H537" s="26">
        <f>IF(A537="","",BASE_CAIXA!P534)</f>
        <v>0</v>
      </c>
      <c r="I537" s="26" t="str">
        <f>IF(A537="","",IF(BASE_CAIXA!H534&lt;&gt;"",BASE_CAIXA!H534,BASE_CAIXA!G534))</f>
        <v>DESINFETANTE 5L</v>
      </c>
      <c r="J537" s="26" t="str">
        <f>IF(A537="","",BASE_CAIXA!G534)</f>
        <v>DESINFETANTE 5L</v>
      </c>
      <c r="K537" s="26">
        <f>IF(A537="","",BASE_CAIXA!I534)</f>
        <v>0</v>
      </c>
      <c r="L537" s="26">
        <f>IF(A537="","",BASE_CAIXA!J534)</f>
        <v>0</v>
      </c>
      <c r="M537" s="26" t="str">
        <f>IF(A537="","",BASE_CAIXA!AM534)</f>
        <v>DESINFETANTE 5L | DESINFETANTE 5L | Saída | LIMPEZA FINAL</v>
      </c>
      <c r="N537" s="26" t="str">
        <f t="shared" ca="1" si="24"/>
        <v>Previsto</v>
      </c>
      <c r="O537" s="13" t="str">
        <f>IFERROR(INDEX(EXTRATO_IMPORTADO!$A$5:$A$404,MATCH(B537,EXTRATO_IMPORTADO!$I$5:$I$404,0)),"")</f>
        <v/>
      </c>
      <c r="P537" s="14" t="str">
        <f>IFERROR(INDEX(EXTRATO_IMPORTADO!$F$5:$F$404,MATCH(B537,EXTRATO_IMPORTADO!$I$5:$I$404,0)),"")</f>
        <v/>
      </c>
      <c r="Q537" s="26" t="str">
        <f>IFERROR(INDEX(EXTRATO_IMPORTADO!$B$5:$B$404,MATCH(B537,EXTRATO_IMPORTADO!$I$5:$I$404,0)),"")</f>
        <v/>
      </c>
      <c r="R537" s="26" t="str">
        <f>IFERROR(MATCH(B537,EXTRATO_IMPORTADO!$I$5:$I$404,0),"")</f>
        <v/>
      </c>
      <c r="S537" s="14" t="str">
        <f t="shared" si="25"/>
        <v/>
      </c>
      <c r="T537" s="33" t="str">
        <f t="shared" si="26"/>
        <v/>
      </c>
    </row>
    <row r="538" spans="1:20" x14ac:dyDescent="0.3">
      <c r="A538" s="26">
        <f>IF(BASE_CAIXA!A535="","",BASE_CAIXA!A535)</f>
        <v>534</v>
      </c>
      <c r="B538" s="26" t="str">
        <f>IF(A538="","",BASE_CAIXA!AL535)</f>
        <v>000534-DB</v>
      </c>
      <c r="C538" s="13">
        <f>IF(A538="","",BASE_CAIXA!AJ535)</f>
        <v>46199</v>
      </c>
      <c r="D538" s="26" t="str">
        <f>IF(A538="","",IF(BASE_CAIXA!C535="Entrada","Crédito","Débito"))</f>
        <v>Débito</v>
      </c>
      <c r="E538" s="14">
        <f>IF(A538="","",BASE_CAIXA!AA535)</f>
        <v>250.72</v>
      </c>
      <c r="F538" s="26">
        <f>IF(A538="","",BASE_CAIXA!N535)</f>
        <v>0</v>
      </c>
      <c r="G538" s="26">
        <f>IF(A538="","",BASE_CAIXA!O535)</f>
        <v>0</v>
      </c>
      <c r="H538" s="26">
        <f>IF(A538="","",BASE_CAIXA!P535)</f>
        <v>0</v>
      </c>
      <c r="I538" s="26" t="str">
        <f>IF(A538="","",IF(BASE_CAIXA!H535&lt;&gt;"",BASE_CAIXA!H535,BASE_CAIXA!G535))</f>
        <v>DETERGENTE 5L</v>
      </c>
      <c r="J538" s="26" t="str">
        <f>IF(A538="","",BASE_CAIXA!G535)</f>
        <v>DETERGENTE 5L</v>
      </c>
      <c r="K538" s="26">
        <f>IF(A538="","",BASE_CAIXA!I535)</f>
        <v>0</v>
      </c>
      <c r="L538" s="26">
        <f>IF(A538="","",BASE_CAIXA!J535)</f>
        <v>0</v>
      </c>
      <c r="M538" s="26" t="str">
        <f>IF(A538="","",BASE_CAIXA!AM535)</f>
        <v>DETERGENTE 5L | DETERGENTE 5L | Saída | LIMPEZA FINAL</v>
      </c>
      <c r="N538" s="26" t="str">
        <f t="shared" ca="1" si="24"/>
        <v>Previsto</v>
      </c>
      <c r="O538" s="13" t="str">
        <f>IFERROR(INDEX(EXTRATO_IMPORTADO!$A$5:$A$404,MATCH(B538,EXTRATO_IMPORTADO!$I$5:$I$404,0)),"")</f>
        <v/>
      </c>
      <c r="P538" s="14" t="str">
        <f>IFERROR(INDEX(EXTRATO_IMPORTADO!$F$5:$F$404,MATCH(B538,EXTRATO_IMPORTADO!$I$5:$I$404,0)),"")</f>
        <v/>
      </c>
      <c r="Q538" s="26" t="str">
        <f>IFERROR(INDEX(EXTRATO_IMPORTADO!$B$5:$B$404,MATCH(B538,EXTRATO_IMPORTADO!$I$5:$I$404,0)),"")</f>
        <v/>
      </c>
      <c r="R538" s="26" t="str">
        <f>IFERROR(MATCH(B538,EXTRATO_IMPORTADO!$I$5:$I$404,0),"")</f>
        <v/>
      </c>
      <c r="S538" s="14" t="str">
        <f t="shared" si="25"/>
        <v/>
      </c>
      <c r="T538" s="33" t="str">
        <f t="shared" si="26"/>
        <v/>
      </c>
    </row>
    <row r="539" spans="1:20" x14ac:dyDescent="0.3">
      <c r="A539" s="26">
        <f>IF(BASE_CAIXA!A536="","",BASE_CAIXA!A536)</f>
        <v>535</v>
      </c>
      <c r="B539" s="26" t="str">
        <f>IF(A539="","",BASE_CAIXA!AL536)</f>
        <v>000535-DB</v>
      </c>
      <c r="C539" s="13">
        <f>IF(A539="","",BASE_CAIXA!AJ536)</f>
        <v>46199</v>
      </c>
      <c r="D539" s="26" t="str">
        <f>IF(A539="","",IF(BASE_CAIXA!C536="Entrada","Crédito","Débito"))</f>
        <v>Débito</v>
      </c>
      <c r="E539" s="14">
        <f>IF(A539="","",BASE_CAIXA!AA536)</f>
        <v>932.47705600000006</v>
      </c>
      <c r="F539" s="26">
        <f>IF(A539="","",BASE_CAIXA!N536)</f>
        <v>0</v>
      </c>
      <c r="G539" s="26">
        <f>IF(A539="","",BASE_CAIXA!O536)</f>
        <v>0</v>
      </c>
      <c r="H539" s="26">
        <f>IF(A539="","",BASE_CAIXA!P536)</f>
        <v>0</v>
      </c>
      <c r="I539" s="26" t="str">
        <f>IF(A539="","",IF(BASE_CAIXA!H536&lt;&gt;"",BASE_CAIXA!H536,BASE_CAIXA!G536))</f>
        <v>Mao de obra terceirizada limpeza final</v>
      </c>
      <c r="J539" s="26" t="str">
        <f>IF(A539="","",BASE_CAIXA!G536)</f>
        <v>Mao de obra terceirizada limpeza final</v>
      </c>
      <c r="K539" s="26">
        <f>IF(A539="","",BASE_CAIXA!I536)</f>
        <v>0</v>
      </c>
      <c r="L539" s="26">
        <f>IF(A539="","",BASE_CAIXA!J536)</f>
        <v>0</v>
      </c>
      <c r="M539" s="26" t="str">
        <f>IF(A539="","",BASE_CAIXA!AM536)</f>
        <v>Mao de obra terceirizada limpeza final | Mao de obra terceir</v>
      </c>
      <c r="N539" s="26" t="str">
        <f t="shared" ca="1" si="24"/>
        <v>Previsto</v>
      </c>
      <c r="O539" s="13" t="str">
        <f>IFERROR(INDEX(EXTRATO_IMPORTADO!$A$5:$A$404,MATCH(B539,EXTRATO_IMPORTADO!$I$5:$I$404,0)),"")</f>
        <v/>
      </c>
      <c r="P539" s="14" t="str">
        <f>IFERROR(INDEX(EXTRATO_IMPORTADO!$F$5:$F$404,MATCH(B539,EXTRATO_IMPORTADO!$I$5:$I$404,0)),"")</f>
        <v/>
      </c>
      <c r="Q539" s="26" t="str">
        <f>IFERROR(INDEX(EXTRATO_IMPORTADO!$B$5:$B$404,MATCH(B539,EXTRATO_IMPORTADO!$I$5:$I$404,0)),"")</f>
        <v/>
      </c>
      <c r="R539" s="26" t="str">
        <f>IFERROR(MATCH(B539,EXTRATO_IMPORTADO!$I$5:$I$404,0),"")</f>
        <v/>
      </c>
      <c r="S539" s="14" t="str">
        <f t="shared" si="25"/>
        <v/>
      </c>
      <c r="T539" s="33" t="str">
        <f t="shared" si="26"/>
        <v/>
      </c>
    </row>
    <row r="540" spans="1:20" x14ac:dyDescent="0.3">
      <c r="A540" s="26">
        <f>IF(BASE_CAIXA!A537="","",BASE_CAIXA!A537)</f>
        <v>536</v>
      </c>
      <c r="B540" s="26" t="str">
        <f>IF(A540="","",BASE_CAIXA!AL537)</f>
        <v>000536-DB</v>
      </c>
      <c r="C540" s="13">
        <f>IF(A540="","",BASE_CAIXA!AJ537)</f>
        <v>46199</v>
      </c>
      <c r="D540" s="26" t="str">
        <f>IF(A540="","",IF(BASE_CAIXA!C537="Entrada","Crédito","Débito"))</f>
        <v>Débito</v>
      </c>
      <c r="E540" s="14">
        <f>IF(A540="","",BASE_CAIXA!AA537)</f>
        <v>579.36</v>
      </c>
      <c r="F540" s="26">
        <f>IF(A540="","",BASE_CAIXA!N537)</f>
        <v>0</v>
      </c>
      <c r="G540" s="26">
        <f>IF(A540="","",BASE_CAIXA!O537)</f>
        <v>0</v>
      </c>
      <c r="H540" s="26">
        <f>IF(A540="","",BASE_CAIXA!P537)</f>
        <v>0</v>
      </c>
      <c r="I540" s="26" t="str">
        <f>IF(A540="","",IF(BASE_CAIXA!H537&lt;&gt;"",BASE_CAIXA!H537,BASE_CAIXA!G537))</f>
        <v>ÁLCOOL 70 LIQUIDO 5L</v>
      </c>
      <c r="J540" s="26" t="str">
        <f>IF(A540="","",BASE_CAIXA!G537)</f>
        <v>ÁLCOOL 70 LIQUIDO 5L</v>
      </c>
      <c r="K540" s="26">
        <f>IF(A540="","",BASE_CAIXA!I537)</f>
        <v>0</v>
      </c>
      <c r="L540" s="26">
        <f>IF(A540="","",BASE_CAIXA!J537)</f>
        <v>0</v>
      </c>
      <c r="M540" s="26" t="str">
        <f>IF(A540="","",BASE_CAIXA!AM537)</f>
        <v>ÁLCOOL 70 LIQUIDO 5L | ÁLCOOL 70 LIQUIDO 5L | Saída | LIMPEZ</v>
      </c>
      <c r="N540" s="26" t="str">
        <f t="shared" ca="1" si="24"/>
        <v>Previsto</v>
      </c>
      <c r="O540" s="13" t="str">
        <f>IFERROR(INDEX(EXTRATO_IMPORTADO!$A$5:$A$404,MATCH(B540,EXTRATO_IMPORTADO!$I$5:$I$404,0)),"")</f>
        <v/>
      </c>
      <c r="P540" s="14" t="str">
        <f>IFERROR(INDEX(EXTRATO_IMPORTADO!$F$5:$F$404,MATCH(B540,EXTRATO_IMPORTADO!$I$5:$I$404,0)),"")</f>
        <v/>
      </c>
      <c r="Q540" s="26" t="str">
        <f>IFERROR(INDEX(EXTRATO_IMPORTADO!$B$5:$B$404,MATCH(B540,EXTRATO_IMPORTADO!$I$5:$I$404,0)),"")</f>
        <v/>
      </c>
      <c r="R540" s="26" t="str">
        <f>IFERROR(MATCH(B540,EXTRATO_IMPORTADO!$I$5:$I$404,0),"")</f>
        <v/>
      </c>
      <c r="S540" s="14" t="str">
        <f t="shared" si="25"/>
        <v/>
      </c>
      <c r="T540" s="33" t="str">
        <f t="shared" si="26"/>
        <v/>
      </c>
    </row>
    <row r="541" spans="1:20" x14ac:dyDescent="0.3">
      <c r="A541" s="26">
        <f>IF(BASE_CAIXA!A538="","",BASE_CAIXA!A538)</f>
        <v>537</v>
      </c>
      <c r="B541" s="26" t="str">
        <f>IF(A541="","",BASE_CAIXA!AL538)</f>
        <v>000537-DB</v>
      </c>
      <c r="C541" s="13">
        <f>IF(A541="","",BASE_CAIXA!AJ538)</f>
        <v>46199</v>
      </c>
      <c r="D541" s="26" t="str">
        <f>IF(A541="","",IF(BASE_CAIXA!C538="Entrada","Crédito","Débito"))</f>
        <v>Débito</v>
      </c>
      <c r="E541" s="14">
        <f>IF(A541="","",BASE_CAIXA!AA538)</f>
        <v>6469.44</v>
      </c>
      <c r="F541" s="26">
        <f>IF(A541="","",BASE_CAIXA!N538)</f>
        <v>0</v>
      </c>
      <c r="G541" s="26">
        <f>IF(A541="","",BASE_CAIXA!O538)</f>
        <v>0</v>
      </c>
      <c r="H541" s="26">
        <f>IF(A541="","",BASE_CAIXA!P538)</f>
        <v>0</v>
      </c>
      <c r="I541" s="26" t="str">
        <f>IF(A541="","",IF(BASE_CAIXA!H538&lt;&gt;"",BASE_CAIXA!H538,BASE_CAIXA!G538))</f>
        <v>Mao de obra cozinha e tanque completos</v>
      </c>
      <c r="J541" s="26" t="str">
        <f>IF(A541="","",BASE_CAIXA!G538)</f>
        <v>Mao de obra cozinha e tanque completos</v>
      </c>
      <c r="K541" s="26">
        <f>IF(A541="","",BASE_CAIXA!I538)</f>
        <v>0</v>
      </c>
      <c r="L541" s="26">
        <f>IF(A541="","",BASE_CAIXA!J538)</f>
        <v>0</v>
      </c>
      <c r="M541" s="26" t="str">
        <f>IF(A541="","",BASE_CAIXA!AM538)</f>
        <v>Mao de obra cozinha e tanque completos | Mao de obra cozinha</v>
      </c>
      <c r="N541" s="26" t="str">
        <f t="shared" ca="1" si="24"/>
        <v>Previsto</v>
      </c>
      <c r="O541" s="13" t="str">
        <f>IFERROR(INDEX(EXTRATO_IMPORTADO!$A$5:$A$404,MATCH(B541,EXTRATO_IMPORTADO!$I$5:$I$404,0)),"")</f>
        <v/>
      </c>
      <c r="P541" s="14" t="str">
        <f>IFERROR(INDEX(EXTRATO_IMPORTADO!$F$5:$F$404,MATCH(B541,EXTRATO_IMPORTADO!$I$5:$I$404,0)),"")</f>
        <v/>
      </c>
      <c r="Q541" s="26" t="str">
        <f>IFERROR(INDEX(EXTRATO_IMPORTADO!$B$5:$B$404,MATCH(B541,EXTRATO_IMPORTADO!$I$5:$I$404,0)),"")</f>
        <v/>
      </c>
      <c r="R541" s="26" t="str">
        <f>IFERROR(MATCH(B541,EXTRATO_IMPORTADO!$I$5:$I$404,0),"")</f>
        <v/>
      </c>
      <c r="S541" s="14" t="str">
        <f t="shared" si="25"/>
        <v/>
      </c>
      <c r="T541" s="33" t="str">
        <f t="shared" si="26"/>
        <v/>
      </c>
    </row>
    <row r="542" spans="1:20" x14ac:dyDescent="0.3">
      <c r="A542" s="26">
        <f>IF(BASE_CAIXA!A539="","",BASE_CAIXA!A539)</f>
        <v>538</v>
      </c>
      <c r="B542" s="26" t="str">
        <f>IF(A542="","",BASE_CAIXA!AL539)</f>
        <v>000538-DB</v>
      </c>
      <c r="C542" s="13">
        <f>IF(A542="","",BASE_CAIXA!AJ539)</f>
        <v>46199</v>
      </c>
      <c r="D542" s="26" t="str">
        <f>IF(A542="","",IF(BASE_CAIXA!C539="Entrada","Crédito","Débito"))</f>
        <v>Débito</v>
      </c>
      <c r="E542" s="14">
        <f>IF(A542="","",BASE_CAIXA!AA539)</f>
        <v>6469.44</v>
      </c>
      <c r="F542" s="26">
        <f>IF(A542="","",BASE_CAIXA!N539)</f>
        <v>0</v>
      </c>
      <c r="G542" s="26">
        <f>IF(A542="","",BASE_CAIXA!O539)</f>
        <v>0</v>
      </c>
      <c r="H542" s="26">
        <f>IF(A542="","",BASE_CAIXA!P539)</f>
        <v>0</v>
      </c>
      <c r="I542" s="26" t="str">
        <f>IF(A542="","",IF(BASE_CAIXA!H539&lt;&gt;"",BASE_CAIXA!H539,BASE_CAIXA!G539))</f>
        <v>Mao de obra loucas e metais Banheiro completo</v>
      </c>
      <c r="J542" s="26" t="str">
        <f>IF(A542="","",BASE_CAIXA!G539)</f>
        <v>Mao de obra loucas e metais Banheiro completo</v>
      </c>
      <c r="K542" s="26">
        <f>IF(A542="","",BASE_CAIXA!I539)</f>
        <v>0</v>
      </c>
      <c r="L542" s="26">
        <f>IF(A542="","",BASE_CAIXA!J539)</f>
        <v>0</v>
      </c>
      <c r="M542" s="26" t="str">
        <f>IF(A542="","",BASE_CAIXA!AM539)</f>
        <v xml:space="preserve">Mao de obra loucas e metais Banheiro completo | Mao de obra </v>
      </c>
      <c r="N542" s="26" t="str">
        <f t="shared" ca="1" si="24"/>
        <v>Previsto</v>
      </c>
      <c r="O542" s="13" t="str">
        <f>IFERROR(INDEX(EXTRATO_IMPORTADO!$A$5:$A$404,MATCH(B542,EXTRATO_IMPORTADO!$I$5:$I$404,0)),"")</f>
        <v/>
      </c>
      <c r="P542" s="14" t="str">
        <f>IFERROR(INDEX(EXTRATO_IMPORTADO!$F$5:$F$404,MATCH(B542,EXTRATO_IMPORTADO!$I$5:$I$404,0)),"")</f>
        <v/>
      </c>
      <c r="Q542" s="26" t="str">
        <f>IFERROR(INDEX(EXTRATO_IMPORTADO!$B$5:$B$404,MATCH(B542,EXTRATO_IMPORTADO!$I$5:$I$404,0)),"")</f>
        <v/>
      </c>
      <c r="R542" s="26" t="str">
        <f>IFERROR(MATCH(B542,EXTRATO_IMPORTADO!$I$5:$I$404,0),"")</f>
        <v/>
      </c>
      <c r="S542" s="14" t="str">
        <f t="shared" si="25"/>
        <v/>
      </c>
      <c r="T542" s="33" t="str">
        <f t="shared" si="26"/>
        <v/>
      </c>
    </row>
    <row r="543" spans="1:20" x14ac:dyDescent="0.3">
      <c r="A543" s="26">
        <f>IF(BASE_CAIXA!A540="","",BASE_CAIXA!A540)</f>
        <v>539</v>
      </c>
      <c r="B543" s="26" t="str">
        <f>IF(A543="","",BASE_CAIXA!AL540)</f>
        <v>000539-DB</v>
      </c>
      <c r="C543" s="13">
        <f>IF(A543="","",BASE_CAIXA!AJ540)</f>
        <v>46199</v>
      </c>
      <c r="D543" s="26" t="str">
        <f>IF(A543="","",IF(BASE_CAIXA!C540="Entrada","Crédito","Débito"))</f>
        <v>Débito</v>
      </c>
      <c r="E543" s="14">
        <f>IF(A543="","",BASE_CAIXA!AA540)</f>
        <v>10085.890357792599</v>
      </c>
      <c r="F543" s="26">
        <f>IF(A543="","",BASE_CAIXA!N540)</f>
        <v>0</v>
      </c>
      <c r="G543" s="26">
        <f>IF(A543="","",BASE_CAIXA!O540)</f>
        <v>0</v>
      </c>
      <c r="H543" s="26">
        <f>IF(A543="","",BASE_CAIXA!P540)</f>
        <v>0</v>
      </c>
      <c r="I543" s="26" t="str">
        <f>IF(A543="","",IF(BASE_CAIXA!H540&lt;&gt;"",BASE_CAIXA!H540,BASE_CAIXA!G540))</f>
        <v>material FERRO: KIT Parede e Laje - FOB na Fabrica</v>
      </c>
      <c r="J543" s="26" t="str">
        <f>IF(A543="","",BASE_CAIXA!G540)</f>
        <v>material FERRO: KIT Parede e Laje - FOB na Fabrica</v>
      </c>
      <c r="K543" s="26">
        <f>IF(A543="","",BASE_CAIXA!I540)</f>
        <v>0</v>
      </c>
      <c r="L543" s="26">
        <f>IF(A543="","",BASE_CAIXA!J540)</f>
        <v>0</v>
      </c>
      <c r="M543" s="26" t="str">
        <f>IF(A543="","",BASE_CAIXA!AM540)</f>
        <v>material FERRO: KIT Parede e Laje - FOB na Fabrica | materia</v>
      </c>
      <c r="N543" s="26" t="str">
        <f t="shared" ca="1" si="24"/>
        <v>Previsto</v>
      </c>
      <c r="O543" s="13" t="str">
        <f>IFERROR(INDEX(EXTRATO_IMPORTADO!$A$5:$A$404,MATCH(B543,EXTRATO_IMPORTADO!$I$5:$I$404,0)),"")</f>
        <v/>
      </c>
      <c r="P543" s="14" t="str">
        <f>IFERROR(INDEX(EXTRATO_IMPORTADO!$F$5:$F$404,MATCH(B543,EXTRATO_IMPORTADO!$I$5:$I$404,0)),"")</f>
        <v/>
      </c>
      <c r="Q543" s="26" t="str">
        <f>IFERROR(INDEX(EXTRATO_IMPORTADO!$B$5:$B$404,MATCH(B543,EXTRATO_IMPORTADO!$I$5:$I$404,0)),"")</f>
        <v/>
      </c>
      <c r="R543" s="26" t="str">
        <f>IFERROR(MATCH(B543,EXTRATO_IMPORTADO!$I$5:$I$404,0),"")</f>
        <v/>
      </c>
      <c r="S543" s="14" t="str">
        <f t="shared" si="25"/>
        <v/>
      </c>
      <c r="T543" s="33" t="str">
        <f t="shared" si="26"/>
        <v/>
      </c>
    </row>
    <row r="544" spans="1:20" x14ac:dyDescent="0.3">
      <c r="A544" s="26">
        <f>IF(BASE_CAIXA!A541="","",BASE_CAIXA!A541)</f>
        <v>540</v>
      </c>
      <c r="B544" s="26" t="str">
        <f>IF(A544="","",BASE_CAIXA!AL541)</f>
        <v>000540-DB</v>
      </c>
      <c r="C544" s="13">
        <f>IF(A544="","",BASE_CAIXA!AJ541)</f>
        <v>46199</v>
      </c>
      <c r="D544" s="26" t="str">
        <f>IF(A544="","",IF(BASE_CAIXA!C541="Entrada","Crédito","Débito"))</f>
        <v>Débito</v>
      </c>
      <c r="E544" s="14">
        <f>IF(A544="","",BASE_CAIXA!AA541)</f>
        <v>10085.890357792599</v>
      </c>
      <c r="F544" s="26">
        <f>IF(A544="","",BASE_CAIXA!N541)</f>
        <v>0</v>
      </c>
      <c r="G544" s="26">
        <f>IF(A544="","",BASE_CAIXA!O541)</f>
        <v>0</v>
      </c>
      <c r="H544" s="26">
        <f>IF(A544="","",BASE_CAIXA!P541)</f>
        <v>0</v>
      </c>
      <c r="I544" s="26" t="str">
        <f>IF(A544="","",IF(BASE_CAIXA!H541&lt;&gt;"",BASE_CAIXA!H541,BASE_CAIXA!G541))</f>
        <v>material FERRO: KIT Parede e Laje - FOB na Fabrica</v>
      </c>
      <c r="J544" s="26" t="str">
        <f>IF(A544="","",BASE_CAIXA!G541)</f>
        <v>material FERRO: KIT Parede e Laje - FOB na Fabrica</v>
      </c>
      <c r="K544" s="26">
        <f>IF(A544="","",BASE_CAIXA!I541)</f>
        <v>0</v>
      </c>
      <c r="L544" s="26">
        <f>IF(A544="","",BASE_CAIXA!J541)</f>
        <v>0</v>
      </c>
      <c r="M544" s="26" t="str">
        <f>IF(A544="","",BASE_CAIXA!AM541)</f>
        <v>material FERRO: KIT Parede e Laje - FOB na Fabrica | materia</v>
      </c>
      <c r="N544" s="26" t="str">
        <f t="shared" ca="1" si="24"/>
        <v>Previsto</v>
      </c>
      <c r="O544" s="13" t="str">
        <f>IFERROR(INDEX(EXTRATO_IMPORTADO!$A$5:$A$404,MATCH(B544,EXTRATO_IMPORTADO!$I$5:$I$404,0)),"")</f>
        <v/>
      </c>
      <c r="P544" s="14" t="str">
        <f>IFERROR(INDEX(EXTRATO_IMPORTADO!$F$5:$F$404,MATCH(B544,EXTRATO_IMPORTADO!$I$5:$I$404,0)),"")</f>
        <v/>
      </c>
      <c r="Q544" s="26" t="str">
        <f>IFERROR(INDEX(EXTRATO_IMPORTADO!$B$5:$B$404,MATCH(B544,EXTRATO_IMPORTADO!$I$5:$I$404,0)),"")</f>
        <v/>
      </c>
      <c r="R544" s="26" t="str">
        <f>IFERROR(MATCH(B544,EXTRATO_IMPORTADO!$I$5:$I$404,0),"")</f>
        <v/>
      </c>
      <c r="S544" s="14" t="str">
        <f t="shared" si="25"/>
        <v/>
      </c>
      <c r="T544" s="33" t="str">
        <f t="shared" si="26"/>
        <v/>
      </c>
    </row>
    <row r="545" spans="1:20" x14ac:dyDescent="0.3">
      <c r="A545" s="26">
        <f>IF(BASE_CAIXA!A542="","",BASE_CAIXA!A542)</f>
        <v>541</v>
      </c>
      <c r="B545" s="26" t="str">
        <f>IF(A545="","",BASE_CAIXA!AL542)</f>
        <v>000541-DB</v>
      </c>
      <c r="C545" s="13">
        <f>IF(A545="","",BASE_CAIXA!AJ542)</f>
        <v>46199</v>
      </c>
      <c r="D545" s="26" t="str">
        <f>IF(A545="","",IF(BASE_CAIXA!C542="Entrada","Crédito","Débito"))</f>
        <v>Débito</v>
      </c>
      <c r="E545" s="14">
        <f>IF(A545="","",BASE_CAIXA!AA542)</f>
        <v>12103.06842935112</v>
      </c>
      <c r="F545" s="26">
        <f>IF(A545="","",BASE_CAIXA!N542)</f>
        <v>0</v>
      </c>
      <c r="G545" s="26">
        <f>IF(A545="","",BASE_CAIXA!O542)</f>
        <v>0</v>
      </c>
      <c r="H545" s="26">
        <f>IF(A545="","",BASE_CAIXA!P542)</f>
        <v>0</v>
      </c>
      <c r="I545" s="26" t="str">
        <f>IF(A545="","",IF(BASE_CAIXA!H542&lt;&gt;"",BASE_CAIXA!H542,BASE_CAIXA!G542))</f>
        <v>material FERRO: KIT Parede e Laje - FOB na Fabrica</v>
      </c>
      <c r="J545" s="26" t="str">
        <f>IF(A545="","",BASE_CAIXA!G542)</f>
        <v>material FERRO: KIT Parede e Laje - FOB na Fabrica</v>
      </c>
      <c r="K545" s="26">
        <f>IF(A545="","",BASE_CAIXA!I542)</f>
        <v>0</v>
      </c>
      <c r="L545" s="26">
        <f>IF(A545="","",BASE_CAIXA!J542)</f>
        <v>0</v>
      </c>
      <c r="M545" s="26" t="str">
        <f>IF(A545="","",BASE_CAIXA!AM542)</f>
        <v>material FERRO: KIT Parede e Laje - FOB na Fabrica | materia</v>
      </c>
      <c r="N545" s="26" t="str">
        <f t="shared" ca="1" si="24"/>
        <v>Previsto</v>
      </c>
      <c r="O545" s="13" t="str">
        <f>IFERROR(INDEX(EXTRATO_IMPORTADO!$A$5:$A$404,MATCH(B545,EXTRATO_IMPORTADO!$I$5:$I$404,0)),"")</f>
        <v/>
      </c>
      <c r="P545" s="14" t="str">
        <f>IFERROR(INDEX(EXTRATO_IMPORTADO!$F$5:$F$404,MATCH(B545,EXTRATO_IMPORTADO!$I$5:$I$404,0)),"")</f>
        <v/>
      </c>
      <c r="Q545" s="26" t="str">
        <f>IFERROR(INDEX(EXTRATO_IMPORTADO!$B$5:$B$404,MATCH(B545,EXTRATO_IMPORTADO!$I$5:$I$404,0)),"")</f>
        <v/>
      </c>
      <c r="R545" s="26" t="str">
        <f>IFERROR(MATCH(B545,EXTRATO_IMPORTADO!$I$5:$I$404,0),"")</f>
        <v/>
      </c>
      <c r="S545" s="14" t="str">
        <f t="shared" si="25"/>
        <v/>
      </c>
      <c r="T545" s="33" t="str">
        <f t="shared" si="26"/>
        <v/>
      </c>
    </row>
    <row r="546" spans="1:20" x14ac:dyDescent="0.3">
      <c r="A546" s="26">
        <f>IF(BASE_CAIXA!A543="","",BASE_CAIXA!A543)</f>
        <v>542</v>
      </c>
      <c r="B546" s="26" t="str">
        <f>IF(A546="","",BASE_CAIXA!AL543)</f>
        <v>000542-DB</v>
      </c>
      <c r="C546" s="13">
        <f>IF(A546="","",BASE_CAIXA!AJ543)</f>
        <v>46199</v>
      </c>
      <c r="D546" s="26" t="str">
        <f>IF(A546="","",IF(BASE_CAIXA!C543="Entrada","Crédito","Débito"))</f>
        <v>Débito</v>
      </c>
      <c r="E546" s="14">
        <f>IF(A546="","",BASE_CAIXA!AA543)</f>
        <v>1164.8</v>
      </c>
      <c r="F546" s="26">
        <f>IF(A546="","",BASE_CAIXA!N543)</f>
        <v>0</v>
      </c>
      <c r="G546" s="26">
        <f>IF(A546="","",BASE_CAIXA!O543)</f>
        <v>0</v>
      </c>
      <c r="H546" s="26">
        <f>IF(A546="","",BASE_CAIXA!P543)</f>
        <v>0</v>
      </c>
      <c r="I546" s="26" t="str">
        <f>IF(A546="","",IF(BASE_CAIXA!H543&lt;&gt;"",BASE_CAIXA!H543,BASE_CAIXA!G543))</f>
        <v>Fira crepe 50 mm x 50 m</v>
      </c>
      <c r="J546" s="26" t="str">
        <f>IF(A546="","",BASE_CAIXA!G543)</f>
        <v>Fira crepe 50 mm x 50 m</v>
      </c>
      <c r="K546" s="26">
        <f>IF(A546="","",BASE_CAIXA!I543)</f>
        <v>0</v>
      </c>
      <c r="L546" s="26">
        <f>IF(A546="","",BASE_CAIXA!J543)</f>
        <v>0</v>
      </c>
      <c r="M546" s="26" t="str">
        <f>IF(A546="","",BASE_CAIXA!AM543)</f>
        <v xml:space="preserve">Fira crepe 50 mm x 50 m | Fira crepe 50 mm x 50 m | Saída | </v>
      </c>
      <c r="N546" s="26" t="str">
        <f t="shared" ca="1" si="24"/>
        <v>Previsto</v>
      </c>
      <c r="O546" s="13" t="str">
        <f>IFERROR(INDEX(EXTRATO_IMPORTADO!$A$5:$A$404,MATCH(B546,EXTRATO_IMPORTADO!$I$5:$I$404,0)),"")</f>
        <v/>
      </c>
      <c r="P546" s="14" t="str">
        <f>IFERROR(INDEX(EXTRATO_IMPORTADO!$F$5:$F$404,MATCH(B546,EXTRATO_IMPORTADO!$I$5:$I$404,0)),"")</f>
        <v/>
      </c>
      <c r="Q546" s="26" t="str">
        <f>IFERROR(INDEX(EXTRATO_IMPORTADO!$B$5:$B$404,MATCH(B546,EXTRATO_IMPORTADO!$I$5:$I$404,0)),"")</f>
        <v/>
      </c>
      <c r="R546" s="26" t="str">
        <f>IFERROR(MATCH(B546,EXTRATO_IMPORTADO!$I$5:$I$404,0),"")</f>
        <v/>
      </c>
      <c r="S546" s="14" t="str">
        <f t="shared" si="25"/>
        <v/>
      </c>
      <c r="T546" s="33" t="str">
        <f t="shared" si="26"/>
        <v/>
      </c>
    </row>
    <row r="547" spans="1:20" x14ac:dyDescent="0.3">
      <c r="A547" s="26">
        <f>IF(BASE_CAIXA!A544="","",BASE_CAIXA!A544)</f>
        <v>543</v>
      </c>
      <c r="B547" s="26" t="str">
        <f>IF(A547="","",BASE_CAIXA!AL544)</f>
        <v>000543-DB</v>
      </c>
      <c r="C547" s="13">
        <f>IF(A547="","",BASE_CAIXA!AJ544)</f>
        <v>46199</v>
      </c>
      <c r="D547" s="26" t="str">
        <f>IF(A547="","",IF(BASE_CAIXA!C544="Entrada","Crédito","Débito"))</f>
        <v>Débito</v>
      </c>
      <c r="E547" s="14">
        <f>IF(A547="","",BASE_CAIXA!AA544)</f>
        <v>40770.993920000008</v>
      </c>
      <c r="F547" s="26">
        <f>IF(A547="","",BASE_CAIXA!N544)</f>
        <v>0</v>
      </c>
      <c r="G547" s="26">
        <f>IF(A547="","",BASE_CAIXA!O544)</f>
        <v>0</v>
      </c>
      <c r="H547" s="26">
        <f>IF(A547="","",BASE_CAIXA!P544)</f>
        <v>0</v>
      </c>
      <c r="I547" s="26" t="str">
        <f>IF(A547="","",IF(BASE_CAIXA!H544&lt;&gt;"",BASE_CAIXA!H544,BASE_CAIXA!G544))</f>
        <v>Mao de obra terceirizada com equipamentos Pintura interna (2 demãos)</v>
      </c>
      <c r="J547" s="26" t="str">
        <f>IF(A547="","",BASE_CAIXA!G544)</f>
        <v>Mao de obra terceirizada com equipamentos Pintura interna (2 demãos)</v>
      </c>
      <c r="K547" s="26">
        <f>IF(A547="","",BASE_CAIXA!I544)</f>
        <v>0</v>
      </c>
      <c r="L547" s="26">
        <f>IF(A547="","",BASE_CAIXA!J544)</f>
        <v>0</v>
      </c>
      <c r="M547" s="26" t="str">
        <f>IF(A547="","",BASE_CAIXA!AM544)</f>
        <v>Mao de obra terceirizada com equipamentos Pintura interna (2</v>
      </c>
      <c r="N547" s="26" t="str">
        <f t="shared" ca="1" si="24"/>
        <v>Previsto</v>
      </c>
      <c r="O547" s="13" t="str">
        <f>IFERROR(INDEX(EXTRATO_IMPORTADO!$A$5:$A$404,MATCH(B547,EXTRATO_IMPORTADO!$I$5:$I$404,0)),"")</f>
        <v/>
      </c>
      <c r="P547" s="14" t="str">
        <f>IFERROR(INDEX(EXTRATO_IMPORTADO!$F$5:$F$404,MATCH(B547,EXTRATO_IMPORTADO!$I$5:$I$404,0)),"")</f>
        <v/>
      </c>
      <c r="Q547" s="26" t="str">
        <f>IFERROR(INDEX(EXTRATO_IMPORTADO!$B$5:$B$404,MATCH(B547,EXTRATO_IMPORTADO!$I$5:$I$404,0)),"")</f>
        <v/>
      </c>
      <c r="R547" s="26" t="str">
        <f>IFERROR(MATCH(B547,EXTRATO_IMPORTADO!$I$5:$I$404,0),"")</f>
        <v/>
      </c>
      <c r="S547" s="14" t="str">
        <f t="shared" si="25"/>
        <v/>
      </c>
      <c r="T547" s="33" t="str">
        <f t="shared" si="26"/>
        <v/>
      </c>
    </row>
    <row r="548" spans="1:20" x14ac:dyDescent="0.3">
      <c r="A548" s="26">
        <f>IF(BASE_CAIXA!A545="","",BASE_CAIXA!A545)</f>
        <v>544</v>
      </c>
      <c r="B548" s="26" t="str">
        <f>IF(A548="","",BASE_CAIXA!AL545)</f>
        <v>000544-DB</v>
      </c>
      <c r="C548" s="13">
        <f>IF(A548="","",BASE_CAIXA!AJ545)</f>
        <v>46199</v>
      </c>
      <c r="D548" s="26" t="str">
        <f>IF(A548="","",IF(BASE_CAIXA!C545="Entrada","Crédito","Débito"))</f>
        <v>Débito</v>
      </c>
      <c r="E548" s="14">
        <f>IF(A548="","",BASE_CAIXA!AA545)</f>
        <v>17017.599999999999</v>
      </c>
      <c r="F548" s="26">
        <f>IF(A548="","",BASE_CAIXA!N545)</f>
        <v>0</v>
      </c>
      <c r="G548" s="26">
        <f>IF(A548="","",BASE_CAIXA!O545)</f>
        <v>0</v>
      </c>
      <c r="H548" s="26">
        <f>IF(A548="","",BASE_CAIXA!P545)</f>
        <v>0</v>
      </c>
      <c r="I548" s="26" t="str">
        <f>IF(A548="","",IF(BASE_CAIXA!H545&lt;&gt;"",BASE_CAIXA!H545,BASE_CAIXA!G545))</f>
        <v>TINTA ACRILICA CORALAR BRANCO 18 LITROS - laje (  cor BRANCA  ou similar) - 2 demaos</v>
      </c>
      <c r="J548" s="26" t="str">
        <f>IF(A548="","",BASE_CAIXA!G545)</f>
        <v>TINTA ACRILICA CORALAR BRANCO 18 LITROS - laje (  cor BRANCA  ou similar) - 2 demaos</v>
      </c>
      <c r="K548" s="26">
        <f>IF(A548="","",BASE_CAIXA!I545)</f>
        <v>0</v>
      </c>
      <c r="L548" s="26">
        <f>IF(A548="","",BASE_CAIXA!J545)</f>
        <v>0</v>
      </c>
      <c r="M548" s="26" t="str">
        <f>IF(A548="","",BASE_CAIXA!AM545)</f>
        <v>TINTA ACRILICA CORALAR BRANCO 18 LITROS - laje (  cor BRANCA</v>
      </c>
      <c r="N548" s="26" t="str">
        <f t="shared" ca="1" si="24"/>
        <v>Previsto</v>
      </c>
      <c r="O548" s="13" t="str">
        <f>IFERROR(INDEX(EXTRATO_IMPORTADO!$A$5:$A$404,MATCH(B548,EXTRATO_IMPORTADO!$I$5:$I$404,0)),"")</f>
        <v/>
      </c>
      <c r="P548" s="14" t="str">
        <f>IFERROR(INDEX(EXTRATO_IMPORTADO!$F$5:$F$404,MATCH(B548,EXTRATO_IMPORTADO!$I$5:$I$404,0)),"")</f>
        <v/>
      </c>
      <c r="Q548" s="26" t="str">
        <f>IFERROR(INDEX(EXTRATO_IMPORTADO!$B$5:$B$404,MATCH(B548,EXTRATO_IMPORTADO!$I$5:$I$404,0)),"")</f>
        <v/>
      </c>
      <c r="R548" s="26" t="str">
        <f>IFERROR(MATCH(B548,EXTRATO_IMPORTADO!$I$5:$I$404,0),"")</f>
        <v/>
      </c>
      <c r="S548" s="14" t="str">
        <f t="shared" si="25"/>
        <v/>
      </c>
      <c r="T548" s="33" t="str">
        <f t="shared" si="26"/>
        <v/>
      </c>
    </row>
    <row r="549" spans="1:20" x14ac:dyDescent="0.3">
      <c r="A549" s="26">
        <f>IF(BASE_CAIXA!A546="","",BASE_CAIXA!A546)</f>
        <v>545</v>
      </c>
      <c r="B549" s="26" t="str">
        <f>IF(A549="","",BASE_CAIXA!AL546)</f>
        <v>000545-DB</v>
      </c>
      <c r="C549" s="13">
        <f>IF(A549="","",BASE_CAIXA!AJ546)</f>
        <v>46199</v>
      </c>
      <c r="D549" s="26" t="str">
        <f>IF(A549="","",IF(BASE_CAIXA!C546="Entrada","Crédito","Débito"))</f>
        <v>Débito</v>
      </c>
      <c r="E549" s="14">
        <f>IF(A549="","",BASE_CAIXA!AA546)</f>
        <v>13284.311040000001</v>
      </c>
      <c r="F549" s="26">
        <f>IF(A549="","",BASE_CAIXA!N546)</f>
        <v>0</v>
      </c>
      <c r="G549" s="26">
        <f>IF(A549="","",BASE_CAIXA!O546)</f>
        <v>0</v>
      </c>
      <c r="H549" s="26">
        <f>IF(A549="","",BASE_CAIXA!P546)</f>
        <v>0</v>
      </c>
      <c r="I549" s="26" t="str">
        <f>IF(A549="","",IF(BASE_CAIXA!H546&lt;&gt;"",BASE_CAIXA!H546,BASE_CAIXA!G546))</f>
        <v>Revestimento Cerâmico  PEI IV 35 x 35- cor,  (perda 15%) - inclui rodapé</v>
      </c>
      <c r="J549" s="26" t="str">
        <f>IF(A549="","",BASE_CAIXA!G546)</f>
        <v>Revestimento Cerâmico  PEI IV 35 x 35- cor,  (perda 15%) - inclui rodapé</v>
      </c>
      <c r="K549" s="26">
        <f>IF(A549="","",BASE_CAIXA!I546)</f>
        <v>0</v>
      </c>
      <c r="L549" s="26">
        <f>IF(A549="","",BASE_CAIXA!J546)</f>
        <v>0</v>
      </c>
      <c r="M549" s="26" t="str">
        <f>IF(A549="","",BASE_CAIXA!AM546)</f>
        <v>Revestimento Cerâmico  PEI IV 35 x 35- cor,  (perda 15%) - i</v>
      </c>
      <c r="N549" s="26" t="str">
        <f t="shared" ca="1" si="24"/>
        <v>Previsto</v>
      </c>
      <c r="O549" s="13" t="str">
        <f>IFERROR(INDEX(EXTRATO_IMPORTADO!$A$5:$A$404,MATCH(B549,EXTRATO_IMPORTADO!$I$5:$I$404,0)),"")</f>
        <v/>
      </c>
      <c r="P549" s="14" t="str">
        <f>IFERROR(INDEX(EXTRATO_IMPORTADO!$F$5:$F$404,MATCH(B549,EXTRATO_IMPORTADO!$I$5:$I$404,0)),"")</f>
        <v/>
      </c>
      <c r="Q549" s="26" t="str">
        <f>IFERROR(INDEX(EXTRATO_IMPORTADO!$B$5:$B$404,MATCH(B549,EXTRATO_IMPORTADO!$I$5:$I$404,0)),"")</f>
        <v/>
      </c>
      <c r="R549" s="26" t="str">
        <f>IFERROR(MATCH(B549,EXTRATO_IMPORTADO!$I$5:$I$404,0),"")</f>
        <v/>
      </c>
      <c r="S549" s="14" t="str">
        <f t="shared" si="25"/>
        <v/>
      </c>
      <c r="T549" s="33" t="str">
        <f t="shared" si="26"/>
        <v/>
      </c>
    </row>
    <row r="550" spans="1:20" x14ac:dyDescent="0.3">
      <c r="A550" s="26">
        <f>IF(BASE_CAIXA!A547="","",BASE_CAIXA!A547)</f>
        <v>546</v>
      </c>
      <c r="B550" s="26" t="str">
        <f>IF(A550="","",BASE_CAIXA!AL547)</f>
        <v>000546-DB</v>
      </c>
      <c r="C550" s="13">
        <f>IF(A550="","",BASE_CAIXA!AJ547)</f>
        <v>46199</v>
      </c>
      <c r="D550" s="26" t="str">
        <f>IF(A550="","",IF(BASE_CAIXA!C547="Entrada","Crédito","Débito"))</f>
        <v>Débito</v>
      </c>
      <c r="E550" s="14">
        <f>IF(A550="","",BASE_CAIXA!AA547)</f>
        <v>38.400000000000013</v>
      </c>
      <c r="F550" s="26">
        <f>IF(A550="","",BASE_CAIXA!N547)</f>
        <v>0</v>
      </c>
      <c r="G550" s="26">
        <f>IF(A550="","",BASE_CAIXA!O547)</f>
        <v>0</v>
      </c>
      <c r="H550" s="26">
        <f>IF(A550="","",BASE_CAIXA!P547)</f>
        <v>0</v>
      </c>
      <c r="I550" s="26" t="str">
        <f>IF(A550="","",IF(BASE_CAIXA!H547&lt;&gt;"",BASE_CAIXA!H547,BASE_CAIXA!G547))</f>
        <v>Bucha 6 mm para concreto</v>
      </c>
      <c r="J550" s="26" t="str">
        <f>IF(A550="","",BASE_CAIXA!G547)</f>
        <v>Bucha 6 mm para concreto</v>
      </c>
      <c r="K550" s="26">
        <f>IF(A550="","",BASE_CAIXA!I547)</f>
        <v>0</v>
      </c>
      <c r="L550" s="26">
        <f>IF(A550="","",BASE_CAIXA!J547)</f>
        <v>0</v>
      </c>
      <c r="M550" s="26" t="str">
        <f>IF(A550="","",BASE_CAIXA!AM547)</f>
        <v xml:space="preserve">Bucha 6 mm para concreto | Bucha 6 mm para concreto | Saída </v>
      </c>
      <c r="N550" s="26" t="str">
        <f t="shared" ca="1" si="24"/>
        <v>Previsto</v>
      </c>
      <c r="O550" s="13" t="str">
        <f>IFERROR(INDEX(EXTRATO_IMPORTADO!$A$5:$A$404,MATCH(B550,EXTRATO_IMPORTADO!$I$5:$I$404,0)),"")</f>
        <v/>
      </c>
      <c r="P550" s="14" t="str">
        <f>IFERROR(INDEX(EXTRATO_IMPORTADO!$F$5:$F$404,MATCH(B550,EXTRATO_IMPORTADO!$I$5:$I$404,0)),"")</f>
        <v/>
      </c>
      <c r="Q550" s="26" t="str">
        <f>IFERROR(INDEX(EXTRATO_IMPORTADO!$B$5:$B$404,MATCH(B550,EXTRATO_IMPORTADO!$I$5:$I$404,0)),"")</f>
        <v/>
      </c>
      <c r="R550" s="26" t="str">
        <f>IFERROR(MATCH(B550,EXTRATO_IMPORTADO!$I$5:$I$404,0),"")</f>
        <v/>
      </c>
      <c r="S550" s="14" t="str">
        <f t="shared" si="25"/>
        <v/>
      </c>
      <c r="T550" s="33" t="str">
        <f t="shared" si="26"/>
        <v/>
      </c>
    </row>
    <row r="551" spans="1:20" x14ac:dyDescent="0.3">
      <c r="A551" s="26">
        <f>IF(BASE_CAIXA!A548="","",BASE_CAIXA!A548)</f>
        <v>547</v>
      </c>
      <c r="B551" s="26" t="str">
        <f>IF(A551="","",BASE_CAIXA!AL548)</f>
        <v>000547-DB</v>
      </c>
      <c r="C551" s="13">
        <f>IF(A551="","",BASE_CAIXA!AJ548)</f>
        <v>46199</v>
      </c>
      <c r="D551" s="26" t="str">
        <f>IF(A551="","",IF(BASE_CAIXA!C548="Entrada","Crédito","Débito"))</f>
        <v>Débito</v>
      </c>
      <c r="E551" s="14">
        <f>IF(A551="","",BASE_CAIXA!AA548)</f>
        <v>1625.6</v>
      </c>
      <c r="F551" s="26">
        <f>IF(A551="","",BASE_CAIXA!N548)</f>
        <v>0</v>
      </c>
      <c r="G551" s="26">
        <f>IF(A551="","",BASE_CAIXA!O548)</f>
        <v>0</v>
      </c>
      <c r="H551" s="26">
        <f>IF(A551="","",BASE_CAIXA!P548)</f>
        <v>0</v>
      </c>
      <c r="I551" s="26" t="str">
        <f>IF(A551="","",IF(BASE_CAIXA!H548&lt;&gt;"",BASE_CAIXA!H548,BASE_CAIXA!G548))</f>
        <v>Espuma Expansiva de Poliuretano 300ml</v>
      </c>
      <c r="J551" s="26" t="str">
        <f>IF(A551="","",BASE_CAIXA!G548)</f>
        <v>Espuma Expansiva de Poliuretano 300ml</v>
      </c>
      <c r="K551" s="26">
        <f>IF(A551="","",BASE_CAIXA!I548)</f>
        <v>0</v>
      </c>
      <c r="L551" s="26">
        <f>IF(A551="","",BASE_CAIXA!J548)</f>
        <v>0</v>
      </c>
      <c r="M551" s="26" t="str">
        <f>IF(A551="","",BASE_CAIXA!AM548)</f>
        <v xml:space="preserve">Espuma Expansiva de Poliuretano 300ml | Espuma Expansiva de </v>
      </c>
      <c r="N551" s="26" t="str">
        <f t="shared" ca="1" si="24"/>
        <v>Previsto</v>
      </c>
      <c r="O551" s="13" t="str">
        <f>IFERROR(INDEX(EXTRATO_IMPORTADO!$A$5:$A$404,MATCH(B551,EXTRATO_IMPORTADO!$I$5:$I$404,0)),"")</f>
        <v/>
      </c>
      <c r="P551" s="14" t="str">
        <f>IFERROR(INDEX(EXTRATO_IMPORTADO!$F$5:$F$404,MATCH(B551,EXTRATO_IMPORTADO!$I$5:$I$404,0)),"")</f>
        <v/>
      </c>
      <c r="Q551" s="26" t="str">
        <f>IFERROR(INDEX(EXTRATO_IMPORTADO!$B$5:$B$404,MATCH(B551,EXTRATO_IMPORTADO!$I$5:$I$404,0)),"")</f>
        <v/>
      </c>
      <c r="R551" s="26" t="str">
        <f>IFERROR(MATCH(B551,EXTRATO_IMPORTADO!$I$5:$I$404,0),"")</f>
        <v/>
      </c>
      <c r="S551" s="14" t="str">
        <f t="shared" si="25"/>
        <v/>
      </c>
      <c r="T551" s="33" t="str">
        <f t="shared" si="26"/>
        <v/>
      </c>
    </row>
    <row r="552" spans="1:20" x14ac:dyDescent="0.3">
      <c r="A552" s="26">
        <f>IF(BASE_CAIXA!A549="","",BASE_CAIXA!A549)</f>
        <v>548</v>
      </c>
      <c r="B552" s="26" t="str">
        <f>IF(A552="","",BASE_CAIXA!AL549)</f>
        <v>000548-DB</v>
      </c>
      <c r="C552" s="13">
        <f>IF(A552="","",BASE_CAIXA!AJ549)</f>
        <v>46199</v>
      </c>
      <c r="D552" s="26" t="str">
        <f>IF(A552="","",IF(BASE_CAIXA!C549="Entrada","Crédito","Débito"))</f>
        <v>Débito</v>
      </c>
      <c r="E552" s="14">
        <f>IF(A552="","",BASE_CAIXA!AA549)</f>
        <v>286.39999999999998</v>
      </c>
      <c r="F552" s="26">
        <f>IF(A552="","",BASE_CAIXA!N549)</f>
        <v>0</v>
      </c>
      <c r="G552" s="26">
        <f>IF(A552="","",BASE_CAIXA!O549)</f>
        <v>0</v>
      </c>
      <c r="H552" s="26">
        <f>IF(A552="","",BASE_CAIXA!P549)</f>
        <v>0</v>
      </c>
      <c r="I552" s="26" t="str">
        <f>IF(A552="","",IF(BASE_CAIXA!H549&lt;&gt;"",BASE_CAIXA!H549,BASE_CAIXA!G549))</f>
        <v>Fita crepe 48 mm x 50 m</v>
      </c>
      <c r="J552" s="26" t="str">
        <f>IF(A552="","",BASE_CAIXA!G549)</f>
        <v>Fita crepe 48 mm x 50 m</v>
      </c>
      <c r="K552" s="26">
        <f>IF(A552="","",BASE_CAIXA!I549)</f>
        <v>0</v>
      </c>
      <c r="L552" s="26">
        <f>IF(A552="","",BASE_CAIXA!J549)</f>
        <v>0</v>
      </c>
      <c r="M552" s="26" t="str">
        <f>IF(A552="","",BASE_CAIXA!AM549)</f>
        <v xml:space="preserve">Fita crepe 48 mm x 50 m | Fita crepe 48 mm x 50 m | Saída | </v>
      </c>
      <c r="N552" s="26" t="str">
        <f t="shared" ca="1" si="24"/>
        <v>Previsto</v>
      </c>
      <c r="O552" s="13" t="str">
        <f>IFERROR(INDEX(EXTRATO_IMPORTADO!$A$5:$A$404,MATCH(B552,EXTRATO_IMPORTADO!$I$5:$I$404,0)),"")</f>
        <v/>
      </c>
      <c r="P552" s="14" t="str">
        <f>IFERROR(INDEX(EXTRATO_IMPORTADO!$F$5:$F$404,MATCH(B552,EXTRATO_IMPORTADO!$I$5:$I$404,0)),"")</f>
        <v/>
      </c>
      <c r="Q552" s="26" t="str">
        <f>IFERROR(INDEX(EXTRATO_IMPORTADO!$B$5:$B$404,MATCH(B552,EXTRATO_IMPORTADO!$I$5:$I$404,0)),"")</f>
        <v/>
      </c>
      <c r="R552" s="26" t="str">
        <f>IFERROR(MATCH(B552,EXTRATO_IMPORTADO!$I$5:$I$404,0),"")</f>
        <v/>
      </c>
      <c r="S552" s="14" t="str">
        <f t="shared" si="25"/>
        <v/>
      </c>
      <c r="T552" s="33" t="str">
        <f t="shared" si="26"/>
        <v/>
      </c>
    </row>
    <row r="553" spans="1:20" x14ac:dyDescent="0.3">
      <c r="A553" s="26">
        <f>IF(BASE_CAIXA!A550="","",BASE_CAIXA!A550)</f>
        <v>549</v>
      </c>
      <c r="B553" s="26" t="str">
        <f>IF(A553="","",BASE_CAIXA!AL550)</f>
        <v>000549-DB</v>
      </c>
      <c r="C553" s="13">
        <f>IF(A553="","",BASE_CAIXA!AJ550)</f>
        <v>46199</v>
      </c>
      <c r="D553" s="26" t="str">
        <f>IF(A553="","",IF(BASE_CAIXA!C550="Entrada","Crédito","Débito"))</f>
        <v>Débito</v>
      </c>
      <c r="E553" s="14">
        <f>IF(A553="","",BASE_CAIXA!AA550)</f>
        <v>9130.5600000000013</v>
      </c>
      <c r="F553" s="26">
        <f>IF(A553="","",BASE_CAIXA!N550)</f>
        <v>0</v>
      </c>
      <c r="G553" s="26">
        <f>IF(A553="","",BASE_CAIXA!O550)</f>
        <v>0</v>
      </c>
      <c r="H553" s="26">
        <f>IF(A553="","",BASE_CAIXA!P550)</f>
        <v>0</v>
      </c>
      <c r="I553" s="26" t="str">
        <f>IF(A553="","",IF(BASE_CAIXA!H550&lt;&gt;"",BASE_CAIXA!H550,BASE_CAIXA!G550))</f>
        <v>Mao de obra terceirizada colocaçao de Portas externa</v>
      </c>
      <c r="J553" s="26" t="str">
        <f>IF(A553="","",BASE_CAIXA!G550)</f>
        <v>Mao de obra terceirizada colocaçao de Portas externa</v>
      </c>
      <c r="K553" s="26">
        <f>IF(A553="","",BASE_CAIXA!I550)</f>
        <v>0</v>
      </c>
      <c r="L553" s="26">
        <f>IF(A553="","",BASE_CAIXA!J550)</f>
        <v>0</v>
      </c>
      <c r="M553" s="26" t="str">
        <f>IF(A553="","",BASE_CAIXA!AM550)</f>
        <v>Mao de obra terceirizada colocaçao de Portas externa | Mao d</v>
      </c>
      <c r="N553" s="26" t="str">
        <f t="shared" ca="1" si="24"/>
        <v>Previsto</v>
      </c>
      <c r="O553" s="13" t="str">
        <f>IFERROR(INDEX(EXTRATO_IMPORTADO!$A$5:$A$404,MATCH(B553,EXTRATO_IMPORTADO!$I$5:$I$404,0)),"")</f>
        <v/>
      </c>
      <c r="P553" s="14" t="str">
        <f>IFERROR(INDEX(EXTRATO_IMPORTADO!$F$5:$F$404,MATCH(B553,EXTRATO_IMPORTADO!$I$5:$I$404,0)),"")</f>
        <v/>
      </c>
      <c r="Q553" s="26" t="str">
        <f>IFERROR(INDEX(EXTRATO_IMPORTADO!$B$5:$B$404,MATCH(B553,EXTRATO_IMPORTADO!$I$5:$I$404,0)),"")</f>
        <v/>
      </c>
      <c r="R553" s="26" t="str">
        <f>IFERROR(MATCH(B553,EXTRATO_IMPORTADO!$I$5:$I$404,0),"")</f>
        <v/>
      </c>
      <c r="S553" s="14" t="str">
        <f t="shared" si="25"/>
        <v/>
      </c>
      <c r="T553" s="33" t="str">
        <f t="shared" si="26"/>
        <v/>
      </c>
    </row>
    <row r="554" spans="1:20" x14ac:dyDescent="0.3">
      <c r="A554" s="26">
        <f>IF(BASE_CAIXA!A551="","",BASE_CAIXA!A551)</f>
        <v>550</v>
      </c>
      <c r="B554" s="26" t="str">
        <f>IF(A554="","",BASE_CAIXA!AL551)</f>
        <v>000550-DB</v>
      </c>
      <c r="C554" s="13">
        <f>IF(A554="","",BASE_CAIXA!AJ551)</f>
        <v>46199</v>
      </c>
      <c r="D554" s="26" t="str">
        <f>IF(A554="","",IF(BASE_CAIXA!C551="Entrada","Crédito","Débito"))</f>
        <v>Débito</v>
      </c>
      <c r="E554" s="14">
        <f>IF(A554="","",BASE_CAIXA!AA551)</f>
        <v>32389.632000000009</v>
      </c>
      <c r="F554" s="26">
        <f>IF(A554="","",BASE_CAIXA!N551)</f>
        <v>0</v>
      </c>
      <c r="G554" s="26">
        <f>IF(A554="","",BASE_CAIXA!O551)</f>
        <v>0</v>
      </c>
      <c r="H554" s="26">
        <f>IF(A554="","",BASE_CAIXA!P551)</f>
        <v>0</v>
      </c>
      <c r="I554" s="26" t="str">
        <f>IF(A554="","",IF(BASE_CAIXA!H551&lt;&gt;"",BASE_CAIXA!H551,BASE_CAIXA!G551))</f>
        <v>PORTA LAMINADA AL.BCO SOFT (37MM) ESQUERDA. 215X120</v>
      </c>
      <c r="J554" s="26" t="str">
        <f>IF(A554="","",BASE_CAIXA!G551)</f>
        <v>PORTA LAMINADA AL.BCO SOFT (37MM) ESQUERDA. 215X120</v>
      </c>
      <c r="K554" s="26">
        <f>IF(A554="","",BASE_CAIXA!I551)</f>
        <v>0</v>
      </c>
      <c r="L554" s="26">
        <f>IF(A554="","",BASE_CAIXA!J551)</f>
        <v>0</v>
      </c>
      <c r="M554" s="26" t="str">
        <f>IF(A554="","",BASE_CAIXA!AM551)</f>
        <v xml:space="preserve">PORTA LAMINADA AL.BCO SOFT (37MM) ESQUERDA. 215X120 | PORTA </v>
      </c>
      <c r="N554" s="26" t="str">
        <f t="shared" ca="1" si="24"/>
        <v>Previsto</v>
      </c>
      <c r="O554" s="13" t="str">
        <f>IFERROR(INDEX(EXTRATO_IMPORTADO!$A$5:$A$404,MATCH(B554,EXTRATO_IMPORTADO!$I$5:$I$404,0)),"")</f>
        <v/>
      </c>
      <c r="P554" s="14" t="str">
        <f>IFERROR(INDEX(EXTRATO_IMPORTADO!$F$5:$F$404,MATCH(B554,EXTRATO_IMPORTADO!$I$5:$I$404,0)),"")</f>
        <v/>
      </c>
      <c r="Q554" s="26" t="str">
        <f>IFERROR(INDEX(EXTRATO_IMPORTADO!$B$5:$B$404,MATCH(B554,EXTRATO_IMPORTADO!$I$5:$I$404,0)),"")</f>
        <v/>
      </c>
      <c r="R554" s="26" t="str">
        <f>IFERROR(MATCH(B554,EXTRATO_IMPORTADO!$I$5:$I$404,0),"")</f>
        <v/>
      </c>
      <c r="S554" s="14" t="str">
        <f t="shared" si="25"/>
        <v/>
      </c>
      <c r="T554" s="33" t="str">
        <f t="shared" si="26"/>
        <v/>
      </c>
    </row>
    <row r="555" spans="1:20" x14ac:dyDescent="0.3">
      <c r="A555" s="26">
        <f>IF(BASE_CAIXA!A552="","",BASE_CAIXA!A552)</f>
        <v>551</v>
      </c>
      <c r="B555" s="26" t="str">
        <f>IF(A555="","",BASE_CAIXA!AL552)</f>
        <v>000551-DB</v>
      </c>
      <c r="C555" s="13">
        <f>IF(A555="","",BASE_CAIXA!AJ552)</f>
        <v>46199</v>
      </c>
      <c r="D555" s="26" t="str">
        <f>IF(A555="","",IF(BASE_CAIXA!C552="Entrada","Crédito","Débito"))</f>
        <v>Débito</v>
      </c>
      <c r="E555" s="14">
        <f>IF(A555="","",BASE_CAIXA!AA552)</f>
        <v>13001.0496</v>
      </c>
      <c r="F555" s="26">
        <f>IF(A555="","",BASE_CAIXA!N552)</f>
        <v>0</v>
      </c>
      <c r="G555" s="26">
        <f>IF(A555="","",BASE_CAIXA!O552)</f>
        <v>0</v>
      </c>
      <c r="H555" s="26">
        <f>IF(A555="","",BASE_CAIXA!P552)</f>
        <v>0</v>
      </c>
      <c r="I555" s="26" t="str">
        <f>IF(A555="","",IF(BASE_CAIXA!H552&lt;&gt;"",BASE_CAIXA!H552,BASE_CAIXA!G552))</f>
        <v>PORTA LAMINADA AL.BCO SOFT(37MM) DIR. 215X94</v>
      </c>
      <c r="J555" s="26" t="str">
        <f>IF(A555="","",BASE_CAIXA!G552)</f>
        <v>PORTA LAMINADA AL.BCO SOFT(37MM) DIR. 215X94</v>
      </c>
      <c r="K555" s="26">
        <f>IF(A555="","",BASE_CAIXA!I552)</f>
        <v>0</v>
      </c>
      <c r="L555" s="26">
        <f>IF(A555="","",BASE_CAIXA!J552)</f>
        <v>0</v>
      </c>
      <c r="M555" s="26" t="str">
        <f>IF(A555="","",BASE_CAIXA!AM552)</f>
        <v>PORTA LAMINADA AL.BCO SOFT(37MM) DIR. 215X94 | PORTA LAMINAD</v>
      </c>
      <c r="N555" s="26" t="str">
        <f t="shared" ca="1" si="24"/>
        <v>Previsto</v>
      </c>
      <c r="O555" s="13" t="str">
        <f>IFERROR(INDEX(EXTRATO_IMPORTADO!$A$5:$A$404,MATCH(B555,EXTRATO_IMPORTADO!$I$5:$I$404,0)),"")</f>
        <v/>
      </c>
      <c r="P555" s="14" t="str">
        <f>IFERROR(INDEX(EXTRATO_IMPORTADO!$F$5:$F$404,MATCH(B555,EXTRATO_IMPORTADO!$I$5:$I$404,0)),"")</f>
        <v/>
      </c>
      <c r="Q555" s="26" t="str">
        <f>IFERROR(INDEX(EXTRATO_IMPORTADO!$B$5:$B$404,MATCH(B555,EXTRATO_IMPORTADO!$I$5:$I$404,0)),"")</f>
        <v/>
      </c>
      <c r="R555" s="26" t="str">
        <f>IFERROR(MATCH(B555,EXTRATO_IMPORTADO!$I$5:$I$404,0),"")</f>
        <v/>
      </c>
      <c r="S555" s="14" t="str">
        <f t="shared" si="25"/>
        <v/>
      </c>
      <c r="T555" s="33" t="str">
        <f t="shared" si="26"/>
        <v/>
      </c>
    </row>
    <row r="556" spans="1:20" x14ac:dyDescent="0.3">
      <c r="A556" s="26">
        <f>IF(BASE_CAIXA!A553="","",BASE_CAIXA!A553)</f>
        <v>552</v>
      </c>
      <c r="B556" s="26" t="str">
        <f>IF(A556="","",BASE_CAIXA!AL553)</f>
        <v>000552-DB</v>
      </c>
      <c r="C556" s="13">
        <f>IF(A556="","",BASE_CAIXA!AJ553)</f>
        <v>46199</v>
      </c>
      <c r="D556" s="26" t="str">
        <f>IF(A556="","",IF(BASE_CAIXA!C553="Entrada","Crédito","Débito"))</f>
        <v>Débito</v>
      </c>
      <c r="E556" s="14">
        <f>IF(A556="","",BASE_CAIXA!AA553)</f>
        <v>124.8</v>
      </c>
      <c r="F556" s="26">
        <f>IF(A556="","",BASE_CAIXA!N553)</f>
        <v>0</v>
      </c>
      <c r="G556" s="26">
        <f>IF(A556="","",BASE_CAIXA!O553)</f>
        <v>0</v>
      </c>
      <c r="H556" s="26">
        <f>IF(A556="","",BASE_CAIXA!P553)</f>
        <v>0</v>
      </c>
      <c r="I556" s="26" t="str">
        <f>IF(A556="","",IF(BASE_CAIXA!H553&lt;&gt;"",BASE_CAIXA!H553,BASE_CAIXA!G553))</f>
        <v>Parafuso panela fenda/phillips 4,8 x 50 mm - INOX</v>
      </c>
      <c r="J556" s="26" t="str">
        <f>IF(A556="","",BASE_CAIXA!G553)</f>
        <v>Parafuso panela fenda/phillips 4,8 x 50 mm - INOX</v>
      </c>
      <c r="K556" s="26">
        <f>IF(A556="","",BASE_CAIXA!I553)</f>
        <v>0</v>
      </c>
      <c r="L556" s="26">
        <f>IF(A556="","",BASE_CAIXA!J553)</f>
        <v>0</v>
      </c>
      <c r="M556" s="26" t="str">
        <f>IF(A556="","",BASE_CAIXA!AM553)</f>
        <v>Parafuso panela fenda/phillips 4,8 x 50 mm - INOX | Parafuso</v>
      </c>
      <c r="N556" s="26" t="str">
        <f t="shared" ca="1" si="24"/>
        <v>Previsto</v>
      </c>
      <c r="O556" s="13" t="str">
        <f>IFERROR(INDEX(EXTRATO_IMPORTADO!$A$5:$A$404,MATCH(B556,EXTRATO_IMPORTADO!$I$5:$I$404,0)),"")</f>
        <v/>
      </c>
      <c r="P556" s="14" t="str">
        <f>IFERROR(INDEX(EXTRATO_IMPORTADO!$F$5:$F$404,MATCH(B556,EXTRATO_IMPORTADO!$I$5:$I$404,0)),"")</f>
        <v/>
      </c>
      <c r="Q556" s="26" t="str">
        <f>IFERROR(INDEX(EXTRATO_IMPORTADO!$B$5:$B$404,MATCH(B556,EXTRATO_IMPORTADO!$I$5:$I$404,0)),"")</f>
        <v/>
      </c>
      <c r="R556" s="26" t="str">
        <f>IFERROR(MATCH(B556,EXTRATO_IMPORTADO!$I$5:$I$404,0),"")</f>
        <v/>
      </c>
      <c r="S556" s="14" t="str">
        <f t="shared" si="25"/>
        <v/>
      </c>
      <c r="T556" s="33" t="str">
        <f t="shared" si="26"/>
        <v/>
      </c>
    </row>
    <row r="557" spans="1:20" x14ac:dyDescent="0.3">
      <c r="A557" s="26">
        <f>IF(BASE_CAIXA!A554="","",BASE_CAIXA!A554)</f>
        <v>553</v>
      </c>
      <c r="B557" s="26" t="str">
        <f>IF(A557="","",BASE_CAIXA!AL554)</f>
        <v>000553-DB</v>
      </c>
      <c r="C557" s="13">
        <f>IF(A557="","",BASE_CAIXA!AJ554)</f>
        <v>46199</v>
      </c>
      <c r="D557" s="26" t="str">
        <f>IF(A557="","",IF(BASE_CAIXA!C554="Entrada","Crédito","Débito"))</f>
        <v>Débito</v>
      </c>
      <c r="E557" s="14">
        <f>IF(A557="","",BASE_CAIXA!AA554)</f>
        <v>480</v>
      </c>
      <c r="F557" s="26">
        <f>IF(A557="","",BASE_CAIXA!N554)</f>
        <v>0</v>
      </c>
      <c r="G557" s="26">
        <f>IF(A557="","",BASE_CAIXA!O554)</f>
        <v>0</v>
      </c>
      <c r="H557" s="26">
        <f>IF(A557="","",BASE_CAIXA!P554)</f>
        <v>0</v>
      </c>
      <c r="I557" s="26" t="str">
        <f>IF(A557="","",IF(BASE_CAIXA!H554&lt;&gt;"",BASE_CAIXA!H554,BASE_CAIXA!G554))</f>
        <v>Selante acrilico c / 390 g - TECKBOND</v>
      </c>
      <c r="J557" s="26" t="str">
        <f>IF(A557="","",BASE_CAIXA!G554)</f>
        <v>Selante acrilico c / 390 g - TECKBOND</v>
      </c>
      <c r="K557" s="26">
        <f>IF(A557="","",BASE_CAIXA!I554)</f>
        <v>0</v>
      </c>
      <c r="L557" s="26">
        <f>IF(A557="","",BASE_CAIXA!J554)</f>
        <v>0</v>
      </c>
      <c r="M557" s="26" t="str">
        <f>IF(A557="","",BASE_CAIXA!AM554)</f>
        <v>Selante acrilico c / 390 g - TECKBOND | Selante acrilico c /</v>
      </c>
      <c r="N557" s="26" t="str">
        <f t="shared" ca="1" si="24"/>
        <v>Previsto</v>
      </c>
      <c r="O557" s="13" t="str">
        <f>IFERROR(INDEX(EXTRATO_IMPORTADO!$A$5:$A$404,MATCH(B557,EXTRATO_IMPORTADO!$I$5:$I$404,0)),"")</f>
        <v/>
      </c>
      <c r="P557" s="14" t="str">
        <f>IFERROR(INDEX(EXTRATO_IMPORTADO!$F$5:$F$404,MATCH(B557,EXTRATO_IMPORTADO!$I$5:$I$404,0)),"")</f>
        <v/>
      </c>
      <c r="Q557" s="26" t="str">
        <f>IFERROR(INDEX(EXTRATO_IMPORTADO!$B$5:$B$404,MATCH(B557,EXTRATO_IMPORTADO!$I$5:$I$404,0)),"")</f>
        <v/>
      </c>
      <c r="R557" s="26" t="str">
        <f>IFERROR(MATCH(B557,EXTRATO_IMPORTADO!$I$5:$I$404,0),"")</f>
        <v/>
      </c>
      <c r="S557" s="14" t="str">
        <f t="shared" si="25"/>
        <v/>
      </c>
      <c r="T557" s="33" t="str">
        <f t="shared" si="26"/>
        <v/>
      </c>
    </row>
    <row r="558" spans="1:20" x14ac:dyDescent="0.3">
      <c r="A558" s="26">
        <f>IF(BASE_CAIXA!A555="","",BASE_CAIXA!A555)</f>
        <v>554</v>
      </c>
      <c r="B558" s="26" t="str">
        <f>IF(A558="","",BASE_CAIXA!AL555)</f>
        <v>000554-DB</v>
      </c>
      <c r="C558" s="13">
        <f>IF(A558="","",BASE_CAIXA!AJ555)</f>
        <v>46199</v>
      </c>
      <c r="D558" s="26" t="str">
        <f>IF(A558="","",IF(BASE_CAIXA!C555="Entrada","Crédito","Débito"))</f>
        <v>Débito</v>
      </c>
      <c r="E558" s="14">
        <f>IF(A558="","",BASE_CAIXA!AA555)</f>
        <v>4000</v>
      </c>
      <c r="F558" s="26">
        <f>IF(A558="","",BASE_CAIXA!N555)</f>
        <v>0</v>
      </c>
      <c r="G558" s="26">
        <f>IF(A558="","",BASE_CAIXA!O555)</f>
        <v>0</v>
      </c>
      <c r="H558" s="26">
        <f>IF(A558="","",BASE_CAIXA!P555)</f>
        <v>0</v>
      </c>
      <c r="I558" s="26" t="str">
        <f>IF(A558="","",IF(BASE_CAIXA!H555&lt;&gt;"",BASE_CAIXA!H555,BASE_CAIXA!G555))</f>
        <v>ESPUMA EXPANSIVA DE POLIURETANO - 500 ML</v>
      </c>
      <c r="J558" s="26" t="str">
        <f>IF(A558="","",BASE_CAIXA!G555)</f>
        <v>ESPUMA EXPANSIVA DE POLIURETANO - 500 ML</v>
      </c>
      <c r="K558" s="26">
        <f>IF(A558="","",BASE_CAIXA!I555)</f>
        <v>0</v>
      </c>
      <c r="L558" s="26">
        <f>IF(A558="","",BASE_CAIXA!J555)</f>
        <v>0</v>
      </c>
      <c r="M558" s="26" t="str">
        <f>IF(A558="","",BASE_CAIXA!AM555)</f>
        <v xml:space="preserve">ESPUMA EXPANSIVA DE POLIURETANO - 500 ML | ESPUMA EXPANSIVA </v>
      </c>
      <c r="N558" s="26" t="str">
        <f t="shared" ca="1" si="24"/>
        <v>Previsto</v>
      </c>
      <c r="O558" s="13" t="str">
        <f>IFERROR(INDEX(EXTRATO_IMPORTADO!$A$5:$A$404,MATCH(B558,EXTRATO_IMPORTADO!$I$5:$I$404,0)),"")</f>
        <v/>
      </c>
      <c r="P558" s="14" t="str">
        <f>IFERROR(INDEX(EXTRATO_IMPORTADO!$F$5:$F$404,MATCH(B558,EXTRATO_IMPORTADO!$I$5:$I$404,0)),"")</f>
        <v/>
      </c>
      <c r="Q558" s="26" t="str">
        <f>IFERROR(INDEX(EXTRATO_IMPORTADO!$B$5:$B$404,MATCH(B558,EXTRATO_IMPORTADO!$I$5:$I$404,0)),"")</f>
        <v/>
      </c>
      <c r="R558" s="26" t="str">
        <f>IFERROR(MATCH(B558,EXTRATO_IMPORTADO!$I$5:$I$404,0),"")</f>
        <v/>
      </c>
      <c r="S558" s="14" t="str">
        <f t="shared" si="25"/>
        <v/>
      </c>
      <c r="T558" s="33" t="str">
        <f t="shared" si="26"/>
        <v/>
      </c>
    </row>
    <row r="559" spans="1:20" x14ac:dyDescent="0.3">
      <c r="A559" s="26">
        <f>IF(BASE_CAIXA!A556="","",BASE_CAIXA!A556)</f>
        <v>555</v>
      </c>
      <c r="B559" s="26" t="str">
        <f>IF(A559="","",BASE_CAIXA!AL556)</f>
        <v>000555-DB</v>
      </c>
      <c r="C559" s="13">
        <f>IF(A559="","",BASE_CAIXA!AJ556)</f>
        <v>46199</v>
      </c>
      <c r="D559" s="26" t="str">
        <f>IF(A559="","",IF(BASE_CAIXA!C556="Entrada","Crédito","Débito"))</f>
        <v>Débito</v>
      </c>
      <c r="E559" s="14">
        <f>IF(A559="","",BASE_CAIXA!AA556)</f>
        <v>13695.84</v>
      </c>
      <c r="F559" s="26">
        <f>IF(A559="","",BASE_CAIXA!N556)</f>
        <v>0</v>
      </c>
      <c r="G559" s="26">
        <f>IF(A559="","",BASE_CAIXA!O556)</f>
        <v>0</v>
      </c>
      <c r="H559" s="26">
        <f>IF(A559="","",BASE_CAIXA!P556)</f>
        <v>0</v>
      </c>
      <c r="I559" s="26" t="str">
        <f>IF(A559="","",IF(BASE_CAIXA!H556&lt;&gt;"",BASE_CAIXA!H556,BASE_CAIXA!G556))</f>
        <v>Mao de obra terceirizada colocaçao de Portas interna</v>
      </c>
      <c r="J559" s="26" t="str">
        <f>IF(A559="","",BASE_CAIXA!G556)</f>
        <v>Mao de obra terceirizada colocaçao de Portas interna</v>
      </c>
      <c r="K559" s="26">
        <f>IF(A559="","",BASE_CAIXA!I556)</f>
        <v>0</v>
      </c>
      <c r="L559" s="26">
        <f>IF(A559="","",BASE_CAIXA!J556)</f>
        <v>0</v>
      </c>
      <c r="M559" s="26" t="str">
        <f>IF(A559="","",BASE_CAIXA!AM556)</f>
        <v>Mao de obra terceirizada colocaçao de Portas interna | Mao d</v>
      </c>
      <c r="N559" s="26" t="str">
        <f t="shared" ca="1" si="24"/>
        <v>Previsto</v>
      </c>
      <c r="O559" s="13" t="str">
        <f>IFERROR(INDEX(EXTRATO_IMPORTADO!$A$5:$A$404,MATCH(B559,EXTRATO_IMPORTADO!$I$5:$I$404,0)),"")</f>
        <v/>
      </c>
      <c r="P559" s="14" t="str">
        <f>IFERROR(INDEX(EXTRATO_IMPORTADO!$F$5:$F$404,MATCH(B559,EXTRATO_IMPORTADO!$I$5:$I$404,0)),"")</f>
        <v/>
      </c>
      <c r="Q559" s="26" t="str">
        <f>IFERROR(INDEX(EXTRATO_IMPORTADO!$B$5:$B$404,MATCH(B559,EXTRATO_IMPORTADO!$I$5:$I$404,0)),"")</f>
        <v/>
      </c>
      <c r="R559" s="26" t="str">
        <f>IFERROR(MATCH(B559,EXTRATO_IMPORTADO!$I$5:$I$404,0),"")</f>
        <v/>
      </c>
      <c r="S559" s="14" t="str">
        <f t="shared" si="25"/>
        <v/>
      </c>
      <c r="T559" s="33" t="str">
        <f t="shared" si="26"/>
        <v/>
      </c>
    </row>
    <row r="560" spans="1:20" x14ac:dyDescent="0.3">
      <c r="A560" s="26">
        <f>IF(BASE_CAIXA!A557="","",BASE_CAIXA!A557)</f>
        <v>556</v>
      </c>
      <c r="B560" s="26" t="str">
        <f>IF(A560="","",BASE_CAIXA!AL557)</f>
        <v>000556-DB</v>
      </c>
      <c r="C560" s="13">
        <f>IF(A560="","",BASE_CAIXA!AJ557)</f>
        <v>46199</v>
      </c>
      <c r="D560" s="26" t="str">
        <f>IF(A560="","",IF(BASE_CAIXA!C557="Entrada","Crédito","Débito"))</f>
        <v>Débito</v>
      </c>
      <c r="E560" s="14">
        <f>IF(A560="","",BASE_CAIXA!AA557)</f>
        <v>25920</v>
      </c>
      <c r="F560" s="26">
        <f>IF(A560="","",BASE_CAIXA!N557)</f>
        <v>0</v>
      </c>
      <c r="G560" s="26">
        <f>IF(A560="","",BASE_CAIXA!O557)</f>
        <v>0</v>
      </c>
      <c r="H560" s="26">
        <f>IF(A560="","",BASE_CAIXA!P557)</f>
        <v>0</v>
      </c>
      <c r="I560" s="26" t="str">
        <f>IF(A560="","",IF(BASE_CAIXA!H557&lt;&gt;"",BASE_CAIXA!H557,BASE_CAIXA!G557))</f>
        <v>PORTA EM MADEIRA PINUS SECA EM ESTUFA P/ USO INTERNO  INCLUSO
DOBRADIÇA E FECHADURA SOPRANO</v>
      </c>
      <c r="J560" s="26" t="str">
        <f>IF(A560="","",BASE_CAIXA!G557)</f>
        <v>PORTA EM MADEIRA PINUS SECA EM ESTUFA P/ USO INTERNO  INCLUSO
DOBRADIÇA E FECHADURA SOPRANO</v>
      </c>
      <c r="K560" s="26">
        <f>IF(A560="","",BASE_CAIXA!I557)</f>
        <v>0</v>
      </c>
      <c r="L560" s="26">
        <f>IF(A560="","",BASE_CAIXA!J557)</f>
        <v>0</v>
      </c>
      <c r="M560" s="26" t="str">
        <f>IF(A560="","",BASE_CAIXA!AM557)</f>
        <v>PORTA EM MADEIRA PINUS SECA EM ESTUFA P/ USO INTERNO  INCLUS</v>
      </c>
      <c r="N560" s="26" t="str">
        <f t="shared" ca="1" si="24"/>
        <v>Previsto</v>
      </c>
      <c r="O560" s="13" t="str">
        <f>IFERROR(INDEX(EXTRATO_IMPORTADO!$A$5:$A$404,MATCH(B560,EXTRATO_IMPORTADO!$I$5:$I$404,0)),"")</f>
        <v/>
      </c>
      <c r="P560" s="14" t="str">
        <f>IFERROR(INDEX(EXTRATO_IMPORTADO!$F$5:$F$404,MATCH(B560,EXTRATO_IMPORTADO!$I$5:$I$404,0)),"")</f>
        <v/>
      </c>
      <c r="Q560" s="26" t="str">
        <f>IFERROR(INDEX(EXTRATO_IMPORTADO!$B$5:$B$404,MATCH(B560,EXTRATO_IMPORTADO!$I$5:$I$404,0)),"")</f>
        <v/>
      </c>
      <c r="R560" s="26" t="str">
        <f>IFERROR(MATCH(B560,EXTRATO_IMPORTADO!$I$5:$I$404,0),"")</f>
        <v/>
      </c>
      <c r="S560" s="14" t="str">
        <f t="shared" si="25"/>
        <v/>
      </c>
      <c r="T560" s="33" t="str">
        <f t="shared" si="26"/>
        <v/>
      </c>
    </row>
    <row r="561" spans="1:20" x14ac:dyDescent="0.3">
      <c r="A561" s="26">
        <f>IF(BASE_CAIXA!A558="","",BASE_CAIXA!A558)</f>
        <v>557</v>
      </c>
      <c r="B561" s="26" t="str">
        <f>IF(A561="","",BASE_CAIXA!AL558)</f>
        <v>000557-DB</v>
      </c>
      <c r="C561" s="13">
        <f>IF(A561="","",BASE_CAIXA!AJ558)</f>
        <v>46199</v>
      </c>
      <c r="D561" s="26" t="str">
        <f>IF(A561="","",IF(BASE_CAIXA!C558="Entrada","Crédito","Débito"))</f>
        <v>Débito</v>
      </c>
      <c r="E561" s="14">
        <f>IF(A561="","",BASE_CAIXA!AA558)</f>
        <v>454039.89004093601</v>
      </c>
      <c r="F561" s="26">
        <f>IF(A561="","",BASE_CAIXA!N558)</f>
        <v>0</v>
      </c>
      <c r="G561" s="26">
        <f>IF(A561="","",BASE_CAIXA!O558)</f>
        <v>0</v>
      </c>
      <c r="H561" s="26">
        <f>IF(A561="","",BASE_CAIXA!P558)</f>
        <v>0</v>
      </c>
      <c r="I561" s="26" t="str">
        <f>IF(A561="","",IF(BASE_CAIXA!H558&lt;&gt;"",BASE_CAIXA!H558,BASE_CAIXA!G558))</f>
        <v>TOTALIZADOR CUSTO GLOBAIS OBRAS - MENSAL</v>
      </c>
      <c r="J561" s="26" t="str">
        <f>IF(A561="","",BASE_CAIXA!G558)</f>
        <v>TOTALIZADOR CUSTO GLOBAIS OBRAS - MENSAL</v>
      </c>
      <c r="K561" s="26">
        <f>IF(A561="","",BASE_CAIXA!I558)</f>
        <v>0</v>
      </c>
      <c r="L561" s="26">
        <f>IF(A561="","",BASE_CAIXA!J558)</f>
        <v>0</v>
      </c>
      <c r="M561" s="26" t="str">
        <f>IF(A561="","",BASE_CAIXA!AM558)</f>
        <v>TOTALIZADOR CUSTO GLOBAIS OBRAS - MENSAL | TOTALIZADOR CUSTO</v>
      </c>
      <c r="N561" s="26" t="str">
        <f t="shared" ca="1" si="24"/>
        <v>Previsto</v>
      </c>
      <c r="O561" s="13" t="str">
        <f>IFERROR(INDEX(EXTRATO_IMPORTADO!$A$5:$A$404,MATCH(B561,EXTRATO_IMPORTADO!$I$5:$I$404,0)),"")</f>
        <v/>
      </c>
      <c r="P561" s="14" t="str">
        <f>IFERROR(INDEX(EXTRATO_IMPORTADO!$F$5:$F$404,MATCH(B561,EXTRATO_IMPORTADO!$I$5:$I$404,0)),"")</f>
        <v/>
      </c>
      <c r="Q561" s="26" t="str">
        <f>IFERROR(INDEX(EXTRATO_IMPORTADO!$B$5:$B$404,MATCH(B561,EXTRATO_IMPORTADO!$I$5:$I$404,0)),"")</f>
        <v/>
      </c>
      <c r="R561" s="26" t="str">
        <f>IFERROR(MATCH(B561,EXTRATO_IMPORTADO!$I$5:$I$404,0),"")</f>
        <v/>
      </c>
      <c r="S561" s="14" t="str">
        <f t="shared" si="25"/>
        <v/>
      </c>
      <c r="T561" s="33" t="str">
        <f t="shared" si="26"/>
        <v/>
      </c>
    </row>
    <row r="562" spans="1:20" x14ac:dyDescent="0.3">
      <c r="A562" s="26">
        <f>IF(BASE_CAIXA!A559="","",BASE_CAIXA!A559)</f>
        <v>558</v>
      </c>
      <c r="B562" s="26" t="str">
        <f>IF(A562="","",BASE_CAIXA!AL559)</f>
        <v>000558-CR</v>
      </c>
      <c r="C562" s="13">
        <f>IF(A562="","",BASE_CAIXA!AJ559)</f>
        <v>46213</v>
      </c>
      <c r="D562" s="26" t="str">
        <f>IF(A562="","",IF(BASE_CAIXA!C559="Entrada","Crédito","Débito"))</f>
        <v>Crédito</v>
      </c>
      <c r="E562" s="14">
        <f>IF(A562="","",BASE_CAIXA!AA559)</f>
        <v>419604.64831999998</v>
      </c>
      <c r="F562" s="26">
        <f>IF(A562="","",BASE_CAIXA!N559)</f>
        <v>0</v>
      </c>
      <c r="G562" s="26">
        <f>IF(A562="","",BASE_CAIXA!O559)</f>
        <v>0</v>
      </c>
      <c r="H562" s="26">
        <f>IF(A562="","",BASE_CAIXA!P559)</f>
        <v>0</v>
      </c>
      <c r="I562" s="26" t="str">
        <f>IF(A562="","",IF(BASE_CAIXA!H559&lt;&gt;"",BASE_CAIXA!H559,BASE_CAIXA!G559))</f>
        <v>MEDIÇÃO CONTRATUAL</v>
      </c>
      <c r="J562" s="26" t="str">
        <f>IF(A562="","",BASE_CAIXA!G559)</f>
        <v>MEDIÇÃO CONTRATUAL</v>
      </c>
      <c r="K562" s="26">
        <f>IF(A562="","",BASE_CAIXA!I559)</f>
        <v>0</v>
      </c>
      <c r="L562" s="26">
        <f>IF(A562="","",BASE_CAIXA!J559)</f>
        <v>0</v>
      </c>
      <c r="M562" s="26" t="str">
        <f>IF(A562="","",BASE_CAIXA!AM559)</f>
        <v xml:space="preserve">MEDIÇÃO CONTRATUAL | MEDIÇÃO CONTRATUAL | Entrada | MEDIÇÃO </v>
      </c>
      <c r="N562" s="26" t="str">
        <f t="shared" ca="1" si="24"/>
        <v>Previsto</v>
      </c>
      <c r="O562" s="13" t="str">
        <f>IFERROR(INDEX(EXTRATO_IMPORTADO!$A$5:$A$404,MATCH(B562,EXTRATO_IMPORTADO!$I$5:$I$404,0)),"")</f>
        <v/>
      </c>
      <c r="P562" s="14" t="str">
        <f>IFERROR(INDEX(EXTRATO_IMPORTADO!$F$5:$F$404,MATCH(B562,EXTRATO_IMPORTADO!$I$5:$I$404,0)),"")</f>
        <v/>
      </c>
      <c r="Q562" s="26" t="str">
        <f>IFERROR(INDEX(EXTRATO_IMPORTADO!$B$5:$B$404,MATCH(B562,EXTRATO_IMPORTADO!$I$5:$I$404,0)),"")</f>
        <v/>
      </c>
      <c r="R562" s="26" t="str">
        <f>IFERROR(MATCH(B562,EXTRATO_IMPORTADO!$I$5:$I$404,0),"")</f>
        <v/>
      </c>
      <c r="S562" s="14" t="str">
        <f t="shared" si="25"/>
        <v/>
      </c>
      <c r="T562" s="33" t="str">
        <f t="shared" si="26"/>
        <v/>
      </c>
    </row>
    <row r="563" spans="1:20" x14ac:dyDescent="0.3">
      <c r="A563" s="26">
        <f>IF(BASE_CAIXA!A560="","",BASE_CAIXA!A560)</f>
        <v>559</v>
      </c>
      <c r="B563" s="26" t="str">
        <f>IF(A563="","",BASE_CAIXA!AL560)</f>
        <v>000559-DB</v>
      </c>
      <c r="C563" s="13">
        <f>IF(A563="","",BASE_CAIXA!AJ560)</f>
        <v>46213</v>
      </c>
      <c r="D563" s="26" t="str">
        <f>IF(A563="","",IF(BASE_CAIXA!C560="Entrada","Crédito","Débito"))</f>
        <v>Débito</v>
      </c>
      <c r="E563" s="14">
        <f>IF(A563="","",BASE_CAIXA!AA560)</f>
        <v>4264.5504000000001</v>
      </c>
      <c r="F563" s="26">
        <f>IF(A563="","",BASE_CAIXA!N560)</f>
        <v>0</v>
      </c>
      <c r="G563" s="26">
        <f>IF(A563="","",BASE_CAIXA!O560)</f>
        <v>0</v>
      </c>
      <c r="H563" s="26">
        <f>IF(A563="","",BASE_CAIXA!P560)</f>
        <v>0</v>
      </c>
      <c r="I563" s="26" t="str">
        <f>IF(A563="","",IF(BASE_CAIXA!H560&lt;&gt;"",BASE_CAIXA!H560,BASE_CAIXA!G560))</f>
        <v>Tubo pvc 100mm - Rede de Esgoto</v>
      </c>
      <c r="J563" s="26" t="str">
        <f>IF(A563="","",BASE_CAIXA!G560)</f>
        <v>Tubo pvc 100mm - Rede de Esgoto</v>
      </c>
      <c r="K563" s="26">
        <f>IF(A563="","",BASE_CAIXA!I560)</f>
        <v>0</v>
      </c>
      <c r="L563" s="26">
        <f>IF(A563="","",BASE_CAIXA!J560)</f>
        <v>0</v>
      </c>
      <c r="M563" s="26" t="str">
        <f>IF(A563="","",BASE_CAIXA!AM560)</f>
        <v>Tubo pvc 100mm - Rede de Esgoto | Tubo pvc 100mm - Rede de E</v>
      </c>
      <c r="N563" s="26" t="str">
        <f t="shared" ca="1" si="24"/>
        <v>Previsto</v>
      </c>
      <c r="O563" s="13" t="str">
        <f>IFERROR(INDEX(EXTRATO_IMPORTADO!$A$5:$A$404,MATCH(B563,EXTRATO_IMPORTADO!$I$5:$I$404,0)),"")</f>
        <v/>
      </c>
      <c r="P563" s="14" t="str">
        <f>IFERROR(INDEX(EXTRATO_IMPORTADO!$F$5:$F$404,MATCH(B563,EXTRATO_IMPORTADO!$I$5:$I$404,0)),"")</f>
        <v/>
      </c>
      <c r="Q563" s="26" t="str">
        <f>IFERROR(INDEX(EXTRATO_IMPORTADO!$B$5:$B$404,MATCH(B563,EXTRATO_IMPORTADO!$I$5:$I$404,0)),"")</f>
        <v/>
      </c>
      <c r="R563" s="26" t="str">
        <f>IFERROR(MATCH(B563,EXTRATO_IMPORTADO!$I$5:$I$404,0),"")</f>
        <v/>
      </c>
      <c r="S563" s="14" t="str">
        <f t="shared" si="25"/>
        <v/>
      </c>
      <c r="T563" s="33" t="str">
        <f t="shared" si="26"/>
        <v/>
      </c>
    </row>
    <row r="564" spans="1:20" x14ac:dyDescent="0.3">
      <c r="A564" s="26">
        <f>IF(BASE_CAIXA!A561="","",BASE_CAIXA!A561)</f>
        <v>560</v>
      </c>
      <c r="B564" s="26" t="str">
        <f>IF(A564="","",BASE_CAIXA!AL561)</f>
        <v>000560-DB</v>
      </c>
      <c r="C564" s="13">
        <f>IF(A564="","",BASE_CAIXA!AJ561)</f>
        <v>46213</v>
      </c>
      <c r="D564" s="26" t="str">
        <f>IF(A564="","",IF(BASE_CAIXA!C561="Entrada","Crédito","Débito"))</f>
        <v>Débito</v>
      </c>
      <c r="E564" s="14">
        <f>IF(A564="","",BASE_CAIXA!AA561)</f>
        <v>204.71616</v>
      </c>
      <c r="F564" s="26">
        <f>IF(A564="","",BASE_CAIXA!N561)</f>
        <v>0</v>
      </c>
      <c r="G564" s="26">
        <f>IF(A564="","",BASE_CAIXA!O561)</f>
        <v>0</v>
      </c>
      <c r="H564" s="26">
        <f>IF(A564="","",BASE_CAIXA!P561)</f>
        <v>0</v>
      </c>
      <c r="I564" s="26" t="str">
        <f>IF(A564="","",IF(BASE_CAIXA!H561&lt;&gt;"",BASE_CAIXA!H561,BASE_CAIXA!G561))</f>
        <v>Tubo pvc 40mm - Rede de Esgoto</v>
      </c>
      <c r="J564" s="26" t="str">
        <f>IF(A564="","",BASE_CAIXA!G561)</f>
        <v>Tubo pvc 40mm - Rede de Esgoto</v>
      </c>
      <c r="K564" s="26">
        <f>IF(A564="","",BASE_CAIXA!I561)</f>
        <v>0</v>
      </c>
      <c r="L564" s="26">
        <f>IF(A564="","",BASE_CAIXA!J561)</f>
        <v>0</v>
      </c>
      <c r="M564" s="26" t="str">
        <f>IF(A564="","",BASE_CAIXA!AM561)</f>
        <v>Tubo pvc 40mm - Rede de Esgoto | Tubo pvc 40mm - Rede de Esg</v>
      </c>
      <c r="N564" s="26" t="str">
        <f t="shared" ca="1" si="24"/>
        <v>Previsto</v>
      </c>
      <c r="O564" s="13" t="str">
        <f>IFERROR(INDEX(EXTRATO_IMPORTADO!$A$5:$A$404,MATCH(B564,EXTRATO_IMPORTADO!$I$5:$I$404,0)),"")</f>
        <v/>
      </c>
      <c r="P564" s="14" t="str">
        <f>IFERROR(INDEX(EXTRATO_IMPORTADO!$F$5:$F$404,MATCH(B564,EXTRATO_IMPORTADO!$I$5:$I$404,0)),"")</f>
        <v/>
      </c>
      <c r="Q564" s="26" t="str">
        <f>IFERROR(INDEX(EXTRATO_IMPORTADO!$B$5:$B$404,MATCH(B564,EXTRATO_IMPORTADO!$I$5:$I$404,0)),"")</f>
        <v/>
      </c>
      <c r="R564" s="26" t="str">
        <f>IFERROR(MATCH(B564,EXTRATO_IMPORTADO!$I$5:$I$404,0),"")</f>
        <v/>
      </c>
      <c r="S564" s="14" t="str">
        <f t="shared" si="25"/>
        <v/>
      </c>
      <c r="T564" s="33" t="str">
        <f t="shared" si="26"/>
        <v/>
      </c>
    </row>
    <row r="565" spans="1:20" x14ac:dyDescent="0.3">
      <c r="A565" s="26">
        <f>IF(BASE_CAIXA!A562="","",BASE_CAIXA!A562)</f>
        <v>561</v>
      </c>
      <c r="B565" s="26" t="str">
        <f>IF(A565="","",BASE_CAIXA!AL562)</f>
        <v>000561-DB</v>
      </c>
      <c r="C565" s="13">
        <f>IF(A565="","",BASE_CAIXA!AJ562)</f>
        <v>46213</v>
      </c>
      <c r="D565" s="26" t="str">
        <f>IF(A565="","",IF(BASE_CAIXA!C562="Entrada","Crédito","Débito"))</f>
        <v>Débito</v>
      </c>
      <c r="E565" s="14">
        <f>IF(A565="","",BASE_CAIXA!AA562)</f>
        <v>215.93088</v>
      </c>
      <c r="F565" s="26">
        <f>IF(A565="","",BASE_CAIXA!N562)</f>
        <v>0</v>
      </c>
      <c r="G565" s="26">
        <f>IF(A565="","",BASE_CAIXA!O562)</f>
        <v>0</v>
      </c>
      <c r="H565" s="26">
        <f>IF(A565="","",BASE_CAIXA!P562)</f>
        <v>0</v>
      </c>
      <c r="I565" s="26" t="str">
        <f>IF(A565="","",IF(BASE_CAIXA!H562&lt;&gt;"",BASE_CAIXA!H562,BASE_CAIXA!G562))</f>
        <v>Tubo pvc 50mm - Rede de Esgoto</v>
      </c>
      <c r="J565" s="26" t="str">
        <f>IF(A565="","",BASE_CAIXA!G562)</f>
        <v>Tubo pvc 50mm - Rede de Esgoto</v>
      </c>
      <c r="K565" s="26">
        <f>IF(A565="","",BASE_CAIXA!I562)</f>
        <v>0</v>
      </c>
      <c r="L565" s="26">
        <f>IF(A565="","",BASE_CAIXA!J562)</f>
        <v>0</v>
      </c>
      <c r="M565" s="26" t="str">
        <f>IF(A565="","",BASE_CAIXA!AM562)</f>
        <v>Tubo pvc 50mm - Rede de Esgoto | Tubo pvc 50mm - Rede de Esg</v>
      </c>
      <c r="N565" s="26" t="str">
        <f t="shared" ca="1" si="24"/>
        <v>Previsto</v>
      </c>
      <c r="O565" s="13" t="str">
        <f>IFERROR(INDEX(EXTRATO_IMPORTADO!$A$5:$A$404,MATCH(B565,EXTRATO_IMPORTADO!$I$5:$I$404,0)),"")</f>
        <v/>
      </c>
      <c r="P565" s="14" t="str">
        <f>IFERROR(INDEX(EXTRATO_IMPORTADO!$F$5:$F$404,MATCH(B565,EXTRATO_IMPORTADO!$I$5:$I$404,0)),"")</f>
        <v/>
      </c>
      <c r="Q565" s="26" t="str">
        <f>IFERROR(INDEX(EXTRATO_IMPORTADO!$B$5:$B$404,MATCH(B565,EXTRATO_IMPORTADO!$I$5:$I$404,0)),"")</f>
        <v/>
      </c>
      <c r="R565" s="26" t="str">
        <f>IFERROR(MATCH(B565,EXTRATO_IMPORTADO!$I$5:$I$404,0),"")</f>
        <v/>
      </c>
      <c r="S565" s="14" t="str">
        <f t="shared" si="25"/>
        <v/>
      </c>
      <c r="T565" s="33" t="str">
        <f t="shared" si="26"/>
        <v/>
      </c>
    </row>
    <row r="566" spans="1:20" x14ac:dyDescent="0.3">
      <c r="A566" s="26">
        <f>IF(BASE_CAIXA!A563="","",BASE_CAIXA!A563)</f>
        <v>562</v>
      </c>
      <c r="B566" s="26" t="str">
        <f>IF(A566="","",BASE_CAIXA!AL563)</f>
        <v>000562-DB</v>
      </c>
      <c r="C566" s="13">
        <f>IF(A566="","",BASE_CAIXA!AJ563)</f>
        <v>46213</v>
      </c>
      <c r="D566" s="26" t="str">
        <f>IF(A566="","",IF(BASE_CAIXA!C563="Entrada","Crédito","Débito"))</f>
        <v>Débito</v>
      </c>
      <c r="E566" s="14">
        <f>IF(A566="","",BASE_CAIXA!AA563)</f>
        <v>15217.6</v>
      </c>
      <c r="F566" s="26">
        <f>IF(A566="","",BASE_CAIXA!N563)</f>
        <v>0</v>
      </c>
      <c r="G566" s="26">
        <f>IF(A566="","",BASE_CAIXA!O563)</f>
        <v>0</v>
      </c>
      <c r="H566" s="26">
        <f>IF(A566="","",BASE_CAIXA!P563)</f>
        <v>0</v>
      </c>
      <c r="I566" s="26" t="str">
        <f>IF(A566="","",IF(BASE_CAIXA!H563&lt;&gt;"",BASE_CAIXA!H563,BASE_CAIXA!G563))</f>
        <v>Mao de obra calçada acesso</v>
      </c>
      <c r="J566" s="26" t="str">
        <f>IF(A566="","",BASE_CAIXA!G563)</f>
        <v>Mao de obra calçada acesso</v>
      </c>
      <c r="K566" s="26">
        <f>IF(A566="","",BASE_CAIXA!I563)</f>
        <v>0</v>
      </c>
      <c r="L566" s="26">
        <f>IF(A566="","",BASE_CAIXA!J563)</f>
        <v>0</v>
      </c>
      <c r="M566" s="26" t="str">
        <f>IF(A566="","",BASE_CAIXA!AM563)</f>
        <v>Mao de obra calçada acesso | Mao de obra calçada acesso | Sa</v>
      </c>
      <c r="N566" s="26" t="str">
        <f t="shared" ca="1" si="24"/>
        <v>Previsto</v>
      </c>
      <c r="O566" s="13" t="str">
        <f>IFERROR(INDEX(EXTRATO_IMPORTADO!$A$5:$A$404,MATCH(B566,EXTRATO_IMPORTADO!$I$5:$I$404,0)),"")</f>
        <v/>
      </c>
      <c r="P566" s="14" t="str">
        <f>IFERROR(INDEX(EXTRATO_IMPORTADO!$F$5:$F$404,MATCH(B566,EXTRATO_IMPORTADO!$I$5:$I$404,0)),"")</f>
        <v/>
      </c>
      <c r="Q566" s="26" t="str">
        <f>IFERROR(INDEX(EXTRATO_IMPORTADO!$B$5:$B$404,MATCH(B566,EXTRATO_IMPORTADO!$I$5:$I$404,0)),"")</f>
        <v/>
      </c>
      <c r="R566" s="26" t="str">
        <f>IFERROR(MATCH(B566,EXTRATO_IMPORTADO!$I$5:$I$404,0),"")</f>
        <v/>
      </c>
      <c r="S566" s="14" t="str">
        <f t="shared" si="25"/>
        <v/>
      </c>
      <c r="T566" s="33" t="str">
        <f t="shared" si="26"/>
        <v/>
      </c>
    </row>
    <row r="567" spans="1:20" x14ac:dyDescent="0.3">
      <c r="A567" s="26">
        <f>IF(BASE_CAIXA!A564="","",BASE_CAIXA!A564)</f>
        <v>563</v>
      </c>
      <c r="B567" s="26" t="str">
        <f>IF(A567="","",BASE_CAIXA!AL564)</f>
        <v>000563-DB</v>
      </c>
      <c r="C567" s="13">
        <f>IF(A567="","",BASE_CAIXA!AJ564)</f>
        <v>46213</v>
      </c>
      <c r="D567" s="26" t="str">
        <f>IF(A567="","",IF(BASE_CAIXA!C564="Entrada","Crédito","Débito"))</f>
        <v>Débito</v>
      </c>
      <c r="E567" s="14">
        <f>IF(A567="","",BASE_CAIXA!AA564)</f>
        <v>21190</v>
      </c>
      <c r="F567" s="26">
        <f>IF(A567="","",BASE_CAIXA!N564)</f>
        <v>0</v>
      </c>
      <c r="G567" s="26">
        <f>IF(A567="","",BASE_CAIXA!O564)</f>
        <v>0</v>
      </c>
      <c r="H567" s="26">
        <f>IF(A567="","",BASE_CAIXA!P564)</f>
        <v>0</v>
      </c>
      <c r="I567" s="26" t="str">
        <f>IF(A567="","",IF(BASE_CAIXA!H564&lt;&gt;"",BASE_CAIXA!H564,BASE_CAIXA!G564))</f>
        <v>CARTAO CREDITO SUCOPIRA</v>
      </c>
      <c r="J567" s="26" t="str">
        <f>IF(A567="","",BASE_CAIXA!G564)</f>
        <v>CARTAO CREDITO SUCOPIRA</v>
      </c>
      <c r="K567" s="26">
        <f>IF(A567="","",BASE_CAIXA!I564)</f>
        <v>0</v>
      </c>
      <c r="L567" s="26">
        <f>IF(A567="","",BASE_CAIXA!J564)</f>
        <v>0</v>
      </c>
      <c r="M567" s="26" t="str">
        <f>IF(A567="","",BASE_CAIXA!AM564)</f>
        <v xml:space="preserve">CARTAO CREDITO SUCOPIRA | CARTAO CREDITO SUCOPIRA | Saída | </v>
      </c>
      <c r="N567" s="26" t="str">
        <f t="shared" ca="1" si="24"/>
        <v>Previsto</v>
      </c>
      <c r="O567" s="13" t="str">
        <f>IFERROR(INDEX(EXTRATO_IMPORTADO!$A$5:$A$404,MATCH(B567,EXTRATO_IMPORTADO!$I$5:$I$404,0)),"")</f>
        <v/>
      </c>
      <c r="P567" s="14" t="str">
        <f>IFERROR(INDEX(EXTRATO_IMPORTADO!$F$5:$F$404,MATCH(B567,EXTRATO_IMPORTADO!$I$5:$I$404,0)),"")</f>
        <v/>
      </c>
      <c r="Q567" s="26" t="str">
        <f>IFERROR(INDEX(EXTRATO_IMPORTADO!$B$5:$B$404,MATCH(B567,EXTRATO_IMPORTADO!$I$5:$I$404,0)),"")</f>
        <v/>
      </c>
      <c r="R567" s="26" t="str">
        <f>IFERROR(MATCH(B567,EXTRATO_IMPORTADO!$I$5:$I$404,0),"")</f>
        <v/>
      </c>
      <c r="S567" s="14" t="str">
        <f t="shared" si="25"/>
        <v/>
      </c>
      <c r="T567" s="33" t="str">
        <f t="shared" si="26"/>
        <v/>
      </c>
    </row>
    <row r="568" spans="1:20" x14ac:dyDescent="0.3">
      <c r="A568" s="26">
        <f>IF(BASE_CAIXA!A565="","",BASE_CAIXA!A565)</f>
        <v>564</v>
      </c>
      <c r="B568" s="26" t="str">
        <f>IF(A568="","",BASE_CAIXA!AL565)</f>
        <v>000564-DB</v>
      </c>
      <c r="C568" s="13">
        <f>IF(A568="","",BASE_CAIXA!AJ565)</f>
        <v>46213</v>
      </c>
      <c r="D568" s="26" t="str">
        <f>IF(A568="","",IF(BASE_CAIXA!C565="Entrada","Crédito","Débito"))</f>
        <v>Débito</v>
      </c>
      <c r="E568" s="14">
        <f>IF(A568="","",BASE_CAIXA!AA565)</f>
        <v>7670</v>
      </c>
      <c r="F568" s="26">
        <f>IF(A568="","",BASE_CAIXA!N565)</f>
        <v>0</v>
      </c>
      <c r="G568" s="26">
        <f>IF(A568="","",BASE_CAIXA!O565)</f>
        <v>0</v>
      </c>
      <c r="H568" s="26">
        <f>IF(A568="","",BASE_CAIXA!P565)</f>
        <v>0</v>
      </c>
      <c r="I568" s="26" t="str">
        <f>IF(A568="","",IF(BASE_CAIXA!H565&lt;&gt;"",BASE_CAIXA!H565,BASE_CAIXA!G565))</f>
        <v>EMPRÉSTIMO EXTRA</v>
      </c>
      <c r="J568" s="26" t="str">
        <f>IF(A568="","",BASE_CAIXA!G565)</f>
        <v>EMPRÉSTIMO EXTRA</v>
      </c>
      <c r="K568" s="26">
        <f>IF(A568="","",BASE_CAIXA!I565)</f>
        <v>0</v>
      </c>
      <c r="L568" s="26">
        <f>IF(A568="","",BASE_CAIXA!J565)</f>
        <v>0</v>
      </c>
      <c r="M568" s="26" t="str">
        <f>IF(A568="","",BASE_CAIXA!AM565)</f>
        <v>EMPRÉSTIMO EXTRA | EMPRÉSTIMO EXTRA | Saída | CAPITAL DE GIR</v>
      </c>
      <c r="N568" s="26" t="str">
        <f t="shared" ca="1" si="24"/>
        <v>Previsto</v>
      </c>
      <c r="O568" s="13" t="str">
        <f>IFERROR(INDEX(EXTRATO_IMPORTADO!$A$5:$A$404,MATCH(B568,EXTRATO_IMPORTADO!$I$5:$I$404,0)),"")</f>
        <v/>
      </c>
      <c r="P568" s="14" t="str">
        <f>IFERROR(INDEX(EXTRATO_IMPORTADO!$F$5:$F$404,MATCH(B568,EXTRATO_IMPORTADO!$I$5:$I$404,0)),"")</f>
        <v/>
      </c>
      <c r="Q568" s="26" t="str">
        <f>IFERROR(INDEX(EXTRATO_IMPORTADO!$B$5:$B$404,MATCH(B568,EXTRATO_IMPORTADO!$I$5:$I$404,0)),"")</f>
        <v/>
      </c>
      <c r="R568" s="26" t="str">
        <f>IFERROR(MATCH(B568,EXTRATO_IMPORTADO!$I$5:$I$404,0),"")</f>
        <v/>
      </c>
      <c r="S568" s="14" t="str">
        <f t="shared" si="25"/>
        <v/>
      </c>
      <c r="T568" s="33" t="str">
        <f t="shared" si="26"/>
        <v/>
      </c>
    </row>
    <row r="569" spans="1:20" x14ac:dyDescent="0.3">
      <c r="A569" s="26">
        <f>IF(BASE_CAIXA!A566="","",BASE_CAIXA!A566)</f>
        <v>565</v>
      </c>
      <c r="B569" s="26" t="str">
        <f>IF(A569="","",BASE_CAIXA!AL566)</f>
        <v>000565-DB</v>
      </c>
      <c r="C569" s="13">
        <f>IF(A569="","",BASE_CAIXA!AJ566)</f>
        <v>46213</v>
      </c>
      <c r="D569" s="26" t="str">
        <f>IF(A569="","",IF(BASE_CAIXA!C566="Entrada","Crédito","Débito"))</f>
        <v>Débito</v>
      </c>
      <c r="E569" s="14">
        <f>IF(A569="","",BASE_CAIXA!AA566)</f>
        <v>18869.2</v>
      </c>
      <c r="F569" s="26">
        <f>IF(A569="","",BASE_CAIXA!N566)</f>
        <v>0</v>
      </c>
      <c r="G569" s="26">
        <f>IF(A569="","",BASE_CAIXA!O566)</f>
        <v>0</v>
      </c>
      <c r="H569" s="26">
        <f>IF(A569="","",BASE_CAIXA!P566)</f>
        <v>0</v>
      </c>
      <c r="I569" s="26" t="str">
        <f>IF(A569="","",IF(BASE_CAIXA!H566&lt;&gt;"",BASE_CAIXA!H566,BASE_CAIXA!G566))</f>
        <v>Mao de obra terceirizada Pontos eletricos completos  + quadro</v>
      </c>
      <c r="J569" s="26" t="str">
        <f>IF(A569="","",BASE_CAIXA!G566)</f>
        <v>Mao de obra terceirizada Pontos eletricos completos  + quadro</v>
      </c>
      <c r="K569" s="26">
        <f>IF(A569="","",BASE_CAIXA!I566)</f>
        <v>0</v>
      </c>
      <c r="L569" s="26">
        <f>IF(A569="","",BASE_CAIXA!J566)</f>
        <v>0</v>
      </c>
      <c r="M569" s="26" t="str">
        <f>IF(A569="","",BASE_CAIXA!AM566)</f>
        <v>Mao de obra terceirizada Pontos eletricos completos  + quadr</v>
      </c>
      <c r="N569" s="26" t="str">
        <f t="shared" ca="1" si="24"/>
        <v>Previsto</v>
      </c>
      <c r="O569" s="13" t="str">
        <f>IFERROR(INDEX(EXTRATO_IMPORTADO!$A$5:$A$404,MATCH(B569,EXTRATO_IMPORTADO!$I$5:$I$404,0)),"")</f>
        <v/>
      </c>
      <c r="P569" s="14" t="str">
        <f>IFERROR(INDEX(EXTRATO_IMPORTADO!$F$5:$F$404,MATCH(B569,EXTRATO_IMPORTADO!$I$5:$I$404,0)),"")</f>
        <v/>
      </c>
      <c r="Q569" s="26" t="str">
        <f>IFERROR(INDEX(EXTRATO_IMPORTADO!$B$5:$B$404,MATCH(B569,EXTRATO_IMPORTADO!$I$5:$I$404,0)),"")</f>
        <v/>
      </c>
      <c r="R569" s="26" t="str">
        <f>IFERROR(MATCH(B569,EXTRATO_IMPORTADO!$I$5:$I$404,0),"")</f>
        <v/>
      </c>
      <c r="S569" s="14" t="str">
        <f t="shared" si="25"/>
        <v/>
      </c>
      <c r="T569" s="33" t="str">
        <f t="shared" si="26"/>
        <v/>
      </c>
    </row>
    <row r="570" spans="1:20" x14ac:dyDescent="0.3">
      <c r="A570" s="26">
        <f>IF(BASE_CAIXA!A567="","",BASE_CAIXA!A567)</f>
        <v>566</v>
      </c>
      <c r="B570" s="26" t="str">
        <f>IF(A570="","",BASE_CAIXA!AL567)</f>
        <v>000566-DB</v>
      </c>
      <c r="C570" s="13">
        <f>IF(A570="","",BASE_CAIXA!AJ567)</f>
        <v>46213</v>
      </c>
      <c r="D570" s="26" t="str">
        <f>IF(A570="","",IF(BASE_CAIXA!C567="Entrada","Crédito","Débito"))</f>
        <v>Débito</v>
      </c>
      <c r="E570" s="14">
        <f>IF(A570="","",BASE_CAIXA!AA567)</f>
        <v>8086.7999999999993</v>
      </c>
      <c r="F570" s="26">
        <f>IF(A570="","",BASE_CAIXA!N567)</f>
        <v>0</v>
      </c>
      <c r="G570" s="26">
        <f>IF(A570="","",BASE_CAIXA!O567)</f>
        <v>0</v>
      </c>
      <c r="H570" s="26">
        <f>IF(A570="","",BASE_CAIXA!P567)</f>
        <v>0</v>
      </c>
      <c r="I570" s="26" t="str">
        <f>IF(A570="","",IF(BASE_CAIXA!H567&lt;&gt;"",BASE_CAIXA!H567,BASE_CAIXA!G567))</f>
        <v>Mao de obra terceirizada colocaçao Espelhos, lampadas e testes</v>
      </c>
      <c r="J570" s="26" t="str">
        <f>IF(A570="","",BASE_CAIXA!G567)</f>
        <v>Mao de obra terceirizada colocaçao Espelhos, lampadas e testes</v>
      </c>
      <c r="K570" s="26">
        <f>IF(A570="","",BASE_CAIXA!I567)</f>
        <v>0</v>
      </c>
      <c r="L570" s="26">
        <f>IF(A570="","",BASE_CAIXA!J567)</f>
        <v>0</v>
      </c>
      <c r="M570" s="26" t="str">
        <f>IF(A570="","",BASE_CAIXA!AM567)</f>
        <v>Mao de obra terceirizada colocaçao Espelhos, lampadas e test</v>
      </c>
      <c r="N570" s="26" t="str">
        <f t="shared" ca="1" si="24"/>
        <v>Previsto</v>
      </c>
      <c r="O570" s="13" t="str">
        <f>IFERROR(INDEX(EXTRATO_IMPORTADO!$A$5:$A$404,MATCH(B570,EXTRATO_IMPORTADO!$I$5:$I$404,0)),"")</f>
        <v/>
      </c>
      <c r="P570" s="14" t="str">
        <f>IFERROR(INDEX(EXTRATO_IMPORTADO!$F$5:$F$404,MATCH(B570,EXTRATO_IMPORTADO!$I$5:$I$404,0)),"")</f>
        <v/>
      </c>
      <c r="Q570" s="26" t="str">
        <f>IFERROR(INDEX(EXTRATO_IMPORTADO!$B$5:$B$404,MATCH(B570,EXTRATO_IMPORTADO!$I$5:$I$404,0)),"")</f>
        <v/>
      </c>
      <c r="R570" s="26" t="str">
        <f>IFERROR(MATCH(B570,EXTRATO_IMPORTADO!$I$5:$I$404,0),"")</f>
        <v/>
      </c>
      <c r="S570" s="14" t="str">
        <f t="shared" si="25"/>
        <v/>
      </c>
      <c r="T570" s="33" t="str">
        <f t="shared" si="26"/>
        <v/>
      </c>
    </row>
    <row r="571" spans="1:20" x14ac:dyDescent="0.3">
      <c r="A571" s="26">
        <f>IF(BASE_CAIXA!A568="","",BASE_CAIXA!A568)</f>
        <v>567</v>
      </c>
      <c r="B571" s="26" t="str">
        <f>IF(A571="","",BASE_CAIXA!AL568)</f>
        <v>000567-DB</v>
      </c>
      <c r="C571" s="13">
        <f>IF(A571="","",BASE_CAIXA!AJ568)</f>
        <v>46213</v>
      </c>
      <c r="D571" s="26" t="str">
        <f>IF(A571="","",IF(BASE_CAIXA!C568="Entrada","Crédito","Débito"))</f>
        <v>Débito</v>
      </c>
      <c r="E571" s="14">
        <f>IF(A571="","",BASE_CAIXA!AA568)</f>
        <v>3349.6603839999998</v>
      </c>
      <c r="F571" s="26">
        <f>IF(A571="","",BASE_CAIXA!N568)</f>
        <v>0</v>
      </c>
      <c r="G571" s="26">
        <f>IF(A571="","",BASE_CAIXA!O568)</f>
        <v>0</v>
      </c>
      <c r="H571" s="26">
        <f>IF(A571="","",BASE_CAIXA!P568)</f>
        <v>0</v>
      </c>
      <c r="I571" s="26" t="str">
        <f>IF(A571="","",IF(BASE_CAIXA!H568&lt;&gt;"",BASE_CAIXA!H568,BASE_CAIXA!G568))</f>
        <v>Mao de obra terceirizada limpeza final</v>
      </c>
      <c r="J571" s="26" t="str">
        <f>IF(A571="","",BASE_CAIXA!G568)</f>
        <v>Mao de obra terceirizada limpeza final</v>
      </c>
      <c r="K571" s="26">
        <f>IF(A571="","",BASE_CAIXA!I568)</f>
        <v>0</v>
      </c>
      <c r="L571" s="26">
        <f>IF(A571="","",BASE_CAIXA!J568)</f>
        <v>0</v>
      </c>
      <c r="M571" s="26" t="str">
        <f>IF(A571="","",BASE_CAIXA!AM568)</f>
        <v>Mao de obra terceirizada limpeza final | Mao de obra terceir</v>
      </c>
      <c r="N571" s="26" t="str">
        <f t="shared" ca="1" si="24"/>
        <v>Previsto</v>
      </c>
      <c r="O571" s="13" t="str">
        <f>IFERROR(INDEX(EXTRATO_IMPORTADO!$A$5:$A$404,MATCH(B571,EXTRATO_IMPORTADO!$I$5:$I$404,0)),"")</f>
        <v/>
      </c>
      <c r="P571" s="14" t="str">
        <f>IFERROR(INDEX(EXTRATO_IMPORTADO!$F$5:$F$404,MATCH(B571,EXTRATO_IMPORTADO!$I$5:$I$404,0)),"")</f>
        <v/>
      </c>
      <c r="Q571" s="26" t="str">
        <f>IFERROR(INDEX(EXTRATO_IMPORTADO!$B$5:$B$404,MATCH(B571,EXTRATO_IMPORTADO!$I$5:$I$404,0)),"")</f>
        <v/>
      </c>
      <c r="R571" s="26" t="str">
        <f>IFERROR(MATCH(B571,EXTRATO_IMPORTADO!$I$5:$I$404,0),"")</f>
        <v/>
      </c>
      <c r="S571" s="14" t="str">
        <f t="shared" si="25"/>
        <v/>
      </c>
      <c r="T571" s="33" t="str">
        <f t="shared" si="26"/>
        <v/>
      </c>
    </row>
    <row r="572" spans="1:20" x14ac:dyDescent="0.3">
      <c r="A572" s="26">
        <f>IF(BASE_CAIXA!A569="","",BASE_CAIXA!A569)</f>
        <v>568</v>
      </c>
      <c r="B572" s="26" t="str">
        <f>IF(A572="","",BASE_CAIXA!AL569)</f>
        <v>000568-DB</v>
      </c>
      <c r="C572" s="13">
        <f>IF(A572="","",BASE_CAIXA!AJ569)</f>
        <v>46213</v>
      </c>
      <c r="D572" s="26" t="str">
        <f>IF(A572="","",IF(BASE_CAIXA!C569="Entrada","Crédito","Débito"))</f>
        <v>Débito</v>
      </c>
      <c r="E572" s="14">
        <f>IF(A572="","",BASE_CAIXA!AA569)</f>
        <v>1219.2</v>
      </c>
      <c r="F572" s="26">
        <f>IF(A572="","",BASE_CAIXA!N569)</f>
        <v>0</v>
      </c>
      <c r="G572" s="26">
        <f>IF(A572="","",BASE_CAIXA!O569)</f>
        <v>0</v>
      </c>
      <c r="H572" s="26">
        <f>IF(A572="","",BASE_CAIXA!P569)</f>
        <v>0</v>
      </c>
      <c r="I572" s="26" t="str">
        <f>IF(A572="","",IF(BASE_CAIXA!H569&lt;&gt;"",BASE_CAIXA!H569,BASE_CAIXA!G569))</f>
        <v>ACABAMENTO CROMADO PARA REGISTRO GAVETA 3/4 ( tanque, maquina, pia coz)</v>
      </c>
      <c r="J572" s="26" t="str">
        <f>IF(A572="","",BASE_CAIXA!G569)</f>
        <v>ACABAMENTO CROMADO PARA REGISTRO GAVETA 3/4 ( tanque, maquina, pia coz)</v>
      </c>
      <c r="K572" s="26">
        <f>IF(A572="","",BASE_CAIXA!I569)</f>
        <v>0</v>
      </c>
      <c r="L572" s="26">
        <f>IF(A572="","",BASE_CAIXA!J569)</f>
        <v>0</v>
      </c>
      <c r="M572" s="26" t="str">
        <f>IF(A572="","",BASE_CAIXA!AM569)</f>
        <v>ACABAMENTO CROMADO PARA REGISTRO GAVETA 3/4 ( tanque, maquin</v>
      </c>
      <c r="N572" s="26" t="str">
        <f t="shared" ca="1" si="24"/>
        <v>Previsto</v>
      </c>
      <c r="O572" s="13" t="str">
        <f>IFERROR(INDEX(EXTRATO_IMPORTADO!$A$5:$A$404,MATCH(B572,EXTRATO_IMPORTADO!$I$5:$I$404,0)),"")</f>
        <v/>
      </c>
      <c r="P572" s="14" t="str">
        <f>IFERROR(INDEX(EXTRATO_IMPORTADO!$F$5:$F$404,MATCH(B572,EXTRATO_IMPORTADO!$I$5:$I$404,0)),"")</f>
        <v/>
      </c>
      <c r="Q572" s="26" t="str">
        <f>IFERROR(INDEX(EXTRATO_IMPORTADO!$B$5:$B$404,MATCH(B572,EXTRATO_IMPORTADO!$I$5:$I$404,0)),"")</f>
        <v/>
      </c>
      <c r="R572" s="26" t="str">
        <f>IFERROR(MATCH(B572,EXTRATO_IMPORTADO!$I$5:$I$404,0),"")</f>
        <v/>
      </c>
      <c r="S572" s="14" t="str">
        <f t="shared" si="25"/>
        <v/>
      </c>
      <c r="T572" s="33" t="str">
        <f t="shared" si="26"/>
        <v/>
      </c>
    </row>
    <row r="573" spans="1:20" x14ac:dyDescent="0.3">
      <c r="A573" s="26">
        <f>IF(BASE_CAIXA!A570="","",BASE_CAIXA!A570)</f>
        <v>569</v>
      </c>
      <c r="B573" s="26" t="str">
        <f>IF(A573="","",BASE_CAIXA!AL570)</f>
        <v>000569-DB</v>
      </c>
      <c r="C573" s="13">
        <f>IF(A573="","",BASE_CAIXA!AJ570)</f>
        <v>46213</v>
      </c>
      <c r="D573" s="26" t="str">
        <f>IF(A573="","",IF(BASE_CAIXA!C570="Entrada","Crédito","Débito"))</f>
        <v>Débito</v>
      </c>
      <c r="E573" s="14">
        <f>IF(A573="","",BASE_CAIXA!AA570)</f>
        <v>609.6</v>
      </c>
      <c r="F573" s="26">
        <f>IF(A573="","",BASE_CAIXA!N570)</f>
        <v>0</v>
      </c>
      <c r="G573" s="26">
        <f>IF(A573="","",BASE_CAIXA!O570)</f>
        <v>0</v>
      </c>
      <c r="H573" s="26">
        <f>IF(A573="","",BASE_CAIXA!P570)</f>
        <v>0</v>
      </c>
      <c r="I573" s="26" t="str">
        <f>IF(A573="","",IF(BASE_CAIXA!H570&lt;&gt;"",BASE_CAIXA!H570,BASE_CAIXA!G570))</f>
        <v>ACABAMENTO CROMADO PARA REGISTRO pressao 3/4 ( tanque, maquina, pia coz)</v>
      </c>
      <c r="J573" s="26" t="str">
        <f>IF(A573="","",BASE_CAIXA!G570)</f>
        <v>ACABAMENTO CROMADO PARA REGISTRO pressao 3/4 ( tanque, maquina, pia coz)</v>
      </c>
      <c r="K573" s="26">
        <f>IF(A573="","",BASE_CAIXA!I570)</f>
        <v>0</v>
      </c>
      <c r="L573" s="26">
        <f>IF(A573="","",BASE_CAIXA!J570)</f>
        <v>0</v>
      </c>
      <c r="M573" s="26" t="str">
        <f>IF(A573="","",BASE_CAIXA!AM570)</f>
        <v>ACABAMENTO CROMADO PARA REGISTRO pressao 3/4 ( tanque, maqui</v>
      </c>
      <c r="N573" s="26" t="str">
        <f t="shared" ca="1" si="24"/>
        <v>Previsto</v>
      </c>
      <c r="O573" s="13" t="str">
        <f>IFERROR(INDEX(EXTRATO_IMPORTADO!$A$5:$A$404,MATCH(B573,EXTRATO_IMPORTADO!$I$5:$I$404,0)),"")</f>
        <v/>
      </c>
      <c r="P573" s="14" t="str">
        <f>IFERROR(INDEX(EXTRATO_IMPORTADO!$F$5:$F$404,MATCH(B573,EXTRATO_IMPORTADO!$I$5:$I$404,0)),"")</f>
        <v/>
      </c>
      <c r="Q573" s="26" t="str">
        <f>IFERROR(INDEX(EXTRATO_IMPORTADO!$B$5:$B$404,MATCH(B573,EXTRATO_IMPORTADO!$I$5:$I$404,0)),"")</f>
        <v/>
      </c>
      <c r="R573" s="26" t="str">
        <f>IFERROR(MATCH(B573,EXTRATO_IMPORTADO!$I$5:$I$404,0),"")</f>
        <v/>
      </c>
      <c r="S573" s="14" t="str">
        <f t="shared" si="25"/>
        <v/>
      </c>
      <c r="T573" s="33" t="str">
        <f t="shared" si="26"/>
        <v/>
      </c>
    </row>
    <row r="574" spans="1:20" x14ac:dyDescent="0.3">
      <c r="A574" s="26">
        <f>IF(BASE_CAIXA!A571="","",BASE_CAIXA!A571)</f>
        <v>570</v>
      </c>
      <c r="B574" s="26" t="str">
        <f>IF(A574="","",BASE_CAIXA!AL571)</f>
        <v>000570-DB</v>
      </c>
      <c r="C574" s="13">
        <f>IF(A574="","",BASE_CAIXA!AJ571)</f>
        <v>46213</v>
      </c>
      <c r="D574" s="26" t="str">
        <f>IF(A574="","",IF(BASE_CAIXA!C571="Entrada","Crédito","Débito"))</f>
        <v>Débito</v>
      </c>
      <c r="E574" s="14">
        <f>IF(A574="","",BASE_CAIXA!AA571)</f>
        <v>229.44</v>
      </c>
      <c r="F574" s="26">
        <f>IF(A574="","",BASE_CAIXA!N571)</f>
        <v>0</v>
      </c>
      <c r="G574" s="26">
        <f>IF(A574="","",BASE_CAIXA!O571)</f>
        <v>0</v>
      </c>
      <c r="H574" s="26">
        <f>IF(A574="","",BASE_CAIXA!P571)</f>
        <v>0</v>
      </c>
      <c r="I574" s="26" t="str">
        <f>IF(A574="","",IF(BASE_CAIXA!H571&lt;&gt;"",BASE_CAIXA!H571,BASE_CAIXA!G571))</f>
        <v>Anel Vedação P/bacia Sanitária C/guia 100MM Preto Amanco</v>
      </c>
      <c r="J574" s="26" t="str">
        <f>IF(A574="","",BASE_CAIXA!G571)</f>
        <v>Anel Vedação P/bacia Sanitária C/guia 100MM Preto Amanco</v>
      </c>
      <c r="K574" s="26">
        <f>IF(A574="","",BASE_CAIXA!I571)</f>
        <v>0</v>
      </c>
      <c r="L574" s="26">
        <f>IF(A574="","",BASE_CAIXA!J571)</f>
        <v>0</v>
      </c>
      <c r="M574" s="26" t="str">
        <f>IF(A574="","",BASE_CAIXA!AM571)</f>
        <v>Anel Vedação P/bacia Sanitária C/guia 100MM Preto Amanco | A</v>
      </c>
      <c r="N574" s="26" t="str">
        <f t="shared" ca="1" si="24"/>
        <v>Previsto</v>
      </c>
      <c r="O574" s="13" t="str">
        <f>IFERROR(INDEX(EXTRATO_IMPORTADO!$A$5:$A$404,MATCH(B574,EXTRATO_IMPORTADO!$I$5:$I$404,0)),"")</f>
        <v/>
      </c>
      <c r="P574" s="14" t="str">
        <f>IFERROR(INDEX(EXTRATO_IMPORTADO!$F$5:$F$404,MATCH(B574,EXTRATO_IMPORTADO!$I$5:$I$404,0)),"")</f>
        <v/>
      </c>
      <c r="Q574" s="26" t="str">
        <f>IFERROR(INDEX(EXTRATO_IMPORTADO!$B$5:$B$404,MATCH(B574,EXTRATO_IMPORTADO!$I$5:$I$404,0)),"")</f>
        <v/>
      </c>
      <c r="R574" s="26" t="str">
        <f>IFERROR(MATCH(B574,EXTRATO_IMPORTADO!$I$5:$I$404,0),"")</f>
        <v/>
      </c>
      <c r="S574" s="14" t="str">
        <f t="shared" si="25"/>
        <v/>
      </c>
      <c r="T574" s="33" t="str">
        <f t="shared" si="26"/>
        <v/>
      </c>
    </row>
    <row r="575" spans="1:20" x14ac:dyDescent="0.3">
      <c r="A575" s="26">
        <f>IF(BASE_CAIXA!A572="","",BASE_CAIXA!A572)</f>
        <v>571</v>
      </c>
      <c r="B575" s="26" t="str">
        <f>IF(A575="","",BASE_CAIXA!AL572)</f>
        <v>000571-DB</v>
      </c>
      <c r="C575" s="13">
        <f>IF(A575="","",BASE_CAIXA!AJ572)</f>
        <v>46213</v>
      </c>
      <c r="D575" s="26" t="str">
        <f>IF(A575="","",IF(BASE_CAIXA!C572="Entrada","Crédito","Débito"))</f>
        <v>Débito</v>
      </c>
      <c r="E575" s="14">
        <f>IF(A575="","",BASE_CAIXA!AA572)</f>
        <v>8319.0400000000009</v>
      </c>
      <c r="F575" s="26">
        <f>IF(A575="","",BASE_CAIXA!N572)</f>
        <v>0</v>
      </c>
      <c r="G575" s="26">
        <f>IF(A575="","",BASE_CAIXA!O572)</f>
        <v>0</v>
      </c>
      <c r="H575" s="26">
        <f>IF(A575="","",BASE_CAIXA!P572)</f>
        <v>0</v>
      </c>
      <c r="I575" s="26" t="str">
        <f>IF(A575="","",IF(BASE_CAIXA!H572&lt;&gt;"",BASE_CAIXA!H572,BASE_CAIXA!G572))</f>
        <v>BACIA SANITARIA (VASO) C/ CAIXA ACOPLADA, DE LOUCA BRANCA EACIONAMENTO DUPLO</v>
      </c>
      <c r="J575" s="26" t="str">
        <f>IF(A575="","",BASE_CAIXA!G572)</f>
        <v>BACIA SANITARIA (VASO) C/ CAIXA ACOPLADA, DE LOUCA BRANCA EACIONAMENTO DUPLO</v>
      </c>
      <c r="K575" s="26">
        <f>IF(A575="","",BASE_CAIXA!I572)</f>
        <v>0</v>
      </c>
      <c r="L575" s="26">
        <f>IF(A575="","",BASE_CAIXA!J572)</f>
        <v>0</v>
      </c>
      <c r="M575" s="26" t="str">
        <f>IF(A575="","",BASE_CAIXA!AM572)</f>
        <v>BACIA SANITARIA (VASO) C/ CAIXA ACOPLADA, DE LOUCA BRANCA EA</v>
      </c>
      <c r="N575" s="26" t="str">
        <f t="shared" ca="1" si="24"/>
        <v>Previsto</v>
      </c>
      <c r="O575" s="13" t="str">
        <f>IFERROR(INDEX(EXTRATO_IMPORTADO!$A$5:$A$404,MATCH(B575,EXTRATO_IMPORTADO!$I$5:$I$404,0)),"")</f>
        <v/>
      </c>
      <c r="P575" s="14" t="str">
        <f>IFERROR(INDEX(EXTRATO_IMPORTADO!$F$5:$F$404,MATCH(B575,EXTRATO_IMPORTADO!$I$5:$I$404,0)),"")</f>
        <v/>
      </c>
      <c r="Q575" s="26" t="str">
        <f>IFERROR(INDEX(EXTRATO_IMPORTADO!$B$5:$B$404,MATCH(B575,EXTRATO_IMPORTADO!$I$5:$I$404,0)),"")</f>
        <v/>
      </c>
      <c r="R575" s="26" t="str">
        <f>IFERROR(MATCH(B575,EXTRATO_IMPORTADO!$I$5:$I$404,0),"")</f>
        <v/>
      </c>
      <c r="S575" s="14" t="str">
        <f t="shared" si="25"/>
        <v/>
      </c>
      <c r="T575" s="33" t="str">
        <f t="shared" si="26"/>
        <v/>
      </c>
    </row>
    <row r="576" spans="1:20" x14ac:dyDescent="0.3">
      <c r="A576" s="26">
        <f>IF(BASE_CAIXA!A573="","",BASE_CAIXA!A573)</f>
        <v>572</v>
      </c>
      <c r="B576" s="26" t="str">
        <f>IF(A576="","",BASE_CAIXA!AL573)</f>
        <v>000572-DB</v>
      </c>
      <c r="C576" s="13">
        <f>IF(A576="","",BASE_CAIXA!AJ573)</f>
        <v>46213</v>
      </c>
      <c r="D576" s="26" t="str">
        <f>IF(A576="","",IF(BASE_CAIXA!C573="Entrada","Crédito","Débito"))</f>
        <v>Débito</v>
      </c>
      <c r="E576" s="14">
        <f>IF(A576="","",BASE_CAIXA!AA573)</f>
        <v>7996.8</v>
      </c>
      <c r="F576" s="26">
        <f>IF(A576="","",BASE_CAIXA!N573)</f>
        <v>0</v>
      </c>
      <c r="G576" s="26">
        <f>IF(A576="","",BASE_CAIXA!O573)</f>
        <v>0</v>
      </c>
      <c r="H576" s="26">
        <f>IF(A576="","",BASE_CAIXA!P573)</f>
        <v>0</v>
      </c>
      <c r="I576" s="26" t="str">
        <f>IF(A576="","",IF(BASE_CAIXA!H573&lt;&gt;"",BASE_CAIXA!H573,BASE_CAIXA!G573))</f>
        <v>Bancada de mármore sintético 120x60</v>
      </c>
      <c r="J576" s="26" t="str">
        <f>IF(A576="","",BASE_CAIXA!G573)</f>
        <v>Bancada de mármore sintético 120x60</v>
      </c>
      <c r="K576" s="26">
        <f>IF(A576="","",BASE_CAIXA!I573)</f>
        <v>0</v>
      </c>
      <c r="L576" s="26">
        <f>IF(A576="","",BASE_CAIXA!J573)</f>
        <v>0</v>
      </c>
      <c r="M576" s="26" t="str">
        <f>IF(A576="","",BASE_CAIXA!AM573)</f>
        <v>Bancada de mármore sintético 120x60 | Bancada de mármore sin</v>
      </c>
      <c r="N576" s="26" t="str">
        <f t="shared" ca="1" si="24"/>
        <v>Previsto</v>
      </c>
      <c r="O576" s="13" t="str">
        <f>IFERROR(INDEX(EXTRATO_IMPORTADO!$A$5:$A$404,MATCH(B576,EXTRATO_IMPORTADO!$I$5:$I$404,0)),"")</f>
        <v/>
      </c>
      <c r="P576" s="14" t="str">
        <f>IFERROR(INDEX(EXTRATO_IMPORTADO!$F$5:$F$404,MATCH(B576,EXTRATO_IMPORTADO!$I$5:$I$404,0)),"")</f>
        <v/>
      </c>
      <c r="Q576" s="26" t="str">
        <f>IFERROR(INDEX(EXTRATO_IMPORTADO!$B$5:$B$404,MATCH(B576,EXTRATO_IMPORTADO!$I$5:$I$404,0)),"")</f>
        <v/>
      </c>
      <c r="R576" s="26" t="str">
        <f>IFERROR(MATCH(B576,EXTRATO_IMPORTADO!$I$5:$I$404,0),"")</f>
        <v/>
      </c>
      <c r="S576" s="14" t="str">
        <f t="shared" si="25"/>
        <v/>
      </c>
      <c r="T576" s="33" t="str">
        <f t="shared" si="26"/>
        <v/>
      </c>
    </row>
    <row r="577" spans="1:20" x14ac:dyDescent="0.3">
      <c r="A577" s="26">
        <f>IF(BASE_CAIXA!A574="","",BASE_CAIXA!A574)</f>
        <v>573</v>
      </c>
      <c r="B577" s="26" t="str">
        <f>IF(A577="","",BASE_CAIXA!AL574)</f>
        <v>000573-DB</v>
      </c>
      <c r="C577" s="13">
        <f>IF(A577="","",BASE_CAIXA!AJ574)</f>
        <v>46213</v>
      </c>
      <c r="D577" s="26" t="str">
        <f>IF(A577="","",IF(BASE_CAIXA!C574="Entrada","Crédito","Débito"))</f>
        <v>Débito</v>
      </c>
      <c r="E577" s="14">
        <f>IF(A577="","",BASE_CAIXA!AA574)</f>
        <v>2332.8000000000002</v>
      </c>
      <c r="F577" s="26">
        <f>IF(A577="","",BASE_CAIXA!N574)</f>
        <v>0</v>
      </c>
      <c r="G577" s="26">
        <f>IF(A577="","",BASE_CAIXA!O574)</f>
        <v>0</v>
      </c>
      <c r="H577" s="26">
        <f>IF(A577="","",BASE_CAIXA!P574)</f>
        <v>0</v>
      </c>
      <c r="I577" s="26" t="str">
        <f>IF(A577="","",IF(BASE_CAIXA!H574&lt;&gt;"",BASE_CAIXA!H574,BASE_CAIXA!G574))</f>
        <v>COLUNA P/ LAVATÓRIO BRANCO</v>
      </c>
      <c r="J577" s="26" t="str">
        <f>IF(A577="","",BASE_CAIXA!G574)</f>
        <v>COLUNA P/ LAVATÓRIO BRANCO</v>
      </c>
      <c r="K577" s="26">
        <f>IF(A577="","",BASE_CAIXA!I574)</f>
        <v>0</v>
      </c>
      <c r="L577" s="26">
        <f>IF(A577="","",BASE_CAIXA!J574)</f>
        <v>0</v>
      </c>
      <c r="M577" s="26" t="str">
        <f>IF(A577="","",BASE_CAIXA!AM574)</f>
        <v>COLUNA P/ LAVATÓRIO BRANCO | COLUNA P/ LAVATÓRIO BRANCO | Sa</v>
      </c>
      <c r="N577" s="26" t="str">
        <f t="shared" ca="1" si="24"/>
        <v>Previsto</v>
      </c>
      <c r="O577" s="13" t="str">
        <f>IFERROR(INDEX(EXTRATO_IMPORTADO!$A$5:$A$404,MATCH(B577,EXTRATO_IMPORTADO!$I$5:$I$404,0)),"")</f>
        <v/>
      </c>
      <c r="P577" s="14" t="str">
        <f>IFERROR(INDEX(EXTRATO_IMPORTADO!$F$5:$F$404,MATCH(B577,EXTRATO_IMPORTADO!$I$5:$I$404,0)),"")</f>
        <v/>
      </c>
      <c r="Q577" s="26" t="str">
        <f>IFERROR(INDEX(EXTRATO_IMPORTADO!$B$5:$B$404,MATCH(B577,EXTRATO_IMPORTADO!$I$5:$I$404,0)),"")</f>
        <v/>
      </c>
      <c r="R577" s="26" t="str">
        <f>IFERROR(MATCH(B577,EXTRATO_IMPORTADO!$I$5:$I$404,0),"")</f>
        <v/>
      </c>
      <c r="S577" s="14" t="str">
        <f t="shared" si="25"/>
        <v/>
      </c>
      <c r="T577" s="33" t="str">
        <f t="shared" si="26"/>
        <v/>
      </c>
    </row>
    <row r="578" spans="1:20" x14ac:dyDescent="0.3">
      <c r="A578" s="26">
        <f>IF(BASE_CAIXA!A575="","",BASE_CAIXA!A575)</f>
        <v>574</v>
      </c>
      <c r="B578" s="26" t="str">
        <f>IF(A578="","",BASE_CAIXA!AL575)</f>
        <v>000574-DB</v>
      </c>
      <c r="C578" s="13">
        <f>IF(A578="","",BASE_CAIXA!AJ575)</f>
        <v>46213</v>
      </c>
      <c r="D578" s="26" t="str">
        <f>IF(A578="","",IF(BASE_CAIXA!C575="Entrada","Crédito","Débito"))</f>
        <v>Débito</v>
      </c>
      <c r="E578" s="14">
        <f>IF(A578="","",BASE_CAIXA!AA575)</f>
        <v>144</v>
      </c>
      <c r="F578" s="26">
        <f>IF(A578="","",BASE_CAIXA!N575)</f>
        <v>0</v>
      </c>
      <c r="G578" s="26">
        <f>IF(A578="","",BASE_CAIXA!O575)</f>
        <v>0</v>
      </c>
      <c r="H578" s="26">
        <f>IF(A578="","",BASE_CAIXA!P575)</f>
        <v>0</v>
      </c>
      <c r="I578" s="26" t="str">
        <f>IF(A578="","",IF(BASE_CAIXA!H575&lt;&gt;"",BASE_CAIXA!H575,BASE_CAIXA!G575))</f>
        <v>ENGATE FLEXÍVEL EM PLÁSTICO BRANCO, 1/2" X 40CM</v>
      </c>
      <c r="J578" s="26" t="str">
        <f>IF(A578="","",BASE_CAIXA!G575)</f>
        <v>ENGATE FLEXÍVEL EM PLÁSTICO BRANCO, 1/2" X 40CM</v>
      </c>
      <c r="K578" s="26">
        <f>IF(A578="","",BASE_CAIXA!I575)</f>
        <v>0</v>
      </c>
      <c r="L578" s="26">
        <f>IF(A578="","",BASE_CAIXA!J575)</f>
        <v>0</v>
      </c>
      <c r="M578" s="26" t="str">
        <f>IF(A578="","",BASE_CAIXA!AM575)</f>
        <v>ENGATE FLEXÍVEL EM PLÁSTICO BRANCO, 1/2" X 40CM | ENGATE FLE</v>
      </c>
      <c r="N578" s="26" t="str">
        <f t="shared" ca="1" si="24"/>
        <v>Previsto</v>
      </c>
      <c r="O578" s="13" t="str">
        <f>IFERROR(INDEX(EXTRATO_IMPORTADO!$A$5:$A$404,MATCH(B578,EXTRATO_IMPORTADO!$I$5:$I$404,0)),"")</f>
        <v/>
      </c>
      <c r="P578" s="14" t="str">
        <f>IFERROR(INDEX(EXTRATO_IMPORTADO!$F$5:$F$404,MATCH(B578,EXTRATO_IMPORTADO!$I$5:$I$404,0)),"")</f>
        <v/>
      </c>
      <c r="Q578" s="26" t="str">
        <f>IFERROR(INDEX(EXTRATO_IMPORTADO!$B$5:$B$404,MATCH(B578,EXTRATO_IMPORTADO!$I$5:$I$404,0)),"")</f>
        <v/>
      </c>
      <c r="R578" s="26" t="str">
        <f>IFERROR(MATCH(B578,EXTRATO_IMPORTADO!$I$5:$I$404,0),"")</f>
        <v/>
      </c>
      <c r="S578" s="14" t="str">
        <f t="shared" si="25"/>
        <v/>
      </c>
      <c r="T578" s="33" t="str">
        <f t="shared" si="26"/>
        <v/>
      </c>
    </row>
    <row r="579" spans="1:20" x14ac:dyDescent="0.3">
      <c r="A579" s="26">
        <f>IF(BASE_CAIXA!A576="","",BASE_CAIXA!A576)</f>
        <v>575</v>
      </c>
      <c r="B579" s="26" t="str">
        <f>IF(A579="","",BASE_CAIXA!AL576)</f>
        <v>000575-DB</v>
      </c>
      <c r="C579" s="13">
        <f>IF(A579="","",BASE_CAIXA!AJ576)</f>
        <v>46213</v>
      </c>
      <c r="D579" s="26" t="str">
        <f>IF(A579="","",IF(BASE_CAIXA!C576="Entrada","Crédito","Débito"))</f>
        <v>Débito</v>
      </c>
      <c r="E579" s="14">
        <f>IF(A579="","",BASE_CAIXA!AA576)</f>
        <v>252.48</v>
      </c>
      <c r="F579" s="26">
        <f>IF(A579="","",BASE_CAIXA!N576)</f>
        <v>0</v>
      </c>
      <c r="G579" s="26">
        <f>IF(A579="","",BASE_CAIXA!O576)</f>
        <v>0</v>
      </c>
      <c r="H579" s="26">
        <f>IF(A579="","",BASE_CAIXA!P576)</f>
        <v>0</v>
      </c>
      <c r="I579" s="26" t="str">
        <f>IF(A579="","",IF(BASE_CAIXA!H576&lt;&gt;"",BASE_CAIXA!H576,BASE_CAIXA!G576))</f>
        <v>ENGATE FLEXÍVEL EM PLÁSTICO BRANCO, 1/2" X 40CM</v>
      </c>
      <c r="J579" s="26" t="str">
        <f>IF(A579="","",BASE_CAIXA!G576)</f>
        <v>ENGATE FLEXÍVEL EM PLÁSTICO BRANCO, 1/2" X 40CM</v>
      </c>
      <c r="K579" s="26">
        <f>IF(A579="","",BASE_CAIXA!I576)</f>
        <v>0</v>
      </c>
      <c r="L579" s="26">
        <f>IF(A579="","",BASE_CAIXA!J576)</f>
        <v>0</v>
      </c>
      <c r="M579" s="26" t="str">
        <f>IF(A579="","",BASE_CAIXA!AM576)</f>
        <v>ENGATE FLEXÍVEL EM PLÁSTICO BRANCO, 1/2" X 40CM | ENGATE FLE</v>
      </c>
      <c r="N579" s="26" t="str">
        <f t="shared" ca="1" si="24"/>
        <v>Previsto</v>
      </c>
      <c r="O579" s="13" t="str">
        <f>IFERROR(INDEX(EXTRATO_IMPORTADO!$A$5:$A$404,MATCH(B579,EXTRATO_IMPORTADO!$I$5:$I$404,0)),"")</f>
        <v/>
      </c>
      <c r="P579" s="14" t="str">
        <f>IFERROR(INDEX(EXTRATO_IMPORTADO!$F$5:$F$404,MATCH(B579,EXTRATO_IMPORTADO!$I$5:$I$404,0)),"")</f>
        <v/>
      </c>
      <c r="Q579" s="26" t="str">
        <f>IFERROR(INDEX(EXTRATO_IMPORTADO!$B$5:$B$404,MATCH(B579,EXTRATO_IMPORTADO!$I$5:$I$404,0)),"")</f>
        <v/>
      </c>
      <c r="R579" s="26" t="str">
        <f>IFERROR(MATCH(B579,EXTRATO_IMPORTADO!$I$5:$I$404,0),"")</f>
        <v/>
      </c>
      <c r="S579" s="14" t="str">
        <f t="shared" si="25"/>
        <v/>
      </c>
      <c r="T579" s="33" t="str">
        <f t="shared" si="26"/>
        <v/>
      </c>
    </row>
    <row r="580" spans="1:20" x14ac:dyDescent="0.3">
      <c r="A580" s="26">
        <f>IF(BASE_CAIXA!A577="","",BASE_CAIXA!A577)</f>
        <v>576</v>
      </c>
      <c r="B580" s="26" t="str">
        <f>IF(A580="","",BASE_CAIXA!AL577)</f>
        <v>000576-DB</v>
      </c>
      <c r="C580" s="13">
        <f>IF(A580="","",BASE_CAIXA!AJ577)</f>
        <v>46213</v>
      </c>
      <c r="D580" s="26" t="str">
        <f>IF(A580="","",IF(BASE_CAIXA!C577="Entrada","Crédito","Débito"))</f>
        <v>Débito</v>
      </c>
      <c r="E580" s="14">
        <f>IF(A580="","",BASE_CAIXA!AA577)</f>
        <v>204.8</v>
      </c>
      <c r="F580" s="26">
        <f>IF(A580="","",BASE_CAIXA!N577)</f>
        <v>0</v>
      </c>
      <c r="G580" s="26">
        <f>IF(A580="","",BASE_CAIXA!O577)</f>
        <v>0</v>
      </c>
      <c r="H580" s="26">
        <f>IF(A580="","",BASE_CAIXA!P577)</f>
        <v>0</v>
      </c>
      <c r="I580" s="26" t="str">
        <f>IF(A580="","",IF(BASE_CAIXA!H577&lt;&gt;"",BASE_CAIXA!H577,BASE_CAIXA!G577))</f>
        <v>Grelha 100x100mm - chuveiro</v>
      </c>
      <c r="J580" s="26" t="str">
        <f>IF(A580="","",BASE_CAIXA!G577)</f>
        <v>Grelha 100x100mm - chuveiro</v>
      </c>
      <c r="K580" s="26">
        <f>IF(A580="","",BASE_CAIXA!I577)</f>
        <v>0</v>
      </c>
      <c r="L580" s="26">
        <f>IF(A580="","",BASE_CAIXA!J577)</f>
        <v>0</v>
      </c>
      <c r="M580" s="26" t="str">
        <f>IF(A580="","",BASE_CAIXA!AM577)</f>
        <v xml:space="preserve">Grelha 100x100mm - chuveiro | Grelha 100x100mm - chuveiro | </v>
      </c>
      <c r="N580" s="26" t="str">
        <f t="shared" ca="1" si="24"/>
        <v>Previsto</v>
      </c>
      <c r="O580" s="13" t="str">
        <f>IFERROR(INDEX(EXTRATO_IMPORTADO!$A$5:$A$404,MATCH(B580,EXTRATO_IMPORTADO!$I$5:$I$404,0)),"")</f>
        <v/>
      </c>
      <c r="P580" s="14" t="str">
        <f>IFERROR(INDEX(EXTRATO_IMPORTADO!$F$5:$F$404,MATCH(B580,EXTRATO_IMPORTADO!$I$5:$I$404,0)),"")</f>
        <v/>
      </c>
      <c r="Q580" s="26" t="str">
        <f>IFERROR(INDEX(EXTRATO_IMPORTADO!$B$5:$B$404,MATCH(B580,EXTRATO_IMPORTADO!$I$5:$I$404,0)),"")</f>
        <v/>
      </c>
      <c r="R580" s="26" t="str">
        <f>IFERROR(MATCH(B580,EXTRATO_IMPORTADO!$I$5:$I$404,0),"")</f>
        <v/>
      </c>
      <c r="S580" s="14" t="str">
        <f t="shared" si="25"/>
        <v/>
      </c>
      <c r="T580" s="33" t="str">
        <f t="shared" si="26"/>
        <v/>
      </c>
    </row>
    <row r="581" spans="1:20" x14ac:dyDescent="0.3">
      <c r="A581" s="26">
        <f>IF(BASE_CAIXA!A578="","",BASE_CAIXA!A578)</f>
        <v>577</v>
      </c>
      <c r="B581" s="26" t="str">
        <f>IF(A581="","",BASE_CAIXA!AL578)</f>
        <v>000577-DB</v>
      </c>
      <c r="C581" s="13">
        <f>IF(A581="","",BASE_CAIXA!AJ578)</f>
        <v>46213</v>
      </c>
      <c r="D581" s="26" t="str">
        <f>IF(A581="","",IF(BASE_CAIXA!C578="Entrada","Crédito","Débito"))</f>
        <v>Débito</v>
      </c>
      <c r="E581" s="14">
        <f>IF(A581="","",BASE_CAIXA!AA578)</f>
        <v>2460.8000000000002</v>
      </c>
      <c r="F581" s="26">
        <f>IF(A581="","",BASE_CAIXA!N578)</f>
        <v>0</v>
      </c>
      <c r="G581" s="26">
        <f>IF(A581="","",BASE_CAIXA!O578)</f>
        <v>0</v>
      </c>
      <c r="H581" s="26">
        <f>IF(A581="","",BASE_CAIXA!P578)</f>
        <v>0</v>
      </c>
      <c r="I581" s="26" t="str">
        <f>IF(A581="","",IF(BASE_CAIXA!H578&lt;&gt;"",BASE_CAIXA!H578,BASE_CAIXA!G578))</f>
        <v>LAVATORIO LOUCA BRANCA C/ COLUNA 470 X 425 MM (SOMENTELAVATÓRIO)</v>
      </c>
      <c r="J581" s="26" t="str">
        <f>IF(A581="","",BASE_CAIXA!G578)</f>
        <v>LAVATORIO LOUCA BRANCA C/ COLUNA 470 X 425 MM (SOMENTELAVATÓRIO)</v>
      </c>
      <c r="K581" s="26">
        <f>IF(A581="","",BASE_CAIXA!I578)</f>
        <v>0</v>
      </c>
      <c r="L581" s="26">
        <f>IF(A581="","",BASE_CAIXA!J578)</f>
        <v>0</v>
      </c>
      <c r="M581" s="26" t="str">
        <f>IF(A581="","",BASE_CAIXA!AM578)</f>
        <v>LAVATORIO LOUCA BRANCA C/ COLUNA 470 X 425 MM (SOMENTELAVATÓ</v>
      </c>
      <c r="N581" s="26" t="str">
        <f t="shared" ref="N581:N644" ca="1" si="27">IF(A581="","",IF(R581&lt;&gt;"",IF(AND(ABS(S581)&lt;=0.01,ABS(T581)&lt;=3),"Conciliado","Divergente"),IF(TODAY()&gt;C581,"Pendente vencido","Previsto")))</f>
        <v>Previsto</v>
      </c>
      <c r="O581" s="13" t="str">
        <f>IFERROR(INDEX(EXTRATO_IMPORTADO!$A$5:$A$404,MATCH(B581,EXTRATO_IMPORTADO!$I$5:$I$404,0)),"")</f>
        <v/>
      </c>
      <c r="P581" s="14" t="str">
        <f>IFERROR(INDEX(EXTRATO_IMPORTADO!$F$5:$F$404,MATCH(B581,EXTRATO_IMPORTADO!$I$5:$I$404,0)),"")</f>
        <v/>
      </c>
      <c r="Q581" s="26" t="str">
        <f>IFERROR(INDEX(EXTRATO_IMPORTADO!$B$5:$B$404,MATCH(B581,EXTRATO_IMPORTADO!$I$5:$I$404,0)),"")</f>
        <v/>
      </c>
      <c r="R581" s="26" t="str">
        <f>IFERROR(MATCH(B581,EXTRATO_IMPORTADO!$I$5:$I$404,0),"")</f>
        <v/>
      </c>
      <c r="S581" s="14" t="str">
        <f t="shared" ref="S581:S644" si="28">IF(OR(A581="",P581=""),"",P581-E581)</f>
        <v/>
      </c>
      <c r="T581" s="33" t="str">
        <f t="shared" ref="T581:T644" si="29">IF(OR(A581="",O581=""),"",O581-C581)</f>
        <v/>
      </c>
    </row>
    <row r="582" spans="1:20" x14ac:dyDescent="0.3">
      <c r="A582" s="26">
        <f>IF(BASE_CAIXA!A579="","",BASE_CAIXA!A579)</f>
        <v>578</v>
      </c>
      <c r="B582" s="26" t="str">
        <f>IF(A582="","",BASE_CAIXA!AL579)</f>
        <v>000578-DB</v>
      </c>
      <c r="C582" s="13">
        <f>IF(A582="","",BASE_CAIXA!AJ579)</f>
        <v>46213</v>
      </c>
      <c r="D582" s="26" t="str">
        <f>IF(A582="","",IF(BASE_CAIXA!C579="Entrada","Crédito","Débito"))</f>
        <v>Débito</v>
      </c>
      <c r="E582" s="14">
        <f>IF(A582="","",BASE_CAIXA!AA579)</f>
        <v>9130.5600000000013</v>
      </c>
      <c r="F582" s="26">
        <f>IF(A582="","",BASE_CAIXA!N579)</f>
        <v>0</v>
      </c>
      <c r="G582" s="26">
        <f>IF(A582="","",BASE_CAIXA!O579)</f>
        <v>0</v>
      </c>
      <c r="H582" s="26">
        <f>IF(A582="","",BASE_CAIXA!P579)</f>
        <v>0</v>
      </c>
      <c r="I582" s="26" t="str">
        <f>IF(A582="","",IF(BASE_CAIXA!H579&lt;&gt;"",BASE_CAIXA!H579,BASE_CAIXA!G579))</f>
        <v>Mao de obra cozinha e tanque completos</v>
      </c>
      <c r="J582" s="26" t="str">
        <f>IF(A582="","",BASE_CAIXA!G579)</f>
        <v>Mao de obra cozinha e tanque completos</v>
      </c>
      <c r="K582" s="26">
        <f>IF(A582="","",BASE_CAIXA!I579)</f>
        <v>0</v>
      </c>
      <c r="L582" s="26">
        <f>IF(A582="","",BASE_CAIXA!J579)</f>
        <v>0</v>
      </c>
      <c r="M582" s="26" t="str">
        <f>IF(A582="","",BASE_CAIXA!AM579)</f>
        <v>Mao de obra cozinha e tanque completos | Mao de obra cozinha</v>
      </c>
      <c r="N582" s="26" t="str">
        <f t="shared" ca="1" si="27"/>
        <v>Previsto</v>
      </c>
      <c r="O582" s="13" t="str">
        <f>IFERROR(INDEX(EXTRATO_IMPORTADO!$A$5:$A$404,MATCH(B582,EXTRATO_IMPORTADO!$I$5:$I$404,0)),"")</f>
        <v/>
      </c>
      <c r="P582" s="14" t="str">
        <f>IFERROR(INDEX(EXTRATO_IMPORTADO!$F$5:$F$404,MATCH(B582,EXTRATO_IMPORTADO!$I$5:$I$404,0)),"")</f>
        <v/>
      </c>
      <c r="Q582" s="26" t="str">
        <f>IFERROR(INDEX(EXTRATO_IMPORTADO!$B$5:$B$404,MATCH(B582,EXTRATO_IMPORTADO!$I$5:$I$404,0)),"")</f>
        <v/>
      </c>
      <c r="R582" s="26" t="str">
        <f>IFERROR(MATCH(B582,EXTRATO_IMPORTADO!$I$5:$I$404,0),"")</f>
        <v/>
      </c>
      <c r="S582" s="14" t="str">
        <f t="shared" si="28"/>
        <v/>
      </c>
      <c r="T582" s="33" t="str">
        <f t="shared" si="29"/>
        <v/>
      </c>
    </row>
    <row r="583" spans="1:20" x14ac:dyDescent="0.3">
      <c r="A583" s="26">
        <f>IF(BASE_CAIXA!A580="","",BASE_CAIXA!A580)</f>
        <v>579</v>
      </c>
      <c r="B583" s="26" t="str">
        <f>IF(A583="","",BASE_CAIXA!AL580)</f>
        <v>000579-DB</v>
      </c>
      <c r="C583" s="13">
        <f>IF(A583="","",BASE_CAIXA!AJ580)</f>
        <v>46213</v>
      </c>
      <c r="D583" s="26" t="str">
        <f>IF(A583="","",IF(BASE_CAIXA!C580="Entrada","Crédito","Débito"))</f>
        <v>Débito</v>
      </c>
      <c r="E583" s="14">
        <f>IF(A583="","",BASE_CAIXA!AA580)</f>
        <v>9130.5600000000013</v>
      </c>
      <c r="F583" s="26">
        <f>IF(A583="","",BASE_CAIXA!N580)</f>
        <v>0</v>
      </c>
      <c r="G583" s="26">
        <f>IF(A583="","",BASE_CAIXA!O580)</f>
        <v>0</v>
      </c>
      <c r="H583" s="26">
        <f>IF(A583="","",BASE_CAIXA!P580)</f>
        <v>0</v>
      </c>
      <c r="I583" s="26" t="str">
        <f>IF(A583="","",IF(BASE_CAIXA!H580&lt;&gt;"",BASE_CAIXA!H580,BASE_CAIXA!G580))</f>
        <v>Mao de obra loucas e metais Banheiro completo</v>
      </c>
      <c r="J583" s="26" t="str">
        <f>IF(A583="","",BASE_CAIXA!G580)</f>
        <v>Mao de obra loucas e metais Banheiro completo</v>
      </c>
      <c r="K583" s="26">
        <f>IF(A583="","",BASE_CAIXA!I580)</f>
        <v>0</v>
      </c>
      <c r="L583" s="26">
        <f>IF(A583="","",BASE_CAIXA!J580)</f>
        <v>0</v>
      </c>
      <c r="M583" s="26" t="str">
        <f>IF(A583="","",BASE_CAIXA!AM580)</f>
        <v xml:space="preserve">Mao de obra loucas e metais Banheiro completo | Mao de obra </v>
      </c>
      <c r="N583" s="26" t="str">
        <f t="shared" ca="1" si="27"/>
        <v>Previsto</v>
      </c>
      <c r="O583" s="13" t="str">
        <f>IFERROR(INDEX(EXTRATO_IMPORTADO!$A$5:$A$404,MATCH(B583,EXTRATO_IMPORTADO!$I$5:$I$404,0)),"")</f>
        <v/>
      </c>
      <c r="P583" s="14" t="str">
        <f>IFERROR(INDEX(EXTRATO_IMPORTADO!$F$5:$F$404,MATCH(B583,EXTRATO_IMPORTADO!$I$5:$I$404,0)),"")</f>
        <v/>
      </c>
      <c r="Q583" s="26" t="str">
        <f>IFERROR(INDEX(EXTRATO_IMPORTADO!$B$5:$B$404,MATCH(B583,EXTRATO_IMPORTADO!$I$5:$I$404,0)),"")</f>
        <v/>
      </c>
      <c r="R583" s="26" t="str">
        <f>IFERROR(MATCH(B583,EXTRATO_IMPORTADO!$I$5:$I$404,0),"")</f>
        <v/>
      </c>
      <c r="S583" s="14" t="str">
        <f t="shared" si="28"/>
        <v/>
      </c>
      <c r="T583" s="33" t="str">
        <f t="shared" si="29"/>
        <v/>
      </c>
    </row>
    <row r="584" spans="1:20" x14ac:dyDescent="0.3">
      <c r="A584" s="26">
        <f>IF(BASE_CAIXA!A581="","",BASE_CAIXA!A581)</f>
        <v>580</v>
      </c>
      <c r="B584" s="26" t="str">
        <f>IF(A584="","",BASE_CAIXA!AL581)</f>
        <v>000580-DB</v>
      </c>
      <c r="C584" s="13">
        <f>IF(A584="","",BASE_CAIXA!AJ581)</f>
        <v>46213</v>
      </c>
      <c r="D584" s="26" t="str">
        <f>IF(A584="","",IF(BASE_CAIXA!C581="Entrada","Crédito","Débito"))</f>
        <v>Débito</v>
      </c>
      <c r="E584" s="14">
        <f>IF(A584="","",BASE_CAIXA!AA581)</f>
        <v>466.24</v>
      </c>
      <c r="F584" s="26">
        <f>IF(A584="","",BASE_CAIXA!N581)</f>
        <v>0</v>
      </c>
      <c r="G584" s="26">
        <f>IF(A584="","",BASE_CAIXA!O581)</f>
        <v>0</v>
      </c>
      <c r="H584" s="26">
        <f>IF(A584="","",BASE_CAIXA!P581)</f>
        <v>0</v>
      </c>
      <c r="I584" s="26" t="str">
        <f>IF(A584="","",IF(BASE_CAIXA!H581&lt;&gt;"",BASE_CAIXA!H581,BASE_CAIXA!G581))</f>
        <v>PARAFUSO PARA VASO E LAVATORIO / 8MM - COM BUCHA</v>
      </c>
      <c r="J584" s="26" t="str">
        <f>IF(A584="","",BASE_CAIXA!G581)</f>
        <v>PARAFUSO PARA VASO E LAVATORIO / 8MM - COM BUCHA</v>
      </c>
      <c r="K584" s="26">
        <f>IF(A584="","",BASE_CAIXA!I581)</f>
        <v>0</v>
      </c>
      <c r="L584" s="26">
        <f>IF(A584="","",BASE_CAIXA!J581)</f>
        <v>0</v>
      </c>
      <c r="M584" s="26" t="str">
        <f>IF(A584="","",BASE_CAIXA!AM581)</f>
        <v xml:space="preserve">PARAFUSO PARA VASO E LAVATORIO / 8MM - COM BUCHA | PARAFUSO </v>
      </c>
      <c r="N584" s="26" t="str">
        <f t="shared" ca="1" si="27"/>
        <v>Previsto</v>
      </c>
      <c r="O584" s="13" t="str">
        <f>IFERROR(INDEX(EXTRATO_IMPORTADO!$A$5:$A$404,MATCH(B584,EXTRATO_IMPORTADO!$I$5:$I$404,0)),"")</f>
        <v/>
      </c>
      <c r="P584" s="14" t="str">
        <f>IFERROR(INDEX(EXTRATO_IMPORTADO!$F$5:$F$404,MATCH(B584,EXTRATO_IMPORTADO!$I$5:$I$404,0)),"")</f>
        <v/>
      </c>
      <c r="Q584" s="26" t="str">
        <f>IFERROR(INDEX(EXTRATO_IMPORTADO!$B$5:$B$404,MATCH(B584,EXTRATO_IMPORTADO!$I$5:$I$404,0)),"")</f>
        <v/>
      </c>
      <c r="R584" s="26" t="str">
        <f>IFERROR(MATCH(B584,EXTRATO_IMPORTADO!$I$5:$I$404,0),"")</f>
        <v/>
      </c>
      <c r="S584" s="14" t="str">
        <f t="shared" si="28"/>
        <v/>
      </c>
      <c r="T584" s="33" t="str">
        <f t="shared" si="29"/>
        <v/>
      </c>
    </row>
    <row r="585" spans="1:20" x14ac:dyDescent="0.3">
      <c r="A585" s="26">
        <f>IF(BASE_CAIXA!A582="","",BASE_CAIXA!A582)</f>
        <v>581</v>
      </c>
      <c r="B585" s="26" t="str">
        <f>IF(A585="","",BASE_CAIXA!AL582)</f>
        <v>000581-DB</v>
      </c>
      <c r="C585" s="13">
        <f>IF(A585="","",BASE_CAIXA!AJ582)</f>
        <v>46213</v>
      </c>
      <c r="D585" s="26" t="str">
        <f>IF(A585="","",IF(BASE_CAIXA!C582="Entrada","Crédito","Débito"))</f>
        <v>Débito</v>
      </c>
      <c r="E585" s="14">
        <f>IF(A585="","",BASE_CAIXA!AA582)</f>
        <v>1056</v>
      </c>
      <c r="F585" s="26">
        <f>IF(A585="","",BASE_CAIXA!N582)</f>
        <v>0</v>
      </c>
      <c r="G585" s="26">
        <f>IF(A585="","",BASE_CAIXA!O582)</f>
        <v>0</v>
      </c>
      <c r="H585" s="26">
        <f>IF(A585="","",BASE_CAIXA!P582)</f>
        <v>0</v>
      </c>
      <c r="I585" s="26" t="str">
        <f>IF(A585="","",IF(BASE_CAIXA!H582&lt;&gt;"",BASE_CAIXA!H582,BASE_CAIXA!G582))</f>
        <v>PARAFUSO PARA VASO E LAVATORIO / 8MM - COM BUCHA</v>
      </c>
      <c r="J585" s="26" t="str">
        <f>IF(A585="","",BASE_CAIXA!G582)</f>
        <v>PARAFUSO PARA VASO E LAVATORIO / 8MM - COM BUCHA</v>
      </c>
      <c r="K585" s="26">
        <f>IF(A585="","",BASE_CAIXA!I582)</f>
        <v>0</v>
      </c>
      <c r="L585" s="26">
        <f>IF(A585="","",BASE_CAIXA!J582)</f>
        <v>0</v>
      </c>
      <c r="M585" s="26" t="str">
        <f>IF(A585="","",BASE_CAIXA!AM582)</f>
        <v xml:space="preserve">PARAFUSO PARA VASO E LAVATORIO / 8MM - COM BUCHA | PARAFUSO </v>
      </c>
      <c r="N585" s="26" t="str">
        <f t="shared" ca="1" si="27"/>
        <v>Previsto</v>
      </c>
      <c r="O585" s="13" t="str">
        <f>IFERROR(INDEX(EXTRATO_IMPORTADO!$A$5:$A$404,MATCH(B585,EXTRATO_IMPORTADO!$I$5:$I$404,0)),"")</f>
        <v/>
      </c>
      <c r="P585" s="14" t="str">
        <f>IFERROR(INDEX(EXTRATO_IMPORTADO!$F$5:$F$404,MATCH(B585,EXTRATO_IMPORTADO!$I$5:$I$404,0)),"")</f>
        <v/>
      </c>
      <c r="Q585" s="26" t="str">
        <f>IFERROR(INDEX(EXTRATO_IMPORTADO!$B$5:$B$404,MATCH(B585,EXTRATO_IMPORTADO!$I$5:$I$404,0)),"")</f>
        <v/>
      </c>
      <c r="R585" s="26" t="str">
        <f>IFERROR(MATCH(B585,EXTRATO_IMPORTADO!$I$5:$I$404,0),"")</f>
        <v/>
      </c>
      <c r="S585" s="14" t="str">
        <f t="shared" si="28"/>
        <v/>
      </c>
      <c r="T585" s="33" t="str">
        <f t="shared" si="29"/>
        <v/>
      </c>
    </row>
    <row r="586" spans="1:20" x14ac:dyDescent="0.3">
      <c r="A586" s="26">
        <f>IF(BASE_CAIXA!A583="","",BASE_CAIXA!A583)</f>
        <v>582</v>
      </c>
      <c r="B586" s="26" t="str">
        <f>IF(A586="","",BASE_CAIXA!AL583)</f>
        <v>000582-DB</v>
      </c>
      <c r="C586" s="13">
        <f>IF(A586="","",BASE_CAIXA!AJ583)</f>
        <v>46213</v>
      </c>
      <c r="D586" s="26" t="str">
        <f>IF(A586="","",IF(BASE_CAIXA!C583="Entrada","Crédito","Débito"))</f>
        <v>Débito</v>
      </c>
      <c r="E586" s="14">
        <f>IF(A586="","",BASE_CAIXA!AA583)</f>
        <v>1056</v>
      </c>
      <c r="F586" s="26">
        <f>IF(A586="","",BASE_CAIXA!N583)</f>
        <v>0</v>
      </c>
      <c r="G586" s="26">
        <f>IF(A586="","",BASE_CAIXA!O583)</f>
        <v>0</v>
      </c>
      <c r="H586" s="26">
        <f>IF(A586="","",BASE_CAIXA!P583)</f>
        <v>0</v>
      </c>
      <c r="I586" s="26" t="str">
        <f>IF(A586="","",IF(BASE_CAIXA!H583&lt;&gt;"",BASE_CAIXA!H583,BASE_CAIXA!G583))</f>
        <v>PARAFUSO PARA VASO E LAVATORIO / 8MM - COM BUCHA</v>
      </c>
      <c r="J586" s="26" t="str">
        <f>IF(A586="","",BASE_CAIXA!G583)</f>
        <v>PARAFUSO PARA VASO E LAVATORIO / 8MM - COM BUCHA</v>
      </c>
      <c r="K586" s="26">
        <f>IF(A586="","",BASE_CAIXA!I583)</f>
        <v>0</v>
      </c>
      <c r="L586" s="26">
        <f>IF(A586="","",BASE_CAIXA!J583)</f>
        <v>0</v>
      </c>
      <c r="M586" s="26" t="str">
        <f>IF(A586="","",BASE_CAIXA!AM583)</f>
        <v xml:space="preserve">PARAFUSO PARA VASO E LAVATORIO / 8MM - COM BUCHA | PARAFUSO </v>
      </c>
      <c r="N586" s="26" t="str">
        <f t="shared" ca="1" si="27"/>
        <v>Previsto</v>
      </c>
      <c r="O586" s="13" t="str">
        <f>IFERROR(INDEX(EXTRATO_IMPORTADO!$A$5:$A$404,MATCH(B586,EXTRATO_IMPORTADO!$I$5:$I$404,0)),"")</f>
        <v/>
      </c>
      <c r="P586" s="14" t="str">
        <f>IFERROR(INDEX(EXTRATO_IMPORTADO!$F$5:$F$404,MATCH(B586,EXTRATO_IMPORTADO!$I$5:$I$404,0)),"")</f>
        <v/>
      </c>
      <c r="Q586" s="26" t="str">
        <f>IFERROR(INDEX(EXTRATO_IMPORTADO!$B$5:$B$404,MATCH(B586,EXTRATO_IMPORTADO!$I$5:$I$404,0)),"")</f>
        <v/>
      </c>
      <c r="R586" s="26" t="str">
        <f>IFERROR(MATCH(B586,EXTRATO_IMPORTADO!$I$5:$I$404,0),"")</f>
        <v/>
      </c>
      <c r="S586" s="14" t="str">
        <f t="shared" si="28"/>
        <v/>
      </c>
      <c r="T586" s="33" t="str">
        <f t="shared" si="29"/>
        <v/>
      </c>
    </row>
    <row r="587" spans="1:20" x14ac:dyDescent="0.3">
      <c r="A587" s="26">
        <f>IF(BASE_CAIXA!A584="","",BASE_CAIXA!A584)</f>
        <v>583</v>
      </c>
      <c r="B587" s="26" t="str">
        <f>IF(A587="","",BASE_CAIXA!AL584)</f>
        <v>000583-DB</v>
      </c>
      <c r="C587" s="13">
        <f>IF(A587="","",BASE_CAIXA!AJ584)</f>
        <v>46213</v>
      </c>
      <c r="D587" s="26" t="str">
        <f>IF(A587="","",IF(BASE_CAIXA!C584="Entrada","Crédito","Débito"))</f>
        <v>Débito</v>
      </c>
      <c r="E587" s="14">
        <f>IF(A587="","",BASE_CAIXA!AA584)</f>
        <v>860.8</v>
      </c>
      <c r="F587" s="26">
        <f>IF(A587="","",BASE_CAIXA!N584)</f>
        <v>0</v>
      </c>
      <c r="G587" s="26">
        <f>IF(A587="","",BASE_CAIXA!O584)</f>
        <v>0</v>
      </c>
      <c r="H587" s="26">
        <f>IF(A587="","",BASE_CAIXA!P584)</f>
        <v>0</v>
      </c>
      <c r="I587" s="26" t="str">
        <f>IF(A587="","",IF(BASE_CAIXA!H584&lt;&gt;"",BASE_CAIXA!H584,BASE_CAIXA!G584))</f>
        <v>Porta Toalha de rosto em metal cromado para banheiro</v>
      </c>
      <c r="J587" s="26" t="str">
        <f>IF(A587="","",BASE_CAIXA!G584)</f>
        <v>Porta Toalha de rosto em metal cromado para banheiro</v>
      </c>
      <c r="K587" s="26">
        <f>IF(A587="","",BASE_CAIXA!I584)</f>
        <v>0</v>
      </c>
      <c r="L587" s="26">
        <f>IF(A587="","",BASE_CAIXA!J584)</f>
        <v>0</v>
      </c>
      <c r="M587" s="26" t="str">
        <f>IF(A587="","",BASE_CAIXA!AM584)</f>
        <v>Porta Toalha de rosto em metal cromado para banheiro | Porta</v>
      </c>
      <c r="N587" s="26" t="str">
        <f t="shared" ca="1" si="27"/>
        <v>Previsto</v>
      </c>
      <c r="O587" s="13" t="str">
        <f>IFERROR(INDEX(EXTRATO_IMPORTADO!$A$5:$A$404,MATCH(B587,EXTRATO_IMPORTADO!$I$5:$I$404,0)),"")</f>
        <v/>
      </c>
      <c r="P587" s="14" t="str">
        <f>IFERROR(INDEX(EXTRATO_IMPORTADO!$F$5:$F$404,MATCH(B587,EXTRATO_IMPORTADO!$I$5:$I$404,0)),"")</f>
        <v/>
      </c>
      <c r="Q587" s="26" t="str">
        <f>IFERROR(INDEX(EXTRATO_IMPORTADO!$B$5:$B$404,MATCH(B587,EXTRATO_IMPORTADO!$I$5:$I$404,0)),"")</f>
        <v/>
      </c>
      <c r="R587" s="26" t="str">
        <f>IFERROR(MATCH(B587,EXTRATO_IMPORTADO!$I$5:$I$404,0),"")</f>
        <v/>
      </c>
      <c r="S587" s="14" t="str">
        <f t="shared" si="28"/>
        <v/>
      </c>
      <c r="T587" s="33" t="str">
        <f t="shared" si="29"/>
        <v/>
      </c>
    </row>
    <row r="588" spans="1:20" x14ac:dyDescent="0.3">
      <c r="A588" s="26">
        <f>IF(BASE_CAIXA!A585="","",BASE_CAIXA!A585)</f>
        <v>584</v>
      </c>
      <c r="B588" s="26" t="str">
        <f>IF(A588="","",BASE_CAIXA!AL585)</f>
        <v>000584-DB</v>
      </c>
      <c r="C588" s="13">
        <f>IF(A588="","",BASE_CAIXA!AJ585)</f>
        <v>46213</v>
      </c>
      <c r="D588" s="26" t="str">
        <f>IF(A588="","",IF(BASE_CAIXA!C585="Entrada","Crédito","Débito"))</f>
        <v>Débito</v>
      </c>
      <c r="E588" s="14">
        <f>IF(A588="","",BASE_CAIXA!AA585)</f>
        <v>323.2</v>
      </c>
      <c r="F588" s="26">
        <f>IF(A588="","",BASE_CAIXA!N585)</f>
        <v>0</v>
      </c>
      <c r="G588" s="26">
        <f>IF(A588="","",BASE_CAIXA!O585)</f>
        <v>0</v>
      </c>
      <c r="H588" s="26">
        <f>IF(A588="","",BASE_CAIXA!P585)</f>
        <v>0</v>
      </c>
      <c r="I588" s="26" t="str">
        <f>IF(A588="","",IF(BASE_CAIXA!H585&lt;&gt;"",BASE_CAIXA!H585,BASE_CAIXA!G585))</f>
        <v>Porta grelha dn 100mm - Chuveiro</v>
      </c>
      <c r="J588" s="26" t="str">
        <f>IF(A588="","",BASE_CAIXA!G585)</f>
        <v>Porta grelha dn 100mm - Chuveiro</v>
      </c>
      <c r="K588" s="26">
        <f>IF(A588="","",BASE_CAIXA!I585)</f>
        <v>0</v>
      </c>
      <c r="L588" s="26">
        <f>IF(A588="","",BASE_CAIXA!J585)</f>
        <v>0</v>
      </c>
      <c r="M588" s="26" t="str">
        <f>IF(A588="","",BASE_CAIXA!AM585)</f>
        <v>Porta grelha dn 100mm - Chuveiro | Porta grelha dn 100mm - C</v>
      </c>
      <c r="N588" s="26" t="str">
        <f t="shared" ca="1" si="27"/>
        <v>Previsto</v>
      </c>
      <c r="O588" s="13" t="str">
        <f>IFERROR(INDEX(EXTRATO_IMPORTADO!$A$5:$A$404,MATCH(B588,EXTRATO_IMPORTADO!$I$5:$I$404,0)),"")</f>
        <v/>
      </c>
      <c r="P588" s="14" t="str">
        <f>IFERROR(INDEX(EXTRATO_IMPORTADO!$F$5:$F$404,MATCH(B588,EXTRATO_IMPORTADO!$I$5:$I$404,0)),"")</f>
        <v/>
      </c>
      <c r="Q588" s="26" t="str">
        <f>IFERROR(INDEX(EXTRATO_IMPORTADO!$B$5:$B$404,MATCH(B588,EXTRATO_IMPORTADO!$I$5:$I$404,0)),"")</f>
        <v/>
      </c>
      <c r="R588" s="26" t="str">
        <f>IFERROR(MATCH(B588,EXTRATO_IMPORTADO!$I$5:$I$404,0),"")</f>
        <v/>
      </c>
      <c r="S588" s="14" t="str">
        <f t="shared" si="28"/>
        <v/>
      </c>
      <c r="T588" s="33" t="str">
        <f t="shared" si="29"/>
        <v/>
      </c>
    </row>
    <row r="589" spans="1:20" x14ac:dyDescent="0.3">
      <c r="A589" s="26">
        <f>IF(BASE_CAIXA!A586="","",BASE_CAIXA!A586)</f>
        <v>585</v>
      </c>
      <c r="B589" s="26" t="str">
        <f>IF(A589="","",BASE_CAIXA!AL586)</f>
        <v>000585-DB</v>
      </c>
      <c r="C589" s="13">
        <f>IF(A589="","",BASE_CAIXA!AJ586)</f>
        <v>46213</v>
      </c>
      <c r="D589" s="26" t="str">
        <f>IF(A589="","",IF(BASE_CAIXA!C586="Entrada","Crédito","Débito"))</f>
        <v>Débito</v>
      </c>
      <c r="E589" s="14">
        <f>IF(A589="","",BASE_CAIXA!AA586)</f>
        <v>1020.8</v>
      </c>
      <c r="F589" s="26">
        <f>IF(A589="","",BASE_CAIXA!N586)</f>
        <v>0</v>
      </c>
      <c r="G589" s="26">
        <f>IF(A589="","",BASE_CAIXA!O586)</f>
        <v>0</v>
      </c>
      <c r="H589" s="26">
        <f>IF(A589="","",BASE_CAIXA!P586)</f>
        <v>0</v>
      </c>
      <c r="I589" s="26" t="str">
        <f>IF(A589="","",IF(BASE_CAIXA!H586&lt;&gt;"",BASE_CAIXA!H586,BASE_CAIXA!G586))</f>
        <v>Porta papel higiênico sem tampa, cromado</v>
      </c>
      <c r="J589" s="26" t="str">
        <f>IF(A589="","",BASE_CAIXA!G586)</f>
        <v>Porta papel higiênico sem tampa, cromado</v>
      </c>
      <c r="K589" s="26">
        <f>IF(A589="","",BASE_CAIXA!I586)</f>
        <v>0</v>
      </c>
      <c r="L589" s="26">
        <f>IF(A589="","",BASE_CAIXA!J586)</f>
        <v>0</v>
      </c>
      <c r="M589" s="26" t="str">
        <f>IF(A589="","",BASE_CAIXA!AM586)</f>
        <v>Porta papel higiênico sem tampa, cromado | Porta papel higiê</v>
      </c>
      <c r="N589" s="26" t="str">
        <f t="shared" ca="1" si="27"/>
        <v>Previsto</v>
      </c>
      <c r="O589" s="13" t="str">
        <f>IFERROR(INDEX(EXTRATO_IMPORTADO!$A$5:$A$404,MATCH(B589,EXTRATO_IMPORTADO!$I$5:$I$404,0)),"")</f>
        <v/>
      </c>
      <c r="P589" s="14" t="str">
        <f>IFERROR(INDEX(EXTRATO_IMPORTADO!$F$5:$F$404,MATCH(B589,EXTRATO_IMPORTADO!$I$5:$I$404,0)),"")</f>
        <v/>
      </c>
      <c r="Q589" s="26" t="str">
        <f>IFERROR(INDEX(EXTRATO_IMPORTADO!$B$5:$B$404,MATCH(B589,EXTRATO_IMPORTADO!$I$5:$I$404,0)),"")</f>
        <v/>
      </c>
      <c r="R589" s="26" t="str">
        <f>IFERROR(MATCH(B589,EXTRATO_IMPORTADO!$I$5:$I$404,0),"")</f>
        <v/>
      </c>
      <c r="S589" s="14" t="str">
        <f t="shared" si="28"/>
        <v/>
      </c>
      <c r="T589" s="33" t="str">
        <f t="shared" si="29"/>
        <v/>
      </c>
    </row>
    <row r="590" spans="1:20" x14ac:dyDescent="0.3">
      <c r="A590" s="26">
        <f>IF(BASE_CAIXA!A587="","",BASE_CAIXA!A587)</f>
        <v>586</v>
      </c>
      <c r="B590" s="26" t="str">
        <f>IF(A590="","",BASE_CAIXA!AL587)</f>
        <v>000586-DB</v>
      </c>
      <c r="C590" s="13">
        <f>IF(A590="","",BASE_CAIXA!AJ587)</f>
        <v>46213</v>
      </c>
      <c r="D590" s="26" t="str">
        <f>IF(A590="","",IF(BASE_CAIXA!C587="Entrada","Crédito","Débito"))</f>
        <v>Débito</v>
      </c>
      <c r="E590" s="14">
        <f>IF(A590="","",BASE_CAIXA!AA587)</f>
        <v>636.79999999999995</v>
      </c>
      <c r="F590" s="26">
        <f>IF(A590="","",BASE_CAIXA!N587)</f>
        <v>0</v>
      </c>
      <c r="G590" s="26">
        <f>IF(A590="","",BASE_CAIXA!O587)</f>
        <v>0</v>
      </c>
      <c r="H590" s="26">
        <f>IF(A590="","",BASE_CAIXA!P587)</f>
        <v>0</v>
      </c>
      <c r="I590" s="26" t="str">
        <f>IF(A590="","",IF(BASE_CAIXA!H587&lt;&gt;"",BASE_CAIXA!H587,BASE_CAIXA!G587))</f>
        <v>Selante Acrílico Elastométrico Top Gun 300 ml TG140 Renner</v>
      </c>
      <c r="J590" s="26" t="str">
        <f>IF(A590="","",BASE_CAIXA!G587)</f>
        <v>Selante Acrílico Elastométrico Top Gun 300 ml TG140 Renner</v>
      </c>
      <c r="K590" s="26">
        <f>IF(A590="","",BASE_CAIXA!I587)</f>
        <v>0</v>
      </c>
      <c r="L590" s="26">
        <f>IF(A590="","",BASE_CAIXA!J587)</f>
        <v>0</v>
      </c>
      <c r="M590" s="26" t="str">
        <f>IF(A590="","",BASE_CAIXA!AM587)</f>
        <v>Selante Acrílico Elastométrico Top Gun 300 ml TG140 Renner |</v>
      </c>
      <c r="N590" s="26" t="str">
        <f t="shared" ca="1" si="27"/>
        <v>Previsto</v>
      </c>
      <c r="O590" s="13" t="str">
        <f>IFERROR(INDEX(EXTRATO_IMPORTADO!$A$5:$A$404,MATCH(B590,EXTRATO_IMPORTADO!$I$5:$I$404,0)),"")</f>
        <v/>
      </c>
      <c r="P590" s="14" t="str">
        <f>IFERROR(INDEX(EXTRATO_IMPORTADO!$F$5:$F$404,MATCH(B590,EXTRATO_IMPORTADO!$I$5:$I$404,0)),"")</f>
        <v/>
      </c>
      <c r="Q590" s="26" t="str">
        <f>IFERROR(INDEX(EXTRATO_IMPORTADO!$B$5:$B$404,MATCH(B590,EXTRATO_IMPORTADO!$I$5:$I$404,0)),"")</f>
        <v/>
      </c>
      <c r="R590" s="26" t="str">
        <f>IFERROR(MATCH(B590,EXTRATO_IMPORTADO!$I$5:$I$404,0),"")</f>
        <v/>
      </c>
      <c r="S590" s="14" t="str">
        <f t="shared" si="28"/>
        <v/>
      </c>
      <c r="T590" s="33" t="str">
        <f t="shared" si="29"/>
        <v/>
      </c>
    </row>
    <row r="591" spans="1:20" x14ac:dyDescent="0.3">
      <c r="A591" s="26">
        <f>IF(BASE_CAIXA!A588="","",BASE_CAIXA!A588)</f>
        <v>587</v>
      </c>
      <c r="B591" s="26" t="str">
        <f>IF(A591="","",BASE_CAIXA!AL588)</f>
        <v>000587-DB</v>
      </c>
      <c r="C591" s="13">
        <f>IF(A591="","",BASE_CAIXA!AJ588)</f>
        <v>46213</v>
      </c>
      <c r="D591" s="26" t="str">
        <f>IF(A591="","",IF(BASE_CAIXA!C588="Entrada","Crédito","Débito"))</f>
        <v>Débito</v>
      </c>
      <c r="E591" s="14">
        <f>IF(A591="","",BASE_CAIXA!AA588)</f>
        <v>382.08</v>
      </c>
      <c r="F591" s="26">
        <f>IF(A591="","",BASE_CAIXA!N588)</f>
        <v>0</v>
      </c>
      <c r="G591" s="26">
        <f>IF(A591="","",BASE_CAIXA!O588)</f>
        <v>0</v>
      </c>
      <c r="H591" s="26">
        <f>IF(A591="","",BASE_CAIXA!P588)</f>
        <v>0</v>
      </c>
      <c r="I591" s="26" t="str">
        <f>IF(A591="","",IF(BASE_CAIXA!H588&lt;&gt;"",BASE_CAIXA!H588,BASE_CAIXA!G588))</f>
        <v>Selante Acrílico Elastométrico Top Gun 300 ml TG140 Renner</v>
      </c>
      <c r="J591" s="26" t="str">
        <f>IF(A591="","",BASE_CAIXA!G588)</f>
        <v>Selante Acrílico Elastométrico Top Gun 300 ml TG140 Renner</v>
      </c>
      <c r="K591" s="26">
        <f>IF(A591="","",BASE_CAIXA!I588)</f>
        <v>0</v>
      </c>
      <c r="L591" s="26">
        <f>IF(A591="","",BASE_CAIXA!J588)</f>
        <v>0</v>
      </c>
      <c r="M591" s="26" t="str">
        <f>IF(A591="","",BASE_CAIXA!AM588)</f>
        <v>Selante Acrílico Elastométrico Top Gun 300 ml TG140 Renner |</v>
      </c>
      <c r="N591" s="26" t="str">
        <f t="shared" ca="1" si="27"/>
        <v>Previsto</v>
      </c>
      <c r="O591" s="13" t="str">
        <f>IFERROR(INDEX(EXTRATO_IMPORTADO!$A$5:$A$404,MATCH(B591,EXTRATO_IMPORTADO!$I$5:$I$404,0)),"")</f>
        <v/>
      </c>
      <c r="P591" s="14" t="str">
        <f>IFERROR(INDEX(EXTRATO_IMPORTADO!$F$5:$F$404,MATCH(B591,EXTRATO_IMPORTADO!$I$5:$I$404,0)),"")</f>
        <v/>
      </c>
      <c r="Q591" s="26" t="str">
        <f>IFERROR(INDEX(EXTRATO_IMPORTADO!$B$5:$B$404,MATCH(B591,EXTRATO_IMPORTADO!$I$5:$I$404,0)),"")</f>
        <v/>
      </c>
      <c r="R591" s="26" t="str">
        <f>IFERROR(MATCH(B591,EXTRATO_IMPORTADO!$I$5:$I$404,0),"")</f>
        <v/>
      </c>
      <c r="S591" s="14" t="str">
        <f t="shared" si="28"/>
        <v/>
      </c>
      <c r="T591" s="33" t="str">
        <f t="shared" si="29"/>
        <v/>
      </c>
    </row>
    <row r="592" spans="1:20" x14ac:dyDescent="0.3">
      <c r="A592" s="26">
        <f>IF(BASE_CAIXA!A589="","",BASE_CAIXA!A589)</f>
        <v>588</v>
      </c>
      <c r="B592" s="26" t="str">
        <f>IF(A592="","",BASE_CAIXA!AL589)</f>
        <v>000588-DB</v>
      </c>
      <c r="C592" s="13">
        <f>IF(A592="","",BASE_CAIXA!AJ589)</f>
        <v>46213</v>
      </c>
      <c r="D592" s="26" t="str">
        <f>IF(A592="","",IF(BASE_CAIXA!C589="Entrada","Crédito","Débito"))</f>
        <v>Débito</v>
      </c>
      <c r="E592" s="14">
        <f>IF(A592="","",BASE_CAIXA!AA589)</f>
        <v>479.68</v>
      </c>
      <c r="F592" s="26">
        <f>IF(A592="","",BASE_CAIXA!N589)</f>
        <v>0</v>
      </c>
      <c r="G592" s="26">
        <f>IF(A592="","",BASE_CAIXA!O589)</f>
        <v>0</v>
      </c>
      <c r="H592" s="26">
        <f>IF(A592="","",BASE_CAIXA!P589)</f>
        <v>0</v>
      </c>
      <c r="I592" s="26" t="str">
        <f>IF(A592="","",IF(BASE_CAIXA!H589&lt;&gt;"",BASE_CAIXA!H589,BASE_CAIXA!G589))</f>
        <v>Sifão PVC Extensivo Corrugado Universal Para Lavatório E Tanque 7/8"-11/4" 740MM Branco Censi</v>
      </c>
      <c r="J592" s="26" t="str">
        <f>IF(A592="","",BASE_CAIXA!G589)</f>
        <v>Sifão PVC Extensivo Corrugado Universal Para Lavatório E Tanque 7/8"-11/4" 740MM Branco Censi</v>
      </c>
      <c r="K592" s="26">
        <f>IF(A592="","",BASE_CAIXA!I589)</f>
        <v>0</v>
      </c>
      <c r="L592" s="26">
        <f>IF(A592="","",BASE_CAIXA!J589)</f>
        <v>0</v>
      </c>
      <c r="M592" s="26" t="str">
        <f>IF(A592="","",BASE_CAIXA!AM589)</f>
        <v>Sifão PVC Extensivo Corrugado Universal Para Lavatório E Tan</v>
      </c>
      <c r="N592" s="26" t="str">
        <f t="shared" ca="1" si="27"/>
        <v>Previsto</v>
      </c>
      <c r="O592" s="13" t="str">
        <f>IFERROR(INDEX(EXTRATO_IMPORTADO!$A$5:$A$404,MATCH(B592,EXTRATO_IMPORTADO!$I$5:$I$404,0)),"")</f>
        <v/>
      </c>
      <c r="P592" s="14" t="str">
        <f>IFERROR(INDEX(EXTRATO_IMPORTADO!$F$5:$F$404,MATCH(B592,EXTRATO_IMPORTADO!$I$5:$I$404,0)),"")</f>
        <v/>
      </c>
      <c r="Q592" s="26" t="str">
        <f>IFERROR(INDEX(EXTRATO_IMPORTADO!$B$5:$B$404,MATCH(B592,EXTRATO_IMPORTADO!$I$5:$I$404,0)),"")</f>
        <v/>
      </c>
      <c r="R592" s="26" t="str">
        <f>IFERROR(MATCH(B592,EXTRATO_IMPORTADO!$I$5:$I$404,0),"")</f>
        <v/>
      </c>
      <c r="S592" s="14" t="str">
        <f t="shared" si="28"/>
        <v/>
      </c>
      <c r="T592" s="33" t="str">
        <f t="shared" si="29"/>
        <v/>
      </c>
    </row>
    <row r="593" spans="1:20" x14ac:dyDescent="0.3">
      <c r="A593" s="26">
        <f>IF(BASE_CAIXA!A590="","",BASE_CAIXA!A590)</f>
        <v>589</v>
      </c>
      <c r="B593" s="26" t="str">
        <f>IF(A593="","",BASE_CAIXA!AL590)</f>
        <v>000589-DB</v>
      </c>
      <c r="C593" s="13">
        <f>IF(A593="","",BASE_CAIXA!AJ590)</f>
        <v>46213</v>
      </c>
      <c r="D593" s="26" t="str">
        <f>IF(A593="","",IF(BASE_CAIXA!C590="Entrada","Crédito","Débito"))</f>
        <v>Débito</v>
      </c>
      <c r="E593" s="14">
        <f>IF(A593="","",BASE_CAIXA!AA590)</f>
        <v>959.36</v>
      </c>
      <c r="F593" s="26">
        <f>IF(A593="","",BASE_CAIXA!N590)</f>
        <v>0</v>
      </c>
      <c r="G593" s="26">
        <f>IF(A593="","",BASE_CAIXA!O590)</f>
        <v>0</v>
      </c>
      <c r="H593" s="26">
        <f>IF(A593="","",BASE_CAIXA!P590)</f>
        <v>0</v>
      </c>
      <c r="I593" s="26" t="str">
        <f>IF(A593="","",IF(BASE_CAIXA!H590&lt;&gt;"",BASE_CAIXA!H590,BASE_CAIXA!G590))</f>
        <v>Sifão PVC Extensivo Corrugado Universal Para Lavatório E Tanque 7/8"-11/4" 740MM Branco Censi</v>
      </c>
      <c r="J593" s="26" t="str">
        <f>IF(A593="","",BASE_CAIXA!G590)</f>
        <v>Sifão PVC Extensivo Corrugado Universal Para Lavatório E Tanque 7/8"-11/4" 740MM Branco Censi</v>
      </c>
      <c r="K593" s="26">
        <f>IF(A593="","",BASE_CAIXA!I590)</f>
        <v>0</v>
      </c>
      <c r="L593" s="26">
        <f>IF(A593="","",BASE_CAIXA!J590)</f>
        <v>0</v>
      </c>
      <c r="M593" s="26" t="str">
        <f>IF(A593="","",BASE_CAIXA!AM590)</f>
        <v>Sifão PVC Extensivo Corrugado Universal Para Lavatório E Tan</v>
      </c>
      <c r="N593" s="26" t="str">
        <f t="shared" ca="1" si="27"/>
        <v>Previsto</v>
      </c>
      <c r="O593" s="13" t="str">
        <f>IFERROR(INDEX(EXTRATO_IMPORTADO!$A$5:$A$404,MATCH(B593,EXTRATO_IMPORTADO!$I$5:$I$404,0)),"")</f>
        <v/>
      </c>
      <c r="P593" s="14" t="str">
        <f>IFERROR(INDEX(EXTRATO_IMPORTADO!$F$5:$F$404,MATCH(B593,EXTRATO_IMPORTADO!$I$5:$I$404,0)),"")</f>
        <v/>
      </c>
      <c r="Q593" s="26" t="str">
        <f>IFERROR(INDEX(EXTRATO_IMPORTADO!$B$5:$B$404,MATCH(B593,EXTRATO_IMPORTADO!$I$5:$I$404,0)),"")</f>
        <v/>
      </c>
      <c r="R593" s="26" t="str">
        <f>IFERROR(MATCH(B593,EXTRATO_IMPORTADO!$I$5:$I$404,0),"")</f>
        <v/>
      </c>
      <c r="S593" s="14" t="str">
        <f t="shared" si="28"/>
        <v/>
      </c>
      <c r="T593" s="33" t="str">
        <f t="shared" si="29"/>
        <v/>
      </c>
    </row>
    <row r="594" spans="1:20" x14ac:dyDescent="0.3">
      <c r="A594" s="26">
        <f>IF(BASE_CAIXA!A591="","",BASE_CAIXA!A591)</f>
        <v>590</v>
      </c>
      <c r="B594" s="26" t="str">
        <f>IF(A594="","",BASE_CAIXA!AL591)</f>
        <v>000590-DB</v>
      </c>
      <c r="C594" s="13">
        <f>IF(A594="","",BASE_CAIXA!AJ591)</f>
        <v>46213</v>
      </c>
      <c r="D594" s="26" t="str">
        <f>IF(A594="","",IF(BASE_CAIXA!C591="Entrada","Crédito","Débito"))</f>
        <v>Débito</v>
      </c>
      <c r="E594" s="14">
        <f>IF(A594="","",BASE_CAIXA!AA591)</f>
        <v>4872</v>
      </c>
      <c r="F594" s="26">
        <f>IF(A594="","",BASE_CAIXA!N591)</f>
        <v>0</v>
      </c>
      <c r="G594" s="26">
        <f>IF(A594="","",BASE_CAIXA!O591)</f>
        <v>0</v>
      </c>
      <c r="H594" s="26">
        <f>IF(A594="","",BASE_CAIXA!P591)</f>
        <v>0</v>
      </c>
      <c r="I594" s="26" t="str">
        <f>IF(A594="","",IF(BASE_CAIXA!H591&lt;&gt;"",BASE_CAIXA!H591,BASE_CAIXA!G591))</f>
        <v>TANQUE LOUÇA BRANCO 20L , COM VALVULA DE SAIDA INTEGRADA 40MM</v>
      </c>
      <c r="J594" s="26" t="str">
        <f>IF(A594="","",BASE_CAIXA!G591)</f>
        <v>TANQUE LOUÇA BRANCO 20L , COM VALVULA DE SAIDA INTEGRADA 40MM</v>
      </c>
      <c r="K594" s="26">
        <f>IF(A594="","",BASE_CAIXA!I591)</f>
        <v>0</v>
      </c>
      <c r="L594" s="26">
        <f>IF(A594="","",BASE_CAIXA!J591)</f>
        <v>0</v>
      </c>
      <c r="M594" s="26" t="str">
        <f>IF(A594="","",BASE_CAIXA!AM591)</f>
        <v>TANQUE LOUÇA BRANCO 20L , COM VALVULA DE SAIDA INTEGRADA 40M</v>
      </c>
      <c r="N594" s="26" t="str">
        <f t="shared" ca="1" si="27"/>
        <v>Previsto</v>
      </c>
      <c r="O594" s="13" t="str">
        <f>IFERROR(INDEX(EXTRATO_IMPORTADO!$A$5:$A$404,MATCH(B594,EXTRATO_IMPORTADO!$I$5:$I$404,0)),"")</f>
        <v/>
      </c>
      <c r="P594" s="14" t="str">
        <f>IFERROR(INDEX(EXTRATO_IMPORTADO!$F$5:$F$404,MATCH(B594,EXTRATO_IMPORTADO!$I$5:$I$404,0)),"")</f>
        <v/>
      </c>
      <c r="Q594" s="26" t="str">
        <f>IFERROR(INDEX(EXTRATO_IMPORTADO!$B$5:$B$404,MATCH(B594,EXTRATO_IMPORTADO!$I$5:$I$404,0)),"")</f>
        <v/>
      </c>
      <c r="R594" s="26" t="str">
        <f>IFERROR(MATCH(B594,EXTRATO_IMPORTADO!$I$5:$I$404,0),"")</f>
        <v/>
      </c>
      <c r="S594" s="14" t="str">
        <f t="shared" si="28"/>
        <v/>
      </c>
      <c r="T594" s="33" t="str">
        <f t="shared" si="29"/>
        <v/>
      </c>
    </row>
    <row r="595" spans="1:20" x14ac:dyDescent="0.3">
      <c r="A595" s="26">
        <f>IF(BASE_CAIXA!A592="","",BASE_CAIXA!A592)</f>
        <v>591</v>
      </c>
      <c r="B595" s="26" t="str">
        <f>IF(A595="","",BASE_CAIXA!AL592)</f>
        <v>000591-DB</v>
      </c>
      <c r="C595" s="13">
        <f>IF(A595="","",BASE_CAIXA!AJ592)</f>
        <v>46213</v>
      </c>
      <c r="D595" s="26" t="str">
        <f>IF(A595="","",IF(BASE_CAIXA!C592="Entrada","Crédito","Débito"))</f>
        <v>Débito</v>
      </c>
      <c r="E595" s="14">
        <f>IF(A595="","",BASE_CAIXA!AA592)</f>
        <v>1286.4000000000001</v>
      </c>
      <c r="F595" s="26">
        <f>IF(A595="","",BASE_CAIXA!N592)</f>
        <v>0</v>
      </c>
      <c r="G595" s="26">
        <f>IF(A595="","",BASE_CAIXA!O592)</f>
        <v>0</v>
      </c>
      <c r="H595" s="26">
        <f>IF(A595="","",BASE_CAIXA!P592)</f>
        <v>0</v>
      </c>
      <c r="I595" s="26" t="str">
        <f>IF(A595="","",IF(BASE_CAIXA!H592&lt;&gt;"",BASE_CAIXA!H592,BASE_CAIXA!G592))</f>
        <v>Torneira Banheiro Lavatório Bancada 1193 Metal C-23 Cromada</v>
      </c>
      <c r="J595" s="26" t="str">
        <f>IF(A595="","",BASE_CAIXA!G592)</f>
        <v>Torneira Banheiro Lavatório Bancada 1193 Metal C-23 Cromada</v>
      </c>
      <c r="K595" s="26">
        <f>IF(A595="","",BASE_CAIXA!I592)</f>
        <v>0</v>
      </c>
      <c r="L595" s="26">
        <f>IF(A595="","",BASE_CAIXA!J592)</f>
        <v>0</v>
      </c>
      <c r="M595" s="26" t="str">
        <f>IF(A595="","",BASE_CAIXA!AM592)</f>
        <v xml:space="preserve">Torneira Banheiro Lavatório Bancada 1193 Metal C-23 Cromada </v>
      </c>
      <c r="N595" s="26" t="str">
        <f t="shared" ca="1" si="27"/>
        <v>Previsto</v>
      </c>
      <c r="O595" s="13" t="str">
        <f>IFERROR(INDEX(EXTRATO_IMPORTADO!$A$5:$A$404,MATCH(B595,EXTRATO_IMPORTADO!$I$5:$I$404,0)),"")</f>
        <v/>
      </c>
      <c r="P595" s="14" t="str">
        <f>IFERROR(INDEX(EXTRATO_IMPORTADO!$F$5:$F$404,MATCH(B595,EXTRATO_IMPORTADO!$I$5:$I$404,0)),"")</f>
        <v/>
      </c>
      <c r="Q595" s="26" t="str">
        <f>IFERROR(INDEX(EXTRATO_IMPORTADO!$B$5:$B$404,MATCH(B595,EXTRATO_IMPORTADO!$I$5:$I$404,0)),"")</f>
        <v/>
      </c>
      <c r="R595" s="26" t="str">
        <f>IFERROR(MATCH(B595,EXTRATO_IMPORTADO!$I$5:$I$404,0),"")</f>
        <v/>
      </c>
      <c r="S595" s="14" t="str">
        <f t="shared" si="28"/>
        <v/>
      </c>
      <c r="T595" s="33" t="str">
        <f t="shared" si="29"/>
        <v/>
      </c>
    </row>
    <row r="596" spans="1:20" x14ac:dyDescent="0.3">
      <c r="A596" s="26">
        <f>IF(BASE_CAIXA!A593="","",BASE_CAIXA!A593)</f>
        <v>592</v>
      </c>
      <c r="B596" s="26" t="str">
        <f>IF(A596="","",BASE_CAIXA!AL593)</f>
        <v>000592-DB</v>
      </c>
      <c r="C596" s="13">
        <f>IF(A596="","",BASE_CAIXA!AJ593)</f>
        <v>46213</v>
      </c>
      <c r="D596" s="26" t="str">
        <f>IF(A596="","",IF(BASE_CAIXA!C593="Entrada","Crédito","Débito"))</f>
        <v>Débito</v>
      </c>
      <c r="E596" s="14">
        <f>IF(A596="","",BASE_CAIXA!AA593)</f>
        <v>1523.52</v>
      </c>
      <c r="F596" s="26">
        <f>IF(A596="","",BASE_CAIXA!N593)</f>
        <v>0</v>
      </c>
      <c r="G596" s="26">
        <f>IF(A596="","",BASE_CAIXA!O593)</f>
        <v>0</v>
      </c>
      <c r="H596" s="26">
        <f>IF(A596="","",BASE_CAIXA!P593)</f>
        <v>0</v>
      </c>
      <c r="I596" s="26" t="str">
        <f>IF(A596="","",IF(BASE_CAIXA!H593&lt;&gt;"",BASE_CAIXA!H593,BASE_CAIXA!G593))</f>
        <v>Torneira De Tanque / Jardim Luxo ¼ De Volta 100% Metal C-31</v>
      </c>
      <c r="J596" s="26" t="str">
        <f>IF(A596="","",BASE_CAIXA!G593)</f>
        <v>Torneira De Tanque / Jardim Luxo ¼ De Volta 100% Metal C-31</v>
      </c>
      <c r="K596" s="26">
        <f>IF(A596="","",BASE_CAIXA!I593)</f>
        <v>0</v>
      </c>
      <c r="L596" s="26">
        <f>IF(A596="","",BASE_CAIXA!J593)</f>
        <v>0</v>
      </c>
      <c r="M596" s="26" t="str">
        <f>IF(A596="","",BASE_CAIXA!AM593)</f>
        <v xml:space="preserve">Torneira De Tanque / Jardim Luxo ¼ De Volta 100% Metal C-31 </v>
      </c>
      <c r="N596" s="26" t="str">
        <f t="shared" ca="1" si="27"/>
        <v>Previsto</v>
      </c>
      <c r="O596" s="13" t="str">
        <f>IFERROR(INDEX(EXTRATO_IMPORTADO!$A$5:$A$404,MATCH(B596,EXTRATO_IMPORTADO!$I$5:$I$404,0)),"")</f>
        <v/>
      </c>
      <c r="P596" s="14" t="str">
        <f>IFERROR(INDEX(EXTRATO_IMPORTADO!$F$5:$F$404,MATCH(B596,EXTRATO_IMPORTADO!$I$5:$I$404,0)),"")</f>
        <v/>
      </c>
      <c r="Q596" s="26" t="str">
        <f>IFERROR(INDEX(EXTRATO_IMPORTADO!$B$5:$B$404,MATCH(B596,EXTRATO_IMPORTADO!$I$5:$I$404,0)),"")</f>
        <v/>
      </c>
      <c r="R596" s="26" t="str">
        <f>IFERROR(MATCH(B596,EXTRATO_IMPORTADO!$I$5:$I$404,0),"")</f>
        <v/>
      </c>
      <c r="S596" s="14" t="str">
        <f t="shared" si="28"/>
        <v/>
      </c>
      <c r="T596" s="33" t="str">
        <f t="shared" si="29"/>
        <v/>
      </c>
    </row>
    <row r="597" spans="1:20" x14ac:dyDescent="0.3">
      <c r="A597" s="26">
        <f>IF(BASE_CAIXA!A594="","",BASE_CAIXA!A594)</f>
        <v>593</v>
      </c>
      <c r="B597" s="26" t="str">
        <f>IF(A597="","",BASE_CAIXA!AL594)</f>
        <v>000593-DB</v>
      </c>
      <c r="C597" s="13">
        <f>IF(A597="","",BASE_CAIXA!AJ594)</f>
        <v>46213</v>
      </c>
      <c r="D597" s="26" t="str">
        <f>IF(A597="","",IF(BASE_CAIXA!C594="Entrada","Crédito","Débito"))</f>
        <v>Débito</v>
      </c>
      <c r="E597" s="14">
        <f>IF(A597="","",BASE_CAIXA!AA594)</f>
        <v>114.24</v>
      </c>
      <c r="F597" s="26">
        <f>IF(A597="","",BASE_CAIXA!N594)</f>
        <v>0</v>
      </c>
      <c r="G597" s="26">
        <f>IF(A597="","",BASE_CAIXA!O594)</f>
        <v>0</v>
      </c>
      <c r="H597" s="26">
        <f>IF(A597="","",BASE_CAIXA!P594)</f>
        <v>0</v>
      </c>
      <c r="I597" s="26" t="str">
        <f>IF(A597="","",IF(BASE_CAIXA!H594&lt;&gt;"",BASE_CAIXA!H594,BASE_CAIXA!G594))</f>
        <v>Veda Rosca Teflon Veda Tubulações 18mm x 50M</v>
      </c>
      <c r="J597" s="26" t="str">
        <f>IF(A597="","",BASE_CAIXA!G594)</f>
        <v>Veda Rosca Teflon Veda Tubulações 18mm x 50M</v>
      </c>
      <c r="K597" s="26">
        <f>IF(A597="","",BASE_CAIXA!I594)</f>
        <v>0</v>
      </c>
      <c r="L597" s="26">
        <f>IF(A597="","",BASE_CAIXA!J594)</f>
        <v>0</v>
      </c>
      <c r="M597" s="26" t="str">
        <f>IF(A597="","",BASE_CAIXA!AM594)</f>
        <v>Veda Rosca Teflon Veda Tubulações 18mm x 50M | Veda Rosca Te</v>
      </c>
      <c r="N597" s="26" t="str">
        <f t="shared" ca="1" si="27"/>
        <v>Previsto</v>
      </c>
      <c r="O597" s="13" t="str">
        <f>IFERROR(INDEX(EXTRATO_IMPORTADO!$A$5:$A$404,MATCH(B597,EXTRATO_IMPORTADO!$I$5:$I$404,0)),"")</f>
        <v/>
      </c>
      <c r="P597" s="14" t="str">
        <f>IFERROR(INDEX(EXTRATO_IMPORTADO!$F$5:$F$404,MATCH(B597,EXTRATO_IMPORTADO!$I$5:$I$404,0)),"")</f>
        <v/>
      </c>
      <c r="Q597" s="26" t="str">
        <f>IFERROR(INDEX(EXTRATO_IMPORTADO!$B$5:$B$404,MATCH(B597,EXTRATO_IMPORTADO!$I$5:$I$404,0)),"")</f>
        <v/>
      </c>
      <c r="R597" s="26" t="str">
        <f>IFERROR(MATCH(B597,EXTRATO_IMPORTADO!$I$5:$I$404,0),"")</f>
        <v/>
      </c>
      <c r="S597" s="14" t="str">
        <f t="shared" si="28"/>
        <v/>
      </c>
      <c r="T597" s="33" t="str">
        <f t="shared" si="29"/>
        <v/>
      </c>
    </row>
    <row r="598" spans="1:20" x14ac:dyDescent="0.3">
      <c r="A598" s="26">
        <f>IF(BASE_CAIXA!A595="","",BASE_CAIXA!A595)</f>
        <v>594</v>
      </c>
      <c r="B598" s="26" t="str">
        <f>IF(A598="","",BASE_CAIXA!AL595)</f>
        <v>000594-DB</v>
      </c>
      <c r="C598" s="13">
        <f>IF(A598="","",BASE_CAIXA!AJ595)</f>
        <v>46213</v>
      </c>
      <c r="D598" s="26" t="str">
        <f>IF(A598="","",IF(BASE_CAIXA!C595="Entrada","Crédito","Débito"))</f>
        <v>Débito</v>
      </c>
      <c r="E598" s="14">
        <f>IF(A598="","",BASE_CAIXA!AA595)</f>
        <v>76.160000000000011</v>
      </c>
      <c r="F598" s="26">
        <f>IF(A598="","",BASE_CAIXA!N595)</f>
        <v>0</v>
      </c>
      <c r="G598" s="26">
        <f>IF(A598="","",BASE_CAIXA!O595)</f>
        <v>0</v>
      </c>
      <c r="H598" s="26">
        <f>IF(A598="","",BASE_CAIXA!P595)</f>
        <v>0</v>
      </c>
      <c r="I598" s="26" t="str">
        <f>IF(A598="","",IF(BASE_CAIXA!H595&lt;&gt;"",BASE_CAIXA!H595,BASE_CAIXA!G595))</f>
        <v>Veda Rosca Teflon Veda Tubulações 18mm x 50M</v>
      </c>
      <c r="J598" s="26" t="str">
        <f>IF(A598="","",BASE_CAIXA!G595)</f>
        <v>Veda Rosca Teflon Veda Tubulações 18mm x 50M</v>
      </c>
      <c r="K598" s="26">
        <f>IF(A598="","",BASE_CAIXA!I595)</f>
        <v>0</v>
      </c>
      <c r="L598" s="26">
        <f>IF(A598="","",BASE_CAIXA!J595)</f>
        <v>0</v>
      </c>
      <c r="M598" s="26" t="str">
        <f>IF(A598="","",BASE_CAIXA!AM595)</f>
        <v>Veda Rosca Teflon Veda Tubulações 18mm x 50M | Veda Rosca Te</v>
      </c>
      <c r="N598" s="26" t="str">
        <f t="shared" ca="1" si="27"/>
        <v>Previsto</v>
      </c>
      <c r="O598" s="13" t="str">
        <f>IFERROR(INDEX(EXTRATO_IMPORTADO!$A$5:$A$404,MATCH(B598,EXTRATO_IMPORTADO!$I$5:$I$404,0)),"")</f>
        <v/>
      </c>
      <c r="P598" s="14" t="str">
        <f>IFERROR(INDEX(EXTRATO_IMPORTADO!$F$5:$F$404,MATCH(B598,EXTRATO_IMPORTADO!$I$5:$I$404,0)),"")</f>
        <v/>
      </c>
      <c r="Q598" s="26" t="str">
        <f>IFERROR(INDEX(EXTRATO_IMPORTADO!$B$5:$B$404,MATCH(B598,EXTRATO_IMPORTADO!$I$5:$I$404,0)),"")</f>
        <v/>
      </c>
      <c r="R598" s="26" t="str">
        <f>IFERROR(MATCH(B598,EXTRATO_IMPORTADO!$I$5:$I$404,0),"")</f>
        <v/>
      </c>
      <c r="S598" s="14" t="str">
        <f t="shared" si="28"/>
        <v/>
      </c>
      <c r="T598" s="33" t="str">
        <f t="shared" si="29"/>
        <v/>
      </c>
    </row>
    <row r="599" spans="1:20" x14ac:dyDescent="0.3">
      <c r="A599" s="26">
        <f>IF(BASE_CAIXA!A596="","",BASE_CAIXA!A596)</f>
        <v>595</v>
      </c>
      <c r="B599" s="26" t="str">
        <f>IF(A599="","",BASE_CAIXA!AL596)</f>
        <v>000595-DB</v>
      </c>
      <c r="C599" s="13">
        <f>IF(A599="","",BASE_CAIXA!AJ596)</f>
        <v>46213</v>
      </c>
      <c r="D599" s="26" t="str">
        <f>IF(A599="","",IF(BASE_CAIXA!C596="Entrada","Crédito","Débito"))</f>
        <v>Débito</v>
      </c>
      <c r="E599" s="14">
        <f>IF(A599="","",BASE_CAIXA!AA596)</f>
        <v>76.160000000000011</v>
      </c>
      <c r="F599" s="26">
        <f>IF(A599="","",BASE_CAIXA!N596)</f>
        <v>0</v>
      </c>
      <c r="G599" s="26">
        <f>IF(A599="","",BASE_CAIXA!O596)</f>
        <v>0</v>
      </c>
      <c r="H599" s="26">
        <f>IF(A599="","",BASE_CAIXA!P596)</f>
        <v>0</v>
      </c>
      <c r="I599" s="26" t="str">
        <f>IF(A599="","",IF(BASE_CAIXA!H596&lt;&gt;"",BASE_CAIXA!H596,BASE_CAIXA!G596))</f>
        <v>Veda Rosca Teflon Veda Tubulações 18mm x 50M</v>
      </c>
      <c r="J599" s="26" t="str">
        <f>IF(A599="","",BASE_CAIXA!G596)</f>
        <v>Veda Rosca Teflon Veda Tubulações 18mm x 50M</v>
      </c>
      <c r="K599" s="26">
        <f>IF(A599="","",BASE_CAIXA!I596)</f>
        <v>0</v>
      </c>
      <c r="L599" s="26">
        <f>IF(A599="","",BASE_CAIXA!J596)</f>
        <v>0</v>
      </c>
      <c r="M599" s="26" t="str">
        <f>IF(A599="","",BASE_CAIXA!AM596)</f>
        <v>Veda Rosca Teflon Veda Tubulações 18mm x 50M | Veda Rosca Te</v>
      </c>
      <c r="N599" s="26" t="str">
        <f t="shared" ca="1" si="27"/>
        <v>Previsto</v>
      </c>
      <c r="O599" s="13" t="str">
        <f>IFERROR(INDEX(EXTRATO_IMPORTADO!$A$5:$A$404,MATCH(B599,EXTRATO_IMPORTADO!$I$5:$I$404,0)),"")</f>
        <v/>
      </c>
      <c r="P599" s="14" t="str">
        <f>IFERROR(INDEX(EXTRATO_IMPORTADO!$F$5:$F$404,MATCH(B599,EXTRATO_IMPORTADO!$I$5:$I$404,0)),"")</f>
        <v/>
      </c>
      <c r="Q599" s="26" t="str">
        <f>IFERROR(INDEX(EXTRATO_IMPORTADO!$B$5:$B$404,MATCH(B599,EXTRATO_IMPORTADO!$I$5:$I$404,0)),"")</f>
        <v/>
      </c>
      <c r="R599" s="26" t="str">
        <f>IFERROR(MATCH(B599,EXTRATO_IMPORTADO!$I$5:$I$404,0),"")</f>
        <v/>
      </c>
      <c r="S599" s="14" t="str">
        <f t="shared" si="28"/>
        <v/>
      </c>
      <c r="T599" s="33" t="str">
        <f t="shared" si="29"/>
        <v/>
      </c>
    </row>
    <row r="600" spans="1:20" x14ac:dyDescent="0.3">
      <c r="A600" s="26">
        <f>IF(BASE_CAIXA!A597="","",BASE_CAIXA!A597)</f>
        <v>596</v>
      </c>
      <c r="B600" s="26" t="str">
        <f>IF(A600="","",BASE_CAIXA!AL597)</f>
        <v>000596-DB</v>
      </c>
      <c r="C600" s="13">
        <f>IF(A600="","",BASE_CAIXA!AJ597)</f>
        <v>46213</v>
      </c>
      <c r="D600" s="26" t="str">
        <f>IF(A600="","",IF(BASE_CAIXA!C597="Entrada","Crédito","Débito"))</f>
        <v>Débito</v>
      </c>
      <c r="E600" s="14">
        <f>IF(A600="","",BASE_CAIXA!AA597)</f>
        <v>152.96</v>
      </c>
      <c r="F600" s="26">
        <f>IF(A600="","",BASE_CAIXA!N597)</f>
        <v>0</v>
      </c>
      <c r="G600" s="26">
        <f>IF(A600="","",BASE_CAIXA!O597)</f>
        <v>0</v>
      </c>
      <c r="H600" s="26">
        <f>IF(A600="","",BASE_CAIXA!P597)</f>
        <v>0</v>
      </c>
      <c r="I600" s="26" t="str">
        <f>IF(A600="","",IF(BASE_CAIXA!H597&lt;&gt;"",BASE_CAIXA!H597,BASE_CAIXA!G597))</f>
        <v>Válvula PVC Para Lavatório S/ladrao Amanco</v>
      </c>
      <c r="J600" s="26" t="str">
        <f>IF(A600="","",BASE_CAIXA!G597)</f>
        <v>Válvula PVC Para Lavatório S/ladrao Amanco</v>
      </c>
      <c r="K600" s="26">
        <f>IF(A600="","",BASE_CAIXA!I597)</f>
        <v>0</v>
      </c>
      <c r="L600" s="26">
        <f>IF(A600="","",BASE_CAIXA!J597)</f>
        <v>0</v>
      </c>
      <c r="M600" s="26" t="str">
        <f>IF(A600="","",BASE_CAIXA!AM597)</f>
        <v>Válvula PVC Para Lavatório S/ladrao Amanco | Válvula PVC Par</v>
      </c>
      <c r="N600" s="26" t="str">
        <f t="shared" ca="1" si="27"/>
        <v>Previsto</v>
      </c>
      <c r="O600" s="13" t="str">
        <f>IFERROR(INDEX(EXTRATO_IMPORTADO!$A$5:$A$404,MATCH(B600,EXTRATO_IMPORTADO!$I$5:$I$404,0)),"")</f>
        <v/>
      </c>
      <c r="P600" s="14" t="str">
        <f>IFERROR(INDEX(EXTRATO_IMPORTADO!$F$5:$F$404,MATCH(B600,EXTRATO_IMPORTADO!$I$5:$I$404,0)),"")</f>
        <v/>
      </c>
      <c r="Q600" s="26" t="str">
        <f>IFERROR(INDEX(EXTRATO_IMPORTADO!$B$5:$B$404,MATCH(B600,EXTRATO_IMPORTADO!$I$5:$I$404,0)),"")</f>
        <v/>
      </c>
      <c r="R600" s="26" t="str">
        <f>IFERROR(MATCH(B600,EXTRATO_IMPORTADO!$I$5:$I$404,0),"")</f>
        <v/>
      </c>
      <c r="S600" s="14" t="str">
        <f t="shared" si="28"/>
        <v/>
      </c>
      <c r="T600" s="33" t="str">
        <f t="shared" si="29"/>
        <v/>
      </c>
    </row>
    <row r="601" spans="1:20" x14ac:dyDescent="0.3">
      <c r="A601" s="26">
        <f>IF(BASE_CAIXA!A598="","",BASE_CAIXA!A598)</f>
        <v>597</v>
      </c>
      <c r="B601" s="26" t="str">
        <f>IF(A601="","",BASE_CAIXA!AL598)</f>
        <v>000597-DB</v>
      </c>
      <c r="C601" s="13">
        <f>IF(A601="","",BASE_CAIXA!AJ598)</f>
        <v>46213</v>
      </c>
      <c r="D601" s="26" t="str">
        <f>IF(A601="","",IF(BASE_CAIXA!C598="Entrada","Crédito","Débito"))</f>
        <v>Débito</v>
      </c>
      <c r="E601" s="14">
        <f>IF(A601="","",BASE_CAIXA!AA598)</f>
        <v>1820.8</v>
      </c>
      <c r="F601" s="26">
        <f>IF(A601="","",BASE_CAIXA!N598)</f>
        <v>0</v>
      </c>
      <c r="G601" s="26">
        <f>IF(A601="","",BASE_CAIXA!O598)</f>
        <v>0</v>
      </c>
      <c r="H601" s="26">
        <f>IF(A601="","",BASE_CAIXA!P598)</f>
        <v>0</v>
      </c>
      <c r="I601" s="26" t="str">
        <f>IF(A601="","",IF(BASE_CAIXA!H598&lt;&gt;"",BASE_CAIXA!H598,BASE_CAIXA!G598))</f>
        <v>torneira cromada para pia da cozinha</v>
      </c>
      <c r="J601" s="26" t="str">
        <f>IF(A601="","",BASE_CAIXA!G598)</f>
        <v>torneira cromada para pia da cozinha</v>
      </c>
      <c r="K601" s="26">
        <f>IF(A601="","",BASE_CAIXA!I598)</f>
        <v>0</v>
      </c>
      <c r="L601" s="26">
        <f>IF(A601="","",BASE_CAIXA!J598)</f>
        <v>0</v>
      </c>
      <c r="M601" s="26" t="str">
        <f>IF(A601="","",BASE_CAIXA!AM598)</f>
        <v>torneira cromada para pia da cozinha | torneira cromada para</v>
      </c>
      <c r="N601" s="26" t="str">
        <f t="shared" ca="1" si="27"/>
        <v>Previsto</v>
      </c>
      <c r="O601" s="13" t="str">
        <f>IFERROR(INDEX(EXTRATO_IMPORTADO!$A$5:$A$404,MATCH(B601,EXTRATO_IMPORTADO!$I$5:$I$404,0)),"")</f>
        <v/>
      </c>
      <c r="P601" s="14" t="str">
        <f>IFERROR(INDEX(EXTRATO_IMPORTADO!$F$5:$F$404,MATCH(B601,EXTRATO_IMPORTADO!$I$5:$I$404,0)),"")</f>
        <v/>
      </c>
      <c r="Q601" s="26" t="str">
        <f>IFERROR(INDEX(EXTRATO_IMPORTADO!$B$5:$B$404,MATCH(B601,EXTRATO_IMPORTADO!$I$5:$I$404,0)),"")</f>
        <v/>
      </c>
      <c r="R601" s="26" t="str">
        <f>IFERROR(MATCH(B601,EXTRATO_IMPORTADO!$I$5:$I$404,0),"")</f>
        <v/>
      </c>
      <c r="S601" s="14" t="str">
        <f t="shared" si="28"/>
        <v/>
      </c>
      <c r="T601" s="33" t="str">
        <f t="shared" si="29"/>
        <v/>
      </c>
    </row>
    <row r="602" spans="1:20" x14ac:dyDescent="0.3">
      <c r="A602" s="26">
        <f>IF(BASE_CAIXA!A599="","",BASE_CAIXA!A599)</f>
        <v>598</v>
      </c>
      <c r="B602" s="26" t="str">
        <f>IF(A602="","",BASE_CAIXA!AL599)</f>
        <v>000598-DB</v>
      </c>
      <c r="C602" s="13">
        <f>IF(A602="","",BASE_CAIXA!AJ599)</f>
        <v>46213</v>
      </c>
      <c r="D602" s="26" t="str">
        <f>IF(A602="","",IF(BASE_CAIXA!C599="Entrada","Crédito","Débito"))</f>
        <v>Débito</v>
      </c>
      <c r="E602" s="14">
        <f>IF(A602="","",BASE_CAIXA!AA599)</f>
        <v>109401.737824</v>
      </c>
      <c r="F602" s="26">
        <f>IF(A602="","",BASE_CAIXA!N599)</f>
        <v>0</v>
      </c>
      <c r="G602" s="26">
        <f>IF(A602="","",BASE_CAIXA!O599)</f>
        <v>0</v>
      </c>
      <c r="H602" s="26">
        <f>IF(A602="","",BASE_CAIXA!P599)</f>
        <v>0</v>
      </c>
      <c r="I602" s="26" t="str">
        <f>IF(A602="","",IF(BASE_CAIXA!H599&lt;&gt;"",BASE_CAIXA!H599,BASE_CAIXA!G599))</f>
        <v>TOTALIZADOR CUSTO GLOBAIS OBRAS - MENSAL</v>
      </c>
      <c r="J602" s="26" t="str">
        <f>IF(A602="","",BASE_CAIXA!G599)</f>
        <v>TOTALIZADOR CUSTO GLOBAIS OBRAS - MENSAL</v>
      </c>
      <c r="K602" s="26">
        <f>IF(A602="","",BASE_CAIXA!I599)</f>
        <v>0</v>
      </c>
      <c r="L602" s="26">
        <f>IF(A602="","",BASE_CAIXA!J599)</f>
        <v>0</v>
      </c>
      <c r="M602" s="26" t="str">
        <f>IF(A602="","",BASE_CAIXA!AM599)</f>
        <v>TOTALIZADOR CUSTO GLOBAIS OBRAS - MENSAL | TOTALIZADOR CUSTO</v>
      </c>
      <c r="N602" s="26" t="str">
        <f t="shared" ca="1" si="27"/>
        <v>Previsto</v>
      </c>
      <c r="O602" s="13" t="str">
        <f>IFERROR(INDEX(EXTRATO_IMPORTADO!$A$5:$A$404,MATCH(B602,EXTRATO_IMPORTADO!$I$5:$I$404,0)),"")</f>
        <v/>
      </c>
      <c r="P602" s="14" t="str">
        <f>IFERROR(INDEX(EXTRATO_IMPORTADO!$F$5:$F$404,MATCH(B602,EXTRATO_IMPORTADO!$I$5:$I$404,0)),"")</f>
        <v/>
      </c>
      <c r="Q602" s="26" t="str">
        <f>IFERROR(INDEX(EXTRATO_IMPORTADO!$B$5:$B$404,MATCH(B602,EXTRATO_IMPORTADO!$I$5:$I$404,0)),"")</f>
        <v/>
      </c>
      <c r="R602" s="26" t="str">
        <f>IFERROR(MATCH(B602,EXTRATO_IMPORTADO!$I$5:$I$404,0),"")</f>
        <v/>
      </c>
      <c r="S602" s="14" t="str">
        <f t="shared" si="28"/>
        <v/>
      </c>
      <c r="T602" s="33" t="str">
        <f t="shared" si="29"/>
        <v/>
      </c>
    </row>
    <row r="603" spans="1:20" x14ac:dyDescent="0.3">
      <c r="A603" s="26">
        <f>IF(BASE_CAIXA!A600="","",BASE_CAIXA!A600)</f>
        <v>599</v>
      </c>
      <c r="B603" s="26" t="str">
        <f>IF(A603="","",BASE_CAIXA!AL600)</f>
        <v>000599-CR</v>
      </c>
      <c r="C603" s="13">
        <f>IF(A603="","",BASE_CAIXA!AJ600)</f>
        <v>46227</v>
      </c>
      <c r="D603" s="26" t="str">
        <f>IF(A603="","",IF(BASE_CAIXA!C600="Entrada","Crédito","Débito"))</f>
        <v>Crédito</v>
      </c>
      <c r="E603" s="14">
        <f>IF(A603="","",BASE_CAIXA!AA600)</f>
        <v>315298.83584000001</v>
      </c>
      <c r="F603" s="26">
        <f>IF(A603="","",BASE_CAIXA!N600)</f>
        <v>0</v>
      </c>
      <c r="G603" s="26">
        <f>IF(A603="","",BASE_CAIXA!O600)</f>
        <v>0</v>
      </c>
      <c r="H603" s="26">
        <f>IF(A603="","",BASE_CAIXA!P600)</f>
        <v>0</v>
      </c>
      <c r="I603" s="26" t="str">
        <f>IF(A603="","",IF(BASE_CAIXA!H600&lt;&gt;"",BASE_CAIXA!H600,BASE_CAIXA!G600))</f>
        <v>MEDIÇÃO CONTRATUAL</v>
      </c>
      <c r="J603" s="26" t="str">
        <f>IF(A603="","",BASE_CAIXA!G600)</f>
        <v>MEDIÇÃO CONTRATUAL</v>
      </c>
      <c r="K603" s="26">
        <f>IF(A603="","",BASE_CAIXA!I600)</f>
        <v>0</v>
      </c>
      <c r="L603" s="26">
        <f>IF(A603="","",BASE_CAIXA!J600)</f>
        <v>0</v>
      </c>
      <c r="M603" s="26" t="str">
        <f>IF(A603="","",BASE_CAIXA!AM600)</f>
        <v xml:space="preserve">MEDIÇÃO CONTRATUAL | MEDIÇÃO CONTRATUAL | Entrada | MEDIÇÃO </v>
      </c>
      <c r="N603" s="26" t="str">
        <f t="shared" ca="1" si="27"/>
        <v>Previsto</v>
      </c>
      <c r="O603" s="13" t="str">
        <f>IFERROR(INDEX(EXTRATO_IMPORTADO!$A$5:$A$404,MATCH(B603,EXTRATO_IMPORTADO!$I$5:$I$404,0)),"")</f>
        <v/>
      </c>
      <c r="P603" s="14" t="str">
        <f>IFERROR(INDEX(EXTRATO_IMPORTADO!$F$5:$F$404,MATCH(B603,EXTRATO_IMPORTADO!$I$5:$I$404,0)),"")</f>
        <v/>
      </c>
      <c r="Q603" s="26" t="str">
        <f>IFERROR(INDEX(EXTRATO_IMPORTADO!$B$5:$B$404,MATCH(B603,EXTRATO_IMPORTADO!$I$5:$I$404,0)),"")</f>
        <v/>
      </c>
      <c r="R603" s="26" t="str">
        <f>IFERROR(MATCH(B603,EXTRATO_IMPORTADO!$I$5:$I$404,0),"")</f>
        <v/>
      </c>
      <c r="S603" s="14" t="str">
        <f t="shared" si="28"/>
        <v/>
      </c>
      <c r="T603" s="33" t="str">
        <f t="shared" si="29"/>
        <v/>
      </c>
    </row>
    <row r="604" spans="1:20" x14ac:dyDescent="0.3">
      <c r="A604" s="26">
        <f>IF(BASE_CAIXA!A601="","",BASE_CAIXA!A601)</f>
        <v>600</v>
      </c>
      <c r="B604" s="26" t="str">
        <f>IF(A604="","",BASE_CAIXA!AL601)</f>
        <v>000600-DB</v>
      </c>
      <c r="C604" s="13">
        <f>IF(A604="","",BASE_CAIXA!AJ601)</f>
        <v>46227</v>
      </c>
      <c r="D604" s="26" t="str">
        <f>IF(A604="","",IF(BASE_CAIXA!C601="Entrada","Crédito","Débito"))</f>
        <v>Débito</v>
      </c>
      <c r="E604" s="14">
        <f>IF(A604="","",BASE_CAIXA!AA601)</f>
        <v>63570</v>
      </c>
      <c r="F604" s="26">
        <f>IF(A604="","",BASE_CAIXA!N601)</f>
        <v>0</v>
      </c>
      <c r="G604" s="26">
        <f>IF(A604="","",BASE_CAIXA!O601)</f>
        <v>0</v>
      </c>
      <c r="H604" s="26">
        <f>IF(A604="","",BASE_CAIXA!P601)</f>
        <v>0</v>
      </c>
      <c r="I604" s="26" t="str">
        <f>IF(A604="","",IF(BASE_CAIXA!H601&lt;&gt;"",BASE_CAIXA!H601,BASE_CAIXA!G601))</f>
        <v>CARTAO CREDITO SUCOPIRA</v>
      </c>
      <c r="J604" s="26" t="str">
        <f>IF(A604="","",BASE_CAIXA!G601)</f>
        <v>CARTAO CREDITO SUCOPIRA</v>
      </c>
      <c r="K604" s="26">
        <f>IF(A604="","",BASE_CAIXA!I601)</f>
        <v>0</v>
      </c>
      <c r="L604" s="26">
        <f>IF(A604="","",BASE_CAIXA!J601)</f>
        <v>0</v>
      </c>
      <c r="M604" s="26" t="str">
        <f>IF(A604="","",BASE_CAIXA!AM601)</f>
        <v xml:space="preserve">CARTAO CREDITO SUCOPIRA | CARTAO CREDITO SUCOPIRA | Saída | </v>
      </c>
      <c r="N604" s="26" t="str">
        <f t="shared" ca="1" si="27"/>
        <v>Previsto</v>
      </c>
      <c r="O604" s="13" t="str">
        <f>IFERROR(INDEX(EXTRATO_IMPORTADO!$A$5:$A$404,MATCH(B604,EXTRATO_IMPORTADO!$I$5:$I$404,0)),"")</f>
        <v/>
      </c>
      <c r="P604" s="14" t="str">
        <f>IFERROR(INDEX(EXTRATO_IMPORTADO!$F$5:$F$404,MATCH(B604,EXTRATO_IMPORTADO!$I$5:$I$404,0)),"")</f>
        <v/>
      </c>
      <c r="Q604" s="26" t="str">
        <f>IFERROR(INDEX(EXTRATO_IMPORTADO!$B$5:$B$404,MATCH(B604,EXTRATO_IMPORTADO!$I$5:$I$404,0)),"")</f>
        <v/>
      </c>
      <c r="R604" s="26" t="str">
        <f>IFERROR(MATCH(B604,EXTRATO_IMPORTADO!$I$5:$I$404,0),"")</f>
        <v/>
      </c>
      <c r="S604" s="14" t="str">
        <f t="shared" si="28"/>
        <v/>
      </c>
      <c r="T604" s="33" t="str">
        <f t="shared" si="29"/>
        <v/>
      </c>
    </row>
    <row r="605" spans="1:20" x14ac:dyDescent="0.3">
      <c r="A605" s="26">
        <f>IF(BASE_CAIXA!A602="","",BASE_CAIXA!A602)</f>
        <v>601</v>
      </c>
      <c r="B605" s="26" t="str">
        <f>IF(A605="","",BASE_CAIXA!AL602)</f>
        <v>000601-DB</v>
      </c>
      <c r="C605" s="13">
        <f>IF(A605="","",BASE_CAIXA!AJ602)</f>
        <v>46227</v>
      </c>
      <c r="D605" s="26" t="str">
        <f>IF(A605="","",IF(BASE_CAIXA!C602="Entrada","Crédito","Débito"))</f>
        <v>Débito</v>
      </c>
      <c r="E605" s="14">
        <f>IF(A605="","",BASE_CAIXA!AA602)</f>
        <v>23010</v>
      </c>
      <c r="F605" s="26">
        <f>IF(A605="","",BASE_CAIXA!N602)</f>
        <v>0</v>
      </c>
      <c r="G605" s="26">
        <f>IF(A605="","",BASE_CAIXA!O602)</f>
        <v>0</v>
      </c>
      <c r="H605" s="26">
        <f>IF(A605="","",BASE_CAIXA!P602)</f>
        <v>0</v>
      </c>
      <c r="I605" s="26" t="str">
        <f>IF(A605="","",IF(BASE_CAIXA!H602&lt;&gt;"",BASE_CAIXA!H602,BASE_CAIXA!G602))</f>
        <v>EMPRÉSTIMO EXTRA</v>
      </c>
      <c r="J605" s="26" t="str">
        <f>IF(A605="","",BASE_CAIXA!G602)</f>
        <v>EMPRÉSTIMO EXTRA</v>
      </c>
      <c r="K605" s="26">
        <f>IF(A605="","",BASE_CAIXA!I602)</f>
        <v>0</v>
      </c>
      <c r="L605" s="26">
        <f>IF(A605="","",BASE_CAIXA!J602)</f>
        <v>0</v>
      </c>
      <c r="M605" s="26" t="str">
        <f>IF(A605="","",BASE_CAIXA!AM602)</f>
        <v>EMPRÉSTIMO EXTRA | EMPRÉSTIMO EXTRA | Saída | CAPITAL DE GIR</v>
      </c>
      <c r="N605" s="26" t="str">
        <f t="shared" ca="1" si="27"/>
        <v>Previsto</v>
      </c>
      <c r="O605" s="13" t="str">
        <f>IFERROR(INDEX(EXTRATO_IMPORTADO!$A$5:$A$404,MATCH(B605,EXTRATO_IMPORTADO!$I$5:$I$404,0)),"")</f>
        <v/>
      </c>
      <c r="P605" s="14" t="str">
        <f>IFERROR(INDEX(EXTRATO_IMPORTADO!$F$5:$F$404,MATCH(B605,EXTRATO_IMPORTADO!$I$5:$I$404,0)),"")</f>
        <v/>
      </c>
      <c r="Q605" s="26" t="str">
        <f>IFERROR(INDEX(EXTRATO_IMPORTADO!$B$5:$B$404,MATCH(B605,EXTRATO_IMPORTADO!$I$5:$I$404,0)),"")</f>
        <v/>
      </c>
      <c r="R605" s="26" t="str">
        <f>IFERROR(MATCH(B605,EXTRATO_IMPORTADO!$I$5:$I$404,0),"")</f>
        <v/>
      </c>
      <c r="S605" s="14" t="str">
        <f t="shared" si="28"/>
        <v/>
      </c>
      <c r="T605" s="33" t="str">
        <f t="shared" si="29"/>
        <v/>
      </c>
    </row>
    <row r="606" spans="1:20" x14ac:dyDescent="0.3">
      <c r="A606" s="26">
        <f>IF(BASE_CAIXA!A603="","",BASE_CAIXA!A603)</f>
        <v>602</v>
      </c>
      <c r="B606" s="26" t="str">
        <f>IF(A606="","",BASE_CAIXA!AL603)</f>
        <v>000602-DB</v>
      </c>
      <c r="C606" s="13">
        <f>IF(A606="","",BASE_CAIXA!AJ603)</f>
        <v>46227</v>
      </c>
      <c r="D606" s="26" t="str">
        <f>IF(A606="","",IF(BASE_CAIXA!C603="Entrada","Crédito","Débito"))</f>
        <v>Débito</v>
      </c>
      <c r="E606" s="14">
        <f>IF(A606="","",BASE_CAIXA!AA603)</f>
        <v>668.8</v>
      </c>
      <c r="F606" s="26">
        <f>IF(A606="","",BASE_CAIXA!N603)</f>
        <v>0</v>
      </c>
      <c r="G606" s="26">
        <f>IF(A606="","",BASE_CAIXA!O603)</f>
        <v>0</v>
      </c>
      <c r="H606" s="26">
        <f>IF(A606="","",BASE_CAIXA!P603)</f>
        <v>0</v>
      </c>
      <c r="I606" s="26" t="str">
        <f>IF(A606="","",IF(BASE_CAIXA!H603&lt;&gt;"",BASE_CAIXA!H603,BASE_CAIXA!G603))</f>
        <v>Arandela do tipo meia-lua de sobrepor cor branca com lâmpada</v>
      </c>
      <c r="J606" s="26" t="str">
        <f>IF(A606="","",BASE_CAIXA!G603)</f>
        <v>Arandela do tipo meia-lua de sobrepor cor branca com lâmpada</v>
      </c>
      <c r="K606" s="26">
        <f>IF(A606="","",BASE_CAIXA!I603)</f>
        <v>0</v>
      </c>
      <c r="L606" s="26">
        <f>IF(A606="","",BASE_CAIXA!J603)</f>
        <v>0</v>
      </c>
      <c r="M606" s="26" t="str">
        <f>IF(A606="","",BASE_CAIXA!AM603)</f>
        <v>Arandela do tipo meia-lua de sobrepor cor branca com lâmpada</v>
      </c>
      <c r="N606" s="26" t="str">
        <f t="shared" ca="1" si="27"/>
        <v>Previsto</v>
      </c>
      <c r="O606" s="13" t="str">
        <f>IFERROR(INDEX(EXTRATO_IMPORTADO!$A$5:$A$404,MATCH(B606,EXTRATO_IMPORTADO!$I$5:$I$404,0)),"")</f>
        <v/>
      </c>
      <c r="P606" s="14" t="str">
        <f>IFERROR(INDEX(EXTRATO_IMPORTADO!$F$5:$F$404,MATCH(B606,EXTRATO_IMPORTADO!$I$5:$I$404,0)),"")</f>
        <v/>
      </c>
      <c r="Q606" s="26" t="str">
        <f>IFERROR(INDEX(EXTRATO_IMPORTADO!$B$5:$B$404,MATCH(B606,EXTRATO_IMPORTADO!$I$5:$I$404,0)),"")</f>
        <v/>
      </c>
      <c r="R606" s="26" t="str">
        <f>IFERROR(MATCH(B606,EXTRATO_IMPORTADO!$I$5:$I$404,0),"")</f>
        <v/>
      </c>
      <c r="S606" s="14" t="str">
        <f t="shared" si="28"/>
        <v/>
      </c>
      <c r="T606" s="33" t="str">
        <f t="shared" si="29"/>
        <v/>
      </c>
    </row>
    <row r="607" spans="1:20" x14ac:dyDescent="0.3">
      <c r="A607" s="26">
        <f>IF(BASE_CAIXA!A604="","",BASE_CAIXA!A604)</f>
        <v>603</v>
      </c>
      <c r="B607" s="26" t="str">
        <f>IF(A607="","",BASE_CAIXA!AL604)</f>
        <v>000603-DB</v>
      </c>
      <c r="C607" s="13">
        <f>IF(A607="","",BASE_CAIXA!AJ604)</f>
        <v>46227</v>
      </c>
      <c r="D607" s="26" t="str">
        <f>IF(A607="","",IF(BASE_CAIXA!C604="Entrada","Crédito","Débito"))</f>
        <v>Débito</v>
      </c>
      <c r="E607" s="14">
        <f>IF(A607="","",BASE_CAIXA!AA604)</f>
        <v>540.79999999999995</v>
      </c>
      <c r="F607" s="26">
        <f>IF(A607="","",BASE_CAIXA!N604)</f>
        <v>0</v>
      </c>
      <c r="G607" s="26">
        <f>IF(A607="","",BASE_CAIXA!O604)</f>
        <v>0</v>
      </c>
      <c r="H607" s="26">
        <f>IF(A607="","",BASE_CAIXA!P604)</f>
        <v>0</v>
      </c>
      <c r="I607" s="26" t="str">
        <f>IF(A607="","",IF(BASE_CAIXA!H604&lt;&gt;"",BASE_CAIXA!H604,BASE_CAIXA!G604))</f>
        <v>Arandela tipo tartaruga para uso externo com grade na cor branca com lampada</v>
      </c>
      <c r="J607" s="26" t="str">
        <f>IF(A607="","",BASE_CAIXA!G604)</f>
        <v>Arandela tipo tartaruga para uso externo com grade na cor branca com lampada</v>
      </c>
      <c r="K607" s="26">
        <f>IF(A607="","",BASE_CAIXA!I604)</f>
        <v>0</v>
      </c>
      <c r="L607" s="26">
        <f>IF(A607="","",BASE_CAIXA!J604)</f>
        <v>0</v>
      </c>
      <c r="M607" s="26" t="str">
        <f>IF(A607="","",BASE_CAIXA!AM604)</f>
        <v>Arandela tipo tartaruga para uso externo com grade na cor br</v>
      </c>
      <c r="N607" s="26" t="str">
        <f t="shared" ca="1" si="27"/>
        <v>Previsto</v>
      </c>
      <c r="O607" s="13" t="str">
        <f>IFERROR(INDEX(EXTRATO_IMPORTADO!$A$5:$A$404,MATCH(B607,EXTRATO_IMPORTADO!$I$5:$I$404,0)),"")</f>
        <v/>
      </c>
      <c r="P607" s="14" t="str">
        <f>IFERROR(INDEX(EXTRATO_IMPORTADO!$F$5:$F$404,MATCH(B607,EXTRATO_IMPORTADO!$I$5:$I$404,0)),"")</f>
        <v/>
      </c>
      <c r="Q607" s="26" t="str">
        <f>IFERROR(INDEX(EXTRATO_IMPORTADO!$B$5:$B$404,MATCH(B607,EXTRATO_IMPORTADO!$I$5:$I$404,0)),"")</f>
        <v/>
      </c>
      <c r="R607" s="26" t="str">
        <f>IFERROR(MATCH(B607,EXTRATO_IMPORTADO!$I$5:$I$404,0),"")</f>
        <v/>
      </c>
      <c r="S607" s="14" t="str">
        <f t="shared" si="28"/>
        <v/>
      </c>
      <c r="T607" s="33" t="str">
        <f t="shared" si="29"/>
        <v/>
      </c>
    </row>
    <row r="608" spans="1:20" x14ac:dyDescent="0.3">
      <c r="A608" s="26">
        <f>IF(BASE_CAIXA!A605="","",BASE_CAIXA!A605)</f>
        <v>604</v>
      </c>
      <c r="B608" s="26" t="str">
        <f>IF(A608="","",BASE_CAIXA!AL605)</f>
        <v>000604-DB</v>
      </c>
      <c r="C608" s="13">
        <f>IF(A608="","",BASE_CAIXA!AJ605)</f>
        <v>46227</v>
      </c>
      <c r="D608" s="26" t="str">
        <f>IF(A608="","",IF(BASE_CAIXA!C605="Entrada","Crédito","Débito"))</f>
        <v>Débito</v>
      </c>
      <c r="E608" s="14">
        <f>IF(A608="","",BASE_CAIXA!AA605)</f>
        <v>2104.96</v>
      </c>
      <c r="F608" s="26">
        <f>IF(A608="","",BASE_CAIXA!N605)</f>
        <v>0</v>
      </c>
      <c r="G608" s="26">
        <f>IF(A608="","",BASE_CAIXA!O605)</f>
        <v>0</v>
      </c>
      <c r="H608" s="26">
        <f>IF(A608="","",BASE_CAIXA!P605)</f>
        <v>0</v>
      </c>
      <c r="I608" s="26" t="str">
        <f>IF(A608="","",IF(BASE_CAIXA!H605&lt;&gt;"",BASE_CAIXA!H605,BASE_CAIXA!G605))</f>
        <v>CHUVEIRO, COM CANO, 3 TEMPERATURAS, 5500 W (110/220 V)</v>
      </c>
      <c r="J608" s="26" t="str">
        <f>IF(A608="","",BASE_CAIXA!G605)</f>
        <v>CHUVEIRO, COM CANO, 3 TEMPERATURAS, 5500 W (110/220 V)</v>
      </c>
      <c r="K608" s="26">
        <f>IF(A608="","",BASE_CAIXA!I605)</f>
        <v>0</v>
      </c>
      <c r="L608" s="26">
        <f>IF(A608="","",BASE_CAIXA!J605)</f>
        <v>0</v>
      </c>
      <c r="M608" s="26" t="str">
        <f>IF(A608="","",BASE_CAIXA!AM605)</f>
        <v>CHUVEIRO, COM CANO, 3 TEMPERATURAS, 5500 W (110/220 V) | CHU</v>
      </c>
      <c r="N608" s="26" t="str">
        <f t="shared" ca="1" si="27"/>
        <v>Previsto</v>
      </c>
      <c r="O608" s="13" t="str">
        <f>IFERROR(INDEX(EXTRATO_IMPORTADO!$A$5:$A$404,MATCH(B608,EXTRATO_IMPORTADO!$I$5:$I$404,0)),"")</f>
        <v/>
      </c>
      <c r="P608" s="14" t="str">
        <f>IFERROR(INDEX(EXTRATO_IMPORTADO!$F$5:$F$404,MATCH(B608,EXTRATO_IMPORTADO!$I$5:$I$404,0)),"")</f>
        <v/>
      </c>
      <c r="Q608" s="26" t="str">
        <f>IFERROR(INDEX(EXTRATO_IMPORTADO!$B$5:$B$404,MATCH(B608,EXTRATO_IMPORTADO!$I$5:$I$404,0)),"")</f>
        <v/>
      </c>
      <c r="R608" s="26" t="str">
        <f>IFERROR(MATCH(B608,EXTRATO_IMPORTADO!$I$5:$I$404,0),"")</f>
        <v/>
      </c>
      <c r="S608" s="14" t="str">
        <f t="shared" si="28"/>
        <v/>
      </c>
      <c r="T608" s="33" t="str">
        <f t="shared" si="29"/>
        <v/>
      </c>
    </row>
    <row r="609" spans="1:20" x14ac:dyDescent="0.3">
      <c r="A609" s="26">
        <f>IF(BASE_CAIXA!A606="","",BASE_CAIXA!A606)</f>
        <v>605</v>
      </c>
      <c r="B609" s="26" t="str">
        <f>IF(A609="","",BASE_CAIXA!AL606)</f>
        <v>000605-DB</v>
      </c>
      <c r="C609" s="13">
        <f>IF(A609="","",BASE_CAIXA!AJ606)</f>
        <v>46227</v>
      </c>
      <c r="D609" s="26" t="str">
        <f>IF(A609="","",IF(BASE_CAIXA!C606="Entrada","Crédito","Débito"))</f>
        <v>Débito</v>
      </c>
      <c r="E609" s="14">
        <f>IF(A609="","",BASE_CAIXA!AA606)</f>
        <v>255.36</v>
      </c>
      <c r="F609" s="26">
        <f>IF(A609="","",BASE_CAIXA!N606)</f>
        <v>0</v>
      </c>
      <c r="G609" s="26">
        <f>IF(A609="","",BASE_CAIXA!O606)</f>
        <v>0</v>
      </c>
      <c r="H609" s="26">
        <f>IF(A609="","",BASE_CAIXA!P606)</f>
        <v>0</v>
      </c>
      <c r="I609" s="26" t="str">
        <f>IF(A609="","",IF(BASE_CAIXA!H606&lt;&gt;"",BASE_CAIXA!H606,BASE_CAIXA!G606))</f>
        <v>Cabo unipolar 1.5 mm² azul claro</v>
      </c>
      <c r="J609" s="26" t="str">
        <f>IF(A609="","",BASE_CAIXA!G606)</f>
        <v>Cabo unipolar 1.5 mm² azul claro</v>
      </c>
      <c r="K609" s="26">
        <f>IF(A609="","",BASE_CAIXA!I606)</f>
        <v>0</v>
      </c>
      <c r="L609" s="26">
        <f>IF(A609="","",BASE_CAIXA!J606)</f>
        <v>0</v>
      </c>
      <c r="M609" s="26" t="str">
        <f>IF(A609="","",BASE_CAIXA!AM606)</f>
        <v>Cabo unipolar 1.5 mm² azul claro | Cabo unipolar 1.5 mm² azu</v>
      </c>
      <c r="N609" s="26" t="str">
        <f t="shared" ca="1" si="27"/>
        <v>Previsto</v>
      </c>
      <c r="O609" s="13" t="str">
        <f>IFERROR(INDEX(EXTRATO_IMPORTADO!$A$5:$A$404,MATCH(B609,EXTRATO_IMPORTADO!$I$5:$I$404,0)),"")</f>
        <v/>
      </c>
      <c r="P609" s="14" t="str">
        <f>IFERROR(INDEX(EXTRATO_IMPORTADO!$F$5:$F$404,MATCH(B609,EXTRATO_IMPORTADO!$I$5:$I$404,0)),"")</f>
        <v/>
      </c>
      <c r="Q609" s="26" t="str">
        <f>IFERROR(INDEX(EXTRATO_IMPORTADO!$B$5:$B$404,MATCH(B609,EXTRATO_IMPORTADO!$I$5:$I$404,0)),"")</f>
        <v/>
      </c>
      <c r="R609" s="26" t="str">
        <f>IFERROR(MATCH(B609,EXTRATO_IMPORTADO!$I$5:$I$404,0),"")</f>
        <v/>
      </c>
      <c r="S609" s="14" t="str">
        <f t="shared" si="28"/>
        <v/>
      </c>
      <c r="T609" s="33" t="str">
        <f t="shared" si="29"/>
        <v/>
      </c>
    </row>
    <row r="610" spans="1:20" x14ac:dyDescent="0.3">
      <c r="A610" s="26">
        <f>IF(BASE_CAIXA!A607="","",BASE_CAIXA!A607)</f>
        <v>606</v>
      </c>
      <c r="B610" s="26" t="str">
        <f>IF(A610="","",BASE_CAIXA!AL607)</f>
        <v>000606-DB</v>
      </c>
      <c r="C610" s="13">
        <f>IF(A610="","",BASE_CAIXA!AJ607)</f>
        <v>46227</v>
      </c>
      <c r="D610" s="26" t="str">
        <f>IF(A610="","",IF(BASE_CAIXA!C607="Entrada","Crédito","Débito"))</f>
        <v>Débito</v>
      </c>
      <c r="E610" s="14">
        <f>IF(A610="","",BASE_CAIXA!AA607)</f>
        <v>255.36</v>
      </c>
      <c r="F610" s="26">
        <f>IF(A610="","",BASE_CAIXA!N607)</f>
        <v>0</v>
      </c>
      <c r="G610" s="26">
        <f>IF(A610="","",BASE_CAIXA!O607)</f>
        <v>0</v>
      </c>
      <c r="H610" s="26">
        <f>IF(A610="","",BASE_CAIXA!P607)</f>
        <v>0</v>
      </c>
      <c r="I610" s="26" t="str">
        <f>IF(A610="","",IF(BASE_CAIXA!H607&lt;&gt;"",BASE_CAIXA!H607,BASE_CAIXA!G607))</f>
        <v>Cabo unipolar 1.5 mm² marrom</v>
      </c>
      <c r="J610" s="26" t="str">
        <f>IF(A610="","",BASE_CAIXA!G607)</f>
        <v>Cabo unipolar 1.5 mm² marrom</v>
      </c>
      <c r="K610" s="26">
        <f>IF(A610="","",BASE_CAIXA!I607)</f>
        <v>0</v>
      </c>
      <c r="L610" s="26">
        <f>IF(A610="","",BASE_CAIXA!J607)</f>
        <v>0</v>
      </c>
      <c r="M610" s="26" t="str">
        <f>IF(A610="","",BASE_CAIXA!AM607)</f>
        <v xml:space="preserve">Cabo unipolar 1.5 mm² marrom | Cabo unipolar 1.5 mm² marrom </v>
      </c>
      <c r="N610" s="26" t="str">
        <f t="shared" ca="1" si="27"/>
        <v>Previsto</v>
      </c>
      <c r="O610" s="13" t="str">
        <f>IFERROR(INDEX(EXTRATO_IMPORTADO!$A$5:$A$404,MATCH(B610,EXTRATO_IMPORTADO!$I$5:$I$404,0)),"")</f>
        <v/>
      </c>
      <c r="P610" s="14" t="str">
        <f>IFERROR(INDEX(EXTRATO_IMPORTADO!$F$5:$F$404,MATCH(B610,EXTRATO_IMPORTADO!$I$5:$I$404,0)),"")</f>
        <v/>
      </c>
      <c r="Q610" s="26" t="str">
        <f>IFERROR(INDEX(EXTRATO_IMPORTADO!$B$5:$B$404,MATCH(B610,EXTRATO_IMPORTADO!$I$5:$I$404,0)),"")</f>
        <v/>
      </c>
      <c r="R610" s="26" t="str">
        <f>IFERROR(MATCH(B610,EXTRATO_IMPORTADO!$I$5:$I$404,0),"")</f>
        <v/>
      </c>
      <c r="S610" s="14" t="str">
        <f t="shared" si="28"/>
        <v/>
      </c>
      <c r="T610" s="33" t="str">
        <f t="shared" si="29"/>
        <v/>
      </c>
    </row>
    <row r="611" spans="1:20" x14ac:dyDescent="0.3">
      <c r="A611" s="26">
        <f>IF(BASE_CAIXA!A608="","",BASE_CAIXA!A608)</f>
        <v>607</v>
      </c>
      <c r="B611" s="26" t="str">
        <f>IF(A611="","",BASE_CAIXA!AL608)</f>
        <v>000607-DB</v>
      </c>
      <c r="C611" s="13">
        <f>IF(A611="","",BASE_CAIXA!AJ608)</f>
        <v>46227</v>
      </c>
      <c r="D611" s="26" t="str">
        <f>IF(A611="","",IF(BASE_CAIXA!C608="Entrada","Crédito","Débito"))</f>
        <v>Débito</v>
      </c>
      <c r="E611" s="14">
        <f>IF(A611="","",BASE_CAIXA!AA608)</f>
        <v>5804.8</v>
      </c>
      <c r="F611" s="26">
        <f>IF(A611="","",BASE_CAIXA!N608)</f>
        <v>0</v>
      </c>
      <c r="G611" s="26">
        <f>IF(A611="","",BASE_CAIXA!O608)</f>
        <v>0</v>
      </c>
      <c r="H611" s="26">
        <f>IF(A611="","",BASE_CAIXA!P608)</f>
        <v>0</v>
      </c>
      <c r="I611" s="26" t="str">
        <f>IF(A611="","",IF(BASE_CAIXA!H608&lt;&gt;"",BASE_CAIXA!H608,BASE_CAIXA!G608))</f>
        <v>Cabo unipolar 10 mm² azul claro</v>
      </c>
      <c r="J611" s="26" t="str">
        <f>IF(A611="","",BASE_CAIXA!G608)</f>
        <v>Cabo unipolar 10 mm² azul claro</v>
      </c>
      <c r="K611" s="26">
        <f>IF(A611="","",BASE_CAIXA!I608)</f>
        <v>0</v>
      </c>
      <c r="L611" s="26">
        <f>IF(A611="","",BASE_CAIXA!J608)</f>
        <v>0</v>
      </c>
      <c r="M611" s="26" t="str">
        <f>IF(A611="","",BASE_CAIXA!AM608)</f>
        <v xml:space="preserve">Cabo unipolar 10 mm² azul claro | Cabo unipolar 10 mm² azul </v>
      </c>
      <c r="N611" s="26" t="str">
        <f t="shared" ca="1" si="27"/>
        <v>Previsto</v>
      </c>
      <c r="O611" s="13" t="str">
        <f>IFERROR(INDEX(EXTRATO_IMPORTADO!$A$5:$A$404,MATCH(B611,EXTRATO_IMPORTADO!$I$5:$I$404,0)),"")</f>
        <v/>
      </c>
      <c r="P611" s="14" t="str">
        <f>IFERROR(INDEX(EXTRATO_IMPORTADO!$F$5:$F$404,MATCH(B611,EXTRATO_IMPORTADO!$I$5:$I$404,0)),"")</f>
        <v/>
      </c>
      <c r="Q611" s="26" t="str">
        <f>IFERROR(INDEX(EXTRATO_IMPORTADO!$B$5:$B$404,MATCH(B611,EXTRATO_IMPORTADO!$I$5:$I$404,0)),"")</f>
        <v/>
      </c>
      <c r="R611" s="26" t="str">
        <f>IFERROR(MATCH(B611,EXTRATO_IMPORTADO!$I$5:$I$404,0),"")</f>
        <v/>
      </c>
      <c r="S611" s="14" t="str">
        <f t="shared" si="28"/>
        <v/>
      </c>
      <c r="T611" s="33" t="str">
        <f t="shared" si="29"/>
        <v/>
      </c>
    </row>
    <row r="612" spans="1:20" x14ac:dyDescent="0.3">
      <c r="A612" s="26">
        <f>IF(BASE_CAIXA!A609="","",BASE_CAIXA!A609)</f>
        <v>608</v>
      </c>
      <c r="B612" s="26" t="str">
        <f>IF(A612="","",BASE_CAIXA!AL609)</f>
        <v>000608-DB</v>
      </c>
      <c r="C612" s="13">
        <f>IF(A612="","",BASE_CAIXA!AJ609)</f>
        <v>46227</v>
      </c>
      <c r="D612" s="26" t="str">
        <f>IF(A612="","",IF(BASE_CAIXA!C609="Entrada","Crédito","Débito"))</f>
        <v>Débito</v>
      </c>
      <c r="E612" s="14">
        <f>IF(A612="","",BASE_CAIXA!AA609)</f>
        <v>5804.8</v>
      </c>
      <c r="F612" s="26">
        <f>IF(A612="","",BASE_CAIXA!N609)</f>
        <v>0</v>
      </c>
      <c r="G612" s="26">
        <f>IF(A612="","",BASE_CAIXA!O609)</f>
        <v>0</v>
      </c>
      <c r="H612" s="26">
        <f>IF(A612="","",BASE_CAIXA!P609)</f>
        <v>0</v>
      </c>
      <c r="I612" s="26" t="str">
        <f>IF(A612="","",IF(BASE_CAIXA!H609&lt;&gt;"",BASE_CAIXA!H609,BASE_CAIXA!G609))</f>
        <v>Cabo unipolar 10 mm² marrom</v>
      </c>
      <c r="J612" s="26" t="str">
        <f>IF(A612="","",BASE_CAIXA!G609)</f>
        <v>Cabo unipolar 10 mm² marrom</v>
      </c>
      <c r="K612" s="26">
        <f>IF(A612="","",BASE_CAIXA!I609)</f>
        <v>0</v>
      </c>
      <c r="L612" s="26">
        <f>IF(A612="","",BASE_CAIXA!J609)</f>
        <v>0</v>
      </c>
      <c r="M612" s="26" t="str">
        <f>IF(A612="","",BASE_CAIXA!AM609)</f>
        <v xml:space="preserve">Cabo unipolar 10 mm² marrom | Cabo unipolar 10 mm² marrom | </v>
      </c>
      <c r="N612" s="26" t="str">
        <f t="shared" ca="1" si="27"/>
        <v>Previsto</v>
      </c>
      <c r="O612" s="13" t="str">
        <f>IFERROR(INDEX(EXTRATO_IMPORTADO!$A$5:$A$404,MATCH(B612,EXTRATO_IMPORTADO!$I$5:$I$404,0)),"")</f>
        <v/>
      </c>
      <c r="P612" s="14" t="str">
        <f>IFERROR(INDEX(EXTRATO_IMPORTADO!$F$5:$F$404,MATCH(B612,EXTRATO_IMPORTADO!$I$5:$I$404,0)),"")</f>
        <v/>
      </c>
      <c r="Q612" s="26" t="str">
        <f>IFERROR(INDEX(EXTRATO_IMPORTADO!$B$5:$B$404,MATCH(B612,EXTRATO_IMPORTADO!$I$5:$I$404,0)),"")</f>
        <v/>
      </c>
      <c r="R612" s="26" t="str">
        <f>IFERROR(MATCH(B612,EXTRATO_IMPORTADO!$I$5:$I$404,0),"")</f>
        <v/>
      </c>
      <c r="S612" s="14" t="str">
        <f t="shared" si="28"/>
        <v/>
      </c>
      <c r="T612" s="33" t="str">
        <f t="shared" si="29"/>
        <v/>
      </c>
    </row>
    <row r="613" spans="1:20" x14ac:dyDescent="0.3">
      <c r="A613" s="26">
        <f>IF(BASE_CAIXA!A610="","",BASE_CAIXA!A610)</f>
        <v>609</v>
      </c>
      <c r="B613" s="26" t="str">
        <f>IF(A613="","",BASE_CAIXA!AL610)</f>
        <v>000609-DB</v>
      </c>
      <c r="C613" s="13">
        <f>IF(A613="","",BASE_CAIXA!AJ610)</f>
        <v>46227</v>
      </c>
      <c r="D613" s="26" t="str">
        <f>IF(A613="","",IF(BASE_CAIXA!C610="Entrada","Crédito","Débito"))</f>
        <v>Débito</v>
      </c>
      <c r="E613" s="14">
        <f>IF(A613="","",BASE_CAIXA!AA610)</f>
        <v>5804.8</v>
      </c>
      <c r="F613" s="26">
        <f>IF(A613="","",BASE_CAIXA!N610)</f>
        <v>0</v>
      </c>
      <c r="G613" s="26">
        <f>IF(A613="","",BASE_CAIXA!O610)</f>
        <v>0</v>
      </c>
      <c r="H613" s="26">
        <f>IF(A613="","",BASE_CAIXA!P610)</f>
        <v>0</v>
      </c>
      <c r="I613" s="26" t="str">
        <f>IF(A613="","",IF(BASE_CAIXA!H610&lt;&gt;"",BASE_CAIXA!H610,BASE_CAIXA!G610))</f>
        <v>Cabo unipolar 10 mm² preto</v>
      </c>
      <c r="J613" s="26" t="str">
        <f>IF(A613="","",BASE_CAIXA!G610)</f>
        <v>Cabo unipolar 10 mm² preto</v>
      </c>
      <c r="K613" s="26">
        <f>IF(A613="","",BASE_CAIXA!I610)</f>
        <v>0</v>
      </c>
      <c r="L613" s="26">
        <f>IF(A613="","",BASE_CAIXA!J610)</f>
        <v>0</v>
      </c>
      <c r="M613" s="26" t="str">
        <f>IF(A613="","",BASE_CAIXA!AM610)</f>
        <v>Cabo unipolar 10 mm² preto | Cabo unipolar 10 mm² preto | Sa</v>
      </c>
      <c r="N613" s="26" t="str">
        <f t="shared" ca="1" si="27"/>
        <v>Previsto</v>
      </c>
      <c r="O613" s="13" t="str">
        <f>IFERROR(INDEX(EXTRATO_IMPORTADO!$A$5:$A$404,MATCH(B613,EXTRATO_IMPORTADO!$I$5:$I$404,0)),"")</f>
        <v/>
      </c>
      <c r="P613" s="14" t="str">
        <f>IFERROR(INDEX(EXTRATO_IMPORTADO!$F$5:$F$404,MATCH(B613,EXTRATO_IMPORTADO!$I$5:$I$404,0)),"")</f>
        <v/>
      </c>
      <c r="Q613" s="26" t="str">
        <f>IFERROR(INDEX(EXTRATO_IMPORTADO!$B$5:$B$404,MATCH(B613,EXTRATO_IMPORTADO!$I$5:$I$404,0)),"")</f>
        <v/>
      </c>
      <c r="R613" s="26" t="str">
        <f>IFERROR(MATCH(B613,EXTRATO_IMPORTADO!$I$5:$I$404,0),"")</f>
        <v/>
      </c>
      <c r="S613" s="14" t="str">
        <f t="shared" si="28"/>
        <v/>
      </c>
      <c r="T613" s="33" t="str">
        <f t="shared" si="29"/>
        <v/>
      </c>
    </row>
    <row r="614" spans="1:20" x14ac:dyDescent="0.3">
      <c r="A614" s="26">
        <f>IF(BASE_CAIXA!A611="","",BASE_CAIXA!A611)</f>
        <v>610</v>
      </c>
      <c r="B614" s="26" t="str">
        <f>IF(A614="","",BASE_CAIXA!AL611)</f>
        <v>000610-DB</v>
      </c>
      <c r="C614" s="13">
        <f>IF(A614="","",BASE_CAIXA!AJ611)</f>
        <v>46227</v>
      </c>
      <c r="D614" s="26" t="str">
        <f>IF(A614="","",IF(BASE_CAIXA!C611="Entrada","Crédito","Débito"))</f>
        <v>Débito</v>
      </c>
      <c r="E614" s="14">
        <f>IF(A614="","",BASE_CAIXA!AA611)</f>
        <v>5601.6320000000014</v>
      </c>
      <c r="F614" s="26">
        <f>IF(A614="","",BASE_CAIXA!N611)</f>
        <v>0</v>
      </c>
      <c r="G614" s="26">
        <f>IF(A614="","",BASE_CAIXA!O611)</f>
        <v>0</v>
      </c>
      <c r="H614" s="26">
        <f>IF(A614="","",BASE_CAIXA!P611)</f>
        <v>0</v>
      </c>
      <c r="I614" s="26" t="str">
        <f>IF(A614="","",IF(BASE_CAIXA!H611&lt;&gt;"",BASE_CAIXA!H611,BASE_CAIXA!G611))</f>
        <v>Cabo unipolar 10 mm² verde-amarelo</v>
      </c>
      <c r="J614" s="26" t="str">
        <f>IF(A614="","",BASE_CAIXA!G611)</f>
        <v>Cabo unipolar 10 mm² verde-amarelo</v>
      </c>
      <c r="K614" s="26">
        <f>IF(A614="","",BASE_CAIXA!I611)</f>
        <v>0</v>
      </c>
      <c r="L614" s="26">
        <f>IF(A614="","",BASE_CAIXA!J611)</f>
        <v>0</v>
      </c>
      <c r="M614" s="26" t="str">
        <f>IF(A614="","",BASE_CAIXA!AM611)</f>
        <v>Cabo unipolar 10 mm² verde-amarelo | Cabo unipolar 10 mm² ve</v>
      </c>
      <c r="N614" s="26" t="str">
        <f t="shared" ca="1" si="27"/>
        <v>Previsto</v>
      </c>
      <c r="O614" s="13" t="str">
        <f>IFERROR(INDEX(EXTRATO_IMPORTADO!$A$5:$A$404,MATCH(B614,EXTRATO_IMPORTADO!$I$5:$I$404,0)),"")</f>
        <v/>
      </c>
      <c r="P614" s="14" t="str">
        <f>IFERROR(INDEX(EXTRATO_IMPORTADO!$F$5:$F$404,MATCH(B614,EXTRATO_IMPORTADO!$I$5:$I$404,0)),"")</f>
        <v/>
      </c>
      <c r="Q614" s="26" t="str">
        <f>IFERROR(INDEX(EXTRATO_IMPORTADO!$B$5:$B$404,MATCH(B614,EXTRATO_IMPORTADO!$I$5:$I$404,0)),"")</f>
        <v/>
      </c>
      <c r="R614" s="26" t="str">
        <f>IFERROR(MATCH(B614,EXTRATO_IMPORTADO!$I$5:$I$404,0),"")</f>
        <v/>
      </c>
      <c r="S614" s="14" t="str">
        <f t="shared" si="28"/>
        <v/>
      </c>
      <c r="T614" s="33" t="str">
        <f t="shared" si="29"/>
        <v/>
      </c>
    </row>
    <row r="615" spans="1:20" x14ac:dyDescent="0.3">
      <c r="A615" s="26">
        <f>IF(BASE_CAIXA!A612="","",BASE_CAIXA!A612)</f>
        <v>611</v>
      </c>
      <c r="B615" s="26" t="str">
        <f>IF(A615="","",BASE_CAIXA!AL612)</f>
        <v>000611-DB</v>
      </c>
      <c r="C615" s="13">
        <f>IF(A615="","",BASE_CAIXA!AJ612)</f>
        <v>46227</v>
      </c>
      <c r="D615" s="26" t="str">
        <f>IF(A615="","",IF(BASE_CAIXA!C612="Entrada","Crédito","Débito"))</f>
        <v>Débito</v>
      </c>
      <c r="E615" s="14">
        <f>IF(A615="","",BASE_CAIXA!AA612)</f>
        <v>7840.0000000000009</v>
      </c>
      <c r="F615" s="26">
        <f>IF(A615="","",BASE_CAIXA!N612)</f>
        <v>0</v>
      </c>
      <c r="G615" s="26">
        <f>IF(A615="","",BASE_CAIXA!O612)</f>
        <v>0</v>
      </c>
      <c r="H615" s="26">
        <f>IF(A615="","",BASE_CAIXA!P612)</f>
        <v>0</v>
      </c>
      <c r="I615" s="26" t="str">
        <f>IF(A615="","",IF(BASE_CAIXA!H612&lt;&gt;"",BASE_CAIXA!H612,BASE_CAIXA!G612))</f>
        <v>Cabo unipolar 2.5 mm² azul claro</v>
      </c>
      <c r="J615" s="26" t="str">
        <f>IF(A615="","",BASE_CAIXA!G612)</f>
        <v>Cabo unipolar 2.5 mm² azul claro</v>
      </c>
      <c r="K615" s="26">
        <f>IF(A615="","",BASE_CAIXA!I612)</f>
        <v>0</v>
      </c>
      <c r="L615" s="26">
        <f>IF(A615="","",BASE_CAIXA!J612)</f>
        <v>0</v>
      </c>
      <c r="M615" s="26" t="str">
        <f>IF(A615="","",BASE_CAIXA!AM612)</f>
        <v>Cabo unipolar 2.5 mm² azul claro | Cabo unipolar 2.5 mm² azu</v>
      </c>
      <c r="N615" s="26" t="str">
        <f t="shared" ca="1" si="27"/>
        <v>Previsto</v>
      </c>
      <c r="O615" s="13" t="str">
        <f>IFERROR(INDEX(EXTRATO_IMPORTADO!$A$5:$A$404,MATCH(B615,EXTRATO_IMPORTADO!$I$5:$I$404,0)),"")</f>
        <v/>
      </c>
      <c r="P615" s="14" t="str">
        <f>IFERROR(INDEX(EXTRATO_IMPORTADO!$F$5:$F$404,MATCH(B615,EXTRATO_IMPORTADO!$I$5:$I$404,0)),"")</f>
        <v/>
      </c>
      <c r="Q615" s="26" t="str">
        <f>IFERROR(INDEX(EXTRATO_IMPORTADO!$B$5:$B$404,MATCH(B615,EXTRATO_IMPORTADO!$I$5:$I$404,0)),"")</f>
        <v/>
      </c>
      <c r="R615" s="26" t="str">
        <f>IFERROR(MATCH(B615,EXTRATO_IMPORTADO!$I$5:$I$404,0),"")</f>
        <v/>
      </c>
      <c r="S615" s="14" t="str">
        <f t="shared" si="28"/>
        <v/>
      </c>
      <c r="T615" s="33" t="str">
        <f t="shared" si="29"/>
        <v/>
      </c>
    </row>
    <row r="616" spans="1:20" x14ac:dyDescent="0.3">
      <c r="A616" s="26">
        <f>IF(BASE_CAIXA!A613="","",BASE_CAIXA!A613)</f>
        <v>612</v>
      </c>
      <c r="B616" s="26" t="str">
        <f>IF(A616="","",BASE_CAIXA!AL613)</f>
        <v>000612-DB</v>
      </c>
      <c r="C616" s="13">
        <f>IF(A616="","",BASE_CAIXA!AJ613)</f>
        <v>46227</v>
      </c>
      <c r="D616" s="26" t="str">
        <f>IF(A616="","",IF(BASE_CAIXA!C613="Entrada","Crédito","Débito"))</f>
        <v>Débito</v>
      </c>
      <c r="E616" s="14">
        <f>IF(A616="","",BASE_CAIXA!AA613)</f>
        <v>7840.0000000000009</v>
      </c>
      <c r="F616" s="26">
        <f>IF(A616="","",BASE_CAIXA!N613)</f>
        <v>0</v>
      </c>
      <c r="G616" s="26">
        <f>IF(A616="","",BASE_CAIXA!O613)</f>
        <v>0</v>
      </c>
      <c r="H616" s="26">
        <f>IF(A616="","",BASE_CAIXA!P613)</f>
        <v>0</v>
      </c>
      <c r="I616" s="26" t="str">
        <f>IF(A616="","",IF(BASE_CAIXA!H613&lt;&gt;"",BASE_CAIXA!H613,BASE_CAIXA!G613))</f>
        <v>Cabo unipolar 2.5 mm² marrom</v>
      </c>
      <c r="J616" s="26" t="str">
        <f>IF(A616="","",BASE_CAIXA!G613)</f>
        <v>Cabo unipolar 2.5 mm² marrom</v>
      </c>
      <c r="K616" s="26">
        <f>IF(A616="","",BASE_CAIXA!I613)</f>
        <v>0</v>
      </c>
      <c r="L616" s="26">
        <f>IF(A616="","",BASE_CAIXA!J613)</f>
        <v>0</v>
      </c>
      <c r="M616" s="26" t="str">
        <f>IF(A616="","",BASE_CAIXA!AM613)</f>
        <v xml:space="preserve">Cabo unipolar 2.5 mm² marrom | Cabo unipolar 2.5 mm² marrom </v>
      </c>
      <c r="N616" s="26" t="str">
        <f t="shared" ca="1" si="27"/>
        <v>Previsto</v>
      </c>
      <c r="O616" s="13" t="str">
        <f>IFERROR(INDEX(EXTRATO_IMPORTADO!$A$5:$A$404,MATCH(B616,EXTRATO_IMPORTADO!$I$5:$I$404,0)),"")</f>
        <v/>
      </c>
      <c r="P616" s="14" t="str">
        <f>IFERROR(INDEX(EXTRATO_IMPORTADO!$F$5:$F$404,MATCH(B616,EXTRATO_IMPORTADO!$I$5:$I$404,0)),"")</f>
        <v/>
      </c>
      <c r="Q616" s="26" t="str">
        <f>IFERROR(INDEX(EXTRATO_IMPORTADO!$B$5:$B$404,MATCH(B616,EXTRATO_IMPORTADO!$I$5:$I$404,0)),"")</f>
        <v/>
      </c>
      <c r="R616" s="26" t="str">
        <f>IFERROR(MATCH(B616,EXTRATO_IMPORTADO!$I$5:$I$404,0),"")</f>
        <v/>
      </c>
      <c r="S616" s="14" t="str">
        <f t="shared" si="28"/>
        <v/>
      </c>
      <c r="T616" s="33" t="str">
        <f t="shared" si="29"/>
        <v/>
      </c>
    </row>
    <row r="617" spans="1:20" x14ac:dyDescent="0.3">
      <c r="A617" s="26">
        <f>IF(BASE_CAIXA!A614="","",BASE_CAIXA!A614)</f>
        <v>613</v>
      </c>
      <c r="B617" s="26" t="str">
        <f>IF(A617="","",BASE_CAIXA!AL614)</f>
        <v>000613-DB</v>
      </c>
      <c r="C617" s="13">
        <f>IF(A617="","",BASE_CAIXA!AJ614)</f>
        <v>46227</v>
      </c>
      <c r="D617" s="26" t="str">
        <f>IF(A617="","",IF(BASE_CAIXA!C614="Entrada","Crédito","Débito"))</f>
        <v>Débito</v>
      </c>
      <c r="E617" s="14">
        <f>IF(A617="","",BASE_CAIXA!AA614)</f>
        <v>7840.0000000000009</v>
      </c>
      <c r="F617" s="26">
        <f>IF(A617="","",BASE_CAIXA!N614)</f>
        <v>0</v>
      </c>
      <c r="G617" s="26">
        <f>IF(A617="","",BASE_CAIXA!O614)</f>
        <v>0</v>
      </c>
      <c r="H617" s="26">
        <f>IF(A617="","",BASE_CAIXA!P614)</f>
        <v>0</v>
      </c>
      <c r="I617" s="26" t="str">
        <f>IF(A617="","",IF(BASE_CAIXA!H614&lt;&gt;"",BASE_CAIXA!H614,BASE_CAIXA!G614))</f>
        <v>Cabo unipolar 2.5 mm² verde-amarelo</v>
      </c>
      <c r="J617" s="26" t="str">
        <f>IF(A617="","",BASE_CAIXA!G614)</f>
        <v>Cabo unipolar 2.5 mm² verde-amarelo</v>
      </c>
      <c r="K617" s="26">
        <f>IF(A617="","",BASE_CAIXA!I614)</f>
        <v>0</v>
      </c>
      <c r="L617" s="26">
        <f>IF(A617="","",BASE_CAIXA!J614)</f>
        <v>0</v>
      </c>
      <c r="M617" s="26" t="str">
        <f>IF(A617="","",BASE_CAIXA!AM614)</f>
        <v xml:space="preserve">Cabo unipolar 2.5 mm² verde-amarelo | Cabo unipolar 2.5 mm² </v>
      </c>
      <c r="N617" s="26" t="str">
        <f t="shared" ca="1" si="27"/>
        <v>Previsto</v>
      </c>
      <c r="O617" s="13" t="str">
        <f>IFERROR(INDEX(EXTRATO_IMPORTADO!$A$5:$A$404,MATCH(B617,EXTRATO_IMPORTADO!$I$5:$I$404,0)),"")</f>
        <v/>
      </c>
      <c r="P617" s="14" t="str">
        <f>IFERROR(INDEX(EXTRATO_IMPORTADO!$F$5:$F$404,MATCH(B617,EXTRATO_IMPORTADO!$I$5:$I$404,0)),"")</f>
        <v/>
      </c>
      <c r="Q617" s="26" t="str">
        <f>IFERROR(INDEX(EXTRATO_IMPORTADO!$B$5:$B$404,MATCH(B617,EXTRATO_IMPORTADO!$I$5:$I$404,0)),"")</f>
        <v/>
      </c>
      <c r="R617" s="26" t="str">
        <f>IFERROR(MATCH(B617,EXTRATO_IMPORTADO!$I$5:$I$404,0),"")</f>
        <v/>
      </c>
      <c r="S617" s="14" t="str">
        <f t="shared" si="28"/>
        <v/>
      </c>
      <c r="T617" s="33" t="str">
        <f t="shared" si="29"/>
        <v/>
      </c>
    </row>
    <row r="618" spans="1:20" x14ac:dyDescent="0.3">
      <c r="A618" s="26">
        <f>IF(BASE_CAIXA!A615="","",BASE_CAIXA!A615)</f>
        <v>614</v>
      </c>
      <c r="B618" s="26" t="str">
        <f>IF(A618="","",BASE_CAIXA!AL615)</f>
        <v>000614-DB</v>
      </c>
      <c r="C618" s="13">
        <f>IF(A618="","",BASE_CAIXA!AJ615)</f>
        <v>46227</v>
      </c>
      <c r="D618" s="26" t="str">
        <f>IF(A618="","",IF(BASE_CAIXA!C615="Entrada","Crédito","Débito"))</f>
        <v>Débito</v>
      </c>
      <c r="E618" s="14">
        <f>IF(A618="","",BASE_CAIXA!AA615)</f>
        <v>444.16</v>
      </c>
      <c r="F618" s="26">
        <f>IF(A618="","",BASE_CAIXA!N615)</f>
        <v>0</v>
      </c>
      <c r="G618" s="26">
        <f>IF(A618="","",BASE_CAIXA!O615)</f>
        <v>0</v>
      </c>
      <c r="H618" s="26">
        <f>IF(A618="","",BASE_CAIXA!P615)</f>
        <v>0</v>
      </c>
      <c r="I618" s="26" t="str">
        <f>IF(A618="","",IF(BASE_CAIXA!H615&lt;&gt;"",BASE_CAIXA!H615,BASE_CAIXA!G615))</f>
        <v>Cabo unipolar 6 mm² azul claro</v>
      </c>
      <c r="J618" s="26" t="str">
        <f>IF(A618="","",BASE_CAIXA!G615)</f>
        <v>Cabo unipolar 6 mm² azul claro</v>
      </c>
      <c r="K618" s="26">
        <f>IF(A618="","",BASE_CAIXA!I615)</f>
        <v>0</v>
      </c>
      <c r="L618" s="26">
        <f>IF(A618="","",BASE_CAIXA!J615)</f>
        <v>0</v>
      </c>
      <c r="M618" s="26" t="str">
        <f>IF(A618="","",BASE_CAIXA!AM615)</f>
        <v>Cabo unipolar 6 mm² azul claro | Cabo unipolar 6 mm² azul cl</v>
      </c>
      <c r="N618" s="26" t="str">
        <f t="shared" ca="1" si="27"/>
        <v>Previsto</v>
      </c>
      <c r="O618" s="13" t="str">
        <f>IFERROR(INDEX(EXTRATO_IMPORTADO!$A$5:$A$404,MATCH(B618,EXTRATO_IMPORTADO!$I$5:$I$404,0)),"")</f>
        <v/>
      </c>
      <c r="P618" s="14" t="str">
        <f>IFERROR(INDEX(EXTRATO_IMPORTADO!$F$5:$F$404,MATCH(B618,EXTRATO_IMPORTADO!$I$5:$I$404,0)),"")</f>
        <v/>
      </c>
      <c r="Q618" s="26" t="str">
        <f>IFERROR(INDEX(EXTRATO_IMPORTADO!$B$5:$B$404,MATCH(B618,EXTRATO_IMPORTADO!$I$5:$I$404,0)),"")</f>
        <v/>
      </c>
      <c r="R618" s="26" t="str">
        <f>IFERROR(MATCH(B618,EXTRATO_IMPORTADO!$I$5:$I$404,0),"")</f>
        <v/>
      </c>
      <c r="S618" s="14" t="str">
        <f t="shared" si="28"/>
        <v/>
      </c>
      <c r="T618" s="33" t="str">
        <f t="shared" si="29"/>
        <v/>
      </c>
    </row>
    <row r="619" spans="1:20" x14ac:dyDescent="0.3">
      <c r="A619" s="26">
        <f>IF(BASE_CAIXA!A616="","",BASE_CAIXA!A616)</f>
        <v>615</v>
      </c>
      <c r="B619" s="26" t="str">
        <f>IF(A619="","",BASE_CAIXA!AL616)</f>
        <v>000615-DB</v>
      </c>
      <c r="C619" s="13">
        <f>IF(A619="","",BASE_CAIXA!AJ616)</f>
        <v>46227</v>
      </c>
      <c r="D619" s="26" t="str">
        <f>IF(A619="","",IF(BASE_CAIXA!C616="Entrada","Crédito","Débito"))</f>
        <v>Débito</v>
      </c>
      <c r="E619" s="14">
        <f>IF(A619="","",BASE_CAIXA!AA616)</f>
        <v>444.16</v>
      </c>
      <c r="F619" s="26">
        <f>IF(A619="","",BASE_CAIXA!N616)</f>
        <v>0</v>
      </c>
      <c r="G619" s="26">
        <f>IF(A619="","",BASE_CAIXA!O616)</f>
        <v>0</v>
      </c>
      <c r="H619" s="26">
        <f>IF(A619="","",BASE_CAIXA!P616)</f>
        <v>0</v>
      </c>
      <c r="I619" s="26" t="str">
        <f>IF(A619="","",IF(BASE_CAIXA!H616&lt;&gt;"",BASE_CAIXA!H616,BASE_CAIXA!G616))</f>
        <v>Cabo unipolar 6 mm² marrom</v>
      </c>
      <c r="J619" s="26" t="str">
        <f>IF(A619="","",BASE_CAIXA!G616)</f>
        <v>Cabo unipolar 6 mm² marrom</v>
      </c>
      <c r="K619" s="26">
        <f>IF(A619="","",BASE_CAIXA!I616)</f>
        <v>0</v>
      </c>
      <c r="L619" s="26">
        <f>IF(A619="","",BASE_CAIXA!J616)</f>
        <v>0</v>
      </c>
      <c r="M619" s="26" t="str">
        <f>IF(A619="","",BASE_CAIXA!AM616)</f>
        <v>Cabo unipolar 6 mm² marrom | Cabo unipolar 6 mm² marrom | Sa</v>
      </c>
      <c r="N619" s="26" t="str">
        <f t="shared" ca="1" si="27"/>
        <v>Previsto</v>
      </c>
      <c r="O619" s="13" t="str">
        <f>IFERROR(INDEX(EXTRATO_IMPORTADO!$A$5:$A$404,MATCH(B619,EXTRATO_IMPORTADO!$I$5:$I$404,0)),"")</f>
        <v/>
      </c>
      <c r="P619" s="14" t="str">
        <f>IFERROR(INDEX(EXTRATO_IMPORTADO!$F$5:$F$404,MATCH(B619,EXTRATO_IMPORTADO!$I$5:$I$404,0)),"")</f>
        <v/>
      </c>
      <c r="Q619" s="26" t="str">
        <f>IFERROR(INDEX(EXTRATO_IMPORTADO!$B$5:$B$404,MATCH(B619,EXTRATO_IMPORTADO!$I$5:$I$404,0)),"")</f>
        <v/>
      </c>
      <c r="R619" s="26" t="str">
        <f>IFERROR(MATCH(B619,EXTRATO_IMPORTADO!$I$5:$I$404,0),"")</f>
        <v/>
      </c>
      <c r="S619" s="14" t="str">
        <f t="shared" si="28"/>
        <v/>
      </c>
      <c r="T619" s="33" t="str">
        <f t="shared" si="29"/>
        <v/>
      </c>
    </row>
    <row r="620" spans="1:20" x14ac:dyDescent="0.3">
      <c r="A620" s="26">
        <f>IF(BASE_CAIXA!A617="","",BASE_CAIXA!A617)</f>
        <v>616</v>
      </c>
      <c r="B620" s="26" t="str">
        <f>IF(A620="","",BASE_CAIXA!AL617)</f>
        <v>000616-DB</v>
      </c>
      <c r="C620" s="13">
        <f>IF(A620="","",BASE_CAIXA!AJ617)</f>
        <v>46227</v>
      </c>
      <c r="D620" s="26" t="str">
        <f>IF(A620="","",IF(BASE_CAIXA!C617="Entrada","Crédito","Débito"))</f>
        <v>Débito</v>
      </c>
      <c r="E620" s="14">
        <f>IF(A620="","",BASE_CAIXA!AA617)</f>
        <v>444.16</v>
      </c>
      <c r="F620" s="26">
        <f>IF(A620="","",BASE_CAIXA!N617)</f>
        <v>0</v>
      </c>
      <c r="G620" s="26">
        <f>IF(A620="","",BASE_CAIXA!O617)</f>
        <v>0</v>
      </c>
      <c r="H620" s="26">
        <f>IF(A620="","",BASE_CAIXA!P617)</f>
        <v>0</v>
      </c>
      <c r="I620" s="26" t="str">
        <f>IF(A620="","",IF(BASE_CAIXA!H617&lt;&gt;"",BASE_CAIXA!H617,BASE_CAIXA!G617))</f>
        <v>Cabo unipolar 6 mm² verde-amarelo</v>
      </c>
      <c r="J620" s="26" t="str">
        <f>IF(A620="","",BASE_CAIXA!G617)</f>
        <v>Cabo unipolar 6 mm² verde-amarelo</v>
      </c>
      <c r="K620" s="26">
        <f>IF(A620="","",BASE_CAIXA!I617)</f>
        <v>0</v>
      </c>
      <c r="L620" s="26">
        <f>IF(A620="","",BASE_CAIXA!J617)</f>
        <v>0</v>
      </c>
      <c r="M620" s="26" t="str">
        <f>IF(A620="","",BASE_CAIXA!AM617)</f>
        <v>Cabo unipolar 6 mm² verde-amarelo | Cabo unipolar 6 mm² verd</v>
      </c>
      <c r="N620" s="26" t="str">
        <f t="shared" ca="1" si="27"/>
        <v>Previsto</v>
      </c>
      <c r="O620" s="13" t="str">
        <f>IFERROR(INDEX(EXTRATO_IMPORTADO!$A$5:$A$404,MATCH(B620,EXTRATO_IMPORTADO!$I$5:$I$404,0)),"")</f>
        <v/>
      </c>
      <c r="P620" s="14" t="str">
        <f>IFERROR(INDEX(EXTRATO_IMPORTADO!$F$5:$F$404,MATCH(B620,EXTRATO_IMPORTADO!$I$5:$I$404,0)),"")</f>
        <v/>
      </c>
      <c r="Q620" s="26" t="str">
        <f>IFERROR(INDEX(EXTRATO_IMPORTADO!$B$5:$B$404,MATCH(B620,EXTRATO_IMPORTADO!$I$5:$I$404,0)),"")</f>
        <v/>
      </c>
      <c r="R620" s="26" t="str">
        <f>IFERROR(MATCH(B620,EXTRATO_IMPORTADO!$I$5:$I$404,0),"")</f>
        <v/>
      </c>
      <c r="S620" s="14" t="str">
        <f t="shared" si="28"/>
        <v/>
      </c>
      <c r="T620" s="33" t="str">
        <f t="shared" si="29"/>
        <v/>
      </c>
    </row>
    <row r="621" spans="1:20" x14ac:dyDescent="0.3">
      <c r="A621" s="26">
        <f>IF(BASE_CAIXA!A618="","",BASE_CAIXA!A618)</f>
        <v>617</v>
      </c>
      <c r="B621" s="26" t="str">
        <f>IF(A621="","",BASE_CAIXA!AL618)</f>
        <v>000617-DB</v>
      </c>
      <c r="C621" s="13">
        <f>IF(A621="","",BASE_CAIXA!AJ618)</f>
        <v>46227</v>
      </c>
      <c r="D621" s="26" t="str">
        <f>IF(A621="","",IF(BASE_CAIXA!C618="Entrada","Crédito","Débito"))</f>
        <v>Débito</v>
      </c>
      <c r="E621" s="14">
        <f>IF(A621="","",BASE_CAIXA!AA618)</f>
        <v>1276.8</v>
      </c>
      <c r="F621" s="26">
        <f>IF(A621="","",BASE_CAIXA!N618)</f>
        <v>0</v>
      </c>
      <c r="G621" s="26">
        <f>IF(A621="","",BASE_CAIXA!O618)</f>
        <v>0</v>
      </c>
      <c r="H621" s="26">
        <f>IF(A621="","",BASE_CAIXA!P618)</f>
        <v>0</v>
      </c>
      <c r="I621" s="26" t="str">
        <f>IF(A621="","",IF(BASE_CAIXA!H618&lt;&gt;"",BASE_CAIXA!H618,BASE_CAIXA!G618))</f>
        <v>Campainha Cigarra + 1 Tecla Campainha Pollar Radial</v>
      </c>
      <c r="J621" s="26" t="str">
        <f>IF(A621="","",BASE_CAIXA!G618)</f>
        <v>Campainha Cigarra + 1 Tecla Campainha Pollar Radial</v>
      </c>
      <c r="K621" s="26">
        <f>IF(A621="","",BASE_CAIXA!I618)</f>
        <v>0</v>
      </c>
      <c r="L621" s="26">
        <f>IF(A621="","",BASE_CAIXA!J618)</f>
        <v>0</v>
      </c>
      <c r="M621" s="26" t="str">
        <f>IF(A621="","",BASE_CAIXA!AM618)</f>
        <v>Campainha Cigarra + 1 Tecla Campainha Pollar Radial | Campai</v>
      </c>
      <c r="N621" s="26" t="str">
        <f t="shared" ca="1" si="27"/>
        <v>Previsto</v>
      </c>
      <c r="O621" s="13" t="str">
        <f>IFERROR(INDEX(EXTRATO_IMPORTADO!$A$5:$A$404,MATCH(B621,EXTRATO_IMPORTADO!$I$5:$I$404,0)),"")</f>
        <v/>
      </c>
      <c r="P621" s="14" t="str">
        <f>IFERROR(INDEX(EXTRATO_IMPORTADO!$F$5:$F$404,MATCH(B621,EXTRATO_IMPORTADO!$I$5:$I$404,0)),"")</f>
        <v/>
      </c>
      <c r="Q621" s="26" t="str">
        <f>IFERROR(INDEX(EXTRATO_IMPORTADO!$B$5:$B$404,MATCH(B621,EXTRATO_IMPORTADO!$I$5:$I$404,0)),"")</f>
        <v/>
      </c>
      <c r="R621" s="26" t="str">
        <f>IFERROR(MATCH(B621,EXTRATO_IMPORTADO!$I$5:$I$404,0),"")</f>
        <v/>
      </c>
      <c r="S621" s="14" t="str">
        <f t="shared" si="28"/>
        <v/>
      </c>
      <c r="T621" s="33" t="str">
        <f t="shared" si="29"/>
        <v/>
      </c>
    </row>
    <row r="622" spans="1:20" x14ac:dyDescent="0.3">
      <c r="A622" s="26">
        <f>IF(BASE_CAIXA!A619="","",BASE_CAIXA!A619)</f>
        <v>618</v>
      </c>
      <c r="B622" s="26" t="str">
        <f>IF(A622="","",BASE_CAIXA!AL619)</f>
        <v>000618-DB</v>
      </c>
      <c r="C622" s="13">
        <f>IF(A622="","",BASE_CAIXA!AJ619)</f>
        <v>46227</v>
      </c>
      <c r="D622" s="26" t="str">
        <f>IF(A622="","",IF(BASE_CAIXA!C619="Entrada","Crédito","Débito"))</f>
        <v>Débito</v>
      </c>
      <c r="E622" s="14">
        <f>IF(A622="","",BASE_CAIXA!AA619)</f>
        <v>1142.4000000000001</v>
      </c>
      <c r="F622" s="26">
        <f>IF(A622="","",BASE_CAIXA!N619)</f>
        <v>0</v>
      </c>
      <c r="G622" s="26">
        <f>IF(A622="","",BASE_CAIXA!O619)</f>
        <v>0</v>
      </c>
      <c r="H622" s="26">
        <f>IF(A622="","",BASE_CAIXA!P619)</f>
        <v>0</v>
      </c>
      <c r="I622" s="26" t="str">
        <f>IF(A622="","",IF(BASE_CAIXA!H619&lt;&gt;"",BASE_CAIXA!H619,BASE_CAIXA!G619))</f>
        <v>Disjuntor unipolar termomagnético DIN 15A</v>
      </c>
      <c r="J622" s="26" t="str">
        <f>IF(A622="","",BASE_CAIXA!G619)</f>
        <v>Disjuntor unipolar termomagnético DIN 15A</v>
      </c>
      <c r="K622" s="26">
        <f>IF(A622="","",BASE_CAIXA!I619)</f>
        <v>0</v>
      </c>
      <c r="L622" s="26">
        <f>IF(A622="","",BASE_CAIXA!J619)</f>
        <v>0</v>
      </c>
      <c r="M622" s="26" t="str">
        <f>IF(A622="","",BASE_CAIXA!AM619)</f>
        <v>Disjuntor unipolar termomagnético DIN 15A | Disjuntor unipol</v>
      </c>
      <c r="N622" s="26" t="str">
        <f t="shared" ca="1" si="27"/>
        <v>Previsto</v>
      </c>
      <c r="O622" s="13" t="str">
        <f>IFERROR(INDEX(EXTRATO_IMPORTADO!$A$5:$A$404,MATCH(B622,EXTRATO_IMPORTADO!$I$5:$I$404,0)),"")</f>
        <v/>
      </c>
      <c r="P622" s="14" t="str">
        <f>IFERROR(INDEX(EXTRATO_IMPORTADO!$F$5:$F$404,MATCH(B622,EXTRATO_IMPORTADO!$I$5:$I$404,0)),"")</f>
        <v/>
      </c>
      <c r="Q622" s="26" t="str">
        <f>IFERROR(INDEX(EXTRATO_IMPORTADO!$B$5:$B$404,MATCH(B622,EXTRATO_IMPORTADO!$I$5:$I$404,0)),"")</f>
        <v/>
      </c>
      <c r="R622" s="26" t="str">
        <f>IFERROR(MATCH(B622,EXTRATO_IMPORTADO!$I$5:$I$404,0),"")</f>
        <v/>
      </c>
      <c r="S622" s="14" t="str">
        <f t="shared" si="28"/>
        <v/>
      </c>
      <c r="T622" s="33" t="str">
        <f t="shared" si="29"/>
        <v/>
      </c>
    </row>
    <row r="623" spans="1:20" x14ac:dyDescent="0.3">
      <c r="A623" s="26">
        <f>IF(BASE_CAIXA!A620="","",BASE_CAIXA!A620)</f>
        <v>619</v>
      </c>
      <c r="B623" s="26" t="str">
        <f>IF(A623="","",BASE_CAIXA!AL620)</f>
        <v>000619-DB</v>
      </c>
      <c r="C623" s="13">
        <f>IF(A623="","",BASE_CAIXA!AJ620)</f>
        <v>46227</v>
      </c>
      <c r="D623" s="26" t="str">
        <f>IF(A623="","",IF(BASE_CAIXA!C620="Entrada","Crédito","Débito"))</f>
        <v>Débito</v>
      </c>
      <c r="E623" s="14">
        <f>IF(A623="","",BASE_CAIXA!AA620)</f>
        <v>482.24</v>
      </c>
      <c r="F623" s="26">
        <f>IF(A623="","",BASE_CAIXA!N620)</f>
        <v>0</v>
      </c>
      <c r="G623" s="26">
        <f>IF(A623="","",BASE_CAIXA!O620)</f>
        <v>0</v>
      </c>
      <c r="H623" s="26">
        <f>IF(A623="","",BASE_CAIXA!P620)</f>
        <v>0</v>
      </c>
      <c r="I623" s="26" t="str">
        <f>IF(A623="","",IF(BASE_CAIXA!H620&lt;&gt;"",BASE_CAIXA!H620,BASE_CAIXA!G620))</f>
        <v>Disjuntor unipolar termomagnético DIN 60A</v>
      </c>
      <c r="J623" s="26" t="str">
        <f>IF(A623="","",BASE_CAIXA!G620)</f>
        <v>Disjuntor unipolar termomagnético DIN 60A</v>
      </c>
      <c r="K623" s="26">
        <f>IF(A623="","",BASE_CAIXA!I620)</f>
        <v>0</v>
      </c>
      <c r="L623" s="26">
        <f>IF(A623="","",BASE_CAIXA!J620)</f>
        <v>0</v>
      </c>
      <c r="M623" s="26" t="str">
        <f>IF(A623="","",BASE_CAIXA!AM620)</f>
        <v>Disjuntor unipolar termomagnético DIN 60A | Disjuntor unipol</v>
      </c>
      <c r="N623" s="26" t="str">
        <f t="shared" ca="1" si="27"/>
        <v>Previsto</v>
      </c>
      <c r="O623" s="13" t="str">
        <f>IFERROR(INDEX(EXTRATO_IMPORTADO!$A$5:$A$404,MATCH(B623,EXTRATO_IMPORTADO!$I$5:$I$404,0)),"")</f>
        <v/>
      </c>
      <c r="P623" s="14" t="str">
        <f>IFERROR(INDEX(EXTRATO_IMPORTADO!$F$5:$F$404,MATCH(B623,EXTRATO_IMPORTADO!$I$5:$I$404,0)),"")</f>
        <v/>
      </c>
      <c r="Q623" s="26" t="str">
        <f>IFERROR(INDEX(EXTRATO_IMPORTADO!$B$5:$B$404,MATCH(B623,EXTRATO_IMPORTADO!$I$5:$I$404,0)),"")</f>
        <v/>
      </c>
      <c r="R623" s="26" t="str">
        <f>IFERROR(MATCH(B623,EXTRATO_IMPORTADO!$I$5:$I$404,0),"")</f>
        <v/>
      </c>
      <c r="S623" s="14" t="str">
        <f t="shared" si="28"/>
        <v/>
      </c>
      <c r="T623" s="33" t="str">
        <f t="shared" si="29"/>
        <v/>
      </c>
    </row>
    <row r="624" spans="1:20" x14ac:dyDescent="0.3">
      <c r="A624" s="26">
        <f>IF(BASE_CAIXA!A621="","",BASE_CAIXA!A621)</f>
        <v>620</v>
      </c>
      <c r="B624" s="26" t="str">
        <f>IF(A624="","",BASE_CAIXA!AL621)</f>
        <v>000620-DB</v>
      </c>
      <c r="C624" s="13">
        <f>IF(A624="","",BASE_CAIXA!AJ621)</f>
        <v>46227</v>
      </c>
      <c r="D624" s="26" t="str">
        <f>IF(A624="","",IF(BASE_CAIXA!C621="Entrada","Crédito","Débito"))</f>
        <v>Débito</v>
      </c>
      <c r="E624" s="14">
        <f>IF(A624="","",BASE_CAIXA!AA621)</f>
        <v>1200</v>
      </c>
      <c r="F624" s="26">
        <f>IF(A624="","",BASE_CAIXA!N621)</f>
        <v>0</v>
      </c>
      <c r="G624" s="26">
        <f>IF(A624="","",BASE_CAIXA!O621)</f>
        <v>0</v>
      </c>
      <c r="H624" s="26">
        <f>IF(A624="","",BASE_CAIXA!P621)</f>
        <v>0</v>
      </c>
      <c r="I624" s="26" t="str">
        <f>IF(A624="","",IF(BASE_CAIXA!H621&lt;&gt;"",BASE_CAIXA!H621,BASE_CAIXA!G621))</f>
        <v>Fita isolante preta 20 metros</v>
      </c>
      <c r="J624" s="26" t="str">
        <f>IF(A624="","",BASE_CAIXA!G621)</f>
        <v>Fita isolante preta 20 metros</v>
      </c>
      <c r="K624" s="26">
        <f>IF(A624="","",BASE_CAIXA!I621)</f>
        <v>0</v>
      </c>
      <c r="L624" s="26">
        <f>IF(A624="","",BASE_CAIXA!J621)</f>
        <v>0</v>
      </c>
      <c r="M624" s="26" t="str">
        <f>IF(A624="","",BASE_CAIXA!AM621)</f>
        <v>Fita isolante preta 20 metros | Fita isolante preta 20 metro</v>
      </c>
      <c r="N624" s="26" t="str">
        <f t="shared" ca="1" si="27"/>
        <v>Previsto</v>
      </c>
      <c r="O624" s="13" t="str">
        <f>IFERROR(INDEX(EXTRATO_IMPORTADO!$A$5:$A$404,MATCH(B624,EXTRATO_IMPORTADO!$I$5:$I$404,0)),"")</f>
        <v/>
      </c>
      <c r="P624" s="14" t="str">
        <f>IFERROR(INDEX(EXTRATO_IMPORTADO!$F$5:$F$404,MATCH(B624,EXTRATO_IMPORTADO!$I$5:$I$404,0)),"")</f>
        <v/>
      </c>
      <c r="Q624" s="26" t="str">
        <f>IFERROR(INDEX(EXTRATO_IMPORTADO!$B$5:$B$404,MATCH(B624,EXTRATO_IMPORTADO!$I$5:$I$404,0)),"")</f>
        <v/>
      </c>
      <c r="R624" s="26" t="str">
        <f>IFERROR(MATCH(B624,EXTRATO_IMPORTADO!$I$5:$I$404,0),"")</f>
        <v/>
      </c>
      <c r="S624" s="14" t="str">
        <f t="shared" si="28"/>
        <v/>
      </c>
      <c r="T624" s="33" t="str">
        <f t="shared" si="29"/>
        <v/>
      </c>
    </row>
    <row r="625" spans="1:20" x14ac:dyDescent="0.3">
      <c r="A625" s="26">
        <f>IF(BASE_CAIXA!A622="","",BASE_CAIXA!A622)</f>
        <v>621</v>
      </c>
      <c r="B625" s="26" t="str">
        <f>IF(A625="","",BASE_CAIXA!AL622)</f>
        <v>000621-DB</v>
      </c>
      <c r="C625" s="13">
        <f>IF(A625="","",BASE_CAIXA!AJ622)</f>
        <v>46227</v>
      </c>
      <c r="D625" s="26" t="str">
        <f>IF(A625="","",IF(BASE_CAIXA!C622="Entrada","Crédito","Débito"))</f>
        <v>Débito</v>
      </c>
      <c r="E625" s="14">
        <f>IF(A625="","",BASE_CAIXA!AA622)</f>
        <v>621.44000000000005</v>
      </c>
      <c r="F625" s="26">
        <f>IF(A625="","",BASE_CAIXA!N622)</f>
        <v>0</v>
      </c>
      <c r="G625" s="26">
        <f>IF(A625="","",BASE_CAIXA!O622)</f>
        <v>0</v>
      </c>
      <c r="H625" s="26">
        <f>IF(A625="","",BASE_CAIXA!P622)</f>
        <v>0</v>
      </c>
      <c r="I625" s="26" t="str">
        <f>IF(A625="","",IF(BASE_CAIXA!H622&lt;&gt;"",BASE_CAIXA!H622,BASE_CAIXA!G622))</f>
        <v>Interruptor 1 tecla simples</v>
      </c>
      <c r="J625" s="26" t="str">
        <f>IF(A625="","",BASE_CAIXA!G622)</f>
        <v>Interruptor 1 tecla simples</v>
      </c>
      <c r="K625" s="26">
        <f>IF(A625="","",BASE_CAIXA!I622)</f>
        <v>0</v>
      </c>
      <c r="L625" s="26">
        <f>IF(A625="","",BASE_CAIXA!J622)</f>
        <v>0</v>
      </c>
      <c r="M625" s="26" t="str">
        <f>IF(A625="","",BASE_CAIXA!AM622)</f>
        <v xml:space="preserve">Interruptor 1 tecla simples | Interruptor 1 tecla simples | </v>
      </c>
      <c r="N625" s="26" t="str">
        <f t="shared" ca="1" si="27"/>
        <v>Previsto</v>
      </c>
      <c r="O625" s="13" t="str">
        <f>IFERROR(INDEX(EXTRATO_IMPORTADO!$A$5:$A$404,MATCH(B625,EXTRATO_IMPORTADO!$I$5:$I$404,0)),"")</f>
        <v/>
      </c>
      <c r="P625" s="14" t="str">
        <f>IFERROR(INDEX(EXTRATO_IMPORTADO!$F$5:$F$404,MATCH(B625,EXTRATO_IMPORTADO!$I$5:$I$404,0)),"")</f>
        <v/>
      </c>
      <c r="Q625" s="26" t="str">
        <f>IFERROR(INDEX(EXTRATO_IMPORTADO!$B$5:$B$404,MATCH(B625,EXTRATO_IMPORTADO!$I$5:$I$404,0)),"")</f>
        <v/>
      </c>
      <c r="R625" s="26" t="str">
        <f>IFERROR(MATCH(B625,EXTRATO_IMPORTADO!$I$5:$I$404,0),"")</f>
        <v/>
      </c>
      <c r="S625" s="14" t="str">
        <f t="shared" si="28"/>
        <v/>
      </c>
      <c r="T625" s="33" t="str">
        <f t="shared" si="29"/>
        <v/>
      </c>
    </row>
    <row r="626" spans="1:20" x14ac:dyDescent="0.3">
      <c r="A626" s="26">
        <f>IF(BASE_CAIXA!A623="","",BASE_CAIXA!A623)</f>
        <v>622</v>
      </c>
      <c r="B626" s="26" t="str">
        <f>IF(A626="","",BASE_CAIXA!AL623)</f>
        <v>000622-DB</v>
      </c>
      <c r="C626" s="13">
        <f>IF(A626="","",BASE_CAIXA!AJ623)</f>
        <v>46227</v>
      </c>
      <c r="D626" s="26" t="str">
        <f>IF(A626="","",IF(BASE_CAIXA!C623="Entrada","Crédito","Débito"))</f>
        <v>Débito</v>
      </c>
      <c r="E626" s="14">
        <f>IF(A626="","",BASE_CAIXA!AA623)</f>
        <v>1429.76</v>
      </c>
      <c r="F626" s="26">
        <f>IF(A626="","",BASE_CAIXA!N623)</f>
        <v>0</v>
      </c>
      <c r="G626" s="26">
        <f>IF(A626="","",BASE_CAIXA!O623)</f>
        <v>0</v>
      </c>
      <c r="H626" s="26">
        <f>IF(A626="","",BASE_CAIXA!P623)</f>
        <v>0</v>
      </c>
      <c r="I626" s="26" t="str">
        <f>IF(A626="","",IF(BASE_CAIXA!H623&lt;&gt;"",BASE_CAIXA!H623,BASE_CAIXA!G623))</f>
        <v>Interruptor 1 tecla simples + tomada hexagonal NBR14136</v>
      </c>
      <c r="J626" s="26" t="str">
        <f>IF(A626="","",BASE_CAIXA!G623)</f>
        <v>Interruptor 1 tecla simples + tomada hexagonal NBR14136</v>
      </c>
      <c r="K626" s="26">
        <f>IF(A626="","",BASE_CAIXA!I623)</f>
        <v>0</v>
      </c>
      <c r="L626" s="26">
        <f>IF(A626="","",BASE_CAIXA!J623)</f>
        <v>0</v>
      </c>
      <c r="M626" s="26" t="str">
        <f>IF(A626="","",BASE_CAIXA!AM623)</f>
        <v>Interruptor 1 tecla simples + tomada hexagonal NBR14136 | In</v>
      </c>
      <c r="N626" s="26" t="str">
        <f t="shared" ca="1" si="27"/>
        <v>Previsto</v>
      </c>
      <c r="O626" s="13" t="str">
        <f>IFERROR(INDEX(EXTRATO_IMPORTADO!$A$5:$A$404,MATCH(B626,EXTRATO_IMPORTADO!$I$5:$I$404,0)),"")</f>
        <v/>
      </c>
      <c r="P626" s="14" t="str">
        <f>IFERROR(INDEX(EXTRATO_IMPORTADO!$F$5:$F$404,MATCH(B626,EXTRATO_IMPORTADO!$I$5:$I$404,0)),"")</f>
        <v/>
      </c>
      <c r="Q626" s="26" t="str">
        <f>IFERROR(INDEX(EXTRATO_IMPORTADO!$B$5:$B$404,MATCH(B626,EXTRATO_IMPORTADO!$I$5:$I$404,0)),"")</f>
        <v/>
      </c>
      <c r="R626" s="26" t="str">
        <f>IFERROR(MATCH(B626,EXTRATO_IMPORTADO!$I$5:$I$404,0),"")</f>
        <v/>
      </c>
      <c r="S626" s="14" t="str">
        <f t="shared" si="28"/>
        <v/>
      </c>
      <c r="T626" s="33" t="str">
        <f t="shared" si="29"/>
        <v/>
      </c>
    </row>
    <row r="627" spans="1:20" x14ac:dyDescent="0.3">
      <c r="A627" s="26">
        <f>IF(BASE_CAIXA!A624="","",BASE_CAIXA!A624)</f>
        <v>623</v>
      </c>
      <c r="B627" s="26" t="str">
        <f>IF(A627="","",BASE_CAIXA!AL624)</f>
        <v>000623-DB</v>
      </c>
      <c r="C627" s="13">
        <f>IF(A627="","",BASE_CAIXA!AJ624)</f>
        <v>46227</v>
      </c>
      <c r="D627" s="26" t="str">
        <f>IF(A627="","",IF(BASE_CAIXA!C624="Entrada","Crédito","Débito"))</f>
        <v>Débito</v>
      </c>
      <c r="E627" s="14">
        <f>IF(A627="","",BASE_CAIXA!AA624)</f>
        <v>1097.5999999999999</v>
      </c>
      <c r="F627" s="26">
        <f>IF(A627="","",BASE_CAIXA!N624)</f>
        <v>0</v>
      </c>
      <c r="G627" s="26">
        <f>IF(A627="","",BASE_CAIXA!O624)</f>
        <v>0</v>
      </c>
      <c r="H627" s="26">
        <f>IF(A627="","",BASE_CAIXA!P624)</f>
        <v>0</v>
      </c>
      <c r="I627" s="26" t="str">
        <f>IF(A627="","",IF(BASE_CAIXA!H624&lt;&gt;"",BASE_CAIXA!H624,BASE_CAIXA!G624))</f>
        <v>Interruptor 2 teclas simples</v>
      </c>
      <c r="J627" s="26" t="str">
        <f>IF(A627="","",BASE_CAIXA!G624)</f>
        <v>Interruptor 2 teclas simples</v>
      </c>
      <c r="K627" s="26">
        <f>IF(A627="","",BASE_CAIXA!I624)</f>
        <v>0</v>
      </c>
      <c r="L627" s="26">
        <f>IF(A627="","",BASE_CAIXA!J624)</f>
        <v>0</v>
      </c>
      <c r="M627" s="26" t="str">
        <f>IF(A627="","",BASE_CAIXA!AM624)</f>
        <v xml:space="preserve">Interruptor 2 teclas simples | Interruptor 2 teclas simples </v>
      </c>
      <c r="N627" s="26" t="str">
        <f t="shared" ca="1" si="27"/>
        <v>Previsto</v>
      </c>
      <c r="O627" s="13" t="str">
        <f>IFERROR(INDEX(EXTRATO_IMPORTADO!$A$5:$A$404,MATCH(B627,EXTRATO_IMPORTADO!$I$5:$I$404,0)),"")</f>
        <v/>
      </c>
      <c r="P627" s="14" t="str">
        <f>IFERROR(INDEX(EXTRATO_IMPORTADO!$F$5:$F$404,MATCH(B627,EXTRATO_IMPORTADO!$I$5:$I$404,0)),"")</f>
        <v/>
      </c>
      <c r="Q627" s="26" t="str">
        <f>IFERROR(INDEX(EXTRATO_IMPORTADO!$B$5:$B$404,MATCH(B627,EXTRATO_IMPORTADO!$I$5:$I$404,0)),"")</f>
        <v/>
      </c>
      <c r="R627" s="26" t="str">
        <f>IFERROR(MATCH(B627,EXTRATO_IMPORTADO!$I$5:$I$404,0),"")</f>
        <v/>
      </c>
      <c r="S627" s="14" t="str">
        <f t="shared" si="28"/>
        <v/>
      </c>
      <c r="T627" s="33" t="str">
        <f t="shared" si="29"/>
        <v/>
      </c>
    </row>
    <row r="628" spans="1:20" x14ac:dyDescent="0.3">
      <c r="A628" s="26">
        <f>IF(BASE_CAIXA!A625="","",BASE_CAIXA!A625)</f>
        <v>624</v>
      </c>
      <c r="B628" s="26" t="str">
        <f>IF(A628="","",BASE_CAIXA!AL625)</f>
        <v>000624-DB</v>
      </c>
      <c r="C628" s="13">
        <f>IF(A628="","",BASE_CAIXA!AJ625)</f>
        <v>46227</v>
      </c>
      <c r="D628" s="26" t="str">
        <f>IF(A628="","",IF(BASE_CAIXA!C625="Entrada","Crédito","Débito"))</f>
        <v>Débito</v>
      </c>
      <c r="E628" s="14">
        <f>IF(A628="","",BASE_CAIXA!AA625)</f>
        <v>552</v>
      </c>
      <c r="F628" s="26">
        <f>IF(A628="","",BASE_CAIXA!N625)</f>
        <v>0</v>
      </c>
      <c r="G628" s="26">
        <f>IF(A628="","",BASE_CAIXA!O625)</f>
        <v>0</v>
      </c>
      <c r="H628" s="26">
        <f>IF(A628="","",BASE_CAIXA!P625)</f>
        <v>0</v>
      </c>
      <c r="I628" s="26" t="str">
        <f>IF(A628="","",IF(BASE_CAIXA!H625&lt;&gt;"",BASE_CAIXA!H625,BASE_CAIXA!G625))</f>
        <v>Kit 1 Barramento Neutro + 1 Barramento Terra sem Proteção HC-004 80A | 12 Entradas</v>
      </c>
      <c r="J628" s="26" t="str">
        <f>IF(A628="","",BASE_CAIXA!G625)</f>
        <v>Kit 1 Barramento Neutro + 1 Barramento Terra sem Proteção HC-004 80A | 12 Entradas</v>
      </c>
      <c r="K628" s="26">
        <f>IF(A628="","",BASE_CAIXA!I625)</f>
        <v>0</v>
      </c>
      <c r="L628" s="26">
        <f>IF(A628="","",BASE_CAIXA!J625)</f>
        <v>0</v>
      </c>
      <c r="M628" s="26" t="str">
        <f>IF(A628="","",BASE_CAIXA!AM625)</f>
        <v>Kit 1 Barramento Neutro + 1 Barramento Terra sem Proteção HC</v>
      </c>
      <c r="N628" s="26" t="str">
        <f t="shared" ca="1" si="27"/>
        <v>Previsto</v>
      </c>
      <c r="O628" s="13" t="str">
        <f>IFERROR(INDEX(EXTRATO_IMPORTADO!$A$5:$A$404,MATCH(B628,EXTRATO_IMPORTADO!$I$5:$I$404,0)),"")</f>
        <v/>
      </c>
      <c r="P628" s="14" t="str">
        <f>IFERROR(INDEX(EXTRATO_IMPORTADO!$F$5:$F$404,MATCH(B628,EXTRATO_IMPORTADO!$I$5:$I$404,0)),"")</f>
        <v/>
      </c>
      <c r="Q628" s="26" t="str">
        <f>IFERROR(INDEX(EXTRATO_IMPORTADO!$B$5:$B$404,MATCH(B628,EXTRATO_IMPORTADO!$I$5:$I$404,0)),"")</f>
        <v/>
      </c>
      <c r="R628" s="26" t="str">
        <f>IFERROR(MATCH(B628,EXTRATO_IMPORTADO!$I$5:$I$404,0),"")</f>
        <v/>
      </c>
      <c r="S628" s="14" t="str">
        <f t="shared" si="28"/>
        <v/>
      </c>
      <c r="T628" s="33" t="str">
        <f t="shared" si="29"/>
        <v/>
      </c>
    </row>
    <row r="629" spans="1:20" x14ac:dyDescent="0.3">
      <c r="A629" s="26">
        <f>IF(BASE_CAIXA!A626="","",BASE_CAIXA!A626)</f>
        <v>625</v>
      </c>
      <c r="B629" s="26" t="str">
        <f>IF(A629="","",BASE_CAIXA!AL626)</f>
        <v>000625-DB</v>
      </c>
      <c r="C629" s="13">
        <f>IF(A629="","",BASE_CAIXA!AJ626)</f>
        <v>46227</v>
      </c>
      <c r="D629" s="26" t="str">
        <f>IF(A629="","",IF(BASE_CAIXA!C626="Entrada","Crédito","Débito"))</f>
        <v>Débito</v>
      </c>
      <c r="E629" s="14">
        <f>IF(A629="","",BASE_CAIXA!AA626)</f>
        <v>4160</v>
      </c>
      <c r="F629" s="26">
        <f>IF(A629="","",BASE_CAIXA!N626)</f>
        <v>0</v>
      </c>
      <c r="G629" s="26">
        <f>IF(A629="","",BASE_CAIXA!O626)</f>
        <v>0</v>
      </c>
      <c r="H629" s="26">
        <f>IF(A629="","",BASE_CAIXA!P626)</f>
        <v>0</v>
      </c>
      <c r="I629" s="26" t="str">
        <f>IF(A629="","",IF(BASE_CAIXA!H626&lt;&gt;"",BASE_CAIXA!H626,BASE_CAIXA!G626))</f>
        <v>Kit tampa quadro de distribuição 6 disjuntores</v>
      </c>
      <c r="J629" s="26" t="str">
        <f>IF(A629="","",BASE_CAIXA!G626)</f>
        <v>Kit tampa quadro de distribuição 6 disjuntores</v>
      </c>
      <c r="K629" s="26">
        <f>IF(A629="","",BASE_CAIXA!I626)</f>
        <v>0</v>
      </c>
      <c r="L629" s="26">
        <f>IF(A629="","",BASE_CAIXA!J626)</f>
        <v>0</v>
      </c>
      <c r="M629" s="26" t="str">
        <f>IF(A629="","",BASE_CAIXA!AM626)</f>
        <v>Kit tampa quadro de distribuição 6 disjuntores | Kit tampa q</v>
      </c>
      <c r="N629" s="26" t="str">
        <f t="shared" ca="1" si="27"/>
        <v>Previsto</v>
      </c>
      <c r="O629" s="13" t="str">
        <f>IFERROR(INDEX(EXTRATO_IMPORTADO!$A$5:$A$404,MATCH(B629,EXTRATO_IMPORTADO!$I$5:$I$404,0)),"")</f>
        <v/>
      </c>
      <c r="P629" s="14" t="str">
        <f>IFERROR(INDEX(EXTRATO_IMPORTADO!$F$5:$F$404,MATCH(B629,EXTRATO_IMPORTADO!$I$5:$I$404,0)),"")</f>
        <v/>
      </c>
      <c r="Q629" s="26" t="str">
        <f>IFERROR(INDEX(EXTRATO_IMPORTADO!$B$5:$B$404,MATCH(B629,EXTRATO_IMPORTADO!$I$5:$I$404,0)),"")</f>
        <v/>
      </c>
      <c r="R629" s="26" t="str">
        <f>IFERROR(MATCH(B629,EXTRATO_IMPORTADO!$I$5:$I$404,0),"")</f>
        <v/>
      </c>
      <c r="S629" s="14" t="str">
        <f t="shared" si="28"/>
        <v/>
      </c>
      <c r="T629" s="33" t="str">
        <f t="shared" si="29"/>
        <v/>
      </c>
    </row>
    <row r="630" spans="1:20" x14ac:dyDescent="0.3">
      <c r="A630" s="26">
        <f>IF(BASE_CAIXA!A627="","",BASE_CAIXA!A627)</f>
        <v>626</v>
      </c>
      <c r="B630" s="26" t="str">
        <f>IF(A630="","",BASE_CAIXA!AL627)</f>
        <v>000626-DB</v>
      </c>
      <c r="C630" s="13">
        <f>IF(A630="","",BASE_CAIXA!AJ627)</f>
        <v>46227</v>
      </c>
      <c r="D630" s="26" t="str">
        <f>IF(A630="","",IF(BASE_CAIXA!C627="Entrada","Crédito","Débito"))</f>
        <v>Débito</v>
      </c>
      <c r="E630" s="14">
        <f>IF(A630="","",BASE_CAIXA!AA627)</f>
        <v>1545.6</v>
      </c>
      <c r="F630" s="26">
        <f>IF(A630="","",BASE_CAIXA!N627)</f>
        <v>0</v>
      </c>
      <c r="G630" s="26">
        <f>IF(A630="","",BASE_CAIXA!O627)</f>
        <v>0</v>
      </c>
      <c r="H630" s="26">
        <f>IF(A630="","",BASE_CAIXA!P627)</f>
        <v>0</v>
      </c>
      <c r="I630" s="26" t="str">
        <f>IF(A630="","",IF(BASE_CAIXA!H627&lt;&gt;"",BASE_CAIXA!H627,BASE_CAIXA!G627))</f>
        <v>LAMPADA LED 10 W B</v>
      </c>
      <c r="J630" s="26" t="str">
        <f>IF(A630="","",BASE_CAIXA!G627)</f>
        <v>LAMPADA LED 10 W B</v>
      </c>
      <c r="K630" s="26">
        <f>IF(A630="","",BASE_CAIXA!I627)</f>
        <v>0</v>
      </c>
      <c r="L630" s="26">
        <f>IF(A630="","",BASE_CAIXA!J627)</f>
        <v>0</v>
      </c>
      <c r="M630" s="26" t="str">
        <f>IF(A630="","",BASE_CAIXA!AM627)</f>
        <v>LAMPADA LED 10 W B | LAMPADA LED 10 W B | Saída | ELETRICA E</v>
      </c>
      <c r="N630" s="26" t="str">
        <f t="shared" ca="1" si="27"/>
        <v>Previsto</v>
      </c>
      <c r="O630" s="13" t="str">
        <f>IFERROR(INDEX(EXTRATO_IMPORTADO!$A$5:$A$404,MATCH(B630,EXTRATO_IMPORTADO!$I$5:$I$404,0)),"")</f>
        <v/>
      </c>
      <c r="P630" s="14" t="str">
        <f>IFERROR(INDEX(EXTRATO_IMPORTADO!$F$5:$F$404,MATCH(B630,EXTRATO_IMPORTADO!$I$5:$I$404,0)),"")</f>
        <v/>
      </c>
      <c r="Q630" s="26" t="str">
        <f>IFERROR(INDEX(EXTRATO_IMPORTADO!$B$5:$B$404,MATCH(B630,EXTRATO_IMPORTADO!$I$5:$I$404,0)),"")</f>
        <v/>
      </c>
      <c r="R630" s="26" t="str">
        <f>IFERROR(MATCH(B630,EXTRATO_IMPORTADO!$I$5:$I$404,0),"")</f>
        <v/>
      </c>
      <c r="S630" s="14" t="str">
        <f t="shared" si="28"/>
        <v/>
      </c>
      <c r="T630" s="33" t="str">
        <f t="shared" si="29"/>
        <v/>
      </c>
    </row>
    <row r="631" spans="1:20" x14ac:dyDescent="0.3">
      <c r="A631" s="26">
        <f>IF(BASE_CAIXA!A628="","",BASE_CAIXA!A628)</f>
        <v>627</v>
      </c>
      <c r="B631" s="26" t="str">
        <f>IF(A631="","",BASE_CAIXA!AL628)</f>
        <v>000627-DB</v>
      </c>
      <c r="C631" s="13">
        <f>IF(A631="","",BASE_CAIXA!AJ628)</f>
        <v>46227</v>
      </c>
      <c r="D631" s="26" t="str">
        <f>IF(A631="","",IF(BASE_CAIXA!C628="Entrada","Crédito","Débito"))</f>
        <v>Débito</v>
      </c>
      <c r="E631" s="14">
        <f>IF(A631="","",BASE_CAIXA!AA628)</f>
        <v>26630.799999999999</v>
      </c>
      <c r="F631" s="26">
        <f>IF(A631="","",BASE_CAIXA!N628)</f>
        <v>0</v>
      </c>
      <c r="G631" s="26">
        <f>IF(A631="","",BASE_CAIXA!O628)</f>
        <v>0</v>
      </c>
      <c r="H631" s="26">
        <f>IF(A631="","",BASE_CAIXA!P628)</f>
        <v>0</v>
      </c>
      <c r="I631" s="26" t="str">
        <f>IF(A631="","",IF(BASE_CAIXA!H628&lt;&gt;"",BASE_CAIXA!H628,BASE_CAIXA!G628))</f>
        <v>Mao de obra terceirizada Pontos eletricos completos  + quadro</v>
      </c>
      <c r="J631" s="26" t="str">
        <f>IF(A631="","",BASE_CAIXA!G628)</f>
        <v>Mao de obra terceirizada Pontos eletricos completos  + quadro</v>
      </c>
      <c r="K631" s="26">
        <f>IF(A631="","",BASE_CAIXA!I628)</f>
        <v>0</v>
      </c>
      <c r="L631" s="26">
        <f>IF(A631="","",BASE_CAIXA!J628)</f>
        <v>0</v>
      </c>
      <c r="M631" s="26" t="str">
        <f>IF(A631="","",BASE_CAIXA!AM628)</f>
        <v>Mao de obra terceirizada Pontos eletricos completos  + quadr</v>
      </c>
      <c r="N631" s="26" t="str">
        <f t="shared" ca="1" si="27"/>
        <v>Previsto</v>
      </c>
      <c r="O631" s="13" t="str">
        <f>IFERROR(INDEX(EXTRATO_IMPORTADO!$A$5:$A$404,MATCH(B631,EXTRATO_IMPORTADO!$I$5:$I$404,0)),"")</f>
        <v/>
      </c>
      <c r="P631" s="14" t="str">
        <f>IFERROR(INDEX(EXTRATO_IMPORTADO!$F$5:$F$404,MATCH(B631,EXTRATO_IMPORTADO!$I$5:$I$404,0)),"")</f>
        <v/>
      </c>
      <c r="Q631" s="26" t="str">
        <f>IFERROR(INDEX(EXTRATO_IMPORTADO!$B$5:$B$404,MATCH(B631,EXTRATO_IMPORTADO!$I$5:$I$404,0)),"")</f>
        <v/>
      </c>
      <c r="R631" s="26" t="str">
        <f>IFERROR(MATCH(B631,EXTRATO_IMPORTADO!$I$5:$I$404,0),"")</f>
        <v/>
      </c>
      <c r="S631" s="14" t="str">
        <f t="shared" si="28"/>
        <v/>
      </c>
      <c r="T631" s="33" t="str">
        <f t="shared" si="29"/>
        <v/>
      </c>
    </row>
    <row r="632" spans="1:20" x14ac:dyDescent="0.3">
      <c r="A632" s="26">
        <f>IF(BASE_CAIXA!A629="","",BASE_CAIXA!A629)</f>
        <v>628</v>
      </c>
      <c r="B632" s="26" t="str">
        <f>IF(A632="","",BASE_CAIXA!AL629)</f>
        <v>000628-DB</v>
      </c>
      <c r="C632" s="13">
        <f>IF(A632="","",BASE_CAIXA!AJ629)</f>
        <v>46227</v>
      </c>
      <c r="D632" s="26" t="str">
        <f>IF(A632="","",IF(BASE_CAIXA!C629="Entrada","Crédito","Débito"))</f>
        <v>Débito</v>
      </c>
      <c r="E632" s="14">
        <f>IF(A632="","",BASE_CAIXA!AA629)</f>
        <v>11413.2</v>
      </c>
      <c r="F632" s="26">
        <f>IF(A632="","",BASE_CAIXA!N629)</f>
        <v>0</v>
      </c>
      <c r="G632" s="26">
        <f>IF(A632="","",BASE_CAIXA!O629)</f>
        <v>0</v>
      </c>
      <c r="H632" s="26">
        <f>IF(A632="","",BASE_CAIXA!P629)</f>
        <v>0</v>
      </c>
      <c r="I632" s="26" t="str">
        <f>IF(A632="","",IF(BASE_CAIXA!H629&lt;&gt;"",BASE_CAIXA!H629,BASE_CAIXA!G629))</f>
        <v>Mao de obra terceirizada colocaçao Espelhos, lampadas e testes</v>
      </c>
      <c r="J632" s="26" t="str">
        <f>IF(A632="","",BASE_CAIXA!G629)</f>
        <v>Mao de obra terceirizada colocaçao Espelhos, lampadas e testes</v>
      </c>
      <c r="K632" s="26">
        <f>IF(A632="","",BASE_CAIXA!I629)</f>
        <v>0</v>
      </c>
      <c r="L632" s="26">
        <f>IF(A632="","",BASE_CAIXA!J629)</f>
        <v>0</v>
      </c>
      <c r="M632" s="26" t="str">
        <f>IF(A632="","",BASE_CAIXA!AM629)</f>
        <v>Mao de obra terceirizada colocaçao Espelhos, lampadas e test</v>
      </c>
      <c r="N632" s="26" t="str">
        <f t="shared" ca="1" si="27"/>
        <v>Previsto</v>
      </c>
      <c r="O632" s="13" t="str">
        <f>IFERROR(INDEX(EXTRATO_IMPORTADO!$A$5:$A$404,MATCH(B632,EXTRATO_IMPORTADO!$I$5:$I$404,0)),"")</f>
        <v/>
      </c>
      <c r="P632" s="14" t="str">
        <f>IFERROR(INDEX(EXTRATO_IMPORTADO!$F$5:$F$404,MATCH(B632,EXTRATO_IMPORTADO!$I$5:$I$404,0)),"")</f>
        <v/>
      </c>
      <c r="Q632" s="26" t="str">
        <f>IFERROR(INDEX(EXTRATO_IMPORTADO!$B$5:$B$404,MATCH(B632,EXTRATO_IMPORTADO!$I$5:$I$404,0)),"")</f>
        <v/>
      </c>
      <c r="R632" s="26" t="str">
        <f>IFERROR(MATCH(B632,EXTRATO_IMPORTADO!$I$5:$I$404,0),"")</f>
        <v/>
      </c>
      <c r="S632" s="14" t="str">
        <f t="shared" si="28"/>
        <v/>
      </c>
      <c r="T632" s="33" t="str">
        <f t="shared" si="29"/>
        <v/>
      </c>
    </row>
    <row r="633" spans="1:20" x14ac:dyDescent="0.3">
      <c r="A633" s="26">
        <f>IF(BASE_CAIXA!A630="","",BASE_CAIXA!A630)</f>
        <v>629</v>
      </c>
      <c r="B633" s="26" t="str">
        <f>IF(A633="","",BASE_CAIXA!AL630)</f>
        <v>000629-DB</v>
      </c>
      <c r="C633" s="13">
        <f>IF(A633="","",BASE_CAIXA!AJ630)</f>
        <v>46227</v>
      </c>
      <c r="D633" s="26" t="str">
        <f>IF(A633="","",IF(BASE_CAIXA!C630="Entrada","Crédito","Débito"))</f>
        <v>Débito</v>
      </c>
      <c r="E633" s="14">
        <f>IF(A633="","",BASE_CAIXA!AA630)</f>
        <v>161.6</v>
      </c>
      <c r="F633" s="26">
        <f>IF(A633="","",BASE_CAIXA!N630)</f>
        <v>0</v>
      </c>
      <c r="G633" s="26">
        <f>IF(A633="","",BASE_CAIXA!O630)</f>
        <v>0</v>
      </c>
      <c r="H633" s="26">
        <f>IF(A633="","",BASE_CAIXA!P630)</f>
        <v>0</v>
      </c>
      <c r="I633" s="26" t="str">
        <f>IF(A633="","",IF(BASE_CAIXA!H630&lt;&gt;"",BASE_CAIXA!H630,BASE_CAIXA!G630))</f>
        <v>Placa 2x4" p/ 1 função redonda telefone</v>
      </c>
      <c r="J633" s="26" t="str">
        <f>IF(A633="","",BASE_CAIXA!G630)</f>
        <v>Placa 2x4" p/ 1 função redonda telefone</v>
      </c>
      <c r="K633" s="26">
        <f>IF(A633="","",BASE_CAIXA!I630)</f>
        <v>0</v>
      </c>
      <c r="L633" s="26">
        <f>IF(A633="","",BASE_CAIXA!J630)</f>
        <v>0</v>
      </c>
      <c r="M633" s="26" t="str">
        <f>IF(A633="","",BASE_CAIXA!AM630)</f>
        <v>Placa 2x4" p/ 1 função redonda telefone | Placa 2x4" p/ 1 fu</v>
      </c>
      <c r="N633" s="26" t="str">
        <f t="shared" ca="1" si="27"/>
        <v>Previsto</v>
      </c>
      <c r="O633" s="13" t="str">
        <f>IFERROR(INDEX(EXTRATO_IMPORTADO!$A$5:$A$404,MATCH(B633,EXTRATO_IMPORTADO!$I$5:$I$404,0)),"")</f>
        <v/>
      </c>
      <c r="P633" s="14" t="str">
        <f>IFERROR(INDEX(EXTRATO_IMPORTADO!$F$5:$F$404,MATCH(B633,EXTRATO_IMPORTADO!$I$5:$I$404,0)),"")</f>
        <v/>
      </c>
      <c r="Q633" s="26" t="str">
        <f>IFERROR(INDEX(EXTRATO_IMPORTADO!$B$5:$B$404,MATCH(B633,EXTRATO_IMPORTADO!$I$5:$I$404,0)),"")</f>
        <v/>
      </c>
      <c r="R633" s="26" t="str">
        <f>IFERROR(MATCH(B633,EXTRATO_IMPORTADO!$I$5:$I$404,0),"")</f>
        <v/>
      </c>
      <c r="S633" s="14" t="str">
        <f t="shared" si="28"/>
        <v/>
      </c>
      <c r="T633" s="33" t="str">
        <f t="shared" si="29"/>
        <v/>
      </c>
    </row>
    <row r="634" spans="1:20" x14ac:dyDescent="0.3">
      <c r="A634" s="26">
        <f>IF(BASE_CAIXA!A631="","",BASE_CAIXA!A631)</f>
        <v>630</v>
      </c>
      <c r="B634" s="26" t="str">
        <f>IF(A634="","",BASE_CAIXA!AL631)</f>
        <v>000630-DB</v>
      </c>
      <c r="C634" s="13">
        <f>IF(A634="","",BASE_CAIXA!AJ631)</f>
        <v>46227</v>
      </c>
      <c r="D634" s="26" t="str">
        <f>IF(A634="","",IF(BASE_CAIXA!C631="Entrada","Crédito","Débito"))</f>
        <v>Débito</v>
      </c>
      <c r="E634" s="14">
        <f>IF(A634="","",BASE_CAIXA!AA631)</f>
        <v>415.68</v>
      </c>
      <c r="F634" s="26">
        <f>IF(A634="","",BASE_CAIXA!N631)</f>
        <v>0</v>
      </c>
      <c r="G634" s="26">
        <f>IF(A634="","",BASE_CAIXA!O631)</f>
        <v>0</v>
      </c>
      <c r="H634" s="26">
        <f>IF(A634="","",BASE_CAIXA!P631)</f>
        <v>0</v>
      </c>
      <c r="I634" s="26" t="str">
        <f>IF(A634="","",IF(BASE_CAIXA!H631&lt;&gt;"",BASE_CAIXA!H631,BASE_CAIXA!G631))</f>
        <v>Placa 2x4" tomada TV/SAT</v>
      </c>
      <c r="J634" s="26" t="str">
        <f>IF(A634="","",BASE_CAIXA!G631)</f>
        <v>Placa 2x4" tomada TV/SAT</v>
      </c>
      <c r="K634" s="26">
        <f>IF(A634="","",BASE_CAIXA!I631)</f>
        <v>0</v>
      </c>
      <c r="L634" s="26">
        <f>IF(A634="","",BASE_CAIXA!J631)</f>
        <v>0</v>
      </c>
      <c r="M634" s="26" t="str">
        <f>IF(A634="","",BASE_CAIXA!AM631)</f>
        <v xml:space="preserve">Placa 2x4" tomada TV/SAT | Placa 2x4" tomada TV/SAT | Saída </v>
      </c>
      <c r="N634" s="26" t="str">
        <f t="shared" ca="1" si="27"/>
        <v>Previsto</v>
      </c>
      <c r="O634" s="13" t="str">
        <f>IFERROR(INDEX(EXTRATO_IMPORTADO!$A$5:$A$404,MATCH(B634,EXTRATO_IMPORTADO!$I$5:$I$404,0)),"")</f>
        <v/>
      </c>
      <c r="P634" s="14" t="str">
        <f>IFERROR(INDEX(EXTRATO_IMPORTADO!$F$5:$F$404,MATCH(B634,EXTRATO_IMPORTADO!$I$5:$I$404,0)),"")</f>
        <v/>
      </c>
      <c r="Q634" s="26" t="str">
        <f>IFERROR(INDEX(EXTRATO_IMPORTADO!$B$5:$B$404,MATCH(B634,EXTRATO_IMPORTADO!$I$5:$I$404,0)),"")</f>
        <v/>
      </c>
      <c r="R634" s="26" t="str">
        <f>IFERROR(MATCH(B634,EXTRATO_IMPORTADO!$I$5:$I$404,0),"")</f>
        <v/>
      </c>
      <c r="S634" s="14" t="str">
        <f t="shared" si="28"/>
        <v/>
      </c>
      <c r="T634" s="33" t="str">
        <f t="shared" si="29"/>
        <v/>
      </c>
    </row>
    <row r="635" spans="1:20" x14ac:dyDescent="0.3">
      <c r="A635" s="26">
        <f>IF(BASE_CAIXA!A632="","",BASE_CAIXA!A632)</f>
        <v>631</v>
      </c>
      <c r="B635" s="26" t="str">
        <f>IF(A635="","",BASE_CAIXA!AL632)</f>
        <v>000631-DB</v>
      </c>
      <c r="C635" s="13">
        <f>IF(A635="","",BASE_CAIXA!AJ632)</f>
        <v>46227</v>
      </c>
      <c r="D635" s="26" t="str">
        <f>IF(A635="","",IF(BASE_CAIXA!C632="Entrada","Crédito","Débito"))</f>
        <v>Débito</v>
      </c>
      <c r="E635" s="14">
        <f>IF(A635="","",BASE_CAIXA!AA632)</f>
        <v>3782.4</v>
      </c>
      <c r="F635" s="26">
        <f>IF(A635="","",BASE_CAIXA!N632)</f>
        <v>0</v>
      </c>
      <c r="G635" s="26">
        <f>IF(A635="","",BASE_CAIXA!O632)</f>
        <v>0</v>
      </c>
      <c r="H635" s="26">
        <f>IF(A635="","",BASE_CAIXA!P632)</f>
        <v>0</v>
      </c>
      <c r="I635" s="26" t="str">
        <f>IF(A635="","",IF(BASE_CAIXA!H632&lt;&gt;"",BASE_CAIXA!H632,BASE_CAIXA!G632))</f>
        <v>Placa p/ 1 função</v>
      </c>
      <c r="J635" s="26" t="str">
        <f>IF(A635="","",BASE_CAIXA!G632)</f>
        <v>Placa p/ 1 função</v>
      </c>
      <c r="K635" s="26">
        <f>IF(A635="","",BASE_CAIXA!I632)</f>
        <v>0</v>
      </c>
      <c r="L635" s="26">
        <f>IF(A635="","",BASE_CAIXA!J632)</f>
        <v>0</v>
      </c>
      <c r="M635" s="26" t="str">
        <f>IF(A635="","",BASE_CAIXA!AM632)</f>
        <v>Placa p/ 1 função | Placa p/ 1 função | Saída | ELETRICA EFI</v>
      </c>
      <c r="N635" s="26" t="str">
        <f t="shared" ca="1" si="27"/>
        <v>Previsto</v>
      </c>
      <c r="O635" s="13" t="str">
        <f>IFERROR(INDEX(EXTRATO_IMPORTADO!$A$5:$A$404,MATCH(B635,EXTRATO_IMPORTADO!$I$5:$I$404,0)),"")</f>
        <v/>
      </c>
      <c r="P635" s="14" t="str">
        <f>IFERROR(INDEX(EXTRATO_IMPORTADO!$F$5:$F$404,MATCH(B635,EXTRATO_IMPORTADO!$I$5:$I$404,0)),"")</f>
        <v/>
      </c>
      <c r="Q635" s="26" t="str">
        <f>IFERROR(INDEX(EXTRATO_IMPORTADO!$B$5:$B$404,MATCH(B635,EXTRATO_IMPORTADO!$I$5:$I$404,0)),"")</f>
        <v/>
      </c>
      <c r="R635" s="26" t="str">
        <f>IFERROR(MATCH(B635,EXTRATO_IMPORTADO!$I$5:$I$404,0),"")</f>
        <v/>
      </c>
      <c r="S635" s="14" t="str">
        <f t="shared" si="28"/>
        <v/>
      </c>
      <c r="T635" s="33" t="str">
        <f t="shared" si="29"/>
        <v/>
      </c>
    </row>
    <row r="636" spans="1:20" x14ac:dyDescent="0.3">
      <c r="A636" s="26">
        <f>IF(BASE_CAIXA!A633="","",BASE_CAIXA!A633)</f>
        <v>632</v>
      </c>
      <c r="B636" s="26" t="str">
        <f>IF(A636="","",BASE_CAIXA!AL633)</f>
        <v>000632-DB</v>
      </c>
      <c r="C636" s="13">
        <f>IF(A636="","",BASE_CAIXA!AJ633)</f>
        <v>46227</v>
      </c>
      <c r="D636" s="26" t="str">
        <f>IF(A636="","",IF(BASE_CAIXA!C633="Entrada","Crédito","Débito"))</f>
        <v>Débito</v>
      </c>
      <c r="E636" s="14">
        <f>IF(A636="","",BASE_CAIXA!AA633)</f>
        <v>1219.8399999999999</v>
      </c>
      <c r="F636" s="26">
        <f>IF(A636="","",BASE_CAIXA!N633)</f>
        <v>0</v>
      </c>
      <c r="G636" s="26">
        <f>IF(A636="","",BASE_CAIXA!O633)</f>
        <v>0</v>
      </c>
      <c r="H636" s="26">
        <f>IF(A636="","",BASE_CAIXA!P633)</f>
        <v>0</v>
      </c>
      <c r="I636" s="26" t="str">
        <f>IF(A636="","",IF(BASE_CAIXA!H633&lt;&gt;"",BASE_CAIXA!H633,BASE_CAIXA!G633))</f>
        <v>Placa p/ 2 funções</v>
      </c>
      <c r="J636" s="26" t="str">
        <f>IF(A636="","",BASE_CAIXA!G633)</f>
        <v>Placa p/ 2 funções</v>
      </c>
      <c r="K636" s="26">
        <f>IF(A636="","",BASE_CAIXA!I633)</f>
        <v>0</v>
      </c>
      <c r="L636" s="26">
        <f>IF(A636="","",BASE_CAIXA!J633)</f>
        <v>0</v>
      </c>
      <c r="M636" s="26" t="str">
        <f>IF(A636="","",BASE_CAIXA!AM633)</f>
        <v>Placa p/ 2 funções | Placa p/ 2 funções | Saída | ELETRICA E</v>
      </c>
      <c r="N636" s="26" t="str">
        <f t="shared" ca="1" si="27"/>
        <v>Previsto</v>
      </c>
      <c r="O636" s="13" t="str">
        <f>IFERROR(INDEX(EXTRATO_IMPORTADO!$A$5:$A$404,MATCH(B636,EXTRATO_IMPORTADO!$I$5:$I$404,0)),"")</f>
        <v/>
      </c>
      <c r="P636" s="14" t="str">
        <f>IFERROR(INDEX(EXTRATO_IMPORTADO!$F$5:$F$404,MATCH(B636,EXTRATO_IMPORTADO!$I$5:$I$404,0)),"")</f>
        <v/>
      </c>
      <c r="Q636" s="26" t="str">
        <f>IFERROR(INDEX(EXTRATO_IMPORTADO!$B$5:$B$404,MATCH(B636,EXTRATO_IMPORTADO!$I$5:$I$404,0)),"")</f>
        <v/>
      </c>
      <c r="R636" s="26" t="str">
        <f>IFERROR(MATCH(B636,EXTRATO_IMPORTADO!$I$5:$I$404,0),"")</f>
        <v/>
      </c>
      <c r="S636" s="14" t="str">
        <f t="shared" si="28"/>
        <v/>
      </c>
      <c r="T636" s="33" t="str">
        <f t="shared" si="29"/>
        <v/>
      </c>
    </row>
    <row r="637" spans="1:20" x14ac:dyDescent="0.3">
      <c r="A637" s="26">
        <f>IF(BASE_CAIXA!A634="","",BASE_CAIXA!A634)</f>
        <v>633</v>
      </c>
      <c r="B637" s="26" t="str">
        <f>IF(A637="","",BASE_CAIXA!AL634)</f>
        <v>000633-DB</v>
      </c>
      <c r="C637" s="13">
        <f>IF(A637="","",BASE_CAIXA!AJ634)</f>
        <v>46227</v>
      </c>
      <c r="D637" s="26" t="str">
        <f>IF(A637="","",IF(BASE_CAIXA!C634="Entrada","Crédito","Débito"))</f>
        <v>Débito</v>
      </c>
      <c r="E637" s="14">
        <f>IF(A637="","",BASE_CAIXA!AA634)</f>
        <v>1682.24</v>
      </c>
      <c r="F637" s="26">
        <f>IF(A637="","",BASE_CAIXA!N634)</f>
        <v>0</v>
      </c>
      <c r="G637" s="26">
        <f>IF(A637="","",BASE_CAIXA!O634)</f>
        <v>0</v>
      </c>
      <c r="H637" s="26">
        <f>IF(A637="","",BASE_CAIXA!P634)</f>
        <v>0</v>
      </c>
      <c r="I637" s="26" t="str">
        <f>IF(A637="","",IF(BASE_CAIXA!H634&lt;&gt;"",BASE_CAIXA!H634,BASE_CAIXA!G634))</f>
        <v>Plafon branco para lampada soquete</v>
      </c>
      <c r="J637" s="26" t="str">
        <f>IF(A637="","",BASE_CAIXA!G634)</f>
        <v>Plafon branco para lampada soquete</v>
      </c>
      <c r="K637" s="26">
        <f>IF(A637="","",BASE_CAIXA!I634)</f>
        <v>0</v>
      </c>
      <c r="L637" s="26">
        <f>IF(A637="","",BASE_CAIXA!J634)</f>
        <v>0</v>
      </c>
      <c r="M637" s="26" t="str">
        <f>IF(A637="","",BASE_CAIXA!AM634)</f>
        <v>Plafon branco para lampada soquete | Plafon branco para lamp</v>
      </c>
      <c r="N637" s="26" t="str">
        <f t="shared" ca="1" si="27"/>
        <v>Previsto</v>
      </c>
      <c r="O637" s="13" t="str">
        <f>IFERROR(INDEX(EXTRATO_IMPORTADO!$A$5:$A$404,MATCH(B637,EXTRATO_IMPORTADO!$I$5:$I$404,0)),"")</f>
        <v/>
      </c>
      <c r="P637" s="14" t="str">
        <f>IFERROR(INDEX(EXTRATO_IMPORTADO!$F$5:$F$404,MATCH(B637,EXTRATO_IMPORTADO!$I$5:$I$404,0)),"")</f>
        <v/>
      </c>
      <c r="Q637" s="26" t="str">
        <f>IFERROR(INDEX(EXTRATO_IMPORTADO!$B$5:$B$404,MATCH(B637,EXTRATO_IMPORTADO!$I$5:$I$404,0)),"")</f>
        <v/>
      </c>
      <c r="R637" s="26" t="str">
        <f>IFERROR(MATCH(B637,EXTRATO_IMPORTADO!$I$5:$I$404,0),"")</f>
        <v/>
      </c>
      <c r="S637" s="14" t="str">
        <f t="shared" si="28"/>
        <v/>
      </c>
      <c r="T637" s="33" t="str">
        <f t="shared" si="29"/>
        <v/>
      </c>
    </row>
    <row r="638" spans="1:20" x14ac:dyDescent="0.3">
      <c r="A638" s="26">
        <f>IF(BASE_CAIXA!A635="","",BASE_CAIXA!A635)</f>
        <v>634</v>
      </c>
      <c r="B638" s="26" t="str">
        <f>IF(A638="","",BASE_CAIXA!AL635)</f>
        <v>000634-DB</v>
      </c>
      <c r="C638" s="13">
        <f>IF(A638="","",BASE_CAIXA!AJ635)</f>
        <v>46227</v>
      </c>
      <c r="D638" s="26" t="str">
        <f>IF(A638="","",IF(BASE_CAIXA!C635="Entrada","Crédito","Débito"))</f>
        <v>Débito</v>
      </c>
      <c r="E638" s="14">
        <f>IF(A638="","",BASE_CAIXA!AA635)</f>
        <v>181.44</v>
      </c>
      <c r="F638" s="26">
        <f>IF(A638="","",BASE_CAIXA!N635)</f>
        <v>0</v>
      </c>
      <c r="G638" s="26">
        <f>IF(A638="","",BASE_CAIXA!O635)</f>
        <v>0</v>
      </c>
      <c r="H638" s="26">
        <f>IF(A638="","",BASE_CAIXA!P635)</f>
        <v>0</v>
      </c>
      <c r="I638" s="26" t="str">
        <f>IF(A638="","",IF(BASE_CAIXA!H635&lt;&gt;"",BASE_CAIXA!H635,BASE_CAIXA!G635))</f>
        <v>Tomada telefone redonda 4P</v>
      </c>
      <c r="J638" s="26" t="str">
        <f>IF(A638="","",BASE_CAIXA!G635)</f>
        <v>Tomada telefone redonda 4P</v>
      </c>
      <c r="K638" s="26">
        <f>IF(A638="","",BASE_CAIXA!I635)</f>
        <v>0</v>
      </c>
      <c r="L638" s="26">
        <f>IF(A638="","",BASE_CAIXA!J635)</f>
        <v>0</v>
      </c>
      <c r="M638" s="26" t="str">
        <f>IF(A638="","",BASE_CAIXA!AM635)</f>
        <v>Tomada telefone redonda 4P | Tomada telefone redonda 4P | Sa</v>
      </c>
      <c r="N638" s="26" t="str">
        <f t="shared" ca="1" si="27"/>
        <v>Previsto</v>
      </c>
      <c r="O638" s="13" t="str">
        <f>IFERROR(INDEX(EXTRATO_IMPORTADO!$A$5:$A$404,MATCH(B638,EXTRATO_IMPORTADO!$I$5:$I$404,0)),"")</f>
        <v/>
      </c>
      <c r="P638" s="14" t="str">
        <f>IFERROR(INDEX(EXTRATO_IMPORTADO!$F$5:$F$404,MATCH(B638,EXTRATO_IMPORTADO!$I$5:$I$404,0)),"")</f>
        <v/>
      </c>
      <c r="Q638" s="26" t="str">
        <f>IFERROR(INDEX(EXTRATO_IMPORTADO!$B$5:$B$404,MATCH(B638,EXTRATO_IMPORTADO!$I$5:$I$404,0)),"")</f>
        <v/>
      </c>
      <c r="R638" s="26" t="str">
        <f>IFERROR(MATCH(B638,EXTRATO_IMPORTADO!$I$5:$I$404,0),"")</f>
        <v/>
      </c>
      <c r="S638" s="14" t="str">
        <f t="shared" si="28"/>
        <v/>
      </c>
      <c r="T638" s="33" t="str">
        <f t="shared" si="29"/>
        <v/>
      </c>
    </row>
    <row r="639" spans="1:20" x14ac:dyDescent="0.3">
      <c r="A639" s="26">
        <f>IF(BASE_CAIXA!A636="","",BASE_CAIXA!A636)</f>
        <v>635</v>
      </c>
      <c r="B639" s="26" t="str">
        <f>IF(A639="","",BASE_CAIXA!AL636)</f>
        <v>000635-DB</v>
      </c>
      <c r="C639" s="13">
        <f>IF(A639="","",BASE_CAIXA!AJ636)</f>
        <v>46227</v>
      </c>
      <c r="D639" s="26" t="str">
        <f>IF(A639="","",IF(BASE_CAIXA!C636="Entrada","Crédito","Débito"))</f>
        <v>Débito</v>
      </c>
      <c r="E639" s="14">
        <f>IF(A639="","",BASE_CAIXA!AA636)</f>
        <v>5104</v>
      </c>
      <c r="F639" s="26">
        <f>IF(A639="","",BASE_CAIXA!N636)</f>
        <v>0</v>
      </c>
      <c r="G639" s="26">
        <f>IF(A639="","",BASE_CAIXA!O636)</f>
        <v>0</v>
      </c>
      <c r="H639" s="26">
        <f>IF(A639="","",BASE_CAIXA!P636)</f>
        <v>0</v>
      </c>
      <c r="I639" s="26" t="str">
        <f>IF(A639="","",IF(BASE_CAIXA!H636&lt;&gt;"",BASE_CAIXA!H636,BASE_CAIXA!G636))</f>
        <v>Tomada universal retangular simples 2P+T 15A</v>
      </c>
      <c r="J639" s="26" t="str">
        <f>IF(A639="","",BASE_CAIXA!G636)</f>
        <v>Tomada universal retangular simples 2P+T 15A</v>
      </c>
      <c r="K639" s="26">
        <f>IF(A639="","",BASE_CAIXA!I636)</f>
        <v>0</v>
      </c>
      <c r="L639" s="26">
        <f>IF(A639="","",BASE_CAIXA!J636)</f>
        <v>0</v>
      </c>
      <c r="M639" s="26" t="str">
        <f>IF(A639="","",BASE_CAIXA!AM636)</f>
        <v>Tomada universal retangular simples 2P+T 15A | Tomada univer</v>
      </c>
      <c r="N639" s="26" t="str">
        <f t="shared" ca="1" si="27"/>
        <v>Previsto</v>
      </c>
      <c r="O639" s="13" t="str">
        <f>IFERROR(INDEX(EXTRATO_IMPORTADO!$A$5:$A$404,MATCH(B639,EXTRATO_IMPORTADO!$I$5:$I$404,0)),"")</f>
        <v/>
      </c>
      <c r="P639" s="14" t="str">
        <f>IFERROR(INDEX(EXTRATO_IMPORTADO!$F$5:$F$404,MATCH(B639,EXTRATO_IMPORTADO!$I$5:$I$404,0)),"")</f>
        <v/>
      </c>
      <c r="Q639" s="26" t="str">
        <f>IFERROR(INDEX(EXTRATO_IMPORTADO!$B$5:$B$404,MATCH(B639,EXTRATO_IMPORTADO!$I$5:$I$404,0)),"")</f>
        <v/>
      </c>
      <c r="R639" s="26" t="str">
        <f>IFERROR(MATCH(B639,EXTRATO_IMPORTADO!$I$5:$I$404,0),"")</f>
        <v/>
      </c>
      <c r="S639" s="14" t="str">
        <f t="shared" si="28"/>
        <v/>
      </c>
      <c r="T639" s="33" t="str">
        <f t="shared" si="29"/>
        <v/>
      </c>
    </row>
    <row r="640" spans="1:20" x14ac:dyDescent="0.3">
      <c r="A640" s="26">
        <f>IF(BASE_CAIXA!A637="","",BASE_CAIXA!A637)</f>
        <v>636</v>
      </c>
      <c r="B640" s="26" t="str">
        <f>IF(A640="","",BASE_CAIXA!AL637)</f>
        <v>000636-DB</v>
      </c>
      <c r="C640" s="13">
        <f>IF(A640="","",BASE_CAIXA!AJ637)</f>
        <v>46227</v>
      </c>
      <c r="D640" s="26" t="str">
        <f>IF(A640="","",IF(BASE_CAIXA!C637="Entrada","Crédito","Débito"))</f>
        <v>Débito</v>
      </c>
      <c r="E640" s="14">
        <f>IF(A640="","",BASE_CAIXA!AA637)</f>
        <v>7962.2400000000007</v>
      </c>
      <c r="F640" s="26">
        <f>IF(A640="","",BASE_CAIXA!N637)</f>
        <v>0</v>
      </c>
      <c r="G640" s="26">
        <f>IF(A640="","",BASE_CAIXA!O637)</f>
        <v>0</v>
      </c>
      <c r="H640" s="26">
        <f>IF(A640="","",BASE_CAIXA!P637)</f>
        <v>0</v>
      </c>
      <c r="I640" s="26" t="str">
        <f>IF(A640="","",IF(BASE_CAIXA!H637&lt;&gt;"",BASE_CAIXA!H637,BASE_CAIXA!G637))</f>
        <v>PORTA ALCAPAO ALUM.BCO (37MM) 60 x 50</v>
      </c>
      <c r="J640" s="26" t="str">
        <f>IF(A640="","",BASE_CAIXA!G637)</f>
        <v>PORTA ALCAPAO ALUM.BCO (37MM) 60 x 50</v>
      </c>
      <c r="K640" s="26">
        <f>IF(A640="","",BASE_CAIXA!I637)</f>
        <v>0</v>
      </c>
      <c r="L640" s="26">
        <f>IF(A640="","",BASE_CAIXA!J637)</f>
        <v>0</v>
      </c>
      <c r="M640" s="26" t="str">
        <f>IF(A640="","",BASE_CAIXA!AM637)</f>
        <v>PORTA ALCAPAO ALUM.BCO (37MM) 60 x 50 | PORTA ALCAPAO ALUM.B</v>
      </c>
      <c r="N640" s="26" t="str">
        <f t="shared" ca="1" si="27"/>
        <v>Previsto</v>
      </c>
      <c r="O640" s="13" t="str">
        <f>IFERROR(INDEX(EXTRATO_IMPORTADO!$A$5:$A$404,MATCH(B640,EXTRATO_IMPORTADO!$I$5:$I$404,0)),"")</f>
        <v/>
      </c>
      <c r="P640" s="14" t="str">
        <f>IFERROR(INDEX(EXTRATO_IMPORTADO!$F$5:$F$404,MATCH(B640,EXTRATO_IMPORTADO!$I$5:$I$404,0)),"")</f>
        <v/>
      </c>
      <c r="Q640" s="26" t="str">
        <f>IFERROR(INDEX(EXTRATO_IMPORTADO!$B$5:$B$404,MATCH(B640,EXTRATO_IMPORTADO!$I$5:$I$404,0)),"")</f>
        <v/>
      </c>
      <c r="R640" s="26" t="str">
        <f>IFERROR(MATCH(B640,EXTRATO_IMPORTADO!$I$5:$I$404,0),"")</f>
        <v/>
      </c>
      <c r="S640" s="14" t="str">
        <f t="shared" si="28"/>
        <v/>
      </c>
      <c r="T640" s="33" t="str">
        <f t="shared" si="29"/>
        <v/>
      </c>
    </row>
    <row r="641" spans="1:20" x14ac:dyDescent="0.3">
      <c r="A641" s="26">
        <f>IF(BASE_CAIXA!A638="","",BASE_CAIXA!A638)</f>
        <v>637</v>
      </c>
      <c r="B641" s="26" t="str">
        <f>IF(A641="","",BASE_CAIXA!AL638)</f>
        <v>000637-DB</v>
      </c>
      <c r="C641" s="13">
        <f>IF(A641="","",BASE_CAIXA!AJ638)</f>
        <v>46227</v>
      </c>
      <c r="D641" s="26" t="str">
        <f>IF(A641="","",IF(BASE_CAIXA!C638="Entrada","Crédito","Débito"))</f>
        <v>Débito</v>
      </c>
      <c r="E641" s="14">
        <f>IF(A641="","",BASE_CAIXA!AA638)</f>
        <v>3907.2</v>
      </c>
      <c r="F641" s="26">
        <f>IF(A641="","",BASE_CAIXA!N638)</f>
        <v>0</v>
      </c>
      <c r="G641" s="26">
        <f>IF(A641="","",BASE_CAIXA!O638)</f>
        <v>0</v>
      </c>
      <c r="H641" s="26">
        <f>IF(A641="","",BASE_CAIXA!P638)</f>
        <v>0</v>
      </c>
      <c r="I641" s="26" t="str">
        <f>IF(A641="","",IF(BASE_CAIXA!H638&lt;&gt;"",BASE_CAIXA!H638,BASE_CAIXA!G638))</f>
        <v>VITRO MAXIMO-AR ALUM.BCO (38MM) 60 X 60 MBOREAL</v>
      </c>
      <c r="J641" s="26" t="str">
        <f>IF(A641="","",BASE_CAIXA!G638)</f>
        <v>VITRO MAXIMO-AR ALUM.BCO (38MM) 60 X 60 MBOREAL</v>
      </c>
      <c r="K641" s="26">
        <f>IF(A641="","",BASE_CAIXA!I638)</f>
        <v>0</v>
      </c>
      <c r="L641" s="26">
        <f>IF(A641="","",BASE_CAIXA!J638)</f>
        <v>0</v>
      </c>
      <c r="M641" s="26" t="str">
        <f>IF(A641="","",BASE_CAIXA!AM638)</f>
        <v>VITRO MAXIMO-AR ALUM.BCO (38MM) 60 X 60 MBOREAL | VITRO MAXI</v>
      </c>
      <c r="N641" s="26" t="str">
        <f t="shared" ca="1" si="27"/>
        <v>Previsto</v>
      </c>
      <c r="O641" s="13" t="str">
        <f>IFERROR(INDEX(EXTRATO_IMPORTADO!$A$5:$A$404,MATCH(B641,EXTRATO_IMPORTADO!$I$5:$I$404,0)),"")</f>
        <v/>
      </c>
      <c r="P641" s="14" t="str">
        <f>IFERROR(INDEX(EXTRATO_IMPORTADO!$F$5:$F$404,MATCH(B641,EXTRATO_IMPORTADO!$I$5:$I$404,0)),"")</f>
        <v/>
      </c>
      <c r="Q641" s="26" t="str">
        <f>IFERROR(INDEX(EXTRATO_IMPORTADO!$B$5:$B$404,MATCH(B641,EXTRATO_IMPORTADO!$I$5:$I$404,0)),"")</f>
        <v/>
      </c>
      <c r="R641" s="26" t="str">
        <f>IFERROR(MATCH(B641,EXTRATO_IMPORTADO!$I$5:$I$404,0),"")</f>
        <v/>
      </c>
      <c r="S641" s="14" t="str">
        <f t="shared" si="28"/>
        <v/>
      </c>
      <c r="T641" s="33" t="str">
        <f t="shared" si="29"/>
        <v/>
      </c>
    </row>
    <row r="642" spans="1:20" x14ac:dyDescent="0.3">
      <c r="A642" s="26">
        <f>IF(BASE_CAIXA!A639="","",BASE_CAIXA!A639)</f>
        <v>638</v>
      </c>
      <c r="B642" s="26" t="str">
        <f>IF(A642="","",BASE_CAIXA!AL639)</f>
        <v>000638-DB</v>
      </c>
      <c r="C642" s="13">
        <f>IF(A642="","",BASE_CAIXA!AJ639)</f>
        <v>46227</v>
      </c>
      <c r="D642" s="26" t="str">
        <f>IF(A642="","",IF(BASE_CAIXA!C639="Entrada","Crédito","Débito"))</f>
        <v>Débito</v>
      </c>
      <c r="E642" s="14">
        <f>IF(A642="","",BASE_CAIXA!AA639)</f>
        <v>29145.599999999999</v>
      </c>
      <c r="F642" s="26">
        <f>IF(A642="","",BASE_CAIXA!N639)</f>
        <v>0</v>
      </c>
      <c r="G642" s="26">
        <f>IF(A642="","",BASE_CAIXA!O639)</f>
        <v>0</v>
      </c>
      <c r="H642" s="26">
        <f>IF(A642="","",BASE_CAIXA!P639)</f>
        <v>0</v>
      </c>
      <c r="I642" s="26" t="str">
        <f>IF(A642="","",IF(BASE_CAIXA!H639&lt;&gt;"",BASE_CAIXA!H639,BASE_CAIXA!G639))</f>
        <v>VITRO SOFT AL.BC 2FL (53MM) 120 X 1,20</v>
      </c>
      <c r="J642" s="26" t="str">
        <f>IF(A642="","",BASE_CAIXA!G639)</f>
        <v>VITRO SOFT AL.BC 2FL (53MM) 120 X 1,20</v>
      </c>
      <c r="K642" s="26">
        <f>IF(A642="","",BASE_CAIXA!I639)</f>
        <v>0</v>
      </c>
      <c r="L642" s="26">
        <f>IF(A642="","",BASE_CAIXA!J639)</f>
        <v>0</v>
      </c>
      <c r="M642" s="26" t="str">
        <f>IF(A642="","",BASE_CAIXA!AM639)</f>
        <v>VITRO SOFT AL.BC 2FL (53MM) 120 X 1,20 | VITRO SOFT AL.BC 2F</v>
      </c>
      <c r="N642" s="26" t="str">
        <f t="shared" ca="1" si="27"/>
        <v>Previsto</v>
      </c>
      <c r="O642" s="13" t="str">
        <f>IFERROR(INDEX(EXTRATO_IMPORTADO!$A$5:$A$404,MATCH(B642,EXTRATO_IMPORTADO!$I$5:$I$404,0)),"")</f>
        <v/>
      </c>
      <c r="P642" s="14" t="str">
        <f>IFERROR(INDEX(EXTRATO_IMPORTADO!$F$5:$F$404,MATCH(B642,EXTRATO_IMPORTADO!$I$5:$I$404,0)),"")</f>
        <v/>
      </c>
      <c r="Q642" s="26" t="str">
        <f>IFERROR(INDEX(EXTRATO_IMPORTADO!$B$5:$B$404,MATCH(B642,EXTRATO_IMPORTADO!$I$5:$I$404,0)),"")</f>
        <v/>
      </c>
      <c r="R642" s="26" t="str">
        <f>IFERROR(MATCH(B642,EXTRATO_IMPORTADO!$I$5:$I$404,0),"")</f>
        <v/>
      </c>
      <c r="S642" s="14" t="str">
        <f t="shared" si="28"/>
        <v/>
      </c>
      <c r="T642" s="33" t="str">
        <f t="shared" si="29"/>
        <v/>
      </c>
    </row>
    <row r="643" spans="1:20" x14ac:dyDescent="0.3">
      <c r="A643" s="26">
        <f>IF(BASE_CAIXA!A640="","",BASE_CAIXA!A640)</f>
        <v>639</v>
      </c>
      <c r="B643" s="26" t="str">
        <f>IF(A643="","",BASE_CAIXA!AL640)</f>
        <v>000639-DB</v>
      </c>
      <c r="C643" s="13">
        <f>IF(A643="","",BASE_CAIXA!AJ640)</f>
        <v>46227</v>
      </c>
      <c r="D643" s="26" t="str">
        <f>IF(A643="","",IF(BASE_CAIXA!C640="Entrada","Crédito","Débito"))</f>
        <v>Débito</v>
      </c>
      <c r="E643" s="14">
        <f>IF(A643="","",BASE_CAIXA!AA640)</f>
        <v>4727.499616000001</v>
      </c>
      <c r="F643" s="26">
        <f>IF(A643="","",BASE_CAIXA!N640)</f>
        <v>0</v>
      </c>
      <c r="G643" s="26">
        <f>IF(A643="","",BASE_CAIXA!O640)</f>
        <v>0</v>
      </c>
      <c r="H643" s="26">
        <f>IF(A643="","",BASE_CAIXA!P640)</f>
        <v>0</v>
      </c>
      <c r="I643" s="26" t="str">
        <f>IF(A643="","",IF(BASE_CAIXA!H640&lt;&gt;"",BASE_CAIXA!H640,BASE_CAIXA!G640))</f>
        <v>Mao de obra terceirizada limpeza final</v>
      </c>
      <c r="J643" s="26" t="str">
        <f>IF(A643="","",BASE_CAIXA!G640)</f>
        <v>Mao de obra terceirizada limpeza final</v>
      </c>
      <c r="K643" s="26">
        <f>IF(A643="","",BASE_CAIXA!I640)</f>
        <v>0</v>
      </c>
      <c r="L643" s="26">
        <f>IF(A643="","",BASE_CAIXA!J640)</f>
        <v>0</v>
      </c>
      <c r="M643" s="26" t="str">
        <f>IF(A643="","",BASE_CAIXA!AM640)</f>
        <v>Mao de obra terceirizada limpeza final | Mao de obra terceir</v>
      </c>
      <c r="N643" s="26" t="str">
        <f t="shared" ca="1" si="27"/>
        <v>Previsto</v>
      </c>
      <c r="O643" s="13" t="str">
        <f>IFERROR(INDEX(EXTRATO_IMPORTADO!$A$5:$A$404,MATCH(B643,EXTRATO_IMPORTADO!$I$5:$I$404,0)),"")</f>
        <v/>
      </c>
      <c r="P643" s="14" t="str">
        <f>IFERROR(INDEX(EXTRATO_IMPORTADO!$F$5:$F$404,MATCH(B643,EXTRATO_IMPORTADO!$I$5:$I$404,0)),"")</f>
        <v/>
      </c>
      <c r="Q643" s="26" t="str">
        <f>IFERROR(INDEX(EXTRATO_IMPORTADO!$B$5:$B$404,MATCH(B643,EXTRATO_IMPORTADO!$I$5:$I$404,0)),"")</f>
        <v/>
      </c>
      <c r="R643" s="26" t="str">
        <f>IFERROR(MATCH(B643,EXTRATO_IMPORTADO!$I$5:$I$404,0),"")</f>
        <v/>
      </c>
      <c r="S643" s="14" t="str">
        <f t="shared" si="28"/>
        <v/>
      </c>
      <c r="T643" s="33" t="str">
        <f t="shared" si="29"/>
        <v/>
      </c>
    </row>
    <row r="644" spans="1:20" x14ac:dyDescent="0.3">
      <c r="A644" s="26">
        <f>IF(BASE_CAIXA!A641="","",BASE_CAIXA!A641)</f>
        <v>640</v>
      </c>
      <c r="B644" s="26" t="str">
        <f>IF(A644="","",BASE_CAIXA!AL641)</f>
        <v>000640-DB</v>
      </c>
      <c r="C644" s="13">
        <f>IF(A644="","",BASE_CAIXA!AJ641)</f>
        <v>46227</v>
      </c>
      <c r="D644" s="26" t="str">
        <f>IF(A644="","",IF(BASE_CAIXA!C641="Entrada","Crédito","Débito"))</f>
        <v>Débito</v>
      </c>
      <c r="E644" s="14">
        <f>IF(A644="","",BASE_CAIXA!AA641)</f>
        <v>32389.632000000009</v>
      </c>
      <c r="F644" s="26">
        <f>IF(A644="","",BASE_CAIXA!N641)</f>
        <v>0</v>
      </c>
      <c r="G644" s="26">
        <f>IF(A644="","",BASE_CAIXA!O641)</f>
        <v>0</v>
      </c>
      <c r="H644" s="26">
        <f>IF(A644="","",BASE_CAIXA!P641)</f>
        <v>0</v>
      </c>
      <c r="I644" s="26" t="str">
        <f>IF(A644="","",IF(BASE_CAIXA!H641&lt;&gt;"",BASE_CAIXA!H641,BASE_CAIXA!G641))</f>
        <v>PORTA LAMINADA AL.BCO SOFT (37MM) ESQUERDA. 215X120</v>
      </c>
      <c r="J644" s="26" t="str">
        <f>IF(A644="","",BASE_CAIXA!G641)</f>
        <v>PORTA LAMINADA AL.BCO SOFT (37MM) ESQUERDA. 215X120</v>
      </c>
      <c r="K644" s="26">
        <f>IF(A644="","",BASE_CAIXA!I641)</f>
        <v>0</v>
      </c>
      <c r="L644" s="26">
        <f>IF(A644="","",BASE_CAIXA!J641)</f>
        <v>0</v>
      </c>
      <c r="M644" s="26" t="str">
        <f>IF(A644="","",BASE_CAIXA!AM641)</f>
        <v xml:space="preserve">PORTA LAMINADA AL.BCO SOFT (37MM) ESQUERDA. 215X120 | PORTA </v>
      </c>
      <c r="N644" s="26" t="str">
        <f t="shared" ca="1" si="27"/>
        <v>Previsto</v>
      </c>
      <c r="O644" s="13" t="str">
        <f>IFERROR(INDEX(EXTRATO_IMPORTADO!$A$5:$A$404,MATCH(B644,EXTRATO_IMPORTADO!$I$5:$I$404,0)),"")</f>
        <v/>
      </c>
      <c r="P644" s="14" t="str">
        <f>IFERROR(INDEX(EXTRATO_IMPORTADO!$F$5:$F$404,MATCH(B644,EXTRATO_IMPORTADO!$I$5:$I$404,0)),"")</f>
        <v/>
      </c>
      <c r="Q644" s="26" t="str">
        <f>IFERROR(INDEX(EXTRATO_IMPORTADO!$B$5:$B$404,MATCH(B644,EXTRATO_IMPORTADO!$I$5:$I$404,0)),"")</f>
        <v/>
      </c>
      <c r="R644" s="26" t="str">
        <f>IFERROR(MATCH(B644,EXTRATO_IMPORTADO!$I$5:$I$404,0),"")</f>
        <v/>
      </c>
      <c r="S644" s="14" t="str">
        <f t="shared" si="28"/>
        <v/>
      </c>
      <c r="T644" s="33" t="str">
        <f t="shared" si="29"/>
        <v/>
      </c>
    </row>
    <row r="645" spans="1:20" x14ac:dyDescent="0.3">
      <c r="A645" s="26">
        <f>IF(BASE_CAIXA!A642="","",BASE_CAIXA!A642)</f>
        <v>641</v>
      </c>
      <c r="B645" s="26" t="str">
        <f>IF(A645="","",BASE_CAIXA!AL642)</f>
        <v>000641-DB</v>
      </c>
      <c r="C645" s="13">
        <f>IF(A645="","",BASE_CAIXA!AJ642)</f>
        <v>46227</v>
      </c>
      <c r="D645" s="26" t="str">
        <f>IF(A645="","",IF(BASE_CAIXA!C642="Entrada","Crédito","Débito"))</f>
        <v>Débito</v>
      </c>
      <c r="E645" s="14">
        <f>IF(A645="","",BASE_CAIXA!AA642)</f>
        <v>13001.0496</v>
      </c>
      <c r="F645" s="26">
        <f>IF(A645="","",BASE_CAIXA!N642)</f>
        <v>0</v>
      </c>
      <c r="G645" s="26">
        <f>IF(A645="","",BASE_CAIXA!O642)</f>
        <v>0</v>
      </c>
      <c r="H645" s="26">
        <f>IF(A645="","",BASE_CAIXA!P642)</f>
        <v>0</v>
      </c>
      <c r="I645" s="26" t="str">
        <f>IF(A645="","",IF(BASE_CAIXA!H642&lt;&gt;"",BASE_CAIXA!H642,BASE_CAIXA!G642))</f>
        <v>PORTA LAMINADA AL.BCO SOFT(37MM) DIR. 215X94</v>
      </c>
      <c r="J645" s="26" t="str">
        <f>IF(A645="","",BASE_CAIXA!G642)</f>
        <v>PORTA LAMINADA AL.BCO SOFT(37MM) DIR. 215X94</v>
      </c>
      <c r="K645" s="26">
        <f>IF(A645="","",BASE_CAIXA!I642)</f>
        <v>0</v>
      </c>
      <c r="L645" s="26">
        <f>IF(A645="","",BASE_CAIXA!J642)</f>
        <v>0</v>
      </c>
      <c r="M645" s="26" t="str">
        <f>IF(A645="","",BASE_CAIXA!AM642)</f>
        <v>PORTA LAMINADA AL.BCO SOFT(37MM) DIR. 215X94 | PORTA LAMINAD</v>
      </c>
      <c r="N645" s="26" t="str">
        <f t="shared" ref="N645:N708" ca="1" si="30">IF(A645="","",IF(R645&lt;&gt;"",IF(AND(ABS(S645)&lt;=0.01,ABS(T645)&lt;=3),"Conciliado","Divergente"),IF(TODAY()&gt;C645,"Pendente vencido","Previsto")))</f>
        <v>Previsto</v>
      </c>
      <c r="O645" s="13" t="str">
        <f>IFERROR(INDEX(EXTRATO_IMPORTADO!$A$5:$A$404,MATCH(B645,EXTRATO_IMPORTADO!$I$5:$I$404,0)),"")</f>
        <v/>
      </c>
      <c r="P645" s="14" t="str">
        <f>IFERROR(INDEX(EXTRATO_IMPORTADO!$F$5:$F$404,MATCH(B645,EXTRATO_IMPORTADO!$I$5:$I$404,0)),"")</f>
        <v/>
      </c>
      <c r="Q645" s="26" t="str">
        <f>IFERROR(INDEX(EXTRATO_IMPORTADO!$B$5:$B$404,MATCH(B645,EXTRATO_IMPORTADO!$I$5:$I$404,0)),"")</f>
        <v/>
      </c>
      <c r="R645" s="26" t="str">
        <f>IFERROR(MATCH(B645,EXTRATO_IMPORTADO!$I$5:$I$404,0),"")</f>
        <v/>
      </c>
      <c r="S645" s="14" t="str">
        <f t="shared" ref="S645:S708" si="31">IF(OR(A645="",P645=""),"",P645-E645)</f>
        <v/>
      </c>
      <c r="T645" s="33" t="str">
        <f t="shared" ref="T645:T708" si="32">IF(OR(A645="",O645=""),"",O645-C645)</f>
        <v/>
      </c>
    </row>
    <row r="646" spans="1:20" x14ac:dyDescent="0.3">
      <c r="A646" s="26">
        <f>IF(BASE_CAIXA!A643="","",BASE_CAIXA!A643)</f>
        <v>642</v>
      </c>
      <c r="B646" s="26" t="str">
        <f>IF(A646="","",BASE_CAIXA!AL643)</f>
        <v>000642-DB</v>
      </c>
      <c r="C646" s="13">
        <f>IF(A646="","",BASE_CAIXA!AJ643)</f>
        <v>46227</v>
      </c>
      <c r="D646" s="26" t="str">
        <f>IF(A646="","",IF(BASE_CAIXA!C643="Entrada","Crédito","Débito"))</f>
        <v>Débito</v>
      </c>
      <c r="E646" s="14">
        <f>IF(A646="","",BASE_CAIXA!AA643)</f>
        <v>206926.053216</v>
      </c>
      <c r="F646" s="26">
        <f>IF(A646="","",BASE_CAIXA!N643)</f>
        <v>0</v>
      </c>
      <c r="G646" s="26">
        <f>IF(A646="","",BASE_CAIXA!O643)</f>
        <v>0</v>
      </c>
      <c r="H646" s="26">
        <f>IF(A646="","",BASE_CAIXA!P643)</f>
        <v>0</v>
      </c>
      <c r="I646" s="26" t="str">
        <f>IF(A646="","",IF(BASE_CAIXA!H643&lt;&gt;"",BASE_CAIXA!H643,BASE_CAIXA!G643))</f>
        <v>TOTALIZADOR CUSTO GLOBAIS OBRAS - MENSAL</v>
      </c>
      <c r="J646" s="26" t="str">
        <f>IF(A646="","",BASE_CAIXA!G643)</f>
        <v>TOTALIZADOR CUSTO GLOBAIS OBRAS - MENSAL</v>
      </c>
      <c r="K646" s="26">
        <f>IF(A646="","",BASE_CAIXA!I643)</f>
        <v>0</v>
      </c>
      <c r="L646" s="26">
        <f>IF(A646="","",BASE_CAIXA!J643)</f>
        <v>0</v>
      </c>
      <c r="M646" s="26" t="str">
        <f>IF(A646="","",BASE_CAIXA!AM643)</f>
        <v>TOTALIZADOR CUSTO GLOBAIS OBRAS - MENSAL | TOTALIZADOR CUSTO</v>
      </c>
      <c r="N646" s="26" t="str">
        <f t="shared" ca="1" si="30"/>
        <v>Previsto</v>
      </c>
      <c r="O646" s="13" t="str">
        <f>IFERROR(INDEX(EXTRATO_IMPORTADO!$A$5:$A$404,MATCH(B646,EXTRATO_IMPORTADO!$I$5:$I$404,0)),"")</f>
        <v/>
      </c>
      <c r="P646" s="14" t="str">
        <f>IFERROR(INDEX(EXTRATO_IMPORTADO!$F$5:$F$404,MATCH(B646,EXTRATO_IMPORTADO!$I$5:$I$404,0)),"")</f>
        <v/>
      </c>
      <c r="Q646" s="26" t="str">
        <f>IFERROR(INDEX(EXTRATO_IMPORTADO!$B$5:$B$404,MATCH(B646,EXTRATO_IMPORTADO!$I$5:$I$404,0)),"")</f>
        <v/>
      </c>
      <c r="R646" s="26" t="str">
        <f>IFERROR(MATCH(B646,EXTRATO_IMPORTADO!$I$5:$I$404,0),"")</f>
        <v/>
      </c>
      <c r="S646" s="14" t="str">
        <f t="shared" si="31"/>
        <v/>
      </c>
      <c r="T646" s="33" t="str">
        <f t="shared" si="32"/>
        <v/>
      </c>
    </row>
    <row r="647" spans="1:20" x14ac:dyDescent="0.3">
      <c r="A647" s="26">
        <f>IF(BASE_CAIXA!A644="","",BASE_CAIXA!A644)</f>
        <v>643</v>
      </c>
      <c r="B647" s="26" t="str">
        <f>IF(A647="","",BASE_CAIXA!AL644)</f>
        <v>000643-DB</v>
      </c>
      <c r="C647" s="26">
        <f>IF(A647="","",BASE_CAIXA!AJ644)</f>
        <v>46094</v>
      </c>
      <c r="D647" s="26" t="str">
        <f>IF(A647="","",IF(BASE_CAIXA!C644="Entrada","Crédito","Débito"))</f>
        <v>Débito</v>
      </c>
      <c r="E647" s="26">
        <f>IF(A647="","",BASE_CAIXA!AA644)</f>
        <v>4333.333333333333</v>
      </c>
      <c r="F647" s="26">
        <f>IF(A647="","",BASE_CAIXA!N644)</f>
        <v>0</v>
      </c>
      <c r="G647" s="26">
        <f>IF(A647="","",BASE_CAIXA!O644)</f>
        <v>0</v>
      </c>
      <c r="H647" s="26">
        <f>IF(A647="","",BASE_CAIXA!P644)</f>
        <v>0</v>
      </c>
      <c r="I647" s="26" t="str">
        <f>IF(A647="","",IF(BASE_CAIXA!H644&lt;&gt;"",BASE_CAIXA!H644,BASE_CAIXA!G644))</f>
        <v>TOPOGRAFO</v>
      </c>
      <c r="J647" s="26" t="str">
        <f>IF(A647="","",BASE_CAIXA!G644)</f>
        <v>TOPOGRAFO</v>
      </c>
      <c r="K647" s="26">
        <f>IF(A647="","",BASE_CAIXA!I644)</f>
        <v>0</v>
      </c>
      <c r="L647" s="26">
        <f>IF(A647="","",BASE_CAIXA!J644)</f>
        <v>0</v>
      </c>
      <c r="M647" s="26" t="str">
        <f>IF(A647="","",BASE_CAIXA!AM644)</f>
        <v>TOPOGRAFO | TOPOGRAFO | Saída | GESTÃO LOCAL</v>
      </c>
      <c r="N647" s="26" t="str">
        <f t="shared" ca="1" si="30"/>
        <v>Previsto</v>
      </c>
      <c r="O647" s="26" t="str">
        <f>IFERROR(INDEX(EXTRATO_IMPORTADO!$A$5:$A$404,MATCH(B647,EXTRATO_IMPORTADO!$I$5:$I$404,0)),"")</f>
        <v/>
      </c>
      <c r="P647" s="26" t="str">
        <f>IFERROR(INDEX(EXTRATO_IMPORTADO!$F$5:$F$404,MATCH(B647,EXTRATO_IMPORTADO!$I$5:$I$404,0)),"")</f>
        <v/>
      </c>
      <c r="Q647" s="26" t="str">
        <f>IFERROR(INDEX(EXTRATO_IMPORTADO!$B$5:$B$404,MATCH(B647,EXTRATO_IMPORTADO!$I$5:$I$404,0)),"")</f>
        <v/>
      </c>
      <c r="R647" s="26" t="str">
        <f>IFERROR(MATCH(B647,EXTRATO_IMPORTADO!$I$5:$I$404,0),"")</f>
        <v/>
      </c>
      <c r="S647" s="26" t="str">
        <f t="shared" si="31"/>
        <v/>
      </c>
      <c r="T647" s="26" t="str">
        <f t="shared" si="32"/>
        <v/>
      </c>
    </row>
    <row r="648" spans="1:20" x14ac:dyDescent="0.3">
      <c r="A648" s="26">
        <f>IF(BASE_CAIXA!A645="","",BASE_CAIXA!A645)</f>
        <v>643</v>
      </c>
      <c r="B648" s="26" t="str">
        <f>IF(A648="","",BASE_CAIXA!AL645)</f>
        <v>000643-DB</v>
      </c>
      <c r="C648" s="26">
        <f>IF(A648="","",BASE_CAIXA!AJ645)</f>
        <v>46098</v>
      </c>
      <c r="D648" s="26" t="str">
        <f>IF(A648="","",IF(BASE_CAIXA!C645="Entrada","Crédito","Débito"))</f>
        <v>Débito</v>
      </c>
      <c r="E648" s="26">
        <f>IF(A648="","",BASE_CAIXA!AA645)</f>
        <v>4333.333333333333</v>
      </c>
      <c r="F648" s="26">
        <f>IF(A648="","",BASE_CAIXA!N645)</f>
        <v>0</v>
      </c>
      <c r="G648" s="26">
        <f>IF(A648="","",BASE_CAIXA!O645)</f>
        <v>0</v>
      </c>
      <c r="H648" s="26">
        <f>IF(A648="","",BASE_CAIXA!P645)</f>
        <v>0</v>
      </c>
      <c r="I648" s="26" t="str">
        <f>IF(A648="","",IF(BASE_CAIXA!H645&lt;&gt;"",BASE_CAIXA!H645,BASE_CAIXA!G645))</f>
        <v>TOPOGRAFO</v>
      </c>
      <c r="J648" s="26" t="str">
        <f>IF(A648="","",BASE_CAIXA!G645)</f>
        <v>TOPOGRAFO</v>
      </c>
      <c r="K648" s="26">
        <f>IF(A648="","",BASE_CAIXA!I645)</f>
        <v>0</v>
      </c>
      <c r="L648" s="26">
        <f>IF(A648="","",BASE_CAIXA!J645)</f>
        <v>0</v>
      </c>
      <c r="M648" s="26" t="str">
        <f>IF(A648="","",BASE_CAIXA!AM645)</f>
        <v>TOPOGRAFO | TOPOGRAFO | Saída | GESTÃO LOCAL</v>
      </c>
      <c r="N648" s="26" t="str">
        <f t="shared" ca="1" si="30"/>
        <v>Previsto</v>
      </c>
      <c r="O648" s="26" t="str">
        <f>IFERROR(INDEX(EXTRATO_IMPORTADO!$A$5:$A$404,MATCH(B648,EXTRATO_IMPORTADO!$I$5:$I$404,0)),"")</f>
        <v/>
      </c>
      <c r="P648" s="26" t="str">
        <f>IFERROR(INDEX(EXTRATO_IMPORTADO!$F$5:$F$404,MATCH(B648,EXTRATO_IMPORTADO!$I$5:$I$404,0)),"")</f>
        <v/>
      </c>
      <c r="Q648" s="26" t="str">
        <f>IFERROR(INDEX(EXTRATO_IMPORTADO!$B$5:$B$404,MATCH(B648,EXTRATO_IMPORTADO!$I$5:$I$404,0)),"")</f>
        <v/>
      </c>
      <c r="R648" s="26" t="str">
        <f>IFERROR(MATCH(B648,EXTRATO_IMPORTADO!$I$5:$I$404,0),"")</f>
        <v/>
      </c>
      <c r="S648" s="26" t="str">
        <f t="shared" si="31"/>
        <v/>
      </c>
      <c r="T648" s="26" t="str">
        <f t="shared" si="32"/>
        <v/>
      </c>
    </row>
    <row r="649" spans="1:20" x14ac:dyDescent="0.3">
      <c r="A649" s="26" t="str">
        <f>IF(BASE_CAIXA!A646="","",BASE_CAIXA!A646)</f>
        <v/>
      </c>
      <c r="B649" s="26" t="str">
        <f>IF(A649="","",BASE_CAIXA!AL646)</f>
        <v/>
      </c>
      <c r="C649" s="26" t="str">
        <f>IF(A649="","",BASE_CAIXA!AJ646)</f>
        <v/>
      </c>
      <c r="D649" s="26" t="str">
        <f>IF(A649="","",IF(BASE_CAIXA!C646="Entrada","Crédito","Débito"))</f>
        <v/>
      </c>
      <c r="E649" s="26" t="str">
        <f>IF(A649="","",BASE_CAIXA!AA646)</f>
        <v/>
      </c>
      <c r="F649" s="26" t="str">
        <f>IF(A649="","",BASE_CAIXA!N646)</f>
        <v/>
      </c>
      <c r="G649" s="26" t="str">
        <f>IF(A649="","",BASE_CAIXA!O646)</f>
        <v/>
      </c>
      <c r="H649" s="26" t="str">
        <f>IF(A649="","",BASE_CAIXA!P646)</f>
        <v/>
      </c>
      <c r="I649" s="26" t="str">
        <f>IF(A649="","",IF(BASE_CAIXA!H646&lt;&gt;"",BASE_CAIXA!H646,BASE_CAIXA!G646))</f>
        <v/>
      </c>
      <c r="J649" s="26" t="str">
        <f>IF(A649="","",BASE_CAIXA!G646)</f>
        <v/>
      </c>
      <c r="K649" s="26" t="str">
        <f>IF(A649="","",BASE_CAIXA!I646)</f>
        <v/>
      </c>
      <c r="L649" s="26" t="str">
        <f>IF(A649="","",BASE_CAIXA!J646)</f>
        <v/>
      </c>
      <c r="M649" s="26" t="str">
        <f>IF(A649="","",BASE_CAIXA!AM646)</f>
        <v/>
      </c>
      <c r="N649" s="26" t="str">
        <f t="shared" ca="1" si="30"/>
        <v/>
      </c>
      <c r="O649" s="26" t="str">
        <f>IFERROR(INDEX(EXTRATO_IMPORTADO!$A$5:$A$404,MATCH(B649,EXTRATO_IMPORTADO!$I$5:$I$404,0)),"")</f>
        <v/>
      </c>
      <c r="P649" s="26" t="str">
        <f>IFERROR(INDEX(EXTRATO_IMPORTADO!$F$5:$F$404,MATCH(B649,EXTRATO_IMPORTADO!$I$5:$I$404,0)),"")</f>
        <v/>
      </c>
      <c r="Q649" s="26" t="str">
        <f>IFERROR(INDEX(EXTRATO_IMPORTADO!$B$5:$B$404,MATCH(B649,EXTRATO_IMPORTADO!$I$5:$I$404,0)),"")</f>
        <v/>
      </c>
      <c r="R649" s="26" t="str">
        <f>IFERROR(MATCH(B649,EXTRATO_IMPORTADO!$I$5:$I$404,0),"")</f>
        <v/>
      </c>
      <c r="S649" s="26" t="str">
        <f t="shared" si="31"/>
        <v/>
      </c>
      <c r="T649" s="26" t="str">
        <f t="shared" si="32"/>
        <v/>
      </c>
    </row>
    <row r="650" spans="1:20" x14ac:dyDescent="0.3">
      <c r="A650" s="26" t="str">
        <f>IF(BASE_CAIXA!A647="","",BASE_CAIXA!A647)</f>
        <v/>
      </c>
      <c r="B650" s="26" t="str">
        <f>IF(A650="","",BASE_CAIXA!AL647)</f>
        <v/>
      </c>
      <c r="C650" s="26" t="str">
        <f>IF(A650="","",BASE_CAIXA!AJ647)</f>
        <v/>
      </c>
      <c r="D650" s="26" t="str">
        <f>IF(A650="","",IF(BASE_CAIXA!C647="Entrada","Crédito","Débito"))</f>
        <v/>
      </c>
      <c r="E650" s="26" t="str">
        <f>IF(A650="","",BASE_CAIXA!AA647)</f>
        <v/>
      </c>
      <c r="F650" s="26" t="str">
        <f>IF(A650="","",BASE_CAIXA!N647)</f>
        <v/>
      </c>
      <c r="G650" s="26" t="str">
        <f>IF(A650="","",BASE_CAIXA!O647)</f>
        <v/>
      </c>
      <c r="H650" s="26" t="str">
        <f>IF(A650="","",BASE_CAIXA!P647)</f>
        <v/>
      </c>
      <c r="I650" s="26" t="str">
        <f>IF(A650="","",IF(BASE_CAIXA!H647&lt;&gt;"",BASE_CAIXA!H647,BASE_CAIXA!G647))</f>
        <v/>
      </c>
      <c r="J650" s="26" t="str">
        <f>IF(A650="","",BASE_CAIXA!G647)</f>
        <v/>
      </c>
      <c r="K650" s="26" t="str">
        <f>IF(A650="","",BASE_CAIXA!I647)</f>
        <v/>
      </c>
      <c r="L650" s="26" t="str">
        <f>IF(A650="","",BASE_CAIXA!J647)</f>
        <v/>
      </c>
      <c r="M650" s="26" t="str">
        <f>IF(A650="","",BASE_CAIXA!AM647)</f>
        <v/>
      </c>
      <c r="N650" s="26" t="str">
        <f t="shared" ca="1" si="30"/>
        <v/>
      </c>
      <c r="O650" s="26" t="str">
        <f>IFERROR(INDEX(EXTRATO_IMPORTADO!$A$5:$A$404,MATCH(B650,EXTRATO_IMPORTADO!$I$5:$I$404,0)),"")</f>
        <v/>
      </c>
      <c r="P650" s="26" t="str">
        <f>IFERROR(INDEX(EXTRATO_IMPORTADO!$F$5:$F$404,MATCH(B650,EXTRATO_IMPORTADO!$I$5:$I$404,0)),"")</f>
        <v/>
      </c>
      <c r="Q650" s="26" t="str">
        <f>IFERROR(INDEX(EXTRATO_IMPORTADO!$B$5:$B$404,MATCH(B650,EXTRATO_IMPORTADO!$I$5:$I$404,0)),"")</f>
        <v/>
      </c>
      <c r="R650" s="26" t="str">
        <f>IFERROR(MATCH(B650,EXTRATO_IMPORTADO!$I$5:$I$404,0),"")</f>
        <v/>
      </c>
      <c r="S650" s="26" t="str">
        <f t="shared" si="31"/>
        <v/>
      </c>
      <c r="T650" s="26" t="str">
        <f t="shared" si="32"/>
        <v/>
      </c>
    </row>
    <row r="651" spans="1:20" x14ac:dyDescent="0.3">
      <c r="A651" s="26" t="str">
        <f>IF(BASE_CAIXA!A648="","",BASE_CAIXA!A648)</f>
        <v/>
      </c>
      <c r="B651" s="26" t="str">
        <f>IF(A651="","",BASE_CAIXA!AL648)</f>
        <v/>
      </c>
      <c r="C651" s="26" t="str">
        <f>IF(A651="","",BASE_CAIXA!AJ648)</f>
        <v/>
      </c>
      <c r="D651" s="26" t="str">
        <f>IF(A651="","",IF(BASE_CAIXA!C648="Entrada","Crédito","Débito"))</f>
        <v/>
      </c>
      <c r="E651" s="26" t="str">
        <f>IF(A651="","",BASE_CAIXA!AA648)</f>
        <v/>
      </c>
      <c r="F651" s="26" t="str">
        <f>IF(A651="","",BASE_CAIXA!N648)</f>
        <v/>
      </c>
      <c r="G651" s="26" t="str">
        <f>IF(A651="","",BASE_CAIXA!O648)</f>
        <v/>
      </c>
      <c r="H651" s="26" t="str">
        <f>IF(A651="","",BASE_CAIXA!P648)</f>
        <v/>
      </c>
      <c r="I651" s="26" t="str">
        <f>IF(A651="","",IF(BASE_CAIXA!H648&lt;&gt;"",BASE_CAIXA!H648,BASE_CAIXA!G648))</f>
        <v/>
      </c>
      <c r="J651" s="26" t="str">
        <f>IF(A651="","",BASE_CAIXA!G648)</f>
        <v/>
      </c>
      <c r="K651" s="26" t="str">
        <f>IF(A651="","",BASE_CAIXA!I648)</f>
        <v/>
      </c>
      <c r="L651" s="26" t="str">
        <f>IF(A651="","",BASE_CAIXA!J648)</f>
        <v/>
      </c>
      <c r="M651" s="26" t="str">
        <f>IF(A651="","",BASE_CAIXA!AM648)</f>
        <v/>
      </c>
      <c r="N651" s="26" t="str">
        <f t="shared" ca="1" si="30"/>
        <v/>
      </c>
      <c r="O651" s="26" t="str">
        <f>IFERROR(INDEX(EXTRATO_IMPORTADO!$A$5:$A$404,MATCH(B651,EXTRATO_IMPORTADO!$I$5:$I$404,0)),"")</f>
        <v/>
      </c>
      <c r="P651" s="26" t="str">
        <f>IFERROR(INDEX(EXTRATO_IMPORTADO!$F$5:$F$404,MATCH(B651,EXTRATO_IMPORTADO!$I$5:$I$404,0)),"")</f>
        <v/>
      </c>
      <c r="Q651" s="26" t="str">
        <f>IFERROR(INDEX(EXTRATO_IMPORTADO!$B$5:$B$404,MATCH(B651,EXTRATO_IMPORTADO!$I$5:$I$404,0)),"")</f>
        <v/>
      </c>
      <c r="R651" s="26" t="str">
        <f>IFERROR(MATCH(B651,EXTRATO_IMPORTADO!$I$5:$I$404,0),"")</f>
        <v/>
      </c>
      <c r="S651" s="26" t="str">
        <f t="shared" si="31"/>
        <v/>
      </c>
      <c r="T651" s="26" t="str">
        <f t="shared" si="32"/>
        <v/>
      </c>
    </row>
    <row r="652" spans="1:20" x14ac:dyDescent="0.3">
      <c r="A652" s="26" t="str">
        <f>IF(BASE_CAIXA!A649="","",BASE_CAIXA!A649)</f>
        <v/>
      </c>
      <c r="B652" s="26" t="str">
        <f>IF(A652="","",BASE_CAIXA!AL649)</f>
        <v/>
      </c>
      <c r="C652" s="26" t="str">
        <f>IF(A652="","",BASE_CAIXA!AJ649)</f>
        <v/>
      </c>
      <c r="D652" s="26" t="str">
        <f>IF(A652="","",IF(BASE_CAIXA!C649="Entrada","Crédito","Débito"))</f>
        <v/>
      </c>
      <c r="E652" s="26" t="str">
        <f>IF(A652="","",BASE_CAIXA!AA649)</f>
        <v/>
      </c>
      <c r="F652" s="26" t="str">
        <f>IF(A652="","",BASE_CAIXA!N649)</f>
        <v/>
      </c>
      <c r="G652" s="26" t="str">
        <f>IF(A652="","",BASE_CAIXA!O649)</f>
        <v/>
      </c>
      <c r="H652" s="26" t="str">
        <f>IF(A652="","",BASE_CAIXA!P649)</f>
        <v/>
      </c>
      <c r="I652" s="26" t="str">
        <f>IF(A652="","",IF(BASE_CAIXA!H649&lt;&gt;"",BASE_CAIXA!H649,BASE_CAIXA!G649))</f>
        <v/>
      </c>
      <c r="J652" s="26" t="str">
        <f>IF(A652="","",BASE_CAIXA!G649)</f>
        <v/>
      </c>
      <c r="K652" s="26" t="str">
        <f>IF(A652="","",BASE_CAIXA!I649)</f>
        <v/>
      </c>
      <c r="L652" s="26" t="str">
        <f>IF(A652="","",BASE_CAIXA!J649)</f>
        <v/>
      </c>
      <c r="M652" s="26" t="str">
        <f>IF(A652="","",BASE_CAIXA!AM649)</f>
        <v/>
      </c>
      <c r="N652" s="26" t="str">
        <f t="shared" ca="1" si="30"/>
        <v/>
      </c>
      <c r="O652" s="26" t="str">
        <f>IFERROR(INDEX(EXTRATO_IMPORTADO!$A$5:$A$404,MATCH(B652,EXTRATO_IMPORTADO!$I$5:$I$404,0)),"")</f>
        <v/>
      </c>
      <c r="P652" s="26" t="str">
        <f>IFERROR(INDEX(EXTRATO_IMPORTADO!$F$5:$F$404,MATCH(B652,EXTRATO_IMPORTADO!$I$5:$I$404,0)),"")</f>
        <v/>
      </c>
      <c r="Q652" s="26" t="str">
        <f>IFERROR(INDEX(EXTRATO_IMPORTADO!$B$5:$B$404,MATCH(B652,EXTRATO_IMPORTADO!$I$5:$I$404,0)),"")</f>
        <v/>
      </c>
      <c r="R652" s="26" t="str">
        <f>IFERROR(MATCH(B652,EXTRATO_IMPORTADO!$I$5:$I$404,0),"")</f>
        <v/>
      </c>
      <c r="S652" s="26" t="str">
        <f t="shared" si="31"/>
        <v/>
      </c>
      <c r="T652" s="26" t="str">
        <f t="shared" si="32"/>
        <v/>
      </c>
    </row>
    <row r="653" spans="1:20" x14ac:dyDescent="0.3">
      <c r="A653" s="26" t="str">
        <f>IF(BASE_CAIXA!A650="","",BASE_CAIXA!A650)</f>
        <v/>
      </c>
      <c r="B653" s="26" t="str">
        <f>IF(A653="","",BASE_CAIXA!AL650)</f>
        <v/>
      </c>
      <c r="C653" s="26" t="str">
        <f>IF(A653="","",BASE_CAIXA!AJ650)</f>
        <v/>
      </c>
      <c r="D653" s="26" t="str">
        <f>IF(A653="","",IF(BASE_CAIXA!C650="Entrada","Crédito","Débito"))</f>
        <v/>
      </c>
      <c r="E653" s="26" t="str">
        <f>IF(A653="","",BASE_CAIXA!AA650)</f>
        <v/>
      </c>
      <c r="F653" s="26" t="str">
        <f>IF(A653="","",BASE_CAIXA!N650)</f>
        <v/>
      </c>
      <c r="G653" s="26" t="str">
        <f>IF(A653="","",BASE_CAIXA!O650)</f>
        <v/>
      </c>
      <c r="H653" s="26" t="str">
        <f>IF(A653="","",BASE_CAIXA!P650)</f>
        <v/>
      </c>
      <c r="I653" s="26" t="str">
        <f>IF(A653="","",IF(BASE_CAIXA!H650&lt;&gt;"",BASE_CAIXA!H650,BASE_CAIXA!G650))</f>
        <v/>
      </c>
      <c r="J653" s="26" t="str">
        <f>IF(A653="","",BASE_CAIXA!G650)</f>
        <v/>
      </c>
      <c r="K653" s="26" t="str">
        <f>IF(A653="","",BASE_CAIXA!I650)</f>
        <v/>
      </c>
      <c r="L653" s="26" t="str">
        <f>IF(A653="","",BASE_CAIXA!J650)</f>
        <v/>
      </c>
      <c r="M653" s="26" t="str">
        <f>IF(A653="","",BASE_CAIXA!AM650)</f>
        <v/>
      </c>
      <c r="N653" s="26" t="str">
        <f t="shared" ca="1" si="30"/>
        <v/>
      </c>
      <c r="O653" s="26" t="str">
        <f>IFERROR(INDEX(EXTRATO_IMPORTADO!$A$5:$A$404,MATCH(B653,EXTRATO_IMPORTADO!$I$5:$I$404,0)),"")</f>
        <v/>
      </c>
      <c r="P653" s="26" t="str">
        <f>IFERROR(INDEX(EXTRATO_IMPORTADO!$F$5:$F$404,MATCH(B653,EXTRATO_IMPORTADO!$I$5:$I$404,0)),"")</f>
        <v/>
      </c>
      <c r="Q653" s="26" t="str">
        <f>IFERROR(INDEX(EXTRATO_IMPORTADO!$B$5:$B$404,MATCH(B653,EXTRATO_IMPORTADO!$I$5:$I$404,0)),"")</f>
        <v/>
      </c>
      <c r="R653" s="26" t="str">
        <f>IFERROR(MATCH(B653,EXTRATO_IMPORTADO!$I$5:$I$404,0),"")</f>
        <v/>
      </c>
      <c r="S653" s="26" t="str">
        <f t="shared" si="31"/>
        <v/>
      </c>
      <c r="T653" s="26" t="str">
        <f t="shared" si="32"/>
        <v/>
      </c>
    </row>
    <row r="654" spans="1:20" x14ac:dyDescent="0.3">
      <c r="A654" s="26" t="str">
        <f>IF(BASE_CAIXA!A651="","",BASE_CAIXA!A651)</f>
        <v/>
      </c>
      <c r="B654" s="26" t="str">
        <f>IF(A654="","",BASE_CAIXA!AL651)</f>
        <v/>
      </c>
      <c r="C654" s="26" t="str">
        <f>IF(A654="","",BASE_CAIXA!AJ651)</f>
        <v/>
      </c>
      <c r="D654" s="26" t="str">
        <f>IF(A654="","",IF(BASE_CAIXA!C651="Entrada","Crédito","Débito"))</f>
        <v/>
      </c>
      <c r="E654" s="26" t="str">
        <f>IF(A654="","",BASE_CAIXA!AA651)</f>
        <v/>
      </c>
      <c r="F654" s="26" t="str">
        <f>IF(A654="","",BASE_CAIXA!N651)</f>
        <v/>
      </c>
      <c r="G654" s="26" t="str">
        <f>IF(A654="","",BASE_CAIXA!O651)</f>
        <v/>
      </c>
      <c r="H654" s="26" t="str">
        <f>IF(A654="","",BASE_CAIXA!P651)</f>
        <v/>
      </c>
      <c r="I654" s="26" t="str">
        <f>IF(A654="","",IF(BASE_CAIXA!H651&lt;&gt;"",BASE_CAIXA!H651,BASE_CAIXA!G651))</f>
        <v/>
      </c>
      <c r="J654" s="26" t="str">
        <f>IF(A654="","",BASE_CAIXA!G651)</f>
        <v/>
      </c>
      <c r="K654" s="26" t="str">
        <f>IF(A654="","",BASE_CAIXA!I651)</f>
        <v/>
      </c>
      <c r="L654" s="26" t="str">
        <f>IF(A654="","",BASE_CAIXA!J651)</f>
        <v/>
      </c>
      <c r="M654" s="26" t="str">
        <f>IF(A654="","",BASE_CAIXA!AM651)</f>
        <v/>
      </c>
      <c r="N654" s="26" t="str">
        <f t="shared" ca="1" si="30"/>
        <v/>
      </c>
      <c r="O654" s="26" t="str">
        <f>IFERROR(INDEX(EXTRATO_IMPORTADO!$A$5:$A$404,MATCH(B654,EXTRATO_IMPORTADO!$I$5:$I$404,0)),"")</f>
        <v/>
      </c>
      <c r="P654" s="26" t="str">
        <f>IFERROR(INDEX(EXTRATO_IMPORTADO!$F$5:$F$404,MATCH(B654,EXTRATO_IMPORTADO!$I$5:$I$404,0)),"")</f>
        <v/>
      </c>
      <c r="Q654" s="26" t="str">
        <f>IFERROR(INDEX(EXTRATO_IMPORTADO!$B$5:$B$404,MATCH(B654,EXTRATO_IMPORTADO!$I$5:$I$404,0)),"")</f>
        <v/>
      </c>
      <c r="R654" s="26" t="str">
        <f>IFERROR(MATCH(B654,EXTRATO_IMPORTADO!$I$5:$I$404,0),"")</f>
        <v/>
      </c>
      <c r="S654" s="26" t="str">
        <f t="shared" si="31"/>
        <v/>
      </c>
      <c r="T654" s="26" t="str">
        <f t="shared" si="32"/>
        <v/>
      </c>
    </row>
    <row r="655" spans="1:20" x14ac:dyDescent="0.3">
      <c r="A655" s="26" t="str">
        <f>IF(BASE_CAIXA!A652="","",BASE_CAIXA!A652)</f>
        <v/>
      </c>
      <c r="B655" s="26" t="str">
        <f>IF(A655="","",BASE_CAIXA!AL652)</f>
        <v/>
      </c>
      <c r="C655" s="26" t="str">
        <f>IF(A655="","",BASE_CAIXA!AJ652)</f>
        <v/>
      </c>
      <c r="D655" s="26" t="str">
        <f>IF(A655="","",IF(BASE_CAIXA!C652="Entrada","Crédito","Débito"))</f>
        <v/>
      </c>
      <c r="E655" s="26" t="str">
        <f>IF(A655="","",BASE_CAIXA!AA652)</f>
        <v/>
      </c>
      <c r="F655" s="26" t="str">
        <f>IF(A655="","",BASE_CAIXA!N652)</f>
        <v/>
      </c>
      <c r="G655" s="26" t="str">
        <f>IF(A655="","",BASE_CAIXA!O652)</f>
        <v/>
      </c>
      <c r="H655" s="26" t="str">
        <f>IF(A655="","",BASE_CAIXA!P652)</f>
        <v/>
      </c>
      <c r="I655" s="26" t="str">
        <f>IF(A655="","",IF(BASE_CAIXA!H652&lt;&gt;"",BASE_CAIXA!H652,BASE_CAIXA!G652))</f>
        <v/>
      </c>
      <c r="J655" s="26" t="str">
        <f>IF(A655="","",BASE_CAIXA!G652)</f>
        <v/>
      </c>
      <c r="K655" s="26" t="str">
        <f>IF(A655="","",BASE_CAIXA!I652)</f>
        <v/>
      </c>
      <c r="L655" s="26" t="str">
        <f>IF(A655="","",BASE_CAIXA!J652)</f>
        <v/>
      </c>
      <c r="M655" s="26" t="str">
        <f>IF(A655="","",BASE_CAIXA!AM652)</f>
        <v/>
      </c>
      <c r="N655" s="26" t="str">
        <f t="shared" ca="1" si="30"/>
        <v/>
      </c>
      <c r="O655" s="26" t="str">
        <f>IFERROR(INDEX(EXTRATO_IMPORTADO!$A$5:$A$404,MATCH(B655,EXTRATO_IMPORTADO!$I$5:$I$404,0)),"")</f>
        <v/>
      </c>
      <c r="P655" s="26" t="str">
        <f>IFERROR(INDEX(EXTRATO_IMPORTADO!$F$5:$F$404,MATCH(B655,EXTRATO_IMPORTADO!$I$5:$I$404,0)),"")</f>
        <v/>
      </c>
      <c r="Q655" s="26" t="str">
        <f>IFERROR(INDEX(EXTRATO_IMPORTADO!$B$5:$B$404,MATCH(B655,EXTRATO_IMPORTADO!$I$5:$I$404,0)),"")</f>
        <v/>
      </c>
      <c r="R655" s="26" t="str">
        <f>IFERROR(MATCH(B655,EXTRATO_IMPORTADO!$I$5:$I$404,0),"")</f>
        <v/>
      </c>
      <c r="S655" s="26" t="str">
        <f t="shared" si="31"/>
        <v/>
      </c>
      <c r="T655" s="26" t="str">
        <f t="shared" si="32"/>
        <v/>
      </c>
    </row>
    <row r="656" spans="1:20" x14ac:dyDescent="0.3">
      <c r="A656" s="26" t="str">
        <f>IF(BASE_CAIXA!A653="","",BASE_CAIXA!A653)</f>
        <v/>
      </c>
      <c r="B656" s="26" t="str">
        <f>IF(A656="","",BASE_CAIXA!AL653)</f>
        <v/>
      </c>
      <c r="C656" s="26" t="str">
        <f>IF(A656="","",BASE_CAIXA!AJ653)</f>
        <v/>
      </c>
      <c r="D656" s="26" t="str">
        <f>IF(A656="","",IF(BASE_CAIXA!C653="Entrada","Crédito","Débito"))</f>
        <v/>
      </c>
      <c r="E656" s="26" t="str">
        <f>IF(A656="","",BASE_CAIXA!AA653)</f>
        <v/>
      </c>
      <c r="F656" s="26" t="str">
        <f>IF(A656="","",BASE_CAIXA!N653)</f>
        <v/>
      </c>
      <c r="G656" s="26" t="str">
        <f>IF(A656="","",BASE_CAIXA!O653)</f>
        <v/>
      </c>
      <c r="H656" s="26" t="str">
        <f>IF(A656="","",BASE_CAIXA!P653)</f>
        <v/>
      </c>
      <c r="I656" s="26" t="str">
        <f>IF(A656="","",IF(BASE_CAIXA!H653&lt;&gt;"",BASE_CAIXA!H653,BASE_CAIXA!G653))</f>
        <v/>
      </c>
      <c r="J656" s="26" t="str">
        <f>IF(A656="","",BASE_CAIXA!G653)</f>
        <v/>
      </c>
      <c r="K656" s="26" t="str">
        <f>IF(A656="","",BASE_CAIXA!I653)</f>
        <v/>
      </c>
      <c r="L656" s="26" t="str">
        <f>IF(A656="","",BASE_CAIXA!J653)</f>
        <v/>
      </c>
      <c r="M656" s="26" t="str">
        <f>IF(A656="","",BASE_CAIXA!AM653)</f>
        <v/>
      </c>
      <c r="N656" s="26" t="str">
        <f t="shared" ca="1" si="30"/>
        <v/>
      </c>
      <c r="O656" s="26" t="str">
        <f>IFERROR(INDEX(EXTRATO_IMPORTADO!$A$5:$A$404,MATCH(B656,EXTRATO_IMPORTADO!$I$5:$I$404,0)),"")</f>
        <v/>
      </c>
      <c r="P656" s="26" t="str">
        <f>IFERROR(INDEX(EXTRATO_IMPORTADO!$F$5:$F$404,MATCH(B656,EXTRATO_IMPORTADO!$I$5:$I$404,0)),"")</f>
        <v/>
      </c>
      <c r="Q656" s="26" t="str">
        <f>IFERROR(INDEX(EXTRATO_IMPORTADO!$B$5:$B$404,MATCH(B656,EXTRATO_IMPORTADO!$I$5:$I$404,0)),"")</f>
        <v/>
      </c>
      <c r="R656" s="26" t="str">
        <f>IFERROR(MATCH(B656,EXTRATO_IMPORTADO!$I$5:$I$404,0),"")</f>
        <v/>
      </c>
      <c r="S656" s="26" t="str">
        <f t="shared" si="31"/>
        <v/>
      </c>
      <c r="T656" s="26" t="str">
        <f t="shared" si="32"/>
        <v/>
      </c>
    </row>
    <row r="657" spans="1:20" x14ac:dyDescent="0.3">
      <c r="A657" s="26" t="str">
        <f>IF(BASE_CAIXA!A654="","",BASE_CAIXA!A654)</f>
        <v/>
      </c>
      <c r="B657" s="26" t="str">
        <f>IF(A657="","",BASE_CAIXA!AL654)</f>
        <v/>
      </c>
      <c r="C657" s="26" t="str">
        <f>IF(A657="","",BASE_CAIXA!AJ654)</f>
        <v/>
      </c>
      <c r="D657" s="26" t="str">
        <f>IF(A657="","",IF(BASE_CAIXA!C654="Entrada","Crédito","Débito"))</f>
        <v/>
      </c>
      <c r="E657" s="26" t="str">
        <f>IF(A657="","",BASE_CAIXA!AA654)</f>
        <v/>
      </c>
      <c r="F657" s="26" t="str">
        <f>IF(A657="","",BASE_CAIXA!N654)</f>
        <v/>
      </c>
      <c r="G657" s="26" t="str">
        <f>IF(A657="","",BASE_CAIXA!O654)</f>
        <v/>
      </c>
      <c r="H657" s="26" t="str">
        <f>IF(A657="","",BASE_CAIXA!P654)</f>
        <v/>
      </c>
      <c r="I657" s="26" t="str">
        <f>IF(A657="","",IF(BASE_CAIXA!H654&lt;&gt;"",BASE_CAIXA!H654,BASE_CAIXA!G654))</f>
        <v/>
      </c>
      <c r="J657" s="26" t="str">
        <f>IF(A657="","",BASE_CAIXA!G654)</f>
        <v/>
      </c>
      <c r="K657" s="26" t="str">
        <f>IF(A657="","",BASE_CAIXA!I654)</f>
        <v/>
      </c>
      <c r="L657" s="26" t="str">
        <f>IF(A657="","",BASE_CAIXA!J654)</f>
        <v/>
      </c>
      <c r="M657" s="26" t="str">
        <f>IF(A657="","",BASE_CAIXA!AM654)</f>
        <v/>
      </c>
      <c r="N657" s="26" t="str">
        <f t="shared" ca="1" si="30"/>
        <v/>
      </c>
      <c r="O657" s="26" t="str">
        <f>IFERROR(INDEX(EXTRATO_IMPORTADO!$A$5:$A$404,MATCH(B657,EXTRATO_IMPORTADO!$I$5:$I$404,0)),"")</f>
        <v/>
      </c>
      <c r="P657" s="26" t="str">
        <f>IFERROR(INDEX(EXTRATO_IMPORTADO!$F$5:$F$404,MATCH(B657,EXTRATO_IMPORTADO!$I$5:$I$404,0)),"")</f>
        <v/>
      </c>
      <c r="Q657" s="26" t="str">
        <f>IFERROR(INDEX(EXTRATO_IMPORTADO!$B$5:$B$404,MATCH(B657,EXTRATO_IMPORTADO!$I$5:$I$404,0)),"")</f>
        <v/>
      </c>
      <c r="R657" s="26" t="str">
        <f>IFERROR(MATCH(B657,EXTRATO_IMPORTADO!$I$5:$I$404,0),"")</f>
        <v/>
      </c>
      <c r="S657" s="26" t="str">
        <f t="shared" si="31"/>
        <v/>
      </c>
      <c r="T657" s="26" t="str">
        <f t="shared" si="32"/>
        <v/>
      </c>
    </row>
    <row r="658" spans="1:20" x14ac:dyDescent="0.3">
      <c r="A658" s="26" t="str">
        <f>IF(BASE_CAIXA!A655="","",BASE_CAIXA!A655)</f>
        <v/>
      </c>
      <c r="B658" s="26" t="str">
        <f>IF(A658="","",BASE_CAIXA!AL655)</f>
        <v/>
      </c>
      <c r="C658" s="26" t="str">
        <f>IF(A658="","",BASE_CAIXA!AJ655)</f>
        <v/>
      </c>
      <c r="D658" s="26" t="str">
        <f>IF(A658="","",IF(BASE_CAIXA!C655="Entrada","Crédito","Débito"))</f>
        <v/>
      </c>
      <c r="E658" s="26" t="str">
        <f>IF(A658="","",BASE_CAIXA!AA655)</f>
        <v/>
      </c>
      <c r="F658" s="26" t="str">
        <f>IF(A658="","",BASE_CAIXA!N655)</f>
        <v/>
      </c>
      <c r="G658" s="26" t="str">
        <f>IF(A658="","",BASE_CAIXA!O655)</f>
        <v/>
      </c>
      <c r="H658" s="26" t="str">
        <f>IF(A658="","",BASE_CAIXA!P655)</f>
        <v/>
      </c>
      <c r="I658" s="26" t="str">
        <f>IF(A658="","",IF(BASE_CAIXA!H655&lt;&gt;"",BASE_CAIXA!H655,BASE_CAIXA!G655))</f>
        <v/>
      </c>
      <c r="J658" s="26" t="str">
        <f>IF(A658="","",BASE_CAIXA!G655)</f>
        <v/>
      </c>
      <c r="K658" s="26" t="str">
        <f>IF(A658="","",BASE_CAIXA!I655)</f>
        <v/>
      </c>
      <c r="L658" s="26" t="str">
        <f>IF(A658="","",BASE_CAIXA!J655)</f>
        <v/>
      </c>
      <c r="M658" s="26" t="str">
        <f>IF(A658="","",BASE_CAIXA!AM655)</f>
        <v/>
      </c>
      <c r="N658" s="26" t="str">
        <f t="shared" ca="1" si="30"/>
        <v/>
      </c>
      <c r="O658" s="26" t="str">
        <f>IFERROR(INDEX(EXTRATO_IMPORTADO!$A$5:$A$404,MATCH(B658,EXTRATO_IMPORTADO!$I$5:$I$404,0)),"")</f>
        <v/>
      </c>
      <c r="P658" s="26" t="str">
        <f>IFERROR(INDEX(EXTRATO_IMPORTADO!$F$5:$F$404,MATCH(B658,EXTRATO_IMPORTADO!$I$5:$I$404,0)),"")</f>
        <v/>
      </c>
      <c r="Q658" s="26" t="str">
        <f>IFERROR(INDEX(EXTRATO_IMPORTADO!$B$5:$B$404,MATCH(B658,EXTRATO_IMPORTADO!$I$5:$I$404,0)),"")</f>
        <v/>
      </c>
      <c r="R658" s="26" t="str">
        <f>IFERROR(MATCH(B658,EXTRATO_IMPORTADO!$I$5:$I$404,0),"")</f>
        <v/>
      </c>
      <c r="S658" s="26" t="str">
        <f t="shared" si="31"/>
        <v/>
      </c>
      <c r="T658" s="26" t="str">
        <f t="shared" si="32"/>
        <v/>
      </c>
    </row>
    <row r="659" spans="1:20" x14ac:dyDescent="0.3">
      <c r="A659" s="26" t="str">
        <f>IF(BASE_CAIXA!A656="","",BASE_CAIXA!A656)</f>
        <v/>
      </c>
      <c r="B659" s="26" t="str">
        <f>IF(A659="","",BASE_CAIXA!AL656)</f>
        <v/>
      </c>
      <c r="C659" s="26" t="str">
        <f>IF(A659="","",BASE_CAIXA!AJ656)</f>
        <v/>
      </c>
      <c r="D659" s="26" t="str">
        <f>IF(A659="","",IF(BASE_CAIXA!C656="Entrada","Crédito","Débito"))</f>
        <v/>
      </c>
      <c r="E659" s="26" t="str">
        <f>IF(A659="","",BASE_CAIXA!AA656)</f>
        <v/>
      </c>
      <c r="F659" s="26" t="str">
        <f>IF(A659="","",BASE_CAIXA!N656)</f>
        <v/>
      </c>
      <c r="G659" s="26" t="str">
        <f>IF(A659="","",BASE_CAIXA!O656)</f>
        <v/>
      </c>
      <c r="H659" s="26" t="str">
        <f>IF(A659="","",BASE_CAIXA!P656)</f>
        <v/>
      </c>
      <c r="I659" s="26" t="str">
        <f>IF(A659="","",IF(BASE_CAIXA!H656&lt;&gt;"",BASE_CAIXA!H656,BASE_CAIXA!G656))</f>
        <v/>
      </c>
      <c r="J659" s="26" t="str">
        <f>IF(A659="","",BASE_CAIXA!G656)</f>
        <v/>
      </c>
      <c r="K659" s="26" t="str">
        <f>IF(A659="","",BASE_CAIXA!I656)</f>
        <v/>
      </c>
      <c r="L659" s="26" t="str">
        <f>IF(A659="","",BASE_CAIXA!J656)</f>
        <v/>
      </c>
      <c r="M659" s="26" t="str">
        <f>IF(A659="","",BASE_CAIXA!AM656)</f>
        <v/>
      </c>
      <c r="N659" s="26" t="str">
        <f t="shared" ca="1" si="30"/>
        <v/>
      </c>
      <c r="O659" s="26" t="str">
        <f>IFERROR(INDEX(EXTRATO_IMPORTADO!$A$5:$A$404,MATCH(B659,EXTRATO_IMPORTADO!$I$5:$I$404,0)),"")</f>
        <v/>
      </c>
      <c r="P659" s="26" t="str">
        <f>IFERROR(INDEX(EXTRATO_IMPORTADO!$F$5:$F$404,MATCH(B659,EXTRATO_IMPORTADO!$I$5:$I$404,0)),"")</f>
        <v/>
      </c>
      <c r="Q659" s="26" t="str">
        <f>IFERROR(INDEX(EXTRATO_IMPORTADO!$B$5:$B$404,MATCH(B659,EXTRATO_IMPORTADO!$I$5:$I$404,0)),"")</f>
        <v/>
      </c>
      <c r="R659" s="26" t="str">
        <f>IFERROR(MATCH(B659,EXTRATO_IMPORTADO!$I$5:$I$404,0),"")</f>
        <v/>
      </c>
      <c r="S659" s="26" t="str">
        <f t="shared" si="31"/>
        <v/>
      </c>
      <c r="T659" s="26" t="str">
        <f t="shared" si="32"/>
        <v/>
      </c>
    </row>
    <row r="660" spans="1:20" x14ac:dyDescent="0.3">
      <c r="A660" s="26" t="str">
        <f>IF(BASE_CAIXA!A657="","",BASE_CAIXA!A657)</f>
        <v/>
      </c>
      <c r="B660" s="26" t="str">
        <f>IF(A660="","",BASE_CAIXA!AL657)</f>
        <v/>
      </c>
      <c r="C660" s="26" t="str">
        <f>IF(A660="","",BASE_CAIXA!AJ657)</f>
        <v/>
      </c>
      <c r="D660" s="26" t="str">
        <f>IF(A660="","",IF(BASE_CAIXA!C657="Entrada","Crédito","Débito"))</f>
        <v/>
      </c>
      <c r="E660" s="26" t="str">
        <f>IF(A660="","",BASE_CAIXA!AA657)</f>
        <v/>
      </c>
      <c r="F660" s="26" t="str">
        <f>IF(A660="","",BASE_CAIXA!N657)</f>
        <v/>
      </c>
      <c r="G660" s="26" t="str">
        <f>IF(A660="","",BASE_CAIXA!O657)</f>
        <v/>
      </c>
      <c r="H660" s="26" t="str">
        <f>IF(A660="","",BASE_CAIXA!P657)</f>
        <v/>
      </c>
      <c r="I660" s="26" t="str">
        <f>IF(A660="","",IF(BASE_CAIXA!H657&lt;&gt;"",BASE_CAIXA!H657,BASE_CAIXA!G657))</f>
        <v/>
      </c>
      <c r="J660" s="26" t="str">
        <f>IF(A660="","",BASE_CAIXA!G657)</f>
        <v/>
      </c>
      <c r="K660" s="26" t="str">
        <f>IF(A660="","",BASE_CAIXA!I657)</f>
        <v/>
      </c>
      <c r="L660" s="26" t="str">
        <f>IF(A660="","",BASE_CAIXA!J657)</f>
        <v/>
      </c>
      <c r="M660" s="26" t="str">
        <f>IF(A660="","",BASE_CAIXA!AM657)</f>
        <v/>
      </c>
      <c r="N660" s="26" t="str">
        <f t="shared" ca="1" si="30"/>
        <v/>
      </c>
      <c r="O660" s="26" t="str">
        <f>IFERROR(INDEX(EXTRATO_IMPORTADO!$A$5:$A$404,MATCH(B660,EXTRATO_IMPORTADO!$I$5:$I$404,0)),"")</f>
        <v/>
      </c>
      <c r="P660" s="26" t="str">
        <f>IFERROR(INDEX(EXTRATO_IMPORTADO!$F$5:$F$404,MATCH(B660,EXTRATO_IMPORTADO!$I$5:$I$404,0)),"")</f>
        <v/>
      </c>
      <c r="Q660" s="26" t="str">
        <f>IFERROR(INDEX(EXTRATO_IMPORTADO!$B$5:$B$404,MATCH(B660,EXTRATO_IMPORTADO!$I$5:$I$404,0)),"")</f>
        <v/>
      </c>
      <c r="R660" s="26" t="str">
        <f>IFERROR(MATCH(B660,EXTRATO_IMPORTADO!$I$5:$I$404,0),"")</f>
        <v/>
      </c>
      <c r="S660" s="26" t="str">
        <f t="shared" si="31"/>
        <v/>
      </c>
      <c r="T660" s="26" t="str">
        <f t="shared" si="32"/>
        <v/>
      </c>
    </row>
    <row r="661" spans="1:20" x14ac:dyDescent="0.3">
      <c r="A661" s="26" t="str">
        <f>IF(BASE_CAIXA!A658="","",BASE_CAIXA!A658)</f>
        <v/>
      </c>
      <c r="B661" s="26" t="str">
        <f>IF(A661="","",BASE_CAIXA!AL658)</f>
        <v/>
      </c>
      <c r="C661" s="26" t="str">
        <f>IF(A661="","",BASE_CAIXA!AJ658)</f>
        <v/>
      </c>
      <c r="D661" s="26" t="str">
        <f>IF(A661="","",IF(BASE_CAIXA!C658="Entrada","Crédito","Débito"))</f>
        <v/>
      </c>
      <c r="E661" s="26" t="str">
        <f>IF(A661="","",BASE_CAIXA!AA658)</f>
        <v/>
      </c>
      <c r="F661" s="26" t="str">
        <f>IF(A661="","",BASE_CAIXA!N658)</f>
        <v/>
      </c>
      <c r="G661" s="26" t="str">
        <f>IF(A661="","",BASE_CAIXA!O658)</f>
        <v/>
      </c>
      <c r="H661" s="26" t="str">
        <f>IF(A661="","",BASE_CAIXA!P658)</f>
        <v/>
      </c>
      <c r="I661" s="26" t="str">
        <f>IF(A661="","",IF(BASE_CAIXA!H658&lt;&gt;"",BASE_CAIXA!H658,BASE_CAIXA!G658))</f>
        <v/>
      </c>
      <c r="J661" s="26" t="str">
        <f>IF(A661="","",BASE_CAIXA!G658)</f>
        <v/>
      </c>
      <c r="K661" s="26" t="str">
        <f>IF(A661="","",BASE_CAIXA!I658)</f>
        <v/>
      </c>
      <c r="L661" s="26" t="str">
        <f>IF(A661="","",BASE_CAIXA!J658)</f>
        <v/>
      </c>
      <c r="M661" s="26" t="str">
        <f>IF(A661="","",BASE_CAIXA!AM658)</f>
        <v/>
      </c>
      <c r="N661" s="26" t="str">
        <f t="shared" ca="1" si="30"/>
        <v/>
      </c>
      <c r="O661" s="26" t="str">
        <f>IFERROR(INDEX(EXTRATO_IMPORTADO!$A$5:$A$404,MATCH(B661,EXTRATO_IMPORTADO!$I$5:$I$404,0)),"")</f>
        <v/>
      </c>
      <c r="P661" s="26" t="str">
        <f>IFERROR(INDEX(EXTRATO_IMPORTADO!$F$5:$F$404,MATCH(B661,EXTRATO_IMPORTADO!$I$5:$I$404,0)),"")</f>
        <v/>
      </c>
      <c r="Q661" s="26" t="str">
        <f>IFERROR(INDEX(EXTRATO_IMPORTADO!$B$5:$B$404,MATCH(B661,EXTRATO_IMPORTADO!$I$5:$I$404,0)),"")</f>
        <v/>
      </c>
      <c r="R661" s="26" t="str">
        <f>IFERROR(MATCH(B661,EXTRATO_IMPORTADO!$I$5:$I$404,0),"")</f>
        <v/>
      </c>
      <c r="S661" s="26" t="str">
        <f t="shared" si="31"/>
        <v/>
      </c>
      <c r="T661" s="26" t="str">
        <f t="shared" si="32"/>
        <v/>
      </c>
    </row>
    <row r="662" spans="1:20" x14ac:dyDescent="0.3">
      <c r="A662" s="26" t="str">
        <f>IF(BASE_CAIXA!A659="","",BASE_CAIXA!A659)</f>
        <v/>
      </c>
      <c r="B662" s="26" t="str">
        <f>IF(A662="","",BASE_CAIXA!AL659)</f>
        <v/>
      </c>
      <c r="C662" s="26" t="str">
        <f>IF(A662="","",BASE_CAIXA!AJ659)</f>
        <v/>
      </c>
      <c r="D662" s="26" t="str">
        <f>IF(A662="","",IF(BASE_CAIXA!C659="Entrada","Crédito","Débito"))</f>
        <v/>
      </c>
      <c r="E662" s="26" t="str">
        <f>IF(A662="","",BASE_CAIXA!AA659)</f>
        <v/>
      </c>
      <c r="F662" s="26" t="str">
        <f>IF(A662="","",BASE_CAIXA!N659)</f>
        <v/>
      </c>
      <c r="G662" s="26" t="str">
        <f>IF(A662="","",BASE_CAIXA!O659)</f>
        <v/>
      </c>
      <c r="H662" s="26" t="str">
        <f>IF(A662="","",BASE_CAIXA!P659)</f>
        <v/>
      </c>
      <c r="I662" s="26" t="str">
        <f>IF(A662="","",IF(BASE_CAIXA!H659&lt;&gt;"",BASE_CAIXA!H659,BASE_CAIXA!G659))</f>
        <v/>
      </c>
      <c r="J662" s="26" t="str">
        <f>IF(A662="","",BASE_CAIXA!G659)</f>
        <v/>
      </c>
      <c r="K662" s="26" t="str">
        <f>IF(A662="","",BASE_CAIXA!I659)</f>
        <v/>
      </c>
      <c r="L662" s="26" t="str">
        <f>IF(A662="","",BASE_CAIXA!J659)</f>
        <v/>
      </c>
      <c r="M662" s="26" t="str">
        <f>IF(A662="","",BASE_CAIXA!AM659)</f>
        <v/>
      </c>
      <c r="N662" s="26" t="str">
        <f t="shared" ca="1" si="30"/>
        <v/>
      </c>
      <c r="O662" s="26" t="str">
        <f>IFERROR(INDEX(EXTRATO_IMPORTADO!$A$5:$A$404,MATCH(B662,EXTRATO_IMPORTADO!$I$5:$I$404,0)),"")</f>
        <v/>
      </c>
      <c r="P662" s="26" t="str">
        <f>IFERROR(INDEX(EXTRATO_IMPORTADO!$F$5:$F$404,MATCH(B662,EXTRATO_IMPORTADO!$I$5:$I$404,0)),"")</f>
        <v/>
      </c>
      <c r="Q662" s="26" t="str">
        <f>IFERROR(INDEX(EXTRATO_IMPORTADO!$B$5:$B$404,MATCH(B662,EXTRATO_IMPORTADO!$I$5:$I$404,0)),"")</f>
        <v/>
      </c>
      <c r="R662" s="26" t="str">
        <f>IFERROR(MATCH(B662,EXTRATO_IMPORTADO!$I$5:$I$404,0),"")</f>
        <v/>
      </c>
      <c r="S662" s="26" t="str">
        <f t="shared" si="31"/>
        <v/>
      </c>
      <c r="T662" s="26" t="str">
        <f t="shared" si="32"/>
        <v/>
      </c>
    </row>
    <row r="663" spans="1:20" x14ac:dyDescent="0.3">
      <c r="A663" s="26" t="str">
        <f>IF(BASE_CAIXA!A660="","",BASE_CAIXA!A660)</f>
        <v/>
      </c>
      <c r="B663" s="26" t="str">
        <f>IF(A663="","",BASE_CAIXA!AL660)</f>
        <v/>
      </c>
      <c r="C663" s="26" t="str">
        <f>IF(A663="","",BASE_CAIXA!AJ660)</f>
        <v/>
      </c>
      <c r="D663" s="26" t="str">
        <f>IF(A663="","",IF(BASE_CAIXA!C660="Entrada","Crédito","Débito"))</f>
        <v/>
      </c>
      <c r="E663" s="26" t="str">
        <f>IF(A663="","",BASE_CAIXA!AA660)</f>
        <v/>
      </c>
      <c r="F663" s="26" t="str">
        <f>IF(A663="","",BASE_CAIXA!N660)</f>
        <v/>
      </c>
      <c r="G663" s="26" t="str">
        <f>IF(A663="","",BASE_CAIXA!O660)</f>
        <v/>
      </c>
      <c r="H663" s="26" t="str">
        <f>IF(A663="","",BASE_CAIXA!P660)</f>
        <v/>
      </c>
      <c r="I663" s="26" t="str">
        <f>IF(A663="","",IF(BASE_CAIXA!H660&lt;&gt;"",BASE_CAIXA!H660,BASE_CAIXA!G660))</f>
        <v/>
      </c>
      <c r="J663" s="26" t="str">
        <f>IF(A663="","",BASE_CAIXA!G660)</f>
        <v/>
      </c>
      <c r="K663" s="26" t="str">
        <f>IF(A663="","",BASE_CAIXA!I660)</f>
        <v/>
      </c>
      <c r="L663" s="26" t="str">
        <f>IF(A663="","",BASE_CAIXA!J660)</f>
        <v/>
      </c>
      <c r="M663" s="26" t="str">
        <f>IF(A663="","",BASE_CAIXA!AM660)</f>
        <v/>
      </c>
      <c r="N663" s="26" t="str">
        <f t="shared" ca="1" si="30"/>
        <v/>
      </c>
      <c r="O663" s="26" t="str">
        <f>IFERROR(INDEX(EXTRATO_IMPORTADO!$A$5:$A$404,MATCH(B663,EXTRATO_IMPORTADO!$I$5:$I$404,0)),"")</f>
        <v/>
      </c>
      <c r="P663" s="26" t="str">
        <f>IFERROR(INDEX(EXTRATO_IMPORTADO!$F$5:$F$404,MATCH(B663,EXTRATO_IMPORTADO!$I$5:$I$404,0)),"")</f>
        <v/>
      </c>
      <c r="Q663" s="26" t="str">
        <f>IFERROR(INDEX(EXTRATO_IMPORTADO!$B$5:$B$404,MATCH(B663,EXTRATO_IMPORTADO!$I$5:$I$404,0)),"")</f>
        <v/>
      </c>
      <c r="R663" s="26" t="str">
        <f>IFERROR(MATCH(B663,EXTRATO_IMPORTADO!$I$5:$I$404,0),"")</f>
        <v/>
      </c>
      <c r="S663" s="26" t="str">
        <f t="shared" si="31"/>
        <v/>
      </c>
      <c r="T663" s="26" t="str">
        <f t="shared" si="32"/>
        <v/>
      </c>
    </row>
    <row r="664" spans="1:20" x14ac:dyDescent="0.3">
      <c r="A664" s="26" t="str">
        <f>IF(BASE_CAIXA!A661="","",BASE_CAIXA!A661)</f>
        <v/>
      </c>
      <c r="B664" s="26" t="str">
        <f>IF(A664="","",BASE_CAIXA!AL661)</f>
        <v/>
      </c>
      <c r="C664" s="26" t="str">
        <f>IF(A664="","",BASE_CAIXA!AJ661)</f>
        <v/>
      </c>
      <c r="D664" s="26" t="str">
        <f>IF(A664="","",IF(BASE_CAIXA!C661="Entrada","Crédito","Débito"))</f>
        <v/>
      </c>
      <c r="E664" s="26" t="str">
        <f>IF(A664="","",BASE_CAIXA!AA661)</f>
        <v/>
      </c>
      <c r="F664" s="26" t="str">
        <f>IF(A664="","",BASE_CAIXA!N661)</f>
        <v/>
      </c>
      <c r="G664" s="26" t="str">
        <f>IF(A664="","",BASE_CAIXA!O661)</f>
        <v/>
      </c>
      <c r="H664" s="26" t="str">
        <f>IF(A664="","",BASE_CAIXA!P661)</f>
        <v/>
      </c>
      <c r="I664" s="26" t="str">
        <f>IF(A664="","",IF(BASE_CAIXA!H661&lt;&gt;"",BASE_CAIXA!H661,BASE_CAIXA!G661))</f>
        <v/>
      </c>
      <c r="J664" s="26" t="str">
        <f>IF(A664="","",BASE_CAIXA!G661)</f>
        <v/>
      </c>
      <c r="K664" s="26" t="str">
        <f>IF(A664="","",BASE_CAIXA!I661)</f>
        <v/>
      </c>
      <c r="L664" s="26" t="str">
        <f>IF(A664="","",BASE_CAIXA!J661)</f>
        <v/>
      </c>
      <c r="M664" s="26" t="str">
        <f>IF(A664="","",BASE_CAIXA!AM661)</f>
        <v/>
      </c>
      <c r="N664" s="26" t="str">
        <f t="shared" ca="1" si="30"/>
        <v/>
      </c>
      <c r="O664" s="26" t="str">
        <f>IFERROR(INDEX(EXTRATO_IMPORTADO!$A$5:$A$404,MATCH(B664,EXTRATO_IMPORTADO!$I$5:$I$404,0)),"")</f>
        <v/>
      </c>
      <c r="P664" s="26" t="str">
        <f>IFERROR(INDEX(EXTRATO_IMPORTADO!$F$5:$F$404,MATCH(B664,EXTRATO_IMPORTADO!$I$5:$I$404,0)),"")</f>
        <v/>
      </c>
      <c r="Q664" s="26" t="str">
        <f>IFERROR(INDEX(EXTRATO_IMPORTADO!$B$5:$B$404,MATCH(B664,EXTRATO_IMPORTADO!$I$5:$I$404,0)),"")</f>
        <v/>
      </c>
      <c r="R664" s="26" t="str">
        <f>IFERROR(MATCH(B664,EXTRATO_IMPORTADO!$I$5:$I$404,0),"")</f>
        <v/>
      </c>
      <c r="S664" s="26" t="str">
        <f t="shared" si="31"/>
        <v/>
      </c>
      <c r="T664" s="26" t="str">
        <f t="shared" si="32"/>
        <v/>
      </c>
    </row>
    <row r="665" spans="1:20" x14ac:dyDescent="0.3">
      <c r="A665" s="26" t="str">
        <f>IF(BASE_CAIXA!A662="","",BASE_CAIXA!A662)</f>
        <v/>
      </c>
      <c r="B665" s="26" t="str">
        <f>IF(A665="","",BASE_CAIXA!AL662)</f>
        <v/>
      </c>
      <c r="C665" s="26" t="str">
        <f>IF(A665="","",BASE_CAIXA!AJ662)</f>
        <v/>
      </c>
      <c r="D665" s="26" t="str">
        <f>IF(A665="","",IF(BASE_CAIXA!C662="Entrada","Crédito","Débito"))</f>
        <v/>
      </c>
      <c r="E665" s="26" t="str">
        <f>IF(A665="","",BASE_CAIXA!AA662)</f>
        <v/>
      </c>
      <c r="F665" s="26" t="str">
        <f>IF(A665="","",BASE_CAIXA!N662)</f>
        <v/>
      </c>
      <c r="G665" s="26" t="str">
        <f>IF(A665="","",BASE_CAIXA!O662)</f>
        <v/>
      </c>
      <c r="H665" s="26" t="str">
        <f>IF(A665="","",BASE_CAIXA!P662)</f>
        <v/>
      </c>
      <c r="I665" s="26" t="str">
        <f>IF(A665="","",IF(BASE_CAIXA!H662&lt;&gt;"",BASE_CAIXA!H662,BASE_CAIXA!G662))</f>
        <v/>
      </c>
      <c r="J665" s="26" t="str">
        <f>IF(A665="","",BASE_CAIXA!G662)</f>
        <v/>
      </c>
      <c r="K665" s="26" t="str">
        <f>IF(A665="","",BASE_CAIXA!I662)</f>
        <v/>
      </c>
      <c r="L665" s="26" t="str">
        <f>IF(A665="","",BASE_CAIXA!J662)</f>
        <v/>
      </c>
      <c r="M665" s="26" t="str">
        <f>IF(A665="","",BASE_CAIXA!AM662)</f>
        <v/>
      </c>
      <c r="N665" s="26" t="str">
        <f t="shared" ca="1" si="30"/>
        <v/>
      </c>
      <c r="O665" s="26" t="str">
        <f>IFERROR(INDEX(EXTRATO_IMPORTADO!$A$5:$A$404,MATCH(B665,EXTRATO_IMPORTADO!$I$5:$I$404,0)),"")</f>
        <v/>
      </c>
      <c r="P665" s="26" t="str">
        <f>IFERROR(INDEX(EXTRATO_IMPORTADO!$F$5:$F$404,MATCH(B665,EXTRATO_IMPORTADO!$I$5:$I$404,0)),"")</f>
        <v/>
      </c>
      <c r="Q665" s="26" t="str">
        <f>IFERROR(INDEX(EXTRATO_IMPORTADO!$B$5:$B$404,MATCH(B665,EXTRATO_IMPORTADO!$I$5:$I$404,0)),"")</f>
        <v/>
      </c>
      <c r="R665" s="26" t="str">
        <f>IFERROR(MATCH(B665,EXTRATO_IMPORTADO!$I$5:$I$404,0),"")</f>
        <v/>
      </c>
      <c r="S665" s="26" t="str">
        <f t="shared" si="31"/>
        <v/>
      </c>
      <c r="T665" s="26" t="str">
        <f t="shared" si="32"/>
        <v/>
      </c>
    </row>
    <row r="666" spans="1:20" x14ac:dyDescent="0.3">
      <c r="A666" s="26" t="str">
        <f>IF(BASE_CAIXA!A663="","",BASE_CAIXA!A663)</f>
        <v/>
      </c>
      <c r="B666" s="26" t="str">
        <f>IF(A666="","",BASE_CAIXA!AL663)</f>
        <v/>
      </c>
      <c r="C666" s="26" t="str">
        <f>IF(A666="","",BASE_CAIXA!AJ663)</f>
        <v/>
      </c>
      <c r="D666" s="26" t="str">
        <f>IF(A666="","",IF(BASE_CAIXA!C663="Entrada","Crédito","Débito"))</f>
        <v/>
      </c>
      <c r="E666" s="26" t="str">
        <f>IF(A666="","",BASE_CAIXA!AA663)</f>
        <v/>
      </c>
      <c r="F666" s="26" t="str">
        <f>IF(A666="","",BASE_CAIXA!N663)</f>
        <v/>
      </c>
      <c r="G666" s="26" t="str">
        <f>IF(A666="","",BASE_CAIXA!O663)</f>
        <v/>
      </c>
      <c r="H666" s="26" t="str">
        <f>IF(A666="","",BASE_CAIXA!P663)</f>
        <v/>
      </c>
      <c r="I666" s="26" t="str">
        <f>IF(A666="","",IF(BASE_CAIXA!H663&lt;&gt;"",BASE_CAIXA!H663,BASE_CAIXA!G663))</f>
        <v/>
      </c>
      <c r="J666" s="26" t="str">
        <f>IF(A666="","",BASE_CAIXA!G663)</f>
        <v/>
      </c>
      <c r="K666" s="26" t="str">
        <f>IF(A666="","",BASE_CAIXA!I663)</f>
        <v/>
      </c>
      <c r="L666" s="26" t="str">
        <f>IF(A666="","",BASE_CAIXA!J663)</f>
        <v/>
      </c>
      <c r="M666" s="26" t="str">
        <f>IF(A666="","",BASE_CAIXA!AM663)</f>
        <v/>
      </c>
      <c r="N666" s="26" t="str">
        <f t="shared" ca="1" si="30"/>
        <v/>
      </c>
      <c r="O666" s="26" t="str">
        <f>IFERROR(INDEX(EXTRATO_IMPORTADO!$A$5:$A$404,MATCH(B666,EXTRATO_IMPORTADO!$I$5:$I$404,0)),"")</f>
        <v/>
      </c>
      <c r="P666" s="26" t="str">
        <f>IFERROR(INDEX(EXTRATO_IMPORTADO!$F$5:$F$404,MATCH(B666,EXTRATO_IMPORTADO!$I$5:$I$404,0)),"")</f>
        <v/>
      </c>
      <c r="Q666" s="26" t="str">
        <f>IFERROR(INDEX(EXTRATO_IMPORTADO!$B$5:$B$404,MATCH(B666,EXTRATO_IMPORTADO!$I$5:$I$404,0)),"")</f>
        <v/>
      </c>
      <c r="R666" s="26" t="str">
        <f>IFERROR(MATCH(B666,EXTRATO_IMPORTADO!$I$5:$I$404,0),"")</f>
        <v/>
      </c>
      <c r="S666" s="26" t="str">
        <f t="shared" si="31"/>
        <v/>
      </c>
      <c r="T666" s="26" t="str">
        <f t="shared" si="32"/>
        <v/>
      </c>
    </row>
    <row r="667" spans="1:20" x14ac:dyDescent="0.3">
      <c r="A667" s="26" t="str">
        <f>IF(BASE_CAIXA!A664="","",BASE_CAIXA!A664)</f>
        <v/>
      </c>
      <c r="B667" s="26" t="str">
        <f>IF(A667="","",BASE_CAIXA!AL664)</f>
        <v/>
      </c>
      <c r="C667" s="26" t="str">
        <f>IF(A667="","",BASE_CAIXA!AJ664)</f>
        <v/>
      </c>
      <c r="D667" s="26" t="str">
        <f>IF(A667="","",IF(BASE_CAIXA!C664="Entrada","Crédito","Débito"))</f>
        <v/>
      </c>
      <c r="E667" s="26" t="str">
        <f>IF(A667="","",BASE_CAIXA!AA664)</f>
        <v/>
      </c>
      <c r="F667" s="26" t="str">
        <f>IF(A667="","",BASE_CAIXA!N664)</f>
        <v/>
      </c>
      <c r="G667" s="26" t="str">
        <f>IF(A667="","",BASE_CAIXA!O664)</f>
        <v/>
      </c>
      <c r="H667" s="26" t="str">
        <f>IF(A667="","",BASE_CAIXA!P664)</f>
        <v/>
      </c>
      <c r="I667" s="26" t="str">
        <f>IF(A667="","",IF(BASE_CAIXA!H664&lt;&gt;"",BASE_CAIXA!H664,BASE_CAIXA!G664))</f>
        <v/>
      </c>
      <c r="J667" s="26" t="str">
        <f>IF(A667="","",BASE_CAIXA!G664)</f>
        <v/>
      </c>
      <c r="K667" s="26" t="str">
        <f>IF(A667="","",BASE_CAIXA!I664)</f>
        <v/>
      </c>
      <c r="L667" s="26" t="str">
        <f>IF(A667="","",BASE_CAIXA!J664)</f>
        <v/>
      </c>
      <c r="M667" s="26" t="str">
        <f>IF(A667="","",BASE_CAIXA!AM664)</f>
        <v/>
      </c>
      <c r="N667" s="26" t="str">
        <f t="shared" ca="1" si="30"/>
        <v/>
      </c>
      <c r="O667" s="26" t="str">
        <f>IFERROR(INDEX(EXTRATO_IMPORTADO!$A$5:$A$404,MATCH(B667,EXTRATO_IMPORTADO!$I$5:$I$404,0)),"")</f>
        <v/>
      </c>
      <c r="P667" s="26" t="str">
        <f>IFERROR(INDEX(EXTRATO_IMPORTADO!$F$5:$F$404,MATCH(B667,EXTRATO_IMPORTADO!$I$5:$I$404,0)),"")</f>
        <v/>
      </c>
      <c r="Q667" s="26" t="str">
        <f>IFERROR(INDEX(EXTRATO_IMPORTADO!$B$5:$B$404,MATCH(B667,EXTRATO_IMPORTADO!$I$5:$I$404,0)),"")</f>
        <v/>
      </c>
      <c r="R667" s="26" t="str">
        <f>IFERROR(MATCH(B667,EXTRATO_IMPORTADO!$I$5:$I$404,0),"")</f>
        <v/>
      </c>
      <c r="S667" s="26" t="str">
        <f t="shared" si="31"/>
        <v/>
      </c>
      <c r="T667" s="26" t="str">
        <f t="shared" si="32"/>
        <v/>
      </c>
    </row>
    <row r="668" spans="1:20" x14ac:dyDescent="0.3">
      <c r="A668" s="26" t="str">
        <f>IF(BASE_CAIXA!A665="","",BASE_CAIXA!A665)</f>
        <v/>
      </c>
      <c r="B668" s="26" t="str">
        <f>IF(A668="","",BASE_CAIXA!AL665)</f>
        <v/>
      </c>
      <c r="C668" s="26" t="str">
        <f>IF(A668="","",BASE_CAIXA!AJ665)</f>
        <v/>
      </c>
      <c r="D668" s="26" t="str">
        <f>IF(A668="","",IF(BASE_CAIXA!C665="Entrada","Crédito","Débito"))</f>
        <v/>
      </c>
      <c r="E668" s="26" t="str">
        <f>IF(A668="","",BASE_CAIXA!AA665)</f>
        <v/>
      </c>
      <c r="F668" s="26" t="str">
        <f>IF(A668="","",BASE_CAIXA!N665)</f>
        <v/>
      </c>
      <c r="G668" s="26" t="str">
        <f>IF(A668="","",BASE_CAIXA!O665)</f>
        <v/>
      </c>
      <c r="H668" s="26" t="str">
        <f>IF(A668="","",BASE_CAIXA!P665)</f>
        <v/>
      </c>
      <c r="I668" s="26" t="str">
        <f>IF(A668="","",IF(BASE_CAIXA!H665&lt;&gt;"",BASE_CAIXA!H665,BASE_CAIXA!G665))</f>
        <v/>
      </c>
      <c r="J668" s="26" t="str">
        <f>IF(A668="","",BASE_CAIXA!G665)</f>
        <v/>
      </c>
      <c r="K668" s="26" t="str">
        <f>IF(A668="","",BASE_CAIXA!I665)</f>
        <v/>
      </c>
      <c r="L668" s="26" t="str">
        <f>IF(A668="","",BASE_CAIXA!J665)</f>
        <v/>
      </c>
      <c r="M668" s="26" t="str">
        <f>IF(A668="","",BASE_CAIXA!AM665)</f>
        <v/>
      </c>
      <c r="N668" s="26" t="str">
        <f t="shared" ca="1" si="30"/>
        <v/>
      </c>
      <c r="O668" s="26" t="str">
        <f>IFERROR(INDEX(EXTRATO_IMPORTADO!$A$5:$A$404,MATCH(B668,EXTRATO_IMPORTADO!$I$5:$I$404,0)),"")</f>
        <v/>
      </c>
      <c r="P668" s="26" t="str">
        <f>IFERROR(INDEX(EXTRATO_IMPORTADO!$F$5:$F$404,MATCH(B668,EXTRATO_IMPORTADO!$I$5:$I$404,0)),"")</f>
        <v/>
      </c>
      <c r="Q668" s="26" t="str">
        <f>IFERROR(INDEX(EXTRATO_IMPORTADO!$B$5:$B$404,MATCH(B668,EXTRATO_IMPORTADO!$I$5:$I$404,0)),"")</f>
        <v/>
      </c>
      <c r="R668" s="26" t="str">
        <f>IFERROR(MATCH(B668,EXTRATO_IMPORTADO!$I$5:$I$404,0),"")</f>
        <v/>
      </c>
      <c r="S668" s="26" t="str">
        <f t="shared" si="31"/>
        <v/>
      </c>
      <c r="T668" s="26" t="str">
        <f t="shared" si="32"/>
        <v/>
      </c>
    </row>
    <row r="669" spans="1:20" x14ac:dyDescent="0.3">
      <c r="A669" s="26" t="str">
        <f>IF(BASE_CAIXA!A666="","",BASE_CAIXA!A666)</f>
        <v/>
      </c>
      <c r="B669" s="26" t="str">
        <f>IF(A669="","",BASE_CAIXA!AL666)</f>
        <v/>
      </c>
      <c r="C669" s="26" t="str">
        <f>IF(A669="","",BASE_CAIXA!AJ666)</f>
        <v/>
      </c>
      <c r="D669" s="26" t="str">
        <f>IF(A669="","",IF(BASE_CAIXA!C666="Entrada","Crédito","Débito"))</f>
        <v/>
      </c>
      <c r="E669" s="26" t="str">
        <f>IF(A669="","",BASE_CAIXA!AA666)</f>
        <v/>
      </c>
      <c r="F669" s="26" t="str">
        <f>IF(A669="","",BASE_CAIXA!N666)</f>
        <v/>
      </c>
      <c r="G669" s="26" t="str">
        <f>IF(A669="","",BASE_CAIXA!O666)</f>
        <v/>
      </c>
      <c r="H669" s="26" t="str">
        <f>IF(A669="","",BASE_CAIXA!P666)</f>
        <v/>
      </c>
      <c r="I669" s="26" t="str">
        <f>IF(A669="","",IF(BASE_CAIXA!H666&lt;&gt;"",BASE_CAIXA!H666,BASE_CAIXA!G666))</f>
        <v/>
      </c>
      <c r="J669" s="26" t="str">
        <f>IF(A669="","",BASE_CAIXA!G666)</f>
        <v/>
      </c>
      <c r="K669" s="26" t="str">
        <f>IF(A669="","",BASE_CAIXA!I666)</f>
        <v/>
      </c>
      <c r="L669" s="26" t="str">
        <f>IF(A669="","",BASE_CAIXA!J666)</f>
        <v/>
      </c>
      <c r="M669" s="26" t="str">
        <f>IF(A669="","",BASE_CAIXA!AM666)</f>
        <v/>
      </c>
      <c r="N669" s="26" t="str">
        <f t="shared" ca="1" si="30"/>
        <v/>
      </c>
      <c r="O669" s="26" t="str">
        <f>IFERROR(INDEX(EXTRATO_IMPORTADO!$A$5:$A$404,MATCH(B669,EXTRATO_IMPORTADO!$I$5:$I$404,0)),"")</f>
        <v/>
      </c>
      <c r="P669" s="26" t="str">
        <f>IFERROR(INDEX(EXTRATO_IMPORTADO!$F$5:$F$404,MATCH(B669,EXTRATO_IMPORTADO!$I$5:$I$404,0)),"")</f>
        <v/>
      </c>
      <c r="Q669" s="26" t="str">
        <f>IFERROR(INDEX(EXTRATO_IMPORTADO!$B$5:$B$404,MATCH(B669,EXTRATO_IMPORTADO!$I$5:$I$404,0)),"")</f>
        <v/>
      </c>
      <c r="R669" s="26" t="str">
        <f>IFERROR(MATCH(B669,EXTRATO_IMPORTADO!$I$5:$I$404,0),"")</f>
        <v/>
      </c>
      <c r="S669" s="26" t="str">
        <f t="shared" si="31"/>
        <v/>
      </c>
      <c r="T669" s="26" t="str">
        <f t="shared" si="32"/>
        <v/>
      </c>
    </row>
    <row r="670" spans="1:20" x14ac:dyDescent="0.3">
      <c r="A670" s="26" t="str">
        <f>IF(BASE_CAIXA!A667="","",BASE_CAIXA!A667)</f>
        <v/>
      </c>
      <c r="B670" s="26" t="str">
        <f>IF(A670="","",BASE_CAIXA!AL667)</f>
        <v/>
      </c>
      <c r="C670" s="26" t="str">
        <f>IF(A670="","",BASE_CAIXA!AJ667)</f>
        <v/>
      </c>
      <c r="D670" s="26" t="str">
        <f>IF(A670="","",IF(BASE_CAIXA!C667="Entrada","Crédito","Débito"))</f>
        <v/>
      </c>
      <c r="E670" s="26" t="str">
        <f>IF(A670="","",BASE_CAIXA!AA667)</f>
        <v/>
      </c>
      <c r="F670" s="26" t="str">
        <f>IF(A670="","",BASE_CAIXA!N667)</f>
        <v/>
      </c>
      <c r="G670" s="26" t="str">
        <f>IF(A670="","",BASE_CAIXA!O667)</f>
        <v/>
      </c>
      <c r="H670" s="26" t="str">
        <f>IF(A670="","",BASE_CAIXA!P667)</f>
        <v/>
      </c>
      <c r="I670" s="26" t="str">
        <f>IF(A670="","",IF(BASE_CAIXA!H667&lt;&gt;"",BASE_CAIXA!H667,BASE_CAIXA!G667))</f>
        <v/>
      </c>
      <c r="J670" s="26" t="str">
        <f>IF(A670="","",BASE_CAIXA!G667)</f>
        <v/>
      </c>
      <c r="K670" s="26" t="str">
        <f>IF(A670="","",BASE_CAIXA!I667)</f>
        <v/>
      </c>
      <c r="L670" s="26" t="str">
        <f>IF(A670="","",BASE_CAIXA!J667)</f>
        <v/>
      </c>
      <c r="M670" s="26" t="str">
        <f>IF(A670="","",BASE_CAIXA!AM667)</f>
        <v/>
      </c>
      <c r="N670" s="26" t="str">
        <f t="shared" ca="1" si="30"/>
        <v/>
      </c>
      <c r="O670" s="26" t="str">
        <f>IFERROR(INDEX(EXTRATO_IMPORTADO!$A$5:$A$404,MATCH(B670,EXTRATO_IMPORTADO!$I$5:$I$404,0)),"")</f>
        <v/>
      </c>
      <c r="P670" s="26" t="str">
        <f>IFERROR(INDEX(EXTRATO_IMPORTADO!$F$5:$F$404,MATCH(B670,EXTRATO_IMPORTADO!$I$5:$I$404,0)),"")</f>
        <v/>
      </c>
      <c r="Q670" s="26" t="str">
        <f>IFERROR(INDEX(EXTRATO_IMPORTADO!$B$5:$B$404,MATCH(B670,EXTRATO_IMPORTADO!$I$5:$I$404,0)),"")</f>
        <v/>
      </c>
      <c r="R670" s="26" t="str">
        <f>IFERROR(MATCH(B670,EXTRATO_IMPORTADO!$I$5:$I$404,0),"")</f>
        <v/>
      </c>
      <c r="S670" s="26" t="str">
        <f t="shared" si="31"/>
        <v/>
      </c>
      <c r="T670" s="26" t="str">
        <f t="shared" si="32"/>
        <v/>
      </c>
    </row>
    <row r="671" spans="1:20" x14ac:dyDescent="0.3">
      <c r="A671" s="26" t="str">
        <f>IF(BASE_CAIXA!A668="","",BASE_CAIXA!A668)</f>
        <v/>
      </c>
      <c r="B671" s="26" t="str">
        <f>IF(A671="","",BASE_CAIXA!AL668)</f>
        <v/>
      </c>
      <c r="C671" s="26" t="str">
        <f>IF(A671="","",BASE_CAIXA!AJ668)</f>
        <v/>
      </c>
      <c r="D671" s="26" t="str">
        <f>IF(A671="","",IF(BASE_CAIXA!C668="Entrada","Crédito","Débito"))</f>
        <v/>
      </c>
      <c r="E671" s="26" t="str">
        <f>IF(A671="","",BASE_CAIXA!AA668)</f>
        <v/>
      </c>
      <c r="F671" s="26" t="str">
        <f>IF(A671="","",BASE_CAIXA!N668)</f>
        <v/>
      </c>
      <c r="G671" s="26" t="str">
        <f>IF(A671="","",BASE_CAIXA!O668)</f>
        <v/>
      </c>
      <c r="H671" s="26" t="str">
        <f>IF(A671="","",BASE_CAIXA!P668)</f>
        <v/>
      </c>
      <c r="I671" s="26" t="str">
        <f>IF(A671="","",IF(BASE_CAIXA!H668&lt;&gt;"",BASE_CAIXA!H668,BASE_CAIXA!G668))</f>
        <v/>
      </c>
      <c r="J671" s="26" t="str">
        <f>IF(A671="","",BASE_CAIXA!G668)</f>
        <v/>
      </c>
      <c r="K671" s="26" t="str">
        <f>IF(A671="","",BASE_CAIXA!I668)</f>
        <v/>
      </c>
      <c r="L671" s="26" t="str">
        <f>IF(A671="","",BASE_CAIXA!J668)</f>
        <v/>
      </c>
      <c r="M671" s="26" t="str">
        <f>IF(A671="","",BASE_CAIXA!AM668)</f>
        <v/>
      </c>
      <c r="N671" s="26" t="str">
        <f t="shared" ca="1" si="30"/>
        <v/>
      </c>
      <c r="O671" s="26" t="str">
        <f>IFERROR(INDEX(EXTRATO_IMPORTADO!$A$5:$A$404,MATCH(B671,EXTRATO_IMPORTADO!$I$5:$I$404,0)),"")</f>
        <v/>
      </c>
      <c r="P671" s="26" t="str">
        <f>IFERROR(INDEX(EXTRATO_IMPORTADO!$F$5:$F$404,MATCH(B671,EXTRATO_IMPORTADO!$I$5:$I$404,0)),"")</f>
        <v/>
      </c>
      <c r="Q671" s="26" t="str">
        <f>IFERROR(INDEX(EXTRATO_IMPORTADO!$B$5:$B$404,MATCH(B671,EXTRATO_IMPORTADO!$I$5:$I$404,0)),"")</f>
        <v/>
      </c>
      <c r="R671" s="26" t="str">
        <f>IFERROR(MATCH(B671,EXTRATO_IMPORTADO!$I$5:$I$404,0),"")</f>
        <v/>
      </c>
      <c r="S671" s="26" t="str">
        <f t="shared" si="31"/>
        <v/>
      </c>
      <c r="T671" s="26" t="str">
        <f t="shared" si="32"/>
        <v/>
      </c>
    </row>
    <row r="672" spans="1:20" x14ac:dyDescent="0.3">
      <c r="A672" s="26" t="str">
        <f>IF(BASE_CAIXA!A669="","",BASE_CAIXA!A669)</f>
        <v/>
      </c>
      <c r="B672" s="26" t="str">
        <f>IF(A672="","",BASE_CAIXA!AL669)</f>
        <v/>
      </c>
      <c r="C672" s="26" t="str">
        <f>IF(A672="","",BASE_CAIXA!AJ669)</f>
        <v/>
      </c>
      <c r="D672" s="26" t="str">
        <f>IF(A672="","",IF(BASE_CAIXA!C669="Entrada","Crédito","Débito"))</f>
        <v/>
      </c>
      <c r="E672" s="26" t="str">
        <f>IF(A672="","",BASE_CAIXA!AA669)</f>
        <v/>
      </c>
      <c r="F672" s="26" t="str">
        <f>IF(A672="","",BASE_CAIXA!N669)</f>
        <v/>
      </c>
      <c r="G672" s="26" t="str">
        <f>IF(A672="","",BASE_CAIXA!O669)</f>
        <v/>
      </c>
      <c r="H672" s="26" t="str">
        <f>IF(A672="","",BASE_CAIXA!P669)</f>
        <v/>
      </c>
      <c r="I672" s="26" t="str">
        <f>IF(A672="","",IF(BASE_CAIXA!H669&lt;&gt;"",BASE_CAIXA!H669,BASE_CAIXA!G669))</f>
        <v/>
      </c>
      <c r="J672" s="26" t="str">
        <f>IF(A672="","",BASE_CAIXA!G669)</f>
        <v/>
      </c>
      <c r="K672" s="26" t="str">
        <f>IF(A672="","",BASE_CAIXA!I669)</f>
        <v/>
      </c>
      <c r="L672" s="26" t="str">
        <f>IF(A672="","",BASE_CAIXA!J669)</f>
        <v/>
      </c>
      <c r="M672" s="26" t="str">
        <f>IF(A672="","",BASE_CAIXA!AM669)</f>
        <v/>
      </c>
      <c r="N672" s="26" t="str">
        <f t="shared" ca="1" si="30"/>
        <v/>
      </c>
      <c r="O672" s="26" t="str">
        <f>IFERROR(INDEX(EXTRATO_IMPORTADO!$A$5:$A$404,MATCH(B672,EXTRATO_IMPORTADO!$I$5:$I$404,0)),"")</f>
        <v/>
      </c>
      <c r="P672" s="26" t="str">
        <f>IFERROR(INDEX(EXTRATO_IMPORTADO!$F$5:$F$404,MATCH(B672,EXTRATO_IMPORTADO!$I$5:$I$404,0)),"")</f>
        <v/>
      </c>
      <c r="Q672" s="26" t="str">
        <f>IFERROR(INDEX(EXTRATO_IMPORTADO!$B$5:$B$404,MATCH(B672,EXTRATO_IMPORTADO!$I$5:$I$404,0)),"")</f>
        <v/>
      </c>
      <c r="R672" s="26" t="str">
        <f>IFERROR(MATCH(B672,EXTRATO_IMPORTADO!$I$5:$I$404,0),"")</f>
        <v/>
      </c>
      <c r="S672" s="26" t="str">
        <f t="shared" si="31"/>
        <v/>
      </c>
      <c r="T672" s="26" t="str">
        <f t="shared" si="32"/>
        <v/>
      </c>
    </row>
    <row r="673" spans="1:20" x14ac:dyDescent="0.3">
      <c r="A673" s="26" t="str">
        <f>IF(BASE_CAIXA!A670="","",BASE_CAIXA!A670)</f>
        <v/>
      </c>
      <c r="B673" s="26" t="str">
        <f>IF(A673="","",BASE_CAIXA!AL670)</f>
        <v/>
      </c>
      <c r="C673" s="26" t="str">
        <f>IF(A673="","",BASE_CAIXA!AJ670)</f>
        <v/>
      </c>
      <c r="D673" s="26" t="str">
        <f>IF(A673="","",IF(BASE_CAIXA!C670="Entrada","Crédito","Débito"))</f>
        <v/>
      </c>
      <c r="E673" s="26" t="str">
        <f>IF(A673="","",BASE_CAIXA!AA670)</f>
        <v/>
      </c>
      <c r="F673" s="26" t="str">
        <f>IF(A673="","",BASE_CAIXA!N670)</f>
        <v/>
      </c>
      <c r="G673" s="26" t="str">
        <f>IF(A673="","",BASE_CAIXA!O670)</f>
        <v/>
      </c>
      <c r="H673" s="26" t="str">
        <f>IF(A673="","",BASE_CAIXA!P670)</f>
        <v/>
      </c>
      <c r="I673" s="26" t="str">
        <f>IF(A673="","",IF(BASE_CAIXA!H670&lt;&gt;"",BASE_CAIXA!H670,BASE_CAIXA!G670))</f>
        <v/>
      </c>
      <c r="J673" s="26" t="str">
        <f>IF(A673="","",BASE_CAIXA!G670)</f>
        <v/>
      </c>
      <c r="K673" s="26" t="str">
        <f>IF(A673="","",BASE_CAIXA!I670)</f>
        <v/>
      </c>
      <c r="L673" s="26" t="str">
        <f>IF(A673="","",BASE_CAIXA!J670)</f>
        <v/>
      </c>
      <c r="M673" s="26" t="str">
        <f>IF(A673="","",BASE_CAIXA!AM670)</f>
        <v/>
      </c>
      <c r="N673" s="26" t="str">
        <f t="shared" ca="1" si="30"/>
        <v/>
      </c>
      <c r="O673" s="26" t="str">
        <f>IFERROR(INDEX(EXTRATO_IMPORTADO!$A$5:$A$404,MATCH(B673,EXTRATO_IMPORTADO!$I$5:$I$404,0)),"")</f>
        <v/>
      </c>
      <c r="P673" s="26" t="str">
        <f>IFERROR(INDEX(EXTRATO_IMPORTADO!$F$5:$F$404,MATCH(B673,EXTRATO_IMPORTADO!$I$5:$I$404,0)),"")</f>
        <v/>
      </c>
      <c r="Q673" s="26" t="str">
        <f>IFERROR(INDEX(EXTRATO_IMPORTADO!$B$5:$B$404,MATCH(B673,EXTRATO_IMPORTADO!$I$5:$I$404,0)),"")</f>
        <v/>
      </c>
      <c r="R673" s="26" t="str">
        <f>IFERROR(MATCH(B673,EXTRATO_IMPORTADO!$I$5:$I$404,0),"")</f>
        <v/>
      </c>
      <c r="S673" s="26" t="str">
        <f t="shared" si="31"/>
        <v/>
      </c>
      <c r="T673" s="26" t="str">
        <f t="shared" si="32"/>
        <v/>
      </c>
    </row>
    <row r="674" spans="1:20" x14ac:dyDescent="0.3">
      <c r="A674" s="26" t="str">
        <f>IF(BASE_CAIXA!A671="","",BASE_CAIXA!A671)</f>
        <v/>
      </c>
      <c r="B674" s="26" t="str">
        <f>IF(A674="","",BASE_CAIXA!AL671)</f>
        <v/>
      </c>
      <c r="C674" s="26" t="str">
        <f>IF(A674="","",BASE_CAIXA!AJ671)</f>
        <v/>
      </c>
      <c r="D674" s="26" t="str">
        <f>IF(A674="","",IF(BASE_CAIXA!C671="Entrada","Crédito","Débito"))</f>
        <v/>
      </c>
      <c r="E674" s="26" t="str">
        <f>IF(A674="","",BASE_CAIXA!AA671)</f>
        <v/>
      </c>
      <c r="F674" s="26" t="str">
        <f>IF(A674="","",BASE_CAIXA!N671)</f>
        <v/>
      </c>
      <c r="G674" s="26" t="str">
        <f>IF(A674="","",BASE_CAIXA!O671)</f>
        <v/>
      </c>
      <c r="H674" s="26" t="str">
        <f>IF(A674="","",BASE_CAIXA!P671)</f>
        <v/>
      </c>
      <c r="I674" s="26" t="str">
        <f>IF(A674="","",IF(BASE_CAIXA!H671&lt;&gt;"",BASE_CAIXA!H671,BASE_CAIXA!G671))</f>
        <v/>
      </c>
      <c r="J674" s="26" t="str">
        <f>IF(A674="","",BASE_CAIXA!G671)</f>
        <v/>
      </c>
      <c r="K674" s="26" t="str">
        <f>IF(A674="","",BASE_CAIXA!I671)</f>
        <v/>
      </c>
      <c r="L674" s="26" t="str">
        <f>IF(A674="","",BASE_CAIXA!J671)</f>
        <v/>
      </c>
      <c r="M674" s="26" t="str">
        <f>IF(A674="","",BASE_CAIXA!AM671)</f>
        <v/>
      </c>
      <c r="N674" s="26" t="str">
        <f t="shared" ca="1" si="30"/>
        <v/>
      </c>
      <c r="O674" s="26" t="str">
        <f>IFERROR(INDEX(EXTRATO_IMPORTADO!$A$5:$A$404,MATCH(B674,EXTRATO_IMPORTADO!$I$5:$I$404,0)),"")</f>
        <v/>
      </c>
      <c r="P674" s="26" t="str">
        <f>IFERROR(INDEX(EXTRATO_IMPORTADO!$F$5:$F$404,MATCH(B674,EXTRATO_IMPORTADO!$I$5:$I$404,0)),"")</f>
        <v/>
      </c>
      <c r="Q674" s="26" t="str">
        <f>IFERROR(INDEX(EXTRATO_IMPORTADO!$B$5:$B$404,MATCH(B674,EXTRATO_IMPORTADO!$I$5:$I$404,0)),"")</f>
        <v/>
      </c>
      <c r="R674" s="26" t="str">
        <f>IFERROR(MATCH(B674,EXTRATO_IMPORTADO!$I$5:$I$404,0),"")</f>
        <v/>
      </c>
      <c r="S674" s="26" t="str">
        <f t="shared" si="31"/>
        <v/>
      </c>
      <c r="T674" s="26" t="str">
        <f t="shared" si="32"/>
        <v/>
      </c>
    </row>
    <row r="675" spans="1:20" x14ac:dyDescent="0.3">
      <c r="A675" s="26" t="str">
        <f>IF(BASE_CAIXA!A672="","",BASE_CAIXA!A672)</f>
        <v/>
      </c>
      <c r="B675" s="26" t="str">
        <f>IF(A675="","",BASE_CAIXA!AL672)</f>
        <v/>
      </c>
      <c r="C675" s="26" t="str">
        <f>IF(A675="","",BASE_CAIXA!AJ672)</f>
        <v/>
      </c>
      <c r="D675" s="26" t="str">
        <f>IF(A675="","",IF(BASE_CAIXA!C672="Entrada","Crédito","Débito"))</f>
        <v/>
      </c>
      <c r="E675" s="26" t="str">
        <f>IF(A675="","",BASE_CAIXA!AA672)</f>
        <v/>
      </c>
      <c r="F675" s="26" t="str">
        <f>IF(A675="","",BASE_CAIXA!N672)</f>
        <v/>
      </c>
      <c r="G675" s="26" t="str">
        <f>IF(A675="","",BASE_CAIXA!O672)</f>
        <v/>
      </c>
      <c r="H675" s="26" t="str">
        <f>IF(A675="","",BASE_CAIXA!P672)</f>
        <v/>
      </c>
      <c r="I675" s="26" t="str">
        <f>IF(A675="","",IF(BASE_CAIXA!H672&lt;&gt;"",BASE_CAIXA!H672,BASE_CAIXA!G672))</f>
        <v/>
      </c>
      <c r="J675" s="26" t="str">
        <f>IF(A675="","",BASE_CAIXA!G672)</f>
        <v/>
      </c>
      <c r="K675" s="26" t="str">
        <f>IF(A675="","",BASE_CAIXA!I672)</f>
        <v/>
      </c>
      <c r="L675" s="26" t="str">
        <f>IF(A675="","",BASE_CAIXA!J672)</f>
        <v/>
      </c>
      <c r="M675" s="26" t="str">
        <f>IF(A675="","",BASE_CAIXA!AM672)</f>
        <v/>
      </c>
      <c r="N675" s="26" t="str">
        <f t="shared" ca="1" si="30"/>
        <v/>
      </c>
      <c r="O675" s="26" t="str">
        <f>IFERROR(INDEX(EXTRATO_IMPORTADO!$A$5:$A$404,MATCH(B675,EXTRATO_IMPORTADO!$I$5:$I$404,0)),"")</f>
        <v/>
      </c>
      <c r="P675" s="26" t="str">
        <f>IFERROR(INDEX(EXTRATO_IMPORTADO!$F$5:$F$404,MATCH(B675,EXTRATO_IMPORTADO!$I$5:$I$404,0)),"")</f>
        <v/>
      </c>
      <c r="Q675" s="26" t="str">
        <f>IFERROR(INDEX(EXTRATO_IMPORTADO!$B$5:$B$404,MATCH(B675,EXTRATO_IMPORTADO!$I$5:$I$404,0)),"")</f>
        <v/>
      </c>
      <c r="R675" s="26" t="str">
        <f>IFERROR(MATCH(B675,EXTRATO_IMPORTADO!$I$5:$I$404,0),"")</f>
        <v/>
      </c>
      <c r="S675" s="26" t="str">
        <f t="shared" si="31"/>
        <v/>
      </c>
      <c r="T675" s="26" t="str">
        <f t="shared" si="32"/>
        <v/>
      </c>
    </row>
    <row r="676" spans="1:20" x14ac:dyDescent="0.3">
      <c r="A676" s="26" t="str">
        <f>IF(BASE_CAIXA!A673="","",BASE_CAIXA!A673)</f>
        <v/>
      </c>
      <c r="B676" s="26" t="str">
        <f>IF(A676="","",BASE_CAIXA!AL673)</f>
        <v/>
      </c>
      <c r="C676" s="26" t="str">
        <f>IF(A676="","",BASE_CAIXA!AJ673)</f>
        <v/>
      </c>
      <c r="D676" s="26" t="str">
        <f>IF(A676="","",IF(BASE_CAIXA!C673="Entrada","Crédito","Débito"))</f>
        <v/>
      </c>
      <c r="E676" s="26" t="str">
        <f>IF(A676="","",BASE_CAIXA!AA673)</f>
        <v/>
      </c>
      <c r="F676" s="26" t="str">
        <f>IF(A676="","",BASE_CAIXA!N673)</f>
        <v/>
      </c>
      <c r="G676" s="26" t="str">
        <f>IF(A676="","",BASE_CAIXA!O673)</f>
        <v/>
      </c>
      <c r="H676" s="26" t="str">
        <f>IF(A676="","",BASE_CAIXA!P673)</f>
        <v/>
      </c>
      <c r="I676" s="26" t="str">
        <f>IF(A676="","",IF(BASE_CAIXA!H673&lt;&gt;"",BASE_CAIXA!H673,BASE_CAIXA!G673))</f>
        <v/>
      </c>
      <c r="J676" s="26" t="str">
        <f>IF(A676="","",BASE_CAIXA!G673)</f>
        <v/>
      </c>
      <c r="K676" s="26" t="str">
        <f>IF(A676="","",BASE_CAIXA!I673)</f>
        <v/>
      </c>
      <c r="L676" s="26" t="str">
        <f>IF(A676="","",BASE_CAIXA!J673)</f>
        <v/>
      </c>
      <c r="M676" s="26" t="str">
        <f>IF(A676="","",BASE_CAIXA!AM673)</f>
        <v/>
      </c>
      <c r="N676" s="26" t="str">
        <f t="shared" ca="1" si="30"/>
        <v/>
      </c>
      <c r="O676" s="26" t="str">
        <f>IFERROR(INDEX(EXTRATO_IMPORTADO!$A$5:$A$404,MATCH(B676,EXTRATO_IMPORTADO!$I$5:$I$404,0)),"")</f>
        <v/>
      </c>
      <c r="P676" s="26" t="str">
        <f>IFERROR(INDEX(EXTRATO_IMPORTADO!$F$5:$F$404,MATCH(B676,EXTRATO_IMPORTADO!$I$5:$I$404,0)),"")</f>
        <v/>
      </c>
      <c r="Q676" s="26" t="str">
        <f>IFERROR(INDEX(EXTRATO_IMPORTADO!$B$5:$B$404,MATCH(B676,EXTRATO_IMPORTADO!$I$5:$I$404,0)),"")</f>
        <v/>
      </c>
      <c r="R676" s="26" t="str">
        <f>IFERROR(MATCH(B676,EXTRATO_IMPORTADO!$I$5:$I$404,0),"")</f>
        <v/>
      </c>
      <c r="S676" s="26" t="str">
        <f t="shared" si="31"/>
        <v/>
      </c>
      <c r="T676" s="26" t="str">
        <f t="shared" si="32"/>
        <v/>
      </c>
    </row>
    <row r="677" spans="1:20" x14ac:dyDescent="0.3">
      <c r="A677" s="26" t="str">
        <f>IF(BASE_CAIXA!A674="","",BASE_CAIXA!A674)</f>
        <v/>
      </c>
      <c r="B677" s="26" t="str">
        <f>IF(A677="","",BASE_CAIXA!AL674)</f>
        <v/>
      </c>
      <c r="C677" s="26" t="str">
        <f>IF(A677="","",BASE_CAIXA!AJ674)</f>
        <v/>
      </c>
      <c r="D677" s="26" t="str">
        <f>IF(A677="","",IF(BASE_CAIXA!C674="Entrada","Crédito","Débito"))</f>
        <v/>
      </c>
      <c r="E677" s="26" t="str">
        <f>IF(A677="","",BASE_CAIXA!AA674)</f>
        <v/>
      </c>
      <c r="F677" s="26" t="str">
        <f>IF(A677="","",BASE_CAIXA!N674)</f>
        <v/>
      </c>
      <c r="G677" s="26" t="str">
        <f>IF(A677="","",BASE_CAIXA!O674)</f>
        <v/>
      </c>
      <c r="H677" s="26" t="str">
        <f>IF(A677="","",BASE_CAIXA!P674)</f>
        <v/>
      </c>
      <c r="I677" s="26" t="str">
        <f>IF(A677="","",IF(BASE_CAIXA!H674&lt;&gt;"",BASE_CAIXA!H674,BASE_CAIXA!G674))</f>
        <v/>
      </c>
      <c r="J677" s="26" t="str">
        <f>IF(A677="","",BASE_CAIXA!G674)</f>
        <v/>
      </c>
      <c r="K677" s="26" t="str">
        <f>IF(A677="","",BASE_CAIXA!I674)</f>
        <v/>
      </c>
      <c r="L677" s="26" t="str">
        <f>IF(A677="","",BASE_CAIXA!J674)</f>
        <v/>
      </c>
      <c r="M677" s="26" t="str">
        <f>IF(A677="","",BASE_CAIXA!AM674)</f>
        <v/>
      </c>
      <c r="N677" s="26" t="str">
        <f t="shared" ca="1" si="30"/>
        <v/>
      </c>
      <c r="O677" s="26" t="str">
        <f>IFERROR(INDEX(EXTRATO_IMPORTADO!$A$5:$A$404,MATCH(B677,EXTRATO_IMPORTADO!$I$5:$I$404,0)),"")</f>
        <v/>
      </c>
      <c r="P677" s="26" t="str">
        <f>IFERROR(INDEX(EXTRATO_IMPORTADO!$F$5:$F$404,MATCH(B677,EXTRATO_IMPORTADO!$I$5:$I$404,0)),"")</f>
        <v/>
      </c>
      <c r="Q677" s="26" t="str">
        <f>IFERROR(INDEX(EXTRATO_IMPORTADO!$B$5:$B$404,MATCH(B677,EXTRATO_IMPORTADO!$I$5:$I$404,0)),"")</f>
        <v/>
      </c>
      <c r="R677" s="26" t="str">
        <f>IFERROR(MATCH(B677,EXTRATO_IMPORTADO!$I$5:$I$404,0),"")</f>
        <v/>
      </c>
      <c r="S677" s="26" t="str">
        <f t="shared" si="31"/>
        <v/>
      </c>
      <c r="T677" s="26" t="str">
        <f t="shared" si="32"/>
        <v/>
      </c>
    </row>
    <row r="678" spans="1:20" x14ac:dyDescent="0.3">
      <c r="A678" s="26" t="str">
        <f>IF(BASE_CAIXA!A675="","",BASE_CAIXA!A675)</f>
        <v/>
      </c>
      <c r="B678" s="26" t="str">
        <f>IF(A678="","",BASE_CAIXA!AL675)</f>
        <v/>
      </c>
      <c r="C678" s="26" t="str">
        <f>IF(A678="","",BASE_CAIXA!AJ675)</f>
        <v/>
      </c>
      <c r="D678" s="26" t="str">
        <f>IF(A678="","",IF(BASE_CAIXA!C675="Entrada","Crédito","Débito"))</f>
        <v/>
      </c>
      <c r="E678" s="26" t="str">
        <f>IF(A678="","",BASE_CAIXA!AA675)</f>
        <v/>
      </c>
      <c r="F678" s="26" t="str">
        <f>IF(A678="","",BASE_CAIXA!N675)</f>
        <v/>
      </c>
      <c r="G678" s="26" t="str">
        <f>IF(A678="","",BASE_CAIXA!O675)</f>
        <v/>
      </c>
      <c r="H678" s="26" t="str">
        <f>IF(A678="","",BASE_CAIXA!P675)</f>
        <v/>
      </c>
      <c r="I678" s="26" t="str">
        <f>IF(A678="","",IF(BASE_CAIXA!H675&lt;&gt;"",BASE_CAIXA!H675,BASE_CAIXA!G675))</f>
        <v/>
      </c>
      <c r="J678" s="26" t="str">
        <f>IF(A678="","",BASE_CAIXA!G675)</f>
        <v/>
      </c>
      <c r="K678" s="26" t="str">
        <f>IF(A678="","",BASE_CAIXA!I675)</f>
        <v/>
      </c>
      <c r="L678" s="26" t="str">
        <f>IF(A678="","",BASE_CAIXA!J675)</f>
        <v/>
      </c>
      <c r="M678" s="26" t="str">
        <f>IF(A678="","",BASE_CAIXA!AM675)</f>
        <v/>
      </c>
      <c r="N678" s="26" t="str">
        <f t="shared" ca="1" si="30"/>
        <v/>
      </c>
      <c r="O678" s="26" t="str">
        <f>IFERROR(INDEX(EXTRATO_IMPORTADO!$A$5:$A$404,MATCH(B678,EXTRATO_IMPORTADO!$I$5:$I$404,0)),"")</f>
        <v/>
      </c>
      <c r="P678" s="26" t="str">
        <f>IFERROR(INDEX(EXTRATO_IMPORTADO!$F$5:$F$404,MATCH(B678,EXTRATO_IMPORTADO!$I$5:$I$404,0)),"")</f>
        <v/>
      </c>
      <c r="Q678" s="26" t="str">
        <f>IFERROR(INDEX(EXTRATO_IMPORTADO!$B$5:$B$404,MATCH(B678,EXTRATO_IMPORTADO!$I$5:$I$404,0)),"")</f>
        <v/>
      </c>
      <c r="R678" s="26" t="str">
        <f>IFERROR(MATCH(B678,EXTRATO_IMPORTADO!$I$5:$I$404,0),"")</f>
        <v/>
      </c>
      <c r="S678" s="26" t="str">
        <f t="shared" si="31"/>
        <v/>
      </c>
      <c r="T678" s="26" t="str">
        <f t="shared" si="32"/>
        <v/>
      </c>
    </row>
    <row r="679" spans="1:20" x14ac:dyDescent="0.3">
      <c r="A679" s="26" t="str">
        <f>IF(BASE_CAIXA!A676="","",BASE_CAIXA!A676)</f>
        <v/>
      </c>
      <c r="B679" s="26" t="str">
        <f>IF(A679="","",BASE_CAIXA!AL676)</f>
        <v/>
      </c>
      <c r="C679" s="26" t="str">
        <f>IF(A679="","",BASE_CAIXA!AJ676)</f>
        <v/>
      </c>
      <c r="D679" s="26" t="str">
        <f>IF(A679="","",IF(BASE_CAIXA!C676="Entrada","Crédito","Débito"))</f>
        <v/>
      </c>
      <c r="E679" s="26" t="str">
        <f>IF(A679="","",BASE_CAIXA!AA676)</f>
        <v/>
      </c>
      <c r="F679" s="26" t="str">
        <f>IF(A679="","",BASE_CAIXA!N676)</f>
        <v/>
      </c>
      <c r="G679" s="26" t="str">
        <f>IF(A679="","",BASE_CAIXA!O676)</f>
        <v/>
      </c>
      <c r="H679" s="26" t="str">
        <f>IF(A679="","",BASE_CAIXA!P676)</f>
        <v/>
      </c>
      <c r="I679" s="26" t="str">
        <f>IF(A679="","",IF(BASE_CAIXA!H676&lt;&gt;"",BASE_CAIXA!H676,BASE_CAIXA!G676))</f>
        <v/>
      </c>
      <c r="J679" s="26" t="str">
        <f>IF(A679="","",BASE_CAIXA!G676)</f>
        <v/>
      </c>
      <c r="K679" s="26" t="str">
        <f>IF(A679="","",BASE_CAIXA!I676)</f>
        <v/>
      </c>
      <c r="L679" s="26" t="str">
        <f>IF(A679="","",BASE_CAIXA!J676)</f>
        <v/>
      </c>
      <c r="M679" s="26" t="str">
        <f>IF(A679="","",BASE_CAIXA!AM676)</f>
        <v/>
      </c>
      <c r="N679" s="26" t="str">
        <f t="shared" ca="1" si="30"/>
        <v/>
      </c>
      <c r="O679" s="26" t="str">
        <f>IFERROR(INDEX(EXTRATO_IMPORTADO!$A$5:$A$404,MATCH(B679,EXTRATO_IMPORTADO!$I$5:$I$404,0)),"")</f>
        <v/>
      </c>
      <c r="P679" s="26" t="str">
        <f>IFERROR(INDEX(EXTRATO_IMPORTADO!$F$5:$F$404,MATCH(B679,EXTRATO_IMPORTADO!$I$5:$I$404,0)),"")</f>
        <v/>
      </c>
      <c r="Q679" s="26" t="str">
        <f>IFERROR(INDEX(EXTRATO_IMPORTADO!$B$5:$B$404,MATCH(B679,EXTRATO_IMPORTADO!$I$5:$I$404,0)),"")</f>
        <v/>
      </c>
      <c r="R679" s="26" t="str">
        <f>IFERROR(MATCH(B679,EXTRATO_IMPORTADO!$I$5:$I$404,0),"")</f>
        <v/>
      </c>
      <c r="S679" s="26" t="str">
        <f t="shared" si="31"/>
        <v/>
      </c>
      <c r="T679" s="26" t="str">
        <f t="shared" si="32"/>
        <v/>
      </c>
    </row>
    <row r="680" spans="1:20" x14ac:dyDescent="0.3">
      <c r="A680" s="26" t="str">
        <f>IF(BASE_CAIXA!A677="","",BASE_CAIXA!A677)</f>
        <v/>
      </c>
      <c r="B680" s="26" t="str">
        <f>IF(A680="","",BASE_CAIXA!AL677)</f>
        <v/>
      </c>
      <c r="C680" s="26" t="str">
        <f>IF(A680="","",BASE_CAIXA!AJ677)</f>
        <v/>
      </c>
      <c r="D680" s="26" t="str">
        <f>IF(A680="","",IF(BASE_CAIXA!C677="Entrada","Crédito","Débito"))</f>
        <v/>
      </c>
      <c r="E680" s="26" t="str">
        <f>IF(A680="","",BASE_CAIXA!AA677)</f>
        <v/>
      </c>
      <c r="F680" s="26" t="str">
        <f>IF(A680="","",BASE_CAIXA!N677)</f>
        <v/>
      </c>
      <c r="G680" s="26" t="str">
        <f>IF(A680="","",BASE_CAIXA!O677)</f>
        <v/>
      </c>
      <c r="H680" s="26" t="str">
        <f>IF(A680="","",BASE_CAIXA!P677)</f>
        <v/>
      </c>
      <c r="I680" s="26" t="str">
        <f>IF(A680="","",IF(BASE_CAIXA!H677&lt;&gt;"",BASE_CAIXA!H677,BASE_CAIXA!G677))</f>
        <v/>
      </c>
      <c r="J680" s="26" t="str">
        <f>IF(A680="","",BASE_CAIXA!G677)</f>
        <v/>
      </c>
      <c r="K680" s="26" t="str">
        <f>IF(A680="","",BASE_CAIXA!I677)</f>
        <v/>
      </c>
      <c r="L680" s="26" t="str">
        <f>IF(A680="","",BASE_CAIXA!J677)</f>
        <v/>
      </c>
      <c r="M680" s="26" t="str">
        <f>IF(A680="","",BASE_CAIXA!AM677)</f>
        <v/>
      </c>
      <c r="N680" s="26" t="str">
        <f t="shared" ca="1" si="30"/>
        <v/>
      </c>
      <c r="O680" s="26" t="str">
        <f>IFERROR(INDEX(EXTRATO_IMPORTADO!$A$5:$A$404,MATCH(B680,EXTRATO_IMPORTADO!$I$5:$I$404,0)),"")</f>
        <v/>
      </c>
      <c r="P680" s="26" t="str">
        <f>IFERROR(INDEX(EXTRATO_IMPORTADO!$F$5:$F$404,MATCH(B680,EXTRATO_IMPORTADO!$I$5:$I$404,0)),"")</f>
        <v/>
      </c>
      <c r="Q680" s="26" t="str">
        <f>IFERROR(INDEX(EXTRATO_IMPORTADO!$B$5:$B$404,MATCH(B680,EXTRATO_IMPORTADO!$I$5:$I$404,0)),"")</f>
        <v/>
      </c>
      <c r="R680" s="26" t="str">
        <f>IFERROR(MATCH(B680,EXTRATO_IMPORTADO!$I$5:$I$404,0),"")</f>
        <v/>
      </c>
      <c r="S680" s="26" t="str">
        <f t="shared" si="31"/>
        <v/>
      </c>
      <c r="T680" s="26" t="str">
        <f t="shared" si="32"/>
        <v/>
      </c>
    </row>
    <row r="681" spans="1:20" x14ac:dyDescent="0.3">
      <c r="A681" s="26" t="str">
        <f>IF(BASE_CAIXA!A678="","",BASE_CAIXA!A678)</f>
        <v/>
      </c>
      <c r="B681" s="26" t="str">
        <f>IF(A681="","",BASE_CAIXA!AL678)</f>
        <v/>
      </c>
      <c r="C681" s="26" t="str">
        <f>IF(A681="","",BASE_CAIXA!AJ678)</f>
        <v/>
      </c>
      <c r="D681" s="26" t="str">
        <f>IF(A681="","",IF(BASE_CAIXA!C678="Entrada","Crédito","Débito"))</f>
        <v/>
      </c>
      <c r="E681" s="26" t="str">
        <f>IF(A681="","",BASE_CAIXA!AA678)</f>
        <v/>
      </c>
      <c r="F681" s="26" t="str">
        <f>IF(A681="","",BASE_CAIXA!N678)</f>
        <v/>
      </c>
      <c r="G681" s="26" t="str">
        <f>IF(A681="","",BASE_CAIXA!O678)</f>
        <v/>
      </c>
      <c r="H681" s="26" t="str">
        <f>IF(A681="","",BASE_CAIXA!P678)</f>
        <v/>
      </c>
      <c r="I681" s="26" t="str">
        <f>IF(A681="","",IF(BASE_CAIXA!H678&lt;&gt;"",BASE_CAIXA!H678,BASE_CAIXA!G678))</f>
        <v/>
      </c>
      <c r="J681" s="26" t="str">
        <f>IF(A681="","",BASE_CAIXA!G678)</f>
        <v/>
      </c>
      <c r="K681" s="26" t="str">
        <f>IF(A681="","",BASE_CAIXA!I678)</f>
        <v/>
      </c>
      <c r="L681" s="26" t="str">
        <f>IF(A681="","",BASE_CAIXA!J678)</f>
        <v/>
      </c>
      <c r="M681" s="26" t="str">
        <f>IF(A681="","",BASE_CAIXA!AM678)</f>
        <v/>
      </c>
      <c r="N681" s="26" t="str">
        <f t="shared" ca="1" si="30"/>
        <v/>
      </c>
      <c r="O681" s="26" t="str">
        <f>IFERROR(INDEX(EXTRATO_IMPORTADO!$A$5:$A$404,MATCH(B681,EXTRATO_IMPORTADO!$I$5:$I$404,0)),"")</f>
        <v/>
      </c>
      <c r="P681" s="26" t="str">
        <f>IFERROR(INDEX(EXTRATO_IMPORTADO!$F$5:$F$404,MATCH(B681,EXTRATO_IMPORTADO!$I$5:$I$404,0)),"")</f>
        <v/>
      </c>
      <c r="Q681" s="26" t="str">
        <f>IFERROR(INDEX(EXTRATO_IMPORTADO!$B$5:$B$404,MATCH(B681,EXTRATO_IMPORTADO!$I$5:$I$404,0)),"")</f>
        <v/>
      </c>
      <c r="R681" s="26" t="str">
        <f>IFERROR(MATCH(B681,EXTRATO_IMPORTADO!$I$5:$I$404,0),"")</f>
        <v/>
      </c>
      <c r="S681" s="26" t="str">
        <f t="shared" si="31"/>
        <v/>
      </c>
      <c r="T681" s="26" t="str">
        <f t="shared" si="32"/>
        <v/>
      </c>
    </row>
    <row r="682" spans="1:20" x14ac:dyDescent="0.3">
      <c r="A682" s="26" t="str">
        <f>IF(BASE_CAIXA!A679="","",BASE_CAIXA!A679)</f>
        <v/>
      </c>
      <c r="B682" s="26" t="str">
        <f>IF(A682="","",BASE_CAIXA!AL679)</f>
        <v/>
      </c>
      <c r="C682" s="26" t="str">
        <f>IF(A682="","",BASE_CAIXA!AJ679)</f>
        <v/>
      </c>
      <c r="D682" s="26" t="str">
        <f>IF(A682="","",IF(BASE_CAIXA!C679="Entrada","Crédito","Débito"))</f>
        <v/>
      </c>
      <c r="E682" s="26" t="str">
        <f>IF(A682="","",BASE_CAIXA!AA679)</f>
        <v/>
      </c>
      <c r="F682" s="26" t="str">
        <f>IF(A682="","",BASE_CAIXA!N679)</f>
        <v/>
      </c>
      <c r="G682" s="26" t="str">
        <f>IF(A682="","",BASE_CAIXA!O679)</f>
        <v/>
      </c>
      <c r="H682" s="26" t="str">
        <f>IF(A682="","",BASE_CAIXA!P679)</f>
        <v/>
      </c>
      <c r="I682" s="26" t="str">
        <f>IF(A682="","",IF(BASE_CAIXA!H679&lt;&gt;"",BASE_CAIXA!H679,BASE_CAIXA!G679))</f>
        <v/>
      </c>
      <c r="J682" s="26" t="str">
        <f>IF(A682="","",BASE_CAIXA!G679)</f>
        <v/>
      </c>
      <c r="K682" s="26" t="str">
        <f>IF(A682="","",BASE_CAIXA!I679)</f>
        <v/>
      </c>
      <c r="L682" s="26" t="str">
        <f>IF(A682="","",BASE_CAIXA!J679)</f>
        <v/>
      </c>
      <c r="M682" s="26" t="str">
        <f>IF(A682="","",BASE_CAIXA!AM679)</f>
        <v/>
      </c>
      <c r="N682" s="26" t="str">
        <f t="shared" ca="1" si="30"/>
        <v/>
      </c>
      <c r="O682" s="26" t="str">
        <f>IFERROR(INDEX(EXTRATO_IMPORTADO!$A$5:$A$404,MATCH(B682,EXTRATO_IMPORTADO!$I$5:$I$404,0)),"")</f>
        <v/>
      </c>
      <c r="P682" s="26" t="str">
        <f>IFERROR(INDEX(EXTRATO_IMPORTADO!$F$5:$F$404,MATCH(B682,EXTRATO_IMPORTADO!$I$5:$I$404,0)),"")</f>
        <v/>
      </c>
      <c r="Q682" s="26" t="str">
        <f>IFERROR(INDEX(EXTRATO_IMPORTADO!$B$5:$B$404,MATCH(B682,EXTRATO_IMPORTADO!$I$5:$I$404,0)),"")</f>
        <v/>
      </c>
      <c r="R682" s="26" t="str">
        <f>IFERROR(MATCH(B682,EXTRATO_IMPORTADO!$I$5:$I$404,0),"")</f>
        <v/>
      </c>
      <c r="S682" s="26" t="str">
        <f t="shared" si="31"/>
        <v/>
      </c>
      <c r="T682" s="26" t="str">
        <f t="shared" si="32"/>
        <v/>
      </c>
    </row>
    <row r="683" spans="1:20" x14ac:dyDescent="0.3">
      <c r="A683" s="26" t="str">
        <f>IF(BASE_CAIXA!A680="","",BASE_CAIXA!A680)</f>
        <v/>
      </c>
      <c r="B683" s="26" t="str">
        <f>IF(A683="","",BASE_CAIXA!AL680)</f>
        <v/>
      </c>
      <c r="C683" s="26" t="str">
        <f>IF(A683="","",BASE_CAIXA!AJ680)</f>
        <v/>
      </c>
      <c r="D683" s="26" t="str">
        <f>IF(A683="","",IF(BASE_CAIXA!C680="Entrada","Crédito","Débito"))</f>
        <v/>
      </c>
      <c r="E683" s="26" t="str">
        <f>IF(A683="","",BASE_CAIXA!AA680)</f>
        <v/>
      </c>
      <c r="F683" s="26" t="str">
        <f>IF(A683="","",BASE_CAIXA!N680)</f>
        <v/>
      </c>
      <c r="G683" s="26" t="str">
        <f>IF(A683="","",BASE_CAIXA!O680)</f>
        <v/>
      </c>
      <c r="H683" s="26" t="str">
        <f>IF(A683="","",BASE_CAIXA!P680)</f>
        <v/>
      </c>
      <c r="I683" s="26" t="str">
        <f>IF(A683="","",IF(BASE_CAIXA!H680&lt;&gt;"",BASE_CAIXA!H680,BASE_CAIXA!G680))</f>
        <v/>
      </c>
      <c r="J683" s="26" t="str">
        <f>IF(A683="","",BASE_CAIXA!G680)</f>
        <v/>
      </c>
      <c r="K683" s="26" t="str">
        <f>IF(A683="","",BASE_CAIXA!I680)</f>
        <v/>
      </c>
      <c r="L683" s="26" t="str">
        <f>IF(A683="","",BASE_CAIXA!J680)</f>
        <v/>
      </c>
      <c r="M683" s="26" t="str">
        <f>IF(A683="","",BASE_CAIXA!AM680)</f>
        <v/>
      </c>
      <c r="N683" s="26" t="str">
        <f t="shared" ca="1" si="30"/>
        <v/>
      </c>
      <c r="O683" s="26" t="str">
        <f>IFERROR(INDEX(EXTRATO_IMPORTADO!$A$5:$A$404,MATCH(B683,EXTRATO_IMPORTADO!$I$5:$I$404,0)),"")</f>
        <v/>
      </c>
      <c r="P683" s="26" t="str">
        <f>IFERROR(INDEX(EXTRATO_IMPORTADO!$F$5:$F$404,MATCH(B683,EXTRATO_IMPORTADO!$I$5:$I$404,0)),"")</f>
        <v/>
      </c>
      <c r="Q683" s="26" t="str">
        <f>IFERROR(INDEX(EXTRATO_IMPORTADO!$B$5:$B$404,MATCH(B683,EXTRATO_IMPORTADO!$I$5:$I$404,0)),"")</f>
        <v/>
      </c>
      <c r="R683" s="26" t="str">
        <f>IFERROR(MATCH(B683,EXTRATO_IMPORTADO!$I$5:$I$404,0),"")</f>
        <v/>
      </c>
      <c r="S683" s="26" t="str">
        <f t="shared" si="31"/>
        <v/>
      </c>
      <c r="T683" s="26" t="str">
        <f t="shared" si="32"/>
        <v/>
      </c>
    </row>
    <row r="684" spans="1:20" x14ac:dyDescent="0.3">
      <c r="A684" s="26" t="str">
        <f>IF(BASE_CAIXA!A681="","",BASE_CAIXA!A681)</f>
        <v/>
      </c>
      <c r="B684" s="26" t="str">
        <f>IF(A684="","",BASE_CAIXA!AL681)</f>
        <v/>
      </c>
      <c r="C684" s="26" t="str">
        <f>IF(A684="","",BASE_CAIXA!AJ681)</f>
        <v/>
      </c>
      <c r="D684" s="26" t="str">
        <f>IF(A684="","",IF(BASE_CAIXA!C681="Entrada","Crédito","Débito"))</f>
        <v/>
      </c>
      <c r="E684" s="26" t="str">
        <f>IF(A684="","",BASE_CAIXA!AA681)</f>
        <v/>
      </c>
      <c r="F684" s="26" t="str">
        <f>IF(A684="","",BASE_CAIXA!N681)</f>
        <v/>
      </c>
      <c r="G684" s="26" t="str">
        <f>IF(A684="","",BASE_CAIXA!O681)</f>
        <v/>
      </c>
      <c r="H684" s="26" t="str">
        <f>IF(A684="","",BASE_CAIXA!P681)</f>
        <v/>
      </c>
      <c r="I684" s="26" t="str">
        <f>IF(A684="","",IF(BASE_CAIXA!H681&lt;&gt;"",BASE_CAIXA!H681,BASE_CAIXA!G681))</f>
        <v/>
      </c>
      <c r="J684" s="26" t="str">
        <f>IF(A684="","",BASE_CAIXA!G681)</f>
        <v/>
      </c>
      <c r="K684" s="26" t="str">
        <f>IF(A684="","",BASE_CAIXA!I681)</f>
        <v/>
      </c>
      <c r="L684" s="26" t="str">
        <f>IF(A684="","",BASE_CAIXA!J681)</f>
        <v/>
      </c>
      <c r="M684" s="26" t="str">
        <f>IF(A684="","",BASE_CAIXA!AM681)</f>
        <v/>
      </c>
      <c r="N684" s="26" t="str">
        <f t="shared" ca="1" si="30"/>
        <v/>
      </c>
      <c r="O684" s="26" t="str">
        <f>IFERROR(INDEX(EXTRATO_IMPORTADO!$A$5:$A$404,MATCH(B684,EXTRATO_IMPORTADO!$I$5:$I$404,0)),"")</f>
        <v/>
      </c>
      <c r="P684" s="26" t="str">
        <f>IFERROR(INDEX(EXTRATO_IMPORTADO!$F$5:$F$404,MATCH(B684,EXTRATO_IMPORTADO!$I$5:$I$404,0)),"")</f>
        <v/>
      </c>
      <c r="Q684" s="26" t="str">
        <f>IFERROR(INDEX(EXTRATO_IMPORTADO!$B$5:$B$404,MATCH(B684,EXTRATO_IMPORTADO!$I$5:$I$404,0)),"")</f>
        <v/>
      </c>
      <c r="R684" s="26" t="str">
        <f>IFERROR(MATCH(B684,EXTRATO_IMPORTADO!$I$5:$I$404,0),"")</f>
        <v/>
      </c>
      <c r="S684" s="26" t="str">
        <f t="shared" si="31"/>
        <v/>
      </c>
      <c r="T684" s="26" t="str">
        <f t="shared" si="32"/>
        <v/>
      </c>
    </row>
    <row r="685" spans="1:20" x14ac:dyDescent="0.3">
      <c r="A685" s="26" t="str">
        <f>IF(BASE_CAIXA!A682="","",BASE_CAIXA!A682)</f>
        <v/>
      </c>
      <c r="B685" s="26" t="str">
        <f>IF(A685="","",BASE_CAIXA!AL682)</f>
        <v/>
      </c>
      <c r="C685" s="26" t="str">
        <f>IF(A685="","",BASE_CAIXA!AJ682)</f>
        <v/>
      </c>
      <c r="D685" s="26" t="str">
        <f>IF(A685="","",IF(BASE_CAIXA!C682="Entrada","Crédito","Débito"))</f>
        <v/>
      </c>
      <c r="E685" s="26" t="str">
        <f>IF(A685="","",BASE_CAIXA!AA682)</f>
        <v/>
      </c>
      <c r="F685" s="26" t="str">
        <f>IF(A685="","",BASE_CAIXA!N682)</f>
        <v/>
      </c>
      <c r="G685" s="26" t="str">
        <f>IF(A685="","",BASE_CAIXA!O682)</f>
        <v/>
      </c>
      <c r="H685" s="26" t="str">
        <f>IF(A685="","",BASE_CAIXA!P682)</f>
        <v/>
      </c>
      <c r="I685" s="26" t="str">
        <f>IF(A685="","",IF(BASE_CAIXA!H682&lt;&gt;"",BASE_CAIXA!H682,BASE_CAIXA!G682))</f>
        <v/>
      </c>
      <c r="J685" s="26" t="str">
        <f>IF(A685="","",BASE_CAIXA!G682)</f>
        <v/>
      </c>
      <c r="K685" s="26" t="str">
        <f>IF(A685="","",BASE_CAIXA!I682)</f>
        <v/>
      </c>
      <c r="L685" s="26" t="str">
        <f>IF(A685="","",BASE_CAIXA!J682)</f>
        <v/>
      </c>
      <c r="M685" s="26" t="str">
        <f>IF(A685="","",BASE_CAIXA!AM682)</f>
        <v/>
      </c>
      <c r="N685" s="26" t="str">
        <f t="shared" ca="1" si="30"/>
        <v/>
      </c>
      <c r="O685" s="26" t="str">
        <f>IFERROR(INDEX(EXTRATO_IMPORTADO!$A$5:$A$404,MATCH(B685,EXTRATO_IMPORTADO!$I$5:$I$404,0)),"")</f>
        <v/>
      </c>
      <c r="P685" s="26" t="str">
        <f>IFERROR(INDEX(EXTRATO_IMPORTADO!$F$5:$F$404,MATCH(B685,EXTRATO_IMPORTADO!$I$5:$I$404,0)),"")</f>
        <v/>
      </c>
      <c r="Q685" s="26" t="str">
        <f>IFERROR(INDEX(EXTRATO_IMPORTADO!$B$5:$B$404,MATCH(B685,EXTRATO_IMPORTADO!$I$5:$I$404,0)),"")</f>
        <v/>
      </c>
      <c r="R685" s="26" t="str">
        <f>IFERROR(MATCH(B685,EXTRATO_IMPORTADO!$I$5:$I$404,0),"")</f>
        <v/>
      </c>
      <c r="S685" s="26" t="str">
        <f t="shared" si="31"/>
        <v/>
      </c>
      <c r="T685" s="26" t="str">
        <f t="shared" si="32"/>
        <v/>
      </c>
    </row>
    <row r="686" spans="1:20" x14ac:dyDescent="0.3">
      <c r="A686" s="26" t="str">
        <f>IF(BASE_CAIXA!A683="","",BASE_CAIXA!A683)</f>
        <v/>
      </c>
      <c r="B686" s="26" t="str">
        <f>IF(A686="","",BASE_CAIXA!AL683)</f>
        <v/>
      </c>
      <c r="C686" s="26" t="str">
        <f>IF(A686="","",BASE_CAIXA!AJ683)</f>
        <v/>
      </c>
      <c r="D686" s="26" t="str">
        <f>IF(A686="","",IF(BASE_CAIXA!C683="Entrada","Crédito","Débito"))</f>
        <v/>
      </c>
      <c r="E686" s="26" t="str">
        <f>IF(A686="","",BASE_CAIXA!AA683)</f>
        <v/>
      </c>
      <c r="F686" s="26" t="str">
        <f>IF(A686="","",BASE_CAIXA!N683)</f>
        <v/>
      </c>
      <c r="G686" s="26" t="str">
        <f>IF(A686="","",BASE_CAIXA!O683)</f>
        <v/>
      </c>
      <c r="H686" s="26" t="str">
        <f>IF(A686="","",BASE_CAIXA!P683)</f>
        <v/>
      </c>
      <c r="I686" s="26" t="str">
        <f>IF(A686="","",IF(BASE_CAIXA!H683&lt;&gt;"",BASE_CAIXA!H683,BASE_CAIXA!G683))</f>
        <v/>
      </c>
      <c r="J686" s="26" t="str">
        <f>IF(A686="","",BASE_CAIXA!G683)</f>
        <v/>
      </c>
      <c r="K686" s="26" t="str">
        <f>IF(A686="","",BASE_CAIXA!I683)</f>
        <v/>
      </c>
      <c r="L686" s="26" t="str">
        <f>IF(A686="","",BASE_CAIXA!J683)</f>
        <v/>
      </c>
      <c r="M686" s="26" t="str">
        <f>IF(A686="","",BASE_CAIXA!AM683)</f>
        <v/>
      </c>
      <c r="N686" s="26" t="str">
        <f t="shared" ca="1" si="30"/>
        <v/>
      </c>
      <c r="O686" s="26" t="str">
        <f>IFERROR(INDEX(EXTRATO_IMPORTADO!$A$5:$A$404,MATCH(B686,EXTRATO_IMPORTADO!$I$5:$I$404,0)),"")</f>
        <v/>
      </c>
      <c r="P686" s="26" t="str">
        <f>IFERROR(INDEX(EXTRATO_IMPORTADO!$F$5:$F$404,MATCH(B686,EXTRATO_IMPORTADO!$I$5:$I$404,0)),"")</f>
        <v/>
      </c>
      <c r="Q686" s="26" t="str">
        <f>IFERROR(INDEX(EXTRATO_IMPORTADO!$B$5:$B$404,MATCH(B686,EXTRATO_IMPORTADO!$I$5:$I$404,0)),"")</f>
        <v/>
      </c>
      <c r="R686" s="26" t="str">
        <f>IFERROR(MATCH(B686,EXTRATO_IMPORTADO!$I$5:$I$404,0),"")</f>
        <v/>
      </c>
      <c r="S686" s="26" t="str">
        <f t="shared" si="31"/>
        <v/>
      </c>
      <c r="T686" s="26" t="str">
        <f t="shared" si="32"/>
        <v/>
      </c>
    </row>
    <row r="687" spans="1:20" x14ac:dyDescent="0.3">
      <c r="A687" s="26" t="str">
        <f>IF(BASE_CAIXA!A684="","",BASE_CAIXA!A684)</f>
        <v/>
      </c>
      <c r="B687" s="26" t="str">
        <f>IF(A687="","",BASE_CAIXA!AL684)</f>
        <v/>
      </c>
      <c r="C687" s="26" t="str">
        <f>IF(A687="","",BASE_CAIXA!AJ684)</f>
        <v/>
      </c>
      <c r="D687" s="26" t="str">
        <f>IF(A687="","",IF(BASE_CAIXA!C684="Entrada","Crédito","Débito"))</f>
        <v/>
      </c>
      <c r="E687" s="26" t="str">
        <f>IF(A687="","",BASE_CAIXA!AA684)</f>
        <v/>
      </c>
      <c r="F687" s="26" t="str">
        <f>IF(A687="","",BASE_CAIXA!N684)</f>
        <v/>
      </c>
      <c r="G687" s="26" t="str">
        <f>IF(A687="","",BASE_CAIXA!O684)</f>
        <v/>
      </c>
      <c r="H687" s="26" t="str">
        <f>IF(A687="","",BASE_CAIXA!P684)</f>
        <v/>
      </c>
      <c r="I687" s="26" t="str">
        <f>IF(A687="","",IF(BASE_CAIXA!H684&lt;&gt;"",BASE_CAIXA!H684,BASE_CAIXA!G684))</f>
        <v/>
      </c>
      <c r="J687" s="26" t="str">
        <f>IF(A687="","",BASE_CAIXA!G684)</f>
        <v/>
      </c>
      <c r="K687" s="26" t="str">
        <f>IF(A687="","",BASE_CAIXA!I684)</f>
        <v/>
      </c>
      <c r="L687" s="26" t="str">
        <f>IF(A687="","",BASE_CAIXA!J684)</f>
        <v/>
      </c>
      <c r="M687" s="26" t="str">
        <f>IF(A687="","",BASE_CAIXA!AM684)</f>
        <v/>
      </c>
      <c r="N687" s="26" t="str">
        <f t="shared" ca="1" si="30"/>
        <v/>
      </c>
      <c r="O687" s="26" t="str">
        <f>IFERROR(INDEX(EXTRATO_IMPORTADO!$A$5:$A$404,MATCH(B687,EXTRATO_IMPORTADO!$I$5:$I$404,0)),"")</f>
        <v/>
      </c>
      <c r="P687" s="26" t="str">
        <f>IFERROR(INDEX(EXTRATO_IMPORTADO!$F$5:$F$404,MATCH(B687,EXTRATO_IMPORTADO!$I$5:$I$404,0)),"")</f>
        <v/>
      </c>
      <c r="Q687" s="26" t="str">
        <f>IFERROR(INDEX(EXTRATO_IMPORTADO!$B$5:$B$404,MATCH(B687,EXTRATO_IMPORTADO!$I$5:$I$404,0)),"")</f>
        <v/>
      </c>
      <c r="R687" s="26" t="str">
        <f>IFERROR(MATCH(B687,EXTRATO_IMPORTADO!$I$5:$I$404,0),"")</f>
        <v/>
      </c>
      <c r="S687" s="26" t="str">
        <f t="shared" si="31"/>
        <v/>
      </c>
      <c r="T687" s="26" t="str">
        <f t="shared" si="32"/>
        <v/>
      </c>
    </row>
    <row r="688" spans="1:20" x14ac:dyDescent="0.3">
      <c r="A688" s="26" t="str">
        <f>IF(BASE_CAIXA!A685="","",BASE_CAIXA!A685)</f>
        <v/>
      </c>
      <c r="B688" s="26" t="str">
        <f>IF(A688="","",BASE_CAIXA!AL685)</f>
        <v/>
      </c>
      <c r="C688" s="26" t="str">
        <f>IF(A688="","",BASE_CAIXA!AJ685)</f>
        <v/>
      </c>
      <c r="D688" s="26" t="str">
        <f>IF(A688="","",IF(BASE_CAIXA!C685="Entrada","Crédito","Débito"))</f>
        <v/>
      </c>
      <c r="E688" s="26" t="str">
        <f>IF(A688="","",BASE_CAIXA!AA685)</f>
        <v/>
      </c>
      <c r="F688" s="26" t="str">
        <f>IF(A688="","",BASE_CAIXA!N685)</f>
        <v/>
      </c>
      <c r="G688" s="26" t="str">
        <f>IF(A688="","",BASE_CAIXA!O685)</f>
        <v/>
      </c>
      <c r="H688" s="26" t="str">
        <f>IF(A688="","",BASE_CAIXA!P685)</f>
        <v/>
      </c>
      <c r="I688" s="26" t="str">
        <f>IF(A688="","",IF(BASE_CAIXA!H685&lt;&gt;"",BASE_CAIXA!H685,BASE_CAIXA!G685))</f>
        <v/>
      </c>
      <c r="J688" s="26" t="str">
        <f>IF(A688="","",BASE_CAIXA!G685)</f>
        <v/>
      </c>
      <c r="K688" s="26" t="str">
        <f>IF(A688="","",BASE_CAIXA!I685)</f>
        <v/>
      </c>
      <c r="L688" s="26" t="str">
        <f>IF(A688="","",BASE_CAIXA!J685)</f>
        <v/>
      </c>
      <c r="M688" s="26" t="str">
        <f>IF(A688="","",BASE_CAIXA!AM685)</f>
        <v/>
      </c>
      <c r="N688" s="26" t="str">
        <f t="shared" ca="1" si="30"/>
        <v/>
      </c>
      <c r="O688" s="26" t="str">
        <f>IFERROR(INDEX(EXTRATO_IMPORTADO!$A$5:$A$404,MATCH(B688,EXTRATO_IMPORTADO!$I$5:$I$404,0)),"")</f>
        <v/>
      </c>
      <c r="P688" s="26" t="str">
        <f>IFERROR(INDEX(EXTRATO_IMPORTADO!$F$5:$F$404,MATCH(B688,EXTRATO_IMPORTADO!$I$5:$I$404,0)),"")</f>
        <v/>
      </c>
      <c r="Q688" s="26" t="str">
        <f>IFERROR(INDEX(EXTRATO_IMPORTADO!$B$5:$B$404,MATCH(B688,EXTRATO_IMPORTADO!$I$5:$I$404,0)),"")</f>
        <v/>
      </c>
      <c r="R688" s="26" t="str">
        <f>IFERROR(MATCH(B688,EXTRATO_IMPORTADO!$I$5:$I$404,0),"")</f>
        <v/>
      </c>
      <c r="S688" s="26" t="str">
        <f t="shared" si="31"/>
        <v/>
      </c>
      <c r="T688" s="26" t="str">
        <f t="shared" si="32"/>
        <v/>
      </c>
    </row>
    <row r="689" spans="1:20" x14ac:dyDescent="0.3">
      <c r="A689" s="26" t="str">
        <f>IF(BASE_CAIXA!A686="","",BASE_CAIXA!A686)</f>
        <v/>
      </c>
      <c r="B689" s="26" t="str">
        <f>IF(A689="","",BASE_CAIXA!AL686)</f>
        <v/>
      </c>
      <c r="C689" s="26" t="str">
        <f>IF(A689="","",BASE_CAIXA!AJ686)</f>
        <v/>
      </c>
      <c r="D689" s="26" t="str">
        <f>IF(A689="","",IF(BASE_CAIXA!C686="Entrada","Crédito","Débito"))</f>
        <v/>
      </c>
      <c r="E689" s="26" t="str">
        <f>IF(A689="","",BASE_CAIXA!AA686)</f>
        <v/>
      </c>
      <c r="F689" s="26" t="str">
        <f>IF(A689="","",BASE_CAIXA!N686)</f>
        <v/>
      </c>
      <c r="G689" s="26" t="str">
        <f>IF(A689="","",BASE_CAIXA!O686)</f>
        <v/>
      </c>
      <c r="H689" s="26" t="str">
        <f>IF(A689="","",BASE_CAIXA!P686)</f>
        <v/>
      </c>
      <c r="I689" s="26" t="str">
        <f>IF(A689="","",IF(BASE_CAIXA!H686&lt;&gt;"",BASE_CAIXA!H686,BASE_CAIXA!G686))</f>
        <v/>
      </c>
      <c r="J689" s="26" t="str">
        <f>IF(A689="","",BASE_CAIXA!G686)</f>
        <v/>
      </c>
      <c r="K689" s="26" t="str">
        <f>IF(A689="","",BASE_CAIXA!I686)</f>
        <v/>
      </c>
      <c r="L689" s="26" t="str">
        <f>IF(A689="","",BASE_CAIXA!J686)</f>
        <v/>
      </c>
      <c r="M689" s="26" t="str">
        <f>IF(A689="","",BASE_CAIXA!AM686)</f>
        <v/>
      </c>
      <c r="N689" s="26" t="str">
        <f t="shared" ca="1" si="30"/>
        <v/>
      </c>
      <c r="O689" s="26" t="str">
        <f>IFERROR(INDEX(EXTRATO_IMPORTADO!$A$5:$A$404,MATCH(B689,EXTRATO_IMPORTADO!$I$5:$I$404,0)),"")</f>
        <v/>
      </c>
      <c r="P689" s="26" t="str">
        <f>IFERROR(INDEX(EXTRATO_IMPORTADO!$F$5:$F$404,MATCH(B689,EXTRATO_IMPORTADO!$I$5:$I$404,0)),"")</f>
        <v/>
      </c>
      <c r="Q689" s="26" t="str">
        <f>IFERROR(INDEX(EXTRATO_IMPORTADO!$B$5:$B$404,MATCH(B689,EXTRATO_IMPORTADO!$I$5:$I$404,0)),"")</f>
        <v/>
      </c>
      <c r="R689" s="26" t="str">
        <f>IFERROR(MATCH(B689,EXTRATO_IMPORTADO!$I$5:$I$404,0),"")</f>
        <v/>
      </c>
      <c r="S689" s="26" t="str">
        <f t="shared" si="31"/>
        <v/>
      </c>
      <c r="T689" s="26" t="str">
        <f t="shared" si="32"/>
        <v/>
      </c>
    </row>
    <row r="690" spans="1:20" x14ac:dyDescent="0.3">
      <c r="A690" s="26" t="str">
        <f>IF(BASE_CAIXA!A687="","",BASE_CAIXA!A687)</f>
        <v/>
      </c>
      <c r="B690" s="26" t="str">
        <f>IF(A690="","",BASE_CAIXA!AL687)</f>
        <v/>
      </c>
      <c r="C690" s="26" t="str">
        <f>IF(A690="","",BASE_CAIXA!AJ687)</f>
        <v/>
      </c>
      <c r="D690" s="26" t="str">
        <f>IF(A690="","",IF(BASE_CAIXA!C687="Entrada","Crédito","Débito"))</f>
        <v/>
      </c>
      <c r="E690" s="26" t="str">
        <f>IF(A690="","",BASE_CAIXA!AA687)</f>
        <v/>
      </c>
      <c r="F690" s="26" t="str">
        <f>IF(A690="","",BASE_CAIXA!N687)</f>
        <v/>
      </c>
      <c r="G690" s="26" t="str">
        <f>IF(A690="","",BASE_CAIXA!O687)</f>
        <v/>
      </c>
      <c r="H690" s="26" t="str">
        <f>IF(A690="","",BASE_CAIXA!P687)</f>
        <v/>
      </c>
      <c r="I690" s="26" t="str">
        <f>IF(A690="","",IF(BASE_CAIXA!H687&lt;&gt;"",BASE_CAIXA!H687,BASE_CAIXA!G687))</f>
        <v/>
      </c>
      <c r="J690" s="26" t="str">
        <f>IF(A690="","",BASE_CAIXA!G687)</f>
        <v/>
      </c>
      <c r="K690" s="26" t="str">
        <f>IF(A690="","",BASE_CAIXA!I687)</f>
        <v/>
      </c>
      <c r="L690" s="26" t="str">
        <f>IF(A690="","",BASE_CAIXA!J687)</f>
        <v/>
      </c>
      <c r="M690" s="26" t="str">
        <f>IF(A690="","",BASE_CAIXA!AM687)</f>
        <v/>
      </c>
      <c r="N690" s="26" t="str">
        <f t="shared" ca="1" si="30"/>
        <v/>
      </c>
      <c r="O690" s="26" t="str">
        <f>IFERROR(INDEX(EXTRATO_IMPORTADO!$A$5:$A$404,MATCH(B690,EXTRATO_IMPORTADO!$I$5:$I$404,0)),"")</f>
        <v/>
      </c>
      <c r="P690" s="26" t="str">
        <f>IFERROR(INDEX(EXTRATO_IMPORTADO!$F$5:$F$404,MATCH(B690,EXTRATO_IMPORTADO!$I$5:$I$404,0)),"")</f>
        <v/>
      </c>
      <c r="Q690" s="26" t="str">
        <f>IFERROR(INDEX(EXTRATO_IMPORTADO!$B$5:$B$404,MATCH(B690,EXTRATO_IMPORTADO!$I$5:$I$404,0)),"")</f>
        <v/>
      </c>
      <c r="R690" s="26" t="str">
        <f>IFERROR(MATCH(B690,EXTRATO_IMPORTADO!$I$5:$I$404,0),"")</f>
        <v/>
      </c>
      <c r="S690" s="26" t="str">
        <f t="shared" si="31"/>
        <v/>
      </c>
      <c r="T690" s="26" t="str">
        <f t="shared" si="32"/>
        <v/>
      </c>
    </row>
    <row r="691" spans="1:20" x14ac:dyDescent="0.3">
      <c r="A691" s="26" t="str">
        <f>IF(BASE_CAIXA!A688="","",BASE_CAIXA!A688)</f>
        <v/>
      </c>
      <c r="B691" s="26" t="str">
        <f>IF(A691="","",BASE_CAIXA!AL688)</f>
        <v/>
      </c>
      <c r="C691" s="26" t="str">
        <f>IF(A691="","",BASE_CAIXA!AJ688)</f>
        <v/>
      </c>
      <c r="D691" s="26" t="str">
        <f>IF(A691="","",IF(BASE_CAIXA!C688="Entrada","Crédito","Débito"))</f>
        <v/>
      </c>
      <c r="E691" s="26" t="str">
        <f>IF(A691="","",BASE_CAIXA!AA688)</f>
        <v/>
      </c>
      <c r="F691" s="26" t="str">
        <f>IF(A691="","",BASE_CAIXA!N688)</f>
        <v/>
      </c>
      <c r="G691" s="26" t="str">
        <f>IF(A691="","",BASE_CAIXA!O688)</f>
        <v/>
      </c>
      <c r="H691" s="26" t="str">
        <f>IF(A691="","",BASE_CAIXA!P688)</f>
        <v/>
      </c>
      <c r="I691" s="26" t="str">
        <f>IF(A691="","",IF(BASE_CAIXA!H688&lt;&gt;"",BASE_CAIXA!H688,BASE_CAIXA!G688))</f>
        <v/>
      </c>
      <c r="J691" s="26" t="str">
        <f>IF(A691="","",BASE_CAIXA!G688)</f>
        <v/>
      </c>
      <c r="K691" s="26" t="str">
        <f>IF(A691="","",BASE_CAIXA!I688)</f>
        <v/>
      </c>
      <c r="L691" s="26" t="str">
        <f>IF(A691="","",BASE_CAIXA!J688)</f>
        <v/>
      </c>
      <c r="M691" s="26" t="str">
        <f>IF(A691="","",BASE_CAIXA!AM688)</f>
        <v/>
      </c>
      <c r="N691" s="26" t="str">
        <f t="shared" ca="1" si="30"/>
        <v/>
      </c>
      <c r="O691" s="26" t="str">
        <f>IFERROR(INDEX(EXTRATO_IMPORTADO!$A$5:$A$404,MATCH(B691,EXTRATO_IMPORTADO!$I$5:$I$404,0)),"")</f>
        <v/>
      </c>
      <c r="P691" s="26" t="str">
        <f>IFERROR(INDEX(EXTRATO_IMPORTADO!$F$5:$F$404,MATCH(B691,EXTRATO_IMPORTADO!$I$5:$I$404,0)),"")</f>
        <v/>
      </c>
      <c r="Q691" s="26" t="str">
        <f>IFERROR(INDEX(EXTRATO_IMPORTADO!$B$5:$B$404,MATCH(B691,EXTRATO_IMPORTADO!$I$5:$I$404,0)),"")</f>
        <v/>
      </c>
      <c r="R691" s="26" t="str">
        <f>IFERROR(MATCH(B691,EXTRATO_IMPORTADO!$I$5:$I$404,0),"")</f>
        <v/>
      </c>
      <c r="S691" s="26" t="str">
        <f t="shared" si="31"/>
        <v/>
      </c>
      <c r="T691" s="26" t="str">
        <f t="shared" si="32"/>
        <v/>
      </c>
    </row>
    <row r="692" spans="1:20" x14ac:dyDescent="0.3">
      <c r="A692" s="26" t="str">
        <f>IF(BASE_CAIXA!A689="","",BASE_CAIXA!A689)</f>
        <v/>
      </c>
      <c r="B692" s="26" t="str">
        <f>IF(A692="","",BASE_CAIXA!AL689)</f>
        <v/>
      </c>
      <c r="C692" s="26" t="str">
        <f>IF(A692="","",BASE_CAIXA!AJ689)</f>
        <v/>
      </c>
      <c r="D692" s="26" t="str">
        <f>IF(A692="","",IF(BASE_CAIXA!C689="Entrada","Crédito","Débito"))</f>
        <v/>
      </c>
      <c r="E692" s="26" t="str">
        <f>IF(A692="","",BASE_CAIXA!AA689)</f>
        <v/>
      </c>
      <c r="F692" s="26" t="str">
        <f>IF(A692="","",BASE_CAIXA!N689)</f>
        <v/>
      </c>
      <c r="G692" s="26" t="str">
        <f>IF(A692="","",BASE_CAIXA!O689)</f>
        <v/>
      </c>
      <c r="H692" s="26" t="str">
        <f>IF(A692="","",BASE_CAIXA!P689)</f>
        <v/>
      </c>
      <c r="I692" s="26" t="str">
        <f>IF(A692="","",IF(BASE_CAIXA!H689&lt;&gt;"",BASE_CAIXA!H689,BASE_CAIXA!G689))</f>
        <v/>
      </c>
      <c r="J692" s="26" t="str">
        <f>IF(A692="","",BASE_CAIXA!G689)</f>
        <v/>
      </c>
      <c r="K692" s="26" t="str">
        <f>IF(A692="","",BASE_CAIXA!I689)</f>
        <v/>
      </c>
      <c r="L692" s="26" t="str">
        <f>IF(A692="","",BASE_CAIXA!J689)</f>
        <v/>
      </c>
      <c r="M692" s="26" t="str">
        <f>IF(A692="","",BASE_CAIXA!AM689)</f>
        <v/>
      </c>
      <c r="N692" s="26" t="str">
        <f t="shared" ca="1" si="30"/>
        <v/>
      </c>
      <c r="O692" s="26" t="str">
        <f>IFERROR(INDEX(EXTRATO_IMPORTADO!$A$5:$A$404,MATCH(B692,EXTRATO_IMPORTADO!$I$5:$I$404,0)),"")</f>
        <v/>
      </c>
      <c r="P692" s="26" t="str">
        <f>IFERROR(INDEX(EXTRATO_IMPORTADO!$F$5:$F$404,MATCH(B692,EXTRATO_IMPORTADO!$I$5:$I$404,0)),"")</f>
        <v/>
      </c>
      <c r="Q692" s="26" t="str">
        <f>IFERROR(INDEX(EXTRATO_IMPORTADO!$B$5:$B$404,MATCH(B692,EXTRATO_IMPORTADO!$I$5:$I$404,0)),"")</f>
        <v/>
      </c>
      <c r="R692" s="26" t="str">
        <f>IFERROR(MATCH(B692,EXTRATO_IMPORTADO!$I$5:$I$404,0),"")</f>
        <v/>
      </c>
      <c r="S692" s="26" t="str">
        <f t="shared" si="31"/>
        <v/>
      </c>
      <c r="T692" s="26" t="str">
        <f t="shared" si="32"/>
        <v/>
      </c>
    </row>
    <row r="693" spans="1:20" x14ac:dyDescent="0.3">
      <c r="A693" s="26" t="str">
        <f>IF(BASE_CAIXA!A690="","",BASE_CAIXA!A690)</f>
        <v/>
      </c>
      <c r="B693" s="26" t="str">
        <f>IF(A693="","",BASE_CAIXA!AL690)</f>
        <v/>
      </c>
      <c r="C693" s="26" t="str">
        <f>IF(A693="","",BASE_CAIXA!AJ690)</f>
        <v/>
      </c>
      <c r="D693" s="26" t="str">
        <f>IF(A693="","",IF(BASE_CAIXA!C690="Entrada","Crédito","Débito"))</f>
        <v/>
      </c>
      <c r="E693" s="26" t="str">
        <f>IF(A693="","",BASE_CAIXA!AA690)</f>
        <v/>
      </c>
      <c r="F693" s="26" t="str">
        <f>IF(A693="","",BASE_CAIXA!N690)</f>
        <v/>
      </c>
      <c r="G693" s="26" t="str">
        <f>IF(A693="","",BASE_CAIXA!O690)</f>
        <v/>
      </c>
      <c r="H693" s="26" t="str">
        <f>IF(A693="","",BASE_CAIXA!P690)</f>
        <v/>
      </c>
      <c r="I693" s="26" t="str">
        <f>IF(A693="","",IF(BASE_CAIXA!H690&lt;&gt;"",BASE_CAIXA!H690,BASE_CAIXA!G690))</f>
        <v/>
      </c>
      <c r="J693" s="26" t="str">
        <f>IF(A693="","",BASE_CAIXA!G690)</f>
        <v/>
      </c>
      <c r="K693" s="26" t="str">
        <f>IF(A693="","",BASE_CAIXA!I690)</f>
        <v/>
      </c>
      <c r="L693" s="26" t="str">
        <f>IF(A693="","",BASE_CAIXA!J690)</f>
        <v/>
      </c>
      <c r="M693" s="26" t="str">
        <f>IF(A693="","",BASE_CAIXA!AM690)</f>
        <v/>
      </c>
      <c r="N693" s="26" t="str">
        <f t="shared" ca="1" si="30"/>
        <v/>
      </c>
      <c r="O693" s="26" t="str">
        <f>IFERROR(INDEX(EXTRATO_IMPORTADO!$A$5:$A$404,MATCH(B693,EXTRATO_IMPORTADO!$I$5:$I$404,0)),"")</f>
        <v/>
      </c>
      <c r="P693" s="26" t="str">
        <f>IFERROR(INDEX(EXTRATO_IMPORTADO!$F$5:$F$404,MATCH(B693,EXTRATO_IMPORTADO!$I$5:$I$404,0)),"")</f>
        <v/>
      </c>
      <c r="Q693" s="26" t="str">
        <f>IFERROR(INDEX(EXTRATO_IMPORTADO!$B$5:$B$404,MATCH(B693,EXTRATO_IMPORTADO!$I$5:$I$404,0)),"")</f>
        <v/>
      </c>
      <c r="R693" s="26" t="str">
        <f>IFERROR(MATCH(B693,EXTRATO_IMPORTADO!$I$5:$I$404,0),"")</f>
        <v/>
      </c>
      <c r="S693" s="26" t="str">
        <f t="shared" si="31"/>
        <v/>
      </c>
      <c r="T693" s="26" t="str">
        <f t="shared" si="32"/>
        <v/>
      </c>
    </row>
    <row r="694" spans="1:20" x14ac:dyDescent="0.3">
      <c r="A694" s="26" t="str">
        <f>IF(BASE_CAIXA!A691="","",BASE_CAIXA!A691)</f>
        <v/>
      </c>
      <c r="B694" s="26" t="str">
        <f>IF(A694="","",BASE_CAIXA!AL691)</f>
        <v/>
      </c>
      <c r="C694" s="26" t="str">
        <f>IF(A694="","",BASE_CAIXA!AJ691)</f>
        <v/>
      </c>
      <c r="D694" s="26" t="str">
        <f>IF(A694="","",IF(BASE_CAIXA!C691="Entrada","Crédito","Débito"))</f>
        <v/>
      </c>
      <c r="E694" s="26" t="str">
        <f>IF(A694="","",BASE_CAIXA!AA691)</f>
        <v/>
      </c>
      <c r="F694" s="26" t="str">
        <f>IF(A694="","",BASE_CAIXA!N691)</f>
        <v/>
      </c>
      <c r="G694" s="26" t="str">
        <f>IF(A694="","",BASE_CAIXA!O691)</f>
        <v/>
      </c>
      <c r="H694" s="26" t="str">
        <f>IF(A694="","",BASE_CAIXA!P691)</f>
        <v/>
      </c>
      <c r="I694" s="26" t="str">
        <f>IF(A694="","",IF(BASE_CAIXA!H691&lt;&gt;"",BASE_CAIXA!H691,BASE_CAIXA!G691))</f>
        <v/>
      </c>
      <c r="J694" s="26" t="str">
        <f>IF(A694="","",BASE_CAIXA!G691)</f>
        <v/>
      </c>
      <c r="K694" s="26" t="str">
        <f>IF(A694="","",BASE_CAIXA!I691)</f>
        <v/>
      </c>
      <c r="L694" s="26" t="str">
        <f>IF(A694="","",BASE_CAIXA!J691)</f>
        <v/>
      </c>
      <c r="M694" s="26" t="str">
        <f>IF(A694="","",BASE_CAIXA!AM691)</f>
        <v/>
      </c>
      <c r="N694" s="26" t="str">
        <f t="shared" ca="1" si="30"/>
        <v/>
      </c>
      <c r="O694" s="26" t="str">
        <f>IFERROR(INDEX(EXTRATO_IMPORTADO!$A$5:$A$404,MATCH(B694,EXTRATO_IMPORTADO!$I$5:$I$404,0)),"")</f>
        <v/>
      </c>
      <c r="P694" s="26" t="str">
        <f>IFERROR(INDEX(EXTRATO_IMPORTADO!$F$5:$F$404,MATCH(B694,EXTRATO_IMPORTADO!$I$5:$I$404,0)),"")</f>
        <v/>
      </c>
      <c r="Q694" s="26" t="str">
        <f>IFERROR(INDEX(EXTRATO_IMPORTADO!$B$5:$B$404,MATCH(B694,EXTRATO_IMPORTADO!$I$5:$I$404,0)),"")</f>
        <v/>
      </c>
      <c r="R694" s="26" t="str">
        <f>IFERROR(MATCH(B694,EXTRATO_IMPORTADO!$I$5:$I$404,0),"")</f>
        <v/>
      </c>
      <c r="S694" s="26" t="str">
        <f t="shared" si="31"/>
        <v/>
      </c>
      <c r="T694" s="26" t="str">
        <f t="shared" si="32"/>
        <v/>
      </c>
    </row>
    <row r="695" spans="1:20" x14ac:dyDescent="0.3">
      <c r="A695" s="26" t="str">
        <f>IF(BASE_CAIXA!A692="","",BASE_CAIXA!A692)</f>
        <v/>
      </c>
      <c r="B695" s="26" t="str">
        <f>IF(A695="","",BASE_CAIXA!AL692)</f>
        <v/>
      </c>
      <c r="C695" s="26" t="str">
        <f>IF(A695="","",BASE_CAIXA!AJ692)</f>
        <v/>
      </c>
      <c r="D695" s="26" t="str">
        <f>IF(A695="","",IF(BASE_CAIXA!C692="Entrada","Crédito","Débito"))</f>
        <v/>
      </c>
      <c r="E695" s="26" t="str">
        <f>IF(A695="","",BASE_CAIXA!AA692)</f>
        <v/>
      </c>
      <c r="F695" s="26" t="str">
        <f>IF(A695="","",BASE_CAIXA!N692)</f>
        <v/>
      </c>
      <c r="G695" s="26" t="str">
        <f>IF(A695="","",BASE_CAIXA!O692)</f>
        <v/>
      </c>
      <c r="H695" s="26" t="str">
        <f>IF(A695="","",BASE_CAIXA!P692)</f>
        <v/>
      </c>
      <c r="I695" s="26" t="str">
        <f>IF(A695="","",IF(BASE_CAIXA!H692&lt;&gt;"",BASE_CAIXA!H692,BASE_CAIXA!G692))</f>
        <v/>
      </c>
      <c r="J695" s="26" t="str">
        <f>IF(A695="","",BASE_CAIXA!G692)</f>
        <v/>
      </c>
      <c r="K695" s="26" t="str">
        <f>IF(A695="","",BASE_CAIXA!I692)</f>
        <v/>
      </c>
      <c r="L695" s="26" t="str">
        <f>IF(A695="","",BASE_CAIXA!J692)</f>
        <v/>
      </c>
      <c r="M695" s="26" t="str">
        <f>IF(A695="","",BASE_CAIXA!AM692)</f>
        <v/>
      </c>
      <c r="N695" s="26" t="str">
        <f t="shared" ca="1" si="30"/>
        <v/>
      </c>
      <c r="O695" s="26" t="str">
        <f>IFERROR(INDEX(EXTRATO_IMPORTADO!$A$5:$A$404,MATCH(B695,EXTRATO_IMPORTADO!$I$5:$I$404,0)),"")</f>
        <v/>
      </c>
      <c r="P695" s="26" t="str">
        <f>IFERROR(INDEX(EXTRATO_IMPORTADO!$F$5:$F$404,MATCH(B695,EXTRATO_IMPORTADO!$I$5:$I$404,0)),"")</f>
        <v/>
      </c>
      <c r="Q695" s="26" t="str">
        <f>IFERROR(INDEX(EXTRATO_IMPORTADO!$B$5:$B$404,MATCH(B695,EXTRATO_IMPORTADO!$I$5:$I$404,0)),"")</f>
        <v/>
      </c>
      <c r="R695" s="26" t="str">
        <f>IFERROR(MATCH(B695,EXTRATO_IMPORTADO!$I$5:$I$404,0),"")</f>
        <v/>
      </c>
      <c r="S695" s="26" t="str">
        <f t="shared" si="31"/>
        <v/>
      </c>
      <c r="T695" s="26" t="str">
        <f t="shared" si="32"/>
        <v/>
      </c>
    </row>
    <row r="696" spans="1:20" x14ac:dyDescent="0.3">
      <c r="A696" s="26" t="str">
        <f>IF(BASE_CAIXA!A693="","",BASE_CAIXA!A693)</f>
        <v/>
      </c>
      <c r="B696" s="26" t="str">
        <f>IF(A696="","",BASE_CAIXA!AL693)</f>
        <v/>
      </c>
      <c r="C696" s="26" t="str">
        <f>IF(A696="","",BASE_CAIXA!AJ693)</f>
        <v/>
      </c>
      <c r="D696" s="26" t="str">
        <f>IF(A696="","",IF(BASE_CAIXA!C693="Entrada","Crédito","Débito"))</f>
        <v/>
      </c>
      <c r="E696" s="26" t="str">
        <f>IF(A696="","",BASE_CAIXA!AA693)</f>
        <v/>
      </c>
      <c r="F696" s="26" t="str">
        <f>IF(A696="","",BASE_CAIXA!N693)</f>
        <v/>
      </c>
      <c r="G696" s="26" t="str">
        <f>IF(A696="","",BASE_CAIXA!O693)</f>
        <v/>
      </c>
      <c r="H696" s="26" t="str">
        <f>IF(A696="","",BASE_CAIXA!P693)</f>
        <v/>
      </c>
      <c r="I696" s="26" t="str">
        <f>IF(A696="","",IF(BASE_CAIXA!H693&lt;&gt;"",BASE_CAIXA!H693,BASE_CAIXA!G693))</f>
        <v/>
      </c>
      <c r="J696" s="26" t="str">
        <f>IF(A696="","",BASE_CAIXA!G693)</f>
        <v/>
      </c>
      <c r="K696" s="26" t="str">
        <f>IF(A696="","",BASE_CAIXA!I693)</f>
        <v/>
      </c>
      <c r="L696" s="26" t="str">
        <f>IF(A696="","",BASE_CAIXA!J693)</f>
        <v/>
      </c>
      <c r="M696" s="26" t="str">
        <f>IF(A696="","",BASE_CAIXA!AM693)</f>
        <v/>
      </c>
      <c r="N696" s="26" t="str">
        <f t="shared" ca="1" si="30"/>
        <v/>
      </c>
      <c r="O696" s="26" t="str">
        <f>IFERROR(INDEX(EXTRATO_IMPORTADO!$A$5:$A$404,MATCH(B696,EXTRATO_IMPORTADO!$I$5:$I$404,0)),"")</f>
        <v/>
      </c>
      <c r="P696" s="26" t="str">
        <f>IFERROR(INDEX(EXTRATO_IMPORTADO!$F$5:$F$404,MATCH(B696,EXTRATO_IMPORTADO!$I$5:$I$404,0)),"")</f>
        <v/>
      </c>
      <c r="Q696" s="26" t="str">
        <f>IFERROR(INDEX(EXTRATO_IMPORTADO!$B$5:$B$404,MATCH(B696,EXTRATO_IMPORTADO!$I$5:$I$404,0)),"")</f>
        <v/>
      </c>
      <c r="R696" s="26" t="str">
        <f>IFERROR(MATCH(B696,EXTRATO_IMPORTADO!$I$5:$I$404,0),"")</f>
        <v/>
      </c>
      <c r="S696" s="26" t="str">
        <f t="shared" si="31"/>
        <v/>
      </c>
      <c r="T696" s="26" t="str">
        <f t="shared" si="32"/>
        <v/>
      </c>
    </row>
    <row r="697" spans="1:20" x14ac:dyDescent="0.3">
      <c r="A697" s="26" t="str">
        <f>IF(BASE_CAIXA!A694="","",BASE_CAIXA!A694)</f>
        <v/>
      </c>
      <c r="B697" s="26" t="str">
        <f>IF(A697="","",BASE_CAIXA!AL694)</f>
        <v/>
      </c>
      <c r="C697" s="26" t="str">
        <f>IF(A697="","",BASE_CAIXA!AJ694)</f>
        <v/>
      </c>
      <c r="D697" s="26" t="str">
        <f>IF(A697="","",IF(BASE_CAIXA!C694="Entrada","Crédito","Débito"))</f>
        <v/>
      </c>
      <c r="E697" s="26" t="str">
        <f>IF(A697="","",BASE_CAIXA!AA694)</f>
        <v/>
      </c>
      <c r="F697" s="26" t="str">
        <f>IF(A697="","",BASE_CAIXA!N694)</f>
        <v/>
      </c>
      <c r="G697" s="26" t="str">
        <f>IF(A697="","",BASE_CAIXA!O694)</f>
        <v/>
      </c>
      <c r="H697" s="26" t="str">
        <f>IF(A697="","",BASE_CAIXA!P694)</f>
        <v/>
      </c>
      <c r="I697" s="26" t="str">
        <f>IF(A697="","",IF(BASE_CAIXA!H694&lt;&gt;"",BASE_CAIXA!H694,BASE_CAIXA!G694))</f>
        <v/>
      </c>
      <c r="J697" s="26" t="str">
        <f>IF(A697="","",BASE_CAIXA!G694)</f>
        <v/>
      </c>
      <c r="K697" s="26" t="str">
        <f>IF(A697="","",BASE_CAIXA!I694)</f>
        <v/>
      </c>
      <c r="L697" s="26" t="str">
        <f>IF(A697="","",BASE_CAIXA!J694)</f>
        <v/>
      </c>
      <c r="M697" s="26" t="str">
        <f>IF(A697="","",BASE_CAIXA!AM694)</f>
        <v/>
      </c>
      <c r="N697" s="26" t="str">
        <f t="shared" ca="1" si="30"/>
        <v/>
      </c>
      <c r="O697" s="26" t="str">
        <f>IFERROR(INDEX(EXTRATO_IMPORTADO!$A$5:$A$404,MATCH(B697,EXTRATO_IMPORTADO!$I$5:$I$404,0)),"")</f>
        <v/>
      </c>
      <c r="P697" s="26" t="str">
        <f>IFERROR(INDEX(EXTRATO_IMPORTADO!$F$5:$F$404,MATCH(B697,EXTRATO_IMPORTADO!$I$5:$I$404,0)),"")</f>
        <v/>
      </c>
      <c r="Q697" s="26" t="str">
        <f>IFERROR(INDEX(EXTRATO_IMPORTADO!$B$5:$B$404,MATCH(B697,EXTRATO_IMPORTADO!$I$5:$I$404,0)),"")</f>
        <v/>
      </c>
      <c r="R697" s="26" t="str">
        <f>IFERROR(MATCH(B697,EXTRATO_IMPORTADO!$I$5:$I$404,0),"")</f>
        <v/>
      </c>
      <c r="S697" s="26" t="str">
        <f t="shared" si="31"/>
        <v/>
      </c>
      <c r="T697" s="26" t="str">
        <f t="shared" si="32"/>
        <v/>
      </c>
    </row>
    <row r="698" spans="1:20" x14ac:dyDescent="0.3">
      <c r="A698" s="26" t="str">
        <f>IF(BASE_CAIXA!A695="","",BASE_CAIXA!A695)</f>
        <v/>
      </c>
      <c r="B698" s="26" t="str">
        <f>IF(A698="","",BASE_CAIXA!AL695)</f>
        <v/>
      </c>
      <c r="C698" s="26" t="str">
        <f>IF(A698="","",BASE_CAIXA!AJ695)</f>
        <v/>
      </c>
      <c r="D698" s="26" t="str">
        <f>IF(A698="","",IF(BASE_CAIXA!C695="Entrada","Crédito","Débito"))</f>
        <v/>
      </c>
      <c r="E698" s="26" t="str">
        <f>IF(A698="","",BASE_CAIXA!AA695)</f>
        <v/>
      </c>
      <c r="F698" s="26" t="str">
        <f>IF(A698="","",BASE_CAIXA!N695)</f>
        <v/>
      </c>
      <c r="G698" s="26" t="str">
        <f>IF(A698="","",BASE_CAIXA!O695)</f>
        <v/>
      </c>
      <c r="H698" s="26" t="str">
        <f>IF(A698="","",BASE_CAIXA!P695)</f>
        <v/>
      </c>
      <c r="I698" s="26" t="str">
        <f>IF(A698="","",IF(BASE_CAIXA!H695&lt;&gt;"",BASE_CAIXA!H695,BASE_CAIXA!G695))</f>
        <v/>
      </c>
      <c r="J698" s="26" t="str">
        <f>IF(A698="","",BASE_CAIXA!G695)</f>
        <v/>
      </c>
      <c r="K698" s="26" t="str">
        <f>IF(A698="","",BASE_CAIXA!I695)</f>
        <v/>
      </c>
      <c r="L698" s="26" t="str">
        <f>IF(A698="","",BASE_CAIXA!J695)</f>
        <v/>
      </c>
      <c r="M698" s="26" t="str">
        <f>IF(A698="","",BASE_CAIXA!AM695)</f>
        <v/>
      </c>
      <c r="N698" s="26" t="str">
        <f t="shared" ca="1" si="30"/>
        <v/>
      </c>
      <c r="O698" s="26" t="str">
        <f>IFERROR(INDEX(EXTRATO_IMPORTADO!$A$5:$A$404,MATCH(B698,EXTRATO_IMPORTADO!$I$5:$I$404,0)),"")</f>
        <v/>
      </c>
      <c r="P698" s="26" t="str">
        <f>IFERROR(INDEX(EXTRATO_IMPORTADO!$F$5:$F$404,MATCH(B698,EXTRATO_IMPORTADO!$I$5:$I$404,0)),"")</f>
        <v/>
      </c>
      <c r="Q698" s="26" t="str">
        <f>IFERROR(INDEX(EXTRATO_IMPORTADO!$B$5:$B$404,MATCH(B698,EXTRATO_IMPORTADO!$I$5:$I$404,0)),"")</f>
        <v/>
      </c>
      <c r="R698" s="26" t="str">
        <f>IFERROR(MATCH(B698,EXTRATO_IMPORTADO!$I$5:$I$404,0),"")</f>
        <v/>
      </c>
      <c r="S698" s="26" t="str">
        <f t="shared" si="31"/>
        <v/>
      </c>
      <c r="T698" s="26" t="str">
        <f t="shared" si="32"/>
        <v/>
      </c>
    </row>
    <row r="699" spans="1:20" x14ac:dyDescent="0.3">
      <c r="A699" s="26" t="str">
        <f>IF(BASE_CAIXA!A696="","",BASE_CAIXA!A696)</f>
        <v/>
      </c>
      <c r="B699" s="26" t="str">
        <f>IF(A699="","",BASE_CAIXA!AL696)</f>
        <v/>
      </c>
      <c r="C699" s="26" t="str">
        <f>IF(A699="","",BASE_CAIXA!AJ696)</f>
        <v/>
      </c>
      <c r="D699" s="26" t="str">
        <f>IF(A699="","",IF(BASE_CAIXA!C696="Entrada","Crédito","Débito"))</f>
        <v/>
      </c>
      <c r="E699" s="26" t="str">
        <f>IF(A699="","",BASE_CAIXA!AA696)</f>
        <v/>
      </c>
      <c r="F699" s="26" t="str">
        <f>IF(A699="","",BASE_CAIXA!N696)</f>
        <v/>
      </c>
      <c r="G699" s="26" t="str">
        <f>IF(A699="","",BASE_CAIXA!O696)</f>
        <v/>
      </c>
      <c r="H699" s="26" t="str">
        <f>IF(A699="","",BASE_CAIXA!P696)</f>
        <v/>
      </c>
      <c r="I699" s="26" t="str">
        <f>IF(A699="","",IF(BASE_CAIXA!H696&lt;&gt;"",BASE_CAIXA!H696,BASE_CAIXA!G696))</f>
        <v/>
      </c>
      <c r="J699" s="26" t="str">
        <f>IF(A699="","",BASE_CAIXA!G696)</f>
        <v/>
      </c>
      <c r="K699" s="26" t="str">
        <f>IF(A699="","",BASE_CAIXA!I696)</f>
        <v/>
      </c>
      <c r="L699" s="26" t="str">
        <f>IF(A699="","",BASE_CAIXA!J696)</f>
        <v/>
      </c>
      <c r="M699" s="26" t="str">
        <f>IF(A699="","",BASE_CAIXA!AM696)</f>
        <v/>
      </c>
      <c r="N699" s="26" t="str">
        <f t="shared" ca="1" si="30"/>
        <v/>
      </c>
      <c r="O699" s="26" t="str">
        <f>IFERROR(INDEX(EXTRATO_IMPORTADO!$A$5:$A$404,MATCH(B699,EXTRATO_IMPORTADO!$I$5:$I$404,0)),"")</f>
        <v/>
      </c>
      <c r="P699" s="26" t="str">
        <f>IFERROR(INDEX(EXTRATO_IMPORTADO!$F$5:$F$404,MATCH(B699,EXTRATO_IMPORTADO!$I$5:$I$404,0)),"")</f>
        <v/>
      </c>
      <c r="Q699" s="26" t="str">
        <f>IFERROR(INDEX(EXTRATO_IMPORTADO!$B$5:$B$404,MATCH(B699,EXTRATO_IMPORTADO!$I$5:$I$404,0)),"")</f>
        <v/>
      </c>
      <c r="R699" s="26" t="str">
        <f>IFERROR(MATCH(B699,EXTRATO_IMPORTADO!$I$5:$I$404,0),"")</f>
        <v/>
      </c>
      <c r="S699" s="26" t="str">
        <f t="shared" si="31"/>
        <v/>
      </c>
      <c r="T699" s="26" t="str">
        <f t="shared" si="32"/>
        <v/>
      </c>
    </row>
    <row r="700" spans="1:20" x14ac:dyDescent="0.3">
      <c r="A700" s="26" t="str">
        <f>IF(BASE_CAIXA!A697="","",BASE_CAIXA!A697)</f>
        <v/>
      </c>
      <c r="B700" s="26" t="str">
        <f>IF(A700="","",BASE_CAIXA!AL697)</f>
        <v/>
      </c>
      <c r="C700" s="26" t="str">
        <f>IF(A700="","",BASE_CAIXA!AJ697)</f>
        <v/>
      </c>
      <c r="D700" s="26" t="str">
        <f>IF(A700="","",IF(BASE_CAIXA!C697="Entrada","Crédito","Débito"))</f>
        <v/>
      </c>
      <c r="E700" s="26" t="str">
        <f>IF(A700="","",BASE_CAIXA!AA697)</f>
        <v/>
      </c>
      <c r="F700" s="26" t="str">
        <f>IF(A700="","",BASE_CAIXA!N697)</f>
        <v/>
      </c>
      <c r="G700" s="26" t="str">
        <f>IF(A700="","",BASE_CAIXA!O697)</f>
        <v/>
      </c>
      <c r="H700" s="26" t="str">
        <f>IF(A700="","",BASE_CAIXA!P697)</f>
        <v/>
      </c>
      <c r="I700" s="26" t="str">
        <f>IF(A700="","",IF(BASE_CAIXA!H697&lt;&gt;"",BASE_CAIXA!H697,BASE_CAIXA!G697))</f>
        <v/>
      </c>
      <c r="J700" s="26" t="str">
        <f>IF(A700="","",BASE_CAIXA!G697)</f>
        <v/>
      </c>
      <c r="K700" s="26" t="str">
        <f>IF(A700="","",BASE_CAIXA!I697)</f>
        <v/>
      </c>
      <c r="L700" s="26" t="str">
        <f>IF(A700="","",BASE_CAIXA!J697)</f>
        <v/>
      </c>
      <c r="M700" s="26" t="str">
        <f>IF(A700="","",BASE_CAIXA!AM697)</f>
        <v/>
      </c>
      <c r="N700" s="26" t="str">
        <f t="shared" ca="1" si="30"/>
        <v/>
      </c>
      <c r="O700" s="26" t="str">
        <f>IFERROR(INDEX(EXTRATO_IMPORTADO!$A$5:$A$404,MATCH(B700,EXTRATO_IMPORTADO!$I$5:$I$404,0)),"")</f>
        <v/>
      </c>
      <c r="P700" s="26" t="str">
        <f>IFERROR(INDEX(EXTRATO_IMPORTADO!$F$5:$F$404,MATCH(B700,EXTRATO_IMPORTADO!$I$5:$I$404,0)),"")</f>
        <v/>
      </c>
      <c r="Q700" s="26" t="str">
        <f>IFERROR(INDEX(EXTRATO_IMPORTADO!$B$5:$B$404,MATCH(B700,EXTRATO_IMPORTADO!$I$5:$I$404,0)),"")</f>
        <v/>
      </c>
      <c r="R700" s="26" t="str">
        <f>IFERROR(MATCH(B700,EXTRATO_IMPORTADO!$I$5:$I$404,0),"")</f>
        <v/>
      </c>
      <c r="S700" s="26" t="str">
        <f t="shared" si="31"/>
        <v/>
      </c>
      <c r="T700" s="26" t="str">
        <f t="shared" si="32"/>
        <v/>
      </c>
    </row>
    <row r="701" spans="1:20" x14ac:dyDescent="0.3">
      <c r="A701" s="26" t="str">
        <f>IF(BASE_CAIXA!A698="","",BASE_CAIXA!A698)</f>
        <v/>
      </c>
      <c r="B701" s="26" t="str">
        <f>IF(A701="","",BASE_CAIXA!AL698)</f>
        <v/>
      </c>
      <c r="C701" s="26" t="str">
        <f>IF(A701="","",BASE_CAIXA!AJ698)</f>
        <v/>
      </c>
      <c r="D701" s="26" t="str">
        <f>IF(A701="","",IF(BASE_CAIXA!C698="Entrada","Crédito","Débito"))</f>
        <v/>
      </c>
      <c r="E701" s="26" t="str">
        <f>IF(A701="","",BASE_CAIXA!AA698)</f>
        <v/>
      </c>
      <c r="F701" s="26" t="str">
        <f>IF(A701="","",BASE_CAIXA!N698)</f>
        <v/>
      </c>
      <c r="G701" s="26" t="str">
        <f>IF(A701="","",BASE_CAIXA!O698)</f>
        <v/>
      </c>
      <c r="H701" s="26" t="str">
        <f>IF(A701="","",BASE_CAIXA!P698)</f>
        <v/>
      </c>
      <c r="I701" s="26" t="str">
        <f>IF(A701="","",IF(BASE_CAIXA!H698&lt;&gt;"",BASE_CAIXA!H698,BASE_CAIXA!G698))</f>
        <v/>
      </c>
      <c r="J701" s="26" t="str">
        <f>IF(A701="","",BASE_CAIXA!G698)</f>
        <v/>
      </c>
      <c r="K701" s="26" t="str">
        <f>IF(A701="","",BASE_CAIXA!I698)</f>
        <v/>
      </c>
      <c r="L701" s="26" t="str">
        <f>IF(A701="","",BASE_CAIXA!J698)</f>
        <v/>
      </c>
      <c r="M701" s="26" t="str">
        <f>IF(A701="","",BASE_CAIXA!AM698)</f>
        <v/>
      </c>
      <c r="N701" s="26" t="str">
        <f t="shared" ca="1" si="30"/>
        <v/>
      </c>
      <c r="O701" s="26" t="str">
        <f>IFERROR(INDEX(EXTRATO_IMPORTADO!$A$5:$A$404,MATCH(B701,EXTRATO_IMPORTADO!$I$5:$I$404,0)),"")</f>
        <v/>
      </c>
      <c r="P701" s="26" t="str">
        <f>IFERROR(INDEX(EXTRATO_IMPORTADO!$F$5:$F$404,MATCH(B701,EXTRATO_IMPORTADO!$I$5:$I$404,0)),"")</f>
        <v/>
      </c>
      <c r="Q701" s="26" t="str">
        <f>IFERROR(INDEX(EXTRATO_IMPORTADO!$B$5:$B$404,MATCH(B701,EXTRATO_IMPORTADO!$I$5:$I$404,0)),"")</f>
        <v/>
      </c>
      <c r="R701" s="26" t="str">
        <f>IFERROR(MATCH(B701,EXTRATO_IMPORTADO!$I$5:$I$404,0),"")</f>
        <v/>
      </c>
      <c r="S701" s="26" t="str">
        <f t="shared" si="31"/>
        <v/>
      </c>
      <c r="T701" s="26" t="str">
        <f t="shared" si="32"/>
        <v/>
      </c>
    </row>
    <row r="702" spans="1:20" x14ac:dyDescent="0.3">
      <c r="A702" s="26" t="str">
        <f>IF(BASE_CAIXA!A699="","",BASE_CAIXA!A699)</f>
        <v/>
      </c>
      <c r="B702" s="26" t="str">
        <f>IF(A702="","",BASE_CAIXA!AL699)</f>
        <v/>
      </c>
      <c r="C702" s="26" t="str">
        <f>IF(A702="","",BASE_CAIXA!AJ699)</f>
        <v/>
      </c>
      <c r="D702" s="26" t="str">
        <f>IF(A702="","",IF(BASE_CAIXA!C699="Entrada","Crédito","Débito"))</f>
        <v/>
      </c>
      <c r="E702" s="26" t="str">
        <f>IF(A702="","",BASE_CAIXA!AA699)</f>
        <v/>
      </c>
      <c r="F702" s="26" t="str">
        <f>IF(A702="","",BASE_CAIXA!N699)</f>
        <v/>
      </c>
      <c r="G702" s="26" t="str">
        <f>IF(A702="","",BASE_CAIXA!O699)</f>
        <v/>
      </c>
      <c r="H702" s="26" t="str">
        <f>IF(A702="","",BASE_CAIXA!P699)</f>
        <v/>
      </c>
      <c r="I702" s="26" t="str">
        <f>IF(A702="","",IF(BASE_CAIXA!H699&lt;&gt;"",BASE_CAIXA!H699,BASE_CAIXA!G699))</f>
        <v/>
      </c>
      <c r="J702" s="26" t="str">
        <f>IF(A702="","",BASE_CAIXA!G699)</f>
        <v/>
      </c>
      <c r="K702" s="26" t="str">
        <f>IF(A702="","",BASE_CAIXA!I699)</f>
        <v/>
      </c>
      <c r="L702" s="26" t="str">
        <f>IF(A702="","",BASE_CAIXA!J699)</f>
        <v/>
      </c>
      <c r="M702" s="26" t="str">
        <f>IF(A702="","",BASE_CAIXA!AM699)</f>
        <v/>
      </c>
      <c r="N702" s="26" t="str">
        <f t="shared" ca="1" si="30"/>
        <v/>
      </c>
      <c r="O702" s="26" t="str">
        <f>IFERROR(INDEX(EXTRATO_IMPORTADO!$A$5:$A$404,MATCH(B702,EXTRATO_IMPORTADO!$I$5:$I$404,0)),"")</f>
        <v/>
      </c>
      <c r="P702" s="26" t="str">
        <f>IFERROR(INDEX(EXTRATO_IMPORTADO!$F$5:$F$404,MATCH(B702,EXTRATO_IMPORTADO!$I$5:$I$404,0)),"")</f>
        <v/>
      </c>
      <c r="Q702" s="26" t="str">
        <f>IFERROR(INDEX(EXTRATO_IMPORTADO!$B$5:$B$404,MATCH(B702,EXTRATO_IMPORTADO!$I$5:$I$404,0)),"")</f>
        <v/>
      </c>
      <c r="R702" s="26" t="str">
        <f>IFERROR(MATCH(B702,EXTRATO_IMPORTADO!$I$5:$I$404,0),"")</f>
        <v/>
      </c>
      <c r="S702" s="26" t="str">
        <f t="shared" si="31"/>
        <v/>
      </c>
      <c r="T702" s="26" t="str">
        <f t="shared" si="32"/>
        <v/>
      </c>
    </row>
    <row r="703" spans="1:20" x14ac:dyDescent="0.3">
      <c r="A703" s="26" t="str">
        <f>IF(BASE_CAIXA!A700="","",BASE_CAIXA!A700)</f>
        <v/>
      </c>
      <c r="B703" s="26" t="str">
        <f>IF(A703="","",BASE_CAIXA!AL700)</f>
        <v/>
      </c>
      <c r="C703" s="26" t="str">
        <f>IF(A703="","",BASE_CAIXA!AJ700)</f>
        <v/>
      </c>
      <c r="D703" s="26" t="str">
        <f>IF(A703="","",IF(BASE_CAIXA!C700="Entrada","Crédito","Débito"))</f>
        <v/>
      </c>
      <c r="E703" s="26" t="str">
        <f>IF(A703="","",BASE_CAIXA!AA700)</f>
        <v/>
      </c>
      <c r="F703" s="26" t="str">
        <f>IF(A703="","",BASE_CAIXA!N700)</f>
        <v/>
      </c>
      <c r="G703" s="26" t="str">
        <f>IF(A703="","",BASE_CAIXA!O700)</f>
        <v/>
      </c>
      <c r="H703" s="26" t="str">
        <f>IF(A703="","",BASE_CAIXA!P700)</f>
        <v/>
      </c>
      <c r="I703" s="26" t="str">
        <f>IF(A703="","",IF(BASE_CAIXA!H700&lt;&gt;"",BASE_CAIXA!H700,BASE_CAIXA!G700))</f>
        <v/>
      </c>
      <c r="J703" s="26" t="str">
        <f>IF(A703="","",BASE_CAIXA!G700)</f>
        <v/>
      </c>
      <c r="K703" s="26" t="str">
        <f>IF(A703="","",BASE_CAIXA!I700)</f>
        <v/>
      </c>
      <c r="L703" s="26" t="str">
        <f>IF(A703="","",BASE_CAIXA!J700)</f>
        <v/>
      </c>
      <c r="M703" s="26" t="str">
        <f>IF(A703="","",BASE_CAIXA!AM700)</f>
        <v/>
      </c>
      <c r="N703" s="26" t="str">
        <f t="shared" ca="1" si="30"/>
        <v/>
      </c>
      <c r="O703" s="26" t="str">
        <f>IFERROR(INDEX(EXTRATO_IMPORTADO!$A$5:$A$404,MATCH(B703,EXTRATO_IMPORTADO!$I$5:$I$404,0)),"")</f>
        <v/>
      </c>
      <c r="P703" s="26" t="str">
        <f>IFERROR(INDEX(EXTRATO_IMPORTADO!$F$5:$F$404,MATCH(B703,EXTRATO_IMPORTADO!$I$5:$I$404,0)),"")</f>
        <v/>
      </c>
      <c r="Q703" s="26" t="str">
        <f>IFERROR(INDEX(EXTRATO_IMPORTADO!$B$5:$B$404,MATCH(B703,EXTRATO_IMPORTADO!$I$5:$I$404,0)),"")</f>
        <v/>
      </c>
      <c r="R703" s="26" t="str">
        <f>IFERROR(MATCH(B703,EXTRATO_IMPORTADO!$I$5:$I$404,0),"")</f>
        <v/>
      </c>
      <c r="S703" s="26" t="str">
        <f t="shared" si="31"/>
        <v/>
      </c>
      <c r="T703" s="26" t="str">
        <f t="shared" si="32"/>
        <v/>
      </c>
    </row>
    <row r="704" spans="1:20" x14ac:dyDescent="0.3">
      <c r="A704" s="26" t="str">
        <f>IF(BASE_CAIXA!A701="","",BASE_CAIXA!A701)</f>
        <v/>
      </c>
      <c r="B704" s="26" t="str">
        <f>IF(A704="","",BASE_CAIXA!AL701)</f>
        <v/>
      </c>
      <c r="C704" s="26" t="str">
        <f>IF(A704="","",BASE_CAIXA!AJ701)</f>
        <v/>
      </c>
      <c r="D704" s="26" t="str">
        <f>IF(A704="","",IF(BASE_CAIXA!C701="Entrada","Crédito","Débito"))</f>
        <v/>
      </c>
      <c r="E704" s="26" t="str">
        <f>IF(A704="","",BASE_CAIXA!AA701)</f>
        <v/>
      </c>
      <c r="F704" s="26" t="str">
        <f>IF(A704="","",BASE_CAIXA!N701)</f>
        <v/>
      </c>
      <c r="G704" s="26" t="str">
        <f>IF(A704="","",BASE_CAIXA!O701)</f>
        <v/>
      </c>
      <c r="H704" s="26" t="str">
        <f>IF(A704="","",BASE_CAIXA!P701)</f>
        <v/>
      </c>
      <c r="I704" s="26" t="str">
        <f>IF(A704="","",IF(BASE_CAIXA!H701&lt;&gt;"",BASE_CAIXA!H701,BASE_CAIXA!G701))</f>
        <v/>
      </c>
      <c r="J704" s="26" t="str">
        <f>IF(A704="","",BASE_CAIXA!G701)</f>
        <v/>
      </c>
      <c r="K704" s="26" t="str">
        <f>IF(A704="","",BASE_CAIXA!I701)</f>
        <v/>
      </c>
      <c r="L704" s="26" t="str">
        <f>IF(A704="","",BASE_CAIXA!J701)</f>
        <v/>
      </c>
      <c r="M704" s="26" t="str">
        <f>IF(A704="","",BASE_CAIXA!AM701)</f>
        <v/>
      </c>
      <c r="N704" s="26" t="str">
        <f t="shared" ca="1" si="30"/>
        <v/>
      </c>
      <c r="O704" s="26" t="str">
        <f>IFERROR(INDEX(EXTRATO_IMPORTADO!$A$5:$A$404,MATCH(B704,EXTRATO_IMPORTADO!$I$5:$I$404,0)),"")</f>
        <v/>
      </c>
      <c r="P704" s="26" t="str">
        <f>IFERROR(INDEX(EXTRATO_IMPORTADO!$F$5:$F$404,MATCH(B704,EXTRATO_IMPORTADO!$I$5:$I$404,0)),"")</f>
        <v/>
      </c>
      <c r="Q704" s="26" t="str">
        <f>IFERROR(INDEX(EXTRATO_IMPORTADO!$B$5:$B$404,MATCH(B704,EXTRATO_IMPORTADO!$I$5:$I$404,0)),"")</f>
        <v/>
      </c>
      <c r="R704" s="26" t="str">
        <f>IFERROR(MATCH(B704,EXTRATO_IMPORTADO!$I$5:$I$404,0),"")</f>
        <v/>
      </c>
      <c r="S704" s="26" t="str">
        <f t="shared" si="31"/>
        <v/>
      </c>
      <c r="T704" s="26" t="str">
        <f t="shared" si="32"/>
        <v/>
      </c>
    </row>
    <row r="705" spans="1:20" x14ac:dyDescent="0.3">
      <c r="A705" s="26" t="str">
        <f>IF(BASE_CAIXA!A702="","",BASE_CAIXA!A702)</f>
        <v/>
      </c>
      <c r="B705" s="26" t="str">
        <f>IF(A705="","",BASE_CAIXA!AL702)</f>
        <v/>
      </c>
      <c r="C705" s="26" t="str">
        <f>IF(A705="","",BASE_CAIXA!AJ702)</f>
        <v/>
      </c>
      <c r="D705" s="26" t="str">
        <f>IF(A705="","",IF(BASE_CAIXA!C702="Entrada","Crédito","Débito"))</f>
        <v/>
      </c>
      <c r="E705" s="26" t="str">
        <f>IF(A705="","",BASE_CAIXA!AA702)</f>
        <v/>
      </c>
      <c r="F705" s="26" t="str">
        <f>IF(A705="","",BASE_CAIXA!N702)</f>
        <v/>
      </c>
      <c r="G705" s="26" t="str">
        <f>IF(A705="","",BASE_CAIXA!O702)</f>
        <v/>
      </c>
      <c r="H705" s="26" t="str">
        <f>IF(A705="","",BASE_CAIXA!P702)</f>
        <v/>
      </c>
      <c r="I705" s="26" t="str">
        <f>IF(A705="","",IF(BASE_CAIXA!H702&lt;&gt;"",BASE_CAIXA!H702,BASE_CAIXA!G702))</f>
        <v/>
      </c>
      <c r="J705" s="26" t="str">
        <f>IF(A705="","",BASE_CAIXA!G702)</f>
        <v/>
      </c>
      <c r="K705" s="26" t="str">
        <f>IF(A705="","",BASE_CAIXA!I702)</f>
        <v/>
      </c>
      <c r="L705" s="26" t="str">
        <f>IF(A705="","",BASE_CAIXA!J702)</f>
        <v/>
      </c>
      <c r="M705" s="26" t="str">
        <f>IF(A705="","",BASE_CAIXA!AM702)</f>
        <v/>
      </c>
      <c r="N705" s="26" t="str">
        <f t="shared" ca="1" si="30"/>
        <v/>
      </c>
      <c r="O705" s="26" t="str">
        <f>IFERROR(INDEX(EXTRATO_IMPORTADO!$A$5:$A$404,MATCH(B705,EXTRATO_IMPORTADO!$I$5:$I$404,0)),"")</f>
        <v/>
      </c>
      <c r="P705" s="26" t="str">
        <f>IFERROR(INDEX(EXTRATO_IMPORTADO!$F$5:$F$404,MATCH(B705,EXTRATO_IMPORTADO!$I$5:$I$404,0)),"")</f>
        <v/>
      </c>
      <c r="Q705" s="26" t="str">
        <f>IFERROR(INDEX(EXTRATO_IMPORTADO!$B$5:$B$404,MATCH(B705,EXTRATO_IMPORTADO!$I$5:$I$404,0)),"")</f>
        <v/>
      </c>
      <c r="R705" s="26" t="str">
        <f>IFERROR(MATCH(B705,EXTRATO_IMPORTADO!$I$5:$I$404,0),"")</f>
        <v/>
      </c>
      <c r="S705" s="26" t="str">
        <f t="shared" si="31"/>
        <v/>
      </c>
      <c r="T705" s="26" t="str">
        <f t="shared" si="32"/>
        <v/>
      </c>
    </row>
    <row r="706" spans="1:20" x14ac:dyDescent="0.3">
      <c r="A706" s="26" t="str">
        <f>IF(BASE_CAIXA!A703="","",BASE_CAIXA!A703)</f>
        <v/>
      </c>
      <c r="B706" s="26" t="str">
        <f>IF(A706="","",BASE_CAIXA!AL703)</f>
        <v/>
      </c>
      <c r="C706" s="26" t="str">
        <f>IF(A706="","",BASE_CAIXA!AJ703)</f>
        <v/>
      </c>
      <c r="D706" s="26" t="str">
        <f>IF(A706="","",IF(BASE_CAIXA!C703="Entrada","Crédito","Débito"))</f>
        <v/>
      </c>
      <c r="E706" s="26" t="str">
        <f>IF(A706="","",BASE_CAIXA!AA703)</f>
        <v/>
      </c>
      <c r="F706" s="26" t="str">
        <f>IF(A706="","",BASE_CAIXA!N703)</f>
        <v/>
      </c>
      <c r="G706" s="26" t="str">
        <f>IF(A706="","",BASE_CAIXA!O703)</f>
        <v/>
      </c>
      <c r="H706" s="26" t="str">
        <f>IF(A706="","",BASE_CAIXA!P703)</f>
        <v/>
      </c>
      <c r="I706" s="26" t="str">
        <f>IF(A706="","",IF(BASE_CAIXA!H703&lt;&gt;"",BASE_CAIXA!H703,BASE_CAIXA!G703))</f>
        <v/>
      </c>
      <c r="J706" s="26" t="str">
        <f>IF(A706="","",BASE_CAIXA!G703)</f>
        <v/>
      </c>
      <c r="K706" s="26" t="str">
        <f>IF(A706="","",BASE_CAIXA!I703)</f>
        <v/>
      </c>
      <c r="L706" s="26" t="str">
        <f>IF(A706="","",BASE_CAIXA!J703)</f>
        <v/>
      </c>
      <c r="M706" s="26" t="str">
        <f>IF(A706="","",BASE_CAIXA!AM703)</f>
        <v/>
      </c>
      <c r="N706" s="26" t="str">
        <f t="shared" ca="1" si="30"/>
        <v/>
      </c>
      <c r="O706" s="26" t="str">
        <f>IFERROR(INDEX(EXTRATO_IMPORTADO!$A$5:$A$404,MATCH(B706,EXTRATO_IMPORTADO!$I$5:$I$404,0)),"")</f>
        <v/>
      </c>
      <c r="P706" s="26" t="str">
        <f>IFERROR(INDEX(EXTRATO_IMPORTADO!$F$5:$F$404,MATCH(B706,EXTRATO_IMPORTADO!$I$5:$I$404,0)),"")</f>
        <v/>
      </c>
      <c r="Q706" s="26" t="str">
        <f>IFERROR(INDEX(EXTRATO_IMPORTADO!$B$5:$B$404,MATCH(B706,EXTRATO_IMPORTADO!$I$5:$I$404,0)),"")</f>
        <v/>
      </c>
      <c r="R706" s="26" t="str">
        <f>IFERROR(MATCH(B706,EXTRATO_IMPORTADO!$I$5:$I$404,0),"")</f>
        <v/>
      </c>
      <c r="S706" s="26" t="str">
        <f t="shared" si="31"/>
        <v/>
      </c>
      <c r="T706" s="26" t="str">
        <f t="shared" si="32"/>
        <v/>
      </c>
    </row>
    <row r="707" spans="1:20" x14ac:dyDescent="0.3">
      <c r="A707" s="26" t="str">
        <f>IF(BASE_CAIXA!A704="","",BASE_CAIXA!A704)</f>
        <v/>
      </c>
      <c r="B707" s="26" t="str">
        <f>IF(A707="","",BASE_CAIXA!AL704)</f>
        <v/>
      </c>
      <c r="C707" s="26" t="str">
        <f>IF(A707="","",BASE_CAIXA!AJ704)</f>
        <v/>
      </c>
      <c r="D707" s="26" t="str">
        <f>IF(A707="","",IF(BASE_CAIXA!C704="Entrada","Crédito","Débito"))</f>
        <v/>
      </c>
      <c r="E707" s="26" t="str">
        <f>IF(A707="","",BASE_CAIXA!AA704)</f>
        <v/>
      </c>
      <c r="F707" s="26" t="str">
        <f>IF(A707="","",BASE_CAIXA!N704)</f>
        <v/>
      </c>
      <c r="G707" s="26" t="str">
        <f>IF(A707="","",BASE_CAIXA!O704)</f>
        <v/>
      </c>
      <c r="H707" s="26" t="str">
        <f>IF(A707="","",BASE_CAIXA!P704)</f>
        <v/>
      </c>
      <c r="I707" s="26" t="str">
        <f>IF(A707="","",IF(BASE_CAIXA!H704&lt;&gt;"",BASE_CAIXA!H704,BASE_CAIXA!G704))</f>
        <v/>
      </c>
      <c r="J707" s="26" t="str">
        <f>IF(A707="","",BASE_CAIXA!G704)</f>
        <v/>
      </c>
      <c r="K707" s="26" t="str">
        <f>IF(A707="","",BASE_CAIXA!I704)</f>
        <v/>
      </c>
      <c r="L707" s="26" t="str">
        <f>IF(A707="","",BASE_CAIXA!J704)</f>
        <v/>
      </c>
      <c r="M707" s="26" t="str">
        <f>IF(A707="","",BASE_CAIXA!AM704)</f>
        <v/>
      </c>
      <c r="N707" s="26" t="str">
        <f t="shared" ca="1" si="30"/>
        <v/>
      </c>
      <c r="O707" s="26" t="str">
        <f>IFERROR(INDEX(EXTRATO_IMPORTADO!$A$5:$A$404,MATCH(B707,EXTRATO_IMPORTADO!$I$5:$I$404,0)),"")</f>
        <v/>
      </c>
      <c r="P707" s="26" t="str">
        <f>IFERROR(INDEX(EXTRATO_IMPORTADO!$F$5:$F$404,MATCH(B707,EXTRATO_IMPORTADO!$I$5:$I$404,0)),"")</f>
        <v/>
      </c>
      <c r="Q707" s="26" t="str">
        <f>IFERROR(INDEX(EXTRATO_IMPORTADO!$B$5:$B$404,MATCH(B707,EXTRATO_IMPORTADO!$I$5:$I$404,0)),"")</f>
        <v/>
      </c>
      <c r="R707" s="26" t="str">
        <f>IFERROR(MATCH(B707,EXTRATO_IMPORTADO!$I$5:$I$404,0),"")</f>
        <v/>
      </c>
      <c r="S707" s="26" t="str">
        <f t="shared" si="31"/>
        <v/>
      </c>
      <c r="T707" s="26" t="str">
        <f t="shared" si="32"/>
        <v/>
      </c>
    </row>
    <row r="708" spans="1:20" x14ac:dyDescent="0.3">
      <c r="A708" s="26" t="str">
        <f>IF(BASE_CAIXA!A705="","",BASE_CAIXA!A705)</f>
        <v/>
      </c>
      <c r="B708" s="26" t="str">
        <f>IF(A708="","",BASE_CAIXA!AL705)</f>
        <v/>
      </c>
      <c r="C708" s="26" t="str">
        <f>IF(A708="","",BASE_CAIXA!AJ705)</f>
        <v/>
      </c>
      <c r="D708" s="26" t="str">
        <f>IF(A708="","",IF(BASE_CAIXA!C705="Entrada","Crédito","Débito"))</f>
        <v/>
      </c>
      <c r="E708" s="26" t="str">
        <f>IF(A708="","",BASE_CAIXA!AA705)</f>
        <v/>
      </c>
      <c r="F708" s="26" t="str">
        <f>IF(A708="","",BASE_CAIXA!N705)</f>
        <v/>
      </c>
      <c r="G708" s="26" t="str">
        <f>IF(A708="","",BASE_CAIXA!O705)</f>
        <v/>
      </c>
      <c r="H708" s="26" t="str">
        <f>IF(A708="","",BASE_CAIXA!P705)</f>
        <v/>
      </c>
      <c r="I708" s="26" t="str">
        <f>IF(A708="","",IF(BASE_CAIXA!H705&lt;&gt;"",BASE_CAIXA!H705,BASE_CAIXA!G705))</f>
        <v/>
      </c>
      <c r="J708" s="26" t="str">
        <f>IF(A708="","",BASE_CAIXA!G705)</f>
        <v/>
      </c>
      <c r="K708" s="26" t="str">
        <f>IF(A708="","",BASE_CAIXA!I705)</f>
        <v/>
      </c>
      <c r="L708" s="26" t="str">
        <f>IF(A708="","",BASE_CAIXA!J705)</f>
        <v/>
      </c>
      <c r="M708" s="26" t="str">
        <f>IF(A708="","",BASE_CAIXA!AM705)</f>
        <v/>
      </c>
      <c r="N708" s="26" t="str">
        <f t="shared" ca="1" si="30"/>
        <v/>
      </c>
      <c r="O708" s="26" t="str">
        <f>IFERROR(INDEX(EXTRATO_IMPORTADO!$A$5:$A$404,MATCH(B708,EXTRATO_IMPORTADO!$I$5:$I$404,0)),"")</f>
        <v/>
      </c>
      <c r="P708" s="26" t="str">
        <f>IFERROR(INDEX(EXTRATO_IMPORTADO!$F$5:$F$404,MATCH(B708,EXTRATO_IMPORTADO!$I$5:$I$404,0)),"")</f>
        <v/>
      </c>
      <c r="Q708" s="26" t="str">
        <f>IFERROR(INDEX(EXTRATO_IMPORTADO!$B$5:$B$404,MATCH(B708,EXTRATO_IMPORTADO!$I$5:$I$404,0)),"")</f>
        <v/>
      </c>
      <c r="R708" s="26" t="str">
        <f>IFERROR(MATCH(B708,EXTRATO_IMPORTADO!$I$5:$I$404,0),"")</f>
        <v/>
      </c>
      <c r="S708" s="26" t="str">
        <f t="shared" si="31"/>
        <v/>
      </c>
      <c r="T708" s="26" t="str">
        <f t="shared" si="32"/>
        <v/>
      </c>
    </row>
    <row r="709" spans="1:20" x14ac:dyDescent="0.3">
      <c r="A709" s="26" t="str">
        <f>IF(BASE_CAIXA!A706="","",BASE_CAIXA!A706)</f>
        <v/>
      </c>
      <c r="B709" s="26" t="str">
        <f>IF(A709="","",BASE_CAIXA!AL706)</f>
        <v/>
      </c>
      <c r="C709" s="26" t="str">
        <f>IF(A709="","",BASE_CAIXA!AJ706)</f>
        <v/>
      </c>
      <c r="D709" s="26" t="str">
        <f>IF(A709="","",IF(BASE_CAIXA!C706="Entrada","Crédito","Débito"))</f>
        <v/>
      </c>
      <c r="E709" s="26" t="str">
        <f>IF(A709="","",BASE_CAIXA!AA706)</f>
        <v/>
      </c>
      <c r="F709" s="26" t="str">
        <f>IF(A709="","",BASE_CAIXA!N706)</f>
        <v/>
      </c>
      <c r="G709" s="26" t="str">
        <f>IF(A709="","",BASE_CAIXA!O706)</f>
        <v/>
      </c>
      <c r="H709" s="26" t="str">
        <f>IF(A709="","",BASE_CAIXA!P706)</f>
        <v/>
      </c>
      <c r="I709" s="26" t="str">
        <f>IF(A709="","",IF(BASE_CAIXA!H706&lt;&gt;"",BASE_CAIXA!H706,BASE_CAIXA!G706))</f>
        <v/>
      </c>
      <c r="J709" s="26" t="str">
        <f>IF(A709="","",BASE_CAIXA!G706)</f>
        <v/>
      </c>
      <c r="K709" s="26" t="str">
        <f>IF(A709="","",BASE_CAIXA!I706)</f>
        <v/>
      </c>
      <c r="L709" s="26" t="str">
        <f>IF(A709="","",BASE_CAIXA!J706)</f>
        <v/>
      </c>
      <c r="M709" s="26" t="str">
        <f>IF(A709="","",BASE_CAIXA!AM706)</f>
        <v/>
      </c>
      <c r="N709" s="26" t="str">
        <f t="shared" ref="N709:N772" ca="1" si="33">IF(A709="","",IF(R709&lt;&gt;"",IF(AND(ABS(S709)&lt;=0.01,ABS(T709)&lt;=3),"Conciliado","Divergente"),IF(TODAY()&gt;C709,"Pendente vencido","Previsto")))</f>
        <v/>
      </c>
      <c r="O709" s="26" t="str">
        <f>IFERROR(INDEX(EXTRATO_IMPORTADO!$A$5:$A$404,MATCH(B709,EXTRATO_IMPORTADO!$I$5:$I$404,0)),"")</f>
        <v/>
      </c>
      <c r="P709" s="26" t="str">
        <f>IFERROR(INDEX(EXTRATO_IMPORTADO!$F$5:$F$404,MATCH(B709,EXTRATO_IMPORTADO!$I$5:$I$404,0)),"")</f>
        <v/>
      </c>
      <c r="Q709" s="26" t="str">
        <f>IFERROR(INDEX(EXTRATO_IMPORTADO!$B$5:$B$404,MATCH(B709,EXTRATO_IMPORTADO!$I$5:$I$404,0)),"")</f>
        <v/>
      </c>
      <c r="R709" s="26" t="str">
        <f>IFERROR(MATCH(B709,EXTRATO_IMPORTADO!$I$5:$I$404,0),"")</f>
        <v/>
      </c>
      <c r="S709" s="26" t="str">
        <f t="shared" ref="S709:S772" si="34">IF(OR(A709="",P709=""),"",P709-E709)</f>
        <v/>
      </c>
      <c r="T709" s="26" t="str">
        <f t="shared" ref="T709:T772" si="35">IF(OR(A709="",O709=""),"",O709-C709)</f>
        <v/>
      </c>
    </row>
    <row r="710" spans="1:20" x14ac:dyDescent="0.3">
      <c r="A710" s="26" t="str">
        <f>IF(BASE_CAIXA!A707="","",BASE_CAIXA!A707)</f>
        <v/>
      </c>
      <c r="B710" s="26" t="str">
        <f>IF(A710="","",BASE_CAIXA!AL707)</f>
        <v/>
      </c>
      <c r="C710" s="26" t="str">
        <f>IF(A710="","",BASE_CAIXA!AJ707)</f>
        <v/>
      </c>
      <c r="D710" s="26" t="str">
        <f>IF(A710="","",IF(BASE_CAIXA!C707="Entrada","Crédito","Débito"))</f>
        <v/>
      </c>
      <c r="E710" s="26" t="str">
        <f>IF(A710="","",BASE_CAIXA!AA707)</f>
        <v/>
      </c>
      <c r="F710" s="26" t="str">
        <f>IF(A710="","",BASE_CAIXA!N707)</f>
        <v/>
      </c>
      <c r="G710" s="26" t="str">
        <f>IF(A710="","",BASE_CAIXA!O707)</f>
        <v/>
      </c>
      <c r="H710" s="26" t="str">
        <f>IF(A710="","",BASE_CAIXA!P707)</f>
        <v/>
      </c>
      <c r="I710" s="26" t="str">
        <f>IF(A710="","",IF(BASE_CAIXA!H707&lt;&gt;"",BASE_CAIXA!H707,BASE_CAIXA!G707))</f>
        <v/>
      </c>
      <c r="J710" s="26" t="str">
        <f>IF(A710="","",BASE_CAIXA!G707)</f>
        <v/>
      </c>
      <c r="K710" s="26" t="str">
        <f>IF(A710="","",BASE_CAIXA!I707)</f>
        <v/>
      </c>
      <c r="L710" s="26" t="str">
        <f>IF(A710="","",BASE_CAIXA!J707)</f>
        <v/>
      </c>
      <c r="M710" s="26" t="str">
        <f>IF(A710="","",BASE_CAIXA!AM707)</f>
        <v/>
      </c>
      <c r="N710" s="26" t="str">
        <f t="shared" ca="1" si="33"/>
        <v/>
      </c>
      <c r="O710" s="26" t="str">
        <f>IFERROR(INDEX(EXTRATO_IMPORTADO!$A$5:$A$404,MATCH(B710,EXTRATO_IMPORTADO!$I$5:$I$404,0)),"")</f>
        <v/>
      </c>
      <c r="P710" s="26" t="str">
        <f>IFERROR(INDEX(EXTRATO_IMPORTADO!$F$5:$F$404,MATCH(B710,EXTRATO_IMPORTADO!$I$5:$I$404,0)),"")</f>
        <v/>
      </c>
      <c r="Q710" s="26" t="str">
        <f>IFERROR(INDEX(EXTRATO_IMPORTADO!$B$5:$B$404,MATCH(B710,EXTRATO_IMPORTADO!$I$5:$I$404,0)),"")</f>
        <v/>
      </c>
      <c r="R710" s="26" t="str">
        <f>IFERROR(MATCH(B710,EXTRATO_IMPORTADO!$I$5:$I$404,0),"")</f>
        <v/>
      </c>
      <c r="S710" s="26" t="str">
        <f t="shared" si="34"/>
        <v/>
      </c>
      <c r="T710" s="26" t="str">
        <f t="shared" si="35"/>
        <v/>
      </c>
    </row>
    <row r="711" spans="1:20" x14ac:dyDescent="0.3">
      <c r="A711" s="26" t="str">
        <f>IF(BASE_CAIXA!A708="","",BASE_CAIXA!A708)</f>
        <v/>
      </c>
      <c r="B711" s="26" t="str">
        <f>IF(A711="","",BASE_CAIXA!AL708)</f>
        <v/>
      </c>
      <c r="C711" s="26" t="str">
        <f>IF(A711="","",BASE_CAIXA!AJ708)</f>
        <v/>
      </c>
      <c r="D711" s="26" t="str">
        <f>IF(A711="","",IF(BASE_CAIXA!C708="Entrada","Crédito","Débito"))</f>
        <v/>
      </c>
      <c r="E711" s="26" t="str">
        <f>IF(A711="","",BASE_CAIXA!AA708)</f>
        <v/>
      </c>
      <c r="F711" s="26" t="str">
        <f>IF(A711="","",BASE_CAIXA!N708)</f>
        <v/>
      </c>
      <c r="G711" s="26" t="str">
        <f>IF(A711="","",BASE_CAIXA!O708)</f>
        <v/>
      </c>
      <c r="H711" s="26" t="str">
        <f>IF(A711="","",BASE_CAIXA!P708)</f>
        <v/>
      </c>
      <c r="I711" s="26" t="str">
        <f>IF(A711="","",IF(BASE_CAIXA!H708&lt;&gt;"",BASE_CAIXA!H708,BASE_CAIXA!G708))</f>
        <v/>
      </c>
      <c r="J711" s="26" t="str">
        <f>IF(A711="","",BASE_CAIXA!G708)</f>
        <v/>
      </c>
      <c r="K711" s="26" t="str">
        <f>IF(A711="","",BASE_CAIXA!I708)</f>
        <v/>
      </c>
      <c r="L711" s="26" t="str">
        <f>IF(A711="","",BASE_CAIXA!J708)</f>
        <v/>
      </c>
      <c r="M711" s="26" t="str">
        <f>IF(A711="","",BASE_CAIXA!AM708)</f>
        <v/>
      </c>
      <c r="N711" s="26" t="str">
        <f t="shared" ca="1" si="33"/>
        <v/>
      </c>
      <c r="O711" s="26" t="str">
        <f>IFERROR(INDEX(EXTRATO_IMPORTADO!$A$5:$A$404,MATCH(B711,EXTRATO_IMPORTADO!$I$5:$I$404,0)),"")</f>
        <v/>
      </c>
      <c r="P711" s="26" t="str">
        <f>IFERROR(INDEX(EXTRATO_IMPORTADO!$F$5:$F$404,MATCH(B711,EXTRATO_IMPORTADO!$I$5:$I$404,0)),"")</f>
        <v/>
      </c>
      <c r="Q711" s="26" t="str">
        <f>IFERROR(INDEX(EXTRATO_IMPORTADO!$B$5:$B$404,MATCH(B711,EXTRATO_IMPORTADO!$I$5:$I$404,0)),"")</f>
        <v/>
      </c>
      <c r="R711" s="26" t="str">
        <f>IFERROR(MATCH(B711,EXTRATO_IMPORTADO!$I$5:$I$404,0),"")</f>
        <v/>
      </c>
      <c r="S711" s="26" t="str">
        <f t="shared" si="34"/>
        <v/>
      </c>
      <c r="T711" s="26" t="str">
        <f t="shared" si="35"/>
        <v/>
      </c>
    </row>
    <row r="712" spans="1:20" x14ac:dyDescent="0.3">
      <c r="A712" s="26" t="str">
        <f>IF(BASE_CAIXA!A709="","",BASE_CAIXA!A709)</f>
        <v/>
      </c>
      <c r="B712" s="26" t="str">
        <f>IF(A712="","",BASE_CAIXA!AL709)</f>
        <v/>
      </c>
      <c r="C712" s="26" t="str">
        <f>IF(A712="","",BASE_CAIXA!AJ709)</f>
        <v/>
      </c>
      <c r="D712" s="26" t="str">
        <f>IF(A712="","",IF(BASE_CAIXA!C709="Entrada","Crédito","Débito"))</f>
        <v/>
      </c>
      <c r="E712" s="26" t="str">
        <f>IF(A712="","",BASE_CAIXA!AA709)</f>
        <v/>
      </c>
      <c r="F712" s="26" t="str">
        <f>IF(A712="","",BASE_CAIXA!N709)</f>
        <v/>
      </c>
      <c r="G712" s="26" t="str">
        <f>IF(A712="","",BASE_CAIXA!O709)</f>
        <v/>
      </c>
      <c r="H712" s="26" t="str">
        <f>IF(A712="","",BASE_CAIXA!P709)</f>
        <v/>
      </c>
      <c r="I712" s="26" t="str">
        <f>IF(A712="","",IF(BASE_CAIXA!H709&lt;&gt;"",BASE_CAIXA!H709,BASE_CAIXA!G709))</f>
        <v/>
      </c>
      <c r="J712" s="26" t="str">
        <f>IF(A712="","",BASE_CAIXA!G709)</f>
        <v/>
      </c>
      <c r="K712" s="26" t="str">
        <f>IF(A712="","",BASE_CAIXA!I709)</f>
        <v/>
      </c>
      <c r="L712" s="26" t="str">
        <f>IF(A712="","",BASE_CAIXA!J709)</f>
        <v/>
      </c>
      <c r="M712" s="26" t="str">
        <f>IF(A712="","",BASE_CAIXA!AM709)</f>
        <v/>
      </c>
      <c r="N712" s="26" t="str">
        <f t="shared" ca="1" si="33"/>
        <v/>
      </c>
      <c r="O712" s="26" t="str">
        <f>IFERROR(INDEX(EXTRATO_IMPORTADO!$A$5:$A$404,MATCH(B712,EXTRATO_IMPORTADO!$I$5:$I$404,0)),"")</f>
        <v/>
      </c>
      <c r="P712" s="26" t="str">
        <f>IFERROR(INDEX(EXTRATO_IMPORTADO!$F$5:$F$404,MATCH(B712,EXTRATO_IMPORTADO!$I$5:$I$404,0)),"")</f>
        <v/>
      </c>
      <c r="Q712" s="26" t="str">
        <f>IFERROR(INDEX(EXTRATO_IMPORTADO!$B$5:$B$404,MATCH(B712,EXTRATO_IMPORTADO!$I$5:$I$404,0)),"")</f>
        <v/>
      </c>
      <c r="R712" s="26" t="str">
        <f>IFERROR(MATCH(B712,EXTRATO_IMPORTADO!$I$5:$I$404,0),"")</f>
        <v/>
      </c>
      <c r="S712" s="26" t="str">
        <f t="shared" si="34"/>
        <v/>
      </c>
      <c r="T712" s="26" t="str">
        <f t="shared" si="35"/>
        <v/>
      </c>
    </row>
    <row r="713" spans="1:20" x14ac:dyDescent="0.3">
      <c r="A713" s="26" t="str">
        <f>IF(BASE_CAIXA!A710="","",BASE_CAIXA!A710)</f>
        <v/>
      </c>
      <c r="B713" s="26" t="str">
        <f>IF(A713="","",BASE_CAIXA!AL710)</f>
        <v/>
      </c>
      <c r="C713" s="26" t="str">
        <f>IF(A713="","",BASE_CAIXA!AJ710)</f>
        <v/>
      </c>
      <c r="D713" s="26" t="str">
        <f>IF(A713="","",IF(BASE_CAIXA!C710="Entrada","Crédito","Débito"))</f>
        <v/>
      </c>
      <c r="E713" s="26" t="str">
        <f>IF(A713="","",BASE_CAIXA!AA710)</f>
        <v/>
      </c>
      <c r="F713" s="26" t="str">
        <f>IF(A713="","",BASE_CAIXA!N710)</f>
        <v/>
      </c>
      <c r="G713" s="26" t="str">
        <f>IF(A713="","",BASE_CAIXA!O710)</f>
        <v/>
      </c>
      <c r="H713" s="26" t="str">
        <f>IF(A713="","",BASE_CAIXA!P710)</f>
        <v/>
      </c>
      <c r="I713" s="26" t="str">
        <f>IF(A713="","",IF(BASE_CAIXA!H710&lt;&gt;"",BASE_CAIXA!H710,BASE_CAIXA!G710))</f>
        <v/>
      </c>
      <c r="J713" s="26" t="str">
        <f>IF(A713="","",BASE_CAIXA!G710)</f>
        <v/>
      </c>
      <c r="K713" s="26" t="str">
        <f>IF(A713="","",BASE_CAIXA!I710)</f>
        <v/>
      </c>
      <c r="L713" s="26" t="str">
        <f>IF(A713="","",BASE_CAIXA!J710)</f>
        <v/>
      </c>
      <c r="M713" s="26" t="str">
        <f>IF(A713="","",BASE_CAIXA!AM710)</f>
        <v/>
      </c>
      <c r="N713" s="26" t="str">
        <f t="shared" ca="1" si="33"/>
        <v/>
      </c>
      <c r="O713" s="26" t="str">
        <f>IFERROR(INDEX(EXTRATO_IMPORTADO!$A$5:$A$404,MATCH(B713,EXTRATO_IMPORTADO!$I$5:$I$404,0)),"")</f>
        <v/>
      </c>
      <c r="P713" s="26" t="str">
        <f>IFERROR(INDEX(EXTRATO_IMPORTADO!$F$5:$F$404,MATCH(B713,EXTRATO_IMPORTADO!$I$5:$I$404,0)),"")</f>
        <v/>
      </c>
      <c r="Q713" s="26" t="str">
        <f>IFERROR(INDEX(EXTRATO_IMPORTADO!$B$5:$B$404,MATCH(B713,EXTRATO_IMPORTADO!$I$5:$I$404,0)),"")</f>
        <v/>
      </c>
      <c r="R713" s="26" t="str">
        <f>IFERROR(MATCH(B713,EXTRATO_IMPORTADO!$I$5:$I$404,0),"")</f>
        <v/>
      </c>
      <c r="S713" s="26" t="str">
        <f t="shared" si="34"/>
        <v/>
      </c>
      <c r="T713" s="26" t="str">
        <f t="shared" si="35"/>
        <v/>
      </c>
    </row>
    <row r="714" spans="1:20" x14ac:dyDescent="0.3">
      <c r="A714" s="26" t="str">
        <f>IF(BASE_CAIXA!A711="","",BASE_CAIXA!A711)</f>
        <v/>
      </c>
      <c r="B714" s="26" t="str">
        <f>IF(A714="","",BASE_CAIXA!AL711)</f>
        <v/>
      </c>
      <c r="C714" s="26" t="str">
        <f>IF(A714="","",BASE_CAIXA!AJ711)</f>
        <v/>
      </c>
      <c r="D714" s="26" t="str">
        <f>IF(A714="","",IF(BASE_CAIXA!C711="Entrada","Crédito","Débito"))</f>
        <v/>
      </c>
      <c r="E714" s="26" t="str">
        <f>IF(A714="","",BASE_CAIXA!AA711)</f>
        <v/>
      </c>
      <c r="F714" s="26" t="str">
        <f>IF(A714="","",BASE_CAIXA!N711)</f>
        <v/>
      </c>
      <c r="G714" s="26" t="str">
        <f>IF(A714="","",BASE_CAIXA!O711)</f>
        <v/>
      </c>
      <c r="H714" s="26" t="str">
        <f>IF(A714="","",BASE_CAIXA!P711)</f>
        <v/>
      </c>
      <c r="I714" s="26" t="str">
        <f>IF(A714="","",IF(BASE_CAIXA!H711&lt;&gt;"",BASE_CAIXA!H711,BASE_CAIXA!G711))</f>
        <v/>
      </c>
      <c r="J714" s="26" t="str">
        <f>IF(A714="","",BASE_CAIXA!G711)</f>
        <v/>
      </c>
      <c r="K714" s="26" t="str">
        <f>IF(A714="","",BASE_CAIXA!I711)</f>
        <v/>
      </c>
      <c r="L714" s="26" t="str">
        <f>IF(A714="","",BASE_CAIXA!J711)</f>
        <v/>
      </c>
      <c r="M714" s="26" t="str">
        <f>IF(A714="","",BASE_CAIXA!AM711)</f>
        <v/>
      </c>
      <c r="N714" s="26" t="str">
        <f t="shared" ca="1" si="33"/>
        <v/>
      </c>
      <c r="O714" s="26" t="str">
        <f>IFERROR(INDEX(EXTRATO_IMPORTADO!$A$5:$A$404,MATCH(B714,EXTRATO_IMPORTADO!$I$5:$I$404,0)),"")</f>
        <v/>
      </c>
      <c r="P714" s="26" t="str">
        <f>IFERROR(INDEX(EXTRATO_IMPORTADO!$F$5:$F$404,MATCH(B714,EXTRATO_IMPORTADO!$I$5:$I$404,0)),"")</f>
        <v/>
      </c>
      <c r="Q714" s="26" t="str">
        <f>IFERROR(INDEX(EXTRATO_IMPORTADO!$B$5:$B$404,MATCH(B714,EXTRATO_IMPORTADO!$I$5:$I$404,0)),"")</f>
        <v/>
      </c>
      <c r="R714" s="26" t="str">
        <f>IFERROR(MATCH(B714,EXTRATO_IMPORTADO!$I$5:$I$404,0),"")</f>
        <v/>
      </c>
      <c r="S714" s="26" t="str">
        <f t="shared" si="34"/>
        <v/>
      </c>
      <c r="T714" s="26" t="str">
        <f t="shared" si="35"/>
        <v/>
      </c>
    </row>
    <row r="715" spans="1:20" x14ac:dyDescent="0.3">
      <c r="A715" s="26" t="str">
        <f>IF(BASE_CAIXA!A712="","",BASE_CAIXA!A712)</f>
        <v/>
      </c>
      <c r="B715" s="26" t="str">
        <f>IF(A715="","",BASE_CAIXA!AL712)</f>
        <v/>
      </c>
      <c r="C715" s="26" t="str">
        <f>IF(A715="","",BASE_CAIXA!AJ712)</f>
        <v/>
      </c>
      <c r="D715" s="26" t="str">
        <f>IF(A715="","",IF(BASE_CAIXA!C712="Entrada","Crédito","Débito"))</f>
        <v/>
      </c>
      <c r="E715" s="26" t="str">
        <f>IF(A715="","",BASE_CAIXA!AA712)</f>
        <v/>
      </c>
      <c r="F715" s="26" t="str">
        <f>IF(A715="","",BASE_CAIXA!N712)</f>
        <v/>
      </c>
      <c r="G715" s="26" t="str">
        <f>IF(A715="","",BASE_CAIXA!O712)</f>
        <v/>
      </c>
      <c r="H715" s="26" t="str">
        <f>IF(A715="","",BASE_CAIXA!P712)</f>
        <v/>
      </c>
      <c r="I715" s="26" t="str">
        <f>IF(A715="","",IF(BASE_CAIXA!H712&lt;&gt;"",BASE_CAIXA!H712,BASE_CAIXA!G712))</f>
        <v/>
      </c>
      <c r="J715" s="26" t="str">
        <f>IF(A715="","",BASE_CAIXA!G712)</f>
        <v/>
      </c>
      <c r="K715" s="26" t="str">
        <f>IF(A715="","",BASE_CAIXA!I712)</f>
        <v/>
      </c>
      <c r="L715" s="26" t="str">
        <f>IF(A715="","",BASE_CAIXA!J712)</f>
        <v/>
      </c>
      <c r="M715" s="26" t="str">
        <f>IF(A715="","",BASE_CAIXA!AM712)</f>
        <v/>
      </c>
      <c r="N715" s="26" t="str">
        <f t="shared" ca="1" si="33"/>
        <v/>
      </c>
      <c r="O715" s="26" t="str">
        <f>IFERROR(INDEX(EXTRATO_IMPORTADO!$A$5:$A$404,MATCH(B715,EXTRATO_IMPORTADO!$I$5:$I$404,0)),"")</f>
        <v/>
      </c>
      <c r="P715" s="26" t="str">
        <f>IFERROR(INDEX(EXTRATO_IMPORTADO!$F$5:$F$404,MATCH(B715,EXTRATO_IMPORTADO!$I$5:$I$404,0)),"")</f>
        <v/>
      </c>
      <c r="Q715" s="26" t="str">
        <f>IFERROR(INDEX(EXTRATO_IMPORTADO!$B$5:$B$404,MATCH(B715,EXTRATO_IMPORTADO!$I$5:$I$404,0)),"")</f>
        <v/>
      </c>
      <c r="R715" s="26" t="str">
        <f>IFERROR(MATCH(B715,EXTRATO_IMPORTADO!$I$5:$I$404,0),"")</f>
        <v/>
      </c>
      <c r="S715" s="26" t="str">
        <f t="shared" si="34"/>
        <v/>
      </c>
      <c r="T715" s="26" t="str">
        <f t="shared" si="35"/>
        <v/>
      </c>
    </row>
    <row r="716" spans="1:20" x14ac:dyDescent="0.3">
      <c r="A716" s="26" t="str">
        <f>IF(BASE_CAIXA!A713="","",BASE_CAIXA!A713)</f>
        <v/>
      </c>
      <c r="B716" s="26" t="str">
        <f>IF(A716="","",BASE_CAIXA!AL713)</f>
        <v/>
      </c>
      <c r="C716" s="26" t="str">
        <f>IF(A716="","",BASE_CAIXA!AJ713)</f>
        <v/>
      </c>
      <c r="D716" s="26" t="str">
        <f>IF(A716="","",IF(BASE_CAIXA!C713="Entrada","Crédito","Débito"))</f>
        <v/>
      </c>
      <c r="E716" s="26" t="str">
        <f>IF(A716="","",BASE_CAIXA!AA713)</f>
        <v/>
      </c>
      <c r="F716" s="26" t="str">
        <f>IF(A716="","",BASE_CAIXA!N713)</f>
        <v/>
      </c>
      <c r="G716" s="26" t="str">
        <f>IF(A716="","",BASE_CAIXA!O713)</f>
        <v/>
      </c>
      <c r="H716" s="26" t="str">
        <f>IF(A716="","",BASE_CAIXA!P713)</f>
        <v/>
      </c>
      <c r="I716" s="26" t="str">
        <f>IF(A716="","",IF(BASE_CAIXA!H713&lt;&gt;"",BASE_CAIXA!H713,BASE_CAIXA!G713))</f>
        <v/>
      </c>
      <c r="J716" s="26" t="str">
        <f>IF(A716="","",BASE_CAIXA!G713)</f>
        <v/>
      </c>
      <c r="K716" s="26" t="str">
        <f>IF(A716="","",BASE_CAIXA!I713)</f>
        <v/>
      </c>
      <c r="L716" s="26" t="str">
        <f>IF(A716="","",BASE_CAIXA!J713)</f>
        <v/>
      </c>
      <c r="M716" s="26" t="str">
        <f>IF(A716="","",BASE_CAIXA!AM713)</f>
        <v/>
      </c>
      <c r="N716" s="26" t="str">
        <f t="shared" ca="1" si="33"/>
        <v/>
      </c>
      <c r="O716" s="26" t="str">
        <f>IFERROR(INDEX(EXTRATO_IMPORTADO!$A$5:$A$404,MATCH(B716,EXTRATO_IMPORTADO!$I$5:$I$404,0)),"")</f>
        <v/>
      </c>
      <c r="P716" s="26" t="str">
        <f>IFERROR(INDEX(EXTRATO_IMPORTADO!$F$5:$F$404,MATCH(B716,EXTRATO_IMPORTADO!$I$5:$I$404,0)),"")</f>
        <v/>
      </c>
      <c r="Q716" s="26" t="str">
        <f>IFERROR(INDEX(EXTRATO_IMPORTADO!$B$5:$B$404,MATCH(B716,EXTRATO_IMPORTADO!$I$5:$I$404,0)),"")</f>
        <v/>
      </c>
      <c r="R716" s="26" t="str">
        <f>IFERROR(MATCH(B716,EXTRATO_IMPORTADO!$I$5:$I$404,0),"")</f>
        <v/>
      </c>
      <c r="S716" s="26" t="str">
        <f t="shared" si="34"/>
        <v/>
      </c>
      <c r="T716" s="26" t="str">
        <f t="shared" si="35"/>
        <v/>
      </c>
    </row>
    <row r="717" spans="1:20" x14ac:dyDescent="0.3">
      <c r="A717" s="26" t="str">
        <f>IF(BASE_CAIXA!A714="","",BASE_CAIXA!A714)</f>
        <v/>
      </c>
      <c r="B717" s="26" t="str">
        <f>IF(A717="","",BASE_CAIXA!AL714)</f>
        <v/>
      </c>
      <c r="C717" s="26" t="str">
        <f>IF(A717="","",BASE_CAIXA!AJ714)</f>
        <v/>
      </c>
      <c r="D717" s="26" t="str">
        <f>IF(A717="","",IF(BASE_CAIXA!C714="Entrada","Crédito","Débito"))</f>
        <v/>
      </c>
      <c r="E717" s="26" t="str">
        <f>IF(A717="","",BASE_CAIXA!AA714)</f>
        <v/>
      </c>
      <c r="F717" s="26" t="str">
        <f>IF(A717="","",BASE_CAIXA!N714)</f>
        <v/>
      </c>
      <c r="G717" s="26" t="str">
        <f>IF(A717="","",BASE_CAIXA!O714)</f>
        <v/>
      </c>
      <c r="H717" s="26" t="str">
        <f>IF(A717="","",BASE_CAIXA!P714)</f>
        <v/>
      </c>
      <c r="I717" s="26" t="str">
        <f>IF(A717="","",IF(BASE_CAIXA!H714&lt;&gt;"",BASE_CAIXA!H714,BASE_CAIXA!G714))</f>
        <v/>
      </c>
      <c r="J717" s="26" t="str">
        <f>IF(A717="","",BASE_CAIXA!G714)</f>
        <v/>
      </c>
      <c r="K717" s="26" t="str">
        <f>IF(A717="","",BASE_CAIXA!I714)</f>
        <v/>
      </c>
      <c r="L717" s="26" t="str">
        <f>IF(A717="","",BASE_CAIXA!J714)</f>
        <v/>
      </c>
      <c r="M717" s="26" t="str">
        <f>IF(A717="","",BASE_CAIXA!AM714)</f>
        <v/>
      </c>
      <c r="N717" s="26" t="str">
        <f t="shared" ca="1" si="33"/>
        <v/>
      </c>
      <c r="O717" s="26" t="str">
        <f>IFERROR(INDEX(EXTRATO_IMPORTADO!$A$5:$A$404,MATCH(B717,EXTRATO_IMPORTADO!$I$5:$I$404,0)),"")</f>
        <v/>
      </c>
      <c r="P717" s="26" t="str">
        <f>IFERROR(INDEX(EXTRATO_IMPORTADO!$F$5:$F$404,MATCH(B717,EXTRATO_IMPORTADO!$I$5:$I$404,0)),"")</f>
        <v/>
      </c>
      <c r="Q717" s="26" t="str">
        <f>IFERROR(INDEX(EXTRATO_IMPORTADO!$B$5:$B$404,MATCH(B717,EXTRATO_IMPORTADO!$I$5:$I$404,0)),"")</f>
        <v/>
      </c>
      <c r="R717" s="26" t="str">
        <f>IFERROR(MATCH(B717,EXTRATO_IMPORTADO!$I$5:$I$404,0),"")</f>
        <v/>
      </c>
      <c r="S717" s="26" t="str">
        <f t="shared" si="34"/>
        <v/>
      </c>
      <c r="T717" s="26" t="str">
        <f t="shared" si="35"/>
        <v/>
      </c>
    </row>
    <row r="718" spans="1:20" x14ac:dyDescent="0.3">
      <c r="A718" s="26" t="str">
        <f>IF(BASE_CAIXA!A715="","",BASE_CAIXA!A715)</f>
        <v/>
      </c>
      <c r="B718" s="26" t="str">
        <f>IF(A718="","",BASE_CAIXA!AL715)</f>
        <v/>
      </c>
      <c r="C718" s="26" t="str">
        <f>IF(A718="","",BASE_CAIXA!AJ715)</f>
        <v/>
      </c>
      <c r="D718" s="26" t="str">
        <f>IF(A718="","",IF(BASE_CAIXA!C715="Entrada","Crédito","Débito"))</f>
        <v/>
      </c>
      <c r="E718" s="26" t="str">
        <f>IF(A718="","",BASE_CAIXA!AA715)</f>
        <v/>
      </c>
      <c r="F718" s="26" t="str">
        <f>IF(A718="","",BASE_CAIXA!N715)</f>
        <v/>
      </c>
      <c r="G718" s="26" t="str">
        <f>IF(A718="","",BASE_CAIXA!O715)</f>
        <v/>
      </c>
      <c r="H718" s="26" t="str">
        <f>IF(A718="","",BASE_CAIXA!P715)</f>
        <v/>
      </c>
      <c r="I718" s="26" t="str">
        <f>IF(A718="","",IF(BASE_CAIXA!H715&lt;&gt;"",BASE_CAIXA!H715,BASE_CAIXA!G715))</f>
        <v/>
      </c>
      <c r="J718" s="26" t="str">
        <f>IF(A718="","",BASE_CAIXA!G715)</f>
        <v/>
      </c>
      <c r="K718" s="26" t="str">
        <f>IF(A718="","",BASE_CAIXA!I715)</f>
        <v/>
      </c>
      <c r="L718" s="26" t="str">
        <f>IF(A718="","",BASE_CAIXA!J715)</f>
        <v/>
      </c>
      <c r="M718" s="26" t="str">
        <f>IF(A718="","",BASE_CAIXA!AM715)</f>
        <v/>
      </c>
      <c r="N718" s="26" t="str">
        <f t="shared" ca="1" si="33"/>
        <v/>
      </c>
      <c r="O718" s="26" t="str">
        <f>IFERROR(INDEX(EXTRATO_IMPORTADO!$A$5:$A$404,MATCH(B718,EXTRATO_IMPORTADO!$I$5:$I$404,0)),"")</f>
        <v/>
      </c>
      <c r="P718" s="26" t="str">
        <f>IFERROR(INDEX(EXTRATO_IMPORTADO!$F$5:$F$404,MATCH(B718,EXTRATO_IMPORTADO!$I$5:$I$404,0)),"")</f>
        <v/>
      </c>
      <c r="Q718" s="26" t="str">
        <f>IFERROR(INDEX(EXTRATO_IMPORTADO!$B$5:$B$404,MATCH(B718,EXTRATO_IMPORTADO!$I$5:$I$404,0)),"")</f>
        <v/>
      </c>
      <c r="R718" s="26" t="str">
        <f>IFERROR(MATCH(B718,EXTRATO_IMPORTADO!$I$5:$I$404,0),"")</f>
        <v/>
      </c>
      <c r="S718" s="26" t="str">
        <f t="shared" si="34"/>
        <v/>
      </c>
      <c r="T718" s="26" t="str">
        <f t="shared" si="35"/>
        <v/>
      </c>
    </row>
    <row r="719" spans="1:20" x14ac:dyDescent="0.3">
      <c r="A719" s="26" t="str">
        <f>IF(BASE_CAIXA!A716="","",BASE_CAIXA!A716)</f>
        <v/>
      </c>
      <c r="B719" s="26" t="str">
        <f>IF(A719="","",BASE_CAIXA!AL716)</f>
        <v/>
      </c>
      <c r="C719" s="26" t="str">
        <f>IF(A719="","",BASE_CAIXA!AJ716)</f>
        <v/>
      </c>
      <c r="D719" s="26" t="str">
        <f>IF(A719="","",IF(BASE_CAIXA!C716="Entrada","Crédito","Débito"))</f>
        <v/>
      </c>
      <c r="E719" s="26" t="str">
        <f>IF(A719="","",BASE_CAIXA!AA716)</f>
        <v/>
      </c>
      <c r="F719" s="26" t="str">
        <f>IF(A719="","",BASE_CAIXA!N716)</f>
        <v/>
      </c>
      <c r="G719" s="26" t="str">
        <f>IF(A719="","",BASE_CAIXA!O716)</f>
        <v/>
      </c>
      <c r="H719" s="26" t="str">
        <f>IF(A719="","",BASE_CAIXA!P716)</f>
        <v/>
      </c>
      <c r="I719" s="26" t="str">
        <f>IF(A719="","",IF(BASE_CAIXA!H716&lt;&gt;"",BASE_CAIXA!H716,BASE_CAIXA!G716))</f>
        <v/>
      </c>
      <c r="J719" s="26" t="str">
        <f>IF(A719="","",BASE_CAIXA!G716)</f>
        <v/>
      </c>
      <c r="K719" s="26" t="str">
        <f>IF(A719="","",BASE_CAIXA!I716)</f>
        <v/>
      </c>
      <c r="L719" s="26" t="str">
        <f>IF(A719="","",BASE_CAIXA!J716)</f>
        <v/>
      </c>
      <c r="M719" s="26" t="str">
        <f>IF(A719="","",BASE_CAIXA!AM716)</f>
        <v/>
      </c>
      <c r="N719" s="26" t="str">
        <f t="shared" ca="1" si="33"/>
        <v/>
      </c>
      <c r="O719" s="26" t="str">
        <f>IFERROR(INDEX(EXTRATO_IMPORTADO!$A$5:$A$404,MATCH(B719,EXTRATO_IMPORTADO!$I$5:$I$404,0)),"")</f>
        <v/>
      </c>
      <c r="P719" s="26" t="str">
        <f>IFERROR(INDEX(EXTRATO_IMPORTADO!$F$5:$F$404,MATCH(B719,EXTRATO_IMPORTADO!$I$5:$I$404,0)),"")</f>
        <v/>
      </c>
      <c r="Q719" s="26" t="str">
        <f>IFERROR(INDEX(EXTRATO_IMPORTADO!$B$5:$B$404,MATCH(B719,EXTRATO_IMPORTADO!$I$5:$I$404,0)),"")</f>
        <v/>
      </c>
      <c r="R719" s="26" t="str">
        <f>IFERROR(MATCH(B719,EXTRATO_IMPORTADO!$I$5:$I$404,0),"")</f>
        <v/>
      </c>
      <c r="S719" s="26" t="str">
        <f t="shared" si="34"/>
        <v/>
      </c>
      <c r="T719" s="26" t="str">
        <f t="shared" si="35"/>
        <v/>
      </c>
    </row>
    <row r="720" spans="1:20" x14ac:dyDescent="0.3">
      <c r="A720" s="26" t="str">
        <f>IF(BASE_CAIXA!A717="","",BASE_CAIXA!A717)</f>
        <v/>
      </c>
      <c r="B720" s="26" t="str">
        <f>IF(A720="","",BASE_CAIXA!AL717)</f>
        <v/>
      </c>
      <c r="C720" s="26" t="str">
        <f>IF(A720="","",BASE_CAIXA!AJ717)</f>
        <v/>
      </c>
      <c r="D720" s="26" t="str">
        <f>IF(A720="","",IF(BASE_CAIXA!C717="Entrada","Crédito","Débito"))</f>
        <v/>
      </c>
      <c r="E720" s="26" t="str">
        <f>IF(A720="","",BASE_CAIXA!AA717)</f>
        <v/>
      </c>
      <c r="F720" s="26" t="str">
        <f>IF(A720="","",BASE_CAIXA!N717)</f>
        <v/>
      </c>
      <c r="G720" s="26" t="str">
        <f>IF(A720="","",BASE_CAIXA!O717)</f>
        <v/>
      </c>
      <c r="H720" s="26" t="str">
        <f>IF(A720="","",BASE_CAIXA!P717)</f>
        <v/>
      </c>
      <c r="I720" s="26" t="str">
        <f>IF(A720="","",IF(BASE_CAIXA!H717&lt;&gt;"",BASE_CAIXA!H717,BASE_CAIXA!G717))</f>
        <v/>
      </c>
      <c r="J720" s="26" t="str">
        <f>IF(A720="","",BASE_CAIXA!G717)</f>
        <v/>
      </c>
      <c r="K720" s="26" t="str">
        <f>IF(A720="","",BASE_CAIXA!I717)</f>
        <v/>
      </c>
      <c r="L720" s="26" t="str">
        <f>IF(A720="","",BASE_CAIXA!J717)</f>
        <v/>
      </c>
      <c r="M720" s="26" t="str">
        <f>IF(A720="","",BASE_CAIXA!AM717)</f>
        <v/>
      </c>
      <c r="N720" s="26" t="str">
        <f t="shared" ca="1" si="33"/>
        <v/>
      </c>
      <c r="O720" s="26" t="str">
        <f>IFERROR(INDEX(EXTRATO_IMPORTADO!$A$5:$A$404,MATCH(B720,EXTRATO_IMPORTADO!$I$5:$I$404,0)),"")</f>
        <v/>
      </c>
      <c r="P720" s="26" t="str">
        <f>IFERROR(INDEX(EXTRATO_IMPORTADO!$F$5:$F$404,MATCH(B720,EXTRATO_IMPORTADO!$I$5:$I$404,0)),"")</f>
        <v/>
      </c>
      <c r="Q720" s="26" t="str">
        <f>IFERROR(INDEX(EXTRATO_IMPORTADO!$B$5:$B$404,MATCH(B720,EXTRATO_IMPORTADO!$I$5:$I$404,0)),"")</f>
        <v/>
      </c>
      <c r="R720" s="26" t="str">
        <f>IFERROR(MATCH(B720,EXTRATO_IMPORTADO!$I$5:$I$404,0),"")</f>
        <v/>
      </c>
      <c r="S720" s="26" t="str">
        <f t="shared" si="34"/>
        <v/>
      </c>
      <c r="T720" s="26" t="str">
        <f t="shared" si="35"/>
        <v/>
      </c>
    </row>
    <row r="721" spans="1:20" x14ac:dyDescent="0.3">
      <c r="A721" s="26" t="str">
        <f>IF(BASE_CAIXA!A718="","",BASE_CAIXA!A718)</f>
        <v/>
      </c>
      <c r="B721" s="26" t="str">
        <f>IF(A721="","",BASE_CAIXA!AL718)</f>
        <v/>
      </c>
      <c r="C721" s="26" t="str">
        <f>IF(A721="","",BASE_CAIXA!AJ718)</f>
        <v/>
      </c>
      <c r="D721" s="26" t="str">
        <f>IF(A721="","",IF(BASE_CAIXA!C718="Entrada","Crédito","Débito"))</f>
        <v/>
      </c>
      <c r="E721" s="26" t="str">
        <f>IF(A721="","",BASE_CAIXA!AA718)</f>
        <v/>
      </c>
      <c r="F721" s="26" t="str">
        <f>IF(A721="","",BASE_CAIXA!N718)</f>
        <v/>
      </c>
      <c r="G721" s="26" t="str">
        <f>IF(A721="","",BASE_CAIXA!O718)</f>
        <v/>
      </c>
      <c r="H721" s="26" t="str">
        <f>IF(A721="","",BASE_CAIXA!P718)</f>
        <v/>
      </c>
      <c r="I721" s="26" t="str">
        <f>IF(A721="","",IF(BASE_CAIXA!H718&lt;&gt;"",BASE_CAIXA!H718,BASE_CAIXA!G718))</f>
        <v/>
      </c>
      <c r="J721" s="26" t="str">
        <f>IF(A721="","",BASE_CAIXA!G718)</f>
        <v/>
      </c>
      <c r="K721" s="26" t="str">
        <f>IF(A721="","",BASE_CAIXA!I718)</f>
        <v/>
      </c>
      <c r="L721" s="26" t="str">
        <f>IF(A721="","",BASE_CAIXA!J718)</f>
        <v/>
      </c>
      <c r="M721" s="26" t="str">
        <f>IF(A721="","",BASE_CAIXA!AM718)</f>
        <v/>
      </c>
      <c r="N721" s="26" t="str">
        <f t="shared" ca="1" si="33"/>
        <v/>
      </c>
      <c r="O721" s="26" t="str">
        <f>IFERROR(INDEX(EXTRATO_IMPORTADO!$A$5:$A$404,MATCH(B721,EXTRATO_IMPORTADO!$I$5:$I$404,0)),"")</f>
        <v/>
      </c>
      <c r="P721" s="26" t="str">
        <f>IFERROR(INDEX(EXTRATO_IMPORTADO!$F$5:$F$404,MATCH(B721,EXTRATO_IMPORTADO!$I$5:$I$404,0)),"")</f>
        <v/>
      </c>
      <c r="Q721" s="26" t="str">
        <f>IFERROR(INDEX(EXTRATO_IMPORTADO!$B$5:$B$404,MATCH(B721,EXTRATO_IMPORTADO!$I$5:$I$404,0)),"")</f>
        <v/>
      </c>
      <c r="R721" s="26" t="str">
        <f>IFERROR(MATCH(B721,EXTRATO_IMPORTADO!$I$5:$I$404,0),"")</f>
        <v/>
      </c>
      <c r="S721" s="26" t="str">
        <f t="shared" si="34"/>
        <v/>
      </c>
      <c r="T721" s="26" t="str">
        <f t="shared" si="35"/>
        <v/>
      </c>
    </row>
    <row r="722" spans="1:20" x14ac:dyDescent="0.3">
      <c r="A722" s="26" t="str">
        <f>IF(BASE_CAIXA!A719="","",BASE_CAIXA!A719)</f>
        <v/>
      </c>
      <c r="B722" s="26" t="str">
        <f>IF(A722="","",BASE_CAIXA!AL719)</f>
        <v/>
      </c>
      <c r="C722" s="26" t="str">
        <f>IF(A722="","",BASE_CAIXA!AJ719)</f>
        <v/>
      </c>
      <c r="D722" s="26" t="str">
        <f>IF(A722="","",IF(BASE_CAIXA!C719="Entrada","Crédito","Débito"))</f>
        <v/>
      </c>
      <c r="E722" s="26" t="str">
        <f>IF(A722="","",BASE_CAIXA!AA719)</f>
        <v/>
      </c>
      <c r="F722" s="26" t="str">
        <f>IF(A722="","",BASE_CAIXA!N719)</f>
        <v/>
      </c>
      <c r="G722" s="26" t="str">
        <f>IF(A722="","",BASE_CAIXA!O719)</f>
        <v/>
      </c>
      <c r="H722" s="26" t="str">
        <f>IF(A722="","",BASE_CAIXA!P719)</f>
        <v/>
      </c>
      <c r="I722" s="26" t="str">
        <f>IF(A722="","",IF(BASE_CAIXA!H719&lt;&gt;"",BASE_CAIXA!H719,BASE_CAIXA!G719))</f>
        <v/>
      </c>
      <c r="J722" s="26" t="str">
        <f>IF(A722="","",BASE_CAIXA!G719)</f>
        <v/>
      </c>
      <c r="K722" s="26" t="str">
        <f>IF(A722="","",BASE_CAIXA!I719)</f>
        <v/>
      </c>
      <c r="L722" s="26" t="str">
        <f>IF(A722="","",BASE_CAIXA!J719)</f>
        <v/>
      </c>
      <c r="M722" s="26" t="str">
        <f>IF(A722="","",BASE_CAIXA!AM719)</f>
        <v/>
      </c>
      <c r="N722" s="26" t="str">
        <f t="shared" ca="1" si="33"/>
        <v/>
      </c>
      <c r="O722" s="26" t="str">
        <f>IFERROR(INDEX(EXTRATO_IMPORTADO!$A$5:$A$404,MATCH(B722,EXTRATO_IMPORTADO!$I$5:$I$404,0)),"")</f>
        <v/>
      </c>
      <c r="P722" s="26" t="str">
        <f>IFERROR(INDEX(EXTRATO_IMPORTADO!$F$5:$F$404,MATCH(B722,EXTRATO_IMPORTADO!$I$5:$I$404,0)),"")</f>
        <v/>
      </c>
      <c r="Q722" s="26" t="str">
        <f>IFERROR(INDEX(EXTRATO_IMPORTADO!$B$5:$B$404,MATCH(B722,EXTRATO_IMPORTADO!$I$5:$I$404,0)),"")</f>
        <v/>
      </c>
      <c r="R722" s="26" t="str">
        <f>IFERROR(MATCH(B722,EXTRATO_IMPORTADO!$I$5:$I$404,0),"")</f>
        <v/>
      </c>
      <c r="S722" s="26" t="str">
        <f t="shared" si="34"/>
        <v/>
      </c>
      <c r="T722" s="26" t="str">
        <f t="shared" si="35"/>
        <v/>
      </c>
    </row>
    <row r="723" spans="1:20" x14ac:dyDescent="0.3">
      <c r="A723" s="26" t="str">
        <f>IF(BASE_CAIXA!A720="","",BASE_CAIXA!A720)</f>
        <v/>
      </c>
      <c r="B723" s="26" t="str">
        <f>IF(A723="","",BASE_CAIXA!AL720)</f>
        <v/>
      </c>
      <c r="C723" s="26" t="str">
        <f>IF(A723="","",BASE_CAIXA!AJ720)</f>
        <v/>
      </c>
      <c r="D723" s="26" t="str">
        <f>IF(A723="","",IF(BASE_CAIXA!C720="Entrada","Crédito","Débito"))</f>
        <v/>
      </c>
      <c r="E723" s="26" t="str">
        <f>IF(A723="","",BASE_CAIXA!AA720)</f>
        <v/>
      </c>
      <c r="F723" s="26" t="str">
        <f>IF(A723="","",BASE_CAIXA!N720)</f>
        <v/>
      </c>
      <c r="G723" s="26" t="str">
        <f>IF(A723="","",BASE_CAIXA!O720)</f>
        <v/>
      </c>
      <c r="H723" s="26" t="str">
        <f>IF(A723="","",BASE_CAIXA!P720)</f>
        <v/>
      </c>
      <c r="I723" s="26" t="str">
        <f>IF(A723="","",IF(BASE_CAIXA!H720&lt;&gt;"",BASE_CAIXA!H720,BASE_CAIXA!G720))</f>
        <v/>
      </c>
      <c r="J723" s="26" t="str">
        <f>IF(A723="","",BASE_CAIXA!G720)</f>
        <v/>
      </c>
      <c r="K723" s="26" t="str">
        <f>IF(A723="","",BASE_CAIXA!I720)</f>
        <v/>
      </c>
      <c r="L723" s="26" t="str">
        <f>IF(A723="","",BASE_CAIXA!J720)</f>
        <v/>
      </c>
      <c r="M723" s="26" t="str">
        <f>IF(A723="","",BASE_CAIXA!AM720)</f>
        <v/>
      </c>
      <c r="N723" s="26" t="str">
        <f t="shared" ca="1" si="33"/>
        <v/>
      </c>
      <c r="O723" s="26" t="str">
        <f>IFERROR(INDEX(EXTRATO_IMPORTADO!$A$5:$A$404,MATCH(B723,EXTRATO_IMPORTADO!$I$5:$I$404,0)),"")</f>
        <v/>
      </c>
      <c r="P723" s="26" t="str">
        <f>IFERROR(INDEX(EXTRATO_IMPORTADO!$F$5:$F$404,MATCH(B723,EXTRATO_IMPORTADO!$I$5:$I$404,0)),"")</f>
        <v/>
      </c>
      <c r="Q723" s="26" t="str">
        <f>IFERROR(INDEX(EXTRATO_IMPORTADO!$B$5:$B$404,MATCH(B723,EXTRATO_IMPORTADO!$I$5:$I$404,0)),"")</f>
        <v/>
      </c>
      <c r="R723" s="26" t="str">
        <f>IFERROR(MATCH(B723,EXTRATO_IMPORTADO!$I$5:$I$404,0),"")</f>
        <v/>
      </c>
      <c r="S723" s="26" t="str">
        <f t="shared" si="34"/>
        <v/>
      </c>
      <c r="T723" s="26" t="str">
        <f t="shared" si="35"/>
        <v/>
      </c>
    </row>
    <row r="724" spans="1:20" x14ac:dyDescent="0.3">
      <c r="A724" s="26" t="str">
        <f>IF(BASE_CAIXA!A721="","",BASE_CAIXA!A721)</f>
        <v/>
      </c>
      <c r="B724" s="26" t="str">
        <f>IF(A724="","",BASE_CAIXA!AL721)</f>
        <v/>
      </c>
      <c r="C724" s="26" t="str">
        <f>IF(A724="","",BASE_CAIXA!AJ721)</f>
        <v/>
      </c>
      <c r="D724" s="26" t="str">
        <f>IF(A724="","",IF(BASE_CAIXA!C721="Entrada","Crédito","Débito"))</f>
        <v/>
      </c>
      <c r="E724" s="26" t="str">
        <f>IF(A724="","",BASE_CAIXA!AA721)</f>
        <v/>
      </c>
      <c r="F724" s="26" t="str">
        <f>IF(A724="","",BASE_CAIXA!N721)</f>
        <v/>
      </c>
      <c r="G724" s="26" t="str">
        <f>IF(A724="","",BASE_CAIXA!O721)</f>
        <v/>
      </c>
      <c r="H724" s="26" t="str">
        <f>IF(A724="","",BASE_CAIXA!P721)</f>
        <v/>
      </c>
      <c r="I724" s="26" t="str">
        <f>IF(A724="","",IF(BASE_CAIXA!H721&lt;&gt;"",BASE_CAIXA!H721,BASE_CAIXA!G721))</f>
        <v/>
      </c>
      <c r="J724" s="26" t="str">
        <f>IF(A724="","",BASE_CAIXA!G721)</f>
        <v/>
      </c>
      <c r="K724" s="26" t="str">
        <f>IF(A724="","",BASE_CAIXA!I721)</f>
        <v/>
      </c>
      <c r="L724" s="26" t="str">
        <f>IF(A724="","",BASE_CAIXA!J721)</f>
        <v/>
      </c>
      <c r="M724" s="26" t="str">
        <f>IF(A724="","",BASE_CAIXA!AM721)</f>
        <v/>
      </c>
      <c r="N724" s="26" t="str">
        <f t="shared" ca="1" si="33"/>
        <v/>
      </c>
      <c r="O724" s="26" t="str">
        <f>IFERROR(INDEX(EXTRATO_IMPORTADO!$A$5:$A$404,MATCH(B724,EXTRATO_IMPORTADO!$I$5:$I$404,0)),"")</f>
        <v/>
      </c>
      <c r="P724" s="26" t="str">
        <f>IFERROR(INDEX(EXTRATO_IMPORTADO!$F$5:$F$404,MATCH(B724,EXTRATO_IMPORTADO!$I$5:$I$404,0)),"")</f>
        <v/>
      </c>
      <c r="Q724" s="26" t="str">
        <f>IFERROR(INDEX(EXTRATO_IMPORTADO!$B$5:$B$404,MATCH(B724,EXTRATO_IMPORTADO!$I$5:$I$404,0)),"")</f>
        <v/>
      </c>
      <c r="R724" s="26" t="str">
        <f>IFERROR(MATCH(B724,EXTRATO_IMPORTADO!$I$5:$I$404,0),"")</f>
        <v/>
      </c>
      <c r="S724" s="26" t="str">
        <f t="shared" si="34"/>
        <v/>
      </c>
      <c r="T724" s="26" t="str">
        <f t="shared" si="35"/>
        <v/>
      </c>
    </row>
    <row r="725" spans="1:20" x14ac:dyDescent="0.3">
      <c r="A725" s="26" t="str">
        <f>IF(BASE_CAIXA!A722="","",BASE_CAIXA!A722)</f>
        <v/>
      </c>
      <c r="B725" s="26" t="str">
        <f>IF(A725="","",BASE_CAIXA!AL722)</f>
        <v/>
      </c>
      <c r="C725" s="26" t="str">
        <f>IF(A725="","",BASE_CAIXA!AJ722)</f>
        <v/>
      </c>
      <c r="D725" s="26" t="str">
        <f>IF(A725="","",IF(BASE_CAIXA!C722="Entrada","Crédito","Débito"))</f>
        <v/>
      </c>
      <c r="E725" s="26" t="str">
        <f>IF(A725="","",BASE_CAIXA!AA722)</f>
        <v/>
      </c>
      <c r="F725" s="26" t="str">
        <f>IF(A725="","",BASE_CAIXA!N722)</f>
        <v/>
      </c>
      <c r="G725" s="26" t="str">
        <f>IF(A725="","",BASE_CAIXA!O722)</f>
        <v/>
      </c>
      <c r="H725" s="26" t="str">
        <f>IF(A725="","",BASE_CAIXA!P722)</f>
        <v/>
      </c>
      <c r="I725" s="26" t="str">
        <f>IF(A725="","",IF(BASE_CAIXA!H722&lt;&gt;"",BASE_CAIXA!H722,BASE_CAIXA!G722))</f>
        <v/>
      </c>
      <c r="J725" s="26" t="str">
        <f>IF(A725="","",BASE_CAIXA!G722)</f>
        <v/>
      </c>
      <c r="K725" s="26" t="str">
        <f>IF(A725="","",BASE_CAIXA!I722)</f>
        <v/>
      </c>
      <c r="L725" s="26" t="str">
        <f>IF(A725="","",BASE_CAIXA!J722)</f>
        <v/>
      </c>
      <c r="M725" s="26" t="str">
        <f>IF(A725="","",BASE_CAIXA!AM722)</f>
        <v/>
      </c>
      <c r="N725" s="26" t="str">
        <f t="shared" ca="1" si="33"/>
        <v/>
      </c>
      <c r="O725" s="26" t="str">
        <f>IFERROR(INDEX(EXTRATO_IMPORTADO!$A$5:$A$404,MATCH(B725,EXTRATO_IMPORTADO!$I$5:$I$404,0)),"")</f>
        <v/>
      </c>
      <c r="P725" s="26" t="str">
        <f>IFERROR(INDEX(EXTRATO_IMPORTADO!$F$5:$F$404,MATCH(B725,EXTRATO_IMPORTADO!$I$5:$I$404,0)),"")</f>
        <v/>
      </c>
      <c r="Q725" s="26" t="str">
        <f>IFERROR(INDEX(EXTRATO_IMPORTADO!$B$5:$B$404,MATCH(B725,EXTRATO_IMPORTADO!$I$5:$I$404,0)),"")</f>
        <v/>
      </c>
      <c r="R725" s="26" t="str">
        <f>IFERROR(MATCH(B725,EXTRATO_IMPORTADO!$I$5:$I$404,0),"")</f>
        <v/>
      </c>
      <c r="S725" s="26" t="str">
        <f t="shared" si="34"/>
        <v/>
      </c>
      <c r="T725" s="26" t="str">
        <f t="shared" si="35"/>
        <v/>
      </c>
    </row>
    <row r="726" spans="1:20" x14ac:dyDescent="0.3">
      <c r="A726" s="26" t="str">
        <f>IF(BASE_CAIXA!A723="","",BASE_CAIXA!A723)</f>
        <v/>
      </c>
      <c r="B726" s="26" t="str">
        <f>IF(A726="","",BASE_CAIXA!AL723)</f>
        <v/>
      </c>
      <c r="C726" s="26" t="str">
        <f>IF(A726="","",BASE_CAIXA!AJ723)</f>
        <v/>
      </c>
      <c r="D726" s="26" t="str">
        <f>IF(A726="","",IF(BASE_CAIXA!C723="Entrada","Crédito","Débito"))</f>
        <v/>
      </c>
      <c r="E726" s="26" t="str">
        <f>IF(A726="","",BASE_CAIXA!AA723)</f>
        <v/>
      </c>
      <c r="F726" s="26" t="str">
        <f>IF(A726="","",BASE_CAIXA!N723)</f>
        <v/>
      </c>
      <c r="G726" s="26" t="str">
        <f>IF(A726="","",BASE_CAIXA!O723)</f>
        <v/>
      </c>
      <c r="H726" s="26" t="str">
        <f>IF(A726="","",BASE_CAIXA!P723)</f>
        <v/>
      </c>
      <c r="I726" s="26" t="str">
        <f>IF(A726="","",IF(BASE_CAIXA!H723&lt;&gt;"",BASE_CAIXA!H723,BASE_CAIXA!G723))</f>
        <v/>
      </c>
      <c r="J726" s="26" t="str">
        <f>IF(A726="","",BASE_CAIXA!G723)</f>
        <v/>
      </c>
      <c r="K726" s="26" t="str">
        <f>IF(A726="","",BASE_CAIXA!I723)</f>
        <v/>
      </c>
      <c r="L726" s="26" t="str">
        <f>IF(A726="","",BASE_CAIXA!J723)</f>
        <v/>
      </c>
      <c r="M726" s="26" t="str">
        <f>IF(A726="","",BASE_CAIXA!AM723)</f>
        <v/>
      </c>
      <c r="N726" s="26" t="str">
        <f t="shared" ca="1" si="33"/>
        <v/>
      </c>
      <c r="O726" s="26" t="str">
        <f>IFERROR(INDEX(EXTRATO_IMPORTADO!$A$5:$A$404,MATCH(B726,EXTRATO_IMPORTADO!$I$5:$I$404,0)),"")</f>
        <v/>
      </c>
      <c r="P726" s="26" t="str">
        <f>IFERROR(INDEX(EXTRATO_IMPORTADO!$F$5:$F$404,MATCH(B726,EXTRATO_IMPORTADO!$I$5:$I$404,0)),"")</f>
        <v/>
      </c>
      <c r="Q726" s="26" t="str">
        <f>IFERROR(INDEX(EXTRATO_IMPORTADO!$B$5:$B$404,MATCH(B726,EXTRATO_IMPORTADO!$I$5:$I$404,0)),"")</f>
        <v/>
      </c>
      <c r="R726" s="26" t="str">
        <f>IFERROR(MATCH(B726,EXTRATO_IMPORTADO!$I$5:$I$404,0),"")</f>
        <v/>
      </c>
      <c r="S726" s="26" t="str">
        <f t="shared" si="34"/>
        <v/>
      </c>
      <c r="T726" s="26" t="str">
        <f t="shared" si="35"/>
        <v/>
      </c>
    </row>
    <row r="727" spans="1:20" x14ac:dyDescent="0.3">
      <c r="A727" s="26" t="str">
        <f>IF(BASE_CAIXA!A724="","",BASE_CAIXA!A724)</f>
        <v/>
      </c>
      <c r="B727" s="26" t="str">
        <f>IF(A727="","",BASE_CAIXA!AL724)</f>
        <v/>
      </c>
      <c r="C727" s="26" t="str">
        <f>IF(A727="","",BASE_CAIXA!AJ724)</f>
        <v/>
      </c>
      <c r="D727" s="26" t="str">
        <f>IF(A727="","",IF(BASE_CAIXA!C724="Entrada","Crédito","Débito"))</f>
        <v/>
      </c>
      <c r="E727" s="26" t="str">
        <f>IF(A727="","",BASE_CAIXA!AA724)</f>
        <v/>
      </c>
      <c r="F727" s="26" t="str">
        <f>IF(A727="","",BASE_CAIXA!N724)</f>
        <v/>
      </c>
      <c r="G727" s="26" t="str">
        <f>IF(A727="","",BASE_CAIXA!O724)</f>
        <v/>
      </c>
      <c r="H727" s="26" t="str">
        <f>IF(A727="","",BASE_CAIXA!P724)</f>
        <v/>
      </c>
      <c r="I727" s="26" t="str">
        <f>IF(A727="","",IF(BASE_CAIXA!H724&lt;&gt;"",BASE_CAIXA!H724,BASE_CAIXA!G724))</f>
        <v/>
      </c>
      <c r="J727" s="26" t="str">
        <f>IF(A727="","",BASE_CAIXA!G724)</f>
        <v/>
      </c>
      <c r="K727" s="26" t="str">
        <f>IF(A727="","",BASE_CAIXA!I724)</f>
        <v/>
      </c>
      <c r="L727" s="26" t="str">
        <f>IF(A727="","",BASE_CAIXA!J724)</f>
        <v/>
      </c>
      <c r="M727" s="26" t="str">
        <f>IF(A727="","",BASE_CAIXA!AM724)</f>
        <v/>
      </c>
      <c r="N727" s="26" t="str">
        <f t="shared" ca="1" si="33"/>
        <v/>
      </c>
      <c r="O727" s="26" t="str">
        <f>IFERROR(INDEX(EXTRATO_IMPORTADO!$A$5:$A$404,MATCH(B727,EXTRATO_IMPORTADO!$I$5:$I$404,0)),"")</f>
        <v/>
      </c>
      <c r="P727" s="26" t="str">
        <f>IFERROR(INDEX(EXTRATO_IMPORTADO!$F$5:$F$404,MATCH(B727,EXTRATO_IMPORTADO!$I$5:$I$404,0)),"")</f>
        <v/>
      </c>
      <c r="Q727" s="26" t="str">
        <f>IFERROR(INDEX(EXTRATO_IMPORTADO!$B$5:$B$404,MATCH(B727,EXTRATO_IMPORTADO!$I$5:$I$404,0)),"")</f>
        <v/>
      </c>
      <c r="R727" s="26" t="str">
        <f>IFERROR(MATCH(B727,EXTRATO_IMPORTADO!$I$5:$I$404,0),"")</f>
        <v/>
      </c>
      <c r="S727" s="26" t="str">
        <f t="shared" si="34"/>
        <v/>
      </c>
      <c r="T727" s="26" t="str">
        <f t="shared" si="35"/>
        <v/>
      </c>
    </row>
    <row r="728" spans="1:20" x14ac:dyDescent="0.3">
      <c r="A728" s="26" t="str">
        <f>IF(BASE_CAIXA!A725="","",BASE_CAIXA!A725)</f>
        <v/>
      </c>
      <c r="B728" s="26" t="str">
        <f>IF(A728="","",BASE_CAIXA!AL725)</f>
        <v/>
      </c>
      <c r="C728" s="26" t="str">
        <f>IF(A728="","",BASE_CAIXA!AJ725)</f>
        <v/>
      </c>
      <c r="D728" s="26" t="str">
        <f>IF(A728="","",IF(BASE_CAIXA!C725="Entrada","Crédito","Débito"))</f>
        <v/>
      </c>
      <c r="E728" s="26" t="str">
        <f>IF(A728="","",BASE_CAIXA!AA725)</f>
        <v/>
      </c>
      <c r="F728" s="26" t="str">
        <f>IF(A728="","",BASE_CAIXA!N725)</f>
        <v/>
      </c>
      <c r="G728" s="26" t="str">
        <f>IF(A728="","",BASE_CAIXA!O725)</f>
        <v/>
      </c>
      <c r="H728" s="26" t="str">
        <f>IF(A728="","",BASE_CAIXA!P725)</f>
        <v/>
      </c>
      <c r="I728" s="26" t="str">
        <f>IF(A728="","",IF(BASE_CAIXA!H725&lt;&gt;"",BASE_CAIXA!H725,BASE_CAIXA!G725))</f>
        <v/>
      </c>
      <c r="J728" s="26" t="str">
        <f>IF(A728="","",BASE_CAIXA!G725)</f>
        <v/>
      </c>
      <c r="K728" s="26" t="str">
        <f>IF(A728="","",BASE_CAIXA!I725)</f>
        <v/>
      </c>
      <c r="L728" s="26" t="str">
        <f>IF(A728="","",BASE_CAIXA!J725)</f>
        <v/>
      </c>
      <c r="M728" s="26" t="str">
        <f>IF(A728="","",BASE_CAIXA!AM725)</f>
        <v/>
      </c>
      <c r="N728" s="26" t="str">
        <f t="shared" ca="1" si="33"/>
        <v/>
      </c>
      <c r="O728" s="26" t="str">
        <f>IFERROR(INDEX(EXTRATO_IMPORTADO!$A$5:$A$404,MATCH(B728,EXTRATO_IMPORTADO!$I$5:$I$404,0)),"")</f>
        <v/>
      </c>
      <c r="P728" s="26" t="str">
        <f>IFERROR(INDEX(EXTRATO_IMPORTADO!$F$5:$F$404,MATCH(B728,EXTRATO_IMPORTADO!$I$5:$I$404,0)),"")</f>
        <v/>
      </c>
      <c r="Q728" s="26" t="str">
        <f>IFERROR(INDEX(EXTRATO_IMPORTADO!$B$5:$B$404,MATCH(B728,EXTRATO_IMPORTADO!$I$5:$I$404,0)),"")</f>
        <v/>
      </c>
      <c r="R728" s="26" t="str">
        <f>IFERROR(MATCH(B728,EXTRATO_IMPORTADO!$I$5:$I$404,0),"")</f>
        <v/>
      </c>
      <c r="S728" s="26" t="str">
        <f t="shared" si="34"/>
        <v/>
      </c>
      <c r="T728" s="26" t="str">
        <f t="shared" si="35"/>
        <v/>
      </c>
    </row>
    <row r="729" spans="1:20" x14ac:dyDescent="0.3">
      <c r="A729" s="26" t="str">
        <f>IF(BASE_CAIXA!A726="","",BASE_CAIXA!A726)</f>
        <v/>
      </c>
      <c r="B729" s="26" t="str">
        <f>IF(A729="","",BASE_CAIXA!AL726)</f>
        <v/>
      </c>
      <c r="C729" s="26" t="str">
        <f>IF(A729="","",BASE_CAIXA!AJ726)</f>
        <v/>
      </c>
      <c r="D729" s="26" t="str">
        <f>IF(A729="","",IF(BASE_CAIXA!C726="Entrada","Crédito","Débito"))</f>
        <v/>
      </c>
      <c r="E729" s="26" t="str">
        <f>IF(A729="","",BASE_CAIXA!AA726)</f>
        <v/>
      </c>
      <c r="F729" s="26" t="str">
        <f>IF(A729="","",BASE_CAIXA!N726)</f>
        <v/>
      </c>
      <c r="G729" s="26" t="str">
        <f>IF(A729="","",BASE_CAIXA!O726)</f>
        <v/>
      </c>
      <c r="H729" s="26" t="str">
        <f>IF(A729="","",BASE_CAIXA!P726)</f>
        <v/>
      </c>
      <c r="I729" s="26" t="str">
        <f>IF(A729="","",IF(BASE_CAIXA!H726&lt;&gt;"",BASE_CAIXA!H726,BASE_CAIXA!G726))</f>
        <v/>
      </c>
      <c r="J729" s="26" t="str">
        <f>IF(A729="","",BASE_CAIXA!G726)</f>
        <v/>
      </c>
      <c r="K729" s="26" t="str">
        <f>IF(A729="","",BASE_CAIXA!I726)</f>
        <v/>
      </c>
      <c r="L729" s="26" t="str">
        <f>IF(A729="","",BASE_CAIXA!J726)</f>
        <v/>
      </c>
      <c r="M729" s="26" t="str">
        <f>IF(A729="","",BASE_CAIXA!AM726)</f>
        <v/>
      </c>
      <c r="N729" s="26" t="str">
        <f t="shared" ca="1" si="33"/>
        <v/>
      </c>
      <c r="O729" s="26" t="str">
        <f>IFERROR(INDEX(EXTRATO_IMPORTADO!$A$5:$A$404,MATCH(B729,EXTRATO_IMPORTADO!$I$5:$I$404,0)),"")</f>
        <v/>
      </c>
      <c r="P729" s="26" t="str">
        <f>IFERROR(INDEX(EXTRATO_IMPORTADO!$F$5:$F$404,MATCH(B729,EXTRATO_IMPORTADO!$I$5:$I$404,0)),"")</f>
        <v/>
      </c>
      <c r="Q729" s="26" t="str">
        <f>IFERROR(INDEX(EXTRATO_IMPORTADO!$B$5:$B$404,MATCH(B729,EXTRATO_IMPORTADO!$I$5:$I$404,0)),"")</f>
        <v/>
      </c>
      <c r="R729" s="26" t="str">
        <f>IFERROR(MATCH(B729,EXTRATO_IMPORTADO!$I$5:$I$404,0),"")</f>
        <v/>
      </c>
      <c r="S729" s="26" t="str">
        <f t="shared" si="34"/>
        <v/>
      </c>
      <c r="T729" s="26" t="str">
        <f t="shared" si="35"/>
        <v/>
      </c>
    </row>
    <row r="730" spans="1:20" x14ac:dyDescent="0.3">
      <c r="A730" s="26" t="str">
        <f>IF(BASE_CAIXA!A727="","",BASE_CAIXA!A727)</f>
        <v/>
      </c>
      <c r="B730" s="26" t="str">
        <f>IF(A730="","",BASE_CAIXA!AL727)</f>
        <v/>
      </c>
      <c r="C730" s="26" t="str">
        <f>IF(A730="","",BASE_CAIXA!AJ727)</f>
        <v/>
      </c>
      <c r="D730" s="26" t="str">
        <f>IF(A730="","",IF(BASE_CAIXA!C727="Entrada","Crédito","Débito"))</f>
        <v/>
      </c>
      <c r="E730" s="26" t="str">
        <f>IF(A730="","",BASE_CAIXA!AA727)</f>
        <v/>
      </c>
      <c r="F730" s="26" t="str">
        <f>IF(A730="","",BASE_CAIXA!N727)</f>
        <v/>
      </c>
      <c r="G730" s="26" t="str">
        <f>IF(A730="","",BASE_CAIXA!O727)</f>
        <v/>
      </c>
      <c r="H730" s="26" t="str">
        <f>IF(A730="","",BASE_CAIXA!P727)</f>
        <v/>
      </c>
      <c r="I730" s="26" t="str">
        <f>IF(A730="","",IF(BASE_CAIXA!H727&lt;&gt;"",BASE_CAIXA!H727,BASE_CAIXA!G727))</f>
        <v/>
      </c>
      <c r="J730" s="26" t="str">
        <f>IF(A730="","",BASE_CAIXA!G727)</f>
        <v/>
      </c>
      <c r="K730" s="26" t="str">
        <f>IF(A730="","",BASE_CAIXA!I727)</f>
        <v/>
      </c>
      <c r="L730" s="26" t="str">
        <f>IF(A730="","",BASE_CAIXA!J727)</f>
        <v/>
      </c>
      <c r="M730" s="26" t="str">
        <f>IF(A730="","",BASE_CAIXA!AM727)</f>
        <v/>
      </c>
      <c r="N730" s="26" t="str">
        <f t="shared" ca="1" si="33"/>
        <v/>
      </c>
      <c r="O730" s="26" t="str">
        <f>IFERROR(INDEX(EXTRATO_IMPORTADO!$A$5:$A$404,MATCH(B730,EXTRATO_IMPORTADO!$I$5:$I$404,0)),"")</f>
        <v/>
      </c>
      <c r="P730" s="26" t="str">
        <f>IFERROR(INDEX(EXTRATO_IMPORTADO!$F$5:$F$404,MATCH(B730,EXTRATO_IMPORTADO!$I$5:$I$404,0)),"")</f>
        <v/>
      </c>
      <c r="Q730" s="26" t="str">
        <f>IFERROR(INDEX(EXTRATO_IMPORTADO!$B$5:$B$404,MATCH(B730,EXTRATO_IMPORTADO!$I$5:$I$404,0)),"")</f>
        <v/>
      </c>
      <c r="R730" s="26" t="str">
        <f>IFERROR(MATCH(B730,EXTRATO_IMPORTADO!$I$5:$I$404,0),"")</f>
        <v/>
      </c>
      <c r="S730" s="26" t="str">
        <f t="shared" si="34"/>
        <v/>
      </c>
      <c r="T730" s="26" t="str">
        <f t="shared" si="35"/>
        <v/>
      </c>
    </row>
    <row r="731" spans="1:20" x14ac:dyDescent="0.3">
      <c r="A731" s="26" t="str">
        <f>IF(BASE_CAIXA!A728="","",BASE_CAIXA!A728)</f>
        <v/>
      </c>
      <c r="B731" s="26" t="str">
        <f>IF(A731="","",BASE_CAIXA!AL728)</f>
        <v/>
      </c>
      <c r="C731" s="26" t="str">
        <f>IF(A731="","",BASE_CAIXA!AJ728)</f>
        <v/>
      </c>
      <c r="D731" s="26" t="str">
        <f>IF(A731="","",IF(BASE_CAIXA!C728="Entrada","Crédito","Débito"))</f>
        <v/>
      </c>
      <c r="E731" s="26" t="str">
        <f>IF(A731="","",BASE_CAIXA!AA728)</f>
        <v/>
      </c>
      <c r="F731" s="26" t="str">
        <f>IF(A731="","",BASE_CAIXA!N728)</f>
        <v/>
      </c>
      <c r="G731" s="26" t="str">
        <f>IF(A731="","",BASE_CAIXA!O728)</f>
        <v/>
      </c>
      <c r="H731" s="26" t="str">
        <f>IF(A731="","",BASE_CAIXA!P728)</f>
        <v/>
      </c>
      <c r="I731" s="26" t="str">
        <f>IF(A731="","",IF(BASE_CAIXA!H728&lt;&gt;"",BASE_CAIXA!H728,BASE_CAIXA!G728))</f>
        <v/>
      </c>
      <c r="J731" s="26" t="str">
        <f>IF(A731="","",BASE_CAIXA!G728)</f>
        <v/>
      </c>
      <c r="K731" s="26" t="str">
        <f>IF(A731="","",BASE_CAIXA!I728)</f>
        <v/>
      </c>
      <c r="L731" s="26" t="str">
        <f>IF(A731="","",BASE_CAIXA!J728)</f>
        <v/>
      </c>
      <c r="M731" s="26" t="str">
        <f>IF(A731="","",BASE_CAIXA!AM728)</f>
        <v/>
      </c>
      <c r="N731" s="26" t="str">
        <f t="shared" ca="1" si="33"/>
        <v/>
      </c>
      <c r="O731" s="26" t="str">
        <f>IFERROR(INDEX(EXTRATO_IMPORTADO!$A$5:$A$404,MATCH(B731,EXTRATO_IMPORTADO!$I$5:$I$404,0)),"")</f>
        <v/>
      </c>
      <c r="P731" s="26" t="str">
        <f>IFERROR(INDEX(EXTRATO_IMPORTADO!$F$5:$F$404,MATCH(B731,EXTRATO_IMPORTADO!$I$5:$I$404,0)),"")</f>
        <v/>
      </c>
      <c r="Q731" s="26" t="str">
        <f>IFERROR(INDEX(EXTRATO_IMPORTADO!$B$5:$B$404,MATCH(B731,EXTRATO_IMPORTADO!$I$5:$I$404,0)),"")</f>
        <v/>
      </c>
      <c r="R731" s="26" t="str">
        <f>IFERROR(MATCH(B731,EXTRATO_IMPORTADO!$I$5:$I$404,0),"")</f>
        <v/>
      </c>
      <c r="S731" s="26" t="str">
        <f t="shared" si="34"/>
        <v/>
      </c>
      <c r="T731" s="26" t="str">
        <f t="shared" si="35"/>
        <v/>
      </c>
    </row>
    <row r="732" spans="1:20" x14ac:dyDescent="0.3">
      <c r="A732" s="26" t="str">
        <f>IF(BASE_CAIXA!A729="","",BASE_CAIXA!A729)</f>
        <v/>
      </c>
      <c r="B732" s="26" t="str">
        <f>IF(A732="","",BASE_CAIXA!AL729)</f>
        <v/>
      </c>
      <c r="C732" s="26" t="str">
        <f>IF(A732="","",BASE_CAIXA!AJ729)</f>
        <v/>
      </c>
      <c r="D732" s="26" t="str">
        <f>IF(A732="","",IF(BASE_CAIXA!C729="Entrada","Crédito","Débito"))</f>
        <v/>
      </c>
      <c r="E732" s="26" t="str">
        <f>IF(A732="","",BASE_CAIXA!AA729)</f>
        <v/>
      </c>
      <c r="F732" s="26" t="str">
        <f>IF(A732="","",BASE_CAIXA!N729)</f>
        <v/>
      </c>
      <c r="G732" s="26" t="str">
        <f>IF(A732="","",BASE_CAIXA!O729)</f>
        <v/>
      </c>
      <c r="H732" s="26" t="str">
        <f>IF(A732="","",BASE_CAIXA!P729)</f>
        <v/>
      </c>
      <c r="I732" s="26" t="str">
        <f>IF(A732="","",IF(BASE_CAIXA!H729&lt;&gt;"",BASE_CAIXA!H729,BASE_CAIXA!G729))</f>
        <v/>
      </c>
      <c r="J732" s="26" t="str">
        <f>IF(A732="","",BASE_CAIXA!G729)</f>
        <v/>
      </c>
      <c r="K732" s="26" t="str">
        <f>IF(A732="","",BASE_CAIXA!I729)</f>
        <v/>
      </c>
      <c r="L732" s="26" t="str">
        <f>IF(A732="","",BASE_CAIXA!J729)</f>
        <v/>
      </c>
      <c r="M732" s="26" t="str">
        <f>IF(A732="","",BASE_CAIXA!AM729)</f>
        <v/>
      </c>
      <c r="N732" s="26" t="str">
        <f t="shared" ca="1" si="33"/>
        <v/>
      </c>
      <c r="O732" s="26" t="str">
        <f>IFERROR(INDEX(EXTRATO_IMPORTADO!$A$5:$A$404,MATCH(B732,EXTRATO_IMPORTADO!$I$5:$I$404,0)),"")</f>
        <v/>
      </c>
      <c r="P732" s="26" t="str">
        <f>IFERROR(INDEX(EXTRATO_IMPORTADO!$F$5:$F$404,MATCH(B732,EXTRATO_IMPORTADO!$I$5:$I$404,0)),"")</f>
        <v/>
      </c>
      <c r="Q732" s="26" t="str">
        <f>IFERROR(INDEX(EXTRATO_IMPORTADO!$B$5:$B$404,MATCH(B732,EXTRATO_IMPORTADO!$I$5:$I$404,0)),"")</f>
        <v/>
      </c>
      <c r="R732" s="26" t="str">
        <f>IFERROR(MATCH(B732,EXTRATO_IMPORTADO!$I$5:$I$404,0),"")</f>
        <v/>
      </c>
      <c r="S732" s="26" t="str">
        <f t="shared" si="34"/>
        <v/>
      </c>
      <c r="T732" s="26" t="str">
        <f t="shared" si="35"/>
        <v/>
      </c>
    </row>
    <row r="733" spans="1:20" x14ac:dyDescent="0.3">
      <c r="A733" s="26" t="str">
        <f>IF(BASE_CAIXA!A730="","",BASE_CAIXA!A730)</f>
        <v/>
      </c>
      <c r="B733" s="26" t="str">
        <f>IF(A733="","",BASE_CAIXA!AL730)</f>
        <v/>
      </c>
      <c r="C733" s="26" t="str">
        <f>IF(A733="","",BASE_CAIXA!AJ730)</f>
        <v/>
      </c>
      <c r="D733" s="26" t="str">
        <f>IF(A733="","",IF(BASE_CAIXA!C730="Entrada","Crédito","Débito"))</f>
        <v/>
      </c>
      <c r="E733" s="26" t="str">
        <f>IF(A733="","",BASE_CAIXA!AA730)</f>
        <v/>
      </c>
      <c r="F733" s="26" t="str">
        <f>IF(A733="","",BASE_CAIXA!N730)</f>
        <v/>
      </c>
      <c r="G733" s="26" t="str">
        <f>IF(A733="","",BASE_CAIXA!O730)</f>
        <v/>
      </c>
      <c r="H733" s="26" t="str">
        <f>IF(A733="","",BASE_CAIXA!P730)</f>
        <v/>
      </c>
      <c r="I733" s="26" t="str">
        <f>IF(A733="","",IF(BASE_CAIXA!H730&lt;&gt;"",BASE_CAIXA!H730,BASE_CAIXA!G730))</f>
        <v/>
      </c>
      <c r="J733" s="26" t="str">
        <f>IF(A733="","",BASE_CAIXA!G730)</f>
        <v/>
      </c>
      <c r="K733" s="26" t="str">
        <f>IF(A733="","",BASE_CAIXA!I730)</f>
        <v/>
      </c>
      <c r="L733" s="26" t="str">
        <f>IF(A733="","",BASE_CAIXA!J730)</f>
        <v/>
      </c>
      <c r="M733" s="26" t="str">
        <f>IF(A733="","",BASE_CAIXA!AM730)</f>
        <v/>
      </c>
      <c r="N733" s="26" t="str">
        <f t="shared" ca="1" si="33"/>
        <v/>
      </c>
      <c r="O733" s="26" t="str">
        <f>IFERROR(INDEX(EXTRATO_IMPORTADO!$A$5:$A$404,MATCH(B733,EXTRATO_IMPORTADO!$I$5:$I$404,0)),"")</f>
        <v/>
      </c>
      <c r="P733" s="26" t="str">
        <f>IFERROR(INDEX(EXTRATO_IMPORTADO!$F$5:$F$404,MATCH(B733,EXTRATO_IMPORTADO!$I$5:$I$404,0)),"")</f>
        <v/>
      </c>
      <c r="Q733" s="26" t="str">
        <f>IFERROR(INDEX(EXTRATO_IMPORTADO!$B$5:$B$404,MATCH(B733,EXTRATO_IMPORTADO!$I$5:$I$404,0)),"")</f>
        <v/>
      </c>
      <c r="R733" s="26" t="str">
        <f>IFERROR(MATCH(B733,EXTRATO_IMPORTADO!$I$5:$I$404,0),"")</f>
        <v/>
      </c>
      <c r="S733" s="26" t="str">
        <f t="shared" si="34"/>
        <v/>
      </c>
      <c r="T733" s="26" t="str">
        <f t="shared" si="35"/>
        <v/>
      </c>
    </row>
    <row r="734" spans="1:20" x14ac:dyDescent="0.3">
      <c r="A734" s="26" t="str">
        <f>IF(BASE_CAIXA!A731="","",BASE_CAIXA!A731)</f>
        <v/>
      </c>
      <c r="B734" s="26" t="str">
        <f>IF(A734="","",BASE_CAIXA!AL731)</f>
        <v/>
      </c>
      <c r="C734" s="26" t="str">
        <f>IF(A734="","",BASE_CAIXA!AJ731)</f>
        <v/>
      </c>
      <c r="D734" s="26" t="str">
        <f>IF(A734="","",IF(BASE_CAIXA!C731="Entrada","Crédito","Débito"))</f>
        <v/>
      </c>
      <c r="E734" s="26" t="str">
        <f>IF(A734="","",BASE_CAIXA!AA731)</f>
        <v/>
      </c>
      <c r="F734" s="26" t="str">
        <f>IF(A734="","",BASE_CAIXA!N731)</f>
        <v/>
      </c>
      <c r="G734" s="26" t="str">
        <f>IF(A734="","",BASE_CAIXA!O731)</f>
        <v/>
      </c>
      <c r="H734" s="26" t="str">
        <f>IF(A734="","",BASE_CAIXA!P731)</f>
        <v/>
      </c>
      <c r="I734" s="26" t="str">
        <f>IF(A734="","",IF(BASE_CAIXA!H731&lt;&gt;"",BASE_CAIXA!H731,BASE_CAIXA!G731))</f>
        <v/>
      </c>
      <c r="J734" s="26" t="str">
        <f>IF(A734="","",BASE_CAIXA!G731)</f>
        <v/>
      </c>
      <c r="K734" s="26" t="str">
        <f>IF(A734="","",BASE_CAIXA!I731)</f>
        <v/>
      </c>
      <c r="L734" s="26" t="str">
        <f>IF(A734="","",BASE_CAIXA!J731)</f>
        <v/>
      </c>
      <c r="M734" s="26" t="str">
        <f>IF(A734="","",BASE_CAIXA!AM731)</f>
        <v/>
      </c>
      <c r="N734" s="26" t="str">
        <f t="shared" ca="1" si="33"/>
        <v/>
      </c>
      <c r="O734" s="26" t="str">
        <f>IFERROR(INDEX(EXTRATO_IMPORTADO!$A$5:$A$404,MATCH(B734,EXTRATO_IMPORTADO!$I$5:$I$404,0)),"")</f>
        <v/>
      </c>
      <c r="P734" s="26" t="str">
        <f>IFERROR(INDEX(EXTRATO_IMPORTADO!$F$5:$F$404,MATCH(B734,EXTRATO_IMPORTADO!$I$5:$I$404,0)),"")</f>
        <v/>
      </c>
      <c r="Q734" s="26" t="str">
        <f>IFERROR(INDEX(EXTRATO_IMPORTADO!$B$5:$B$404,MATCH(B734,EXTRATO_IMPORTADO!$I$5:$I$404,0)),"")</f>
        <v/>
      </c>
      <c r="R734" s="26" t="str">
        <f>IFERROR(MATCH(B734,EXTRATO_IMPORTADO!$I$5:$I$404,0),"")</f>
        <v/>
      </c>
      <c r="S734" s="26" t="str">
        <f t="shared" si="34"/>
        <v/>
      </c>
      <c r="T734" s="26" t="str">
        <f t="shared" si="35"/>
        <v/>
      </c>
    </row>
    <row r="735" spans="1:20" x14ac:dyDescent="0.3">
      <c r="A735" s="26" t="str">
        <f>IF(BASE_CAIXA!A732="","",BASE_CAIXA!A732)</f>
        <v/>
      </c>
      <c r="B735" s="26" t="str">
        <f>IF(A735="","",BASE_CAIXA!AL732)</f>
        <v/>
      </c>
      <c r="C735" s="26" t="str">
        <f>IF(A735="","",BASE_CAIXA!AJ732)</f>
        <v/>
      </c>
      <c r="D735" s="26" t="str">
        <f>IF(A735="","",IF(BASE_CAIXA!C732="Entrada","Crédito","Débito"))</f>
        <v/>
      </c>
      <c r="E735" s="26" t="str">
        <f>IF(A735="","",BASE_CAIXA!AA732)</f>
        <v/>
      </c>
      <c r="F735" s="26" t="str">
        <f>IF(A735="","",BASE_CAIXA!N732)</f>
        <v/>
      </c>
      <c r="G735" s="26" t="str">
        <f>IF(A735="","",BASE_CAIXA!O732)</f>
        <v/>
      </c>
      <c r="H735" s="26" t="str">
        <f>IF(A735="","",BASE_CAIXA!P732)</f>
        <v/>
      </c>
      <c r="I735" s="26" t="str">
        <f>IF(A735="","",IF(BASE_CAIXA!H732&lt;&gt;"",BASE_CAIXA!H732,BASE_CAIXA!G732))</f>
        <v/>
      </c>
      <c r="J735" s="26" t="str">
        <f>IF(A735="","",BASE_CAIXA!G732)</f>
        <v/>
      </c>
      <c r="K735" s="26" t="str">
        <f>IF(A735="","",BASE_CAIXA!I732)</f>
        <v/>
      </c>
      <c r="L735" s="26" t="str">
        <f>IF(A735="","",BASE_CAIXA!J732)</f>
        <v/>
      </c>
      <c r="M735" s="26" t="str">
        <f>IF(A735="","",BASE_CAIXA!AM732)</f>
        <v/>
      </c>
      <c r="N735" s="26" t="str">
        <f t="shared" ca="1" si="33"/>
        <v/>
      </c>
      <c r="O735" s="26" t="str">
        <f>IFERROR(INDEX(EXTRATO_IMPORTADO!$A$5:$A$404,MATCH(B735,EXTRATO_IMPORTADO!$I$5:$I$404,0)),"")</f>
        <v/>
      </c>
      <c r="P735" s="26" t="str">
        <f>IFERROR(INDEX(EXTRATO_IMPORTADO!$F$5:$F$404,MATCH(B735,EXTRATO_IMPORTADO!$I$5:$I$404,0)),"")</f>
        <v/>
      </c>
      <c r="Q735" s="26" t="str">
        <f>IFERROR(INDEX(EXTRATO_IMPORTADO!$B$5:$B$404,MATCH(B735,EXTRATO_IMPORTADO!$I$5:$I$404,0)),"")</f>
        <v/>
      </c>
      <c r="R735" s="26" t="str">
        <f>IFERROR(MATCH(B735,EXTRATO_IMPORTADO!$I$5:$I$404,0),"")</f>
        <v/>
      </c>
      <c r="S735" s="26" t="str">
        <f t="shared" si="34"/>
        <v/>
      </c>
      <c r="T735" s="26" t="str">
        <f t="shared" si="35"/>
        <v/>
      </c>
    </row>
    <row r="736" spans="1:20" x14ac:dyDescent="0.3">
      <c r="A736" s="26" t="str">
        <f>IF(BASE_CAIXA!A733="","",BASE_CAIXA!A733)</f>
        <v/>
      </c>
      <c r="B736" s="26" t="str">
        <f>IF(A736="","",BASE_CAIXA!AL733)</f>
        <v/>
      </c>
      <c r="C736" s="26" t="str">
        <f>IF(A736="","",BASE_CAIXA!AJ733)</f>
        <v/>
      </c>
      <c r="D736" s="26" t="str">
        <f>IF(A736="","",IF(BASE_CAIXA!C733="Entrada","Crédito","Débito"))</f>
        <v/>
      </c>
      <c r="E736" s="26" t="str">
        <f>IF(A736="","",BASE_CAIXA!AA733)</f>
        <v/>
      </c>
      <c r="F736" s="26" t="str">
        <f>IF(A736="","",BASE_CAIXA!N733)</f>
        <v/>
      </c>
      <c r="G736" s="26" t="str">
        <f>IF(A736="","",BASE_CAIXA!O733)</f>
        <v/>
      </c>
      <c r="H736" s="26" t="str">
        <f>IF(A736="","",BASE_CAIXA!P733)</f>
        <v/>
      </c>
      <c r="I736" s="26" t="str">
        <f>IF(A736="","",IF(BASE_CAIXA!H733&lt;&gt;"",BASE_CAIXA!H733,BASE_CAIXA!G733))</f>
        <v/>
      </c>
      <c r="J736" s="26" t="str">
        <f>IF(A736="","",BASE_CAIXA!G733)</f>
        <v/>
      </c>
      <c r="K736" s="26" t="str">
        <f>IF(A736="","",BASE_CAIXA!I733)</f>
        <v/>
      </c>
      <c r="L736" s="26" t="str">
        <f>IF(A736="","",BASE_CAIXA!J733)</f>
        <v/>
      </c>
      <c r="M736" s="26" t="str">
        <f>IF(A736="","",BASE_CAIXA!AM733)</f>
        <v/>
      </c>
      <c r="N736" s="26" t="str">
        <f t="shared" ca="1" si="33"/>
        <v/>
      </c>
      <c r="O736" s="26" t="str">
        <f>IFERROR(INDEX(EXTRATO_IMPORTADO!$A$5:$A$404,MATCH(B736,EXTRATO_IMPORTADO!$I$5:$I$404,0)),"")</f>
        <v/>
      </c>
      <c r="P736" s="26" t="str">
        <f>IFERROR(INDEX(EXTRATO_IMPORTADO!$F$5:$F$404,MATCH(B736,EXTRATO_IMPORTADO!$I$5:$I$404,0)),"")</f>
        <v/>
      </c>
      <c r="Q736" s="26" t="str">
        <f>IFERROR(INDEX(EXTRATO_IMPORTADO!$B$5:$B$404,MATCH(B736,EXTRATO_IMPORTADO!$I$5:$I$404,0)),"")</f>
        <v/>
      </c>
      <c r="R736" s="26" t="str">
        <f>IFERROR(MATCH(B736,EXTRATO_IMPORTADO!$I$5:$I$404,0),"")</f>
        <v/>
      </c>
      <c r="S736" s="26" t="str">
        <f t="shared" si="34"/>
        <v/>
      </c>
      <c r="T736" s="26" t="str">
        <f t="shared" si="35"/>
        <v/>
      </c>
    </row>
    <row r="737" spans="1:20" x14ac:dyDescent="0.3">
      <c r="A737" s="26" t="str">
        <f>IF(BASE_CAIXA!A734="","",BASE_CAIXA!A734)</f>
        <v/>
      </c>
      <c r="B737" s="26" t="str">
        <f>IF(A737="","",BASE_CAIXA!AL734)</f>
        <v/>
      </c>
      <c r="C737" s="26" t="str">
        <f>IF(A737="","",BASE_CAIXA!AJ734)</f>
        <v/>
      </c>
      <c r="D737" s="26" t="str">
        <f>IF(A737="","",IF(BASE_CAIXA!C734="Entrada","Crédito","Débito"))</f>
        <v/>
      </c>
      <c r="E737" s="26" t="str">
        <f>IF(A737="","",BASE_CAIXA!AA734)</f>
        <v/>
      </c>
      <c r="F737" s="26" t="str">
        <f>IF(A737="","",BASE_CAIXA!N734)</f>
        <v/>
      </c>
      <c r="G737" s="26" t="str">
        <f>IF(A737="","",BASE_CAIXA!O734)</f>
        <v/>
      </c>
      <c r="H737" s="26" t="str">
        <f>IF(A737="","",BASE_CAIXA!P734)</f>
        <v/>
      </c>
      <c r="I737" s="26" t="str">
        <f>IF(A737="","",IF(BASE_CAIXA!H734&lt;&gt;"",BASE_CAIXA!H734,BASE_CAIXA!G734))</f>
        <v/>
      </c>
      <c r="J737" s="26" t="str">
        <f>IF(A737="","",BASE_CAIXA!G734)</f>
        <v/>
      </c>
      <c r="K737" s="26" t="str">
        <f>IF(A737="","",BASE_CAIXA!I734)</f>
        <v/>
      </c>
      <c r="L737" s="26" t="str">
        <f>IF(A737="","",BASE_CAIXA!J734)</f>
        <v/>
      </c>
      <c r="M737" s="26" t="str">
        <f>IF(A737="","",BASE_CAIXA!AM734)</f>
        <v/>
      </c>
      <c r="N737" s="26" t="str">
        <f t="shared" ca="1" si="33"/>
        <v/>
      </c>
      <c r="O737" s="26" t="str">
        <f>IFERROR(INDEX(EXTRATO_IMPORTADO!$A$5:$A$404,MATCH(B737,EXTRATO_IMPORTADO!$I$5:$I$404,0)),"")</f>
        <v/>
      </c>
      <c r="P737" s="26" t="str">
        <f>IFERROR(INDEX(EXTRATO_IMPORTADO!$F$5:$F$404,MATCH(B737,EXTRATO_IMPORTADO!$I$5:$I$404,0)),"")</f>
        <v/>
      </c>
      <c r="Q737" s="26" t="str">
        <f>IFERROR(INDEX(EXTRATO_IMPORTADO!$B$5:$B$404,MATCH(B737,EXTRATO_IMPORTADO!$I$5:$I$404,0)),"")</f>
        <v/>
      </c>
      <c r="R737" s="26" t="str">
        <f>IFERROR(MATCH(B737,EXTRATO_IMPORTADO!$I$5:$I$404,0),"")</f>
        <v/>
      </c>
      <c r="S737" s="26" t="str">
        <f t="shared" si="34"/>
        <v/>
      </c>
      <c r="T737" s="26" t="str">
        <f t="shared" si="35"/>
        <v/>
      </c>
    </row>
    <row r="738" spans="1:20" x14ac:dyDescent="0.3">
      <c r="A738" s="26" t="str">
        <f>IF(BASE_CAIXA!A735="","",BASE_CAIXA!A735)</f>
        <v/>
      </c>
      <c r="B738" s="26" t="str">
        <f>IF(A738="","",BASE_CAIXA!AL735)</f>
        <v/>
      </c>
      <c r="C738" s="26" t="str">
        <f>IF(A738="","",BASE_CAIXA!AJ735)</f>
        <v/>
      </c>
      <c r="D738" s="26" t="str">
        <f>IF(A738="","",IF(BASE_CAIXA!C735="Entrada","Crédito","Débito"))</f>
        <v/>
      </c>
      <c r="E738" s="26" t="str">
        <f>IF(A738="","",BASE_CAIXA!AA735)</f>
        <v/>
      </c>
      <c r="F738" s="26" t="str">
        <f>IF(A738="","",BASE_CAIXA!N735)</f>
        <v/>
      </c>
      <c r="G738" s="26" t="str">
        <f>IF(A738="","",BASE_CAIXA!O735)</f>
        <v/>
      </c>
      <c r="H738" s="26" t="str">
        <f>IF(A738="","",BASE_CAIXA!P735)</f>
        <v/>
      </c>
      <c r="I738" s="26" t="str">
        <f>IF(A738="","",IF(BASE_CAIXA!H735&lt;&gt;"",BASE_CAIXA!H735,BASE_CAIXA!G735))</f>
        <v/>
      </c>
      <c r="J738" s="26" t="str">
        <f>IF(A738="","",BASE_CAIXA!G735)</f>
        <v/>
      </c>
      <c r="K738" s="26" t="str">
        <f>IF(A738="","",BASE_CAIXA!I735)</f>
        <v/>
      </c>
      <c r="L738" s="26" t="str">
        <f>IF(A738="","",BASE_CAIXA!J735)</f>
        <v/>
      </c>
      <c r="M738" s="26" t="str">
        <f>IF(A738="","",BASE_CAIXA!AM735)</f>
        <v/>
      </c>
      <c r="N738" s="26" t="str">
        <f t="shared" ca="1" si="33"/>
        <v/>
      </c>
      <c r="O738" s="26" t="str">
        <f>IFERROR(INDEX(EXTRATO_IMPORTADO!$A$5:$A$404,MATCH(B738,EXTRATO_IMPORTADO!$I$5:$I$404,0)),"")</f>
        <v/>
      </c>
      <c r="P738" s="26" t="str">
        <f>IFERROR(INDEX(EXTRATO_IMPORTADO!$F$5:$F$404,MATCH(B738,EXTRATO_IMPORTADO!$I$5:$I$404,0)),"")</f>
        <v/>
      </c>
      <c r="Q738" s="26" t="str">
        <f>IFERROR(INDEX(EXTRATO_IMPORTADO!$B$5:$B$404,MATCH(B738,EXTRATO_IMPORTADO!$I$5:$I$404,0)),"")</f>
        <v/>
      </c>
      <c r="R738" s="26" t="str">
        <f>IFERROR(MATCH(B738,EXTRATO_IMPORTADO!$I$5:$I$404,0),"")</f>
        <v/>
      </c>
      <c r="S738" s="26" t="str">
        <f t="shared" si="34"/>
        <v/>
      </c>
      <c r="T738" s="26" t="str">
        <f t="shared" si="35"/>
        <v/>
      </c>
    </row>
    <row r="739" spans="1:20" x14ac:dyDescent="0.3">
      <c r="A739" s="26" t="str">
        <f>IF(BASE_CAIXA!A736="","",BASE_CAIXA!A736)</f>
        <v/>
      </c>
      <c r="B739" s="26" t="str">
        <f>IF(A739="","",BASE_CAIXA!AL736)</f>
        <v/>
      </c>
      <c r="C739" s="26" t="str">
        <f>IF(A739="","",BASE_CAIXA!AJ736)</f>
        <v/>
      </c>
      <c r="D739" s="26" t="str">
        <f>IF(A739="","",IF(BASE_CAIXA!C736="Entrada","Crédito","Débito"))</f>
        <v/>
      </c>
      <c r="E739" s="26" t="str">
        <f>IF(A739="","",BASE_CAIXA!AA736)</f>
        <v/>
      </c>
      <c r="F739" s="26" t="str">
        <f>IF(A739="","",BASE_CAIXA!N736)</f>
        <v/>
      </c>
      <c r="G739" s="26" t="str">
        <f>IF(A739="","",BASE_CAIXA!O736)</f>
        <v/>
      </c>
      <c r="H739" s="26" t="str">
        <f>IF(A739="","",BASE_CAIXA!P736)</f>
        <v/>
      </c>
      <c r="I739" s="26" t="str">
        <f>IF(A739="","",IF(BASE_CAIXA!H736&lt;&gt;"",BASE_CAIXA!H736,BASE_CAIXA!G736))</f>
        <v/>
      </c>
      <c r="J739" s="26" t="str">
        <f>IF(A739="","",BASE_CAIXA!G736)</f>
        <v/>
      </c>
      <c r="K739" s="26" t="str">
        <f>IF(A739="","",BASE_CAIXA!I736)</f>
        <v/>
      </c>
      <c r="L739" s="26" t="str">
        <f>IF(A739="","",BASE_CAIXA!J736)</f>
        <v/>
      </c>
      <c r="M739" s="26" t="str">
        <f>IF(A739="","",BASE_CAIXA!AM736)</f>
        <v/>
      </c>
      <c r="N739" s="26" t="str">
        <f t="shared" ca="1" si="33"/>
        <v/>
      </c>
      <c r="O739" s="26" t="str">
        <f>IFERROR(INDEX(EXTRATO_IMPORTADO!$A$5:$A$404,MATCH(B739,EXTRATO_IMPORTADO!$I$5:$I$404,0)),"")</f>
        <v/>
      </c>
      <c r="P739" s="26" t="str">
        <f>IFERROR(INDEX(EXTRATO_IMPORTADO!$F$5:$F$404,MATCH(B739,EXTRATO_IMPORTADO!$I$5:$I$404,0)),"")</f>
        <v/>
      </c>
      <c r="Q739" s="26" t="str">
        <f>IFERROR(INDEX(EXTRATO_IMPORTADO!$B$5:$B$404,MATCH(B739,EXTRATO_IMPORTADO!$I$5:$I$404,0)),"")</f>
        <v/>
      </c>
      <c r="R739" s="26" t="str">
        <f>IFERROR(MATCH(B739,EXTRATO_IMPORTADO!$I$5:$I$404,0),"")</f>
        <v/>
      </c>
      <c r="S739" s="26" t="str">
        <f t="shared" si="34"/>
        <v/>
      </c>
      <c r="T739" s="26" t="str">
        <f t="shared" si="35"/>
        <v/>
      </c>
    </row>
    <row r="740" spans="1:20" x14ac:dyDescent="0.3">
      <c r="A740" s="26" t="str">
        <f>IF(BASE_CAIXA!A737="","",BASE_CAIXA!A737)</f>
        <v/>
      </c>
      <c r="B740" s="26" t="str">
        <f>IF(A740="","",BASE_CAIXA!AL737)</f>
        <v/>
      </c>
      <c r="C740" s="26" t="str">
        <f>IF(A740="","",BASE_CAIXA!AJ737)</f>
        <v/>
      </c>
      <c r="D740" s="26" t="str">
        <f>IF(A740="","",IF(BASE_CAIXA!C737="Entrada","Crédito","Débito"))</f>
        <v/>
      </c>
      <c r="E740" s="26" t="str">
        <f>IF(A740="","",BASE_CAIXA!AA737)</f>
        <v/>
      </c>
      <c r="F740" s="26" t="str">
        <f>IF(A740="","",BASE_CAIXA!N737)</f>
        <v/>
      </c>
      <c r="G740" s="26" t="str">
        <f>IF(A740="","",BASE_CAIXA!O737)</f>
        <v/>
      </c>
      <c r="H740" s="26" t="str">
        <f>IF(A740="","",BASE_CAIXA!P737)</f>
        <v/>
      </c>
      <c r="I740" s="26" t="str">
        <f>IF(A740="","",IF(BASE_CAIXA!H737&lt;&gt;"",BASE_CAIXA!H737,BASE_CAIXA!G737))</f>
        <v/>
      </c>
      <c r="J740" s="26" t="str">
        <f>IF(A740="","",BASE_CAIXA!G737)</f>
        <v/>
      </c>
      <c r="K740" s="26" t="str">
        <f>IF(A740="","",BASE_CAIXA!I737)</f>
        <v/>
      </c>
      <c r="L740" s="26" t="str">
        <f>IF(A740="","",BASE_CAIXA!J737)</f>
        <v/>
      </c>
      <c r="M740" s="26" t="str">
        <f>IF(A740="","",BASE_CAIXA!AM737)</f>
        <v/>
      </c>
      <c r="N740" s="26" t="str">
        <f t="shared" ca="1" si="33"/>
        <v/>
      </c>
      <c r="O740" s="26" t="str">
        <f>IFERROR(INDEX(EXTRATO_IMPORTADO!$A$5:$A$404,MATCH(B740,EXTRATO_IMPORTADO!$I$5:$I$404,0)),"")</f>
        <v/>
      </c>
      <c r="P740" s="26" t="str">
        <f>IFERROR(INDEX(EXTRATO_IMPORTADO!$F$5:$F$404,MATCH(B740,EXTRATO_IMPORTADO!$I$5:$I$404,0)),"")</f>
        <v/>
      </c>
      <c r="Q740" s="26" t="str">
        <f>IFERROR(INDEX(EXTRATO_IMPORTADO!$B$5:$B$404,MATCH(B740,EXTRATO_IMPORTADO!$I$5:$I$404,0)),"")</f>
        <v/>
      </c>
      <c r="R740" s="26" t="str">
        <f>IFERROR(MATCH(B740,EXTRATO_IMPORTADO!$I$5:$I$404,0),"")</f>
        <v/>
      </c>
      <c r="S740" s="26" t="str">
        <f t="shared" si="34"/>
        <v/>
      </c>
      <c r="T740" s="26" t="str">
        <f t="shared" si="35"/>
        <v/>
      </c>
    </row>
    <row r="741" spans="1:20" x14ac:dyDescent="0.3">
      <c r="A741" s="26" t="str">
        <f>IF(BASE_CAIXA!A738="","",BASE_CAIXA!A738)</f>
        <v/>
      </c>
      <c r="B741" s="26" t="str">
        <f>IF(A741="","",BASE_CAIXA!AL738)</f>
        <v/>
      </c>
      <c r="C741" s="26" t="str">
        <f>IF(A741="","",BASE_CAIXA!AJ738)</f>
        <v/>
      </c>
      <c r="D741" s="26" t="str">
        <f>IF(A741="","",IF(BASE_CAIXA!C738="Entrada","Crédito","Débito"))</f>
        <v/>
      </c>
      <c r="E741" s="26" t="str">
        <f>IF(A741="","",BASE_CAIXA!AA738)</f>
        <v/>
      </c>
      <c r="F741" s="26" t="str">
        <f>IF(A741="","",BASE_CAIXA!N738)</f>
        <v/>
      </c>
      <c r="G741" s="26" t="str">
        <f>IF(A741="","",BASE_CAIXA!O738)</f>
        <v/>
      </c>
      <c r="H741" s="26" t="str">
        <f>IF(A741="","",BASE_CAIXA!P738)</f>
        <v/>
      </c>
      <c r="I741" s="26" t="str">
        <f>IF(A741="","",IF(BASE_CAIXA!H738&lt;&gt;"",BASE_CAIXA!H738,BASE_CAIXA!G738))</f>
        <v/>
      </c>
      <c r="J741" s="26" t="str">
        <f>IF(A741="","",BASE_CAIXA!G738)</f>
        <v/>
      </c>
      <c r="K741" s="26" t="str">
        <f>IF(A741="","",BASE_CAIXA!I738)</f>
        <v/>
      </c>
      <c r="L741" s="26" t="str">
        <f>IF(A741="","",BASE_CAIXA!J738)</f>
        <v/>
      </c>
      <c r="M741" s="26" t="str">
        <f>IF(A741="","",BASE_CAIXA!AM738)</f>
        <v/>
      </c>
      <c r="N741" s="26" t="str">
        <f t="shared" ca="1" si="33"/>
        <v/>
      </c>
      <c r="O741" s="26" t="str">
        <f>IFERROR(INDEX(EXTRATO_IMPORTADO!$A$5:$A$404,MATCH(B741,EXTRATO_IMPORTADO!$I$5:$I$404,0)),"")</f>
        <v/>
      </c>
      <c r="P741" s="26" t="str">
        <f>IFERROR(INDEX(EXTRATO_IMPORTADO!$F$5:$F$404,MATCH(B741,EXTRATO_IMPORTADO!$I$5:$I$404,0)),"")</f>
        <v/>
      </c>
      <c r="Q741" s="26" t="str">
        <f>IFERROR(INDEX(EXTRATO_IMPORTADO!$B$5:$B$404,MATCH(B741,EXTRATO_IMPORTADO!$I$5:$I$404,0)),"")</f>
        <v/>
      </c>
      <c r="R741" s="26" t="str">
        <f>IFERROR(MATCH(B741,EXTRATO_IMPORTADO!$I$5:$I$404,0),"")</f>
        <v/>
      </c>
      <c r="S741" s="26" t="str">
        <f t="shared" si="34"/>
        <v/>
      </c>
      <c r="T741" s="26" t="str">
        <f t="shared" si="35"/>
        <v/>
      </c>
    </row>
    <row r="742" spans="1:20" x14ac:dyDescent="0.3">
      <c r="A742" s="26" t="str">
        <f>IF(BASE_CAIXA!A739="","",BASE_CAIXA!A739)</f>
        <v/>
      </c>
      <c r="B742" s="26" t="str">
        <f>IF(A742="","",BASE_CAIXA!AL739)</f>
        <v/>
      </c>
      <c r="C742" s="26" t="str">
        <f>IF(A742="","",BASE_CAIXA!AJ739)</f>
        <v/>
      </c>
      <c r="D742" s="26" t="str">
        <f>IF(A742="","",IF(BASE_CAIXA!C739="Entrada","Crédito","Débito"))</f>
        <v/>
      </c>
      <c r="E742" s="26" t="str">
        <f>IF(A742="","",BASE_CAIXA!AA739)</f>
        <v/>
      </c>
      <c r="F742" s="26" t="str">
        <f>IF(A742="","",BASE_CAIXA!N739)</f>
        <v/>
      </c>
      <c r="G742" s="26" t="str">
        <f>IF(A742="","",BASE_CAIXA!O739)</f>
        <v/>
      </c>
      <c r="H742" s="26" t="str">
        <f>IF(A742="","",BASE_CAIXA!P739)</f>
        <v/>
      </c>
      <c r="I742" s="26" t="str">
        <f>IF(A742="","",IF(BASE_CAIXA!H739&lt;&gt;"",BASE_CAIXA!H739,BASE_CAIXA!G739))</f>
        <v/>
      </c>
      <c r="J742" s="26" t="str">
        <f>IF(A742="","",BASE_CAIXA!G739)</f>
        <v/>
      </c>
      <c r="K742" s="26" t="str">
        <f>IF(A742="","",BASE_CAIXA!I739)</f>
        <v/>
      </c>
      <c r="L742" s="26" t="str">
        <f>IF(A742="","",BASE_CAIXA!J739)</f>
        <v/>
      </c>
      <c r="M742" s="26" t="str">
        <f>IF(A742="","",BASE_CAIXA!AM739)</f>
        <v/>
      </c>
      <c r="N742" s="26" t="str">
        <f t="shared" ca="1" si="33"/>
        <v/>
      </c>
      <c r="O742" s="26" t="str">
        <f>IFERROR(INDEX(EXTRATO_IMPORTADO!$A$5:$A$404,MATCH(B742,EXTRATO_IMPORTADO!$I$5:$I$404,0)),"")</f>
        <v/>
      </c>
      <c r="P742" s="26" t="str">
        <f>IFERROR(INDEX(EXTRATO_IMPORTADO!$F$5:$F$404,MATCH(B742,EXTRATO_IMPORTADO!$I$5:$I$404,0)),"")</f>
        <v/>
      </c>
      <c r="Q742" s="26" t="str">
        <f>IFERROR(INDEX(EXTRATO_IMPORTADO!$B$5:$B$404,MATCH(B742,EXTRATO_IMPORTADO!$I$5:$I$404,0)),"")</f>
        <v/>
      </c>
      <c r="R742" s="26" t="str">
        <f>IFERROR(MATCH(B742,EXTRATO_IMPORTADO!$I$5:$I$404,0),"")</f>
        <v/>
      </c>
      <c r="S742" s="26" t="str">
        <f t="shared" si="34"/>
        <v/>
      </c>
      <c r="T742" s="26" t="str">
        <f t="shared" si="35"/>
        <v/>
      </c>
    </row>
    <row r="743" spans="1:20" x14ac:dyDescent="0.3">
      <c r="A743" s="26" t="str">
        <f>IF(BASE_CAIXA!A740="","",BASE_CAIXA!A740)</f>
        <v/>
      </c>
      <c r="B743" s="26" t="str">
        <f>IF(A743="","",BASE_CAIXA!AL740)</f>
        <v/>
      </c>
      <c r="C743" s="26" t="str">
        <f>IF(A743="","",BASE_CAIXA!AJ740)</f>
        <v/>
      </c>
      <c r="D743" s="26" t="str">
        <f>IF(A743="","",IF(BASE_CAIXA!C740="Entrada","Crédito","Débito"))</f>
        <v/>
      </c>
      <c r="E743" s="26" t="str">
        <f>IF(A743="","",BASE_CAIXA!AA740)</f>
        <v/>
      </c>
      <c r="F743" s="26" t="str">
        <f>IF(A743="","",BASE_CAIXA!N740)</f>
        <v/>
      </c>
      <c r="G743" s="26" t="str">
        <f>IF(A743="","",BASE_CAIXA!O740)</f>
        <v/>
      </c>
      <c r="H743" s="26" t="str">
        <f>IF(A743="","",BASE_CAIXA!P740)</f>
        <v/>
      </c>
      <c r="I743" s="26" t="str">
        <f>IF(A743="","",IF(BASE_CAIXA!H740&lt;&gt;"",BASE_CAIXA!H740,BASE_CAIXA!G740))</f>
        <v/>
      </c>
      <c r="J743" s="26" t="str">
        <f>IF(A743="","",BASE_CAIXA!G740)</f>
        <v/>
      </c>
      <c r="K743" s="26" t="str">
        <f>IF(A743="","",BASE_CAIXA!I740)</f>
        <v/>
      </c>
      <c r="L743" s="26" t="str">
        <f>IF(A743="","",BASE_CAIXA!J740)</f>
        <v/>
      </c>
      <c r="M743" s="26" t="str">
        <f>IF(A743="","",BASE_CAIXA!AM740)</f>
        <v/>
      </c>
      <c r="N743" s="26" t="str">
        <f t="shared" ca="1" si="33"/>
        <v/>
      </c>
      <c r="O743" s="26" t="str">
        <f>IFERROR(INDEX(EXTRATO_IMPORTADO!$A$5:$A$404,MATCH(B743,EXTRATO_IMPORTADO!$I$5:$I$404,0)),"")</f>
        <v/>
      </c>
      <c r="P743" s="26" t="str">
        <f>IFERROR(INDEX(EXTRATO_IMPORTADO!$F$5:$F$404,MATCH(B743,EXTRATO_IMPORTADO!$I$5:$I$404,0)),"")</f>
        <v/>
      </c>
      <c r="Q743" s="26" t="str">
        <f>IFERROR(INDEX(EXTRATO_IMPORTADO!$B$5:$B$404,MATCH(B743,EXTRATO_IMPORTADO!$I$5:$I$404,0)),"")</f>
        <v/>
      </c>
      <c r="R743" s="26" t="str">
        <f>IFERROR(MATCH(B743,EXTRATO_IMPORTADO!$I$5:$I$404,0),"")</f>
        <v/>
      </c>
      <c r="S743" s="26" t="str">
        <f t="shared" si="34"/>
        <v/>
      </c>
      <c r="T743" s="26" t="str">
        <f t="shared" si="35"/>
        <v/>
      </c>
    </row>
    <row r="744" spans="1:20" x14ac:dyDescent="0.3">
      <c r="A744" s="26" t="str">
        <f>IF(BASE_CAIXA!A741="","",BASE_CAIXA!A741)</f>
        <v/>
      </c>
      <c r="B744" s="26" t="str">
        <f>IF(A744="","",BASE_CAIXA!AL741)</f>
        <v/>
      </c>
      <c r="C744" s="26" t="str">
        <f>IF(A744="","",BASE_CAIXA!AJ741)</f>
        <v/>
      </c>
      <c r="D744" s="26" t="str">
        <f>IF(A744="","",IF(BASE_CAIXA!C741="Entrada","Crédito","Débito"))</f>
        <v/>
      </c>
      <c r="E744" s="26" t="str">
        <f>IF(A744="","",BASE_CAIXA!AA741)</f>
        <v/>
      </c>
      <c r="F744" s="26" t="str">
        <f>IF(A744="","",BASE_CAIXA!N741)</f>
        <v/>
      </c>
      <c r="G744" s="26" t="str">
        <f>IF(A744="","",BASE_CAIXA!O741)</f>
        <v/>
      </c>
      <c r="H744" s="26" t="str">
        <f>IF(A744="","",BASE_CAIXA!P741)</f>
        <v/>
      </c>
      <c r="I744" s="26" t="str">
        <f>IF(A744="","",IF(BASE_CAIXA!H741&lt;&gt;"",BASE_CAIXA!H741,BASE_CAIXA!G741))</f>
        <v/>
      </c>
      <c r="J744" s="26" t="str">
        <f>IF(A744="","",BASE_CAIXA!G741)</f>
        <v/>
      </c>
      <c r="K744" s="26" t="str">
        <f>IF(A744="","",BASE_CAIXA!I741)</f>
        <v/>
      </c>
      <c r="L744" s="26" t="str">
        <f>IF(A744="","",BASE_CAIXA!J741)</f>
        <v/>
      </c>
      <c r="M744" s="26" t="str">
        <f>IF(A744="","",BASE_CAIXA!AM741)</f>
        <v/>
      </c>
      <c r="N744" s="26" t="str">
        <f t="shared" ca="1" si="33"/>
        <v/>
      </c>
      <c r="O744" s="26" t="str">
        <f>IFERROR(INDEX(EXTRATO_IMPORTADO!$A$5:$A$404,MATCH(B744,EXTRATO_IMPORTADO!$I$5:$I$404,0)),"")</f>
        <v/>
      </c>
      <c r="P744" s="26" t="str">
        <f>IFERROR(INDEX(EXTRATO_IMPORTADO!$F$5:$F$404,MATCH(B744,EXTRATO_IMPORTADO!$I$5:$I$404,0)),"")</f>
        <v/>
      </c>
      <c r="Q744" s="26" t="str">
        <f>IFERROR(INDEX(EXTRATO_IMPORTADO!$B$5:$B$404,MATCH(B744,EXTRATO_IMPORTADO!$I$5:$I$404,0)),"")</f>
        <v/>
      </c>
      <c r="R744" s="26" t="str">
        <f>IFERROR(MATCH(B744,EXTRATO_IMPORTADO!$I$5:$I$404,0),"")</f>
        <v/>
      </c>
      <c r="S744" s="26" t="str">
        <f t="shared" si="34"/>
        <v/>
      </c>
      <c r="T744" s="26" t="str">
        <f t="shared" si="35"/>
        <v/>
      </c>
    </row>
    <row r="745" spans="1:20" x14ac:dyDescent="0.3">
      <c r="A745" s="26" t="str">
        <f>IF(BASE_CAIXA!A742="","",BASE_CAIXA!A742)</f>
        <v/>
      </c>
      <c r="B745" s="26" t="str">
        <f>IF(A745="","",BASE_CAIXA!AL742)</f>
        <v/>
      </c>
      <c r="C745" s="26" t="str">
        <f>IF(A745="","",BASE_CAIXA!AJ742)</f>
        <v/>
      </c>
      <c r="D745" s="26" t="str">
        <f>IF(A745="","",IF(BASE_CAIXA!C742="Entrada","Crédito","Débito"))</f>
        <v/>
      </c>
      <c r="E745" s="26" t="str">
        <f>IF(A745="","",BASE_CAIXA!AA742)</f>
        <v/>
      </c>
      <c r="F745" s="26" t="str">
        <f>IF(A745="","",BASE_CAIXA!N742)</f>
        <v/>
      </c>
      <c r="G745" s="26" t="str">
        <f>IF(A745="","",BASE_CAIXA!O742)</f>
        <v/>
      </c>
      <c r="H745" s="26" t="str">
        <f>IF(A745="","",BASE_CAIXA!P742)</f>
        <v/>
      </c>
      <c r="I745" s="26" t="str">
        <f>IF(A745="","",IF(BASE_CAIXA!H742&lt;&gt;"",BASE_CAIXA!H742,BASE_CAIXA!G742))</f>
        <v/>
      </c>
      <c r="J745" s="26" t="str">
        <f>IF(A745="","",BASE_CAIXA!G742)</f>
        <v/>
      </c>
      <c r="K745" s="26" t="str">
        <f>IF(A745="","",BASE_CAIXA!I742)</f>
        <v/>
      </c>
      <c r="L745" s="26" t="str">
        <f>IF(A745="","",BASE_CAIXA!J742)</f>
        <v/>
      </c>
      <c r="M745" s="26" t="str">
        <f>IF(A745="","",BASE_CAIXA!AM742)</f>
        <v/>
      </c>
      <c r="N745" s="26" t="str">
        <f t="shared" ca="1" si="33"/>
        <v/>
      </c>
      <c r="O745" s="26" t="str">
        <f>IFERROR(INDEX(EXTRATO_IMPORTADO!$A$5:$A$404,MATCH(B745,EXTRATO_IMPORTADO!$I$5:$I$404,0)),"")</f>
        <v/>
      </c>
      <c r="P745" s="26" t="str">
        <f>IFERROR(INDEX(EXTRATO_IMPORTADO!$F$5:$F$404,MATCH(B745,EXTRATO_IMPORTADO!$I$5:$I$404,0)),"")</f>
        <v/>
      </c>
      <c r="Q745" s="26" t="str">
        <f>IFERROR(INDEX(EXTRATO_IMPORTADO!$B$5:$B$404,MATCH(B745,EXTRATO_IMPORTADO!$I$5:$I$404,0)),"")</f>
        <v/>
      </c>
      <c r="R745" s="26" t="str">
        <f>IFERROR(MATCH(B745,EXTRATO_IMPORTADO!$I$5:$I$404,0),"")</f>
        <v/>
      </c>
      <c r="S745" s="26" t="str">
        <f t="shared" si="34"/>
        <v/>
      </c>
      <c r="T745" s="26" t="str">
        <f t="shared" si="35"/>
        <v/>
      </c>
    </row>
    <row r="746" spans="1:20" x14ac:dyDescent="0.3">
      <c r="A746" s="26" t="str">
        <f>IF(BASE_CAIXA!A743="","",BASE_CAIXA!A743)</f>
        <v/>
      </c>
      <c r="B746" s="26" t="str">
        <f>IF(A746="","",BASE_CAIXA!AL743)</f>
        <v/>
      </c>
      <c r="C746" s="26" t="str">
        <f>IF(A746="","",BASE_CAIXA!AJ743)</f>
        <v/>
      </c>
      <c r="D746" s="26" t="str">
        <f>IF(A746="","",IF(BASE_CAIXA!C743="Entrada","Crédito","Débito"))</f>
        <v/>
      </c>
      <c r="E746" s="26" t="str">
        <f>IF(A746="","",BASE_CAIXA!AA743)</f>
        <v/>
      </c>
      <c r="F746" s="26" t="str">
        <f>IF(A746="","",BASE_CAIXA!N743)</f>
        <v/>
      </c>
      <c r="G746" s="26" t="str">
        <f>IF(A746="","",BASE_CAIXA!O743)</f>
        <v/>
      </c>
      <c r="H746" s="26" t="str">
        <f>IF(A746="","",BASE_CAIXA!P743)</f>
        <v/>
      </c>
      <c r="I746" s="26" t="str">
        <f>IF(A746="","",IF(BASE_CAIXA!H743&lt;&gt;"",BASE_CAIXA!H743,BASE_CAIXA!G743))</f>
        <v/>
      </c>
      <c r="J746" s="26" t="str">
        <f>IF(A746="","",BASE_CAIXA!G743)</f>
        <v/>
      </c>
      <c r="K746" s="26" t="str">
        <f>IF(A746="","",BASE_CAIXA!I743)</f>
        <v/>
      </c>
      <c r="L746" s="26" t="str">
        <f>IF(A746="","",BASE_CAIXA!J743)</f>
        <v/>
      </c>
      <c r="M746" s="26" t="str">
        <f>IF(A746="","",BASE_CAIXA!AM743)</f>
        <v/>
      </c>
      <c r="N746" s="26" t="str">
        <f t="shared" ca="1" si="33"/>
        <v/>
      </c>
      <c r="O746" s="26" t="str">
        <f>IFERROR(INDEX(EXTRATO_IMPORTADO!$A$5:$A$404,MATCH(B746,EXTRATO_IMPORTADO!$I$5:$I$404,0)),"")</f>
        <v/>
      </c>
      <c r="P746" s="26" t="str">
        <f>IFERROR(INDEX(EXTRATO_IMPORTADO!$F$5:$F$404,MATCH(B746,EXTRATO_IMPORTADO!$I$5:$I$404,0)),"")</f>
        <v/>
      </c>
      <c r="Q746" s="26" t="str">
        <f>IFERROR(INDEX(EXTRATO_IMPORTADO!$B$5:$B$404,MATCH(B746,EXTRATO_IMPORTADO!$I$5:$I$404,0)),"")</f>
        <v/>
      </c>
      <c r="R746" s="26" t="str">
        <f>IFERROR(MATCH(B746,EXTRATO_IMPORTADO!$I$5:$I$404,0),"")</f>
        <v/>
      </c>
      <c r="S746" s="26" t="str">
        <f t="shared" si="34"/>
        <v/>
      </c>
      <c r="T746" s="26" t="str">
        <f t="shared" si="35"/>
        <v/>
      </c>
    </row>
    <row r="747" spans="1:20" x14ac:dyDescent="0.3">
      <c r="A747" s="26" t="str">
        <f>IF(BASE_CAIXA!A744="","",BASE_CAIXA!A744)</f>
        <v/>
      </c>
      <c r="B747" s="26" t="str">
        <f>IF(A747="","",BASE_CAIXA!AL744)</f>
        <v/>
      </c>
      <c r="C747" s="26" t="str">
        <f>IF(A747="","",BASE_CAIXA!AJ744)</f>
        <v/>
      </c>
      <c r="D747" s="26" t="str">
        <f>IF(A747="","",IF(BASE_CAIXA!C744="Entrada","Crédito","Débito"))</f>
        <v/>
      </c>
      <c r="E747" s="26" t="str">
        <f>IF(A747="","",BASE_CAIXA!AA744)</f>
        <v/>
      </c>
      <c r="F747" s="26" t="str">
        <f>IF(A747="","",BASE_CAIXA!N744)</f>
        <v/>
      </c>
      <c r="G747" s="26" t="str">
        <f>IF(A747="","",BASE_CAIXA!O744)</f>
        <v/>
      </c>
      <c r="H747" s="26" t="str">
        <f>IF(A747="","",BASE_CAIXA!P744)</f>
        <v/>
      </c>
      <c r="I747" s="26" t="str">
        <f>IF(A747="","",IF(BASE_CAIXA!H744&lt;&gt;"",BASE_CAIXA!H744,BASE_CAIXA!G744))</f>
        <v/>
      </c>
      <c r="J747" s="26" t="str">
        <f>IF(A747="","",BASE_CAIXA!G744)</f>
        <v/>
      </c>
      <c r="K747" s="26" t="str">
        <f>IF(A747="","",BASE_CAIXA!I744)</f>
        <v/>
      </c>
      <c r="L747" s="26" t="str">
        <f>IF(A747="","",BASE_CAIXA!J744)</f>
        <v/>
      </c>
      <c r="M747" s="26" t="str">
        <f>IF(A747="","",BASE_CAIXA!AM744)</f>
        <v/>
      </c>
      <c r="N747" s="26" t="str">
        <f t="shared" ca="1" si="33"/>
        <v/>
      </c>
      <c r="O747" s="26" t="str">
        <f>IFERROR(INDEX(EXTRATO_IMPORTADO!$A$5:$A$404,MATCH(B747,EXTRATO_IMPORTADO!$I$5:$I$404,0)),"")</f>
        <v/>
      </c>
      <c r="P747" s="26" t="str">
        <f>IFERROR(INDEX(EXTRATO_IMPORTADO!$F$5:$F$404,MATCH(B747,EXTRATO_IMPORTADO!$I$5:$I$404,0)),"")</f>
        <v/>
      </c>
      <c r="Q747" s="26" t="str">
        <f>IFERROR(INDEX(EXTRATO_IMPORTADO!$B$5:$B$404,MATCH(B747,EXTRATO_IMPORTADO!$I$5:$I$404,0)),"")</f>
        <v/>
      </c>
      <c r="R747" s="26" t="str">
        <f>IFERROR(MATCH(B747,EXTRATO_IMPORTADO!$I$5:$I$404,0),"")</f>
        <v/>
      </c>
      <c r="S747" s="26" t="str">
        <f t="shared" si="34"/>
        <v/>
      </c>
      <c r="T747" s="26" t="str">
        <f t="shared" si="35"/>
        <v/>
      </c>
    </row>
    <row r="748" spans="1:20" x14ac:dyDescent="0.3">
      <c r="A748" s="26" t="str">
        <f>IF(BASE_CAIXA!A745="","",BASE_CAIXA!A745)</f>
        <v/>
      </c>
      <c r="B748" s="26" t="str">
        <f>IF(A748="","",BASE_CAIXA!AL745)</f>
        <v/>
      </c>
      <c r="C748" s="26" t="str">
        <f>IF(A748="","",BASE_CAIXA!AJ745)</f>
        <v/>
      </c>
      <c r="D748" s="26" t="str">
        <f>IF(A748="","",IF(BASE_CAIXA!C745="Entrada","Crédito","Débito"))</f>
        <v/>
      </c>
      <c r="E748" s="26" t="str">
        <f>IF(A748="","",BASE_CAIXA!AA745)</f>
        <v/>
      </c>
      <c r="F748" s="26" t="str">
        <f>IF(A748="","",BASE_CAIXA!N745)</f>
        <v/>
      </c>
      <c r="G748" s="26" t="str">
        <f>IF(A748="","",BASE_CAIXA!O745)</f>
        <v/>
      </c>
      <c r="H748" s="26" t="str">
        <f>IF(A748="","",BASE_CAIXA!P745)</f>
        <v/>
      </c>
      <c r="I748" s="26" t="str">
        <f>IF(A748="","",IF(BASE_CAIXA!H745&lt;&gt;"",BASE_CAIXA!H745,BASE_CAIXA!G745))</f>
        <v/>
      </c>
      <c r="J748" s="26" t="str">
        <f>IF(A748="","",BASE_CAIXA!G745)</f>
        <v/>
      </c>
      <c r="K748" s="26" t="str">
        <f>IF(A748="","",BASE_CAIXA!I745)</f>
        <v/>
      </c>
      <c r="L748" s="26" t="str">
        <f>IF(A748="","",BASE_CAIXA!J745)</f>
        <v/>
      </c>
      <c r="M748" s="26" t="str">
        <f>IF(A748="","",BASE_CAIXA!AM745)</f>
        <v/>
      </c>
      <c r="N748" s="26" t="str">
        <f t="shared" ca="1" si="33"/>
        <v/>
      </c>
      <c r="O748" s="26" t="str">
        <f>IFERROR(INDEX(EXTRATO_IMPORTADO!$A$5:$A$404,MATCH(B748,EXTRATO_IMPORTADO!$I$5:$I$404,0)),"")</f>
        <v/>
      </c>
      <c r="P748" s="26" t="str">
        <f>IFERROR(INDEX(EXTRATO_IMPORTADO!$F$5:$F$404,MATCH(B748,EXTRATO_IMPORTADO!$I$5:$I$404,0)),"")</f>
        <v/>
      </c>
      <c r="Q748" s="26" t="str">
        <f>IFERROR(INDEX(EXTRATO_IMPORTADO!$B$5:$B$404,MATCH(B748,EXTRATO_IMPORTADO!$I$5:$I$404,0)),"")</f>
        <v/>
      </c>
      <c r="R748" s="26" t="str">
        <f>IFERROR(MATCH(B748,EXTRATO_IMPORTADO!$I$5:$I$404,0),"")</f>
        <v/>
      </c>
      <c r="S748" s="26" t="str">
        <f t="shared" si="34"/>
        <v/>
      </c>
      <c r="T748" s="26" t="str">
        <f t="shared" si="35"/>
        <v/>
      </c>
    </row>
    <row r="749" spans="1:20" x14ac:dyDescent="0.3">
      <c r="A749" s="26" t="str">
        <f>IF(BASE_CAIXA!A746="","",BASE_CAIXA!A746)</f>
        <v/>
      </c>
      <c r="B749" s="26" t="str">
        <f>IF(A749="","",BASE_CAIXA!AL746)</f>
        <v/>
      </c>
      <c r="C749" s="26" t="str">
        <f>IF(A749="","",BASE_CAIXA!AJ746)</f>
        <v/>
      </c>
      <c r="D749" s="26" t="str">
        <f>IF(A749="","",IF(BASE_CAIXA!C746="Entrada","Crédito","Débito"))</f>
        <v/>
      </c>
      <c r="E749" s="26" t="str">
        <f>IF(A749="","",BASE_CAIXA!AA746)</f>
        <v/>
      </c>
      <c r="F749" s="26" t="str">
        <f>IF(A749="","",BASE_CAIXA!N746)</f>
        <v/>
      </c>
      <c r="G749" s="26" t="str">
        <f>IF(A749="","",BASE_CAIXA!O746)</f>
        <v/>
      </c>
      <c r="H749" s="26" t="str">
        <f>IF(A749="","",BASE_CAIXA!P746)</f>
        <v/>
      </c>
      <c r="I749" s="26" t="str">
        <f>IF(A749="","",IF(BASE_CAIXA!H746&lt;&gt;"",BASE_CAIXA!H746,BASE_CAIXA!G746))</f>
        <v/>
      </c>
      <c r="J749" s="26" t="str">
        <f>IF(A749="","",BASE_CAIXA!G746)</f>
        <v/>
      </c>
      <c r="K749" s="26" t="str">
        <f>IF(A749="","",BASE_CAIXA!I746)</f>
        <v/>
      </c>
      <c r="L749" s="26" t="str">
        <f>IF(A749="","",BASE_CAIXA!J746)</f>
        <v/>
      </c>
      <c r="M749" s="26" t="str">
        <f>IF(A749="","",BASE_CAIXA!AM746)</f>
        <v/>
      </c>
      <c r="N749" s="26" t="str">
        <f t="shared" ca="1" si="33"/>
        <v/>
      </c>
      <c r="O749" s="26" t="str">
        <f>IFERROR(INDEX(EXTRATO_IMPORTADO!$A$5:$A$404,MATCH(B749,EXTRATO_IMPORTADO!$I$5:$I$404,0)),"")</f>
        <v/>
      </c>
      <c r="P749" s="26" t="str">
        <f>IFERROR(INDEX(EXTRATO_IMPORTADO!$F$5:$F$404,MATCH(B749,EXTRATO_IMPORTADO!$I$5:$I$404,0)),"")</f>
        <v/>
      </c>
      <c r="Q749" s="26" t="str">
        <f>IFERROR(INDEX(EXTRATO_IMPORTADO!$B$5:$B$404,MATCH(B749,EXTRATO_IMPORTADO!$I$5:$I$404,0)),"")</f>
        <v/>
      </c>
      <c r="R749" s="26" t="str">
        <f>IFERROR(MATCH(B749,EXTRATO_IMPORTADO!$I$5:$I$404,0),"")</f>
        <v/>
      </c>
      <c r="S749" s="26" t="str">
        <f t="shared" si="34"/>
        <v/>
      </c>
      <c r="T749" s="26" t="str">
        <f t="shared" si="35"/>
        <v/>
      </c>
    </row>
    <row r="750" spans="1:20" x14ac:dyDescent="0.3">
      <c r="A750" s="26" t="str">
        <f>IF(BASE_CAIXA!A747="","",BASE_CAIXA!A747)</f>
        <v/>
      </c>
      <c r="B750" s="26" t="str">
        <f>IF(A750="","",BASE_CAIXA!AL747)</f>
        <v/>
      </c>
      <c r="C750" s="26" t="str">
        <f>IF(A750="","",BASE_CAIXA!AJ747)</f>
        <v/>
      </c>
      <c r="D750" s="26" t="str">
        <f>IF(A750="","",IF(BASE_CAIXA!C747="Entrada","Crédito","Débito"))</f>
        <v/>
      </c>
      <c r="E750" s="26" t="str">
        <f>IF(A750="","",BASE_CAIXA!AA747)</f>
        <v/>
      </c>
      <c r="F750" s="26" t="str">
        <f>IF(A750="","",BASE_CAIXA!N747)</f>
        <v/>
      </c>
      <c r="G750" s="26" t="str">
        <f>IF(A750="","",BASE_CAIXA!O747)</f>
        <v/>
      </c>
      <c r="H750" s="26" t="str">
        <f>IF(A750="","",BASE_CAIXA!P747)</f>
        <v/>
      </c>
      <c r="I750" s="26" t="str">
        <f>IF(A750="","",IF(BASE_CAIXA!H747&lt;&gt;"",BASE_CAIXA!H747,BASE_CAIXA!G747))</f>
        <v/>
      </c>
      <c r="J750" s="26" t="str">
        <f>IF(A750="","",BASE_CAIXA!G747)</f>
        <v/>
      </c>
      <c r="K750" s="26" t="str">
        <f>IF(A750="","",BASE_CAIXA!I747)</f>
        <v/>
      </c>
      <c r="L750" s="26" t="str">
        <f>IF(A750="","",BASE_CAIXA!J747)</f>
        <v/>
      </c>
      <c r="M750" s="26" t="str">
        <f>IF(A750="","",BASE_CAIXA!AM747)</f>
        <v/>
      </c>
      <c r="N750" s="26" t="str">
        <f t="shared" ca="1" si="33"/>
        <v/>
      </c>
      <c r="O750" s="26" t="str">
        <f>IFERROR(INDEX(EXTRATO_IMPORTADO!$A$5:$A$404,MATCH(B750,EXTRATO_IMPORTADO!$I$5:$I$404,0)),"")</f>
        <v/>
      </c>
      <c r="P750" s="26" t="str">
        <f>IFERROR(INDEX(EXTRATO_IMPORTADO!$F$5:$F$404,MATCH(B750,EXTRATO_IMPORTADO!$I$5:$I$404,0)),"")</f>
        <v/>
      </c>
      <c r="Q750" s="26" t="str">
        <f>IFERROR(INDEX(EXTRATO_IMPORTADO!$B$5:$B$404,MATCH(B750,EXTRATO_IMPORTADO!$I$5:$I$404,0)),"")</f>
        <v/>
      </c>
      <c r="R750" s="26" t="str">
        <f>IFERROR(MATCH(B750,EXTRATO_IMPORTADO!$I$5:$I$404,0),"")</f>
        <v/>
      </c>
      <c r="S750" s="26" t="str">
        <f t="shared" si="34"/>
        <v/>
      </c>
      <c r="T750" s="26" t="str">
        <f t="shared" si="35"/>
        <v/>
      </c>
    </row>
    <row r="751" spans="1:20" x14ac:dyDescent="0.3">
      <c r="A751" s="26" t="str">
        <f>IF(BASE_CAIXA!A748="","",BASE_CAIXA!A748)</f>
        <v/>
      </c>
      <c r="B751" s="26" t="str">
        <f>IF(A751="","",BASE_CAIXA!AL748)</f>
        <v/>
      </c>
      <c r="C751" s="26" t="str">
        <f>IF(A751="","",BASE_CAIXA!AJ748)</f>
        <v/>
      </c>
      <c r="D751" s="26" t="str">
        <f>IF(A751="","",IF(BASE_CAIXA!C748="Entrada","Crédito","Débito"))</f>
        <v/>
      </c>
      <c r="E751" s="26" t="str">
        <f>IF(A751="","",BASE_CAIXA!AA748)</f>
        <v/>
      </c>
      <c r="F751" s="26" t="str">
        <f>IF(A751="","",BASE_CAIXA!N748)</f>
        <v/>
      </c>
      <c r="G751" s="26" t="str">
        <f>IF(A751="","",BASE_CAIXA!O748)</f>
        <v/>
      </c>
      <c r="H751" s="26" t="str">
        <f>IF(A751="","",BASE_CAIXA!P748)</f>
        <v/>
      </c>
      <c r="I751" s="26" t="str">
        <f>IF(A751="","",IF(BASE_CAIXA!H748&lt;&gt;"",BASE_CAIXA!H748,BASE_CAIXA!G748))</f>
        <v/>
      </c>
      <c r="J751" s="26" t="str">
        <f>IF(A751="","",BASE_CAIXA!G748)</f>
        <v/>
      </c>
      <c r="K751" s="26" t="str">
        <f>IF(A751="","",BASE_CAIXA!I748)</f>
        <v/>
      </c>
      <c r="L751" s="26" t="str">
        <f>IF(A751="","",BASE_CAIXA!J748)</f>
        <v/>
      </c>
      <c r="M751" s="26" t="str">
        <f>IF(A751="","",BASE_CAIXA!AM748)</f>
        <v/>
      </c>
      <c r="N751" s="26" t="str">
        <f t="shared" ca="1" si="33"/>
        <v/>
      </c>
      <c r="O751" s="26" t="str">
        <f>IFERROR(INDEX(EXTRATO_IMPORTADO!$A$5:$A$404,MATCH(B751,EXTRATO_IMPORTADO!$I$5:$I$404,0)),"")</f>
        <v/>
      </c>
      <c r="P751" s="26" t="str">
        <f>IFERROR(INDEX(EXTRATO_IMPORTADO!$F$5:$F$404,MATCH(B751,EXTRATO_IMPORTADO!$I$5:$I$404,0)),"")</f>
        <v/>
      </c>
      <c r="Q751" s="26" t="str">
        <f>IFERROR(INDEX(EXTRATO_IMPORTADO!$B$5:$B$404,MATCH(B751,EXTRATO_IMPORTADO!$I$5:$I$404,0)),"")</f>
        <v/>
      </c>
      <c r="R751" s="26" t="str">
        <f>IFERROR(MATCH(B751,EXTRATO_IMPORTADO!$I$5:$I$404,0),"")</f>
        <v/>
      </c>
      <c r="S751" s="26" t="str">
        <f t="shared" si="34"/>
        <v/>
      </c>
      <c r="T751" s="26" t="str">
        <f t="shared" si="35"/>
        <v/>
      </c>
    </row>
    <row r="752" spans="1:20" x14ac:dyDescent="0.3">
      <c r="A752" s="26" t="str">
        <f>IF(BASE_CAIXA!A749="","",BASE_CAIXA!A749)</f>
        <v/>
      </c>
      <c r="B752" s="26" t="str">
        <f>IF(A752="","",BASE_CAIXA!AL749)</f>
        <v/>
      </c>
      <c r="C752" s="26" t="str">
        <f>IF(A752="","",BASE_CAIXA!AJ749)</f>
        <v/>
      </c>
      <c r="D752" s="26" t="str">
        <f>IF(A752="","",IF(BASE_CAIXA!C749="Entrada","Crédito","Débito"))</f>
        <v/>
      </c>
      <c r="E752" s="26" t="str">
        <f>IF(A752="","",BASE_CAIXA!AA749)</f>
        <v/>
      </c>
      <c r="F752" s="26" t="str">
        <f>IF(A752="","",BASE_CAIXA!N749)</f>
        <v/>
      </c>
      <c r="G752" s="26" t="str">
        <f>IF(A752="","",BASE_CAIXA!O749)</f>
        <v/>
      </c>
      <c r="H752" s="26" t="str">
        <f>IF(A752="","",BASE_CAIXA!P749)</f>
        <v/>
      </c>
      <c r="I752" s="26" t="str">
        <f>IF(A752="","",IF(BASE_CAIXA!H749&lt;&gt;"",BASE_CAIXA!H749,BASE_CAIXA!G749))</f>
        <v/>
      </c>
      <c r="J752" s="26" t="str">
        <f>IF(A752="","",BASE_CAIXA!G749)</f>
        <v/>
      </c>
      <c r="K752" s="26" t="str">
        <f>IF(A752="","",BASE_CAIXA!I749)</f>
        <v/>
      </c>
      <c r="L752" s="26" t="str">
        <f>IF(A752="","",BASE_CAIXA!J749)</f>
        <v/>
      </c>
      <c r="M752" s="26" t="str">
        <f>IF(A752="","",BASE_CAIXA!AM749)</f>
        <v/>
      </c>
      <c r="N752" s="26" t="str">
        <f t="shared" ca="1" si="33"/>
        <v/>
      </c>
      <c r="O752" s="26" t="str">
        <f>IFERROR(INDEX(EXTRATO_IMPORTADO!$A$5:$A$404,MATCH(B752,EXTRATO_IMPORTADO!$I$5:$I$404,0)),"")</f>
        <v/>
      </c>
      <c r="P752" s="26" t="str">
        <f>IFERROR(INDEX(EXTRATO_IMPORTADO!$F$5:$F$404,MATCH(B752,EXTRATO_IMPORTADO!$I$5:$I$404,0)),"")</f>
        <v/>
      </c>
      <c r="Q752" s="26" t="str">
        <f>IFERROR(INDEX(EXTRATO_IMPORTADO!$B$5:$B$404,MATCH(B752,EXTRATO_IMPORTADO!$I$5:$I$404,0)),"")</f>
        <v/>
      </c>
      <c r="R752" s="26" t="str">
        <f>IFERROR(MATCH(B752,EXTRATO_IMPORTADO!$I$5:$I$404,0),"")</f>
        <v/>
      </c>
      <c r="S752" s="26" t="str">
        <f t="shared" si="34"/>
        <v/>
      </c>
      <c r="T752" s="26" t="str">
        <f t="shared" si="35"/>
        <v/>
      </c>
    </row>
    <row r="753" spans="1:20" x14ac:dyDescent="0.3">
      <c r="A753" s="26" t="str">
        <f>IF(BASE_CAIXA!A750="","",BASE_CAIXA!A750)</f>
        <v/>
      </c>
      <c r="B753" s="26" t="str">
        <f>IF(A753="","",BASE_CAIXA!AL750)</f>
        <v/>
      </c>
      <c r="C753" s="26" t="str">
        <f>IF(A753="","",BASE_CAIXA!AJ750)</f>
        <v/>
      </c>
      <c r="D753" s="26" t="str">
        <f>IF(A753="","",IF(BASE_CAIXA!C750="Entrada","Crédito","Débito"))</f>
        <v/>
      </c>
      <c r="E753" s="26" t="str">
        <f>IF(A753="","",BASE_CAIXA!AA750)</f>
        <v/>
      </c>
      <c r="F753" s="26" t="str">
        <f>IF(A753="","",BASE_CAIXA!N750)</f>
        <v/>
      </c>
      <c r="G753" s="26" t="str">
        <f>IF(A753="","",BASE_CAIXA!O750)</f>
        <v/>
      </c>
      <c r="H753" s="26" t="str">
        <f>IF(A753="","",BASE_CAIXA!P750)</f>
        <v/>
      </c>
      <c r="I753" s="26" t="str">
        <f>IF(A753="","",IF(BASE_CAIXA!H750&lt;&gt;"",BASE_CAIXA!H750,BASE_CAIXA!G750))</f>
        <v/>
      </c>
      <c r="J753" s="26" t="str">
        <f>IF(A753="","",BASE_CAIXA!G750)</f>
        <v/>
      </c>
      <c r="K753" s="26" t="str">
        <f>IF(A753="","",BASE_CAIXA!I750)</f>
        <v/>
      </c>
      <c r="L753" s="26" t="str">
        <f>IF(A753="","",BASE_CAIXA!J750)</f>
        <v/>
      </c>
      <c r="M753" s="26" t="str">
        <f>IF(A753="","",BASE_CAIXA!AM750)</f>
        <v/>
      </c>
      <c r="N753" s="26" t="str">
        <f t="shared" ca="1" si="33"/>
        <v/>
      </c>
      <c r="O753" s="26" t="str">
        <f>IFERROR(INDEX(EXTRATO_IMPORTADO!$A$5:$A$404,MATCH(B753,EXTRATO_IMPORTADO!$I$5:$I$404,0)),"")</f>
        <v/>
      </c>
      <c r="P753" s="26" t="str">
        <f>IFERROR(INDEX(EXTRATO_IMPORTADO!$F$5:$F$404,MATCH(B753,EXTRATO_IMPORTADO!$I$5:$I$404,0)),"")</f>
        <v/>
      </c>
      <c r="Q753" s="26" t="str">
        <f>IFERROR(INDEX(EXTRATO_IMPORTADO!$B$5:$B$404,MATCH(B753,EXTRATO_IMPORTADO!$I$5:$I$404,0)),"")</f>
        <v/>
      </c>
      <c r="R753" s="26" t="str">
        <f>IFERROR(MATCH(B753,EXTRATO_IMPORTADO!$I$5:$I$404,0),"")</f>
        <v/>
      </c>
      <c r="S753" s="26" t="str">
        <f t="shared" si="34"/>
        <v/>
      </c>
      <c r="T753" s="26" t="str">
        <f t="shared" si="35"/>
        <v/>
      </c>
    </row>
    <row r="754" spans="1:20" x14ac:dyDescent="0.3">
      <c r="A754" s="26" t="str">
        <f>IF(BASE_CAIXA!A751="","",BASE_CAIXA!A751)</f>
        <v/>
      </c>
      <c r="B754" s="26" t="str">
        <f>IF(A754="","",BASE_CAIXA!AL751)</f>
        <v/>
      </c>
      <c r="C754" s="26" t="str">
        <f>IF(A754="","",BASE_CAIXA!AJ751)</f>
        <v/>
      </c>
      <c r="D754" s="26" t="str">
        <f>IF(A754="","",IF(BASE_CAIXA!C751="Entrada","Crédito","Débito"))</f>
        <v/>
      </c>
      <c r="E754" s="26" t="str">
        <f>IF(A754="","",BASE_CAIXA!AA751)</f>
        <v/>
      </c>
      <c r="F754" s="26" t="str">
        <f>IF(A754="","",BASE_CAIXA!N751)</f>
        <v/>
      </c>
      <c r="G754" s="26" t="str">
        <f>IF(A754="","",BASE_CAIXA!O751)</f>
        <v/>
      </c>
      <c r="H754" s="26" t="str">
        <f>IF(A754="","",BASE_CAIXA!P751)</f>
        <v/>
      </c>
      <c r="I754" s="26" t="str">
        <f>IF(A754="","",IF(BASE_CAIXA!H751&lt;&gt;"",BASE_CAIXA!H751,BASE_CAIXA!G751))</f>
        <v/>
      </c>
      <c r="J754" s="26" t="str">
        <f>IF(A754="","",BASE_CAIXA!G751)</f>
        <v/>
      </c>
      <c r="K754" s="26" t="str">
        <f>IF(A754="","",BASE_CAIXA!I751)</f>
        <v/>
      </c>
      <c r="L754" s="26" t="str">
        <f>IF(A754="","",BASE_CAIXA!J751)</f>
        <v/>
      </c>
      <c r="M754" s="26" t="str">
        <f>IF(A754="","",BASE_CAIXA!AM751)</f>
        <v/>
      </c>
      <c r="N754" s="26" t="str">
        <f t="shared" ca="1" si="33"/>
        <v/>
      </c>
      <c r="O754" s="26" t="str">
        <f>IFERROR(INDEX(EXTRATO_IMPORTADO!$A$5:$A$404,MATCH(B754,EXTRATO_IMPORTADO!$I$5:$I$404,0)),"")</f>
        <v/>
      </c>
      <c r="P754" s="26" t="str">
        <f>IFERROR(INDEX(EXTRATO_IMPORTADO!$F$5:$F$404,MATCH(B754,EXTRATO_IMPORTADO!$I$5:$I$404,0)),"")</f>
        <v/>
      </c>
      <c r="Q754" s="26" t="str">
        <f>IFERROR(INDEX(EXTRATO_IMPORTADO!$B$5:$B$404,MATCH(B754,EXTRATO_IMPORTADO!$I$5:$I$404,0)),"")</f>
        <v/>
      </c>
      <c r="R754" s="26" t="str">
        <f>IFERROR(MATCH(B754,EXTRATO_IMPORTADO!$I$5:$I$404,0),"")</f>
        <v/>
      </c>
      <c r="S754" s="26" t="str">
        <f t="shared" si="34"/>
        <v/>
      </c>
      <c r="T754" s="26" t="str">
        <f t="shared" si="35"/>
        <v/>
      </c>
    </row>
    <row r="755" spans="1:20" x14ac:dyDescent="0.3">
      <c r="A755" s="26" t="str">
        <f>IF(BASE_CAIXA!A752="","",BASE_CAIXA!A752)</f>
        <v/>
      </c>
      <c r="B755" s="26" t="str">
        <f>IF(A755="","",BASE_CAIXA!AL752)</f>
        <v/>
      </c>
      <c r="C755" s="26" t="str">
        <f>IF(A755="","",BASE_CAIXA!AJ752)</f>
        <v/>
      </c>
      <c r="D755" s="26" t="str">
        <f>IF(A755="","",IF(BASE_CAIXA!C752="Entrada","Crédito","Débito"))</f>
        <v/>
      </c>
      <c r="E755" s="26" t="str">
        <f>IF(A755="","",BASE_CAIXA!AA752)</f>
        <v/>
      </c>
      <c r="F755" s="26" t="str">
        <f>IF(A755="","",BASE_CAIXA!N752)</f>
        <v/>
      </c>
      <c r="G755" s="26" t="str">
        <f>IF(A755="","",BASE_CAIXA!O752)</f>
        <v/>
      </c>
      <c r="H755" s="26" t="str">
        <f>IF(A755="","",BASE_CAIXA!P752)</f>
        <v/>
      </c>
      <c r="I755" s="26" t="str">
        <f>IF(A755="","",IF(BASE_CAIXA!H752&lt;&gt;"",BASE_CAIXA!H752,BASE_CAIXA!G752))</f>
        <v/>
      </c>
      <c r="J755" s="26" t="str">
        <f>IF(A755="","",BASE_CAIXA!G752)</f>
        <v/>
      </c>
      <c r="K755" s="26" t="str">
        <f>IF(A755="","",BASE_CAIXA!I752)</f>
        <v/>
      </c>
      <c r="L755" s="26" t="str">
        <f>IF(A755="","",BASE_CAIXA!J752)</f>
        <v/>
      </c>
      <c r="M755" s="26" t="str">
        <f>IF(A755="","",BASE_CAIXA!AM752)</f>
        <v/>
      </c>
      <c r="N755" s="26" t="str">
        <f t="shared" ca="1" si="33"/>
        <v/>
      </c>
      <c r="O755" s="26" t="str">
        <f>IFERROR(INDEX(EXTRATO_IMPORTADO!$A$5:$A$404,MATCH(B755,EXTRATO_IMPORTADO!$I$5:$I$404,0)),"")</f>
        <v/>
      </c>
      <c r="P755" s="26" t="str">
        <f>IFERROR(INDEX(EXTRATO_IMPORTADO!$F$5:$F$404,MATCH(B755,EXTRATO_IMPORTADO!$I$5:$I$404,0)),"")</f>
        <v/>
      </c>
      <c r="Q755" s="26" t="str">
        <f>IFERROR(INDEX(EXTRATO_IMPORTADO!$B$5:$B$404,MATCH(B755,EXTRATO_IMPORTADO!$I$5:$I$404,0)),"")</f>
        <v/>
      </c>
      <c r="R755" s="26" t="str">
        <f>IFERROR(MATCH(B755,EXTRATO_IMPORTADO!$I$5:$I$404,0),"")</f>
        <v/>
      </c>
      <c r="S755" s="26" t="str">
        <f t="shared" si="34"/>
        <v/>
      </c>
      <c r="T755" s="26" t="str">
        <f t="shared" si="35"/>
        <v/>
      </c>
    </row>
    <row r="756" spans="1:20" x14ac:dyDescent="0.3">
      <c r="A756" s="26" t="str">
        <f>IF(BASE_CAIXA!A753="","",BASE_CAIXA!A753)</f>
        <v/>
      </c>
      <c r="B756" s="26" t="str">
        <f>IF(A756="","",BASE_CAIXA!AL753)</f>
        <v/>
      </c>
      <c r="C756" s="26" t="str">
        <f>IF(A756="","",BASE_CAIXA!AJ753)</f>
        <v/>
      </c>
      <c r="D756" s="26" t="str">
        <f>IF(A756="","",IF(BASE_CAIXA!C753="Entrada","Crédito","Débito"))</f>
        <v/>
      </c>
      <c r="E756" s="26" t="str">
        <f>IF(A756="","",BASE_CAIXA!AA753)</f>
        <v/>
      </c>
      <c r="F756" s="26" t="str">
        <f>IF(A756="","",BASE_CAIXA!N753)</f>
        <v/>
      </c>
      <c r="G756" s="26" t="str">
        <f>IF(A756="","",BASE_CAIXA!O753)</f>
        <v/>
      </c>
      <c r="H756" s="26" t="str">
        <f>IF(A756="","",BASE_CAIXA!P753)</f>
        <v/>
      </c>
      <c r="I756" s="26" t="str">
        <f>IF(A756="","",IF(BASE_CAIXA!H753&lt;&gt;"",BASE_CAIXA!H753,BASE_CAIXA!G753))</f>
        <v/>
      </c>
      <c r="J756" s="26" t="str">
        <f>IF(A756="","",BASE_CAIXA!G753)</f>
        <v/>
      </c>
      <c r="K756" s="26" t="str">
        <f>IF(A756="","",BASE_CAIXA!I753)</f>
        <v/>
      </c>
      <c r="L756" s="26" t="str">
        <f>IF(A756="","",BASE_CAIXA!J753)</f>
        <v/>
      </c>
      <c r="M756" s="26" t="str">
        <f>IF(A756="","",BASE_CAIXA!AM753)</f>
        <v/>
      </c>
      <c r="N756" s="26" t="str">
        <f t="shared" ca="1" si="33"/>
        <v/>
      </c>
      <c r="O756" s="26" t="str">
        <f>IFERROR(INDEX(EXTRATO_IMPORTADO!$A$5:$A$404,MATCH(B756,EXTRATO_IMPORTADO!$I$5:$I$404,0)),"")</f>
        <v/>
      </c>
      <c r="P756" s="26" t="str">
        <f>IFERROR(INDEX(EXTRATO_IMPORTADO!$F$5:$F$404,MATCH(B756,EXTRATO_IMPORTADO!$I$5:$I$404,0)),"")</f>
        <v/>
      </c>
      <c r="Q756" s="26" t="str">
        <f>IFERROR(INDEX(EXTRATO_IMPORTADO!$B$5:$B$404,MATCH(B756,EXTRATO_IMPORTADO!$I$5:$I$404,0)),"")</f>
        <v/>
      </c>
      <c r="R756" s="26" t="str">
        <f>IFERROR(MATCH(B756,EXTRATO_IMPORTADO!$I$5:$I$404,0),"")</f>
        <v/>
      </c>
      <c r="S756" s="26" t="str">
        <f t="shared" si="34"/>
        <v/>
      </c>
      <c r="T756" s="26" t="str">
        <f t="shared" si="35"/>
        <v/>
      </c>
    </row>
    <row r="757" spans="1:20" x14ac:dyDescent="0.3">
      <c r="A757" s="26" t="str">
        <f>IF(BASE_CAIXA!A754="","",BASE_CAIXA!A754)</f>
        <v/>
      </c>
      <c r="B757" s="26" t="str">
        <f>IF(A757="","",BASE_CAIXA!AL754)</f>
        <v/>
      </c>
      <c r="C757" s="26" t="str">
        <f>IF(A757="","",BASE_CAIXA!AJ754)</f>
        <v/>
      </c>
      <c r="D757" s="26" t="str">
        <f>IF(A757="","",IF(BASE_CAIXA!C754="Entrada","Crédito","Débito"))</f>
        <v/>
      </c>
      <c r="E757" s="26" t="str">
        <f>IF(A757="","",BASE_CAIXA!AA754)</f>
        <v/>
      </c>
      <c r="F757" s="26" t="str">
        <f>IF(A757="","",BASE_CAIXA!N754)</f>
        <v/>
      </c>
      <c r="G757" s="26" t="str">
        <f>IF(A757="","",BASE_CAIXA!O754)</f>
        <v/>
      </c>
      <c r="H757" s="26" t="str">
        <f>IF(A757="","",BASE_CAIXA!P754)</f>
        <v/>
      </c>
      <c r="I757" s="26" t="str">
        <f>IF(A757="","",IF(BASE_CAIXA!H754&lt;&gt;"",BASE_CAIXA!H754,BASE_CAIXA!G754))</f>
        <v/>
      </c>
      <c r="J757" s="26" t="str">
        <f>IF(A757="","",BASE_CAIXA!G754)</f>
        <v/>
      </c>
      <c r="K757" s="26" t="str">
        <f>IF(A757="","",BASE_CAIXA!I754)</f>
        <v/>
      </c>
      <c r="L757" s="26" t="str">
        <f>IF(A757="","",BASE_CAIXA!J754)</f>
        <v/>
      </c>
      <c r="M757" s="26" t="str">
        <f>IF(A757="","",BASE_CAIXA!AM754)</f>
        <v/>
      </c>
      <c r="N757" s="26" t="str">
        <f t="shared" ca="1" si="33"/>
        <v/>
      </c>
      <c r="O757" s="26" t="str">
        <f>IFERROR(INDEX(EXTRATO_IMPORTADO!$A$5:$A$404,MATCH(B757,EXTRATO_IMPORTADO!$I$5:$I$404,0)),"")</f>
        <v/>
      </c>
      <c r="P757" s="26" t="str">
        <f>IFERROR(INDEX(EXTRATO_IMPORTADO!$F$5:$F$404,MATCH(B757,EXTRATO_IMPORTADO!$I$5:$I$404,0)),"")</f>
        <v/>
      </c>
      <c r="Q757" s="26" t="str">
        <f>IFERROR(INDEX(EXTRATO_IMPORTADO!$B$5:$B$404,MATCH(B757,EXTRATO_IMPORTADO!$I$5:$I$404,0)),"")</f>
        <v/>
      </c>
      <c r="R757" s="26" t="str">
        <f>IFERROR(MATCH(B757,EXTRATO_IMPORTADO!$I$5:$I$404,0),"")</f>
        <v/>
      </c>
      <c r="S757" s="26" t="str">
        <f t="shared" si="34"/>
        <v/>
      </c>
      <c r="T757" s="26" t="str">
        <f t="shared" si="35"/>
        <v/>
      </c>
    </row>
    <row r="758" spans="1:20" x14ac:dyDescent="0.3">
      <c r="A758" s="26" t="str">
        <f>IF(BASE_CAIXA!A755="","",BASE_CAIXA!A755)</f>
        <v/>
      </c>
      <c r="B758" s="26" t="str">
        <f>IF(A758="","",BASE_CAIXA!AL755)</f>
        <v/>
      </c>
      <c r="C758" s="26" t="str">
        <f>IF(A758="","",BASE_CAIXA!AJ755)</f>
        <v/>
      </c>
      <c r="D758" s="26" t="str">
        <f>IF(A758="","",IF(BASE_CAIXA!C755="Entrada","Crédito","Débito"))</f>
        <v/>
      </c>
      <c r="E758" s="26" t="str">
        <f>IF(A758="","",BASE_CAIXA!AA755)</f>
        <v/>
      </c>
      <c r="F758" s="26" t="str">
        <f>IF(A758="","",BASE_CAIXA!N755)</f>
        <v/>
      </c>
      <c r="G758" s="26" t="str">
        <f>IF(A758="","",BASE_CAIXA!O755)</f>
        <v/>
      </c>
      <c r="H758" s="26" t="str">
        <f>IF(A758="","",BASE_CAIXA!P755)</f>
        <v/>
      </c>
      <c r="I758" s="26" t="str">
        <f>IF(A758="","",IF(BASE_CAIXA!H755&lt;&gt;"",BASE_CAIXA!H755,BASE_CAIXA!G755))</f>
        <v/>
      </c>
      <c r="J758" s="26" t="str">
        <f>IF(A758="","",BASE_CAIXA!G755)</f>
        <v/>
      </c>
      <c r="K758" s="26" t="str">
        <f>IF(A758="","",BASE_CAIXA!I755)</f>
        <v/>
      </c>
      <c r="L758" s="26" t="str">
        <f>IF(A758="","",BASE_CAIXA!J755)</f>
        <v/>
      </c>
      <c r="M758" s="26" t="str">
        <f>IF(A758="","",BASE_CAIXA!AM755)</f>
        <v/>
      </c>
      <c r="N758" s="26" t="str">
        <f t="shared" ca="1" si="33"/>
        <v/>
      </c>
      <c r="O758" s="26" t="str">
        <f>IFERROR(INDEX(EXTRATO_IMPORTADO!$A$5:$A$404,MATCH(B758,EXTRATO_IMPORTADO!$I$5:$I$404,0)),"")</f>
        <v/>
      </c>
      <c r="P758" s="26" t="str">
        <f>IFERROR(INDEX(EXTRATO_IMPORTADO!$F$5:$F$404,MATCH(B758,EXTRATO_IMPORTADO!$I$5:$I$404,0)),"")</f>
        <v/>
      </c>
      <c r="Q758" s="26" t="str">
        <f>IFERROR(INDEX(EXTRATO_IMPORTADO!$B$5:$B$404,MATCH(B758,EXTRATO_IMPORTADO!$I$5:$I$404,0)),"")</f>
        <v/>
      </c>
      <c r="R758" s="26" t="str">
        <f>IFERROR(MATCH(B758,EXTRATO_IMPORTADO!$I$5:$I$404,0),"")</f>
        <v/>
      </c>
      <c r="S758" s="26" t="str">
        <f t="shared" si="34"/>
        <v/>
      </c>
      <c r="T758" s="26" t="str">
        <f t="shared" si="35"/>
        <v/>
      </c>
    </row>
    <row r="759" spans="1:20" x14ac:dyDescent="0.3">
      <c r="A759" s="26" t="str">
        <f>IF(BASE_CAIXA!A756="","",BASE_CAIXA!A756)</f>
        <v/>
      </c>
      <c r="B759" s="26" t="str">
        <f>IF(A759="","",BASE_CAIXA!AL756)</f>
        <v/>
      </c>
      <c r="C759" s="26" t="str">
        <f>IF(A759="","",BASE_CAIXA!AJ756)</f>
        <v/>
      </c>
      <c r="D759" s="26" t="str">
        <f>IF(A759="","",IF(BASE_CAIXA!C756="Entrada","Crédito","Débito"))</f>
        <v/>
      </c>
      <c r="E759" s="26" t="str">
        <f>IF(A759="","",BASE_CAIXA!AA756)</f>
        <v/>
      </c>
      <c r="F759" s="26" t="str">
        <f>IF(A759="","",BASE_CAIXA!N756)</f>
        <v/>
      </c>
      <c r="G759" s="26" t="str">
        <f>IF(A759="","",BASE_CAIXA!O756)</f>
        <v/>
      </c>
      <c r="H759" s="26" t="str">
        <f>IF(A759="","",BASE_CAIXA!P756)</f>
        <v/>
      </c>
      <c r="I759" s="26" t="str">
        <f>IF(A759="","",IF(BASE_CAIXA!H756&lt;&gt;"",BASE_CAIXA!H756,BASE_CAIXA!G756))</f>
        <v/>
      </c>
      <c r="J759" s="26" t="str">
        <f>IF(A759="","",BASE_CAIXA!G756)</f>
        <v/>
      </c>
      <c r="K759" s="26" t="str">
        <f>IF(A759="","",BASE_CAIXA!I756)</f>
        <v/>
      </c>
      <c r="L759" s="26" t="str">
        <f>IF(A759="","",BASE_CAIXA!J756)</f>
        <v/>
      </c>
      <c r="M759" s="26" t="str">
        <f>IF(A759="","",BASE_CAIXA!AM756)</f>
        <v/>
      </c>
      <c r="N759" s="26" t="str">
        <f t="shared" ca="1" si="33"/>
        <v/>
      </c>
      <c r="O759" s="26" t="str">
        <f>IFERROR(INDEX(EXTRATO_IMPORTADO!$A$5:$A$404,MATCH(B759,EXTRATO_IMPORTADO!$I$5:$I$404,0)),"")</f>
        <v/>
      </c>
      <c r="P759" s="26" t="str">
        <f>IFERROR(INDEX(EXTRATO_IMPORTADO!$F$5:$F$404,MATCH(B759,EXTRATO_IMPORTADO!$I$5:$I$404,0)),"")</f>
        <v/>
      </c>
      <c r="Q759" s="26" t="str">
        <f>IFERROR(INDEX(EXTRATO_IMPORTADO!$B$5:$B$404,MATCH(B759,EXTRATO_IMPORTADO!$I$5:$I$404,0)),"")</f>
        <v/>
      </c>
      <c r="R759" s="26" t="str">
        <f>IFERROR(MATCH(B759,EXTRATO_IMPORTADO!$I$5:$I$404,0),"")</f>
        <v/>
      </c>
      <c r="S759" s="26" t="str">
        <f t="shared" si="34"/>
        <v/>
      </c>
      <c r="T759" s="26" t="str">
        <f t="shared" si="35"/>
        <v/>
      </c>
    </row>
    <row r="760" spans="1:20" x14ac:dyDescent="0.3">
      <c r="A760" s="26" t="str">
        <f>IF(BASE_CAIXA!A757="","",BASE_CAIXA!A757)</f>
        <v/>
      </c>
      <c r="B760" s="26" t="str">
        <f>IF(A760="","",BASE_CAIXA!AL757)</f>
        <v/>
      </c>
      <c r="C760" s="26" t="str">
        <f>IF(A760="","",BASE_CAIXA!AJ757)</f>
        <v/>
      </c>
      <c r="D760" s="26" t="str">
        <f>IF(A760="","",IF(BASE_CAIXA!C757="Entrada","Crédito","Débito"))</f>
        <v/>
      </c>
      <c r="E760" s="26" t="str">
        <f>IF(A760="","",BASE_CAIXA!AA757)</f>
        <v/>
      </c>
      <c r="F760" s="26" t="str">
        <f>IF(A760="","",BASE_CAIXA!N757)</f>
        <v/>
      </c>
      <c r="G760" s="26" t="str">
        <f>IF(A760="","",BASE_CAIXA!O757)</f>
        <v/>
      </c>
      <c r="H760" s="26" t="str">
        <f>IF(A760="","",BASE_CAIXA!P757)</f>
        <v/>
      </c>
      <c r="I760" s="26" t="str">
        <f>IF(A760="","",IF(BASE_CAIXA!H757&lt;&gt;"",BASE_CAIXA!H757,BASE_CAIXA!G757))</f>
        <v/>
      </c>
      <c r="J760" s="26" t="str">
        <f>IF(A760="","",BASE_CAIXA!G757)</f>
        <v/>
      </c>
      <c r="K760" s="26" t="str">
        <f>IF(A760="","",BASE_CAIXA!I757)</f>
        <v/>
      </c>
      <c r="L760" s="26" t="str">
        <f>IF(A760="","",BASE_CAIXA!J757)</f>
        <v/>
      </c>
      <c r="M760" s="26" t="str">
        <f>IF(A760="","",BASE_CAIXA!AM757)</f>
        <v/>
      </c>
      <c r="N760" s="26" t="str">
        <f t="shared" ca="1" si="33"/>
        <v/>
      </c>
      <c r="O760" s="26" t="str">
        <f>IFERROR(INDEX(EXTRATO_IMPORTADO!$A$5:$A$404,MATCH(B760,EXTRATO_IMPORTADO!$I$5:$I$404,0)),"")</f>
        <v/>
      </c>
      <c r="P760" s="26" t="str">
        <f>IFERROR(INDEX(EXTRATO_IMPORTADO!$F$5:$F$404,MATCH(B760,EXTRATO_IMPORTADO!$I$5:$I$404,0)),"")</f>
        <v/>
      </c>
      <c r="Q760" s="26" t="str">
        <f>IFERROR(INDEX(EXTRATO_IMPORTADO!$B$5:$B$404,MATCH(B760,EXTRATO_IMPORTADO!$I$5:$I$404,0)),"")</f>
        <v/>
      </c>
      <c r="R760" s="26" t="str">
        <f>IFERROR(MATCH(B760,EXTRATO_IMPORTADO!$I$5:$I$404,0),"")</f>
        <v/>
      </c>
      <c r="S760" s="26" t="str">
        <f t="shared" si="34"/>
        <v/>
      </c>
      <c r="T760" s="26" t="str">
        <f t="shared" si="35"/>
        <v/>
      </c>
    </row>
    <row r="761" spans="1:20" x14ac:dyDescent="0.3">
      <c r="A761" s="26" t="str">
        <f>IF(BASE_CAIXA!A758="","",BASE_CAIXA!A758)</f>
        <v/>
      </c>
      <c r="B761" s="26" t="str">
        <f>IF(A761="","",BASE_CAIXA!AL758)</f>
        <v/>
      </c>
      <c r="C761" s="26" t="str">
        <f>IF(A761="","",BASE_CAIXA!AJ758)</f>
        <v/>
      </c>
      <c r="D761" s="26" t="str">
        <f>IF(A761="","",IF(BASE_CAIXA!C758="Entrada","Crédito","Débito"))</f>
        <v/>
      </c>
      <c r="E761" s="26" t="str">
        <f>IF(A761="","",BASE_CAIXA!AA758)</f>
        <v/>
      </c>
      <c r="F761" s="26" t="str">
        <f>IF(A761="","",BASE_CAIXA!N758)</f>
        <v/>
      </c>
      <c r="G761" s="26" t="str">
        <f>IF(A761="","",BASE_CAIXA!O758)</f>
        <v/>
      </c>
      <c r="H761" s="26" t="str">
        <f>IF(A761="","",BASE_CAIXA!P758)</f>
        <v/>
      </c>
      <c r="I761" s="26" t="str">
        <f>IF(A761="","",IF(BASE_CAIXA!H758&lt;&gt;"",BASE_CAIXA!H758,BASE_CAIXA!G758))</f>
        <v/>
      </c>
      <c r="J761" s="26" t="str">
        <f>IF(A761="","",BASE_CAIXA!G758)</f>
        <v/>
      </c>
      <c r="K761" s="26" t="str">
        <f>IF(A761="","",BASE_CAIXA!I758)</f>
        <v/>
      </c>
      <c r="L761" s="26" t="str">
        <f>IF(A761="","",BASE_CAIXA!J758)</f>
        <v/>
      </c>
      <c r="M761" s="26" t="str">
        <f>IF(A761="","",BASE_CAIXA!AM758)</f>
        <v/>
      </c>
      <c r="N761" s="26" t="str">
        <f t="shared" ca="1" si="33"/>
        <v/>
      </c>
      <c r="O761" s="26" t="str">
        <f>IFERROR(INDEX(EXTRATO_IMPORTADO!$A$5:$A$404,MATCH(B761,EXTRATO_IMPORTADO!$I$5:$I$404,0)),"")</f>
        <v/>
      </c>
      <c r="P761" s="26" t="str">
        <f>IFERROR(INDEX(EXTRATO_IMPORTADO!$F$5:$F$404,MATCH(B761,EXTRATO_IMPORTADO!$I$5:$I$404,0)),"")</f>
        <v/>
      </c>
      <c r="Q761" s="26" t="str">
        <f>IFERROR(INDEX(EXTRATO_IMPORTADO!$B$5:$B$404,MATCH(B761,EXTRATO_IMPORTADO!$I$5:$I$404,0)),"")</f>
        <v/>
      </c>
      <c r="R761" s="26" t="str">
        <f>IFERROR(MATCH(B761,EXTRATO_IMPORTADO!$I$5:$I$404,0),"")</f>
        <v/>
      </c>
      <c r="S761" s="26" t="str">
        <f t="shared" si="34"/>
        <v/>
      </c>
      <c r="T761" s="26" t="str">
        <f t="shared" si="35"/>
        <v/>
      </c>
    </row>
    <row r="762" spans="1:20" x14ac:dyDescent="0.3">
      <c r="A762" s="26" t="str">
        <f>IF(BASE_CAIXA!A759="","",BASE_CAIXA!A759)</f>
        <v/>
      </c>
      <c r="B762" s="26" t="str">
        <f>IF(A762="","",BASE_CAIXA!AL759)</f>
        <v/>
      </c>
      <c r="C762" s="26" t="str">
        <f>IF(A762="","",BASE_CAIXA!AJ759)</f>
        <v/>
      </c>
      <c r="D762" s="26" t="str">
        <f>IF(A762="","",IF(BASE_CAIXA!C759="Entrada","Crédito","Débito"))</f>
        <v/>
      </c>
      <c r="E762" s="26" t="str">
        <f>IF(A762="","",BASE_CAIXA!AA759)</f>
        <v/>
      </c>
      <c r="F762" s="26" t="str">
        <f>IF(A762="","",BASE_CAIXA!N759)</f>
        <v/>
      </c>
      <c r="G762" s="26" t="str">
        <f>IF(A762="","",BASE_CAIXA!O759)</f>
        <v/>
      </c>
      <c r="H762" s="26" t="str">
        <f>IF(A762="","",BASE_CAIXA!P759)</f>
        <v/>
      </c>
      <c r="I762" s="26" t="str">
        <f>IF(A762="","",IF(BASE_CAIXA!H759&lt;&gt;"",BASE_CAIXA!H759,BASE_CAIXA!G759))</f>
        <v/>
      </c>
      <c r="J762" s="26" t="str">
        <f>IF(A762="","",BASE_CAIXA!G759)</f>
        <v/>
      </c>
      <c r="K762" s="26" t="str">
        <f>IF(A762="","",BASE_CAIXA!I759)</f>
        <v/>
      </c>
      <c r="L762" s="26" t="str">
        <f>IF(A762="","",BASE_CAIXA!J759)</f>
        <v/>
      </c>
      <c r="M762" s="26" t="str">
        <f>IF(A762="","",BASE_CAIXA!AM759)</f>
        <v/>
      </c>
      <c r="N762" s="26" t="str">
        <f t="shared" ca="1" si="33"/>
        <v/>
      </c>
      <c r="O762" s="26" t="str">
        <f>IFERROR(INDEX(EXTRATO_IMPORTADO!$A$5:$A$404,MATCH(B762,EXTRATO_IMPORTADO!$I$5:$I$404,0)),"")</f>
        <v/>
      </c>
      <c r="P762" s="26" t="str">
        <f>IFERROR(INDEX(EXTRATO_IMPORTADO!$F$5:$F$404,MATCH(B762,EXTRATO_IMPORTADO!$I$5:$I$404,0)),"")</f>
        <v/>
      </c>
      <c r="Q762" s="26" t="str">
        <f>IFERROR(INDEX(EXTRATO_IMPORTADO!$B$5:$B$404,MATCH(B762,EXTRATO_IMPORTADO!$I$5:$I$404,0)),"")</f>
        <v/>
      </c>
      <c r="R762" s="26" t="str">
        <f>IFERROR(MATCH(B762,EXTRATO_IMPORTADO!$I$5:$I$404,0),"")</f>
        <v/>
      </c>
      <c r="S762" s="26" t="str">
        <f t="shared" si="34"/>
        <v/>
      </c>
      <c r="T762" s="26" t="str">
        <f t="shared" si="35"/>
        <v/>
      </c>
    </row>
    <row r="763" spans="1:20" x14ac:dyDescent="0.3">
      <c r="A763" s="26" t="str">
        <f>IF(BASE_CAIXA!A760="","",BASE_CAIXA!A760)</f>
        <v/>
      </c>
      <c r="B763" s="26" t="str">
        <f>IF(A763="","",BASE_CAIXA!AL760)</f>
        <v/>
      </c>
      <c r="C763" s="26" t="str">
        <f>IF(A763="","",BASE_CAIXA!AJ760)</f>
        <v/>
      </c>
      <c r="D763" s="26" t="str">
        <f>IF(A763="","",IF(BASE_CAIXA!C760="Entrada","Crédito","Débito"))</f>
        <v/>
      </c>
      <c r="E763" s="26" t="str">
        <f>IF(A763="","",BASE_CAIXA!AA760)</f>
        <v/>
      </c>
      <c r="F763" s="26" t="str">
        <f>IF(A763="","",BASE_CAIXA!N760)</f>
        <v/>
      </c>
      <c r="G763" s="26" t="str">
        <f>IF(A763="","",BASE_CAIXA!O760)</f>
        <v/>
      </c>
      <c r="H763" s="26" t="str">
        <f>IF(A763="","",BASE_CAIXA!P760)</f>
        <v/>
      </c>
      <c r="I763" s="26" t="str">
        <f>IF(A763="","",IF(BASE_CAIXA!H760&lt;&gt;"",BASE_CAIXA!H760,BASE_CAIXA!G760))</f>
        <v/>
      </c>
      <c r="J763" s="26" t="str">
        <f>IF(A763="","",BASE_CAIXA!G760)</f>
        <v/>
      </c>
      <c r="K763" s="26" t="str">
        <f>IF(A763="","",BASE_CAIXA!I760)</f>
        <v/>
      </c>
      <c r="L763" s="26" t="str">
        <f>IF(A763="","",BASE_CAIXA!J760)</f>
        <v/>
      </c>
      <c r="M763" s="26" t="str">
        <f>IF(A763="","",BASE_CAIXA!AM760)</f>
        <v/>
      </c>
      <c r="N763" s="26" t="str">
        <f t="shared" ca="1" si="33"/>
        <v/>
      </c>
      <c r="O763" s="26" t="str">
        <f>IFERROR(INDEX(EXTRATO_IMPORTADO!$A$5:$A$404,MATCH(B763,EXTRATO_IMPORTADO!$I$5:$I$404,0)),"")</f>
        <v/>
      </c>
      <c r="P763" s="26" t="str">
        <f>IFERROR(INDEX(EXTRATO_IMPORTADO!$F$5:$F$404,MATCH(B763,EXTRATO_IMPORTADO!$I$5:$I$404,0)),"")</f>
        <v/>
      </c>
      <c r="Q763" s="26" t="str">
        <f>IFERROR(INDEX(EXTRATO_IMPORTADO!$B$5:$B$404,MATCH(B763,EXTRATO_IMPORTADO!$I$5:$I$404,0)),"")</f>
        <v/>
      </c>
      <c r="R763" s="26" t="str">
        <f>IFERROR(MATCH(B763,EXTRATO_IMPORTADO!$I$5:$I$404,0),"")</f>
        <v/>
      </c>
      <c r="S763" s="26" t="str">
        <f t="shared" si="34"/>
        <v/>
      </c>
      <c r="T763" s="26" t="str">
        <f t="shared" si="35"/>
        <v/>
      </c>
    </row>
    <row r="764" spans="1:20" x14ac:dyDescent="0.3">
      <c r="A764" s="26" t="str">
        <f>IF(BASE_CAIXA!A761="","",BASE_CAIXA!A761)</f>
        <v/>
      </c>
      <c r="B764" s="26" t="str">
        <f>IF(A764="","",BASE_CAIXA!AL761)</f>
        <v/>
      </c>
      <c r="C764" s="26" t="str">
        <f>IF(A764="","",BASE_CAIXA!AJ761)</f>
        <v/>
      </c>
      <c r="D764" s="26" t="str">
        <f>IF(A764="","",IF(BASE_CAIXA!C761="Entrada","Crédito","Débito"))</f>
        <v/>
      </c>
      <c r="E764" s="26" t="str">
        <f>IF(A764="","",BASE_CAIXA!AA761)</f>
        <v/>
      </c>
      <c r="F764" s="26" t="str">
        <f>IF(A764="","",BASE_CAIXA!N761)</f>
        <v/>
      </c>
      <c r="G764" s="26" t="str">
        <f>IF(A764="","",BASE_CAIXA!O761)</f>
        <v/>
      </c>
      <c r="H764" s="26" t="str">
        <f>IF(A764="","",BASE_CAIXA!P761)</f>
        <v/>
      </c>
      <c r="I764" s="26" t="str">
        <f>IF(A764="","",IF(BASE_CAIXA!H761&lt;&gt;"",BASE_CAIXA!H761,BASE_CAIXA!G761))</f>
        <v/>
      </c>
      <c r="J764" s="26" t="str">
        <f>IF(A764="","",BASE_CAIXA!G761)</f>
        <v/>
      </c>
      <c r="K764" s="26" t="str">
        <f>IF(A764="","",BASE_CAIXA!I761)</f>
        <v/>
      </c>
      <c r="L764" s="26" t="str">
        <f>IF(A764="","",BASE_CAIXA!J761)</f>
        <v/>
      </c>
      <c r="M764" s="26" t="str">
        <f>IF(A764="","",BASE_CAIXA!AM761)</f>
        <v/>
      </c>
      <c r="N764" s="26" t="str">
        <f t="shared" ca="1" si="33"/>
        <v/>
      </c>
      <c r="O764" s="26" t="str">
        <f>IFERROR(INDEX(EXTRATO_IMPORTADO!$A$5:$A$404,MATCH(B764,EXTRATO_IMPORTADO!$I$5:$I$404,0)),"")</f>
        <v/>
      </c>
      <c r="P764" s="26" t="str">
        <f>IFERROR(INDEX(EXTRATO_IMPORTADO!$F$5:$F$404,MATCH(B764,EXTRATO_IMPORTADO!$I$5:$I$404,0)),"")</f>
        <v/>
      </c>
      <c r="Q764" s="26" t="str">
        <f>IFERROR(INDEX(EXTRATO_IMPORTADO!$B$5:$B$404,MATCH(B764,EXTRATO_IMPORTADO!$I$5:$I$404,0)),"")</f>
        <v/>
      </c>
      <c r="R764" s="26" t="str">
        <f>IFERROR(MATCH(B764,EXTRATO_IMPORTADO!$I$5:$I$404,0),"")</f>
        <v/>
      </c>
      <c r="S764" s="26" t="str">
        <f t="shared" si="34"/>
        <v/>
      </c>
      <c r="T764" s="26" t="str">
        <f t="shared" si="35"/>
        <v/>
      </c>
    </row>
    <row r="765" spans="1:20" x14ac:dyDescent="0.3">
      <c r="A765" s="26" t="str">
        <f>IF(BASE_CAIXA!A762="","",BASE_CAIXA!A762)</f>
        <v/>
      </c>
      <c r="B765" s="26" t="str">
        <f>IF(A765="","",BASE_CAIXA!AL762)</f>
        <v/>
      </c>
      <c r="C765" s="26" t="str">
        <f>IF(A765="","",BASE_CAIXA!AJ762)</f>
        <v/>
      </c>
      <c r="D765" s="26" t="str">
        <f>IF(A765="","",IF(BASE_CAIXA!C762="Entrada","Crédito","Débito"))</f>
        <v/>
      </c>
      <c r="E765" s="26" t="str">
        <f>IF(A765="","",BASE_CAIXA!AA762)</f>
        <v/>
      </c>
      <c r="F765" s="26" t="str">
        <f>IF(A765="","",BASE_CAIXA!N762)</f>
        <v/>
      </c>
      <c r="G765" s="26" t="str">
        <f>IF(A765="","",BASE_CAIXA!O762)</f>
        <v/>
      </c>
      <c r="H765" s="26" t="str">
        <f>IF(A765="","",BASE_CAIXA!P762)</f>
        <v/>
      </c>
      <c r="I765" s="26" t="str">
        <f>IF(A765="","",IF(BASE_CAIXA!H762&lt;&gt;"",BASE_CAIXA!H762,BASE_CAIXA!G762))</f>
        <v/>
      </c>
      <c r="J765" s="26" t="str">
        <f>IF(A765="","",BASE_CAIXA!G762)</f>
        <v/>
      </c>
      <c r="K765" s="26" t="str">
        <f>IF(A765="","",BASE_CAIXA!I762)</f>
        <v/>
      </c>
      <c r="L765" s="26" t="str">
        <f>IF(A765="","",BASE_CAIXA!J762)</f>
        <v/>
      </c>
      <c r="M765" s="26" t="str">
        <f>IF(A765="","",BASE_CAIXA!AM762)</f>
        <v/>
      </c>
      <c r="N765" s="26" t="str">
        <f t="shared" ca="1" si="33"/>
        <v/>
      </c>
      <c r="O765" s="26" t="str">
        <f>IFERROR(INDEX(EXTRATO_IMPORTADO!$A$5:$A$404,MATCH(B765,EXTRATO_IMPORTADO!$I$5:$I$404,0)),"")</f>
        <v/>
      </c>
      <c r="P765" s="26" t="str">
        <f>IFERROR(INDEX(EXTRATO_IMPORTADO!$F$5:$F$404,MATCH(B765,EXTRATO_IMPORTADO!$I$5:$I$404,0)),"")</f>
        <v/>
      </c>
      <c r="Q765" s="26" t="str">
        <f>IFERROR(INDEX(EXTRATO_IMPORTADO!$B$5:$B$404,MATCH(B765,EXTRATO_IMPORTADO!$I$5:$I$404,0)),"")</f>
        <v/>
      </c>
      <c r="R765" s="26" t="str">
        <f>IFERROR(MATCH(B765,EXTRATO_IMPORTADO!$I$5:$I$404,0),"")</f>
        <v/>
      </c>
      <c r="S765" s="26" t="str">
        <f t="shared" si="34"/>
        <v/>
      </c>
      <c r="T765" s="26" t="str">
        <f t="shared" si="35"/>
        <v/>
      </c>
    </row>
    <row r="766" spans="1:20" x14ac:dyDescent="0.3">
      <c r="A766" s="26" t="str">
        <f>IF(BASE_CAIXA!A763="","",BASE_CAIXA!A763)</f>
        <v/>
      </c>
      <c r="B766" s="26" t="str">
        <f>IF(A766="","",BASE_CAIXA!AL763)</f>
        <v/>
      </c>
      <c r="C766" s="26" t="str">
        <f>IF(A766="","",BASE_CAIXA!AJ763)</f>
        <v/>
      </c>
      <c r="D766" s="26" t="str">
        <f>IF(A766="","",IF(BASE_CAIXA!C763="Entrada","Crédito","Débito"))</f>
        <v/>
      </c>
      <c r="E766" s="26" t="str">
        <f>IF(A766="","",BASE_CAIXA!AA763)</f>
        <v/>
      </c>
      <c r="F766" s="26" t="str">
        <f>IF(A766="","",BASE_CAIXA!N763)</f>
        <v/>
      </c>
      <c r="G766" s="26" t="str">
        <f>IF(A766="","",BASE_CAIXA!O763)</f>
        <v/>
      </c>
      <c r="H766" s="26" t="str">
        <f>IF(A766="","",BASE_CAIXA!P763)</f>
        <v/>
      </c>
      <c r="I766" s="26" t="str">
        <f>IF(A766="","",IF(BASE_CAIXA!H763&lt;&gt;"",BASE_CAIXA!H763,BASE_CAIXA!G763))</f>
        <v/>
      </c>
      <c r="J766" s="26" t="str">
        <f>IF(A766="","",BASE_CAIXA!G763)</f>
        <v/>
      </c>
      <c r="K766" s="26" t="str">
        <f>IF(A766="","",BASE_CAIXA!I763)</f>
        <v/>
      </c>
      <c r="L766" s="26" t="str">
        <f>IF(A766="","",BASE_CAIXA!J763)</f>
        <v/>
      </c>
      <c r="M766" s="26" t="str">
        <f>IF(A766="","",BASE_CAIXA!AM763)</f>
        <v/>
      </c>
      <c r="N766" s="26" t="str">
        <f t="shared" ca="1" si="33"/>
        <v/>
      </c>
      <c r="O766" s="26" t="str">
        <f>IFERROR(INDEX(EXTRATO_IMPORTADO!$A$5:$A$404,MATCH(B766,EXTRATO_IMPORTADO!$I$5:$I$404,0)),"")</f>
        <v/>
      </c>
      <c r="P766" s="26" t="str">
        <f>IFERROR(INDEX(EXTRATO_IMPORTADO!$F$5:$F$404,MATCH(B766,EXTRATO_IMPORTADO!$I$5:$I$404,0)),"")</f>
        <v/>
      </c>
      <c r="Q766" s="26" t="str">
        <f>IFERROR(INDEX(EXTRATO_IMPORTADO!$B$5:$B$404,MATCH(B766,EXTRATO_IMPORTADO!$I$5:$I$404,0)),"")</f>
        <v/>
      </c>
      <c r="R766" s="26" t="str">
        <f>IFERROR(MATCH(B766,EXTRATO_IMPORTADO!$I$5:$I$404,0),"")</f>
        <v/>
      </c>
      <c r="S766" s="26" t="str">
        <f t="shared" si="34"/>
        <v/>
      </c>
      <c r="T766" s="26" t="str">
        <f t="shared" si="35"/>
        <v/>
      </c>
    </row>
    <row r="767" spans="1:20" x14ac:dyDescent="0.3">
      <c r="A767" s="26" t="str">
        <f>IF(BASE_CAIXA!A764="","",BASE_CAIXA!A764)</f>
        <v/>
      </c>
      <c r="B767" s="26" t="str">
        <f>IF(A767="","",BASE_CAIXA!AL764)</f>
        <v/>
      </c>
      <c r="C767" s="26" t="str">
        <f>IF(A767="","",BASE_CAIXA!AJ764)</f>
        <v/>
      </c>
      <c r="D767" s="26" t="str">
        <f>IF(A767="","",IF(BASE_CAIXA!C764="Entrada","Crédito","Débito"))</f>
        <v/>
      </c>
      <c r="E767" s="26" t="str">
        <f>IF(A767="","",BASE_CAIXA!AA764)</f>
        <v/>
      </c>
      <c r="F767" s="26" t="str">
        <f>IF(A767="","",BASE_CAIXA!N764)</f>
        <v/>
      </c>
      <c r="G767" s="26" t="str">
        <f>IF(A767="","",BASE_CAIXA!O764)</f>
        <v/>
      </c>
      <c r="H767" s="26" t="str">
        <f>IF(A767="","",BASE_CAIXA!P764)</f>
        <v/>
      </c>
      <c r="I767" s="26" t="str">
        <f>IF(A767="","",IF(BASE_CAIXA!H764&lt;&gt;"",BASE_CAIXA!H764,BASE_CAIXA!G764))</f>
        <v/>
      </c>
      <c r="J767" s="26" t="str">
        <f>IF(A767="","",BASE_CAIXA!G764)</f>
        <v/>
      </c>
      <c r="K767" s="26" t="str">
        <f>IF(A767="","",BASE_CAIXA!I764)</f>
        <v/>
      </c>
      <c r="L767" s="26" t="str">
        <f>IF(A767="","",BASE_CAIXA!J764)</f>
        <v/>
      </c>
      <c r="M767" s="26" t="str">
        <f>IF(A767="","",BASE_CAIXA!AM764)</f>
        <v/>
      </c>
      <c r="N767" s="26" t="str">
        <f t="shared" ca="1" si="33"/>
        <v/>
      </c>
      <c r="O767" s="26" t="str">
        <f>IFERROR(INDEX(EXTRATO_IMPORTADO!$A$5:$A$404,MATCH(B767,EXTRATO_IMPORTADO!$I$5:$I$404,0)),"")</f>
        <v/>
      </c>
      <c r="P767" s="26" t="str">
        <f>IFERROR(INDEX(EXTRATO_IMPORTADO!$F$5:$F$404,MATCH(B767,EXTRATO_IMPORTADO!$I$5:$I$404,0)),"")</f>
        <v/>
      </c>
      <c r="Q767" s="26" t="str">
        <f>IFERROR(INDEX(EXTRATO_IMPORTADO!$B$5:$B$404,MATCH(B767,EXTRATO_IMPORTADO!$I$5:$I$404,0)),"")</f>
        <v/>
      </c>
      <c r="R767" s="26" t="str">
        <f>IFERROR(MATCH(B767,EXTRATO_IMPORTADO!$I$5:$I$404,0),"")</f>
        <v/>
      </c>
      <c r="S767" s="26" t="str">
        <f t="shared" si="34"/>
        <v/>
      </c>
      <c r="T767" s="26" t="str">
        <f t="shared" si="35"/>
        <v/>
      </c>
    </row>
    <row r="768" spans="1:20" x14ac:dyDescent="0.3">
      <c r="A768" s="26" t="str">
        <f>IF(BASE_CAIXA!A765="","",BASE_CAIXA!A765)</f>
        <v/>
      </c>
      <c r="B768" s="26" t="str">
        <f>IF(A768="","",BASE_CAIXA!AL765)</f>
        <v/>
      </c>
      <c r="C768" s="26" t="str">
        <f>IF(A768="","",BASE_CAIXA!AJ765)</f>
        <v/>
      </c>
      <c r="D768" s="26" t="str">
        <f>IF(A768="","",IF(BASE_CAIXA!C765="Entrada","Crédito","Débito"))</f>
        <v/>
      </c>
      <c r="E768" s="26" t="str">
        <f>IF(A768="","",BASE_CAIXA!AA765)</f>
        <v/>
      </c>
      <c r="F768" s="26" t="str">
        <f>IF(A768="","",BASE_CAIXA!N765)</f>
        <v/>
      </c>
      <c r="G768" s="26" t="str">
        <f>IF(A768="","",BASE_CAIXA!O765)</f>
        <v/>
      </c>
      <c r="H768" s="26" t="str">
        <f>IF(A768="","",BASE_CAIXA!P765)</f>
        <v/>
      </c>
      <c r="I768" s="26" t="str">
        <f>IF(A768="","",IF(BASE_CAIXA!H765&lt;&gt;"",BASE_CAIXA!H765,BASE_CAIXA!G765))</f>
        <v/>
      </c>
      <c r="J768" s="26" t="str">
        <f>IF(A768="","",BASE_CAIXA!G765)</f>
        <v/>
      </c>
      <c r="K768" s="26" t="str">
        <f>IF(A768="","",BASE_CAIXA!I765)</f>
        <v/>
      </c>
      <c r="L768" s="26" t="str">
        <f>IF(A768="","",BASE_CAIXA!J765)</f>
        <v/>
      </c>
      <c r="M768" s="26" t="str">
        <f>IF(A768="","",BASE_CAIXA!AM765)</f>
        <v/>
      </c>
      <c r="N768" s="26" t="str">
        <f t="shared" ca="1" si="33"/>
        <v/>
      </c>
      <c r="O768" s="26" t="str">
        <f>IFERROR(INDEX(EXTRATO_IMPORTADO!$A$5:$A$404,MATCH(B768,EXTRATO_IMPORTADO!$I$5:$I$404,0)),"")</f>
        <v/>
      </c>
      <c r="P768" s="26" t="str">
        <f>IFERROR(INDEX(EXTRATO_IMPORTADO!$F$5:$F$404,MATCH(B768,EXTRATO_IMPORTADO!$I$5:$I$404,0)),"")</f>
        <v/>
      </c>
      <c r="Q768" s="26" t="str">
        <f>IFERROR(INDEX(EXTRATO_IMPORTADO!$B$5:$B$404,MATCH(B768,EXTRATO_IMPORTADO!$I$5:$I$404,0)),"")</f>
        <v/>
      </c>
      <c r="R768" s="26" t="str">
        <f>IFERROR(MATCH(B768,EXTRATO_IMPORTADO!$I$5:$I$404,0),"")</f>
        <v/>
      </c>
      <c r="S768" s="26" t="str">
        <f t="shared" si="34"/>
        <v/>
      </c>
      <c r="T768" s="26" t="str">
        <f t="shared" si="35"/>
        <v/>
      </c>
    </row>
    <row r="769" spans="1:20" x14ac:dyDescent="0.3">
      <c r="A769" s="26" t="str">
        <f>IF(BASE_CAIXA!A766="","",BASE_CAIXA!A766)</f>
        <v/>
      </c>
      <c r="B769" s="26" t="str">
        <f>IF(A769="","",BASE_CAIXA!AL766)</f>
        <v/>
      </c>
      <c r="C769" s="26" t="str">
        <f>IF(A769="","",BASE_CAIXA!AJ766)</f>
        <v/>
      </c>
      <c r="D769" s="26" t="str">
        <f>IF(A769="","",IF(BASE_CAIXA!C766="Entrada","Crédito","Débito"))</f>
        <v/>
      </c>
      <c r="E769" s="26" t="str">
        <f>IF(A769="","",BASE_CAIXA!AA766)</f>
        <v/>
      </c>
      <c r="F769" s="26" t="str">
        <f>IF(A769="","",BASE_CAIXA!N766)</f>
        <v/>
      </c>
      <c r="G769" s="26" t="str">
        <f>IF(A769="","",BASE_CAIXA!O766)</f>
        <v/>
      </c>
      <c r="H769" s="26" t="str">
        <f>IF(A769="","",BASE_CAIXA!P766)</f>
        <v/>
      </c>
      <c r="I769" s="26" t="str">
        <f>IF(A769="","",IF(BASE_CAIXA!H766&lt;&gt;"",BASE_CAIXA!H766,BASE_CAIXA!G766))</f>
        <v/>
      </c>
      <c r="J769" s="26" t="str">
        <f>IF(A769="","",BASE_CAIXA!G766)</f>
        <v/>
      </c>
      <c r="K769" s="26" t="str">
        <f>IF(A769="","",BASE_CAIXA!I766)</f>
        <v/>
      </c>
      <c r="L769" s="26" t="str">
        <f>IF(A769="","",BASE_CAIXA!J766)</f>
        <v/>
      </c>
      <c r="M769" s="26" t="str">
        <f>IF(A769="","",BASE_CAIXA!AM766)</f>
        <v/>
      </c>
      <c r="N769" s="26" t="str">
        <f t="shared" ca="1" si="33"/>
        <v/>
      </c>
      <c r="O769" s="26" t="str">
        <f>IFERROR(INDEX(EXTRATO_IMPORTADO!$A$5:$A$404,MATCH(B769,EXTRATO_IMPORTADO!$I$5:$I$404,0)),"")</f>
        <v/>
      </c>
      <c r="P769" s="26" t="str">
        <f>IFERROR(INDEX(EXTRATO_IMPORTADO!$F$5:$F$404,MATCH(B769,EXTRATO_IMPORTADO!$I$5:$I$404,0)),"")</f>
        <v/>
      </c>
      <c r="Q769" s="26" t="str">
        <f>IFERROR(INDEX(EXTRATO_IMPORTADO!$B$5:$B$404,MATCH(B769,EXTRATO_IMPORTADO!$I$5:$I$404,0)),"")</f>
        <v/>
      </c>
      <c r="R769" s="26" t="str">
        <f>IFERROR(MATCH(B769,EXTRATO_IMPORTADO!$I$5:$I$404,0),"")</f>
        <v/>
      </c>
      <c r="S769" s="26" t="str">
        <f t="shared" si="34"/>
        <v/>
      </c>
      <c r="T769" s="26" t="str">
        <f t="shared" si="35"/>
        <v/>
      </c>
    </row>
    <row r="770" spans="1:20" x14ac:dyDescent="0.3">
      <c r="A770" s="26" t="str">
        <f>IF(BASE_CAIXA!A767="","",BASE_CAIXA!A767)</f>
        <v/>
      </c>
      <c r="B770" s="26" t="str">
        <f>IF(A770="","",BASE_CAIXA!AL767)</f>
        <v/>
      </c>
      <c r="C770" s="26" t="str">
        <f>IF(A770="","",BASE_CAIXA!AJ767)</f>
        <v/>
      </c>
      <c r="D770" s="26" t="str">
        <f>IF(A770="","",IF(BASE_CAIXA!C767="Entrada","Crédito","Débito"))</f>
        <v/>
      </c>
      <c r="E770" s="26" t="str">
        <f>IF(A770="","",BASE_CAIXA!AA767)</f>
        <v/>
      </c>
      <c r="F770" s="26" t="str">
        <f>IF(A770="","",BASE_CAIXA!N767)</f>
        <v/>
      </c>
      <c r="G770" s="26" t="str">
        <f>IF(A770="","",BASE_CAIXA!O767)</f>
        <v/>
      </c>
      <c r="H770" s="26" t="str">
        <f>IF(A770="","",BASE_CAIXA!P767)</f>
        <v/>
      </c>
      <c r="I770" s="26" t="str">
        <f>IF(A770="","",IF(BASE_CAIXA!H767&lt;&gt;"",BASE_CAIXA!H767,BASE_CAIXA!G767))</f>
        <v/>
      </c>
      <c r="J770" s="26" t="str">
        <f>IF(A770="","",BASE_CAIXA!G767)</f>
        <v/>
      </c>
      <c r="K770" s="26" t="str">
        <f>IF(A770="","",BASE_CAIXA!I767)</f>
        <v/>
      </c>
      <c r="L770" s="26" t="str">
        <f>IF(A770="","",BASE_CAIXA!J767)</f>
        <v/>
      </c>
      <c r="M770" s="26" t="str">
        <f>IF(A770="","",BASE_CAIXA!AM767)</f>
        <v/>
      </c>
      <c r="N770" s="26" t="str">
        <f t="shared" ca="1" si="33"/>
        <v/>
      </c>
      <c r="O770" s="26" t="str">
        <f>IFERROR(INDEX(EXTRATO_IMPORTADO!$A$5:$A$404,MATCH(B770,EXTRATO_IMPORTADO!$I$5:$I$404,0)),"")</f>
        <v/>
      </c>
      <c r="P770" s="26" t="str">
        <f>IFERROR(INDEX(EXTRATO_IMPORTADO!$F$5:$F$404,MATCH(B770,EXTRATO_IMPORTADO!$I$5:$I$404,0)),"")</f>
        <v/>
      </c>
      <c r="Q770" s="26" t="str">
        <f>IFERROR(INDEX(EXTRATO_IMPORTADO!$B$5:$B$404,MATCH(B770,EXTRATO_IMPORTADO!$I$5:$I$404,0)),"")</f>
        <v/>
      </c>
      <c r="R770" s="26" t="str">
        <f>IFERROR(MATCH(B770,EXTRATO_IMPORTADO!$I$5:$I$404,0),"")</f>
        <v/>
      </c>
      <c r="S770" s="26" t="str">
        <f t="shared" si="34"/>
        <v/>
      </c>
      <c r="T770" s="26" t="str">
        <f t="shared" si="35"/>
        <v/>
      </c>
    </row>
    <row r="771" spans="1:20" x14ac:dyDescent="0.3">
      <c r="A771" s="26" t="str">
        <f>IF(BASE_CAIXA!A768="","",BASE_CAIXA!A768)</f>
        <v/>
      </c>
      <c r="B771" s="26" t="str">
        <f>IF(A771="","",BASE_CAIXA!AL768)</f>
        <v/>
      </c>
      <c r="C771" s="26" t="str">
        <f>IF(A771="","",BASE_CAIXA!AJ768)</f>
        <v/>
      </c>
      <c r="D771" s="26" t="str">
        <f>IF(A771="","",IF(BASE_CAIXA!C768="Entrada","Crédito","Débito"))</f>
        <v/>
      </c>
      <c r="E771" s="26" t="str">
        <f>IF(A771="","",BASE_CAIXA!AA768)</f>
        <v/>
      </c>
      <c r="F771" s="26" t="str">
        <f>IF(A771="","",BASE_CAIXA!N768)</f>
        <v/>
      </c>
      <c r="G771" s="26" t="str">
        <f>IF(A771="","",BASE_CAIXA!O768)</f>
        <v/>
      </c>
      <c r="H771" s="26" t="str">
        <f>IF(A771="","",BASE_CAIXA!P768)</f>
        <v/>
      </c>
      <c r="I771" s="26" t="str">
        <f>IF(A771="","",IF(BASE_CAIXA!H768&lt;&gt;"",BASE_CAIXA!H768,BASE_CAIXA!G768))</f>
        <v/>
      </c>
      <c r="J771" s="26" t="str">
        <f>IF(A771="","",BASE_CAIXA!G768)</f>
        <v/>
      </c>
      <c r="K771" s="26" t="str">
        <f>IF(A771="","",BASE_CAIXA!I768)</f>
        <v/>
      </c>
      <c r="L771" s="26" t="str">
        <f>IF(A771="","",BASE_CAIXA!J768)</f>
        <v/>
      </c>
      <c r="M771" s="26" t="str">
        <f>IF(A771="","",BASE_CAIXA!AM768)</f>
        <v/>
      </c>
      <c r="N771" s="26" t="str">
        <f t="shared" ca="1" si="33"/>
        <v/>
      </c>
      <c r="O771" s="26" t="str">
        <f>IFERROR(INDEX(EXTRATO_IMPORTADO!$A$5:$A$404,MATCH(B771,EXTRATO_IMPORTADO!$I$5:$I$404,0)),"")</f>
        <v/>
      </c>
      <c r="P771" s="26" t="str">
        <f>IFERROR(INDEX(EXTRATO_IMPORTADO!$F$5:$F$404,MATCH(B771,EXTRATO_IMPORTADO!$I$5:$I$404,0)),"")</f>
        <v/>
      </c>
      <c r="Q771" s="26" t="str">
        <f>IFERROR(INDEX(EXTRATO_IMPORTADO!$B$5:$B$404,MATCH(B771,EXTRATO_IMPORTADO!$I$5:$I$404,0)),"")</f>
        <v/>
      </c>
      <c r="R771" s="26" t="str">
        <f>IFERROR(MATCH(B771,EXTRATO_IMPORTADO!$I$5:$I$404,0),"")</f>
        <v/>
      </c>
      <c r="S771" s="26" t="str">
        <f t="shared" si="34"/>
        <v/>
      </c>
      <c r="T771" s="26" t="str">
        <f t="shared" si="35"/>
        <v/>
      </c>
    </row>
    <row r="772" spans="1:20" x14ac:dyDescent="0.3">
      <c r="A772" s="26" t="str">
        <f>IF(BASE_CAIXA!A769="","",BASE_CAIXA!A769)</f>
        <v/>
      </c>
      <c r="B772" s="26" t="str">
        <f>IF(A772="","",BASE_CAIXA!AL769)</f>
        <v/>
      </c>
      <c r="C772" s="26" t="str">
        <f>IF(A772="","",BASE_CAIXA!AJ769)</f>
        <v/>
      </c>
      <c r="D772" s="26" t="str">
        <f>IF(A772="","",IF(BASE_CAIXA!C769="Entrada","Crédito","Débito"))</f>
        <v/>
      </c>
      <c r="E772" s="26" t="str">
        <f>IF(A772="","",BASE_CAIXA!AA769)</f>
        <v/>
      </c>
      <c r="F772" s="26" t="str">
        <f>IF(A772="","",BASE_CAIXA!N769)</f>
        <v/>
      </c>
      <c r="G772" s="26" t="str">
        <f>IF(A772="","",BASE_CAIXA!O769)</f>
        <v/>
      </c>
      <c r="H772" s="26" t="str">
        <f>IF(A772="","",BASE_CAIXA!P769)</f>
        <v/>
      </c>
      <c r="I772" s="26" t="str">
        <f>IF(A772="","",IF(BASE_CAIXA!H769&lt;&gt;"",BASE_CAIXA!H769,BASE_CAIXA!G769))</f>
        <v/>
      </c>
      <c r="J772" s="26" t="str">
        <f>IF(A772="","",BASE_CAIXA!G769)</f>
        <v/>
      </c>
      <c r="K772" s="26" t="str">
        <f>IF(A772="","",BASE_CAIXA!I769)</f>
        <v/>
      </c>
      <c r="L772" s="26" t="str">
        <f>IF(A772="","",BASE_CAIXA!J769)</f>
        <v/>
      </c>
      <c r="M772" s="26" t="str">
        <f>IF(A772="","",BASE_CAIXA!AM769)</f>
        <v/>
      </c>
      <c r="N772" s="26" t="str">
        <f t="shared" ca="1" si="33"/>
        <v/>
      </c>
      <c r="O772" s="26" t="str">
        <f>IFERROR(INDEX(EXTRATO_IMPORTADO!$A$5:$A$404,MATCH(B772,EXTRATO_IMPORTADO!$I$5:$I$404,0)),"")</f>
        <v/>
      </c>
      <c r="P772" s="26" t="str">
        <f>IFERROR(INDEX(EXTRATO_IMPORTADO!$F$5:$F$404,MATCH(B772,EXTRATO_IMPORTADO!$I$5:$I$404,0)),"")</f>
        <v/>
      </c>
      <c r="Q772" s="26" t="str">
        <f>IFERROR(INDEX(EXTRATO_IMPORTADO!$B$5:$B$404,MATCH(B772,EXTRATO_IMPORTADO!$I$5:$I$404,0)),"")</f>
        <v/>
      </c>
      <c r="R772" s="26" t="str">
        <f>IFERROR(MATCH(B772,EXTRATO_IMPORTADO!$I$5:$I$404,0),"")</f>
        <v/>
      </c>
      <c r="S772" s="26" t="str">
        <f t="shared" si="34"/>
        <v/>
      </c>
      <c r="T772" s="26" t="str">
        <f t="shared" si="35"/>
        <v/>
      </c>
    </row>
    <row r="773" spans="1:20" x14ac:dyDescent="0.3">
      <c r="A773" s="26" t="str">
        <f>IF(BASE_CAIXA!A770="","",BASE_CAIXA!A770)</f>
        <v/>
      </c>
      <c r="B773" s="26" t="str">
        <f>IF(A773="","",BASE_CAIXA!AL770)</f>
        <v/>
      </c>
      <c r="C773" s="26" t="str">
        <f>IF(A773="","",BASE_CAIXA!AJ770)</f>
        <v/>
      </c>
      <c r="D773" s="26" t="str">
        <f>IF(A773="","",IF(BASE_CAIXA!C770="Entrada","Crédito","Débito"))</f>
        <v/>
      </c>
      <c r="E773" s="26" t="str">
        <f>IF(A773="","",BASE_CAIXA!AA770)</f>
        <v/>
      </c>
      <c r="F773" s="26" t="str">
        <f>IF(A773="","",BASE_CAIXA!N770)</f>
        <v/>
      </c>
      <c r="G773" s="26" t="str">
        <f>IF(A773="","",BASE_CAIXA!O770)</f>
        <v/>
      </c>
      <c r="H773" s="26" t="str">
        <f>IF(A773="","",BASE_CAIXA!P770)</f>
        <v/>
      </c>
      <c r="I773" s="26" t="str">
        <f>IF(A773="","",IF(BASE_CAIXA!H770&lt;&gt;"",BASE_CAIXA!H770,BASE_CAIXA!G770))</f>
        <v/>
      </c>
      <c r="J773" s="26" t="str">
        <f>IF(A773="","",BASE_CAIXA!G770)</f>
        <v/>
      </c>
      <c r="K773" s="26" t="str">
        <f>IF(A773="","",BASE_CAIXA!I770)</f>
        <v/>
      </c>
      <c r="L773" s="26" t="str">
        <f>IF(A773="","",BASE_CAIXA!J770)</f>
        <v/>
      </c>
      <c r="M773" s="26" t="str">
        <f>IF(A773="","",BASE_CAIXA!AM770)</f>
        <v/>
      </c>
      <c r="N773" s="26" t="str">
        <f t="shared" ref="N773:N836" ca="1" si="36">IF(A773="","",IF(R773&lt;&gt;"",IF(AND(ABS(S773)&lt;=0.01,ABS(T773)&lt;=3),"Conciliado","Divergente"),IF(TODAY()&gt;C773,"Pendente vencido","Previsto")))</f>
        <v/>
      </c>
      <c r="O773" s="26" t="str">
        <f>IFERROR(INDEX(EXTRATO_IMPORTADO!$A$5:$A$404,MATCH(B773,EXTRATO_IMPORTADO!$I$5:$I$404,0)),"")</f>
        <v/>
      </c>
      <c r="P773" s="26" t="str">
        <f>IFERROR(INDEX(EXTRATO_IMPORTADO!$F$5:$F$404,MATCH(B773,EXTRATO_IMPORTADO!$I$5:$I$404,0)),"")</f>
        <v/>
      </c>
      <c r="Q773" s="26" t="str">
        <f>IFERROR(INDEX(EXTRATO_IMPORTADO!$B$5:$B$404,MATCH(B773,EXTRATO_IMPORTADO!$I$5:$I$404,0)),"")</f>
        <v/>
      </c>
      <c r="R773" s="26" t="str">
        <f>IFERROR(MATCH(B773,EXTRATO_IMPORTADO!$I$5:$I$404,0),"")</f>
        <v/>
      </c>
      <c r="S773" s="26" t="str">
        <f t="shared" ref="S773:S836" si="37">IF(OR(A773="",P773=""),"",P773-E773)</f>
        <v/>
      </c>
      <c r="T773" s="26" t="str">
        <f t="shared" ref="T773:T836" si="38">IF(OR(A773="",O773=""),"",O773-C773)</f>
        <v/>
      </c>
    </row>
    <row r="774" spans="1:20" x14ac:dyDescent="0.3">
      <c r="A774" s="26" t="str">
        <f>IF(BASE_CAIXA!A771="","",BASE_CAIXA!A771)</f>
        <v/>
      </c>
      <c r="B774" s="26" t="str">
        <f>IF(A774="","",BASE_CAIXA!AL771)</f>
        <v/>
      </c>
      <c r="C774" s="26" t="str">
        <f>IF(A774="","",BASE_CAIXA!AJ771)</f>
        <v/>
      </c>
      <c r="D774" s="26" t="str">
        <f>IF(A774="","",IF(BASE_CAIXA!C771="Entrada","Crédito","Débito"))</f>
        <v/>
      </c>
      <c r="E774" s="26" t="str">
        <f>IF(A774="","",BASE_CAIXA!AA771)</f>
        <v/>
      </c>
      <c r="F774" s="26" t="str">
        <f>IF(A774="","",BASE_CAIXA!N771)</f>
        <v/>
      </c>
      <c r="G774" s="26" t="str">
        <f>IF(A774="","",BASE_CAIXA!O771)</f>
        <v/>
      </c>
      <c r="H774" s="26" t="str">
        <f>IF(A774="","",BASE_CAIXA!P771)</f>
        <v/>
      </c>
      <c r="I774" s="26" t="str">
        <f>IF(A774="","",IF(BASE_CAIXA!H771&lt;&gt;"",BASE_CAIXA!H771,BASE_CAIXA!G771))</f>
        <v/>
      </c>
      <c r="J774" s="26" t="str">
        <f>IF(A774="","",BASE_CAIXA!G771)</f>
        <v/>
      </c>
      <c r="K774" s="26" t="str">
        <f>IF(A774="","",BASE_CAIXA!I771)</f>
        <v/>
      </c>
      <c r="L774" s="26" t="str">
        <f>IF(A774="","",BASE_CAIXA!J771)</f>
        <v/>
      </c>
      <c r="M774" s="26" t="str">
        <f>IF(A774="","",BASE_CAIXA!AM771)</f>
        <v/>
      </c>
      <c r="N774" s="26" t="str">
        <f t="shared" ca="1" si="36"/>
        <v/>
      </c>
      <c r="O774" s="26" t="str">
        <f>IFERROR(INDEX(EXTRATO_IMPORTADO!$A$5:$A$404,MATCH(B774,EXTRATO_IMPORTADO!$I$5:$I$404,0)),"")</f>
        <v/>
      </c>
      <c r="P774" s="26" t="str">
        <f>IFERROR(INDEX(EXTRATO_IMPORTADO!$F$5:$F$404,MATCH(B774,EXTRATO_IMPORTADO!$I$5:$I$404,0)),"")</f>
        <v/>
      </c>
      <c r="Q774" s="26" t="str">
        <f>IFERROR(INDEX(EXTRATO_IMPORTADO!$B$5:$B$404,MATCH(B774,EXTRATO_IMPORTADO!$I$5:$I$404,0)),"")</f>
        <v/>
      </c>
      <c r="R774" s="26" t="str">
        <f>IFERROR(MATCH(B774,EXTRATO_IMPORTADO!$I$5:$I$404,0),"")</f>
        <v/>
      </c>
      <c r="S774" s="26" t="str">
        <f t="shared" si="37"/>
        <v/>
      </c>
      <c r="T774" s="26" t="str">
        <f t="shared" si="38"/>
        <v/>
      </c>
    </row>
    <row r="775" spans="1:20" x14ac:dyDescent="0.3">
      <c r="A775" s="26" t="str">
        <f>IF(BASE_CAIXA!A772="","",BASE_CAIXA!A772)</f>
        <v/>
      </c>
      <c r="B775" s="26" t="str">
        <f>IF(A775="","",BASE_CAIXA!AL772)</f>
        <v/>
      </c>
      <c r="C775" s="26" t="str">
        <f>IF(A775="","",BASE_CAIXA!AJ772)</f>
        <v/>
      </c>
      <c r="D775" s="26" t="str">
        <f>IF(A775="","",IF(BASE_CAIXA!C772="Entrada","Crédito","Débito"))</f>
        <v/>
      </c>
      <c r="E775" s="26" t="str">
        <f>IF(A775="","",BASE_CAIXA!AA772)</f>
        <v/>
      </c>
      <c r="F775" s="26" t="str">
        <f>IF(A775="","",BASE_CAIXA!N772)</f>
        <v/>
      </c>
      <c r="G775" s="26" t="str">
        <f>IF(A775="","",BASE_CAIXA!O772)</f>
        <v/>
      </c>
      <c r="H775" s="26" t="str">
        <f>IF(A775="","",BASE_CAIXA!P772)</f>
        <v/>
      </c>
      <c r="I775" s="26" t="str">
        <f>IF(A775="","",IF(BASE_CAIXA!H772&lt;&gt;"",BASE_CAIXA!H772,BASE_CAIXA!G772))</f>
        <v/>
      </c>
      <c r="J775" s="26" t="str">
        <f>IF(A775="","",BASE_CAIXA!G772)</f>
        <v/>
      </c>
      <c r="K775" s="26" t="str">
        <f>IF(A775="","",BASE_CAIXA!I772)</f>
        <v/>
      </c>
      <c r="L775" s="26" t="str">
        <f>IF(A775="","",BASE_CAIXA!J772)</f>
        <v/>
      </c>
      <c r="M775" s="26" t="str">
        <f>IF(A775="","",BASE_CAIXA!AM772)</f>
        <v/>
      </c>
      <c r="N775" s="26" t="str">
        <f t="shared" ca="1" si="36"/>
        <v/>
      </c>
      <c r="O775" s="26" t="str">
        <f>IFERROR(INDEX(EXTRATO_IMPORTADO!$A$5:$A$404,MATCH(B775,EXTRATO_IMPORTADO!$I$5:$I$404,0)),"")</f>
        <v/>
      </c>
      <c r="P775" s="26" t="str">
        <f>IFERROR(INDEX(EXTRATO_IMPORTADO!$F$5:$F$404,MATCH(B775,EXTRATO_IMPORTADO!$I$5:$I$404,0)),"")</f>
        <v/>
      </c>
      <c r="Q775" s="26" t="str">
        <f>IFERROR(INDEX(EXTRATO_IMPORTADO!$B$5:$B$404,MATCH(B775,EXTRATO_IMPORTADO!$I$5:$I$404,0)),"")</f>
        <v/>
      </c>
      <c r="R775" s="26" t="str">
        <f>IFERROR(MATCH(B775,EXTRATO_IMPORTADO!$I$5:$I$404,0),"")</f>
        <v/>
      </c>
      <c r="S775" s="26" t="str">
        <f t="shared" si="37"/>
        <v/>
      </c>
      <c r="T775" s="26" t="str">
        <f t="shared" si="38"/>
        <v/>
      </c>
    </row>
    <row r="776" spans="1:20" x14ac:dyDescent="0.3">
      <c r="A776" s="26" t="str">
        <f>IF(BASE_CAIXA!A773="","",BASE_CAIXA!A773)</f>
        <v/>
      </c>
      <c r="B776" s="26" t="str">
        <f>IF(A776="","",BASE_CAIXA!AL773)</f>
        <v/>
      </c>
      <c r="C776" s="26" t="str">
        <f>IF(A776="","",BASE_CAIXA!AJ773)</f>
        <v/>
      </c>
      <c r="D776" s="26" t="str">
        <f>IF(A776="","",IF(BASE_CAIXA!C773="Entrada","Crédito","Débito"))</f>
        <v/>
      </c>
      <c r="E776" s="26" t="str">
        <f>IF(A776="","",BASE_CAIXA!AA773)</f>
        <v/>
      </c>
      <c r="F776" s="26" t="str">
        <f>IF(A776="","",BASE_CAIXA!N773)</f>
        <v/>
      </c>
      <c r="G776" s="26" t="str">
        <f>IF(A776="","",BASE_CAIXA!O773)</f>
        <v/>
      </c>
      <c r="H776" s="26" t="str">
        <f>IF(A776="","",BASE_CAIXA!P773)</f>
        <v/>
      </c>
      <c r="I776" s="26" t="str">
        <f>IF(A776="","",IF(BASE_CAIXA!H773&lt;&gt;"",BASE_CAIXA!H773,BASE_CAIXA!G773))</f>
        <v/>
      </c>
      <c r="J776" s="26" t="str">
        <f>IF(A776="","",BASE_CAIXA!G773)</f>
        <v/>
      </c>
      <c r="K776" s="26" t="str">
        <f>IF(A776="","",BASE_CAIXA!I773)</f>
        <v/>
      </c>
      <c r="L776" s="26" t="str">
        <f>IF(A776="","",BASE_CAIXA!J773)</f>
        <v/>
      </c>
      <c r="M776" s="26" t="str">
        <f>IF(A776="","",BASE_CAIXA!AM773)</f>
        <v/>
      </c>
      <c r="N776" s="26" t="str">
        <f t="shared" ca="1" si="36"/>
        <v/>
      </c>
      <c r="O776" s="26" t="str">
        <f>IFERROR(INDEX(EXTRATO_IMPORTADO!$A$5:$A$404,MATCH(B776,EXTRATO_IMPORTADO!$I$5:$I$404,0)),"")</f>
        <v/>
      </c>
      <c r="P776" s="26" t="str">
        <f>IFERROR(INDEX(EXTRATO_IMPORTADO!$F$5:$F$404,MATCH(B776,EXTRATO_IMPORTADO!$I$5:$I$404,0)),"")</f>
        <v/>
      </c>
      <c r="Q776" s="26" t="str">
        <f>IFERROR(INDEX(EXTRATO_IMPORTADO!$B$5:$B$404,MATCH(B776,EXTRATO_IMPORTADO!$I$5:$I$404,0)),"")</f>
        <v/>
      </c>
      <c r="R776" s="26" t="str">
        <f>IFERROR(MATCH(B776,EXTRATO_IMPORTADO!$I$5:$I$404,0),"")</f>
        <v/>
      </c>
      <c r="S776" s="26" t="str">
        <f t="shared" si="37"/>
        <v/>
      </c>
      <c r="T776" s="26" t="str">
        <f t="shared" si="38"/>
        <v/>
      </c>
    </row>
    <row r="777" spans="1:20" x14ac:dyDescent="0.3">
      <c r="A777" s="26" t="str">
        <f>IF(BASE_CAIXA!A774="","",BASE_CAIXA!A774)</f>
        <v/>
      </c>
      <c r="B777" s="26" t="str">
        <f>IF(A777="","",BASE_CAIXA!AL774)</f>
        <v/>
      </c>
      <c r="C777" s="26" t="str">
        <f>IF(A777="","",BASE_CAIXA!AJ774)</f>
        <v/>
      </c>
      <c r="D777" s="26" t="str">
        <f>IF(A777="","",IF(BASE_CAIXA!C774="Entrada","Crédito","Débito"))</f>
        <v/>
      </c>
      <c r="E777" s="26" t="str">
        <f>IF(A777="","",BASE_CAIXA!AA774)</f>
        <v/>
      </c>
      <c r="F777" s="26" t="str">
        <f>IF(A777="","",BASE_CAIXA!N774)</f>
        <v/>
      </c>
      <c r="G777" s="26" t="str">
        <f>IF(A777="","",BASE_CAIXA!O774)</f>
        <v/>
      </c>
      <c r="H777" s="26" t="str">
        <f>IF(A777="","",BASE_CAIXA!P774)</f>
        <v/>
      </c>
      <c r="I777" s="26" t="str">
        <f>IF(A777="","",IF(BASE_CAIXA!H774&lt;&gt;"",BASE_CAIXA!H774,BASE_CAIXA!G774))</f>
        <v/>
      </c>
      <c r="J777" s="26" t="str">
        <f>IF(A777="","",BASE_CAIXA!G774)</f>
        <v/>
      </c>
      <c r="K777" s="26" t="str">
        <f>IF(A777="","",BASE_CAIXA!I774)</f>
        <v/>
      </c>
      <c r="L777" s="26" t="str">
        <f>IF(A777="","",BASE_CAIXA!J774)</f>
        <v/>
      </c>
      <c r="M777" s="26" t="str">
        <f>IF(A777="","",BASE_CAIXA!AM774)</f>
        <v/>
      </c>
      <c r="N777" s="26" t="str">
        <f t="shared" ca="1" si="36"/>
        <v/>
      </c>
      <c r="O777" s="26" t="str">
        <f>IFERROR(INDEX(EXTRATO_IMPORTADO!$A$5:$A$404,MATCH(B777,EXTRATO_IMPORTADO!$I$5:$I$404,0)),"")</f>
        <v/>
      </c>
      <c r="P777" s="26" t="str">
        <f>IFERROR(INDEX(EXTRATO_IMPORTADO!$F$5:$F$404,MATCH(B777,EXTRATO_IMPORTADO!$I$5:$I$404,0)),"")</f>
        <v/>
      </c>
      <c r="Q777" s="26" t="str">
        <f>IFERROR(INDEX(EXTRATO_IMPORTADO!$B$5:$B$404,MATCH(B777,EXTRATO_IMPORTADO!$I$5:$I$404,0)),"")</f>
        <v/>
      </c>
      <c r="R777" s="26" t="str">
        <f>IFERROR(MATCH(B777,EXTRATO_IMPORTADO!$I$5:$I$404,0),"")</f>
        <v/>
      </c>
      <c r="S777" s="26" t="str">
        <f t="shared" si="37"/>
        <v/>
      </c>
      <c r="T777" s="26" t="str">
        <f t="shared" si="38"/>
        <v/>
      </c>
    </row>
    <row r="778" spans="1:20" x14ac:dyDescent="0.3">
      <c r="A778" s="26" t="str">
        <f>IF(BASE_CAIXA!A775="","",BASE_CAIXA!A775)</f>
        <v/>
      </c>
      <c r="B778" s="26" t="str">
        <f>IF(A778="","",BASE_CAIXA!AL775)</f>
        <v/>
      </c>
      <c r="C778" s="26" t="str">
        <f>IF(A778="","",BASE_CAIXA!AJ775)</f>
        <v/>
      </c>
      <c r="D778" s="26" t="str">
        <f>IF(A778="","",IF(BASE_CAIXA!C775="Entrada","Crédito","Débito"))</f>
        <v/>
      </c>
      <c r="E778" s="26" t="str">
        <f>IF(A778="","",BASE_CAIXA!AA775)</f>
        <v/>
      </c>
      <c r="F778" s="26" t="str">
        <f>IF(A778="","",BASE_CAIXA!N775)</f>
        <v/>
      </c>
      <c r="G778" s="26" t="str">
        <f>IF(A778="","",BASE_CAIXA!O775)</f>
        <v/>
      </c>
      <c r="H778" s="26" t="str">
        <f>IF(A778="","",BASE_CAIXA!P775)</f>
        <v/>
      </c>
      <c r="I778" s="26" t="str">
        <f>IF(A778="","",IF(BASE_CAIXA!H775&lt;&gt;"",BASE_CAIXA!H775,BASE_CAIXA!G775))</f>
        <v/>
      </c>
      <c r="J778" s="26" t="str">
        <f>IF(A778="","",BASE_CAIXA!G775)</f>
        <v/>
      </c>
      <c r="K778" s="26" t="str">
        <f>IF(A778="","",BASE_CAIXA!I775)</f>
        <v/>
      </c>
      <c r="L778" s="26" t="str">
        <f>IF(A778="","",BASE_CAIXA!J775)</f>
        <v/>
      </c>
      <c r="M778" s="26" t="str">
        <f>IF(A778="","",BASE_CAIXA!AM775)</f>
        <v/>
      </c>
      <c r="N778" s="26" t="str">
        <f t="shared" ca="1" si="36"/>
        <v/>
      </c>
      <c r="O778" s="26" t="str">
        <f>IFERROR(INDEX(EXTRATO_IMPORTADO!$A$5:$A$404,MATCH(B778,EXTRATO_IMPORTADO!$I$5:$I$404,0)),"")</f>
        <v/>
      </c>
      <c r="P778" s="26" t="str">
        <f>IFERROR(INDEX(EXTRATO_IMPORTADO!$F$5:$F$404,MATCH(B778,EXTRATO_IMPORTADO!$I$5:$I$404,0)),"")</f>
        <v/>
      </c>
      <c r="Q778" s="26" t="str">
        <f>IFERROR(INDEX(EXTRATO_IMPORTADO!$B$5:$B$404,MATCH(B778,EXTRATO_IMPORTADO!$I$5:$I$404,0)),"")</f>
        <v/>
      </c>
      <c r="R778" s="26" t="str">
        <f>IFERROR(MATCH(B778,EXTRATO_IMPORTADO!$I$5:$I$404,0),"")</f>
        <v/>
      </c>
      <c r="S778" s="26" t="str">
        <f t="shared" si="37"/>
        <v/>
      </c>
      <c r="T778" s="26" t="str">
        <f t="shared" si="38"/>
        <v/>
      </c>
    </row>
    <row r="779" spans="1:20" x14ac:dyDescent="0.3">
      <c r="A779" s="26" t="str">
        <f>IF(BASE_CAIXA!A776="","",BASE_CAIXA!A776)</f>
        <v/>
      </c>
      <c r="B779" s="26" t="str">
        <f>IF(A779="","",BASE_CAIXA!AL776)</f>
        <v/>
      </c>
      <c r="C779" s="26" t="str">
        <f>IF(A779="","",BASE_CAIXA!AJ776)</f>
        <v/>
      </c>
      <c r="D779" s="26" t="str">
        <f>IF(A779="","",IF(BASE_CAIXA!C776="Entrada","Crédito","Débito"))</f>
        <v/>
      </c>
      <c r="E779" s="26" t="str">
        <f>IF(A779="","",BASE_CAIXA!AA776)</f>
        <v/>
      </c>
      <c r="F779" s="26" t="str">
        <f>IF(A779="","",BASE_CAIXA!N776)</f>
        <v/>
      </c>
      <c r="G779" s="26" t="str">
        <f>IF(A779="","",BASE_CAIXA!O776)</f>
        <v/>
      </c>
      <c r="H779" s="26" t="str">
        <f>IF(A779="","",BASE_CAIXA!P776)</f>
        <v/>
      </c>
      <c r="I779" s="26" t="str">
        <f>IF(A779="","",IF(BASE_CAIXA!H776&lt;&gt;"",BASE_CAIXA!H776,BASE_CAIXA!G776))</f>
        <v/>
      </c>
      <c r="J779" s="26" t="str">
        <f>IF(A779="","",BASE_CAIXA!G776)</f>
        <v/>
      </c>
      <c r="K779" s="26" t="str">
        <f>IF(A779="","",BASE_CAIXA!I776)</f>
        <v/>
      </c>
      <c r="L779" s="26" t="str">
        <f>IF(A779="","",BASE_CAIXA!J776)</f>
        <v/>
      </c>
      <c r="M779" s="26" t="str">
        <f>IF(A779="","",BASE_CAIXA!AM776)</f>
        <v/>
      </c>
      <c r="N779" s="26" t="str">
        <f t="shared" ca="1" si="36"/>
        <v/>
      </c>
      <c r="O779" s="26" t="str">
        <f>IFERROR(INDEX(EXTRATO_IMPORTADO!$A$5:$A$404,MATCH(B779,EXTRATO_IMPORTADO!$I$5:$I$404,0)),"")</f>
        <v/>
      </c>
      <c r="P779" s="26" t="str">
        <f>IFERROR(INDEX(EXTRATO_IMPORTADO!$F$5:$F$404,MATCH(B779,EXTRATO_IMPORTADO!$I$5:$I$404,0)),"")</f>
        <v/>
      </c>
      <c r="Q779" s="26" t="str">
        <f>IFERROR(INDEX(EXTRATO_IMPORTADO!$B$5:$B$404,MATCH(B779,EXTRATO_IMPORTADO!$I$5:$I$404,0)),"")</f>
        <v/>
      </c>
      <c r="R779" s="26" t="str">
        <f>IFERROR(MATCH(B779,EXTRATO_IMPORTADO!$I$5:$I$404,0),"")</f>
        <v/>
      </c>
      <c r="S779" s="26" t="str">
        <f t="shared" si="37"/>
        <v/>
      </c>
      <c r="T779" s="26" t="str">
        <f t="shared" si="38"/>
        <v/>
      </c>
    </row>
    <row r="780" spans="1:20" x14ac:dyDescent="0.3">
      <c r="A780" s="26" t="str">
        <f>IF(BASE_CAIXA!A777="","",BASE_CAIXA!A777)</f>
        <v/>
      </c>
      <c r="B780" s="26" t="str">
        <f>IF(A780="","",BASE_CAIXA!AL777)</f>
        <v/>
      </c>
      <c r="C780" s="26" t="str">
        <f>IF(A780="","",BASE_CAIXA!AJ777)</f>
        <v/>
      </c>
      <c r="D780" s="26" t="str">
        <f>IF(A780="","",IF(BASE_CAIXA!C777="Entrada","Crédito","Débito"))</f>
        <v/>
      </c>
      <c r="E780" s="26" t="str">
        <f>IF(A780="","",BASE_CAIXA!AA777)</f>
        <v/>
      </c>
      <c r="F780" s="26" t="str">
        <f>IF(A780="","",BASE_CAIXA!N777)</f>
        <v/>
      </c>
      <c r="G780" s="26" t="str">
        <f>IF(A780="","",BASE_CAIXA!O777)</f>
        <v/>
      </c>
      <c r="H780" s="26" t="str">
        <f>IF(A780="","",BASE_CAIXA!P777)</f>
        <v/>
      </c>
      <c r="I780" s="26" t="str">
        <f>IF(A780="","",IF(BASE_CAIXA!H777&lt;&gt;"",BASE_CAIXA!H777,BASE_CAIXA!G777))</f>
        <v/>
      </c>
      <c r="J780" s="26" t="str">
        <f>IF(A780="","",BASE_CAIXA!G777)</f>
        <v/>
      </c>
      <c r="K780" s="26" t="str">
        <f>IF(A780="","",BASE_CAIXA!I777)</f>
        <v/>
      </c>
      <c r="L780" s="26" t="str">
        <f>IF(A780="","",BASE_CAIXA!J777)</f>
        <v/>
      </c>
      <c r="M780" s="26" t="str">
        <f>IF(A780="","",BASE_CAIXA!AM777)</f>
        <v/>
      </c>
      <c r="N780" s="26" t="str">
        <f t="shared" ca="1" si="36"/>
        <v/>
      </c>
      <c r="O780" s="26" t="str">
        <f>IFERROR(INDEX(EXTRATO_IMPORTADO!$A$5:$A$404,MATCH(B780,EXTRATO_IMPORTADO!$I$5:$I$404,0)),"")</f>
        <v/>
      </c>
      <c r="P780" s="26" t="str">
        <f>IFERROR(INDEX(EXTRATO_IMPORTADO!$F$5:$F$404,MATCH(B780,EXTRATO_IMPORTADO!$I$5:$I$404,0)),"")</f>
        <v/>
      </c>
      <c r="Q780" s="26" t="str">
        <f>IFERROR(INDEX(EXTRATO_IMPORTADO!$B$5:$B$404,MATCH(B780,EXTRATO_IMPORTADO!$I$5:$I$404,0)),"")</f>
        <v/>
      </c>
      <c r="R780" s="26" t="str">
        <f>IFERROR(MATCH(B780,EXTRATO_IMPORTADO!$I$5:$I$404,0),"")</f>
        <v/>
      </c>
      <c r="S780" s="26" t="str">
        <f t="shared" si="37"/>
        <v/>
      </c>
      <c r="T780" s="26" t="str">
        <f t="shared" si="38"/>
        <v/>
      </c>
    </row>
    <row r="781" spans="1:20" x14ac:dyDescent="0.3">
      <c r="A781" s="26" t="str">
        <f>IF(BASE_CAIXA!A778="","",BASE_CAIXA!A778)</f>
        <v/>
      </c>
      <c r="B781" s="26" t="str">
        <f>IF(A781="","",BASE_CAIXA!AL778)</f>
        <v/>
      </c>
      <c r="C781" s="26" t="str">
        <f>IF(A781="","",BASE_CAIXA!AJ778)</f>
        <v/>
      </c>
      <c r="D781" s="26" t="str">
        <f>IF(A781="","",IF(BASE_CAIXA!C778="Entrada","Crédito","Débito"))</f>
        <v/>
      </c>
      <c r="E781" s="26" t="str">
        <f>IF(A781="","",BASE_CAIXA!AA778)</f>
        <v/>
      </c>
      <c r="F781" s="26" t="str">
        <f>IF(A781="","",BASE_CAIXA!N778)</f>
        <v/>
      </c>
      <c r="G781" s="26" t="str">
        <f>IF(A781="","",BASE_CAIXA!O778)</f>
        <v/>
      </c>
      <c r="H781" s="26" t="str">
        <f>IF(A781="","",BASE_CAIXA!P778)</f>
        <v/>
      </c>
      <c r="I781" s="26" t="str">
        <f>IF(A781="","",IF(BASE_CAIXA!H778&lt;&gt;"",BASE_CAIXA!H778,BASE_CAIXA!G778))</f>
        <v/>
      </c>
      <c r="J781" s="26" t="str">
        <f>IF(A781="","",BASE_CAIXA!G778)</f>
        <v/>
      </c>
      <c r="K781" s="26" t="str">
        <f>IF(A781="","",BASE_CAIXA!I778)</f>
        <v/>
      </c>
      <c r="L781" s="26" t="str">
        <f>IF(A781="","",BASE_CAIXA!J778)</f>
        <v/>
      </c>
      <c r="M781" s="26" t="str">
        <f>IF(A781="","",BASE_CAIXA!AM778)</f>
        <v/>
      </c>
      <c r="N781" s="26" t="str">
        <f t="shared" ca="1" si="36"/>
        <v/>
      </c>
      <c r="O781" s="26" t="str">
        <f>IFERROR(INDEX(EXTRATO_IMPORTADO!$A$5:$A$404,MATCH(B781,EXTRATO_IMPORTADO!$I$5:$I$404,0)),"")</f>
        <v/>
      </c>
      <c r="P781" s="26" t="str">
        <f>IFERROR(INDEX(EXTRATO_IMPORTADO!$F$5:$F$404,MATCH(B781,EXTRATO_IMPORTADO!$I$5:$I$404,0)),"")</f>
        <v/>
      </c>
      <c r="Q781" s="26" t="str">
        <f>IFERROR(INDEX(EXTRATO_IMPORTADO!$B$5:$B$404,MATCH(B781,EXTRATO_IMPORTADO!$I$5:$I$404,0)),"")</f>
        <v/>
      </c>
      <c r="R781" s="26" t="str">
        <f>IFERROR(MATCH(B781,EXTRATO_IMPORTADO!$I$5:$I$404,0),"")</f>
        <v/>
      </c>
      <c r="S781" s="26" t="str">
        <f t="shared" si="37"/>
        <v/>
      </c>
      <c r="T781" s="26" t="str">
        <f t="shared" si="38"/>
        <v/>
      </c>
    </row>
    <row r="782" spans="1:20" x14ac:dyDescent="0.3">
      <c r="A782" s="26" t="str">
        <f>IF(BASE_CAIXA!A779="","",BASE_CAIXA!A779)</f>
        <v/>
      </c>
      <c r="B782" s="26" t="str">
        <f>IF(A782="","",BASE_CAIXA!AL779)</f>
        <v/>
      </c>
      <c r="C782" s="26" t="str">
        <f>IF(A782="","",BASE_CAIXA!AJ779)</f>
        <v/>
      </c>
      <c r="D782" s="26" t="str">
        <f>IF(A782="","",IF(BASE_CAIXA!C779="Entrada","Crédito","Débito"))</f>
        <v/>
      </c>
      <c r="E782" s="26" t="str">
        <f>IF(A782="","",BASE_CAIXA!AA779)</f>
        <v/>
      </c>
      <c r="F782" s="26" t="str">
        <f>IF(A782="","",BASE_CAIXA!N779)</f>
        <v/>
      </c>
      <c r="G782" s="26" t="str">
        <f>IF(A782="","",BASE_CAIXA!O779)</f>
        <v/>
      </c>
      <c r="H782" s="26" t="str">
        <f>IF(A782="","",BASE_CAIXA!P779)</f>
        <v/>
      </c>
      <c r="I782" s="26" t="str">
        <f>IF(A782="","",IF(BASE_CAIXA!H779&lt;&gt;"",BASE_CAIXA!H779,BASE_CAIXA!G779))</f>
        <v/>
      </c>
      <c r="J782" s="26" t="str">
        <f>IF(A782="","",BASE_CAIXA!G779)</f>
        <v/>
      </c>
      <c r="K782" s="26" t="str">
        <f>IF(A782="","",BASE_CAIXA!I779)</f>
        <v/>
      </c>
      <c r="L782" s="26" t="str">
        <f>IF(A782="","",BASE_CAIXA!J779)</f>
        <v/>
      </c>
      <c r="M782" s="26" t="str">
        <f>IF(A782="","",BASE_CAIXA!AM779)</f>
        <v/>
      </c>
      <c r="N782" s="26" t="str">
        <f t="shared" ca="1" si="36"/>
        <v/>
      </c>
      <c r="O782" s="26" t="str">
        <f>IFERROR(INDEX(EXTRATO_IMPORTADO!$A$5:$A$404,MATCH(B782,EXTRATO_IMPORTADO!$I$5:$I$404,0)),"")</f>
        <v/>
      </c>
      <c r="P782" s="26" t="str">
        <f>IFERROR(INDEX(EXTRATO_IMPORTADO!$F$5:$F$404,MATCH(B782,EXTRATO_IMPORTADO!$I$5:$I$404,0)),"")</f>
        <v/>
      </c>
      <c r="Q782" s="26" t="str">
        <f>IFERROR(INDEX(EXTRATO_IMPORTADO!$B$5:$B$404,MATCH(B782,EXTRATO_IMPORTADO!$I$5:$I$404,0)),"")</f>
        <v/>
      </c>
      <c r="R782" s="26" t="str">
        <f>IFERROR(MATCH(B782,EXTRATO_IMPORTADO!$I$5:$I$404,0),"")</f>
        <v/>
      </c>
      <c r="S782" s="26" t="str">
        <f t="shared" si="37"/>
        <v/>
      </c>
      <c r="T782" s="26" t="str">
        <f t="shared" si="38"/>
        <v/>
      </c>
    </row>
    <row r="783" spans="1:20" x14ac:dyDescent="0.3">
      <c r="A783" s="26" t="str">
        <f>IF(BASE_CAIXA!A780="","",BASE_CAIXA!A780)</f>
        <v/>
      </c>
      <c r="B783" s="26" t="str">
        <f>IF(A783="","",BASE_CAIXA!AL780)</f>
        <v/>
      </c>
      <c r="C783" s="26" t="str">
        <f>IF(A783="","",BASE_CAIXA!AJ780)</f>
        <v/>
      </c>
      <c r="D783" s="26" t="str">
        <f>IF(A783="","",IF(BASE_CAIXA!C780="Entrada","Crédito","Débito"))</f>
        <v/>
      </c>
      <c r="E783" s="26" t="str">
        <f>IF(A783="","",BASE_CAIXA!AA780)</f>
        <v/>
      </c>
      <c r="F783" s="26" t="str">
        <f>IF(A783="","",BASE_CAIXA!N780)</f>
        <v/>
      </c>
      <c r="G783" s="26" t="str">
        <f>IF(A783="","",BASE_CAIXA!O780)</f>
        <v/>
      </c>
      <c r="H783" s="26" t="str">
        <f>IF(A783="","",BASE_CAIXA!P780)</f>
        <v/>
      </c>
      <c r="I783" s="26" t="str">
        <f>IF(A783="","",IF(BASE_CAIXA!H780&lt;&gt;"",BASE_CAIXA!H780,BASE_CAIXA!G780))</f>
        <v/>
      </c>
      <c r="J783" s="26" t="str">
        <f>IF(A783="","",BASE_CAIXA!G780)</f>
        <v/>
      </c>
      <c r="K783" s="26" t="str">
        <f>IF(A783="","",BASE_CAIXA!I780)</f>
        <v/>
      </c>
      <c r="L783" s="26" t="str">
        <f>IF(A783="","",BASE_CAIXA!J780)</f>
        <v/>
      </c>
      <c r="M783" s="26" t="str">
        <f>IF(A783="","",BASE_CAIXA!AM780)</f>
        <v/>
      </c>
      <c r="N783" s="26" t="str">
        <f t="shared" ca="1" si="36"/>
        <v/>
      </c>
      <c r="O783" s="26" t="str">
        <f>IFERROR(INDEX(EXTRATO_IMPORTADO!$A$5:$A$404,MATCH(B783,EXTRATO_IMPORTADO!$I$5:$I$404,0)),"")</f>
        <v/>
      </c>
      <c r="P783" s="26" t="str">
        <f>IFERROR(INDEX(EXTRATO_IMPORTADO!$F$5:$F$404,MATCH(B783,EXTRATO_IMPORTADO!$I$5:$I$404,0)),"")</f>
        <v/>
      </c>
      <c r="Q783" s="26" t="str">
        <f>IFERROR(INDEX(EXTRATO_IMPORTADO!$B$5:$B$404,MATCH(B783,EXTRATO_IMPORTADO!$I$5:$I$404,0)),"")</f>
        <v/>
      </c>
      <c r="R783" s="26" t="str">
        <f>IFERROR(MATCH(B783,EXTRATO_IMPORTADO!$I$5:$I$404,0),"")</f>
        <v/>
      </c>
      <c r="S783" s="26" t="str">
        <f t="shared" si="37"/>
        <v/>
      </c>
      <c r="T783" s="26" t="str">
        <f t="shared" si="38"/>
        <v/>
      </c>
    </row>
    <row r="784" spans="1:20" x14ac:dyDescent="0.3">
      <c r="A784" s="26" t="str">
        <f>IF(BASE_CAIXA!A781="","",BASE_CAIXA!A781)</f>
        <v/>
      </c>
      <c r="B784" s="26" t="str">
        <f>IF(A784="","",BASE_CAIXA!AL781)</f>
        <v/>
      </c>
      <c r="C784" s="26" t="str">
        <f>IF(A784="","",BASE_CAIXA!AJ781)</f>
        <v/>
      </c>
      <c r="D784" s="26" t="str">
        <f>IF(A784="","",IF(BASE_CAIXA!C781="Entrada","Crédito","Débito"))</f>
        <v/>
      </c>
      <c r="E784" s="26" t="str">
        <f>IF(A784="","",BASE_CAIXA!AA781)</f>
        <v/>
      </c>
      <c r="F784" s="26" t="str">
        <f>IF(A784="","",BASE_CAIXA!N781)</f>
        <v/>
      </c>
      <c r="G784" s="26" t="str">
        <f>IF(A784="","",BASE_CAIXA!O781)</f>
        <v/>
      </c>
      <c r="H784" s="26" t="str">
        <f>IF(A784="","",BASE_CAIXA!P781)</f>
        <v/>
      </c>
      <c r="I784" s="26" t="str">
        <f>IF(A784="","",IF(BASE_CAIXA!H781&lt;&gt;"",BASE_CAIXA!H781,BASE_CAIXA!G781))</f>
        <v/>
      </c>
      <c r="J784" s="26" t="str">
        <f>IF(A784="","",BASE_CAIXA!G781)</f>
        <v/>
      </c>
      <c r="K784" s="26" t="str">
        <f>IF(A784="","",BASE_CAIXA!I781)</f>
        <v/>
      </c>
      <c r="L784" s="26" t="str">
        <f>IF(A784="","",BASE_CAIXA!J781)</f>
        <v/>
      </c>
      <c r="M784" s="26" t="str">
        <f>IF(A784="","",BASE_CAIXA!AM781)</f>
        <v/>
      </c>
      <c r="N784" s="26" t="str">
        <f t="shared" ca="1" si="36"/>
        <v/>
      </c>
      <c r="O784" s="26" t="str">
        <f>IFERROR(INDEX(EXTRATO_IMPORTADO!$A$5:$A$404,MATCH(B784,EXTRATO_IMPORTADO!$I$5:$I$404,0)),"")</f>
        <v/>
      </c>
      <c r="P784" s="26" t="str">
        <f>IFERROR(INDEX(EXTRATO_IMPORTADO!$F$5:$F$404,MATCH(B784,EXTRATO_IMPORTADO!$I$5:$I$404,0)),"")</f>
        <v/>
      </c>
      <c r="Q784" s="26" t="str">
        <f>IFERROR(INDEX(EXTRATO_IMPORTADO!$B$5:$B$404,MATCH(B784,EXTRATO_IMPORTADO!$I$5:$I$404,0)),"")</f>
        <v/>
      </c>
      <c r="R784" s="26" t="str">
        <f>IFERROR(MATCH(B784,EXTRATO_IMPORTADO!$I$5:$I$404,0),"")</f>
        <v/>
      </c>
      <c r="S784" s="26" t="str">
        <f t="shared" si="37"/>
        <v/>
      </c>
      <c r="T784" s="26" t="str">
        <f t="shared" si="38"/>
        <v/>
      </c>
    </row>
    <row r="785" spans="1:20" x14ac:dyDescent="0.3">
      <c r="A785" s="26" t="str">
        <f>IF(BASE_CAIXA!A782="","",BASE_CAIXA!A782)</f>
        <v/>
      </c>
      <c r="B785" s="26" t="str">
        <f>IF(A785="","",BASE_CAIXA!AL782)</f>
        <v/>
      </c>
      <c r="C785" s="26" t="str">
        <f>IF(A785="","",BASE_CAIXA!AJ782)</f>
        <v/>
      </c>
      <c r="D785" s="26" t="str">
        <f>IF(A785="","",IF(BASE_CAIXA!C782="Entrada","Crédito","Débito"))</f>
        <v/>
      </c>
      <c r="E785" s="26" t="str">
        <f>IF(A785="","",BASE_CAIXA!AA782)</f>
        <v/>
      </c>
      <c r="F785" s="26" t="str">
        <f>IF(A785="","",BASE_CAIXA!N782)</f>
        <v/>
      </c>
      <c r="G785" s="26" t="str">
        <f>IF(A785="","",BASE_CAIXA!O782)</f>
        <v/>
      </c>
      <c r="H785" s="26" t="str">
        <f>IF(A785="","",BASE_CAIXA!P782)</f>
        <v/>
      </c>
      <c r="I785" s="26" t="str">
        <f>IF(A785="","",IF(BASE_CAIXA!H782&lt;&gt;"",BASE_CAIXA!H782,BASE_CAIXA!G782))</f>
        <v/>
      </c>
      <c r="J785" s="26" t="str">
        <f>IF(A785="","",BASE_CAIXA!G782)</f>
        <v/>
      </c>
      <c r="K785" s="26" t="str">
        <f>IF(A785="","",BASE_CAIXA!I782)</f>
        <v/>
      </c>
      <c r="L785" s="26" t="str">
        <f>IF(A785="","",BASE_CAIXA!J782)</f>
        <v/>
      </c>
      <c r="M785" s="26" t="str">
        <f>IF(A785="","",BASE_CAIXA!AM782)</f>
        <v/>
      </c>
      <c r="N785" s="26" t="str">
        <f t="shared" ca="1" si="36"/>
        <v/>
      </c>
      <c r="O785" s="26" t="str">
        <f>IFERROR(INDEX(EXTRATO_IMPORTADO!$A$5:$A$404,MATCH(B785,EXTRATO_IMPORTADO!$I$5:$I$404,0)),"")</f>
        <v/>
      </c>
      <c r="P785" s="26" t="str">
        <f>IFERROR(INDEX(EXTRATO_IMPORTADO!$F$5:$F$404,MATCH(B785,EXTRATO_IMPORTADO!$I$5:$I$404,0)),"")</f>
        <v/>
      </c>
      <c r="Q785" s="26" t="str">
        <f>IFERROR(INDEX(EXTRATO_IMPORTADO!$B$5:$B$404,MATCH(B785,EXTRATO_IMPORTADO!$I$5:$I$404,0)),"")</f>
        <v/>
      </c>
      <c r="R785" s="26" t="str">
        <f>IFERROR(MATCH(B785,EXTRATO_IMPORTADO!$I$5:$I$404,0),"")</f>
        <v/>
      </c>
      <c r="S785" s="26" t="str">
        <f t="shared" si="37"/>
        <v/>
      </c>
      <c r="T785" s="26" t="str">
        <f t="shared" si="38"/>
        <v/>
      </c>
    </row>
    <row r="786" spans="1:20" x14ac:dyDescent="0.3">
      <c r="A786" s="26" t="str">
        <f>IF(BASE_CAIXA!A783="","",BASE_CAIXA!A783)</f>
        <v/>
      </c>
      <c r="B786" s="26" t="str">
        <f>IF(A786="","",BASE_CAIXA!AL783)</f>
        <v/>
      </c>
      <c r="C786" s="26" t="str">
        <f>IF(A786="","",BASE_CAIXA!AJ783)</f>
        <v/>
      </c>
      <c r="D786" s="26" t="str">
        <f>IF(A786="","",IF(BASE_CAIXA!C783="Entrada","Crédito","Débito"))</f>
        <v/>
      </c>
      <c r="E786" s="26" t="str">
        <f>IF(A786="","",BASE_CAIXA!AA783)</f>
        <v/>
      </c>
      <c r="F786" s="26" t="str">
        <f>IF(A786="","",BASE_CAIXA!N783)</f>
        <v/>
      </c>
      <c r="G786" s="26" t="str">
        <f>IF(A786="","",BASE_CAIXA!O783)</f>
        <v/>
      </c>
      <c r="H786" s="26" t="str">
        <f>IF(A786="","",BASE_CAIXA!P783)</f>
        <v/>
      </c>
      <c r="I786" s="26" t="str">
        <f>IF(A786="","",IF(BASE_CAIXA!H783&lt;&gt;"",BASE_CAIXA!H783,BASE_CAIXA!G783))</f>
        <v/>
      </c>
      <c r="J786" s="26" t="str">
        <f>IF(A786="","",BASE_CAIXA!G783)</f>
        <v/>
      </c>
      <c r="K786" s="26" t="str">
        <f>IF(A786="","",BASE_CAIXA!I783)</f>
        <v/>
      </c>
      <c r="L786" s="26" t="str">
        <f>IF(A786="","",BASE_CAIXA!J783)</f>
        <v/>
      </c>
      <c r="M786" s="26" t="str">
        <f>IF(A786="","",BASE_CAIXA!AM783)</f>
        <v/>
      </c>
      <c r="N786" s="26" t="str">
        <f t="shared" ca="1" si="36"/>
        <v/>
      </c>
      <c r="O786" s="26" t="str">
        <f>IFERROR(INDEX(EXTRATO_IMPORTADO!$A$5:$A$404,MATCH(B786,EXTRATO_IMPORTADO!$I$5:$I$404,0)),"")</f>
        <v/>
      </c>
      <c r="P786" s="26" t="str">
        <f>IFERROR(INDEX(EXTRATO_IMPORTADO!$F$5:$F$404,MATCH(B786,EXTRATO_IMPORTADO!$I$5:$I$404,0)),"")</f>
        <v/>
      </c>
      <c r="Q786" s="26" t="str">
        <f>IFERROR(INDEX(EXTRATO_IMPORTADO!$B$5:$B$404,MATCH(B786,EXTRATO_IMPORTADO!$I$5:$I$404,0)),"")</f>
        <v/>
      </c>
      <c r="R786" s="26" t="str">
        <f>IFERROR(MATCH(B786,EXTRATO_IMPORTADO!$I$5:$I$404,0),"")</f>
        <v/>
      </c>
      <c r="S786" s="26" t="str">
        <f t="shared" si="37"/>
        <v/>
      </c>
      <c r="T786" s="26" t="str">
        <f t="shared" si="38"/>
        <v/>
      </c>
    </row>
    <row r="787" spans="1:20" x14ac:dyDescent="0.3">
      <c r="A787" s="26" t="str">
        <f>IF(BASE_CAIXA!A784="","",BASE_CAIXA!A784)</f>
        <v/>
      </c>
      <c r="B787" s="26" t="str">
        <f>IF(A787="","",BASE_CAIXA!AL784)</f>
        <v/>
      </c>
      <c r="C787" s="26" t="str">
        <f>IF(A787="","",BASE_CAIXA!AJ784)</f>
        <v/>
      </c>
      <c r="D787" s="26" t="str">
        <f>IF(A787="","",IF(BASE_CAIXA!C784="Entrada","Crédito","Débito"))</f>
        <v/>
      </c>
      <c r="E787" s="26" t="str">
        <f>IF(A787="","",BASE_CAIXA!AA784)</f>
        <v/>
      </c>
      <c r="F787" s="26" t="str">
        <f>IF(A787="","",BASE_CAIXA!N784)</f>
        <v/>
      </c>
      <c r="G787" s="26" t="str">
        <f>IF(A787="","",BASE_CAIXA!O784)</f>
        <v/>
      </c>
      <c r="H787" s="26" t="str">
        <f>IF(A787="","",BASE_CAIXA!P784)</f>
        <v/>
      </c>
      <c r="I787" s="26" t="str">
        <f>IF(A787="","",IF(BASE_CAIXA!H784&lt;&gt;"",BASE_CAIXA!H784,BASE_CAIXA!G784))</f>
        <v/>
      </c>
      <c r="J787" s="26" t="str">
        <f>IF(A787="","",BASE_CAIXA!G784)</f>
        <v/>
      </c>
      <c r="K787" s="26" t="str">
        <f>IF(A787="","",BASE_CAIXA!I784)</f>
        <v/>
      </c>
      <c r="L787" s="26" t="str">
        <f>IF(A787="","",BASE_CAIXA!J784)</f>
        <v/>
      </c>
      <c r="M787" s="26" t="str">
        <f>IF(A787="","",BASE_CAIXA!AM784)</f>
        <v/>
      </c>
      <c r="N787" s="26" t="str">
        <f t="shared" ca="1" si="36"/>
        <v/>
      </c>
      <c r="O787" s="26" t="str">
        <f>IFERROR(INDEX(EXTRATO_IMPORTADO!$A$5:$A$404,MATCH(B787,EXTRATO_IMPORTADO!$I$5:$I$404,0)),"")</f>
        <v/>
      </c>
      <c r="P787" s="26" t="str">
        <f>IFERROR(INDEX(EXTRATO_IMPORTADO!$F$5:$F$404,MATCH(B787,EXTRATO_IMPORTADO!$I$5:$I$404,0)),"")</f>
        <v/>
      </c>
      <c r="Q787" s="26" t="str">
        <f>IFERROR(INDEX(EXTRATO_IMPORTADO!$B$5:$B$404,MATCH(B787,EXTRATO_IMPORTADO!$I$5:$I$404,0)),"")</f>
        <v/>
      </c>
      <c r="R787" s="26" t="str">
        <f>IFERROR(MATCH(B787,EXTRATO_IMPORTADO!$I$5:$I$404,0),"")</f>
        <v/>
      </c>
      <c r="S787" s="26" t="str">
        <f t="shared" si="37"/>
        <v/>
      </c>
      <c r="T787" s="26" t="str">
        <f t="shared" si="38"/>
        <v/>
      </c>
    </row>
    <row r="788" spans="1:20" x14ac:dyDescent="0.3">
      <c r="A788" s="26" t="str">
        <f>IF(BASE_CAIXA!A785="","",BASE_CAIXA!A785)</f>
        <v/>
      </c>
      <c r="B788" s="26" t="str">
        <f>IF(A788="","",BASE_CAIXA!AL785)</f>
        <v/>
      </c>
      <c r="C788" s="26" t="str">
        <f>IF(A788="","",BASE_CAIXA!AJ785)</f>
        <v/>
      </c>
      <c r="D788" s="26" t="str">
        <f>IF(A788="","",IF(BASE_CAIXA!C785="Entrada","Crédito","Débito"))</f>
        <v/>
      </c>
      <c r="E788" s="26" t="str">
        <f>IF(A788="","",BASE_CAIXA!AA785)</f>
        <v/>
      </c>
      <c r="F788" s="26" t="str">
        <f>IF(A788="","",BASE_CAIXA!N785)</f>
        <v/>
      </c>
      <c r="G788" s="26" t="str">
        <f>IF(A788="","",BASE_CAIXA!O785)</f>
        <v/>
      </c>
      <c r="H788" s="26" t="str">
        <f>IF(A788="","",BASE_CAIXA!P785)</f>
        <v/>
      </c>
      <c r="I788" s="26" t="str">
        <f>IF(A788="","",IF(BASE_CAIXA!H785&lt;&gt;"",BASE_CAIXA!H785,BASE_CAIXA!G785))</f>
        <v/>
      </c>
      <c r="J788" s="26" t="str">
        <f>IF(A788="","",BASE_CAIXA!G785)</f>
        <v/>
      </c>
      <c r="K788" s="26" t="str">
        <f>IF(A788="","",BASE_CAIXA!I785)</f>
        <v/>
      </c>
      <c r="L788" s="26" t="str">
        <f>IF(A788="","",BASE_CAIXA!J785)</f>
        <v/>
      </c>
      <c r="M788" s="26" t="str">
        <f>IF(A788="","",BASE_CAIXA!AM785)</f>
        <v/>
      </c>
      <c r="N788" s="26" t="str">
        <f t="shared" ca="1" si="36"/>
        <v/>
      </c>
      <c r="O788" s="26" t="str">
        <f>IFERROR(INDEX(EXTRATO_IMPORTADO!$A$5:$A$404,MATCH(B788,EXTRATO_IMPORTADO!$I$5:$I$404,0)),"")</f>
        <v/>
      </c>
      <c r="P788" s="26" t="str">
        <f>IFERROR(INDEX(EXTRATO_IMPORTADO!$F$5:$F$404,MATCH(B788,EXTRATO_IMPORTADO!$I$5:$I$404,0)),"")</f>
        <v/>
      </c>
      <c r="Q788" s="26" t="str">
        <f>IFERROR(INDEX(EXTRATO_IMPORTADO!$B$5:$B$404,MATCH(B788,EXTRATO_IMPORTADO!$I$5:$I$404,0)),"")</f>
        <v/>
      </c>
      <c r="R788" s="26" t="str">
        <f>IFERROR(MATCH(B788,EXTRATO_IMPORTADO!$I$5:$I$404,0),"")</f>
        <v/>
      </c>
      <c r="S788" s="26" t="str">
        <f t="shared" si="37"/>
        <v/>
      </c>
      <c r="T788" s="26" t="str">
        <f t="shared" si="38"/>
        <v/>
      </c>
    </row>
    <row r="789" spans="1:20" x14ac:dyDescent="0.3">
      <c r="A789" s="26" t="str">
        <f>IF(BASE_CAIXA!A786="","",BASE_CAIXA!A786)</f>
        <v/>
      </c>
      <c r="B789" s="26" t="str">
        <f>IF(A789="","",BASE_CAIXA!AL786)</f>
        <v/>
      </c>
      <c r="C789" s="26" t="str">
        <f>IF(A789="","",BASE_CAIXA!AJ786)</f>
        <v/>
      </c>
      <c r="D789" s="26" t="str">
        <f>IF(A789="","",IF(BASE_CAIXA!C786="Entrada","Crédito","Débito"))</f>
        <v/>
      </c>
      <c r="E789" s="26" t="str">
        <f>IF(A789="","",BASE_CAIXA!AA786)</f>
        <v/>
      </c>
      <c r="F789" s="26" t="str">
        <f>IF(A789="","",BASE_CAIXA!N786)</f>
        <v/>
      </c>
      <c r="G789" s="26" t="str">
        <f>IF(A789="","",BASE_CAIXA!O786)</f>
        <v/>
      </c>
      <c r="H789" s="26" t="str">
        <f>IF(A789="","",BASE_CAIXA!P786)</f>
        <v/>
      </c>
      <c r="I789" s="26" t="str">
        <f>IF(A789="","",IF(BASE_CAIXA!H786&lt;&gt;"",BASE_CAIXA!H786,BASE_CAIXA!G786))</f>
        <v/>
      </c>
      <c r="J789" s="26" t="str">
        <f>IF(A789="","",BASE_CAIXA!G786)</f>
        <v/>
      </c>
      <c r="K789" s="26" t="str">
        <f>IF(A789="","",BASE_CAIXA!I786)</f>
        <v/>
      </c>
      <c r="L789" s="26" t="str">
        <f>IF(A789="","",BASE_CAIXA!J786)</f>
        <v/>
      </c>
      <c r="M789" s="26" t="str">
        <f>IF(A789="","",BASE_CAIXA!AM786)</f>
        <v/>
      </c>
      <c r="N789" s="26" t="str">
        <f t="shared" ca="1" si="36"/>
        <v/>
      </c>
      <c r="O789" s="26" t="str">
        <f>IFERROR(INDEX(EXTRATO_IMPORTADO!$A$5:$A$404,MATCH(B789,EXTRATO_IMPORTADO!$I$5:$I$404,0)),"")</f>
        <v/>
      </c>
      <c r="P789" s="26" t="str">
        <f>IFERROR(INDEX(EXTRATO_IMPORTADO!$F$5:$F$404,MATCH(B789,EXTRATO_IMPORTADO!$I$5:$I$404,0)),"")</f>
        <v/>
      </c>
      <c r="Q789" s="26" t="str">
        <f>IFERROR(INDEX(EXTRATO_IMPORTADO!$B$5:$B$404,MATCH(B789,EXTRATO_IMPORTADO!$I$5:$I$404,0)),"")</f>
        <v/>
      </c>
      <c r="R789" s="26" t="str">
        <f>IFERROR(MATCH(B789,EXTRATO_IMPORTADO!$I$5:$I$404,0),"")</f>
        <v/>
      </c>
      <c r="S789" s="26" t="str">
        <f t="shared" si="37"/>
        <v/>
      </c>
      <c r="T789" s="26" t="str">
        <f t="shared" si="38"/>
        <v/>
      </c>
    </row>
    <row r="790" spans="1:20" x14ac:dyDescent="0.3">
      <c r="A790" s="26" t="str">
        <f>IF(BASE_CAIXA!A787="","",BASE_CAIXA!A787)</f>
        <v/>
      </c>
      <c r="B790" s="26" t="str">
        <f>IF(A790="","",BASE_CAIXA!AL787)</f>
        <v/>
      </c>
      <c r="C790" s="26" t="str">
        <f>IF(A790="","",BASE_CAIXA!AJ787)</f>
        <v/>
      </c>
      <c r="D790" s="26" t="str">
        <f>IF(A790="","",IF(BASE_CAIXA!C787="Entrada","Crédito","Débito"))</f>
        <v/>
      </c>
      <c r="E790" s="26" t="str">
        <f>IF(A790="","",BASE_CAIXA!AA787)</f>
        <v/>
      </c>
      <c r="F790" s="26" t="str">
        <f>IF(A790="","",BASE_CAIXA!N787)</f>
        <v/>
      </c>
      <c r="G790" s="26" t="str">
        <f>IF(A790="","",BASE_CAIXA!O787)</f>
        <v/>
      </c>
      <c r="H790" s="26" t="str">
        <f>IF(A790="","",BASE_CAIXA!P787)</f>
        <v/>
      </c>
      <c r="I790" s="26" t="str">
        <f>IF(A790="","",IF(BASE_CAIXA!H787&lt;&gt;"",BASE_CAIXA!H787,BASE_CAIXA!G787))</f>
        <v/>
      </c>
      <c r="J790" s="26" t="str">
        <f>IF(A790="","",BASE_CAIXA!G787)</f>
        <v/>
      </c>
      <c r="K790" s="26" t="str">
        <f>IF(A790="","",BASE_CAIXA!I787)</f>
        <v/>
      </c>
      <c r="L790" s="26" t="str">
        <f>IF(A790="","",BASE_CAIXA!J787)</f>
        <v/>
      </c>
      <c r="M790" s="26" t="str">
        <f>IF(A790="","",BASE_CAIXA!AM787)</f>
        <v/>
      </c>
      <c r="N790" s="26" t="str">
        <f t="shared" ca="1" si="36"/>
        <v/>
      </c>
      <c r="O790" s="26" t="str">
        <f>IFERROR(INDEX(EXTRATO_IMPORTADO!$A$5:$A$404,MATCH(B790,EXTRATO_IMPORTADO!$I$5:$I$404,0)),"")</f>
        <v/>
      </c>
      <c r="P790" s="26" t="str">
        <f>IFERROR(INDEX(EXTRATO_IMPORTADO!$F$5:$F$404,MATCH(B790,EXTRATO_IMPORTADO!$I$5:$I$404,0)),"")</f>
        <v/>
      </c>
      <c r="Q790" s="26" t="str">
        <f>IFERROR(INDEX(EXTRATO_IMPORTADO!$B$5:$B$404,MATCH(B790,EXTRATO_IMPORTADO!$I$5:$I$404,0)),"")</f>
        <v/>
      </c>
      <c r="R790" s="26" t="str">
        <f>IFERROR(MATCH(B790,EXTRATO_IMPORTADO!$I$5:$I$404,0),"")</f>
        <v/>
      </c>
      <c r="S790" s="26" t="str">
        <f t="shared" si="37"/>
        <v/>
      </c>
      <c r="T790" s="26" t="str">
        <f t="shared" si="38"/>
        <v/>
      </c>
    </row>
    <row r="791" spans="1:20" x14ac:dyDescent="0.3">
      <c r="A791" s="26" t="str">
        <f>IF(BASE_CAIXA!A788="","",BASE_CAIXA!A788)</f>
        <v/>
      </c>
      <c r="B791" s="26" t="str">
        <f>IF(A791="","",BASE_CAIXA!AL788)</f>
        <v/>
      </c>
      <c r="C791" s="26" t="str">
        <f>IF(A791="","",BASE_CAIXA!AJ788)</f>
        <v/>
      </c>
      <c r="D791" s="26" t="str">
        <f>IF(A791="","",IF(BASE_CAIXA!C788="Entrada","Crédito","Débito"))</f>
        <v/>
      </c>
      <c r="E791" s="26" t="str">
        <f>IF(A791="","",BASE_CAIXA!AA788)</f>
        <v/>
      </c>
      <c r="F791" s="26" t="str">
        <f>IF(A791="","",BASE_CAIXA!N788)</f>
        <v/>
      </c>
      <c r="G791" s="26" t="str">
        <f>IF(A791="","",BASE_CAIXA!O788)</f>
        <v/>
      </c>
      <c r="H791" s="26" t="str">
        <f>IF(A791="","",BASE_CAIXA!P788)</f>
        <v/>
      </c>
      <c r="I791" s="26" t="str">
        <f>IF(A791="","",IF(BASE_CAIXA!H788&lt;&gt;"",BASE_CAIXA!H788,BASE_CAIXA!G788))</f>
        <v/>
      </c>
      <c r="J791" s="26" t="str">
        <f>IF(A791="","",BASE_CAIXA!G788)</f>
        <v/>
      </c>
      <c r="K791" s="26" t="str">
        <f>IF(A791="","",BASE_CAIXA!I788)</f>
        <v/>
      </c>
      <c r="L791" s="26" t="str">
        <f>IF(A791="","",BASE_CAIXA!J788)</f>
        <v/>
      </c>
      <c r="M791" s="26" t="str">
        <f>IF(A791="","",BASE_CAIXA!AM788)</f>
        <v/>
      </c>
      <c r="N791" s="26" t="str">
        <f t="shared" ca="1" si="36"/>
        <v/>
      </c>
      <c r="O791" s="26" t="str">
        <f>IFERROR(INDEX(EXTRATO_IMPORTADO!$A$5:$A$404,MATCH(B791,EXTRATO_IMPORTADO!$I$5:$I$404,0)),"")</f>
        <v/>
      </c>
      <c r="P791" s="26" t="str">
        <f>IFERROR(INDEX(EXTRATO_IMPORTADO!$F$5:$F$404,MATCH(B791,EXTRATO_IMPORTADO!$I$5:$I$404,0)),"")</f>
        <v/>
      </c>
      <c r="Q791" s="26" t="str">
        <f>IFERROR(INDEX(EXTRATO_IMPORTADO!$B$5:$B$404,MATCH(B791,EXTRATO_IMPORTADO!$I$5:$I$404,0)),"")</f>
        <v/>
      </c>
      <c r="R791" s="26" t="str">
        <f>IFERROR(MATCH(B791,EXTRATO_IMPORTADO!$I$5:$I$404,0),"")</f>
        <v/>
      </c>
      <c r="S791" s="26" t="str">
        <f t="shared" si="37"/>
        <v/>
      </c>
      <c r="T791" s="26" t="str">
        <f t="shared" si="38"/>
        <v/>
      </c>
    </row>
    <row r="792" spans="1:20" x14ac:dyDescent="0.3">
      <c r="A792" s="26" t="str">
        <f>IF(BASE_CAIXA!A789="","",BASE_CAIXA!A789)</f>
        <v/>
      </c>
      <c r="B792" s="26" t="str">
        <f>IF(A792="","",BASE_CAIXA!AL789)</f>
        <v/>
      </c>
      <c r="C792" s="26" t="str">
        <f>IF(A792="","",BASE_CAIXA!AJ789)</f>
        <v/>
      </c>
      <c r="D792" s="26" t="str">
        <f>IF(A792="","",IF(BASE_CAIXA!C789="Entrada","Crédito","Débito"))</f>
        <v/>
      </c>
      <c r="E792" s="26" t="str">
        <f>IF(A792="","",BASE_CAIXA!AA789)</f>
        <v/>
      </c>
      <c r="F792" s="26" t="str">
        <f>IF(A792="","",BASE_CAIXA!N789)</f>
        <v/>
      </c>
      <c r="G792" s="26" t="str">
        <f>IF(A792="","",BASE_CAIXA!O789)</f>
        <v/>
      </c>
      <c r="H792" s="26" t="str">
        <f>IF(A792="","",BASE_CAIXA!P789)</f>
        <v/>
      </c>
      <c r="I792" s="26" t="str">
        <f>IF(A792="","",IF(BASE_CAIXA!H789&lt;&gt;"",BASE_CAIXA!H789,BASE_CAIXA!G789))</f>
        <v/>
      </c>
      <c r="J792" s="26" t="str">
        <f>IF(A792="","",BASE_CAIXA!G789)</f>
        <v/>
      </c>
      <c r="K792" s="26" t="str">
        <f>IF(A792="","",BASE_CAIXA!I789)</f>
        <v/>
      </c>
      <c r="L792" s="26" t="str">
        <f>IF(A792="","",BASE_CAIXA!J789)</f>
        <v/>
      </c>
      <c r="M792" s="26" t="str">
        <f>IF(A792="","",BASE_CAIXA!AM789)</f>
        <v/>
      </c>
      <c r="N792" s="26" t="str">
        <f t="shared" ca="1" si="36"/>
        <v/>
      </c>
      <c r="O792" s="26" t="str">
        <f>IFERROR(INDEX(EXTRATO_IMPORTADO!$A$5:$A$404,MATCH(B792,EXTRATO_IMPORTADO!$I$5:$I$404,0)),"")</f>
        <v/>
      </c>
      <c r="P792" s="26" t="str">
        <f>IFERROR(INDEX(EXTRATO_IMPORTADO!$F$5:$F$404,MATCH(B792,EXTRATO_IMPORTADO!$I$5:$I$404,0)),"")</f>
        <v/>
      </c>
      <c r="Q792" s="26" t="str">
        <f>IFERROR(INDEX(EXTRATO_IMPORTADO!$B$5:$B$404,MATCH(B792,EXTRATO_IMPORTADO!$I$5:$I$404,0)),"")</f>
        <v/>
      </c>
      <c r="R792" s="26" t="str">
        <f>IFERROR(MATCH(B792,EXTRATO_IMPORTADO!$I$5:$I$404,0),"")</f>
        <v/>
      </c>
      <c r="S792" s="26" t="str">
        <f t="shared" si="37"/>
        <v/>
      </c>
      <c r="T792" s="26" t="str">
        <f t="shared" si="38"/>
        <v/>
      </c>
    </row>
    <row r="793" spans="1:20" x14ac:dyDescent="0.3">
      <c r="A793" s="26" t="str">
        <f>IF(BASE_CAIXA!A790="","",BASE_CAIXA!A790)</f>
        <v/>
      </c>
      <c r="B793" s="26" t="str">
        <f>IF(A793="","",BASE_CAIXA!AL790)</f>
        <v/>
      </c>
      <c r="C793" s="26" t="str">
        <f>IF(A793="","",BASE_CAIXA!AJ790)</f>
        <v/>
      </c>
      <c r="D793" s="26" t="str">
        <f>IF(A793="","",IF(BASE_CAIXA!C790="Entrada","Crédito","Débito"))</f>
        <v/>
      </c>
      <c r="E793" s="26" t="str">
        <f>IF(A793="","",BASE_CAIXA!AA790)</f>
        <v/>
      </c>
      <c r="F793" s="26" t="str">
        <f>IF(A793="","",BASE_CAIXA!N790)</f>
        <v/>
      </c>
      <c r="G793" s="26" t="str">
        <f>IF(A793="","",BASE_CAIXA!O790)</f>
        <v/>
      </c>
      <c r="H793" s="26" t="str">
        <f>IF(A793="","",BASE_CAIXA!P790)</f>
        <v/>
      </c>
      <c r="I793" s="26" t="str">
        <f>IF(A793="","",IF(BASE_CAIXA!H790&lt;&gt;"",BASE_CAIXA!H790,BASE_CAIXA!G790))</f>
        <v/>
      </c>
      <c r="J793" s="26" t="str">
        <f>IF(A793="","",BASE_CAIXA!G790)</f>
        <v/>
      </c>
      <c r="K793" s="26" t="str">
        <f>IF(A793="","",BASE_CAIXA!I790)</f>
        <v/>
      </c>
      <c r="L793" s="26" t="str">
        <f>IF(A793="","",BASE_CAIXA!J790)</f>
        <v/>
      </c>
      <c r="M793" s="26" t="str">
        <f>IF(A793="","",BASE_CAIXA!AM790)</f>
        <v/>
      </c>
      <c r="N793" s="26" t="str">
        <f t="shared" ca="1" si="36"/>
        <v/>
      </c>
      <c r="O793" s="26" t="str">
        <f>IFERROR(INDEX(EXTRATO_IMPORTADO!$A$5:$A$404,MATCH(B793,EXTRATO_IMPORTADO!$I$5:$I$404,0)),"")</f>
        <v/>
      </c>
      <c r="P793" s="26" t="str">
        <f>IFERROR(INDEX(EXTRATO_IMPORTADO!$F$5:$F$404,MATCH(B793,EXTRATO_IMPORTADO!$I$5:$I$404,0)),"")</f>
        <v/>
      </c>
      <c r="Q793" s="26" t="str">
        <f>IFERROR(INDEX(EXTRATO_IMPORTADO!$B$5:$B$404,MATCH(B793,EXTRATO_IMPORTADO!$I$5:$I$404,0)),"")</f>
        <v/>
      </c>
      <c r="R793" s="26" t="str">
        <f>IFERROR(MATCH(B793,EXTRATO_IMPORTADO!$I$5:$I$404,0),"")</f>
        <v/>
      </c>
      <c r="S793" s="26" t="str">
        <f t="shared" si="37"/>
        <v/>
      </c>
      <c r="T793" s="26" t="str">
        <f t="shared" si="38"/>
        <v/>
      </c>
    </row>
    <row r="794" spans="1:20" x14ac:dyDescent="0.3">
      <c r="A794" s="26" t="str">
        <f>IF(BASE_CAIXA!A791="","",BASE_CAIXA!A791)</f>
        <v/>
      </c>
      <c r="B794" s="26" t="str">
        <f>IF(A794="","",BASE_CAIXA!AL791)</f>
        <v/>
      </c>
      <c r="C794" s="26" t="str">
        <f>IF(A794="","",BASE_CAIXA!AJ791)</f>
        <v/>
      </c>
      <c r="D794" s="26" t="str">
        <f>IF(A794="","",IF(BASE_CAIXA!C791="Entrada","Crédito","Débito"))</f>
        <v/>
      </c>
      <c r="E794" s="26" t="str">
        <f>IF(A794="","",BASE_CAIXA!AA791)</f>
        <v/>
      </c>
      <c r="F794" s="26" t="str">
        <f>IF(A794="","",BASE_CAIXA!N791)</f>
        <v/>
      </c>
      <c r="G794" s="26" t="str">
        <f>IF(A794="","",BASE_CAIXA!O791)</f>
        <v/>
      </c>
      <c r="H794" s="26" t="str">
        <f>IF(A794="","",BASE_CAIXA!P791)</f>
        <v/>
      </c>
      <c r="I794" s="26" t="str">
        <f>IF(A794="","",IF(BASE_CAIXA!H791&lt;&gt;"",BASE_CAIXA!H791,BASE_CAIXA!G791))</f>
        <v/>
      </c>
      <c r="J794" s="26" t="str">
        <f>IF(A794="","",BASE_CAIXA!G791)</f>
        <v/>
      </c>
      <c r="K794" s="26" t="str">
        <f>IF(A794="","",BASE_CAIXA!I791)</f>
        <v/>
      </c>
      <c r="L794" s="26" t="str">
        <f>IF(A794="","",BASE_CAIXA!J791)</f>
        <v/>
      </c>
      <c r="M794" s="26" t="str">
        <f>IF(A794="","",BASE_CAIXA!AM791)</f>
        <v/>
      </c>
      <c r="N794" s="26" t="str">
        <f t="shared" ca="1" si="36"/>
        <v/>
      </c>
      <c r="O794" s="26" t="str">
        <f>IFERROR(INDEX(EXTRATO_IMPORTADO!$A$5:$A$404,MATCH(B794,EXTRATO_IMPORTADO!$I$5:$I$404,0)),"")</f>
        <v/>
      </c>
      <c r="P794" s="26" t="str">
        <f>IFERROR(INDEX(EXTRATO_IMPORTADO!$F$5:$F$404,MATCH(B794,EXTRATO_IMPORTADO!$I$5:$I$404,0)),"")</f>
        <v/>
      </c>
      <c r="Q794" s="26" t="str">
        <f>IFERROR(INDEX(EXTRATO_IMPORTADO!$B$5:$B$404,MATCH(B794,EXTRATO_IMPORTADO!$I$5:$I$404,0)),"")</f>
        <v/>
      </c>
      <c r="R794" s="26" t="str">
        <f>IFERROR(MATCH(B794,EXTRATO_IMPORTADO!$I$5:$I$404,0),"")</f>
        <v/>
      </c>
      <c r="S794" s="26" t="str">
        <f t="shared" si="37"/>
        <v/>
      </c>
      <c r="T794" s="26" t="str">
        <f t="shared" si="38"/>
        <v/>
      </c>
    </row>
    <row r="795" spans="1:20" x14ac:dyDescent="0.3">
      <c r="A795" s="26" t="str">
        <f>IF(BASE_CAIXA!A792="","",BASE_CAIXA!A792)</f>
        <v/>
      </c>
      <c r="B795" s="26" t="str">
        <f>IF(A795="","",BASE_CAIXA!AL792)</f>
        <v/>
      </c>
      <c r="C795" s="26" t="str">
        <f>IF(A795="","",BASE_CAIXA!AJ792)</f>
        <v/>
      </c>
      <c r="D795" s="26" t="str">
        <f>IF(A795="","",IF(BASE_CAIXA!C792="Entrada","Crédito","Débito"))</f>
        <v/>
      </c>
      <c r="E795" s="26" t="str">
        <f>IF(A795="","",BASE_CAIXA!AA792)</f>
        <v/>
      </c>
      <c r="F795" s="26" t="str">
        <f>IF(A795="","",BASE_CAIXA!N792)</f>
        <v/>
      </c>
      <c r="G795" s="26" t="str">
        <f>IF(A795="","",BASE_CAIXA!O792)</f>
        <v/>
      </c>
      <c r="H795" s="26" t="str">
        <f>IF(A795="","",BASE_CAIXA!P792)</f>
        <v/>
      </c>
      <c r="I795" s="26" t="str">
        <f>IF(A795="","",IF(BASE_CAIXA!H792&lt;&gt;"",BASE_CAIXA!H792,BASE_CAIXA!G792))</f>
        <v/>
      </c>
      <c r="J795" s="26" t="str">
        <f>IF(A795="","",BASE_CAIXA!G792)</f>
        <v/>
      </c>
      <c r="K795" s="26" t="str">
        <f>IF(A795="","",BASE_CAIXA!I792)</f>
        <v/>
      </c>
      <c r="L795" s="26" t="str">
        <f>IF(A795="","",BASE_CAIXA!J792)</f>
        <v/>
      </c>
      <c r="M795" s="26" t="str">
        <f>IF(A795="","",BASE_CAIXA!AM792)</f>
        <v/>
      </c>
      <c r="N795" s="26" t="str">
        <f t="shared" ca="1" si="36"/>
        <v/>
      </c>
      <c r="O795" s="26" t="str">
        <f>IFERROR(INDEX(EXTRATO_IMPORTADO!$A$5:$A$404,MATCH(B795,EXTRATO_IMPORTADO!$I$5:$I$404,0)),"")</f>
        <v/>
      </c>
      <c r="P795" s="26" t="str">
        <f>IFERROR(INDEX(EXTRATO_IMPORTADO!$F$5:$F$404,MATCH(B795,EXTRATO_IMPORTADO!$I$5:$I$404,0)),"")</f>
        <v/>
      </c>
      <c r="Q795" s="26" t="str">
        <f>IFERROR(INDEX(EXTRATO_IMPORTADO!$B$5:$B$404,MATCH(B795,EXTRATO_IMPORTADO!$I$5:$I$404,0)),"")</f>
        <v/>
      </c>
      <c r="R795" s="26" t="str">
        <f>IFERROR(MATCH(B795,EXTRATO_IMPORTADO!$I$5:$I$404,0),"")</f>
        <v/>
      </c>
      <c r="S795" s="26" t="str">
        <f t="shared" si="37"/>
        <v/>
      </c>
      <c r="T795" s="26" t="str">
        <f t="shared" si="38"/>
        <v/>
      </c>
    </row>
    <row r="796" spans="1:20" x14ac:dyDescent="0.3">
      <c r="A796" s="26" t="str">
        <f>IF(BASE_CAIXA!A793="","",BASE_CAIXA!A793)</f>
        <v/>
      </c>
      <c r="B796" s="26" t="str">
        <f>IF(A796="","",BASE_CAIXA!AL793)</f>
        <v/>
      </c>
      <c r="C796" s="26" t="str">
        <f>IF(A796="","",BASE_CAIXA!AJ793)</f>
        <v/>
      </c>
      <c r="D796" s="26" t="str">
        <f>IF(A796="","",IF(BASE_CAIXA!C793="Entrada","Crédito","Débito"))</f>
        <v/>
      </c>
      <c r="E796" s="26" t="str">
        <f>IF(A796="","",BASE_CAIXA!AA793)</f>
        <v/>
      </c>
      <c r="F796" s="26" t="str">
        <f>IF(A796="","",BASE_CAIXA!N793)</f>
        <v/>
      </c>
      <c r="G796" s="26" t="str">
        <f>IF(A796="","",BASE_CAIXA!O793)</f>
        <v/>
      </c>
      <c r="H796" s="26" t="str">
        <f>IF(A796="","",BASE_CAIXA!P793)</f>
        <v/>
      </c>
      <c r="I796" s="26" t="str">
        <f>IF(A796="","",IF(BASE_CAIXA!H793&lt;&gt;"",BASE_CAIXA!H793,BASE_CAIXA!G793))</f>
        <v/>
      </c>
      <c r="J796" s="26" t="str">
        <f>IF(A796="","",BASE_CAIXA!G793)</f>
        <v/>
      </c>
      <c r="K796" s="26" t="str">
        <f>IF(A796="","",BASE_CAIXA!I793)</f>
        <v/>
      </c>
      <c r="L796" s="26" t="str">
        <f>IF(A796="","",BASE_CAIXA!J793)</f>
        <v/>
      </c>
      <c r="M796" s="26" t="str">
        <f>IF(A796="","",BASE_CAIXA!AM793)</f>
        <v/>
      </c>
      <c r="N796" s="26" t="str">
        <f t="shared" ca="1" si="36"/>
        <v/>
      </c>
      <c r="O796" s="26" t="str">
        <f>IFERROR(INDEX(EXTRATO_IMPORTADO!$A$5:$A$404,MATCH(B796,EXTRATO_IMPORTADO!$I$5:$I$404,0)),"")</f>
        <v/>
      </c>
      <c r="P796" s="26" t="str">
        <f>IFERROR(INDEX(EXTRATO_IMPORTADO!$F$5:$F$404,MATCH(B796,EXTRATO_IMPORTADO!$I$5:$I$404,0)),"")</f>
        <v/>
      </c>
      <c r="Q796" s="26" t="str">
        <f>IFERROR(INDEX(EXTRATO_IMPORTADO!$B$5:$B$404,MATCH(B796,EXTRATO_IMPORTADO!$I$5:$I$404,0)),"")</f>
        <v/>
      </c>
      <c r="R796" s="26" t="str">
        <f>IFERROR(MATCH(B796,EXTRATO_IMPORTADO!$I$5:$I$404,0),"")</f>
        <v/>
      </c>
      <c r="S796" s="26" t="str">
        <f t="shared" si="37"/>
        <v/>
      </c>
      <c r="T796" s="26" t="str">
        <f t="shared" si="38"/>
        <v/>
      </c>
    </row>
    <row r="797" spans="1:20" x14ac:dyDescent="0.3">
      <c r="A797" s="26" t="str">
        <f>IF(BASE_CAIXA!A794="","",BASE_CAIXA!A794)</f>
        <v/>
      </c>
      <c r="B797" s="26" t="str">
        <f>IF(A797="","",BASE_CAIXA!AL794)</f>
        <v/>
      </c>
      <c r="C797" s="26" t="str">
        <f>IF(A797="","",BASE_CAIXA!AJ794)</f>
        <v/>
      </c>
      <c r="D797" s="26" t="str">
        <f>IF(A797="","",IF(BASE_CAIXA!C794="Entrada","Crédito","Débito"))</f>
        <v/>
      </c>
      <c r="E797" s="26" t="str">
        <f>IF(A797="","",BASE_CAIXA!AA794)</f>
        <v/>
      </c>
      <c r="F797" s="26" t="str">
        <f>IF(A797="","",BASE_CAIXA!N794)</f>
        <v/>
      </c>
      <c r="G797" s="26" t="str">
        <f>IF(A797="","",BASE_CAIXA!O794)</f>
        <v/>
      </c>
      <c r="H797" s="26" t="str">
        <f>IF(A797="","",BASE_CAIXA!P794)</f>
        <v/>
      </c>
      <c r="I797" s="26" t="str">
        <f>IF(A797="","",IF(BASE_CAIXA!H794&lt;&gt;"",BASE_CAIXA!H794,BASE_CAIXA!G794))</f>
        <v/>
      </c>
      <c r="J797" s="26" t="str">
        <f>IF(A797="","",BASE_CAIXA!G794)</f>
        <v/>
      </c>
      <c r="K797" s="26" t="str">
        <f>IF(A797="","",BASE_CAIXA!I794)</f>
        <v/>
      </c>
      <c r="L797" s="26" t="str">
        <f>IF(A797="","",BASE_CAIXA!J794)</f>
        <v/>
      </c>
      <c r="M797" s="26" t="str">
        <f>IF(A797="","",BASE_CAIXA!AM794)</f>
        <v/>
      </c>
      <c r="N797" s="26" t="str">
        <f t="shared" ca="1" si="36"/>
        <v/>
      </c>
      <c r="O797" s="26" t="str">
        <f>IFERROR(INDEX(EXTRATO_IMPORTADO!$A$5:$A$404,MATCH(B797,EXTRATO_IMPORTADO!$I$5:$I$404,0)),"")</f>
        <v/>
      </c>
      <c r="P797" s="26" t="str">
        <f>IFERROR(INDEX(EXTRATO_IMPORTADO!$F$5:$F$404,MATCH(B797,EXTRATO_IMPORTADO!$I$5:$I$404,0)),"")</f>
        <v/>
      </c>
      <c r="Q797" s="26" t="str">
        <f>IFERROR(INDEX(EXTRATO_IMPORTADO!$B$5:$B$404,MATCH(B797,EXTRATO_IMPORTADO!$I$5:$I$404,0)),"")</f>
        <v/>
      </c>
      <c r="R797" s="26" t="str">
        <f>IFERROR(MATCH(B797,EXTRATO_IMPORTADO!$I$5:$I$404,0),"")</f>
        <v/>
      </c>
      <c r="S797" s="26" t="str">
        <f t="shared" si="37"/>
        <v/>
      </c>
      <c r="T797" s="26" t="str">
        <f t="shared" si="38"/>
        <v/>
      </c>
    </row>
    <row r="798" spans="1:20" x14ac:dyDescent="0.3">
      <c r="A798" s="26" t="str">
        <f>IF(BASE_CAIXA!A795="","",BASE_CAIXA!A795)</f>
        <v/>
      </c>
      <c r="B798" s="26" t="str">
        <f>IF(A798="","",BASE_CAIXA!AL795)</f>
        <v/>
      </c>
      <c r="C798" s="26" t="str">
        <f>IF(A798="","",BASE_CAIXA!AJ795)</f>
        <v/>
      </c>
      <c r="D798" s="26" t="str">
        <f>IF(A798="","",IF(BASE_CAIXA!C795="Entrada","Crédito","Débito"))</f>
        <v/>
      </c>
      <c r="E798" s="26" t="str">
        <f>IF(A798="","",BASE_CAIXA!AA795)</f>
        <v/>
      </c>
      <c r="F798" s="26" t="str">
        <f>IF(A798="","",BASE_CAIXA!N795)</f>
        <v/>
      </c>
      <c r="G798" s="26" t="str">
        <f>IF(A798="","",BASE_CAIXA!O795)</f>
        <v/>
      </c>
      <c r="H798" s="26" t="str">
        <f>IF(A798="","",BASE_CAIXA!P795)</f>
        <v/>
      </c>
      <c r="I798" s="26" t="str">
        <f>IF(A798="","",IF(BASE_CAIXA!H795&lt;&gt;"",BASE_CAIXA!H795,BASE_CAIXA!G795))</f>
        <v/>
      </c>
      <c r="J798" s="26" t="str">
        <f>IF(A798="","",BASE_CAIXA!G795)</f>
        <v/>
      </c>
      <c r="K798" s="26" t="str">
        <f>IF(A798="","",BASE_CAIXA!I795)</f>
        <v/>
      </c>
      <c r="L798" s="26" t="str">
        <f>IF(A798="","",BASE_CAIXA!J795)</f>
        <v/>
      </c>
      <c r="M798" s="26" t="str">
        <f>IF(A798="","",BASE_CAIXA!AM795)</f>
        <v/>
      </c>
      <c r="N798" s="26" t="str">
        <f t="shared" ca="1" si="36"/>
        <v/>
      </c>
      <c r="O798" s="26" t="str">
        <f>IFERROR(INDEX(EXTRATO_IMPORTADO!$A$5:$A$404,MATCH(B798,EXTRATO_IMPORTADO!$I$5:$I$404,0)),"")</f>
        <v/>
      </c>
      <c r="P798" s="26" t="str">
        <f>IFERROR(INDEX(EXTRATO_IMPORTADO!$F$5:$F$404,MATCH(B798,EXTRATO_IMPORTADO!$I$5:$I$404,0)),"")</f>
        <v/>
      </c>
      <c r="Q798" s="26" t="str">
        <f>IFERROR(INDEX(EXTRATO_IMPORTADO!$B$5:$B$404,MATCH(B798,EXTRATO_IMPORTADO!$I$5:$I$404,0)),"")</f>
        <v/>
      </c>
      <c r="R798" s="26" t="str">
        <f>IFERROR(MATCH(B798,EXTRATO_IMPORTADO!$I$5:$I$404,0),"")</f>
        <v/>
      </c>
      <c r="S798" s="26" t="str">
        <f t="shared" si="37"/>
        <v/>
      </c>
      <c r="T798" s="26" t="str">
        <f t="shared" si="38"/>
        <v/>
      </c>
    </row>
    <row r="799" spans="1:20" x14ac:dyDescent="0.3">
      <c r="A799" s="26" t="str">
        <f>IF(BASE_CAIXA!A796="","",BASE_CAIXA!A796)</f>
        <v/>
      </c>
      <c r="B799" s="26" t="str">
        <f>IF(A799="","",BASE_CAIXA!AL796)</f>
        <v/>
      </c>
      <c r="C799" s="26" t="str">
        <f>IF(A799="","",BASE_CAIXA!AJ796)</f>
        <v/>
      </c>
      <c r="D799" s="26" t="str">
        <f>IF(A799="","",IF(BASE_CAIXA!C796="Entrada","Crédito","Débito"))</f>
        <v/>
      </c>
      <c r="E799" s="26" t="str">
        <f>IF(A799="","",BASE_CAIXA!AA796)</f>
        <v/>
      </c>
      <c r="F799" s="26" t="str">
        <f>IF(A799="","",BASE_CAIXA!N796)</f>
        <v/>
      </c>
      <c r="G799" s="26" t="str">
        <f>IF(A799="","",BASE_CAIXA!O796)</f>
        <v/>
      </c>
      <c r="H799" s="26" t="str">
        <f>IF(A799="","",BASE_CAIXA!P796)</f>
        <v/>
      </c>
      <c r="I799" s="26" t="str">
        <f>IF(A799="","",IF(BASE_CAIXA!H796&lt;&gt;"",BASE_CAIXA!H796,BASE_CAIXA!G796))</f>
        <v/>
      </c>
      <c r="J799" s="26" t="str">
        <f>IF(A799="","",BASE_CAIXA!G796)</f>
        <v/>
      </c>
      <c r="K799" s="26" t="str">
        <f>IF(A799="","",BASE_CAIXA!I796)</f>
        <v/>
      </c>
      <c r="L799" s="26" t="str">
        <f>IF(A799="","",BASE_CAIXA!J796)</f>
        <v/>
      </c>
      <c r="M799" s="26" t="str">
        <f>IF(A799="","",BASE_CAIXA!AM796)</f>
        <v/>
      </c>
      <c r="N799" s="26" t="str">
        <f t="shared" ca="1" si="36"/>
        <v/>
      </c>
      <c r="O799" s="26" t="str">
        <f>IFERROR(INDEX(EXTRATO_IMPORTADO!$A$5:$A$404,MATCH(B799,EXTRATO_IMPORTADO!$I$5:$I$404,0)),"")</f>
        <v/>
      </c>
      <c r="P799" s="26" t="str">
        <f>IFERROR(INDEX(EXTRATO_IMPORTADO!$F$5:$F$404,MATCH(B799,EXTRATO_IMPORTADO!$I$5:$I$404,0)),"")</f>
        <v/>
      </c>
      <c r="Q799" s="26" t="str">
        <f>IFERROR(INDEX(EXTRATO_IMPORTADO!$B$5:$B$404,MATCH(B799,EXTRATO_IMPORTADO!$I$5:$I$404,0)),"")</f>
        <v/>
      </c>
      <c r="R799" s="26" t="str">
        <f>IFERROR(MATCH(B799,EXTRATO_IMPORTADO!$I$5:$I$404,0),"")</f>
        <v/>
      </c>
      <c r="S799" s="26" t="str">
        <f t="shared" si="37"/>
        <v/>
      </c>
      <c r="T799" s="26" t="str">
        <f t="shared" si="38"/>
        <v/>
      </c>
    </row>
    <row r="800" spans="1:20" x14ac:dyDescent="0.3">
      <c r="A800" s="26" t="str">
        <f>IF(BASE_CAIXA!A797="","",BASE_CAIXA!A797)</f>
        <v/>
      </c>
      <c r="B800" s="26" t="str">
        <f>IF(A800="","",BASE_CAIXA!AL797)</f>
        <v/>
      </c>
      <c r="C800" s="26" t="str">
        <f>IF(A800="","",BASE_CAIXA!AJ797)</f>
        <v/>
      </c>
      <c r="D800" s="26" t="str">
        <f>IF(A800="","",IF(BASE_CAIXA!C797="Entrada","Crédito","Débito"))</f>
        <v/>
      </c>
      <c r="E800" s="26" t="str">
        <f>IF(A800="","",BASE_CAIXA!AA797)</f>
        <v/>
      </c>
      <c r="F800" s="26" t="str">
        <f>IF(A800="","",BASE_CAIXA!N797)</f>
        <v/>
      </c>
      <c r="G800" s="26" t="str">
        <f>IF(A800="","",BASE_CAIXA!O797)</f>
        <v/>
      </c>
      <c r="H800" s="26" t="str">
        <f>IF(A800="","",BASE_CAIXA!P797)</f>
        <v/>
      </c>
      <c r="I800" s="26" t="str">
        <f>IF(A800="","",IF(BASE_CAIXA!H797&lt;&gt;"",BASE_CAIXA!H797,BASE_CAIXA!G797))</f>
        <v/>
      </c>
      <c r="J800" s="26" t="str">
        <f>IF(A800="","",BASE_CAIXA!G797)</f>
        <v/>
      </c>
      <c r="K800" s="26" t="str">
        <f>IF(A800="","",BASE_CAIXA!I797)</f>
        <v/>
      </c>
      <c r="L800" s="26" t="str">
        <f>IF(A800="","",BASE_CAIXA!J797)</f>
        <v/>
      </c>
      <c r="M800" s="26" t="str">
        <f>IF(A800="","",BASE_CAIXA!AM797)</f>
        <v/>
      </c>
      <c r="N800" s="26" t="str">
        <f t="shared" ca="1" si="36"/>
        <v/>
      </c>
      <c r="O800" s="26" t="str">
        <f>IFERROR(INDEX(EXTRATO_IMPORTADO!$A$5:$A$404,MATCH(B800,EXTRATO_IMPORTADO!$I$5:$I$404,0)),"")</f>
        <v/>
      </c>
      <c r="P800" s="26" t="str">
        <f>IFERROR(INDEX(EXTRATO_IMPORTADO!$F$5:$F$404,MATCH(B800,EXTRATO_IMPORTADO!$I$5:$I$404,0)),"")</f>
        <v/>
      </c>
      <c r="Q800" s="26" t="str">
        <f>IFERROR(INDEX(EXTRATO_IMPORTADO!$B$5:$B$404,MATCH(B800,EXTRATO_IMPORTADO!$I$5:$I$404,0)),"")</f>
        <v/>
      </c>
      <c r="R800" s="26" t="str">
        <f>IFERROR(MATCH(B800,EXTRATO_IMPORTADO!$I$5:$I$404,0),"")</f>
        <v/>
      </c>
      <c r="S800" s="26" t="str">
        <f t="shared" si="37"/>
        <v/>
      </c>
      <c r="T800" s="26" t="str">
        <f t="shared" si="38"/>
        <v/>
      </c>
    </row>
    <row r="801" spans="1:20" x14ac:dyDescent="0.3">
      <c r="A801" s="26" t="str">
        <f>IF(BASE_CAIXA!A798="","",BASE_CAIXA!A798)</f>
        <v/>
      </c>
      <c r="B801" s="26" t="str">
        <f>IF(A801="","",BASE_CAIXA!AL798)</f>
        <v/>
      </c>
      <c r="C801" s="26" t="str">
        <f>IF(A801="","",BASE_CAIXA!AJ798)</f>
        <v/>
      </c>
      <c r="D801" s="26" t="str">
        <f>IF(A801="","",IF(BASE_CAIXA!C798="Entrada","Crédito","Débito"))</f>
        <v/>
      </c>
      <c r="E801" s="26" t="str">
        <f>IF(A801="","",BASE_CAIXA!AA798)</f>
        <v/>
      </c>
      <c r="F801" s="26" t="str">
        <f>IF(A801="","",BASE_CAIXA!N798)</f>
        <v/>
      </c>
      <c r="G801" s="26" t="str">
        <f>IF(A801="","",BASE_CAIXA!O798)</f>
        <v/>
      </c>
      <c r="H801" s="26" t="str">
        <f>IF(A801="","",BASE_CAIXA!P798)</f>
        <v/>
      </c>
      <c r="I801" s="26" t="str">
        <f>IF(A801="","",IF(BASE_CAIXA!H798&lt;&gt;"",BASE_CAIXA!H798,BASE_CAIXA!G798))</f>
        <v/>
      </c>
      <c r="J801" s="26" t="str">
        <f>IF(A801="","",BASE_CAIXA!G798)</f>
        <v/>
      </c>
      <c r="K801" s="26" t="str">
        <f>IF(A801="","",BASE_CAIXA!I798)</f>
        <v/>
      </c>
      <c r="L801" s="26" t="str">
        <f>IF(A801="","",BASE_CAIXA!J798)</f>
        <v/>
      </c>
      <c r="M801" s="26" t="str">
        <f>IF(A801="","",BASE_CAIXA!AM798)</f>
        <v/>
      </c>
      <c r="N801" s="26" t="str">
        <f t="shared" ca="1" si="36"/>
        <v/>
      </c>
      <c r="O801" s="26" t="str">
        <f>IFERROR(INDEX(EXTRATO_IMPORTADO!$A$5:$A$404,MATCH(B801,EXTRATO_IMPORTADO!$I$5:$I$404,0)),"")</f>
        <v/>
      </c>
      <c r="P801" s="26" t="str">
        <f>IFERROR(INDEX(EXTRATO_IMPORTADO!$F$5:$F$404,MATCH(B801,EXTRATO_IMPORTADO!$I$5:$I$404,0)),"")</f>
        <v/>
      </c>
      <c r="Q801" s="26" t="str">
        <f>IFERROR(INDEX(EXTRATO_IMPORTADO!$B$5:$B$404,MATCH(B801,EXTRATO_IMPORTADO!$I$5:$I$404,0)),"")</f>
        <v/>
      </c>
      <c r="R801" s="26" t="str">
        <f>IFERROR(MATCH(B801,EXTRATO_IMPORTADO!$I$5:$I$404,0),"")</f>
        <v/>
      </c>
      <c r="S801" s="26" t="str">
        <f t="shared" si="37"/>
        <v/>
      </c>
      <c r="T801" s="26" t="str">
        <f t="shared" si="38"/>
        <v/>
      </c>
    </row>
    <row r="802" spans="1:20" x14ac:dyDescent="0.3">
      <c r="A802" s="26" t="str">
        <f>IF(BASE_CAIXA!A799="","",BASE_CAIXA!A799)</f>
        <v/>
      </c>
      <c r="B802" s="26" t="str">
        <f>IF(A802="","",BASE_CAIXA!AL799)</f>
        <v/>
      </c>
      <c r="C802" s="26" t="str">
        <f>IF(A802="","",BASE_CAIXA!AJ799)</f>
        <v/>
      </c>
      <c r="D802" s="26" t="str">
        <f>IF(A802="","",IF(BASE_CAIXA!C799="Entrada","Crédito","Débito"))</f>
        <v/>
      </c>
      <c r="E802" s="26" t="str">
        <f>IF(A802="","",BASE_CAIXA!AA799)</f>
        <v/>
      </c>
      <c r="F802" s="26" t="str">
        <f>IF(A802="","",BASE_CAIXA!N799)</f>
        <v/>
      </c>
      <c r="G802" s="26" t="str">
        <f>IF(A802="","",BASE_CAIXA!O799)</f>
        <v/>
      </c>
      <c r="H802" s="26" t="str">
        <f>IF(A802="","",BASE_CAIXA!P799)</f>
        <v/>
      </c>
      <c r="I802" s="26" t="str">
        <f>IF(A802="","",IF(BASE_CAIXA!H799&lt;&gt;"",BASE_CAIXA!H799,BASE_CAIXA!G799))</f>
        <v/>
      </c>
      <c r="J802" s="26" t="str">
        <f>IF(A802="","",BASE_CAIXA!G799)</f>
        <v/>
      </c>
      <c r="K802" s="26" t="str">
        <f>IF(A802="","",BASE_CAIXA!I799)</f>
        <v/>
      </c>
      <c r="L802" s="26" t="str">
        <f>IF(A802="","",BASE_CAIXA!J799)</f>
        <v/>
      </c>
      <c r="M802" s="26" t="str">
        <f>IF(A802="","",BASE_CAIXA!AM799)</f>
        <v/>
      </c>
      <c r="N802" s="26" t="str">
        <f t="shared" ca="1" si="36"/>
        <v/>
      </c>
      <c r="O802" s="26" t="str">
        <f>IFERROR(INDEX(EXTRATO_IMPORTADO!$A$5:$A$404,MATCH(B802,EXTRATO_IMPORTADO!$I$5:$I$404,0)),"")</f>
        <v/>
      </c>
      <c r="P802" s="26" t="str">
        <f>IFERROR(INDEX(EXTRATO_IMPORTADO!$F$5:$F$404,MATCH(B802,EXTRATO_IMPORTADO!$I$5:$I$404,0)),"")</f>
        <v/>
      </c>
      <c r="Q802" s="26" t="str">
        <f>IFERROR(INDEX(EXTRATO_IMPORTADO!$B$5:$B$404,MATCH(B802,EXTRATO_IMPORTADO!$I$5:$I$404,0)),"")</f>
        <v/>
      </c>
      <c r="R802" s="26" t="str">
        <f>IFERROR(MATCH(B802,EXTRATO_IMPORTADO!$I$5:$I$404,0),"")</f>
        <v/>
      </c>
      <c r="S802" s="26" t="str">
        <f t="shared" si="37"/>
        <v/>
      </c>
      <c r="T802" s="26" t="str">
        <f t="shared" si="38"/>
        <v/>
      </c>
    </row>
    <row r="803" spans="1:20" x14ac:dyDescent="0.3">
      <c r="A803" s="26" t="str">
        <f>IF(BASE_CAIXA!A800="","",BASE_CAIXA!A800)</f>
        <v/>
      </c>
      <c r="B803" s="26" t="str">
        <f>IF(A803="","",BASE_CAIXA!AL800)</f>
        <v/>
      </c>
      <c r="C803" s="26" t="str">
        <f>IF(A803="","",BASE_CAIXA!AJ800)</f>
        <v/>
      </c>
      <c r="D803" s="26" t="str">
        <f>IF(A803="","",IF(BASE_CAIXA!C800="Entrada","Crédito","Débito"))</f>
        <v/>
      </c>
      <c r="E803" s="26" t="str">
        <f>IF(A803="","",BASE_CAIXA!AA800)</f>
        <v/>
      </c>
      <c r="F803" s="26" t="str">
        <f>IF(A803="","",BASE_CAIXA!N800)</f>
        <v/>
      </c>
      <c r="G803" s="26" t="str">
        <f>IF(A803="","",BASE_CAIXA!O800)</f>
        <v/>
      </c>
      <c r="H803" s="26" t="str">
        <f>IF(A803="","",BASE_CAIXA!P800)</f>
        <v/>
      </c>
      <c r="I803" s="26" t="str">
        <f>IF(A803="","",IF(BASE_CAIXA!H800&lt;&gt;"",BASE_CAIXA!H800,BASE_CAIXA!G800))</f>
        <v/>
      </c>
      <c r="J803" s="26" t="str">
        <f>IF(A803="","",BASE_CAIXA!G800)</f>
        <v/>
      </c>
      <c r="K803" s="26" t="str">
        <f>IF(A803="","",BASE_CAIXA!I800)</f>
        <v/>
      </c>
      <c r="L803" s="26" t="str">
        <f>IF(A803="","",BASE_CAIXA!J800)</f>
        <v/>
      </c>
      <c r="M803" s="26" t="str">
        <f>IF(A803="","",BASE_CAIXA!AM800)</f>
        <v/>
      </c>
      <c r="N803" s="26" t="str">
        <f t="shared" ca="1" si="36"/>
        <v/>
      </c>
      <c r="O803" s="26" t="str">
        <f>IFERROR(INDEX(EXTRATO_IMPORTADO!$A$5:$A$404,MATCH(B803,EXTRATO_IMPORTADO!$I$5:$I$404,0)),"")</f>
        <v/>
      </c>
      <c r="P803" s="26" t="str">
        <f>IFERROR(INDEX(EXTRATO_IMPORTADO!$F$5:$F$404,MATCH(B803,EXTRATO_IMPORTADO!$I$5:$I$404,0)),"")</f>
        <v/>
      </c>
      <c r="Q803" s="26" t="str">
        <f>IFERROR(INDEX(EXTRATO_IMPORTADO!$B$5:$B$404,MATCH(B803,EXTRATO_IMPORTADO!$I$5:$I$404,0)),"")</f>
        <v/>
      </c>
      <c r="R803" s="26" t="str">
        <f>IFERROR(MATCH(B803,EXTRATO_IMPORTADO!$I$5:$I$404,0),"")</f>
        <v/>
      </c>
      <c r="S803" s="26" t="str">
        <f t="shared" si="37"/>
        <v/>
      </c>
      <c r="T803" s="26" t="str">
        <f t="shared" si="38"/>
        <v/>
      </c>
    </row>
    <row r="804" spans="1:20" x14ac:dyDescent="0.3">
      <c r="A804" s="26" t="str">
        <f>IF(BASE_CAIXA!A801="","",BASE_CAIXA!A801)</f>
        <v/>
      </c>
      <c r="B804" s="26" t="str">
        <f>IF(A804="","",BASE_CAIXA!AL801)</f>
        <v/>
      </c>
      <c r="C804" s="26" t="str">
        <f>IF(A804="","",BASE_CAIXA!AJ801)</f>
        <v/>
      </c>
      <c r="D804" s="26" t="str">
        <f>IF(A804="","",IF(BASE_CAIXA!C801="Entrada","Crédito","Débito"))</f>
        <v/>
      </c>
      <c r="E804" s="26" t="str">
        <f>IF(A804="","",BASE_CAIXA!AA801)</f>
        <v/>
      </c>
      <c r="F804" s="26" t="str">
        <f>IF(A804="","",BASE_CAIXA!N801)</f>
        <v/>
      </c>
      <c r="G804" s="26" t="str">
        <f>IF(A804="","",BASE_CAIXA!O801)</f>
        <v/>
      </c>
      <c r="H804" s="26" t="str">
        <f>IF(A804="","",BASE_CAIXA!P801)</f>
        <v/>
      </c>
      <c r="I804" s="26" t="str">
        <f>IF(A804="","",IF(BASE_CAIXA!H801&lt;&gt;"",BASE_CAIXA!H801,BASE_CAIXA!G801))</f>
        <v/>
      </c>
      <c r="J804" s="26" t="str">
        <f>IF(A804="","",BASE_CAIXA!G801)</f>
        <v/>
      </c>
      <c r="K804" s="26" t="str">
        <f>IF(A804="","",BASE_CAIXA!I801)</f>
        <v/>
      </c>
      <c r="L804" s="26" t="str">
        <f>IF(A804="","",BASE_CAIXA!J801)</f>
        <v/>
      </c>
      <c r="M804" s="26" t="str">
        <f>IF(A804="","",BASE_CAIXA!AM801)</f>
        <v/>
      </c>
      <c r="N804" s="26" t="str">
        <f t="shared" ca="1" si="36"/>
        <v/>
      </c>
      <c r="O804" s="26" t="str">
        <f>IFERROR(INDEX(EXTRATO_IMPORTADO!$A$5:$A$404,MATCH(B804,EXTRATO_IMPORTADO!$I$5:$I$404,0)),"")</f>
        <v/>
      </c>
      <c r="P804" s="26" t="str">
        <f>IFERROR(INDEX(EXTRATO_IMPORTADO!$F$5:$F$404,MATCH(B804,EXTRATO_IMPORTADO!$I$5:$I$404,0)),"")</f>
        <v/>
      </c>
      <c r="Q804" s="26" t="str">
        <f>IFERROR(INDEX(EXTRATO_IMPORTADO!$B$5:$B$404,MATCH(B804,EXTRATO_IMPORTADO!$I$5:$I$404,0)),"")</f>
        <v/>
      </c>
      <c r="R804" s="26" t="str">
        <f>IFERROR(MATCH(B804,EXTRATO_IMPORTADO!$I$5:$I$404,0),"")</f>
        <v/>
      </c>
      <c r="S804" s="26" t="str">
        <f t="shared" si="37"/>
        <v/>
      </c>
      <c r="T804" s="26" t="str">
        <f t="shared" si="38"/>
        <v/>
      </c>
    </row>
    <row r="805" spans="1:20" x14ac:dyDescent="0.3">
      <c r="A805" s="26" t="str">
        <f>IF(BASE_CAIXA!A802="","",BASE_CAIXA!A802)</f>
        <v/>
      </c>
      <c r="B805" s="26" t="str">
        <f>IF(A805="","",BASE_CAIXA!AL802)</f>
        <v/>
      </c>
      <c r="C805" s="26" t="str">
        <f>IF(A805="","",BASE_CAIXA!AJ802)</f>
        <v/>
      </c>
      <c r="D805" s="26" t="str">
        <f>IF(A805="","",IF(BASE_CAIXA!C802="Entrada","Crédito","Débito"))</f>
        <v/>
      </c>
      <c r="E805" s="26" t="str">
        <f>IF(A805="","",BASE_CAIXA!AA802)</f>
        <v/>
      </c>
      <c r="F805" s="26" t="str">
        <f>IF(A805="","",BASE_CAIXA!N802)</f>
        <v/>
      </c>
      <c r="G805" s="26" t="str">
        <f>IF(A805="","",BASE_CAIXA!O802)</f>
        <v/>
      </c>
      <c r="H805" s="26" t="str">
        <f>IF(A805="","",BASE_CAIXA!P802)</f>
        <v/>
      </c>
      <c r="I805" s="26" t="str">
        <f>IF(A805="","",IF(BASE_CAIXA!H802&lt;&gt;"",BASE_CAIXA!H802,BASE_CAIXA!G802))</f>
        <v/>
      </c>
      <c r="J805" s="26" t="str">
        <f>IF(A805="","",BASE_CAIXA!G802)</f>
        <v/>
      </c>
      <c r="K805" s="26" t="str">
        <f>IF(A805="","",BASE_CAIXA!I802)</f>
        <v/>
      </c>
      <c r="L805" s="26" t="str">
        <f>IF(A805="","",BASE_CAIXA!J802)</f>
        <v/>
      </c>
      <c r="M805" s="26" t="str">
        <f>IF(A805="","",BASE_CAIXA!AM802)</f>
        <v/>
      </c>
      <c r="N805" s="26" t="str">
        <f t="shared" ca="1" si="36"/>
        <v/>
      </c>
      <c r="O805" s="26" t="str">
        <f>IFERROR(INDEX(EXTRATO_IMPORTADO!$A$5:$A$404,MATCH(B805,EXTRATO_IMPORTADO!$I$5:$I$404,0)),"")</f>
        <v/>
      </c>
      <c r="P805" s="26" t="str">
        <f>IFERROR(INDEX(EXTRATO_IMPORTADO!$F$5:$F$404,MATCH(B805,EXTRATO_IMPORTADO!$I$5:$I$404,0)),"")</f>
        <v/>
      </c>
      <c r="Q805" s="26" t="str">
        <f>IFERROR(INDEX(EXTRATO_IMPORTADO!$B$5:$B$404,MATCH(B805,EXTRATO_IMPORTADO!$I$5:$I$404,0)),"")</f>
        <v/>
      </c>
      <c r="R805" s="26" t="str">
        <f>IFERROR(MATCH(B805,EXTRATO_IMPORTADO!$I$5:$I$404,0),"")</f>
        <v/>
      </c>
      <c r="S805" s="26" t="str">
        <f t="shared" si="37"/>
        <v/>
      </c>
      <c r="T805" s="26" t="str">
        <f t="shared" si="38"/>
        <v/>
      </c>
    </row>
    <row r="806" spans="1:20" x14ac:dyDescent="0.3">
      <c r="A806" s="26" t="str">
        <f>IF(BASE_CAIXA!A803="","",BASE_CAIXA!A803)</f>
        <v/>
      </c>
      <c r="B806" s="26" t="str">
        <f>IF(A806="","",BASE_CAIXA!AL803)</f>
        <v/>
      </c>
      <c r="C806" s="26" t="str">
        <f>IF(A806="","",BASE_CAIXA!AJ803)</f>
        <v/>
      </c>
      <c r="D806" s="26" t="str">
        <f>IF(A806="","",IF(BASE_CAIXA!C803="Entrada","Crédito","Débito"))</f>
        <v/>
      </c>
      <c r="E806" s="26" t="str">
        <f>IF(A806="","",BASE_CAIXA!AA803)</f>
        <v/>
      </c>
      <c r="F806" s="26" t="str">
        <f>IF(A806="","",BASE_CAIXA!N803)</f>
        <v/>
      </c>
      <c r="G806" s="26" t="str">
        <f>IF(A806="","",BASE_CAIXA!O803)</f>
        <v/>
      </c>
      <c r="H806" s="26" t="str">
        <f>IF(A806="","",BASE_CAIXA!P803)</f>
        <v/>
      </c>
      <c r="I806" s="26" t="str">
        <f>IF(A806="","",IF(BASE_CAIXA!H803&lt;&gt;"",BASE_CAIXA!H803,BASE_CAIXA!G803))</f>
        <v/>
      </c>
      <c r="J806" s="26" t="str">
        <f>IF(A806="","",BASE_CAIXA!G803)</f>
        <v/>
      </c>
      <c r="K806" s="26" t="str">
        <f>IF(A806="","",BASE_CAIXA!I803)</f>
        <v/>
      </c>
      <c r="L806" s="26" t="str">
        <f>IF(A806="","",BASE_CAIXA!J803)</f>
        <v/>
      </c>
      <c r="M806" s="26" t="str">
        <f>IF(A806="","",BASE_CAIXA!AM803)</f>
        <v/>
      </c>
      <c r="N806" s="26" t="str">
        <f t="shared" ca="1" si="36"/>
        <v/>
      </c>
      <c r="O806" s="26" t="str">
        <f>IFERROR(INDEX(EXTRATO_IMPORTADO!$A$5:$A$404,MATCH(B806,EXTRATO_IMPORTADO!$I$5:$I$404,0)),"")</f>
        <v/>
      </c>
      <c r="P806" s="26" t="str">
        <f>IFERROR(INDEX(EXTRATO_IMPORTADO!$F$5:$F$404,MATCH(B806,EXTRATO_IMPORTADO!$I$5:$I$404,0)),"")</f>
        <v/>
      </c>
      <c r="Q806" s="26" t="str">
        <f>IFERROR(INDEX(EXTRATO_IMPORTADO!$B$5:$B$404,MATCH(B806,EXTRATO_IMPORTADO!$I$5:$I$404,0)),"")</f>
        <v/>
      </c>
      <c r="R806" s="26" t="str">
        <f>IFERROR(MATCH(B806,EXTRATO_IMPORTADO!$I$5:$I$404,0),"")</f>
        <v/>
      </c>
      <c r="S806" s="26" t="str">
        <f t="shared" si="37"/>
        <v/>
      </c>
      <c r="T806" s="26" t="str">
        <f t="shared" si="38"/>
        <v/>
      </c>
    </row>
    <row r="807" spans="1:20" x14ac:dyDescent="0.3">
      <c r="A807" s="26" t="str">
        <f>IF(BASE_CAIXA!A804="","",BASE_CAIXA!A804)</f>
        <v/>
      </c>
      <c r="B807" s="26" t="str">
        <f>IF(A807="","",BASE_CAIXA!AL804)</f>
        <v/>
      </c>
      <c r="C807" s="26" t="str">
        <f>IF(A807="","",BASE_CAIXA!AJ804)</f>
        <v/>
      </c>
      <c r="D807" s="26" t="str">
        <f>IF(A807="","",IF(BASE_CAIXA!C804="Entrada","Crédito","Débito"))</f>
        <v/>
      </c>
      <c r="E807" s="26" t="str">
        <f>IF(A807="","",BASE_CAIXA!AA804)</f>
        <v/>
      </c>
      <c r="F807" s="26" t="str">
        <f>IF(A807="","",BASE_CAIXA!N804)</f>
        <v/>
      </c>
      <c r="G807" s="26" t="str">
        <f>IF(A807="","",BASE_CAIXA!O804)</f>
        <v/>
      </c>
      <c r="H807" s="26" t="str">
        <f>IF(A807="","",BASE_CAIXA!P804)</f>
        <v/>
      </c>
      <c r="I807" s="26" t="str">
        <f>IF(A807="","",IF(BASE_CAIXA!H804&lt;&gt;"",BASE_CAIXA!H804,BASE_CAIXA!G804))</f>
        <v/>
      </c>
      <c r="J807" s="26" t="str">
        <f>IF(A807="","",BASE_CAIXA!G804)</f>
        <v/>
      </c>
      <c r="K807" s="26" t="str">
        <f>IF(A807="","",BASE_CAIXA!I804)</f>
        <v/>
      </c>
      <c r="L807" s="26" t="str">
        <f>IF(A807="","",BASE_CAIXA!J804)</f>
        <v/>
      </c>
      <c r="M807" s="26" t="str">
        <f>IF(A807="","",BASE_CAIXA!AM804)</f>
        <v/>
      </c>
      <c r="N807" s="26" t="str">
        <f t="shared" ca="1" si="36"/>
        <v/>
      </c>
      <c r="O807" s="26" t="str">
        <f>IFERROR(INDEX(EXTRATO_IMPORTADO!$A$5:$A$404,MATCH(B807,EXTRATO_IMPORTADO!$I$5:$I$404,0)),"")</f>
        <v/>
      </c>
      <c r="P807" s="26" t="str">
        <f>IFERROR(INDEX(EXTRATO_IMPORTADO!$F$5:$F$404,MATCH(B807,EXTRATO_IMPORTADO!$I$5:$I$404,0)),"")</f>
        <v/>
      </c>
      <c r="Q807" s="26" t="str">
        <f>IFERROR(INDEX(EXTRATO_IMPORTADO!$B$5:$B$404,MATCH(B807,EXTRATO_IMPORTADO!$I$5:$I$404,0)),"")</f>
        <v/>
      </c>
      <c r="R807" s="26" t="str">
        <f>IFERROR(MATCH(B807,EXTRATO_IMPORTADO!$I$5:$I$404,0),"")</f>
        <v/>
      </c>
      <c r="S807" s="26" t="str">
        <f t="shared" si="37"/>
        <v/>
      </c>
      <c r="T807" s="26" t="str">
        <f t="shared" si="38"/>
        <v/>
      </c>
    </row>
    <row r="808" spans="1:20" x14ac:dyDescent="0.3">
      <c r="A808" s="26" t="str">
        <f>IF(BASE_CAIXA!A805="","",BASE_CAIXA!A805)</f>
        <v/>
      </c>
      <c r="B808" s="26" t="str">
        <f>IF(A808="","",BASE_CAIXA!AL805)</f>
        <v/>
      </c>
      <c r="C808" s="26" t="str">
        <f>IF(A808="","",BASE_CAIXA!AJ805)</f>
        <v/>
      </c>
      <c r="D808" s="26" t="str">
        <f>IF(A808="","",IF(BASE_CAIXA!C805="Entrada","Crédito","Débito"))</f>
        <v/>
      </c>
      <c r="E808" s="26" t="str">
        <f>IF(A808="","",BASE_CAIXA!AA805)</f>
        <v/>
      </c>
      <c r="F808" s="26" t="str">
        <f>IF(A808="","",BASE_CAIXA!N805)</f>
        <v/>
      </c>
      <c r="G808" s="26" t="str">
        <f>IF(A808="","",BASE_CAIXA!O805)</f>
        <v/>
      </c>
      <c r="H808" s="26" t="str">
        <f>IF(A808="","",BASE_CAIXA!P805)</f>
        <v/>
      </c>
      <c r="I808" s="26" t="str">
        <f>IF(A808="","",IF(BASE_CAIXA!H805&lt;&gt;"",BASE_CAIXA!H805,BASE_CAIXA!G805))</f>
        <v/>
      </c>
      <c r="J808" s="26" t="str">
        <f>IF(A808="","",BASE_CAIXA!G805)</f>
        <v/>
      </c>
      <c r="K808" s="26" t="str">
        <f>IF(A808="","",BASE_CAIXA!I805)</f>
        <v/>
      </c>
      <c r="L808" s="26" t="str">
        <f>IF(A808="","",BASE_CAIXA!J805)</f>
        <v/>
      </c>
      <c r="M808" s="26" t="str">
        <f>IF(A808="","",BASE_CAIXA!AM805)</f>
        <v/>
      </c>
      <c r="N808" s="26" t="str">
        <f t="shared" ca="1" si="36"/>
        <v/>
      </c>
      <c r="O808" s="26" t="str">
        <f>IFERROR(INDEX(EXTRATO_IMPORTADO!$A$5:$A$404,MATCH(B808,EXTRATO_IMPORTADO!$I$5:$I$404,0)),"")</f>
        <v/>
      </c>
      <c r="P808" s="26" t="str">
        <f>IFERROR(INDEX(EXTRATO_IMPORTADO!$F$5:$F$404,MATCH(B808,EXTRATO_IMPORTADO!$I$5:$I$404,0)),"")</f>
        <v/>
      </c>
      <c r="Q808" s="26" t="str">
        <f>IFERROR(INDEX(EXTRATO_IMPORTADO!$B$5:$B$404,MATCH(B808,EXTRATO_IMPORTADO!$I$5:$I$404,0)),"")</f>
        <v/>
      </c>
      <c r="R808" s="26" t="str">
        <f>IFERROR(MATCH(B808,EXTRATO_IMPORTADO!$I$5:$I$404,0),"")</f>
        <v/>
      </c>
      <c r="S808" s="26" t="str">
        <f t="shared" si="37"/>
        <v/>
      </c>
      <c r="T808" s="26" t="str">
        <f t="shared" si="38"/>
        <v/>
      </c>
    </row>
    <row r="809" spans="1:20" x14ac:dyDescent="0.3">
      <c r="A809" s="26" t="str">
        <f>IF(BASE_CAIXA!A806="","",BASE_CAIXA!A806)</f>
        <v/>
      </c>
      <c r="B809" s="26" t="str">
        <f>IF(A809="","",BASE_CAIXA!AL806)</f>
        <v/>
      </c>
      <c r="C809" s="26" t="str">
        <f>IF(A809="","",BASE_CAIXA!AJ806)</f>
        <v/>
      </c>
      <c r="D809" s="26" t="str">
        <f>IF(A809="","",IF(BASE_CAIXA!C806="Entrada","Crédito","Débito"))</f>
        <v/>
      </c>
      <c r="E809" s="26" t="str">
        <f>IF(A809="","",BASE_CAIXA!AA806)</f>
        <v/>
      </c>
      <c r="F809" s="26" t="str">
        <f>IF(A809="","",BASE_CAIXA!N806)</f>
        <v/>
      </c>
      <c r="G809" s="26" t="str">
        <f>IF(A809="","",BASE_CAIXA!O806)</f>
        <v/>
      </c>
      <c r="H809" s="26" t="str">
        <f>IF(A809="","",BASE_CAIXA!P806)</f>
        <v/>
      </c>
      <c r="I809" s="26" t="str">
        <f>IF(A809="","",IF(BASE_CAIXA!H806&lt;&gt;"",BASE_CAIXA!H806,BASE_CAIXA!G806))</f>
        <v/>
      </c>
      <c r="J809" s="26" t="str">
        <f>IF(A809="","",BASE_CAIXA!G806)</f>
        <v/>
      </c>
      <c r="K809" s="26" t="str">
        <f>IF(A809="","",BASE_CAIXA!I806)</f>
        <v/>
      </c>
      <c r="L809" s="26" t="str">
        <f>IF(A809="","",BASE_CAIXA!J806)</f>
        <v/>
      </c>
      <c r="M809" s="26" t="str">
        <f>IF(A809="","",BASE_CAIXA!AM806)</f>
        <v/>
      </c>
      <c r="N809" s="26" t="str">
        <f t="shared" ca="1" si="36"/>
        <v/>
      </c>
      <c r="O809" s="26" t="str">
        <f>IFERROR(INDEX(EXTRATO_IMPORTADO!$A$5:$A$404,MATCH(B809,EXTRATO_IMPORTADO!$I$5:$I$404,0)),"")</f>
        <v/>
      </c>
      <c r="P809" s="26" t="str">
        <f>IFERROR(INDEX(EXTRATO_IMPORTADO!$F$5:$F$404,MATCH(B809,EXTRATO_IMPORTADO!$I$5:$I$404,0)),"")</f>
        <v/>
      </c>
      <c r="Q809" s="26" t="str">
        <f>IFERROR(INDEX(EXTRATO_IMPORTADO!$B$5:$B$404,MATCH(B809,EXTRATO_IMPORTADO!$I$5:$I$404,0)),"")</f>
        <v/>
      </c>
      <c r="R809" s="26" t="str">
        <f>IFERROR(MATCH(B809,EXTRATO_IMPORTADO!$I$5:$I$404,0),"")</f>
        <v/>
      </c>
      <c r="S809" s="26" t="str">
        <f t="shared" si="37"/>
        <v/>
      </c>
      <c r="T809" s="26" t="str">
        <f t="shared" si="38"/>
        <v/>
      </c>
    </row>
    <row r="810" spans="1:20" x14ac:dyDescent="0.3">
      <c r="A810" s="26" t="str">
        <f>IF(BASE_CAIXA!A807="","",BASE_CAIXA!A807)</f>
        <v/>
      </c>
      <c r="B810" s="26" t="str">
        <f>IF(A810="","",BASE_CAIXA!AL807)</f>
        <v/>
      </c>
      <c r="C810" s="26" t="str">
        <f>IF(A810="","",BASE_CAIXA!AJ807)</f>
        <v/>
      </c>
      <c r="D810" s="26" t="str">
        <f>IF(A810="","",IF(BASE_CAIXA!C807="Entrada","Crédito","Débito"))</f>
        <v/>
      </c>
      <c r="E810" s="26" t="str">
        <f>IF(A810="","",BASE_CAIXA!AA807)</f>
        <v/>
      </c>
      <c r="F810" s="26" t="str">
        <f>IF(A810="","",BASE_CAIXA!N807)</f>
        <v/>
      </c>
      <c r="G810" s="26" t="str">
        <f>IF(A810="","",BASE_CAIXA!O807)</f>
        <v/>
      </c>
      <c r="H810" s="26" t="str">
        <f>IF(A810="","",BASE_CAIXA!P807)</f>
        <v/>
      </c>
      <c r="I810" s="26" t="str">
        <f>IF(A810="","",IF(BASE_CAIXA!H807&lt;&gt;"",BASE_CAIXA!H807,BASE_CAIXA!G807))</f>
        <v/>
      </c>
      <c r="J810" s="26" t="str">
        <f>IF(A810="","",BASE_CAIXA!G807)</f>
        <v/>
      </c>
      <c r="K810" s="26" t="str">
        <f>IF(A810="","",BASE_CAIXA!I807)</f>
        <v/>
      </c>
      <c r="L810" s="26" t="str">
        <f>IF(A810="","",BASE_CAIXA!J807)</f>
        <v/>
      </c>
      <c r="M810" s="26" t="str">
        <f>IF(A810="","",BASE_CAIXA!AM807)</f>
        <v/>
      </c>
      <c r="N810" s="26" t="str">
        <f t="shared" ca="1" si="36"/>
        <v/>
      </c>
      <c r="O810" s="26" t="str">
        <f>IFERROR(INDEX(EXTRATO_IMPORTADO!$A$5:$A$404,MATCH(B810,EXTRATO_IMPORTADO!$I$5:$I$404,0)),"")</f>
        <v/>
      </c>
      <c r="P810" s="26" t="str">
        <f>IFERROR(INDEX(EXTRATO_IMPORTADO!$F$5:$F$404,MATCH(B810,EXTRATO_IMPORTADO!$I$5:$I$404,0)),"")</f>
        <v/>
      </c>
      <c r="Q810" s="26" t="str">
        <f>IFERROR(INDEX(EXTRATO_IMPORTADO!$B$5:$B$404,MATCH(B810,EXTRATO_IMPORTADO!$I$5:$I$404,0)),"")</f>
        <v/>
      </c>
      <c r="R810" s="26" t="str">
        <f>IFERROR(MATCH(B810,EXTRATO_IMPORTADO!$I$5:$I$404,0),"")</f>
        <v/>
      </c>
      <c r="S810" s="26" t="str">
        <f t="shared" si="37"/>
        <v/>
      </c>
      <c r="T810" s="26" t="str">
        <f t="shared" si="38"/>
        <v/>
      </c>
    </row>
    <row r="811" spans="1:20" x14ac:dyDescent="0.3">
      <c r="A811" s="26" t="str">
        <f>IF(BASE_CAIXA!A808="","",BASE_CAIXA!A808)</f>
        <v/>
      </c>
      <c r="B811" s="26" t="str">
        <f>IF(A811="","",BASE_CAIXA!AL808)</f>
        <v/>
      </c>
      <c r="C811" s="26" t="str">
        <f>IF(A811="","",BASE_CAIXA!AJ808)</f>
        <v/>
      </c>
      <c r="D811" s="26" t="str">
        <f>IF(A811="","",IF(BASE_CAIXA!C808="Entrada","Crédito","Débito"))</f>
        <v/>
      </c>
      <c r="E811" s="26" t="str">
        <f>IF(A811="","",BASE_CAIXA!AA808)</f>
        <v/>
      </c>
      <c r="F811" s="26" t="str">
        <f>IF(A811="","",BASE_CAIXA!N808)</f>
        <v/>
      </c>
      <c r="G811" s="26" t="str">
        <f>IF(A811="","",BASE_CAIXA!O808)</f>
        <v/>
      </c>
      <c r="H811" s="26" t="str">
        <f>IF(A811="","",BASE_CAIXA!P808)</f>
        <v/>
      </c>
      <c r="I811" s="26" t="str">
        <f>IF(A811="","",IF(BASE_CAIXA!H808&lt;&gt;"",BASE_CAIXA!H808,BASE_CAIXA!G808))</f>
        <v/>
      </c>
      <c r="J811" s="26" t="str">
        <f>IF(A811="","",BASE_CAIXA!G808)</f>
        <v/>
      </c>
      <c r="K811" s="26" t="str">
        <f>IF(A811="","",BASE_CAIXA!I808)</f>
        <v/>
      </c>
      <c r="L811" s="26" t="str">
        <f>IF(A811="","",BASE_CAIXA!J808)</f>
        <v/>
      </c>
      <c r="M811" s="26" t="str">
        <f>IF(A811="","",BASE_CAIXA!AM808)</f>
        <v/>
      </c>
      <c r="N811" s="26" t="str">
        <f t="shared" ca="1" si="36"/>
        <v/>
      </c>
      <c r="O811" s="26" t="str">
        <f>IFERROR(INDEX(EXTRATO_IMPORTADO!$A$5:$A$404,MATCH(B811,EXTRATO_IMPORTADO!$I$5:$I$404,0)),"")</f>
        <v/>
      </c>
      <c r="P811" s="26" t="str">
        <f>IFERROR(INDEX(EXTRATO_IMPORTADO!$F$5:$F$404,MATCH(B811,EXTRATO_IMPORTADO!$I$5:$I$404,0)),"")</f>
        <v/>
      </c>
      <c r="Q811" s="26" t="str">
        <f>IFERROR(INDEX(EXTRATO_IMPORTADO!$B$5:$B$404,MATCH(B811,EXTRATO_IMPORTADO!$I$5:$I$404,0)),"")</f>
        <v/>
      </c>
      <c r="R811" s="26" t="str">
        <f>IFERROR(MATCH(B811,EXTRATO_IMPORTADO!$I$5:$I$404,0),"")</f>
        <v/>
      </c>
      <c r="S811" s="26" t="str">
        <f t="shared" si="37"/>
        <v/>
      </c>
      <c r="T811" s="26" t="str">
        <f t="shared" si="38"/>
        <v/>
      </c>
    </row>
    <row r="812" spans="1:20" x14ac:dyDescent="0.3">
      <c r="A812" s="26" t="str">
        <f>IF(BASE_CAIXA!A809="","",BASE_CAIXA!A809)</f>
        <v/>
      </c>
      <c r="B812" s="26" t="str">
        <f>IF(A812="","",BASE_CAIXA!AL809)</f>
        <v/>
      </c>
      <c r="C812" s="26" t="str">
        <f>IF(A812="","",BASE_CAIXA!AJ809)</f>
        <v/>
      </c>
      <c r="D812" s="26" t="str">
        <f>IF(A812="","",IF(BASE_CAIXA!C809="Entrada","Crédito","Débito"))</f>
        <v/>
      </c>
      <c r="E812" s="26" t="str">
        <f>IF(A812="","",BASE_CAIXA!AA809)</f>
        <v/>
      </c>
      <c r="F812" s="26" t="str">
        <f>IF(A812="","",BASE_CAIXA!N809)</f>
        <v/>
      </c>
      <c r="G812" s="26" t="str">
        <f>IF(A812="","",BASE_CAIXA!O809)</f>
        <v/>
      </c>
      <c r="H812" s="26" t="str">
        <f>IF(A812="","",BASE_CAIXA!P809)</f>
        <v/>
      </c>
      <c r="I812" s="26" t="str">
        <f>IF(A812="","",IF(BASE_CAIXA!H809&lt;&gt;"",BASE_CAIXA!H809,BASE_CAIXA!G809))</f>
        <v/>
      </c>
      <c r="J812" s="26" t="str">
        <f>IF(A812="","",BASE_CAIXA!G809)</f>
        <v/>
      </c>
      <c r="K812" s="26" t="str">
        <f>IF(A812="","",BASE_CAIXA!I809)</f>
        <v/>
      </c>
      <c r="L812" s="26" t="str">
        <f>IF(A812="","",BASE_CAIXA!J809)</f>
        <v/>
      </c>
      <c r="M812" s="26" t="str">
        <f>IF(A812="","",BASE_CAIXA!AM809)</f>
        <v/>
      </c>
      <c r="N812" s="26" t="str">
        <f t="shared" ca="1" si="36"/>
        <v/>
      </c>
      <c r="O812" s="26" t="str">
        <f>IFERROR(INDEX(EXTRATO_IMPORTADO!$A$5:$A$404,MATCH(B812,EXTRATO_IMPORTADO!$I$5:$I$404,0)),"")</f>
        <v/>
      </c>
      <c r="P812" s="26" t="str">
        <f>IFERROR(INDEX(EXTRATO_IMPORTADO!$F$5:$F$404,MATCH(B812,EXTRATO_IMPORTADO!$I$5:$I$404,0)),"")</f>
        <v/>
      </c>
      <c r="Q812" s="26" t="str">
        <f>IFERROR(INDEX(EXTRATO_IMPORTADO!$B$5:$B$404,MATCH(B812,EXTRATO_IMPORTADO!$I$5:$I$404,0)),"")</f>
        <v/>
      </c>
      <c r="R812" s="26" t="str">
        <f>IFERROR(MATCH(B812,EXTRATO_IMPORTADO!$I$5:$I$404,0),"")</f>
        <v/>
      </c>
      <c r="S812" s="26" t="str">
        <f t="shared" si="37"/>
        <v/>
      </c>
      <c r="T812" s="26" t="str">
        <f t="shared" si="38"/>
        <v/>
      </c>
    </row>
    <row r="813" spans="1:20" x14ac:dyDescent="0.3">
      <c r="A813" s="26" t="str">
        <f>IF(BASE_CAIXA!A810="","",BASE_CAIXA!A810)</f>
        <v/>
      </c>
      <c r="B813" s="26" t="str">
        <f>IF(A813="","",BASE_CAIXA!AL810)</f>
        <v/>
      </c>
      <c r="C813" s="26" t="str">
        <f>IF(A813="","",BASE_CAIXA!AJ810)</f>
        <v/>
      </c>
      <c r="D813" s="26" t="str">
        <f>IF(A813="","",IF(BASE_CAIXA!C810="Entrada","Crédito","Débito"))</f>
        <v/>
      </c>
      <c r="E813" s="26" t="str">
        <f>IF(A813="","",BASE_CAIXA!AA810)</f>
        <v/>
      </c>
      <c r="F813" s="26" t="str">
        <f>IF(A813="","",BASE_CAIXA!N810)</f>
        <v/>
      </c>
      <c r="G813" s="26" t="str">
        <f>IF(A813="","",BASE_CAIXA!O810)</f>
        <v/>
      </c>
      <c r="H813" s="26" t="str">
        <f>IF(A813="","",BASE_CAIXA!P810)</f>
        <v/>
      </c>
      <c r="I813" s="26" t="str">
        <f>IF(A813="","",IF(BASE_CAIXA!H810&lt;&gt;"",BASE_CAIXA!H810,BASE_CAIXA!G810))</f>
        <v/>
      </c>
      <c r="J813" s="26" t="str">
        <f>IF(A813="","",BASE_CAIXA!G810)</f>
        <v/>
      </c>
      <c r="K813" s="26" t="str">
        <f>IF(A813="","",BASE_CAIXA!I810)</f>
        <v/>
      </c>
      <c r="L813" s="26" t="str">
        <f>IF(A813="","",BASE_CAIXA!J810)</f>
        <v/>
      </c>
      <c r="M813" s="26" t="str">
        <f>IF(A813="","",BASE_CAIXA!AM810)</f>
        <v/>
      </c>
      <c r="N813" s="26" t="str">
        <f t="shared" ca="1" si="36"/>
        <v/>
      </c>
      <c r="O813" s="26" t="str">
        <f>IFERROR(INDEX(EXTRATO_IMPORTADO!$A$5:$A$404,MATCH(B813,EXTRATO_IMPORTADO!$I$5:$I$404,0)),"")</f>
        <v/>
      </c>
      <c r="P813" s="26" t="str">
        <f>IFERROR(INDEX(EXTRATO_IMPORTADO!$F$5:$F$404,MATCH(B813,EXTRATO_IMPORTADO!$I$5:$I$404,0)),"")</f>
        <v/>
      </c>
      <c r="Q813" s="26" t="str">
        <f>IFERROR(INDEX(EXTRATO_IMPORTADO!$B$5:$B$404,MATCH(B813,EXTRATO_IMPORTADO!$I$5:$I$404,0)),"")</f>
        <v/>
      </c>
      <c r="R813" s="26" t="str">
        <f>IFERROR(MATCH(B813,EXTRATO_IMPORTADO!$I$5:$I$404,0),"")</f>
        <v/>
      </c>
      <c r="S813" s="26" t="str">
        <f t="shared" si="37"/>
        <v/>
      </c>
      <c r="T813" s="26" t="str">
        <f t="shared" si="38"/>
        <v/>
      </c>
    </row>
    <row r="814" spans="1:20" x14ac:dyDescent="0.3">
      <c r="A814" s="26" t="str">
        <f>IF(BASE_CAIXA!A811="","",BASE_CAIXA!A811)</f>
        <v/>
      </c>
      <c r="B814" s="26" t="str">
        <f>IF(A814="","",BASE_CAIXA!AL811)</f>
        <v/>
      </c>
      <c r="C814" s="26" t="str">
        <f>IF(A814="","",BASE_CAIXA!AJ811)</f>
        <v/>
      </c>
      <c r="D814" s="26" t="str">
        <f>IF(A814="","",IF(BASE_CAIXA!C811="Entrada","Crédito","Débito"))</f>
        <v/>
      </c>
      <c r="E814" s="26" t="str">
        <f>IF(A814="","",BASE_CAIXA!AA811)</f>
        <v/>
      </c>
      <c r="F814" s="26" t="str">
        <f>IF(A814="","",BASE_CAIXA!N811)</f>
        <v/>
      </c>
      <c r="G814" s="26" t="str">
        <f>IF(A814="","",BASE_CAIXA!O811)</f>
        <v/>
      </c>
      <c r="H814" s="26" t="str">
        <f>IF(A814="","",BASE_CAIXA!P811)</f>
        <v/>
      </c>
      <c r="I814" s="26" t="str">
        <f>IF(A814="","",IF(BASE_CAIXA!H811&lt;&gt;"",BASE_CAIXA!H811,BASE_CAIXA!G811))</f>
        <v/>
      </c>
      <c r="J814" s="26" t="str">
        <f>IF(A814="","",BASE_CAIXA!G811)</f>
        <v/>
      </c>
      <c r="K814" s="26" t="str">
        <f>IF(A814="","",BASE_CAIXA!I811)</f>
        <v/>
      </c>
      <c r="L814" s="26" t="str">
        <f>IF(A814="","",BASE_CAIXA!J811)</f>
        <v/>
      </c>
      <c r="M814" s="26" t="str">
        <f>IF(A814="","",BASE_CAIXA!AM811)</f>
        <v/>
      </c>
      <c r="N814" s="26" t="str">
        <f t="shared" ca="1" si="36"/>
        <v/>
      </c>
      <c r="O814" s="26" t="str">
        <f>IFERROR(INDEX(EXTRATO_IMPORTADO!$A$5:$A$404,MATCH(B814,EXTRATO_IMPORTADO!$I$5:$I$404,0)),"")</f>
        <v/>
      </c>
      <c r="P814" s="26" t="str">
        <f>IFERROR(INDEX(EXTRATO_IMPORTADO!$F$5:$F$404,MATCH(B814,EXTRATO_IMPORTADO!$I$5:$I$404,0)),"")</f>
        <v/>
      </c>
      <c r="Q814" s="26" t="str">
        <f>IFERROR(INDEX(EXTRATO_IMPORTADO!$B$5:$B$404,MATCH(B814,EXTRATO_IMPORTADO!$I$5:$I$404,0)),"")</f>
        <v/>
      </c>
      <c r="R814" s="26" t="str">
        <f>IFERROR(MATCH(B814,EXTRATO_IMPORTADO!$I$5:$I$404,0),"")</f>
        <v/>
      </c>
      <c r="S814" s="26" t="str">
        <f t="shared" si="37"/>
        <v/>
      </c>
      <c r="T814" s="26" t="str">
        <f t="shared" si="38"/>
        <v/>
      </c>
    </row>
    <row r="815" spans="1:20" x14ac:dyDescent="0.3">
      <c r="A815" s="26" t="str">
        <f>IF(BASE_CAIXA!A812="","",BASE_CAIXA!A812)</f>
        <v/>
      </c>
      <c r="B815" s="26" t="str">
        <f>IF(A815="","",BASE_CAIXA!AL812)</f>
        <v/>
      </c>
      <c r="C815" s="26" t="str">
        <f>IF(A815="","",BASE_CAIXA!AJ812)</f>
        <v/>
      </c>
      <c r="D815" s="26" t="str">
        <f>IF(A815="","",IF(BASE_CAIXA!C812="Entrada","Crédito","Débito"))</f>
        <v/>
      </c>
      <c r="E815" s="26" t="str">
        <f>IF(A815="","",BASE_CAIXA!AA812)</f>
        <v/>
      </c>
      <c r="F815" s="26" t="str">
        <f>IF(A815="","",BASE_CAIXA!N812)</f>
        <v/>
      </c>
      <c r="G815" s="26" t="str">
        <f>IF(A815="","",BASE_CAIXA!O812)</f>
        <v/>
      </c>
      <c r="H815" s="26" t="str">
        <f>IF(A815="","",BASE_CAIXA!P812)</f>
        <v/>
      </c>
      <c r="I815" s="26" t="str">
        <f>IF(A815="","",IF(BASE_CAIXA!H812&lt;&gt;"",BASE_CAIXA!H812,BASE_CAIXA!G812))</f>
        <v/>
      </c>
      <c r="J815" s="26" t="str">
        <f>IF(A815="","",BASE_CAIXA!G812)</f>
        <v/>
      </c>
      <c r="K815" s="26" t="str">
        <f>IF(A815="","",BASE_CAIXA!I812)</f>
        <v/>
      </c>
      <c r="L815" s="26" t="str">
        <f>IF(A815="","",BASE_CAIXA!J812)</f>
        <v/>
      </c>
      <c r="M815" s="26" t="str">
        <f>IF(A815="","",BASE_CAIXA!AM812)</f>
        <v/>
      </c>
      <c r="N815" s="26" t="str">
        <f t="shared" ca="1" si="36"/>
        <v/>
      </c>
      <c r="O815" s="26" t="str">
        <f>IFERROR(INDEX(EXTRATO_IMPORTADO!$A$5:$A$404,MATCH(B815,EXTRATO_IMPORTADO!$I$5:$I$404,0)),"")</f>
        <v/>
      </c>
      <c r="P815" s="26" t="str">
        <f>IFERROR(INDEX(EXTRATO_IMPORTADO!$F$5:$F$404,MATCH(B815,EXTRATO_IMPORTADO!$I$5:$I$404,0)),"")</f>
        <v/>
      </c>
      <c r="Q815" s="26" t="str">
        <f>IFERROR(INDEX(EXTRATO_IMPORTADO!$B$5:$B$404,MATCH(B815,EXTRATO_IMPORTADO!$I$5:$I$404,0)),"")</f>
        <v/>
      </c>
      <c r="R815" s="26" t="str">
        <f>IFERROR(MATCH(B815,EXTRATO_IMPORTADO!$I$5:$I$404,0),"")</f>
        <v/>
      </c>
      <c r="S815" s="26" t="str">
        <f t="shared" si="37"/>
        <v/>
      </c>
      <c r="T815" s="26" t="str">
        <f t="shared" si="38"/>
        <v/>
      </c>
    </row>
    <row r="816" spans="1:20" x14ac:dyDescent="0.3">
      <c r="A816" s="26" t="str">
        <f>IF(BASE_CAIXA!A813="","",BASE_CAIXA!A813)</f>
        <v/>
      </c>
      <c r="B816" s="26" t="str">
        <f>IF(A816="","",BASE_CAIXA!AL813)</f>
        <v/>
      </c>
      <c r="C816" s="26" t="str">
        <f>IF(A816="","",BASE_CAIXA!AJ813)</f>
        <v/>
      </c>
      <c r="D816" s="26" t="str">
        <f>IF(A816="","",IF(BASE_CAIXA!C813="Entrada","Crédito","Débito"))</f>
        <v/>
      </c>
      <c r="E816" s="26" t="str">
        <f>IF(A816="","",BASE_CAIXA!AA813)</f>
        <v/>
      </c>
      <c r="F816" s="26" t="str">
        <f>IF(A816="","",BASE_CAIXA!N813)</f>
        <v/>
      </c>
      <c r="G816" s="26" t="str">
        <f>IF(A816="","",BASE_CAIXA!O813)</f>
        <v/>
      </c>
      <c r="H816" s="26" t="str">
        <f>IF(A816="","",BASE_CAIXA!P813)</f>
        <v/>
      </c>
      <c r="I816" s="26" t="str">
        <f>IF(A816="","",IF(BASE_CAIXA!H813&lt;&gt;"",BASE_CAIXA!H813,BASE_CAIXA!G813))</f>
        <v/>
      </c>
      <c r="J816" s="26" t="str">
        <f>IF(A816="","",BASE_CAIXA!G813)</f>
        <v/>
      </c>
      <c r="K816" s="26" t="str">
        <f>IF(A816="","",BASE_CAIXA!I813)</f>
        <v/>
      </c>
      <c r="L816" s="26" t="str">
        <f>IF(A816="","",BASE_CAIXA!J813)</f>
        <v/>
      </c>
      <c r="M816" s="26" t="str">
        <f>IF(A816="","",BASE_CAIXA!AM813)</f>
        <v/>
      </c>
      <c r="N816" s="26" t="str">
        <f t="shared" ca="1" si="36"/>
        <v/>
      </c>
      <c r="O816" s="26" t="str">
        <f>IFERROR(INDEX(EXTRATO_IMPORTADO!$A$5:$A$404,MATCH(B816,EXTRATO_IMPORTADO!$I$5:$I$404,0)),"")</f>
        <v/>
      </c>
      <c r="P816" s="26" t="str">
        <f>IFERROR(INDEX(EXTRATO_IMPORTADO!$F$5:$F$404,MATCH(B816,EXTRATO_IMPORTADO!$I$5:$I$404,0)),"")</f>
        <v/>
      </c>
      <c r="Q816" s="26" t="str">
        <f>IFERROR(INDEX(EXTRATO_IMPORTADO!$B$5:$B$404,MATCH(B816,EXTRATO_IMPORTADO!$I$5:$I$404,0)),"")</f>
        <v/>
      </c>
      <c r="R816" s="26" t="str">
        <f>IFERROR(MATCH(B816,EXTRATO_IMPORTADO!$I$5:$I$404,0),"")</f>
        <v/>
      </c>
      <c r="S816" s="26" t="str">
        <f t="shared" si="37"/>
        <v/>
      </c>
      <c r="T816" s="26" t="str">
        <f t="shared" si="38"/>
        <v/>
      </c>
    </row>
    <row r="817" spans="1:20" x14ac:dyDescent="0.3">
      <c r="A817" s="26" t="str">
        <f>IF(BASE_CAIXA!A814="","",BASE_CAIXA!A814)</f>
        <v/>
      </c>
      <c r="B817" s="26" t="str">
        <f>IF(A817="","",BASE_CAIXA!AL814)</f>
        <v/>
      </c>
      <c r="C817" s="26" t="str">
        <f>IF(A817="","",BASE_CAIXA!AJ814)</f>
        <v/>
      </c>
      <c r="D817" s="26" t="str">
        <f>IF(A817="","",IF(BASE_CAIXA!C814="Entrada","Crédito","Débito"))</f>
        <v/>
      </c>
      <c r="E817" s="26" t="str">
        <f>IF(A817="","",BASE_CAIXA!AA814)</f>
        <v/>
      </c>
      <c r="F817" s="26" t="str">
        <f>IF(A817="","",BASE_CAIXA!N814)</f>
        <v/>
      </c>
      <c r="G817" s="26" t="str">
        <f>IF(A817="","",BASE_CAIXA!O814)</f>
        <v/>
      </c>
      <c r="H817" s="26" t="str">
        <f>IF(A817="","",BASE_CAIXA!P814)</f>
        <v/>
      </c>
      <c r="I817" s="26" t="str">
        <f>IF(A817="","",IF(BASE_CAIXA!H814&lt;&gt;"",BASE_CAIXA!H814,BASE_CAIXA!G814))</f>
        <v/>
      </c>
      <c r="J817" s="26" t="str">
        <f>IF(A817="","",BASE_CAIXA!G814)</f>
        <v/>
      </c>
      <c r="K817" s="26" t="str">
        <f>IF(A817="","",BASE_CAIXA!I814)</f>
        <v/>
      </c>
      <c r="L817" s="26" t="str">
        <f>IF(A817="","",BASE_CAIXA!J814)</f>
        <v/>
      </c>
      <c r="M817" s="26" t="str">
        <f>IF(A817="","",BASE_CAIXA!AM814)</f>
        <v/>
      </c>
      <c r="N817" s="26" t="str">
        <f t="shared" ca="1" si="36"/>
        <v/>
      </c>
      <c r="O817" s="26" t="str">
        <f>IFERROR(INDEX(EXTRATO_IMPORTADO!$A$5:$A$404,MATCH(B817,EXTRATO_IMPORTADO!$I$5:$I$404,0)),"")</f>
        <v/>
      </c>
      <c r="P817" s="26" t="str">
        <f>IFERROR(INDEX(EXTRATO_IMPORTADO!$F$5:$F$404,MATCH(B817,EXTRATO_IMPORTADO!$I$5:$I$404,0)),"")</f>
        <v/>
      </c>
      <c r="Q817" s="26" t="str">
        <f>IFERROR(INDEX(EXTRATO_IMPORTADO!$B$5:$B$404,MATCH(B817,EXTRATO_IMPORTADO!$I$5:$I$404,0)),"")</f>
        <v/>
      </c>
      <c r="R817" s="26" t="str">
        <f>IFERROR(MATCH(B817,EXTRATO_IMPORTADO!$I$5:$I$404,0),"")</f>
        <v/>
      </c>
      <c r="S817" s="26" t="str">
        <f t="shared" si="37"/>
        <v/>
      </c>
      <c r="T817" s="26" t="str">
        <f t="shared" si="38"/>
        <v/>
      </c>
    </row>
    <row r="818" spans="1:20" x14ac:dyDescent="0.3">
      <c r="A818" s="26" t="str">
        <f>IF(BASE_CAIXA!A815="","",BASE_CAIXA!A815)</f>
        <v/>
      </c>
      <c r="B818" s="26" t="str">
        <f>IF(A818="","",BASE_CAIXA!AL815)</f>
        <v/>
      </c>
      <c r="C818" s="26" t="str">
        <f>IF(A818="","",BASE_CAIXA!AJ815)</f>
        <v/>
      </c>
      <c r="D818" s="26" t="str">
        <f>IF(A818="","",IF(BASE_CAIXA!C815="Entrada","Crédito","Débito"))</f>
        <v/>
      </c>
      <c r="E818" s="26" t="str">
        <f>IF(A818="","",BASE_CAIXA!AA815)</f>
        <v/>
      </c>
      <c r="F818" s="26" t="str">
        <f>IF(A818="","",BASE_CAIXA!N815)</f>
        <v/>
      </c>
      <c r="G818" s="26" t="str">
        <f>IF(A818="","",BASE_CAIXA!O815)</f>
        <v/>
      </c>
      <c r="H818" s="26" t="str">
        <f>IF(A818="","",BASE_CAIXA!P815)</f>
        <v/>
      </c>
      <c r="I818" s="26" t="str">
        <f>IF(A818="","",IF(BASE_CAIXA!H815&lt;&gt;"",BASE_CAIXA!H815,BASE_CAIXA!G815))</f>
        <v/>
      </c>
      <c r="J818" s="26" t="str">
        <f>IF(A818="","",BASE_CAIXA!G815)</f>
        <v/>
      </c>
      <c r="K818" s="26" t="str">
        <f>IF(A818="","",BASE_CAIXA!I815)</f>
        <v/>
      </c>
      <c r="L818" s="26" t="str">
        <f>IF(A818="","",BASE_CAIXA!J815)</f>
        <v/>
      </c>
      <c r="M818" s="26" t="str">
        <f>IF(A818="","",BASE_CAIXA!AM815)</f>
        <v/>
      </c>
      <c r="N818" s="26" t="str">
        <f t="shared" ca="1" si="36"/>
        <v/>
      </c>
      <c r="O818" s="26" t="str">
        <f>IFERROR(INDEX(EXTRATO_IMPORTADO!$A$5:$A$404,MATCH(B818,EXTRATO_IMPORTADO!$I$5:$I$404,0)),"")</f>
        <v/>
      </c>
      <c r="P818" s="26" t="str">
        <f>IFERROR(INDEX(EXTRATO_IMPORTADO!$F$5:$F$404,MATCH(B818,EXTRATO_IMPORTADO!$I$5:$I$404,0)),"")</f>
        <v/>
      </c>
      <c r="Q818" s="26" t="str">
        <f>IFERROR(INDEX(EXTRATO_IMPORTADO!$B$5:$B$404,MATCH(B818,EXTRATO_IMPORTADO!$I$5:$I$404,0)),"")</f>
        <v/>
      </c>
      <c r="R818" s="26" t="str">
        <f>IFERROR(MATCH(B818,EXTRATO_IMPORTADO!$I$5:$I$404,0),"")</f>
        <v/>
      </c>
      <c r="S818" s="26" t="str">
        <f t="shared" si="37"/>
        <v/>
      </c>
      <c r="T818" s="26" t="str">
        <f t="shared" si="38"/>
        <v/>
      </c>
    </row>
    <row r="819" spans="1:20" x14ac:dyDescent="0.3">
      <c r="A819" s="26" t="str">
        <f>IF(BASE_CAIXA!A816="","",BASE_CAIXA!A816)</f>
        <v/>
      </c>
      <c r="B819" s="26" t="str">
        <f>IF(A819="","",BASE_CAIXA!AL816)</f>
        <v/>
      </c>
      <c r="C819" s="26" t="str">
        <f>IF(A819="","",BASE_CAIXA!AJ816)</f>
        <v/>
      </c>
      <c r="D819" s="26" t="str">
        <f>IF(A819="","",IF(BASE_CAIXA!C816="Entrada","Crédito","Débito"))</f>
        <v/>
      </c>
      <c r="E819" s="26" t="str">
        <f>IF(A819="","",BASE_CAIXA!AA816)</f>
        <v/>
      </c>
      <c r="F819" s="26" t="str">
        <f>IF(A819="","",BASE_CAIXA!N816)</f>
        <v/>
      </c>
      <c r="G819" s="26" t="str">
        <f>IF(A819="","",BASE_CAIXA!O816)</f>
        <v/>
      </c>
      <c r="H819" s="26" t="str">
        <f>IF(A819="","",BASE_CAIXA!P816)</f>
        <v/>
      </c>
      <c r="I819" s="26" t="str">
        <f>IF(A819="","",IF(BASE_CAIXA!H816&lt;&gt;"",BASE_CAIXA!H816,BASE_CAIXA!G816))</f>
        <v/>
      </c>
      <c r="J819" s="26" t="str">
        <f>IF(A819="","",BASE_CAIXA!G816)</f>
        <v/>
      </c>
      <c r="K819" s="26" t="str">
        <f>IF(A819="","",BASE_CAIXA!I816)</f>
        <v/>
      </c>
      <c r="L819" s="26" t="str">
        <f>IF(A819="","",BASE_CAIXA!J816)</f>
        <v/>
      </c>
      <c r="M819" s="26" t="str">
        <f>IF(A819="","",BASE_CAIXA!AM816)</f>
        <v/>
      </c>
      <c r="N819" s="26" t="str">
        <f t="shared" ca="1" si="36"/>
        <v/>
      </c>
      <c r="O819" s="26" t="str">
        <f>IFERROR(INDEX(EXTRATO_IMPORTADO!$A$5:$A$404,MATCH(B819,EXTRATO_IMPORTADO!$I$5:$I$404,0)),"")</f>
        <v/>
      </c>
      <c r="P819" s="26" t="str">
        <f>IFERROR(INDEX(EXTRATO_IMPORTADO!$F$5:$F$404,MATCH(B819,EXTRATO_IMPORTADO!$I$5:$I$404,0)),"")</f>
        <v/>
      </c>
      <c r="Q819" s="26" t="str">
        <f>IFERROR(INDEX(EXTRATO_IMPORTADO!$B$5:$B$404,MATCH(B819,EXTRATO_IMPORTADO!$I$5:$I$404,0)),"")</f>
        <v/>
      </c>
      <c r="R819" s="26" t="str">
        <f>IFERROR(MATCH(B819,EXTRATO_IMPORTADO!$I$5:$I$404,0),"")</f>
        <v/>
      </c>
      <c r="S819" s="26" t="str">
        <f t="shared" si="37"/>
        <v/>
      </c>
      <c r="T819" s="26" t="str">
        <f t="shared" si="38"/>
        <v/>
      </c>
    </row>
    <row r="820" spans="1:20" x14ac:dyDescent="0.3">
      <c r="A820" s="26" t="str">
        <f>IF(BASE_CAIXA!A817="","",BASE_CAIXA!A817)</f>
        <v/>
      </c>
      <c r="B820" s="26" t="str">
        <f>IF(A820="","",BASE_CAIXA!AL817)</f>
        <v/>
      </c>
      <c r="C820" s="26" t="str">
        <f>IF(A820="","",BASE_CAIXA!AJ817)</f>
        <v/>
      </c>
      <c r="D820" s="26" t="str">
        <f>IF(A820="","",IF(BASE_CAIXA!C817="Entrada","Crédito","Débito"))</f>
        <v/>
      </c>
      <c r="E820" s="26" t="str">
        <f>IF(A820="","",BASE_CAIXA!AA817)</f>
        <v/>
      </c>
      <c r="F820" s="26" t="str">
        <f>IF(A820="","",BASE_CAIXA!N817)</f>
        <v/>
      </c>
      <c r="G820" s="26" t="str">
        <f>IF(A820="","",BASE_CAIXA!O817)</f>
        <v/>
      </c>
      <c r="H820" s="26" t="str">
        <f>IF(A820="","",BASE_CAIXA!P817)</f>
        <v/>
      </c>
      <c r="I820" s="26" t="str">
        <f>IF(A820="","",IF(BASE_CAIXA!H817&lt;&gt;"",BASE_CAIXA!H817,BASE_CAIXA!G817))</f>
        <v/>
      </c>
      <c r="J820" s="26" t="str">
        <f>IF(A820="","",BASE_CAIXA!G817)</f>
        <v/>
      </c>
      <c r="K820" s="26" t="str">
        <f>IF(A820="","",BASE_CAIXA!I817)</f>
        <v/>
      </c>
      <c r="L820" s="26" t="str">
        <f>IF(A820="","",BASE_CAIXA!J817)</f>
        <v/>
      </c>
      <c r="M820" s="26" t="str">
        <f>IF(A820="","",BASE_CAIXA!AM817)</f>
        <v/>
      </c>
      <c r="N820" s="26" t="str">
        <f t="shared" ca="1" si="36"/>
        <v/>
      </c>
      <c r="O820" s="26" t="str">
        <f>IFERROR(INDEX(EXTRATO_IMPORTADO!$A$5:$A$404,MATCH(B820,EXTRATO_IMPORTADO!$I$5:$I$404,0)),"")</f>
        <v/>
      </c>
      <c r="P820" s="26" t="str">
        <f>IFERROR(INDEX(EXTRATO_IMPORTADO!$F$5:$F$404,MATCH(B820,EXTRATO_IMPORTADO!$I$5:$I$404,0)),"")</f>
        <v/>
      </c>
      <c r="Q820" s="26" t="str">
        <f>IFERROR(INDEX(EXTRATO_IMPORTADO!$B$5:$B$404,MATCH(B820,EXTRATO_IMPORTADO!$I$5:$I$404,0)),"")</f>
        <v/>
      </c>
      <c r="R820" s="26" t="str">
        <f>IFERROR(MATCH(B820,EXTRATO_IMPORTADO!$I$5:$I$404,0),"")</f>
        <v/>
      </c>
      <c r="S820" s="26" t="str">
        <f t="shared" si="37"/>
        <v/>
      </c>
      <c r="T820" s="26" t="str">
        <f t="shared" si="38"/>
        <v/>
      </c>
    </row>
    <row r="821" spans="1:20" x14ac:dyDescent="0.3">
      <c r="A821" s="26" t="str">
        <f>IF(BASE_CAIXA!A818="","",BASE_CAIXA!A818)</f>
        <v/>
      </c>
      <c r="B821" s="26" t="str">
        <f>IF(A821="","",BASE_CAIXA!AL818)</f>
        <v/>
      </c>
      <c r="C821" s="26" t="str">
        <f>IF(A821="","",BASE_CAIXA!AJ818)</f>
        <v/>
      </c>
      <c r="D821" s="26" t="str">
        <f>IF(A821="","",IF(BASE_CAIXA!C818="Entrada","Crédito","Débito"))</f>
        <v/>
      </c>
      <c r="E821" s="26" t="str">
        <f>IF(A821="","",BASE_CAIXA!AA818)</f>
        <v/>
      </c>
      <c r="F821" s="26" t="str">
        <f>IF(A821="","",BASE_CAIXA!N818)</f>
        <v/>
      </c>
      <c r="G821" s="26" t="str">
        <f>IF(A821="","",BASE_CAIXA!O818)</f>
        <v/>
      </c>
      <c r="H821" s="26" t="str">
        <f>IF(A821="","",BASE_CAIXA!P818)</f>
        <v/>
      </c>
      <c r="I821" s="26" t="str">
        <f>IF(A821="","",IF(BASE_CAIXA!H818&lt;&gt;"",BASE_CAIXA!H818,BASE_CAIXA!G818))</f>
        <v/>
      </c>
      <c r="J821" s="26" t="str">
        <f>IF(A821="","",BASE_CAIXA!G818)</f>
        <v/>
      </c>
      <c r="K821" s="26" t="str">
        <f>IF(A821="","",BASE_CAIXA!I818)</f>
        <v/>
      </c>
      <c r="L821" s="26" t="str">
        <f>IF(A821="","",BASE_CAIXA!J818)</f>
        <v/>
      </c>
      <c r="M821" s="26" t="str">
        <f>IF(A821="","",BASE_CAIXA!AM818)</f>
        <v/>
      </c>
      <c r="N821" s="26" t="str">
        <f t="shared" ca="1" si="36"/>
        <v/>
      </c>
      <c r="O821" s="26" t="str">
        <f>IFERROR(INDEX(EXTRATO_IMPORTADO!$A$5:$A$404,MATCH(B821,EXTRATO_IMPORTADO!$I$5:$I$404,0)),"")</f>
        <v/>
      </c>
      <c r="P821" s="26" t="str">
        <f>IFERROR(INDEX(EXTRATO_IMPORTADO!$F$5:$F$404,MATCH(B821,EXTRATO_IMPORTADO!$I$5:$I$404,0)),"")</f>
        <v/>
      </c>
      <c r="Q821" s="26" t="str">
        <f>IFERROR(INDEX(EXTRATO_IMPORTADO!$B$5:$B$404,MATCH(B821,EXTRATO_IMPORTADO!$I$5:$I$404,0)),"")</f>
        <v/>
      </c>
      <c r="R821" s="26" t="str">
        <f>IFERROR(MATCH(B821,EXTRATO_IMPORTADO!$I$5:$I$404,0),"")</f>
        <v/>
      </c>
      <c r="S821" s="26" t="str">
        <f t="shared" si="37"/>
        <v/>
      </c>
      <c r="T821" s="26" t="str">
        <f t="shared" si="38"/>
        <v/>
      </c>
    </row>
    <row r="822" spans="1:20" x14ac:dyDescent="0.3">
      <c r="A822" s="26" t="str">
        <f>IF(BASE_CAIXA!A819="","",BASE_CAIXA!A819)</f>
        <v/>
      </c>
      <c r="B822" s="26" t="str">
        <f>IF(A822="","",BASE_CAIXA!AL819)</f>
        <v/>
      </c>
      <c r="C822" s="26" t="str">
        <f>IF(A822="","",BASE_CAIXA!AJ819)</f>
        <v/>
      </c>
      <c r="D822" s="26" t="str">
        <f>IF(A822="","",IF(BASE_CAIXA!C819="Entrada","Crédito","Débito"))</f>
        <v/>
      </c>
      <c r="E822" s="26" t="str">
        <f>IF(A822="","",BASE_CAIXA!AA819)</f>
        <v/>
      </c>
      <c r="F822" s="26" t="str">
        <f>IF(A822="","",BASE_CAIXA!N819)</f>
        <v/>
      </c>
      <c r="G822" s="26" t="str">
        <f>IF(A822="","",BASE_CAIXA!O819)</f>
        <v/>
      </c>
      <c r="H822" s="26" t="str">
        <f>IF(A822="","",BASE_CAIXA!P819)</f>
        <v/>
      </c>
      <c r="I822" s="26" t="str">
        <f>IF(A822="","",IF(BASE_CAIXA!H819&lt;&gt;"",BASE_CAIXA!H819,BASE_CAIXA!G819))</f>
        <v/>
      </c>
      <c r="J822" s="26" t="str">
        <f>IF(A822="","",BASE_CAIXA!G819)</f>
        <v/>
      </c>
      <c r="K822" s="26" t="str">
        <f>IF(A822="","",BASE_CAIXA!I819)</f>
        <v/>
      </c>
      <c r="L822" s="26" t="str">
        <f>IF(A822="","",BASE_CAIXA!J819)</f>
        <v/>
      </c>
      <c r="M822" s="26" t="str">
        <f>IF(A822="","",BASE_CAIXA!AM819)</f>
        <v/>
      </c>
      <c r="N822" s="26" t="str">
        <f t="shared" ca="1" si="36"/>
        <v/>
      </c>
      <c r="O822" s="26" t="str">
        <f>IFERROR(INDEX(EXTRATO_IMPORTADO!$A$5:$A$404,MATCH(B822,EXTRATO_IMPORTADO!$I$5:$I$404,0)),"")</f>
        <v/>
      </c>
      <c r="P822" s="26" t="str">
        <f>IFERROR(INDEX(EXTRATO_IMPORTADO!$F$5:$F$404,MATCH(B822,EXTRATO_IMPORTADO!$I$5:$I$404,0)),"")</f>
        <v/>
      </c>
      <c r="Q822" s="26" t="str">
        <f>IFERROR(INDEX(EXTRATO_IMPORTADO!$B$5:$B$404,MATCH(B822,EXTRATO_IMPORTADO!$I$5:$I$404,0)),"")</f>
        <v/>
      </c>
      <c r="R822" s="26" t="str">
        <f>IFERROR(MATCH(B822,EXTRATO_IMPORTADO!$I$5:$I$404,0),"")</f>
        <v/>
      </c>
      <c r="S822" s="26" t="str">
        <f t="shared" si="37"/>
        <v/>
      </c>
      <c r="T822" s="26" t="str">
        <f t="shared" si="38"/>
        <v/>
      </c>
    </row>
    <row r="823" spans="1:20" x14ac:dyDescent="0.3">
      <c r="A823" s="26" t="str">
        <f>IF(BASE_CAIXA!A820="","",BASE_CAIXA!A820)</f>
        <v/>
      </c>
      <c r="B823" s="26" t="str">
        <f>IF(A823="","",BASE_CAIXA!AL820)</f>
        <v/>
      </c>
      <c r="C823" s="26" t="str">
        <f>IF(A823="","",BASE_CAIXA!AJ820)</f>
        <v/>
      </c>
      <c r="D823" s="26" t="str">
        <f>IF(A823="","",IF(BASE_CAIXA!C820="Entrada","Crédito","Débito"))</f>
        <v/>
      </c>
      <c r="E823" s="26" t="str">
        <f>IF(A823="","",BASE_CAIXA!AA820)</f>
        <v/>
      </c>
      <c r="F823" s="26" t="str">
        <f>IF(A823="","",BASE_CAIXA!N820)</f>
        <v/>
      </c>
      <c r="G823" s="26" t="str">
        <f>IF(A823="","",BASE_CAIXA!O820)</f>
        <v/>
      </c>
      <c r="H823" s="26" t="str">
        <f>IF(A823="","",BASE_CAIXA!P820)</f>
        <v/>
      </c>
      <c r="I823" s="26" t="str">
        <f>IF(A823="","",IF(BASE_CAIXA!H820&lt;&gt;"",BASE_CAIXA!H820,BASE_CAIXA!G820))</f>
        <v/>
      </c>
      <c r="J823" s="26" t="str">
        <f>IF(A823="","",BASE_CAIXA!G820)</f>
        <v/>
      </c>
      <c r="K823" s="26" t="str">
        <f>IF(A823="","",BASE_CAIXA!I820)</f>
        <v/>
      </c>
      <c r="L823" s="26" t="str">
        <f>IF(A823="","",BASE_CAIXA!J820)</f>
        <v/>
      </c>
      <c r="M823" s="26" t="str">
        <f>IF(A823="","",BASE_CAIXA!AM820)</f>
        <v/>
      </c>
      <c r="N823" s="26" t="str">
        <f t="shared" ca="1" si="36"/>
        <v/>
      </c>
      <c r="O823" s="26" t="str">
        <f>IFERROR(INDEX(EXTRATO_IMPORTADO!$A$5:$A$404,MATCH(B823,EXTRATO_IMPORTADO!$I$5:$I$404,0)),"")</f>
        <v/>
      </c>
      <c r="P823" s="26" t="str">
        <f>IFERROR(INDEX(EXTRATO_IMPORTADO!$F$5:$F$404,MATCH(B823,EXTRATO_IMPORTADO!$I$5:$I$404,0)),"")</f>
        <v/>
      </c>
      <c r="Q823" s="26" t="str">
        <f>IFERROR(INDEX(EXTRATO_IMPORTADO!$B$5:$B$404,MATCH(B823,EXTRATO_IMPORTADO!$I$5:$I$404,0)),"")</f>
        <v/>
      </c>
      <c r="R823" s="26" t="str">
        <f>IFERROR(MATCH(B823,EXTRATO_IMPORTADO!$I$5:$I$404,0),"")</f>
        <v/>
      </c>
      <c r="S823" s="26" t="str">
        <f t="shared" si="37"/>
        <v/>
      </c>
      <c r="T823" s="26" t="str">
        <f t="shared" si="38"/>
        <v/>
      </c>
    </row>
    <row r="824" spans="1:20" x14ac:dyDescent="0.3">
      <c r="A824" s="26" t="str">
        <f>IF(BASE_CAIXA!A821="","",BASE_CAIXA!A821)</f>
        <v/>
      </c>
      <c r="B824" s="26" t="str">
        <f>IF(A824="","",BASE_CAIXA!AL821)</f>
        <v/>
      </c>
      <c r="C824" s="26" t="str">
        <f>IF(A824="","",BASE_CAIXA!AJ821)</f>
        <v/>
      </c>
      <c r="D824" s="26" t="str">
        <f>IF(A824="","",IF(BASE_CAIXA!C821="Entrada","Crédito","Débito"))</f>
        <v/>
      </c>
      <c r="E824" s="26" t="str">
        <f>IF(A824="","",BASE_CAIXA!AA821)</f>
        <v/>
      </c>
      <c r="F824" s="26" t="str">
        <f>IF(A824="","",BASE_CAIXA!N821)</f>
        <v/>
      </c>
      <c r="G824" s="26" t="str">
        <f>IF(A824="","",BASE_CAIXA!O821)</f>
        <v/>
      </c>
      <c r="H824" s="26" t="str">
        <f>IF(A824="","",BASE_CAIXA!P821)</f>
        <v/>
      </c>
      <c r="I824" s="26" t="str">
        <f>IF(A824="","",IF(BASE_CAIXA!H821&lt;&gt;"",BASE_CAIXA!H821,BASE_CAIXA!G821))</f>
        <v/>
      </c>
      <c r="J824" s="26" t="str">
        <f>IF(A824="","",BASE_CAIXA!G821)</f>
        <v/>
      </c>
      <c r="K824" s="26" t="str">
        <f>IF(A824="","",BASE_CAIXA!I821)</f>
        <v/>
      </c>
      <c r="L824" s="26" t="str">
        <f>IF(A824="","",BASE_CAIXA!J821)</f>
        <v/>
      </c>
      <c r="M824" s="26" t="str">
        <f>IF(A824="","",BASE_CAIXA!AM821)</f>
        <v/>
      </c>
      <c r="N824" s="26" t="str">
        <f t="shared" ca="1" si="36"/>
        <v/>
      </c>
      <c r="O824" s="26" t="str">
        <f>IFERROR(INDEX(EXTRATO_IMPORTADO!$A$5:$A$404,MATCH(B824,EXTRATO_IMPORTADO!$I$5:$I$404,0)),"")</f>
        <v/>
      </c>
      <c r="P824" s="26" t="str">
        <f>IFERROR(INDEX(EXTRATO_IMPORTADO!$F$5:$F$404,MATCH(B824,EXTRATO_IMPORTADO!$I$5:$I$404,0)),"")</f>
        <v/>
      </c>
      <c r="Q824" s="26" t="str">
        <f>IFERROR(INDEX(EXTRATO_IMPORTADO!$B$5:$B$404,MATCH(B824,EXTRATO_IMPORTADO!$I$5:$I$404,0)),"")</f>
        <v/>
      </c>
      <c r="R824" s="26" t="str">
        <f>IFERROR(MATCH(B824,EXTRATO_IMPORTADO!$I$5:$I$404,0),"")</f>
        <v/>
      </c>
      <c r="S824" s="26" t="str">
        <f t="shared" si="37"/>
        <v/>
      </c>
      <c r="T824" s="26" t="str">
        <f t="shared" si="38"/>
        <v/>
      </c>
    </row>
    <row r="825" spans="1:20" x14ac:dyDescent="0.3">
      <c r="A825" s="26" t="str">
        <f>IF(BASE_CAIXA!A822="","",BASE_CAIXA!A822)</f>
        <v/>
      </c>
      <c r="B825" s="26" t="str">
        <f>IF(A825="","",BASE_CAIXA!AL822)</f>
        <v/>
      </c>
      <c r="C825" s="26" t="str">
        <f>IF(A825="","",BASE_CAIXA!AJ822)</f>
        <v/>
      </c>
      <c r="D825" s="26" t="str">
        <f>IF(A825="","",IF(BASE_CAIXA!C822="Entrada","Crédito","Débito"))</f>
        <v/>
      </c>
      <c r="E825" s="26" t="str">
        <f>IF(A825="","",BASE_CAIXA!AA822)</f>
        <v/>
      </c>
      <c r="F825" s="26" t="str">
        <f>IF(A825="","",BASE_CAIXA!N822)</f>
        <v/>
      </c>
      <c r="G825" s="26" t="str">
        <f>IF(A825="","",BASE_CAIXA!O822)</f>
        <v/>
      </c>
      <c r="H825" s="26" t="str">
        <f>IF(A825="","",BASE_CAIXA!P822)</f>
        <v/>
      </c>
      <c r="I825" s="26" t="str">
        <f>IF(A825="","",IF(BASE_CAIXA!H822&lt;&gt;"",BASE_CAIXA!H822,BASE_CAIXA!G822))</f>
        <v/>
      </c>
      <c r="J825" s="26" t="str">
        <f>IF(A825="","",BASE_CAIXA!G822)</f>
        <v/>
      </c>
      <c r="K825" s="26" t="str">
        <f>IF(A825="","",BASE_CAIXA!I822)</f>
        <v/>
      </c>
      <c r="L825" s="26" t="str">
        <f>IF(A825="","",BASE_CAIXA!J822)</f>
        <v/>
      </c>
      <c r="M825" s="26" t="str">
        <f>IF(A825="","",BASE_CAIXA!AM822)</f>
        <v/>
      </c>
      <c r="N825" s="26" t="str">
        <f t="shared" ca="1" si="36"/>
        <v/>
      </c>
      <c r="O825" s="26" t="str">
        <f>IFERROR(INDEX(EXTRATO_IMPORTADO!$A$5:$A$404,MATCH(B825,EXTRATO_IMPORTADO!$I$5:$I$404,0)),"")</f>
        <v/>
      </c>
      <c r="P825" s="26" t="str">
        <f>IFERROR(INDEX(EXTRATO_IMPORTADO!$F$5:$F$404,MATCH(B825,EXTRATO_IMPORTADO!$I$5:$I$404,0)),"")</f>
        <v/>
      </c>
      <c r="Q825" s="26" t="str">
        <f>IFERROR(INDEX(EXTRATO_IMPORTADO!$B$5:$B$404,MATCH(B825,EXTRATO_IMPORTADO!$I$5:$I$404,0)),"")</f>
        <v/>
      </c>
      <c r="R825" s="26" t="str">
        <f>IFERROR(MATCH(B825,EXTRATO_IMPORTADO!$I$5:$I$404,0),"")</f>
        <v/>
      </c>
      <c r="S825" s="26" t="str">
        <f t="shared" si="37"/>
        <v/>
      </c>
      <c r="T825" s="26" t="str">
        <f t="shared" si="38"/>
        <v/>
      </c>
    </row>
    <row r="826" spans="1:20" x14ac:dyDescent="0.3">
      <c r="A826" s="26" t="str">
        <f>IF(BASE_CAIXA!A823="","",BASE_CAIXA!A823)</f>
        <v/>
      </c>
      <c r="B826" s="26" t="str">
        <f>IF(A826="","",BASE_CAIXA!AL823)</f>
        <v/>
      </c>
      <c r="C826" s="26" t="str">
        <f>IF(A826="","",BASE_CAIXA!AJ823)</f>
        <v/>
      </c>
      <c r="D826" s="26" t="str">
        <f>IF(A826="","",IF(BASE_CAIXA!C823="Entrada","Crédito","Débito"))</f>
        <v/>
      </c>
      <c r="E826" s="26" t="str">
        <f>IF(A826="","",BASE_CAIXA!AA823)</f>
        <v/>
      </c>
      <c r="F826" s="26" t="str">
        <f>IF(A826="","",BASE_CAIXA!N823)</f>
        <v/>
      </c>
      <c r="G826" s="26" t="str">
        <f>IF(A826="","",BASE_CAIXA!O823)</f>
        <v/>
      </c>
      <c r="H826" s="26" t="str">
        <f>IF(A826="","",BASE_CAIXA!P823)</f>
        <v/>
      </c>
      <c r="I826" s="26" t="str">
        <f>IF(A826="","",IF(BASE_CAIXA!H823&lt;&gt;"",BASE_CAIXA!H823,BASE_CAIXA!G823))</f>
        <v/>
      </c>
      <c r="J826" s="26" t="str">
        <f>IF(A826="","",BASE_CAIXA!G823)</f>
        <v/>
      </c>
      <c r="K826" s="26" t="str">
        <f>IF(A826="","",BASE_CAIXA!I823)</f>
        <v/>
      </c>
      <c r="L826" s="26" t="str">
        <f>IF(A826="","",BASE_CAIXA!J823)</f>
        <v/>
      </c>
      <c r="M826" s="26" t="str">
        <f>IF(A826="","",BASE_CAIXA!AM823)</f>
        <v/>
      </c>
      <c r="N826" s="26" t="str">
        <f t="shared" ca="1" si="36"/>
        <v/>
      </c>
      <c r="O826" s="26" t="str">
        <f>IFERROR(INDEX(EXTRATO_IMPORTADO!$A$5:$A$404,MATCH(B826,EXTRATO_IMPORTADO!$I$5:$I$404,0)),"")</f>
        <v/>
      </c>
      <c r="P826" s="26" t="str">
        <f>IFERROR(INDEX(EXTRATO_IMPORTADO!$F$5:$F$404,MATCH(B826,EXTRATO_IMPORTADO!$I$5:$I$404,0)),"")</f>
        <v/>
      </c>
      <c r="Q826" s="26" t="str">
        <f>IFERROR(INDEX(EXTRATO_IMPORTADO!$B$5:$B$404,MATCH(B826,EXTRATO_IMPORTADO!$I$5:$I$404,0)),"")</f>
        <v/>
      </c>
      <c r="R826" s="26" t="str">
        <f>IFERROR(MATCH(B826,EXTRATO_IMPORTADO!$I$5:$I$404,0),"")</f>
        <v/>
      </c>
      <c r="S826" s="26" t="str">
        <f t="shared" si="37"/>
        <v/>
      </c>
      <c r="T826" s="26" t="str">
        <f t="shared" si="38"/>
        <v/>
      </c>
    </row>
    <row r="827" spans="1:20" x14ac:dyDescent="0.3">
      <c r="A827" s="26" t="str">
        <f>IF(BASE_CAIXA!A824="","",BASE_CAIXA!A824)</f>
        <v/>
      </c>
      <c r="B827" s="26" t="str">
        <f>IF(A827="","",BASE_CAIXA!AL824)</f>
        <v/>
      </c>
      <c r="C827" s="26" t="str">
        <f>IF(A827="","",BASE_CAIXA!AJ824)</f>
        <v/>
      </c>
      <c r="D827" s="26" t="str">
        <f>IF(A827="","",IF(BASE_CAIXA!C824="Entrada","Crédito","Débito"))</f>
        <v/>
      </c>
      <c r="E827" s="26" t="str">
        <f>IF(A827="","",BASE_CAIXA!AA824)</f>
        <v/>
      </c>
      <c r="F827" s="26" t="str">
        <f>IF(A827="","",BASE_CAIXA!N824)</f>
        <v/>
      </c>
      <c r="G827" s="26" t="str">
        <f>IF(A827="","",BASE_CAIXA!O824)</f>
        <v/>
      </c>
      <c r="H827" s="26" t="str">
        <f>IF(A827="","",BASE_CAIXA!P824)</f>
        <v/>
      </c>
      <c r="I827" s="26" t="str">
        <f>IF(A827="","",IF(BASE_CAIXA!H824&lt;&gt;"",BASE_CAIXA!H824,BASE_CAIXA!G824))</f>
        <v/>
      </c>
      <c r="J827" s="26" t="str">
        <f>IF(A827="","",BASE_CAIXA!G824)</f>
        <v/>
      </c>
      <c r="K827" s="26" t="str">
        <f>IF(A827="","",BASE_CAIXA!I824)</f>
        <v/>
      </c>
      <c r="L827" s="26" t="str">
        <f>IF(A827="","",BASE_CAIXA!J824)</f>
        <v/>
      </c>
      <c r="M827" s="26" t="str">
        <f>IF(A827="","",BASE_CAIXA!AM824)</f>
        <v/>
      </c>
      <c r="N827" s="26" t="str">
        <f t="shared" ca="1" si="36"/>
        <v/>
      </c>
      <c r="O827" s="26" t="str">
        <f>IFERROR(INDEX(EXTRATO_IMPORTADO!$A$5:$A$404,MATCH(B827,EXTRATO_IMPORTADO!$I$5:$I$404,0)),"")</f>
        <v/>
      </c>
      <c r="P827" s="26" t="str">
        <f>IFERROR(INDEX(EXTRATO_IMPORTADO!$F$5:$F$404,MATCH(B827,EXTRATO_IMPORTADO!$I$5:$I$404,0)),"")</f>
        <v/>
      </c>
      <c r="Q827" s="26" t="str">
        <f>IFERROR(INDEX(EXTRATO_IMPORTADO!$B$5:$B$404,MATCH(B827,EXTRATO_IMPORTADO!$I$5:$I$404,0)),"")</f>
        <v/>
      </c>
      <c r="R827" s="26" t="str">
        <f>IFERROR(MATCH(B827,EXTRATO_IMPORTADO!$I$5:$I$404,0),"")</f>
        <v/>
      </c>
      <c r="S827" s="26" t="str">
        <f t="shared" si="37"/>
        <v/>
      </c>
      <c r="T827" s="26" t="str">
        <f t="shared" si="38"/>
        <v/>
      </c>
    </row>
    <row r="828" spans="1:20" x14ac:dyDescent="0.3">
      <c r="A828" s="26" t="str">
        <f>IF(BASE_CAIXA!A825="","",BASE_CAIXA!A825)</f>
        <v/>
      </c>
      <c r="B828" s="26" t="str">
        <f>IF(A828="","",BASE_CAIXA!AL825)</f>
        <v/>
      </c>
      <c r="C828" s="26" t="str">
        <f>IF(A828="","",BASE_CAIXA!AJ825)</f>
        <v/>
      </c>
      <c r="D828" s="26" t="str">
        <f>IF(A828="","",IF(BASE_CAIXA!C825="Entrada","Crédito","Débito"))</f>
        <v/>
      </c>
      <c r="E828" s="26" t="str">
        <f>IF(A828="","",BASE_CAIXA!AA825)</f>
        <v/>
      </c>
      <c r="F828" s="26" t="str">
        <f>IF(A828="","",BASE_CAIXA!N825)</f>
        <v/>
      </c>
      <c r="G828" s="26" t="str">
        <f>IF(A828="","",BASE_CAIXA!O825)</f>
        <v/>
      </c>
      <c r="H828" s="26" t="str">
        <f>IF(A828="","",BASE_CAIXA!P825)</f>
        <v/>
      </c>
      <c r="I828" s="26" t="str">
        <f>IF(A828="","",IF(BASE_CAIXA!H825&lt;&gt;"",BASE_CAIXA!H825,BASE_CAIXA!G825))</f>
        <v/>
      </c>
      <c r="J828" s="26" t="str">
        <f>IF(A828="","",BASE_CAIXA!G825)</f>
        <v/>
      </c>
      <c r="K828" s="26" t="str">
        <f>IF(A828="","",BASE_CAIXA!I825)</f>
        <v/>
      </c>
      <c r="L828" s="26" t="str">
        <f>IF(A828="","",BASE_CAIXA!J825)</f>
        <v/>
      </c>
      <c r="M828" s="26" t="str">
        <f>IF(A828="","",BASE_CAIXA!AM825)</f>
        <v/>
      </c>
      <c r="N828" s="26" t="str">
        <f t="shared" ca="1" si="36"/>
        <v/>
      </c>
      <c r="O828" s="26" t="str">
        <f>IFERROR(INDEX(EXTRATO_IMPORTADO!$A$5:$A$404,MATCH(B828,EXTRATO_IMPORTADO!$I$5:$I$404,0)),"")</f>
        <v/>
      </c>
      <c r="P828" s="26" t="str">
        <f>IFERROR(INDEX(EXTRATO_IMPORTADO!$F$5:$F$404,MATCH(B828,EXTRATO_IMPORTADO!$I$5:$I$404,0)),"")</f>
        <v/>
      </c>
      <c r="Q828" s="26" t="str">
        <f>IFERROR(INDEX(EXTRATO_IMPORTADO!$B$5:$B$404,MATCH(B828,EXTRATO_IMPORTADO!$I$5:$I$404,0)),"")</f>
        <v/>
      </c>
      <c r="R828" s="26" t="str">
        <f>IFERROR(MATCH(B828,EXTRATO_IMPORTADO!$I$5:$I$404,0),"")</f>
        <v/>
      </c>
      <c r="S828" s="26" t="str">
        <f t="shared" si="37"/>
        <v/>
      </c>
      <c r="T828" s="26" t="str">
        <f t="shared" si="38"/>
        <v/>
      </c>
    </row>
    <row r="829" spans="1:20" x14ac:dyDescent="0.3">
      <c r="A829" s="26" t="str">
        <f>IF(BASE_CAIXA!A826="","",BASE_CAIXA!A826)</f>
        <v/>
      </c>
      <c r="B829" s="26" t="str">
        <f>IF(A829="","",BASE_CAIXA!AL826)</f>
        <v/>
      </c>
      <c r="C829" s="26" t="str">
        <f>IF(A829="","",BASE_CAIXA!AJ826)</f>
        <v/>
      </c>
      <c r="D829" s="26" t="str">
        <f>IF(A829="","",IF(BASE_CAIXA!C826="Entrada","Crédito","Débito"))</f>
        <v/>
      </c>
      <c r="E829" s="26" t="str">
        <f>IF(A829="","",BASE_CAIXA!AA826)</f>
        <v/>
      </c>
      <c r="F829" s="26" t="str">
        <f>IF(A829="","",BASE_CAIXA!N826)</f>
        <v/>
      </c>
      <c r="G829" s="26" t="str">
        <f>IF(A829="","",BASE_CAIXA!O826)</f>
        <v/>
      </c>
      <c r="H829" s="26" t="str">
        <f>IF(A829="","",BASE_CAIXA!P826)</f>
        <v/>
      </c>
      <c r="I829" s="26" t="str">
        <f>IF(A829="","",IF(BASE_CAIXA!H826&lt;&gt;"",BASE_CAIXA!H826,BASE_CAIXA!G826))</f>
        <v/>
      </c>
      <c r="J829" s="26" t="str">
        <f>IF(A829="","",BASE_CAIXA!G826)</f>
        <v/>
      </c>
      <c r="K829" s="26" t="str">
        <f>IF(A829="","",BASE_CAIXA!I826)</f>
        <v/>
      </c>
      <c r="L829" s="26" t="str">
        <f>IF(A829="","",BASE_CAIXA!J826)</f>
        <v/>
      </c>
      <c r="M829" s="26" t="str">
        <f>IF(A829="","",BASE_CAIXA!AM826)</f>
        <v/>
      </c>
      <c r="N829" s="26" t="str">
        <f t="shared" ca="1" si="36"/>
        <v/>
      </c>
      <c r="O829" s="26" t="str">
        <f>IFERROR(INDEX(EXTRATO_IMPORTADO!$A$5:$A$404,MATCH(B829,EXTRATO_IMPORTADO!$I$5:$I$404,0)),"")</f>
        <v/>
      </c>
      <c r="P829" s="26" t="str">
        <f>IFERROR(INDEX(EXTRATO_IMPORTADO!$F$5:$F$404,MATCH(B829,EXTRATO_IMPORTADO!$I$5:$I$404,0)),"")</f>
        <v/>
      </c>
      <c r="Q829" s="26" t="str">
        <f>IFERROR(INDEX(EXTRATO_IMPORTADO!$B$5:$B$404,MATCH(B829,EXTRATO_IMPORTADO!$I$5:$I$404,0)),"")</f>
        <v/>
      </c>
      <c r="R829" s="26" t="str">
        <f>IFERROR(MATCH(B829,EXTRATO_IMPORTADO!$I$5:$I$404,0),"")</f>
        <v/>
      </c>
      <c r="S829" s="26" t="str">
        <f t="shared" si="37"/>
        <v/>
      </c>
      <c r="T829" s="26" t="str">
        <f t="shared" si="38"/>
        <v/>
      </c>
    </row>
    <row r="830" spans="1:20" x14ac:dyDescent="0.3">
      <c r="A830" s="26" t="str">
        <f>IF(BASE_CAIXA!A827="","",BASE_CAIXA!A827)</f>
        <v/>
      </c>
      <c r="B830" s="26" t="str">
        <f>IF(A830="","",BASE_CAIXA!AL827)</f>
        <v/>
      </c>
      <c r="C830" s="26" t="str">
        <f>IF(A830="","",BASE_CAIXA!AJ827)</f>
        <v/>
      </c>
      <c r="D830" s="26" t="str">
        <f>IF(A830="","",IF(BASE_CAIXA!C827="Entrada","Crédito","Débito"))</f>
        <v/>
      </c>
      <c r="E830" s="26" t="str">
        <f>IF(A830="","",BASE_CAIXA!AA827)</f>
        <v/>
      </c>
      <c r="F830" s="26" t="str">
        <f>IF(A830="","",BASE_CAIXA!N827)</f>
        <v/>
      </c>
      <c r="G830" s="26" t="str">
        <f>IF(A830="","",BASE_CAIXA!O827)</f>
        <v/>
      </c>
      <c r="H830" s="26" t="str">
        <f>IF(A830="","",BASE_CAIXA!P827)</f>
        <v/>
      </c>
      <c r="I830" s="26" t="str">
        <f>IF(A830="","",IF(BASE_CAIXA!H827&lt;&gt;"",BASE_CAIXA!H827,BASE_CAIXA!G827))</f>
        <v/>
      </c>
      <c r="J830" s="26" t="str">
        <f>IF(A830="","",BASE_CAIXA!G827)</f>
        <v/>
      </c>
      <c r="K830" s="26" t="str">
        <f>IF(A830="","",BASE_CAIXA!I827)</f>
        <v/>
      </c>
      <c r="L830" s="26" t="str">
        <f>IF(A830="","",BASE_CAIXA!J827)</f>
        <v/>
      </c>
      <c r="M830" s="26" t="str">
        <f>IF(A830="","",BASE_CAIXA!AM827)</f>
        <v/>
      </c>
      <c r="N830" s="26" t="str">
        <f t="shared" ca="1" si="36"/>
        <v/>
      </c>
      <c r="O830" s="26" t="str">
        <f>IFERROR(INDEX(EXTRATO_IMPORTADO!$A$5:$A$404,MATCH(B830,EXTRATO_IMPORTADO!$I$5:$I$404,0)),"")</f>
        <v/>
      </c>
      <c r="P830" s="26" t="str">
        <f>IFERROR(INDEX(EXTRATO_IMPORTADO!$F$5:$F$404,MATCH(B830,EXTRATO_IMPORTADO!$I$5:$I$404,0)),"")</f>
        <v/>
      </c>
      <c r="Q830" s="26" t="str">
        <f>IFERROR(INDEX(EXTRATO_IMPORTADO!$B$5:$B$404,MATCH(B830,EXTRATO_IMPORTADO!$I$5:$I$404,0)),"")</f>
        <v/>
      </c>
      <c r="R830" s="26" t="str">
        <f>IFERROR(MATCH(B830,EXTRATO_IMPORTADO!$I$5:$I$404,0),"")</f>
        <v/>
      </c>
      <c r="S830" s="26" t="str">
        <f t="shared" si="37"/>
        <v/>
      </c>
      <c r="T830" s="26" t="str">
        <f t="shared" si="38"/>
        <v/>
      </c>
    </row>
    <row r="831" spans="1:20" x14ac:dyDescent="0.3">
      <c r="A831" s="26" t="str">
        <f>IF(BASE_CAIXA!A828="","",BASE_CAIXA!A828)</f>
        <v/>
      </c>
      <c r="B831" s="26" t="str">
        <f>IF(A831="","",BASE_CAIXA!AL828)</f>
        <v/>
      </c>
      <c r="C831" s="26" t="str">
        <f>IF(A831="","",BASE_CAIXA!AJ828)</f>
        <v/>
      </c>
      <c r="D831" s="26" t="str">
        <f>IF(A831="","",IF(BASE_CAIXA!C828="Entrada","Crédito","Débito"))</f>
        <v/>
      </c>
      <c r="E831" s="26" t="str">
        <f>IF(A831="","",BASE_CAIXA!AA828)</f>
        <v/>
      </c>
      <c r="F831" s="26" t="str">
        <f>IF(A831="","",BASE_CAIXA!N828)</f>
        <v/>
      </c>
      <c r="G831" s="26" t="str">
        <f>IF(A831="","",BASE_CAIXA!O828)</f>
        <v/>
      </c>
      <c r="H831" s="26" t="str">
        <f>IF(A831="","",BASE_CAIXA!P828)</f>
        <v/>
      </c>
      <c r="I831" s="26" t="str">
        <f>IF(A831="","",IF(BASE_CAIXA!H828&lt;&gt;"",BASE_CAIXA!H828,BASE_CAIXA!G828))</f>
        <v/>
      </c>
      <c r="J831" s="26" t="str">
        <f>IF(A831="","",BASE_CAIXA!G828)</f>
        <v/>
      </c>
      <c r="K831" s="26" t="str">
        <f>IF(A831="","",BASE_CAIXA!I828)</f>
        <v/>
      </c>
      <c r="L831" s="26" t="str">
        <f>IF(A831="","",BASE_CAIXA!J828)</f>
        <v/>
      </c>
      <c r="M831" s="26" t="str">
        <f>IF(A831="","",BASE_CAIXA!AM828)</f>
        <v/>
      </c>
      <c r="N831" s="26" t="str">
        <f t="shared" ca="1" si="36"/>
        <v/>
      </c>
      <c r="O831" s="26" t="str">
        <f>IFERROR(INDEX(EXTRATO_IMPORTADO!$A$5:$A$404,MATCH(B831,EXTRATO_IMPORTADO!$I$5:$I$404,0)),"")</f>
        <v/>
      </c>
      <c r="P831" s="26" t="str">
        <f>IFERROR(INDEX(EXTRATO_IMPORTADO!$F$5:$F$404,MATCH(B831,EXTRATO_IMPORTADO!$I$5:$I$404,0)),"")</f>
        <v/>
      </c>
      <c r="Q831" s="26" t="str">
        <f>IFERROR(INDEX(EXTRATO_IMPORTADO!$B$5:$B$404,MATCH(B831,EXTRATO_IMPORTADO!$I$5:$I$404,0)),"")</f>
        <v/>
      </c>
      <c r="R831" s="26" t="str">
        <f>IFERROR(MATCH(B831,EXTRATO_IMPORTADO!$I$5:$I$404,0),"")</f>
        <v/>
      </c>
      <c r="S831" s="26" t="str">
        <f t="shared" si="37"/>
        <v/>
      </c>
      <c r="T831" s="26" t="str">
        <f t="shared" si="38"/>
        <v/>
      </c>
    </row>
    <row r="832" spans="1:20" x14ac:dyDescent="0.3">
      <c r="A832" s="26" t="str">
        <f>IF(BASE_CAIXA!A829="","",BASE_CAIXA!A829)</f>
        <v/>
      </c>
      <c r="B832" s="26" t="str">
        <f>IF(A832="","",BASE_CAIXA!AL829)</f>
        <v/>
      </c>
      <c r="C832" s="26" t="str">
        <f>IF(A832="","",BASE_CAIXA!AJ829)</f>
        <v/>
      </c>
      <c r="D832" s="26" t="str">
        <f>IF(A832="","",IF(BASE_CAIXA!C829="Entrada","Crédito","Débito"))</f>
        <v/>
      </c>
      <c r="E832" s="26" t="str">
        <f>IF(A832="","",BASE_CAIXA!AA829)</f>
        <v/>
      </c>
      <c r="F832" s="26" t="str">
        <f>IF(A832="","",BASE_CAIXA!N829)</f>
        <v/>
      </c>
      <c r="G832" s="26" t="str">
        <f>IF(A832="","",BASE_CAIXA!O829)</f>
        <v/>
      </c>
      <c r="H832" s="26" t="str">
        <f>IF(A832="","",BASE_CAIXA!P829)</f>
        <v/>
      </c>
      <c r="I832" s="26" t="str">
        <f>IF(A832="","",IF(BASE_CAIXA!H829&lt;&gt;"",BASE_CAIXA!H829,BASE_CAIXA!G829))</f>
        <v/>
      </c>
      <c r="J832" s="26" t="str">
        <f>IF(A832="","",BASE_CAIXA!G829)</f>
        <v/>
      </c>
      <c r="K832" s="26" t="str">
        <f>IF(A832="","",BASE_CAIXA!I829)</f>
        <v/>
      </c>
      <c r="L832" s="26" t="str">
        <f>IF(A832="","",BASE_CAIXA!J829)</f>
        <v/>
      </c>
      <c r="M832" s="26" t="str">
        <f>IF(A832="","",BASE_CAIXA!AM829)</f>
        <v/>
      </c>
      <c r="N832" s="26" t="str">
        <f t="shared" ca="1" si="36"/>
        <v/>
      </c>
      <c r="O832" s="26" t="str">
        <f>IFERROR(INDEX(EXTRATO_IMPORTADO!$A$5:$A$404,MATCH(B832,EXTRATO_IMPORTADO!$I$5:$I$404,0)),"")</f>
        <v/>
      </c>
      <c r="P832" s="26" t="str">
        <f>IFERROR(INDEX(EXTRATO_IMPORTADO!$F$5:$F$404,MATCH(B832,EXTRATO_IMPORTADO!$I$5:$I$404,0)),"")</f>
        <v/>
      </c>
      <c r="Q832" s="26" t="str">
        <f>IFERROR(INDEX(EXTRATO_IMPORTADO!$B$5:$B$404,MATCH(B832,EXTRATO_IMPORTADO!$I$5:$I$404,0)),"")</f>
        <v/>
      </c>
      <c r="R832" s="26" t="str">
        <f>IFERROR(MATCH(B832,EXTRATO_IMPORTADO!$I$5:$I$404,0),"")</f>
        <v/>
      </c>
      <c r="S832" s="26" t="str">
        <f t="shared" si="37"/>
        <v/>
      </c>
      <c r="T832" s="26" t="str">
        <f t="shared" si="38"/>
        <v/>
      </c>
    </row>
    <row r="833" spans="1:20" x14ac:dyDescent="0.3">
      <c r="A833" s="26" t="str">
        <f>IF(BASE_CAIXA!A830="","",BASE_CAIXA!A830)</f>
        <v/>
      </c>
      <c r="B833" s="26" t="str">
        <f>IF(A833="","",BASE_CAIXA!AL830)</f>
        <v/>
      </c>
      <c r="C833" s="26" t="str">
        <f>IF(A833="","",BASE_CAIXA!AJ830)</f>
        <v/>
      </c>
      <c r="D833" s="26" t="str">
        <f>IF(A833="","",IF(BASE_CAIXA!C830="Entrada","Crédito","Débito"))</f>
        <v/>
      </c>
      <c r="E833" s="26" t="str">
        <f>IF(A833="","",BASE_CAIXA!AA830)</f>
        <v/>
      </c>
      <c r="F833" s="26" t="str">
        <f>IF(A833="","",BASE_CAIXA!N830)</f>
        <v/>
      </c>
      <c r="G833" s="26" t="str">
        <f>IF(A833="","",BASE_CAIXA!O830)</f>
        <v/>
      </c>
      <c r="H833" s="26" t="str">
        <f>IF(A833="","",BASE_CAIXA!P830)</f>
        <v/>
      </c>
      <c r="I833" s="26" t="str">
        <f>IF(A833="","",IF(BASE_CAIXA!H830&lt;&gt;"",BASE_CAIXA!H830,BASE_CAIXA!G830))</f>
        <v/>
      </c>
      <c r="J833" s="26" t="str">
        <f>IF(A833="","",BASE_CAIXA!G830)</f>
        <v/>
      </c>
      <c r="K833" s="26" t="str">
        <f>IF(A833="","",BASE_CAIXA!I830)</f>
        <v/>
      </c>
      <c r="L833" s="26" t="str">
        <f>IF(A833="","",BASE_CAIXA!J830)</f>
        <v/>
      </c>
      <c r="M833" s="26" t="str">
        <f>IF(A833="","",BASE_CAIXA!AM830)</f>
        <v/>
      </c>
      <c r="N833" s="26" t="str">
        <f t="shared" ca="1" si="36"/>
        <v/>
      </c>
      <c r="O833" s="26" t="str">
        <f>IFERROR(INDEX(EXTRATO_IMPORTADO!$A$5:$A$404,MATCH(B833,EXTRATO_IMPORTADO!$I$5:$I$404,0)),"")</f>
        <v/>
      </c>
      <c r="P833" s="26" t="str">
        <f>IFERROR(INDEX(EXTRATO_IMPORTADO!$F$5:$F$404,MATCH(B833,EXTRATO_IMPORTADO!$I$5:$I$404,0)),"")</f>
        <v/>
      </c>
      <c r="Q833" s="26" t="str">
        <f>IFERROR(INDEX(EXTRATO_IMPORTADO!$B$5:$B$404,MATCH(B833,EXTRATO_IMPORTADO!$I$5:$I$404,0)),"")</f>
        <v/>
      </c>
      <c r="R833" s="26" t="str">
        <f>IFERROR(MATCH(B833,EXTRATO_IMPORTADO!$I$5:$I$404,0),"")</f>
        <v/>
      </c>
      <c r="S833" s="26" t="str">
        <f t="shared" si="37"/>
        <v/>
      </c>
      <c r="T833" s="26" t="str">
        <f t="shared" si="38"/>
        <v/>
      </c>
    </row>
    <row r="834" spans="1:20" x14ac:dyDescent="0.3">
      <c r="A834" s="26" t="str">
        <f>IF(BASE_CAIXA!A831="","",BASE_CAIXA!A831)</f>
        <v/>
      </c>
      <c r="B834" s="26" t="str">
        <f>IF(A834="","",BASE_CAIXA!AL831)</f>
        <v/>
      </c>
      <c r="C834" s="26" t="str">
        <f>IF(A834="","",BASE_CAIXA!AJ831)</f>
        <v/>
      </c>
      <c r="D834" s="26" t="str">
        <f>IF(A834="","",IF(BASE_CAIXA!C831="Entrada","Crédito","Débito"))</f>
        <v/>
      </c>
      <c r="E834" s="26" t="str">
        <f>IF(A834="","",BASE_CAIXA!AA831)</f>
        <v/>
      </c>
      <c r="F834" s="26" t="str">
        <f>IF(A834="","",BASE_CAIXA!N831)</f>
        <v/>
      </c>
      <c r="G834" s="26" t="str">
        <f>IF(A834="","",BASE_CAIXA!O831)</f>
        <v/>
      </c>
      <c r="H834" s="26" t="str">
        <f>IF(A834="","",BASE_CAIXA!P831)</f>
        <v/>
      </c>
      <c r="I834" s="26" t="str">
        <f>IF(A834="","",IF(BASE_CAIXA!H831&lt;&gt;"",BASE_CAIXA!H831,BASE_CAIXA!G831))</f>
        <v/>
      </c>
      <c r="J834" s="26" t="str">
        <f>IF(A834="","",BASE_CAIXA!G831)</f>
        <v/>
      </c>
      <c r="K834" s="26" t="str">
        <f>IF(A834="","",BASE_CAIXA!I831)</f>
        <v/>
      </c>
      <c r="L834" s="26" t="str">
        <f>IF(A834="","",BASE_CAIXA!J831)</f>
        <v/>
      </c>
      <c r="M834" s="26" t="str">
        <f>IF(A834="","",BASE_CAIXA!AM831)</f>
        <v/>
      </c>
      <c r="N834" s="26" t="str">
        <f t="shared" ca="1" si="36"/>
        <v/>
      </c>
      <c r="O834" s="26" t="str">
        <f>IFERROR(INDEX(EXTRATO_IMPORTADO!$A$5:$A$404,MATCH(B834,EXTRATO_IMPORTADO!$I$5:$I$404,0)),"")</f>
        <v/>
      </c>
      <c r="P834" s="26" t="str">
        <f>IFERROR(INDEX(EXTRATO_IMPORTADO!$F$5:$F$404,MATCH(B834,EXTRATO_IMPORTADO!$I$5:$I$404,0)),"")</f>
        <v/>
      </c>
      <c r="Q834" s="26" t="str">
        <f>IFERROR(INDEX(EXTRATO_IMPORTADO!$B$5:$B$404,MATCH(B834,EXTRATO_IMPORTADO!$I$5:$I$404,0)),"")</f>
        <v/>
      </c>
      <c r="R834" s="26" t="str">
        <f>IFERROR(MATCH(B834,EXTRATO_IMPORTADO!$I$5:$I$404,0),"")</f>
        <v/>
      </c>
      <c r="S834" s="26" t="str">
        <f t="shared" si="37"/>
        <v/>
      </c>
      <c r="T834" s="26" t="str">
        <f t="shared" si="38"/>
        <v/>
      </c>
    </row>
    <row r="835" spans="1:20" x14ac:dyDescent="0.3">
      <c r="A835" s="26" t="str">
        <f>IF(BASE_CAIXA!A832="","",BASE_CAIXA!A832)</f>
        <v/>
      </c>
      <c r="B835" s="26" t="str">
        <f>IF(A835="","",BASE_CAIXA!AL832)</f>
        <v/>
      </c>
      <c r="C835" s="26" t="str">
        <f>IF(A835="","",BASE_CAIXA!AJ832)</f>
        <v/>
      </c>
      <c r="D835" s="26" t="str">
        <f>IF(A835="","",IF(BASE_CAIXA!C832="Entrada","Crédito","Débito"))</f>
        <v/>
      </c>
      <c r="E835" s="26" t="str">
        <f>IF(A835="","",BASE_CAIXA!AA832)</f>
        <v/>
      </c>
      <c r="F835" s="26" t="str">
        <f>IF(A835="","",BASE_CAIXA!N832)</f>
        <v/>
      </c>
      <c r="G835" s="26" t="str">
        <f>IF(A835="","",BASE_CAIXA!O832)</f>
        <v/>
      </c>
      <c r="H835" s="26" t="str">
        <f>IF(A835="","",BASE_CAIXA!P832)</f>
        <v/>
      </c>
      <c r="I835" s="26" t="str">
        <f>IF(A835="","",IF(BASE_CAIXA!H832&lt;&gt;"",BASE_CAIXA!H832,BASE_CAIXA!G832))</f>
        <v/>
      </c>
      <c r="J835" s="26" t="str">
        <f>IF(A835="","",BASE_CAIXA!G832)</f>
        <v/>
      </c>
      <c r="K835" s="26" t="str">
        <f>IF(A835="","",BASE_CAIXA!I832)</f>
        <v/>
      </c>
      <c r="L835" s="26" t="str">
        <f>IF(A835="","",BASE_CAIXA!J832)</f>
        <v/>
      </c>
      <c r="M835" s="26" t="str">
        <f>IF(A835="","",BASE_CAIXA!AM832)</f>
        <v/>
      </c>
      <c r="N835" s="26" t="str">
        <f t="shared" ca="1" si="36"/>
        <v/>
      </c>
      <c r="O835" s="26" t="str">
        <f>IFERROR(INDEX(EXTRATO_IMPORTADO!$A$5:$A$404,MATCH(B835,EXTRATO_IMPORTADO!$I$5:$I$404,0)),"")</f>
        <v/>
      </c>
      <c r="P835" s="26" t="str">
        <f>IFERROR(INDEX(EXTRATO_IMPORTADO!$F$5:$F$404,MATCH(B835,EXTRATO_IMPORTADO!$I$5:$I$404,0)),"")</f>
        <v/>
      </c>
      <c r="Q835" s="26" t="str">
        <f>IFERROR(INDEX(EXTRATO_IMPORTADO!$B$5:$B$404,MATCH(B835,EXTRATO_IMPORTADO!$I$5:$I$404,0)),"")</f>
        <v/>
      </c>
      <c r="R835" s="26" t="str">
        <f>IFERROR(MATCH(B835,EXTRATO_IMPORTADO!$I$5:$I$404,0),"")</f>
        <v/>
      </c>
      <c r="S835" s="26" t="str">
        <f t="shared" si="37"/>
        <v/>
      </c>
      <c r="T835" s="26" t="str">
        <f t="shared" si="38"/>
        <v/>
      </c>
    </row>
    <row r="836" spans="1:20" x14ac:dyDescent="0.3">
      <c r="A836" s="26" t="str">
        <f>IF(BASE_CAIXA!A833="","",BASE_CAIXA!A833)</f>
        <v/>
      </c>
      <c r="B836" s="26" t="str">
        <f>IF(A836="","",BASE_CAIXA!AL833)</f>
        <v/>
      </c>
      <c r="C836" s="26" t="str">
        <f>IF(A836="","",BASE_CAIXA!AJ833)</f>
        <v/>
      </c>
      <c r="D836" s="26" t="str">
        <f>IF(A836="","",IF(BASE_CAIXA!C833="Entrada","Crédito","Débito"))</f>
        <v/>
      </c>
      <c r="E836" s="26" t="str">
        <f>IF(A836="","",BASE_CAIXA!AA833)</f>
        <v/>
      </c>
      <c r="F836" s="26" t="str">
        <f>IF(A836="","",BASE_CAIXA!N833)</f>
        <v/>
      </c>
      <c r="G836" s="26" t="str">
        <f>IF(A836="","",BASE_CAIXA!O833)</f>
        <v/>
      </c>
      <c r="H836" s="26" t="str">
        <f>IF(A836="","",BASE_CAIXA!P833)</f>
        <v/>
      </c>
      <c r="I836" s="26" t="str">
        <f>IF(A836="","",IF(BASE_CAIXA!H833&lt;&gt;"",BASE_CAIXA!H833,BASE_CAIXA!G833))</f>
        <v/>
      </c>
      <c r="J836" s="26" t="str">
        <f>IF(A836="","",BASE_CAIXA!G833)</f>
        <v/>
      </c>
      <c r="K836" s="26" t="str">
        <f>IF(A836="","",BASE_CAIXA!I833)</f>
        <v/>
      </c>
      <c r="L836" s="26" t="str">
        <f>IF(A836="","",BASE_CAIXA!J833)</f>
        <v/>
      </c>
      <c r="M836" s="26" t="str">
        <f>IF(A836="","",BASE_CAIXA!AM833)</f>
        <v/>
      </c>
      <c r="N836" s="26" t="str">
        <f t="shared" ca="1" si="36"/>
        <v/>
      </c>
      <c r="O836" s="26" t="str">
        <f>IFERROR(INDEX(EXTRATO_IMPORTADO!$A$5:$A$404,MATCH(B836,EXTRATO_IMPORTADO!$I$5:$I$404,0)),"")</f>
        <v/>
      </c>
      <c r="P836" s="26" t="str">
        <f>IFERROR(INDEX(EXTRATO_IMPORTADO!$F$5:$F$404,MATCH(B836,EXTRATO_IMPORTADO!$I$5:$I$404,0)),"")</f>
        <v/>
      </c>
      <c r="Q836" s="26" t="str">
        <f>IFERROR(INDEX(EXTRATO_IMPORTADO!$B$5:$B$404,MATCH(B836,EXTRATO_IMPORTADO!$I$5:$I$404,0)),"")</f>
        <v/>
      </c>
      <c r="R836" s="26" t="str">
        <f>IFERROR(MATCH(B836,EXTRATO_IMPORTADO!$I$5:$I$404,0),"")</f>
        <v/>
      </c>
      <c r="S836" s="26" t="str">
        <f t="shared" si="37"/>
        <v/>
      </c>
      <c r="T836" s="26" t="str">
        <f t="shared" si="38"/>
        <v/>
      </c>
    </row>
    <row r="837" spans="1:20" x14ac:dyDescent="0.3">
      <c r="A837" s="26" t="str">
        <f>IF(BASE_CAIXA!A834="","",BASE_CAIXA!A834)</f>
        <v/>
      </c>
      <c r="B837" s="26" t="str">
        <f>IF(A837="","",BASE_CAIXA!AL834)</f>
        <v/>
      </c>
      <c r="C837" s="26" t="str">
        <f>IF(A837="","",BASE_CAIXA!AJ834)</f>
        <v/>
      </c>
      <c r="D837" s="26" t="str">
        <f>IF(A837="","",IF(BASE_CAIXA!C834="Entrada","Crédito","Débito"))</f>
        <v/>
      </c>
      <c r="E837" s="26" t="str">
        <f>IF(A837="","",BASE_CAIXA!AA834)</f>
        <v/>
      </c>
      <c r="F837" s="26" t="str">
        <f>IF(A837="","",BASE_CAIXA!N834)</f>
        <v/>
      </c>
      <c r="G837" s="26" t="str">
        <f>IF(A837="","",BASE_CAIXA!O834)</f>
        <v/>
      </c>
      <c r="H837" s="26" t="str">
        <f>IF(A837="","",BASE_CAIXA!P834)</f>
        <v/>
      </c>
      <c r="I837" s="26" t="str">
        <f>IF(A837="","",IF(BASE_CAIXA!H834&lt;&gt;"",BASE_CAIXA!H834,BASE_CAIXA!G834))</f>
        <v/>
      </c>
      <c r="J837" s="26" t="str">
        <f>IF(A837="","",BASE_CAIXA!G834)</f>
        <v/>
      </c>
      <c r="K837" s="26" t="str">
        <f>IF(A837="","",BASE_CAIXA!I834)</f>
        <v/>
      </c>
      <c r="L837" s="26" t="str">
        <f>IF(A837="","",BASE_CAIXA!J834)</f>
        <v/>
      </c>
      <c r="M837" s="26" t="str">
        <f>IF(A837="","",BASE_CAIXA!AM834)</f>
        <v/>
      </c>
      <c r="N837" s="26" t="str">
        <f t="shared" ref="N837:N900" ca="1" si="39">IF(A837="","",IF(R837&lt;&gt;"",IF(AND(ABS(S837)&lt;=0.01,ABS(T837)&lt;=3),"Conciliado","Divergente"),IF(TODAY()&gt;C837,"Pendente vencido","Previsto")))</f>
        <v/>
      </c>
      <c r="O837" s="26" t="str">
        <f>IFERROR(INDEX(EXTRATO_IMPORTADO!$A$5:$A$404,MATCH(B837,EXTRATO_IMPORTADO!$I$5:$I$404,0)),"")</f>
        <v/>
      </c>
      <c r="P837" s="26" t="str">
        <f>IFERROR(INDEX(EXTRATO_IMPORTADO!$F$5:$F$404,MATCH(B837,EXTRATO_IMPORTADO!$I$5:$I$404,0)),"")</f>
        <v/>
      </c>
      <c r="Q837" s="26" t="str">
        <f>IFERROR(INDEX(EXTRATO_IMPORTADO!$B$5:$B$404,MATCH(B837,EXTRATO_IMPORTADO!$I$5:$I$404,0)),"")</f>
        <v/>
      </c>
      <c r="R837" s="26" t="str">
        <f>IFERROR(MATCH(B837,EXTRATO_IMPORTADO!$I$5:$I$404,0),"")</f>
        <v/>
      </c>
      <c r="S837" s="26" t="str">
        <f t="shared" ref="S837:S900" si="40">IF(OR(A837="",P837=""),"",P837-E837)</f>
        <v/>
      </c>
      <c r="T837" s="26" t="str">
        <f t="shared" ref="T837:T900" si="41">IF(OR(A837="",O837=""),"",O837-C837)</f>
        <v/>
      </c>
    </row>
    <row r="838" spans="1:20" x14ac:dyDescent="0.3">
      <c r="A838" s="26" t="str">
        <f>IF(BASE_CAIXA!A835="","",BASE_CAIXA!A835)</f>
        <v/>
      </c>
      <c r="B838" s="26" t="str">
        <f>IF(A838="","",BASE_CAIXA!AL835)</f>
        <v/>
      </c>
      <c r="C838" s="26" t="str">
        <f>IF(A838="","",BASE_CAIXA!AJ835)</f>
        <v/>
      </c>
      <c r="D838" s="26" t="str">
        <f>IF(A838="","",IF(BASE_CAIXA!C835="Entrada","Crédito","Débito"))</f>
        <v/>
      </c>
      <c r="E838" s="26" t="str">
        <f>IF(A838="","",BASE_CAIXA!AA835)</f>
        <v/>
      </c>
      <c r="F838" s="26" t="str">
        <f>IF(A838="","",BASE_CAIXA!N835)</f>
        <v/>
      </c>
      <c r="G838" s="26" t="str">
        <f>IF(A838="","",BASE_CAIXA!O835)</f>
        <v/>
      </c>
      <c r="H838" s="26" t="str">
        <f>IF(A838="","",BASE_CAIXA!P835)</f>
        <v/>
      </c>
      <c r="I838" s="26" t="str">
        <f>IF(A838="","",IF(BASE_CAIXA!H835&lt;&gt;"",BASE_CAIXA!H835,BASE_CAIXA!G835))</f>
        <v/>
      </c>
      <c r="J838" s="26" t="str">
        <f>IF(A838="","",BASE_CAIXA!G835)</f>
        <v/>
      </c>
      <c r="K838" s="26" t="str">
        <f>IF(A838="","",BASE_CAIXA!I835)</f>
        <v/>
      </c>
      <c r="L838" s="26" t="str">
        <f>IF(A838="","",BASE_CAIXA!J835)</f>
        <v/>
      </c>
      <c r="M838" s="26" t="str">
        <f>IF(A838="","",BASE_CAIXA!AM835)</f>
        <v/>
      </c>
      <c r="N838" s="26" t="str">
        <f t="shared" ca="1" si="39"/>
        <v/>
      </c>
      <c r="O838" s="26" t="str">
        <f>IFERROR(INDEX(EXTRATO_IMPORTADO!$A$5:$A$404,MATCH(B838,EXTRATO_IMPORTADO!$I$5:$I$404,0)),"")</f>
        <v/>
      </c>
      <c r="P838" s="26" t="str">
        <f>IFERROR(INDEX(EXTRATO_IMPORTADO!$F$5:$F$404,MATCH(B838,EXTRATO_IMPORTADO!$I$5:$I$404,0)),"")</f>
        <v/>
      </c>
      <c r="Q838" s="26" t="str">
        <f>IFERROR(INDEX(EXTRATO_IMPORTADO!$B$5:$B$404,MATCH(B838,EXTRATO_IMPORTADO!$I$5:$I$404,0)),"")</f>
        <v/>
      </c>
      <c r="R838" s="26" t="str">
        <f>IFERROR(MATCH(B838,EXTRATO_IMPORTADO!$I$5:$I$404,0),"")</f>
        <v/>
      </c>
      <c r="S838" s="26" t="str">
        <f t="shared" si="40"/>
        <v/>
      </c>
      <c r="T838" s="26" t="str">
        <f t="shared" si="41"/>
        <v/>
      </c>
    </row>
    <row r="839" spans="1:20" x14ac:dyDescent="0.3">
      <c r="A839" s="26" t="str">
        <f>IF(BASE_CAIXA!A836="","",BASE_CAIXA!A836)</f>
        <v/>
      </c>
      <c r="B839" s="26" t="str">
        <f>IF(A839="","",BASE_CAIXA!AL836)</f>
        <v/>
      </c>
      <c r="C839" s="26" t="str">
        <f>IF(A839="","",BASE_CAIXA!AJ836)</f>
        <v/>
      </c>
      <c r="D839" s="26" t="str">
        <f>IF(A839="","",IF(BASE_CAIXA!C836="Entrada","Crédito","Débito"))</f>
        <v/>
      </c>
      <c r="E839" s="26" t="str">
        <f>IF(A839="","",BASE_CAIXA!AA836)</f>
        <v/>
      </c>
      <c r="F839" s="26" t="str">
        <f>IF(A839="","",BASE_CAIXA!N836)</f>
        <v/>
      </c>
      <c r="G839" s="26" t="str">
        <f>IF(A839="","",BASE_CAIXA!O836)</f>
        <v/>
      </c>
      <c r="H839" s="26" t="str">
        <f>IF(A839="","",BASE_CAIXA!P836)</f>
        <v/>
      </c>
      <c r="I839" s="26" t="str">
        <f>IF(A839="","",IF(BASE_CAIXA!H836&lt;&gt;"",BASE_CAIXA!H836,BASE_CAIXA!G836))</f>
        <v/>
      </c>
      <c r="J839" s="26" t="str">
        <f>IF(A839="","",BASE_CAIXA!G836)</f>
        <v/>
      </c>
      <c r="K839" s="26" t="str">
        <f>IF(A839="","",BASE_CAIXA!I836)</f>
        <v/>
      </c>
      <c r="L839" s="26" t="str">
        <f>IF(A839="","",BASE_CAIXA!J836)</f>
        <v/>
      </c>
      <c r="M839" s="26" t="str">
        <f>IF(A839="","",BASE_CAIXA!AM836)</f>
        <v/>
      </c>
      <c r="N839" s="26" t="str">
        <f t="shared" ca="1" si="39"/>
        <v/>
      </c>
      <c r="O839" s="26" t="str">
        <f>IFERROR(INDEX(EXTRATO_IMPORTADO!$A$5:$A$404,MATCH(B839,EXTRATO_IMPORTADO!$I$5:$I$404,0)),"")</f>
        <v/>
      </c>
      <c r="P839" s="26" t="str">
        <f>IFERROR(INDEX(EXTRATO_IMPORTADO!$F$5:$F$404,MATCH(B839,EXTRATO_IMPORTADO!$I$5:$I$404,0)),"")</f>
        <v/>
      </c>
      <c r="Q839" s="26" t="str">
        <f>IFERROR(INDEX(EXTRATO_IMPORTADO!$B$5:$B$404,MATCH(B839,EXTRATO_IMPORTADO!$I$5:$I$404,0)),"")</f>
        <v/>
      </c>
      <c r="R839" s="26" t="str">
        <f>IFERROR(MATCH(B839,EXTRATO_IMPORTADO!$I$5:$I$404,0),"")</f>
        <v/>
      </c>
      <c r="S839" s="26" t="str">
        <f t="shared" si="40"/>
        <v/>
      </c>
      <c r="T839" s="26" t="str">
        <f t="shared" si="41"/>
        <v/>
      </c>
    </row>
    <row r="840" spans="1:20" x14ac:dyDescent="0.3">
      <c r="A840" s="26" t="str">
        <f>IF(BASE_CAIXA!A837="","",BASE_CAIXA!A837)</f>
        <v/>
      </c>
      <c r="B840" s="26" t="str">
        <f>IF(A840="","",BASE_CAIXA!AL837)</f>
        <v/>
      </c>
      <c r="C840" s="26" t="str">
        <f>IF(A840="","",BASE_CAIXA!AJ837)</f>
        <v/>
      </c>
      <c r="D840" s="26" t="str">
        <f>IF(A840="","",IF(BASE_CAIXA!C837="Entrada","Crédito","Débito"))</f>
        <v/>
      </c>
      <c r="E840" s="26" t="str">
        <f>IF(A840="","",BASE_CAIXA!AA837)</f>
        <v/>
      </c>
      <c r="F840" s="26" t="str">
        <f>IF(A840="","",BASE_CAIXA!N837)</f>
        <v/>
      </c>
      <c r="G840" s="26" t="str">
        <f>IF(A840="","",BASE_CAIXA!O837)</f>
        <v/>
      </c>
      <c r="H840" s="26" t="str">
        <f>IF(A840="","",BASE_CAIXA!P837)</f>
        <v/>
      </c>
      <c r="I840" s="26" t="str">
        <f>IF(A840="","",IF(BASE_CAIXA!H837&lt;&gt;"",BASE_CAIXA!H837,BASE_CAIXA!G837))</f>
        <v/>
      </c>
      <c r="J840" s="26" t="str">
        <f>IF(A840="","",BASE_CAIXA!G837)</f>
        <v/>
      </c>
      <c r="K840" s="26" t="str">
        <f>IF(A840="","",BASE_CAIXA!I837)</f>
        <v/>
      </c>
      <c r="L840" s="26" t="str">
        <f>IF(A840="","",BASE_CAIXA!J837)</f>
        <v/>
      </c>
      <c r="M840" s="26" t="str">
        <f>IF(A840="","",BASE_CAIXA!AM837)</f>
        <v/>
      </c>
      <c r="N840" s="26" t="str">
        <f t="shared" ca="1" si="39"/>
        <v/>
      </c>
      <c r="O840" s="26" t="str">
        <f>IFERROR(INDEX(EXTRATO_IMPORTADO!$A$5:$A$404,MATCH(B840,EXTRATO_IMPORTADO!$I$5:$I$404,0)),"")</f>
        <v/>
      </c>
      <c r="P840" s="26" t="str">
        <f>IFERROR(INDEX(EXTRATO_IMPORTADO!$F$5:$F$404,MATCH(B840,EXTRATO_IMPORTADO!$I$5:$I$404,0)),"")</f>
        <v/>
      </c>
      <c r="Q840" s="26" t="str">
        <f>IFERROR(INDEX(EXTRATO_IMPORTADO!$B$5:$B$404,MATCH(B840,EXTRATO_IMPORTADO!$I$5:$I$404,0)),"")</f>
        <v/>
      </c>
      <c r="R840" s="26" t="str">
        <f>IFERROR(MATCH(B840,EXTRATO_IMPORTADO!$I$5:$I$404,0),"")</f>
        <v/>
      </c>
      <c r="S840" s="26" t="str">
        <f t="shared" si="40"/>
        <v/>
      </c>
      <c r="T840" s="26" t="str">
        <f t="shared" si="41"/>
        <v/>
      </c>
    </row>
    <row r="841" spans="1:20" x14ac:dyDescent="0.3">
      <c r="A841" s="26" t="str">
        <f>IF(BASE_CAIXA!A838="","",BASE_CAIXA!A838)</f>
        <v/>
      </c>
      <c r="B841" s="26" t="str">
        <f>IF(A841="","",BASE_CAIXA!AL838)</f>
        <v/>
      </c>
      <c r="C841" s="26" t="str">
        <f>IF(A841="","",BASE_CAIXA!AJ838)</f>
        <v/>
      </c>
      <c r="D841" s="26" t="str">
        <f>IF(A841="","",IF(BASE_CAIXA!C838="Entrada","Crédito","Débito"))</f>
        <v/>
      </c>
      <c r="E841" s="26" t="str">
        <f>IF(A841="","",BASE_CAIXA!AA838)</f>
        <v/>
      </c>
      <c r="F841" s="26" t="str">
        <f>IF(A841="","",BASE_CAIXA!N838)</f>
        <v/>
      </c>
      <c r="G841" s="26" t="str">
        <f>IF(A841="","",BASE_CAIXA!O838)</f>
        <v/>
      </c>
      <c r="H841" s="26" t="str">
        <f>IF(A841="","",BASE_CAIXA!P838)</f>
        <v/>
      </c>
      <c r="I841" s="26" t="str">
        <f>IF(A841="","",IF(BASE_CAIXA!H838&lt;&gt;"",BASE_CAIXA!H838,BASE_CAIXA!G838))</f>
        <v/>
      </c>
      <c r="J841" s="26" t="str">
        <f>IF(A841="","",BASE_CAIXA!G838)</f>
        <v/>
      </c>
      <c r="K841" s="26" t="str">
        <f>IF(A841="","",BASE_CAIXA!I838)</f>
        <v/>
      </c>
      <c r="L841" s="26" t="str">
        <f>IF(A841="","",BASE_CAIXA!J838)</f>
        <v/>
      </c>
      <c r="M841" s="26" t="str">
        <f>IF(A841="","",BASE_CAIXA!AM838)</f>
        <v/>
      </c>
      <c r="N841" s="26" t="str">
        <f t="shared" ca="1" si="39"/>
        <v/>
      </c>
      <c r="O841" s="26" t="str">
        <f>IFERROR(INDEX(EXTRATO_IMPORTADO!$A$5:$A$404,MATCH(B841,EXTRATO_IMPORTADO!$I$5:$I$404,0)),"")</f>
        <v/>
      </c>
      <c r="P841" s="26" t="str">
        <f>IFERROR(INDEX(EXTRATO_IMPORTADO!$F$5:$F$404,MATCH(B841,EXTRATO_IMPORTADO!$I$5:$I$404,0)),"")</f>
        <v/>
      </c>
      <c r="Q841" s="26" t="str">
        <f>IFERROR(INDEX(EXTRATO_IMPORTADO!$B$5:$B$404,MATCH(B841,EXTRATO_IMPORTADO!$I$5:$I$404,0)),"")</f>
        <v/>
      </c>
      <c r="R841" s="26" t="str">
        <f>IFERROR(MATCH(B841,EXTRATO_IMPORTADO!$I$5:$I$404,0),"")</f>
        <v/>
      </c>
      <c r="S841" s="26" t="str">
        <f t="shared" si="40"/>
        <v/>
      </c>
      <c r="T841" s="26" t="str">
        <f t="shared" si="41"/>
        <v/>
      </c>
    </row>
    <row r="842" spans="1:20" x14ac:dyDescent="0.3">
      <c r="A842" s="26" t="str">
        <f>IF(BASE_CAIXA!A839="","",BASE_CAIXA!A839)</f>
        <v/>
      </c>
      <c r="B842" s="26" t="str">
        <f>IF(A842="","",BASE_CAIXA!AL839)</f>
        <v/>
      </c>
      <c r="C842" s="26" t="str">
        <f>IF(A842="","",BASE_CAIXA!AJ839)</f>
        <v/>
      </c>
      <c r="D842" s="26" t="str">
        <f>IF(A842="","",IF(BASE_CAIXA!C839="Entrada","Crédito","Débito"))</f>
        <v/>
      </c>
      <c r="E842" s="26" t="str">
        <f>IF(A842="","",BASE_CAIXA!AA839)</f>
        <v/>
      </c>
      <c r="F842" s="26" t="str">
        <f>IF(A842="","",BASE_CAIXA!N839)</f>
        <v/>
      </c>
      <c r="G842" s="26" t="str">
        <f>IF(A842="","",BASE_CAIXA!O839)</f>
        <v/>
      </c>
      <c r="H842" s="26" t="str">
        <f>IF(A842="","",BASE_CAIXA!P839)</f>
        <v/>
      </c>
      <c r="I842" s="26" t="str">
        <f>IF(A842="","",IF(BASE_CAIXA!H839&lt;&gt;"",BASE_CAIXA!H839,BASE_CAIXA!G839))</f>
        <v/>
      </c>
      <c r="J842" s="26" t="str">
        <f>IF(A842="","",BASE_CAIXA!G839)</f>
        <v/>
      </c>
      <c r="K842" s="26" t="str">
        <f>IF(A842="","",BASE_CAIXA!I839)</f>
        <v/>
      </c>
      <c r="L842" s="26" t="str">
        <f>IF(A842="","",BASE_CAIXA!J839)</f>
        <v/>
      </c>
      <c r="M842" s="26" t="str">
        <f>IF(A842="","",BASE_CAIXA!AM839)</f>
        <v/>
      </c>
      <c r="N842" s="26" t="str">
        <f t="shared" ca="1" si="39"/>
        <v/>
      </c>
      <c r="O842" s="26" t="str">
        <f>IFERROR(INDEX(EXTRATO_IMPORTADO!$A$5:$A$404,MATCH(B842,EXTRATO_IMPORTADO!$I$5:$I$404,0)),"")</f>
        <v/>
      </c>
      <c r="P842" s="26" t="str">
        <f>IFERROR(INDEX(EXTRATO_IMPORTADO!$F$5:$F$404,MATCH(B842,EXTRATO_IMPORTADO!$I$5:$I$404,0)),"")</f>
        <v/>
      </c>
      <c r="Q842" s="26" t="str">
        <f>IFERROR(INDEX(EXTRATO_IMPORTADO!$B$5:$B$404,MATCH(B842,EXTRATO_IMPORTADO!$I$5:$I$404,0)),"")</f>
        <v/>
      </c>
      <c r="R842" s="26" t="str">
        <f>IFERROR(MATCH(B842,EXTRATO_IMPORTADO!$I$5:$I$404,0),"")</f>
        <v/>
      </c>
      <c r="S842" s="26" t="str">
        <f t="shared" si="40"/>
        <v/>
      </c>
      <c r="T842" s="26" t="str">
        <f t="shared" si="41"/>
        <v/>
      </c>
    </row>
    <row r="843" spans="1:20" x14ac:dyDescent="0.3">
      <c r="A843" s="26" t="str">
        <f>IF(BASE_CAIXA!A840="","",BASE_CAIXA!A840)</f>
        <v/>
      </c>
      <c r="B843" s="26" t="str">
        <f>IF(A843="","",BASE_CAIXA!AL840)</f>
        <v/>
      </c>
      <c r="C843" s="26" t="str">
        <f>IF(A843="","",BASE_CAIXA!AJ840)</f>
        <v/>
      </c>
      <c r="D843" s="26" t="str">
        <f>IF(A843="","",IF(BASE_CAIXA!C840="Entrada","Crédito","Débito"))</f>
        <v/>
      </c>
      <c r="E843" s="26" t="str">
        <f>IF(A843="","",BASE_CAIXA!AA840)</f>
        <v/>
      </c>
      <c r="F843" s="26" t="str">
        <f>IF(A843="","",BASE_CAIXA!N840)</f>
        <v/>
      </c>
      <c r="G843" s="26" t="str">
        <f>IF(A843="","",BASE_CAIXA!O840)</f>
        <v/>
      </c>
      <c r="H843" s="26" t="str">
        <f>IF(A843="","",BASE_CAIXA!P840)</f>
        <v/>
      </c>
      <c r="I843" s="26" t="str">
        <f>IF(A843="","",IF(BASE_CAIXA!H840&lt;&gt;"",BASE_CAIXA!H840,BASE_CAIXA!G840))</f>
        <v/>
      </c>
      <c r="J843" s="26" t="str">
        <f>IF(A843="","",BASE_CAIXA!G840)</f>
        <v/>
      </c>
      <c r="K843" s="26" t="str">
        <f>IF(A843="","",BASE_CAIXA!I840)</f>
        <v/>
      </c>
      <c r="L843" s="26" t="str">
        <f>IF(A843="","",BASE_CAIXA!J840)</f>
        <v/>
      </c>
      <c r="M843" s="26" t="str">
        <f>IF(A843="","",BASE_CAIXA!AM840)</f>
        <v/>
      </c>
      <c r="N843" s="26" t="str">
        <f t="shared" ca="1" si="39"/>
        <v/>
      </c>
      <c r="O843" s="26" t="str">
        <f>IFERROR(INDEX(EXTRATO_IMPORTADO!$A$5:$A$404,MATCH(B843,EXTRATO_IMPORTADO!$I$5:$I$404,0)),"")</f>
        <v/>
      </c>
      <c r="P843" s="26" t="str">
        <f>IFERROR(INDEX(EXTRATO_IMPORTADO!$F$5:$F$404,MATCH(B843,EXTRATO_IMPORTADO!$I$5:$I$404,0)),"")</f>
        <v/>
      </c>
      <c r="Q843" s="26" t="str">
        <f>IFERROR(INDEX(EXTRATO_IMPORTADO!$B$5:$B$404,MATCH(B843,EXTRATO_IMPORTADO!$I$5:$I$404,0)),"")</f>
        <v/>
      </c>
      <c r="R843" s="26" t="str">
        <f>IFERROR(MATCH(B843,EXTRATO_IMPORTADO!$I$5:$I$404,0),"")</f>
        <v/>
      </c>
      <c r="S843" s="26" t="str">
        <f t="shared" si="40"/>
        <v/>
      </c>
      <c r="T843" s="26" t="str">
        <f t="shared" si="41"/>
        <v/>
      </c>
    </row>
    <row r="844" spans="1:20" x14ac:dyDescent="0.3">
      <c r="A844" s="26" t="str">
        <f>IF(BASE_CAIXA!A841="","",BASE_CAIXA!A841)</f>
        <v/>
      </c>
      <c r="B844" s="26" t="str">
        <f>IF(A844="","",BASE_CAIXA!AL841)</f>
        <v/>
      </c>
      <c r="C844" s="26" t="str">
        <f>IF(A844="","",BASE_CAIXA!AJ841)</f>
        <v/>
      </c>
      <c r="D844" s="26" t="str">
        <f>IF(A844="","",IF(BASE_CAIXA!C841="Entrada","Crédito","Débito"))</f>
        <v/>
      </c>
      <c r="E844" s="26" t="str">
        <f>IF(A844="","",BASE_CAIXA!AA841)</f>
        <v/>
      </c>
      <c r="F844" s="26" t="str">
        <f>IF(A844="","",BASE_CAIXA!N841)</f>
        <v/>
      </c>
      <c r="G844" s="26" t="str">
        <f>IF(A844="","",BASE_CAIXA!O841)</f>
        <v/>
      </c>
      <c r="H844" s="26" t="str">
        <f>IF(A844="","",BASE_CAIXA!P841)</f>
        <v/>
      </c>
      <c r="I844" s="26" t="str">
        <f>IF(A844="","",IF(BASE_CAIXA!H841&lt;&gt;"",BASE_CAIXA!H841,BASE_CAIXA!G841))</f>
        <v/>
      </c>
      <c r="J844" s="26" t="str">
        <f>IF(A844="","",BASE_CAIXA!G841)</f>
        <v/>
      </c>
      <c r="K844" s="26" t="str">
        <f>IF(A844="","",BASE_CAIXA!I841)</f>
        <v/>
      </c>
      <c r="L844" s="26" t="str">
        <f>IF(A844="","",BASE_CAIXA!J841)</f>
        <v/>
      </c>
      <c r="M844" s="26" t="str">
        <f>IF(A844="","",BASE_CAIXA!AM841)</f>
        <v/>
      </c>
      <c r="N844" s="26" t="str">
        <f t="shared" ca="1" si="39"/>
        <v/>
      </c>
      <c r="O844" s="26" t="str">
        <f>IFERROR(INDEX(EXTRATO_IMPORTADO!$A$5:$A$404,MATCH(B844,EXTRATO_IMPORTADO!$I$5:$I$404,0)),"")</f>
        <v/>
      </c>
      <c r="P844" s="26" t="str">
        <f>IFERROR(INDEX(EXTRATO_IMPORTADO!$F$5:$F$404,MATCH(B844,EXTRATO_IMPORTADO!$I$5:$I$404,0)),"")</f>
        <v/>
      </c>
      <c r="Q844" s="26" t="str">
        <f>IFERROR(INDEX(EXTRATO_IMPORTADO!$B$5:$B$404,MATCH(B844,EXTRATO_IMPORTADO!$I$5:$I$404,0)),"")</f>
        <v/>
      </c>
      <c r="R844" s="26" t="str">
        <f>IFERROR(MATCH(B844,EXTRATO_IMPORTADO!$I$5:$I$404,0),"")</f>
        <v/>
      </c>
      <c r="S844" s="26" t="str">
        <f t="shared" si="40"/>
        <v/>
      </c>
      <c r="T844" s="26" t="str">
        <f t="shared" si="41"/>
        <v/>
      </c>
    </row>
    <row r="845" spans="1:20" x14ac:dyDescent="0.3">
      <c r="A845" s="26" t="str">
        <f>IF(BASE_CAIXA!A842="","",BASE_CAIXA!A842)</f>
        <v/>
      </c>
      <c r="B845" s="26" t="str">
        <f>IF(A845="","",BASE_CAIXA!AL842)</f>
        <v/>
      </c>
      <c r="C845" s="26" t="str">
        <f>IF(A845="","",BASE_CAIXA!AJ842)</f>
        <v/>
      </c>
      <c r="D845" s="26" t="str">
        <f>IF(A845="","",IF(BASE_CAIXA!C842="Entrada","Crédito","Débito"))</f>
        <v/>
      </c>
      <c r="E845" s="26" t="str">
        <f>IF(A845="","",BASE_CAIXA!AA842)</f>
        <v/>
      </c>
      <c r="F845" s="26" t="str">
        <f>IF(A845="","",BASE_CAIXA!N842)</f>
        <v/>
      </c>
      <c r="G845" s="26" t="str">
        <f>IF(A845="","",BASE_CAIXA!O842)</f>
        <v/>
      </c>
      <c r="H845" s="26" t="str">
        <f>IF(A845="","",BASE_CAIXA!P842)</f>
        <v/>
      </c>
      <c r="I845" s="26" t="str">
        <f>IF(A845="","",IF(BASE_CAIXA!H842&lt;&gt;"",BASE_CAIXA!H842,BASE_CAIXA!G842))</f>
        <v/>
      </c>
      <c r="J845" s="26" t="str">
        <f>IF(A845="","",BASE_CAIXA!G842)</f>
        <v/>
      </c>
      <c r="K845" s="26" t="str">
        <f>IF(A845="","",BASE_CAIXA!I842)</f>
        <v/>
      </c>
      <c r="L845" s="26" t="str">
        <f>IF(A845="","",BASE_CAIXA!J842)</f>
        <v/>
      </c>
      <c r="M845" s="26" t="str">
        <f>IF(A845="","",BASE_CAIXA!AM842)</f>
        <v/>
      </c>
      <c r="N845" s="26" t="str">
        <f t="shared" ca="1" si="39"/>
        <v/>
      </c>
      <c r="O845" s="26" t="str">
        <f>IFERROR(INDEX(EXTRATO_IMPORTADO!$A$5:$A$404,MATCH(B845,EXTRATO_IMPORTADO!$I$5:$I$404,0)),"")</f>
        <v/>
      </c>
      <c r="P845" s="26" t="str">
        <f>IFERROR(INDEX(EXTRATO_IMPORTADO!$F$5:$F$404,MATCH(B845,EXTRATO_IMPORTADO!$I$5:$I$404,0)),"")</f>
        <v/>
      </c>
      <c r="Q845" s="26" t="str">
        <f>IFERROR(INDEX(EXTRATO_IMPORTADO!$B$5:$B$404,MATCH(B845,EXTRATO_IMPORTADO!$I$5:$I$404,0)),"")</f>
        <v/>
      </c>
      <c r="R845" s="26" t="str">
        <f>IFERROR(MATCH(B845,EXTRATO_IMPORTADO!$I$5:$I$404,0),"")</f>
        <v/>
      </c>
      <c r="S845" s="26" t="str">
        <f t="shared" si="40"/>
        <v/>
      </c>
      <c r="T845" s="26" t="str">
        <f t="shared" si="41"/>
        <v/>
      </c>
    </row>
    <row r="846" spans="1:20" x14ac:dyDescent="0.3">
      <c r="A846" s="26" t="str">
        <f>IF(BASE_CAIXA!A843="","",BASE_CAIXA!A843)</f>
        <v/>
      </c>
      <c r="B846" s="26" t="str">
        <f>IF(A846="","",BASE_CAIXA!AL843)</f>
        <v/>
      </c>
      <c r="C846" s="26" t="str">
        <f>IF(A846="","",BASE_CAIXA!AJ843)</f>
        <v/>
      </c>
      <c r="D846" s="26" t="str">
        <f>IF(A846="","",IF(BASE_CAIXA!C843="Entrada","Crédito","Débito"))</f>
        <v/>
      </c>
      <c r="E846" s="26" t="str">
        <f>IF(A846="","",BASE_CAIXA!AA843)</f>
        <v/>
      </c>
      <c r="F846" s="26" t="str">
        <f>IF(A846="","",BASE_CAIXA!N843)</f>
        <v/>
      </c>
      <c r="G846" s="26" t="str">
        <f>IF(A846="","",BASE_CAIXA!O843)</f>
        <v/>
      </c>
      <c r="H846" s="26" t="str">
        <f>IF(A846="","",BASE_CAIXA!P843)</f>
        <v/>
      </c>
      <c r="I846" s="26" t="str">
        <f>IF(A846="","",IF(BASE_CAIXA!H843&lt;&gt;"",BASE_CAIXA!H843,BASE_CAIXA!G843))</f>
        <v/>
      </c>
      <c r="J846" s="26" t="str">
        <f>IF(A846="","",BASE_CAIXA!G843)</f>
        <v/>
      </c>
      <c r="K846" s="26" t="str">
        <f>IF(A846="","",BASE_CAIXA!I843)</f>
        <v/>
      </c>
      <c r="L846" s="26" t="str">
        <f>IF(A846="","",BASE_CAIXA!J843)</f>
        <v/>
      </c>
      <c r="M846" s="26" t="str">
        <f>IF(A846="","",BASE_CAIXA!AM843)</f>
        <v/>
      </c>
      <c r="N846" s="26" t="str">
        <f t="shared" ca="1" si="39"/>
        <v/>
      </c>
      <c r="O846" s="26" t="str">
        <f>IFERROR(INDEX(EXTRATO_IMPORTADO!$A$5:$A$404,MATCH(B846,EXTRATO_IMPORTADO!$I$5:$I$404,0)),"")</f>
        <v/>
      </c>
      <c r="P846" s="26" t="str">
        <f>IFERROR(INDEX(EXTRATO_IMPORTADO!$F$5:$F$404,MATCH(B846,EXTRATO_IMPORTADO!$I$5:$I$404,0)),"")</f>
        <v/>
      </c>
      <c r="Q846" s="26" t="str">
        <f>IFERROR(INDEX(EXTRATO_IMPORTADO!$B$5:$B$404,MATCH(B846,EXTRATO_IMPORTADO!$I$5:$I$404,0)),"")</f>
        <v/>
      </c>
      <c r="R846" s="26" t="str">
        <f>IFERROR(MATCH(B846,EXTRATO_IMPORTADO!$I$5:$I$404,0),"")</f>
        <v/>
      </c>
      <c r="S846" s="26" t="str">
        <f t="shared" si="40"/>
        <v/>
      </c>
      <c r="T846" s="26" t="str">
        <f t="shared" si="41"/>
        <v/>
      </c>
    </row>
    <row r="847" spans="1:20" x14ac:dyDescent="0.3">
      <c r="A847" s="26" t="str">
        <f>IF(BASE_CAIXA!A844="","",BASE_CAIXA!A844)</f>
        <v/>
      </c>
      <c r="B847" s="26" t="str">
        <f>IF(A847="","",BASE_CAIXA!AL844)</f>
        <v/>
      </c>
      <c r="C847" s="26" t="str">
        <f>IF(A847="","",BASE_CAIXA!AJ844)</f>
        <v/>
      </c>
      <c r="D847" s="26" t="str">
        <f>IF(A847="","",IF(BASE_CAIXA!C844="Entrada","Crédito","Débito"))</f>
        <v/>
      </c>
      <c r="E847" s="26" t="str">
        <f>IF(A847="","",BASE_CAIXA!AA844)</f>
        <v/>
      </c>
      <c r="F847" s="26" t="str">
        <f>IF(A847="","",BASE_CAIXA!N844)</f>
        <v/>
      </c>
      <c r="G847" s="26" t="str">
        <f>IF(A847="","",BASE_CAIXA!O844)</f>
        <v/>
      </c>
      <c r="H847" s="26" t="str">
        <f>IF(A847="","",BASE_CAIXA!P844)</f>
        <v/>
      </c>
      <c r="I847" s="26" t="str">
        <f>IF(A847="","",IF(BASE_CAIXA!H844&lt;&gt;"",BASE_CAIXA!H844,BASE_CAIXA!G844))</f>
        <v/>
      </c>
      <c r="J847" s="26" t="str">
        <f>IF(A847="","",BASE_CAIXA!G844)</f>
        <v/>
      </c>
      <c r="K847" s="26" t="str">
        <f>IF(A847="","",BASE_CAIXA!I844)</f>
        <v/>
      </c>
      <c r="L847" s="26" t="str">
        <f>IF(A847="","",BASE_CAIXA!J844)</f>
        <v/>
      </c>
      <c r="M847" s="26" t="str">
        <f>IF(A847="","",BASE_CAIXA!AM844)</f>
        <v/>
      </c>
      <c r="N847" s="26" t="str">
        <f t="shared" ca="1" si="39"/>
        <v/>
      </c>
      <c r="O847" s="26" t="str">
        <f>IFERROR(INDEX(EXTRATO_IMPORTADO!$A$5:$A$404,MATCH(B847,EXTRATO_IMPORTADO!$I$5:$I$404,0)),"")</f>
        <v/>
      </c>
      <c r="P847" s="26" t="str">
        <f>IFERROR(INDEX(EXTRATO_IMPORTADO!$F$5:$F$404,MATCH(B847,EXTRATO_IMPORTADO!$I$5:$I$404,0)),"")</f>
        <v/>
      </c>
      <c r="Q847" s="26" t="str">
        <f>IFERROR(INDEX(EXTRATO_IMPORTADO!$B$5:$B$404,MATCH(B847,EXTRATO_IMPORTADO!$I$5:$I$404,0)),"")</f>
        <v/>
      </c>
      <c r="R847" s="26" t="str">
        <f>IFERROR(MATCH(B847,EXTRATO_IMPORTADO!$I$5:$I$404,0),"")</f>
        <v/>
      </c>
      <c r="S847" s="26" t="str">
        <f t="shared" si="40"/>
        <v/>
      </c>
      <c r="T847" s="26" t="str">
        <f t="shared" si="41"/>
        <v/>
      </c>
    </row>
    <row r="848" spans="1:20" x14ac:dyDescent="0.3">
      <c r="A848" s="26" t="str">
        <f>IF(BASE_CAIXA!A845="","",BASE_CAIXA!A845)</f>
        <v/>
      </c>
      <c r="B848" s="26" t="str">
        <f>IF(A848="","",BASE_CAIXA!AL845)</f>
        <v/>
      </c>
      <c r="C848" s="26" t="str">
        <f>IF(A848="","",BASE_CAIXA!AJ845)</f>
        <v/>
      </c>
      <c r="D848" s="26" t="str">
        <f>IF(A848="","",IF(BASE_CAIXA!C845="Entrada","Crédito","Débito"))</f>
        <v/>
      </c>
      <c r="E848" s="26" t="str">
        <f>IF(A848="","",BASE_CAIXA!AA845)</f>
        <v/>
      </c>
      <c r="F848" s="26" t="str">
        <f>IF(A848="","",BASE_CAIXA!N845)</f>
        <v/>
      </c>
      <c r="G848" s="26" t="str">
        <f>IF(A848="","",BASE_CAIXA!O845)</f>
        <v/>
      </c>
      <c r="H848" s="26" t="str">
        <f>IF(A848="","",BASE_CAIXA!P845)</f>
        <v/>
      </c>
      <c r="I848" s="26" t="str">
        <f>IF(A848="","",IF(BASE_CAIXA!H845&lt;&gt;"",BASE_CAIXA!H845,BASE_CAIXA!G845))</f>
        <v/>
      </c>
      <c r="J848" s="26" t="str">
        <f>IF(A848="","",BASE_CAIXA!G845)</f>
        <v/>
      </c>
      <c r="K848" s="26" t="str">
        <f>IF(A848="","",BASE_CAIXA!I845)</f>
        <v/>
      </c>
      <c r="L848" s="26" t="str">
        <f>IF(A848="","",BASE_CAIXA!J845)</f>
        <v/>
      </c>
      <c r="M848" s="26" t="str">
        <f>IF(A848="","",BASE_CAIXA!AM845)</f>
        <v/>
      </c>
      <c r="N848" s="26" t="str">
        <f t="shared" ca="1" si="39"/>
        <v/>
      </c>
      <c r="O848" s="26" t="str">
        <f>IFERROR(INDEX(EXTRATO_IMPORTADO!$A$5:$A$404,MATCH(B848,EXTRATO_IMPORTADO!$I$5:$I$404,0)),"")</f>
        <v/>
      </c>
      <c r="P848" s="26" t="str">
        <f>IFERROR(INDEX(EXTRATO_IMPORTADO!$F$5:$F$404,MATCH(B848,EXTRATO_IMPORTADO!$I$5:$I$404,0)),"")</f>
        <v/>
      </c>
      <c r="Q848" s="26" t="str">
        <f>IFERROR(INDEX(EXTRATO_IMPORTADO!$B$5:$B$404,MATCH(B848,EXTRATO_IMPORTADO!$I$5:$I$404,0)),"")</f>
        <v/>
      </c>
      <c r="R848" s="26" t="str">
        <f>IFERROR(MATCH(B848,EXTRATO_IMPORTADO!$I$5:$I$404,0),"")</f>
        <v/>
      </c>
      <c r="S848" s="26" t="str">
        <f t="shared" si="40"/>
        <v/>
      </c>
      <c r="T848" s="26" t="str">
        <f t="shared" si="41"/>
        <v/>
      </c>
    </row>
    <row r="849" spans="1:20" x14ac:dyDescent="0.3">
      <c r="A849" s="26" t="str">
        <f>IF(BASE_CAIXA!A846="","",BASE_CAIXA!A846)</f>
        <v/>
      </c>
      <c r="B849" s="26" t="str">
        <f>IF(A849="","",BASE_CAIXA!AL846)</f>
        <v/>
      </c>
      <c r="C849" s="26" t="str">
        <f>IF(A849="","",BASE_CAIXA!AJ846)</f>
        <v/>
      </c>
      <c r="D849" s="26" t="str">
        <f>IF(A849="","",IF(BASE_CAIXA!C846="Entrada","Crédito","Débito"))</f>
        <v/>
      </c>
      <c r="E849" s="26" t="str">
        <f>IF(A849="","",BASE_CAIXA!AA846)</f>
        <v/>
      </c>
      <c r="F849" s="26" t="str">
        <f>IF(A849="","",BASE_CAIXA!N846)</f>
        <v/>
      </c>
      <c r="G849" s="26" t="str">
        <f>IF(A849="","",BASE_CAIXA!O846)</f>
        <v/>
      </c>
      <c r="H849" s="26" t="str">
        <f>IF(A849="","",BASE_CAIXA!P846)</f>
        <v/>
      </c>
      <c r="I849" s="26" t="str">
        <f>IF(A849="","",IF(BASE_CAIXA!H846&lt;&gt;"",BASE_CAIXA!H846,BASE_CAIXA!G846))</f>
        <v/>
      </c>
      <c r="J849" s="26" t="str">
        <f>IF(A849="","",BASE_CAIXA!G846)</f>
        <v/>
      </c>
      <c r="K849" s="26" t="str">
        <f>IF(A849="","",BASE_CAIXA!I846)</f>
        <v/>
      </c>
      <c r="L849" s="26" t="str">
        <f>IF(A849="","",BASE_CAIXA!J846)</f>
        <v/>
      </c>
      <c r="M849" s="26" t="str">
        <f>IF(A849="","",BASE_CAIXA!AM846)</f>
        <v/>
      </c>
      <c r="N849" s="26" t="str">
        <f t="shared" ca="1" si="39"/>
        <v/>
      </c>
      <c r="O849" s="26" t="str">
        <f>IFERROR(INDEX(EXTRATO_IMPORTADO!$A$5:$A$404,MATCH(B849,EXTRATO_IMPORTADO!$I$5:$I$404,0)),"")</f>
        <v/>
      </c>
      <c r="P849" s="26" t="str">
        <f>IFERROR(INDEX(EXTRATO_IMPORTADO!$F$5:$F$404,MATCH(B849,EXTRATO_IMPORTADO!$I$5:$I$404,0)),"")</f>
        <v/>
      </c>
      <c r="Q849" s="26" t="str">
        <f>IFERROR(INDEX(EXTRATO_IMPORTADO!$B$5:$B$404,MATCH(B849,EXTRATO_IMPORTADO!$I$5:$I$404,0)),"")</f>
        <v/>
      </c>
      <c r="R849" s="26" t="str">
        <f>IFERROR(MATCH(B849,EXTRATO_IMPORTADO!$I$5:$I$404,0),"")</f>
        <v/>
      </c>
      <c r="S849" s="26" t="str">
        <f t="shared" si="40"/>
        <v/>
      </c>
      <c r="T849" s="26" t="str">
        <f t="shared" si="41"/>
        <v/>
      </c>
    </row>
    <row r="850" spans="1:20" x14ac:dyDescent="0.3">
      <c r="A850" s="26" t="str">
        <f>IF(BASE_CAIXA!A847="","",BASE_CAIXA!A847)</f>
        <v/>
      </c>
      <c r="B850" s="26" t="str">
        <f>IF(A850="","",BASE_CAIXA!AL847)</f>
        <v/>
      </c>
      <c r="C850" s="26" t="str">
        <f>IF(A850="","",BASE_CAIXA!AJ847)</f>
        <v/>
      </c>
      <c r="D850" s="26" t="str">
        <f>IF(A850="","",IF(BASE_CAIXA!C847="Entrada","Crédito","Débito"))</f>
        <v/>
      </c>
      <c r="E850" s="26" t="str">
        <f>IF(A850="","",BASE_CAIXA!AA847)</f>
        <v/>
      </c>
      <c r="F850" s="26" t="str">
        <f>IF(A850="","",BASE_CAIXA!N847)</f>
        <v/>
      </c>
      <c r="G850" s="26" t="str">
        <f>IF(A850="","",BASE_CAIXA!O847)</f>
        <v/>
      </c>
      <c r="H850" s="26" t="str">
        <f>IF(A850="","",BASE_CAIXA!P847)</f>
        <v/>
      </c>
      <c r="I850" s="26" t="str">
        <f>IF(A850="","",IF(BASE_CAIXA!H847&lt;&gt;"",BASE_CAIXA!H847,BASE_CAIXA!G847))</f>
        <v/>
      </c>
      <c r="J850" s="26" t="str">
        <f>IF(A850="","",BASE_CAIXA!G847)</f>
        <v/>
      </c>
      <c r="K850" s="26" t="str">
        <f>IF(A850="","",BASE_CAIXA!I847)</f>
        <v/>
      </c>
      <c r="L850" s="26" t="str">
        <f>IF(A850="","",BASE_CAIXA!J847)</f>
        <v/>
      </c>
      <c r="M850" s="26" t="str">
        <f>IF(A850="","",BASE_CAIXA!AM847)</f>
        <v/>
      </c>
      <c r="N850" s="26" t="str">
        <f t="shared" ca="1" si="39"/>
        <v/>
      </c>
      <c r="O850" s="26" t="str">
        <f>IFERROR(INDEX(EXTRATO_IMPORTADO!$A$5:$A$404,MATCH(B850,EXTRATO_IMPORTADO!$I$5:$I$404,0)),"")</f>
        <v/>
      </c>
      <c r="P850" s="26" t="str">
        <f>IFERROR(INDEX(EXTRATO_IMPORTADO!$F$5:$F$404,MATCH(B850,EXTRATO_IMPORTADO!$I$5:$I$404,0)),"")</f>
        <v/>
      </c>
      <c r="Q850" s="26" t="str">
        <f>IFERROR(INDEX(EXTRATO_IMPORTADO!$B$5:$B$404,MATCH(B850,EXTRATO_IMPORTADO!$I$5:$I$404,0)),"")</f>
        <v/>
      </c>
      <c r="R850" s="26" t="str">
        <f>IFERROR(MATCH(B850,EXTRATO_IMPORTADO!$I$5:$I$404,0),"")</f>
        <v/>
      </c>
      <c r="S850" s="26" t="str">
        <f t="shared" si="40"/>
        <v/>
      </c>
      <c r="T850" s="26" t="str">
        <f t="shared" si="41"/>
        <v/>
      </c>
    </row>
    <row r="851" spans="1:20" x14ac:dyDescent="0.3">
      <c r="A851" s="26" t="str">
        <f>IF(BASE_CAIXA!A848="","",BASE_CAIXA!A848)</f>
        <v/>
      </c>
      <c r="B851" s="26" t="str">
        <f>IF(A851="","",BASE_CAIXA!AL848)</f>
        <v/>
      </c>
      <c r="C851" s="26" t="str">
        <f>IF(A851="","",BASE_CAIXA!AJ848)</f>
        <v/>
      </c>
      <c r="D851" s="26" t="str">
        <f>IF(A851="","",IF(BASE_CAIXA!C848="Entrada","Crédito","Débito"))</f>
        <v/>
      </c>
      <c r="E851" s="26" t="str">
        <f>IF(A851="","",BASE_CAIXA!AA848)</f>
        <v/>
      </c>
      <c r="F851" s="26" t="str">
        <f>IF(A851="","",BASE_CAIXA!N848)</f>
        <v/>
      </c>
      <c r="G851" s="26" t="str">
        <f>IF(A851="","",BASE_CAIXA!O848)</f>
        <v/>
      </c>
      <c r="H851" s="26" t="str">
        <f>IF(A851="","",BASE_CAIXA!P848)</f>
        <v/>
      </c>
      <c r="I851" s="26" t="str">
        <f>IF(A851="","",IF(BASE_CAIXA!H848&lt;&gt;"",BASE_CAIXA!H848,BASE_CAIXA!G848))</f>
        <v/>
      </c>
      <c r="J851" s="26" t="str">
        <f>IF(A851="","",BASE_CAIXA!G848)</f>
        <v/>
      </c>
      <c r="K851" s="26" t="str">
        <f>IF(A851="","",BASE_CAIXA!I848)</f>
        <v/>
      </c>
      <c r="L851" s="26" t="str">
        <f>IF(A851="","",BASE_CAIXA!J848)</f>
        <v/>
      </c>
      <c r="M851" s="26" t="str">
        <f>IF(A851="","",BASE_CAIXA!AM848)</f>
        <v/>
      </c>
      <c r="N851" s="26" t="str">
        <f t="shared" ca="1" si="39"/>
        <v/>
      </c>
      <c r="O851" s="26" t="str">
        <f>IFERROR(INDEX(EXTRATO_IMPORTADO!$A$5:$A$404,MATCH(B851,EXTRATO_IMPORTADO!$I$5:$I$404,0)),"")</f>
        <v/>
      </c>
      <c r="P851" s="26" t="str">
        <f>IFERROR(INDEX(EXTRATO_IMPORTADO!$F$5:$F$404,MATCH(B851,EXTRATO_IMPORTADO!$I$5:$I$404,0)),"")</f>
        <v/>
      </c>
      <c r="Q851" s="26" t="str">
        <f>IFERROR(INDEX(EXTRATO_IMPORTADO!$B$5:$B$404,MATCH(B851,EXTRATO_IMPORTADO!$I$5:$I$404,0)),"")</f>
        <v/>
      </c>
      <c r="R851" s="26" t="str">
        <f>IFERROR(MATCH(B851,EXTRATO_IMPORTADO!$I$5:$I$404,0),"")</f>
        <v/>
      </c>
      <c r="S851" s="26" t="str">
        <f t="shared" si="40"/>
        <v/>
      </c>
      <c r="T851" s="26" t="str">
        <f t="shared" si="41"/>
        <v/>
      </c>
    </row>
    <row r="852" spans="1:20" x14ac:dyDescent="0.3">
      <c r="A852" s="26" t="str">
        <f>IF(BASE_CAIXA!A849="","",BASE_CAIXA!A849)</f>
        <v/>
      </c>
      <c r="B852" s="26" t="str">
        <f>IF(A852="","",BASE_CAIXA!AL849)</f>
        <v/>
      </c>
      <c r="C852" s="26" t="str">
        <f>IF(A852="","",BASE_CAIXA!AJ849)</f>
        <v/>
      </c>
      <c r="D852" s="26" t="str">
        <f>IF(A852="","",IF(BASE_CAIXA!C849="Entrada","Crédito","Débito"))</f>
        <v/>
      </c>
      <c r="E852" s="26" t="str">
        <f>IF(A852="","",BASE_CAIXA!AA849)</f>
        <v/>
      </c>
      <c r="F852" s="26" t="str">
        <f>IF(A852="","",BASE_CAIXA!N849)</f>
        <v/>
      </c>
      <c r="G852" s="26" t="str">
        <f>IF(A852="","",BASE_CAIXA!O849)</f>
        <v/>
      </c>
      <c r="H852" s="26" t="str">
        <f>IF(A852="","",BASE_CAIXA!P849)</f>
        <v/>
      </c>
      <c r="I852" s="26" t="str">
        <f>IF(A852="","",IF(BASE_CAIXA!H849&lt;&gt;"",BASE_CAIXA!H849,BASE_CAIXA!G849))</f>
        <v/>
      </c>
      <c r="J852" s="26" t="str">
        <f>IF(A852="","",BASE_CAIXA!G849)</f>
        <v/>
      </c>
      <c r="K852" s="26" t="str">
        <f>IF(A852="","",BASE_CAIXA!I849)</f>
        <v/>
      </c>
      <c r="L852" s="26" t="str">
        <f>IF(A852="","",BASE_CAIXA!J849)</f>
        <v/>
      </c>
      <c r="M852" s="26" t="str">
        <f>IF(A852="","",BASE_CAIXA!AM849)</f>
        <v/>
      </c>
      <c r="N852" s="26" t="str">
        <f t="shared" ca="1" si="39"/>
        <v/>
      </c>
      <c r="O852" s="26" t="str">
        <f>IFERROR(INDEX(EXTRATO_IMPORTADO!$A$5:$A$404,MATCH(B852,EXTRATO_IMPORTADO!$I$5:$I$404,0)),"")</f>
        <v/>
      </c>
      <c r="P852" s="26" t="str">
        <f>IFERROR(INDEX(EXTRATO_IMPORTADO!$F$5:$F$404,MATCH(B852,EXTRATO_IMPORTADO!$I$5:$I$404,0)),"")</f>
        <v/>
      </c>
      <c r="Q852" s="26" t="str">
        <f>IFERROR(INDEX(EXTRATO_IMPORTADO!$B$5:$B$404,MATCH(B852,EXTRATO_IMPORTADO!$I$5:$I$404,0)),"")</f>
        <v/>
      </c>
      <c r="R852" s="26" t="str">
        <f>IFERROR(MATCH(B852,EXTRATO_IMPORTADO!$I$5:$I$404,0),"")</f>
        <v/>
      </c>
      <c r="S852" s="26" t="str">
        <f t="shared" si="40"/>
        <v/>
      </c>
      <c r="T852" s="26" t="str">
        <f t="shared" si="41"/>
        <v/>
      </c>
    </row>
    <row r="853" spans="1:20" x14ac:dyDescent="0.3">
      <c r="A853" s="26" t="str">
        <f>IF(BASE_CAIXA!A850="","",BASE_CAIXA!A850)</f>
        <v/>
      </c>
      <c r="B853" s="26" t="str">
        <f>IF(A853="","",BASE_CAIXA!AL850)</f>
        <v/>
      </c>
      <c r="C853" s="26" t="str">
        <f>IF(A853="","",BASE_CAIXA!AJ850)</f>
        <v/>
      </c>
      <c r="D853" s="26" t="str">
        <f>IF(A853="","",IF(BASE_CAIXA!C850="Entrada","Crédito","Débito"))</f>
        <v/>
      </c>
      <c r="E853" s="26" t="str">
        <f>IF(A853="","",BASE_CAIXA!AA850)</f>
        <v/>
      </c>
      <c r="F853" s="26" t="str">
        <f>IF(A853="","",BASE_CAIXA!N850)</f>
        <v/>
      </c>
      <c r="G853" s="26" t="str">
        <f>IF(A853="","",BASE_CAIXA!O850)</f>
        <v/>
      </c>
      <c r="H853" s="26" t="str">
        <f>IF(A853="","",BASE_CAIXA!P850)</f>
        <v/>
      </c>
      <c r="I853" s="26" t="str">
        <f>IF(A853="","",IF(BASE_CAIXA!H850&lt;&gt;"",BASE_CAIXA!H850,BASE_CAIXA!G850))</f>
        <v/>
      </c>
      <c r="J853" s="26" t="str">
        <f>IF(A853="","",BASE_CAIXA!G850)</f>
        <v/>
      </c>
      <c r="K853" s="26" t="str">
        <f>IF(A853="","",BASE_CAIXA!I850)</f>
        <v/>
      </c>
      <c r="L853" s="26" t="str">
        <f>IF(A853="","",BASE_CAIXA!J850)</f>
        <v/>
      </c>
      <c r="M853" s="26" t="str">
        <f>IF(A853="","",BASE_CAIXA!AM850)</f>
        <v/>
      </c>
      <c r="N853" s="26" t="str">
        <f t="shared" ca="1" si="39"/>
        <v/>
      </c>
      <c r="O853" s="26" t="str">
        <f>IFERROR(INDEX(EXTRATO_IMPORTADO!$A$5:$A$404,MATCH(B853,EXTRATO_IMPORTADO!$I$5:$I$404,0)),"")</f>
        <v/>
      </c>
      <c r="P853" s="26" t="str">
        <f>IFERROR(INDEX(EXTRATO_IMPORTADO!$F$5:$F$404,MATCH(B853,EXTRATO_IMPORTADO!$I$5:$I$404,0)),"")</f>
        <v/>
      </c>
      <c r="Q853" s="26" t="str">
        <f>IFERROR(INDEX(EXTRATO_IMPORTADO!$B$5:$B$404,MATCH(B853,EXTRATO_IMPORTADO!$I$5:$I$404,0)),"")</f>
        <v/>
      </c>
      <c r="R853" s="26" t="str">
        <f>IFERROR(MATCH(B853,EXTRATO_IMPORTADO!$I$5:$I$404,0),"")</f>
        <v/>
      </c>
      <c r="S853" s="26" t="str">
        <f t="shared" si="40"/>
        <v/>
      </c>
      <c r="T853" s="26" t="str">
        <f t="shared" si="41"/>
        <v/>
      </c>
    </row>
    <row r="854" spans="1:20" x14ac:dyDescent="0.3">
      <c r="A854" s="26" t="str">
        <f>IF(BASE_CAIXA!A851="","",BASE_CAIXA!A851)</f>
        <v/>
      </c>
      <c r="B854" s="26" t="str">
        <f>IF(A854="","",BASE_CAIXA!AL851)</f>
        <v/>
      </c>
      <c r="C854" s="26" t="str">
        <f>IF(A854="","",BASE_CAIXA!AJ851)</f>
        <v/>
      </c>
      <c r="D854" s="26" t="str">
        <f>IF(A854="","",IF(BASE_CAIXA!C851="Entrada","Crédito","Débito"))</f>
        <v/>
      </c>
      <c r="E854" s="26" t="str">
        <f>IF(A854="","",BASE_CAIXA!AA851)</f>
        <v/>
      </c>
      <c r="F854" s="26" t="str">
        <f>IF(A854="","",BASE_CAIXA!N851)</f>
        <v/>
      </c>
      <c r="G854" s="26" t="str">
        <f>IF(A854="","",BASE_CAIXA!O851)</f>
        <v/>
      </c>
      <c r="H854" s="26" t="str">
        <f>IF(A854="","",BASE_CAIXA!P851)</f>
        <v/>
      </c>
      <c r="I854" s="26" t="str">
        <f>IF(A854="","",IF(BASE_CAIXA!H851&lt;&gt;"",BASE_CAIXA!H851,BASE_CAIXA!G851))</f>
        <v/>
      </c>
      <c r="J854" s="26" t="str">
        <f>IF(A854="","",BASE_CAIXA!G851)</f>
        <v/>
      </c>
      <c r="K854" s="26" t="str">
        <f>IF(A854="","",BASE_CAIXA!I851)</f>
        <v/>
      </c>
      <c r="L854" s="26" t="str">
        <f>IF(A854="","",BASE_CAIXA!J851)</f>
        <v/>
      </c>
      <c r="M854" s="26" t="str">
        <f>IF(A854="","",BASE_CAIXA!AM851)</f>
        <v/>
      </c>
      <c r="N854" s="26" t="str">
        <f t="shared" ca="1" si="39"/>
        <v/>
      </c>
      <c r="O854" s="26" t="str">
        <f>IFERROR(INDEX(EXTRATO_IMPORTADO!$A$5:$A$404,MATCH(B854,EXTRATO_IMPORTADO!$I$5:$I$404,0)),"")</f>
        <v/>
      </c>
      <c r="P854" s="26" t="str">
        <f>IFERROR(INDEX(EXTRATO_IMPORTADO!$F$5:$F$404,MATCH(B854,EXTRATO_IMPORTADO!$I$5:$I$404,0)),"")</f>
        <v/>
      </c>
      <c r="Q854" s="26" t="str">
        <f>IFERROR(INDEX(EXTRATO_IMPORTADO!$B$5:$B$404,MATCH(B854,EXTRATO_IMPORTADO!$I$5:$I$404,0)),"")</f>
        <v/>
      </c>
      <c r="R854" s="26" t="str">
        <f>IFERROR(MATCH(B854,EXTRATO_IMPORTADO!$I$5:$I$404,0),"")</f>
        <v/>
      </c>
      <c r="S854" s="26" t="str">
        <f t="shared" si="40"/>
        <v/>
      </c>
      <c r="T854" s="26" t="str">
        <f t="shared" si="41"/>
        <v/>
      </c>
    </row>
    <row r="855" spans="1:20" x14ac:dyDescent="0.3">
      <c r="A855" s="26" t="str">
        <f>IF(BASE_CAIXA!A852="","",BASE_CAIXA!A852)</f>
        <v/>
      </c>
      <c r="B855" s="26" t="str">
        <f>IF(A855="","",BASE_CAIXA!AL852)</f>
        <v/>
      </c>
      <c r="C855" s="26" t="str">
        <f>IF(A855="","",BASE_CAIXA!AJ852)</f>
        <v/>
      </c>
      <c r="D855" s="26" t="str">
        <f>IF(A855="","",IF(BASE_CAIXA!C852="Entrada","Crédito","Débito"))</f>
        <v/>
      </c>
      <c r="E855" s="26" t="str">
        <f>IF(A855="","",BASE_CAIXA!AA852)</f>
        <v/>
      </c>
      <c r="F855" s="26" t="str">
        <f>IF(A855="","",BASE_CAIXA!N852)</f>
        <v/>
      </c>
      <c r="G855" s="26" t="str">
        <f>IF(A855="","",BASE_CAIXA!O852)</f>
        <v/>
      </c>
      <c r="H855" s="26" t="str">
        <f>IF(A855="","",BASE_CAIXA!P852)</f>
        <v/>
      </c>
      <c r="I855" s="26" t="str">
        <f>IF(A855="","",IF(BASE_CAIXA!H852&lt;&gt;"",BASE_CAIXA!H852,BASE_CAIXA!G852))</f>
        <v/>
      </c>
      <c r="J855" s="26" t="str">
        <f>IF(A855="","",BASE_CAIXA!G852)</f>
        <v/>
      </c>
      <c r="K855" s="26" t="str">
        <f>IF(A855="","",BASE_CAIXA!I852)</f>
        <v/>
      </c>
      <c r="L855" s="26" t="str">
        <f>IF(A855="","",BASE_CAIXA!J852)</f>
        <v/>
      </c>
      <c r="M855" s="26" t="str">
        <f>IF(A855="","",BASE_CAIXA!AM852)</f>
        <v/>
      </c>
      <c r="N855" s="26" t="str">
        <f t="shared" ca="1" si="39"/>
        <v/>
      </c>
      <c r="O855" s="26" t="str">
        <f>IFERROR(INDEX(EXTRATO_IMPORTADO!$A$5:$A$404,MATCH(B855,EXTRATO_IMPORTADO!$I$5:$I$404,0)),"")</f>
        <v/>
      </c>
      <c r="P855" s="26" t="str">
        <f>IFERROR(INDEX(EXTRATO_IMPORTADO!$F$5:$F$404,MATCH(B855,EXTRATO_IMPORTADO!$I$5:$I$404,0)),"")</f>
        <v/>
      </c>
      <c r="Q855" s="26" t="str">
        <f>IFERROR(INDEX(EXTRATO_IMPORTADO!$B$5:$B$404,MATCH(B855,EXTRATO_IMPORTADO!$I$5:$I$404,0)),"")</f>
        <v/>
      </c>
      <c r="R855" s="26" t="str">
        <f>IFERROR(MATCH(B855,EXTRATO_IMPORTADO!$I$5:$I$404,0),"")</f>
        <v/>
      </c>
      <c r="S855" s="26" t="str">
        <f t="shared" si="40"/>
        <v/>
      </c>
      <c r="T855" s="26" t="str">
        <f t="shared" si="41"/>
        <v/>
      </c>
    </row>
    <row r="856" spans="1:20" x14ac:dyDescent="0.3">
      <c r="A856" s="26" t="str">
        <f>IF(BASE_CAIXA!A853="","",BASE_CAIXA!A853)</f>
        <v/>
      </c>
      <c r="B856" s="26" t="str">
        <f>IF(A856="","",BASE_CAIXA!AL853)</f>
        <v/>
      </c>
      <c r="C856" s="26" t="str">
        <f>IF(A856="","",BASE_CAIXA!AJ853)</f>
        <v/>
      </c>
      <c r="D856" s="26" t="str">
        <f>IF(A856="","",IF(BASE_CAIXA!C853="Entrada","Crédito","Débito"))</f>
        <v/>
      </c>
      <c r="E856" s="26" t="str">
        <f>IF(A856="","",BASE_CAIXA!AA853)</f>
        <v/>
      </c>
      <c r="F856" s="26" t="str">
        <f>IF(A856="","",BASE_CAIXA!N853)</f>
        <v/>
      </c>
      <c r="G856" s="26" t="str">
        <f>IF(A856="","",BASE_CAIXA!O853)</f>
        <v/>
      </c>
      <c r="H856" s="26" t="str">
        <f>IF(A856="","",BASE_CAIXA!P853)</f>
        <v/>
      </c>
      <c r="I856" s="26" t="str">
        <f>IF(A856="","",IF(BASE_CAIXA!H853&lt;&gt;"",BASE_CAIXA!H853,BASE_CAIXA!G853))</f>
        <v/>
      </c>
      <c r="J856" s="26" t="str">
        <f>IF(A856="","",BASE_CAIXA!G853)</f>
        <v/>
      </c>
      <c r="K856" s="26" t="str">
        <f>IF(A856="","",BASE_CAIXA!I853)</f>
        <v/>
      </c>
      <c r="L856" s="26" t="str">
        <f>IF(A856="","",BASE_CAIXA!J853)</f>
        <v/>
      </c>
      <c r="M856" s="26" t="str">
        <f>IF(A856="","",BASE_CAIXA!AM853)</f>
        <v/>
      </c>
      <c r="N856" s="26" t="str">
        <f t="shared" ca="1" si="39"/>
        <v/>
      </c>
      <c r="O856" s="26" t="str">
        <f>IFERROR(INDEX(EXTRATO_IMPORTADO!$A$5:$A$404,MATCH(B856,EXTRATO_IMPORTADO!$I$5:$I$404,0)),"")</f>
        <v/>
      </c>
      <c r="P856" s="26" t="str">
        <f>IFERROR(INDEX(EXTRATO_IMPORTADO!$F$5:$F$404,MATCH(B856,EXTRATO_IMPORTADO!$I$5:$I$404,0)),"")</f>
        <v/>
      </c>
      <c r="Q856" s="26" t="str">
        <f>IFERROR(INDEX(EXTRATO_IMPORTADO!$B$5:$B$404,MATCH(B856,EXTRATO_IMPORTADO!$I$5:$I$404,0)),"")</f>
        <v/>
      </c>
      <c r="R856" s="26" t="str">
        <f>IFERROR(MATCH(B856,EXTRATO_IMPORTADO!$I$5:$I$404,0),"")</f>
        <v/>
      </c>
      <c r="S856" s="26" t="str">
        <f t="shared" si="40"/>
        <v/>
      </c>
      <c r="T856" s="26" t="str">
        <f t="shared" si="41"/>
        <v/>
      </c>
    </row>
    <row r="857" spans="1:20" x14ac:dyDescent="0.3">
      <c r="A857" s="26" t="str">
        <f>IF(BASE_CAIXA!A854="","",BASE_CAIXA!A854)</f>
        <v/>
      </c>
      <c r="B857" s="26" t="str">
        <f>IF(A857="","",BASE_CAIXA!AL854)</f>
        <v/>
      </c>
      <c r="C857" s="26" t="str">
        <f>IF(A857="","",BASE_CAIXA!AJ854)</f>
        <v/>
      </c>
      <c r="D857" s="26" t="str">
        <f>IF(A857="","",IF(BASE_CAIXA!C854="Entrada","Crédito","Débito"))</f>
        <v/>
      </c>
      <c r="E857" s="26" t="str">
        <f>IF(A857="","",BASE_CAIXA!AA854)</f>
        <v/>
      </c>
      <c r="F857" s="26" t="str">
        <f>IF(A857="","",BASE_CAIXA!N854)</f>
        <v/>
      </c>
      <c r="G857" s="26" t="str">
        <f>IF(A857="","",BASE_CAIXA!O854)</f>
        <v/>
      </c>
      <c r="H857" s="26" t="str">
        <f>IF(A857="","",BASE_CAIXA!P854)</f>
        <v/>
      </c>
      <c r="I857" s="26" t="str">
        <f>IF(A857="","",IF(BASE_CAIXA!H854&lt;&gt;"",BASE_CAIXA!H854,BASE_CAIXA!G854))</f>
        <v/>
      </c>
      <c r="J857" s="26" t="str">
        <f>IF(A857="","",BASE_CAIXA!G854)</f>
        <v/>
      </c>
      <c r="K857" s="26" t="str">
        <f>IF(A857="","",BASE_CAIXA!I854)</f>
        <v/>
      </c>
      <c r="L857" s="26" t="str">
        <f>IF(A857="","",BASE_CAIXA!J854)</f>
        <v/>
      </c>
      <c r="M857" s="26" t="str">
        <f>IF(A857="","",BASE_CAIXA!AM854)</f>
        <v/>
      </c>
      <c r="N857" s="26" t="str">
        <f t="shared" ca="1" si="39"/>
        <v/>
      </c>
      <c r="O857" s="26" t="str">
        <f>IFERROR(INDEX(EXTRATO_IMPORTADO!$A$5:$A$404,MATCH(B857,EXTRATO_IMPORTADO!$I$5:$I$404,0)),"")</f>
        <v/>
      </c>
      <c r="P857" s="26" t="str">
        <f>IFERROR(INDEX(EXTRATO_IMPORTADO!$F$5:$F$404,MATCH(B857,EXTRATO_IMPORTADO!$I$5:$I$404,0)),"")</f>
        <v/>
      </c>
      <c r="Q857" s="26" t="str">
        <f>IFERROR(INDEX(EXTRATO_IMPORTADO!$B$5:$B$404,MATCH(B857,EXTRATO_IMPORTADO!$I$5:$I$404,0)),"")</f>
        <v/>
      </c>
      <c r="R857" s="26" t="str">
        <f>IFERROR(MATCH(B857,EXTRATO_IMPORTADO!$I$5:$I$404,0),"")</f>
        <v/>
      </c>
      <c r="S857" s="26" t="str">
        <f t="shared" si="40"/>
        <v/>
      </c>
      <c r="T857" s="26" t="str">
        <f t="shared" si="41"/>
        <v/>
      </c>
    </row>
    <row r="858" spans="1:20" x14ac:dyDescent="0.3">
      <c r="A858" s="26" t="str">
        <f>IF(BASE_CAIXA!A855="","",BASE_CAIXA!A855)</f>
        <v/>
      </c>
      <c r="B858" s="26" t="str">
        <f>IF(A858="","",BASE_CAIXA!AL855)</f>
        <v/>
      </c>
      <c r="C858" s="26" t="str">
        <f>IF(A858="","",BASE_CAIXA!AJ855)</f>
        <v/>
      </c>
      <c r="D858" s="26" t="str">
        <f>IF(A858="","",IF(BASE_CAIXA!C855="Entrada","Crédito","Débito"))</f>
        <v/>
      </c>
      <c r="E858" s="26" t="str">
        <f>IF(A858="","",BASE_CAIXA!AA855)</f>
        <v/>
      </c>
      <c r="F858" s="26" t="str">
        <f>IF(A858="","",BASE_CAIXA!N855)</f>
        <v/>
      </c>
      <c r="G858" s="26" t="str">
        <f>IF(A858="","",BASE_CAIXA!O855)</f>
        <v/>
      </c>
      <c r="H858" s="26" t="str">
        <f>IF(A858="","",BASE_CAIXA!P855)</f>
        <v/>
      </c>
      <c r="I858" s="26" t="str">
        <f>IF(A858="","",IF(BASE_CAIXA!H855&lt;&gt;"",BASE_CAIXA!H855,BASE_CAIXA!G855))</f>
        <v/>
      </c>
      <c r="J858" s="26" t="str">
        <f>IF(A858="","",BASE_CAIXA!G855)</f>
        <v/>
      </c>
      <c r="K858" s="26" t="str">
        <f>IF(A858="","",BASE_CAIXA!I855)</f>
        <v/>
      </c>
      <c r="L858" s="26" t="str">
        <f>IF(A858="","",BASE_CAIXA!J855)</f>
        <v/>
      </c>
      <c r="M858" s="26" t="str">
        <f>IF(A858="","",BASE_CAIXA!AM855)</f>
        <v/>
      </c>
      <c r="N858" s="26" t="str">
        <f t="shared" ca="1" si="39"/>
        <v/>
      </c>
      <c r="O858" s="26" t="str">
        <f>IFERROR(INDEX(EXTRATO_IMPORTADO!$A$5:$A$404,MATCH(B858,EXTRATO_IMPORTADO!$I$5:$I$404,0)),"")</f>
        <v/>
      </c>
      <c r="P858" s="26" t="str">
        <f>IFERROR(INDEX(EXTRATO_IMPORTADO!$F$5:$F$404,MATCH(B858,EXTRATO_IMPORTADO!$I$5:$I$404,0)),"")</f>
        <v/>
      </c>
      <c r="Q858" s="26" t="str">
        <f>IFERROR(INDEX(EXTRATO_IMPORTADO!$B$5:$B$404,MATCH(B858,EXTRATO_IMPORTADO!$I$5:$I$404,0)),"")</f>
        <v/>
      </c>
      <c r="R858" s="26" t="str">
        <f>IFERROR(MATCH(B858,EXTRATO_IMPORTADO!$I$5:$I$404,0),"")</f>
        <v/>
      </c>
      <c r="S858" s="26" t="str">
        <f t="shared" si="40"/>
        <v/>
      </c>
      <c r="T858" s="26" t="str">
        <f t="shared" si="41"/>
        <v/>
      </c>
    </row>
    <row r="859" spans="1:20" x14ac:dyDescent="0.3">
      <c r="A859" s="26" t="str">
        <f>IF(BASE_CAIXA!A856="","",BASE_CAIXA!A856)</f>
        <v/>
      </c>
      <c r="B859" s="26" t="str">
        <f>IF(A859="","",BASE_CAIXA!AL856)</f>
        <v/>
      </c>
      <c r="C859" s="26" t="str">
        <f>IF(A859="","",BASE_CAIXA!AJ856)</f>
        <v/>
      </c>
      <c r="D859" s="26" t="str">
        <f>IF(A859="","",IF(BASE_CAIXA!C856="Entrada","Crédito","Débito"))</f>
        <v/>
      </c>
      <c r="E859" s="26" t="str">
        <f>IF(A859="","",BASE_CAIXA!AA856)</f>
        <v/>
      </c>
      <c r="F859" s="26" t="str">
        <f>IF(A859="","",BASE_CAIXA!N856)</f>
        <v/>
      </c>
      <c r="G859" s="26" t="str">
        <f>IF(A859="","",BASE_CAIXA!O856)</f>
        <v/>
      </c>
      <c r="H859" s="26" t="str">
        <f>IF(A859="","",BASE_CAIXA!P856)</f>
        <v/>
      </c>
      <c r="I859" s="26" t="str">
        <f>IF(A859="","",IF(BASE_CAIXA!H856&lt;&gt;"",BASE_CAIXA!H856,BASE_CAIXA!G856))</f>
        <v/>
      </c>
      <c r="J859" s="26" t="str">
        <f>IF(A859="","",BASE_CAIXA!G856)</f>
        <v/>
      </c>
      <c r="K859" s="26" t="str">
        <f>IF(A859="","",BASE_CAIXA!I856)</f>
        <v/>
      </c>
      <c r="L859" s="26" t="str">
        <f>IF(A859="","",BASE_CAIXA!J856)</f>
        <v/>
      </c>
      <c r="M859" s="26" t="str">
        <f>IF(A859="","",BASE_CAIXA!AM856)</f>
        <v/>
      </c>
      <c r="N859" s="26" t="str">
        <f t="shared" ca="1" si="39"/>
        <v/>
      </c>
      <c r="O859" s="26" t="str">
        <f>IFERROR(INDEX(EXTRATO_IMPORTADO!$A$5:$A$404,MATCH(B859,EXTRATO_IMPORTADO!$I$5:$I$404,0)),"")</f>
        <v/>
      </c>
      <c r="P859" s="26" t="str">
        <f>IFERROR(INDEX(EXTRATO_IMPORTADO!$F$5:$F$404,MATCH(B859,EXTRATO_IMPORTADO!$I$5:$I$404,0)),"")</f>
        <v/>
      </c>
      <c r="Q859" s="26" t="str">
        <f>IFERROR(INDEX(EXTRATO_IMPORTADO!$B$5:$B$404,MATCH(B859,EXTRATO_IMPORTADO!$I$5:$I$404,0)),"")</f>
        <v/>
      </c>
      <c r="R859" s="26" t="str">
        <f>IFERROR(MATCH(B859,EXTRATO_IMPORTADO!$I$5:$I$404,0),"")</f>
        <v/>
      </c>
      <c r="S859" s="26" t="str">
        <f t="shared" si="40"/>
        <v/>
      </c>
      <c r="T859" s="26" t="str">
        <f t="shared" si="41"/>
        <v/>
      </c>
    </row>
    <row r="860" spans="1:20" x14ac:dyDescent="0.3">
      <c r="A860" s="26" t="str">
        <f>IF(BASE_CAIXA!A857="","",BASE_CAIXA!A857)</f>
        <v/>
      </c>
      <c r="B860" s="26" t="str">
        <f>IF(A860="","",BASE_CAIXA!AL857)</f>
        <v/>
      </c>
      <c r="C860" s="26" t="str">
        <f>IF(A860="","",BASE_CAIXA!AJ857)</f>
        <v/>
      </c>
      <c r="D860" s="26" t="str">
        <f>IF(A860="","",IF(BASE_CAIXA!C857="Entrada","Crédito","Débito"))</f>
        <v/>
      </c>
      <c r="E860" s="26" t="str">
        <f>IF(A860="","",BASE_CAIXA!AA857)</f>
        <v/>
      </c>
      <c r="F860" s="26" t="str">
        <f>IF(A860="","",BASE_CAIXA!N857)</f>
        <v/>
      </c>
      <c r="G860" s="26" t="str">
        <f>IF(A860="","",BASE_CAIXA!O857)</f>
        <v/>
      </c>
      <c r="H860" s="26" t="str">
        <f>IF(A860="","",BASE_CAIXA!P857)</f>
        <v/>
      </c>
      <c r="I860" s="26" t="str">
        <f>IF(A860="","",IF(BASE_CAIXA!H857&lt;&gt;"",BASE_CAIXA!H857,BASE_CAIXA!G857))</f>
        <v/>
      </c>
      <c r="J860" s="26" t="str">
        <f>IF(A860="","",BASE_CAIXA!G857)</f>
        <v/>
      </c>
      <c r="K860" s="26" t="str">
        <f>IF(A860="","",BASE_CAIXA!I857)</f>
        <v/>
      </c>
      <c r="L860" s="26" t="str">
        <f>IF(A860="","",BASE_CAIXA!J857)</f>
        <v/>
      </c>
      <c r="M860" s="26" t="str">
        <f>IF(A860="","",BASE_CAIXA!AM857)</f>
        <v/>
      </c>
      <c r="N860" s="26" t="str">
        <f t="shared" ca="1" si="39"/>
        <v/>
      </c>
      <c r="O860" s="26" t="str">
        <f>IFERROR(INDEX(EXTRATO_IMPORTADO!$A$5:$A$404,MATCH(B860,EXTRATO_IMPORTADO!$I$5:$I$404,0)),"")</f>
        <v/>
      </c>
      <c r="P860" s="26" t="str">
        <f>IFERROR(INDEX(EXTRATO_IMPORTADO!$F$5:$F$404,MATCH(B860,EXTRATO_IMPORTADO!$I$5:$I$404,0)),"")</f>
        <v/>
      </c>
      <c r="Q860" s="26" t="str">
        <f>IFERROR(INDEX(EXTRATO_IMPORTADO!$B$5:$B$404,MATCH(B860,EXTRATO_IMPORTADO!$I$5:$I$404,0)),"")</f>
        <v/>
      </c>
      <c r="R860" s="26" t="str">
        <f>IFERROR(MATCH(B860,EXTRATO_IMPORTADO!$I$5:$I$404,0),"")</f>
        <v/>
      </c>
      <c r="S860" s="26" t="str">
        <f t="shared" si="40"/>
        <v/>
      </c>
      <c r="T860" s="26" t="str">
        <f t="shared" si="41"/>
        <v/>
      </c>
    </row>
    <row r="861" spans="1:20" x14ac:dyDescent="0.3">
      <c r="A861" s="26" t="str">
        <f>IF(BASE_CAIXA!A858="","",BASE_CAIXA!A858)</f>
        <v/>
      </c>
      <c r="B861" s="26" t="str">
        <f>IF(A861="","",BASE_CAIXA!AL858)</f>
        <v/>
      </c>
      <c r="C861" s="26" t="str">
        <f>IF(A861="","",BASE_CAIXA!AJ858)</f>
        <v/>
      </c>
      <c r="D861" s="26" t="str">
        <f>IF(A861="","",IF(BASE_CAIXA!C858="Entrada","Crédito","Débito"))</f>
        <v/>
      </c>
      <c r="E861" s="26" t="str">
        <f>IF(A861="","",BASE_CAIXA!AA858)</f>
        <v/>
      </c>
      <c r="F861" s="26" t="str">
        <f>IF(A861="","",BASE_CAIXA!N858)</f>
        <v/>
      </c>
      <c r="G861" s="26" t="str">
        <f>IF(A861="","",BASE_CAIXA!O858)</f>
        <v/>
      </c>
      <c r="H861" s="26" t="str">
        <f>IF(A861="","",BASE_CAIXA!P858)</f>
        <v/>
      </c>
      <c r="I861" s="26" t="str">
        <f>IF(A861="","",IF(BASE_CAIXA!H858&lt;&gt;"",BASE_CAIXA!H858,BASE_CAIXA!G858))</f>
        <v/>
      </c>
      <c r="J861" s="26" t="str">
        <f>IF(A861="","",BASE_CAIXA!G858)</f>
        <v/>
      </c>
      <c r="K861" s="26" t="str">
        <f>IF(A861="","",BASE_CAIXA!I858)</f>
        <v/>
      </c>
      <c r="L861" s="26" t="str">
        <f>IF(A861="","",BASE_CAIXA!J858)</f>
        <v/>
      </c>
      <c r="M861" s="26" t="str">
        <f>IF(A861="","",BASE_CAIXA!AM858)</f>
        <v/>
      </c>
      <c r="N861" s="26" t="str">
        <f t="shared" ca="1" si="39"/>
        <v/>
      </c>
      <c r="O861" s="26" t="str">
        <f>IFERROR(INDEX(EXTRATO_IMPORTADO!$A$5:$A$404,MATCH(B861,EXTRATO_IMPORTADO!$I$5:$I$404,0)),"")</f>
        <v/>
      </c>
      <c r="P861" s="26" t="str">
        <f>IFERROR(INDEX(EXTRATO_IMPORTADO!$F$5:$F$404,MATCH(B861,EXTRATO_IMPORTADO!$I$5:$I$404,0)),"")</f>
        <v/>
      </c>
      <c r="Q861" s="26" t="str">
        <f>IFERROR(INDEX(EXTRATO_IMPORTADO!$B$5:$B$404,MATCH(B861,EXTRATO_IMPORTADO!$I$5:$I$404,0)),"")</f>
        <v/>
      </c>
      <c r="R861" s="26" t="str">
        <f>IFERROR(MATCH(B861,EXTRATO_IMPORTADO!$I$5:$I$404,0),"")</f>
        <v/>
      </c>
      <c r="S861" s="26" t="str">
        <f t="shared" si="40"/>
        <v/>
      </c>
      <c r="T861" s="26" t="str">
        <f t="shared" si="41"/>
        <v/>
      </c>
    </row>
    <row r="862" spans="1:20" x14ac:dyDescent="0.3">
      <c r="A862" s="26" t="str">
        <f>IF(BASE_CAIXA!A859="","",BASE_CAIXA!A859)</f>
        <v/>
      </c>
      <c r="B862" s="26" t="str">
        <f>IF(A862="","",BASE_CAIXA!AL859)</f>
        <v/>
      </c>
      <c r="C862" s="26" t="str">
        <f>IF(A862="","",BASE_CAIXA!AJ859)</f>
        <v/>
      </c>
      <c r="D862" s="26" t="str">
        <f>IF(A862="","",IF(BASE_CAIXA!C859="Entrada","Crédito","Débito"))</f>
        <v/>
      </c>
      <c r="E862" s="26" t="str">
        <f>IF(A862="","",BASE_CAIXA!AA859)</f>
        <v/>
      </c>
      <c r="F862" s="26" t="str">
        <f>IF(A862="","",BASE_CAIXA!N859)</f>
        <v/>
      </c>
      <c r="G862" s="26" t="str">
        <f>IF(A862="","",BASE_CAIXA!O859)</f>
        <v/>
      </c>
      <c r="H862" s="26" t="str">
        <f>IF(A862="","",BASE_CAIXA!P859)</f>
        <v/>
      </c>
      <c r="I862" s="26" t="str">
        <f>IF(A862="","",IF(BASE_CAIXA!H859&lt;&gt;"",BASE_CAIXA!H859,BASE_CAIXA!G859))</f>
        <v/>
      </c>
      <c r="J862" s="26" t="str">
        <f>IF(A862="","",BASE_CAIXA!G859)</f>
        <v/>
      </c>
      <c r="K862" s="26" t="str">
        <f>IF(A862="","",BASE_CAIXA!I859)</f>
        <v/>
      </c>
      <c r="L862" s="26" t="str">
        <f>IF(A862="","",BASE_CAIXA!J859)</f>
        <v/>
      </c>
      <c r="M862" s="26" t="str">
        <f>IF(A862="","",BASE_CAIXA!AM859)</f>
        <v/>
      </c>
      <c r="N862" s="26" t="str">
        <f t="shared" ca="1" si="39"/>
        <v/>
      </c>
      <c r="O862" s="26" t="str">
        <f>IFERROR(INDEX(EXTRATO_IMPORTADO!$A$5:$A$404,MATCH(B862,EXTRATO_IMPORTADO!$I$5:$I$404,0)),"")</f>
        <v/>
      </c>
      <c r="P862" s="26" t="str">
        <f>IFERROR(INDEX(EXTRATO_IMPORTADO!$F$5:$F$404,MATCH(B862,EXTRATO_IMPORTADO!$I$5:$I$404,0)),"")</f>
        <v/>
      </c>
      <c r="Q862" s="26" t="str">
        <f>IFERROR(INDEX(EXTRATO_IMPORTADO!$B$5:$B$404,MATCH(B862,EXTRATO_IMPORTADO!$I$5:$I$404,0)),"")</f>
        <v/>
      </c>
      <c r="R862" s="26" t="str">
        <f>IFERROR(MATCH(B862,EXTRATO_IMPORTADO!$I$5:$I$404,0),"")</f>
        <v/>
      </c>
      <c r="S862" s="26" t="str">
        <f t="shared" si="40"/>
        <v/>
      </c>
      <c r="T862" s="26" t="str">
        <f t="shared" si="41"/>
        <v/>
      </c>
    </row>
    <row r="863" spans="1:20" x14ac:dyDescent="0.3">
      <c r="A863" s="26" t="str">
        <f>IF(BASE_CAIXA!A860="","",BASE_CAIXA!A860)</f>
        <v/>
      </c>
      <c r="B863" s="26" t="str">
        <f>IF(A863="","",BASE_CAIXA!AL860)</f>
        <v/>
      </c>
      <c r="C863" s="26" t="str">
        <f>IF(A863="","",BASE_CAIXA!AJ860)</f>
        <v/>
      </c>
      <c r="D863" s="26" t="str">
        <f>IF(A863="","",IF(BASE_CAIXA!C860="Entrada","Crédito","Débito"))</f>
        <v/>
      </c>
      <c r="E863" s="26" t="str">
        <f>IF(A863="","",BASE_CAIXA!AA860)</f>
        <v/>
      </c>
      <c r="F863" s="26" t="str">
        <f>IF(A863="","",BASE_CAIXA!N860)</f>
        <v/>
      </c>
      <c r="G863" s="26" t="str">
        <f>IF(A863="","",BASE_CAIXA!O860)</f>
        <v/>
      </c>
      <c r="H863" s="26" t="str">
        <f>IF(A863="","",BASE_CAIXA!P860)</f>
        <v/>
      </c>
      <c r="I863" s="26" t="str">
        <f>IF(A863="","",IF(BASE_CAIXA!H860&lt;&gt;"",BASE_CAIXA!H860,BASE_CAIXA!G860))</f>
        <v/>
      </c>
      <c r="J863" s="26" t="str">
        <f>IF(A863="","",BASE_CAIXA!G860)</f>
        <v/>
      </c>
      <c r="K863" s="26" t="str">
        <f>IF(A863="","",BASE_CAIXA!I860)</f>
        <v/>
      </c>
      <c r="L863" s="26" t="str">
        <f>IF(A863="","",BASE_CAIXA!J860)</f>
        <v/>
      </c>
      <c r="M863" s="26" t="str">
        <f>IF(A863="","",BASE_CAIXA!AM860)</f>
        <v/>
      </c>
      <c r="N863" s="26" t="str">
        <f t="shared" ca="1" si="39"/>
        <v/>
      </c>
      <c r="O863" s="26" t="str">
        <f>IFERROR(INDEX(EXTRATO_IMPORTADO!$A$5:$A$404,MATCH(B863,EXTRATO_IMPORTADO!$I$5:$I$404,0)),"")</f>
        <v/>
      </c>
      <c r="P863" s="26" t="str">
        <f>IFERROR(INDEX(EXTRATO_IMPORTADO!$F$5:$F$404,MATCH(B863,EXTRATO_IMPORTADO!$I$5:$I$404,0)),"")</f>
        <v/>
      </c>
      <c r="Q863" s="26" t="str">
        <f>IFERROR(INDEX(EXTRATO_IMPORTADO!$B$5:$B$404,MATCH(B863,EXTRATO_IMPORTADO!$I$5:$I$404,0)),"")</f>
        <v/>
      </c>
      <c r="R863" s="26" t="str">
        <f>IFERROR(MATCH(B863,EXTRATO_IMPORTADO!$I$5:$I$404,0),"")</f>
        <v/>
      </c>
      <c r="S863" s="26" t="str">
        <f t="shared" si="40"/>
        <v/>
      </c>
      <c r="T863" s="26" t="str">
        <f t="shared" si="41"/>
        <v/>
      </c>
    </row>
    <row r="864" spans="1:20" x14ac:dyDescent="0.3">
      <c r="A864" s="26" t="str">
        <f>IF(BASE_CAIXA!A861="","",BASE_CAIXA!A861)</f>
        <v/>
      </c>
      <c r="B864" s="26" t="str">
        <f>IF(A864="","",BASE_CAIXA!AL861)</f>
        <v/>
      </c>
      <c r="C864" s="26" t="str">
        <f>IF(A864="","",BASE_CAIXA!AJ861)</f>
        <v/>
      </c>
      <c r="D864" s="26" t="str">
        <f>IF(A864="","",IF(BASE_CAIXA!C861="Entrada","Crédito","Débito"))</f>
        <v/>
      </c>
      <c r="E864" s="26" t="str">
        <f>IF(A864="","",BASE_CAIXA!AA861)</f>
        <v/>
      </c>
      <c r="F864" s="26" t="str">
        <f>IF(A864="","",BASE_CAIXA!N861)</f>
        <v/>
      </c>
      <c r="G864" s="26" t="str">
        <f>IF(A864="","",BASE_CAIXA!O861)</f>
        <v/>
      </c>
      <c r="H864" s="26" t="str">
        <f>IF(A864="","",BASE_CAIXA!P861)</f>
        <v/>
      </c>
      <c r="I864" s="26" t="str">
        <f>IF(A864="","",IF(BASE_CAIXA!H861&lt;&gt;"",BASE_CAIXA!H861,BASE_CAIXA!G861))</f>
        <v/>
      </c>
      <c r="J864" s="26" t="str">
        <f>IF(A864="","",BASE_CAIXA!G861)</f>
        <v/>
      </c>
      <c r="K864" s="26" t="str">
        <f>IF(A864="","",BASE_CAIXA!I861)</f>
        <v/>
      </c>
      <c r="L864" s="26" t="str">
        <f>IF(A864="","",BASE_CAIXA!J861)</f>
        <v/>
      </c>
      <c r="M864" s="26" t="str">
        <f>IF(A864="","",BASE_CAIXA!AM861)</f>
        <v/>
      </c>
      <c r="N864" s="26" t="str">
        <f t="shared" ca="1" si="39"/>
        <v/>
      </c>
      <c r="O864" s="26" t="str">
        <f>IFERROR(INDEX(EXTRATO_IMPORTADO!$A$5:$A$404,MATCH(B864,EXTRATO_IMPORTADO!$I$5:$I$404,0)),"")</f>
        <v/>
      </c>
      <c r="P864" s="26" t="str">
        <f>IFERROR(INDEX(EXTRATO_IMPORTADO!$F$5:$F$404,MATCH(B864,EXTRATO_IMPORTADO!$I$5:$I$404,0)),"")</f>
        <v/>
      </c>
      <c r="Q864" s="26" t="str">
        <f>IFERROR(INDEX(EXTRATO_IMPORTADO!$B$5:$B$404,MATCH(B864,EXTRATO_IMPORTADO!$I$5:$I$404,0)),"")</f>
        <v/>
      </c>
      <c r="R864" s="26" t="str">
        <f>IFERROR(MATCH(B864,EXTRATO_IMPORTADO!$I$5:$I$404,0),"")</f>
        <v/>
      </c>
      <c r="S864" s="26" t="str">
        <f t="shared" si="40"/>
        <v/>
      </c>
      <c r="T864" s="26" t="str">
        <f t="shared" si="41"/>
        <v/>
      </c>
    </row>
    <row r="865" spans="1:20" x14ac:dyDescent="0.3">
      <c r="A865" s="26" t="str">
        <f>IF(BASE_CAIXA!A862="","",BASE_CAIXA!A862)</f>
        <v/>
      </c>
      <c r="B865" s="26" t="str">
        <f>IF(A865="","",BASE_CAIXA!AL862)</f>
        <v/>
      </c>
      <c r="C865" s="26" t="str">
        <f>IF(A865="","",BASE_CAIXA!AJ862)</f>
        <v/>
      </c>
      <c r="D865" s="26" t="str">
        <f>IF(A865="","",IF(BASE_CAIXA!C862="Entrada","Crédito","Débito"))</f>
        <v/>
      </c>
      <c r="E865" s="26" t="str">
        <f>IF(A865="","",BASE_CAIXA!AA862)</f>
        <v/>
      </c>
      <c r="F865" s="26" t="str">
        <f>IF(A865="","",BASE_CAIXA!N862)</f>
        <v/>
      </c>
      <c r="G865" s="26" t="str">
        <f>IF(A865="","",BASE_CAIXA!O862)</f>
        <v/>
      </c>
      <c r="H865" s="26" t="str">
        <f>IF(A865="","",BASE_CAIXA!P862)</f>
        <v/>
      </c>
      <c r="I865" s="26" t="str">
        <f>IF(A865="","",IF(BASE_CAIXA!H862&lt;&gt;"",BASE_CAIXA!H862,BASE_CAIXA!G862))</f>
        <v/>
      </c>
      <c r="J865" s="26" t="str">
        <f>IF(A865="","",BASE_CAIXA!G862)</f>
        <v/>
      </c>
      <c r="K865" s="26" t="str">
        <f>IF(A865="","",BASE_CAIXA!I862)</f>
        <v/>
      </c>
      <c r="L865" s="26" t="str">
        <f>IF(A865="","",BASE_CAIXA!J862)</f>
        <v/>
      </c>
      <c r="M865" s="26" t="str">
        <f>IF(A865="","",BASE_CAIXA!AM862)</f>
        <v/>
      </c>
      <c r="N865" s="26" t="str">
        <f t="shared" ca="1" si="39"/>
        <v/>
      </c>
      <c r="O865" s="26" t="str">
        <f>IFERROR(INDEX(EXTRATO_IMPORTADO!$A$5:$A$404,MATCH(B865,EXTRATO_IMPORTADO!$I$5:$I$404,0)),"")</f>
        <v/>
      </c>
      <c r="P865" s="26" t="str">
        <f>IFERROR(INDEX(EXTRATO_IMPORTADO!$F$5:$F$404,MATCH(B865,EXTRATO_IMPORTADO!$I$5:$I$404,0)),"")</f>
        <v/>
      </c>
      <c r="Q865" s="26" t="str">
        <f>IFERROR(INDEX(EXTRATO_IMPORTADO!$B$5:$B$404,MATCH(B865,EXTRATO_IMPORTADO!$I$5:$I$404,0)),"")</f>
        <v/>
      </c>
      <c r="R865" s="26" t="str">
        <f>IFERROR(MATCH(B865,EXTRATO_IMPORTADO!$I$5:$I$404,0),"")</f>
        <v/>
      </c>
      <c r="S865" s="26" t="str">
        <f t="shared" si="40"/>
        <v/>
      </c>
      <c r="T865" s="26" t="str">
        <f t="shared" si="41"/>
        <v/>
      </c>
    </row>
    <row r="866" spans="1:20" x14ac:dyDescent="0.3">
      <c r="A866" s="26" t="str">
        <f>IF(BASE_CAIXA!A863="","",BASE_CAIXA!A863)</f>
        <v/>
      </c>
      <c r="B866" s="26" t="str">
        <f>IF(A866="","",BASE_CAIXA!AL863)</f>
        <v/>
      </c>
      <c r="C866" s="26" t="str">
        <f>IF(A866="","",BASE_CAIXA!AJ863)</f>
        <v/>
      </c>
      <c r="D866" s="26" t="str">
        <f>IF(A866="","",IF(BASE_CAIXA!C863="Entrada","Crédito","Débito"))</f>
        <v/>
      </c>
      <c r="E866" s="26" t="str">
        <f>IF(A866="","",BASE_CAIXA!AA863)</f>
        <v/>
      </c>
      <c r="F866" s="26" t="str">
        <f>IF(A866="","",BASE_CAIXA!N863)</f>
        <v/>
      </c>
      <c r="G866" s="26" t="str">
        <f>IF(A866="","",BASE_CAIXA!O863)</f>
        <v/>
      </c>
      <c r="H866" s="26" t="str">
        <f>IF(A866="","",BASE_CAIXA!P863)</f>
        <v/>
      </c>
      <c r="I866" s="26" t="str">
        <f>IF(A866="","",IF(BASE_CAIXA!H863&lt;&gt;"",BASE_CAIXA!H863,BASE_CAIXA!G863))</f>
        <v/>
      </c>
      <c r="J866" s="26" t="str">
        <f>IF(A866="","",BASE_CAIXA!G863)</f>
        <v/>
      </c>
      <c r="K866" s="26" t="str">
        <f>IF(A866="","",BASE_CAIXA!I863)</f>
        <v/>
      </c>
      <c r="L866" s="26" t="str">
        <f>IF(A866="","",BASE_CAIXA!J863)</f>
        <v/>
      </c>
      <c r="M866" s="26" t="str">
        <f>IF(A866="","",BASE_CAIXA!AM863)</f>
        <v/>
      </c>
      <c r="N866" s="26" t="str">
        <f t="shared" ca="1" si="39"/>
        <v/>
      </c>
      <c r="O866" s="26" t="str">
        <f>IFERROR(INDEX(EXTRATO_IMPORTADO!$A$5:$A$404,MATCH(B866,EXTRATO_IMPORTADO!$I$5:$I$404,0)),"")</f>
        <v/>
      </c>
      <c r="P866" s="26" t="str">
        <f>IFERROR(INDEX(EXTRATO_IMPORTADO!$F$5:$F$404,MATCH(B866,EXTRATO_IMPORTADO!$I$5:$I$404,0)),"")</f>
        <v/>
      </c>
      <c r="Q866" s="26" t="str">
        <f>IFERROR(INDEX(EXTRATO_IMPORTADO!$B$5:$B$404,MATCH(B866,EXTRATO_IMPORTADO!$I$5:$I$404,0)),"")</f>
        <v/>
      </c>
      <c r="R866" s="26" t="str">
        <f>IFERROR(MATCH(B866,EXTRATO_IMPORTADO!$I$5:$I$404,0),"")</f>
        <v/>
      </c>
      <c r="S866" s="26" t="str">
        <f t="shared" si="40"/>
        <v/>
      </c>
      <c r="T866" s="26" t="str">
        <f t="shared" si="41"/>
        <v/>
      </c>
    </row>
    <row r="867" spans="1:20" x14ac:dyDescent="0.3">
      <c r="A867" s="26" t="str">
        <f>IF(BASE_CAIXA!A864="","",BASE_CAIXA!A864)</f>
        <v/>
      </c>
      <c r="B867" s="26" t="str">
        <f>IF(A867="","",BASE_CAIXA!AL864)</f>
        <v/>
      </c>
      <c r="C867" s="26" t="str">
        <f>IF(A867="","",BASE_CAIXA!AJ864)</f>
        <v/>
      </c>
      <c r="D867" s="26" t="str">
        <f>IF(A867="","",IF(BASE_CAIXA!C864="Entrada","Crédito","Débito"))</f>
        <v/>
      </c>
      <c r="E867" s="26" t="str">
        <f>IF(A867="","",BASE_CAIXA!AA864)</f>
        <v/>
      </c>
      <c r="F867" s="26" t="str">
        <f>IF(A867="","",BASE_CAIXA!N864)</f>
        <v/>
      </c>
      <c r="G867" s="26" t="str">
        <f>IF(A867="","",BASE_CAIXA!O864)</f>
        <v/>
      </c>
      <c r="H867" s="26" t="str">
        <f>IF(A867="","",BASE_CAIXA!P864)</f>
        <v/>
      </c>
      <c r="I867" s="26" t="str">
        <f>IF(A867="","",IF(BASE_CAIXA!H864&lt;&gt;"",BASE_CAIXA!H864,BASE_CAIXA!G864))</f>
        <v/>
      </c>
      <c r="J867" s="26" t="str">
        <f>IF(A867="","",BASE_CAIXA!G864)</f>
        <v/>
      </c>
      <c r="K867" s="26" t="str">
        <f>IF(A867="","",BASE_CAIXA!I864)</f>
        <v/>
      </c>
      <c r="L867" s="26" t="str">
        <f>IF(A867="","",BASE_CAIXA!J864)</f>
        <v/>
      </c>
      <c r="M867" s="26" t="str">
        <f>IF(A867="","",BASE_CAIXA!AM864)</f>
        <v/>
      </c>
      <c r="N867" s="26" t="str">
        <f t="shared" ca="1" si="39"/>
        <v/>
      </c>
      <c r="O867" s="26" t="str">
        <f>IFERROR(INDEX(EXTRATO_IMPORTADO!$A$5:$A$404,MATCH(B867,EXTRATO_IMPORTADO!$I$5:$I$404,0)),"")</f>
        <v/>
      </c>
      <c r="P867" s="26" t="str">
        <f>IFERROR(INDEX(EXTRATO_IMPORTADO!$F$5:$F$404,MATCH(B867,EXTRATO_IMPORTADO!$I$5:$I$404,0)),"")</f>
        <v/>
      </c>
      <c r="Q867" s="26" t="str">
        <f>IFERROR(INDEX(EXTRATO_IMPORTADO!$B$5:$B$404,MATCH(B867,EXTRATO_IMPORTADO!$I$5:$I$404,0)),"")</f>
        <v/>
      </c>
      <c r="R867" s="26" t="str">
        <f>IFERROR(MATCH(B867,EXTRATO_IMPORTADO!$I$5:$I$404,0),"")</f>
        <v/>
      </c>
      <c r="S867" s="26" t="str">
        <f t="shared" si="40"/>
        <v/>
      </c>
      <c r="T867" s="26" t="str">
        <f t="shared" si="41"/>
        <v/>
      </c>
    </row>
    <row r="868" spans="1:20" x14ac:dyDescent="0.3">
      <c r="A868" s="26" t="str">
        <f>IF(BASE_CAIXA!A865="","",BASE_CAIXA!A865)</f>
        <v/>
      </c>
      <c r="B868" s="26" t="str">
        <f>IF(A868="","",BASE_CAIXA!AL865)</f>
        <v/>
      </c>
      <c r="C868" s="26" t="str">
        <f>IF(A868="","",BASE_CAIXA!AJ865)</f>
        <v/>
      </c>
      <c r="D868" s="26" t="str">
        <f>IF(A868="","",IF(BASE_CAIXA!C865="Entrada","Crédito","Débito"))</f>
        <v/>
      </c>
      <c r="E868" s="26" t="str">
        <f>IF(A868="","",BASE_CAIXA!AA865)</f>
        <v/>
      </c>
      <c r="F868" s="26" t="str">
        <f>IF(A868="","",BASE_CAIXA!N865)</f>
        <v/>
      </c>
      <c r="G868" s="26" t="str">
        <f>IF(A868="","",BASE_CAIXA!O865)</f>
        <v/>
      </c>
      <c r="H868" s="26" t="str">
        <f>IF(A868="","",BASE_CAIXA!P865)</f>
        <v/>
      </c>
      <c r="I868" s="26" t="str">
        <f>IF(A868="","",IF(BASE_CAIXA!H865&lt;&gt;"",BASE_CAIXA!H865,BASE_CAIXA!G865))</f>
        <v/>
      </c>
      <c r="J868" s="26" t="str">
        <f>IF(A868="","",BASE_CAIXA!G865)</f>
        <v/>
      </c>
      <c r="K868" s="26" t="str">
        <f>IF(A868="","",BASE_CAIXA!I865)</f>
        <v/>
      </c>
      <c r="L868" s="26" t="str">
        <f>IF(A868="","",BASE_CAIXA!J865)</f>
        <v/>
      </c>
      <c r="M868" s="26" t="str">
        <f>IF(A868="","",BASE_CAIXA!AM865)</f>
        <v/>
      </c>
      <c r="N868" s="26" t="str">
        <f t="shared" ca="1" si="39"/>
        <v/>
      </c>
      <c r="O868" s="26" t="str">
        <f>IFERROR(INDEX(EXTRATO_IMPORTADO!$A$5:$A$404,MATCH(B868,EXTRATO_IMPORTADO!$I$5:$I$404,0)),"")</f>
        <v/>
      </c>
      <c r="P868" s="26" t="str">
        <f>IFERROR(INDEX(EXTRATO_IMPORTADO!$F$5:$F$404,MATCH(B868,EXTRATO_IMPORTADO!$I$5:$I$404,0)),"")</f>
        <v/>
      </c>
      <c r="Q868" s="26" t="str">
        <f>IFERROR(INDEX(EXTRATO_IMPORTADO!$B$5:$B$404,MATCH(B868,EXTRATO_IMPORTADO!$I$5:$I$404,0)),"")</f>
        <v/>
      </c>
      <c r="R868" s="26" t="str">
        <f>IFERROR(MATCH(B868,EXTRATO_IMPORTADO!$I$5:$I$404,0),"")</f>
        <v/>
      </c>
      <c r="S868" s="26" t="str">
        <f t="shared" si="40"/>
        <v/>
      </c>
      <c r="T868" s="26" t="str">
        <f t="shared" si="41"/>
        <v/>
      </c>
    </row>
    <row r="869" spans="1:20" x14ac:dyDescent="0.3">
      <c r="A869" s="26" t="str">
        <f>IF(BASE_CAIXA!A866="","",BASE_CAIXA!A866)</f>
        <v/>
      </c>
      <c r="B869" s="26" t="str">
        <f>IF(A869="","",BASE_CAIXA!AL866)</f>
        <v/>
      </c>
      <c r="C869" s="26" t="str">
        <f>IF(A869="","",BASE_CAIXA!AJ866)</f>
        <v/>
      </c>
      <c r="D869" s="26" t="str">
        <f>IF(A869="","",IF(BASE_CAIXA!C866="Entrada","Crédito","Débito"))</f>
        <v/>
      </c>
      <c r="E869" s="26" t="str">
        <f>IF(A869="","",BASE_CAIXA!AA866)</f>
        <v/>
      </c>
      <c r="F869" s="26" t="str">
        <f>IF(A869="","",BASE_CAIXA!N866)</f>
        <v/>
      </c>
      <c r="G869" s="26" t="str">
        <f>IF(A869="","",BASE_CAIXA!O866)</f>
        <v/>
      </c>
      <c r="H869" s="26" t="str">
        <f>IF(A869="","",BASE_CAIXA!P866)</f>
        <v/>
      </c>
      <c r="I869" s="26" t="str">
        <f>IF(A869="","",IF(BASE_CAIXA!H866&lt;&gt;"",BASE_CAIXA!H866,BASE_CAIXA!G866))</f>
        <v/>
      </c>
      <c r="J869" s="26" t="str">
        <f>IF(A869="","",BASE_CAIXA!G866)</f>
        <v/>
      </c>
      <c r="K869" s="26" t="str">
        <f>IF(A869="","",BASE_CAIXA!I866)</f>
        <v/>
      </c>
      <c r="L869" s="26" t="str">
        <f>IF(A869="","",BASE_CAIXA!J866)</f>
        <v/>
      </c>
      <c r="M869" s="26" t="str">
        <f>IF(A869="","",BASE_CAIXA!AM866)</f>
        <v/>
      </c>
      <c r="N869" s="26" t="str">
        <f t="shared" ca="1" si="39"/>
        <v/>
      </c>
      <c r="O869" s="26" t="str">
        <f>IFERROR(INDEX(EXTRATO_IMPORTADO!$A$5:$A$404,MATCH(B869,EXTRATO_IMPORTADO!$I$5:$I$404,0)),"")</f>
        <v/>
      </c>
      <c r="P869" s="26" t="str">
        <f>IFERROR(INDEX(EXTRATO_IMPORTADO!$F$5:$F$404,MATCH(B869,EXTRATO_IMPORTADO!$I$5:$I$404,0)),"")</f>
        <v/>
      </c>
      <c r="Q869" s="26" t="str">
        <f>IFERROR(INDEX(EXTRATO_IMPORTADO!$B$5:$B$404,MATCH(B869,EXTRATO_IMPORTADO!$I$5:$I$404,0)),"")</f>
        <v/>
      </c>
      <c r="R869" s="26" t="str">
        <f>IFERROR(MATCH(B869,EXTRATO_IMPORTADO!$I$5:$I$404,0),"")</f>
        <v/>
      </c>
      <c r="S869" s="26" t="str">
        <f t="shared" si="40"/>
        <v/>
      </c>
      <c r="T869" s="26" t="str">
        <f t="shared" si="41"/>
        <v/>
      </c>
    </row>
    <row r="870" spans="1:20" x14ac:dyDescent="0.3">
      <c r="A870" s="26" t="str">
        <f>IF(BASE_CAIXA!A867="","",BASE_CAIXA!A867)</f>
        <v/>
      </c>
      <c r="B870" s="26" t="str">
        <f>IF(A870="","",BASE_CAIXA!AL867)</f>
        <v/>
      </c>
      <c r="C870" s="26" t="str">
        <f>IF(A870="","",BASE_CAIXA!AJ867)</f>
        <v/>
      </c>
      <c r="D870" s="26" t="str">
        <f>IF(A870="","",IF(BASE_CAIXA!C867="Entrada","Crédito","Débito"))</f>
        <v/>
      </c>
      <c r="E870" s="26" t="str">
        <f>IF(A870="","",BASE_CAIXA!AA867)</f>
        <v/>
      </c>
      <c r="F870" s="26" t="str">
        <f>IF(A870="","",BASE_CAIXA!N867)</f>
        <v/>
      </c>
      <c r="G870" s="26" t="str">
        <f>IF(A870="","",BASE_CAIXA!O867)</f>
        <v/>
      </c>
      <c r="H870" s="26" t="str">
        <f>IF(A870="","",BASE_CAIXA!P867)</f>
        <v/>
      </c>
      <c r="I870" s="26" t="str">
        <f>IF(A870="","",IF(BASE_CAIXA!H867&lt;&gt;"",BASE_CAIXA!H867,BASE_CAIXA!G867))</f>
        <v/>
      </c>
      <c r="J870" s="26" t="str">
        <f>IF(A870="","",BASE_CAIXA!G867)</f>
        <v/>
      </c>
      <c r="K870" s="26" t="str">
        <f>IF(A870="","",BASE_CAIXA!I867)</f>
        <v/>
      </c>
      <c r="L870" s="26" t="str">
        <f>IF(A870="","",BASE_CAIXA!J867)</f>
        <v/>
      </c>
      <c r="M870" s="26" t="str">
        <f>IF(A870="","",BASE_CAIXA!AM867)</f>
        <v/>
      </c>
      <c r="N870" s="26" t="str">
        <f t="shared" ca="1" si="39"/>
        <v/>
      </c>
      <c r="O870" s="26" t="str">
        <f>IFERROR(INDEX(EXTRATO_IMPORTADO!$A$5:$A$404,MATCH(B870,EXTRATO_IMPORTADO!$I$5:$I$404,0)),"")</f>
        <v/>
      </c>
      <c r="P870" s="26" t="str">
        <f>IFERROR(INDEX(EXTRATO_IMPORTADO!$F$5:$F$404,MATCH(B870,EXTRATO_IMPORTADO!$I$5:$I$404,0)),"")</f>
        <v/>
      </c>
      <c r="Q870" s="26" t="str">
        <f>IFERROR(INDEX(EXTRATO_IMPORTADO!$B$5:$B$404,MATCH(B870,EXTRATO_IMPORTADO!$I$5:$I$404,0)),"")</f>
        <v/>
      </c>
      <c r="R870" s="26" t="str">
        <f>IFERROR(MATCH(B870,EXTRATO_IMPORTADO!$I$5:$I$404,0),"")</f>
        <v/>
      </c>
      <c r="S870" s="26" t="str">
        <f t="shared" si="40"/>
        <v/>
      </c>
      <c r="T870" s="26" t="str">
        <f t="shared" si="41"/>
        <v/>
      </c>
    </row>
    <row r="871" spans="1:20" x14ac:dyDescent="0.3">
      <c r="A871" s="26" t="str">
        <f>IF(BASE_CAIXA!A868="","",BASE_CAIXA!A868)</f>
        <v/>
      </c>
      <c r="B871" s="26" t="str">
        <f>IF(A871="","",BASE_CAIXA!AL868)</f>
        <v/>
      </c>
      <c r="C871" s="26" t="str">
        <f>IF(A871="","",BASE_CAIXA!AJ868)</f>
        <v/>
      </c>
      <c r="D871" s="26" t="str">
        <f>IF(A871="","",IF(BASE_CAIXA!C868="Entrada","Crédito","Débito"))</f>
        <v/>
      </c>
      <c r="E871" s="26" t="str">
        <f>IF(A871="","",BASE_CAIXA!AA868)</f>
        <v/>
      </c>
      <c r="F871" s="26" t="str">
        <f>IF(A871="","",BASE_CAIXA!N868)</f>
        <v/>
      </c>
      <c r="G871" s="26" t="str">
        <f>IF(A871="","",BASE_CAIXA!O868)</f>
        <v/>
      </c>
      <c r="H871" s="26" t="str">
        <f>IF(A871="","",BASE_CAIXA!P868)</f>
        <v/>
      </c>
      <c r="I871" s="26" t="str">
        <f>IF(A871="","",IF(BASE_CAIXA!H868&lt;&gt;"",BASE_CAIXA!H868,BASE_CAIXA!G868))</f>
        <v/>
      </c>
      <c r="J871" s="26" t="str">
        <f>IF(A871="","",BASE_CAIXA!G868)</f>
        <v/>
      </c>
      <c r="K871" s="26" t="str">
        <f>IF(A871="","",BASE_CAIXA!I868)</f>
        <v/>
      </c>
      <c r="L871" s="26" t="str">
        <f>IF(A871="","",BASE_CAIXA!J868)</f>
        <v/>
      </c>
      <c r="M871" s="26" t="str">
        <f>IF(A871="","",BASE_CAIXA!AM868)</f>
        <v/>
      </c>
      <c r="N871" s="26" t="str">
        <f t="shared" ca="1" si="39"/>
        <v/>
      </c>
      <c r="O871" s="26" t="str">
        <f>IFERROR(INDEX(EXTRATO_IMPORTADO!$A$5:$A$404,MATCH(B871,EXTRATO_IMPORTADO!$I$5:$I$404,0)),"")</f>
        <v/>
      </c>
      <c r="P871" s="26" t="str">
        <f>IFERROR(INDEX(EXTRATO_IMPORTADO!$F$5:$F$404,MATCH(B871,EXTRATO_IMPORTADO!$I$5:$I$404,0)),"")</f>
        <v/>
      </c>
      <c r="Q871" s="26" t="str">
        <f>IFERROR(INDEX(EXTRATO_IMPORTADO!$B$5:$B$404,MATCH(B871,EXTRATO_IMPORTADO!$I$5:$I$404,0)),"")</f>
        <v/>
      </c>
      <c r="R871" s="26" t="str">
        <f>IFERROR(MATCH(B871,EXTRATO_IMPORTADO!$I$5:$I$404,0),"")</f>
        <v/>
      </c>
      <c r="S871" s="26" t="str">
        <f t="shared" si="40"/>
        <v/>
      </c>
      <c r="T871" s="26" t="str">
        <f t="shared" si="41"/>
        <v/>
      </c>
    </row>
    <row r="872" spans="1:20" x14ac:dyDescent="0.3">
      <c r="A872" s="26" t="str">
        <f>IF(BASE_CAIXA!A869="","",BASE_CAIXA!A869)</f>
        <v/>
      </c>
      <c r="B872" s="26" t="str">
        <f>IF(A872="","",BASE_CAIXA!AL869)</f>
        <v/>
      </c>
      <c r="C872" s="26" t="str">
        <f>IF(A872="","",BASE_CAIXA!AJ869)</f>
        <v/>
      </c>
      <c r="D872" s="26" t="str">
        <f>IF(A872="","",IF(BASE_CAIXA!C869="Entrada","Crédito","Débito"))</f>
        <v/>
      </c>
      <c r="E872" s="26" t="str">
        <f>IF(A872="","",BASE_CAIXA!AA869)</f>
        <v/>
      </c>
      <c r="F872" s="26" t="str">
        <f>IF(A872="","",BASE_CAIXA!N869)</f>
        <v/>
      </c>
      <c r="G872" s="26" t="str">
        <f>IF(A872="","",BASE_CAIXA!O869)</f>
        <v/>
      </c>
      <c r="H872" s="26" t="str">
        <f>IF(A872="","",BASE_CAIXA!P869)</f>
        <v/>
      </c>
      <c r="I872" s="26" t="str">
        <f>IF(A872="","",IF(BASE_CAIXA!H869&lt;&gt;"",BASE_CAIXA!H869,BASE_CAIXA!G869))</f>
        <v/>
      </c>
      <c r="J872" s="26" t="str">
        <f>IF(A872="","",BASE_CAIXA!G869)</f>
        <v/>
      </c>
      <c r="K872" s="26" t="str">
        <f>IF(A872="","",BASE_CAIXA!I869)</f>
        <v/>
      </c>
      <c r="L872" s="26" t="str">
        <f>IF(A872="","",BASE_CAIXA!J869)</f>
        <v/>
      </c>
      <c r="M872" s="26" t="str">
        <f>IF(A872="","",BASE_CAIXA!AM869)</f>
        <v/>
      </c>
      <c r="N872" s="26" t="str">
        <f t="shared" ca="1" si="39"/>
        <v/>
      </c>
      <c r="O872" s="26" t="str">
        <f>IFERROR(INDEX(EXTRATO_IMPORTADO!$A$5:$A$404,MATCH(B872,EXTRATO_IMPORTADO!$I$5:$I$404,0)),"")</f>
        <v/>
      </c>
      <c r="P872" s="26" t="str">
        <f>IFERROR(INDEX(EXTRATO_IMPORTADO!$F$5:$F$404,MATCH(B872,EXTRATO_IMPORTADO!$I$5:$I$404,0)),"")</f>
        <v/>
      </c>
      <c r="Q872" s="26" t="str">
        <f>IFERROR(INDEX(EXTRATO_IMPORTADO!$B$5:$B$404,MATCH(B872,EXTRATO_IMPORTADO!$I$5:$I$404,0)),"")</f>
        <v/>
      </c>
      <c r="R872" s="26" t="str">
        <f>IFERROR(MATCH(B872,EXTRATO_IMPORTADO!$I$5:$I$404,0),"")</f>
        <v/>
      </c>
      <c r="S872" s="26" t="str">
        <f t="shared" si="40"/>
        <v/>
      </c>
      <c r="T872" s="26" t="str">
        <f t="shared" si="41"/>
        <v/>
      </c>
    </row>
    <row r="873" spans="1:20" x14ac:dyDescent="0.3">
      <c r="A873" s="26" t="str">
        <f>IF(BASE_CAIXA!A870="","",BASE_CAIXA!A870)</f>
        <v/>
      </c>
      <c r="B873" s="26" t="str">
        <f>IF(A873="","",BASE_CAIXA!AL870)</f>
        <v/>
      </c>
      <c r="C873" s="26" t="str">
        <f>IF(A873="","",BASE_CAIXA!AJ870)</f>
        <v/>
      </c>
      <c r="D873" s="26" t="str">
        <f>IF(A873="","",IF(BASE_CAIXA!C870="Entrada","Crédito","Débito"))</f>
        <v/>
      </c>
      <c r="E873" s="26" t="str">
        <f>IF(A873="","",BASE_CAIXA!AA870)</f>
        <v/>
      </c>
      <c r="F873" s="26" t="str">
        <f>IF(A873="","",BASE_CAIXA!N870)</f>
        <v/>
      </c>
      <c r="G873" s="26" t="str">
        <f>IF(A873="","",BASE_CAIXA!O870)</f>
        <v/>
      </c>
      <c r="H873" s="26" t="str">
        <f>IF(A873="","",BASE_CAIXA!P870)</f>
        <v/>
      </c>
      <c r="I873" s="26" t="str">
        <f>IF(A873="","",IF(BASE_CAIXA!H870&lt;&gt;"",BASE_CAIXA!H870,BASE_CAIXA!G870))</f>
        <v/>
      </c>
      <c r="J873" s="26" t="str">
        <f>IF(A873="","",BASE_CAIXA!G870)</f>
        <v/>
      </c>
      <c r="K873" s="26" t="str">
        <f>IF(A873="","",BASE_CAIXA!I870)</f>
        <v/>
      </c>
      <c r="L873" s="26" t="str">
        <f>IF(A873="","",BASE_CAIXA!J870)</f>
        <v/>
      </c>
      <c r="M873" s="26" t="str">
        <f>IF(A873="","",BASE_CAIXA!AM870)</f>
        <v/>
      </c>
      <c r="N873" s="26" t="str">
        <f t="shared" ca="1" si="39"/>
        <v/>
      </c>
      <c r="O873" s="26" t="str">
        <f>IFERROR(INDEX(EXTRATO_IMPORTADO!$A$5:$A$404,MATCH(B873,EXTRATO_IMPORTADO!$I$5:$I$404,0)),"")</f>
        <v/>
      </c>
      <c r="P873" s="26" t="str">
        <f>IFERROR(INDEX(EXTRATO_IMPORTADO!$F$5:$F$404,MATCH(B873,EXTRATO_IMPORTADO!$I$5:$I$404,0)),"")</f>
        <v/>
      </c>
      <c r="Q873" s="26" t="str">
        <f>IFERROR(INDEX(EXTRATO_IMPORTADO!$B$5:$B$404,MATCH(B873,EXTRATO_IMPORTADO!$I$5:$I$404,0)),"")</f>
        <v/>
      </c>
      <c r="R873" s="26" t="str">
        <f>IFERROR(MATCH(B873,EXTRATO_IMPORTADO!$I$5:$I$404,0),"")</f>
        <v/>
      </c>
      <c r="S873" s="26" t="str">
        <f t="shared" si="40"/>
        <v/>
      </c>
      <c r="T873" s="26" t="str">
        <f t="shared" si="41"/>
        <v/>
      </c>
    </row>
    <row r="874" spans="1:20" x14ac:dyDescent="0.3">
      <c r="A874" s="26" t="str">
        <f>IF(BASE_CAIXA!A871="","",BASE_CAIXA!A871)</f>
        <v/>
      </c>
      <c r="B874" s="26" t="str">
        <f>IF(A874="","",BASE_CAIXA!AL871)</f>
        <v/>
      </c>
      <c r="C874" s="26" t="str">
        <f>IF(A874="","",BASE_CAIXA!AJ871)</f>
        <v/>
      </c>
      <c r="D874" s="26" t="str">
        <f>IF(A874="","",IF(BASE_CAIXA!C871="Entrada","Crédito","Débito"))</f>
        <v/>
      </c>
      <c r="E874" s="26" t="str">
        <f>IF(A874="","",BASE_CAIXA!AA871)</f>
        <v/>
      </c>
      <c r="F874" s="26" t="str">
        <f>IF(A874="","",BASE_CAIXA!N871)</f>
        <v/>
      </c>
      <c r="G874" s="26" t="str">
        <f>IF(A874="","",BASE_CAIXA!O871)</f>
        <v/>
      </c>
      <c r="H874" s="26" t="str">
        <f>IF(A874="","",BASE_CAIXA!P871)</f>
        <v/>
      </c>
      <c r="I874" s="26" t="str">
        <f>IF(A874="","",IF(BASE_CAIXA!H871&lt;&gt;"",BASE_CAIXA!H871,BASE_CAIXA!G871))</f>
        <v/>
      </c>
      <c r="J874" s="26" t="str">
        <f>IF(A874="","",BASE_CAIXA!G871)</f>
        <v/>
      </c>
      <c r="K874" s="26" t="str">
        <f>IF(A874="","",BASE_CAIXA!I871)</f>
        <v/>
      </c>
      <c r="L874" s="26" t="str">
        <f>IF(A874="","",BASE_CAIXA!J871)</f>
        <v/>
      </c>
      <c r="M874" s="26" t="str">
        <f>IF(A874="","",BASE_CAIXA!AM871)</f>
        <v/>
      </c>
      <c r="N874" s="26" t="str">
        <f t="shared" ca="1" si="39"/>
        <v/>
      </c>
      <c r="O874" s="26" t="str">
        <f>IFERROR(INDEX(EXTRATO_IMPORTADO!$A$5:$A$404,MATCH(B874,EXTRATO_IMPORTADO!$I$5:$I$404,0)),"")</f>
        <v/>
      </c>
      <c r="P874" s="26" t="str">
        <f>IFERROR(INDEX(EXTRATO_IMPORTADO!$F$5:$F$404,MATCH(B874,EXTRATO_IMPORTADO!$I$5:$I$404,0)),"")</f>
        <v/>
      </c>
      <c r="Q874" s="26" t="str">
        <f>IFERROR(INDEX(EXTRATO_IMPORTADO!$B$5:$B$404,MATCH(B874,EXTRATO_IMPORTADO!$I$5:$I$404,0)),"")</f>
        <v/>
      </c>
      <c r="R874" s="26" t="str">
        <f>IFERROR(MATCH(B874,EXTRATO_IMPORTADO!$I$5:$I$404,0),"")</f>
        <v/>
      </c>
      <c r="S874" s="26" t="str">
        <f t="shared" si="40"/>
        <v/>
      </c>
      <c r="T874" s="26" t="str">
        <f t="shared" si="41"/>
        <v/>
      </c>
    </row>
    <row r="875" spans="1:20" x14ac:dyDescent="0.3">
      <c r="A875" s="26" t="str">
        <f>IF(BASE_CAIXA!A872="","",BASE_CAIXA!A872)</f>
        <v/>
      </c>
      <c r="B875" s="26" t="str">
        <f>IF(A875="","",BASE_CAIXA!AL872)</f>
        <v/>
      </c>
      <c r="C875" s="26" t="str">
        <f>IF(A875="","",BASE_CAIXA!AJ872)</f>
        <v/>
      </c>
      <c r="D875" s="26" t="str">
        <f>IF(A875="","",IF(BASE_CAIXA!C872="Entrada","Crédito","Débito"))</f>
        <v/>
      </c>
      <c r="E875" s="26" t="str">
        <f>IF(A875="","",BASE_CAIXA!AA872)</f>
        <v/>
      </c>
      <c r="F875" s="26" t="str">
        <f>IF(A875="","",BASE_CAIXA!N872)</f>
        <v/>
      </c>
      <c r="G875" s="26" t="str">
        <f>IF(A875="","",BASE_CAIXA!O872)</f>
        <v/>
      </c>
      <c r="H875" s="26" t="str">
        <f>IF(A875="","",BASE_CAIXA!P872)</f>
        <v/>
      </c>
      <c r="I875" s="26" t="str">
        <f>IF(A875="","",IF(BASE_CAIXA!H872&lt;&gt;"",BASE_CAIXA!H872,BASE_CAIXA!G872))</f>
        <v/>
      </c>
      <c r="J875" s="26" t="str">
        <f>IF(A875="","",BASE_CAIXA!G872)</f>
        <v/>
      </c>
      <c r="K875" s="26" t="str">
        <f>IF(A875="","",BASE_CAIXA!I872)</f>
        <v/>
      </c>
      <c r="L875" s="26" t="str">
        <f>IF(A875="","",BASE_CAIXA!J872)</f>
        <v/>
      </c>
      <c r="M875" s="26" t="str">
        <f>IF(A875="","",BASE_CAIXA!AM872)</f>
        <v/>
      </c>
      <c r="N875" s="26" t="str">
        <f t="shared" ca="1" si="39"/>
        <v/>
      </c>
      <c r="O875" s="26" t="str">
        <f>IFERROR(INDEX(EXTRATO_IMPORTADO!$A$5:$A$404,MATCH(B875,EXTRATO_IMPORTADO!$I$5:$I$404,0)),"")</f>
        <v/>
      </c>
      <c r="P875" s="26" t="str">
        <f>IFERROR(INDEX(EXTRATO_IMPORTADO!$F$5:$F$404,MATCH(B875,EXTRATO_IMPORTADO!$I$5:$I$404,0)),"")</f>
        <v/>
      </c>
      <c r="Q875" s="26" t="str">
        <f>IFERROR(INDEX(EXTRATO_IMPORTADO!$B$5:$B$404,MATCH(B875,EXTRATO_IMPORTADO!$I$5:$I$404,0)),"")</f>
        <v/>
      </c>
      <c r="R875" s="26" t="str">
        <f>IFERROR(MATCH(B875,EXTRATO_IMPORTADO!$I$5:$I$404,0),"")</f>
        <v/>
      </c>
      <c r="S875" s="26" t="str">
        <f t="shared" si="40"/>
        <v/>
      </c>
      <c r="T875" s="26" t="str">
        <f t="shared" si="41"/>
        <v/>
      </c>
    </row>
    <row r="876" spans="1:20" x14ac:dyDescent="0.3">
      <c r="A876" s="26" t="str">
        <f>IF(BASE_CAIXA!A873="","",BASE_CAIXA!A873)</f>
        <v/>
      </c>
      <c r="B876" s="26" t="str">
        <f>IF(A876="","",BASE_CAIXA!AL873)</f>
        <v/>
      </c>
      <c r="C876" s="26" t="str">
        <f>IF(A876="","",BASE_CAIXA!AJ873)</f>
        <v/>
      </c>
      <c r="D876" s="26" t="str">
        <f>IF(A876="","",IF(BASE_CAIXA!C873="Entrada","Crédito","Débito"))</f>
        <v/>
      </c>
      <c r="E876" s="26" t="str">
        <f>IF(A876="","",BASE_CAIXA!AA873)</f>
        <v/>
      </c>
      <c r="F876" s="26" t="str">
        <f>IF(A876="","",BASE_CAIXA!N873)</f>
        <v/>
      </c>
      <c r="G876" s="26" t="str">
        <f>IF(A876="","",BASE_CAIXA!O873)</f>
        <v/>
      </c>
      <c r="H876" s="26" t="str">
        <f>IF(A876="","",BASE_CAIXA!P873)</f>
        <v/>
      </c>
      <c r="I876" s="26" t="str">
        <f>IF(A876="","",IF(BASE_CAIXA!H873&lt;&gt;"",BASE_CAIXA!H873,BASE_CAIXA!G873))</f>
        <v/>
      </c>
      <c r="J876" s="26" t="str">
        <f>IF(A876="","",BASE_CAIXA!G873)</f>
        <v/>
      </c>
      <c r="K876" s="26" t="str">
        <f>IF(A876="","",BASE_CAIXA!I873)</f>
        <v/>
      </c>
      <c r="L876" s="26" t="str">
        <f>IF(A876="","",BASE_CAIXA!J873)</f>
        <v/>
      </c>
      <c r="M876" s="26" t="str">
        <f>IF(A876="","",BASE_CAIXA!AM873)</f>
        <v/>
      </c>
      <c r="N876" s="26" t="str">
        <f t="shared" ca="1" si="39"/>
        <v/>
      </c>
      <c r="O876" s="26" t="str">
        <f>IFERROR(INDEX(EXTRATO_IMPORTADO!$A$5:$A$404,MATCH(B876,EXTRATO_IMPORTADO!$I$5:$I$404,0)),"")</f>
        <v/>
      </c>
      <c r="P876" s="26" t="str">
        <f>IFERROR(INDEX(EXTRATO_IMPORTADO!$F$5:$F$404,MATCH(B876,EXTRATO_IMPORTADO!$I$5:$I$404,0)),"")</f>
        <v/>
      </c>
      <c r="Q876" s="26" t="str">
        <f>IFERROR(INDEX(EXTRATO_IMPORTADO!$B$5:$B$404,MATCH(B876,EXTRATO_IMPORTADO!$I$5:$I$404,0)),"")</f>
        <v/>
      </c>
      <c r="R876" s="26" t="str">
        <f>IFERROR(MATCH(B876,EXTRATO_IMPORTADO!$I$5:$I$404,0),"")</f>
        <v/>
      </c>
      <c r="S876" s="26" t="str">
        <f t="shared" si="40"/>
        <v/>
      </c>
      <c r="T876" s="26" t="str">
        <f t="shared" si="41"/>
        <v/>
      </c>
    </row>
    <row r="877" spans="1:20" x14ac:dyDescent="0.3">
      <c r="A877" s="26" t="str">
        <f>IF(BASE_CAIXA!A874="","",BASE_CAIXA!A874)</f>
        <v/>
      </c>
      <c r="B877" s="26" t="str">
        <f>IF(A877="","",BASE_CAIXA!AL874)</f>
        <v/>
      </c>
      <c r="C877" s="26" t="str">
        <f>IF(A877="","",BASE_CAIXA!AJ874)</f>
        <v/>
      </c>
      <c r="D877" s="26" t="str">
        <f>IF(A877="","",IF(BASE_CAIXA!C874="Entrada","Crédito","Débito"))</f>
        <v/>
      </c>
      <c r="E877" s="26" t="str">
        <f>IF(A877="","",BASE_CAIXA!AA874)</f>
        <v/>
      </c>
      <c r="F877" s="26" t="str">
        <f>IF(A877="","",BASE_CAIXA!N874)</f>
        <v/>
      </c>
      <c r="G877" s="26" t="str">
        <f>IF(A877="","",BASE_CAIXA!O874)</f>
        <v/>
      </c>
      <c r="H877" s="26" t="str">
        <f>IF(A877="","",BASE_CAIXA!P874)</f>
        <v/>
      </c>
      <c r="I877" s="26" t="str">
        <f>IF(A877="","",IF(BASE_CAIXA!H874&lt;&gt;"",BASE_CAIXA!H874,BASE_CAIXA!G874))</f>
        <v/>
      </c>
      <c r="J877" s="26" t="str">
        <f>IF(A877="","",BASE_CAIXA!G874)</f>
        <v/>
      </c>
      <c r="K877" s="26" t="str">
        <f>IF(A877="","",BASE_CAIXA!I874)</f>
        <v/>
      </c>
      <c r="L877" s="26" t="str">
        <f>IF(A877="","",BASE_CAIXA!J874)</f>
        <v/>
      </c>
      <c r="M877" s="26" t="str">
        <f>IF(A877="","",BASE_CAIXA!AM874)</f>
        <v/>
      </c>
      <c r="N877" s="26" t="str">
        <f t="shared" ca="1" si="39"/>
        <v/>
      </c>
      <c r="O877" s="26" t="str">
        <f>IFERROR(INDEX(EXTRATO_IMPORTADO!$A$5:$A$404,MATCH(B877,EXTRATO_IMPORTADO!$I$5:$I$404,0)),"")</f>
        <v/>
      </c>
      <c r="P877" s="26" t="str">
        <f>IFERROR(INDEX(EXTRATO_IMPORTADO!$F$5:$F$404,MATCH(B877,EXTRATO_IMPORTADO!$I$5:$I$404,0)),"")</f>
        <v/>
      </c>
      <c r="Q877" s="26" t="str">
        <f>IFERROR(INDEX(EXTRATO_IMPORTADO!$B$5:$B$404,MATCH(B877,EXTRATO_IMPORTADO!$I$5:$I$404,0)),"")</f>
        <v/>
      </c>
      <c r="R877" s="26" t="str">
        <f>IFERROR(MATCH(B877,EXTRATO_IMPORTADO!$I$5:$I$404,0),"")</f>
        <v/>
      </c>
      <c r="S877" s="26" t="str">
        <f t="shared" si="40"/>
        <v/>
      </c>
      <c r="T877" s="26" t="str">
        <f t="shared" si="41"/>
        <v/>
      </c>
    </row>
    <row r="878" spans="1:20" x14ac:dyDescent="0.3">
      <c r="A878" s="26" t="str">
        <f>IF(BASE_CAIXA!A875="","",BASE_CAIXA!A875)</f>
        <v/>
      </c>
      <c r="B878" s="26" t="str">
        <f>IF(A878="","",BASE_CAIXA!AL875)</f>
        <v/>
      </c>
      <c r="C878" s="26" t="str">
        <f>IF(A878="","",BASE_CAIXA!AJ875)</f>
        <v/>
      </c>
      <c r="D878" s="26" t="str">
        <f>IF(A878="","",IF(BASE_CAIXA!C875="Entrada","Crédito","Débito"))</f>
        <v/>
      </c>
      <c r="E878" s="26" t="str">
        <f>IF(A878="","",BASE_CAIXA!AA875)</f>
        <v/>
      </c>
      <c r="F878" s="26" t="str">
        <f>IF(A878="","",BASE_CAIXA!N875)</f>
        <v/>
      </c>
      <c r="G878" s="26" t="str">
        <f>IF(A878="","",BASE_CAIXA!O875)</f>
        <v/>
      </c>
      <c r="H878" s="26" t="str">
        <f>IF(A878="","",BASE_CAIXA!P875)</f>
        <v/>
      </c>
      <c r="I878" s="26" t="str">
        <f>IF(A878="","",IF(BASE_CAIXA!H875&lt;&gt;"",BASE_CAIXA!H875,BASE_CAIXA!G875))</f>
        <v/>
      </c>
      <c r="J878" s="26" t="str">
        <f>IF(A878="","",BASE_CAIXA!G875)</f>
        <v/>
      </c>
      <c r="K878" s="26" t="str">
        <f>IF(A878="","",BASE_CAIXA!I875)</f>
        <v/>
      </c>
      <c r="L878" s="26" t="str">
        <f>IF(A878="","",BASE_CAIXA!J875)</f>
        <v/>
      </c>
      <c r="M878" s="26" t="str">
        <f>IF(A878="","",BASE_CAIXA!AM875)</f>
        <v/>
      </c>
      <c r="N878" s="26" t="str">
        <f t="shared" ca="1" si="39"/>
        <v/>
      </c>
      <c r="O878" s="26" t="str">
        <f>IFERROR(INDEX(EXTRATO_IMPORTADO!$A$5:$A$404,MATCH(B878,EXTRATO_IMPORTADO!$I$5:$I$404,0)),"")</f>
        <v/>
      </c>
      <c r="P878" s="26" t="str">
        <f>IFERROR(INDEX(EXTRATO_IMPORTADO!$F$5:$F$404,MATCH(B878,EXTRATO_IMPORTADO!$I$5:$I$404,0)),"")</f>
        <v/>
      </c>
      <c r="Q878" s="26" t="str">
        <f>IFERROR(INDEX(EXTRATO_IMPORTADO!$B$5:$B$404,MATCH(B878,EXTRATO_IMPORTADO!$I$5:$I$404,0)),"")</f>
        <v/>
      </c>
      <c r="R878" s="26" t="str">
        <f>IFERROR(MATCH(B878,EXTRATO_IMPORTADO!$I$5:$I$404,0),"")</f>
        <v/>
      </c>
      <c r="S878" s="26" t="str">
        <f t="shared" si="40"/>
        <v/>
      </c>
      <c r="T878" s="26" t="str">
        <f t="shared" si="41"/>
        <v/>
      </c>
    </row>
    <row r="879" spans="1:20" x14ac:dyDescent="0.3">
      <c r="A879" s="26" t="str">
        <f>IF(BASE_CAIXA!A876="","",BASE_CAIXA!A876)</f>
        <v/>
      </c>
      <c r="B879" s="26" t="str">
        <f>IF(A879="","",BASE_CAIXA!AL876)</f>
        <v/>
      </c>
      <c r="C879" s="26" t="str">
        <f>IF(A879="","",BASE_CAIXA!AJ876)</f>
        <v/>
      </c>
      <c r="D879" s="26" t="str">
        <f>IF(A879="","",IF(BASE_CAIXA!C876="Entrada","Crédito","Débito"))</f>
        <v/>
      </c>
      <c r="E879" s="26" t="str">
        <f>IF(A879="","",BASE_CAIXA!AA876)</f>
        <v/>
      </c>
      <c r="F879" s="26" t="str">
        <f>IF(A879="","",BASE_CAIXA!N876)</f>
        <v/>
      </c>
      <c r="G879" s="26" t="str">
        <f>IF(A879="","",BASE_CAIXA!O876)</f>
        <v/>
      </c>
      <c r="H879" s="26" t="str">
        <f>IF(A879="","",BASE_CAIXA!P876)</f>
        <v/>
      </c>
      <c r="I879" s="26" t="str">
        <f>IF(A879="","",IF(BASE_CAIXA!H876&lt;&gt;"",BASE_CAIXA!H876,BASE_CAIXA!G876))</f>
        <v/>
      </c>
      <c r="J879" s="26" t="str">
        <f>IF(A879="","",BASE_CAIXA!G876)</f>
        <v/>
      </c>
      <c r="K879" s="26" t="str">
        <f>IF(A879="","",BASE_CAIXA!I876)</f>
        <v/>
      </c>
      <c r="L879" s="26" t="str">
        <f>IF(A879="","",BASE_CAIXA!J876)</f>
        <v/>
      </c>
      <c r="M879" s="26" t="str">
        <f>IF(A879="","",BASE_CAIXA!AM876)</f>
        <v/>
      </c>
      <c r="N879" s="26" t="str">
        <f t="shared" ca="1" si="39"/>
        <v/>
      </c>
      <c r="O879" s="26" t="str">
        <f>IFERROR(INDEX(EXTRATO_IMPORTADO!$A$5:$A$404,MATCH(B879,EXTRATO_IMPORTADO!$I$5:$I$404,0)),"")</f>
        <v/>
      </c>
      <c r="P879" s="26" t="str">
        <f>IFERROR(INDEX(EXTRATO_IMPORTADO!$F$5:$F$404,MATCH(B879,EXTRATO_IMPORTADO!$I$5:$I$404,0)),"")</f>
        <v/>
      </c>
      <c r="Q879" s="26" t="str">
        <f>IFERROR(INDEX(EXTRATO_IMPORTADO!$B$5:$B$404,MATCH(B879,EXTRATO_IMPORTADO!$I$5:$I$404,0)),"")</f>
        <v/>
      </c>
      <c r="R879" s="26" t="str">
        <f>IFERROR(MATCH(B879,EXTRATO_IMPORTADO!$I$5:$I$404,0),"")</f>
        <v/>
      </c>
      <c r="S879" s="26" t="str">
        <f t="shared" si="40"/>
        <v/>
      </c>
      <c r="T879" s="26" t="str">
        <f t="shared" si="41"/>
        <v/>
      </c>
    </row>
    <row r="880" spans="1:20" x14ac:dyDescent="0.3">
      <c r="A880" s="26" t="str">
        <f>IF(BASE_CAIXA!A877="","",BASE_CAIXA!A877)</f>
        <v/>
      </c>
      <c r="B880" s="26" t="str">
        <f>IF(A880="","",BASE_CAIXA!AL877)</f>
        <v/>
      </c>
      <c r="C880" s="26" t="str">
        <f>IF(A880="","",BASE_CAIXA!AJ877)</f>
        <v/>
      </c>
      <c r="D880" s="26" t="str">
        <f>IF(A880="","",IF(BASE_CAIXA!C877="Entrada","Crédito","Débito"))</f>
        <v/>
      </c>
      <c r="E880" s="26" t="str">
        <f>IF(A880="","",BASE_CAIXA!AA877)</f>
        <v/>
      </c>
      <c r="F880" s="26" t="str">
        <f>IF(A880="","",BASE_CAIXA!N877)</f>
        <v/>
      </c>
      <c r="G880" s="26" t="str">
        <f>IF(A880="","",BASE_CAIXA!O877)</f>
        <v/>
      </c>
      <c r="H880" s="26" t="str">
        <f>IF(A880="","",BASE_CAIXA!P877)</f>
        <v/>
      </c>
      <c r="I880" s="26" t="str">
        <f>IF(A880="","",IF(BASE_CAIXA!H877&lt;&gt;"",BASE_CAIXA!H877,BASE_CAIXA!G877))</f>
        <v/>
      </c>
      <c r="J880" s="26" t="str">
        <f>IF(A880="","",BASE_CAIXA!G877)</f>
        <v/>
      </c>
      <c r="K880" s="26" t="str">
        <f>IF(A880="","",BASE_CAIXA!I877)</f>
        <v/>
      </c>
      <c r="L880" s="26" t="str">
        <f>IF(A880="","",BASE_CAIXA!J877)</f>
        <v/>
      </c>
      <c r="M880" s="26" t="str">
        <f>IF(A880="","",BASE_CAIXA!AM877)</f>
        <v/>
      </c>
      <c r="N880" s="26" t="str">
        <f t="shared" ca="1" si="39"/>
        <v/>
      </c>
      <c r="O880" s="26" t="str">
        <f>IFERROR(INDEX(EXTRATO_IMPORTADO!$A$5:$A$404,MATCH(B880,EXTRATO_IMPORTADO!$I$5:$I$404,0)),"")</f>
        <v/>
      </c>
      <c r="P880" s="26" t="str">
        <f>IFERROR(INDEX(EXTRATO_IMPORTADO!$F$5:$F$404,MATCH(B880,EXTRATO_IMPORTADO!$I$5:$I$404,0)),"")</f>
        <v/>
      </c>
      <c r="Q880" s="26" t="str">
        <f>IFERROR(INDEX(EXTRATO_IMPORTADO!$B$5:$B$404,MATCH(B880,EXTRATO_IMPORTADO!$I$5:$I$404,0)),"")</f>
        <v/>
      </c>
      <c r="R880" s="26" t="str">
        <f>IFERROR(MATCH(B880,EXTRATO_IMPORTADO!$I$5:$I$404,0),"")</f>
        <v/>
      </c>
      <c r="S880" s="26" t="str">
        <f t="shared" si="40"/>
        <v/>
      </c>
      <c r="T880" s="26" t="str">
        <f t="shared" si="41"/>
        <v/>
      </c>
    </row>
    <row r="881" spans="1:20" x14ac:dyDescent="0.3">
      <c r="A881" s="26" t="str">
        <f>IF(BASE_CAIXA!A878="","",BASE_CAIXA!A878)</f>
        <v/>
      </c>
      <c r="B881" s="26" t="str">
        <f>IF(A881="","",BASE_CAIXA!AL878)</f>
        <v/>
      </c>
      <c r="C881" s="26" t="str">
        <f>IF(A881="","",BASE_CAIXA!AJ878)</f>
        <v/>
      </c>
      <c r="D881" s="26" t="str">
        <f>IF(A881="","",IF(BASE_CAIXA!C878="Entrada","Crédito","Débito"))</f>
        <v/>
      </c>
      <c r="E881" s="26" t="str">
        <f>IF(A881="","",BASE_CAIXA!AA878)</f>
        <v/>
      </c>
      <c r="F881" s="26" t="str">
        <f>IF(A881="","",BASE_CAIXA!N878)</f>
        <v/>
      </c>
      <c r="G881" s="26" t="str">
        <f>IF(A881="","",BASE_CAIXA!O878)</f>
        <v/>
      </c>
      <c r="H881" s="26" t="str">
        <f>IF(A881="","",BASE_CAIXA!P878)</f>
        <v/>
      </c>
      <c r="I881" s="26" t="str">
        <f>IF(A881="","",IF(BASE_CAIXA!H878&lt;&gt;"",BASE_CAIXA!H878,BASE_CAIXA!G878))</f>
        <v/>
      </c>
      <c r="J881" s="26" t="str">
        <f>IF(A881="","",BASE_CAIXA!G878)</f>
        <v/>
      </c>
      <c r="K881" s="26" t="str">
        <f>IF(A881="","",BASE_CAIXA!I878)</f>
        <v/>
      </c>
      <c r="L881" s="26" t="str">
        <f>IF(A881="","",BASE_CAIXA!J878)</f>
        <v/>
      </c>
      <c r="M881" s="26" t="str">
        <f>IF(A881="","",BASE_CAIXA!AM878)</f>
        <v/>
      </c>
      <c r="N881" s="26" t="str">
        <f t="shared" ca="1" si="39"/>
        <v/>
      </c>
      <c r="O881" s="26" t="str">
        <f>IFERROR(INDEX(EXTRATO_IMPORTADO!$A$5:$A$404,MATCH(B881,EXTRATO_IMPORTADO!$I$5:$I$404,0)),"")</f>
        <v/>
      </c>
      <c r="P881" s="26" t="str">
        <f>IFERROR(INDEX(EXTRATO_IMPORTADO!$F$5:$F$404,MATCH(B881,EXTRATO_IMPORTADO!$I$5:$I$404,0)),"")</f>
        <v/>
      </c>
      <c r="Q881" s="26" t="str">
        <f>IFERROR(INDEX(EXTRATO_IMPORTADO!$B$5:$B$404,MATCH(B881,EXTRATO_IMPORTADO!$I$5:$I$404,0)),"")</f>
        <v/>
      </c>
      <c r="R881" s="26" t="str">
        <f>IFERROR(MATCH(B881,EXTRATO_IMPORTADO!$I$5:$I$404,0),"")</f>
        <v/>
      </c>
      <c r="S881" s="26" t="str">
        <f t="shared" si="40"/>
        <v/>
      </c>
      <c r="T881" s="26" t="str">
        <f t="shared" si="41"/>
        <v/>
      </c>
    </row>
    <row r="882" spans="1:20" x14ac:dyDescent="0.3">
      <c r="A882" s="26" t="str">
        <f>IF(BASE_CAIXA!A879="","",BASE_CAIXA!A879)</f>
        <v/>
      </c>
      <c r="B882" s="26" t="str">
        <f>IF(A882="","",BASE_CAIXA!AL879)</f>
        <v/>
      </c>
      <c r="C882" s="26" t="str">
        <f>IF(A882="","",BASE_CAIXA!AJ879)</f>
        <v/>
      </c>
      <c r="D882" s="26" t="str">
        <f>IF(A882="","",IF(BASE_CAIXA!C879="Entrada","Crédito","Débito"))</f>
        <v/>
      </c>
      <c r="E882" s="26" t="str">
        <f>IF(A882="","",BASE_CAIXA!AA879)</f>
        <v/>
      </c>
      <c r="F882" s="26" t="str">
        <f>IF(A882="","",BASE_CAIXA!N879)</f>
        <v/>
      </c>
      <c r="G882" s="26" t="str">
        <f>IF(A882="","",BASE_CAIXA!O879)</f>
        <v/>
      </c>
      <c r="H882" s="26" t="str">
        <f>IF(A882="","",BASE_CAIXA!P879)</f>
        <v/>
      </c>
      <c r="I882" s="26" t="str">
        <f>IF(A882="","",IF(BASE_CAIXA!H879&lt;&gt;"",BASE_CAIXA!H879,BASE_CAIXA!G879))</f>
        <v/>
      </c>
      <c r="J882" s="26" t="str">
        <f>IF(A882="","",BASE_CAIXA!G879)</f>
        <v/>
      </c>
      <c r="K882" s="26" t="str">
        <f>IF(A882="","",BASE_CAIXA!I879)</f>
        <v/>
      </c>
      <c r="L882" s="26" t="str">
        <f>IF(A882="","",BASE_CAIXA!J879)</f>
        <v/>
      </c>
      <c r="M882" s="26" t="str">
        <f>IF(A882="","",BASE_CAIXA!AM879)</f>
        <v/>
      </c>
      <c r="N882" s="26" t="str">
        <f t="shared" ca="1" si="39"/>
        <v/>
      </c>
      <c r="O882" s="26" t="str">
        <f>IFERROR(INDEX(EXTRATO_IMPORTADO!$A$5:$A$404,MATCH(B882,EXTRATO_IMPORTADO!$I$5:$I$404,0)),"")</f>
        <v/>
      </c>
      <c r="P882" s="26" t="str">
        <f>IFERROR(INDEX(EXTRATO_IMPORTADO!$F$5:$F$404,MATCH(B882,EXTRATO_IMPORTADO!$I$5:$I$404,0)),"")</f>
        <v/>
      </c>
      <c r="Q882" s="26" t="str">
        <f>IFERROR(INDEX(EXTRATO_IMPORTADO!$B$5:$B$404,MATCH(B882,EXTRATO_IMPORTADO!$I$5:$I$404,0)),"")</f>
        <v/>
      </c>
      <c r="R882" s="26" t="str">
        <f>IFERROR(MATCH(B882,EXTRATO_IMPORTADO!$I$5:$I$404,0),"")</f>
        <v/>
      </c>
      <c r="S882" s="26" t="str">
        <f t="shared" si="40"/>
        <v/>
      </c>
      <c r="T882" s="26" t="str">
        <f t="shared" si="41"/>
        <v/>
      </c>
    </row>
    <row r="883" spans="1:20" x14ac:dyDescent="0.3">
      <c r="A883" s="26" t="str">
        <f>IF(BASE_CAIXA!A880="","",BASE_CAIXA!A880)</f>
        <v/>
      </c>
      <c r="B883" s="26" t="str">
        <f>IF(A883="","",BASE_CAIXA!AL880)</f>
        <v/>
      </c>
      <c r="C883" s="26" t="str">
        <f>IF(A883="","",BASE_CAIXA!AJ880)</f>
        <v/>
      </c>
      <c r="D883" s="26" t="str">
        <f>IF(A883="","",IF(BASE_CAIXA!C880="Entrada","Crédito","Débito"))</f>
        <v/>
      </c>
      <c r="E883" s="26" t="str">
        <f>IF(A883="","",BASE_CAIXA!AA880)</f>
        <v/>
      </c>
      <c r="F883" s="26" t="str">
        <f>IF(A883="","",BASE_CAIXA!N880)</f>
        <v/>
      </c>
      <c r="G883" s="26" t="str">
        <f>IF(A883="","",BASE_CAIXA!O880)</f>
        <v/>
      </c>
      <c r="H883" s="26" t="str">
        <f>IF(A883="","",BASE_CAIXA!P880)</f>
        <v/>
      </c>
      <c r="I883" s="26" t="str">
        <f>IF(A883="","",IF(BASE_CAIXA!H880&lt;&gt;"",BASE_CAIXA!H880,BASE_CAIXA!G880))</f>
        <v/>
      </c>
      <c r="J883" s="26" t="str">
        <f>IF(A883="","",BASE_CAIXA!G880)</f>
        <v/>
      </c>
      <c r="K883" s="26" t="str">
        <f>IF(A883="","",BASE_CAIXA!I880)</f>
        <v/>
      </c>
      <c r="L883" s="26" t="str">
        <f>IF(A883="","",BASE_CAIXA!J880)</f>
        <v/>
      </c>
      <c r="M883" s="26" t="str">
        <f>IF(A883="","",BASE_CAIXA!AM880)</f>
        <v/>
      </c>
      <c r="N883" s="26" t="str">
        <f t="shared" ca="1" si="39"/>
        <v/>
      </c>
      <c r="O883" s="26" t="str">
        <f>IFERROR(INDEX(EXTRATO_IMPORTADO!$A$5:$A$404,MATCH(B883,EXTRATO_IMPORTADO!$I$5:$I$404,0)),"")</f>
        <v/>
      </c>
      <c r="P883" s="26" t="str">
        <f>IFERROR(INDEX(EXTRATO_IMPORTADO!$F$5:$F$404,MATCH(B883,EXTRATO_IMPORTADO!$I$5:$I$404,0)),"")</f>
        <v/>
      </c>
      <c r="Q883" s="26" t="str">
        <f>IFERROR(INDEX(EXTRATO_IMPORTADO!$B$5:$B$404,MATCH(B883,EXTRATO_IMPORTADO!$I$5:$I$404,0)),"")</f>
        <v/>
      </c>
      <c r="R883" s="26" t="str">
        <f>IFERROR(MATCH(B883,EXTRATO_IMPORTADO!$I$5:$I$404,0),"")</f>
        <v/>
      </c>
      <c r="S883" s="26" t="str">
        <f t="shared" si="40"/>
        <v/>
      </c>
      <c r="T883" s="26" t="str">
        <f t="shared" si="41"/>
        <v/>
      </c>
    </row>
    <row r="884" spans="1:20" x14ac:dyDescent="0.3">
      <c r="A884" s="26" t="str">
        <f>IF(BASE_CAIXA!A881="","",BASE_CAIXA!A881)</f>
        <v/>
      </c>
      <c r="B884" s="26" t="str">
        <f>IF(A884="","",BASE_CAIXA!AL881)</f>
        <v/>
      </c>
      <c r="C884" s="26" t="str">
        <f>IF(A884="","",BASE_CAIXA!AJ881)</f>
        <v/>
      </c>
      <c r="D884" s="26" t="str">
        <f>IF(A884="","",IF(BASE_CAIXA!C881="Entrada","Crédito","Débito"))</f>
        <v/>
      </c>
      <c r="E884" s="26" t="str">
        <f>IF(A884="","",BASE_CAIXA!AA881)</f>
        <v/>
      </c>
      <c r="F884" s="26" t="str">
        <f>IF(A884="","",BASE_CAIXA!N881)</f>
        <v/>
      </c>
      <c r="G884" s="26" t="str">
        <f>IF(A884="","",BASE_CAIXA!O881)</f>
        <v/>
      </c>
      <c r="H884" s="26" t="str">
        <f>IF(A884="","",BASE_CAIXA!P881)</f>
        <v/>
      </c>
      <c r="I884" s="26" t="str">
        <f>IF(A884="","",IF(BASE_CAIXA!H881&lt;&gt;"",BASE_CAIXA!H881,BASE_CAIXA!G881))</f>
        <v/>
      </c>
      <c r="J884" s="26" t="str">
        <f>IF(A884="","",BASE_CAIXA!G881)</f>
        <v/>
      </c>
      <c r="K884" s="26" t="str">
        <f>IF(A884="","",BASE_CAIXA!I881)</f>
        <v/>
      </c>
      <c r="L884" s="26" t="str">
        <f>IF(A884="","",BASE_CAIXA!J881)</f>
        <v/>
      </c>
      <c r="M884" s="26" t="str">
        <f>IF(A884="","",BASE_CAIXA!AM881)</f>
        <v/>
      </c>
      <c r="N884" s="26" t="str">
        <f t="shared" ca="1" si="39"/>
        <v/>
      </c>
      <c r="O884" s="26" t="str">
        <f>IFERROR(INDEX(EXTRATO_IMPORTADO!$A$5:$A$404,MATCH(B884,EXTRATO_IMPORTADO!$I$5:$I$404,0)),"")</f>
        <v/>
      </c>
      <c r="P884" s="26" t="str">
        <f>IFERROR(INDEX(EXTRATO_IMPORTADO!$F$5:$F$404,MATCH(B884,EXTRATO_IMPORTADO!$I$5:$I$404,0)),"")</f>
        <v/>
      </c>
      <c r="Q884" s="26" t="str">
        <f>IFERROR(INDEX(EXTRATO_IMPORTADO!$B$5:$B$404,MATCH(B884,EXTRATO_IMPORTADO!$I$5:$I$404,0)),"")</f>
        <v/>
      </c>
      <c r="R884" s="26" t="str">
        <f>IFERROR(MATCH(B884,EXTRATO_IMPORTADO!$I$5:$I$404,0),"")</f>
        <v/>
      </c>
      <c r="S884" s="26" t="str">
        <f t="shared" si="40"/>
        <v/>
      </c>
      <c r="T884" s="26" t="str">
        <f t="shared" si="41"/>
        <v/>
      </c>
    </row>
    <row r="885" spans="1:20" x14ac:dyDescent="0.3">
      <c r="A885" s="26" t="str">
        <f>IF(BASE_CAIXA!A882="","",BASE_CAIXA!A882)</f>
        <v/>
      </c>
      <c r="B885" s="26" t="str">
        <f>IF(A885="","",BASE_CAIXA!AL882)</f>
        <v/>
      </c>
      <c r="C885" s="26" t="str">
        <f>IF(A885="","",BASE_CAIXA!AJ882)</f>
        <v/>
      </c>
      <c r="D885" s="26" t="str">
        <f>IF(A885="","",IF(BASE_CAIXA!C882="Entrada","Crédito","Débito"))</f>
        <v/>
      </c>
      <c r="E885" s="26" t="str">
        <f>IF(A885="","",BASE_CAIXA!AA882)</f>
        <v/>
      </c>
      <c r="F885" s="26" t="str">
        <f>IF(A885="","",BASE_CAIXA!N882)</f>
        <v/>
      </c>
      <c r="G885" s="26" t="str">
        <f>IF(A885="","",BASE_CAIXA!O882)</f>
        <v/>
      </c>
      <c r="H885" s="26" t="str">
        <f>IF(A885="","",BASE_CAIXA!P882)</f>
        <v/>
      </c>
      <c r="I885" s="26" t="str">
        <f>IF(A885="","",IF(BASE_CAIXA!H882&lt;&gt;"",BASE_CAIXA!H882,BASE_CAIXA!G882))</f>
        <v/>
      </c>
      <c r="J885" s="26" t="str">
        <f>IF(A885="","",BASE_CAIXA!G882)</f>
        <v/>
      </c>
      <c r="K885" s="26" t="str">
        <f>IF(A885="","",BASE_CAIXA!I882)</f>
        <v/>
      </c>
      <c r="L885" s="26" t="str">
        <f>IF(A885="","",BASE_CAIXA!J882)</f>
        <v/>
      </c>
      <c r="M885" s="26" t="str">
        <f>IF(A885="","",BASE_CAIXA!AM882)</f>
        <v/>
      </c>
      <c r="N885" s="26" t="str">
        <f t="shared" ca="1" si="39"/>
        <v/>
      </c>
      <c r="O885" s="26" t="str">
        <f>IFERROR(INDEX(EXTRATO_IMPORTADO!$A$5:$A$404,MATCH(B885,EXTRATO_IMPORTADO!$I$5:$I$404,0)),"")</f>
        <v/>
      </c>
      <c r="P885" s="26" t="str">
        <f>IFERROR(INDEX(EXTRATO_IMPORTADO!$F$5:$F$404,MATCH(B885,EXTRATO_IMPORTADO!$I$5:$I$404,0)),"")</f>
        <v/>
      </c>
      <c r="Q885" s="26" t="str">
        <f>IFERROR(INDEX(EXTRATO_IMPORTADO!$B$5:$B$404,MATCH(B885,EXTRATO_IMPORTADO!$I$5:$I$404,0)),"")</f>
        <v/>
      </c>
      <c r="R885" s="26" t="str">
        <f>IFERROR(MATCH(B885,EXTRATO_IMPORTADO!$I$5:$I$404,0),"")</f>
        <v/>
      </c>
      <c r="S885" s="26" t="str">
        <f t="shared" si="40"/>
        <v/>
      </c>
      <c r="T885" s="26" t="str">
        <f t="shared" si="41"/>
        <v/>
      </c>
    </row>
    <row r="886" spans="1:20" x14ac:dyDescent="0.3">
      <c r="A886" s="26" t="str">
        <f>IF(BASE_CAIXA!A883="","",BASE_CAIXA!A883)</f>
        <v/>
      </c>
      <c r="B886" s="26" t="str">
        <f>IF(A886="","",BASE_CAIXA!AL883)</f>
        <v/>
      </c>
      <c r="C886" s="26" t="str">
        <f>IF(A886="","",BASE_CAIXA!AJ883)</f>
        <v/>
      </c>
      <c r="D886" s="26" t="str">
        <f>IF(A886="","",IF(BASE_CAIXA!C883="Entrada","Crédito","Débito"))</f>
        <v/>
      </c>
      <c r="E886" s="26" t="str">
        <f>IF(A886="","",BASE_CAIXA!AA883)</f>
        <v/>
      </c>
      <c r="F886" s="26" t="str">
        <f>IF(A886="","",BASE_CAIXA!N883)</f>
        <v/>
      </c>
      <c r="G886" s="26" t="str">
        <f>IF(A886="","",BASE_CAIXA!O883)</f>
        <v/>
      </c>
      <c r="H886" s="26" t="str">
        <f>IF(A886="","",BASE_CAIXA!P883)</f>
        <v/>
      </c>
      <c r="I886" s="26" t="str">
        <f>IF(A886="","",IF(BASE_CAIXA!H883&lt;&gt;"",BASE_CAIXA!H883,BASE_CAIXA!G883))</f>
        <v/>
      </c>
      <c r="J886" s="26" t="str">
        <f>IF(A886="","",BASE_CAIXA!G883)</f>
        <v/>
      </c>
      <c r="K886" s="26" t="str">
        <f>IF(A886="","",BASE_CAIXA!I883)</f>
        <v/>
      </c>
      <c r="L886" s="26" t="str">
        <f>IF(A886="","",BASE_CAIXA!J883)</f>
        <v/>
      </c>
      <c r="M886" s="26" t="str">
        <f>IF(A886="","",BASE_CAIXA!AM883)</f>
        <v/>
      </c>
      <c r="N886" s="26" t="str">
        <f t="shared" ca="1" si="39"/>
        <v/>
      </c>
      <c r="O886" s="26" t="str">
        <f>IFERROR(INDEX(EXTRATO_IMPORTADO!$A$5:$A$404,MATCH(B886,EXTRATO_IMPORTADO!$I$5:$I$404,0)),"")</f>
        <v/>
      </c>
      <c r="P886" s="26" t="str">
        <f>IFERROR(INDEX(EXTRATO_IMPORTADO!$F$5:$F$404,MATCH(B886,EXTRATO_IMPORTADO!$I$5:$I$404,0)),"")</f>
        <v/>
      </c>
      <c r="Q886" s="26" t="str">
        <f>IFERROR(INDEX(EXTRATO_IMPORTADO!$B$5:$B$404,MATCH(B886,EXTRATO_IMPORTADO!$I$5:$I$404,0)),"")</f>
        <v/>
      </c>
      <c r="R886" s="26" t="str">
        <f>IFERROR(MATCH(B886,EXTRATO_IMPORTADO!$I$5:$I$404,0),"")</f>
        <v/>
      </c>
      <c r="S886" s="26" t="str">
        <f t="shared" si="40"/>
        <v/>
      </c>
      <c r="T886" s="26" t="str">
        <f t="shared" si="41"/>
        <v/>
      </c>
    </row>
    <row r="887" spans="1:20" x14ac:dyDescent="0.3">
      <c r="A887" s="26" t="str">
        <f>IF(BASE_CAIXA!A884="","",BASE_CAIXA!A884)</f>
        <v/>
      </c>
      <c r="B887" s="26" t="str">
        <f>IF(A887="","",BASE_CAIXA!AL884)</f>
        <v/>
      </c>
      <c r="C887" s="26" t="str">
        <f>IF(A887="","",BASE_CAIXA!AJ884)</f>
        <v/>
      </c>
      <c r="D887" s="26" t="str">
        <f>IF(A887="","",IF(BASE_CAIXA!C884="Entrada","Crédito","Débito"))</f>
        <v/>
      </c>
      <c r="E887" s="26" t="str">
        <f>IF(A887="","",BASE_CAIXA!AA884)</f>
        <v/>
      </c>
      <c r="F887" s="26" t="str">
        <f>IF(A887="","",BASE_CAIXA!N884)</f>
        <v/>
      </c>
      <c r="G887" s="26" t="str">
        <f>IF(A887="","",BASE_CAIXA!O884)</f>
        <v/>
      </c>
      <c r="H887" s="26" t="str">
        <f>IF(A887="","",BASE_CAIXA!P884)</f>
        <v/>
      </c>
      <c r="I887" s="26" t="str">
        <f>IF(A887="","",IF(BASE_CAIXA!H884&lt;&gt;"",BASE_CAIXA!H884,BASE_CAIXA!G884))</f>
        <v/>
      </c>
      <c r="J887" s="26" t="str">
        <f>IF(A887="","",BASE_CAIXA!G884)</f>
        <v/>
      </c>
      <c r="K887" s="26" t="str">
        <f>IF(A887="","",BASE_CAIXA!I884)</f>
        <v/>
      </c>
      <c r="L887" s="26" t="str">
        <f>IF(A887="","",BASE_CAIXA!J884)</f>
        <v/>
      </c>
      <c r="M887" s="26" t="str">
        <f>IF(A887="","",BASE_CAIXA!AM884)</f>
        <v/>
      </c>
      <c r="N887" s="26" t="str">
        <f t="shared" ca="1" si="39"/>
        <v/>
      </c>
      <c r="O887" s="26" t="str">
        <f>IFERROR(INDEX(EXTRATO_IMPORTADO!$A$5:$A$404,MATCH(B887,EXTRATO_IMPORTADO!$I$5:$I$404,0)),"")</f>
        <v/>
      </c>
      <c r="P887" s="26" t="str">
        <f>IFERROR(INDEX(EXTRATO_IMPORTADO!$F$5:$F$404,MATCH(B887,EXTRATO_IMPORTADO!$I$5:$I$404,0)),"")</f>
        <v/>
      </c>
      <c r="Q887" s="26" t="str">
        <f>IFERROR(INDEX(EXTRATO_IMPORTADO!$B$5:$B$404,MATCH(B887,EXTRATO_IMPORTADO!$I$5:$I$404,0)),"")</f>
        <v/>
      </c>
      <c r="R887" s="26" t="str">
        <f>IFERROR(MATCH(B887,EXTRATO_IMPORTADO!$I$5:$I$404,0),"")</f>
        <v/>
      </c>
      <c r="S887" s="26" t="str">
        <f t="shared" si="40"/>
        <v/>
      </c>
      <c r="T887" s="26" t="str">
        <f t="shared" si="41"/>
        <v/>
      </c>
    </row>
    <row r="888" spans="1:20" x14ac:dyDescent="0.3">
      <c r="A888" s="26" t="str">
        <f>IF(BASE_CAIXA!A885="","",BASE_CAIXA!A885)</f>
        <v/>
      </c>
      <c r="B888" s="26" t="str">
        <f>IF(A888="","",BASE_CAIXA!AL885)</f>
        <v/>
      </c>
      <c r="C888" s="26" t="str">
        <f>IF(A888="","",BASE_CAIXA!AJ885)</f>
        <v/>
      </c>
      <c r="D888" s="26" t="str">
        <f>IF(A888="","",IF(BASE_CAIXA!C885="Entrada","Crédito","Débito"))</f>
        <v/>
      </c>
      <c r="E888" s="26" t="str">
        <f>IF(A888="","",BASE_CAIXA!AA885)</f>
        <v/>
      </c>
      <c r="F888" s="26" t="str">
        <f>IF(A888="","",BASE_CAIXA!N885)</f>
        <v/>
      </c>
      <c r="G888" s="26" t="str">
        <f>IF(A888="","",BASE_CAIXA!O885)</f>
        <v/>
      </c>
      <c r="H888" s="26" t="str">
        <f>IF(A888="","",BASE_CAIXA!P885)</f>
        <v/>
      </c>
      <c r="I888" s="26" t="str">
        <f>IF(A888="","",IF(BASE_CAIXA!H885&lt;&gt;"",BASE_CAIXA!H885,BASE_CAIXA!G885))</f>
        <v/>
      </c>
      <c r="J888" s="26" t="str">
        <f>IF(A888="","",BASE_CAIXA!G885)</f>
        <v/>
      </c>
      <c r="K888" s="26" t="str">
        <f>IF(A888="","",BASE_CAIXA!I885)</f>
        <v/>
      </c>
      <c r="L888" s="26" t="str">
        <f>IF(A888="","",BASE_CAIXA!J885)</f>
        <v/>
      </c>
      <c r="M888" s="26" t="str">
        <f>IF(A888="","",BASE_CAIXA!AM885)</f>
        <v/>
      </c>
      <c r="N888" s="26" t="str">
        <f t="shared" ca="1" si="39"/>
        <v/>
      </c>
      <c r="O888" s="26" t="str">
        <f>IFERROR(INDEX(EXTRATO_IMPORTADO!$A$5:$A$404,MATCH(B888,EXTRATO_IMPORTADO!$I$5:$I$404,0)),"")</f>
        <v/>
      </c>
      <c r="P888" s="26" t="str">
        <f>IFERROR(INDEX(EXTRATO_IMPORTADO!$F$5:$F$404,MATCH(B888,EXTRATO_IMPORTADO!$I$5:$I$404,0)),"")</f>
        <v/>
      </c>
      <c r="Q888" s="26" t="str">
        <f>IFERROR(INDEX(EXTRATO_IMPORTADO!$B$5:$B$404,MATCH(B888,EXTRATO_IMPORTADO!$I$5:$I$404,0)),"")</f>
        <v/>
      </c>
      <c r="R888" s="26" t="str">
        <f>IFERROR(MATCH(B888,EXTRATO_IMPORTADO!$I$5:$I$404,0),"")</f>
        <v/>
      </c>
      <c r="S888" s="26" t="str">
        <f t="shared" si="40"/>
        <v/>
      </c>
      <c r="T888" s="26" t="str">
        <f t="shared" si="41"/>
        <v/>
      </c>
    </row>
    <row r="889" spans="1:20" x14ac:dyDescent="0.3">
      <c r="A889" s="26" t="str">
        <f>IF(BASE_CAIXA!A886="","",BASE_CAIXA!A886)</f>
        <v/>
      </c>
      <c r="B889" s="26" t="str">
        <f>IF(A889="","",BASE_CAIXA!AL886)</f>
        <v/>
      </c>
      <c r="C889" s="26" t="str">
        <f>IF(A889="","",BASE_CAIXA!AJ886)</f>
        <v/>
      </c>
      <c r="D889" s="26" t="str">
        <f>IF(A889="","",IF(BASE_CAIXA!C886="Entrada","Crédito","Débito"))</f>
        <v/>
      </c>
      <c r="E889" s="26" t="str">
        <f>IF(A889="","",BASE_CAIXA!AA886)</f>
        <v/>
      </c>
      <c r="F889" s="26" t="str">
        <f>IF(A889="","",BASE_CAIXA!N886)</f>
        <v/>
      </c>
      <c r="G889" s="26" t="str">
        <f>IF(A889="","",BASE_CAIXA!O886)</f>
        <v/>
      </c>
      <c r="H889" s="26" t="str">
        <f>IF(A889="","",BASE_CAIXA!P886)</f>
        <v/>
      </c>
      <c r="I889" s="26" t="str">
        <f>IF(A889="","",IF(BASE_CAIXA!H886&lt;&gt;"",BASE_CAIXA!H886,BASE_CAIXA!G886))</f>
        <v/>
      </c>
      <c r="J889" s="26" t="str">
        <f>IF(A889="","",BASE_CAIXA!G886)</f>
        <v/>
      </c>
      <c r="K889" s="26" t="str">
        <f>IF(A889="","",BASE_CAIXA!I886)</f>
        <v/>
      </c>
      <c r="L889" s="26" t="str">
        <f>IF(A889="","",BASE_CAIXA!J886)</f>
        <v/>
      </c>
      <c r="M889" s="26" t="str">
        <f>IF(A889="","",BASE_CAIXA!AM886)</f>
        <v/>
      </c>
      <c r="N889" s="26" t="str">
        <f t="shared" ca="1" si="39"/>
        <v/>
      </c>
      <c r="O889" s="26" t="str">
        <f>IFERROR(INDEX(EXTRATO_IMPORTADO!$A$5:$A$404,MATCH(B889,EXTRATO_IMPORTADO!$I$5:$I$404,0)),"")</f>
        <v/>
      </c>
      <c r="P889" s="26" t="str">
        <f>IFERROR(INDEX(EXTRATO_IMPORTADO!$F$5:$F$404,MATCH(B889,EXTRATO_IMPORTADO!$I$5:$I$404,0)),"")</f>
        <v/>
      </c>
      <c r="Q889" s="26" t="str">
        <f>IFERROR(INDEX(EXTRATO_IMPORTADO!$B$5:$B$404,MATCH(B889,EXTRATO_IMPORTADO!$I$5:$I$404,0)),"")</f>
        <v/>
      </c>
      <c r="R889" s="26" t="str">
        <f>IFERROR(MATCH(B889,EXTRATO_IMPORTADO!$I$5:$I$404,0),"")</f>
        <v/>
      </c>
      <c r="S889" s="26" t="str">
        <f t="shared" si="40"/>
        <v/>
      </c>
      <c r="T889" s="26" t="str">
        <f t="shared" si="41"/>
        <v/>
      </c>
    </row>
    <row r="890" spans="1:20" x14ac:dyDescent="0.3">
      <c r="A890" s="26" t="str">
        <f>IF(BASE_CAIXA!A887="","",BASE_CAIXA!A887)</f>
        <v/>
      </c>
      <c r="B890" s="26" t="str">
        <f>IF(A890="","",BASE_CAIXA!AL887)</f>
        <v/>
      </c>
      <c r="C890" s="26" t="str">
        <f>IF(A890="","",BASE_CAIXA!AJ887)</f>
        <v/>
      </c>
      <c r="D890" s="26" t="str">
        <f>IF(A890="","",IF(BASE_CAIXA!C887="Entrada","Crédito","Débito"))</f>
        <v/>
      </c>
      <c r="E890" s="26" t="str">
        <f>IF(A890="","",BASE_CAIXA!AA887)</f>
        <v/>
      </c>
      <c r="F890" s="26" t="str">
        <f>IF(A890="","",BASE_CAIXA!N887)</f>
        <v/>
      </c>
      <c r="G890" s="26" t="str">
        <f>IF(A890="","",BASE_CAIXA!O887)</f>
        <v/>
      </c>
      <c r="H890" s="26" t="str">
        <f>IF(A890="","",BASE_CAIXA!P887)</f>
        <v/>
      </c>
      <c r="I890" s="26" t="str">
        <f>IF(A890="","",IF(BASE_CAIXA!H887&lt;&gt;"",BASE_CAIXA!H887,BASE_CAIXA!G887))</f>
        <v/>
      </c>
      <c r="J890" s="26" t="str">
        <f>IF(A890="","",BASE_CAIXA!G887)</f>
        <v/>
      </c>
      <c r="K890" s="26" t="str">
        <f>IF(A890="","",BASE_CAIXA!I887)</f>
        <v/>
      </c>
      <c r="L890" s="26" t="str">
        <f>IF(A890="","",BASE_CAIXA!J887)</f>
        <v/>
      </c>
      <c r="M890" s="26" t="str">
        <f>IF(A890="","",BASE_CAIXA!AM887)</f>
        <v/>
      </c>
      <c r="N890" s="26" t="str">
        <f t="shared" ca="1" si="39"/>
        <v/>
      </c>
      <c r="O890" s="26" t="str">
        <f>IFERROR(INDEX(EXTRATO_IMPORTADO!$A$5:$A$404,MATCH(B890,EXTRATO_IMPORTADO!$I$5:$I$404,0)),"")</f>
        <v/>
      </c>
      <c r="P890" s="26" t="str">
        <f>IFERROR(INDEX(EXTRATO_IMPORTADO!$F$5:$F$404,MATCH(B890,EXTRATO_IMPORTADO!$I$5:$I$404,0)),"")</f>
        <v/>
      </c>
      <c r="Q890" s="26" t="str">
        <f>IFERROR(INDEX(EXTRATO_IMPORTADO!$B$5:$B$404,MATCH(B890,EXTRATO_IMPORTADO!$I$5:$I$404,0)),"")</f>
        <v/>
      </c>
      <c r="R890" s="26" t="str">
        <f>IFERROR(MATCH(B890,EXTRATO_IMPORTADO!$I$5:$I$404,0),"")</f>
        <v/>
      </c>
      <c r="S890" s="26" t="str">
        <f t="shared" si="40"/>
        <v/>
      </c>
      <c r="T890" s="26" t="str">
        <f t="shared" si="41"/>
        <v/>
      </c>
    </row>
    <row r="891" spans="1:20" x14ac:dyDescent="0.3">
      <c r="A891" s="26" t="str">
        <f>IF(BASE_CAIXA!A888="","",BASE_CAIXA!A888)</f>
        <v/>
      </c>
      <c r="B891" s="26" t="str">
        <f>IF(A891="","",BASE_CAIXA!AL888)</f>
        <v/>
      </c>
      <c r="C891" s="26" t="str">
        <f>IF(A891="","",BASE_CAIXA!AJ888)</f>
        <v/>
      </c>
      <c r="D891" s="26" t="str">
        <f>IF(A891="","",IF(BASE_CAIXA!C888="Entrada","Crédito","Débito"))</f>
        <v/>
      </c>
      <c r="E891" s="26" t="str">
        <f>IF(A891="","",BASE_CAIXA!AA888)</f>
        <v/>
      </c>
      <c r="F891" s="26" t="str">
        <f>IF(A891="","",BASE_CAIXA!N888)</f>
        <v/>
      </c>
      <c r="G891" s="26" t="str">
        <f>IF(A891="","",BASE_CAIXA!O888)</f>
        <v/>
      </c>
      <c r="H891" s="26" t="str">
        <f>IF(A891="","",BASE_CAIXA!P888)</f>
        <v/>
      </c>
      <c r="I891" s="26" t="str">
        <f>IF(A891="","",IF(BASE_CAIXA!H888&lt;&gt;"",BASE_CAIXA!H888,BASE_CAIXA!G888))</f>
        <v/>
      </c>
      <c r="J891" s="26" t="str">
        <f>IF(A891="","",BASE_CAIXA!G888)</f>
        <v/>
      </c>
      <c r="K891" s="26" t="str">
        <f>IF(A891="","",BASE_CAIXA!I888)</f>
        <v/>
      </c>
      <c r="L891" s="26" t="str">
        <f>IF(A891="","",BASE_CAIXA!J888)</f>
        <v/>
      </c>
      <c r="M891" s="26" t="str">
        <f>IF(A891="","",BASE_CAIXA!AM888)</f>
        <v/>
      </c>
      <c r="N891" s="26" t="str">
        <f t="shared" ca="1" si="39"/>
        <v/>
      </c>
      <c r="O891" s="26" t="str">
        <f>IFERROR(INDEX(EXTRATO_IMPORTADO!$A$5:$A$404,MATCH(B891,EXTRATO_IMPORTADO!$I$5:$I$404,0)),"")</f>
        <v/>
      </c>
      <c r="P891" s="26" t="str">
        <f>IFERROR(INDEX(EXTRATO_IMPORTADO!$F$5:$F$404,MATCH(B891,EXTRATO_IMPORTADO!$I$5:$I$404,0)),"")</f>
        <v/>
      </c>
      <c r="Q891" s="26" t="str">
        <f>IFERROR(INDEX(EXTRATO_IMPORTADO!$B$5:$B$404,MATCH(B891,EXTRATO_IMPORTADO!$I$5:$I$404,0)),"")</f>
        <v/>
      </c>
      <c r="R891" s="26" t="str">
        <f>IFERROR(MATCH(B891,EXTRATO_IMPORTADO!$I$5:$I$404,0),"")</f>
        <v/>
      </c>
      <c r="S891" s="26" t="str">
        <f t="shared" si="40"/>
        <v/>
      </c>
      <c r="T891" s="26" t="str">
        <f t="shared" si="41"/>
        <v/>
      </c>
    </row>
    <row r="892" spans="1:20" x14ac:dyDescent="0.3">
      <c r="A892" s="26" t="str">
        <f>IF(BASE_CAIXA!A889="","",BASE_CAIXA!A889)</f>
        <v/>
      </c>
      <c r="B892" s="26" t="str">
        <f>IF(A892="","",BASE_CAIXA!AL889)</f>
        <v/>
      </c>
      <c r="C892" s="26" t="str">
        <f>IF(A892="","",BASE_CAIXA!AJ889)</f>
        <v/>
      </c>
      <c r="D892" s="26" t="str">
        <f>IF(A892="","",IF(BASE_CAIXA!C889="Entrada","Crédito","Débito"))</f>
        <v/>
      </c>
      <c r="E892" s="26" t="str">
        <f>IF(A892="","",BASE_CAIXA!AA889)</f>
        <v/>
      </c>
      <c r="F892" s="26" t="str">
        <f>IF(A892="","",BASE_CAIXA!N889)</f>
        <v/>
      </c>
      <c r="G892" s="26" t="str">
        <f>IF(A892="","",BASE_CAIXA!O889)</f>
        <v/>
      </c>
      <c r="H892" s="26" t="str">
        <f>IF(A892="","",BASE_CAIXA!P889)</f>
        <v/>
      </c>
      <c r="I892" s="26" t="str">
        <f>IF(A892="","",IF(BASE_CAIXA!H889&lt;&gt;"",BASE_CAIXA!H889,BASE_CAIXA!G889))</f>
        <v/>
      </c>
      <c r="J892" s="26" t="str">
        <f>IF(A892="","",BASE_CAIXA!G889)</f>
        <v/>
      </c>
      <c r="K892" s="26" t="str">
        <f>IF(A892="","",BASE_CAIXA!I889)</f>
        <v/>
      </c>
      <c r="L892" s="26" t="str">
        <f>IF(A892="","",BASE_CAIXA!J889)</f>
        <v/>
      </c>
      <c r="M892" s="26" t="str">
        <f>IF(A892="","",BASE_CAIXA!AM889)</f>
        <v/>
      </c>
      <c r="N892" s="26" t="str">
        <f t="shared" ca="1" si="39"/>
        <v/>
      </c>
      <c r="O892" s="26" t="str">
        <f>IFERROR(INDEX(EXTRATO_IMPORTADO!$A$5:$A$404,MATCH(B892,EXTRATO_IMPORTADO!$I$5:$I$404,0)),"")</f>
        <v/>
      </c>
      <c r="P892" s="26" t="str">
        <f>IFERROR(INDEX(EXTRATO_IMPORTADO!$F$5:$F$404,MATCH(B892,EXTRATO_IMPORTADO!$I$5:$I$404,0)),"")</f>
        <v/>
      </c>
      <c r="Q892" s="26" t="str">
        <f>IFERROR(INDEX(EXTRATO_IMPORTADO!$B$5:$B$404,MATCH(B892,EXTRATO_IMPORTADO!$I$5:$I$404,0)),"")</f>
        <v/>
      </c>
      <c r="R892" s="26" t="str">
        <f>IFERROR(MATCH(B892,EXTRATO_IMPORTADO!$I$5:$I$404,0),"")</f>
        <v/>
      </c>
      <c r="S892" s="26" t="str">
        <f t="shared" si="40"/>
        <v/>
      </c>
      <c r="T892" s="26" t="str">
        <f t="shared" si="41"/>
        <v/>
      </c>
    </row>
    <row r="893" spans="1:20" x14ac:dyDescent="0.3">
      <c r="A893" s="26" t="str">
        <f>IF(BASE_CAIXA!A890="","",BASE_CAIXA!A890)</f>
        <v/>
      </c>
      <c r="B893" s="26" t="str">
        <f>IF(A893="","",BASE_CAIXA!AL890)</f>
        <v/>
      </c>
      <c r="C893" s="26" t="str">
        <f>IF(A893="","",BASE_CAIXA!AJ890)</f>
        <v/>
      </c>
      <c r="D893" s="26" t="str">
        <f>IF(A893="","",IF(BASE_CAIXA!C890="Entrada","Crédito","Débito"))</f>
        <v/>
      </c>
      <c r="E893" s="26" t="str">
        <f>IF(A893="","",BASE_CAIXA!AA890)</f>
        <v/>
      </c>
      <c r="F893" s="26" t="str">
        <f>IF(A893="","",BASE_CAIXA!N890)</f>
        <v/>
      </c>
      <c r="G893" s="26" t="str">
        <f>IF(A893="","",BASE_CAIXA!O890)</f>
        <v/>
      </c>
      <c r="H893" s="26" t="str">
        <f>IF(A893="","",BASE_CAIXA!P890)</f>
        <v/>
      </c>
      <c r="I893" s="26" t="str">
        <f>IF(A893="","",IF(BASE_CAIXA!H890&lt;&gt;"",BASE_CAIXA!H890,BASE_CAIXA!G890))</f>
        <v/>
      </c>
      <c r="J893" s="26" t="str">
        <f>IF(A893="","",BASE_CAIXA!G890)</f>
        <v/>
      </c>
      <c r="K893" s="26" t="str">
        <f>IF(A893="","",BASE_CAIXA!I890)</f>
        <v/>
      </c>
      <c r="L893" s="26" t="str">
        <f>IF(A893="","",BASE_CAIXA!J890)</f>
        <v/>
      </c>
      <c r="M893" s="26" t="str">
        <f>IF(A893="","",BASE_CAIXA!AM890)</f>
        <v/>
      </c>
      <c r="N893" s="26" t="str">
        <f t="shared" ca="1" si="39"/>
        <v/>
      </c>
      <c r="O893" s="26" t="str">
        <f>IFERROR(INDEX(EXTRATO_IMPORTADO!$A$5:$A$404,MATCH(B893,EXTRATO_IMPORTADO!$I$5:$I$404,0)),"")</f>
        <v/>
      </c>
      <c r="P893" s="26" t="str">
        <f>IFERROR(INDEX(EXTRATO_IMPORTADO!$F$5:$F$404,MATCH(B893,EXTRATO_IMPORTADO!$I$5:$I$404,0)),"")</f>
        <v/>
      </c>
      <c r="Q893" s="26" t="str">
        <f>IFERROR(INDEX(EXTRATO_IMPORTADO!$B$5:$B$404,MATCH(B893,EXTRATO_IMPORTADO!$I$5:$I$404,0)),"")</f>
        <v/>
      </c>
      <c r="R893" s="26" t="str">
        <f>IFERROR(MATCH(B893,EXTRATO_IMPORTADO!$I$5:$I$404,0),"")</f>
        <v/>
      </c>
      <c r="S893" s="26" t="str">
        <f t="shared" si="40"/>
        <v/>
      </c>
      <c r="T893" s="26" t="str">
        <f t="shared" si="41"/>
        <v/>
      </c>
    </row>
    <row r="894" spans="1:20" x14ac:dyDescent="0.3">
      <c r="A894" s="26" t="str">
        <f>IF(BASE_CAIXA!A891="","",BASE_CAIXA!A891)</f>
        <v/>
      </c>
      <c r="B894" s="26" t="str">
        <f>IF(A894="","",BASE_CAIXA!AL891)</f>
        <v/>
      </c>
      <c r="C894" s="26" t="str">
        <f>IF(A894="","",BASE_CAIXA!AJ891)</f>
        <v/>
      </c>
      <c r="D894" s="26" t="str">
        <f>IF(A894="","",IF(BASE_CAIXA!C891="Entrada","Crédito","Débito"))</f>
        <v/>
      </c>
      <c r="E894" s="26" t="str">
        <f>IF(A894="","",BASE_CAIXA!AA891)</f>
        <v/>
      </c>
      <c r="F894" s="26" t="str">
        <f>IF(A894="","",BASE_CAIXA!N891)</f>
        <v/>
      </c>
      <c r="G894" s="26" t="str">
        <f>IF(A894="","",BASE_CAIXA!O891)</f>
        <v/>
      </c>
      <c r="H894" s="26" t="str">
        <f>IF(A894="","",BASE_CAIXA!P891)</f>
        <v/>
      </c>
      <c r="I894" s="26" t="str">
        <f>IF(A894="","",IF(BASE_CAIXA!H891&lt;&gt;"",BASE_CAIXA!H891,BASE_CAIXA!G891))</f>
        <v/>
      </c>
      <c r="J894" s="26" t="str">
        <f>IF(A894="","",BASE_CAIXA!G891)</f>
        <v/>
      </c>
      <c r="K894" s="26" t="str">
        <f>IF(A894="","",BASE_CAIXA!I891)</f>
        <v/>
      </c>
      <c r="L894" s="26" t="str">
        <f>IF(A894="","",BASE_CAIXA!J891)</f>
        <v/>
      </c>
      <c r="M894" s="26" t="str">
        <f>IF(A894="","",BASE_CAIXA!AM891)</f>
        <v/>
      </c>
      <c r="N894" s="26" t="str">
        <f t="shared" ca="1" si="39"/>
        <v/>
      </c>
      <c r="O894" s="26" t="str">
        <f>IFERROR(INDEX(EXTRATO_IMPORTADO!$A$5:$A$404,MATCH(B894,EXTRATO_IMPORTADO!$I$5:$I$404,0)),"")</f>
        <v/>
      </c>
      <c r="P894" s="26" t="str">
        <f>IFERROR(INDEX(EXTRATO_IMPORTADO!$F$5:$F$404,MATCH(B894,EXTRATO_IMPORTADO!$I$5:$I$404,0)),"")</f>
        <v/>
      </c>
      <c r="Q894" s="26" t="str">
        <f>IFERROR(INDEX(EXTRATO_IMPORTADO!$B$5:$B$404,MATCH(B894,EXTRATO_IMPORTADO!$I$5:$I$404,0)),"")</f>
        <v/>
      </c>
      <c r="R894" s="26" t="str">
        <f>IFERROR(MATCH(B894,EXTRATO_IMPORTADO!$I$5:$I$404,0),"")</f>
        <v/>
      </c>
      <c r="S894" s="26" t="str">
        <f t="shared" si="40"/>
        <v/>
      </c>
      <c r="T894" s="26" t="str">
        <f t="shared" si="41"/>
        <v/>
      </c>
    </row>
    <row r="895" spans="1:20" x14ac:dyDescent="0.3">
      <c r="A895" s="26" t="str">
        <f>IF(BASE_CAIXA!A892="","",BASE_CAIXA!A892)</f>
        <v/>
      </c>
      <c r="B895" s="26" t="str">
        <f>IF(A895="","",BASE_CAIXA!AL892)</f>
        <v/>
      </c>
      <c r="C895" s="26" t="str">
        <f>IF(A895="","",BASE_CAIXA!AJ892)</f>
        <v/>
      </c>
      <c r="D895" s="26" t="str">
        <f>IF(A895="","",IF(BASE_CAIXA!C892="Entrada","Crédito","Débito"))</f>
        <v/>
      </c>
      <c r="E895" s="26" t="str">
        <f>IF(A895="","",BASE_CAIXA!AA892)</f>
        <v/>
      </c>
      <c r="F895" s="26" t="str">
        <f>IF(A895="","",BASE_CAIXA!N892)</f>
        <v/>
      </c>
      <c r="G895" s="26" t="str">
        <f>IF(A895="","",BASE_CAIXA!O892)</f>
        <v/>
      </c>
      <c r="H895" s="26" t="str">
        <f>IF(A895="","",BASE_CAIXA!P892)</f>
        <v/>
      </c>
      <c r="I895" s="26" t="str">
        <f>IF(A895="","",IF(BASE_CAIXA!H892&lt;&gt;"",BASE_CAIXA!H892,BASE_CAIXA!G892))</f>
        <v/>
      </c>
      <c r="J895" s="26" t="str">
        <f>IF(A895="","",BASE_CAIXA!G892)</f>
        <v/>
      </c>
      <c r="K895" s="26" t="str">
        <f>IF(A895="","",BASE_CAIXA!I892)</f>
        <v/>
      </c>
      <c r="L895" s="26" t="str">
        <f>IF(A895="","",BASE_CAIXA!J892)</f>
        <v/>
      </c>
      <c r="M895" s="26" t="str">
        <f>IF(A895="","",BASE_CAIXA!AM892)</f>
        <v/>
      </c>
      <c r="N895" s="26" t="str">
        <f t="shared" ca="1" si="39"/>
        <v/>
      </c>
      <c r="O895" s="26" t="str">
        <f>IFERROR(INDEX(EXTRATO_IMPORTADO!$A$5:$A$404,MATCH(B895,EXTRATO_IMPORTADO!$I$5:$I$404,0)),"")</f>
        <v/>
      </c>
      <c r="P895" s="26" t="str">
        <f>IFERROR(INDEX(EXTRATO_IMPORTADO!$F$5:$F$404,MATCH(B895,EXTRATO_IMPORTADO!$I$5:$I$404,0)),"")</f>
        <v/>
      </c>
      <c r="Q895" s="26" t="str">
        <f>IFERROR(INDEX(EXTRATO_IMPORTADO!$B$5:$B$404,MATCH(B895,EXTRATO_IMPORTADO!$I$5:$I$404,0)),"")</f>
        <v/>
      </c>
      <c r="R895" s="26" t="str">
        <f>IFERROR(MATCH(B895,EXTRATO_IMPORTADO!$I$5:$I$404,0),"")</f>
        <v/>
      </c>
      <c r="S895" s="26" t="str">
        <f t="shared" si="40"/>
        <v/>
      </c>
      <c r="T895" s="26" t="str">
        <f t="shared" si="41"/>
        <v/>
      </c>
    </row>
    <row r="896" spans="1:20" x14ac:dyDescent="0.3">
      <c r="A896" s="26" t="str">
        <f>IF(BASE_CAIXA!A893="","",BASE_CAIXA!A893)</f>
        <v/>
      </c>
      <c r="B896" s="26" t="str">
        <f>IF(A896="","",BASE_CAIXA!AL893)</f>
        <v/>
      </c>
      <c r="C896" s="26" t="str">
        <f>IF(A896="","",BASE_CAIXA!AJ893)</f>
        <v/>
      </c>
      <c r="D896" s="26" t="str">
        <f>IF(A896="","",IF(BASE_CAIXA!C893="Entrada","Crédito","Débito"))</f>
        <v/>
      </c>
      <c r="E896" s="26" t="str">
        <f>IF(A896="","",BASE_CAIXA!AA893)</f>
        <v/>
      </c>
      <c r="F896" s="26" t="str">
        <f>IF(A896="","",BASE_CAIXA!N893)</f>
        <v/>
      </c>
      <c r="G896" s="26" t="str">
        <f>IF(A896="","",BASE_CAIXA!O893)</f>
        <v/>
      </c>
      <c r="H896" s="26" t="str">
        <f>IF(A896="","",BASE_CAIXA!P893)</f>
        <v/>
      </c>
      <c r="I896" s="26" t="str">
        <f>IF(A896="","",IF(BASE_CAIXA!H893&lt;&gt;"",BASE_CAIXA!H893,BASE_CAIXA!G893))</f>
        <v/>
      </c>
      <c r="J896" s="26" t="str">
        <f>IF(A896="","",BASE_CAIXA!G893)</f>
        <v/>
      </c>
      <c r="K896" s="26" t="str">
        <f>IF(A896="","",BASE_CAIXA!I893)</f>
        <v/>
      </c>
      <c r="L896" s="26" t="str">
        <f>IF(A896="","",BASE_CAIXA!J893)</f>
        <v/>
      </c>
      <c r="M896" s="26" t="str">
        <f>IF(A896="","",BASE_CAIXA!AM893)</f>
        <v/>
      </c>
      <c r="N896" s="26" t="str">
        <f t="shared" ca="1" si="39"/>
        <v/>
      </c>
      <c r="O896" s="26" t="str">
        <f>IFERROR(INDEX(EXTRATO_IMPORTADO!$A$5:$A$404,MATCH(B896,EXTRATO_IMPORTADO!$I$5:$I$404,0)),"")</f>
        <v/>
      </c>
      <c r="P896" s="26" t="str">
        <f>IFERROR(INDEX(EXTRATO_IMPORTADO!$F$5:$F$404,MATCH(B896,EXTRATO_IMPORTADO!$I$5:$I$404,0)),"")</f>
        <v/>
      </c>
      <c r="Q896" s="26" t="str">
        <f>IFERROR(INDEX(EXTRATO_IMPORTADO!$B$5:$B$404,MATCH(B896,EXTRATO_IMPORTADO!$I$5:$I$404,0)),"")</f>
        <v/>
      </c>
      <c r="R896" s="26" t="str">
        <f>IFERROR(MATCH(B896,EXTRATO_IMPORTADO!$I$5:$I$404,0),"")</f>
        <v/>
      </c>
      <c r="S896" s="26" t="str">
        <f t="shared" si="40"/>
        <v/>
      </c>
      <c r="T896" s="26" t="str">
        <f t="shared" si="41"/>
        <v/>
      </c>
    </row>
    <row r="897" spans="1:20" x14ac:dyDescent="0.3">
      <c r="A897" s="26" t="str">
        <f>IF(BASE_CAIXA!A894="","",BASE_CAIXA!A894)</f>
        <v/>
      </c>
      <c r="B897" s="26" t="str">
        <f>IF(A897="","",BASE_CAIXA!AL894)</f>
        <v/>
      </c>
      <c r="C897" s="26" t="str">
        <f>IF(A897="","",BASE_CAIXA!AJ894)</f>
        <v/>
      </c>
      <c r="D897" s="26" t="str">
        <f>IF(A897="","",IF(BASE_CAIXA!C894="Entrada","Crédito","Débito"))</f>
        <v/>
      </c>
      <c r="E897" s="26" t="str">
        <f>IF(A897="","",BASE_CAIXA!AA894)</f>
        <v/>
      </c>
      <c r="F897" s="26" t="str">
        <f>IF(A897="","",BASE_CAIXA!N894)</f>
        <v/>
      </c>
      <c r="G897" s="26" t="str">
        <f>IF(A897="","",BASE_CAIXA!O894)</f>
        <v/>
      </c>
      <c r="H897" s="26" t="str">
        <f>IF(A897="","",BASE_CAIXA!P894)</f>
        <v/>
      </c>
      <c r="I897" s="26" t="str">
        <f>IF(A897="","",IF(BASE_CAIXA!H894&lt;&gt;"",BASE_CAIXA!H894,BASE_CAIXA!G894))</f>
        <v/>
      </c>
      <c r="J897" s="26" t="str">
        <f>IF(A897="","",BASE_CAIXA!G894)</f>
        <v/>
      </c>
      <c r="K897" s="26" t="str">
        <f>IF(A897="","",BASE_CAIXA!I894)</f>
        <v/>
      </c>
      <c r="L897" s="26" t="str">
        <f>IF(A897="","",BASE_CAIXA!J894)</f>
        <v/>
      </c>
      <c r="M897" s="26" t="str">
        <f>IF(A897="","",BASE_CAIXA!AM894)</f>
        <v/>
      </c>
      <c r="N897" s="26" t="str">
        <f t="shared" ca="1" si="39"/>
        <v/>
      </c>
      <c r="O897" s="26" t="str">
        <f>IFERROR(INDEX(EXTRATO_IMPORTADO!$A$5:$A$404,MATCH(B897,EXTRATO_IMPORTADO!$I$5:$I$404,0)),"")</f>
        <v/>
      </c>
      <c r="P897" s="26" t="str">
        <f>IFERROR(INDEX(EXTRATO_IMPORTADO!$F$5:$F$404,MATCH(B897,EXTRATO_IMPORTADO!$I$5:$I$404,0)),"")</f>
        <v/>
      </c>
      <c r="Q897" s="26" t="str">
        <f>IFERROR(INDEX(EXTRATO_IMPORTADO!$B$5:$B$404,MATCH(B897,EXTRATO_IMPORTADO!$I$5:$I$404,0)),"")</f>
        <v/>
      </c>
      <c r="R897" s="26" t="str">
        <f>IFERROR(MATCH(B897,EXTRATO_IMPORTADO!$I$5:$I$404,0),"")</f>
        <v/>
      </c>
      <c r="S897" s="26" t="str">
        <f t="shared" si="40"/>
        <v/>
      </c>
      <c r="T897" s="26" t="str">
        <f t="shared" si="41"/>
        <v/>
      </c>
    </row>
    <row r="898" spans="1:20" x14ac:dyDescent="0.3">
      <c r="A898" s="26" t="str">
        <f>IF(BASE_CAIXA!A895="","",BASE_CAIXA!A895)</f>
        <v/>
      </c>
      <c r="B898" s="26" t="str">
        <f>IF(A898="","",BASE_CAIXA!AL895)</f>
        <v/>
      </c>
      <c r="C898" s="26" t="str">
        <f>IF(A898="","",BASE_CAIXA!AJ895)</f>
        <v/>
      </c>
      <c r="D898" s="26" t="str">
        <f>IF(A898="","",IF(BASE_CAIXA!C895="Entrada","Crédito","Débito"))</f>
        <v/>
      </c>
      <c r="E898" s="26" t="str">
        <f>IF(A898="","",BASE_CAIXA!AA895)</f>
        <v/>
      </c>
      <c r="F898" s="26" t="str">
        <f>IF(A898="","",BASE_CAIXA!N895)</f>
        <v/>
      </c>
      <c r="G898" s="26" t="str">
        <f>IF(A898="","",BASE_CAIXA!O895)</f>
        <v/>
      </c>
      <c r="H898" s="26" t="str">
        <f>IF(A898="","",BASE_CAIXA!P895)</f>
        <v/>
      </c>
      <c r="I898" s="26" t="str">
        <f>IF(A898="","",IF(BASE_CAIXA!H895&lt;&gt;"",BASE_CAIXA!H895,BASE_CAIXA!G895))</f>
        <v/>
      </c>
      <c r="J898" s="26" t="str">
        <f>IF(A898="","",BASE_CAIXA!G895)</f>
        <v/>
      </c>
      <c r="K898" s="26" t="str">
        <f>IF(A898="","",BASE_CAIXA!I895)</f>
        <v/>
      </c>
      <c r="L898" s="26" t="str">
        <f>IF(A898="","",BASE_CAIXA!J895)</f>
        <v/>
      </c>
      <c r="M898" s="26" t="str">
        <f>IF(A898="","",BASE_CAIXA!AM895)</f>
        <v/>
      </c>
      <c r="N898" s="26" t="str">
        <f t="shared" ca="1" si="39"/>
        <v/>
      </c>
      <c r="O898" s="26" t="str">
        <f>IFERROR(INDEX(EXTRATO_IMPORTADO!$A$5:$A$404,MATCH(B898,EXTRATO_IMPORTADO!$I$5:$I$404,0)),"")</f>
        <v/>
      </c>
      <c r="P898" s="26" t="str">
        <f>IFERROR(INDEX(EXTRATO_IMPORTADO!$F$5:$F$404,MATCH(B898,EXTRATO_IMPORTADO!$I$5:$I$404,0)),"")</f>
        <v/>
      </c>
      <c r="Q898" s="26" t="str">
        <f>IFERROR(INDEX(EXTRATO_IMPORTADO!$B$5:$B$404,MATCH(B898,EXTRATO_IMPORTADO!$I$5:$I$404,0)),"")</f>
        <v/>
      </c>
      <c r="R898" s="26" t="str">
        <f>IFERROR(MATCH(B898,EXTRATO_IMPORTADO!$I$5:$I$404,0),"")</f>
        <v/>
      </c>
      <c r="S898" s="26" t="str">
        <f t="shared" si="40"/>
        <v/>
      </c>
      <c r="T898" s="26" t="str">
        <f t="shared" si="41"/>
        <v/>
      </c>
    </row>
    <row r="899" spans="1:20" x14ac:dyDescent="0.3">
      <c r="A899" s="26" t="str">
        <f>IF(BASE_CAIXA!A896="","",BASE_CAIXA!A896)</f>
        <v/>
      </c>
      <c r="B899" s="26" t="str">
        <f>IF(A899="","",BASE_CAIXA!AL896)</f>
        <v/>
      </c>
      <c r="C899" s="26" t="str">
        <f>IF(A899="","",BASE_CAIXA!AJ896)</f>
        <v/>
      </c>
      <c r="D899" s="26" t="str">
        <f>IF(A899="","",IF(BASE_CAIXA!C896="Entrada","Crédito","Débito"))</f>
        <v/>
      </c>
      <c r="E899" s="26" t="str">
        <f>IF(A899="","",BASE_CAIXA!AA896)</f>
        <v/>
      </c>
      <c r="F899" s="26" t="str">
        <f>IF(A899="","",BASE_CAIXA!N896)</f>
        <v/>
      </c>
      <c r="G899" s="26" t="str">
        <f>IF(A899="","",BASE_CAIXA!O896)</f>
        <v/>
      </c>
      <c r="H899" s="26" t="str">
        <f>IF(A899="","",BASE_CAIXA!P896)</f>
        <v/>
      </c>
      <c r="I899" s="26" t="str">
        <f>IF(A899="","",IF(BASE_CAIXA!H896&lt;&gt;"",BASE_CAIXA!H896,BASE_CAIXA!G896))</f>
        <v/>
      </c>
      <c r="J899" s="26" t="str">
        <f>IF(A899="","",BASE_CAIXA!G896)</f>
        <v/>
      </c>
      <c r="K899" s="26" t="str">
        <f>IF(A899="","",BASE_CAIXA!I896)</f>
        <v/>
      </c>
      <c r="L899" s="26" t="str">
        <f>IF(A899="","",BASE_CAIXA!J896)</f>
        <v/>
      </c>
      <c r="M899" s="26" t="str">
        <f>IF(A899="","",BASE_CAIXA!AM896)</f>
        <v/>
      </c>
      <c r="N899" s="26" t="str">
        <f t="shared" ca="1" si="39"/>
        <v/>
      </c>
      <c r="O899" s="26" t="str">
        <f>IFERROR(INDEX(EXTRATO_IMPORTADO!$A$5:$A$404,MATCH(B899,EXTRATO_IMPORTADO!$I$5:$I$404,0)),"")</f>
        <v/>
      </c>
      <c r="P899" s="26" t="str">
        <f>IFERROR(INDEX(EXTRATO_IMPORTADO!$F$5:$F$404,MATCH(B899,EXTRATO_IMPORTADO!$I$5:$I$404,0)),"")</f>
        <v/>
      </c>
      <c r="Q899" s="26" t="str">
        <f>IFERROR(INDEX(EXTRATO_IMPORTADO!$B$5:$B$404,MATCH(B899,EXTRATO_IMPORTADO!$I$5:$I$404,0)),"")</f>
        <v/>
      </c>
      <c r="R899" s="26" t="str">
        <f>IFERROR(MATCH(B899,EXTRATO_IMPORTADO!$I$5:$I$404,0),"")</f>
        <v/>
      </c>
      <c r="S899" s="26" t="str">
        <f t="shared" si="40"/>
        <v/>
      </c>
      <c r="T899" s="26" t="str">
        <f t="shared" si="41"/>
        <v/>
      </c>
    </row>
    <row r="900" spans="1:20" x14ac:dyDescent="0.3">
      <c r="A900" s="26" t="str">
        <f>IF(BASE_CAIXA!A897="","",BASE_CAIXA!A897)</f>
        <v/>
      </c>
      <c r="B900" s="26" t="str">
        <f>IF(A900="","",BASE_CAIXA!AL897)</f>
        <v/>
      </c>
      <c r="C900" s="26" t="str">
        <f>IF(A900="","",BASE_CAIXA!AJ897)</f>
        <v/>
      </c>
      <c r="D900" s="26" t="str">
        <f>IF(A900="","",IF(BASE_CAIXA!C897="Entrada","Crédito","Débito"))</f>
        <v/>
      </c>
      <c r="E900" s="26" t="str">
        <f>IF(A900="","",BASE_CAIXA!AA897)</f>
        <v/>
      </c>
      <c r="F900" s="26" t="str">
        <f>IF(A900="","",BASE_CAIXA!N897)</f>
        <v/>
      </c>
      <c r="G900" s="26" t="str">
        <f>IF(A900="","",BASE_CAIXA!O897)</f>
        <v/>
      </c>
      <c r="H900" s="26" t="str">
        <f>IF(A900="","",BASE_CAIXA!P897)</f>
        <v/>
      </c>
      <c r="I900" s="26" t="str">
        <f>IF(A900="","",IF(BASE_CAIXA!H897&lt;&gt;"",BASE_CAIXA!H897,BASE_CAIXA!G897))</f>
        <v/>
      </c>
      <c r="J900" s="26" t="str">
        <f>IF(A900="","",BASE_CAIXA!G897)</f>
        <v/>
      </c>
      <c r="K900" s="26" t="str">
        <f>IF(A900="","",BASE_CAIXA!I897)</f>
        <v/>
      </c>
      <c r="L900" s="26" t="str">
        <f>IF(A900="","",BASE_CAIXA!J897)</f>
        <v/>
      </c>
      <c r="M900" s="26" t="str">
        <f>IF(A900="","",BASE_CAIXA!AM897)</f>
        <v/>
      </c>
      <c r="N900" s="26" t="str">
        <f t="shared" ca="1" si="39"/>
        <v/>
      </c>
      <c r="O900" s="26" t="str">
        <f>IFERROR(INDEX(EXTRATO_IMPORTADO!$A$5:$A$404,MATCH(B900,EXTRATO_IMPORTADO!$I$5:$I$404,0)),"")</f>
        <v/>
      </c>
      <c r="P900" s="26" t="str">
        <f>IFERROR(INDEX(EXTRATO_IMPORTADO!$F$5:$F$404,MATCH(B900,EXTRATO_IMPORTADO!$I$5:$I$404,0)),"")</f>
        <v/>
      </c>
      <c r="Q900" s="26" t="str">
        <f>IFERROR(INDEX(EXTRATO_IMPORTADO!$B$5:$B$404,MATCH(B900,EXTRATO_IMPORTADO!$I$5:$I$404,0)),"")</f>
        <v/>
      </c>
      <c r="R900" s="26" t="str">
        <f>IFERROR(MATCH(B900,EXTRATO_IMPORTADO!$I$5:$I$404,0),"")</f>
        <v/>
      </c>
      <c r="S900" s="26" t="str">
        <f t="shared" si="40"/>
        <v/>
      </c>
      <c r="T900" s="26" t="str">
        <f t="shared" si="41"/>
        <v/>
      </c>
    </row>
    <row r="901" spans="1:20" x14ac:dyDescent="0.3">
      <c r="A901" s="26" t="str">
        <f>IF(BASE_CAIXA!A898="","",BASE_CAIXA!A898)</f>
        <v/>
      </c>
      <c r="B901" s="26" t="str">
        <f>IF(A901="","",BASE_CAIXA!AL898)</f>
        <v/>
      </c>
      <c r="C901" s="26" t="str">
        <f>IF(A901="","",BASE_CAIXA!AJ898)</f>
        <v/>
      </c>
      <c r="D901" s="26" t="str">
        <f>IF(A901="","",IF(BASE_CAIXA!C898="Entrada","Crédito","Débito"))</f>
        <v/>
      </c>
      <c r="E901" s="26" t="str">
        <f>IF(A901="","",BASE_CAIXA!AA898)</f>
        <v/>
      </c>
      <c r="F901" s="26" t="str">
        <f>IF(A901="","",BASE_CAIXA!N898)</f>
        <v/>
      </c>
      <c r="G901" s="26" t="str">
        <f>IF(A901="","",BASE_CAIXA!O898)</f>
        <v/>
      </c>
      <c r="H901" s="26" t="str">
        <f>IF(A901="","",BASE_CAIXA!P898)</f>
        <v/>
      </c>
      <c r="I901" s="26" t="str">
        <f>IF(A901="","",IF(BASE_CAIXA!H898&lt;&gt;"",BASE_CAIXA!H898,BASE_CAIXA!G898))</f>
        <v/>
      </c>
      <c r="J901" s="26" t="str">
        <f>IF(A901="","",BASE_CAIXA!G898)</f>
        <v/>
      </c>
      <c r="K901" s="26" t="str">
        <f>IF(A901="","",BASE_CAIXA!I898)</f>
        <v/>
      </c>
      <c r="L901" s="26" t="str">
        <f>IF(A901="","",BASE_CAIXA!J898)</f>
        <v/>
      </c>
      <c r="M901" s="26" t="str">
        <f>IF(A901="","",BASE_CAIXA!AM898)</f>
        <v/>
      </c>
      <c r="N901" s="26" t="str">
        <f t="shared" ref="N901:N964" ca="1" si="42">IF(A901="","",IF(R901&lt;&gt;"",IF(AND(ABS(S901)&lt;=0.01,ABS(T901)&lt;=3),"Conciliado","Divergente"),IF(TODAY()&gt;C901,"Pendente vencido","Previsto")))</f>
        <v/>
      </c>
      <c r="O901" s="26" t="str">
        <f>IFERROR(INDEX(EXTRATO_IMPORTADO!$A$5:$A$404,MATCH(B901,EXTRATO_IMPORTADO!$I$5:$I$404,0)),"")</f>
        <v/>
      </c>
      <c r="P901" s="26" t="str">
        <f>IFERROR(INDEX(EXTRATO_IMPORTADO!$F$5:$F$404,MATCH(B901,EXTRATO_IMPORTADO!$I$5:$I$404,0)),"")</f>
        <v/>
      </c>
      <c r="Q901" s="26" t="str">
        <f>IFERROR(INDEX(EXTRATO_IMPORTADO!$B$5:$B$404,MATCH(B901,EXTRATO_IMPORTADO!$I$5:$I$404,0)),"")</f>
        <v/>
      </c>
      <c r="R901" s="26" t="str">
        <f>IFERROR(MATCH(B901,EXTRATO_IMPORTADO!$I$5:$I$404,0),"")</f>
        <v/>
      </c>
      <c r="S901" s="26" t="str">
        <f t="shared" ref="S901:S964" si="43">IF(OR(A901="",P901=""),"",P901-E901)</f>
        <v/>
      </c>
      <c r="T901" s="26" t="str">
        <f t="shared" ref="T901:T964" si="44">IF(OR(A901="",O901=""),"",O901-C901)</f>
        <v/>
      </c>
    </row>
    <row r="902" spans="1:20" x14ac:dyDescent="0.3">
      <c r="A902" s="26" t="str">
        <f>IF(BASE_CAIXA!A899="","",BASE_CAIXA!A899)</f>
        <v/>
      </c>
      <c r="B902" s="26" t="str">
        <f>IF(A902="","",BASE_CAIXA!AL899)</f>
        <v/>
      </c>
      <c r="C902" s="26" t="str">
        <f>IF(A902="","",BASE_CAIXA!AJ899)</f>
        <v/>
      </c>
      <c r="D902" s="26" t="str">
        <f>IF(A902="","",IF(BASE_CAIXA!C899="Entrada","Crédito","Débito"))</f>
        <v/>
      </c>
      <c r="E902" s="26" t="str">
        <f>IF(A902="","",BASE_CAIXA!AA899)</f>
        <v/>
      </c>
      <c r="F902" s="26" t="str">
        <f>IF(A902="","",BASE_CAIXA!N899)</f>
        <v/>
      </c>
      <c r="G902" s="26" t="str">
        <f>IF(A902="","",BASE_CAIXA!O899)</f>
        <v/>
      </c>
      <c r="H902" s="26" t="str">
        <f>IF(A902="","",BASE_CAIXA!P899)</f>
        <v/>
      </c>
      <c r="I902" s="26" t="str">
        <f>IF(A902="","",IF(BASE_CAIXA!H899&lt;&gt;"",BASE_CAIXA!H899,BASE_CAIXA!G899))</f>
        <v/>
      </c>
      <c r="J902" s="26" t="str">
        <f>IF(A902="","",BASE_CAIXA!G899)</f>
        <v/>
      </c>
      <c r="K902" s="26" t="str">
        <f>IF(A902="","",BASE_CAIXA!I899)</f>
        <v/>
      </c>
      <c r="L902" s="26" t="str">
        <f>IF(A902="","",BASE_CAIXA!J899)</f>
        <v/>
      </c>
      <c r="M902" s="26" t="str">
        <f>IF(A902="","",BASE_CAIXA!AM899)</f>
        <v/>
      </c>
      <c r="N902" s="26" t="str">
        <f t="shared" ca="1" si="42"/>
        <v/>
      </c>
      <c r="O902" s="26" t="str">
        <f>IFERROR(INDEX(EXTRATO_IMPORTADO!$A$5:$A$404,MATCH(B902,EXTRATO_IMPORTADO!$I$5:$I$404,0)),"")</f>
        <v/>
      </c>
      <c r="P902" s="26" t="str">
        <f>IFERROR(INDEX(EXTRATO_IMPORTADO!$F$5:$F$404,MATCH(B902,EXTRATO_IMPORTADO!$I$5:$I$404,0)),"")</f>
        <v/>
      </c>
      <c r="Q902" s="26" t="str">
        <f>IFERROR(INDEX(EXTRATO_IMPORTADO!$B$5:$B$404,MATCH(B902,EXTRATO_IMPORTADO!$I$5:$I$404,0)),"")</f>
        <v/>
      </c>
      <c r="R902" s="26" t="str">
        <f>IFERROR(MATCH(B902,EXTRATO_IMPORTADO!$I$5:$I$404,0),"")</f>
        <v/>
      </c>
      <c r="S902" s="26" t="str">
        <f t="shared" si="43"/>
        <v/>
      </c>
      <c r="T902" s="26" t="str">
        <f t="shared" si="44"/>
        <v/>
      </c>
    </row>
    <row r="903" spans="1:20" x14ac:dyDescent="0.3">
      <c r="A903" s="26" t="str">
        <f>IF(BASE_CAIXA!A900="","",BASE_CAIXA!A900)</f>
        <v/>
      </c>
      <c r="B903" s="26" t="str">
        <f>IF(A903="","",BASE_CAIXA!AL900)</f>
        <v/>
      </c>
      <c r="C903" s="26" t="str">
        <f>IF(A903="","",BASE_CAIXA!AJ900)</f>
        <v/>
      </c>
      <c r="D903" s="26" t="str">
        <f>IF(A903="","",IF(BASE_CAIXA!C900="Entrada","Crédito","Débito"))</f>
        <v/>
      </c>
      <c r="E903" s="26" t="str">
        <f>IF(A903="","",BASE_CAIXA!AA900)</f>
        <v/>
      </c>
      <c r="F903" s="26" t="str">
        <f>IF(A903="","",BASE_CAIXA!N900)</f>
        <v/>
      </c>
      <c r="G903" s="26" t="str">
        <f>IF(A903="","",BASE_CAIXA!O900)</f>
        <v/>
      </c>
      <c r="H903" s="26" t="str">
        <f>IF(A903="","",BASE_CAIXA!P900)</f>
        <v/>
      </c>
      <c r="I903" s="26" t="str">
        <f>IF(A903="","",IF(BASE_CAIXA!H900&lt;&gt;"",BASE_CAIXA!H900,BASE_CAIXA!G900))</f>
        <v/>
      </c>
      <c r="J903" s="26" t="str">
        <f>IF(A903="","",BASE_CAIXA!G900)</f>
        <v/>
      </c>
      <c r="K903" s="26" t="str">
        <f>IF(A903="","",BASE_CAIXA!I900)</f>
        <v/>
      </c>
      <c r="L903" s="26" t="str">
        <f>IF(A903="","",BASE_CAIXA!J900)</f>
        <v/>
      </c>
      <c r="M903" s="26" t="str">
        <f>IF(A903="","",BASE_CAIXA!AM900)</f>
        <v/>
      </c>
      <c r="N903" s="26" t="str">
        <f t="shared" ca="1" si="42"/>
        <v/>
      </c>
      <c r="O903" s="26" t="str">
        <f>IFERROR(INDEX(EXTRATO_IMPORTADO!$A$5:$A$404,MATCH(B903,EXTRATO_IMPORTADO!$I$5:$I$404,0)),"")</f>
        <v/>
      </c>
      <c r="P903" s="26" t="str">
        <f>IFERROR(INDEX(EXTRATO_IMPORTADO!$F$5:$F$404,MATCH(B903,EXTRATO_IMPORTADO!$I$5:$I$404,0)),"")</f>
        <v/>
      </c>
      <c r="Q903" s="26" t="str">
        <f>IFERROR(INDEX(EXTRATO_IMPORTADO!$B$5:$B$404,MATCH(B903,EXTRATO_IMPORTADO!$I$5:$I$404,0)),"")</f>
        <v/>
      </c>
      <c r="R903" s="26" t="str">
        <f>IFERROR(MATCH(B903,EXTRATO_IMPORTADO!$I$5:$I$404,0),"")</f>
        <v/>
      </c>
      <c r="S903" s="26" t="str">
        <f t="shared" si="43"/>
        <v/>
      </c>
      <c r="T903" s="26" t="str">
        <f t="shared" si="44"/>
        <v/>
      </c>
    </row>
    <row r="904" spans="1:20" x14ac:dyDescent="0.3">
      <c r="A904" s="26" t="str">
        <f>IF(BASE_CAIXA!A901="","",BASE_CAIXA!A901)</f>
        <v/>
      </c>
      <c r="B904" s="26" t="str">
        <f>IF(A904="","",BASE_CAIXA!AL901)</f>
        <v/>
      </c>
      <c r="C904" s="26" t="str">
        <f>IF(A904="","",BASE_CAIXA!AJ901)</f>
        <v/>
      </c>
      <c r="D904" s="26" t="str">
        <f>IF(A904="","",IF(BASE_CAIXA!C901="Entrada","Crédito","Débito"))</f>
        <v/>
      </c>
      <c r="E904" s="26" t="str">
        <f>IF(A904="","",BASE_CAIXA!AA901)</f>
        <v/>
      </c>
      <c r="F904" s="26" t="str">
        <f>IF(A904="","",BASE_CAIXA!N901)</f>
        <v/>
      </c>
      <c r="G904" s="26" t="str">
        <f>IF(A904="","",BASE_CAIXA!O901)</f>
        <v/>
      </c>
      <c r="H904" s="26" t="str">
        <f>IF(A904="","",BASE_CAIXA!P901)</f>
        <v/>
      </c>
      <c r="I904" s="26" t="str">
        <f>IF(A904="","",IF(BASE_CAIXA!H901&lt;&gt;"",BASE_CAIXA!H901,BASE_CAIXA!G901))</f>
        <v/>
      </c>
      <c r="J904" s="26" t="str">
        <f>IF(A904="","",BASE_CAIXA!G901)</f>
        <v/>
      </c>
      <c r="K904" s="26" t="str">
        <f>IF(A904="","",BASE_CAIXA!I901)</f>
        <v/>
      </c>
      <c r="L904" s="26" t="str">
        <f>IF(A904="","",BASE_CAIXA!J901)</f>
        <v/>
      </c>
      <c r="M904" s="26" t="str">
        <f>IF(A904="","",BASE_CAIXA!AM901)</f>
        <v/>
      </c>
      <c r="N904" s="26" t="str">
        <f t="shared" ca="1" si="42"/>
        <v/>
      </c>
      <c r="O904" s="26" t="str">
        <f>IFERROR(INDEX(EXTRATO_IMPORTADO!$A$5:$A$404,MATCH(B904,EXTRATO_IMPORTADO!$I$5:$I$404,0)),"")</f>
        <v/>
      </c>
      <c r="P904" s="26" t="str">
        <f>IFERROR(INDEX(EXTRATO_IMPORTADO!$F$5:$F$404,MATCH(B904,EXTRATO_IMPORTADO!$I$5:$I$404,0)),"")</f>
        <v/>
      </c>
      <c r="Q904" s="26" t="str">
        <f>IFERROR(INDEX(EXTRATO_IMPORTADO!$B$5:$B$404,MATCH(B904,EXTRATO_IMPORTADO!$I$5:$I$404,0)),"")</f>
        <v/>
      </c>
      <c r="R904" s="26" t="str">
        <f>IFERROR(MATCH(B904,EXTRATO_IMPORTADO!$I$5:$I$404,0),"")</f>
        <v/>
      </c>
      <c r="S904" s="26" t="str">
        <f t="shared" si="43"/>
        <v/>
      </c>
      <c r="T904" s="26" t="str">
        <f t="shared" si="44"/>
        <v/>
      </c>
    </row>
    <row r="905" spans="1:20" x14ac:dyDescent="0.3">
      <c r="A905" s="26" t="str">
        <f>IF(BASE_CAIXA!A902="","",BASE_CAIXA!A902)</f>
        <v/>
      </c>
      <c r="B905" s="26" t="str">
        <f>IF(A905="","",BASE_CAIXA!AL902)</f>
        <v/>
      </c>
      <c r="C905" s="26" t="str">
        <f>IF(A905="","",BASE_CAIXA!AJ902)</f>
        <v/>
      </c>
      <c r="D905" s="26" t="str">
        <f>IF(A905="","",IF(BASE_CAIXA!C902="Entrada","Crédito","Débito"))</f>
        <v/>
      </c>
      <c r="E905" s="26" t="str">
        <f>IF(A905="","",BASE_CAIXA!AA902)</f>
        <v/>
      </c>
      <c r="F905" s="26" t="str">
        <f>IF(A905="","",BASE_CAIXA!N902)</f>
        <v/>
      </c>
      <c r="G905" s="26" t="str">
        <f>IF(A905="","",BASE_CAIXA!O902)</f>
        <v/>
      </c>
      <c r="H905" s="26" t="str">
        <f>IF(A905="","",BASE_CAIXA!P902)</f>
        <v/>
      </c>
      <c r="I905" s="26" t="str">
        <f>IF(A905="","",IF(BASE_CAIXA!H902&lt;&gt;"",BASE_CAIXA!H902,BASE_CAIXA!G902))</f>
        <v/>
      </c>
      <c r="J905" s="26" t="str">
        <f>IF(A905="","",BASE_CAIXA!G902)</f>
        <v/>
      </c>
      <c r="K905" s="26" t="str">
        <f>IF(A905="","",BASE_CAIXA!I902)</f>
        <v/>
      </c>
      <c r="L905" s="26" t="str">
        <f>IF(A905="","",BASE_CAIXA!J902)</f>
        <v/>
      </c>
      <c r="M905" s="26" t="str">
        <f>IF(A905="","",BASE_CAIXA!AM902)</f>
        <v/>
      </c>
      <c r="N905" s="26" t="str">
        <f t="shared" ca="1" si="42"/>
        <v/>
      </c>
      <c r="O905" s="26" t="str">
        <f>IFERROR(INDEX(EXTRATO_IMPORTADO!$A$5:$A$404,MATCH(B905,EXTRATO_IMPORTADO!$I$5:$I$404,0)),"")</f>
        <v/>
      </c>
      <c r="P905" s="26" t="str">
        <f>IFERROR(INDEX(EXTRATO_IMPORTADO!$F$5:$F$404,MATCH(B905,EXTRATO_IMPORTADO!$I$5:$I$404,0)),"")</f>
        <v/>
      </c>
      <c r="Q905" s="26" t="str">
        <f>IFERROR(INDEX(EXTRATO_IMPORTADO!$B$5:$B$404,MATCH(B905,EXTRATO_IMPORTADO!$I$5:$I$404,0)),"")</f>
        <v/>
      </c>
      <c r="R905" s="26" t="str">
        <f>IFERROR(MATCH(B905,EXTRATO_IMPORTADO!$I$5:$I$404,0),"")</f>
        <v/>
      </c>
      <c r="S905" s="26" t="str">
        <f t="shared" si="43"/>
        <v/>
      </c>
      <c r="T905" s="26" t="str">
        <f t="shared" si="44"/>
        <v/>
      </c>
    </row>
    <row r="906" spans="1:20" x14ac:dyDescent="0.3">
      <c r="A906" s="26" t="str">
        <f>IF(BASE_CAIXA!A903="","",BASE_CAIXA!A903)</f>
        <v/>
      </c>
      <c r="B906" s="26" t="str">
        <f>IF(A906="","",BASE_CAIXA!AL903)</f>
        <v/>
      </c>
      <c r="C906" s="26" t="str">
        <f>IF(A906="","",BASE_CAIXA!AJ903)</f>
        <v/>
      </c>
      <c r="D906" s="26" t="str">
        <f>IF(A906="","",IF(BASE_CAIXA!C903="Entrada","Crédito","Débito"))</f>
        <v/>
      </c>
      <c r="E906" s="26" t="str">
        <f>IF(A906="","",BASE_CAIXA!AA903)</f>
        <v/>
      </c>
      <c r="F906" s="26" t="str">
        <f>IF(A906="","",BASE_CAIXA!N903)</f>
        <v/>
      </c>
      <c r="G906" s="26" t="str">
        <f>IF(A906="","",BASE_CAIXA!O903)</f>
        <v/>
      </c>
      <c r="H906" s="26" t="str">
        <f>IF(A906="","",BASE_CAIXA!P903)</f>
        <v/>
      </c>
      <c r="I906" s="26" t="str">
        <f>IF(A906="","",IF(BASE_CAIXA!H903&lt;&gt;"",BASE_CAIXA!H903,BASE_CAIXA!G903))</f>
        <v/>
      </c>
      <c r="J906" s="26" t="str">
        <f>IF(A906="","",BASE_CAIXA!G903)</f>
        <v/>
      </c>
      <c r="K906" s="26" t="str">
        <f>IF(A906="","",BASE_CAIXA!I903)</f>
        <v/>
      </c>
      <c r="L906" s="26" t="str">
        <f>IF(A906="","",BASE_CAIXA!J903)</f>
        <v/>
      </c>
      <c r="M906" s="26" t="str">
        <f>IF(A906="","",BASE_CAIXA!AM903)</f>
        <v/>
      </c>
      <c r="N906" s="26" t="str">
        <f t="shared" ca="1" si="42"/>
        <v/>
      </c>
      <c r="O906" s="26" t="str">
        <f>IFERROR(INDEX(EXTRATO_IMPORTADO!$A$5:$A$404,MATCH(B906,EXTRATO_IMPORTADO!$I$5:$I$404,0)),"")</f>
        <v/>
      </c>
      <c r="P906" s="26" t="str">
        <f>IFERROR(INDEX(EXTRATO_IMPORTADO!$F$5:$F$404,MATCH(B906,EXTRATO_IMPORTADO!$I$5:$I$404,0)),"")</f>
        <v/>
      </c>
      <c r="Q906" s="26" t="str">
        <f>IFERROR(INDEX(EXTRATO_IMPORTADO!$B$5:$B$404,MATCH(B906,EXTRATO_IMPORTADO!$I$5:$I$404,0)),"")</f>
        <v/>
      </c>
      <c r="R906" s="26" t="str">
        <f>IFERROR(MATCH(B906,EXTRATO_IMPORTADO!$I$5:$I$404,0),"")</f>
        <v/>
      </c>
      <c r="S906" s="26" t="str">
        <f t="shared" si="43"/>
        <v/>
      </c>
      <c r="T906" s="26" t="str">
        <f t="shared" si="44"/>
        <v/>
      </c>
    </row>
    <row r="907" spans="1:20" x14ac:dyDescent="0.3">
      <c r="A907" s="26" t="str">
        <f>IF(BASE_CAIXA!A904="","",BASE_CAIXA!A904)</f>
        <v/>
      </c>
      <c r="B907" s="26" t="str">
        <f>IF(A907="","",BASE_CAIXA!AL904)</f>
        <v/>
      </c>
      <c r="C907" s="26" t="str">
        <f>IF(A907="","",BASE_CAIXA!AJ904)</f>
        <v/>
      </c>
      <c r="D907" s="26" t="str">
        <f>IF(A907="","",IF(BASE_CAIXA!C904="Entrada","Crédito","Débito"))</f>
        <v/>
      </c>
      <c r="E907" s="26" t="str">
        <f>IF(A907="","",BASE_CAIXA!AA904)</f>
        <v/>
      </c>
      <c r="F907" s="26" t="str">
        <f>IF(A907="","",BASE_CAIXA!N904)</f>
        <v/>
      </c>
      <c r="G907" s="26" t="str">
        <f>IF(A907="","",BASE_CAIXA!O904)</f>
        <v/>
      </c>
      <c r="H907" s="26" t="str">
        <f>IF(A907="","",BASE_CAIXA!P904)</f>
        <v/>
      </c>
      <c r="I907" s="26" t="str">
        <f>IF(A907="","",IF(BASE_CAIXA!H904&lt;&gt;"",BASE_CAIXA!H904,BASE_CAIXA!G904))</f>
        <v/>
      </c>
      <c r="J907" s="26" t="str">
        <f>IF(A907="","",BASE_CAIXA!G904)</f>
        <v/>
      </c>
      <c r="K907" s="26" t="str">
        <f>IF(A907="","",BASE_CAIXA!I904)</f>
        <v/>
      </c>
      <c r="L907" s="26" t="str">
        <f>IF(A907="","",BASE_CAIXA!J904)</f>
        <v/>
      </c>
      <c r="M907" s="26" t="str">
        <f>IF(A907="","",BASE_CAIXA!AM904)</f>
        <v/>
      </c>
      <c r="N907" s="26" t="str">
        <f t="shared" ca="1" si="42"/>
        <v/>
      </c>
      <c r="O907" s="26" t="str">
        <f>IFERROR(INDEX(EXTRATO_IMPORTADO!$A$5:$A$404,MATCH(B907,EXTRATO_IMPORTADO!$I$5:$I$404,0)),"")</f>
        <v/>
      </c>
      <c r="P907" s="26" t="str">
        <f>IFERROR(INDEX(EXTRATO_IMPORTADO!$F$5:$F$404,MATCH(B907,EXTRATO_IMPORTADO!$I$5:$I$404,0)),"")</f>
        <v/>
      </c>
      <c r="Q907" s="26" t="str">
        <f>IFERROR(INDEX(EXTRATO_IMPORTADO!$B$5:$B$404,MATCH(B907,EXTRATO_IMPORTADO!$I$5:$I$404,0)),"")</f>
        <v/>
      </c>
      <c r="R907" s="26" t="str">
        <f>IFERROR(MATCH(B907,EXTRATO_IMPORTADO!$I$5:$I$404,0),"")</f>
        <v/>
      </c>
      <c r="S907" s="26" t="str">
        <f t="shared" si="43"/>
        <v/>
      </c>
      <c r="T907" s="26" t="str">
        <f t="shared" si="44"/>
        <v/>
      </c>
    </row>
    <row r="908" spans="1:20" x14ac:dyDescent="0.3">
      <c r="A908" s="26" t="str">
        <f>IF(BASE_CAIXA!A905="","",BASE_CAIXA!A905)</f>
        <v/>
      </c>
      <c r="B908" s="26" t="str">
        <f>IF(A908="","",BASE_CAIXA!AL905)</f>
        <v/>
      </c>
      <c r="C908" s="26" t="str">
        <f>IF(A908="","",BASE_CAIXA!AJ905)</f>
        <v/>
      </c>
      <c r="D908" s="26" t="str">
        <f>IF(A908="","",IF(BASE_CAIXA!C905="Entrada","Crédito","Débito"))</f>
        <v/>
      </c>
      <c r="E908" s="26" t="str">
        <f>IF(A908="","",BASE_CAIXA!AA905)</f>
        <v/>
      </c>
      <c r="F908" s="26" t="str">
        <f>IF(A908="","",BASE_CAIXA!N905)</f>
        <v/>
      </c>
      <c r="G908" s="26" t="str">
        <f>IF(A908="","",BASE_CAIXA!O905)</f>
        <v/>
      </c>
      <c r="H908" s="26" t="str">
        <f>IF(A908="","",BASE_CAIXA!P905)</f>
        <v/>
      </c>
      <c r="I908" s="26" t="str">
        <f>IF(A908="","",IF(BASE_CAIXA!H905&lt;&gt;"",BASE_CAIXA!H905,BASE_CAIXA!G905))</f>
        <v/>
      </c>
      <c r="J908" s="26" t="str">
        <f>IF(A908="","",BASE_CAIXA!G905)</f>
        <v/>
      </c>
      <c r="K908" s="26" t="str">
        <f>IF(A908="","",BASE_CAIXA!I905)</f>
        <v/>
      </c>
      <c r="L908" s="26" t="str">
        <f>IF(A908="","",BASE_CAIXA!J905)</f>
        <v/>
      </c>
      <c r="M908" s="26" t="str">
        <f>IF(A908="","",BASE_CAIXA!AM905)</f>
        <v/>
      </c>
      <c r="N908" s="26" t="str">
        <f t="shared" ca="1" si="42"/>
        <v/>
      </c>
      <c r="O908" s="26" t="str">
        <f>IFERROR(INDEX(EXTRATO_IMPORTADO!$A$5:$A$404,MATCH(B908,EXTRATO_IMPORTADO!$I$5:$I$404,0)),"")</f>
        <v/>
      </c>
      <c r="P908" s="26" t="str">
        <f>IFERROR(INDEX(EXTRATO_IMPORTADO!$F$5:$F$404,MATCH(B908,EXTRATO_IMPORTADO!$I$5:$I$404,0)),"")</f>
        <v/>
      </c>
      <c r="Q908" s="26" t="str">
        <f>IFERROR(INDEX(EXTRATO_IMPORTADO!$B$5:$B$404,MATCH(B908,EXTRATO_IMPORTADO!$I$5:$I$404,0)),"")</f>
        <v/>
      </c>
      <c r="R908" s="26" t="str">
        <f>IFERROR(MATCH(B908,EXTRATO_IMPORTADO!$I$5:$I$404,0),"")</f>
        <v/>
      </c>
      <c r="S908" s="26" t="str">
        <f t="shared" si="43"/>
        <v/>
      </c>
      <c r="T908" s="26" t="str">
        <f t="shared" si="44"/>
        <v/>
      </c>
    </row>
    <row r="909" spans="1:20" x14ac:dyDescent="0.3">
      <c r="A909" s="26" t="str">
        <f>IF(BASE_CAIXA!A906="","",BASE_CAIXA!A906)</f>
        <v/>
      </c>
      <c r="B909" s="26" t="str">
        <f>IF(A909="","",BASE_CAIXA!AL906)</f>
        <v/>
      </c>
      <c r="C909" s="26" t="str">
        <f>IF(A909="","",BASE_CAIXA!AJ906)</f>
        <v/>
      </c>
      <c r="D909" s="26" t="str">
        <f>IF(A909="","",IF(BASE_CAIXA!C906="Entrada","Crédito","Débito"))</f>
        <v/>
      </c>
      <c r="E909" s="26" t="str">
        <f>IF(A909="","",BASE_CAIXA!AA906)</f>
        <v/>
      </c>
      <c r="F909" s="26" t="str">
        <f>IF(A909="","",BASE_CAIXA!N906)</f>
        <v/>
      </c>
      <c r="G909" s="26" t="str">
        <f>IF(A909="","",BASE_CAIXA!O906)</f>
        <v/>
      </c>
      <c r="H909" s="26" t="str">
        <f>IF(A909="","",BASE_CAIXA!P906)</f>
        <v/>
      </c>
      <c r="I909" s="26" t="str">
        <f>IF(A909="","",IF(BASE_CAIXA!H906&lt;&gt;"",BASE_CAIXA!H906,BASE_CAIXA!G906))</f>
        <v/>
      </c>
      <c r="J909" s="26" t="str">
        <f>IF(A909="","",BASE_CAIXA!G906)</f>
        <v/>
      </c>
      <c r="K909" s="26" t="str">
        <f>IF(A909="","",BASE_CAIXA!I906)</f>
        <v/>
      </c>
      <c r="L909" s="26" t="str">
        <f>IF(A909="","",BASE_CAIXA!J906)</f>
        <v/>
      </c>
      <c r="M909" s="26" t="str">
        <f>IF(A909="","",BASE_CAIXA!AM906)</f>
        <v/>
      </c>
      <c r="N909" s="26" t="str">
        <f t="shared" ca="1" si="42"/>
        <v/>
      </c>
      <c r="O909" s="26" t="str">
        <f>IFERROR(INDEX(EXTRATO_IMPORTADO!$A$5:$A$404,MATCH(B909,EXTRATO_IMPORTADO!$I$5:$I$404,0)),"")</f>
        <v/>
      </c>
      <c r="P909" s="26" t="str">
        <f>IFERROR(INDEX(EXTRATO_IMPORTADO!$F$5:$F$404,MATCH(B909,EXTRATO_IMPORTADO!$I$5:$I$404,0)),"")</f>
        <v/>
      </c>
      <c r="Q909" s="26" t="str">
        <f>IFERROR(INDEX(EXTRATO_IMPORTADO!$B$5:$B$404,MATCH(B909,EXTRATO_IMPORTADO!$I$5:$I$404,0)),"")</f>
        <v/>
      </c>
      <c r="R909" s="26" t="str">
        <f>IFERROR(MATCH(B909,EXTRATO_IMPORTADO!$I$5:$I$404,0),"")</f>
        <v/>
      </c>
      <c r="S909" s="26" t="str">
        <f t="shared" si="43"/>
        <v/>
      </c>
      <c r="T909" s="26" t="str">
        <f t="shared" si="44"/>
        <v/>
      </c>
    </row>
    <row r="910" spans="1:20" x14ac:dyDescent="0.3">
      <c r="A910" s="26" t="str">
        <f>IF(BASE_CAIXA!A907="","",BASE_CAIXA!A907)</f>
        <v/>
      </c>
      <c r="B910" s="26" t="str">
        <f>IF(A910="","",BASE_CAIXA!AL907)</f>
        <v/>
      </c>
      <c r="C910" s="26" t="str">
        <f>IF(A910="","",BASE_CAIXA!AJ907)</f>
        <v/>
      </c>
      <c r="D910" s="26" t="str">
        <f>IF(A910="","",IF(BASE_CAIXA!C907="Entrada","Crédito","Débito"))</f>
        <v/>
      </c>
      <c r="E910" s="26" t="str">
        <f>IF(A910="","",BASE_CAIXA!AA907)</f>
        <v/>
      </c>
      <c r="F910" s="26" t="str">
        <f>IF(A910="","",BASE_CAIXA!N907)</f>
        <v/>
      </c>
      <c r="G910" s="26" t="str">
        <f>IF(A910="","",BASE_CAIXA!O907)</f>
        <v/>
      </c>
      <c r="H910" s="26" t="str">
        <f>IF(A910="","",BASE_CAIXA!P907)</f>
        <v/>
      </c>
      <c r="I910" s="26" t="str">
        <f>IF(A910="","",IF(BASE_CAIXA!H907&lt;&gt;"",BASE_CAIXA!H907,BASE_CAIXA!G907))</f>
        <v/>
      </c>
      <c r="J910" s="26" t="str">
        <f>IF(A910="","",BASE_CAIXA!G907)</f>
        <v/>
      </c>
      <c r="K910" s="26" t="str">
        <f>IF(A910="","",BASE_CAIXA!I907)</f>
        <v/>
      </c>
      <c r="L910" s="26" t="str">
        <f>IF(A910="","",BASE_CAIXA!J907)</f>
        <v/>
      </c>
      <c r="M910" s="26" t="str">
        <f>IF(A910="","",BASE_CAIXA!AM907)</f>
        <v/>
      </c>
      <c r="N910" s="26" t="str">
        <f t="shared" ca="1" si="42"/>
        <v/>
      </c>
      <c r="O910" s="26" t="str">
        <f>IFERROR(INDEX(EXTRATO_IMPORTADO!$A$5:$A$404,MATCH(B910,EXTRATO_IMPORTADO!$I$5:$I$404,0)),"")</f>
        <v/>
      </c>
      <c r="P910" s="26" t="str">
        <f>IFERROR(INDEX(EXTRATO_IMPORTADO!$F$5:$F$404,MATCH(B910,EXTRATO_IMPORTADO!$I$5:$I$404,0)),"")</f>
        <v/>
      </c>
      <c r="Q910" s="26" t="str">
        <f>IFERROR(INDEX(EXTRATO_IMPORTADO!$B$5:$B$404,MATCH(B910,EXTRATO_IMPORTADO!$I$5:$I$404,0)),"")</f>
        <v/>
      </c>
      <c r="R910" s="26" t="str">
        <f>IFERROR(MATCH(B910,EXTRATO_IMPORTADO!$I$5:$I$404,0),"")</f>
        <v/>
      </c>
      <c r="S910" s="26" t="str">
        <f t="shared" si="43"/>
        <v/>
      </c>
      <c r="T910" s="26" t="str">
        <f t="shared" si="44"/>
        <v/>
      </c>
    </row>
    <row r="911" spans="1:20" x14ac:dyDescent="0.3">
      <c r="A911" s="26" t="str">
        <f>IF(BASE_CAIXA!A908="","",BASE_CAIXA!A908)</f>
        <v/>
      </c>
      <c r="B911" s="26" t="str">
        <f>IF(A911="","",BASE_CAIXA!AL908)</f>
        <v/>
      </c>
      <c r="C911" s="26" t="str">
        <f>IF(A911="","",BASE_CAIXA!AJ908)</f>
        <v/>
      </c>
      <c r="D911" s="26" t="str">
        <f>IF(A911="","",IF(BASE_CAIXA!C908="Entrada","Crédito","Débito"))</f>
        <v/>
      </c>
      <c r="E911" s="26" t="str">
        <f>IF(A911="","",BASE_CAIXA!AA908)</f>
        <v/>
      </c>
      <c r="F911" s="26" t="str">
        <f>IF(A911="","",BASE_CAIXA!N908)</f>
        <v/>
      </c>
      <c r="G911" s="26" t="str">
        <f>IF(A911="","",BASE_CAIXA!O908)</f>
        <v/>
      </c>
      <c r="H911" s="26" t="str">
        <f>IF(A911="","",BASE_CAIXA!P908)</f>
        <v/>
      </c>
      <c r="I911" s="26" t="str">
        <f>IF(A911="","",IF(BASE_CAIXA!H908&lt;&gt;"",BASE_CAIXA!H908,BASE_CAIXA!G908))</f>
        <v/>
      </c>
      <c r="J911" s="26" t="str">
        <f>IF(A911="","",BASE_CAIXA!G908)</f>
        <v/>
      </c>
      <c r="K911" s="26" t="str">
        <f>IF(A911="","",BASE_CAIXA!I908)</f>
        <v/>
      </c>
      <c r="L911" s="26" t="str">
        <f>IF(A911="","",BASE_CAIXA!J908)</f>
        <v/>
      </c>
      <c r="M911" s="26" t="str">
        <f>IF(A911="","",BASE_CAIXA!AM908)</f>
        <v/>
      </c>
      <c r="N911" s="26" t="str">
        <f t="shared" ca="1" si="42"/>
        <v/>
      </c>
      <c r="O911" s="26" t="str">
        <f>IFERROR(INDEX(EXTRATO_IMPORTADO!$A$5:$A$404,MATCH(B911,EXTRATO_IMPORTADO!$I$5:$I$404,0)),"")</f>
        <v/>
      </c>
      <c r="P911" s="26" t="str">
        <f>IFERROR(INDEX(EXTRATO_IMPORTADO!$F$5:$F$404,MATCH(B911,EXTRATO_IMPORTADO!$I$5:$I$404,0)),"")</f>
        <v/>
      </c>
      <c r="Q911" s="26" t="str">
        <f>IFERROR(INDEX(EXTRATO_IMPORTADO!$B$5:$B$404,MATCH(B911,EXTRATO_IMPORTADO!$I$5:$I$404,0)),"")</f>
        <v/>
      </c>
      <c r="R911" s="26" t="str">
        <f>IFERROR(MATCH(B911,EXTRATO_IMPORTADO!$I$5:$I$404,0),"")</f>
        <v/>
      </c>
      <c r="S911" s="26" t="str">
        <f t="shared" si="43"/>
        <v/>
      </c>
      <c r="T911" s="26" t="str">
        <f t="shared" si="44"/>
        <v/>
      </c>
    </row>
    <row r="912" spans="1:20" x14ac:dyDescent="0.3">
      <c r="A912" s="26" t="str">
        <f>IF(BASE_CAIXA!A909="","",BASE_CAIXA!A909)</f>
        <v/>
      </c>
      <c r="B912" s="26" t="str">
        <f>IF(A912="","",BASE_CAIXA!AL909)</f>
        <v/>
      </c>
      <c r="C912" s="26" t="str">
        <f>IF(A912="","",BASE_CAIXA!AJ909)</f>
        <v/>
      </c>
      <c r="D912" s="26" t="str">
        <f>IF(A912="","",IF(BASE_CAIXA!C909="Entrada","Crédito","Débito"))</f>
        <v/>
      </c>
      <c r="E912" s="26" t="str">
        <f>IF(A912="","",BASE_CAIXA!AA909)</f>
        <v/>
      </c>
      <c r="F912" s="26" t="str">
        <f>IF(A912="","",BASE_CAIXA!N909)</f>
        <v/>
      </c>
      <c r="G912" s="26" t="str">
        <f>IF(A912="","",BASE_CAIXA!O909)</f>
        <v/>
      </c>
      <c r="H912" s="26" t="str">
        <f>IF(A912="","",BASE_CAIXA!P909)</f>
        <v/>
      </c>
      <c r="I912" s="26" t="str">
        <f>IF(A912="","",IF(BASE_CAIXA!H909&lt;&gt;"",BASE_CAIXA!H909,BASE_CAIXA!G909))</f>
        <v/>
      </c>
      <c r="J912" s="26" t="str">
        <f>IF(A912="","",BASE_CAIXA!G909)</f>
        <v/>
      </c>
      <c r="K912" s="26" t="str">
        <f>IF(A912="","",BASE_CAIXA!I909)</f>
        <v/>
      </c>
      <c r="L912" s="26" t="str">
        <f>IF(A912="","",BASE_CAIXA!J909)</f>
        <v/>
      </c>
      <c r="M912" s="26" t="str">
        <f>IF(A912="","",BASE_CAIXA!AM909)</f>
        <v/>
      </c>
      <c r="N912" s="26" t="str">
        <f t="shared" ca="1" si="42"/>
        <v/>
      </c>
      <c r="O912" s="26" t="str">
        <f>IFERROR(INDEX(EXTRATO_IMPORTADO!$A$5:$A$404,MATCH(B912,EXTRATO_IMPORTADO!$I$5:$I$404,0)),"")</f>
        <v/>
      </c>
      <c r="P912" s="26" t="str">
        <f>IFERROR(INDEX(EXTRATO_IMPORTADO!$F$5:$F$404,MATCH(B912,EXTRATO_IMPORTADO!$I$5:$I$404,0)),"")</f>
        <v/>
      </c>
      <c r="Q912" s="26" t="str">
        <f>IFERROR(INDEX(EXTRATO_IMPORTADO!$B$5:$B$404,MATCH(B912,EXTRATO_IMPORTADO!$I$5:$I$404,0)),"")</f>
        <v/>
      </c>
      <c r="R912" s="26" t="str">
        <f>IFERROR(MATCH(B912,EXTRATO_IMPORTADO!$I$5:$I$404,0),"")</f>
        <v/>
      </c>
      <c r="S912" s="26" t="str">
        <f t="shared" si="43"/>
        <v/>
      </c>
      <c r="T912" s="26" t="str">
        <f t="shared" si="44"/>
        <v/>
      </c>
    </row>
    <row r="913" spans="1:20" x14ac:dyDescent="0.3">
      <c r="A913" s="26" t="str">
        <f>IF(BASE_CAIXA!A910="","",BASE_CAIXA!A910)</f>
        <v/>
      </c>
      <c r="B913" s="26" t="str">
        <f>IF(A913="","",BASE_CAIXA!AL910)</f>
        <v/>
      </c>
      <c r="C913" s="26" t="str">
        <f>IF(A913="","",BASE_CAIXA!AJ910)</f>
        <v/>
      </c>
      <c r="D913" s="26" t="str">
        <f>IF(A913="","",IF(BASE_CAIXA!C910="Entrada","Crédito","Débito"))</f>
        <v/>
      </c>
      <c r="E913" s="26" t="str">
        <f>IF(A913="","",BASE_CAIXA!AA910)</f>
        <v/>
      </c>
      <c r="F913" s="26" t="str">
        <f>IF(A913="","",BASE_CAIXA!N910)</f>
        <v/>
      </c>
      <c r="G913" s="26" t="str">
        <f>IF(A913="","",BASE_CAIXA!O910)</f>
        <v/>
      </c>
      <c r="H913" s="26" t="str">
        <f>IF(A913="","",BASE_CAIXA!P910)</f>
        <v/>
      </c>
      <c r="I913" s="26" t="str">
        <f>IF(A913="","",IF(BASE_CAIXA!H910&lt;&gt;"",BASE_CAIXA!H910,BASE_CAIXA!G910))</f>
        <v/>
      </c>
      <c r="J913" s="26" t="str">
        <f>IF(A913="","",BASE_CAIXA!G910)</f>
        <v/>
      </c>
      <c r="K913" s="26" t="str">
        <f>IF(A913="","",BASE_CAIXA!I910)</f>
        <v/>
      </c>
      <c r="L913" s="26" t="str">
        <f>IF(A913="","",BASE_CAIXA!J910)</f>
        <v/>
      </c>
      <c r="M913" s="26" t="str">
        <f>IF(A913="","",BASE_CAIXA!AM910)</f>
        <v/>
      </c>
      <c r="N913" s="26" t="str">
        <f t="shared" ca="1" si="42"/>
        <v/>
      </c>
      <c r="O913" s="26" t="str">
        <f>IFERROR(INDEX(EXTRATO_IMPORTADO!$A$5:$A$404,MATCH(B913,EXTRATO_IMPORTADO!$I$5:$I$404,0)),"")</f>
        <v/>
      </c>
      <c r="P913" s="26" t="str">
        <f>IFERROR(INDEX(EXTRATO_IMPORTADO!$F$5:$F$404,MATCH(B913,EXTRATO_IMPORTADO!$I$5:$I$404,0)),"")</f>
        <v/>
      </c>
      <c r="Q913" s="26" t="str">
        <f>IFERROR(INDEX(EXTRATO_IMPORTADO!$B$5:$B$404,MATCH(B913,EXTRATO_IMPORTADO!$I$5:$I$404,0)),"")</f>
        <v/>
      </c>
      <c r="R913" s="26" t="str">
        <f>IFERROR(MATCH(B913,EXTRATO_IMPORTADO!$I$5:$I$404,0),"")</f>
        <v/>
      </c>
      <c r="S913" s="26" t="str">
        <f t="shared" si="43"/>
        <v/>
      </c>
      <c r="T913" s="26" t="str">
        <f t="shared" si="44"/>
        <v/>
      </c>
    </row>
    <row r="914" spans="1:20" x14ac:dyDescent="0.3">
      <c r="A914" s="26" t="str">
        <f>IF(BASE_CAIXA!A911="","",BASE_CAIXA!A911)</f>
        <v/>
      </c>
      <c r="B914" s="26" t="str">
        <f>IF(A914="","",BASE_CAIXA!AL911)</f>
        <v/>
      </c>
      <c r="C914" s="26" t="str">
        <f>IF(A914="","",BASE_CAIXA!AJ911)</f>
        <v/>
      </c>
      <c r="D914" s="26" t="str">
        <f>IF(A914="","",IF(BASE_CAIXA!C911="Entrada","Crédito","Débito"))</f>
        <v/>
      </c>
      <c r="E914" s="26" t="str">
        <f>IF(A914="","",BASE_CAIXA!AA911)</f>
        <v/>
      </c>
      <c r="F914" s="26" t="str">
        <f>IF(A914="","",BASE_CAIXA!N911)</f>
        <v/>
      </c>
      <c r="G914" s="26" t="str">
        <f>IF(A914="","",BASE_CAIXA!O911)</f>
        <v/>
      </c>
      <c r="H914" s="26" t="str">
        <f>IF(A914="","",BASE_CAIXA!P911)</f>
        <v/>
      </c>
      <c r="I914" s="26" t="str">
        <f>IF(A914="","",IF(BASE_CAIXA!H911&lt;&gt;"",BASE_CAIXA!H911,BASE_CAIXA!G911))</f>
        <v/>
      </c>
      <c r="J914" s="26" t="str">
        <f>IF(A914="","",BASE_CAIXA!G911)</f>
        <v/>
      </c>
      <c r="K914" s="26" t="str">
        <f>IF(A914="","",BASE_CAIXA!I911)</f>
        <v/>
      </c>
      <c r="L914" s="26" t="str">
        <f>IF(A914="","",BASE_CAIXA!J911)</f>
        <v/>
      </c>
      <c r="M914" s="26" t="str">
        <f>IF(A914="","",BASE_CAIXA!AM911)</f>
        <v/>
      </c>
      <c r="N914" s="26" t="str">
        <f t="shared" ca="1" si="42"/>
        <v/>
      </c>
      <c r="O914" s="26" t="str">
        <f>IFERROR(INDEX(EXTRATO_IMPORTADO!$A$5:$A$404,MATCH(B914,EXTRATO_IMPORTADO!$I$5:$I$404,0)),"")</f>
        <v/>
      </c>
      <c r="P914" s="26" t="str">
        <f>IFERROR(INDEX(EXTRATO_IMPORTADO!$F$5:$F$404,MATCH(B914,EXTRATO_IMPORTADO!$I$5:$I$404,0)),"")</f>
        <v/>
      </c>
      <c r="Q914" s="26" t="str">
        <f>IFERROR(INDEX(EXTRATO_IMPORTADO!$B$5:$B$404,MATCH(B914,EXTRATO_IMPORTADO!$I$5:$I$404,0)),"")</f>
        <v/>
      </c>
      <c r="R914" s="26" t="str">
        <f>IFERROR(MATCH(B914,EXTRATO_IMPORTADO!$I$5:$I$404,0),"")</f>
        <v/>
      </c>
      <c r="S914" s="26" t="str">
        <f t="shared" si="43"/>
        <v/>
      </c>
      <c r="T914" s="26" t="str">
        <f t="shared" si="44"/>
        <v/>
      </c>
    </row>
    <row r="915" spans="1:20" x14ac:dyDescent="0.3">
      <c r="A915" s="26" t="str">
        <f>IF(BASE_CAIXA!A912="","",BASE_CAIXA!A912)</f>
        <v/>
      </c>
      <c r="B915" s="26" t="str">
        <f>IF(A915="","",BASE_CAIXA!AL912)</f>
        <v/>
      </c>
      <c r="C915" s="26" t="str">
        <f>IF(A915="","",BASE_CAIXA!AJ912)</f>
        <v/>
      </c>
      <c r="D915" s="26" t="str">
        <f>IF(A915="","",IF(BASE_CAIXA!C912="Entrada","Crédito","Débito"))</f>
        <v/>
      </c>
      <c r="E915" s="26" t="str">
        <f>IF(A915="","",BASE_CAIXA!AA912)</f>
        <v/>
      </c>
      <c r="F915" s="26" t="str">
        <f>IF(A915="","",BASE_CAIXA!N912)</f>
        <v/>
      </c>
      <c r="G915" s="26" t="str">
        <f>IF(A915="","",BASE_CAIXA!O912)</f>
        <v/>
      </c>
      <c r="H915" s="26" t="str">
        <f>IF(A915="","",BASE_CAIXA!P912)</f>
        <v/>
      </c>
      <c r="I915" s="26" t="str">
        <f>IF(A915="","",IF(BASE_CAIXA!H912&lt;&gt;"",BASE_CAIXA!H912,BASE_CAIXA!G912))</f>
        <v/>
      </c>
      <c r="J915" s="26" t="str">
        <f>IF(A915="","",BASE_CAIXA!G912)</f>
        <v/>
      </c>
      <c r="K915" s="26" t="str">
        <f>IF(A915="","",BASE_CAIXA!I912)</f>
        <v/>
      </c>
      <c r="L915" s="26" t="str">
        <f>IF(A915="","",BASE_CAIXA!J912)</f>
        <v/>
      </c>
      <c r="M915" s="26" t="str">
        <f>IF(A915="","",BASE_CAIXA!AM912)</f>
        <v/>
      </c>
      <c r="N915" s="26" t="str">
        <f t="shared" ca="1" si="42"/>
        <v/>
      </c>
      <c r="O915" s="26" t="str">
        <f>IFERROR(INDEX(EXTRATO_IMPORTADO!$A$5:$A$404,MATCH(B915,EXTRATO_IMPORTADO!$I$5:$I$404,0)),"")</f>
        <v/>
      </c>
      <c r="P915" s="26" t="str">
        <f>IFERROR(INDEX(EXTRATO_IMPORTADO!$F$5:$F$404,MATCH(B915,EXTRATO_IMPORTADO!$I$5:$I$404,0)),"")</f>
        <v/>
      </c>
      <c r="Q915" s="26" t="str">
        <f>IFERROR(INDEX(EXTRATO_IMPORTADO!$B$5:$B$404,MATCH(B915,EXTRATO_IMPORTADO!$I$5:$I$404,0)),"")</f>
        <v/>
      </c>
      <c r="R915" s="26" t="str">
        <f>IFERROR(MATCH(B915,EXTRATO_IMPORTADO!$I$5:$I$404,0),"")</f>
        <v/>
      </c>
      <c r="S915" s="26" t="str">
        <f t="shared" si="43"/>
        <v/>
      </c>
      <c r="T915" s="26" t="str">
        <f t="shared" si="44"/>
        <v/>
      </c>
    </row>
    <row r="916" spans="1:20" x14ac:dyDescent="0.3">
      <c r="A916" s="26" t="str">
        <f>IF(BASE_CAIXA!A913="","",BASE_CAIXA!A913)</f>
        <v/>
      </c>
      <c r="B916" s="26" t="str">
        <f>IF(A916="","",BASE_CAIXA!AL913)</f>
        <v/>
      </c>
      <c r="C916" s="26" t="str">
        <f>IF(A916="","",BASE_CAIXA!AJ913)</f>
        <v/>
      </c>
      <c r="D916" s="26" t="str">
        <f>IF(A916="","",IF(BASE_CAIXA!C913="Entrada","Crédito","Débito"))</f>
        <v/>
      </c>
      <c r="E916" s="26" t="str">
        <f>IF(A916="","",BASE_CAIXA!AA913)</f>
        <v/>
      </c>
      <c r="F916" s="26" t="str">
        <f>IF(A916="","",BASE_CAIXA!N913)</f>
        <v/>
      </c>
      <c r="G916" s="26" t="str">
        <f>IF(A916="","",BASE_CAIXA!O913)</f>
        <v/>
      </c>
      <c r="H916" s="26" t="str">
        <f>IF(A916="","",BASE_CAIXA!P913)</f>
        <v/>
      </c>
      <c r="I916" s="26" t="str">
        <f>IF(A916="","",IF(BASE_CAIXA!H913&lt;&gt;"",BASE_CAIXA!H913,BASE_CAIXA!G913))</f>
        <v/>
      </c>
      <c r="J916" s="26" t="str">
        <f>IF(A916="","",BASE_CAIXA!G913)</f>
        <v/>
      </c>
      <c r="K916" s="26" t="str">
        <f>IF(A916="","",BASE_CAIXA!I913)</f>
        <v/>
      </c>
      <c r="L916" s="26" t="str">
        <f>IF(A916="","",BASE_CAIXA!J913)</f>
        <v/>
      </c>
      <c r="M916" s="26" t="str">
        <f>IF(A916="","",BASE_CAIXA!AM913)</f>
        <v/>
      </c>
      <c r="N916" s="26" t="str">
        <f t="shared" ca="1" si="42"/>
        <v/>
      </c>
      <c r="O916" s="26" t="str">
        <f>IFERROR(INDEX(EXTRATO_IMPORTADO!$A$5:$A$404,MATCH(B916,EXTRATO_IMPORTADO!$I$5:$I$404,0)),"")</f>
        <v/>
      </c>
      <c r="P916" s="26" t="str">
        <f>IFERROR(INDEX(EXTRATO_IMPORTADO!$F$5:$F$404,MATCH(B916,EXTRATO_IMPORTADO!$I$5:$I$404,0)),"")</f>
        <v/>
      </c>
      <c r="Q916" s="26" t="str">
        <f>IFERROR(INDEX(EXTRATO_IMPORTADO!$B$5:$B$404,MATCH(B916,EXTRATO_IMPORTADO!$I$5:$I$404,0)),"")</f>
        <v/>
      </c>
      <c r="R916" s="26" t="str">
        <f>IFERROR(MATCH(B916,EXTRATO_IMPORTADO!$I$5:$I$404,0),"")</f>
        <v/>
      </c>
      <c r="S916" s="26" t="str">
        <f t="shared" si="43"/>
        <v/>
      </c>
      <c r="T916" s="26" t="str">
        <f t="shared" si="44"/>
        <v/>
      </c>
    </row>
    <row r="917" spans="1:20" x14ac:dyDescent="0.3">
      <c r="A917" s="26" t="str">
        <f>IF(BASE_CAIXA!A914="","",BASE_CAIXA!A914)</f>
        <v/>
      </c>
      <c r="B917" s="26" t="str">
        <f>IF(A917="","",BASE_CAIXA!AL914)</f>
        <v/>
      </c>
      <c r="C917" s="26" t="str">
        <f>IF(A917="","",BASE_CAIXA!AJ914)</f>
        <v/>
      </c>
      <c r="D917" s="26" t="str">
        <f>IF(A917="","",IF(BASE_CAIXA!C914="Entrada","Crédito","Débito"))</f>
        <v/>
      </c>
      <c r="E917" s="26" t="str">
        <f>IF(A917="","",BASE_CAIXA!AA914)</f>
        <v/>
      </c>
      <c r="F917" s="26" t="str">
        <f>IF(A917="","",BASE_CAIXA!N914)</f>
        <v/>
      </c>
      <c r="G917" s="26" t="str">
        <f>IF(A917="","",BASE_CAIXA!O914)</f>
        <v/>
      </c>
      <c r="H917" s="26" t="str">
        <f>IF(A917="","",BASE_CAIXA!P914)</f>
        <v/>
      </c>
      <c r="I917" s="26" t="str">
        <f>IF(A917="","",IF(BASE_CAIXA!H914&lt;&gt;"",BASE_CAIXA!H914,BASE_CAIXA!G914))</f>
        <v/>
      </c>
      <c r="J917" s="26" t="str">
        <f>IF(A917="","",BASE_CAIXA!G914)</f>
        <v/>
      </c>
      <c r="K917" s="26" t="str">
        <f>IF(A917="","",BASE_CAIXA!I914)</f>
        <v/>
      </c>
      <c r="L917" s="26" t="str">
        <f>IF(A917="","",BASE_CAIXA!J914)</f>
        <v/>
      </c>
      <c r="M917" s="26" t="str">
        <f>IF(A917="","",BASE_CAIXA!AM914)</f>
        <v/>
      </c>
      <c r="N917" s="26" t="str">
        <f t="shared" ca="1" si="42"/>
        <v/>
      </c>
      <c r="O917" s="26" t="str">
        <f>IFERROR(INDEX(EXTRATO_IMPORTADO!$A$5:$A$404,MATCH(B917,EXTRATO_IMPORTADO!$I$5:$I$404,0)),"")</f>
        <v/>
      </c>
      <c r="P917" s="26" t="str">
        <f>IFERROR(INDEX(EXTRATO_IMPORTADO!$F$5:$F$404,MATCH(B917,EXTRATO_IMPORTADO!$I$5:$I$404,0)),"")</f>
        <v/>
      </c>
      <c r="Q917" s="26" t="str">
        <f>IFERROR(INDEX(EXTRATO_IMPORTADO!$B$5:$B$404,MATCH(B917,EXTRATO_IMPORTADO!$I$5:$I$404,0)),"")</f>
        <v/>
      </c>
      <c r="R917" s="26" t="str">
        <f>IFERROR(MATCH(B917,EXTRATO_IMPORTADO!$I$5:$I$404,0),"")</f>
        <v/>
      </c>
      <c r="S917" s="26" t="str">
        <f t="shared" si="43"/>
        <v/>
      </c>
      <c r="T917" s="26" t="str">
        <f t="shared" si="44"/>
        <v/>
      </c>
    </row>
    <row r="918" spans="1:20" x14ac:dyDescent="0.3">
      <c r="A918" s="26" t="str">
        <f>IF(BASE_CAIXA!A915="","",BASE_CAIXA!A915)</f>
        <v/>
      </c>
      <c r="B918" s="26" t="str">
        <f>IF(A918="","",BASE_CAIXA!AL915)</f>
        <v/>
      </c>
      <c r="C918" s="26" t="str">
        <f>IF(A918="","",BASE_CAIXA!AJ915)</f>
        <v/>
      </c>
      <c r="D918" s="26" t="str">
        <f>IF(A918="","",IF(BASE_CAIXA!C915="Entrada","Crédito","Débito"))</f>
        <v/>
      </c>
      <c r="E918" s="26" t="str">
        <f>IF(A918="","",BASE_CAIXA!AA915)</f>
        <v/>
      </c>
      <c r="F918" s="26" t="str">
        <f>IF(A918="","",BASE_CAIXA!N915)</f>
        <v/>
      </c>
      <c r="G918" s="26" t="str">
        <f>IF(A918="","",BASE_CAIXA!O915)</f>
        <v/>
      </c>
      <c r="H918" s="26" t="str">
        <f>IF(A918="","",BASE_CAIXA!P915)</f>
        <v/>
      </c>
      <c r="I918" s="26" t="str">
        <f>IF(A918="","",IF(BASE_CAIXA!H915&lt;&gt;"",BASE_CAIXA!H915,BASE_CAIXA!G915))</f>
        <v/>
      </c>
      <c r="J918" s="26" t="str">
        <f>IF(A918="","",BASE_CAIXA!G915)</f>
        <v/>
      </c>
      <c r="K918" s="26" t="str">
        <f>IF(A918="","",BASE_CAIXA!I915)</f>
        <v/>
      </c>
      <c r="L918" s="26" t="str">
        <f>IF(A918="","",BASE_CAIXA!J915)</f>
        <v/>
      </c>
      <c r="M918" s="26" t="str">
        <f>IF(A918="","",BASE_CAIXA!AM915)</f>
        <v/>
      </c>
      <c r="N918" s="26" t="str">
        <f t="shared" ca="1" si="42"/>
        <v/>
      </c>
      <c r="O918" s="26" t="str">
        <f>IFERROR(INDEX(EXTRATO_IMPORTADO!$A$5:$A$404,MATCH(B918,EXTRATO_IMPORTADO!$I$5:$I$404,0)),"")</f>
        <v/>
      </c>
      <c r="P918" s="26" t="str">
        <f>IFERROR(INDEX(EXTRATO_IMPORTADO!$F$5:$F$404,MATCH(B918,EXTRATO_IMPORTADO!$I$5:$I$404,0)),"")</f>
        <v/>
      </c>
      <c r="Q918" s="26" t="str">
        <f>IFERROR(INDEX(EXTRATO_IMPORTADO!$B$5:$B$404,MATCH(B918,EXTRATO_IMPORTADO!$I$5:$I$404,0)),"")</f>
        <v/>
      </c>
      <c r="R918" s="26" t="str">
        <f>IFERROR(MATCH(B918,EXTRATO_IMPORTADO!$I$5:$I$404,0),"")</f>
        <v/>
      </c>
      <c r="S918" s="26" t="str">
        <f t="shared" si="43"/>
        <v/>
      </c>
      <c r="T918" s="26" t="str">
        <f t="shared" si="44"/>
        <v/>
      </c>
    </row>
    <row r="919" spans="1:20" x14ac:dyDescent="0.3">
      <c r="A919" s="26" t="str">
        <f>IF(BASE_CAIXA!A916="","",BASE_CAIXA!A916)</f>
        <v/>
      </c>
      <c r="B919" s="26" t="str">
        <f>IF(A919="","",BASE_CAIXA!AL916)</f>
        <v/>
      </c>
      <c r="C919" s="26" t="str">
        <f>IF(A919="","",BASE_CAIXA!AJ916)</f>
        <v/>
      </c>
      <c r="D919" s="26" t="str">
        <f>IF(A919="","",IF(BASE_CAIXA!C916="Entrada","Crédito","Débito"))</f>
        <v/>
      </c>
      <c r="E919" s="26" t="str">
        <f>IF(A919="","",BASE_CAIXA!AA916)</f>
        <v/>
      </c>
      <c r="F919" s="26" t="str">
        <f>IF(A919="","",BASE_CAIXA!N916)</f>
        <v/>
      </c>
      <c r="G919" s="26" t="str">
        <f>IF(A919="","",BASE_CAIXA!O916)</f>
        <v/>
      </c>
      <c r="H919" s="26" t="str">
        <f>IF(A919="","",BASE_CAIXA!P916)</f>
        <v/>
      </c>
      <c r="I919" s="26" t="str">
        <f>IF(A919="","",IF(BASE_CAIXA!H916&lt;&gt;"",BASE_CAIXA!H916,BASE_CAIXA!G916))</f>
        <v/>
      </c>
      <c r="J919" s="26" t="str">
        <f>IF(A919="","",BASE_CAIXA!G916)</f>
        <v/>
      </c>
      <c r="K919" s="26" t="str">
        <f>IF(A919="","",BASE_CAIXA!I916)</f>
        <v/>
      </c>
      <c r="L919" s="26" t="str">
        <f>IF(A919="","",BASE_CAIXA!J916)</f>
        <v/>
      </c>
      <c r="M919" s="26" t="str">
        <f>IF(A919="","",BASE_CAIXA!AM916)</f>
        <v/>
      </c>
      <c r="N919" s="26" t="str">
        <f t="shared" ca="1" si="42"/>
        <v/>
      </c>
      <c r="O919" s="26" t="str">
        <f>IFERROR(INDEX(EXTRATO_IMPORTADO!$A$5:$A$404,MATCH(B919,EXTRATO_IMPORTADO!$I$5:$I$404,0)),"")</f>
        <v/>
      </c>
      <c r="P919" s="26" t="str">
        <f>IFERROR(INDEX(EXTRATO_IMPORTADO!$F$5:$F$404,MATCH(B919,EXTRATO_IMPORTADO!$I$5:$I$404,0)),"")</f>
        <v/>
      </c>
      <c r="Q919" s="26" t="str">
        <f>IFERROR(INDEX(EXTRATO_IMPORTADO!$B$5:$B$404,MATCH(B919,EXTRATO_IMPORTADO!$I$5:$I$404,0)),"")</f>
        <v/>
      </c>
      <c r="R919" s="26" t="str">
        <f>IFERROR(MATCH(B919,EXTRATO_IMPORTADO!$I$5:$I$404,0),"")</f>
        <v/>
      </c>
      <c r="S919" s="26" t="str">
        <f t="shared" si="43"/>
        <v/>
      </c>
      <c r="T919" s="26" t="str">
        <f t="shared" si="44"/>
        <v/>
      </c>
    </row>
    <row r="920" spans="1:20" x14ac:dyDescent="0.3">
      <c r="A920" s="26" t="str">
        <f>IF(BASE_CAIXA!A917="","",BASE_CAIXA!A917)</f>
        <v/>
      </c>
      <c r="B920" s="26" t="str">
        <f>IF(A920="","",BASE_CAIXA!AL917)</f>
        <v/>
      </c>
      <c r="C920" s="26" t="str">
        <f>IF(A920="","",BASE_CAIXA!AJ917)</f>
        <v/>
      </c>
      <c r="D920" s="26" t="str">
        <f>IF(A920="","",IF(BASE_CAIXA!C917="Entrada","Crédito","Débito"))</f>
        <v/>
      </c>
      <c r="E920" s="26" t="str">
        <f>IF(A920="","",BASE_CAIXA!AA917)</f>
        <v/>
      </c>
      <c r="F920" s="26" t="str">
        <f>IF(A920="","",BASE_CAIXA!N917)</f>
        <v/>
      </c>
      <c r="G920" s="26" t="str">
        <f>IF(A920="","",BASE_CAIXA!O917)</f>
        <v/>
      </c>
      <c r="H920" s="26" t="str">
        <f>IF(A920="","",BASE_CAIXA!P917)</f>
        <v/>
      </c>
      <c r="I920" s="26" t="str">
        <f>IF(A920="","",IF(BASE_CAIXA!H917&lt;&gt;"",BASE_CAIXA!H917,BASE_CAIXA!G917))</f>
        <v/>
      </c>
      <c r="J920" s="26" t="str">
        <f>IF(A920="","",BASE_CAIXA!G917)</f>
        <v/>
      </c>
      <c r="K920" s="26" t="str">
        <f>IF(A920="","",BASE_CAIXA!I917)</f>
        <v/>
      </c>
      <c r="L920" s="26" t="str">
        <f>IF(A920="","",BASE_CAIXA!J917)</f>
        <v/>
      </c>
      <c r="M920" s="26" t="str">
        <f>IF(A920="","",BASE_CAIXA!AM917)</f>
        <v/>
      </c>
      <c r="N920" s="26" t="str">
        <f t="shared" ca="1" si="42"/>
        <v/>
      </c>
      <c r="O920" s="26" t="str">
        <f>IFERROR(INDEX(EXTRATO_IMPORTADO!$A$5:$A$404,MATCH(B920,EXTRATO_IMPORTADO!$I$5:$I$404,0)),"")</f>
        <v/>
      </c>
      <c r="P920" s="26" t="str">
        <f>IFERROR(INDEX(EXTRATO_IMPORTADO!$F$5:$F$404,MATCH(B920,EXTRATO_IMPORTADO!$I$5:$I$404,0)),"")</f>
        <v/>
      </c>
      <c r="Q920" s="26" t="str">
        <f>IFERROR(INDEX(EXTRATO_IMPORTADO!$B$5:$B$404,MATCH(B920,EXTRATO_IMPORTADO!$I$5:$I$404,0)),"")</f>
        <v/>
      </c>
      <c r="R920" s="26" t="str">
        <f>IFERROR(MATCH(B920,EXTRATO_IMPORTADO!$I$5:$I$404,0),"")</f>
        <v/>
      </c>
      <c r="S920" s="26" t="str">
        <f t="shared" si="43"/>
        <v/>
      </c>
      <c r="T920" s="26" t="str">
        <f t="shared" si="44"/>
        <v/>
      </c>
    </row>
    <row r="921" spans="1:20" x14ac:dyDescent="0.3">
      <c r="A921" s="26" t="str">
        <f>IF(BASE_CAIXA!A918="","",BASE_CAIXA!A918)</f>
        <v/>
      </c>
      <c r="B921" s="26" t="str">
        <f>IF(A921="","",BASE_CAIXA!AL918)</f>
        <v/>
      </c>
      <c r="C921" s="26" t="str">
        <f>IF(A921="","",BASE_CAIXA!AJ918)</f>
        <v/>
      </c>
      <c r="D921" s="26" t="str">
        <f>IF(A921="","",IF(BASE_CAIXA!C918="Entrada","Crédito","Débito"))</f>
        <v/>
      </c>
      <c r="E921" s="26" t="str">
        <f>IF(A921="","",BASE_CAIXA!AA918)</f>
        <v/>
      </c>
      <c r="F921" s="26" t="str">
        <f>IF(A921="","",BASE_CAIXA!N918)</f>
        <v/>
      </c>
      <c r="G921" s="26" t="str">
        <f>IF(A921="","",BASE_CAIXA!O918)</f>
        <v/>
      </c>
      <c r="H921" s="26" t="str">
        <f>IF(A921="","",BASE_CAIXA!P918)</f>
        <v/>
      </c>
      <c r="I921" s="26" t="str">
        <f>IF(A921="","",IF(BASE_CAIXA!H918&lt;&gt;"",BASE_CAIXA!H918,BASE_CAIXA!G918))</f>
        <v/>
      </c>
      <c r="J921" s="26" t="str">
        <f>IF(A921="","",BASE_CAIXA!G918)</f>
        <v/>
      </c>
      <c r="K921" s="26" t="str">
        <f>IF(A921="","",BASE_CAIXA!I918)</f>
        <v/>
      </c>
      <c r="L921" s="26" t="str">
        <f>IF(A921="","",BASE_CAIXA!J918)</f>
        <v/>
      </c>
      <c r="M921" s="26" t="str">
        <f>IF(A921="","",BASE_CAIXA!AM918)</f>
        <v/>
      </c>
      <c r="N921" s="26" t="str">
        <f t="shared" ca="1" si="42"/>
        <v/>
      </c>
      <c r="O921" s="26" t="str">
        <f>IFERROR(INDEX(EXTRATO_IMPORTADO!$A$5:$A$404,MATCH(B921,EXTRATO_IMPORTADO!$I$5:$I$404,0)),"")</f>
        <v/>
      </c>
      <c r="P921" s="26" t="str">
        <f>IFERROR(INDEX(EXTRATO_IMPORTADO!$F$5:$F$404,MATCH(B921,EXTRATO_IMPORTADO!$I$5:$I$404,0)),"")</f>
        <v/>
      </c>
      <c r="Q921" s="26" t="str">
        <f>IFERROR(INDEX(EXTRATO_IMPORTADO!$B$5:$B$404,MATCH(B921,EXTRATO_IMPORTADO!$I$5:$I$404,0)),"")</f>
        <v/>
      </c>
      <c r="R921" s="26" t="str">
        <f>IFERROR(MATCH(B921,EXTRATO_IMPORTADO!$I$5:$I$404,0),"")</f>
        <v/>
      </c>
      <c r="S921" s="26" t="str">
        <f t="shared" si="43"/>
        <v/>
      </c>
      <c r="T921" s="26" t="str">
        <f t="shared" si="44"/>
        <v/>
      </c>
    </row>
    <row r="922" spans="1:20" x14ac:dyDescent="0.3">
      <c r="A922" s="26" t="str">
        <f>IF(BASE_CAIXA!A919="","",BASE_CAIXA!A919)</f>
        <v/>
      </c>
      <c r="B922" s="26" t="str">
        <f>IF(A922="","",BASE_CAIXA!AL919)</f>
        <v/>
      </c>
      <c r="C922" s="26" t="str">
        <f>IF(A922="","",BASE_CAIXA!AJ919)</f>
        <v/>
      </c>
      <c r="D922" s="26" t="str">
        <f>IF(A922="","",IF(BASE_CAIXA!C919="Entrada","Crédito","Débito"))</f>
        <v/>
      </c>
      <c r="E922" s="26" t="str">
        <f>IF(A922="","",BASE_CAIXA!AA919)</f>
        <v/>
      </c>
      <c r="F922" s="26" t="str">
        <f>IF(A922="","",BASE_CAIXA!N919)</f>
        <v/>
      </c>
      <c r="G922" s="26" t="str">
        <f>IF(A922="","",BASE_CAIXA!O919)</f>
        <v/>
      </c>
      <c r="H922" s="26" t="str">
        <f>IF(A922="","",BASE_CAIXA!P919)</f>
        <v/>
      </c>
      <c r="I922" s="26" t="str">
        <f>IF(A922="","",IF(BASE_CAIXA!H919&lt;&gt;"",BASE_CAIXA!H919,BASE_CAIXA!G919))</f>
        <v/>
      </c>
      <c r="J922" s="26" t="str">
        <f>IF(A922="","",BASE_CAIXA!G919)</f>
        <v/>
      </c>
      <c r="K922" s="26" t="str">
        <f>IF(A922="","",BASE_CAIXA!I919)</f>
        <v/>
      </c>
      <c r="L922" s="26" t="str">
        <f>IF(A922="","",BASE_CAIXA!J919)</f>
        <v/>
      </c>
      <c r="M922" s="26" t="str">
        <f>IF(A922="","",BASE_CAIXA!AM919)</f>
        <v/>
      </c>
      <c r="N922" s="26" t="str">
        <f t="shared" ca="1" si="42"/>
        <v/>
      </c>
      <c r="O922" s="26" t="str">
        <f>IFERROR(INDEX(EXTRATO_IMPORTADO!$A$5:$A$404,MATCH(B922,EXTRATO_IMPORTADO!$I$5:$I$404,0)),"")</f>
        <v/>
      </c>
      <c r="P922" s="26" t="str">
        <f>IFERROR(INDEX(EXTRATO_IMPORTADO!$F$5:$F$404,MATCH(B922,EXTRATO_IMPORTADO!$I$5:$I$404,0)),"")</f>
        <v/>
      </c>
      <c r="Q922" s="26" t="str">
        <f>IFERROR(INDEX(EXTRATO_IMPORTADO!$B$5:$B$404,MATCH(B922,EXTRATO_IMPORTADO!$I$5:$I$404,0)),"")</f>
        <v/>
      </c>
      <c r="R922" s="26" t="str">
        <f>IFERROR(MATCH(B922,EXTRATO_IMPORTADO!$I$5:$I$404,0),"")</f>
        <v/>
      </c>
      <c r="S922" s="26" t="str">
        <f t="shared" si="43"/>
        <v/>
      </c>
      <c r="T922" s="26" t="str">
        <f t="shared" si="44"/>
        <v/>
      </c>
    </row>
    <row r="923" spans="1:20" x14ac:dyDescent="0.3">
      <c r="A923" s="26" t="str">
        <f>IF(BASE_CAIXA!A920="","",BASE_CAIXA!A920)</f>
        <v/>
      </c>
      <c r="B923" s="26" t="str">
        <f>IF(A923="","",BASE_CAIXA!AL920)</f>
        <v/>
      </c>
      <c r="C923" s="26" t="str">
        <f>IF(A923="","",BASE_CAIXA!AJ920)</f>
        <v/>
      </c>
      <c r="D923" s="26" t="str">
        <f>IF(A923="","",IF(BASE_CAIXA!C920="Entrada","Crédito","Débito"))</f>
        <v/>
      </c>
      <c r="E923" s="26" t="str">
        <f>IF(A923="","",BASE_CAIXA!AA920)</f>
        <v/>
      </c>
      <c r="F923" s="26" t="str">
        <f>IF(A923="","",BASE_CAIXA!N920)</f>
        <v/>
      </c>
      <c r="G923" s="26" t="str">
        <f>IF(A923="","",BASE_CAIXA!O920)</f>
        <v/>
      </c>
      <c r="H923" s="26" t="str">
        <f>IF(A923="","",BASE_CAIXA!P920)</f>
        <v/>
      </c>
      <c r="I923" s="26" t="str">
        <f>IF(A923="","",IF(BASE_CAIXA!H920&lt;&gt;"",BASE_CAIXA!H920,BASE_CAIXA!G920))</f>
        <v/>
      </c>
      <c r="J923" s="26" t="str">
        <f>IF(A923="","",BASE_CAIXA!G920)</f>
        <v/>
      </c>
      <c r="K923" s="26" t="str">
        <f>IF(A923="","",BASE_CAIXA!I920)</f>
        <v/>
      </c>
      <c r="L923" s="26" t="str">
        <f>IF(A923="","",BASE_CAIXA!J920)</f>
        <v/>
      </c>
      <c r="M923" s="26" t="str">
        <f>IF(A923="","",BASE_CAIXA!AM920)</f>
        <v/>
      </c>
      <c r="N923" s="26" t="str">
        <f t="shared" ca="1" si="42"/>
        <v/>
      </c>
      <c r="O923" s="26" t="str">
        <f>IFERROR(INDEX(EXTRATO_IMPORTADO!$A$5:$A$404,MATCH(B923,EXTRATO_IMPORTADO!$I$5:$I$404,0)),"")</f>
        <v/>
      </c>
      <c r="P923" s="26" t="str">
        <f>IFERROR(INDEX(EXTRATO_IMPORTADO!$F$5:$F$404,MATCH(B923,EXTRATO_IMPORTADO!$I$5:$I$404,0)),"")</f>
        <v/>
      </c>
      <c r="Q923" s="26" t="str">
        <f>IFERROR(INDEX(EXTRATO_IMPORTADO!$B$5:$B$404,MATCH(B923,EXTRATO_IMPORTADO!$I$5:$I$404,0)),"")</f>
        <v/>
      </c>
      <c r="R923" s="26" t="str">
        <f>IFERROR(MATCH(B923,EXTRATO_IMPORTADO!$I$5:$I$404,0),"")</f>
        <v/>
      </c>
      <c r="S923" s="26" t="str">
        <f t="shared" si="43"/>
        <v/>
      </c>
      <c r="T923" s="26" t="str">
        <f t="shared" si="44"/>
        <v/>
      </c>
    </row>
    <row r="924" spans="1:20" x14ac:dyDescent="0.3">
      <c r="A924" s="26" t="str">
        <f>IF(BASE_CAIXA!A921="","",BASE_CAIXA!A921)</f>
        <v/>
      </c>
      <c r="B924" s="26" t="str">
        <f>IF(A924="","",BASE_CAIXA!AL921)</f>
        <v/>
      </c>
      <c r="C924" s="26" t="str">
        <f>IF(A924="","",BASE_CAIXA!AJ921)</f>
        <v/>
      </c>
      <c r="D924" s="26" t="str">
        <f>IF(A924="","",IF(BASE_CAIXA!C921="Entrada","Crédito","Débito"))</f>
        <v/>
      </c>
      <c r="E924" s="26" t="str">
        <f>IF(A924="","",BASE_CAIXA!AA921)</f>
        <v/>
      </c>
      <c r="F924" s="26" t="str">
        <f>IF(A924="","",BASE_CAIXA!N921)</f>
        <v/>
      </c>
      <c r="G924" s="26" t="str">
        <f>IF(A924="","",BASE_CAIXA!O921)</f>
        <v/>
      </c>
      <c r="H924" s="26" t="str">
        <f>IF(A924="","",BASE_CAIXA!P921)</f>
        <v/>
      </c>
      <c r="I924" s="26" t="str">
        <f>IF(A924="","",IF(BASE_CAIXA!H921&lt;&gt;"",BASE_CAIXA!H921,BASE_CAIXA!G921))</f>
        <v/>
      </c>
      <c r="J924" s="26" t="str">
        <f>IF(A924="","",BASE_CAIXA!G921)</f>
        <v/>
      </c>
      <c r="K924" s="26" t="str">
        <f>IF(A924="","",BASE_CAIXA!I921)</f>
        <v/>
      </c>
      <c r="L924" s="26" t="str">
        <f>IF(A924="","",BASE_CAIXA!J921)</f>
        <v/>
      </c>
      <c r="M924" s="26" t="str">
        <f>IF(A924="","",BASE_CAIXA!AM921)</f>
        <v/>
      </c>
      <c r="N924" s="26" t="str">
        <f t="shared" ca="1" si="42"/>
        <v/>
      </c>
      <c r="O924" s="26" t="str">
        <f>IFERROR(INDEX(EXTRATO_IMPORTADO!$A$5:$A$404,MATCH(B924,EXTRATO_IMPORTADO!$I$5:$I$404,0)),"")</f>
        <v/>
      </c>
      <c r="P924" s="26" t="str">
        <f>IFERROR(INDEX(EXTRATO_IMPORTADO!$F$5:$F$404,MATCH(B924,EXTRATO_IMPORTADO!$I$5:$I$404,0)),"")</f>
        <v/>
      </c>
      <c r="Q924" s="26" t="str">
        <f>IFERROR(INDEX(EXTRATO_IMPORTADO!$B$5:$B$404,MATCH(B924,EXTRATO_IMPORTADO!$I$5:$I$404,0)),"")</f>
        <v/>
      </c>
      <c r="R924" s="26" t="str">
        <f>IFERROR(MATCH(B924,EXTRATO_IMPORTADO!$I$5:$I$404,0),"")</f>
        <v/>
      </c>
      <c r="S924" s="26" t="str">
        <f t="shared" si="43"/>
        <v/>
      </c>
      <c r="T924" s="26" t="str">
        <f t="shared" si="44"/>
        <v/>
      </c>
    </row>
    <row r="925" spans="1:20" x14ac:dyDescent="0.3">
      <c r="A925" s="26" t="str">
        <f>IF(BASE_CAIXA!A922="","",BASE_CAIXA!A922)</f>
        <v/>
      </c>
      <c r="B925" s="26" t="str">
        <f>IF(A925="","",BASE_CAIXA!AL922)</f>
        <v/>
      </c>
      <c r="C925" s="26" t="str">
        <f>IF(A925="","",BASE_CAIXA!AJ922)</f>
        <v/>
      </c>
      <c r="D925" s="26" t="str">
        <f>IF(A925="","",IF(BASE_CAIXA!C922="Entrada","Crédito","Débito"))</f>
        <v/>
      </c>
      <c r="E925" s="26" t="str">
        <f>IF(A925="","",BASE_CAIXA!AA922)</f>
        <v/>
      </c>
      <c r="F925" s="26" t="str">
        <f>IF(A925="","",BASE_CAIXA!N922)</f>
        <v/>
      </c>
      <c r="G925" s="26" t="str">
        <f>IF(A925="","",BASE_CAIXA!O922)</f>
        <v/>
      </c>
      <c r="H925" s="26" t="str">
        <f>IF(A925="","",BASE_CAIXA!P922)</f>
        <v/>
      </c>
      <c r="I925" s="26" t="str">
        <f>IF(A925="","",IF(BASE_CAIXA!H922&lt;&gt;"",BASE_CAIXA!H922,BASE_CAIXA!G922))</f>
        <v/>
      </c>
      <c r="J925" s="26" t="str">
        <f>IF(A925="","",BASE_CAIXA!G922)</f>
        <v/>
      </c>
      <c r="K925" s="26" t="str">
        <f>IF(A925="","",BASE_CAIXA!I922)</f>
        <v/>
      </c>
      <c r="L925" s="26" t="str">
        <f>IF(A925="","",BASE_CAIXA!J922)</f>
        <v/>
      </c>
      <c r="M925" s="26" t="str">
        <f>IF(A925="","",BASE_CAIXA!AM922)</f>
        <v/>
      </c>
      <c r="N925" s="26" t="str">
        <f t="shared" ca="1" si="42"/>
        <v/>
      </c>
      <c r="O925" s="26" t="str">
        <f>IFERROR(INDEX(EXTRATO_IMPORTADO!$A$5:$A$404,MATCH(B925,EXTRATO_IMPORTADO!$I$5:$I$404,0)),"")</f>
        <v/>
      </c>
      <c r="P925" s="26" t="str">
        <f>IFERROR(INDEX(EXTRATO_IMPORTADO!$F$5:$F$404,MATCH(B925,EXTRATO_IMPORTADO!$I$5:$I$404,0)),"")</f>
        <v/>
      </c>
      <c r="Q925" s="26" t="str">
        <f>IFERROR(INDEX(EXTRATO_IMPORTADO!$B$5:$B$404,MATCH(B925,EXTRATO_IMPORTADO!$I$5:$I$404,0)),"")</f>
        <v/>
      </c>
      <c r="R925" s="26" t="str">
        <f>IFERROR(MATCH(B925,EXTRATO_IMPORTADO!$I$5:$I$404,0),"")</f>
        <v/>
      </c>
      <c r="S925" s="26" t="str">
        <f t="shared" si="43"/>
        <v/>
      </c>
      <c r="T925" s="26" t="str">
        <f t="shared" si="44"/>
        <v/>
      </c>
    </row>
    <row r="926" spans="1:20" x14ac:dyDescent="0.3">
      <c r="A926" s="26" t="str">
        <f>IF(BASE_CAIXA!A923="","",BASE_CAIXA!A923)</f>
        <v/>
      </c>
      <c r="B926" s="26" t="str">
        <f>IF(A926="","",BASE_CAIXA!AL923)</f>
        <v/>
      </c>
      <c r="C926" s="26" t="str">
        <f>IF(A926="","",BASE_CAIXA!AJ923)</f>
        <v/>
      </c>
      <c r="D926" s="26" t="str">
        <f>IF(A926="","",IF(BASE_CAIXA!C923="Entrada","Crédito","Débito"))</f>
        <v/>
      </c>
      <c r="E926" s="26" t="str">
        <f>IF(A926="","",BASE_CAIXA!AA923)</f>
        <v/>
      </c>
      <c r="F926" s="26" t="str">
        <f>IF(A926="","",BASE_CAIXA!N923)</f>
        <v/>
      </c>
      <c r="G926" s="26" t="str">
        <f>IF(A926="","",BASE_CAIXA!O923)</f>
        <v/>
      </c>
      <c r="H926" s="26" t="str">
        <f>IF(A926="","",BASE_CAIXA!P923)</f>
        <v/>
      </c>
      <c r="I926" s="26" t="str">
        <f>IF(A926="","",IF(BASE_CAIXA!H923&lt;&gt;"",BASE_CAIXA!H923,BASE_CAIXA!G923))</f>
        <v/>
      </c>
      <c r="J926" s="26" t="str">
        <f>IF(A926="","",BASE_CAIXA!G923)</f>
        <v/>
      </c>
      <c r="K926" s="26" t="str">
        <f>IF(A926="","",BASE_CAIXA!I923)</f>
        <v/>
      </c>
      <c r="L926" s="26" t="str">
        <f>IF(A926="","",BASE_CAIXA!J923)</f>
        <v/>
      </c>
      <c r="M926" s="26" t="str">
        <f>IF(A926="","",BASE_CAIXA!AM923)</f>
        <v/>
      </c>
      <c r="N926" s="26" t="str">
        <f t="shared" ca="1" si="42"/>
        <v/>
      </c>
      <c r="O926" s="26" t="str">
        <f>IFERROR(INDEX(EXTRATO_IMPORTADO!$A$5:$A$404,MATCH(B926,EXTRATO_IMPORTADO!$I$5:$I$404,0)),"")</f>
        <v/>
      </c>
      <c r="P926" s="26" t="str">
        <f>IFERROR(INDEX(EXTRATO_IMPORTADO!$F$5:$F$404,MATCH(B926,EXTRATO_IMPORTADO!$I$5:$I$404,0)),"")</f>
        <v/>
      </c>
      <c r="Q926" s="26" t="str">
        <f>IFERROR(INDEX(EXTRATO_IMPORTADO!$B$5:$B$404,MATCH(B926,EXTRATO_IMPORTADO!$I$5:$I$404,0)),"")</f>
        <v/>
      </c>
      <c r="R926" s="26" t="str">
        <f>IFERROR(MATCH(B926,EXTRATO_IMPORTADO!$I$5:$I$404,0),"")</f>
        <v/>
      </c>
      <c r="S926" s="26" t="str">
        <f t="shared" si="43"/>
        <v/>
      </c>
      <c r="T926" s="26" t="str">
        <f t="shared" si="44"/>
        <v/>
      </c>
    </row>
    <row r="927" spans="1:20" x14ac:dyDescent="0.3">
      <c r="A927" s="26" t="str">
        <f>IF(BASE_CAIXA!A924="","",BASE_CAIXA!A924)</f>
        <v/>
      </c>
      <c r="B927" s="26" t="str">
        <f>IF(A927="","",BASE_CAIXA!AL924)</f>
        <v/>
      </c>
      <c r="C927" s="26" t="str">
        <f>IF(A927="","",BASE_CAIXA!AJ924)</f>
        <v/>
      </c>
      <c r="D927" s="26" t="str">
        <f>IF(A927="","",IF(BASE_CAIXA!C924="Entrada","Crédito","Débito"))</f>
        <v/>
      </c>
      <c r="E927" s="26" t="str">
        <f>IF(A927="","",BASE_CAIXA!AA924)</f>
        <v/>
      </c>
      <c r="F927" s="26" t="str">
        <f>IF(A927="","",BASE_CAIXA!N924)</f>
        <v/>
      </c>
      <c r="G927" s="26" t="str">
        <f>IF(A927="","",BASE_CAIXA!O924)</f>
        <v/>
      </c>
      <c r="H927" s="26" t="str">
        <f>IF(A927="","",BASE_CAIXA!P924)</f>
        <v/>
      </c>
      <c r="I927" s="26" t="str">
        <f>IF(A927="","",IF(BASE_CAIXA!H924&lt;&gt;"",BASE_CAIXA!H924,BASE_CAIXA!G924))</f>
        <v/>
      </c>
      <c r="J927" s="26" t="str">
        <f>IF(A927="","",BASE_CAIXA!G924)</f>
        <v/>
      </c>
      <c r="K927" s="26" t="str">
        <f>IF(A927="","",BASE_CAIXA!I924)</f>
        <v/>
      </c>
      <c r="L927" s="26" t="str">
        <f>IF(A927="","",BASE_CAIXA!J924)</f>
        <v/>
      </c>
      <c r="M927" s="26" t="str">
        <f>IF(A927="","",BASE_CAIXA!AM924)</f>
        <v/>
      </c>
      <c r="N927" s="26" t="str">
        <f t="shared" ca="1" si="42"/>
        <v/>
      </c>
      <c r="O927" s="26" t="str">
        <f>IFERROR(INDEX(EXTRATO_IMPORTADO!$A$5:$A$404,MATCH(B927,EXTRATO_IMPORTADO!$I$5:$I$404,0)),"")</f>
        <v/>
      </c>
      <c r="P927" s="26" t="str">
        <f>IFERROR(INDEX(EXTRATO_IMPORTADO!$F$5:$F$404,MATCH(B927,EXTRATO_IMPORTADO!$I$5:$I$404,0)),"")</f>
        <v/>
      </c>
      <c r="Q927" s="26" t="str">
        <f>IFERROR(INDEX(EXTRATO_IMPORTADO!$B$5:$B$404,MATCH(B927,EXTRATO_IMPORTADO!$I$5:$I$404,0)),"")</f>
        <v/>
      </c>
      <c r="R927" s="26" t="str">
        <f>IFERROR(MATCH(B927,EXTRATO_IMPORTADO!$I$5:$I$404,0),"")</f>
        <v/>
      </c>
      <c r="S927" s="26" t="str">
        <f t="shared" si="43"/>
        <v/>
      </c>
      <c r="T927" s="26" t="str">
        <f t="shared" si="44"/>
        <v/>
      </c>
    </row>
    <row r="928" spans="1:20" x14ac:dyDescent="0.3">
      <c r="A928" s="26" t="str">
        <f>IF(BASE_CAIXA!A925="","",BASE_CAIXA!A925)</f>
        <v/>
      </c>
      <c r="B928" s="26" t="str">
        <f>IF(A928="","",BASE_CAIXA!AL925)</f>
        <v/>
      </c>
      <c r="C928" s="26" t="str">
        <f>IF(A928="","",BASE_CAIXA!AJ925)</f>
        <v/>
      </c>
      <c r="D928" s="26" t="str">
        <f>IF(A928="","",IF(BASE_CAIXA!C925="Entrada","Crédito","Débito"))</f>
        <v/>
      </c>
      <c r="E928" s="26" t="str">
        <f>IF(A928="","",BASE_CAIXA!AA925)</f>
        <v/>
      </c>
      <c r="F928" s="26" t="str">
        <f>IF(A928="","",BASE_CAIXA!N925)</f>
        <v/>
      </c>
      <c r="G928" s="26" t="str">
        <f>IF(A928="","",BASE_CAIXA!O925)</f>
        <v/>
      </c>
      <c r="H928" s="26" t="str">
        <f>IF(A928="","",BASE_CAIXA!P925)</f>
        <v/>
      </c>
      <c r="I928" s="26" t="str">
        <f>IF(A928="","",IF(BASE_CAIXA!H925&lt;&gt;"",BASE_CAIXA!H925,BASE_CAIXA!G925))</f>
        <v/>
      </c>
      <c r="J928" s="26" t="str">
        <f>IF(A928="","",BASE_CAIXA!G925)</f>
        <v/>
      </c>
      <c r="K928" s="26" t="str">
        <f>IF(A928="","",BASE_CAIXA!I925)</f>
        <v/>
      </c>
      <c r="L928" s="26" t="str">
        <f>IF(A928="","",BASE_CAIXA!J925)</f>
        <v/>
      </c>
      <c r="M928" s="26" t="str">
        <f>IF(A928="","",BASE_CAIXA!AM925)</f>
        <v/>
      </c>
      <c r="N928" s="26" t="str">
        <f t="shared" ca="1" si="42"/>
        <v/>
      </c>
      <c r="O928" s="26" t="str">
        <f>IFERROR(INDEX(EXTRATO_IMPORTADO!$A$5:$A$404,MATCH(B928,EXTRATO_IMPORTADO!$I$5:$I$404,0)),"")</f>
        <v/>
      </c>
      <c r="P928" s="26" t="str">
        <f>IFERROR(INDEX(EXTRATO_IMPORTADO!$F$5:$F$404,MATCH(B928,EXTRATO_IMPORTADO!$I$5:$I$404,0)),"")</f>
        <v/>
      </c>
      <c r="Q928" s="26" t="str">
        <f>IFERROR(INDEX(EXTRATO_IMPORTADO!$B$5:$B$404,MATCH(B928,EXTRATO_IMPORTADO!$I$5:$I$404,0)),"")</f>
        <v/>
      </c>
      <c r="R928" s="26" t="str">
        <f>IFERROR(MATCH(B928,EXTRATO_IMPORTADO!$I$5:$I$404,0),"")</f>
        <v/>
      </c>
      <c r="S928" s="26" t="str">
        <f t="shared" si="43"/>
        <v/>
      </c>
      <c r="T928" s="26" t="str">
        <f t="shared" si="44"/>
        <v/>
      </c>
    </row>
    <row r="929" spans="1:20" x14ac:dyDescent="0.3">
      <c r="A929" s="26" t="str">
        <f>IF(BASE_CAIXA!A926="","",BASE_CAIXA!A926)</f>
        <v/>
      </c>
      <c r="B929" s="26" t="str">
        <f>IF(A929="","",BASE_CAIXA!AL926)</f>
        <v/>
      </c>
      <c r="C929" s="26" t="str">
        <f>IF(A929="","",BASE_CAIXA!AJ926)</f>
        <v/>
      </c>
      <c r="D929" s="26" t="str">
        <f>IF(A929="","",IF(BASE_CAIXA!C926="Entrada","Crédito","Débito"))</f>
        <v/>
      </c>
      <c r="E929" s="26" t="str">
        <f>IF(A929="","",BASE_CAIXA!AA926)</f>
        <v/>
      </c>
      <c r="F929" s="26" t="str">
        <f>IF(A929="","",BASE_CAIXA!N926)</f>
        <v/>
      </c>
      <c r="G929" s="26" t="str">
        <f>IF(A929="","",BASE_CAIXA!O926)</f>
        <v/>
      </c>
      <c r="H929" s="26" t="str">
        <f>IF(A929="","",BASE_CAIXA!P926)</f>
        <v/>
      </c>
      <c r="I929" s="26" t="str">
        <f>IF(A929="","",IF(BASE_CAIXA!H926&lt;&gt;"",BASE_CAIXA!H926,BASE_CAIXA!G926))</f>
        <v/>
      </c>
      <c r="J929" s="26" t="str">
        <f>IF(A929="","",BASE_CAIXA!G926)</f>
        <v/>
      </c>
      <c r="K929" s="26" t="str">
        <f>IF(A929="","",BASE_CAIXA!I926)</f>
        <v/>
      </c>
      <c r="L929" s="26" t="str">
        <f>IF(A929="","",BASE_CAIXA!J926)</f>
        <v/>
      </c>
      <c r="M929" s="26" t="str">
        <f>IF(A929="","",BASE_CAIXA!AM926)</f>
        <v/>
      </c>
      <c r="N929" s="26" t="str">
        <f t="shared" ca="1" si="42"/>
        <v/>
      </c>
      <c r="O929" s="26" t="str">
        <f>IFERROR(INDEX(EXTRATO_IMPORTADO!$A$5:$A$404,MATCH(B929,EXTRATO_IMPORTADO!$I$5:$I$404,0)),"")</f>
        <v/>
      </c>
      <c r="P929" s="26" t="str">
        <f>IFERROR(INDEX(EXTRATO_IMPORTADO!$F$5:$F$404,MATCH(B929,EXTRATO_IMPORTADO!$I$5:$I$404,0)),"")</f>
        <v/>
      </c>
      <c r="Q929" s="26" t="str">
        <f>IFERROR(INDEX(EXTRATO_IMPORTADO!$B$5:$B$404,MATCH(B929,EXTRATO_IMPORTADO!$I$5:$I$404,0)),"")</f>
        <v/>
      </c>
      <c r="R929" s="26" t="str">
        <f>IFERROR(MATCH(B929,EXTRATO_IMPORTADO!$I$5:$I$404,0),"")</f>
        <v/>
      </c>
      <c r="S929" s="26" t="str">
        <f t="shared" si="43"/>
        <v/>
      </c>
      <c r="T929" s="26" t="str">
        <f t="shared" si="44"/>
        <v/>
      </c>
    </row>
    <row r="930" spans="1:20" x14ac:dyDescent="0.3">
      <c r="A930" s="26" t="str">
        <f>IF(BASE_CAIXA!A927="","",BASE_CAIXA!A927)</f>
        <v/>
      </c>
      <c r="B930" s="26" t="str">
        <f>IF(A930="","",BASE_CAIXA!AL927)</f>
        <v/>
      </c>
      <c r="C930" s="26" t="str">
        <f>IF(A930="","",BASE_CAIXA!AJ927)</f>
        <v/>
      </c>
      <c r="D930" s="26" t="str">
        <f>IF(A930="","",IF(BASE_CAIXA!C927="Entrada","Crédito","Débito"))</f>
        <v/>
      </c>
      <c r="E930" s="26" t="str">
        <f>IF(A930="","",BASE_CAIXA!AA927)</f>
        <v/>
      </c>
      <c r="F930" s="26" t="str">
        <f>IF(A930="","",BASE_CAIXA!N927)</f>
        <v/>
      </c>
      <c r="G930" s="26" t="str">
        <f>IF(A930="","",BASE_CAIXA!O927)</f>
        <v/>
      </c>
      <c r="H930" s="26" t="str">
        <f>IF(A930="","",BASE_CAIXA!P927)</f>
        <v/>
      </c>
      <c r="I930" s="26" t="str">
        <f>IF(A930="","",IF(BASE_CAIXA!H927&lt;&gt;"",BASE_CAIXA!H927,BASE_CAIXA!G927))</f>
        <v/>
      </c>
      <c r="J930" s="26" t="str">
        <f>IF(A930="","",BASE_CAIXA!G927)</f>
        <v/>
      </c>
      <c r="K930" s="26" t="str">
        <f>IF(A930="","",BASE_CAIXA!I927)</f>
        <v/>
      </c>
      <c r="L930" s="26" t="str">
        <f>IF(A930="","",BASE_CAIXA!J927)</f>
        <v/>
      </c>
      <c r="M930" s="26" t="str">
        <f>IF(A930="","",BASE_CAIXA!AM927)</f>
        <v/>
      </c>
      <c r="N930" s="26" t="str">
        <f t="shared" ca="1" si="42"/>
        <v/>
      </c>
      <c r="O930" s="26" t="str">
        <f>IFERROR(INDEX(EXTRATO_IMPORTADO!$A$5:$A$404,MATCH(B930,EXTRATO_IMPORTADO!$I$5:$I$404,0)),"")</f>
        <v/>
      </c>
      <c r="P930" s="26" t="str">
        <f>IFERROR(INDEX(EXTRATO_IMPORTADO!$F$5:$F$404,MATCH(B930,EXTRATO_IMPORTADO!$I$5:$I$404,0)),"")</f>
        <v/>
      </c>
      <c r="Q930" s="26" t="str">
        <f>IFERROR(INDEX(EXTRATO_IMPORTADO!$B$5:$B$404,MATCH(B930,EXTRATO_IMPORTADO!$I$5:$I$404,0)),"")</f>
        <v/>
      </c>
      <c r="R930" s="26" t="str">
        <f>IFERROR(MATCH(B930,EXTRATO_IMPORTADO!$I$5:$I$404,0),"")</f>
        <v/>
      </c>
      <c r="S930" s="26" t="str">
        <f t="shared" si="43"/>
        <v/>
      </c>
      <c r="T930" s="26" t="str">
        <f t="shared" si="44"/>
        <v/>
      </c>
    </row>
    <row r="931" spans="1:20" x14ac:dyDescent="0.3">
      <c r="A931" s="26" t="str">
        <f>IF(BASE_CAIXA!A928="","",BASE_CAIXA!A928)</f>
        <v/>
      </c>
      <c r="B931" s="26" t="str">
        <f>IF(A931="","",BASE_CAIXA!AL928)</f>
        <v/>
      </c>
      <c r="C931" s="26" t="str">
        <f>IF(A931="","",BASE_CAIXA!AJ928)</f>
        <v/>
      </c>
      <c r="D931" s="26" t="str">
        <f>IF(A931="","",IF(BASE_CAIXA!C928="Entrada","Crédito","Débito"))</f>
        <v/>
      </c>
      <c r="E931" s="26" t="str">
        <f>IF(A931="","",BASE_CAIXA!AA928)</f>
        <v/>
      </c>
      <c r="F931" s="26" t="str">
        <f>IF(A931="","",BASE_CAIXA!N928)</f>
        <v/>
      </c>
      <c r="G931" s="26" t="str">
        <f>IF(A931="","",BASE_CAIXA!O928)</f>
        <v/>
      </c>
      <c r="H931" s="26" t="str">
        <f>IF(A931="","",BASE_CAIXA!P928)</f>
        <v/>
      </c>
      <c r="I931" s="26" t="str">
        <f>IF(A931="","",IF(BASE_CAIXA!H928&lt;&gt;"",BASE_CAIXA!H928,BASE_CAIXA!G928))</f>
        <v/>
      </c>
      <c r="J931" s="26" t="str">
        <f>IF(A931="","",BASE_CAIXA!G928)</f>
        <v/>
      </c>
      <c r="K931" s="26" t="str">
        <f>IF(A931="","",BASE_CAIXA!I928)</f>
        <v/>
      </c>
      <c r="L931" s="26" t="str">
        <f>IF(A931="","",BASE_CAIXA!J928)</f>
        <v/>
      </c>
      <c r="M931" s="26" t="str">
        <f>IF(A931="","",BASE_CAIXA!AM928)</f>
        <v/>
      </c>
      <c r="N931" s="26" t="str">
        <f t="shared" ca="1" si="42"/>
        <v/>
      </c>
      <c r="O931" s="26" t="str">
        <f>IFERROR(INDEX(EXTRATO_IMPORTADO!$A$5:$A$404,MATCH(B931,EXTRATO_IMPORTADO!$I$5:$I$404,0)),"")</f>
        <v/>
      </c>
      <c r="P931" s="26" t="str">
        <f>IFERROR(INDEX(EXTRATO_IMPORTADO!$F$5:$F$404,MATCH(B931,EXTRATO_IMPORTADO!$I$5:$I$404,0)),"")</f>
        <v/>
      </c>
      <c r="Q931" s="26" t="str">
        <f>IFERROR(INDEX(EXTRATO_IMPORTADO!$B$5:$B$404,MATCH(B931,EXTRATO_IMPORTADO!$I$5:$I$404,0)),"")</f>
        <v/>
      </c>
      <c r="R931" s="26" t="str">
        <f>IFERROR(MATCH(B931,EXTRATO_IMPORTADO!$I$5:$I$404,0),"")</f>
        <v/>
      </c>
      <c r="S931" s="26" t="str">
        <f t="shared" si="43"/>
        <v/>
      </c>
      <c r="T931" s="26" t="str">
        <f t="shared" si="44"/>
        <v/>
      </c>
    </row>
    <row r="932" spans="1:20" x14ac:dyDescent="0.3">
      <c r="A932" s="26" t="str">
        <f>IF(BASE_CAIXA!A929="","",BASE_CAIXA!A929)</f>
        <v/>
      </c>
      <c r="B932" s="26" t="str">
        <f>IF(A932="","",BASE_CAIXA!AL929)</f>
        <v/>
      </c>
      <c r="C932" s="26" t="str">
        <f>IF(A932="","",BASE_CAIXA!AJ929)</f>
        <v/>
      </c>
      <c r="D932" s="26" t="str">
        <f>IF(A932="","",IF(BASE_CAIXA!C929="Entrada","Crédito","Débito"))</f>
        <v/>
      </c>
      <c r="E932" s="26" t="str">
        <f>IF(A932="","",BASE_CAIXA!AA929)</f>
        <v/>
      </c>
      <c r="F932" s="26" t="str">
        <f>IF(A932="","",BASE_CAIXA!N929)</f>
        <v/>
      </c>
      <c r="G932" s="26" t="str">
        <f>IF(A932="","",BASE_CAIXA!O929)</f>
        <v/>
      </c>
      <c r="H932" s="26" t="str">
        <f>IF(A932="","",BASE_CAIXA!P929)</f>
        <v/>
      </c>
      <c r="I932" s="26" t="str">
        <f>IF(A932="","",IF(BASE_CAIXA!H929&lt;&gt;"",BASE_CAIXA!H929,BASE_CAIXA!G929))</f>
        <v/>
      </c>
      <c r="J932" s="26" t="str">
        <f>IF(A932="","",BASE_CAIXA!G929)</f>
        <v/>
      </c>
      <c r="K932" s="26" t="str">
        <f>IF(A932="","",BASE_CAIXA!I929)</f>
        <v/>
      </c>
      <c r="L932" s="26" t="str">
        <f>IF(A932="","",BASE_CAIXA!J929)</f>
        <v/>
      </c>
      <c r="M932" s="26" t="str">
        <f>IF(A932="","",BASE_CAIXA!AM929)</f>
        <v/>
      </c>
      <c r="N932" s="26" t="str">
        <f t="shared" ca="1" si="42"/>
        <v/>
      </c>
      <c r="O932" s="26" t="str">
        <f>IFERROR(INDEX(EXTRATO_IMPORTADO!$A$5:$A$404,MATCH(B932,EXTRATO_IMPORTADO!$I$5:$I$404,0)),"")</f>
        <v/>
      </c>
      <c r="P932" s="26" t="str">
        <f>IFERROR(INDEX(EXTRATO_IMPORTADO!$F$5:$F$404,MATCH(B932,EXTRATO_IMPORTADO!$I$5:$I$404,0)),"")</f>
        <v/>
      </c>
      <c r="Q932" s="26" t="str">
        <f>IFERROR(INDEX(EXTRATO_IMPORTADO!$B$5:$B$404,MATCH(B932,EXTRATO_IMPORTADO!$I$5:$I$404,0)),"")</f>
        <v/>
      </c>
      <c r="R932" s="26" t="str">
        <f>IFERROR(MATCH(B932,EXTRATO_IMPORTADO!$I$5:$I$404,0),"")</f>
        <v/>
      </c>
      <c r="S932" s="26" t="str">
        <f t="shared" si="43"/>
        <v/>
      </c>
      <c r="T932" s="26" t="str">
        <f t="shared" si="44"/>
        <v/>
      </c>
    </row>
    <row r="933" spans="1:20" x14ac:dyDescent="0.3">
      <c r="A933" s="26" t="str">
        <f>IF(BASE_CAIXA!A930="","",BASE_CAIXA!A930)</f>
        <v/>
      </c>
      <c r="B933" s="26" t="str">
        <f>IF(A933="","",BASE_CAIXA!AL930)</f>
        <v/>
      </c>
      <c r="C933" s="26" t="str">
        <f>IF(A933="","",BASE_CAIXA!AJ930)</f>
        <v/>
      </c>
      <c r="D933" s="26" t="str">
        <f>IF(A933="","",IF(BASE_CAIXA!C930="Entrada","Crédito","Débito"))</f>
        <v/>
      </c>
      <c r="E933" s="26" t="str">
        <f>IF(A933="","",BASE_CAIXA!AA930)</f>
        <v/>
      </c>
      <c r="F933" s="26" t="str">
        <f>IF(A933="","",BASE_CAIXA!N930)</f>
        <v/>
      </c>
      <c r="G933" s="26" t="str">
        <f>IF(A933="","",BASE_CAIXA!O930)</f>
        <v/>
      </c>
      <c r="H933" s="26" t="str">
        <f>IF(A933="","",BASE_CAIXA!P930)</f>
        <v/>
      </c>
      <c r="I933" s="26" t="str">
        <f>IF(A933="","",IF(BASE_CAIXA!H930&lt;&gt;"",BASE_CAIXA!H930,BASE_CAIXA!G930))</f>
        <v/>
      </c>
      <c r="J933" s="26" t="str">
        <f>IF(A933="","",BASE_CAIXA!G930)</f>
        <v/>
      </c>
      <c r="K933" s="26" t="str">
        <f>IF(A933="","",BASE_CAIXA!I930)</f>
        <v/>
      </c>
      <c r="L933" s="26" t="str">
        <f>IF(A933="","",BASE_CAIXA!J930)</f>
        <v/>
      </c>
      <c r="M933" s="26" t="str">
        <f>IF(A933="","",BASE_CAIXA!AM930)</f>
        <v/>
      </c>
      <c r="N933" s="26" t="str">
        <f t="shared" ca="1" si="42"/>
        <v/>
      </c>
      <c r="O933" s="26" t="str">
        <f>IFERROR(INDEX(EXTRATO_IMPORTADO!$A$5:$A$404,MATCH(B933,EXTRATO_IMPORTADO!$I$5:$I$404,0)),"")</f>
        <v/>
      </c>
      <c r="P933" s="26" t="str">
        <f>IFERROR(INDEX(EXTRATO_IMPORTADO!$F$5:$F$404,MATCH(B933,EXTRATO_IMPORTADO!$I$5:$I$404,0)),"")</f>
        <v/>
      </c>
      <c r="Q933" s="26" t="str">
        <f>IFERROR(INDEX(EXTRATO_IMPORTADO!$B$5:$B$404,MATCH(B933,EXTRATO_IMPORTADO!$I$5:$I$404,0)),"")</f>
        <v/>
      </c>
      <c r="R933" s="26" t="str">
        <f>IFERROR(MATCH(B933,EXTRATO_IMPORTADO!$I$5:$I$404,0),"")</f>
        <v/>
      </c>
      <c r="S933" s="26" t="str">
        <f t="shared" si="43"/>
        <v/>
      </c>
      <c r="T933" s="26" t="str">
        <f t="shared" si="44"/>
        <v/>
      </c>
    </row>
    <row r="934" spans="1:20" x14ac:dyDescent="0.3">
      <c r="A934" s="26" t="str">
        <f>IF(BASE_CAIXA!A931="","",BASE_CAIXA!A931)</f>
        <v/>
      </c>
      <c r="B934" s="26" t="str">
        <f>IF(A934="","",BASE_CAIXA!AL931)</f>
        <v/>
      </c>
      <c r="C934" s="26" t="str">
        <f>IF(A934="","",BASE_CAIXA!AJ931)</f>
        <v/>
      </c>
      <c r="D934" s="26" t="str">
        <f>IF(A934="","",IF(BASE_CAIXA!C931="Entrada","Crédito","Débito"))</f>
        <v/>
      </c>
      <c r="E934" s="26" t="str">
        <f>IF(A934="","",BASE_CAIXA!AA931)</f>
        <v/>
      </c>
      <c r="F934" s="26" t="str">
        <f>IF(A934="","",BASE_CAIXA!N931)</f>
        <v/>
      </c>
      <c r="G934" s="26" t="str">
        <f>IF(A934="","",BASE_CAIXA!O931)</f>
        <v/>
      </c>
      <c r="H934" s="26" t="str">
        <f>IF(A934="","",BASE_CAIXA!P931)</f>
        <v/>
      </c>
      <c r="I934" s="26" t="str">
        <f>IF(A934="","",IF(BASE_CAIXA!H931&lt;&gt;"",BASE_CAIXA!H931,BASE_CAIXA!G931))</f>
        <v/>
      </c>
      <c r="J934" s="26" t="str">
        <f>IF(A934="","",BASE_CAIXA!G931)</f>
        <v/>
      </c>
      <c r="K934" s="26" t="str">
        <f>IF(A934="","",BASE_CAIXA!I931)</f>
        <v/>
      </c>
      <c r="L934" s="26" t="str">
        <f>IF(A934="","",BASE_CAIXA!J931)</f>
        <v/>
      </c>
      <c r="M934" s="26" t="str">
        <f>IF(A934="","",BASE_CAIXA!AM931)</f>
        <v/>
      </c>
      <c r="N934" s="26" t="str">
        <f t="shared" ca="1" si="42"/>
        <v/>
      </c>
      <c r="O934" s="26" t="str">
        <f>IFERROR(INDEX(EXTRATO_IMPORTADO!$A$5:$A$404,MATCH(B934,EXTRATO_IMPORTADO!$I$5:$I$404,0)),"")</f>
        <v/>
      </c>
      <c r="P934" s="26" t="str">
        <f>IFERROR(INDEX(EXTRATO_IMPORTADO!$F$5:$F$404,MATCH(B934,EXTRATO_IMPORTADO!$I$5:$I$404,0)),"")</f>
        <v/>
      </c>
      <c r="Q934" s="26" t="str">
        <f>IFERROR(INDEX(EXTRATO_IMPORTADO!$B$5:$B$404,MATCH(B934,EXTRATO_IMPORTADO!$I$5:$I$404,0)),"")</f>
        <v/>
      </c>
      <c r="R934" s="26" t="str">
        <f>IFERROR(MATCH(B934,EXTRATO_IMPORTADO!$I$5:$I$404,0),"")</f>
        <v/>
      </c>
      <c r="S934" s="26" t="str">
        <f t="shared" si="43"/>
        <v/>
      </c>
      <c r="T934" s="26" t="str">
        <f t="shared" si="44"/>
        <v/>
      </c>
    </row>
    <row r="935" spans="1:20" x14ac:dyDescent="0.3">
      <c r="A935" s="26" t="str">
        <f>IF(BASE_CAIXA!A932="","",BASE_CAIXA!A932)</f>
        <v/>
      </c>
      <c r="B935" s="26" t="str">
        <f>IF(A935="","",BASE_CAIXA!AL932)</f>
        <v/>
      </c>
      <c r="C935" s="26" t="str">
        <f>IF(A935="","",BASE_CAIXA!AJ932)</f>
        <v/>
      </c>
      <c r="D935" s="26" t="str">
        <f>IF(A935="","",IF(BASE_CAIXA!C932="Entrada","Crédito","Débito"))</f>
        <v/>
      </c>
      <c r="E935" s="26" t="str">
        <f>IF(A935="","",BASE_CAIXA!AA932)</f>
        <v/>
      </c>
      <c r="F935" s="26" t="str">
        <f>IF(A935="","",BASE_CAIXA!N932)</f>
        <v/>
      </c>
      <c r="G935" s="26" t="str">
        <f>IF(A935="","",BASE_CAIXA!O932)</f>
        <v/>
      </c>
      <c r="H935" s="26" t="str">
        <f>IF(A935="","",BASE_CAIXA!P932)</f>
        <v/>
      </c>
      <c r="I935" s="26" t="str">
        <f>IF(A935="","",IF(BASE_CAIXA!H932&lt;&gt;"",BASE_CAIXA!H932,BASE_CAIXA!G932))</f>
        <v/>
      </c>
      <c r="J935" s="26" t="str">
        <f>IF(A935="","",BASE_CAIXA!G932)</f>
        <v/>
      </c>
      <c r="K935" s="26" t="str">
        <f>IF(A935="","",BASE_CAIXA!I932)</f>
        <v/>
      </c>
      <c r="L935" s="26" t="str">
        <f>IF(A935="","",BASE_CAIXA!J932)</f>
        <v/>
      </c>
      <c r="M935" s="26" t="str">
        <f>IF(A935="","",BASE_CAIXA!AM932)</f>
        <v/>
      </c>
      <c r="N935" s="26" t="str">
        <f t="shared" ca="1" si="42"/>
        <v/>
      </c>
      <c r="O935" s="26" t="str">
        <f>IFERROR(INDEX(EXTRATO_IMPORTADO!$A$5:$A$404,MATCH(B935,EXTRATO_IMPORTADO!$I$5:$I$404,0)),"")</f>
        <v/>
      </c>
      <c r="P935" s="26" t="str">
        <f>IFERROR(INDEX(EXTRATO_IMPORTADO!$F$5:$F$404,MATCH(B935,EXTRATO_IMPORTADO!$I$5:$I$404,0)),"")</f>
        <v/>
      </c>
      <c r="Q935" s="26" t="str">
        <f>IFERROR(INDEX(EXTRATO_IMPORTADO!$B$5:$B$404,MATCH(B935,EXTRATO_IMPORTADO!$I$5:$I$404,0)),"")</f>
        <v/>
      </c>
      <c r="R935" s="26" t="str">
        <f>IFERROR(MATCH(B935,EXTRATO_IMPORTADO!$I$5:$I$404,0),"")</f>
        <v/>
      </c>
      <c r="S935" s="26" t="str">
        <f t="shared" si="43"/>
        <v/>
      </c>
      <c r="T935" s="26" t="str">
        <f t="shared" si="44"/>
        <v/>
      </c>
    </row>
    <row r="936" spans="1:20" x14ac:dyDescent="0.3">
      <c r="A936" s="26" t="str">
        <f>IF(BASE_CAIXA!A933="","",BASE_CAIXA!A933)</f>
        <v/>
      </c>
      <c r="B936" s="26" t="str">
        <f>IF(A936="","",BASE_CAIXA!AL933)</f>
        <v/>
      </c>
      <c r="C936" s="26" t="str">
        <f>IF(A936="","",BASE_CAIXA!AJ933)</f>
        <v/>
      </c>
      <c r="D936" s="26" t="str">
        <f>IF(A936="","",IF(BASE_CAIXA!C933="Entrada","Crédito","Débito"))</f>
        <v/>
      </c>
      <c r="E936" s="26" t="str">
        <f>IF(A936="","",BASE_CAIXA!AA933)</f>
        <v/>
      </c>
      <c r="F936" s="26" t="str">
        <f>IF(A936="","",BASE_CAIXA!N933)</f>
        <v/>
      </c>
      <c r="G936" s="26" t="str">
        <f>IF(A936="","",BASE_CAIXA!O933)</f>
        <v/>
      </c>
      <c r="H936" s="26" t="str">
        <f>IF(A936="","",BASE_CAIXA!P933)</f>
        <v/>
      </c>
      <c r="I936" s="26" t="str">
        <f>IF(A936="","",IF(BASE_CAIXA!H933&lt;&gt;"",BASE_CAIXA!H933,BASE_CAIXA!G933))</f>
        <v/>
      </c>
      <c r="J936" s="26" t="str">
        <f>IF(A936="","",BASE_CAIXA!G933)</f>
        <v/>
      </c>
      <c r="K936" s="26" t="str">
        <f>IF(A936="","",BASE_CAIXA!I933)</f>
        <v/>
      </c>
      <c r="L936" s="26" t="str">
        <f>IF(A936="","",BASE_CAIXA!J933)</f>
        <v/>
      </c>
      <c r="M936" s="26" t="str">
        <f>IF(A936="","",BASE_CAIXA!AM933)</f>
        <v/>
      </c>
      <c r="N936" s="26" t="str">
        <f t="shared" ca="1" si="42"/>
        <v/>
      </c>
      <c r="O936" s="26" t="str">
        <f>IFERROR(INDEX(EXTRATO_IMPORTADO!$A$5:$A$404,MATCH(B936,EXTRATO_IMPORTADO!$I$5:$I$404,0)),"")</f>
        <v/>
      </c>
      <c r="P936" s="26" t="str">
        <f>IFERROR(INDEX(EXTRATO_IMPORTADO!$F$5:$F$404,MATCH(B936,EXTRATO_IMPORTADO!$I$5:$I$404,0)),"")</f>
        <v/>
      </c>
      <c r="Q936" s="26" t="str">
        <f>IFERROR(INDEX(EXTRATO_IMPORTADO!$B$5:$B$404,MATCH(B936,EXTRATO_IMPORTADO!$I$5:$I$404,0)),"")</f>
        <v/>
      </c>
      <c r="R936" s="26" t="str">
        <f>IFERROR(MATCH(B936,EXTRATO_IMPORTADO!$I$5:$I$404,0),"")</f>
        <v/>
      </c>
      <c r="S936" s="26" t="str">
        <f t="shared" si="43"/>
        <v/>
      </c>
      <c r="T936" s="26" t="str">
        <f t="shared" si="44"/>
        <v/>
      </c>
    </row>
    <row r="937" spans="1:20" x14ac:dyDescent="0.3">
      <c r="A937" s="26" t="str">
        <f>IF(BASE_CAIXA!A934="","",BASE_CAIXA!A934)</f>
        <v/>
      </c>
      <c r="B937" s="26" t="str">
        <f>IF(A937="","",BASE_CAIXA!AL934)</f>
        <v/>
      </c>
      <c r="C937" s="26" t="str">
        <f>IF(A937="","",BASE_CAIXA!AJ934)</f>
        <v/>
      </c>
      <c r="D937" s="26" t="str">
        <f>IF(A937="","",IF(BASE_CAIXA!C934="Entrada","Crédito","Débito"))</f>
        <v/>
      </c>
      <c r="E937" s="26" t="str">
        <f>IF(A937="","",BASE_CAIXA!AA934)</f>
        <v/>
      </c>
      <c r="F937" s="26" t="str">
        <f>IF(A937="","",BASE_CAIXA!N934)</f>
        <v/>
      </c>
      <c r="G937" s="26" t="str">
        <f>IF(A937="","",BASE_CAIXA!O934)</f>
        <v/>
      </c>
      <c r="H937" s="26" t="str">
        <f>IF(A937="","",BASE_CAIXA!P934)</f>
        <v/>
      </c>
      <c r="I937" s="26" t="str">
        <f>IF(A937="","",IF(BASE_CAIXA!H934&lt;&gt;"",BASE_CAIXA!H934,BASE_CAIXA!G934))</f>
        <v/>
      </c>
      <c r="J937" s="26" t="str">
        <f>IF(A937="","",BASE_CAIXA!G934)</f>
        <v/>
      </c>
      <c r="K937" s="26" t="str">
        <f>IF(A937="","",BASE_CAIXA!I934)</f>
        <v/>
      </c>
      <c r="L937" s="26" t="str">
        <f>IF(A937="","",BASE_CAIXA!J934)</f>
        <v/>
      </c>
      <c r="M937" s="26" t="str">
        <f>IF(A937="","",BASE_CAIXA!AM934)</f>
        <v/>
      </c>
      <c r="N937" s="26" t="str">
        <f t="shared" ca="1" si="42"/>
        <v/>
      </c>
      <c r="O937" s="26" t="str">
        <f>IFERROR(INDEX(EXTRATO_IMPORTADO!$A$5:$A$404,MATCH(B937,EXTRATO_IMPORTADO!$I$5:$I$404,0)),"")</f>
        <v/>
      </c>
      <c r="P937" s="26" t="str">
        <f>IFERROR(INDEX(EXTRATO_IMPORTADO!$F$5:$F$404,MATCH(B937,EXTRATO_IMPORTADO!$I$5:$I$404,0)),"")</f>
        <v/>
      </c>
      <c r="Q937" s="26" t="str">
        <f>IFERROR(INDEX(EXTRATO_IMPORTADO!$B$5:$B$404,MATCH(B937,EXTRATO_IMPORTADO!$I$5:$I$404,0)),"")</f>
        <v/>
      </c>
      <c r="R937" s="26" t="str">
        <f>IFERROR(MATCH(B937,EXTRATO_IMPORTADO!$I$5:$I$404,0),"")</f>
        <v/>
      </c>
      <c r="S937" s="26" t="str">
        <f t="shared" si="43"/>
        <v/>
      </c>
      <c r="T937" s="26" t="str">
        <f t="shared" si="44"/>
        <v/>
      </c>
    </row>
    <row r="938" spans="1:20" x14ac:dyDescent="0.3">
      <c r="A938" s="26" t="str">
        <f>IF(BASE_CAIXA!A935="","",BASE_CAIXA!A935)</f>
        <v/>
      </c>
      <c r="B938" s="26" t="str">
        <f>IF(A938="","",BASE_CAIXA!AL935)</f>
        <v/>
      </c>
      <c r="C938" s="26" t="str">
        <f>IF(A938="","",BASE_CAIXA!AJ935)</f>
        <v/>
      </c>
      <c r="D938" s="26" t="str">
        <f>IF(A938="","",IF(BASE_CAIXA!C935="Entrada","Crédito","Débito"))</f>
        <v/>
      </c>
      <c r="E938" s="26" t="str">
        <f>IF(A938="","",BASE_CAIXA!AA935)</f>
        <v/>
      </c>
      <c r="F938" s="26" t="str">
        <f>IF(A938="","",BASE_CAIXA!N935)</f>
        <v/>
      </c>
      <c r="G938" s="26" t="str">
        <f>IF(A938="","",BASE_CAIXA!O935)</f>
        <v/>
      </c>
      <c r="H938" s="26" t="str">
        <f>IF(A938="","",BASE_CAIXA!P935)</f>
        <v/>
      </c>
      <c r="I938" s="26" t="str">
        <f>IF(A938="","",IF(BASE_CAIXA!H935&lt;&gt;"",BASE_CAIXA!H935,BASE_CAIXA!G935))</f>
        <v/>
      </c>
      <c r="J938" s="26" t="str">
        <f>IF(A938="","",BASE_CAIXA!G935)</f>
        <v/>
      </c>
      <c r="K938" s="26" t="str">
        <f>IF(A938="","",BASE_CAIXA!I935)</f>
        <v/>
      </c>
      <c r="L938" s="26" t="str">
        <f>IF(A938="","",BASE_CAIXA!J935)</f>
        <v/>
      </c>
      <c r="M938" s="26" t="str">
        <f>IF(A938="","",BASE_CAIXA!AM935)</f>
        <v/>
      </c>
      <c r="N938" s="26" t="str">
        <f t="shared" ca="1" si="42"/>
        <v/>
      </c>
      <c r="O938" s="26" t="str">
        <f>IFERROR(INDEX(EXTRATO_IMPORTADO!$A$5:$A$404,MATCH(B938,EXTRATO_IMPORTADO!$I$5:$I$404,0)),"")</f>
        <v/>
      </c>
      <c r="P938" s="26" t="str">
        <f>IFERROR(INDEX(EXTRATO_IMPORTADO!$F$5:$F$404,MATCH(B938,EXTRATO_IMPORTADO!$I$5:$I$404,0)),"")</f>
        <v/>
      </c>
      <c r="Q938" s="26" t="str">
        <f>IFERROR(INDEX(EXTRATO_IMPORTADO!$B$5:$B$404,MATCH(B938,EXTRATO_IMPORTADO!$I$5:$I$404,0)),"")</f>
        <v/>
      </c>
      <c r="R938" s="26" t="str">
        <f>IFERROR(MATCH(B938,EXTRATO_IMPORTADO!$I$5:$I$404,0),"")</f>
        <v/>
      </c>
      <c r="S938" s="26" t="str">
        <f t="shared" si="43"/>
        <v/>
      </c>
      <c r="T938" s="26" t="str">
        <f t="shared" si="44"/>
        <v/>
      </c>
    </row>
    <row r="939" spans="1:20" x14ac:dyDescent="0.3">
      <c r="A939" s="26" t="str">
        <f>IF(BASE_CAIXA!A936="","",BASE_CAIXA!A936)</f>
        <v/>
      </c>
      <c r="B939" s="26" t="str">
        <f>IF(A939="","",BASE_CAIXA!AL936)</f>
        <v/>
      </c>
      <c r="C939" s="26" t="str">
        <f>IF(A939="","",BASE_CAIXA!AJ936)</f>
        <v/>
      </c>
      <c r="D939" s="26" t="str">
        <f>IF(A939="","",IF(BASE_CAIXA!C936="Entrada","Crédito","Débito"))</f>
        <v/>
      </c>
      <c r="E939" s="26" t="str">
        <f>IF(A939="","",BASE_CAIXA!AA936)</f>
        <v/>
      </c>
      <c r="F939" s="26" t="str">
        <f>IF(A939="","",BASE_CAIXA!N936)</f>
        <v/>
      </c>
      <c r="G939" s="26" t="str">
        <f>IF(A939="","",BASE_CAIXA!O936)</f>
        <v/>
      </c>
      <c r="H939" s="26" t="str">
        <f>IF(A939="","",BASE_CAIXA!P936)</f>
        <v/>
      </c>
      <c r="I939" s="26" t="str">
        <f>IF(A939="","",IF(BASE_CAIXA!H936&lt;&gt;"",BASE_CAIXA!H936,BASE_CAIXA!G936))</f>
        <v/>
      </c>
      <c r="J939" s="26" t="str">
        <f>IF(A939="","",BASE_CAIXA!G936)</f>
        <v/>
      </c>
      <c r="K939" s="26" t="str">
        <f>IF(A939="","",BASE_CAIXA!I936)</f>
        <v/>
      </c>
      <c r="L939" s="26" t="str">
        <f>IF(A939="","",BASE_CAIXA!J936)</f>
        <v/>
      </c>
      <c r="M939" s="26" t="str">
        <f>IF(A939="","",BASE_CAIXA!AM936)</f>
        <v/>
      </c>
      <c r="N939" s="26" t="str">
        <f t="shared" ca="1" si="42"/>
        <v/>
      </c>
      <c r="O939" s="26" t="str">
        <f>IFERROR(INDEX(EXTRATO_IMPORTADO!$A$5:$A$404,MATCH(B939,EXTRATO_IMPORTADO!$I$5:$I$404,0)),"")</f>
        <v/>
      </c>
      <c r="P939" s="26" t="str">
        <f>IFERROR(INDEX(EXTRATO_IMPORTADO!$F$5:$F$404,MATCH(B939,EXTRATO_IMPORTADO!$I$5:$I$404,0)),"")</f>
        <v/>
      </c>
      <c r="Q939" s="26" t="str">
        <f>IFERROR(INDEX(EXTRATO_IMPORTADO!$B$5:$B$404,MATCH(B939,EXTRATO_IMPORTADO!$I$5:$I$404,0)),"")</f>
        <v/>
      </c>
      <c r="R939" s="26" t="str">
        <f>IFERROR(MATCH(B939,EXTRATO_IMPORTADO!$I$5:$I$404,0),"")</f>
        <v/>
      </c>
      <c r="S939" s="26" t="str">
        <f t="shared" si="43"/>
        <v/>
      </c>
      <c r="T939" s="26" t="str">
        <f t="shared" si="44"/>
        <v/>
      </c>
    </row>
    <row r="940" spans="1:20" x14ac:dyDescent="0.3">
      <c r="A940" s="26" t="str">
        <f>IF(BASE_CAIXA!A937="","",BASE_CAIXA!A937)</f>
        <v/>
      </c>
      <c r="B940" s="26" t="str">
        <f>IF(A940="","",BASE_CAIXA!AL937)</f>
        <v/>
      </c>
      <c r="C940" s="26" t="str">
        <f>IF(A940="","",BASE_CAIXA!AJ937)</f>
        <v/>
      </c>
      <c r="D940" s="26" t="str">
        <f>IF(A940="","",IF(BASE_CAIXA!C937="Entrada","Crédito","Débito"))</f>
        <v/>
      </c>
      <c r="E940" s="26" t="str">
        <f>IF(A940="","",BASE_CAIXA!AA937)</f>
        <v/>
      </c>
      <c r="F940" s="26" t="str">
        <f>IF(A940="","",BASE_CAIXA!N937)</f>
        <v/>
      </c>
      <c r="G940" s="26" t="str">
        <f>IF(A940="","",BASE_CAIXA!O937)</f>
        <v/>
      </c>
      <c r="H940" s="26" t="str">
        <f>IF(A940="","",BASE_CAIXA!P937)</f>
        <v/>
      </c>
      <c r="I940" s="26" t="str">
        <f>IF(A940="","",IF(BASE_CAIXA!H937&lt;&gt;"",BASE_CAIXA!H937,BASE_CAIXA!G937))</f>
        <v/>
      </c>
      <c r="J940" s="26" t="str">
        <f>IF(A940="","",BASE_CAIXA!G937)</f>
        <v/>
      </c>
      <c r="K940" s="26" t="str">
        <f>IF(A940="","",BASE_CAIXA!I937)</f>
        <v/>
      </c>
      <c r="L940" s="26" t="str">
        <f>IF(A940="","",BASE_CAIXA!J937)</f>
        <v/>
      </c>
      <c r="M940" s="26" t="str">
        <f>IF(A940="","",BASE_CAIXA!AM937)</f>
        <v/>
      </c>
      <c r="N940" s="26" t="str">
        <f t="shared" ca="1" si="42"/>
        <v/>
      </c>
      <c r="O940" s="26" t="str">
        <f>IFERROR(INDEX(EXTRATO_IMPORTADO!$A$5:$A$404,MATCH(B940,EXTRATO_IMPORTADO!$I$5:$I$404,0)),"")</f>
        <v/>
      </c>
      <c r="P940" s="26" t="str">
        <f>IFERROR(INDEX(EXTRATO_IMPORTADO!$F$5:$F$404,MATCH(B940,EXTRATO_IMPORTADO!$I$5:$I$404,0)),"")</f>
        <v/>
      </c>
      <c r="Q940" s="26" t="str">
        <f>IFERROR(INDEX(EXTRATO_IMPORTADO!$B$5:$B$404,MATCH(B940,EXTRATO_IMPORTADO!$I$5:$I$404,0)),"")</f>
        <v/>
      </c>
      <c r="R940" s="26" t="str">
        <f>IFERROR(MATCH(B940,EXTRATO_IMPORTADO!$I$5:$I$404,0),"")</f>
        <v/>
      </c>
      <c r="S940" s="26" t="str">
        <f t="shared" si="43"/>
        <v/>
      </c>
      <c r="T940" s="26" t="str">
        <f t="shared" si="44"/>
        <v/>
      </c>
    </row>
    <row r="941" spans="1:20" x14ac:dyDescent="0.3">
      <c r="A941" s="26" t="str">
        <f>IF(BASE_CAIXA!A938="","",BASE_CAIXA!A938)</f>
        <v/>
      </c>
      <c r="B941" s="26" t="str">
        <f>IF(A941="","",BASE_CAIXA!AL938)</f>
        <v/>
      </c>
      <c r="C941" s="26" t="str">
        <f>IF(A941="","",BASE_CAIXA!AJ938)</f>
        <v/>
      </c>
      <c r="D941" s="26" t="str">
        <f>IF(A941="","",IF(BASE_CAIXA!C938="Entrada","Crédito","Débito"))</f>
        <v/>
      </c>
      <c r="E941" s="26" t="str">
        <f>IF(A941="","",BASE_CAIXA!AA938)</f>
        <v/>
      </c>
      <c r="F941" s="26" t="str">
        <f>IF(A941="","",BASE_CAIXA!N938)</f>
        <v/>
      </c>
      <c r="G941" s="26" t="str">
        <f>IF(A941="","",BASE_CAIXA!O938)</f>
        <v/>
      </c>
      <c r="H941" s="26" t="str">
        <f>IF(A941="","",BASE_CAIXA!P938)</f>
        <v/>
      </c>
      <c r="I941" s="26" t="str">
        <f>IF(A941="","",IF(BASE_CAIXA!H938&lt;&gt;"",BASE_CAIXA!H938,BASE_CAIXA!G938))</f>
        <v/>
      </c>
      <c r="J941" s="26" t="str">
        <f>IF(A941="","",BASE_CAIXA!G938)</f>
        <v/>
      </c>
      <c r="K941" s="26" t="str">
        <f>IF(A941="","",BASE_CAIXA!I938)</f>
        <v/>
      </c>
      <c r="L941" s="26" t="str">
        <f>IF(A941="","",BASE_CAIXA!J938)</f>
        <v/>
      </c>
      <c r="M941" s="26" t="str">
        <f>IF(A941="","",BASE_CAIXA!AM938)</f>
        <v/>
      </c>
      <c r="N941" s="26" t="str">
        <f t="shared" ca="1" si="42"/>
        <v/>
      </c>
      <c r="O941" s="26" t="str">
        <f>IFERROR(INDEX(EXTRATO_IMPORTADO!$A$5:$A$404,MATCH(B941,EXTRATO_IMPORTADO!$I$5:$I$404,0)),"")</f>
        <v/>
      </c>
      <c r="P941" s="26" t="str">
        <f>IFERROR(INDEX(EXTRATO_IMPORTADO!$F$5:$F$404,MATCH(B941,EXTRATO_IMPORTADO!$I$5:$I$404,0)),"")</f>
        <v/>
      </c>
      <c r="Q941" s="26" t="str">
        <f>IFERROR(INDEX(EXTRATO_IMPORTADO!$B$5:$B$404,MATCH(B941,EXTRATO_IMPORTADO!$I$5:$I$404,0)),"")</f>
        <v/>
      </c>
      <c r="R941" s="26" t="str">
        <f>IFERROR(MATCH(B941,EXTRATO_IMPORTADO!$I$5:$I$404,0),"")</f>
        <v/>
      </c>
      <c r="S941" s="26" t="str">
        <f t="shared" si="43"/>
        <v/>
      </c>
      <c r="T941" s="26" t="str">
        <f t="shared" si="44"/>
        <v/>
      </c>
    </row>
    <row r="942" spans="1:20" x14ac:dyDescent="0.3">
      <c r="A942" s="26" t="str">
        <f>IF(BASE_CAIXA!A939="","",BASE_CAIXA!A939)</f>
        <v/>
      </c>
      <c r="B942" s="26" t="str">
        <f>IF(A942="","",BASE_CAIXA!AL939)</f>
        <v/>
      </c>
      <c r="C942" s="26" t="str">
        <f>IF(A942="","",BASE_CAIXA!AJ939)</f>
        <v/>
      </c>
      <c r="D942" s="26" t="str">
        <f>IF(A942="","",IF(BASE_CAIXA!C939="Entrada","Crédito","Débito"))</f>
        <v/>
      </c>
      <c r="E942" s="26" t="str">
        <f>IF(A942="","",BASE_CAIXA!AA939)</f>
        <v/>
      </c>
      <c r="F942" s="26" t="str">
        <f>IF(A942="","",BASE_CAIXA!N939)</f>
        <v/>
      </c>
      <c r="G942" s="26" t="str">
        <f>IF(A942="","",BASE_CAIXA!O939)</f>
        <v/>
      </c>
      <c r="H942" s="26" t="str">
        <f>IF(A942="","",BASE_CAIXA!P939)</f>
        <v/>
      </c>
      <c r="I942" s="26" t="str">
        <f>IF(A942="","",IF(BASE_CAIXA!H939&lt;&gt;"",BASE_CAIXA!H939,BASE_CAIXA!G939))</f>
        <v/>
      </c>
      <c r="J942" s="26" t="str">
        <f>IF(A942="","",BASE_CAIXA!G939)</f>
        <v/>
      </c>
      <c r="K942" s="26" t="str">
        <f>IF(A942="","",BASE_CAIXA!I939)</f>
        <v/>
      </c>
      <c r="L942" s="26" t="str">
        <f>IF(A942="","",BASE_CAIXA!J939)</f>
        <v/>
      </c>
      <c r="M942" s="26" t="str">
        <f>IF(A942="","",BASE_CAIXA!AM939)</f>
        <v/>
      </c>
      <c r="N942" s="26" t="str">
        <f t="shared" ca="1" si="42"/>
        <v/>
      </c>
      <c r="O942" s="26" t="str">
        <f>IFERROR(INDEX(EXTRATO_IMPORTADO!$A$5:$A$404,MATCH(B942,EXTRATO_IMPORTADO!$I$5:$I$404,0)),"")</f>
        <v/>
      </c>
      <c r="P942" s="26" t="str">
        <f>IFERROR(INDEX(EXTRATO_IMPORTADO!$F$5:$F$404,MATCH(B942,EXTRATO_IMPORTADO!$I$5:$I$404,0)),"")</f>
        <v/>
      </c>
      <c r="Q942" s="26" t="str">
        <f>IFERROR(INDEX(EXTRATO_IMPORTADO!$B$5:$B$404,MATCH(B942,EXTRATO_IMPORTADO!$I$5:$I$404,0)),"")</f>
        <v/>
      </c>
      <c r="R942" s="26" t="str">
        <f>IFERROR(MATCH(B942,EXTRATO_IMPORTADO!$I$5:$I$404,0),"")</f>
        <v/>
      </c>
      <c r="S942" s="26" t="str">
        <f t="shared" si="43"/>
        <v/>
      </c>
      <c r="T942" s="26" t="str">
        <f t="shared" si="44"/>
        <v/>
      </c>
    </row>
    <row r="943" spans="1:20" x14ac:dyDescent="0.3">
      <c r="A943" s="26" t="str">
        <f>IF(BASE_CAIXA!A940="","",BASE_CAIXA!A940)</f>
        <v/>
      </c>
      <c r="B943" s="26" t="str">
        <f>IF(A943="","",BASE_CAIXA!AL940)</f>
        <v/>
      </c>
      <c r="C943" s="26" t="str">
        <f>IF(A943="","",BASE_CAIXA!AJ940)</f>
        <v/>
      </c>
      <c r="D943" s="26" t="str">
        <f>IF(A943="","",IF(BASE_CAIXA!C940="Entrada","Crédito","Débito"))</f>
        <v/>
      </c>
      <c r="E943" s="26" t="str">
        <f>IF(A943="","",BASE_CAIXA!AA940)</f>
        <v/>
      </c>
      <c r="F943" s="26" t="str">
        <f>IF(A943="","",BASE_CAIXA!N940)</f>
        <v/>
      </c>
      <c r="G943" s="26" t="str">
        <f>IF(A943="","",BASE_CAIXA!O940)</f>
        <v/>
      </c>
      <c r="H943" s="26" t="str">
        <f>IF(A943="","",BASE_CAIXA!P940)</f>
        <v/>
      </c>
      <c r="I943" s="26" t="str">
        <f>IF(A943="","",IF(BASE_CAIXA!H940&lt;&gt;"",BASE_CAIXA!H940,BASE_CAIXA!G940))</f>
        <v/>
      </c>
      <c r="J943" s="26" t="str">
        <f>IF(A943="","",BASE_CAIXA!G940)</f>
        <v/>
      </c>
      <c r="K943" s="26" t="str">
        <f>IF(A943="","",BASE_CAIXA!I940)</f>
        <v/>
      </c>
      <c r="L943" s="26" t="str">
        <f>IF(A943="","",BASE_CAIXA!J940)</f>
        <v/>
      </c>
      <c r="M943" s="26" t="str">
        <f>IF(A943="","",BASE_CAIXA!AM940)</f>
        <v/>
      </c>
      <c r="N943" s="26" t="str">
        <f t="shared" ca="1" si="42"/>
        <v/>
      </c>
      <c r="O943" s="26" t="str">
        <f>IFERROR(INDEX(EXTRATO_IMPORTADO!$A$5:$A$404,MATCH(B943,EXTRATO_IMPORTADO!$I$5:$I$404,0)),"")</f>
        <v/>
      </c>
      <c r="P943" s="26" t="str">
        <f>IFERROR(INDEX(EXTRATO_IMPORTADO!$F$5:$F$404,MATCH(B943,EXTRATO_IMPORTADO!$I$5:$I$404,0)),"")</f>
        <v/>
      </c>
      <c r="Q943" s="26" t="str">
        <f>IFERROR(INDEX(EXTRATO_IMPORTADO!$B$5:$B$404,MATCH(B943,EXTRATO_IMPORTADO!$I$5:$I$404,0)),"")</f>
        <v/>
      </c>
      <c r="R943" s="26" t="str">
        <f>IFERROR(MATCH(B943,EXTRATO_IMPORTADO!$I$5:$I$404,0),"")</f>
        <v/>
      </c>
      <c r="S943" s="26" t="str">
        <f t="shared" si="43"/>
        <v/>
      </c>
      <c r="T943" s="26" t="str">
        <f t="shared" si="44"/>
        <v/>
      </c>
    </row>
    <row r="944" spans="1:20" x14ac:dyDescent="0.3">
      <c r="A944" s="26" t="str">
        <f>IF(BASE_CAIXA!A941="","",BASE_CAIXA!A941)</f>
        <v/>
      </c>
      <c r="B944" s="26" t="str">
        <f>IF(A944="","",BASE_CAIXA!AL941)</f>
        <v/>
      </c>
      <c r="C944" s="26" t="str">
        <f>IF(A944="","",BASE_CAIXA!AJ941)</f>
        <v/>
      </c>
      <c r="D944" s="26" t="str">
        <f>IF(A944="","",IF(BASE_CAIXA!C941="Entrada","Crédito","Débito"))</f>
        <v/>
      </c>
      <c r="E944" s="26" t="str">
        <f>IF(A944="","",BASE_CAIXA!AA941)</f>
        <v/>
      </c>
      <c r="F944" s="26" t="str">
        <f>IF(A944="","",BASE_CAIXA!N941)</f>
        <v/>
      </c>
      <c r="G944" s="26" t="str">
        <f>IF(A944="","",BASE_CAIXA!O941)</f>
        <v/>
      </c>
      <c r="H944" s="26" t="str">
        <f>IF(A944="","",BASE_CAIXA!P941)</f>
        <v/>
      </c>
      <c r="I944" s="26" t="str">
        <f>IF(A944="","",IF(BASE_CAIXA!H941&lt;&gt;"",BASE_CAIXA!H941,BASE_CAIXA!G941))</f>
        <v/>
      </c>
      <c r="J944" s="26" t="str">
        <f>IF(A944="","",BASE_CAIXA!G941)</f>
        <v/>
      </c>
      <c r="K944" s="26" t="str">
        <f>IF(A944="","",BASE_CAIXA!I941)</f>
        <v/>
      </c>
      <c r="L944" s="26" t="str">
        <f>IF(A944="","",BASE_CAIXA!J941)</f>
        <v/>
      </c>
      <c r="M944" s="26" t="str">
        <f>IF(A944="","",BASE_CAIXA!AM941)</f>
        <v/>
      </c>
      <c r="N944" s="26" t="str">
        <f t="shared" ca="1" si="42"/>
        <v/>
      </c>
      <c r="O944" s="26" t="str">
        <f>IFERROR(INDEX(EXTRATO_IMPORTADO!$A$5:$A$404,MATCH(B944,EXTRATO_IMPORTADO!$I$5:$I$404,0)),"")</f>
        <v/>
      </c>
      <c r="P944" s="26" t="str">
        <f>IFERROR(INDEX(EXTRATO_IMPORTADO!$F$5:$F$404,MATCH(B944,EXTRATO_IMPORTADO!$I$5:$I$404,0)),"")</f>
        <v/>
      </c>
      <c r="Q944" s="26" t="str">
        <f>IFERROR(INDEX(EXTRATO_IMPORTADO!$B$5:$B$404,MATCH(B944,EXTRATO_IMPORTADO!$I$5:$I$404,0)),"")</f>
        <v/>
      </c>
      <c r="R944" s="26" t="str">
        <f>IFERROR(MATCH(B944,EXTRATO_IMPORTADO!$I$5:$I$404,0),"")</f>
        <v/>
      </c>
      <c r="S944" s="26" t="str">
        <f t="shared" si="43"/>
        <v/>
      </c>
      <c r="T944" s="26" t="str">
        <f t="shared" si="44"/>
        <v/>
      </c>
    </row>
    <row r="945" spans="1:20" x14ac:dyDescent="0.3">
      <c r="A945" s="26" t="str">
        <f>IF(BASE_CAIXA!A942="","",BASE_CAIXA!A942)</f>
        <v/>
      </c>
      <c r="B945" s="26" t="str">
        <f>IF(A945="","",BASE_CAIXA!AL942)</f>
        <v/>
      </c>
      <c r="C945" s="26" t="str">
        <f>IF(A945="","",BASE_CAIXA!AJ942)</f>
        <v/>
      </c>
      <c r="D945" s="26" t="str">
        <f>IF(A945="","",IF(BASE_CAIXA!C942="Entrada","Crédito","Débito"))</f>
        <v/>
      </c>
      <c r="E945" s="26" t="str">
        <f>IF(A945="","",BASE_CAIXA!AA942)</f>
        <v/>
      </c>
      <c r="F945" s="26" t="str">
        <f>IF(A945="","",BASE_CAIXA!N942)</f>
        <v/>
      </c>
      <c r="G945" s="26" t="str">
        <f>IF(A945="","",BASE_CAIXA!O942)</f>
        <v/>
      </c>
      <c r="H945" s="26" t="str">
        <f>IF(A945="","",BASE_CAIXA!P942)</f>
        <v/>
      </c>
      <c r="I945" s="26" t="str">
        <f>IF(A945="","",IF(BASE_CAIXA!H942&lt;&gt;"",BASE_CAIXA!H942,BASE_CAIXA!G942))</f>
        <v/>
      </c>
      <c r="J945" s="26" t="str">
        <f>IF(A945="","",BASE_CAIXA!G942)</f>
        <v/>
      </c>
      <c r="K945" s="26" t="str">
        <f>IF(A945="","",BASE_CAIXA!I942)</f>
        <v/>
      </c>
      <c r="L945" s="26" t="str">
        <f>IF(A945="","",BASE_CAIXA!J942)</f>
        <v/>
      </c>
      <c r="M945" s="26" t="str">
        <f>IF(A945="","",BASE_CAIXA!AM942)</f>
        <v/>
      </c>
      <c r="N945" s="26" t="str">
        <f t="shared" ca="1" si="42"/>
        <v/>
      </c>
      <c r="O945" s="26" t="str">
        <f>IFERROR(INDEX(EXTRATO_IMPORTADO!$A$5:$A$404,MATCH(B945,EXTRATO_IMPORTADO!$I$5:$I$404,0)),"")</f>
        <v/>
      </c>
      <c r="P945" s="26" t="str">
        <f>IFERROR(INDEX(EXTRATO_IMPORTADO!$F$5:$F$404,MATCH(B945,EXTRATO_IMPORTADO!$I$5:$I$404,0)),"")</f>
        <v/>
      </c>
      <c r="Q945" s="26" t="str">
        <f>IFERROR(INDEX(EXTRATO_IMPORTADO!$B$5:$B$404,MATCH(B945,EXTRATO_IMPORTADO!$I$5:$I$404,0)),"")</f>
        <v/>
      </c>
      <c r="R945" s="26" t="str">
        <f>IFERROR(MATCH(B945,EXTRATO_IMPORTADO!$I$5:$I$404,0),"")</f>
        <v/>
      </c>
      <c r="S945" s="26" t="str">
        <f t="shared" si="43"/>
        <v/>
      </c>
      <c r="T945" s="26" t="str">
        <f t="shared" si="44"/>
        <v/>
      </c>
    </row>
    <row r="946" spans="1:20" x14ac:dyDescent="0.3">
      <c r="A946" s="26" t="str">
        <f>IF(BASE_CAIXA!A943="","",BASE_CAIXA!A943)</f>
        <v/>
      </c>
      <c r="B946" s="26" t="str">
        <f>IF(A946="","",BASE_CAIXA!AL943)</f>
        <v/>
      </c>
      <c r="C946" s="26" t="str">
        <f>IF(A946="","",BASE_CAIXA!AJ943)</f>
        <v/>
      </c>
      <c r="D946" s="26" t="str">
        <f>IF(A946="","",IF(BASE_CAIXA!C943="Entrada","Crédito","Débito"))</f>
        <v/>
      </c>
      <c r="E946" s="26" t="str">
        <f>IF(A946="","",BASE_CAIXA!AA943)</f>
        <v/>
      </c>
      <c r="F946" s="26" t="str">
        <f>IF(A946="","",BASE_CAIXA!N943)</f>
        <v/>
      </c>
      <c r="G946" s="26" t="str">
        <f>IF(A946="","",BASE_CAIXA!O943)</f>
        <v/>
      </c>
      <c r="H946" s="26" t="str">
        <f>IF(A946="","",BASE_CAIXA!P943)</f>
        <v/>
      </c>
      <c r="I946" s="26" t="str">
        <f>IF(A946="","",IF(BASE_CAIXA!H943&lt;&gt;"",BASE_CAIXA!H943,BASE_CAIXA!G943))</f>
        <v/>
      </c>
      <c r="J946" s="26" t="str">
        <f>IF(A946="","",BASE_CAIXA!G943)</f>
        <v/>
      </c>
      <c r="K946" s="26" t="str">
        <f>IF(A946="","",BASE_CAIXA!I943)</f>
        <v/>
      </c>
      <c r="L946" s="26" t="str">
        <f>IF(A946="","",BASE_CAIXA!J943)</f>
        <v/>
      </c>
      <c r="M946" s="26" t="str">
        <f>IF(A946="","",BASE_CAIXA!AM943)</f>
        <v/>
      </c>
      <c r="N946" s="26" t="str">
        <f t="shared" ca="1" si="42"/>
        <v/>
      </c>
      <c r="O946" s="26" t="str">
        <f>IFERROR(INDEX(EXTRATO_IMPORTADO!$A$5:$A$404,MATCH(B946,EXTRATO_IMPORTADO!$I$5:$I$404,0)),"")</f>
        <v/>
      </c>
      <c r="P946" s="26" t="str">
        <f>IFERROR(INDEX(EXTRATO_IMPORTADO!$F$5:$F$404,MATCH(B946,EXTRATO_IMPORTADO!$I$5:$I$404,0)),"")</f>
        <v/>
      </c>
      <c r="Q946" s="26" t="str">
        <f>IFERROR(INDEX(EXTRATO_IMPORTADO!$B$5:$B$404,MATCH(B946,EXTRATO_IMPORTADO!$I$5:$I$404,0)),"")</f>
        <v/>
      </c>
      <c r="R946" s="26" t="str">
        <f>IFERROR(MATCH(B946,EXTRATO_IMPORTADO!$I$5:$I$404,0),"")</f>
        <v/>
      </c>
      <c r="S946" s="26" t="str">
        <f t="shared" si="43"/>
        <v/>
      </c>
      <c r="T946" s="26" t="str">
        <f t="shared" si="44"/>
        <v/>
      </c>
    </row>
    <row r="947" spans="1:20" x14ac:dyDescent="0.3">
      <c r="A947" s="26" t="str">
        <f>IF(BASE_CAIXA!A944="","",BASE_CAIXA!A944)</f>
        <v/>
      </c>
      <c r="B947" s="26" t="str">
        <f>IF(A947="","",BASE_CAIXA!AL944)</f>
        <v/>
      </c>
      <c r="C947" s="26" t="str">
        <f>IF(A947="","",BASE_CAIXA!AJ944)</f>
        <v/>
      </c>
      <c r="D947" s="26" t="str">
        <f>IF(A947="","",IF(BASE_CAIXA!C944="Entrada","Crédito","Débito"))</f>
        <v/>
      </c>
      <c r="E947" s="26" t="str">
        <f>IF(A947="","",BASE_CAIXA!AA944)</f>
        <v/>
      </c>
      <c r="F947" s="26" t="str">
        <f>IF(A947="","",BASE_CAIXA!N944)</f>
        <v/>
      </c>
      <c r="G947" s="26" t="str">
        <f>IF(A947="","",BASE_CAIXA!O944)</f>
        <v/>
      </c>
      <c r="H947" s="26" t="str">
        <f>IF(A947="","",BASE_CAIXA!P944)</f>
        <v/>
      </c>
      <c r="I947" s="26" t="str">
        <f>IF(A947="","",IF(BASE_CAIXA!H944&lt;&gt;"",BASE_CAIXA!H944,BASE_CAIXA!G944))</f>
        <v/>
      </c>
      <c r="J947" s="26" t="str">
        <f>IF(A947="","",BASE_CAIXA!G944)</f>
        <v/>
      </c>
      <c r="K947" s="26" t="str">
        <f>IF(A947="","",BASE_CAIXA!I944)</f>
        <v/>
      </c>
      <c r="L947" s="26" t="str">
        <f>IF(A947="","",BASE_CAIXA!J944)</f>
        <v/>
      </c>
      <c r="M947" s="26" t="str">
        <f>IF(A947="","",BASE_CAIXA!AM944)</f>
        <v/>
      </c>
      <c r="N947" s="26" t="str">
        <f t="shared" ca="1" si="42"/>
        <v/>
      </c>
      <c r="O947" s="26" t="str">
        <f>IFERROR(INDEX(EXTRATO_IMPORTADO!$A$5:$A$404,MATCH(B947,EXTRATO_IMPORTADO!$I$5:$I$404,0)),"")</f>
        <v/>
      </c>
      <c r="P947" s="26" t="str">
        <f>IFERROR(INDEX(EXTRATO_IMPORTADO!$F$5:$F$404,MATCH(B947,EXTRATO_IMPORTADO!$I$5:$I$404,0)),"")</f>
        <v/>
      </c>
      <c r="Q947" s="26" t="str">
        <f>IFERROR(INDEX(EXTRATO_IMPORTADO!$B$5:$B$404,MATCH(B947,EXTRATO_IMPORTADO!$I$5:$I$404,0)),"")</f>
        <v/>
      </c>
      <c r="R947" s="26" t="str">
        <f>IFERROR(MATCH(B947,EXTRATO_IMPORTADO!$I$5:$I$404,0),"")</f>
        <v/>
      </c>
      <c r="S947" s="26" t="str">
        <f t="shared" si="43"/>
        <v/>
      </c>
      <c r="T947" s="26" t="str">
        <f t="shared" si="44"/>
        <v/>
      </c>
    </row>
    <row r="948" spans="1:20" x14ac:dyDescent="0.3">
      <c r="A948" s="26" t="str">
        <f>IF(BASE_CAIXA!A945="","",BASE_CAIXA!A945)</f>
        <v/>
      </c>
      <c r="B948" s="26" t="str">
        <f>IF(A948="","",BASE_CAIXA!AL945)</f>
        <v/>
      </c>
      <c r="C948" s="26" t="str">
        <f>IF(A948="","",BASE_CAIXA!AJ945)</f>
        <v/>
      </c>
      <c r="D948" s="26" t="str">
        <f>IF(A948="","",IF(BASE_CAIXA!C945="Entrada","Crédito","Débito"))</f>
        <v/>
      </c>
      <c r="E948" s="26" t="str">
        <f>IF(A948="","",BASE_CAIXA!AA945)</f>
        <v/>
      </c>
      <c r="F948" s="26" t="str">
        <f>IF(A948="","",BASE_CAIXA!N945)</f>
        <v/>
      </c>
      <c r="G948" s="26" t="str">
        <f>IF(A948="","",BASE_CAIXA!O945)</f>
        <v/>
      </c>
      <c r="H948" s="26" t="str">
        <f>IF(A948="","",BASE_CAIXA!P945)</f>
        <v/>
      </c>
      <c r="I948" s="26" t="str">
        <f>IF(A948="","",IF(BASE_CAIXA!H945&lt;&gt;"",BASE_CAIXA!H945,BASE_CAIXA!G945))</f>
        <v/>
      </c>
      <c r="J948" s="26" t="str">
        <f>IF(A948="","",BASE_CAIXA!G945)</f>
        <v/>
      </c>
      <c r="K948" s="26" t="str">
        <f>IF(A948="","",BASE_CAIXA!I945)</f>
        <v/>
      </c>
      <c r="L948" s="26" t="str">
        <f>IF(A948="","",BASE_CAIXA!J945)</f>
        <v/>
      </c>
      <c r="M948" s="26" t="str">
        <f>IF(A948="","",BASE_CAIXA!AM945)</f>
        <v/>
      </c>
      <c r="N948" s="26" t="str">
        <f t="shared" ca="1" si="42"/>
        <v/>
      </c>
      <c r="O948" s="26" t="str">
        <f>IFERROR(INDEX(EXTRATO_IMPORTADO!$A$5:$A$404,MATCH(B948,EXTRATO_IMPORTADO!$I$5:$I$404,0)),"")</f>
        <v/>
      </c>
      <c r="P948" s="26" t="str">
        <f>IFERROR(INDEX(EXTRATO_IMPORTADO!$F$5:$F$404,MATCH(B948,EXTRATO_IMPORTADO!$I$5:$I$404,0)),"")</f>
        <v/>
      </c>
      <c r="Q948" s="26" t="str">
        <f>IFERROR(INDEX(EXTRATO_IMPORTADO!$B$5:$B$404,MATCH(B948,EXTRATO_IMPORTADO!$I$5:$I$404,0)),"")</f>
        <v/>
      </c>
      <c r="R948" s="26" t="str">
        <f>IFERROR(MATCH(B948,EXTRATO_IMPORTADO!$I$5:$I$404,0),"")</f>
        <v/>
      </c>
      <c r="S948" s="26" t="str">
        <f t="shared" si="43"/>
        <v/>
      </c>
      <c r="T948" s="26" t="str">
        <f t="shared" si="44"/>
        <v/>
      </c>
    </row>
    <row r="949" spans="1:20" x14ac:dyDescent="0.3">
      <c r="A949" s="26" t="str">
        <f>IF(BASE_CAIXA!A946="","",BASE_CAIXA!A946)</f>
        <v/>
      </c>
      <c r="B949" s="26" t="str">
        <f>IF(A949="","",BASE_CAIXA!AL946)</f>
        <v/>
      </c>
      <c r="C949" s="26" t="str">
        <f>IF(A949="","",BASE_CAIXA!AJ946)</f>
        <v/>
      </c>
      <c r="D949" s="26" t="str">
        <f>IF(A949="","",IF(BASE_CAIXA!C946="Entrada","Crédito","Débito"))</f>
        <v/>
      </c>
      <c r="E949" s="26" t="str">
        <f>IF(A949="","",BASE_CAIXA!AA946)</f>
        <v/>
      </c>
      <c r="F949" s="26" t="str">
        <f>IF(A949="","",BASE_CAIXA!N946)</f>
        <v/>
      </c>
      <c r="G949" s="26" t="str">
        <f>IF(A949="","",BASE_CAIXA!O946)</f>
        <v/>
      </c>
      <c r="H949" s="26" t="str">
        <f>IF(A949="","",BASE_CAIXA!P946)</f>
        <v/>
      </c>
      <c r="I949" s="26" t="str">
        <f>IF(A949="","",IF(BASE_CAIXA!H946&lt;&gt;"",BASE_CAIXA!H946,BASE_CAIXA!G946))</f>
        <v/>
      </c>
      <c r="J949" s="26" t="str">
        <f>IF(A949="","",BASE_CAIXA!G946)</f>
        <v/>
      </c>
      <c r="K949" s="26" t="str">
        <f>IF(A949="","",BASE_CAIXA!I946)</f>
        <v/>
      </c>
      <c r="L949" s="26" t="str">
        <f>IF(A949="","",BASE_CAIXA!J946)</f>
        <v/>
      </c>
      <c r="M949" s="26" t="str">
        <f>IF(A949="","",BASE_CAIXA!AM946)</f>
        <v/>
      </c>
      <c r="N949" s="26" t="str">
        <f t="shared" ca="1" si="42"/>
        <v/>
      </c>
      <c r="O949" s="26" t="str">
        <f>IFERROR(INDEX(EXTRATO_IMPORTADO!$A$5:$A$404,MATCH(B949,EXTRATO_IMPORTADO!$I$5:$I$404,0)),"")</f>
        <v/>
      </c>
      <c r="P949" s="26" t="str">
        <f>IFERROR(INDEX(EXTRATO_IMPORTADO!$F$5:$F$404,MATCH(B949,EXTRATO_IMPORTADO!$I$5:$I$404,0)),"")</f>
        <v/>
      </c>
      <c r="Q949" s="26" t="str">
        <f>IFERROR(INDEX(EXTRATO_IMPORTADO!$B$5:$B$404,MATCH(B949,EXTRATO_IMPORTADO!$I$5:$I$404,0)),"")</f>
        <v/>
      </c>
      <c r="R949" s="26" t="str">
        <f>IFERROR(MATCH(B949,EXTRATO_IMPORTADO!$I$5:$I$404,0),"")</f>
        <v/>
      </c>
      <c r="S949" s="26" t="str">
        <f t="shared" si="43"/>
        <v/>
      </c>
      <c r="T949" s="26" t="str">
        <f t="shared" si="44"/>
        <v/>
      </c>
    </row>
    <row r="950" spans="1:20" x14ac:dyDescent="0.3">
      <c r="A950" s="26" t="str">
        <f>IF(BASE_CAIXA!A947="","",BASE_CAIXA!A947)</f>
        <v/>
      </c>
      <c r="B950" s="26" t="str">
        <f>IF(A950="","",BASE_CAIXA!AL947)</f>
        <v/>
      </c>
      <c r="C950" s="26" t="str">
        <f>IF(A950="","",BASE_CAIXA!AJ947)</f>
        <v/>
      </c>
      <c r="D950" s="26" t="str">
        <f>IF(A950="","",IF(BASE_CAIXA!C947="Entrada","Crédito","Débito"))</f>
        <v/>
      </c>
      <c r="E950" s="26" t="str">
        <f>IF(A950="","",BASE_CAIXA!AA947)</f>
        <v/>
      </c>
      <c r="F950" s="26" t="str">
        <f>IF(A950="","",BASE_CAIXA!N947)</f>
        <v/>
      </c>
      <c r="G950" s="26" t="str">
        <f>IF(A950="","",BASE_CAIXA!O947)</f>
        <v/>
      </c>
      <c r="H950" s="26" t="str">
        <f>IF(A950="","",BASE_CAIXA!P947)</f>
        <v/>
      </c>
      <c r="I950" s="26" t="str">
        <f>IF(A950="","",IF(BASE_CAIXA!H947&lt;&gt;"",BASE_CAIXA!H947,BASE_CAIXA!G947))</f>
        <v/>
      </c>
      <c r="J950" s="26" t="str">
        <f>IF(A950="","",BASE_CAIXA!G947)</f>
        <v/>
      </c>
      <c r="K950" s="26" t="str">
        <f>IF(A950="","",BASE_CAIXA!I947)</f>
        <v/>
      </c>
      <c r="L950" s="26" t="str">
        <f>IF(A950="","",BASE_CAIXA!J947)</f>
        <v/>
      </c>
      <c r="M950" s="26" t="str">
        <f>IF(A950="","",BASE_CAIXA!AM947)</f>
        <v/>
      </c>
      <c r="N950" s="26" t="str">
        <f t="shared" ca="1" si="42"/>
        <v/>
      </c>
      <c r="O950" s="26" t="str">
        <f>IFERROR(INDEX(EXTRATO_IMPORTADO!$A$5:$A$404,MATCH(B950,EXTRATO_IMPORTADO!$I$5:$I$404,0)),"")</f>
        <v/>
      </c>
      <c r="P950" s="26" t="str">
        <f>IFERROR(INDEX(EXTRATO_IMPORTADO!$F$5:$F$404,MATCH(B950,EXTRATO_IMPORTADO!$I$5:$I$404,0)),"")</f>
        <v/>
      </c>
      <c r="Q950" s="26" t="str">
        <f>IFERROR(INDEX(EXTRATO_IMPORTADO!$B$5:$B$404,MATCH(B950,EXTRATO_IMPORTADO!$I$5:$I$404,0)),"")</f>
        <v/>
      </c>
      <c r="R950" s="26" t="str">
        <f>IFERROR(MATCH(B950,EXTRATO_IMPORTADO!$I$5:$I$404,0),"")</f>
        <v/>
      </c>
      <c r="S950" s="26" t="str">
        <f t="shared" si="43"/>
        <v/>
      </c>
      <c r="T950" s="26" t="str">
        <f t="shared" si="44"/>
        <v/>
      </c>
    </row>
    <row r="951" spans="1:20" x14ac:dyDescent="0.3">
      <c r="A951" s="26" t="str">
        <f>IF(BASE_CAIXA!A948="","",BASE_CAIXA!A948)</f>
        <v/>
      </c>
      <c r="B951" s="26" t="str">
        <f>IF(A951="","",BASE_CAIXA!AL948)</f>
        <v/>
      </c>
      <c r="C951" s="26" t="str">
        <f>IF(A951="","",BASE_CAIXA!AJ948)</f>
        <v/>
      </c>
      <c r="D951" s="26" t="str">
        <f>IF(A951="","",IF(BASE_CAIXA!C948="Entrada","Crédito","Débito"))</f>
        <v/>
      </c>
      <c r="E951" s="26" t="str">
        <f>IF(A951="","",BASE_CAIXA!AA948)</f>
        <v/>
      </c>
      <c r="F951" s="26" t="str">
        <f>IF(A951="","",BASE_CAIXA!N948)</f>
        <v/>
      </c>
      <c r="G951" s="26" t="str">
        <f>IF(A951="","",BASE_CAIXA!O948)</f>
        <v/>
      </c>
      <c r="H951" s="26" t="str">
        <f>IF(A951="","",BASE_CAIXA!P948)</f>
        <v/>
      </c>
      <c r="I951" s="26" t="str">
        <f>IF(A951="","",IF(BASE_CAIXA!H948&lt;&gt;"",BASE_CAIXA!H948,BASE_CAIXA!G948))</f>
        <v/>
      </c>
      <c r="J951" s="26" t="str">
        <f>IF(A951="","",BASE_CAIXA!G948)</f>
        <v/>
      </c>
      <c r="K951" s="26" t="str">
        <f>IF(A951="","",BASE_CAIXA!I948)</f>
        <v/>
      </c>
      <c r="L951" s="26" t="str">
        <f>IF(A951="","",BASE_CAIXA!J948)</f>
        <v/>
      </c>
      <c r="M951" s="26" t="str">
        <f>IF(A951="","",BASE_CAIXA!AM948)</f>
        <v/>
      </c>
      <c r="N951" s="26" t="str">
        <f t="shared" ca="1" si="42"/>
        <v/>
      </c>
      <c r="O951" s="26" t="str">
        <f>IFERROR(INDEX(EXTRATO_IMPORTADO!$A$5:$A$404,MATCH(B951,EXTRATO_IMPORTADO!$I$5:$I$404,0)),"")</f>
        <v/>
      </c>
      <c r="P951" s="26" t="str">
        <f>IFERROR(INDEX(EXTRATO_IMPORTADO!$F$5:$F$404,MATCH(B951,EXTRATO_IMPORTADO!$I$5:$I$404,0)),"")</f>
        <v/>
      </c>
      <c r="Q951" s="26" t="str">
        <f>IFERROR(INDEX(EXTRATO_IMPORTADO!$B$5:$B$404,MATCH(B951,EXTRATO_IMPORTADO!$I$5:$I$404,0)),"")</f>
        <v/>
      </c>
      <c r="R951" s="26" t="str">
        <f>IFERROR(MATCH(B951,EXTRATO_IMPORTADO!$I$5:$I$404,0),"")</f>
        <v/>
      </c>
      <c r="S951" s="26" t="str">
        <f t="shared" si="43"/>
        <v/>
      </c>
      <c r="T951" s="26" t="str">
        <f t="shared" si="44"/>
        <v/>
      </c>
    </row>
    <row r="952" spans="1:20" x14ac:dyDescent="0.3">
      <c r="A952" s="26" t="str">
        <f>IF(BASE_CAIXA!A949="","",BASE_CAIXA!A949)</f>
        <v/>
      </c>
      <c r="B952" s="26" t="str">
        <f>IF(A952="","",BASE_CAIXA!AL949)</f>
        <v/>
      </c>
      <c r="C952" s="26" t="str">
        <f>IF(A952="","",BASE_CAIXA!AJ949)</f>
        <v/>
      </c>
      <c r="D952" s="26" t="str">
        <f>IF(A952="","",IF(BASE_CAIXA!C949="Entrada","Crédito","Débito"))</f>
        <v/>
      </c>
      <c r="E952" s="26" t="str">
        <f>IF(A952="","",BASE_CAIXA!AA949)</f>
        <v/>
      </c>
      <c r="F952" s="26" t="str">
        <f>IF(A952="","",BASE_CAIXA!N949)</f>
        <v/>
      </c>
      <c r="G952" s="26" t="str">
        <f>IF(A952="","",BASE_CAIXA!O949)</f>
        <v/>
      </c>
      <c r="H952" s="26" t="str">
        <f>IF(A952="","",BASE_CAIXA!P949)</f>
        <v/>
      </c>
      <c r="I952" s="26" t="str">
        <f>IF(A952="","",IF(BASE_CAIXA!H949&lt;&gt;"",BASE_CAIXA!H949,BASE_CAIXA!G949))</f>
        <v/>
      </c>
      <c r="J952" s="26" t="str">
        <f>IF(A952="","",BASE_CAIXA!G949)</f>
        <v/>
      </c>
      <c r="K952" s="26" t="str">
        <f>IF(A952="","",BASE_CAIXA!I949)</f>
        <v/>
      </c>
      <c r="L952" s="26" t="str">
        <f>IF(A952="","",BASE_CAIXA!J949)</f>
        <v/>
      </c>
      <c r="M952" s="26" t="str">
        <f>IF(A952="","",BASE_CAIXA!AM949)</f>
        <v/>
      </c>
      <c r="N952" s="26" t="str">
        <f t="shared" ca="1" si="42"/>
        <v/>
      </c>
      <c r="O952" s="26" t="str">
        <f>IFERROR(INDEX(EXTRATO_IMPORTADO!$A$5:$A$404,MATCH(B952,EXTRATO_IMPORTADO!$I$5:$I$404,0)),"")</f>
        <v/>
      </c>
      <c r="P952" s="26" t="str">
        <f>IFERROR(INDEX(EXTRATO_IMPORTADO!$F$5:$F$404,MATCH(B952,EXTRATO_IMPORTADO!$I$5:$I$404,0)),"")</f>
        <v/>
      </c>
      <c r="Q952" s="26" t="str">
        <f>IFERROR(INDEX(EXTRATO_IMPORTADO!$B$5:$B$404,MATCH(B952,EXTRATO_IMPORTADO!$I$5:$I$404,0)),"")</f>
        <v/>
      </c>
      <c r="R952" s="26" t="str">
        <f>IFERROR(MATCH(B952,EXTRATO_IMPORTADO!$I$5:$I$404,0),"")</f>
        <v/>
      </c>
      <c r="S952" s="26" t="str">
        <f t="shared" si="43"/>
        <v/>
      </c>
      <c r="T952" s="26" t="str">
        <f t="shared" si="44"/>
        <v/>
      </c>
    </row>
    <row r="953" spans="1:20" x14ac:dyDescent="0.3">
      <c r="A953" s="26" t="str">
        <f>IF(BASE_CAIXA!A950="","",BASE_CAIXA!A950)</f>
        <v/>
      </c>
      <c r="B953" s="26" t="str">
        <f>IF(A953="","",BASE_CAIXA!AL950)</f>
        <v/>
      </c>
      <c r="C953" s="26" t="str">
        <f>IF(A953="","",BASE_CAIXA!AJ950)</f>
        <v/>
      </c>
      <c r="D953" s="26" t="str">
        <f>IF(A953="","",IF(BASE_CAIXA!C950="Entrada","Crédito","Débito"))</f>
        <v/>
      </c>
      <c r="E953" s="26" t="str">
        <f>IF(A953="","",BASE_CAIXA!AA950)</f>
        <v/>
      </c>
      <c r="F953" s="26" t="str">
        <f>IF(A953="","",BASE_CAIXA!N950)</f>
        <v/>
      </c>
      <c r="G953" s="26" t="str">
        <f>IF(A953="","",BASE_CAIXA!O950)</f>
        <v/>
      </c>
      <c r="H953" s="26" t="str">
        <f>IF(A953="","",BASE_CAIXA!P950)</f>
        <v/>
      </c>
      <c r="I953" s="26" t="str">
        <f>IF(A953="","",IF(BASE_CAIXA!H950&lt;&gt;"",BASE_CAIXA!H950,BASE_CAIXA!G950))</f>
        <v/>
      </c>
      <c r="J953" s="26" t="str">
        <f>IF(A953="","",BASE_CAIXA!G950)</f>
        <v/>
      </c>
      <c r="K953" s="26" t="str">
        <f>IF(A953="","",BASE_CAIXA!I950)</f>
        <v/>
      </c>
      <c r="L953" s="26" t="str">
        <f>IF(A953="","",BASE_CAIXA!J950)</f>
        <v/>
      </c>
      <c r="M953" s="26" t="str">
        <f>IF(A953="","",BASE_CAIXA!AM950)</f>
        <v/>
      </c>
      <c r="N953" s="26" t="str">
        <f t="shared" ca="1" si="42"/>
        <v/>
      </c>
      <c r="O953" s="26" t="str">
        <f>IFERROR(INDEX(EXTRATO_IMPORTADO!$A$5:$A$404,MATCH(B953,EXTRATO_IMPORTADO!$I$5:$I$404,0)),"")</f>
        <v/>
      </c>
      <c r="P953" s="26" t="str">
        <f>IFERROR(INDEX(EXTRATO_IMPORTADO!$F$5:$F$404,MATCH(B953,EXTRATO_IMPORTADO!$I$5:$I$404,0)),"")</f>
        <v/>
      </c>
      <c r="Q953" s="26" t="str">
        <f>IFERROR(INDEX(EXTRATO_IMPORTADO!$B$5:$B$404,MATCH(B953,EXTRATO_IMPORTADO!$I$5:$I$404,0)),"")</f>
        <v/>
      </c>
      <c r="R953" s="26" t="str">
        <f>IFERROR(MATCH(B953,EXTRATO_IMPORTADO!$I$5:$I$404,0),"")</f>
        <v/>
      </c>
      <c r="S953" s="26" t="str">
        <f t="shared" si="43"/>
        <v/>
      </c>
      <c r="T953" s="26" t="str">
        <f t="shared" si="44"/>
        <v/>
      </c>
    </row>
    <row r="954" spans="1:20" x14ac:dyDescent="0.3">
      <c r="A954" s="26" t="str">
        <f>IF(BASE_CAIXA!A951="","",BASE_CAIXA!A951)</f>
        <v/>
      </c>
      <c r="B954" s="26" t="str">
        <f>IF(A954="","",BASE_CAIXA!AL951)</f>
        <v/>
      </c>
      <c r="C954" s="26" t="str">
        <f>IF(A954="","",BASE_CAIXA!AJ951)</f>
        <v/>
      </c>
      <c r="D954" s="26" t="str">
        <f>IF(A954="","",IF(BASE_CAIXA!C951="Entrada","Crédito","Débito"))</f>
        <v/>
      </c>
      <c r="E954" s="26" t="str">
        <f>IF(A954="","",BASE_CAIXA!AA951)</f>
        <v/>
      </c>
      <c r="F954" s="26" t="str">
        <f>IF(A954="","",BASE_CAIXA!N951)</f>
        <v/>
      </c>
      <c r="G954" s="26" t="str">
        <f>IF(A954="","",BASE_CAIXA!O951)</f>
        <v/>
      </c>
      <c r="H954" s="26" t="str">
        <f>IF(A954="","",BASE_CAIXA!P951)</f>
        <v/>
      </c>
      <c r="I954" s="26" t="str">
        <f>IF(A954="","",IF(BASE_CAIXA!H951&lt;&gt;"",BASE_CAIXA!H951,BASE_CAIXA!G951))</f>
        <v/>
      </c>
      <c r="J954" s="26" t="str">
        <f>IF(A954="","",BASE_CAIXA!G951)</f>
        <v/>
      </c>
      <c r="K954" s="26" t="str">
        <f>IF(A954="","",BASE_CAIXA!I951)</f>
        <v/>
      </c>
      <c r="L954" s="26" t="str">
        <f>IF(A954="","",BASE_CAIXA!J951)</f>
        <v/>
      </c>
      <c r="M954" s="26" t="str">
        <f>IF(A954="","",BASE_CAIXA!AM951)</f>
        <v/>
      </c>
      <c r="N954" s="26" t="str">
        <f t="shared" ca="1" si="42"/>
        <v/>
      </c>
      <c r="O954" s="26" t="str">
        <f>IFERROR(INDEX(EXTRATO_IMPORTADO!$A$5:$A$404,MATCH(B954,EXTRATO_IMPORTADO!$I$5:$I$404,0)),"")</f>
        <v/>
      </c>
      <c r="P954" s="26" t="str">
        <f>IFERROR(INDEX(EXTRATO_IMPORTADO!$F$5:$F$404,MATCH(B954,EXTRATO_IMPORTADO!$I$5:$I$404,0)),"")</f>
        <v/>
      </c>
      <c r="Q954" s="26" t="str">
        <f>IFERROR(INDEX(EXTRATO_IMPORTADO!$B$5:$B$404,MATCH(B954,EXTRATO_IMPORTADO!$I$5:$I$404,0)),"")</f>
        <v/>
      </c>
      <c r="R954" s="26" t="str">
        <f>IFERROR(MATCH(B954,EXTRATO_IMPORTADO!$I$5:$I$404,0),"")</f>
        <v/>
      </c>
      <c r="S954" s="26" t="str">
        <f t="shared" si="43"/>
        <v/>
      </c>
      <c r="T954" s="26" t="str">
        <f t="shared" si="44"/>
        <v/>
      </c>
    </row>
    <row r="955" spans="1:20" x14ac:dyDescent="0.3">
      <c r="A955" s="26" t="str">
        <f>IF(BASE_CAIXA!A952="","",BASE_CAIXA!A952)</f>
        <v/>
      </c>
      <c r="B955" s="26" t="str">
        <f>IF(A955="","",BASE_CAIXA!AL952)</f>
        <v/>
      </c>
      <c r="C955" s="26" t="str">
        <f>IF(A955="","",BASE_CAIXA!AJ952)</f>
        <v/>
      </c>
      <c r="D955" s="26" t="str">
        <f>IF(A955="","",IF(BASE_CAIXA!C952="Entrada","Crédito","Débito"))</f>
        <v/>
      </c>
      <c r="E955" s="26" t="str">
        <f>IF(A955="","",BASE_CAIXA!AA952)</f>
        <v/>
      </c>
      <c r="F955" s="26" t="str">
        <f>IF(A955="","",BASE_CAIXA!N952)</f>
        <v/>
      </c>
      <c r="G955" s="26" t="str">
        <f>IF(A955="","",BASE_CAIXA!O952)</f>
        <v/>
      </c>
      <c r="H955" s="26" t="str">
        <f>IF(A955="","",BASE_CAIXA!P952)</f>
        <v/>
      </c>
      <c r="I955" s="26" t="str">
        <f>IF(A955="","",IF(BASE_CAIXA!H952&lt;&gt;"",BASE_CAIXA!H952,BASE_CAIXA!G952))</f>
        <v/>
      </c>
      <c r="J955" s="26" t="str">
        <f>IF(A955="","",BASE_CAIXA!G952)</f>
        <v/>
      </c>
      <c r="K955" s="26" t="str">
        <f>IF(A955="","",BASE_CAIXA!I952)</f>
        <v/>
      </c>
      <c r="L955" s="26" t="str">
        <f>IF(A955="","",BASE_CAIXA!J952)</f>
        <v/>
      </c>
      <c r="M955" s="26" t="str">
        <f>IF(A955="","",BASE_CAIXA!AM952)</f>
        <v/>
      </c>
      <c r="N955" s="26" t="str">
        <f t="shared" ca="1" si="42"/>
        <v/>
      </c>
      <c r="O955" s="26" t="str">
        <f>IFERROR(INDEX(EXTRATO_IMPORTADO!$A$5:$A$404,MATCH(B955,EXTRATO_IMPORTADO!$I$5:$I$404,0)),"")</f>
        <v/>
      </c>
      <c r="P955" s="26" t="str">
        <f>IFERROR(INDEX(EXTRATO_IMPORTADO!$F$5:$F$404,MATCH(B955,EXTRATO_IMPORTADO!$I$5:$I$404,0)),"")</f>
        <v/>
      </c>
      <c r="Q955" s="26" t="str">
        <f>IFERROR(INDEX(EXTRATO_IMPORTADO!$B$5:$B$404,MATCH(B955,EXTRATO_IMPORTADO!$I$5:$I$404,0)),"")</f>
        <v/>
      </c>
      <c r="R955" s="26" t="str">
        <f>IFERROR(MATCH(B955,EXTRATO_IMPORTADO!$I$5:$I$404,0),"")</f>
        <v/>
      </c>
      <c r="S955" s="26" t="str">
        <f t="shared" si="43"/>
        <v/>
      </c>
      <c r="T955" s="26" t="str">
        <f t="shared" si="44"/>
        <v/>
      </c>
    </row>
    <row r="956" spans="1:20" x14ac:dyDescent="0.3">
      <c r="A956" s="26" t="str">
        <f>IF(BASE_CAIXA!A953="","",BASE_CAIXA!A953)</f>
        <v/>
      </c>
      <c r="B956" s="26" t="str">
        <f>IF(A956="","",BASE_CAIXA!AL953)</f>
        <v/>
      </c>
      <c r="C956" s="26" t="str">
        <f>IF(A956="","",BASE_CAIXA!AJ953)</f>
        <v/>
      </c>
      <c r="D956" s="26" t="str">
        <f>IF(A956="","",IF(BASE_CAIXA!C953="Entrada","Crédito","Débito"))</f>
        <v/>
      </c>
      <c r="E956" s="26" t="str">
        <f>IF(A956="","",BASE_CAIXA!AA953)</f>
        <v/>
      </c>
      <c r="F956" s="26" t="str">
        <f>IF(A956="","",BASE_CAIXA!N953)</f>
        <v/>
      </c>
      <c r="G956" s="26" t="str">
        <f>IF(A956="","",BASE_CAIXA!O953)</f>
        <v/>
      </c>
      <c r="H956" s="26" t="str">
        <f>IF(A956="","",BASE_CAIXA!P953)</f>
        <v/>
      </c>
      <c r="I956" s="26" t="str">
        <f>IF(A956="","",IF(BASE_CAIXA!H953&lt;&gt;"",BASE_CAIXA!H953,BASE_CAIXA!G953))</f>
        <v/>
      </c>
      <c r="J956" s="26" t="str">
        <f>IF(A956="","",BASE_CAIXA!G953)</f>
        <v/>
      </c>
      <c r="K956" s="26" t="str">
        <f>IF(A956="","",BASE_CAIXA!I953)</f>
        <v/>
      </c>
      <c r="L956" s="26" t="str">
        <f>IF(A956="","",BASE_CAIXA!J953)</f>
        <v/>
      </c>
      <c r="M956" s="26" t="str">
        <f>IF(A956="","",BASE_CAIXA!AM953)</f>
        <v/>
      </c>
      <c r="N956" s="26" t="str">
        <f t="shared" ca="1" si="42"/>
        <v/>
      </c>
      <c r="O956" s="26" t="str">
        <f>IFERROR(INDEX(EXTRATO_IMPORTADO!$A$5:$A$404,MATCH(B956,EXTRATO_IMPORTADO!$I$5:$I$404,0)),"")</f>
        <v/>
      </c>
      <c r="P956" s="26" t="str">
        <f>IFERROR(INDEX(EXTRATO_IMPORTADO!$F$5:$F$404,MATCH(B956,EXTRATO_IMPORTADO!$I$5:$I$404,0)),"")</f>
        <v/>
      </c>
      <c r="Q956" s="26" t="str">
        <f>IFERROR(INDEX(EXTRATO_IMPORTADO!$B$5:$B$404,MATCH(B956,EXTRATO_IMPORTADO!$I$5:$I$404,0)),"")</f>
        <v/>
      </c>
      <c r="R956" s="26" t="str">
        <f>IFERROR(MATCH(B956,EXTRATO_IMPORTADO!$I$5:$I$404,0),"")</f>
        <v/>
      </c>
      <c r="S956" s="26" t="str">
        <f t="shared" si="43"/>
        <v/>
      </c>
      <c r="T956" s="26" t="str">
        <f t="shared" si="44"/>
        <v/>
      </c>
    </row>
    <row r="957" spans="1:20" x14ac:dyDescent="0.3">
      <c r="A957" s="26" t="str">
        <f>IF(BASE_CAIXA!A954="","",BASE_CAIXA!A954)</f>
        <v/>
      </c>
      <c r="B957" s="26" t="str">
        <f>IF(A957="","",BASE_CAIXA!AL954)</f>
        <v/>
      </c>
      <c r="C957" s="26" t="str">
        <f>IF(A957="","",BASE_CAIXA!AJ954)</f>
        <v/>
      </c>
      <c r="D957" s="26" t="str">
        <f>IF(A957="","",IF(BASE_CAIXA!C954="Entrada","Crédito","Débito"))</f>
        <v/>
      </c>
      <c r="E957" s="26" t="str">
        <f>IF(A957="","",BASE_CAIXA!AA954)</f>
        <v/>
      </c>
      <c r="F957" s="26" t="str">
        <f>IF(A957="","",BASE_CAIXA!N954)</f>
        <v/>
      </c>
      <c r="G957" s="26" t="str">
        <f>IF(A957="","",BASE_CAIXA!O954)</f>
        <v/>
      </c>
      <c r="H957" s="26" t="str">
        <f>IF(A957="","",BASE_CAIXA!P954)</f>
        <v/>
      </c>
      <c r="I957" s="26" t="str">
        <f>IF(A957="","",IF(BASE_CAIXA!H954&lt;&gt;"",BASE_CAIXA!H954,BASE_CAIXA!G954))</f>
        <v/>
      </c>
      <c r="J957" s="26" t="str">
        <f>IF(A957="","",BASE_CAIXA!G954)</f>
        <v/>
      </c>
      <c r="K957" s="26" t="str">
        <f>IF(A957="","",BASE_CAIXA!I954)</f>
        <v/>
      </c>
      <c r="L957" s="26" t="str">
        <f>IF(A957="","",BASE_CAIXA!J954)</f>
        <v/>
      </c>
      <c r="M957" s="26" t="str">
        <f>IF(A957="","",BASE_CAIXA!AM954)</f>
        <v/>
      </c>
      <c r="N957" s="26" t="str">
        <f t="shared" ca="1" si="42"/>
        <v/>
      </c>
      <c r="O957" s="26" t="str">
        <f>IFERROR(INDEX(EXTRATO_IMPORTADO!$A$5:$A$404,MATCH(B957,EXTRATO_IMPORTADO!$I$5:$I$404,0)),"")</f>
        <v/>
      </c>
      <c r="P957" s="26" t="str">
        <f>IFERROR(INDEX(EXTRATO_IMPORTADO!$F$5:$F$404,MATCH(B957,EXTRATO_IMPORTADO!$I$5:$I$404,0)),"")</f>
        <v/>
      </c>
      <c r="Q957" s="26" t="str">
        <f>IFERROR(INDEX(EXTRATO_IMPORTADO!$B$5:$B$404,MATCH(B957,EXTRATO_IMPORTADO!$I$5:$I$404,0)),"")</f>
        <v/>
      </c>
      <c r="R957" s="26" t="str">
        <f>IFERROR(MATCH(B957,EXTRATO_IMPORTADO!$I$5:$I$404,0),"")</f>
        <v/>
      </c>
      <c r="S957" s="26" t="str">
        <f t="shared" si="43"/>
        <v/>
      </c>
      <c r="T957" s="26" t="str">
        <f t="shared" si="44"/>
        <v/>
      </c>
    </row>
    <row r="958" spans="1:20" x14ac:dyDescent="0.3">
      <c r="A958" s="26" t="str">
        <f>IF(BASE_CAIXA!A955="","",BASE_CAIXA!A955)</f>
        <v/>
      </c>
      <c r="B958" s="26" t="str">
        <f>IF(A958="","",BASE_CAIXA!AL955)</f>
        <v/>
      </c>
      <c r="C958" s="26" t="str">
        <f>IF(A958="","",BASE_CAIXA!AJ955)</f>
        <v/>
      </c>
      <c r="D958" s="26" t="str">
        <f>IF(A958="","",IF(BASE_CAIXA!C955="Entrada","Crédito","Débito"))</f>
        <v/>
      </c>
      <c r="E958" s="26" t="str">
        <f>IF(A958="","",BASE_CAIXA!AA955)</f>
        <v/>
      </c>
      <c r="F958" s="26" t="str">
        <f>IF(A958="","",BASE_CAIXA!N955)</f>
        <v/>
      </c>
      <c r="G958" s="26" t="str">
        <f>IF(A958="","",BASE_CAIXA!O955)</f>
        <v/>
      </c>
      <c r="H958" s="26" t="str">
        <f>IF(A958="","",BASE_CAIXA!P955)</f>
        <v/>
      </c>
      <c r="I958" s="26" t="str">
        <f>IF(A958="","",IF(BASE_CAIXA!H955&lt;&gt;"",BASE_CAIXA!H955,BASE_CAIXA!G955))</f>
        <v/>
      </c>
      <c r="J958" s="26" t="str">
        <f>IF(A958="","",BASE_CAIXA!G955)</f>
        <v/>
      </c>
      <c r="K958" s="26" t="str">
        <f>IF(A958="","",BASE_CAIXA!I955)</f>
        <v/>
      </c>
      <c r="L958" s="26" t="str">
        <f>IF(A958="","",BASE_CAIXA!J955)</f>
        <v/>
      </c>
      <c r="M958" s="26" t="str">
        <f>IF(A958="","",BASE_CAIXA!AM955)</f>
        <v/>
      </c>
      <c r="N958" s="26" t="str">
        <f t="shared" ca="1" si="42"/>
        <v/>
      </c>
      <c r="O958" s="26" t="str">
        <f>IFERROR(INDEX(EXTRATO_IMPORTADO!$A$5:$A$404,MATCH(B958,EXTRATO_IMPORTADO!$I$5:$I$404,0)),"")</f>
        <v/>
      </c>
      <c r="P958" s="26" t="str">
        <f>IFERROR(INDEX(EXTRATO_IMPORTADO!$F$5:$F$404,MATCH(B958,EXTRATO_IMPORTADO!$I$5:$I$404,0)),"")</f>
        <v/>
      </c>
      <c r="Q958" s="26" t="str">
        <f>IFERROR(INDEX(EXTRATO_IMPORTADO!$B$5:$B$404,MATCH(B958,EXTRATO_IMPORTADO!$I$5:$I$404,0)),"")</f>
        <v/>
      </c>
      <c r="R958" s="26" t="str">
        <f>IFERROR(MATCH(B958,EXTRATO_IMPORTADO!$I$5:$I$404,0),"")</f>
        <v/>
      </c>
      <c r="S958" s="26" t="str">
        <f t="shared" si="43"/>
        <v/>
      </c>
      <c r="T958" s="26" t="str">
        <f t="shared" si="44"/>
        <v/>
      </c>
    </row>
    <row r="959" spans="1:20" x14ac:dyDescent="0.3">
      <c r="A959" s="26" t="str">
        <f>IF(BASE_CAIXA!A956="","",BASE_CAIXA!A956)</f>
        <v/>
      </c>
      <c r="B959" s="26" t="str">
        <f>IF(A959="","",BASE_CAIXA!AL956)</f>
        <v/>
      </c>
      <c r="C959" s="26" t="str">
        <f>IF(A959="","",BASE_CAIXA!AJ956)</f>
        <v/>
      </c>
      <c r="D959" s="26" t="str">
        <f>IF(A959="","",IF(BASE_CAIXA!C956="Entrada","Crédito","Débito"))</f>
        <v/>
      </c>
      <c r="E959" s="26" t="str">
        <f>IF(A959="","",BASE_CAIXA!AA956)</f>
        <v/>
      </c>
      <c r="F959" s="26" t="str">
        <f>IF(A959="","",BASE_CAIXA!N956)</f>
        <v/>
      </c>
      <c r="G959" s="26" t="str">
        <f>IF(A959="","",BASE_CAIXA!O956)</f>
        <v/>
      </c>
      <c r="H959" s="26" t="str">
        <f>IF(A959="","",BASE_CAIXA!P956)</f>
        <v/>
      </c>
      <c r="I959" s="26" t="str">
        <f>IF(A959="","",IF(BASE_CAIXA!H956&lt;&gt;"",BASE_CAIXA!H956,BASE_CAIXA!G956))</f>
        <v/>
      </c>
      <c r="J959" s="26" t="str">
        <f>IF(A959="","",BASE_CAIXA!G956)</f>
        <v/>
      </c>
      <c r="K959" s="26" t="str">
        <f>IF(A959="","",BASE_CAIXA!I956)</f>
        <v/>
      </c>
      <c r="L959" s="26" t="str">
        <f>IF(A959="","",BASE_CAIXA!J956)</f>
        <v/>
      </c>
      <c r="M959" s="26" t="str">
        <f>IF(A959="","",BASE_CAIXA!AM956)</f>
        <v/>
      </c>
      <c r="N959" s="26" t="str">
        <f t="shared" ca="1" si="42"/>
        <v/>
      </c>
      <c r="O959" s="26" t="str">
        <f>IFERROR(INDEX(EXTRATO_IMPORTADO!$A$5:$A$404,MATCH(B959,EXTRATO_IMPORTADO!$I$5:$I$404,0)),"")</f>
        <v/>
      </c>
      <c r="P959" s="26" t="str">
        <f>IFERROR(INDEX(EXTRATO_IMPORTADO!$F$5:$F$404,MATCH(B959,EXTRATO_IMPORTADO!$I$5:$I$404,0)),"")</f>
        <v/>
      </c>
      <c r="Q959" s="26" t="str">
        <f>IFERROR(INDEX(EXTRATO_IMPORTADO!$B$5:$B$404,MATCH(B959,EXTRATO_IMPORTADO!$I$5:$I$404,0)),"")</f>
        <v/>
      </c>
      <c r="R959" s="26" t="str">
        <f>IFERROR(MATCH(B959,EXTRATO_IMPORTADO!$I$5:$I$404,0),"")</f>
        <v/>
      </c>
      <c r="S959" s="26" t="str">
        <f t="shared" si="43"/>
        <v/>
      </c>
      <c r="T959" s="26" t="str">
        <f t="shared" si="44"/>
        <v/>
      </c>
    </row>
    <row r="960" spans="1:20" x14ac:dyDescent="0.3">
      <c r="A960" s="26" t="str">
        <f>IF(BASE_CAIXA!A957="","",BASE_CAIXA!A957)</f>
        <v/>
      </c>
      <c r="B960" s="26" t="str">
        <f>IF(A960="","",BASE_CAIXA!AL957)</f>
        <v/>
      </c>
      <c r="C960" s="26" t="str">
        <f>IF(A960="","",BASE_CAIXA!AJ957)</f>
        <v/>
      </c>
      <c r="D960" s="26" t="str">
        <f>IF(A960="","",IF(BASE_CAIXA!C957="Entrada","Crédito","Débito"))</f>
        <v/>
      </c>
      <c r="E960" s="26" t="str">
        <f>IF(A960="","",BASE_CAIXA!AA957)</f>
        <v/>
      </c>
      <c r="F960" s="26" t="str">
        <f>IF(A960="","",BASE_CAIXA!N957)</f>
        <v/>
      </c>
      <c r="G960" s="26" t="str">
        <f>IF(A960="","",BASE_CAIXA!O957)</f>
        <v/>
      </c>
      <c r="H960" s="26" t="str">
        <f>IF(A960="","",BASE_CAIXA!P957)</f>
        <v/>
      </c>
      <c r="I960" s="26" t="str">
        <f>IF(A960="","",IF(BASE_CAIXA!H957&lt;&gt;"",BASE_CAIXA!H957,BASE_CAIXA!G957))</f>
        <v/>
      </c>
      <c r="J960" s="26" t="str">
        <f>IF(A960="","",BASE_CAIXA!G957)</f>
        <v/>
      </c>
      <c r="K960" s="26" t="str">
        <f>IF(A960="","",BASE_CAIXA!I957)</f>
        <v/>
      </c>
      <c r="L960" s="26" t="str">
        <f>IF(A960="","",BASE_CAIXA!J957)</f>
        <v/>
      </c>
      <c r="M960" s="26" t="str">
        <f>IF(A960="","",BASE_CAIXA!AM957)</f>
        <v/>
      </c>
      <c r="N960" s="26" t="str">
        <f t="shared" ca="1" si="42"/>
        <v/>
      </c>
      <c r="O960" s="26" t="str">
        <f>IFERROR(INDEX(EXTRATO_IMPORTADO!$A$5:$A$404,MATCH(B960,EXTRATO_IMPORTADO!$I$5:$I$404,0)),"")</f>
        <v/>
      </c>
      <c r="P960" s="26" t="str">
        <f>IFERROR(INDEX(EXTRATO_IMPORTADO!$F$5:$F$404,MATCH(B960,EXTRATO_IMPORTADO!$I$5:$I$404,0)),"")</f>
        <v/>
      </c>
      <c r="Q960" s="26" t="str">
        <f>IFERROR(INDEX(EXTRATO_IMPORTADO!$B$5:$B$404,MATCH(B960,EXTRATO_IMPORTADO!$I$5:$I$404,0)),"")</f>
        <v/>
      </c>
      <c r="R960" s="26" t="str">
        <f>IFERROR(MATCH(B960,EXTRATO_IMPORTADO!$I$5:$I$404,0),"")</f>
        <v/>
      </c>
      <c r="S960" s="26" t="str">
        <f t="shared" si="43"/>
        <v/>
      </c>
      <c r="T960" s="26" t="str">
        <f t="shared" si="44"/>
        <v/>
      </c>
    </row>
    <row r="961" spans="1:20" x14ac:dyDescent="0.3">
      <c r="A961" s="26" t="str">
        <f>IF(BASE_CAIXA!A958="","",BASE_CAIXA!A958)</f>
        <v/>
      </c>
      <c r="B961" s="26" t="str">
        <f>IF(A961="","",BASE_CAIXA!AL958)</f>
        <v/>
      </c>
      <c r="C961" s="26" t="str">
        <f>IF(A961="","",BASE_CAIXA!AJ958)</f>
        <v/>
      </c>
      <c r="D961" s="26" t="str">
        <f>IF(A961="","",IF(BASE_CAIXA!C958="Entrada","Crédito","Débito"))</f>
        <v/>
      </c>
      <c r="E961" s="26" t="str">
        <f>IF(A961="","",BASE_CAIXA!AA958)</f>
        <v/>
      </c>
      <c r="F961" s="26" t="str">
        <f>IF(A961="","",BASE_CAIXA!N958)</f>
        <v/>
      </c>
      <c r="G961" s="26" t="str">
        <f>IF(A961="","",BASE_CAIXA!O958)</f>
        <v/>
      </c>
      <c r="H961" s="26" t="str">
        <f>IF(A961="","",BASE_CAIXA!P958)</f>
        <v/>
      </c>
      <c r="I961" s="26" t="str">
        <f>IF(A961="","",IF(BASE_CAIXA!H958&lt;&gt;"",BASE_CAIXA!H958,BASE_CAIXA!G958))</f>
        <v/>
      </c>
      <c r="J961" s="26" t="str">
        <f>IF(A961="","",BASE_CAIXA!G958)</f>
        <v/>
      </c>
      <c r="K961" s="26" t="str">
        <f>IF(A961="","",BASE_CAIXA!I958)</f>
        <v/>
      </c>
      <c r="L961" s="26" t="str">
        <f>IF(A961="","",BASE_CAIXA!J958)</f>
        <v/>
      </c>
      <c r="M961" s="26" t="str">
        <f>IF(A961="","",BASE_CAIXA!AM958)</f>
        <v/>
      </c>
      <c r="N961" s="26" t="str">
        <f t="shared" ca="1" si="42"/>
        <v/>
      </c>
      <c r="O961" s="26" t="str">
        <f>IFERROR(INDEX(EXTRATO_IMPORTADO!$A$5:$A$404,MATCH(B961,EXTRATO_IMPORTADO!$I$5:$I$404,0)),"")</f>
        <v/>
      </c>
      <c r="P961" s="26" t="str">
        <f>IFERROR(INDEX(EXTRATO_IMPORTADO!$F$5:$F$404,MATCH(B961,EXTRATO_IMPORTADO!$I$5:$I$404,0)),"")</f>
        <v/>
      </c>
      <c r="Q961" s="26" t="str">
        <f>IFERROR(INDEX(EXTRATO_IMPORTADO!$B$5:$B$404,MATCH(B961,EXTRATO_IMPORTADO!$I$5:$I$404,0)),"")</f>
        <v/>
      </c>
      <c r="R961" s="26" t="str">
        <f>IFERROR(MATCH(B961,EXTRATO_IMPORTADO!$I$5:$I$404,0),"")</f>
        <v/>
      </c>
      <c r="S961" s="26" t="str">
        <f t="shared" si="43"/>
        <v/>
      </c>
      <c r="T961" s="26" t="str">
        <f t="shared" si="44"/>
        <v/>
      </c>
    </row>
    <row r="962" spans="1:20" x14ac:dyDescent="0.3">
      <c r="A962" s="26" t="str">
        <f>IF(BASE_CAIXA!A959="","",BASE_CAIXA!A959)</f>
        <v/>
      </c>
      <c r="B962" s="26" t="str">
        <f>IF(A962="","",BASE_CAIXA!AL959)</f>
        <v/>
      </c>
      <c r="C962" s="26" t="str">
        <f>IF(A962="","",BASE_CAIXA!AJ959)</f>
        <v/>
      </c>
      <c r="D962" s="26" t="str">
        <f>IF(A962="","",IF(BASE_CAIXA!C959="Entrada","Crédito","Débito"))</f>
        <v/>
      </c>
      <c r="E962" s="26" t="str">
        <f>IF(A962="","",BASE_CAIXA!AA959)</f>
        <v/>
      </c>
      <c r="F962" s="26" t="str">
        <f>IF(A962="","",BASE_CAIXA!N959)</f>
        <v/>
      </c>
      <c r="G962" s="26" t="str">
        <f>IF(A962="","",BASE_CAIXA!O959)</f>
        <v/>
      </c>
      <c r="H962" s="26" t="str">
        <f>IF(A962="","",BASE_CAIXA!P959)</f>
        <v/>
      </c>
      <c r="I962" s="26" t="str">
        <f>IF(A962="","",IF(BASE_CAIXA!H959&lt;&gt;"",BASE_CAIXA!H959,BASE_CAIXA!G959))</f>
        <v/>
      </c>
      <c r="J962" s="26" t="str">
        <f>IF(A962="","",BASE_CAIXA!G959)</f>
        <v/>
      </c>
      <c r="K962" s="26" t="str">
        <f>IF(A962="","",BASE_CAIXA!I959)</f>
        <v/>
      </c>
      <c r="L962" s="26" t="str">
        <f>IF(A962="","",BASE_CAIXA!J959)</f>
        <v/>
      </c>
      <c r="M962" s="26" t="str">
        <f>IF(A962="","",BASE_CAIXA!AM959)</f>
        <v/>
      </c>
      <c r="N962" s="26" t="str">
        <f t="shared" ca="1" si="42"/>
        <v/>
      </c>
      <c r="O962" s="26" t="str">
        <f>IFERROR(INDEX(EXTRATO_IMPORTADO!$A$5:$A$404,MATCH(B962,EXTRATO_IMPORTADO!$I$5:$I$404,0)),"")</f>
        <v/>
      </c>
      <c r="P962" s="26" t="str">
        <f>IFERROR(INDEX(EXTRATO_IMPORTADO!$F$5:$F$404,MATCH(B962,EXTRATO_IMPORTADO!$I$5:$I$404,0)),"")</f>
        <v/>
      </c>
      <c r="Q962" s="26" t="str">
        <f>IFERROR(INDEX(EXTRATO_IMPORTADO!$B$5:$B$404,MATCH(B962,EXTRATO_IMPORTADO!$I$5:$I$404,0)),"")</f>
        <v/>
      </c>
      <c r="R962" s="26" t="str">
        <f>IFERROR(MATCH(B962,EXTRATO_IMPORTADO!$I$5:$I$404,0),"")</f>
        <v/>
      </c>
      <c r="S962" s="26" t="str">
        <f t="shared" si="43"/>
        <v/>
      </c>
      <c r="T962" s="26" t="str">
        <f t="shared" si="44"/>
        <v/>
      </c>
    </row>
    <row r="963" spans="1:20" x14ac:dyDescent="0.3">
      <c r="A963" s="26" t="str">
        <f>IF(BASE_CAIXA!A960="","",BASE_CAIXA!A960)</f>
        <v/>
      </c>
      <c r="B963" s="26" t="str">
        <f>IF(A963="","",BASE_CAIXA!AL960)</f>
        <v/>
      </c>
      <c r="C963" s="26" t="str">
        <f>IF(A963="","",BASE_CAIXA!AJ960)</f>
        <v/>
      </c>
      <c r="D963" s="26" t="str">
        <f>IF(A963="","",IF(BASE_CAIXA!C960="Entrada","Crédito","Débito"))</f>
        <v/>
      </c>
      <c r="E963" s="26" t="str">
        <f>IF(A963="","",BASE_CAIXA!AA960)</f>
        <v/>
      </c>
      <c r="F963" s="26" t="str">
        <f>IF(A963="","",BASE_CAIXA!N960)</f>
        <v/>
      </c>
      <c r="G963" s="26" t="str">
        <f>IF(A963="","",BASE_CAIXA!O960)</f>
        <v/>
      </c>
      <c r="H963" s="26" t="str">
        <f>IF(A963="","",BASE_CAIXA!P960)</f>
        <v/>
      </c>
      <c r="I963" s="26" t="str">
        <f>IF(A963="","",IF(BASE_CAIXA!H960&lt;&gt;"",BASE_CAIXA!H960,BASE_CAIXA!G960))</f>
        <v/>
      </c>
      <c r="J963" s="26" t="str">
        <f>IF(A963="","",BASE_CAIXA!G960)</f>
        <v/>
      </c>
      <c r="K963" s="26" t="str">
        <f>IF(A963="","",BASE_CAIXA!I960)</f>
        <v/>
      </c>
      <c r="L963" s="26" t="str">
        <f>IF(A963="","",BASE_CAIXA!J960)</f>
        <v/>
      </c>
      <c r="M963" s="26" t="str">
        <f>IF(A963="","",BASE_CAIXA!AM960)</f>
        <v/>
      </c>
      <c r="N963" s="26" t="str">
        <f t="shared" ca="1" si="42"/>
        <v/>
      </c>
      <c r="O963" s="26" t="str">
        <f>IFERROR(INDEX(EXTRATO_IMPORTADO!$A$5:$A$404,MATCH(B963,EXTRATO_IMPORTADO!$I$5:$I$404,0)),"")</f>
        <v/>
      </c>
      <c r="P963" s="26" t="str">
        <f>IFERROR(INDEX(EXTRATO_IMPORTADO!$F$5:$F$404,MATCH(B963,EXTRATO_IMPORTADO!$I$5:$I$404,0)),"")</f>
        <v/>
      </c>
      <c r="Q963" s="26" t="str">
        <f>IFERROR(INDEX(EXTRATO_IMPORTADO!$B$5:$B$404,MATCH(B963,EXTRATO_IMPORTADO!$I$5:$I$404,0)),"")</f>
        <v/>
      </c>
      <c r="R963" s="26" t="str">
        <f>IFERROR(MATCH(B963,EXTRATO_IMPORTADO!$I$5:$I$404,0),"")</f>
        <v/>
      </c>
      <c r="S963" s="26" t="str">
        <f t="shared" si="43"/>
        <v/>
      </c>
      <c r="T963" s="26" t="str">
        <f t="shared" si="44"/>
        <v/>
      </c>
    </row>
    <row r="964" spans="1:20" x14ac:dyDescent="0.3">
      <c r="A964" s="26" t="str">
        <f>IF(BASE_CAIXA!A961="","",BASE_CAIXA!A961)</f>
        <v/>
      </c>
      <c r="B964" s="26" t="str">
        <f>IF(A964="","",BASE_CAIXA!AL961)</f>
        <v/>
      </c>
      <c r="C964" s="26" t="str">
        <f>IF(A964="","",BASE_CAIXA!AJ961)</f>
        <v/>
      </c>
      <c r="D964" s="26" t="str">
        <f>IF(A964="","",IF(BASE_CAIXA!C961="Entrada","Crédito","Débito"))</f>
        <v/>
      </c>
      <c r="E964" s="26" t="str">
        <f>IF(A964="","",BASE_CAIXA!AA961)</f>
        <v/>
      </c>
      <c r="F964" s="26" t="str">
        <f>IF(A964="","",BASE_CAIXA!N961)</f>
        <v/>
      </c>
      <c r="G964" s="26" t="str">
        <f>IF(A964="","",BASE_CAIXA!O961)</f>
        <v/>
      </c>
      <c r="H964" s="26" t="str">
        <f>IF(A964="","",BASE_CAIXA!P961)</f>
        <v/>
      </c>
      <c r="I964" s="26" t="str">
        <f>IF(A964="","",IF(BASE_CAIXA!H961&lt;&gt;"",BASE_CAIXA!H961,BASE_CAIXA!G961))</f>
        <v/>
      </c>
      <c r="J964" s="26" t="str">
        <f>IF(A964="","",BASE_CAIXA!G961)</f>
        <v/>
      </c>
      <c r="K964" s="26" t="str">
        <f>IF(A964="","",BASE_CAIXA!I961)</f>
        <v/>
      </c>
      <c r="L964" s="26" t="str">
        <f>IF(A964="","",BASE_CAIXA!J961)</f>
        <v/>
      </c>
      <c r="M964" s="26" t="str">
        <f>IF(A964="","",BASE_CAIXA!AM961)</f>
        <v/>
      </c>
      <c r="N964" s="26" t="str">
        <f t="shared" ca="1" si="42"/>
        <v/>
      </c>
      <c r="O964" s="26" t="str">
        <f>IFERROR(INDEX(EXTRATO_IMPORTADO!$A$5:$A$404,MATCH(B964,EXTRATO_IMPORTADO!$I$5:$I$404,0)),"")</f>
        <v/>
      </c>
      <c r="P964" s="26" t="str">
        <f>IFERROR(INDEX(EXTRATO_IMPORTADO!$F$5:$F$404,MATCH(B964,EXTRATO_IMPORTADO!$I$5:$I$404,0)),"")</f>
        <v/>
      </c>
      <c r="Q964" s="26" t="str">
        <f>IFERROR(INDEX(EXTRATO_IMPORTADO!$B$5:$B$404,MATCH(B964,EXTRATO_IMPORTADO!$I$5:$I$404,0)),"")</f>
        <v/>
      </c>
      <c r="R964" s="26" t="str">
        <f>IFERROR(MATCH(B964,EXTRATO_IMPORTADO!$I$5:$I$404,0),"")</f>
        <v/>
      </c>
      <c r="S964" s="26" t="str">
        <f t="shared" si="43"/>
        <v/>
      </c>
      <c r="T964" s="26" t="str">
        <f t="shared" si="44"/>
        <v/>
      </c>
    </row>
    <row r="965" spans="1:20" x14ac:dyDescent="0.3">
      <c r="A965" s="26" t="str">
        <f>IF(BASE_CAIXA!A962="","",BASE_CAIXA!A962)</f>
        <v/>
      </c>
      <c r="B965" s="26" t="str">
        <f>IF(A965="","",BASE_CAIXA!AL962)</f>
        <v/>
      </c>
      <c r="C965" s="26" t="str">
        <f>IF(A965="","",BASE_CAIXA!AJ962)</f>
        <v/>
      </c>
      <c r="D965" s="26" t="str">
        <f>IF(A965="","",IF(BASE_CAIXA!C962="Entrada","Crédito","Débito"))</f>
        <v/>
      </c>
      <c r="E965" s="26" t="str">
        <f>IF(A965="","",BASE_CAIXA!AA962)</f>
        <v/>
      </c>
      <c r="F965" s="26" t="str">
        <f>IF(A965="","",BASE_CAIXA!N962)</f>
        <v/>
      </c>
      <c r="G965" s="26" t="str">
        <f>IF(A965="","",BASE_CAIXA!O962)</f>
        <v/>
      </c>
      <c r="H965" s="26" t="str">
        <f>IF(A965="","",BASE_CAIXA!P962)</f>
        <v/>
      </c>
      <c r="I965" s="26" t="str">
        <f>IF(A965="","",IF(BASE_CAIXA!H962&lt;&gt;"",BASE_CAIXA!H962,BASE_CAIXA!G962))</f>
        <v/>
      </c>
      <c r="J965" s="26" t="str">
        <f>IF(A965="","",BASE_CAIXA!G962)</f>
        <v/>
      </c>
      <c r="K965" s="26" t="str">
        <f>IF(A965="","",BASE_CAIXA!I962)</f>
        <v/>
      </c>
      <c r="L965" s="26" t="str">
        <f>IF(A965="","",BASE_CAIXA!J962)</f>
        <v/>
      </c>
      <c r="M965" s="26" t="str">
        <f>IF(A965="","",BASE_CAIXA!AM962)</f>
        <v/>
      </c>
      <c r="N965" s="26" t="str">
        <f t="shared" ref="N965:N1028" ca="1" si="45">IF(A965="","",IF(R965&lt;&gt;"",IF(AND(ABS(S965)&lt;=0.01,ABS(T965)&lt;=3),"Conciliado","Divergente"),IF(TODAY()&gt;C965,"Pendente vencido","Previsto")))</f>
        <v/>
      </c>
      <c r="O965" s="26" t="str">
        <f>IFERROR(INDEX(EXTRATO_IMPORTADO!$A$5:$A$404,MATCH(B965,EXTRATO_IMPORTADO!$I$5:$I$404,0)),"")</f>
        <v/>
      </c>
      <c r="P965" s="26" t="str">
        <f>IFERROR(INDEX(EXTRATO_IMPORTADO!$F$5:$F$404,MATCH(B965,EXTRATO_IMPORTADO!$I$5:$I$404,0)),"")</f>
        <v/>
      </c>
      <c r="Q965" s="26" t="str">
        <f>IFERROR(INDEX(EXTRATO_IMPORTADO!$B$5:$B$404,MATCH(B965,EXTRATO_IMPORTADO!$I$5:$I$404,0)),"")</f>
        <v/>
      </c>
      <c r="R965" s="26" t="str">
        <f>IFERROR(MATCH(B965,EXTRATO_IMPORTADO!$I$5:$I$404,0),"")</f>
        <v/>
      </c>
      <c r="S965" s="26" t="str">
        <f t="shared" ref="S965:S1028" si="46">IF(OR(A965="",P965=""),"",P965-E965)</f>
        <v/>
      </c>
      <c r="T965" s="26" t="str">
        <f t="shared" ref="T965:T1028" si="47">IF(OR(A965="",O965=""),"",O965-C965)</f>
        <v/>
      </c>
    </row>
    <row r="966" spans="1:20" x14ac:dyDescent="0.3">
      <c r="A966" s="26" t="str">
        <f>IF(BASE_CAIXA!A963="","",BASE_CAIXA!A963)</f>
        <v/>
      </c>
      <c r="B966" s="26" t="str">
        <f>IF(A966="","",BASE_CAIXA!AL963)</f>
        <v/>
      </c>
      <c r="C966" s="26" t="str">
        <f>IF(A966="","",BASE_CAIXA!AJ963)</f>
        <v/>
      </c>
      <c r="D966" s="26" t="str">
        <f>IF(A966="","",IF(BASE_CAIXA!C963="Entrada","Crédito","Débito"))</f>
        <v/>
      </c>
      <c r="E966" s="26" t="str">
        <f>IF(A966="","",BASE_CAIXA!AA963)</f>
        <v/>
      </c>
      <c r="F966" s="26" t="str">
        <f>IF(A966="","",BASE_CAIXA!N963)</f>
        <v/>
      </c>
      <c r="G966" s="26" t="str">
        <f>IF(A966="","",BASE_CAIXA!O963)</f>
        <v/>
      </c>
      <c r="H966" s="26" t="str">
        <f>IF(A966="","",BASE_CAIXA!P963)</f>
        <v/>
      </c>
      <c r="I966" s="26" t="str">
        <f>IF(A966="","",IF(BASE_CAIXA!H963&lt;&gt;"",BASE_CAIXA!H963,BASE_CAIXA!G963))</f>
        <v/>
      </c>
      <c r="J966" s="26" t="str">
        <f>IF(A966="","",BASE_CAIXA!G963)</f>
        <v/>
      </c>
      <c r="K966" s="26" t="str">
        <f>IF(A966="","",BASE_CAIXA!I963)</f>
        <v/>
      </c>
      <c r="L966" s="26" t="str">
        <f>IF(A966="","",BASE_CAIXA!J963)</f>
        <v/>
      </c>
      <c r="M966" s="26" t="str">
        <f>IF(A966="","",BASE_CAIXA!AM963)</f>
        <v/>
      </c>
      <c r="N966" s="26" t="str">
        <f t="shared" ca="1" si="45"/>
        <v/>
      </c>
      <c r="O966" s="26" t="str">
        <f>IFERROR(INDEX(EXTRATO_IMPORTADO!$A$5:$A$404,MATCH(B966,EXTRATO_IMPORTADO!$I$5:$I$404,0)),"")</f>
        <v/>
      </c>
      <c r="P966" s="26" t="str">
        <f>IFERROR(INDEX(EXTRATO_IMPORTADO!$F$5:$F$404,MATCH(B966,EXTRATO_IMPORTADO!$I$5:$I$404,0)),"")</f>
        <v/>
      </c>
      <c r="Q966" s="26" t="str">
        <f>IFERROR(INDEX(EXTRATO_IMPORTADO!$B$5:$B$404,MATCH(B966,EXTRATO_IMPORTADO!$I$5:$I$404,0)),"")</f>
        <v/>
      </c>
      <c r="R966" s="26" t="str">
        <f>IFERROR(MATCH(B966,EXTRATO_IMPORTADO!$I$5:$I$404,0),"")</f>
        <v/>
      </c>
      <c r="S966" s="26" t="str">
        <f t="shared" si="46"/>
        <v/>
      </c>
      <c r="T966" s="26" t="str">
        <f t="shared" si="47"/>
        <v/>
      </c>
    </row>
    <row r="967" spans="1:20" x14ac:dyDescent="0.3">
      <c r="A967" s="26" t="str">
        <f>IF(BASE_CAIXA!A964="","",BASE_CAIXA!A964)</f>
        <v/>
      </c>
      <c r="B967" s="26" t="str">
        <f>IF(A967="","",BASE_CAIXA!AL964)</f>
        <v/>
      </c>
      <c r="C967" s="26" t="str">
        <f>IF(A967="","",BASE_CAIXA!AJ964)</f>
        <v/>
      </c>
      <c r="D967" s="26" t="str">
        <f>IF(A967="","",IF(BASE_CAIXA!C964="Entrada","Crédito","Débito"))</f>
        <v/>
      </c>
      <c r="E967" s="26" t="str">
        <f>IF(A967="","",BASE_CAIXA!AA964)</f>
        <v/>
      </c>
      <c r="F967" s="26" t="str">
        <f>IF(A967="","",BASE_CAIXA!N964)</f>
        <v/>
      </c>
      <c r="G967" s="26" t="str">
        <f>IF(A967="","",BASE_CAIXA!O964)</f>
        <v/>
      </c>
      <c r="H967" s="26" t="str">
        <f>IF(A967="","",BASE_CAIXA!P964)</f>
        <v/>
      </c>
      <c r="I967" s="26" t="str">
        <f>IF(A967="","",IF(BASE_CAIXA!H964&lt;&gt;"",BASE_CAIXA!H964,BASE_CAIXA!G964))</f>
        <v/>
      </c>
      <c r="J967" s="26" t="str">
        <f>IF(A967="","",BASE_CAIXA!G964)</f>
        <v/>
      </c>
      <c r="K967" s="26" t="str">
        <f>IF(A967="","",BASE_CAIXA!I964)</f>
        <v/>
      </c>
      <c r="L967" s="26" t="str">
        <f>IF(A967="","",BASE_CAIXA!J964)</f>
        <v/>
      </c>
      <c r="M967" s="26" t="str">
        <f>IF(A967="","",BASE_CAIXA!AM964)</f>
        <v/>
      </c>
      <c r="N967" s="26" t="str">
        <f t="shared" ca="1" si="45"/>
        <v/>
      </c>
      <c r="O967" s="26" t="str">
        <f>IFERROR(INDEX(EXTRATO_IMPORTADO!$A$5:$A$404,MATCH(B967,EXTRATO_IMPORTADO!$I$5:$I$404,0)),"")</f>
        <v/>
      </c>
      <c r="P967" s="26" t="str">
        <f>IFERROR(INDEX(EXTRATO_IMPORTADO!$F$5:$F$404,MATCH(B967,EXTRATO_IMPORTADO!$I$5:$I$404,0)),"")</f>
        <v/>
      </c>
      <c r="Q967" s="26" t="str">
        <f>IFERROR(INDEX(EXTRATO_IMPORTADO!$B$5:$B$404,MATCH(B967,EXTRATO_IMPORTADO!$I$5:$I$404,0)),"")</f>
        <v/>
      </c>
      <c r="R967" s="26" t="str">
        <f>IFERROR(MATCH(B967,EXTRATO_IMPORTADO!$I$5:$I$404,0),"")</f>
        <v/>
      </c>
      <c r="S967" s="26" t="str">
        <f t="shared" si="46"/>
        <v/>
      </c>
      <c r="T967" s="26" t="str">
        <f t="shared" si="47"/>
        <v/>
      </c>
    </row>
    <row r="968" spans="1:20" x14ac:dyDescent="0.3">
      <c r="A968" s="26" t="str">
        <f>IF(BASE_CAIXA!A965="","",BASE_CAIXA!A965)</f>
        <v/>
      </c>
      <c r="B968" s="26" t="str">
        <f>IF(A968="","",BASE_CAIXA!AL965)</f>
        <v/>
      </c>
      <c r="C968" s="26" t="str">
        <f>IF(A968="","",BASE_CAIXA!AJ965)</f>
        <v/>
      </c>
      <c r="D968" s="26" t="str">
        <f>IF(A968="","",IF(BASE_CAIXA!C965="Entrada","Crédito","Débito"))</f>
        <v/>
      </c>
      <c r="E968" s="26" t="str">
        <f>IF(A968="","",BASE_CAIXA!AA965)</f>
        <v/>
      </c>
      <c r="F968" s="26" t="str">
        <f>IF(A968="","",BASE_CAIXA!N965)</f>
        <v/>
      </c>
      <c r="G968" s="26" t="str">
        <f>IF(A968="","",BASE_CAIXA!O965)</f>
        <v/>
      </c>
      <c r="H968" s="26" t="str">
        <f>IF(A968="","",BASE_CAIXA!P965)</f>
        <v/>
      </c>
      <c r="I968" s="26" t="str">
        <f>IF(A968="","",IF(BASE_CAIXA!H965&lt;&gt;"",BASE_CAIXA!H965,BASE_CAIXA!G965))</f>
        <v/>
      </c>
      <c r="J968" s="26" t="str">
        <f>IF(A968="","",BASE_CAIXA!G965)</f>
        <v/>
      </c>
      <c r="K968" s="26" t="str">
        <f>IF(A968="","",BASE_CAIXA!I965)</f>
        <v/>
      </c>
      <c r="L968" s="26" t="str">
        <f>IF(A968="","",BASE_CAIXA!J965)</f>
        <v/>
      </c>
      <c r="M968" s="26" t="str">
        <f>IF(A968="","",BASE_CAIXA!AM965)</f>
        <v/>
      </c>
      <c r="N968" s="26" t="str">
        <f t="shared" ca="1" si="45"/>
        <v/>
      </c>
      <c r="O968" s="26" t="str">
        <f>IFERROR(INDEX(EXTRATO_IMPORTADO!$A$5:$A$404,MATCH(B968,EXTRATO_IMPORTADO!$I$5:$I$404,0)),"")</f>
        <v/>
      </c>
      <c r="P968" s="26" t="str">
        <f>IFERROR(INDEX(EXTRATO_IMPORTADO!$F$5:$F$404,MATCH(B968,EXTRATO_IMPORTADO!$I$5:$I$404,0)),"")</f>
        <v/>
      </c>
      <c r="Q968" s="26" t="str">
        <f>IFERROR(INDEX(EXTRATO_IMPORTADO!$B$5:$B$404,MATCH(B968,EXTRATO_IMPORTADO!$I$5:$I$404,0)),"")</f>
        <v/>
      </c>
      <c r="R968" s="26" t="str">
        <f>IFERROR(MATCH(B968,EXTRATO_IMPORTADO!$I$5:$I$404,0),"")</f>
        <v/>
      </c>
      <c r="S968" s="26" t="str">
        <f t="shared" si="46"/>
        <v/>
      </c>
      <c r="T968" s="26" t="str">
        <f t="shared" si="47"/>
        <v/>
      </c>
    </row>
    <row r="969" spans="1:20" x14ac:dyDescent="0.3">
      <c r="A969" s="26" t="str">
        <f>IF(BASE_CAIXA!A966="","",BASE_CAIXA!A966)</f>
        <v/>
      </c>
      <c r="B969" s="26" t="str">
        <f>IF(A969="","",BASE_CAIXA!AL966)</f>
        <v/>
      </c>
      <c r="C969" s="26" t="str">
        <f>IF(A969="","",BASE_CAIXA!AJ966)</f>
        <v/>
      </c>
      <c r="D969" s="26" t="str">
        <f>IF(A969="","",IF(BASE_CAIXA!C966="Entrada","Crédito","Débito"))</f>
        <v/>
      </c>
      <c r="E969" s="26" t="str">
        <f>IF(A969="","",BASE_CAIXA!AA966)</f>
        <v/>
      </c>
      <c r="F969" s="26" t="str">
        <f>IF(A969="","",BASE_CAIXA!N966)</f>
        <v/>
      </c>
      <c r="G969" s="26" t="str">
        <f>IF(A969="","",BASE_CAIXA!O966)</f>
        <v/>
      </c>
      <c r="H969" s="26" t="str">
        <f>IF(A969="","",BASE_CAIXA!P966)</f>
        <v/>
      </c>
      <c r="I969" s="26" t="str">
        <f>IF(A969="","",IF(BASE_CAIXA!H966&lt;&gt;"",BASE_CAIXA!H966,BASE_CAIXA!G966))</f>
        <v/>
      </c>
      <c r="J969" s="26" t="str">
        <f>IF(A969="","",BASE_CAIXA!G966)</f>
        <v/>
      </c>
      <c r="K969" s="26" t="str">
        <f>IF(A969="","",BASE_CAIXA!I966)</f>
        <v/>
      </c>
      <c r="L969" s="26" t="str">
        <f>IF(A969="","",BASE_CAIXA!J966)</f>
        <v/>
      </c>
      <c r="M969" s="26" t="str">
        <f>IF(A969="","",BASE_CAIXA!AM966)</f>
        <v/>
      </c>
      <c r="N969" s="26" t="str">
        <f t="shared" ca="1" si="45"/>
        <v/>
      </c>
      <c r="O969" s="26" t="str">
        <f>IFERROR(INDEX(EXTRATO_IMPORTADO!$A$5:$A$404,MATCH(B969,EXTRATO_IMPORTADO!$I$5:$I$404,0)),"")</f>
        <v/>
      </c>
      <c r="P969" s="26" t="str">
        <f>IFERROR(INDEX(EXTRATO_IMPORTADO!$F$5:$F$404,MATCH(B969,EXTRATO_IMPORTADO!$I$5:$I$404,0)),"")</f>
        <v/>
      </c>
      <c r="Q969" s="26" t="str">
        <f>IFERROR(INDEX(EXTRATO_IMPORTADO!$B$5:$B$404,MATCH(B969,EXTRATO_IMPORTADO!$I$5:$I$404,0)),"")</f>
        <v/>
      </c>
      <c r="R969" s="26" t="str">
        <f>IFERROR(MATCH(B969,EXTRATO_IMPORTADO!$I$5:$I$404,0),"")</f>
        <v/>
      </c>
      <c r="S969" s="26" t="str">
        <f t="shared" si="46"/>
        <v/>
      </c>
      <c r="T969" s="26" t="str">
        <f t="shared" si="47"/>
        <v/>
      </c>
    </row>
    <row r="970" spans="1:20" x14ac:dyDescent="0.3">
      <c r="A970" s="26" t="str">
        <f>IF(BASE_CAIXA!A967="","",BASE_CAIXA!A967)</f>
        <v/>
      </c>
      <c r="B970" s="26" t="str">
        <f>IF(A970="","",BASE_CAIXA!AL967)</f>
        <v/>
      </c>
      <c r="C970" s="26" t="str">
        <f>IF(A970="","",BASE_CAIXA!AJ967)</f>
        <v/>
      </c>
      <c r="D970" s="26" t="str">
        <f>IF(A970="","",IF(BASE_CAIXA!C967="Entrada","Crédito","Débito"))</f>
        <v/>
      </c>
      <c r="E970" s="26" t="str">
        <f>IF(A970="","",BASE_CAIXA!AA967)</f>
        <v/>
      </c>
      <c r="F970" s="26" t="str">
        <f>IF(A970="","",BASE_CAIXA!N967)</f>
        <v/>
      </c>
      <c r="G970" s="26" t="str">
        <f>IF(A970="","",BASE_CAIXA!O967)</f>
        <v/>
      </c>
      <c r="H970" s="26" t="str">
        <f>IF(A970="","",BASE_CAIXA!P967)</f>
        <v/>
      </c>
      <c r="I970" s="26" t="str">
        <f>IF(A970="","",IF(BASE_CAIXA!H967&lt;&gt;"",BASE_CAIXA!H967,BASE_CAIXA!G967))</f>
        <v/>
      </c>
      <c r="J970" s="26" t="str">
        <f>IF(A970="","",BASE_CAIXA!G967)</f>
        <v/>
      </c>
      <c r="K970" s="26" t="str">
        <f>IF(A970="","",BASE_CAIXA!I967)</f>
        <v/>
      </c>
      <c r="L970" s="26" t="str">
        <f>IF(A970="","",BASE_CAIXA!J967)</f>
        <v/>
      </c>
      <c r="M970" s="26" t="str">
        <f>IF(A970="","",BASE_CAIXA!AM967)</f>
        <v/>
      </c>
      <c r="N970" s="26" t="str">
        <f t="shared" ca="1" si="45"/>
        <v/>
      </c>
      <c r="O970" s="26" t="str">
        <f>IFERROR(INDEX(EXTRATO_IMPORTADO!$A$5:$A$404,MATCH(B970,EXTRATO_IMPORTADO!$I$5:$I$404,0)),"")</f>
        <v/>
      </c>
      <c r="P970" s="26" t="str">
        <f>IFERROR(INDEX(EXTRATO_IMPORTADO!$F$5:$F$404,MATCH(B970,EXTRATO_IMPORTADO!$I$5:$I$404,0)),"")</f>
        <v/>
      </c>
      <c r="Q970" s="26" t="str">
        <f>IFERROR(INDEX(EXTRATO_IMPORTADO!$B$5:$B$404,MATCH(B970,EXTRATO_IMPORTADO!$I$5:$I$404,0)),"")</f>
        <v/>
      </c>
      <c r="R970" s="26" t="str">
        <f>IFERROR(MATCH(B970,EXTRATO_IMPORTADO!$I$5:$I$404,0),"")</f>
        <v/>
      </c>
      <c r="S970" s="26" t="str">
        <f t="shared" si="46"/>
        <v/>
      </c>
      <c r="T970" s="26" t="str">
        <f t="shared" si="47"/>
        <v/>
      </c>
    </row>
    <row r="971" spans="1:20" x14ac:dyDescent="0.3">
      <c r="A971" s="26" t="str">
        <f>IF(BASE_CAIXA!A968="","",BASE_CAIXA!A968)</f>
        <v/>
      </c>
      <c r="B971" s="26" t="str">
        <f>IF(A971="","",BASE_CAIXA!AL968)</f>
        <v/>
      </c>
      <c r="C971" s="26" t="str">
        <f>IF(A971="","",BASE_CAIXA!AJ968)</f>
        <v/>
      </c>
      <c r="D971" s="26" t="str">
        <f>IF(A971="","",IF(BASE_CAIXA!C968="Entrada","Crédito","Débito"))</f>
        <v/>
      </c>
      <c r="E971" s="26" t="str">
        <f>IF(A971="","",BASE_CAIXA!AA968)</f>
        <v/>
      </c>
      <c r="F971" s="26" t="str">
        <f>IF(A971="","",BASE_CAIXA!N968)</f>
        <v/>
      </c>
      <c r="G971" s="26" t="str">
        <f>IF(A971="","",BASE_CAIXA!O968)</f>
        <v/>
      </c>
      <c r="H971" s="26" t="str">
        <f>IF(A971="","",BASE_CAIXA!P968)</f>
        <v/>
      </c>
      <c r="I971" s="26" t="str">
        <f>IF(A971="","",IF(BASE_CAIXA!H968&lt;&gt;"",BASE_CAIXA!H968,BASE_CAIXA!G968))</f>
        <v/>
      </c>
      <c r="J971" s="26" t="str">
        <f>IF(A971="","",BASE_CAIXA!G968)</f>
        <v/>
      </c>
      <c r="K971" s="26" t="str">
        <f>IF(A971="","",BASE_CAIXA!I968)</f>
        <v/>
      </c>
      <c r="L971" s="26" t="str">
        <f>IF(A971="","",BASE_CAIXA!J968)</f>
        <v/>
      </c>
      <c r="M971" s="26" t="str">
        <f>IF(A971="","",BASE_CAIXA!AM968)</f>
        <v/>
      </c>
      <c r="N971" s="26" t="str">
        <f t="shared" ca="1" si="45"/>
        <v/>
      </c>
      <c r="O971" s="26" t="str">
        <f>IFERROR(INDEX(EXTRATO_IMPORTADO!$A$5:$A$404,MATCH(B971,EXTRATO_IMPORTADO!$I$5:$I$404,0)),"")</f>
        <v/>
      </c>
      <c r="P971" s="26" t="str">
        <f>IFERROR(INDEX(EXTRATO_IMPORTADO!$F$5:$F$404,MATCH(B971,EXTRATO_IMPORTADO!$I$5:$I$404,0)),"")</f>
        <v/>
      </c>
      <c r="Q971" s="26" t="str">
        <f>IFERROR(INDEX(EXTRATO_IMPORTADO!$B$5:$B$404,MATCH(B971,EXTRATO_IMPORTADO!$I$5:$I$404,0)),"")</f>
        <v/>
      </c>
      <c r="R971" s="26" t="str">
        <f>IFERROR(MATCH(B971,EXTRATO_IMPORTADO!$I$5:$I$404,0),"")</f>
        <v/>
      </c>
      <c r="S971" s="26" t="str">
        <f t="shared" si="46"/>
        <v/>
      </c>
      <c r="T971" s="26" t="str">
        <f t="shared" si="47"/>
        <v/>
      </c>
    </row>
    <row r="972" spans="1:20" x14ac:dyDescent="0.3">
      <c r="A972" s="26" t="str">
        <f>IF(BASE_CAIXA!A969="","",BASE_CAIXA!A969)</f>
        <v/>
      </c>
      <c r="B972" s="26" t="str">
        <f>IF(A972="","",BASE_CAIXA!AL969)</f>
        <v/>
      </c>
      <c r="C972" s="26" t="str">
        <f>IF(A972="","",BASE_CAIXA!AJ969)</f>
        <v/>
      </c>
      <c r="D972" s="26" t="str">
        <f>IF(A972="","",IF(BASE_CAIXA!C969="Entrada","Crédito","Débito"))</f>
        <v/>
      </c>
      <c r="E972" s="26" t="str">
        <f>IF(A972="","",BASE_CAIXA!AA969)</f>
        <v/>
      </c>
      <c r="F972" s="26" t="str">
        <f>IF(A972="","",BASE_CAIXA!N969)</f>
        <v/>
      </c>
      <c r="G972" s="26" t="str">
        <f>IF(A972="","",BASE_CAIXA!O969)</f>
        <v/>
      </c>
      <c r="H972" s="26" t="str">
        <f>IF(A972="","",BASE_CAIXA!P969)</f>
        <v/>
      </c>
      <c r="I972" s="26" t="str">
        <f>IF(A972="","",IF(BASE_CAIXA!H969&lt;&gt;"",BASE_CAIXA!H969,BASE_CAIXA!G969))</f>
        <v/>
      </c>
      <c r="J972" s="26" t="str">
        <f>IF(A972="","",BASE_CAIXA!G969)</f>
        <v/>
      </c>
      <c r="K972" s="26" t="str">
        <f>IF(A972="","",BASE_CAIXA!I969)</f>
        <v/>
      </c>
      <c r="L972" s="26" t="str">
        <f>IF(A972="","",BASE_CAIXA!J969)</f>
        <v/>
      </c>
      <c r="M972" s="26" t="str">
        <f>IF(A972="","",BASE_CAIXA!AM969)</f>
        <v/>
      </c>
      <c r="N972" s="26" t="str">
        <f t="shared" ca="1" si="45"/>
        <v/>
      </c>
      <c r="O972" s="26" t="str">
        <f>IFERROR(INDEX(EXTRATO_IMPORTADO!$A$5:$A$404,MATCH(B972,EXTRATO_IMPORTADO!$I$5:$I$404,0)),"")</f>
        <v/>
      </c>
      <c r="P972" s="26" t="str">
        <f>IFERROR(INDEX(EXTRATO_IMPORTADO!$F$5:$F$404,MATCH(B972,EXTRATO_IMPORTADO!$I$5:$I$404,0)),"")</f>
        <v/>
      </c>
      <c r="Q972" s="26" t="str">
        <f>IFERROR(INDEX(EXTRATO_IMPORTADO!$B$5:$B$404,MATCH(B972,EXTRATO_IMPORTADO!$I$5:$I$404,0)),"")</f>
        <v/>
      </c>
      <c r="R972" s="26" t="str">
        <f>IFERROR(MATCH(B972,EXTRATO_IMPORTADO!$I$5:$I$404,0),"")</f>
        <v/>
      </c>
      <c r="S972" s="26" t="str">
        <f t="shared" si="46"/>
        <v/>
      </c>
      <c r="T972" s="26" t="str">
        <f t="shared" si="47"/>
        <v/>
      </c>
    </row>
    <row r="973" spans="1:20" x14ac:dyDescent="0.3">
      <c r="A973" s="26" t="str">
        <f>IF(BASE_CAIXA!A970="","",BASE_CAIXA!A970)</f>
        <v/>
      </c>
      <c r="B973" s="26" t="str">
        <f>IF(A973="","",BASE_CAIXA!AL970)</f>
        <v/>
      </c>
      <c r="C973" s="26" t="str">
        <f>IF(A973="","",BASE_CAIXA!AJ970)</f>
        <v/>
      </c>
      <c r="D973" s="26" t="str">
        <f>IF(A973="","",IF(BASE_CAIXA!C970="Entrada","Crédito","Débito"))</f>
        <v/>
      </c>
      <c r="E973" s="26" t="str">
        <f>IF(A973="","",BASE_CAIXA!AA970)</f>
        <v/>
      </c>
      <c r="F973" s="26" t="str">
        <f>IF(A973="","",BASE_CAIXA!N970)</f>
        <v/>
      </c>
      <c r="G973" s="26" t="str">
        <f>IF(A973="","",BASE_CAIXA!O970)</f>
        <v/>
      </c>
      <c r="H973" s="26" t="str">
        <f>IF(A973="","",BASE_CAIXA!P970)</f>
        <v/>
      </c>
      <c r="I973" s="26" t="str">
        <f>IF(A973="","",IF(BASE_CAIXA!H970&lt;&gt;"",BASE_CAIXA!H970,BASE_CAIXA!G970))</f>
        <v/>
      </c>
      <c r="J973" s="26" t="str">
        <f>IF(A973="","",BASE_CAIXA!G970)</f>
        <v/>
      </c>
      <c r="K973" s="26" t="str">
        <f>IF(A973="","",BASE_CAIXA!I970)</f>
        <v/>
      </c>
      <c r="L973" s="26" t="str">
        <f>IF(A973="","",BASE_CAIXA!J970)</f>
        <v/>
      </c>
      <c r="M973" s="26" t="str">
        <f>IF(A973="","",BASE_CAIXA!AM970)</f>
        <v/>
      </c>
      <c r="N973" s="26" t="str">
        <f t="shared" ca="1" si="45"/>
        <v/>
      </c>
      <c r="O973" s="26" t="str">
        <f>IFERROR(INDEX(EXTRATO_IMPORTADO!$A$5:$A$404,MATCH(B973,EXTRATO_IMPORTADO!$I$5:$I$404,0)),"")</f>
        <v/>
      </c>
      <c r="P973" s="26" t="str">
        <f>IFERROR(INDEX(EXTRATO_IMPORTADO!$F$5:$F$404,MATCH(B973,EXTRATO_IMPORTADO!$I$5:$I$404,0)),"")</f>
        <v/>
      </c>
      <c r="Q973" s="26" t="str">
        <f>IFERROR(INDEX(EXTRATO_IMPORTADO!$B$5:$B$404,MATCH(B973,EXTRATO_IMPORTADO!$I$5:$I$404,0)),"")</f>
        <v/>
      </c>
      <c r="R973" s="26" t="str">
        <f>IFERROR(MATCH(B973,EXTRATO_IMPORTADO!$I$5:$I$404,0),"")</f>
        <v/>
      </c>
      <c r="S973" s="26" t="str">
        <f t="shared" si="46"/>
        <v/>
      </c>
      <c r="T973" s="26" t="str">
        <f t="shared" si="47"/>
        <v/>
      </c>
    </row>
    <row r="974" spans="1:20" x14ac:dyDescent="0.3">
      <c r="A974" s="26" t="str">
        <f>IF(BASE_CAIXA!A971="","",BASE_CAIXA!A971)</f>
        <v/>
      </c>
      <c r="B974" s="26" t="str">
        <f>IF(A974="","",BASE_CAIXA!AL971)</f>
        <v/>
      </c>
      <c r="C974" s="26" t="str">
        <f>IF(A974="","",BASE_CAIXA!AJ971)</f>
        <v/>
      </c>
      <c r="D974" s="26" t="str">
        <f>IF(A974="","",IF(BASE_CAIXA!C971="Entrada","Crédito","Débito"))</f>
        <v/>
      </c>
      <c r="E974" s="26" t="str">
        <f>IF(A974="","",BASE_CAIXA!AA971)</f>
        <v/>
      </c>
      <c r="F974" s="26" t="str">
        <f>IF(A974="","",BASE_CAIXA!N971)</f>
        <v/>
      </c>
      <c r="G974" s="26" t="str">
        <f>IF(A974="","",BASE_CAIXA!O971)</f>
        <v/>
      </c>
      <c r="H974" s="26" t="str">
        <f>IF(A974="","",BASE_CAIXA!P971)</f>
        <v/>
      </c>
      <c r="I974" s="26" t="str">
        <f>IF(A974="","",IF(BASE_CAIXA!H971&lt;&gt;"",BASE_CAIXA!H971,BASE_CAIXA!G971))</f>
        <v/>
      </c>
      <c r="J974" s="26" t="str">
        <f>IF(A974="","",BASE_CAIXA!G971)</f>
        <v/>
      </c>
      <c r="K974" s="26" t="str">
        <f>IF(A974="","",BASE_CAIXA!I971)</f>
        <v/>
      </c>
      <c r="L974" s="26" t="str">
        <f>IF(A974="","",BASE_CAIXA!J971)</f>
        <v/>
      </c>
      <c r="M974" s="26" t="str">
        <f>IF(A974="","",BASE_CAIXA!AM971)</f>
        <v/>
      </c>
      <c r="N974" s="26" t="str">
        <f t="shared" ca="1" si="45"/>
        <v/>
      </c>
      <c r="O974" s="26" t="str">
        <f>IFERROR(INDEX(EXTRATO_IMPORTADO!$A$5:$A$404,MATCH(B974,EXTRATO_IMPORTADO!$I$5:$I$404,0)),"")</f>
        <v/>
      </c>
      <c r="P974" s="26" t="str">
        <f>IFERROR(INDEX(EXTRATO_IMPORTADO!$F$5:$F$404,MATCH(B974,EXTRATO_IMPORTADO!$I$5:$I$404,0)),"")</f>
        <v/>
      </c>
      <c r="Q974" s="26" t="str">
        <f>IFERROR(INDEX(EXTRATO_IMPORTADO!$B$5:$B$404,MATCH(B974,EXTRATO_IMPORTADO!$I$5:$I$404,0)),"")</f>
        <v/>
      </c>
      <c r="R974" s="26" t="str">
        <f>IFERROR(MATCH(B974,EXTRATO_IMPORTADO!$I$5:$I$404,0),"")</f>
        <v/>
      </c>
      <c r="S974" s="26" t="str">
        <f t="shared" si="46"/>
        <v/>
      </c>
      <c r="T974" s="26" t="str">
        <f t="shared" si="47"/>
        <v/>
      </c>
    </row>
    <row r="975" spans="1:20" x14ac:dyDescent="0.3">
      <c r="A975" s="26" t="str">
        <f>IF(BASE_CAIXA!A972="","",BASE_CAIXA!A972)</f>
        <v/>
      </c>
      <c r="B975" s="26" t="str">
        <f>IF(A975="","",BASE_CAIXA!AL972)</f>
        <v/>
      </c>
      <c r="C975" s="26" t="str">
        <f>IF(A975="","",BASE_CAIXA!AJ972)</f>
        <v/>
      </c>
      <c r="D975" s="26" t="str">
        <f>IF(A975="","",IF(BASE_CAIXA!C972="Entrada","Crédito","Débito"))</f>
        <v/>
      </c>
      <c r="E975" s="26" t="str">
        <f>IF(A975="","",BASE_CAIXA!AA972)</f>
        <v/>
      </c>
      <c r="F975" s="26" t="str">
        <f>IF(A975="","",BASE_CAIXA!N972)</f>
        <v/>
      </c>
      <c r="G975" s="26" t="str">
        <f>IF(A975="","",BASE_CAIXA!O972)</f>
        <v/>
      </c>
      <c r="H975" s="26" t="str">
        <f>IF(A975="","",BASE_CAIXA!P972)</f>
        <v/>
      </c>
      <c r="I975" s="26" t="str">
        <f>IF(A975="","",IF(BASE_CAIXA!H972&lt;&gt;"",BASE_CAIXA!H972,BASE_CAIXA!G972))</f>
        <v/>
      </c>
      <c r="J975" s="26" t="str">
        <f>IF(A975="","",BASE_CAIXA!G972)</f>
        <v/>
      </c>
      <c r="K975" s="26" t="str">
        <f>IF(A975="","",BASE_CAIXA!I972)</f>
        <v/>
      </c>
      <c r="L975" s="26" t="str">
        <f>IF(A975="","",BASE_CAIXA!J972)</f>
        <v/>
      </c>
      <c r="M975" s="26" t="str">
        <f>IF(A975="","",BASE_CAIXA!AM972)</f>
        <v/>
      </c>
      <c r="N975" s="26" t="str">
        <f t="shared" ca="1" si="45"/>
        <v/>
      </c>
      <c r="O975" s="26" t="str">
        <f>IFERROR(INDEX(EXTRATO_IMPORTADO!$A$5:$A$404,MATCH(B975,EXTRATO_IMPORTADO!$I$5:$I$404,0)),"")</f>
        <v/>
      </c>
      <c r="P975" s="26" t="str">
        <f>IFERROR(INDEX(EXTRATO_IMPORTADO!$F$5:$F$404,MATCH(B975,EXTRATO_IMPORTADO!$I$5:$I$404,0)),"")</f>
        <v/>
      </c>
      <c r="Q975" s="26" t="str">
        <f>IFERROR(INDEX(EXTRATO_IMPORTADO!$B$5:$B$404,MATCH(B975,EXTRATO_IMPORTADO!$I$5:$I$404,0)),"")</f>
        <v/>
      </c>
      <c r="R975" s="26" t="str">
        <f>IFERROR(MATCH(B975,EXTRATO_IMPORTADO!$I$5:$I$404,0),"")</f>
        <v/>
      </c>
      <c r="S975" s="26" t="str">
        <f t="shared" si="46"/>
        <v/>
      </c>
      <c r="T975" s="26" t="str">
        <f t="shared" si="47"/>
        <v/>
      </c>
    </row>
    <row r="976" spans="1:20" x14ac:dyDescent="0.3">
      <c r="A976" s="26" t="str">
        <f>IF(BASE_CAIXA!A973="","",BASE_CAIXA!A973)</f>
        <v/>
      </c>
      <c r="B976" s="26" t="str">
        <f>IF(A976="","",BASE_CAIXA!AL973)</f>
        <v/>
      </c>
      <c r="C976" s="26" t="str">
        <f>IF(A976="","",BASE_CAIXA!AJ973)</f>
        <v/>
      </c>
      <c r="D976" s="26" t="str">
        <f>IF(A976="","",IF(BASE_CAIXA!C973="Entrada","Crédito","Débito"))</f>
        <v/>
      </c>
      <c r="E976" s="26" t="str">
        <f>IF(A976="","",BASE_CAIXA!AA973)</f>
        <v/>
      </c>
      <c r="F976" s="26" t="str">
        <f>IF(A976="","",BASE_CAIXA!N973)</f>
        <v/>
      </c>
      <c r="G976" s="26" t="str">
        <f>IF(A976="","",BASE_CAIXA!O973)</f>
        <v/>
      </c>
      <c r="H976" s="26" t="str">
        <f>IF(A976="","",BASE_CAIXA!P973)</f>
        <v/>
      </c>
      <c r="I976" s="26" t="str">
        <f>IF(A976="","",IF(BASE_CAIXA!H973&lt;&gt;"",BASE_CAIXA!H973,BASE_CAIXA!G973))</f>
        <v/>
      </c>
      <c r="J976" s="26" t="str">
        <f>IF(A976="","",BASE_CAIXA!G973)</f>
        <v/>
      </c>
      <c r="K976" s="26" t="str">
        <f>IF(A976="","",BASE_CAIXA!I973)</f>
        <v/>
      </c>
      <c r="L976" s="26" t="str">
        <f>IF(A976="","",BASE_CAIXA!J973)</f>
        <v/>
      </c>
      <c r="M976" s="26" t="str">
        <f>IF(A976="","",BASE_CAIXA!AM973)</f>
        <v/>
      </c>
      <c r="N976" s="26" t="str">
        <f t="shared" ca="1" si="45"/>
        <v/>
      </c>
      <c r="O976" s="26" t="str">
        <f>IFERROR(INDEX(EXTRATO_IMPORTADO!$A$5:$A$404,MATCH(B976,EXTRATO_IMPORTADO!$I$5:$I$404,0)),"")</f>
        <v/>
      </c>
      <c r="P976" s="26" t="str">
        <f>IFERROR(INDEX(EXTRATO_IMPORTADO!$F$5:$F$404,MATCH(B976,EXTRATO_IMPORTADO!$I$5:$I$404,0)),"")</f>
        <v/>
      </c>
      <c r="Q976" s="26" t="str">
        <f>IFERROR(INDEX(EXTRATO_IMPORTADO!$B$5:$B$404,MATCH(B976,EXTRATO_IMPORTADO!$I$5:$I$404,0)),"")</f>
        <v/>
      </c>
      <c r="R976" s="26" t="str">
        <f>IFERROR(MATCH(B976,EXTRATO_IMPORTADO!$I$5:$I$404,0),"")</f>
        <v/>
      </c>
      <c r="S976" s="26" t="str">
        <f t="shared" si="46"/>
        <v/>
      </c>
      <c r="T976" s="26" t="str">
        <f t="shared" si="47"/>
        <v/>
      </c>
    </row>
    <row r="977" spans="1:20" x14ac:dyDescent="0.3">
      <c r="A977" s="26" t="str">
        <f>IF(BASE_CAIXA!A974="","",BASE_CAIXA!A974)</f>
        <v/>
      </c>
      <c r="B977" s="26" t="str">
        <f>IF(A977="","",BASE_CAIXA!AL974)</f>
        <v/>
      </c>
      <c r="C977" s="26" t="str">
        <f>IF(A977="","",BASE_CAIXA!AJ974)</f>
        <v/>
      </c>
      <c r="D977" s="26" t="str">
        <f>IF(A977="","",IF(BASE_CAIXA!C974="Entrada","Crédito","Débito"))</f>
        <v/>
      </c>
      <c r="E977" s="26" t="str">
        <f>IF(A977="","",BASE_CAIXA!AA974)</f>
        <v/>
      </c>
      <c r="F977" s="26" t="str">
        <f>IF(A977="","",BASE_CAIXA!N974)</f>
        <v/>
      </c>
      <c r="G977" s="26" t="str">
        <f>IF(A977="","",BASE_CAIXA!O974)</f>
        <v/>
      </c>
      <c r="H977" s="26" t="str">
        <f>IF(A977="","",BASE_CAIXA!P974)</f>
        <v/>
      </c>
      <c r="I977" s="26" t="str">
        <f>IF(A977="","",IF(BASE_CAIXA!H974&lt;&gt;"",BASE_CAIXA!H974,BASE_CAIXA!G974))</f>
        <v/>
      </c>
      <c r="J977" s="26" t="str">
        <f>IF(A977="","",BASE_CAIXA!G974)</f>
        <v/>
      </c>
      <c r="K977" s="26" t="str">
        <f>IF(A977="","",BASE_CAIXA!I974)</f>
        <v/>
      </c>
      <c r="L977" s="26" t="str">
        <f>IF(A977="","",BASE_CAIXA!J974)</f>
        <v/>
      </c>
      <c r="M977" s="26" t="str">
        <f>IF(A977="","",BASE_CAIXA!AM974)</f>
        <v/>
      </c>
      <c r="N977" s="26" t="str">
        <f t="shared" ca="1" si="45"/>
        <v/>
      </c>
      <c r="O977" s="26" t="str">
        <f>IFERROR(INDEX(EXTRATO_IMPORTADO!$A$5:$A$404,MATCH(B977,EXTRATO_IMPORTADO!$I$5:$I$404,0)),"")</f>
        <v/>
      </c>
      <c r="P977" s="26" t="str">
        <f>IFERROR(INDEX(EXTRATO_IMPORTADO!$F$5:$F$404,MATCH(B977,EXTRATO_IMPORTADO!$I$5:$I$404,0)),"")</f>
        <v/>
      </c>
      <c r="Q977" s="26" t="str">
        <f>IFERROR(INDEX(EXTRATO_IMPORTADO!$B$5:$B$404,MATCH(B977,EXTRATO_IMPORTADO!$I$5:$I$404,0)),"")</f>
        <v/>
      </c>
      <c r="R977" s="26" t="str">
        <f>IFERROR(MATCH(B977,EXTRATO_IMPORTADO!$I$5:$I$404,0),"")</f>
        <v/>
      </c>
      <c r="S977" s="26" t="str">
        <f t="shared" si="46"/>
        <v/>
      </c>
      <c r="T977" s="26" t="str">
        <f t="shared" si="47"/>
        <v/>
      </c>
    </row>
    <row r="978" spans="1:20" x14ac:dyDescent="0.3">
      <c r="A978" s="26" t="str">
        <f>IF(BASE_CAIXA!A975="","",BASE_CAIXA!A975)</f>
        <v/>
      </c>
      <c r="B978" s="26" t="str">
        <f>IF(A978="","",BASE_CAIXA!AL975)</f>
        <v/>
      </c>
      <c r="C978" s="26" t="str">
        <f>IF(A978="","",BASE_CAIXA!AJ975)</f>
        <v/>
      </c>
      <c r="D978" s="26" t="str">
        <f>IF(A978="","",IF(BASE_CAIXA!C975="Entrada","Crédito","Débito"))</f>
        <v/>
      </c>
      <c r="E978" s="26" t="str">
        <f>IF(A978="","",BASE_CAIXA!AA975)</f>
        <v/>
      </c>
      <c r="F978" s="26" t="str">
        <f>IF(A978="","",BASE_CAIXA!N975)</f>
        <v/>
      </c>
      <c r="G978" s="26" t="str">
        <f>IF(A978="","",BASE_CAIXA!O975)</f>
        <v/>
      </c>
      <c r="H978" s="26" t="str">
        <f>IF(A978="","",BASE_CAIXA!P975)</f>
        <v/>
      </c>
      <c r="I978" s="26" t="str">
        <f>IF(A978="","",IF(BASE_CAIXA!H975&lt;&gt;"",BASE_CAIXA!H975,BASE_CAIXA!G975))</f>
        <v/>
      </c>
      <c r="J978" s="26" t="str">
        <f>IF(A978="","",BASE_CAIXA!G975)</f>
        <v/>
      </c>
      <c r="K978" s="26" t="str">
        <f>IF(A978="","",BASE_CAIXA!I975)</f>
        <v/>
      </c>
      <c r="L978" s="26" t="str">
        <f>IF(A978="","",BASE_CAIXA!J975)</f>
        <v/>
      </c>
      <c r="M978" s="26" t="str">
        <f>IF(A978="","",BASE_CAIXA!AM975)</f>
        <v/>
      </c>
      <c r="N978" s="26" t="str">
        <f t="shared" ca="1" si="45"/>
        <v/>
      </c>
      <c r="O978" s="26" t="str">
        <f>IFERROR(INDEX(EXTRATO_IMPORTADO!$A$5:$A$404,MATCH(B978,EXTRATO_IMPORTADO!$I$5:$I$404,0)),"")</f>
        <v/>
      </c>
      <c r="P978" s="26" t="str">
        <f>IFERROR(INDEX(EXTRATO_IMPORTADO!$F$5:$F$404,MATCH(B978,EXTRATO_IMPORTADO!$I$5:$I$404,0)),"")</f>
        <v/>
      </c>
      <c r="Q978" s="26" t="str">
        <f>IFERROR(INDEX(EXTRATO_IMPORTADO!$B$5:$B$404,MATCH(B978,EXTRATO_IMPORTADO!$I$5:$I$404,0)),"")</f>
        <v/>
      </c>
      <c r="R978" s="26" t="str">
        <f>IFERROR(MATCH(B978,EXTRATO_IMPORTADO!$I$5:$I$404,0),"")</f>
        <v/>
      </c>
      <c r="S978" s="26" t="str">
        <f t="shared" si="46"/>
        <v/>
      </c>
      <c r="T978" s="26" t="str">
        <f t="shared" si="47"/>
        <v/>
      </c>
    </row>
    <row r="979" spans="1:20" x14ac:dyDescent="0.3">
      <c r="A979" s="26" t="str">
        <f>IF(BASE_CAIXA!A976="","",BASE_CAIXA!A976)</f>
        <v/>
      </c>
      <c r="B979" s="26" t="str">
        <f>IF(A979="","",BASE_CAIXA!AL976)</f>
        <v/>
      </c>
      <c r="C979" s="26" t="str">
        <f>IF(A979="","",BASE_CAIXA!AJ976)</f>
        <v/>
      </c>
      <c r="D979" s="26" t="str">
        <f>IF(A979="","",IF(BASE_CAIXA!C976="Entrada","Crédito","Débito"))</f>
        <v/>
      </c>
      <c r="E979" s="26" t="str">
        <f>IF(A979="","",BASE_CAIXA!AA976)</f>
        <v/>
      </c>
      <c r="F979" s="26" t="str">
        <f>IF(A979="","",BASE_CAIXA!N976)</f>
        <v/>
      </c>
      <c r="G979" s="26" t="str">
        <f>IF(A979="","",BASE_CAIXA!O976)</f>
        <v/>
      </c>
      <c r="H979" s="26" t="str">
        <f>IF(A979="","",BASE_CAIXA!P976)</f>
        <v/>
      </c>
      <c r="I979" s="26" t="str">
        <f>IF(A979="","",IF(BASE_CAIXA!H976&lt;&gt;"",BASE_CAIXA!H976,BASE_CAIXA!G976))</f>
        <v/>
      </c>
      <c r="J979" s="26" t="str">
        <f>IF(A979="","",BASE_CAIXA!G976)</f>
        <v/>
      </c>
      <c r="K979" s="26" t="str">
        <f>IF(A979="","",BASE_CAIXA!I976)</f>
        <v/>
      </c>
      <c r="L979" s="26" t="str">
        <f>IF(A979="","",BASE_CAIXA!J976)</f>
        <v/>
      </c>
      <c r="M979" s="26" t="str">
        <f>IF(A979="","",BASE_CAIXA!AM976)</f>
        <v/>
      </c>
      <c r="N979" s="26" t="str">
        <f t="shared" ca="1" si="45"/>
        <v/>
      </c>
      <c r="O979" s="26" t="str">
        <f>IFERROR(INDEX(EXTRATO_IMPORTADO!$A$5:$A$404,MATCH(B979,EXTRATO_IMPORTADO!$I$5:$I$404,0)),"")</f>
        <v/>
      </c>
      <c r="P979" s="26" t="str">
        <f>IFERROR(INDEX(EXTRATO_IMPORTADO!$F$5:$F$404,MATCH(B979,EXTRATO_IMPORTADO!$I$5:$I$404,0)),"")</f>
        <v/>
      </c>
      <c r="Q979" s="26" t="str">
        <f>IFERROR(INDEX(EXTRATO_IMPORTADO!$B$5:$B$404,MATCH(B979,EXTRATO_IMPORTADO!$I$5:$I$404,0)),"")</f>
        <v/>
      </c>
      <c r="R979" s="26" t="str">
        <f>IFERROR(MATCH(B979,EXTRATO_IMPORTADO!$I$5:$I$404,0),"")</f>
        <v/>
      </c>
      <c r="S979" s="26" t="str">
        <f t="shared" si="46"/>
        <v/>
      </c>
      <c r="T979" s="26" t="str">
        <f t="shared" si="47"/>
        <v/>
      </c>
    </row>
    <row r="980" spans="1:20" x14ac:dyDescent="0.3">
      <c r="A980" s="26" t="str">
        <f>IF(BASE_CAIXA!A977="","",BASE_CAIXA!A977)</f>
        <v/>
      </c>
      <c r="B980" s="26" t="str">
        <f>IF(A980="","",BASE_CAIXA!AL977)</f>
        <v/>
      </c>
      <c r="C980" s="26" t="str">
        <f>IF(A980="","",BASE_CAIXA!AJ977)</f>
        <v/>
      </c>
      <c r="D980" s="26" t="str">
        <f>IF(A980="","",IF(BASE_CAIXA!C977="Entrada","Crédito","Débito"))</f>
        <v/>
      </c>
      <c r="E980" s="26" t="str">
        <f>IF(A980="","",BASE_CAIXA!AA977)</f>
        <v/>
      </c>
      <c r="F980" s="26" t="str">
        <f>IF(A980="","",BASE_CAIXA!N977)</f>
        <v/>
      </c>
      <c r="G980" s="26" t="str">
        <f>IF(A980="","",BASE_CAIXA!O977)</f>
        <v/>
      </c>
      <c r="H980" s="26" t="str">
        <f>IF(A980="","",BASE_CAIXA!P977)</f>
        <v/>
      </c>
      <c r="I980" s="26" t="str">
        <f>IF(A980="","",IF(BASE_CAIXA!H977&lt;&gt;"",BASE_CAIXA!H977,BASE_CAIXA!G977))</f>
        <v/>
      </c>
      <c r="J980" s="26" t="str">
        <f>IF(A980="","",BASE_CAIXA!G977)</f>
        <v/>
      </c>
      <c r="K980" s="26" t="str">
        <f>IF(A980="","",BASE_CAIXA!I977)</f>
        <v/>
      </c>
      <c r="L980" s="26" t="str">
        <f>IF(A980="","",BASE_CAIXA!J977)</f>
        <v/>
      </c>
      <c r="M980" s="26" t="str">
        <f>IF(A980="","",BASE_CAIXA!AM977)</f>
        <v/>
      </c>
      <c r="N980" s="26" t="str">
        <f t="shared" ca="1" si="45"/>
        <v/>
      </c>
      <c r="O980" s="26" t="str">
        <f>IFERROR(INDEX(EXTRATO_IMPORTADO!$A$5:$A$404,MATCH(B980,EXTRATO_IMPORTADO!$I$5:$I$404,0)),"")</f>
        <v/>
      </c>
      <c r="P980" s="26" t="str">
        <f>IFERROR(INDEX(EXTRATO_IMPORTADO!$F$5:$F$404,MATCH(B980,EXTRATO_IMPORTADO!$I$5:$I$404,0)),"")</f>
        <v/>
      </c>
      <c r="Q980" s="26" t="str">
        <f>IFERROR(INDEX(EXTRATO_IMPORTADO!$B$5:$B$404,MATCH(B980,EXTRATO_IMPORTADO!$I$5:$I$404,0)),"")</f>
        <v/>
      </c>
      <c r="R980" s="26" t="str">
        <f>IFERROR(MATCH(B980,EXTRATO_IMPORTADO!$I$5:$I$404,0),"")</f>
        <v/>
      </c>
      <c r="S980" s="26" t="str">
        <f t="shared" si="46"/>
        <v/>
      </c>
      <c r="T980" s="26" t="str">
        <f t="shared" si="47"/>
        <v/>
      </c>
    </row>
    <row r="981" spans="1:20" x14ac:dyDescent="0.3">
      <c r="A981" s="26" t="str">
        <f>IF(BASE_CAIXA!A978="","",BASE_CAIXA!A978)</f>
        <v/>
      </c>
      <c r="B981" s="26" t="str">
        <f>IF(A981="","",BASE_CAIXA!AL978)</f>
        <v/>
      </c>
      <c r="C981" s="26" t="str">
        <f>IF(A981="","",BASE_CAIXA!AJ978)</f>
        <v/>
      </c>
      <c r="D981" s="26" t="str">
        <f>IF(A981="","",IF(BASE_CAIXA!C978="Entrada","Crédito","Débito"))</f>
        <v/>
      </c>
      <c r="E981" s="26" t="str">
        <f>IF(A981="","",BASE_CAIXA!AA978)</f>
        <v/>
      </c>
      <c r="F981" s="26" t="str">
        <f>IF(A981="","",BASE_CAIXA!N978)</f>
        <v/>
      </c>
      <c r="G981" s="26" t="str">
        <f>IF(A981="","",BASE_CAIXA!O978)</f>
        <v/>
      </c>
      <c r="H981" s="26" t="str">
        <f>IF(A981="","",BASE_CAIXA!P978)</f>
        <v/>
      </c>
      <c r="I981" s="26" t="str">
        <f>IF(A981="","",IF(BASE_CAIXA!H978&lt;&gt;"",BASE_CAIXA!H978,BASE_CAIXA!G978))</f>
        <v/>
      </c>
      <c r="J981" s="26" t="str">
        <f>IF(A981="","",BASE_CAIXA!G978)</f>
        <v/>
      </c>
      <c r="K981" s="26" t="str">
        <f>IF(A981="","",BASE_CAIXA!I978)</f>
        <v/>
      </c>
      <c r="L981" s="26" t="str">
        <f>IF(A981="","",BASE_CAIXA!J978)</f>
        <v/>
      </c>
      <c r="M981" s="26" t="str">
        <f>IF(A981="","",BASE_CAIXA!AM978)</f>
        <v/>
      </c>
      <c r="N981" s="26" t="str">
        <f t="shared" ca="1" si="45"/>
        <v/>
      </c>
      <c r="O981" s="26" t="str">
        <f>IFERROR(INDEX(EXTRATO_IMPORTADO!$A$5:$A$404,MATCH(B981,EXTRATO_IMPORTADO!$I$5:$I$404,0)),"")</f>
        <v/>
      </c>
      <c r="P981" s="26" t="str">
        <f>IFERROR(INDEX(EXTRATO_IMPORTADO!$F$5:$F$404,MATCH(B981,EXTRATO_IMPORTADO!$I$5:$I$404,0)),"")</f>
        <v/>
      </c>
      <c r="Q981" s="26" t="str">
        <f>IFERROR(INDEX(EXTRATO_IMPORTADO!$B$5:$B$404,MATCH(B981,EXTRATO_IMPORTADO!$I$5:$I$404,0)),"")</f>
        <v/>
      </c>
      <c r="R981" s="26" t="str">
        <f>IFERROR(MATCH(B981,EXTRATO_IMPORTADO!$I$5:$I$404,0),"")</f>
        <v/>
      </c>
      <c r="S981" s="26" t="str">
        <f t="shared" si="46"/>
        <v/>
      </c>
      <c r="T981" s="26" t="str">
        <f t="shared" si="47"/>
        <v/>
      </c>
    </row>
    <row r="982" spans="1:20" x14ac:dyDescent="0.3">
      <c r="A982" s="26" t="str">
        <f>IF(BASE_CAIXA!A979="","",BASE_CAIXA!A979)</f>
        <v/>
      </c>
      <c r="B982" s="26" t="str">
        <f>IF(A982="","",BASE_CAIXA!AL979)</f>
        <v/>
      </c>
      <c r="C982" s="26" t="str">
        <f>IF(A982="","",BASE_CAIXA!AJ979)</f>
        <v/>
      </c>
      <c r="D982" s="26" t="str">
        <f>IF(A982="","",IF(BASE_CAIXA!C979="Entrada","Crédito","Débito"))</f>
        <v/>
      </c>
      <c r="E982" s="26" t="str">
        <f>IF(A982="","",BASE_CAIXA!AA979)</f>
        <v/>
      </c>
      <c r="F982" s="26" t="str">
        <f>IF(A982="","",BASE_CAIXA!N979)</f>
        <v/>
      </c>
      <c r="G982" s="26" t="str">
        <f>IF(A982="","",BASE_CAIXA!O979)</f>
        <v/>
      </c>
      <c r="H982" s="26" t="str">
        <f>IF(A982="","",BASE_CAIXA!P979)</f>
        <v/>
      </c>
      <c r="I982" s="26" t="str">
        <f>IF(A982="","",IF(BASE_CAIXA!H979&lt;&gt;"",BASE_CAIXA!H979,BASE_CAIXA!G979))</f>
        <v/>
      </c>
      <c r="J982" s="26" t="str">
        <f>IF(A982="","",BASE_CAIXA!G979)</f>
        <v/>
      </c>
      <c r="K982" s="26" t="str">
        <f>IF(A982="","",BASE_CAIXA!I979)</f>
        <v/>
      </c>
      <c r="L982" s="26" t="str">
        <f>IF(A982="","",BASE_CAIXA!J979)</f>
        <v/>
      </c>
      <c r="M982" s="26" t="str">
        <f>IF(A982="","",BASE_CAIXA!AM979)</f>
        <v/>
      </c>
      <c r="N982" s="26" t="str">
        <f t="shared" ca="1" si="45"/>
        <v/>
      </c>
      <c r="O982" s="26" t="str">
        <f>IFERROR(INDEX(EXTRATO_IMPORTADO!$A$5:$A$404,MATCH(B982,EXTRATO_IMPORTADO!$I$5:$I$404,0)),"")</f>
        <v/>
      </c>
      <c r="P982" s="26" t="str">
        <f>IFERROR(INDEX(EXTRATO_IMPORTADO!$F$5:$F$404,MATCH(B982,EXTRATO_IMPORTADO!$I$5:$I$404,0)),"")</f>
        <v/>
      </c>
      <c r="Q982" s="26" t="str">
        <f>IFERROR(INDEX(EXTRATO_IMPORTADO!$B$5:$B$404,MATCH(B982,EXTRATO_IMPORTADO!$I$5:$I$404,0)),"")</f>
        <v/>
      </c>
      <c r="R982" s="26" t="str">
        <f>IFERROR(MATCH(B982,EXTRATO_IMPORTADO!$I$5:$I$404,0),"")</f>
        <v/>
      </c>
      <c r="S982" s="26" t="str">
        <f t="shared" si="46"/>
        <v/>
      </c>
      <c r="T982" s="26" t="str">
        <f t="shared" si="47"/>
        <v/>
      </c>
    </row>
    <row r="983" spans="1:20" x14ac:dyDescent="0.3">
      <c r="A983" s="26" t="str">
        <f>IF(BASE_CAIXA!A980="","",BASE_CAIXA!A980)</f>
        <v/>
      </c>
      <c r="B983" s="26" t="str">
        <f>IF(A983="","",BASE_CAIXA!AL980)</f>
        <v/>
      </c>
      <c r="C983" s="26" t="str">
        <f>IF(A983="","",BASE_CAIXA!AJ980)</f>
        <v/>
      </c>
      <c r="D983" s="26" t="str">
        <f>IF(A983="","",IF(BASE_CAIXA!C980="Entrada","Crédito","Débito"))</f>
        <v/>
      </c>
      <c r="E983" s="26" t="str">
        <f>IF(A983="","",BASE_CAIXA!AA980)</f>
        <v/>
      </c>
      <c r="F983" s="26" t="str">
        <f>IF(A983="","",BASE_CAIXA!N980)</f>
        <v/>
      </c>
      <c r="G983" s="26" t="str">
        <f>IF(A983="","",BASE_CAIXA!O980)</f>
        <v/>
      </c>
      <c r="H983" s="26" t="str">
        <f>IF(A983="","",BASE_CAIXA!P980)</f>
        <v/>
      </c>
      <c r="I983" s="26" t="str">
        <f>IF(A983="","",IF(BASE_CAIXA!H980&lt;&gt;"",BASE_CAIXA!H980,BASE_CAIXA!G980))</f>
        <v/>
      </c>
      <c r="J983" s="26" t="str">
        <f>IF(A983="","",BASE_CAIXA!G980)</f>
        <v/>
      </c>
      <c r="K983" s="26" t="str">
        <f>IF(A983="","",BASE_CAIXA!I980)</f>
        <v/>
      </c>
      <c r="L983" s="26" t="str">
        <f>IF(A983="","",BASE_CAIXA!J980)</f>
        <v/>
      </c>
      <c r="M983" s="26" t="str">
        <f>IF(A983="","",BASE_CAIXA!AM980)</f>
        <v/>
      </c>
      <c r="N983" s="26" t="str">
        <f t="shared" ca="1" si="45"/>
        <v/>
      </c>
      <c r="O983" s="26" t="str">
        <f>IFERROR(INDEX(EXTRATO_IMPORTADO!$A$5:$A$404,MATCH(B983,EXTRATO_IMPORTADO!$I$5:$I$404,0)),"")</f>
        <v/>
      </c>
      <c r="P983" s="26" t="str">
        <f>IFERROR(INDEX(EXTRATO_IMPORTADO!$F$5:$F$404,MATCH(B983,EXTRATO_IMPORTADO!$I$5:$I$404,0)),"")</f>
        <v/>
      </c>
      <c r="Q983" s="26" t="str">
        <f>IFERROR(INDEX(EXTRATO_IMPORTADO!$B$5:$B$404,MATCH(B983,EXTRATO_IMPORTADO!$I$5:$I$404,0)),"")</f>
        <v/>
      </c>
      <c r="R983" s="26" t="str">
        <f>IFERROR(MATCH(B983,EXTRATO_IMPORTADO!$I$5:$I$404,0),"")</f>
        <v/>
      </c>
      <c r="S983" s="26" t="str">
        <f t="shared" si="46"/>
        <v/>
      </c>
      <c r="T983" s="26" t="str">
        <f t="shared" si="47"/>
        <v/>
      </c>
    </row>
    <row r="984" spans="1:20" x14ac:dyDescent="0.3">
      <c r="A984" s="26" t="str">
        <f>IF(BASE_CAIXA!A981="","",BASE_CAIXA!A981)</f>
        <v/>
      </c>
      <c r="B984" s="26" t="str">
        <f>IF(A984="","",BASE_CAIXA!AL981)</f>
        <v/>
      </c>
      <c r="C984" s="26" t="str">
        <f>IF(A984="","",BASE_CAIXA!AJ981)</f>
        <v/>
      </c>
      <c r="D984" s="26" t="str">
        <f>IF(A984="","",IF(BASE_CAIXA!C981="Entrada","Crédito","Débito"))</f>
        <v/>
      </c>
      <c r="E984" s="26" t="str">
        <f>IF(A984="","",BASE_CAIXA!AA981)</f>
        <v/>
      </c>
      <c r="F984" s="26" t="str">
        <f>IF(A984="","",BASE_CAIXA!N981)</f>
        <v/>
      </c>
      <c r="G984" s="26" t="str">
        <f>IF(A984="","",BASE_CAIXA!O981)</f>
        <v/>
      </c>
      <c r="H984" s="26" t="str">
        <f>IF(A984="","",BASE_CAIXA!P981)</f>
        <v/>
      </c>
      <c r="I984" s="26" t="str">
        <f>IF(A984="","",IF(BASE_CAIXA!H981&lt;&gt;"",BASE_CAIXA!H981,BASE_CAIXA!G981))</f>
        <v/>
      </c>
      <c r="J984" s="26" t="str">
        <f>IF(A984="","",BASE_CAIXA!G981)</f>
        <v/>
      </c>
      <c r="K984" s="26" t="str">
        <f>IF(A984="","",BASE_CAIXA!I981)</f>
        <v/>
      </c>
      <c r="L984" s="26" t="str">
        <f>IF(A984="","",BASE_CAIXA!J981)</f>
        <v/>
      </c>
      <c r="M984" s="26" t="str">
        <f>IF(A984="","",BASE_CAIXA!AM981)</f>
        <v/>
      </c>
      <c r="N984" s="26" t="str">
        <f t="shared" ca="1" si="45"/>
        <v/>
      </c>
      <c r="O984" s="26" t="str">
        <f>IFERROR(INDEX(EXTRATO_IMPORTADO!$A$5:$A$404,MATCH(B984,EXTRATO_IMPORTADO!$I$5:$I$404,0)),"")</f>
        <v/>
      </c>
      <c r="P984" s="26" t="str">
        <f>IFERROR(INDEX(EXTRATO_IMPORTADO!$F$5:$F$404,MATCH(B984,EXTRATO_IMPORTADO!$I$5:$I$404,0)),"")</f>
        <v/>
      </c>
      <c r="Q984" s="26" t="str">
        <f>IFERROR(INDEX(EXTRATO_IMPORTADO!$B$5:$B$404,MATCH(B984,EXTRATO_IMPORTADO!$I$5:$I$404,0)),"")</f>
        <v/>
      </c>
      <c r="R984" s="26" t="str">
        <f>IFERROR(MATCH(B984,EXTRATO_IMPORTADO!$I$5:$I$404,0),"")</f>
        <v/>
      </c>
      <c r="S984" s="26" t="str">
        <f t="shared" si="46"/>
        <v/>
      </c>
      <c r="T984" s="26" t="str">
        <f t="shared" si="47"/>
        <v/>
      </c>
    </row>
    <row r="985" spans="1:20" x14ac:dyDescent="0.3">
      <c r="A985" s="26" t="str">
        <f>IF(BASE_CAIXA!A982="","",BASE_CAIXA!A982)</f>
        <v/>
      </c>
      <c r="B985" s="26" t="str">
        <f>IF(A985="","",BASE_CAIXA!AL982)</f>
        <v/>
      </c>
      <c r="C985" s="26" t="str">
        <f>IF(A985="","",BASE_CAIXA!AJ982)</f>
        <v/>
      </c>
      <c r="D985" s="26" t="str">
        <f>IF(A985="","",IF(BASE_CAIXA!C982="Entrada","Crédito","Débito"))</f>
        <v/>
      </c>
      <c r="E985" s="26" t="str">
        <f>IF(A985="","",BASE_CAIXA!AA982)</f>
        <v/>
      </c>
      <c r="F985" s="26" t="str">
        <f>IF(A985="","",BASE_CAIXA!N982)</f>
        <v/>
      </c>
      <c r="G985" s="26" t="str">
        <f>IF(A985="","",BASE_CAIXA!O982)</f>
        <v/>
      </c>
      <c r="H985" s="26" t="str">
        <f>IF(A985="","",BASE_CAIXA!P982)</f>
        <v/>
      </c>
      <c r="I985" s="26" t="str">
        <f>IF(A985="","",IF(BASE_CAIXA!H982&lt;&gt;"",BASE_CAIXA!H982,BASE_CAIXA!G982))</f>
        <v/>
      </c>
      <c r="J985" s="26" t="str">
        <f>IF(A985="","",BASE_CAIXA!G982)</f>
        <v/>
      </c>
      <c r="K985" s="26" t="str">
        <f>IF(A985="","",BASE_CAIXA!I982)</f>
        <v/>
      </c>
      <c r="L985" s="26" t="str">
        <f>IF(A985="","",BASE_CAIXA!J982)</f>
        <v/>
      </c>
      <c r="M985" s="26" t="str">
        <f>IF(A985="","",BASE_CAIXA!AM982)</f>
        <v/>
      </c>
      <c r="N985" s="26" t="str">
        <f t="shared" ca="1" si="45"/>
        <v/>
      </c>
      <c r="O985" s="26" t="str">
        <f>IFERROR(INDEX(EXTRATO_IMPORTADO!$A$5:$A$404,MATCH(B985,EXTRATO_IMPORTADO!$I$5:$I$404,0)),"")</f>
        <v/>
      </c>
      <c r="P985" s="26" t="str">
        <f>IFERROR(INDEX(EXTRATO_IMPORTADO!$F$5:$F$404,MATCH(B985,EXTRATO_IMPORTADO!$I$5:$I$404,0)),"")</f>
        <v/>
      </c>
      <c r="Q985" s="26" t="str">
        <f>IFERROR(INDEX(EXTRATO_IMPORTADO!$B$5:$B$404,MATCH(B985,EXTRATO_IMPORTADO!$I$5:$I$404,0)),"")</f>
        <v/>
      </c>
      <c r="R985" s="26" t="str">
        <f>IFERROR(MATCH(B985,EXTRATO_IMPORTADO!$I$5:$I$404,0),"")</f>
        <v/>
      </c>
      <c r="S985" s="26" t="str">
        <f t="shared" si="46"/>
        <v/>
      </c>
      <c r="T985" s="26" t="str">
        <f t="shared" si="47"/>
        <v/>
      </c>
    </row>
    <row r="986" spans="1:20" x14ac:dyDescent="0.3">
      <c r="A986" s="26" t="str">
        <f>IF(BASE_CAIXA!A983="","",BASE_CAIXA!A983)</f>
        <v/>
      </c>
      <c r="B986" s="26" t="str">
        <f>IF(A986="","",BASE_CAIXA!AL983)</f>
        <v/>
      </c>
      <c r="C986" s="26" t="str">
        <f>IF(A986="","",BASE_CAIXA!AJ983)</f>
        <v/>
      </c>
      <c r="D986" s="26" t="str">
        <f>IF(A986="","",IF(BASE_CAIXA!C983="Entrada","Crédito","Débito"))</f>
        <v/>
      </c>
      <c r="E986" s="26" t="str">
        <f>IF(A986="","",BASE_CAIXA!AA983)</f>
        <v/>
      </c>
      <c r="F986" s="26" t="str">
        <f>IF(A986="","",BASE_CAIXA!N983)</f>
        <v/>
      </c>
      <c r="G986" s="26" t="str">
        <f>IF(A986="","",BASE_CAIXA!O983)</f>
        <v/>
      </c>
      <c r="H986" s="26" t="str">
        <f>IF(A986="","",BASE_CAIXA!P983)</f>
        <v/>
      </c>
      <c r="I986" s="26" t="str">
        <f>IF(A986="","",IF(BASE_CAIXA!H983&lt;&gt;"",BASE_CAIXA!H983,BASE_CAIXA!G983))</f>
        <v/>
      </c>
      <c r="J986" s="26" t="str">
        <f>IF(A986="","",BASE_CAIXA!G983)</f>
        <v/>
      </c>
      <c r="K986" s="26" t="str">
        <f>IF(A986="","",BASE_CAIXA!I983)</f>
        <v/>
      </c>
      <c r="L986" s="26" t="str">
        <f>IF(A986="","",BASE_CAIXA!J983)</f>
        <v/>
      </c>
      <c r="M986" s="26" t="str">
        <f>IF(A986="","",BASE_CAIXA!AM983)</f>
        <v/>
      </c>
      <c r="N986" s="26" t="str">
        <f t="shared" ca="1" si="45"/>
        <v/>
      </c>
      <c r="O986" s="26" t="str">
        <f>IFERROR(INDEX(EXTRATO_IMPORTADO!$A$5:$A$404,MATCH(B986,EXTRATO_IMPORTADO!$I$5:$I$404,0)),"")</f>
        <v/>
      </c>
      <c r="P986" s="26" t="str">
        <f>IFERROR(INDEX(EXTRATO_IMPORTADO!$F$5:$F$404,MATCH(B986,EXTRATO_IMPORTADO!$I$5:$I$404,0)),"")</f>
        <v/>
      </c>
      <c r="Q986" s="26" t="str">
        <f>IFERROR(INDEX(EXTRATO_IMPORTADO!$B$5:$B$404,MATCH(B986,EXTRATO_IMPORTADO!$I$5:$I$404,0)),"")</f>
        <v/>
      </c>
      <c r="R986" s="26" t="str">
        <f>IFERROR(MATCH(B986,EXTRATO_IMPORTADO!$I$5:$I$404,0),"")</f>
        <v/>
      </c>
      <c r="S986" s="26" t="str">
        <f t="shared" si="46"/>
        <v/>
      </c>
      <c r="T986" s="26" t="str">
        <f t="shared" si="47"/>
        <v/>
      </c>
    </row>
    <row r="987" spans="1:20" x14ac:dyDescent="0.3">
      <c r="A987" s="26" t="str">
        <f>IF(BASE_CAIXA!A984="","",BASE_CAIXA!A984)</f>
        <v/>
      </c>
      <c r="B987" s="26" t="str">
        <f>IF(A987="","",BASE_CAIXA!AL984)</f>
        <v/>
      </c>
      <c r="C987" s="26" t="str">
        <f>IF(A987="","",BASE_CAIXA!AJ984)</f>
        <v/>
      </c>
      <c r="D987" s="26" t="str">
        <f>IF(A987="","",IF(BASE_CAIXA!C984="Entrada","Crédito","Débito"))</f>
        <v/>
      </c>
      <c r="E987" s="26" t="str">
        <f>IF(A987="","",BASE_CAIXA!AA984)</f>
        <v/>
      </c>
      <c r="F987" s="26" t="str">
        <f>IF(A987="","",BASE_CAIXA!N984)</f>
        <v/>
      </c>
      <c r="G987" s="26" t="str">
        <f>IF(A987="","",BASE_CAIXA!O984)</f>
        <v/>
      </c>
      <c r="H987" s="26" t="str">
        <f>IF(A987="","",BASE_CAIXA!P984)</f>
        <v/>
      </c>
      <c r="I987" s="26" t="str">
        <f>IF(A987="","",IF(BASE_CAIXA!H984&lt;&gt;"",BASE_CAIXA!H984,BASE_CAIXA!G984))</f>
        <v/>
      </c>
      <c r="J987" s="26" t="str">
        <f>IF(A987="","",BASE_CAIXA!G984)</f>
        <v/>
      </c>
      <c r="K987" s="26" t="str">
        <f>IF(A987="","",BASE_CAIXA!I984)</f>
        <v/>
      </c>
      <c r="L987" s="26" t="str">
        <f>IF(A987="","",BASE_CAIXA!J984)</f>
        <v/>
      </c>
      <c r="M987" s="26" t="str">
        <f>IF(A987="","",BASE_CAIXA!AM984)</f>
        <v/>
      </c>
      <c r="N987" s="26" t="str">
        <f t="shared" ca="1" si="45"/>
        <v/>
      </c>
      <c r="O987" s="26" t="str">
        <f>IFERROR(INDEX(EXTRATO_IMPORTADO!$A$5:$A$404,MATCH(B987,EXTRATO_IMPORTADO!$I$5:$I$404,0)),"")</f>
        <v/>
      </c>
      <c r="P987" s="26" t="str">
        <f>IFERROR(INDEX(EXTRATO_IMPORTADO!$F$5:$F$404,MATCH(B987,EXTRATO_IMPORTADO!$I$5:$I$404,0)),"")</f>
        <v/>
      </c>
      <c r="Q987" s="26" t="str">
        <f>IFERROR(INDEX(EXTRATO_IMPORTADO!$B$5:$B$404,MATCH(B987,EXTRATO_IMPORTADO!$I$5:$I$404,0)),"")</f>
        <v/>
      </c>
      <c r="R987" s="26" t="str">
        <f>IFERROR(MATCH(B987,EXTRATO_IMPORTADO!$I$5:$I$404,0),"")</f>
        <v/>
      </c>
      <c r="S987" s="26" t="str">
        <f t="shared" si="46"/>
        <v/>
      </c>
      <c r="T987" s="26" t="str">
        <f t="shared" si="47"/>
        <v/>
      </c>
    </row>
    <row r="988" spans="1:20" x14ac:dyDescent="0.3">
      <c r="A988" s="26" t="str">
        <f>IF(BASE_CAIXA!A985="","",BASE_CAIXA!A985)</f>
        <v/>
      </c>
      <c r="B988" s="26" t="str">
        <f>IF(A988="","",BASE_CAIXA!AL985)</f>
        <v/>
      </c>
      <c r="C988" s="26" t="str">
        <f>IF(A988="","",BASE_CAIXA!AJ985)</f>
        <v/>
      </c>
      <c r="D988" s="26" t="str">
        <f>IF(A988="","",IF(BASE_CAIXA!C985="Entrada","Crédito","Débito"))</f>
        <v/>
      </c>
      <c r="E988" s="26" t="str">
        <f>IF(A988="","",BASE_CAIXA!AA985)</f>
        <v/>
      </c>
      <c r="F988" s="26" t="str">
        <f>IF(A988="","",BASE_CAIXA!N985)</f>
        <v/>
      </c>
      <c r="G988" s="26" t="str">
        <f>IF(A988="","",BASE_CAIXA!O985)</f>
        <v/>
      </c>
      <c r="H988" s="26" t="str">
        <f>IF(A988="","",BASE_CAIXA!P985)</f>
        <v/>
      </c>
      <c r="I988" s="26" t="str">
        <f>IF(A988="","",IF(BASE_CAIXA!H985&lt;&gt;"",BASE_CAIXA!H985,BASE_CAIXA!G985))</f>
        <v/>
      </c>
      <c r="J988" s="26" t="str">
        <f>IF(A988="","",BASE_CAIXA!G985)</f>
        <v/>
      </c>
      <c r="K988" s="26" t="str">
        <f>IF(A988="","",BASE_CAIXA!I985)</f>
        <v/>
      </c>
      <c r="L988" s="26" t="str">
        <f>IF(A988="","",BASE_CAIXA!J985)</f>
        <v/>
      </c>
      <c r="M988" s="26" t="str">
        <f>IF(A988="","",BASE_CAIXA!AM985)</f>
        <v/>
      </c>
      <c r="N988" s="26" t="str">
        <f t="shared" ca="1" si="45"/>
        <v/>
      </c>
      <c r="O988" s="26" t="str">
        <f>IFERROR(INDEX(EXTRATO_IMPORTADO!$A$5:$A$404,MATCH(B988,EXTRATO_IMPORTADO!$I$5:$I$404,0)),"")</f>
        <v/>
      </c>
      <c r="P988" s="26" t="str">
        <f>IFERROR(INDEX(EXTRATO_IMPORTADO!$F$5:$F$404,MATCH(B988,EXTRATO_IMPORTADO!$I$5:$I$404,0)),"")</f>
        <v/>
      </c>
      <c r="Q988" s="26" t="str">
        <f>IFERROR(INDEX(EXTRATO_IMPORTADO!$B$5:$B$404,MATCH(B988,EXTRATO_IMPORTADO!$I$5:$I$404,0)),"")</f>
        <v/>
      </c>
      <c r="R988" s="26" t="str">
        <f>IFERROR(MATCH(B988,EXTRATO_IMPORTADO!$I$5:$I$404,0),"")</f>
        <v/>
      </c>
      <c r="S988" s="26" t="str">
        <f t="shared" si="46"/>
        <v/>
      </c>
      <c r="T988" s="26" t="str">
        <f t="shared" si="47"/>
        <v/>
      </c>
    </row>
    <row r="989" spans="1:20" x14ac:dyDescent="0.3">
      <c r="A989" s="26" t="str">
        <f>IF(BASE_CAIXA!A986="","",BASE_CAIXA!A986)</f>
        <v/>
      </c>
      <c r="B989" s="26" t="str">
        <f>IF(A989="","",BASE_CAIXA!AL986)</f>
        <v/>
      </c>
      <c r="C989" s="26" t="str">
        <f>IF(A989="","",BASE_CAIXA!AJ986)</f>
        <v/>
      </c>
      <c r="D989" s="26" t="str">
        <f>IF(A989="","",IF(BASE_CAIXA!C986="Entrada","Crédito","Débito"))</f>
        <v/>
      </c>
      <c r="E989" s="26" t="str">
        <f>IF(A989="","",BASE_CAIXA!AA986)</f>
        <v/>
      </c>
      <c r="F989" s="26" t="str">
        <f>IF(A989="","",BASE_CAIXA!N986)</f>
        <v/>
      </c>
      <c r="G989" s="26" t="str">
        <f>IF(A989="","",BASE_CAIXA!O986)</f>
        <v/>
      </c>
      <c r="H989" s="26" t="str">
        <f>IF(A989="","",BASE_CAIXA!P986)</f>
        <v/>
      </c>
      <c r="I989" s="26" t="str">
        <f>IF(A989="","",IF(BASE_CAIXA!H986&lt;&gt;"",BASE_CAIXA!H986,BASE_CAIXA!G986))</f>
        <v/>
      </c>
      <c r="J989" s="26" t="str">
        <f>IF(A989="","",BASE_CAIXA!G986)</f>
        <v/>
      </c>
      <c r="K989" s="26" t="str">
        <f>IF(A989="","",BASE_CAIXA!I986)</f>
        <v/>
      </c>
      <c r="L989" s="26" t="str">
        <f>IF(A989="","",BASE_CAIXA!J986)</f>
        <v/>
      </c>
      <c r="M989" s="26" t="str">
        <f>IF(A989="","",BASE_CAIXA!AM986)</f>
        <v/>
      </c>
      <c r="N989" s="26" t="str">
        <f t="shared" ca="1" si="45"/>
        <v/>
      </c>
      <c r="O989" s="26" t="str">
        <f>IFERROR(INDEX(EXTRATO_IMPORTADO!$A$5:$A$404,MATCH(B989,EXTRATO_IMPORTADO!$I$5:$I$404,0)),"")</f>
        <v/>
      </c>
      <c r="P989" s="26" t="str">
        <f>IFERROR(INDEX(EXTRATO_IMPORTADO!$F$5:$F$404,MATCH(B989,EXTRATO_IMPORTADO!$I$5:$I$404,0)),"")</f>
        <v/>
      </c>
      <c r="Q989" s="26" t="str">
        <f>IFERROR(INDEX(EXTRATO_IMPORTADO!$B$5:$B$404,MATCH(B989,EXTRATO_IMPORTADO!$I$5:$I$404,0)),"")</f>
        <v/>
      </c>
      <c r="R989" s="26" t="str">
        <f>IFERROR(MATCH(B989,EXTRATO_IMPORTADO!$I$5:$I$404,0),"")</f>
        <v/>
      </c>
      <c r="S989" s="26" t="str">
        <f t="shared" si="46"/>
        <v/>
      </c>
      <c r="T989" s="26" t="str">
        <f t="shared" si="47"/>
        <v/>
      </c>
    </row>
    <row r="990" spans="1:20" x14ac:dyDescent="0.3">
      <c r="A990" s="26" t="str">
        <f>IF(BASE_CAIXA!A987="","",BASE_CAIXA!A987)</f>
        <v/>
      </c>
      <c r="B990" s="26" t="str">
        <f>IF(A990="","",BASE_CAIXA!AL987)</f>
        <v/>
      </c>
      <c r="C990" s="26" t="str">
        <f>IF(A990="","",BASE_CAIXA!AJ987)</f>
        <v/>
      </c>
      <c r="D990" s="26" t="str">
        <f>IF(A990="","",IF(BASE_CAIXA!C987="Entrada","Crédito","Débito"))</f>
        <v/>
      </c>
      <c r="E990" s="26" t="str">
        <f>IF(A990="","",BASE_CAIXA!AA987)</f>
        <v/>
      </c>
      <c r="F990" s="26" t="str">
        <f>IF(A990="","",BASE_CAIXA!N987)</f>
        <v/>
      </c>
      <c r="G990" s="26" t="str">
        <f>IF(A990="","",BASE_CAIXA!O987)</f>
        <v/>
      </c>
      <c r="H990" s="26" t="str">
        <f>IF(A990="","",BASE_CAIXA!P987)</f>
        <v/>
      </c>
      <c r="I990" s="26" t="str">
        <f>IF(A990="","",IF(BASE_CAIXA!H987&lt;&gt;"",BASE_CAIXA!H987,BASE_CAIXA!G987))</f>
        <v/>
      </c>
      <c r="J990" s="26" t="str">
        <f>IF(A990="","",BASE_CAIXA!G987)</f>
        <v/>
      </c>
      <c r="K990" s="26" t="str">
        <f>IF(A990="","",BASE_CAIXA!I987)</f>
        <v/>
      </c>
      <c r="L990" s="26" t="str">
        <f>IF(A990="","",BASE_CAIXA!J987)</f>
        <v/>
      </c>
      <c r="M990" s="26" t="str">
        <f>IF(A990="","",BASE_CAIXA!AM987)</f>
        <v/>
      </c>
      <c r="N990" s="26" t="str">
        <f t="shared" ca="1" si="45"/>
        <v/>
      </c>
      <c r="O990" s="26" t="str">
        <f>IFERROR(INDEX(EXTRATO_IMPORTADO!$A$5:$A$404,MATCH(B990,EXTRATO_IMPORTADO!$I$5:$I$404,0)),"")</f>
        <v/>
      </c>
      <c r="P990" s="26" t="str">
        <f>IFERROR(INDEX(EXTRATO_IMPORTADO!$F$5:$F$404,MATCH(B990,EXTRATO_IMPORTADO!$I$5:$I$404,0)),"")</f>
        <v/>
      </c>
      <c r="Q990" s="26" t="str">
        <f>IFERROR(INDEX(EXTRATO_IMPORTADO!$B$5:$B$404,MATCH(B990,EXTRATO_IMPORTADO!$I$5:$I$404,0)),"")</f>
        <v/>
      </c>
      <c r="R990" s="26" t="str">
        <f>IFERROR(MATCH(B990,EXTRATO_IMPORTADO!$I$5:$I$404,0),"")</f>
        <v/>
      </c>
      <c r="S990" s="26" t="str">
        <f t="shared" si="46"/>
        <v/>
      </c>
      <c r="T990" s="26" t="str">
        <f t="shared" si="47"/>
        <v/>
      </c>
    </row>
    <row r="991" spans="1:20" x14ac:dyDescent="0.3">
      <c r="A991" s="26" t="str">
        <f>IF(BASE_CAIXA!A988="","",BASE_CAIXA!A988)</f>
        <v/>
      </c>
      <c r="B991" s="26" t="str">
        <f>IF(A991="","",BASE_CAIXA!AL988)</f>
        <v/>
      </c>
      <c r="C991" s="26" t="str">
        <f>IF(A991="","",BASE_CAIXA!AJ988)</f>
        <v/>
      </c>
      <c r="D991" s="26" t="str">
        <f>IF(A991="","",IF(BASE_CAIXA!C988="Entrada","Crédito","Débito"))</f>
        <v/>
      </c>
      <c r="E991" s="26" t="str">
        <f>IF(A991="","",BASE_CAIXA!AA988)</f>
        <v/>
      </c>
      <c r="F991" s="26" t="str">
        <f>IF(A991="","",BASE_CAIXA!N988)</f>
        <v/>
      </c>
      <c r="G991" s="26" t="str">
        <f>IF(A991="","",BASE_CAIXA!O988)</f>
        <v/>
      </c>
      <c r="H991" s="26" t="str">
        <f>IF(A991="","",BASE_CAIXA!P988)</f>
        <v/>
      </c>
      <c r="I991" s="26" t="str">
        <f>IF(A991="","",IF(BASE_CAIXA!H988&lt;&gt;"",BASE_CAIXA!H988,BASE_CAIXA!G988))</f>
        <v/>
      </c>
      <c r="J991" s="26" t="str">
        <f>IF(A991="","",BASE_CAIXA!G988)</f>
        <v/>
      </c>
      <c r="K991" s="26" t="str">
        <f>IF(A991="","",BASE_CAIXA!I988)</f>
        <v/>
      </c>
      <c r="L991" s="26" t="str">
        <f>IF(A991="","",BASE_CAIXA!J988)</f>
        <v/>
      </c>
      <c r="M991" s="26" t="str">
        <f>IF(A991="","",BASE_CAIXA!AM988)</f>
        <v/>
      </c>
      <c r="N991" s="26" t="str">
        <f t="shared" ca="1" si="45"/>
        <v/>
      </c>
      <c r="O991" s="26" t="str">
        <f>IFERROR(INDEX(EXTRATO_IMPORTADO!$A$5:$A$404,MATCH(B991,EXTRATO_IMPORTADO!$I$5:$I$404,0)),"")</f>
        <v/>
      </c>
      <c r="P991" s="26" t="str">
        <f>IFERROR(INDEX(EXTRATO_IMPORTADO!$F$5:$F$404,MATCH(B991,EXTRATO_IMPORTADO!$I$5:$I$404,0)),"")</f>
        <v/>
      </c>
      <c r="Q991" s="26" t="str">
        <f>IFERROR(INDEX(EXTRATO_IMPORTADO!$B$5:$B$404,MATCH(B991,EXTRATO_IMPORTADO!$I$5:$I$404,0)),"")</f>
        <v/>
      </c>
      <c r="R991" s="26" t="str">
        <f>IFERROR(MATCH(B991,EXTRATO_IMPORTADO!$I$5:$I$404,0),"")</f>
        <v/>
      </c>
      <c r="S991" s="26" t="str">
        <f t="shared" si="46"/>
        <v/>
      </c>
      <c r="T991" s="26" t="str">
        <f t="shared" si="47"/>
        <v/>
      </c>
    </row>
    <row r="992" spans="1:20" x14ac:dyDescent="0.3">
      <c r="A992" s="26" t="str">
        <f>IF(BASE_CAIXA!A989="","",BASE_CAIXA!A989)</f>
        <v/>
      </c>
      <c r="B992" s="26" t="str">
        <f>IF(A992="","",BASE_CAIXA!AL989)</f>
        <v/>
      </c>
      <c r="C992" s="26" t="str">
        <f>IF(A992="","",BASE_CAIXA!AJ989)</f>
        <v/>
      </c>
      <c r="D992" s="26" t="str">
        <f>IF(A992="","",IF(BASE_CAIXA!C989="Entrada","Crédito","Débito"))</f>
        <v/>
      </c>
      <c r="E992" s="26" t="str">
        <f>IF(A992="","",BASE_CAIXA!AA989)</f>
        <v/>
      </c>
      <c r="F992" s="26" t="str">
        <f>IF(A992="","",BASE_CAIXA!N989)</f>
        <v/>
      </c>
      <c r="G992" s="26" t="str">
        <f>IF(A992="","",BASE_CAIXA!O989)</f>
        <v/>
      </c>
      <c r="H992" s="26" t="str">
        <f>IF(A992="","",BASE_CAIXA!P989)</f>
        <v/>
      </c>
      <c r="I992" s="26" t="str">
        <f>IF(A992="","",IF(BASE_CAIXA!H989&lt;&gt;"",BASE_CAIXA!H989,BASE_CAIXA!G989))</f>
        <v/>
      </c>
      <c r="J992" s="26" t="str">
        <f>IF(A992="","",BASE_CAIXA!G989)</f>
        <v/>
      </c>
      <c r="K992" s="26" t="str">
        <f>IF(A992="","",BASE_CAIXA!I989)</f>
        <v/>
      </c>
      <c r="L992" s="26" t="str">
        <f>IF(A992="","",BASE_CAIXA!J989)</f>
        <v/>
      </c>
      <c r="M992" s="26" t="str">
        <f>IF(A992="","",BASE_CAIXA!AM989)</f>
        <v/>
      </c>
      <c r="N992" s="26" t="str">
        <f t="shared" ca="1" si="45"/>
        <v/>
      </c>
      <c r="O992" s="26" t="str">
        <f>IFERROR(INDEX(EXTRATO_IMPORTADO!$A$5:$A$404,MATCH(B992,EXTRATO_IMPORTADO!$I$5:$I$404,0)),"")</f>
        <v/>
      </c>
      <c r="P992" s="26" t="str">
        <f>IFERROR(INDEX(EXTRATO_IMPORTADO!$F$5:$F$404,MATCH(B992,EXTRATO_IMPORTADO!$I$5:$I$404,0)),"")</f>
        <v/>
      </c>
      <c r="Q992" s="26" t="str">
        <f>IFERROR(INDEX(EXTRATO_IMPORTADO!$B$5:$B$404,MATCH(B992,EXTRATO_IMPORTADO!$I$5:$I$404,0)),"")</f>
        <v/>
      </c>
      <c r="R992" s="26" t="str">
        <f>IFERROR(MATCH(B992,EXTRATO_IMPORTADO!$I$5:$I$404,0),"")</f>
        <v/>
      </c>
      <c r="S992" s="26" t="str">
        <f t="shared" si="46"/>
        <v/>
      </c>
      <c r="T992" s="26" t="str">
        <f t="shared" si="47"/>
        <v/>
      </c>
    </row>
    <row r="993" spans="1:20" x14ac:dyDescent="0.3">
      <c r="A993" s="26" t="str">
        <f>IF(BASE_CAIXA!A990="","",BASE_CAIXA!A990)</f>
        <v/>
      </c>
      <c r="B993" s="26" t="str">
        <f>IF(A993="","",BASE_CAIXA!AL990)</f>
        <v/>
      </c>
      <c r="C993" s="26" t="str">
        <f>IF(A993="","",BASE_CAIXA!AJ990)</f>
        <v/>
      </c>
      <c r="D993" s="26" t="str">
        <f>IF(A993="","",IF(BASE_CAIXA!C990="Entrada","Crédito","Débito"))</f>
        <v/>
      </c>
      <c r="E993" s="26" t="str">
        <f>IF(A993="","",BASE_CAIXA!AA990)</f>
        <v/>
      </c>
      <c r="F993" s="26" t="str">
        <f>IF(A993="","",BASE_CAIXA!N990)</f>
        <v/>
      </c>
      <c r="G993" s="26" t="str">
        <f>IF(A993="","",BASE_CAIXA!O990)</f>
        <v/>
      </c>
      <c r="H993" s="26" t="str">
        <f>IF(A993="","",BASE_CAIXA!P990)</f>
        <v/>
      </c>
      <c r="I993" s="26" t="str">
        <f>IF(A993="","",IF(BASE_CAIXA!H990&lt;&gt;"",BASE_CAIXA!H990,BASE_CAIXA!G990))</f>
        <v/>
      </c>
      <c r="J993" s="26" t="str">
        <f>IF(A993="","",BASE_CAIXA!G990)</f>
        <v/>
      </c>
      <c r="K993" s="26" t="str">
        <f>IF(A993="","",BASE_CAIXA!I990)</f>
        <v/>
      </c>
      <c r="L993" s="26" t="str">
        <f>IF(A993="","",BASE_CAIXA!J990)</f>
        <v/>
      </c>
      <c r="M993" s="26" t="str">
        <f>IF(A993="","",BASE_CAIXA!AM990)</f>
        <v/>
      </c>
      <c r="N993" s="26" t="str">
        <f t="shared" ca="1" si="45"/>
        <v/>
      </c>
      <c r="O993" s="26" t="str">
        <f>IFERROR(INDEX(EXTRATO_IMPORTADO!$A$5:$A$404,MATCH(B993,EXTRATO_IMPORTADO!$I$5:$I$404,0)),"")</f>
        <v/>
      </c>
      <c r="P993" s="26" t="str">
        <f>IFERROR(INDEX(EXTRATO_IMPORTADO!$F$5:$F$404,MATCH(B993,EXTRATO_IMPORTADO!$I$5:$I$404,0)),"")</f>
        <v/>
      </c>
      <c r="Q993" s="26" t="str">
        <f>IFERROR(INDEX(EXTRATO_IMPORTADO!$B$5:$B$404,MATCH(B993,EXTRATO_IMPORTADO!$I$5:$I$404,0)),"")</f>
        <v/>
      </c>
      <c r="R993" s="26" t="str">
        <f>IFERROR(MATCH(B993,EXTRATO_IMPORTADO!$I$5:$I$404,0),"")</f>
        <v/>
      </c>
      <c r="S993" s="26" t="str">
        <f t="shared" si="46"/>
        <v/>
      </c>
      <c r="T993" s="26" t="str">
        <f t="shared" si="47"/>
        <v/>
      </c>
    </row>
    <row r="994" spans="1:20" x14ac:dyDescent="0.3">
      <c r="A994" s="26" t="str">
        <f>IF(BASE_CAIXA!A991="","",BASE_CAIXA!A991)</f>
        <v/>
      </c>
      <c r="B994" s="26" t="str">
        <f>IF(A994="","",BASE_CAIXA!AL991)</f>
        <v/>
      </c>
      <c r="C994" s="26" t="str">
        <f>IF(A994="","",BASE_CAIXA!AJ991)</f>
        <v/>
      </c>
      <c r="D994" s="26" t="str">
        <f>IF(A994="","",IF(BASE_CAIXA!C991="Entrada","Crédito","Débito"))</f>
        <v/>
      </c>
      <c r="E994" s="26" t="str">
        <f>IF(A994="","",BASE_CAIXA!AA991)</f>
        <v/>
      </c>
      <c r="F994" s="26" t="str">
        <f>IF(A994="","",BASE_CAIXA!N991)</f>
        <v/>
      </c>
      <c r="G994" s="26" t="str">
        <f>IF(A994="","",BASE_CAIXA!O991)</f>
        <v/>
      </c>
      <c r="H994" s="26" t="str">
        <f>IF(A994="","",BASE_CAIXA!P991)</f>
        <v/>
      </c>
      <c r="I994" s="26" t="str">
        <f>IF(A994="","",IF(BASE_CAIXA!H991&lt;&gt;"",BASE_CAIXA!H991,BASE_CAIXA!G991))</f>
        <v/>
      </c>
      <c r="J994" s="26" t="str">
        <f>IF(A994="","",BASE_CAIXA!G991)</f>
        <v/>
      </c>
      <c r="K994" s="26" t="str">
        <f>IF(A994="","",BASE_CAIXA!I991)</f>
        <v/>
      </c>
      <c r="L994" s="26" t="str">
        <f>IF(A994="","",BASE_CAIXA!J991)</f>
        <v/>
      </c>
      <c r="M994" s="26" t="str">
        <f>IF(A994="","",BASE_CAIXA!AM991)</f>
        <v/>
      </c>
      <c r="N994" s="26" t="str">
        <f t="shared" ca="1" si="45"/>
        <v/>
      </c>
      <c r="O994" s="26" t="str">
        <f>IFERROR(INDEX(EXTRATO_IMPORTADO!$A$5:$A$404,MATCH(B994,EXTRATO_IMPORTADO!$I$5:$I$404,0)),"")</f>
        <v/>
      </c>
      <c r="P994" s="26" t="str">
        <f>IFERROR(INDEX(EXTRATO_IMPORTADO!$F$5:$F$404,MATCH(B994,EXTRATO_IMPORTADO!$I$5:$I$404,0)),"")</f>
        <v/>
      </c>
      <c r="Q994" s="26" t="str">
        <f>IFERROR(INDEX(EXTRATO_IMPORTADO!$B$5:$B$404,MATCH(B994,EXTRATO_IMPORTADO!$I$5:$I$404,0)),"")</f>
        <v/>
      </c>
      <c r="R994" s="26" t="str">
        <f>IFERROR(MATCH(B994,EXTRATO_IMPORTADO!$I$5:$I$404,0),"")</f>
        <v/>
      </c>
      <c r="S994" s="26" t="str">
        <f t="shared" si="46"/>
        <v/>
      </c>
      <c r="T994" s="26" t="str">
        <f t="shared" si="47"/>
        <v/>
      </c>
    </row>
    <row r="995" spans="1:20" x14ac:dyDescent="0.3">
      <c r="A995" s="26" t="str">
        <f>IF(BASE_CAIXA!A992="","",BASE_CAIXA!A992)</f>
        <v/>
      </c>
      <c r="B995" s="26" t="str">
        <f>IF(A995="","",BASE_CAIXA!AL992)</f>
        <v/>
      </c>
      <c r="C995" s="26" t="str">
        <f>IF(A995="","",BASE_CAIXA!AJ992)</f>
        <v/>
      </c>
      <c r="D995" s="26" t="str">
        <f>IF(A995="","",IF(BASE_CAIXA!C992="Entrada","Crédito","Débito"))</f>
        <v/>
      </c>
      <c r="E995" s="26" t="str">
        <f>IF(A995="","",BASE_CAIXA!AA992)</f>
        <v/>
      </c>
      <c r="F995" s="26" t="str">
        <f>IF(A995="","",BASE_CAIXA!N992)</f>
        <v/>
      </c>
      <c r="G995" s="26" t="str">
        <f>IF(A995="","",BASE_CAIXA!O992)</f>
        <v/>
      </c>
      <c r="H995" s="26" t="str">
        <f>IF(A995="","",BASE_CAIXA!P992)</f>
        <v/>
      </c>
      <c r="I995" s="26" t="str">
        <f>IF(A995="","",IF(BASE_CAIXA!H992&lt;&gt;"",BASE_CAIXA!H992,BASE_CAIXA!G992))</f>
        <v/>
      </c>
      <c r="J995" s="26" t="str">
        <f>IF(A995="","",BASE_CAIXA!G992)</f>
        <v/>
      </c>
      <c r="K995" s="26" t="str">
        <f>IF(A995="","",BASE_CAIXA!I992)</f>
        <v/>
      </c>
      <c r="L995" s="26" t="str">
        <f>IF(A995="","",BASE_CAIXA!J992)</f>
        <v/>
      </c>
      <c r="M995" s="26" t="str">
        <f>IF(A995="","",BASE_CAIXA!AM992)</f>
        <v/>
      </c>
      <c r="N995" s="26" t="str">
        <f t="shared" ca="1" si="45"/>
        <v/>
      </c>
      <c r="O995" s="26" t="str">
        <f>IFERROR(INDEX(EXTRATO_IMPORTADO!$A$5:$A$404,MATCH(B995,EXTRATO_IMPORTADO!$I$5:$I$404,0)),"")</f>
        <v/>
      </c>
      <c r="P995" s="26" t="str">
        <f>IFERROR(INDEX(EXTRATO_IMPORTADO!$F$5:$F$404,MATCH(B995,EXTRATO_IMPORTADO!$I$5:$I$404,0)),"")</f>
        <v/>
      </c>
      <c r="Q995" s="26" t="str">
        <f>IFERROR(INDEX(EXTRATO_IMPORTADO!$B$5:$B$404,MATCH(B995,EXTRATO_IMPORTADO!$I$5:$I$404,0)),"")</f>
        <v/>
      </c>
      <c r="R995" s="26" t="str">
        <f>IFERROR(MATCH(B995,EXTRATO_IMPORTADO!$I$5:$I$404,0),"")</f>
        <v/>
      </c>
      <c r="S995" s="26" t="str">
        <f t="shared" si="46"/>
        <v/>
      </c>
      <c r="T995" s="26" t="str">
        <f t="shared" si="47"/>
        <v/>
      </c>
    </row>
    <row r="996" spans="1:20" x14ac:dyDescent="0.3">
      <c r="A996" s="26" t="str">
        <f>IF(BASE_CAIXA!A993="","",BASE_CAIXA!A993)</f>
        <v/>
      </c>
      <c r="B996" s="26" t="str">
        <f>IF(A996="","",BASE_CAIXA!AL993)</f>
        <v/>
      </c>
      <c r="C996" s="26" t="str">
        <f>IF(A996="","",BASE_CAIXA!AJ993)</f>
        <v/>
      </c>
      <c r="D996" s="26" t="str">
        <f>IF(A996="","",IF(BASE_CAIXA!C993="Entrada","Crédito","Débito"))</f>
        <v/>
      </c>
      <c r="E996" s="26" t="str">
        <f>IF(A996="","",BASE_CAIXA!AA993)</f>
        <v/>
      </c>
      <c r="F996" s="26" t="str">
        <f>IF(A996="","",BASE_CAIXA!N993)</f>
        <v/>
      </c>
      <c r="G996" s="26" t="str">
        <f>IF(A996="","",BASE_CAIXA!O993)</f>
        <v/>
      </c>
      <c r="H996" s="26" t="str">
        <f>IF(A996="","",BASE_CAIXA!P993)</f>
        <v/>
      </c>
      <c r="I996" s="26" t="str">
        <f>IF(A996="","",IF(BASE_CAIXA!H993&lt;&gt;"",BASE_CAIXA!H993,BASE_CAIXA!G993))</f>
        <v/>
      </c>
      <c r="J996" s="26" t="str">
        <f>IF(A996="","",BASE_CAIXA!G993)</f>
        <v/>
      </c>
      <c r="K996" s="26" t="str">
        <f>IF(A996="","",BASE_CAIXA!I993)</f>
        <v/>
      </c>
      <c r="L996" s="26" t="str">
        <f>IF(A996="","",BASE_CAIXA!J993)</f>
        <v/>
      </c>
      <c r="M996" s="26" t="str">
        <f>IF(A996="","",BASE_CAIXA!AM993)</f>
        <v/>
      </c>
      <c r="N996" s="26" t="str">
        <f t="shared" ca="1" si="45"/>
        <v/>
      </c>
      <c r="O996" s="26" t="str">
        <f>IFERROR(INDEX(EXTRATO_IMPORTADO!$A$5:$A$404,MATCH(B996,EXTRATO_IMPORTADO!$I$5:$I$404,0)),"")</f>
        <v/>
      </c>
      <c r="P996" s="26" t="str">
        <f>IFERROR(INDEX(EXTRATO_IMPORTADO!$F$5:$F$404,MATCH(B996,EXTRATO_IMPORTADO!$I$5:$I$404,0)),"")</f>
        <v/>
      </c>
      <c r="Q996" s="26" t="str">
        <f>IFERROR(INDEX(EXTRATO_IMPORTADO!$B$5:$B$404,MATCH(B996,EXTRATO_IMPORTADO!$I$5:$I$404,0)),"")</f>
        <v/>
      </c>
      <c r="R996" s="26" t="str">
        <f>IFERROR(MATCH(B996,EXTRATO_IMPORTADO!$I$5:$I$404,0),"")</f>
        <v/>
      </c>
      <c r="S996" s="26" t="str">
        <f t="shared" si="46"/>
        <v/>
      </c>
      <c r="T996" s="26" t="str">
        <f t="shared" si="47"/>
        <v/>
      </c>
    </row>
    <row r="997" spans="1:20" x14ac:dyDescent="0.3">
      <c r="A997" s="26" t="str">
        <f>IF(BASE_CAIXA!A994="","",BASE_CAIXA!A994)</f>
        <v/>
      </c>
      <c r="B997" s="26" t="str">
        <f>IF(A997="","",BASE_CAIXA!AL994)</f>
        <v/>
      </c>
      <c r="C997" s="26" t="str">
        <f>IF(A997="","",BASE_CAIXA!AJ994)</f>
        <v/>
      </c>
      <c r="D997" s="26" t="str">
        <f>IF(A997="","",IF(BASE_CAIXA!C994="Entrada","Crédito","Débito"))</f>
        <v/>
      </c>
      <c r="E997" s="26" t="str">
        <f>IF(A997="","",BASE_CAIXA!AA994)</f>
        <v/>
      </c>
      <c r="F997" s="26" t="str">
        <f>IF(A997="","",BASE_CAIXA!N994)</f>
        <v/>
      </c>
      <c r="G997" s="26" t="str">
        <f>IF(A997="","",BASE_CAIXA!O994)</f>
        <v/>
      </c>
      <c r="H997" s="26" t="str">
        <f>IF(A997="","",BASE_CAIXA!P994)</f>
        <v/>
      </c>
      <c r="I997" s="26" t="str">
        <f>IF(A997="","",IF(BASE_CAIXA!H994&lt;&gt;"",BASE_CAIXA!H994,BASE_CAIXA!G994))</f>
        <v/>
      </c>
      <c r="J997" s="26" t="str">
        <f>IF(A997="","",BASE_CAIXA!G994)</f>
        <v/>
      </c>
      <c r="K997" s="26" t="str">
        <f>IF(A997="","",BASE_CAIXA!I994)</f>
        <v/>
      </c>
      <c r="L997" s="26" t="str">
        <f>IF(A997="","",BASE_CAIXA!J994)</f>
        <v/>
      </c>
      <c r="M997" s="26" t="str">
        <f>IF(A997="","",BASE_CAIXA!AM994)</f>
        <v/>
      </c>
      <c r="N997" s="26" t="str">
        <f t="shared" ca="1" si="45"/>
        <v/>
      </c>
      <c r="O997" s="26" t="str">
        <f>IFERROR(INDEX(EXTRATO_IMPORTADO!$A$5:$A$404,MATCH(B997,EXTRATO_IMPORTADO!$I$5:$I$404,0)),"")</f>
        <v/>
      </c>
      <c r="P997" s="26" t="str">
        <f>IFERROR(INDEX(EXTRATO_IMPORTADO!$F$5:$F$404,MATCH(B997,EXTRATO_IMPORTADO!$I$5:$I$404,0)),"")</f>
        <v/>
      </c>
      <c r="Q997" s="26" t="str">
        <f>IFERROR(INDEX(EXTRATO_IMPORTADO!$B$5:$B$404,MATCH(B997,EXTRATO_IMPORTADO!$I$5:$I$404,0)),"")</f>
        <v/>
      </c>
      <c r="R997" s="26" t="str">
        <f>IFERROR(MATCH(B997,EXTRATO_IMPORTADO!$I$5:$I$404,0),"")</f>
        <v/>
      </c>
      <c r="S997" s="26" t="str">
        <f t="shared" si="46"/>
        <v/>
      </c>
      <c r="T997" s="26" t="str">
        <f t="shared" si="47"/>
        <v/>
      </c>
    </row>
    <row r="998" spans="1:20" x14ac:dyDescent="0.3">
      <c r="A998" s="26" t="str">
        <f>IF(BASE_CAIXA!A995="","",BASE_CAIXA!A995)</f>
        <v/>
      </c>
      <c r="B998" s="26" t="str">
        <f>IF(A998="","",BASE_CAIXA!AL995)</f>
        <v/>
      </c>
      <c r="C998" s="26" t="str">
        <f>IF(A998="","",BASE_CAIXA!AJ995)</f>
        <v/>
      </c>
      <c r="D998" s="26" t="str">
        <f>IF(A998="","",IF(BASE_CAIXA!C995="Entrada","Crédito","Débito"))</f>
        <v/>
      </c>
      <c r="E998" s="26" t="str">
        <f>IF(A998="","",BASE_CAIXA!AA995)</f>
        <v/>
      </c>
      <c r="F998" s="26" t="str">
        <f>IF(A998="","",BASE_CAIXA!N995)</f>
        <v/>
      </c>
      <c r="G998" s="26" t="str">
        <f>IF(A998="","",BASE_CAIXA!O995)</f>
        <v/>
      </c>
      <c r="H998" s="26" t="str">
        <f>IF(A998="","",BASE_CAIXA!P995)</f>
        <v/>
      </c>
      <c r="I998" s="26" t="str">
        <f>IF(A998="","",IF(BASE_CAIXA!H995&lt;&gt;"",BASE_CAIXA!H995,BASE_CAIXA!G995))</f>
        <v/>
      </c>
      <c r="J998" s="26" t="str">
        <f>IF(A998="","",BASE_CAIXA!G995)</f>
        <v/>
      </c>
      <c r="K998" s="26" t="str">
        <f>IF(A998="","",BASE_CAIXA!I995)</f>
        <v/>
      </c>
      <c r="L998" s="26" t="str">
        <f>IF(A998="","",BASE_CAIXA!J995)</f>
        <v/>
      </c>
      <c r="M998" s="26" t="str">
        <f>IF(A998="","",BASE_CAIXA!AM995)</f>
        <v/>
      </c>
      <c r="N998" s="26" t="str">
        <f t="shared" ca="1" si="45"/>
        <v/>
      </c>
      <c r="O998" s="26" t="str">
        <f>IFERROR(INDEX(EXTRATO_IMPORTADO!$A$5:$A$404,MATCH(B998,EXTRATO_IMPORTADO!$I$5:$I$404,0)),"")</f>
        <v/>
      </c>
      <c r="P998" s="26" t="str">
        <f>IFERROR(INDEX(EXTRATO_IMPORTADO!$F$5:$F$404,MATCH(B998,EXTRATO_IMPORTADO!$I$5:$I$404,0)),"")</f>
        <v/>
      </c>
      <c r="Q998" s="26" t="str">
        <f>IFERROR(INDEX(EXTRATO_IMPORTADO!$B$5:$B$404,MATCH(B998,EXTRATO_IMPORTADO!$I$5:$I$404,0)),"")</f>
        <v/>
      </c>
      <c r="R998" s="26" t="str">
        <f>IFERROR(MATCH(B998,EXTRATO_IMPORTADO!$I$5:$I$404,0),"")</f>
        <v/>
      </c>
      <c r="S998" s="26" t="str">
        <f t="shared" si="46"/>
        <v/>
      </c>
      <c r="T998" s="26" t="str">
        <f t="shared" si="47"/>
        <v/>
      </c>
    </row>
    <row r="999" spans="1:20" x14ac:dyDescent="0.3">
      <c r="A999" s="26" t="str">
        <f>IF(BASE_CAIXA!A996="","",BASE_CAIXA!A996)</f>
        <v/>
      </c>
      <c r="B999" s="26" t="str">
        <f>IF(A999="","",BASE_CAIXA!AL996)</f>
        <v/>
      </c>
      <c r="C999" s="26" t="str">
        <f>IF(A999="","",BASE_CAIXA!AJ996)</f>
        <v/>
      </c>
      <c r="D999" s="26" t="str">
        <f>IF(A999="","",IF(BASE_CAIXA!C996="Entrada","Crédito","Débito"))</f>
        <v/>
      </c>
      <c r="E999" s="26" t="str">
        <f>IF(A999="","",BASE_CAIXA!AA996)</f>
        <v/>
      </c>
      <c r="F999" s="26" t="str">
        <f>IF(A999="","",BASE_CAIXA!N996)</f>
        <v/>
      </c>
      <c r="G999" s="26" t="str">
        <f>IF(A999="","",BASE_CAIXA!O996)</f>
        <v/>
      </c>
      <c r="H999" s="26" t="str">
        <f>IF(A999="","",BASE_CAIXA!P996)</f>
        <v/>
      </c>
      <c r="I999" s="26" t="str">
        <f>IF(A999="","",IF(BASE_CAIXA!H996&lt;&gt;"",BASE_CAIXA!H996,BASE_CAIXA!G996))</f>
        <v/>
      </c>
      <c r="J999" s="26" t="str">
        <f>IF(A999="","",BASE_CAIXA!G996)</f>
        <v/>
      </c>
      <c r="K999" s="26" t="str">
        <f>IF(A999="","",BASE_CAIXA!I996)</f>
        <v/>
      </c>
      <c r="L999" s="26" t="str">
        <f>IF(A999="","",BASE_CAIXA!J996)</f>
        <v/>
      </c>
      <c r="M999" s="26" t="str">
        <f>IF(A999="","",BASE_CAIXA!AM996)</f>
        <v/>
      </c>
      <c r="N999" s="26" t="str">
        <f t="shared" ca="1" si="45"/>
        <v/>
      </c>
      <c r="O999" s="26" t="str">
        <f>IFERROR(INDEX(EXTRATO_IMPORTADO!$A$5:$A$404,MATCH(B999,EXTRATO_IMPORTADO!$I$5:$I$404,0)),"")</f>
        <v/>
      </c>
      <c r="P999" s="26" t="str">
        <f>IFERROR(INDEX(EXTRATO_IMPORTADO!$F$5:$F$404,MATCH(B999,EXTRATO_IMPORTADO!$I$5:$I$404,0)),"")</f>
        <v/>
      </c>
      <c r="Q999" s="26" t="str">
        <f>IFERROR(INDEX(EXTRATO_IMPORTADO!$B$5:$B$404,MATCH(B999,EXTRATO_IMPORTADO!$I$5:$I$404,0)),"")</f>
        <v/>
      </c>
      <c r="R999" s="26" t="str">
        <f>IFERROR(MATCH(B999,EXTRATO_IMPORTADO!$I$5:$I$404,0),"")</f>
        <v/>
      </c>
      <c r="S999" s="26" t="str">
        <f t="shared" si="46"/>
        <v/>
      </c>
      <c r="T999" s="26" t="str">
        <f t="shared" si="47"/>
        <v/>
      </c>
    </row>
    <row r="1000" spans="1:20" x14ac:dyDescent="0.3">
      <c r="A1000" s="26" t="str">
        <f>IF(BASE_CAIXA!A997="","",BASE_CAIXA!A997)</f>
        <v/>
      </c>
      <c r="B1000" s="26" t="str">
        <f>IF(A1000="","",BASE_CAIXA!AL997)</f>
        <v/>
      </c>
      <c r="C1000" s="26" t="str">
        <f>IF(A1000="","",BASE_CAIXA!AJ997)</f>
        <v/>
      </c>
      <c r="D1000" s="26" t="str">
        <f>IF(A1000="","",IF(BASE_CAIXA!C997="Entrada","Crédito","Débito"))</f>
        <v/>
      </c>
      <c r="E1000" s="26" t="str">
        <f>IF(A1000="","",BASE_CAIXA!AA997)</f>
        <v/>
      </c>
      <c r="F1000" s="26" t="str">
        <f>IF(A1000="","",BASE_CAIXA!N997)</f>
        <v/>
      </c>
      <c r="G1000" s="26" t="str">
        <f>IF(A1000="","",BASE_CAIXA!O997)</f>
        <v/>
      </c>
      <c r="H1000" s="26" t="str">
        <f>IF(A1000="","",BASE_CAIXA!P997)</f>
        <v/>
      </c>
      <c r="I1000" s="26" t="str">
        <f>IF(A1000="","",IF(BASE_CAIXA!H997&lt;&gt;"",BASE_CAIXA!H997,BASE_CAIXA!G997))</f>
        <v/>
      </c>
      <c r="J1000" s="26" t="str">
        <f>IF(A1000="","",BASE_CAIXA!G997)</f>
        <v/>
      </c>
      <c r="K1000" s="26" t="str">
        <f>IF(A1000="","",BASE_CAIXA!I997)</f>
        <v/>
      </c>
      <c r="L1000" s="26" t="str">
        <f>IF(A1000="","",BASE_CAIXA!J997)</f>
        <v/>
      </c>
      <c r="M1000" s="26" t="str">
        <f>IF(A1000="","",BASE_CAIXA!AM997)</f>
        <v/>
      </c>
      <c r="N1000" s="26" t="str">
        <f t="shared" ca="1" si="45"/>
        <v/>
      </c>
      <c r="O1000" s="26" t="str">
        <f>IFERROR(INDEX(EXTRATO_IMPORTADO!$A$5:$A$404,MATCH(B1000,EXTRATO_IMPORTADO!$I$5:$I$404,0)),"")</f>
        <v/>
      </c>
      <c r="P1000" s="26" t="str">
        <f>IFERROR(INDEX(EXTRATO_IMPORTADO!$F$5:$F$404,MATCH(B1000,EXTRATO_IMPORTADO!$I$5:$I$404,0)),"")</f>
        <v/>
      </c>
      <c r="Q1000" s="26" t="str">
        <f>IFERROR(INDEX(EXTRATO_IMPORTADO!$B$5:$B$404,MATCH(B1000,EXTRATO_IMPORTADO!$I$5:$I$404,0)),"")</f>
        <v/>
      </c>
      <c r="R1000" s="26" t="str">
        <f>IFERROR(MATCH(B1000,EXTRATO_IMPORTADO!$I$5:$I$404,0),"")</f>
        <v/>
      </c>
      <c r="S1000" s="26" t="str">
        <f t="shared" si="46"/>
        <v/>
      </c>
      <c r="T1000" s="26" t="str">
        <f t="shared" si="47"/>
        <v/>
      </c>
    </row>
    <row r="1001" spans="1:20" x14ac:dyDescent="0.3">
      <c r="A1001" s="26" t="str">
        <f>IF(BASE_CAIXA!A998="","",BASE_CAIXA!A998)</f>
        <v/>
      </c>
      <c r="B1001" s="26" t="str">
        <f>IF(A1001="","",BASE_CAIXA!AL998)</f>
        <v/>
      </c>
      <c r="C1001" s="26" t="str">
        <f>IF(A1001="","",BASE_CAIXA!AJ998)</f>
        <v/>
      </c>
      <c r="D1001" s="26" t="str">
        <f>IF(A1001="","",IF(BASE_CAIXA!C998="Entrada","Crédito","Débito"))</f>
        <v/>
      </c>
      <c r="E1001" s="26" t="str">
        <f>IF(A1001="","",BASE_CAIXA!AA998)</f>
        <v/>
      </c>
      <c r="F1001" s="26" t="str">
        <f>IF(A1001="","",BASE_CAIXA!N998)</f>
        <v/>
      </c>
      <c r="G1001" s="26" t="str">
        <f>IF(A1001="","",BASE_CAIXA!O998)</f>
        <v/>
      </c>
      <c r="H1001" s="26" t="str">
        <f>IF(A1001="","",BASE_CAIXA!P998)</f>
        <v/>
      </c>
      <c r="I1001" s="26" t="str">
        <f>IF(A1001="","",IF(BASE_CAIXA!H998&lt;&gt;"",BASE_CAIXA!H998,BASE_CAIXA!G998))</f>
        <v/>
      </c>
      <c r="J1001" s="26" t="str">
        <f>IF(A1001="","",BASE_CAIXA!G998)</f>
        <v/>
      </c>
      <c r="K1001" s="26" t="str">
        <f>IF(A1001="","",BASE_CAIXA!I998)</f>
        <v/>
      </c>
      <c r="L1001" s="26" t="str">
        <f>IF(A1001="","",BASE_CAIXA!J998)</f>
        <v/>
      </c>
      <c r="M1001" s="26" t="str">
        <f>IF(A1001="","",BASE_CAIXA!AM998)</f>
        <v/>
      </c>
      <c r="N1001" s="26" t="str">
        <f t="shared" ca="1" si="45"/>
        <v/>
      </c>
      <c r="O1001" s="26" t="str">
        <f>IFERROR(INDEX(EXTRATO_IMPORTADO!$A$5:$A$404,MATCH(B1001,EXTRATO_IMPORTADO!$I$5:$I$404,0)),"")</f>
        <v/>
      </c>
      <c r="P1001" s="26" t="str">
        <f>IFERROR(INDEX(EXTRATO_IMPORTADO!$F$5:$F$404,MATCH(B1001,EXTRATO_IMPORTADO!$I$5:$I$404,0)),"")</f>
        <v/>
      </c>
      <c r="Q1001" s="26" t="str">
        <f>IFERROR(INDEX(EXTRATO_IMPORTADO!$B$5:$B$404,MATCH(B1001,EXTRATO_IMPORTADO!$I$5:$I$404,0)),"")</f>
        <v/>
      </c>
      <c r="R1001" s="26" t="str">
        <f>IFERROR(MATCH(B1001,EXTRATO_IMPORTADO!$I$5:$I$404,0),"")</f>
        <v/>
      </c>
      <c r="S1001" s="26" t="str">
        <f t="shared" si="46"/>
        <v/>
      </c>
      <c r="T1001" s="26" t="str">
        <f t="shared" si="47"/>
        <v/>
      </c>
    </row>
    <row r="1002" spans="1:20" x14ac:dyDescent="0.3">
      <c r="A1002" s="26" t="str">
        <f>IF(BASE_CAIXA!A999="","",BASE_CAIXA!A999)</f>
        <v/>
      </c>
      <c r="B1002" s="26" t="str">
        <f>IF(A1002="","",BASE_CAIXA!AL999)</f>
        <v/>
      </c>
      <c r="C1002" s="26" t="str">
        <f>IF(A1002="","",BASE_CAIXA!AJ999)</f>
        <v/>
      </c>
      <c r="D1002" s="26" t="str">
        <f>IF(A1002="","",IF(BASE_CAIXA!C999="Entrada","Crédito","Débito"))</f>
        <v/>
      </c>
      <c r="E1002" s="26" t="str">
        <f>IF(A1002="","",BASE_CAIXA!AA999)</f>
        <v/>
      </c>
      <c r="F1002" s="26" t="str">
        <f>IF(A1002="","",BASE_CAIXA!N999)</f>
        <v/>
      </c>
      <c r="G1002" s="26" t="str">
        <f>IF(A1002="","",BASE_CAIXA!O999)</f>
        <v/>
      </c>
      <c r="H1002" s="26" t="str">
        <f>IF(A1002="","",BASE_CAIXA!P999)</f>
        <v/>
      </c>
      <c r="I1002" s="26" t="str">
        <f>IF(A1002="","",IF(BASE_CAIXA!H999&lt;&gt;"",BASE_CAIXA!H999,BASE_CAIXA!G999))</f>
        <v/>
      </c>
      <c r="J1002" s="26" t="str">
        <f>IF(A1002="","",BASE_CAIXA!G999)</f>
        <v/>
      </c>
      <c r="K1002" s="26" t="str">
        <f>IF(A1002="","",BASE_CAIXA!I999)</f>
        <v/>
      </c>
      <c r="L1002" s="26" t="str">
        <f>IF(A1002="","",BASE_CAIXA!J999)</f>
        <v/>
      </c>
      <c r="M1002" s="26" t="str">
        <f>IF(A1002="","",BASE_CAIXA!AM999)</f>
        <v/>
      </c>
      <c r="N1002" s="26" t="str">
        <f t="shared" ca="1" si="45"/>
        <v/>
      </c>
      <c r="O1002" s="26" t="str">
        <f>IFERROR(INDEX(EXTRATO_IMPORTADO!$A$5:$A$404,MATCH(B1002,EXTRATO_IMPORTADO!$I$5:$I$404,0)),"")</f>
        <v/>
      </c>
      <c r="P1002" s="26" t="str">
        <f>IFERROR(INDEX(EXTRATO_IMPORTADO!$F$5:$F$404,MATCH(B1002,EXTRATO_IMPORTADO!$I$5:$I$404,0)),"")</f>
        <v/>
      </c>
      <c r="Q1002" s="26" t="str">
        <f>IFERROR(INDEX(EXTRATO_IMPORTADO!$B$5:$B$404,MATCH(B1002,EXTRATO_IMPORTADO!$I$5:$I$404,0)),"")</f>
        <v/>
      </c>
      <c r="R1002" s="26" t="str">
        <f>IFERROR(MATCH(B1002,EXTRATO_IMPORTADO!$I$5:$I$404,0),"")</f>
        <v/>
      </c>
      <c r="S1002" s="26" t="str">
        <f t="shared" si="46"/>
        <v/>
      </c>
      <c r="T1002" s="26" t="str">
        <f t="shared" si="47"/>
        <v/>
      </c>
    </row>
    <row r="1003" spans="1:20" x14ac:dyDescent="0.3">
      <c r="A1003" s="26" t="str">
        <f>IF(BASE_CAIXA!A1000="","",BASE_CAIXA!A1000)</f>
        <v/>
      </c>
      <c r="B1003" s="26" t="str">
        <f>IF(A1003="","",BASE_CAIXA!AL1000)</f>
        <v/>
      </c>
      <c r="C1003" s="26" t="str">
        <f>IF(A1003="","",BASE_CAIXA!AJ1000)</f>
        <v/>
      </c>
      <c r="D1003" s="26" t="str">
        <f>IF(A1003="","",IF(BASE_CAIXA!C1000="Entrada","Crédito","Débito"))</f>
        <v/>
      </c>
      <c r="E1003" s="26" t="str">
        <f>IF(A1003="","",BASE_CAIXA!AA1000)</f>
        <v/>
      </c>
      <c r="F1003" s="26" t="str">
        <f>IF(A1003="","",BASE_CAIXA!N1000)</f>
        <v/>
      </c>
      <c r="G1003" s="26" t="str">
        <f>IF(A1003="","",BASE_CAIXA!O1000)</f>
        <v/>
      </c>
      <c r="H1003" s="26" t="str">
        <f>IF(A1003="","",BASE_CAIXA!P1000)</f>
        <v/>
      </c>
      <c r="I1003" s="26" t="str">
        <f>IF(A1003="","",IF(BASE_CAIXA!H1000&lt;&gt;"",BASE_CAIXA!H1000,BASE_CAIXA!G1000))</f>
        <v/>
      </c>
      <c r="J1003" s="26" t="str">
        <f>IF(A1003="","",BASE_CAIXA!G1000)</f>
        <v/>
      </c>
      <c r="K1003" s="26" t="str">
        <f>IF(A1003="","",BASE_CAIXA!I1000)</f>
        <v/>
      </c>
      <c r="L1003" s="26" t="str">
        <f>IF(A1003="","",BASE_CAIXA!J1000)</f>
        <v/>
      </c>
      <c r="M1003" s="26" t="str">
        <f>IF(A1003="","",BASE_CAIXA!AM1000)</f>
        <v/>
      </c>
      <c r="N1003" s="26" t="str">
        <f t="shared" ca="1" si="45"/>
        <v/>
      </c>
      <c r="O1003" s="26" t="str">
        <f>IFERROR(INDEX(EXTRATO_IMPORTADO!$A$5:$A$404,MATCH(B1003,EXTRATO_IMPORTADO!$I$5:$I$404,0)),"")</f>
        <v/>
      </c>
      <c r="P1003" s="26" t="str">
        <f>IFERROR(INDEX(EXTRATO_IMPORTADO!$F$5:$F$404,MATCH(B1003,EXTRATO_IMPORTADO!$I$5:$I$404,0)),"")</f>
        <v/>
      </c>
      <c r="Q1003" s="26" t="str">
        <f>IFERROR(INDEX(EXTRATO_IMPORTADO!$B$5:$B$404,MATCH(B1003,EXTRATO_IMPORTADO!$I$5:$I$404,0)),"")</f>
        <v/>
      </c>
      <c r="R1003" s="26" t="str">
        <f>IFERROR(MATCH(B1003,EXTRATO_IMPORTADO!$I$5:$I$404,0),"")</f>
        <v/>
      </c>
      <c r="S1003" s="26" t="str">
        <f t="shared" si="46"/>
        <v/>
      </c>
      <c r="T1003" s="26" t="str">
        <f t="shared" si="47"/>
        <v/>
      </c>
    </row>
    <row r="1004" spans="1:20" x14ac:dyDescent="0.3">
      <c r="A1004" s="26" t="str">
        <f>IF(BASE_CAIXA!A1001="","",BASE_CAIXA!A1001)</f>
        <v/>
      </c>
      <c r="B1004" s="26" t="str">
        <f>IF(A1004="","",BASE_CAIXA!AL1001)</f>
        <v/>
      </c>
      <c r="C1004" s="26" t="str">
        <f>IF(A1004="","",BASE_CAIXA!AJ1001)</f>
        <v/>
      </c>
      <c r="D1004" s="26" t="str">
        <f>IF(A1004="","",IF(BASE_CAIXA!C1001="Entrada","Crédito","Débito"))</f>
        <v/>
      </c>
      <c r="E1004" s="26" t="str">
        <f>IF(A1004="","",BASE_CAIXA!AA1001)</f>
        <v/>
      </c>
      <c r="F1004" s="26" t="str">
        <f>IF(A1004="","",BASE_CAIXA!N1001)</f>
        <v/>
      </c>
      <c r="G1004" s="26" t="str">
        <f>IF(A1004="","",BASE_CAIXA!O1001)</f>
        <v/>
      </c>
      <c r="H1004" s="26" t="str">
        <f>IF(A1004="","",BASE_CAIXA!P1001)</f>
        <v/>
      </c>
      <c r="I1004" s="26" t="str">
        <f>IF(A1004="","",IF(BASE_CAIXA!H1001&lt;&gt;"",BASE_CAIXA!H1001,BASE_CAIXA!G1001))</f>
        <v/>
      </c>
      <c r="J1004" s="26" t="str">
        <f>IF(A1004="","",BASE_CAIXA!G1001)</f>
        <v/>
      </c>
      <c r="K1004" s="26" t="str">
        <f>IF(A1004="","",BASE_CAIXA!I1001)</f>
        <v/>
      </c>
      <c r="L1004" s="26" t="str">
        <f>IF(A1004="","",BASE_CAIXA!J1001)</f>
        <v/>
      </c>
      <c r="M1004" s="26" t="str">
        <f>IF(A1004="","",BASE_CAIXA!AM1001)</f>
        <v/>
      </c>
      <c r="N1004" s="26" t="str">
        <f t="shared" ca="1" si="45"/>
        <v/>
      </c>
      <c r="O1004" s="26" t="str">
        <f>IFERROR(INDEX(EXTRATO_IMPORTADO!$A$5:$A$404,MATCH(B1004,EXTRATO_IMPORTADO!$I$5:$I$404,0)),"")</f>
        <v/>
      </c>
      <c r="P1004" s="26" t="str">
        <f>IFERROR(INDEX(EXTRATO_IMPORTADO!$F$5:$F$404,MATCH(B1004,EXTRATO_IMPORTADO!$I$5:$I$404,0)),"")</f>
        <v/>
      </c>
      <c r="Q1004" s="26" t="str">
        <f>IFERROR(INDEX(EXTRATO_IMPORTADO!$B$5:$B$404,MATCH(B1004,EXTRATO_IMPORTADO!$I$5:$I$404,0)),"")</f>
        <v/>
      </c>
      <c r="R1004" s="26" t="str">
        <f>IFERROR(MATCH(B1004,EXTRATO_IMPORTADO!$I$5:$I$404,0),"")</f>
        <v/>
      </c>
      <c r="S1004" s="26" t="str">
        <f t="shared" si="46"/>
        <v/>
      </c>
      <c r="T1004" s="26" t="str">
        <f t="shared" si="47"/>
        <v/>
      </c>
    </row>
    <row r="1005" spans="1:20" x14ac:dyDescent="0.3">
      <c r="A1005" s="26" t="str">
        <f>IF(BASE_CAIXA!A1002="","",BASE_CAIXA!A1002)</f>
        <v/>
      </c>
      <c r="B1005" s="26" t="str">
        <f>IF(A1005="","",BASE_CAIXA!AL1002)</f>
        <v/>
      </c>
      <c r="C1005" s="26" t="str">
        <f>IF(A1005="","",BASE_CAIXA!AJ1002)</f>
        <v/>
      </c>
      <c r="D1005" s="26" t="str">
        <f>IF(A1005="","",IF(BASE_CAIXA!C1002="Entrada","Crédito","Débito"))</f>
        <v/>
      </c>
      <c r="E1005" s="26" t="str">
        <f>IF(A1005="","",BASE_CAIXA!AA1002)</f>
        <v/>
      </c>
      <c r="F1005" s="26" t="str">
        <f>IF(A1005="","",BASE_CAIXA!N1002)</f>
        <v/>
      </c>
      <c r="G1005" s="26" t="str">
        <f>IF(A1005="","",BASE_CAIXA!O1002)</f>
        <v/>
      </c>
      <c r="H1005" s="26" t="str">
        <f>IF(A1005="","",BASE_CAIXA!P1002)</f>
        <v/>
      </c>
      <c r="I1005" s="26" t="str">
        <f>IF(A1005="","",IF(BASE_CAIXA!H1002&lt;&gt;"",BASE_CAIXA!H1002,BASE_CAIXA!G1002))</f>
        <v/>
      </c>
      <c r="J1005" s="26" t="str">
        <f>IF(A1005="","",BASE_CAIXA!G1002)</f>
        <v/>
      </c>
      <c r="K1005" s="26" t="str">
        <f>IF(A1005="","",BASE_CAIXA!I1002)</f>
        <v/>
      </c>
      <c r="L1005" s="26" t="str">
        <f>IF(A1005="","",BASE_CAIXA!J1002)</f>
        <v/>
      </c>
      <c r="M1005" s="26" t="str">
        <f>IF(A1005="","",BASE_CAIXA!AM1002)</f>
        <v/>
      </c>
      <c r="N1005" s="26" t="str">
        <f t="shared" ca="1" si="45"/>
        <v/>
      </c>
      <c r="O1005" s="26" t="str">
        <f>IFERROR(INDEX(EXTRATO_IMPORTADO!$A$5:$A$404,MATCH(B1005,EXTRATO_IMPORTADO!$I$5:$I$404,0)),"")</f>
        <v/>
      </c>
      <c r="P1005" s="26" t="str">
        <f>IFERROR(INDEX(EXTRATO_IMPORTADO!$F$5:$F$404,MATCH(B1005,EXTRATO_IMPORTADO!$I$5:$I$404,0)),"")</f>
        <v/>
      </c>
      <c r="Q1005" s="26" t="str">
        <f>IFERROR(INDEX(EXTRATO_IMPORTADO!$B$5:$B$404,MATCH(B1005,EXTRATO_IMPORTADO!$I$5:$I$404,0)),"")</f>
        <v/>
      </c>
      <c r="R1005" s="26" t="str">
        <f>IFERROR(MATCH(B1005,EXTRATO_IMPORTADO!$I$5:$I$404,0),"")</f>
        <v/>
      </c>
      <c r="S1005" s="26" t="str">
        <f t="shared" si="46"/>
        <v/>
      </c>
      <c r="T1005" s="26" t="str">
        <f t="shared" si="47"/>
        <v/>
      </c>
    </row>
    <row r="1006" spans="1:20" x14ac:dyDescent="0.3">
      <c r="A1006" s="26" t="str">
        <f>IF(BASE_CAIXA!A1003="","",BASE_CAIXA!A1003)</f>
        <v/>
      </c>
      <c r="B1006" s="26" t="str">
        <f>IF(A1006="","",BASE_CAIXA!AL1003)</f>
        <v/>
      </c>
      <c r="C1006" s="26" t="str">
        <f>IF(A1006="","",BASE_CAIXA!AJ1003)</f>
        <v/>
      </c>
      <c r="D1006" s="26" t="str">
        <f>IF(A1006="","",IF(BASE_CAIXA!C1003="Entrada","Crédito","Débito"))</f>
        <v/>
      </c>
      <c r="E1006" s="26" t="str">
        <f>IF(A1006="","",BASE_CAIXA!AA1003)</f>
        <v/>
      </c>
      <c r="F1006" s="26" t="str">
        <f>IF(A1006="","",BASE_CAIXA!N1003)</f>
        <v/>
      </c>
      <c r="G1006" s="26" t="str">
        <f>IF(A1006="","",BASE_CAIXA!O1003)</f>
        <v/>
      </c>
      <c r="H1006" s="26" t="str">
        <f>IF(A1006="","",BASE_CAIXA!P1003)</f>
        <v/>
      </c>
      <c r="I1006" s="26" t="str">
        <f>IF(A1006="","",IF(BASE_CAIXA!H1003&lt;&gt;"",BASE_CAIXA!H1003,BASE_CAIXA!G1003))</f>
        <v/>
      </c>
      <c r="J1006" s="26" t="str">
        <f>IF(A1006="","",BASE_CAIXA!G1003)</f>
        <v/>
      </c>
      <c r="K1006" s="26" t="str">
        <f>IF(A1006="","",BASE_CAIXA!I1003)</f>
        <v/>
      </c>
      <c r="L1006" s="26" t="str">
        <f>IF(A1006="","",BASE_CAIXA!J1003)</f>
        <v/>
      </c>
      <c r="M1006" s="26" t="str">
        <f>IF(A1006="","",BASE_CAIXA!AM1003)</f>
        <v/>
      </c>
      <c r="N1006" s="26" t="str">
        <f t="shared" ca="1" si="45"/>
        <v/>
      </c>
      <c r="O1006" s="26" t="str">
        <f>IFERROR(INDEX(EXTRATO_IMPORTADO!$A$5:$A$404,MATCH(B1006,EXTRATO_IMPORTADO!$I$5:$I$404,0)),"")</f>
        <v/>
      </c>
      <c r="P1006" s="26" t="str">
        <f>IFERROR(INDEX(EXTRATO_IMPORTADO!$F$5:$F$404,MATCH(B1006,EXTRATO_IMPORTADO!$I$5:$I$404,0)),"")</f>
        <v/>
      </c>
      <c r="Q1006" s="26" t="str">
        <f>IFERROR(INDEX(EXTRATO_IMPORTADO!$B$5:$B$404,MATCH(B1006,EXTRATO_IMPORTADO!$I$5:$I$404,0)),"")</f>
        <v/>
      </c>
      <c r="R1006" s="26" t="str">
        <f>IFERROR(MATCH(B1006,EXTRATO_IMPORTADO!$I$5:$I$404,0),"")</f>
        <v/>
      </c>
      <c r="S1006" s="26" t="str">
        <f t="shared" si="46"/>
        <v/>
      </c>
      <c r="T1006" s="26" t="str">
        <f t="shared" si="47"/>
        <v/>
      </c>
    </row>
    <row r="1007" spans="1:20" x14ac:dyDescent="0.3">
      <c r="A1007" s="26" t="str">
        <f>IF(BASE_CAIXA!A1004="","",BASE_CAIXA!A1004)</f>
        <v/>
      </c>
      <c r="B1007" s="26" t="str">
        <f>IF(A1007="","",BASE_CAIXA!AL1004)</f>
        <v/>
      </c>
      <c r="C1007" s="26" t="str">
        <f>IF(A1007="","",BASE_CAIXA!AJ1004)</f>
        <v/>
      </c>
      <c r="D1007" s="26" t="str">
        <f>IF(A1007="","",IF(BASE_CAIXA!C1004="Entrada","Crédito","Débito"))</f>
        <v/>
      </c>
      <c r="E1007" s="26" t="str">
        <f>IF(A1007="","",BASE_CAIXA!AA1004)</f>
        <v/>
      </c>
      <c r="F1007" s="26" t="str">
        <f>IF(A1007="","",BASE_CAIXA!N1004)</f>
        <v/>
      </c>
      <c r="G1007" s="26" t="str">
        <f>IF(A1007="","",BASE_CAIXA!O1004)</f>
        <v/>
      </c>
      <c r="H1007" s="26" t="str">
        <f>IF(A1007="","",BASE_CAIXA!P1004)</f>
        <v/>
      </c>
      <c r="I1007" s="26" t="str">
        <f>IF(A1007="","",IF(BASE_CAIXA!H1004&lt;&gt;"",BASE_CAIXA!H1004,BASE_CAIXA!G1004))</f>
        <v/>
      </c>
      <c r="J1007" s="26" t="str">
        <f>IF(A1007="","",BASE_CAIXA!G1004)</f>
        <v/>
      </c>
      <c r="K1007" s="26" t="str">
        <f>IF(A1007="","",BASE_CAIXA!I1004)</f>
        <v/>
      </c>
      <c r="L1007" s="26" t="str">
        <f>IF(A1007="","",BASE_CAIXA!J1004)</f>
        <v/>
      </c>
      <c r="M1007" s="26" t="str">
        <f>IF(A1007="","",BASE_CAIXA!AM1004)</f>
        <v/>
      </c>
      <c r="N1007" s="26" t="str">
        <f t="shared" ca="1" si="45"/>
        <v/>
      </c>
      <c r="O1007" s="26" t="str">
        <f>IFERROR(INDEX(EXTRATO_IMPORTADO!$A$5:$A$404,MATCH(B1007,EXTRATO_IMPORTADO!$I$5:$I$404,0)),"")</f>
        <v/>
      </c>
      <c r="P1007" s="26" t="str">
        <f>IFERROR(INDEX(EXTRATO_IMPORTADO!$F$5:$F$404,MATCH(B1007,EXTRATO_IMPORTADO!$I$5:$I$404,0)),"")</f>
        <v/>
      </c>
      <c r="Q1007" s="26" t="str">
        <f>IFERROR(INDEX(EXTRATO_IMPORTADO!$B$5:$B$404,MATCH(B1007,EXTRATO_IMPORTADO!$I$5:$I$404,0)),"")</f>
        <v/>
      </c>
      <c r="R1007" s="26" t="str">
        <f>IFERROR(MATCH(B1007,EXTRATO_IMPORTADO!$I$5:$I$404,0),"")</f>
        <v/>
      </c>
      <c r="S1007" s="26" t="str">
        <f t="shared" si="46"/>
        <v/>
      </c>
      <c r="T1007" s="26" t="str">
        <f t="shared" si="47"/>
        <v/>
      </c>
    </row>
    <row r="1008" spans="1:20" x14ac:dyDescent="0.3">
      <c r="A1008" s="26" t="str">
        <f>IF(BASE_CAIXA!A1005="","",BASE_CAIXA!A1005)</f>
        <v/>
      </c>
      <c r="B1008" s="26" t="str">
        <f>IF(A1008="","",BASE_CAIXA!AL1005)</f>
        <v/>
      </c>
      <c r="C1008" s="26" t="str">
        <f>IF(A1008="","",BASE_CAIXA!AJ1005)</f>
        <v/>
      </c>
      <c r="D1008" s="26" t="str">
        <f>IF(A1008="","",IF(BASE_CAIXA!C1005="Entrada","Crédito","Débito"))</f>
        <v/>
      </c>
      <c r="E1008" s="26" t="str">
        <f>IF(A1008="","",BASE_CAIXA!AA1005)</f>
        <v/>
      </c>
      <c r="F1008" s="26" t="str">
        <f>IF(A1008="","",BASE_CAIXA!N1005)</f>
        <v/>
      </c>
      <c r="G1008" s="26" t="str">
        <f>IF(A1008="","",BASE_CAIXA!O1005)</f>
        <v/>
      </c>
      <c r="H1008" s="26" t="str">
        <f>IF(A1008="","",BASE_CAIXA!P1005)</f>
        <v/>
      </c>
      <c r="I1008" s="26" t="str">
        <f>IF(A1008="","",IF(BASE_CAIXA!H1005&lt;&gt;"",BASE_CAIXA!H1005,BASE_CAIXA!G1005))</f>
        <v/>
      </c>
      <c r="J1008" s="26" t="str">
        <f>IF(A1008="","",BASE_CAIXA!G1005)</f>
        <v/>
      </c>
      <c r="K1008" s="26" t="str">
        <f>IF(A1008="","",BASE_CAIXA!I1005)</f>
        <v/>
      </c>
      <c r="L1008" s="26" t="str">
        <f>IF(A1008="","",BASE_CAIXA!J1005)</f>
        <v/>
      </c>
      <c r="M1008" s="26" t="str">
        <f>IF(A1008="","",BASE_CAIXA!AM1005)</f>
        <v/>
      </c>
      <c r="N1008" s="26" t="str">
        <f t="shared" ca="1" si="45"/>
        <v/>
      </c>
      <c r="O1008" s="26" t="str">
        <f>IFERROR(INDEX(EXTRATO_IMPORTADO!$A$5:$A$404,MATCH(B1008,EXTRATO_IMPORTADO!$I$5:$I$404,0)),"")</f>
        <v/>
      </c>
      <c r="P1008" s="26" t="str">
        <f>IFERROR(INDEX(EXTRATO_IMPORTADO!$F$5:$F$404,MATCH(B1008,EXTRATO_IMPORTADO!$I$5:$I$404,0)),"")</f>
        <v/>
      </c>
      <c r="Q1008" s="26" t="str">
        <f>IFERROR(INDEX(EXTRATO_IMPORTADO!$B$5:$B$404,MATCH(B1008,EXTRATO_IMPORTADO!$I$5:$I$404,0)),"")</f>
        <v/>
      </c>
      <c r="R1008" s="26" t="str">
        <f>IFERROR(MATCH(B1008,EXTRATO_IMPORTADO!$I$5:$I$404,0),"")</f>
        <v/>
      </c>
      <c r="S1008" s="26" t="str">
        <f t="shared" si="46"/>
        <v/>
      </c>
      <c r="T1008" s="26" t="str">
        <f t="shared" si="47"/>
        <v/>
      </c>
    </row>
    <row r="1009" spans="1:20" x14ac:dyDescent="0.3">
      <c r="A1009" s="26" t="str">
        <f>IF(BASE_CAIXA!A1006="","",BASE_CAIXA!A1006)</f>
        <v/>
      </c>
      <c r="B1009" s="26" t="str">
        <f>IF(A1009="","",BASE_CAIXA!AL1006)</f>
        <v/>
      </c>
      <c r="C1009" s="26" t="str">
        <f>IF(A1009="","",BASE_CAIXA!AJ1006)</f>
        <v/>
      </c>
      <c r="D1009" s="26" t="str">
        <f>IF(A1009="","",IF(BASE_CAIXA!C1006="Entrada","Crédito","Débito"))</f>
        <v/>
      </c>
      <c r="E1009" s="26" t="str">
        <f>IF(A1009="","",BASE_CAIXA!AA1006)</f>
        <v/>
      </c>
      <c r="F1009" s="26" t="str">
        <f>IF(A1009="","",BASE_CAIXA!N1006)</f>
        <v/>
      </c>
      <c r="G1009" s="26" t="str">
        <f>IF(A1009="","",BASE_CAIXA!O1006)</f>
        <v/>
      </c>
      <c r="H1009" s="26" t="str">
        <f>IF(A1009="","",BASE_CAIXA!P1006)</f>
        <v/>
      </c>
      <c r="I1009" s="26" t="str">
        <f>IF(A1009="","",IF(BASE_CAIXA!H1006&lt;&gt;"",BASE_CAIXA!H1006,BASE_CAIXA!G1006))</f>
        <v/>
      </c>
      <c r="J1009" s="26" t="str">
        <f>IF(A1009="","",BASE_CAIXA!G1006)</f>
        <v/>
      </c>
      <c r="K1009" s="26" t="str">
        <f>IF(A1009="","",BASE_CAIXA!I1006)</f>
        <v/>
      </c>
      <c r="L1009" s="26" t="str">
        <f>IF(A1009="","",BASE_CAIXA!J1006)</f>
        <v/>
      </c>
      <c r="M1009" s="26" t="str">
        <f>IF(A1009="","",BASE_CAIXA!AM1006)</f>
        <v/>
      </c>
      <c r="N1009" s="26" t="str">
        <f t="shared" ca="1" si="45"/>
        <v/>
      </c>
      <c r="O1009" s="26" t="str">
        <f>IFERROR(INDEX(EXTRATO_IMPORTADO!$A$5:$A$404,MATCH(B1009,EXTRATO_IMPORTADO!$I$5:$I$404,0)),"")</f>
        <v/>
      </c>
      <c r="P1009" s="26" t="str">
        <f>IFERROR(INDEX(EXTRATO_IMPORTADO!$F$5:$F$404,MATCH(B1009,EXTRATO_IMPORTADO!$I$5:$I$404,0)),"")</f>
        <v/>
      </c>
      <c r="Q1009" s="26" t="str">
        <f>IFERROR(INDEX(EXTRATO_IMPORTADO!$B$5:$B$404,MATCH(B1009,EXTRATO_IMPORTADO!$I$5:$I$404,0)),"")</f>
        <v/>
      </c>
      <c r="R1009" s="26" t="str">
        <f>IFERROR(MATCH(B1009,EXTRATO_IMPORTADO!$I$5:$I$404,0),"")</f>
        <v/>
      </c>
      <c r="S1009" s="26" t="str">
        <f t="shared" si="46"/>
        <v/>
      </c>
      <c r="T1009" s="26" t="str">
        <f t="shared" si="47"/>
        <v/>
      </c>
    </row>
    <row r="1010" spans="1:20" x14ac:dyDescent="0.3">
      <c r="A1010" s="26" t="str">
        <f>IF(BASE_CAIXA!A1007="","",BASE_CAIXA!A1007)</f>
        <v/>
      </c>
      <c r="B1010" s="26" t="str">
        <f>IF(A1010="","",BASE_CAIXA!AL1007)</f>
        <v/>
      </c>
      <c r="C1010" s="26" t="str">
        <f>IF(A1010="","",BASE_CAIXA!AJ1007)</f>
        <v/>
      </c>
      <c r="D1010" s="26" t="str">
        <f>IF(A1010="","",IF(BASE_CAIXA!C1007="Entrada","Crédito","Débito"))</f>
        <v/>
      </c>
      <c r="E1010" s="26" t="str">
        <f>IF(A1010="","",BASE_CAIXA!AA1007)</f>
        <v/>
      </c>
      <c r="F1010" s="26" t="str">
        <f>IF(A1010="","",BASE_CAIXA!N1007)</f>
        <v/>
      </c>
      <c r="G1010" s="26" t="str">
        <f>IF(A1010="","",BASE_CAIXA!O1007)</f>
        <v/>
      </c>
      <c r="H1010" s="26" t="str">
        <f>IF(A1010="","",BASE_CAIXA!P1007)</f>
        <v/>
      </c>
      <c r="I1010" s="26" t="str">
        <f>IF(A1010="","",IF(BASE_CAIXA!H1007&lt;&gt;"",BASE_CAIXA!H1007,BASE_CAIXA!G1007))</f>
        <v/>
      </c>
      <c r="J1010" s="26" t="str">
        <f>IF(A1010="","",BASE_CAIXA!G1007)</f>
        <v/>
      </c>
      <c r="K1010" s="26" t="str">
        <f>IF(A1010="","",BASE_CAIXA!I1007)</f>
        <v/>
      </c>
      <c r="L1010" s="26" t="str">
        <f>IF(A1010="","",BASE_CAIXA!J1007)</f>
        <v/>
      </c>
      <c r="M1010" s="26" t="str">
        <f>IF(A1010="","",BASE_CAIXA!AM1007)</f>
        <v/>
      </c>
      <c r="N1010" s="26" t="str">
        <f t="shared" ca="1" si="45"/>
        <v/>
      </c>
      <c r="O1010" s="26" t="str">
        <f>IFERROR(INDEX(EXTRATO_IMPORTADO!$A$5:$A$404,MATCH(B1010,EXTRATO_IMPORTADO!$I$5:$I$404,0)),"")</f>
        <v/>
      </c>
      <c r="P1010" s="26" t="str">
        <f>IFERROR(INDEX(EXTRATO_IMPORTADO!$F$5:$F$404,MATCH(B1010,EXTRATO_IMPORTADO!$I$5:$I$404,0)),"")</f>
        <v/>
      </c>
      <c r="Q1010" s="26" t="str">
        <f>IFERROR(INDEX(EXTRATO_IMPORTADO!$B$5:$B$404,MATCH(B1010,EXTRATO_IMPORTADO!$I$5:$I$404,0)),"")</f>
        <v/>
      </c>
      <c r="R1010" s="26" t="str">
        <f>IFERROR(MATCH(B1010,EXTRATO_IMPORTADO!$I$5:$I$404,0),"")</f>
        <v/>
      </c>
      <c r="S1010" s="26" t="str">
        <f t="shared" si="46"/>
        <v/>
      </c>
      <c r="T1010" s="26" t="str">
        <f t="shared" si="47"/>
        <v/>
      </c>
    </row>
    <row r="1011" spans="1:20" x14ac:dyDescent="0.3">
      <c r="A1011" s="26" t="str">
        <f>IF(BASE_CAIXA!A1008="","",BASE_CAIXA!A1008)</f>
        <v/>
      </c>
      <c r="B1011" s="26" t="str">
        <f>IF(A1011="","",BASE_CAIXA!AL1008)</f>
        <v/>
      </c>
      <c r="C1011" s="26" t="str">
        <f>IF(A1011="","",BASE_CAIXA!AJ1008)</f>
        <v/>
      </c>
      <c r="D1011" s="26" t="str">
        <f>IF(A1011="","",IF(BASE_CAIXA!C1008="Entrada","Crédito","Débito"))</f>
        <v/>
      </c>
      <c r="E1011" s="26" t="str">
        <f>IF(A1011="","",BASE_CAIXA!AA1008)</f>
        <v/>
      </c>
      <c r="F1011" s="26" t="str">
        <f>IF(A1011="","",BASE_CAIXA!N1008)</f>
        <v/>
      </c>
      <c r="G1011" s="26" t="str">
        <f>IF(A1011="","",BASE_CAIXA!O1008)</f>
        <v/>
      </c>
      <c r="H1011" s="26" t="str">
        <f>IF(A1011="","",BASE_CAIXA!P1008)</f>
        <v/>
      </c>
      <c r="I1011" s="26" t="str">
        <f>IF(A1011="","",IF(BASE_CAIXA!H1008&lt;&gt;"",BASE_CAIXA!H1008,BASE_CAIXA!G1008))</f>
        <v/>
      </c>
      <c r="J1011" s="26" t="str">
        <f>IF(A1011="","",BASE_CAIXA!G1008)</f>
        <v/>
      </c>
      <c r="K1011" s="26" t="str">
        <f>IF(A1011="","",BASE_CAIXA!I1008)</f>
        <v/>
      </c>
      <c r="L1011" s="26" t="str">
        <f>IF(A1011="","",BASE_CAIXA!J1008)</f>
        <v/>
      </c>
      <c r="M1011" s="26" t="str">
        <f>IF(A1011="","",BASE_CAIXA!AM1008)</f>
        <v/>
      </c>
      <c r="N1011" s="26" t="str">
        <f t="shared" ca="1" si="45"/>
        <v/>
      </c>
      <c r="O1011" s="26" t="str">
        <f>IFERROR(INDEX(EXTRATO_IMPORTADO!$A$5:$A$404,MATCH(B1011,EXTRATO_IMPORTADO!$I$5:$I$404,0)),"")</f>
        <v/>
      </c>
      <c r="P1011" s="26" t="str">
        <f>IFERROR(INDEX(EXTRATO_IMPORTADO!$F$5:$F$404,MATCH(B1011,EXTRATO_IMPORTADO!$I$5:$I$404,0)),"")</f>
        <v/>
      </c>
      <c r="Q1011" s="26" t="str">
        <f>IFERROR(INDEX(EXTRATO_IMPORTADO!$B$5:$B$404,MATCH(B1011,EXTRATO_IMPORTADO!$I$5:$I$404,0)),"")</f>
        <v/>
      </c>
      <c r="R1011" s="26" t="str">
        <f>IFERROR(MATCH(B1011,EXTRATO_IMPORTADO!$I$5:$I$404,0),"")</f>
        <v/>
      </c>
      <c r="S1011" s="26" t="str">
        <f t="shared" si="46"/>
        <v/>
      </c>
      <c r="T1011" s="26" t="str">
        <f t="shared" si="47"/>
        <v/>
      </c>
    </row>
    <row r="1012" spans="1:20" x14ac:dyDescent="0.3">
      <c r="A1012" s="26" t="str">
        <f>IF(BASE_CAIXA!A1009="","",BASE_CAIXA!A1009)</f>
        <v/>
      </c>
      <c r="B1012" s="26" t="str">
        <f>IF(A1012="","",BASE_CAIXA!AL1009)</f>
        <v/>
      </c>
      <c r="C1012" s="26" t="str">
        <f>IF(A1012="","",BASE_CAIXA!AJ1009)</f>
        <v/>
      </c>
      <c r="D1012" s="26" t="str">
        <f>IF(A1012="","",IF(BASE_CAIXA!C1009="Entrada","Crédito","Débito"))</f>
        <v/>
      </c>
      <c r="E1012" s="26" t="str">
        <f>IF(A1012="","",BASE_CAIXA!AA1009)</f>
        <v/>
      </c>
      <c r="F1012" s="26" t="str">
        <f>IF(A1012="","",BASE_CAIXA!N1009)</f>
        <v/>
      </c>
      <c r="G1012" s="26" t="str">
        <f>IF(A1012="","",BASE_CAIXA!O1009)</f>
        <v/>
      </c>
      <c r="H1012" s="26" t="str">
        <f>IF(A1012="","",BASE_CAIXA!P1009)</f>
        <v/>
      </c>
      <c r="I1012" s="26" t="str">
        <f>IF(A1012="","",IF(BASE_CAIXA!H1009&lt;&gt;"",BASE_CAIXA!H1009,BASE_CAIXA!G1009))</f>
        <v/>
      </c>
      <c r="J1012" s="26" t="str">
        <f>IF(A1012="","",BASE_CAIXA!G1009)</f>
        <v/>
      </c>
      <c r="K1012" s="26" t="str">
        <f>IF(A1012="","",BASE_CAIXA!I1009)</f>
        <v/>
      </c>
      <c r="L1012" s="26" t="str">
        <f>IF(A1012="","",BASE_CAIXA!J1009)</f>
        <v/>
      </c>
      <c r="M1012" s="26" t="str">
        <f>IF(A1012="","",BASE_CAIXA!AM1009)</f>
        <v/>
      </c>
      <c r="N1012" s="26" t="str">
        <f t="shared" ca="1" si="45"/>
        <v/>
      </c>
      <c r="O1012" s="26" t="str">
        <f>IFERROR(INDEX(EXTRATO_IMPORTADO!$A$5:$A$404,MATCH(B1012,EXTRATO_IMPORTADO!$I$5:$I$404,0)),"")</f>
        <v/>
      </c>
      <c r="P1012" s="26" t="str">
        <f>IFERROR(INDEX(EXTRATO_IMPORTADO!$F$5:$F$404,MATCH(B1012,EXTRATO_IMPORTADO!$I$5:$I$404,0)),"")</f>
        <v/>
      </c>
      <c r="Q1012" s="26" t="str">
        <f>IFERROR(INDEX(EXTRATO_IMPORTADO!$B$5:$B$404,MATCH(B1012,EXTRATO_IMPORTADO!$I$5:$I$404,0)),"")</f>
        <v/>
      </c>
      <c r="R1012" s="26" t="str">
        <f>IFERROR(MATCH(B1012,EXTRATO_IMPORTADO!$I$5:$I$404,0),"")</f>
        <v/>
      </c>
      <c r="S1012" s="26" t="str">
        <f t="shared" si="46"/>
        <v/>
      </c>
      <c r="T1012" s="26" t="str">
        <f t="shared" si="47"/>
        <v/>
      </c>
    </row>
    <row r="1013" spans="1:20" x14ac:dyDescent="0.3">
      <c r="A1013" s="26" t="str">
        <f>IF(BASE_CAIXA!A1010="","",BASE_CAIXA!A1010)</f>
        <v/>
      </c>
      <c r="B1013" s="26" t="str">
        <f>IF(A1013="","",BASE_CAIXA!AL1010)</f>
        <v/>
      </c>
      <c r="C1013" s="26" t="str">
        <f>IF(A1013="","",BASE_CAIXA!AJ1010)</f>
        <v/>
      </c>
      <c r="D1013" s="26" t="str">
        <f>IF(A1013="","",IF(BASE_CAIXA!C1010="Entrada","Crédito","Débito"))</f>
        <v/>
      </c>
      <c r="E1013" s="26" t="str">
        <f>IF(A1013="","",BASE_CAIXA!AA1010)</f>
        <v/>
      </c>
      <c r="F1013" s="26" t="str">
        <f>IF(A1013="","",BASE_CAIXA!N1010)</f>
        <v/>
      </c>
      <c r="G1013" s="26" t="str">
        <f>IF(A1013="","",BASE_CAIXA!O1010)</f>
        <v/>
      </c>
      <c r="H1013" s="26" t="str">
        <f>IF(A1013="","",BASE_CAIXA!P1010)</f>
        <v/>
      </c>
      <c r="I1013" s="26" t="str">
        <f>IF(A1013="","",IF(BASE_CAIXA!H1010&lt;&gt;"",BASE_CAIXA!H1010,BASE_CAIXA!G1010))</f>
        <v/>
      </c>
      <c r="J1013" s="26" t="str">
        <f>IF(A1013="","",BASE_CAIXA!G1010)</f>
        <v/>
      </c>
      <c r="K1013" s="26" t="str">
        <f>IF(A1013="","",BASE_CAIXA!I1010)</f>
        <v/>
      </c>
      <c r="L1013" s="26" t="str">
        <f>IF(A1013="","",BASE_CAIXA!J1010)</f>
        <v/>
      </c>
      <c r="M1013" s="26" t="str">
        <f>IF(A1013="","",BASE_CAIXA!AM1010)</f>
        <v/>
      </c>
      <c r="N1013" s="26" t="str">
        <f t="shared" ca="1" si="45"/>
        <v/>
      </c>
      <c r="O1013" s="26" t="str">
        <f>IFERROR(INDEX(EXTRATO_IMPORTADO!$A$5:$A$404,MATCH(B1013,EXTRATO_IMPORTADO!$I$5:$I$404,0)),"")</f>
        <v/>
      </c>
      <c r="P1013" s="26" t="str">
        <f>IFERROR(INDEX(EXTRATO_IMPORTADO!$F$5:$F$404,MATCH(B1013,EXTRATO_IMPORTADO!$I$5:$I$404,0)),"")</f>
        <v/>
      </c>
      <c r="Q1013" s="26" t="str">
        <f>IFERROR(INDEX(EXTRATO_IMPORTADO!$B$5:$B$404,MATCH(B1013,EXTRATO_IMPORTADO!$I$5:$I$404,0)),"")</f>
        <v/>
      </c>
      <c r="R1013" s="26" t="str">
        <f>IFERROR(MATCH(B1013,EXTRATO_IMPORTADO!$I$5:$I$404,0),"")</f>
        <v/>
      </c>
      <c r="S1013" s="26" t="str">
        <f t="shared" si="46"/>
        <v/>
      </c>
      <c r="T1013" s="26" t="str">
        <f t="shared" si="47"/>
        <v/>
      </c>
    </row>
    <row r="1014" spans="1:20" x14ac:dyDescent="0.3">
      <c r="A1014" s="26" t="str">
        <f>IF(BASE_CAIXA!A1011="","",BASE_CAIXA!A1011)</f>
        <v/>
      </c>
      <c r="B1014" s="26" t="str">
        <f>IF(A1014="","",BASE_CAIXA!AL1011)</f>
        <v/>
      </c>
      <c r="C1014" s="26" t="str">
        <f>IF(A1014="","",BASE_CAIXA!AJ1011)</f>
        <v/>
      </c>
      <c r="D1014" s="26" t="str">
        <f>IF(A1014="","",IF(BASE_CAIXA!C1011="Entrada","Crédito","Débito"))</f>
        <v/>
      </c>
      <c r="E1014" s="26" t="str">
        <f>IF(A1014="","",BASE_CAIXA!AA1011)</f>
        <v/>
      </c>
      <c r="F1014" s="26" t="str">
        <f>IF(A1014="","",BASE_CAIXA!N1011)</f>
        <v/>
      </c>
      <c r="G1014" s="26" t="str">
        <f>IF(A1014="","",BASE_CAIXA!O1011)</f>
        <v/>
      </c>
      <c r="H1014" s="26" t="str">
        <f>IF(A1014="","",BASE_CAIXA!P1011)</f>
        <v/>
      </c>
      <c r="I1014" s="26" t="str">
        <f>IF(A1014="","",IF(BASE_CAIXA!H1011&lt;&gt;"",BASE_CAIXA!H1011,BASE_CAIXA!G1011))</f>
        <v/>
      </c>
      <c r="J1014" s="26" t="str">
        <f>IF(A1014="","",BASE_CAIXA!G1011)</f>
        <v/>
      </c>
      <c r="K1014" s="26" t="str">
        <f>IF(A1014="","",BASE_CAIXA!I1011)</f>
        <v/>
      </c>
      <c r="L1014" s="26" t="str">
        <f>IF(A1014="","",BASE_CAIXA!J1011)</f>
        <v/>
      </c>
      <c r="M1014" s="26" t="str">
        <f>IF(A1014="","",BASE_CAIXA!AM1011)</f>
        <v/>
      </c>
      <c r="N1014" s="26" t="str">
        <f t="shared" ca="1" si="45"/>
        <v/>
      </c>
      <c r="O1014" s="26" t="str">
        <f>IFERROR(INDEX(EXTRATO_IMPORTADO!$A$5:$A$404,MATCH(B1014,EXTRATO_IMPORTADO!$I$5:$I$404,0)),"")</f>
        <v/>
      </c>
      <c r="P1014" s="26" t="str">
        <f>IFERROR(INDEX(EXTRATO_IMPORTADO!$F$5:$F$404,MATCH(B1014,EXTRATO_IMPORTADO!$I$5:$I$404,0)),"")</f>
        <v/>
      </c>
      <c r="Q1014" s="26" t="str">
        <f>IFERROR(INDEX(EXTRATO_IMPORTADO!$B$5:$B$404,MATCH(B1014,EXTRATO_IMPORTADO!$I$5:$I$404,0)),"")</f>
        <v/>
      </c>
      <c r="R1014" s="26" t="str">
        <f>IFERROR(MATCH(B1014,EXTRATO_IMPORTADO!$I$5:$I$404,0),"")</f>
        <v/>
      </c>
      <c r="S1014" s="26" t="str">
        <f t="shared" si="46"/>
        <v/>
      </c>
      <c r="T1014" s="26" t="str">
        <f t="shared" si="47"/>
        <v/>
      </c>
    </row>
    <row r="1015" spans="1:20" x14ac:dyDescent="0.3">
      <c r="A1015" s="26" t="str">
        <f>IF(BASE_CAIXA!A1012="","",BASE_CAIXA!A1012)</f>
        <v/>
      </c>
      <c r="B1015" s="26" t="str">
        <f>IF(A1015="","",BASE_CAIXA!AL1012)</f>
        <v/>
      </c>
      <c r="C1015" s="26" t="str">
        <f>IF(A1015="","",BASE_CAIXA!AJ1012)</f>
        <v/>
      </c>
      <c r="D1015" s="26" t="str">
        <f>IF(A1015="","",IF(BASE_CAIXA!C1012="Entrada","Crédito","Débito"))</f>
        <v/>
      </c>
      <c r="E1015" s="26" t="str">
        <f>IF(A1015="","",BASE_CAIXA!AA1012)</f>
        <v/>
      </c>
      <c r="F1015" s="26" t="str">
        <f>IF(A1015="","",BASE_CAIXA!N1012)</f>
        <v/>
      </c>
      <c r="G1015" s="26" t="str">
        <f>IF(A1015="","",BASE_CAIXA!O1012)</f>
        <v/>
      </c>
      <c r="H1015" s="26" t="str">
        <f>IF(A1015="","",BASE_CAIXA!P1012)</f>
        <v/>
      </c>
      <c r="I1015" s="26" t="str">
        <f>IF(A1015="","",IF(BASE_CAIXA!H1012&lt;&gt;"",BASE_CAIXA!H1012,BASE_CAIXA!G1012))</f>
        <v/>
      </c>
      <c r="J1015" s="26" t="str">
        <f>IF(A1015="","",BASE_CAIXA!G1012)</f>
        <v/>
      </c>
      <c r="K1015" s="26" t="str">
        <f>IF(A1015="","",BASE_CAIXA!I1012)</f>
        <v/>
      </c>
      <c r="L1015" s="26" t="str">
        <f>IF(A1015="","",BASE_CAIXA!J1012)</f>
        <v/>
      </c>
      <c r="M1015" s="26" t="str">
        <f>IF(A1015="","",BASE_CAIXA!AM1012)</f>
        <v/>
      </c>
      <c r="N1015" s="26" t="str">
        <f t="shared" ca="1" si="45"/>
        <v/>
      </c>
      <c r="O1015" s="26" t="str">
        <f>IFERROR(INDEX(EXTRATO_IMPORTADO!$A$5:$A$404,MATCH(B1015,EXTRATO_IMPORTADO!$I$5:$I$404,0)),"")</f>
        <v/>
      </c>
      <c r="P1015" s="26" t="str">
        <f>IFERROR(INDEX(EXTRATO_IMPORTADO!$F$5:$F$404,MATCH(B1015,EXTRATO_IMPORTADO!$I$5:$I$404,0)),"")</f>
        <v/>
      </c>
      <c r="Q1015" s="26" t="str">
        <f>IFERROR(INDEX(EXTRATO_IMPORTADO!$B$5:$B$404,MATCH(B1015,EXTRATO_IMPORTADO!$I$5:$I$404,0)),"")</f>
        <v/>
      </c>
      <c r="R1015" s="26" t="str">
        <f>IFERROR(MATCH(B1015,EXTRATO_IMPORTADO!$I$5:$I$404,0),"")</f>
        <v/>
      </c>
      <c r="S1015" s="26" t="str">
        <f t="shared" si="46"/>
        <v/>
      </c>
      <c r="T1015" s="26" t="str">
        <f t="shared" si="47"/>
        <v/>
      </c>
    </row>
    <row r="1016" spans="1:20" x14ac:dyDescent="0.3">
      <c r="A1016" s="26" t="str">
        <f>IF(BASE_CAIXA!A1013="","",BASE_CAIXA!A1013)</f>
        <v/>
      </c>
      <c r="B1016" s="26" t="str">
        <f>IF(A1016="","",BASE_CAIXA!AL1013)</f>
        <v/>
      </c>
      <c r="C1016" s="26" t="str">
        <f>IF(A1016="","",BASE_CAIXA!AJ1013)</f>
        <v/>
      </c>
      <c r="D1016" s="26" t="str">
        <f>IF(A1016="","",IF(BASE_CAIXA!C1013="Entrada","Crédito","Débito"))</f>
        <v/>
      </c>
      <c r="E1016" s="26" t="str">
        <f>IF(A1016="","",BASE_CAIXA!AA1013)</f>
        <v/>
      </c>
      <c r="F1016" s="26" t="str">
        <f>IF(A1016="","",BASE_CAIXA!N1013)</f>
        <v/>
      </c>
      <c r="G1016" s="26" t="str">
        <f>IF(A1016="","",BASE_CAIXA!O1013)</f>
        <v/>
      </c>
      <c r="H1016" s="26" t="str">
        <f>IF(A1016="","",BASE_CAIXA!P1013)</f>
        <v/>
      </c>
      <c r="I1016" s="26" t="str">
        <f>IF(A1016="","",IF(BASE_CAIXA!H1013&lt;&gt;"",BASE_CAIXA!H1013,BASE_CAIXA!G1013))</f>
        <v/>
      </c>
      <c r="J1016" s="26" t="str">
        <f>IF(A1016="","",BASE_CAIXA!G1013)</f>
        <v/>
      </c>
      <c r="K1016" s="26" t="str">
        <f>IF(A1016="","",BASE_CAIXA!I1013)</f>
        <v/>
      </c>
      <c r="L1016" s="26" t="str">
        <f>IF(A1016="","",BASE_CAIXA!J1013)</f>
        <v/>
      </c>
      <c r="M1016" s="26" t="str">
        <f>IF(A1016="","",BASE_CAIXA!AM1013)</f>
        <v/>
      </c>
      <c r="N1016" s="26" t="str">
        <f t="shared" ca="1" si="45"/>
        <v/>
      </c>
      <c r="O1016" s="26" t="str">
        <f>IFERROR(INDEX(EXTRATO_IMPORTADO!$A$5:$A$404,MATCH(B1016,EXTRATO_IMPORTADO!$I$5:$I$404,0)),"")</f>
        <v/>
      </c>
      <c r="P1016" s="26" t="str">
        <f>IFERROR(INDEX(EXTRATO_IMPORTADO!$F$5:$F$404,MATCH(B1016,EXTRATO_IMPORTADO!$I$5:$I$404,0)),"")</f>
        <v/>
      </c>
      <c r="Q1016" s="26" t="str">
        <f>IFERROR(INDEX(EXTRATO_IMPORTADO!$B$5:$B$404,MATCH(B1016,EXTRATO_IMPORTADO!$I$5:$I$404,0)),"")</f>
        <v/>
      </c>
      <c r="R1016" s="26" t="str">
        <f>IFERROR(MATCH(B1016,EXTRATO_IMPORTADO!$I$5:$I$404,0),"")</f>
        <v/>
      </c>
      <c r="S1016" s="26" t="str">
        <f t="shared" si="46"/>
        <v/>
      </c>
      <c r="T1016" s="26" t="str">
        <f t="shared" si="47"/>
        <v/>
      </c>
    </row>
    <row r="1017" spans="1:20" x14ac:dyDescent="0.3">
      <c r="A1017" s="26" t="str">
        <f>IF(BASE_CAIXA!A1014="","",BASE_CAIXA!A1014)</f>
        <v/>
      </c>
      <c r="B1017" s="26" t="str">
        <f>IF(A1017="","",BASE_CAIXA!AL1014)</f>
        <v/>
      </c>
      <c r="C1017" s="26" t="str">
        <f>IF(A1017="","",BASE_CAIXA!AJ1014)</f>
        <v/>
      </c>
      <c r="D1017" s="26" t="str">
        <f>IF(A1017="","",IF(BASE_CAIXA!C1014="Entrada","Crédito","Débito"))</f>
        <v/>
      </c>
      <c r="E1017" s="26" t="str">
        <f>IF(A1017="","",BASE_CAIXA!AA1014)</f>
        <v/>
      </c>
      <c r="F1017" s="26" t="str">
        <f>IF(A1017="","",BASE_CAIXA!N1014)</f>
        <v/>
      </c>
      <c r="G1017" s="26" t="str">
        <f>IF(A1017="","",BASE_CAIXA!O1014)</f>
        <v/>
      </c>
      <c r="H1017" s="26" t="str">
        <f>IF(A1017="","",BASE_CAIXA!P1014)</f>
        <v/>
      </c>
      <c r="I1017" s="26" t="str">
        <f>IF(A1017="","",IF(BASE_CAIXA!H1014&lt;&gt;"",BASE_CAIXA!H1014,BASE_CAIXA!G1014))</f>
        <v/>
      </c>
      <c r="J1017" s="26" t="str">
        <f>IF(A1017="","",BASE_CAIXA!G1014)</f>
        <v/>
      </c>
      <c r="K1017" s="26" t="str">
        <f>IF(A1017="","",BASE_CAIXA!I1014)</f>
        <v/>
      </c>
      <c r="L1017" s="26" t="str">
        <f>IF(A1017="","",BASE_CAIXA!J1014)</f>
        <v/>
      </c>
      <c r="M1017" s="26" t="str">
        <f>IF(A1017="","",BASE_CAIXA!AM1014)</f>
        <v/>
      </c>
      <c r="N1017" s="26" t="str">
        <f t="shared" ca="1" si="45"/>
        <v/>
      </c>
      <c r="O1017" s="26" t="str">
        <f>IFERROR(INDEX(EXTRATO_IMPORTADO!$A$5:$A$404,MATCH(B1017,EXTRATO_IMPORTADO!$I$5:$I$404,0)),"")</f>
        <v/>
      </c>
      <c r="P1017" s="26" t="str">
        <f>IFERROR(INDEX(EXTRATO_IMPORTADO!$F$5:$F$404,MATCH(B1017,EXTRATO_IMPORTADO!$I$5:$I$404,0)),"")</f>
        <v/>
      </c>
      <c r="Q1017" s="26" t="str">
        <f>IFERROR(INDEX(EXTRATO_IMPORTADO!$B$5:$B$404,MATCH(B1017,EXTRATO_IMPORTADO!$I$5:$I$404,0)),"")</f>
        <v/>
      </c>
      <c r="R1017" s="26" t="str">
        <f>IFERROR(MATCH(B1017,EXTRATO_IMPORTADO!$I$5:$I$404,0),"")</f>
        <v/>
      </c>
      <c r="S1017" s="26" t="str">
        <f t="shared" si="46"/>
        <v/>
      </c>
      <c r="T1017" s="26" t="str">
        <f t="shared" si="47"/>
        <v/>
      </c>
    </row>
    <row r="1018" spans="1:20" x14ac:dyDescent="0.3">
      <c r="A1018" s="26" t="str">
        <f>IF(BASE_CAIXA!A1015="","",BASE_CAIXA!A1015)</f>
        <v/>
      </c>
      <c r="B1018" s="26" t="str">
        <f>IF(A1018="","",BASE_CAIXA!AL1015)</f>
        <v/>
      </c>
      <c r="C1018" s="26" t="str">
        <f>IF(A1018="","",BASE_CAIXA!AJ1015)</f>
        <v/>
      </c>
      <c r="D1018" s="26" t="str">
        <f>IF(A1018="","",IF(BASE_CAIXA!C1015="Entrada","Crédito","Débito"))</f>
        <v/>
      </c>
      <c r="E1018" s="26" t="str">
        <f>IF(A1018="","",BASE_CAIXA!AA1015)</f>
        <v/>
      </c>
      <c r="F1018" s="26" t="str">
        <f>IF(A1018="","",BASE_CAIXA!N1015)</f>
        <v/>
      </c>
      <c r="G1018" s="26" t="str">
        <f>IF(A1018="","",BASE_CAIXA!O1015)</f>
        <v/>
      </c>
      <c r="H1018" s="26" t="str">
        <f>IF(A1018="","",BASE_CAIXA!P1015)</f>
        <v/>
      </c>
      <c r="I1018" s="26" t="str">
        <f>IF(A1018="","",IF(BASE_CAIXA!H1015&lt;&gt;"",BASE_CAIXA!H1015,BASE_CAIXA!G1015))</f>
        <v/>
      </c>
      <c r="J1018" s="26" t="str">
        <f>IF(A1018="","",BASE_CAIXA!G1015)</f>
        <v/>
      </c>
      <c r="K1018" s="26" t="str">
        <f>IF(A1018="","",BASE_CAIXA!I1015)</f>
        <v/>
      </c>
      <c r="L1018" s="26" t="str">
        <f>IF(A1018="","",BASE_CAIXA!J1015)</f>
        <v/>
      </c>
      <c r="M1018" s="26" t="str">
        <f>IF(A1018="","",BASE_CAIXA!AM1015)</f>
        <v/>
      </c>
      <c r="N1018" s="26" t="str">
        <f t="shared" ca="1" si="45"/>
        <v/>
      </c>
      <c r="O1018" s="26" t="str">
        <f>IFERROR(INDEX(EXTRATO_IMPORTADO!$A$5:$A$404,MATCH(B1018,EXTRATO_IMPORTADO!$I$5:$I$404,0)),"")</f>
        <v/>
      </c>
      <c r="P1018" s="26" t="str">
        <f>IFERROR(INDEX(EXTRATO_IMPORTADO!$F$5:$F$404,MATCH(B1018,EXTRATO_IMPORTADO!$I$5:$I$404,0)),"")</f>
        <v/>
      </c>
      <c r="Q1018" s="26" t="str">
        <f>IFERROR(INDEX(EXTRATO_IMPORTADO!$B$5:$B$404,MATCH(B1018,EXTRATO_IMPORTADO!$I$5:$I$404,0)),"")</f>
        <v/>
      </c>
      <c r="R1018" s="26" t="str">
        <f>IFERROR(MATCH(B1018,EXTRATO_IMPORTADO!$I$5:$I$404,0),"")</f>
        <v/>
      </c>
      <c r="S1018" s="26" t="str">
        <f t="shared" si="46"/>
        <v/>
      </c>
      <c r="T1018" s="26" t="str">
        <f t="shared" si="47"/>
        <v/>
      </c>
    </row>
    <row r="1019" spans="1:20" x14ac:dyDescent="0.3">
      <c r="A1019" s="26" t="str">
        <f>IF(BASE_CAIXA!A1016="","",BASE_CAIXA!A1016)</f>
        <v/>
      </c>
      <c r="B1019" s="26" t="str">
        <f>IF(A1019="","",BASE_CAIXA!AL1016)</f>
        <v/>
      </c>
      <c r="C1019" s="26" t="str">
        <f>IF(A1019="","",BASE_CAIXA!AJ1016)</f>
        <v/>
      </c>
      <c r="D1019" s="26" t="str">
        <f>IF(A1019="","",IF(BASE_CAIXA!C1016="Entrada","Crédito","Débito"))</f>
        <v/>
      </c>
      <c r="E1019" s="26" t="str">
        <f>IF(A1019="","",BASE_CAIXA!AA1016)</f>
        <v/>
      </c>
      <c r="F1019" s="26" t="str">
        <f>IF(A1019="","",BASE_CAIXA!N1016)</f>
        <v/>
      </c>
      <c r="G1019" s="26" t="str">
        <f>IF(A1019="","",BASE_CAIXA!O1016)</f>
        <v/>
      </c>
      <c r="H1019" s="26" t="str">
        <f>IF(A1019="","",BASE_CAIXA!P1016)</f>
        <v/>
      </c>
      <c r="I1019" s="26" t="str">
        <f>IF(A1019="","",IF(BASE_CAIXA!H1016&lt;&gt;"",BASE_CAIXA!H1016,BASE_CAIXA!G1016))</f>
        <v/>
      </c>
      <c r="J1019" s="26" t="str">
        <f>IF(A1019="","",BASE_CAIXA!G1016)</f>
        <v/>
      </c>
      <c r="K1019" s="26" t="str">
        <f>IF(A1019="","",BASE_CAIXA!I1016)</f>
        <v/>
      </c>
      <c r="L1019" s="26" t="str">
        <f>IF(A1019="","",BASE_CAIXA!J1016)</f>
        <v/>
      </c>
      <c r="M1019" s="26" t="str">
        <f>IF(A1019="","",BASE_CAIXA!AM1016)</f>
        <v/>
      </c>
      <c r="N1019" s="26" t="str">
        <f t="shared" ca="1" si="45"/>
        <v/>
      </c>
      <c r="O1019" s="26" t="str">
        <f>IFERROR(INDEX(EXTRATO_IMPORTADO!$A$5:$A$404,MATCH(B1019,EXTRATO_IMPORTADO!$I$5:$I$404,0)),"")</f>
        <v/>
      </c>
      <c r="P1019" s="26" t="str">
        <f>IFERROR(INDEX(EXTRATO_IMPORTADO!$F$5:$F$404,MATCH(B1019,EXTRATO_IMPORTADO!$I$5:$I$404,0)),"")</f>
        <v/>
      </c>
      <c r="Q1019" s="26" t="str">
        <f>IFERROR(INDEX(EXTRATO_IMPORTADO!$B$5:$B$404,MATCH(B1019,EXTRATO_IMPORTADO!$I$5:$I$404,0)),"")</f>
        <v/>
      </c>
      <c r="R1019" s="26" t="str">
        <f>IFERROR(MATCH(B1019,EXTRATO_IMPORTADO!$I$5:$I$404,0),"")</f>
        <v/>
      </c>
      <c r="S1019" s="26" t="str">
        <f t="shared" si="46"/>
        <v/>
      </c>
      <c r="T1019" s="26" t="str">
        <f t="shared" si="47"/>
        <v/>
      </c>
    </row>
    <row r="1020" spans="1:20" x14ac:dyDescent="0.3">
      <c r="A1020" s="26" t="str">
        <f>IF(BASE_CAIXA!A1017="","",BASE_CAIXA!A1017)</f>
        <v/>
      </c>
      <c r="B1020" s="26" t="str">
        <f>IF(A1020="","",BASE_CAIXA!AL1017)</f>
        <v/>
      </c>
      <c r="C1020" s="26" t="str">
        <f>IF(A1020="","",BASE_CAIXA!AJ1017)</f>
        <v/>
      </c>
      <c r="D1020" s="26" t="str">
        <f>IF(A1020="","",IF(BASE_CAIXA!C1017="Entrada","Crédito","Débito"))</f>
        <v/>
      </c>
      <c r="E1020" s="26" t="str">
        <f>IF(A1020="","",BASE_CAIXA!AA1017)</f>
        <v/>
      </c>
      <c r="F1020" s="26" t="str">
        <f>IF(A1020="","",BASE_CAIXA!N1017)</f>
        <v/>
      </c>
      <c r="G1020" s="26" t="str">
        <f>IF(A1020="","",BASE_CAIXA!O1017)</f>
        <v/>
      </c>
      <c r="H1020" s="26" t="str">
        <f>IF(A1020="","",BASE_CAIXA!P1017)</f>
        <v/>
      </c>
      <c r="I1020" s="26" t="str">
        <f>IF(A1020="","",IF(BASE_CAIXA!H1017&lt;&gt;"",BASE_CAIXA!H1017,BASE_CAIXA!G1017))</f>
        <v/>
      </c>
      <c r="J1020" s="26" t="str">
        <f>IF(A1020="","",BASE_CAIXA!G1017)</f>
        <v/>
      </c>
      <c r="K1020" s="26" t="str">
        <f>IF(A1020="","",BASE_CAIXA!I1017)</f>
        <v/>
      </c>
      <c r="L1020" s="26" t="str">
        <f>IF(A1020="","",BASE_CAIXA!J1017)</f>
        <v/>
      </c>
      <c r="M1020" s="26" t="str">
        <f>IF(A1020="","",BASE_CAIXA!AM1017)</f>
        <v/>
      </c>
      <c r="N1020" s="26" t="str">
        <f t="shared" ca="1" si="45"/>
        <v/>
      </c>
      <c r="O1020" s="26" t="str">
        <f>IFERROR(INDEX(EXTRATO_IMPORTADO!$A$5:$A$404,MATCH(B1020,EXTRATO_IMPORTADO!$I$5:$I$404,0)),"")</f>
        <v/>
      </c>
      <c r="P1020" s="26" t="str">
        <f>IFERROR(INDEX(EXTRATO_IMPORTADO!$F$5:$F$404,MATCH(B1020,EXTRATO_IMPORTADO!$I$5:$I$404,0)),"")</f>
        <v/>
      </c>
      <c r="Q1020" s="26" t="str">
        <f>IFERROR(INDEX(EXTRATO_IMPORTADO!$B$5:$B$404,MATCH(B1020,EXTRATO_IMPORTADO!$I$5:$I$404,0)),"")</f>
        <v/>
      </c>
      <c r="R1020" s="26" t="str">
        <f>IFERROR(MATCH(B1020,EXTRATO_IMPORTADO!$I$5:$I$404,0),"")</f>
        <v/>
      </c>
      <c r="S1020" s="26" t="str">
        <f t="shared" si="46"/>
        <v/>
      </c>
      <c r="T1020" s="26" t="str">
        <f t="shared" si="47"/>
        <v/>
      </c>
    </row>
    <row r="1021" spans="1:20" x14ac:dyDescent="0.3">
      <c r="A1021" s="26" t="str">
        <f>IF(BASE_CAIXA!A1018="","",BASE_CAIXA!A1018)</f>
        <v/>
      </c>
      <c r="B1021" s="26" t="str">
        <f>IF(A1021="","",BASE_CAIXA!AL1018)</f>
        <v/>
      </c>
      <c r="C1021" s="26" t="str">
        <f>IF(A1021="","",BASE_CAIXA!AJ1018)</f>
        <v/>
      </c>
      <c r="D1021" s="26" t="str">
        <f>IF(A1021="","",IF(BASE_CAIXA!C1018="Entrada","Crédito","Débito"))</f>
        <v/>
      </c>
      <c r="E1021" s="26" t="str">
        <f>IF(A1021="","",BASE_CAIXA!AA1018)</f>
        <v/>
      </c>
      <c r="F1021" s="26" t="str">
        <f>IF(A1021="","",BASE_CAIXA!N1018)</f>
        <v/>
      </c>
      <c r="G1021" s="26" t="str">
        <f>IF(A1021="","",BASE_CAIXA!O1018)</f>
        <v/>
      </c>
      <c r="H1021" s="26" t="str">
        <f>IF(A1021="","",BASE_CAIXA!P1018)</f>
        <v/>
      </c>
      <c r="I1021" s="26" t="str">
        <f>IF(A1021="","",IF(BASE_CAIXA!H1018&lt;&gt;"",BASE_CAIXA!H1018,BASE_CAIXA!G1018))</f>
        <v/>
      </c>
      <c r="J1021" s="26" t="str">
        <f>IF(A1021="","",BASE_CAIXA!G1018)</f>
        <v/>
      </c>
      <c r="K1021" s="26" t="str">
        <f>IF(A1021="","",BASE_CAIXA!I1018)</f>
        <v/>
      </c>
      <c r="L1021" s="26" t="str">
        <f>IF(A1021="","",BASE_CAIXA!J1018)</f>
        <v/>
      </c>
      <c r="M1021" s="26" t="str">
        <f>IF(A1021="","",BASE_CAIXA!AM1018)</f>
        <v/>
      </c>
      <c r="N1021" s="26" t="str">
        <f t="shared" ca="1" si="45"/>
        <v/>
      </c>
      <c r="O1021" s="26" t="str">
        <f>IFERROR(INDEX(EXTRATO_IMPORTADO!$A$5:$A$404,MATCH(B1021,EXTRATO_IMPORTADO!$I$5:$I$404,0)),"")</f>
        <v/>
      </c>
      <c r="P1021" s="26" t="str">
        <f>IFERROR(INDEX(EXTRATO_IMPORTADO!$F$5:$F$404,MATCH(B1021,EXTRATO_IMPORTADO!$I$5:$I$404,0)),"")</f>
        <v/>
      </c>
      <c r="Q1021" s="26" t="str">
        <f>IFERROR(INDEX(EXTRATO_IMPORTADO!$B$5:$B$404,MATCH(B1021,EXTRATO_IMPORTADO!$I$5:$I$404,0)),"")</f>
        <v/>
      </c>
      <c r="R1021" s="26" t="str">
        <f>IFERROR(MATCH(B1021,EXTRATO_IMPORTADO!$I$5:$I$404,0),"")</f>
        <v/>
      </c>
      <c r="S1021" s="26" t="str">
        <f t="shared" si="46"/>
        <v/>
      </c>
      <c r="T1021" s="26" t="str">
        <f t="shared" si="47"/>
        <v/>
      </c>
    </row>
    <row r="1022" spans="1:20" x14ac:dyDescent="0.3">
      <c r="A1022" s="26" t="str">
        <f>IF(BASE_CAIXA!A1019="","",BASE_CAIXA!A1019)</f>
        <v/>
      </c>
      <c r="B1022" s="26" t="str">
        <f>IF(A1022="","",BASE_CAIXA!AL1019)</f>
        <v/>
      </c>
      <c r="C1022" s="26" t="str">
        <f>IF(A1022="","",BASE_CAIXA!AJ1019)</f>
        <v/>
      </c>
      <c r="D1022" s="26" t="str">
        <f>IF(A1022="","",IF(BASE_CAIXA!C1019="Entrada","Crédito","Débito"))</f>
        <v/>
      </c>
      <c r="E1022" s="26" t="str">
        <f>IF(A1022="","",BASE_CAIXA!AA1019)</f>
        <v/>
      </c>
      <c r="F1022" s="26" t="str">
        <f>IF(A1022="","",BASE_CAIXA!N1019)</f>
        <v/>
      </c>
      <c r="G1022" s="26" t="str">
        <f>IF(A1022="","",BASE_CAIXA!O1019)</f>
        <v/>
      </c>
      <c r="H1022" s="26" t="str">
        <f>IF(A1022="","",BASE_CAIXA!P1019)</f>
        <v/>
      </c>
      <c r="I1022" s="26" t="str">
        <f>IF(A1022="","",IF(BASE_CAIXA!H1019&lt;&gt;"",BASE_CAIXA!H1019,BASE_CAIXA!G1019))</f>
        <v/>
      </c>
      <c r="J1022" s="26" t="str">
        <f>IF(A1022="","",BASE_CAIXA!G1019)</f>
        <v/>
      </c>
      <c r="K1022" s="26" t="str">
        <f>IF(A1022="","",BASE_CAIXA!I1019)</f>
        <v/>
      </c>
      <c r="L1022" s="26" t="str">
        <f>IF(A1022="","",BASE_CAIXA!J1019)</f>
        <v/>
      </c>
      <c r="M1022" s="26" t="str">
        <f>IF(A1022="","",BASE_CAIXA!AM1019)</f>
        <v/>
      </c>
      <c r="N1022" s="26" t="str">
        <f t="shared" ca="1" si="45"/>
        <v/>
      </c>
      <c r="O1022" s="26" t="str">
        <f>IFERROR(INDEX(EXTRATO_IMPORTADO!$A$5:$A$404,MATCH(B1022,EXTRATO_IMPORTADO!$I$5:$I$404,0)),"")</f>
        <v/>
      </c>
      <c r="P1022" s="26" t="str">
        <f>IFERROR(INDEX(EXTRATO_IMPORTADO!$F$5:$F$404,MATCH(B1022,EXTRATO_IMPORTADO!$I$5:$I$404,0)),"")</f>
        <v/>
      </c>
      <c r="Q1022" s="26" t="str">
        <f>IFERROR(INDEX(EXTRATO_IMPORTADO!$B$5:$B$404,MATCH(B1022,EXTRATO_IMPORTADO!$I$5:$I$404,0)),"")</f>
        <v/>
      </c>
      <c r="R1022" s="26" t="str">
        <f>IFERROR(MATCH(B1022,EXTRATO_IMPORTADO!$I$5:$I$404,0),"")</f>
        <v/>
      </c>
      <c r="S1022" s="26" t="str">
        <f t="shared" si="46"/>
        <v/>
      </c>
      <c r="T1022" s="26" t="str">
        <f t="shared" si="47"/>
        <v/>
      </c>
    </row>
    <row r="1023" spans="1:20" x14ac:dyDescent="0.3">
      <c r="A1023" s="26" t="str">
        <f>IF(BASE_CAIXA!A1020="","",BASE_CAIXA!A1020)</f>
        <v/>
      </c>
      <c r="B1023" s="26" t="str">
        <f>IF(A1023="","",BASE_CAIXA!AL1020)</f>
        <v/>
      </c>
      <c r="C1023" s="26" t="str">
        <f>IF(A1023="","",BASE_CAIXA!AJ1020)</f>
        <v/>
      </c>
      <c r="D1023" s="26" t="str">
        <f>IF(A1023="","",IF(BASE_CAIXA!C1020="Entrada","Crédito","Débito"))</f>
        <v/>
      </c>
      <c r="E1023" s="26" t="str">
        <f>IF(A1023="","",BASE_CAIXA!AA1020)</f>
        <v/>
      </c>
      <c r="F1023" s="26" t="str">
        <f>IF(A1023="","",BASE_CAIXA!N1020)</f>
        <v/>
      </c>
      <c r="G1023" s="26" t="str">
        <f>IF(A1023="","",BASE_CAIXA!O1020)</f>
        <v/>
      </c>
      <c r="H1023" s="26" t="str">
        <f>IF(A1023="","",BASE_CAIXA!P1020)</f>
        <v/>
      </c>
      <c r="I1023" s="26" t="str">
        <f>IF(A1023="","",IF(BASE_CAIXA!H1020&lt;&gt;"",BASE_CAIXA!H1020,BASE_CAIXA!G1020))</f>
        <v/>
      </c>
      <c r="J1023" s="26" t="str">
        <f>IF(A1023="","",BASE_CAIXA!G1020)</f>
        <v/>
      </c>
      <c r="K1023" s="26" t="str">
        <f>IF(A1023="","",BASE_CAIXA!I1020)</f>
        <v/>
      </c>
      <c r="L1023" s="26" t="str">
        <f>IF(A1023="","",BASE_CAIXA!J1020)</f>
        <v/>
      </c>
      <c r="M1023" s="26" t="str">
        <f>IF(A1023="","",BASE_CAIXA!AM1020)</f>
        <v/>
      </c>
      <c r="N1023" s="26" t="str">
        <f t="shared" ca="1" si="45"/>
        <v/>
      </c>
      <c r="O1023" s="26" t="str">
        <f>IFERROR(INDEX(EXTRATO_IMPORTADO!$A$5:$A$404,MATCH(B1023,EXTRATO_IMPORTADO!$I$5:$I$404,0)),"")</f>
        <v/>
      </c>
      <c r="P1023" s="26" t="str">
        <f>IFERROR(INDEX(EXTRATO_IMPORTADO!$F$5:$F$404,MATCH(B1023,EXTRATO_IMPORTADO!$I$5:$I$404,0)),"")</f>
        <v/>
      </c>
      <c r="Q1023" s="26" t="str">
        <f>IFERROR(INDEX(EXTRATO_IMPORTADO!$B$5:$B$404,MATCH(B1023,EXTRATO_IMPORTADO!$I$5:$I$404,0)),"")</f>
        <v/>
      </c>
      <c r="R1023" s="26" t="str">
        <f>IFERROR(MATCH(B1023,EXTRATO_IMPORTADO!$I$5:$I$404,0),"")</f>
        <v/>
      </c>
      <c r="S1023" s="26" t="str">
        <f t="shared" si="46"/>
        <v/>
      </c>
      <c r="T1023" s="26" t="str">
        <f t="shared" si="47"/>
        <v/>
      </c>
    </row>
    <row r="1024" spans="1:20" x14ac:dyDescent="0.3">
      <c r="A1024" s="26" t="str">
        <f>IF(BASE_CAIXA!A1021="","",BASE_CAIXA!A1021)</f>
        <v/>
      </c>
      <c r="B1024" s="26" t="str">
        <f>IF(A1024="","",BASE_CAIXA!AL1021)</f>
        <v/>
      </c>
      <c r="C1024" s="26" t="str">
        <f>IF(A1024="","",BASE_CAIXA!AJ1021)</f>
        <v/>
      </c>
      <c r="D1024" s="26" t="str">
        <f>IF(A1024="","",IF(BASE_CAIXA!C1021="Entrada","Crédito","Débito"))</f>
        <v/>
      </c>
      <c r="E1024" s="26" t="str">
        <f>IF(A1024="","",BASE_CAIXA!AA1021)</f>
        <v/>
      </c>
      <c r="F1024" s="26" t="str">
        <f>IF(A1024="","",BASE_CAIXA!N1021)</f>
        <v/>
      </c>
      <c r="G1024" s="26" t="str">
        <f>IF(A1024="","",BASE_CAIXA!O1021)</f>
        <v/>
      </c>
      <c r="H1024" s="26" t="str">
        <f>IF(A1024="","",BASE_CAIXA!P1021)</f>
        <v/>
      </c>
      <c r="I1024" s="26" t="str">
        <f>IF(A1024="","",IF(BASE_CAIXA!H1021&lt;&gt;"",BASE_CAIXA!H1021,BASE_CAIXA!G1021))</f>
        <v/>
      </c>
      <c r="J1024" s="26" t="str">
        <f>IF(A1024="","",BASE_CAIXA!G1021)</f>
        <v/>
      </c>
      <c r="K1024" s="26" t="str">
        <f>IF(A1024="","",BASE_CAIXA!I1021)</f>
        <v/>
      </c>
      <c r="L1024" s="26" t="str">
        <f>IF(A1024="","",BASE_CAIXA!J1021)</f>
        <v/>
      </c>
      <c r="M1024" s="26" t="str">
        <f>IF(A1024="","",BASE_CAIXA!AM1021)</f>
        <v/>
      </c>
      <c r="N1024" s="26" t="str">
        <f t="shared" ca="1" si="45"/>
        <v/>
      </c>
      <c r="O1024" s="26" t="str">
        <f>IFERROR(INDEX(EXTRATO_IMPORTADO!$A$5:$A$404,MATCH(B1024,EXTRATO_IMPORTADO!$I$5:$I$404,0)),"")</f>
        <v/>
      </c>
      <c r="P1024" s="26" t="str">
        <f>IFERROR(INDEX(EXTRATO_IMPORTADO!$F$5:$F$404,MATCH(B1024,EXTRATO_IMPORTADO!$I$5:$I$404,0)),"")</f>
        <v/>
      </c>
      <c r="Q1024" s="26" t="str">
        <f>IFERROR(INDEX(EXTRATO_IMPORTADO!$B$5:$B$404,MATCH(B1024,EXTRATO_IMPORTADO!$I$5:$I$404,0)),"")</f>
        <v/>
      </c>
      <c r="R1024" s="26" t="str">
        <f>IFERROR(MATCH(B1024,EXTRATO_IMPORTADO!$I$5:$I$404,0),"")</f>
        <v/>
      </c>
      <c r="S1024" s="26" t="str">
        <f t="shared" si="46"/>
        <v/>
      </c>
      <c r="T1024" s="26" t="str">
        <f t="shared" si="47"/>
        <v/>
      </c>
    </row>
    <row r="1025" spans="1:20" x14ac:dyDescent="0.3">
      <c r="A1025" s="26" t="str">
        <f>IF(BASE_CAIXA!A1022="","",BASE_CAIXA!A1022)</f>
        <v/>
      </c>
      <c r="B1025" s="26" t="str">
        <f>IF(A1025="","",BASE_CAIXA!AL1022)</f>
        <v/>
      </c>
      <c r="C1025" s="26" t="str">
        <f>IF(A1025="","",BASE_CAIXA!AJ1022)</f>
        <v/>
      </c>
      <c r="D1025" s="26" t="str">
        <f>IF(A1025="","",IF(BASE_CAIXA!C1022="Entrada","Crédito","Débito"))</f>
        <v/>
      </c>
      <c r="E1025" s="26" t="str">
        <f>IF(A1025="","",BASE_CAIXA!AA1022)</f>
        <v/>
      </c>
      <c r="F1025" s="26" t="str">
        <f>IF(A1025="","",BASE_CAIXA!N1022)</f>
        <v/>
      </c>
      <c r="G1025" s="26" t="str">
        <f>IF(A1025="","",BASE_CAIXA!O1022)</f>
        <v/>
      </c>
      <c r="H1025" s="26" t="str">
        <f>IF(A1025="","",BASE_CAIXA!P1022)</f>
        <v/>
      </c>
      <c r="I1025" s="26" t="str">
        <f>IF(A1025="","",IF(BASE_CAIXA!H1022&lt;&gt;"",BASE_CAIXA!H1022,BASE_CAIXA!G1022))</f>
        <v/>
      </c>
      <c r="J1025" s="26" t="str">
        <f>IF(A1025="","",BASE_CAIXA!G1022)</f>
        <v/>
      </c>
      <c r="K1025" s="26" t="str">
        <f>IF(A1025="","",BASE_CAIXA!I1022)</f>
        <v/>
      </c>
      <c r="L1025" s="26" t="str">
        <f>IF(A1025="","",BASE_CAIXA!J1022)</f>
        <v/>
      </c>
      <c r="M1025" s="26" t="str">
        <f>IF(A1025="","",BASE_CAIXA!AM1022)</f>
        <v/>
      </c>
      <c r="N1025" s="26" t="str">
        <f t="shared" ca="1" si="45"/>
        <v/>
      </c>
      <c r="O1025" s="26" t="str">
        <f>IFERROR(INDEX(EXTRATO_IMPORTADO!$A$5:$A$404,MATCH(B1025,EXTRATO_IMPORTADO!$I$5:$I$404,0)),"")</f>
        <v/>
      </c>
      <c r="P1025" s="26" t="str">
        <f>IFERROR(INDEX(EXTRATO_IMPORTADO!$F$5:$F$404,MATCH(B1025,EXTRATO_IMPORTADO!$I$5:$I$404,0)),"")</f>
        <v/>
      </c>
      <c r="Q1025" s="26" t="str">
        <f>IFERROR(INDEX(EXTRATO_IMPORTADO!$B$5:$B$404,MATCH(B1025,EXTRATO_IMPORTADO!$I$5:$I$404,0)),"")</f>
        <v/>
      </c>
      <c r="R1025" s="26" t="str">
        <f>IFERROR(MATCH(B1025,EXTRATO_IMPORTADO!$I$5:$I$404,0),"")</f>
        <v/>
      </c>
      <c r="S1025" s="26" t="str">
        <f t="shared" si="46"/>
        <v/>
      </c>
      <c r="T1025" s="26" t="str">
        <f t="shared" si="47"/>
        <v/>
      </c>
    </row>
    <row r="1026" spans="1:20" x14ac:dyDescent="0.3">
      <c r="A1026" s="26" t="str">
        <f>IF(BASE_CAIXA!A1023="","",BASE_CAIXA!A1023)</f>
        <v/>
      </c>
      <c r="B1026" s="26" t="str">
        <f>IF(A1026="","",BASE_CAIXA!AL1023)</f>
        <v/>
      </c>
      <c r="C1026" s="26" t="str">
        <f>IF(A1026="","",BASE_CAIXA!AJ1023)</f>
        <v/>
      </c>
      <c r="D1026" s="26" t="str">
        <f>IF(A1026="","",IF(BASE_CAIXA!C1023="Entrada","Crédito","Débito"))</f>
        <v/>
      </c>
      <c r="E1026" s="26" t="str">
        <f>IF(A1026="","",BASE_CAIXA!AA1023)</f>
        <v/>
      </c>
      <c r="F1026" s="26" t="str">
        <f>IF(A1026="","",BASE_CAIXA!N1023)</f>
        <v/>
      </c>
      <c r="G1026" s="26" t="str">
        <f>IF(A1026="","",BASE_CAIXA!O1023)</f>
        <v/>
      </c>
      <c r="H1026" s="26" t="str">
        <f>IF(A1026="","",BASE_CAIXA!P1023)</f>
        <v/>
      </c>
      <c r="I1026" s="26" t="str">
        <f>IF(A1026="","",IF(BASE_CAIXA!H1023&lt;&gt;"",BASE_CAIXA!H1023,BASE_CAIXA!G1023))</f>
        <v/>
      </c>
      <c r="J1026" s="26" t="str">
        <f>IF(A1026="","",BASE_CAIXA!G1023)</f>
        <v/>
      </c>
      <c r="K1026" s="26" t="str">
        <f>IF(A1026="","",BASE_CAIXA!I1023)</f>
        <v/>
      </c>
      <c r="L1026" s="26" t="str">
        <f>IF(A1026="","",BASE_CAIXA!J1023)</f>
        <v/>
      </c>
      <c r="M1026" s="26" t="str">
        <f>IF(A1026="","",BASE_CAIXA!AM1023)</f>
        <v/>
      </c>
      <c r="N1026" s="26" t="str">
        <f t="shared" ca="1" si="45"/>
        <v/>
      </c>
      <c r="O1026" s="26" t="str">
        <f>IFERROR(INDEX(EXTRATO_IMPORTADO!$A$5:$A$404,MATCH(B1026,EXTRATO_IMPORTADO!$I$5:$I$404,0)),"")</f>
        <v/>
      </c>
      <c r="P1026" s="26" t="str">
        <f>IFERROR(INDEX(EXTRATO_IMPORTADO!$F$5:$F$404,MATCH(B1026,EXTRATO_IMPORTADO!$I$5:$I$404,0)),"")</f>
        <v/>
      </c>
      <c r="Q1026" s="26" t="str">
        <f>IFERROR(INDEX(EXTRATO_IMPORTADO!$B$5:$B$404,MATCH(B1026,EXTRATO_IMPORTADO!$I$5:$I$404,0)),"")</f>
        <v/>
      </c>
      <c r="R1026" s="26" t="str">
        <f>IFERROR(MATCH(B1026,EXTRATO_IMPORTADO!$I$5:$I$404,0),"")</f>
        <v/>
      </c>
      <c r="S1026" s="26" t="str">
        <f t="shared" si="46"/>
        <v/>
      </c>
      <c r="T1026" s="26" t="str">
        <f t="shared" si="47"/>
        <v/>
      </c>
    </row>
    <row r="1027" spans="1:20" x14ac:dyDescent="0.3">
      <c r="A1027" s="26" t="str">
        <f>IF(BASE_CAIXA!A1024="","",BASE_CAIXA!A1024)</f>
        <v/>
      </c>
      <c r="B1027" s="26" t="str">
        <f>IF(A1027="","",BASE_CAIXA!AL1024)</f>
        <v/>
      </c>
      <c r="C1027" s="26" t="str">
        <f>IF(A1027="","",BASE_CAIXA!AJ1024)</f>
        <v/>
      </c>
      <c r="D1027" s="26" t="str">
        <f>IF(A1027="","",IF(BASE_CAIXA!C1024="Entrada","Crédito","Débito"))</f>
        <v/>
      </c>
      <c r="E1027" s="26" t="str">
        <f>IF(A1027="","",BASE_CAIXA!AA1024)</f>
        <v/>
      </c>
      <c r="F1027" s="26" t="str">
        <f>IF(A1027="","",BASE_CAIXA!N1024)</f>
        <v/>
      </c>
      <c r="G1027" s="26" t="str">
        <f>IF(A1027="","",BASE_CAIXA!O1024)</f>
        <v/>
      </c>
      <c r="H1027" s="26" t="str">
        <f>IF(A1027="","",BASE_CAIXA!P1024)</f>
        <v/>
      </c>
      <c r="I1027" s="26" t="str">
        <f>IF(A1027="","",IF(BASE_CAIXA!H1024&lt;&gt;"",BASE_CAIXA!H1024,BASE_CAIXA!G1024))</f>
        <v/>
      </c>
      <c r="J1027" s="26" t="str">
        <f>IF(A1027="","",BASE_CAIXA!G1024)</f>
        <v/>
      </c>
      <c r="K1027" s="26" t="str">
        <f>IF(A1027="","",BASE_CAIXA!I1024)</f>
        <v/>
      </c>
      <c r="L1027" s="26" t="str">
        <f>IF(A1027="","",BASE_CAIXA!J1024)</f>
        <v/>
      </c>
      <c r="M1027" s="26" t="str">
        <f>IF(A1027="","",BASE_CAIXA!AM1024)</f>
        <v/>
      </c>
      <c r="N1027" s="26" t="str">
        <f t="shared" ca="1" si="45"/>
        <v/>
      </c>
      <c r="O1027" s="26" t="str">
        <f>IFERROR(INDEX(EXTRATO_IMPORTADO!$A$5:$A$404,MATCH(B1027,EXTRATO_IMPORTADO!$I$5:$I$404,0)),"")</f>
        <v/>
      </c>
      <c r="P1027" s="26" t="str">
        <f>IFERROR(INDEX(EXTRATO_IMPORTADO!$F$5:$F$404,MATCH(B1027,EXTRATO_IMPORTADO!$I$5:$I$404,0)),"")</f>
        <v/>
      </c>
      <c r="Q1027" s="26" t="str">
        <f>IFERROR(INDEX(EXTRATO_IMPORTADO!$B$5:$B$404,MATCH(B1027,EXTRATO_IMPORTADO!$I$5:$I$404,0)),"")</f>
        <v/>
      </c>
      <c r="R1027" s="26" t="str">
        <f>IFERROR(MATCH(B1027,EXTRATO_IMPORTADO!$I$5:$I$404,0),"")</f>
        <v/>
      </c>
      <c r="S1027" s="26" t="str">
        <f t="shared" si="46"/>
        <v/>
      </c>
      <c r="T1027" s="26" t="str">
        <f t="shared" si="47"/>
        <v/>
      </c>
    </row>
    <row r="1028" spans="1:20" x14ac:dyDescent="0.3">
      <c r="A1028" s="26" t="str">
        <f>IF(BASE_CAIXA!A1025="","",BASE_CAIXA!A1025)</f>
        <v/>
      </c>
      <c r="B1028" s="26" t="str">
        <f>IF(A1028="","",BASE_CAIXA!AL1025)</f>
        <v/>
      </c>
      <c r="C1028" s="26" t="str">
        <f>IF(A1028="","",BASE_CAIXA!AJ1025)</f>
        <v/>
      </c>
      <c r="D1028" s="26" t="str">
        <f>IF(A1028="","",IF(BASE_CAIXA!C1025="Entrada","Crédito","Débito"))</f>
        <v/>
      </c>
      <c r="E1028" s="26" t="str">
        <f>IF(A1028="","",BASE_CAIXA!AA1025)</f>
        <v/>
      </c>
      <c r="F1028" s="26" t="str">
        <f>IF(A1028="","",BASE_CAIXA!N1025)</f>
        <v/>
      </c>
      <c r="G1028" s="26" t="str">
        <f>IF(A1028="","",BASE_CAIXA!O1025)</f>
        <v/>
      </c>
      <c r="H1028" s="26" t="str">
        <f>IF(A1028="","",BASE_CAIXA!P1025)</f>
        <v/>
      </c>
      <c r="I1028" s="26" t="str">
        <f>IF(A1028="","",IF(BASE_CAIXA!H1025&lt;&gt;"",BASE_CAIXA!H1025,BASE_CAIXA!G1025))</f>
        <v/>
      </c>
      <c r="J1028" s="26" t="str">
        <f>IF(A1028="","",BASE_CAIXA!G1025)</f>
        <v/>
      </c>
      <c r="K1028" s="26" t="str">
        <f>IF(A1028="","",BASE_CAIXA!I1025)</f>
        <v/>
      </c>
      <c r="L1028" s="26" t="str">
        <f>IF(A1028="","",BASE_CAIXA!J1025)</f>
        <v/>
      </c>
      <c r="M1028" s="26" t="str">
        <f>IF(A1028="","",BASE_CAIXA!AM1025)</f>
        <v/>
      </c>
      <c r="N1028" s="26" t="str">
        <f t="shared" ca="1" si="45"/>
        <v/>
      </c>
      <c r="O1028" s="26" t="str">
        <f>IFERROR(INDEX(EXTRATO_IMPORTADO!$A$5:$A$404,MATCH(B1028,EXTRATO_IMPORTADO!$I$5:$I$404,0)),"")</f>
        <v/>
      </c>
      <c r="P1028" s="26" t="str">
        <f>IFERROR(INDEX(EXTRATO_IMPORTADO!$F$5:$F$404,MATCH(B1028,EXTRATO_IMPORTADO!$I$5:$I$404,0)),"")</f>
        <v/>
      </c>
      <c r="Q1028" s="26" t="str">
        <f>IFERROR(INDEX(EXTRATO_IMPORTADO!$B$5:$B$404,MATCH(B1028,EXTRATO_IMPORTADO!$I$5:$I$404,0)),"")</f>
        <v/>
      </c>
      <c r="R1028" s="26" t="str">
        <f>IFERROR(MATCH(B1028,EXTRATO_IMPORTADO!$I$5:$I$404,0),"")</f>
        <v/>
      </c>
      <c r="S1028" s="26" t="str">
        <f t="shared" si="46"/>
        <v/>
      </c>
      <c r="T1028" s="26" t="str">
        <f t="shared" si="47"/>
        <v/>
      </c>
    </row>
    <row r="1029" spans="1:20" x14ac:dyDescent="0.3">
      <c r="A1029" s="26" t="str">
        <f>IF(BASE_CAIXA!A1026="","",BASE_CAIXA!A1026)</f>
        <v/>
      </c>
      <c r="B1029" s="26" t="str">
        <f>IF(A1029="","",BASE_CAIXA!AL1026)</f>
        <v/>
      </c>
      <c r="C1029" s="26" t="str">
        <f>IF(A1029="","",BASE_CAIXA!AJ1026)</f>
        <v/>
      </c>
      <c r="D1029" s="26" t="str">
        <f>IF(A1029="","",IF(BASE_CAIXA!C1026="Entrada","Crédito","Débito"))</f>
        <v/>
      </c>
      <c r="E1029" s="26" t="str">
        <f>IF(A1029="","",BASE_CAIXA!AA1026)</f>
        <v/>
      </c>
      <c r="F1029" s="26" t="str">
        <f>IF(A1029="","",BASE_CAIXA!N1026)</f>
        <v/>
      </c>
      <c r="G1029" s="26" t="str">
        <f>IF(A1029="","",BASE_CAIXA!O1026)</f>
        <v/>
      </c>
      <c r="H1029" s="26" t="str">
        <f>IF(A1029="","",BASE_CAIXA!P1026)</f>
        <v/>
      </c>
      <c r="I1029" s="26" t="str">
        <f>IF(A1029="","",IF(BASE_CAIXA!H1026&lt;&gt;"",BASE_CAIXA!H1026,BASE_CAIXA!G1026))</f>
        <v/>
      </c>
      <c r="J1029" s="26" t="str">
        <f>IF(A1029="","",BASE_CAIXA!G1026)</f>
        <v/>
      </c>
      <c r="K1029" s="26" t="str">
        <f>IF(A1029="","",BASE_CAIXA!I1026)</f>
        <v/>
      </c>
      <c r="L1029" s="26" t="str">
        <f>IF(A1029="","",BASE_CAIXA!J1026)</f>
        <v/>
      </c>
      <c r="M1029" s="26" t="str">
        <f>IF(A1029="","",BASE_CAIXA!AM1026)</f>
        <v/>
      </c>
      <c r="N1029" s="26" t="str">
        <f t="shared" ref="N1029:N1092" ca="1" si="48">IF(A1029="","",IF(R1029&lt;&gt;"",IF(AND(ABS(S1029)&lt;=0.01,ABS(T1029)&lt;=3),"Conciliado","Divergente"),IF(TODAY()&gt;C1029,"Pendente vencido","Previsto")))</f>
        <v/>
      </c>
      <c r="O1029" s="26" t="str">
        <f>IFERROR(INDEX(EXTRATO_IMPORTADO!$A$5:$A$404,MATCH(B1029,EXTRATO_IMPORTADO!$I$5:$I$404,0)),"")</f>
        <v/>
      </c>
      <c r="P1029" s="26" t="str">
        <f>IFERROR(INDEX(EXTRATO_IMPORTADO!$F$5:$F$404,MATCH(B1029,EXTRATO_IMPORTADO!$I$5:$I$404,0)),"")</f>
        <v/>
      </c>
      <c r="Q1029" s="26" t="str">
        <f>IFERROR(INDEX(EXTRATO_IMPORTADO!$B$5:$B$404,MATCH(B1029,EXTRATO_IMPORTADO!$I$5:$I$404,0)),"")</f>
        <v/>
      </c>
      <c r="R1029" s="26" t="str">
        <f>IFERROR(MATCH(B1029,EXTRATO_IMPORTADO!$I$5:$I$404,0),"")</f>
        <v/>
      </c>
      <c r="S1029" s="26" t="str">
        <f t="shared" ref="S1029:S1092" si="49">IF(OR(A1029="",P1029=""),"",P1029-E1029)</f>
        <v/>
      </c>
      <c r="T1029" s="26" t="str">
        <f t="shared" ref="T1029:T1092" si="50">IF(OR(A1029="",O1029=""),"",O1029-C1029)</f>
        <v/>
      </c>
    </row>
    <row r="1030" spans="1:20" x14ac:dyDescent="0.3">
      <c r="A1030" s="26" t="str">
        <f>IF(BASE_CAIXA!A1027="","",BASE_CAIXA!A1027)</f>
        <v/>
      </c>
      <c r="B1030" s="26" t="str">
        <f>IF(A1030="","",BASE_CAIXA!AL1027)</f>
        <v/>
      </c>
      <c r="C1030" s="26" t="str">
        <f>IF(A1030="","",BASE_CAIXA!AJ1027)</f>
        <v/>
      </c>
      <c r="D1030" s="26" t="str">
        <f>IF(A1030="","",IF(BASE_CAIXA!C1027="Entrada","Crédito","Débito"))</f>
        <v/>
      </c>
      <c r="E1030" s="26" t="str">
        <f>IF(A1030="","",BASE_CAIXA!AA1027)</f>
        <v/>
      </c>
      <c r="F1030" s="26" t="str">
        <f>IF(A1030="","",BASE_CAIXA!N1027)</f>
        <v/>
      </c>
      <c r="G1030" s="26" t="str">
        <f>IF(A1030="","",BASE_CAIXA!O1027)</f>
        <v/>
      </c>
      <c r="H1030" s="26" t="str">
        <f>IF(A1030="","",BASE_CAIXA!P1027)</f>
        <v/>
      </c>
      <c r="I1030" s="26" t="str">
        <f>IF(A1030="","",IF(BASE_CAIXA!H1027&lt;&gt;"",BASE_CAIXA!H1027,BASE_CAIXA!G1027))</f>
        <v/>
      </c>
      <c r="J1030" s="26" t="str">
        <f>IF(A1030="","",BASE_CAIXA!G1027)</f>
        <v/>
      </c>
      <c r="K1030" s="26" t="str">
        <f>IF(A1030="","",BASE_CAIXA!I1027)</f>
        <v/>
      </c>
      <c r="L1030" s="26" t="str">
        <f>IF(A1030="","",BASE_CAIXA!J1027)</f>
        <v/>
      </c>
      <c r="M1030" s="26" t="str">
        <f>IF(A1030="","",BASE_CAIXA!AM1027)</f>
        <v/>
      </c>
      <c r="N1030" s="26" t="str">
        <f t="shared" ca="1" si="48"/>
        <v/>
      </c>
      <c r="O1030" s="26" t="str">
        <f>IFERROR(INDEX(EXTRATO_IMPORTADO!$A$5:$A$404,MATCH(B1030,EXTRATO_IMPORTADO!$I$5:$I$404,0)),"")</f>
        <v/>
      </c>
      <c r="P1030" s="26" t="str">
        <f>IFERROR(INDEX(EXTRATO_IMPORTADO!$F$5:$F$404,MATCH(B1030,EXTRATO_IMPORTADO!$I$5:$I$404,0)),"")</f>
        <v/>
      </c>
      <c r="Q1030" s="26" t="str">
        <f>IFERROR(INDEX(EXTRATO_IMPORTADO!$B$5:$B$404,MATCH(B1030,EXTRATO_IMPORTADO!$I$5:$I$404,0)),"")</f>
        <v/>
      </c>
      <c r="R1030" s="26" t="str">
        <f>IFERROR(MATCH(B1030,EXTRATO_IMPORTADO!$I$5:$I$404,0),"")</f>
        <v/>
      </c>
      <c r="S1030" s="26" t="str">
        <f t="shared" si="49"/>
        <v/>
      </c>
      <c r="T1030" s="26" t="str">
        <f t="shared" si="50"/>
        <v/>
      </c>
    </row>
    <row r="1031" spans="1:20" x14ac:dyDescent="0.3">
      <c r="A1031" s="26" t="str">
        <f>IF(BASE_CAIXA!A1028="","",BASE_CAIXA!A1028)</f>
        <v/>
      </c>
      <c r="B1031" s="26" t="str">
        <f>IF(A1031="","",BASE_CAIXA!AL1028)</f>
        <v/>
      </c>
      <c r="C1031" s="26" t="str">
        <f>IF(A1031="","",BASE_CAIXA!AJ1028)</f>
        <v/>
      </c>
      <c r="D1031" s="26" t="str">
        <f>IF(A1031="","",IF(BASE_CAIXA!C1028="Entrada","Crédito","Débito"))</f>
        <v/>
      </c>
      <c r="E1031" s="26" t="str">
        <f>IF(A1031="","",BASE_CAIXA!AA1028)</f>
        <v/>
      </c>
      <c r="F1031" s="26" t="str">
        <f>IF(A1031="","",BASE_CAIXA!N1028)</f>
        <v/>
      </c>
      <c r="G1031" s="26" t="str">
        <f>IF(A1031="","",BASE_CAIXA!O1028)</f>
        <v/>
      </c>
      <c r="H1031" s="26" t="str">
        <f>IF(A1031="","",BASE_CAIXA!P1028)</f>
        <v/>
      </c>
      <c r="I1031" s="26" t="str">
        <f>IF(A1031="","",IF(BASE_CAIXA!H1028&lt;&gt;"",BASE_CAIXA!H1028,BASE_CAIXA!G1028))</f>
        <v/>
      </c>
      <c r="J1031" s="26" t="str">
        <f>IF(A1031="","",BASE_CAIXA!G1028)</f>
        <v/>
      </c>
      <c r="K1031" s="26" t="str">
        <f>IF(A1031="","",BASE_CAIXA!I1028)</f>
        <v/>
      </c>
      <c r="L1031" s="26" t="str">
        <f>IF(A1031="","",BASE_CAIXA!J1028)</f>
        <v/>
      </c>
      <c r="M1031" s="26" t="str">
        <f>IF(A1031="","",BASE_CAIXA!AM1028)</f>
        <v/>
      </c>
      <c r="N1031" s="26" t="str">
        <f t="shared" ca="1" si="48"/>
        <v/>
      </c>
      <c r="O1031" s="26" t="str">
        <f>IFERROR(INDEX(EXTRATO_IMPORTADO!$A$5:$A$404,MATCH(B1031,EXTRATO_IMPORTADO!$I$5:$I$404,0)),"")</f>
        <v/>
      </c>
      <c r="P1031" s="26" t="str">
        <f>IFERROR(INDEX(EXTRATO_IMPORTADO!$F$5:$F$404,MATCH(B1031,EXTRATO_IMPORTADO!$I$5:$I$404,0)),"")</f>
        <v/>
      </c>
      <c r="Q1031" s="26" t="str">
        <f>IFERROR(INDEX(EXTRATO_IMPORTADO!$B$5:$B$404,MATCH(B1031,EXTRATO_IMPORTADO!$I$5:$I$404,0)),"")</f>
        <v/>
      </c>
      <c r="R1031" s="26" t="str">
        <f>IFERROR(MATCH(B1031,EXTRATO_IMPORTADO!$I$5:$I$404,0),"")</f>
        <v/>
      </c>
      <c r="S1031" s="26" t="str">
        <f t="shared" si="49"/>
        <v/>
      </c>
      <c r="T1031" s="26" t="str">
        <f t="shared" si="50"/>
        <v/>
      </c>
    </row>
    <row r="1032" spans="1:20" x14ac:dyDescent="0.3">
      <c r="A1032" s="26" t="str">
        <f>IF(BASE_CAIXA!A1029="","",BASE_CAIXA!A1029)</f>
        <v/>
      </c>
      <c r="B1032" s="26" t="str">
        <f>IF(A1032="","",BASE_CAIXA!AL1029)</f>
        <v/>
      </c>
      <c r="C1032" s="26" t="str">
        <f>IF(A1032="","",BASE_CAIXA!AJ1029)</f>
        <v/>
      </c>
      <c r="D1032" s="26" t="str">
        <f>IF(A1032="","",IF(BASE_CAIXA!C1029="Entrada","Crédito","Débito"))</f>
        <v/>
      </c>
      <c r="E1032" s="26" t="str">
        <f>IF(A1032="","",BASE_CAIXA!AA1029)</f>
        <v/>
      </c>
      <c r="F1032" s="26" t="str">
        <f>IF(A1032="","",BASE_CAIXA!N1029)</f>
        <v/>
      </c>
      <c r="G1032" s="26" t="str">
        <f>IF(A1032="","",BASE_CAIXA!O1029)</f>
        <v/>
      </c>
      <c r="H1032" s="26" t="str">
        <f>IF(A1032="","",BASE_CAIXA!P1029)</f>
        <v/>
      </c>
      <c r="I1032" s="26" t="str">
        <f>IF(A1032="","",IF(BASE_CAIXA!H1029&lt;&gt;"",BASE_CAIXA!H1029,BASE_CAIXA!G1029))</f>
        <v/>
      </c>
      <c r="J1032" s="26" t="str">
        <f>IF(A1032="","",BASE_CAIXA!G1029)</f>
        <v/>
      </c>
      <c r="K1032" s="26" t="str">
        <f>IF(A1032="","",BASE_CAIXA!I1029)</f>
        <v/>
      </c>
      <c r="L1032" s="26" t="str">
        <f>IF(A1032="","",BASE_CAIXA!J1029)</f>
        <v/>
      </c>
      <c r="M1032" s="26" t="str">
        <f>IF(A1032="","",BASE_CAIXA!AM1029)</f>
        <v/>
      </c>
      <c r="N1032" s="26" t="str">
        <f t="shared" ca="1" si="48"/>
        <v/>
      </c>
      <c r="O1032" s="26" t="str">
        <f>IFERROR(INDEX(EXTRATO_IMPORTADO!$A$5:$A$404,MATCH(B1032,EXTRATO_IMPORTADO!$I$5:$I$404,0)),"")</f>
        <v/>
      </c>
      <c r="P1032" s="26" t="str">
        <f>IFERROR(INDEX(EXTRATO_IMPORTADO!$F$5:$F$404,MATCH(B1032,EXTRATO_IMPORTADO!$I$5:$I$404,0)),"")</f>
        <v/>
      </c>
      <c r="Q1032" s="26" t="str">
        <f>IFERROR(INDEX(EXTRATO_IMPORTADO!$B$5:$B$404,MATCH(B1032,EXTRATO_IMPORTADO!$I$5:$I$404,0)),"")</f>
        <v/>
      </c>
      <c r="R1032" s="26" t="str">
        <f>IFERROR(MATCH(B1032,EXTRATO_IMPORTADO!$I$5:$I$404,0),"")</f>
        <v/>
      </c>
      <c r="S1032" s="26" t="str">
        <f t="shared" si="49"/>
        <v/>
      </c>
      <c r="T1032" s="26" t="str">
        <f t="shared" si="50"/>
        <v/>
      </c>
    </row>
    <row r="1033" spans="1:20" x14ac:dyDescent="0.3">
      <c r="A1033" s="26" t="str">
        <f>IF(BASE_CAIXA!A1030="","",BASE_CAIXA!A1030)</f>
        <v/>
      </c>
      <c r="B1033" s="26" t="str">
        <f>IF(A1033="","",BASE_CAIXA!AL1030)</f>
        <v/>
      </c>
      <c r="C1033" s="26" t="str">
        <f>IF(A1033="","",BASE_CAIXA!AJ1030)</f>
        <v/>
      </c>
      <c r="D1033" s="26" t="str">
        <f>IF(A1033="","",IF(BASE_CAIXA!C1030="Entrada","Crédito","Débito"))</f>
        <v/>
      </c>
      <c r="E1033" s="26" t="str">
        <f>IF(A1033="","",BASE_CAIXA!AA1030)</f>
        <v/>
      </c>
      <c r="F1033" s="26" t="str">
        <f>IF(A1033="","",BASE_CAIXA!N1030)</f>
        <v/>
      </c>
      <c r="G1033" s="26" t="str">
        <f>IF(A1033="","",BASE_CAIXA!O1030)</f>
        <v/>
      </c>
      <c r="H1033" s="26" t="str">
        <f>IF(A1033="","",BASE_CAIXA!P1030)</f>
        <v/>
      </c>
      <c r="I1033" s="26" t="str">
        <f>IF(A1033="","",IF(BASE_CAIXA!H1030&lt;&gt;"",BASE_CAIXA!H1030,BASE_CAIXA!G1030))</f>
        <v/>
      </c>
      <c r="J1033" s="26" t="str">
        <f>IF(A1033="","",BASE_CAIXA!G1030)</f>
        <v/>
      </c>
      <c r="K1033" s="26" t="str">
        <f>IF(A1033="","",BASE_CAIXA!I1030)</f>
        <v/>
      </c>
      <c r="L1033" s="26" t="str">
        <f>IF(A1033="","",BASE_CAIXA!J1030)</f>
        <v/>
      </c>
      <c r="M1033" s="26" t="str">
        <f>IF(A1033="","",BASE_CAIXA!AM1030)</f>
        <v/>
      </c>
      <c r="N1033" s="26" t="str">
        <f t="shared" ca="1" si="48"/>
        <v/>
      </c>
      <c r="O1033" s="26" t="str">
        <f>IFERROR(INDEX(EXTRATO_IMPORTADO!$A$5:$A$404,MATCH(B1033,EXTRATO_IMPORTADO!$I$5:$I$404,0)),"")</f>
        <v/>
      </c>
      <c r="P1033" s="26" t="str">
        <f>IFERROR(INDEX(EXTRATO_IMPORTADO!$F$5:$F$404,MATCH(B1033,EXTRATO_IMPORTADO!$I$5:$I$404,0)),"")</f>
        <v/>
      </c>
      <c r="Q1033" s="26" t="str">
        <f>IFERROR(INDEX(EXTRATO_IMPORTADO!$B$5:$B$404,MATCH(B1033,EXTRATO_IMPORTADO!$I$5:$I$404,0)),"")</f>
        <v/>
      </c>
      <c r="R1033" s="26" t="str">
        <f>IFERROR(MATCH(B1033,EXTRATO_IMPORTADO!$I$5:$I$404,0),"")</f>
        <v/>
      </c>
      <c r="S1033" s="26" t="str">
        <f t="shared" si="49"/>
        <v/>
      </c>
      <c r="T1033" s="26" t="str">
        <f t="shared" si="50"/>
        <v/>
      </c>
    </row>
    <row r="1034" spans="1:20" x14ac:dyDescent="0.3">
      <c r="A1034" s="26" t="str">
        <f>IF(BASE_CAIXA!A1031="","",BASE_CAIXA!A1031)</f>
        <v/>
      </c>
      <c r="B1034" s="26" t="str">
        <f>IF(A1034="","",BASE_CAIXA!AL1031)</f>
        <v/>
      </c>
      <c r="C1034" s="26" t="str">
        <f>IF(A1034="","",BASE_CAIXA!AJ1031)</f>
        <v/>
      </c>
      <c r="D1034" s="26" t="str">
        <f>IF(A1034="","",IF(BASE_CAIXA!C1031="Entrada","Crédito","Débito"))</f>
        <v/>
      </c>
      <c r="E1034" s="26" t="str">
        <f>IF(A1034="","",BASE_CAIXA!AA1031)</f>
        <v/>
      </c>
      <c r="F1034" s="26" t="str">
        <f>IF(A1034="","",BASE_CAIXA!N1031)</f>
        <v/>
      </c>
      <c r="G1034" s="26" t="str">
        <f>IF(A1034="","",BASE_CAIXA!O1031)</f>
        <v/>
      </c>
      <c r="H1034" s="26" t="str">
        <f>IF(A1034="","",BASE_CAIXA!P1031)</f>
        <v/>
      </c>
      <c r="I1034" s="26" t="str">
        <f>IF(A1034="","",IF(BASE_CAIXA!H1031&lt;&gt;"",BASE_CAIXA!H1031,BASE_CAIXA!G1031))</f>
        <v/>
      </c>
      <c r="J1034" s="26" t="str">
        <f>IF(A1034="","",BASE_CAIXA!G1031)</f>
        <v/>
      </c>
      <c r="K1034" s="26" t="str">
        <f>IF(A1034="","",BASE_CAIXA!I1031)</f>
        <v/>
      </c>
      <c r="L1034" s="26" t="str">
        <f>IF(A1034="","",BASE_CAIXA!J1031)</f>
        <v/>
      </c>
      <c r="M1034" s="26" t="str">
        <f>IF(A1034="","",BASE_CAIXA!AM1031)</f>
        <v/>
      </c>
      <c r="N1034" s="26" t="str">
        <f t="shared" ca="1" si="48"/>
        <v/>
      </c>
      <c r="O1034" s="26" t="str">
        <f>IFERROR(INDEX(EXTRATO_IMPORTADO!$A$5:$A$404,MATCH(B1034,EXTRATO_IMPORTADO!$I$5:$I$404,0)),"")</f>
        <v/>
      </c>
      <c r="P1034" s="26" t="str">
        <f>IFERROR(INDEX(EXTRATO_IMPORTADO!$F$5:$F$404,MATCH(B1034,EXTRATO_IMPORTADO!$I$5:$I$404,0)),"")</f>
        <v/>
      </c>
      <c r="Q1034" s="26" t="str">
        <f>IFERROR(INDEX(EXTRATO_IMPORTADO!$B$5:$B$404,MATCH(B1034,EXTRATO_IMPORTADO!$I$5:$I$404,0)),"")</f>
        <v/>
      </c>
      <c r="R1034" s="26" t="str">
        <f>IFERROR(MATCH(B1034,EXTRATO_IMPORTADO!$I$5:$I$404,0),"")</f>
        <v/>
      </c>
      <c r="S1034" s="26" t="str">
        <f t="shared" si="49"/>
        <v/>
      </c>
      <c r="T1034" s="26" t="str">
        <f t="shared" si="50"/>
        <v/>
      </c>
    </row>
    <row r="1035" spans="1:20" x14ac:dyDescent="0.3">
      <c r="A1035" s="26" t="str">
        <f>IF(BASE_CAIXA!A1032="","",BASE_CAIXA!A1032)</f>
        <v/>
      </c>
      <c r="B1035" s="26" t="str">
        <f>IF(A1035="","",BASE_CAIXA!AL1032)</f>
        <v/>
      </c>
      <c r="C1035" s="26" t="str">
        <f>IF(A1035="","",BASE_CAIXA!AJ1032)</f>
        <v/>
      </c>
      <c r="D1035" s="26" t="str">
        <f>IF(A1035="","",IF(BASE_CAIXA!C1032="Entrada","Crédito","Débito"))</f>
        <v/>
      </c>
      <c r="E1035" s="26" t="str">
        <f>IF(A1035="","",BASE_CAIXA!AA1032)</f>
        <v/>
      </c>
      <c r="F1035" s="26" t="str">
        <f>IF(A1035="","",BASE_CAIXA!N1032)</f>
        <v/>
      </c>
      <c r="G1035" s="26" t="str">
        <f>IF(A1035="","",BASE_CAIXA!O1032)</f>
        <v/>
      </c>
      <c r="H1035" s="26" t="str">
        <f>IF(A1035="","",BASE_CAIXA!P1032)</f>
        <v/>
      </c>
      <c r="I1035" s="26" t="str">
        <f>IF(A1035="","",IF(BASE_CAIXA!H1032&lt;&gt;"",BASE_CAIXA!H1032,BASE_CAIXA!G1032))</f>
        <v/>
      </c>
      <c r="J1035" s="26" t="str">
        <f>IF(A1035="","",BASE_CAIXA!G1032)</f>
        <v/>
      </c>
      <c r="K1035" s="26" t="str">
        <f>IF(A1035="","",BASE_CAIXA!I1032)</f>
        <v/>
      </c>
      <c r="L1035" s="26" t="str">
        <f>IF(A1035="","",BASE_CAIXA!J1032)</f>
        <v/>
      </c>
      <c r="M1035" s="26" t="str">
        <f>IF(A1035="","",BASE_CAIXA!AM1032)</f>
        <v/>
      </c>
      <c r="N1035" s="26" t="str">
        <f t="shared" ca="1" si="48"/>
        <v/>
      </c>
      <c r="O1035" s="26" t="str">
        <f>IFERROR(INDEX(EXTRATO_IMPORTADO!$A$5:$A$404,MATCH(B1035,EXTRATO_IMPORTADO!$I$5:$I$404,0)),"")</f>
        <v/>
      </c>
      <c r="P1035" s="26" t="str">
        <f>IFERROR(INDEX(EXTRATO_IMPORTADO!$F$5:$F$404,MATCH(B1035,EXTRATO_IMPORTADO!$I$5:$I$404,0)),"")</f>
        <v/>
      </c>
      <c r="Q1035" s="26" t="str">
        <f>IFERROR(INDEX(EXTRATO_IMPORTADO!$B$5:$B$404,MATCH(B1035,EXTRATO_IMPORTADO!$I$5:$I$404,0)),"")</f>
        <v/>
      </c>
      <c r="R1035" s="26" t="str">
        <f>IFERROR(MATCH(B1035,EXTRATO_IMPORTADO!$I$5:$I$404,0),"")</f>
        <v/>
      </c>
      <c r="S1035" s="26" t="str">
        <f t="shared" si="49"/>
        <v/>
      </c>
      <c r="T1035" s="26" t="str">
        <f t="shared" si="50"/>
        <v/>
      </c>
    </row>
    <row r="1036" spans="1:20" x14ac:dyDescent="0.3">
      <c r="A1036" s="26" t="str">
        <f>IF(BASE_CAIXA!A1033="","",BASE_CAIXA!A1033)</f>
        <v/>
      </c>
      <c r="B1036" s="26" t="str">
        <f>IF(A1036="","",BASE_CAIXA!AL1033)</f>
        <v/>
      </c>
      <c r="C1036" s="26" t="str">
        <f>IF(A1036="","",BASE_CAIXA!AJ1033)</f>
        <v/>
      </c>
      <c r="D1036" s="26" t="str">
        <f>IF(A1036="","",IF(BASE_CAIXA!C1033="Entrada","Crédito","Débito"))</f>
        <v/>
      </c>
      <c r="E1036" s="26" t="str">
        <f>IF(A1036="","",BASE_CAIXA!AA1033)</f>
        <v/>
      </c>
      <c r="F1036" s="26" t="str">
        <f>IF(A1036="","",BASE_CAIXA!N1033)</f>
        <v/>
      </c>
      <c r="G1036" s="26" t="str">
        <f>IF(A1036="","",BASE_CAIXA!O1033)</f>
        <v/>
      </c>
      <c r="H1036" s="26" t="str">
        <f>IF(A1036="","",BASE_CAIXA!P1033)</f>
        <v/>
      </c>
      <c r="I1036" s="26" t="str">
        <f>IF(A1036="","",IF(BASE_CAIXA!H1033&lt;&gt;"",BASE_CAIXA!H1033,BASE_CAIXA!G1033))</f>
        <v/>
      </c>
      <c r="J1036" s="26" t="str">
        <f>IF(A1036="","",BASE_CAIXA!G1033)</f>
        <v/>
      </c>
      <c r="K1036" s="26" t="str">
        <f>IF(A1036="","",BASE_CAIXA!I1033)</f>
        <v/>
      </c>
      <c r="L1036" s="26" t="str">
        <f>IF(A1036="","",BASE_CAIXA!J1033)</f>
        <v/>
      </c>
      <c r="M1036" s="26" t="str">
        <f>IF(A1036="","",BASE_CAIXA!AM1033)</f>
        <v/>
      </c>
      <c r="N1036" s="26" t="str">
        <f t="shared" ca="1" si="48"/>
        <v/>
      </c>
      <c r="O1036" s="26" t="str">
        <f>IFERROR(INDEX(EXTRATO_IMPORTADO!$A$5:$A$404,MATCH(B1036,EXTRATO_IMPORTADO!$I$5:$I$404,0)),"")</f>
        <v/>
      </c>
      <c r="P1036" s="26" t="str">
        <f>IFERROR(INDEX(EXTRATO_IMPORTADO!$F$5:$F$404,MATCH(B1036,EXTRATO_IMPORTADO!$I$5:$I$404,0)),"")</f>
        <v/>
      </c>
      <c r="Q1036" s="26" t="str">
        <f>IFERROR(INDEX(EXTRATO_IMPORTADO!$B$5:$B$404,MATCH(B1036,EXTRATO_IMPORTADO!$I$5:$I$404,0)),"")</f>
        <v/>
      </c>
      <c r="R1036" s="26" t="str">
        <f>IFERROR(MATCH(B1036,EXTRATO_IMPORTADO!$I$5:$I$404,0),"")</f>
        <v/>
      </c>
      <c r="S1036" s="26" t="str">
        <f t="shared" si="49"/>
        <v/>
      </c>
      <c r="T1036" s="26" t="str">
        <f t="shared" si="50"/>
        <v/>
      </c>
    </row>
    <row r="1037" spans="1:20" x14ac:dyDescent="0.3">
      <c r="A1037" s="26" t="str">
        <f>IF(BASE_CAIXA!A1034="","",BASE_CAIXA!A1034)</f>
        <v/>
      </c>
      <c r="B1037" s="26" t="str">
        <f>IF(A1037="","",BASE_CAIXA!AL1034)</f>
        <v/>
      </c>
      <c r="C1037" s="26" t="str">
        <f>IF(A1037="","",BASE_CAIXA!AJ1034)</f>
        <v/>
      </c>
      <c r="D1037" s="26" t="str">
        <f>IF(A1037="","",IF(BASE_CAIXA!C1034="Entrada","Crédito","Débito"))</f>
        <v/>
      </c>
      <c r="E1037" s="26" t="str">
        <f>IF(A1037="","",BASE_CAIXA!AA1034)</f>
        <v/>
      </c>
      <c r="F1037" s="26" t="str">
        <f>IF(A1037="","",BASE_CAIXA!N1034)</f>
        <v/>
      </c>
      <c r="G1037" s="26" t="str">
        <f>IF(A1037="","",BASE_CAIXA!O1034)</f>
        <v/>
      </c>
      <c r="H1037" s="26" t="str">
        <f>IF(A1037="","",BASE_CAIXA!P1034)</f>
        <v/>
      </c>
      <c r="I1037" s="26" t="str">
        <f>IF(A1037="","",IF(BASE_CAIXA!H1034&lt;&gt;"",BASE_CAIXA!H1034,BASE_CAIXA!G1034))</f>
        <v/>
      </c>
      <c r="J1037" s="26" t="str">
        <f>IF(A1037="","",BASE_CAIXA!G1034)</f>
        <v/>
      </c>
      <c r="K1037" s="26" t="str">
        <f>IF(A1037="","",BASE_CAIXA!I1034)</f>
        <v/>
      </c>
      <c r="L1037" s="26" t="str">
        <f>IF(A1037="","",BASE_CAIXA!J1034)</f>
        <v/>
      </c>
      <c r="M1037" s="26" t="str">
        <f>IF(A1037="","",BASE_CAIXA!AM1034)</f>
        <v/>
      </c>
      <c r="N1037" s="26" t="str">
        <f t="shared" ca="1" si="48"/>
        <v/>
      </c>
      <c r="O1037" s="26" t="str">
        <f>IFERROR(INDEX(EXTRATO_IMPORTADO!$A$5:$A$404,MATCH(B1037,EXTRATO_IMPORTADO!$I$5:$I$404,0)),"")</f>
        <v/>
      </c>
      <c r="P1037" s="26" t="str">
        <f>IFERROR(INDEX(EXTRATO_IMPORTADO!$F$5:$F$404,MATCH(B1037,EXTRATO_IMPORTADO!$I$5:$I$404,0)),"")</f>
        <v/>
      </c>
      <c r="Q1037" s="26" t="str">
        <f>IFERROR(INDEX(EXTRATO_IMPORTADO!$B$5:$B$404,MATCH(B1037,EXTRATO_IMPORTADO!$I$5:$I$404,0)),"")</f>
        <v/>
      </c>
      <c r="R1037" s="26" t="str">
        <f>IFERROR(MATCH(B1037,EXTRATO_IMPORTADO!$I$5:$I$404,0),"")</f>
        <v/>
      </c>
      <c r="S1037" s="26" t="str">
        <f t="shared" si="49"/>
        <v/>
      </c>
      <c r="T1037" s="26" t="str">
        <f t="shared" si="50"/>
        <v/>
      </c>
    </row>
    <row r="1038" spans="1:20" x14ac:dyDescent="0.3">
      <c r="A1038" s="26" t="str">
        <f>IF(BASE_CAIXA!A1035="","",BASE_CAIXA!A1035)</f>
        <v/>
      </c>
      <c r="B1038" s="26" t="str">
        <f>IF(A1038="","",BASE_CAIXA!AL1035)</f>
        <v/>
      </c>
      <c r="C1038" s="26" t="str">
        <f>IF(A1038="","",BASE_CAIXA!AJ1035)</f>
        <v/>
      </c>
      <c r="D1038" s="26" t="str">
        <f>IF(A1038="","",IF(BASE_CAIXA!C1035="Entrada","Crédito","Débito"))</f>
        <v/>
      </c>
      <c r="E1038" s="26" t="str">
        <f>IF(A1038="","",BASE_CAIXA!AA1035)</f>
        <v/>
      </c>
      <c r="F1038" s="26" t="str">
        <f>IF(A1038="","",BASE_CAIXA!N1035)</f>
        <v/>
      </c>
      <c r="G1038" s="26" t="str">
        <f>IF(A1038="","",BASE_CAIXA!O1035)</f>
        <v/>
      </c>
      <c r="H1038" s="26" t="str">
        <f>IF(A1038="","",BASE_CAIXA!P1035)</f>
        <v/>
      </c>
      <c r="I1038" s="26" t="str">
        <f>IF(A1038="","",IF(BASE_CAIXA!H1035&lt;&gt;"",BASE_CAIXA!H1035,BASE_CAIXA!G1035))</f>
        <v/>
      </c>
      <c r="J1038" s="26" t="str">
        <f>IF(A1038="","",BASE_CAIXA!G1035)</f>
        <v/>
      </c>
      <c r="K1038" s="26" t="str">
        <f>IF(A1038="","",BASE_CAIXA!I1035)</f>
        <v/>
      </c>
      <c r="L1038" s="26" t="str">
        <f>IF(A1038="","",BASE_CAIXA!J1035)</f>
        <v/>
      </c>
      <c r="M1038" s="26" t="str">
        <f>IF(A1038="","",BASE_CAIXA!AM1035)</f>
        <v/>
      </c>
      <c r="N1038" s="26" t="str">
        <f t="shared" ca="1" si="48"/>
        <v/>
      </c>
      <c r="O1038" s="26" t="str">
        <f>IFERROR(INDEX(EXTRATO_IMPORTADO!$A$5:$A$404,MATCH(B1038,EXTRATO_IMPORTADO!$I$5:$I$404,0)),"")</f>
        <v/>
      </c>
      <c r="P1038" s="26" t="str">
        <f>IFERROR(INDEX(EXTRATO_IMPORTADO!$F$5:$F$404,MATCH(B1038,EXTRATO_IMPORTADO!$I$5:$I$404,0)),"")</f>
        <v/>
      </c>
      <c r="Q1038" s="26" t="str">
        <f>IFERROR(INDEX(EXTRATO_IMPORTADO!$B$5:$B$404,MATCH(B1038,EXTRATO_IMPORTADO!$I$5:$I$404,0)),"")</f>
        <v/>
      </c>
      <c r="R1038" s="26" t="str">
        <f>IFERROR(MATCH(B1038,EXTRATO_IMPORTADO!$I$5:$I$404,0),"")</f>
        <v/>
      </c>
      <c r="S1038" s="26" t="str">
        <f t="shared" si="49"/>
        <v/>
      </c>
      <c r="T1038" s="26" t="str">
        <f t="shared" si="50"/>
        <v/>
      </c>
    </row>
    <row r="1039" spans="1:20" x14ac:dyDescent="0.3">
      <c r="A1039" s="26" t="str">
        <f>IF(BASE_CAIXA!A1036="","",BASE_CAIXA!A1036)</f>
        <v/>
      </c>
      <c r="B1039" s="26" t="str">
        <f>IF(A1039="","",BASE_CAIXA!AL1036)</f>
        <v/>
      </c>
      <c r="C1039" s="26" t="str">
        <f>IF(A1039="","",BASE_CAIXA!AJ1036)</f>
        <v/>
      </c>
      <c r="D1039" s="26" t="str">
        <f>IF(A1039="","",IF(BASE_CAIXA!C1036="Entrada","Crédito","Débito"))</f>
        <v/>
      </c>
      <c r="E1039" s="26" t="str">
        <f>IF(A1039="","",BASE_CAIXA!AA1036)</f>
        <v/>
      </c>
      <c r="F1039" s="26" t="str">
        <f>IF(A1039="","",BASE_CAIXA!N1036)</f>
        <v/>
      </c>
      <c r="G1039" s="26" t="str">
        <f>IF(A1039="","",BASE_CAIXA!O1036)</f>
        <v/>
      </c>
      <c r="H1039" s="26" t="str">
        <f>IF(A1039="","",BASE_CAIXA!P1036)</f>
        <v/>
      </c>
      <c r="I1039" s="26" t="str">
        <f>IF(A1039="","",IF(BASE_CAIXA!H1036&lt;&gt;"",BASE_CAIXA!H1036,BASE_CAIXA!G1036))</f>
        <v/>
      </c>
      <c r="J1039" s="26" t="str">
        <f>IF(A1039="","",BASE_CAIXA!G1036)</f>
        <v/>
      </c>
      <c r="K1039" s="26" t="str">
        <f>IF(A1039="","",BASE_CAIXA!I1036)</f>
        <v/>
      </c>
      <c r="L1039" s="26" t="str">
        <f>IF(A1039="","",BASE_CAIXA!J1036)</f>
        <v/>
      </c>
      <c r="M1039" s="26" t="str">
        <f>IF(A1039="","",BASE_CAIXA!AM1036)</f>
        <v/>
      </c>
      <c r="N1039" s="26" t="str">
        <f t="shared" ca="1" si="48"/>
        <v/>
      </c>
      <c r="O1039" s="26" t="str">
        <f>IFERROR(INDEX(EXTRATO_IMPORTADO!$A$5:$A$404,MATCH(B1039,EXTRATO_IMPORTADO!$I$5:$I$404,0)),"")</f>
        <v/>
      </c>
      <c r="P1039" s="26" t="str">
        <f>IFERROR(INDEX(EXTRATO_IMPORTADO!$F$5:$F$404,MATCH(B1039,EXTRATO_IMPORTADO!$I$5:$I$404,0)),"")</f>
        <v/>
      </c>
      <c r="Q1039" s="26" t="str">
        <f>IFERROR(INDEX(EXTRATO_IMPORTADO!$B$5:$B$404,MATCH(B1039,EXTRATO_IMPORTADO!$I$5:$I$404,0)),"")</f>
        <v/>
      </c>
      <c r="R1039" s="26" t="str">
        <f>IFERROR(MATCH(B1039,EXTRATO_IMPORTADO!$I$5:$I$404,0),"")</f>
        <v/>
      </c>
      <c r="S1039" s="26" t="str">
        <f t="shared" si="49"/>
        <v/>
      </c>
      <c r="T1039" s="26" t="str">
        <f t="shared" si="50"/>
        <v/>
      </c>
    </row>
    <row r="1040" spans="1:20" x14ac:dyDescent="0.3">
      <c r="A1040" s="26" t="str">
        <f>IF(BASE_CAIXA!A1037="","",BASE_CAIXA!A1037)</f>
        <v/>
      </c>
      <c r="B1040" s="26" t="str">
        <f>IF(A1040="","",BASE_CAIXA!AL1037)</f>
        <v/>
      </c>
      <c r="C1040" s="26" t="str">
        <f>IF(A1040="","",BASE_CAIXA!AJ1037)</f>
        <v/>
      </c>
      <c r="D1040" s="26" t="str">
        <f>IF(A1040="","",IF(BASE_CAIXA!C1037="Entrada","Crédito","Débito"))</f>
        <v/>
      </c>
      <c r="E1040" s="26" t="str">
        <f>IF(A1040="","",BASE_CAIXA!AA1037)</f>
        <v/>
      </c>
      <c r="F1040" s="26" t="str">
        <f>IF(A1040="","",BASE_CAIXA!N1037)</f>
        <v/>
      </c>
      <c r="G1040" s="26" t="str">
        <f>IF(A1040="","",BASE_CAIXA!O1037)</f>
        <v/>
      </c>
      <c r="H1040" s="26" t="str">
        <f>IF(A1040="","",BASE_CAIXA!P1037)</f>
        <v/>
      </c>
      <c r="I1040" s="26" t="str">
        <f>IF(A1040="","",IF(BASE_CAIXA!H1037&lt;&gt;"",BASE_CAIXA!H1037,BASE_CAIXA!G1037))</f>
        <v/>
      </c>
      <c r="J1040" s="26" t="str">
        <f>IF(A1040="","",BASE_CAIXA!G1037)</f>
        <v/>
      </c>
      <c r="K1040" s="26" t="str">
        <f>IF(A1040="","",BASE_CAIXA!I1037)</f>
        <v/>
      </c>
      <c r="L1040" s="26" t="str">
        <f>IF(A1040="","",BASE_CAIXA!J1037)</f>
        <v/>
      </c>
      <c r="M1040" s="26" t="str">
        <f>IF(A1040="","",BASE_CAIXA!AM1037)</f>
        <v/>
      </c>
      <c r="N1040" s="26" t="str">
        <f t="shared" ca="1" si="48"/>
        <v/>
      </c>
      <c r="O1040" s="26" t="str">
        <f>IFERROR(INDEX(EXTRATO_IMPORTADO!$A$5:$A$404,MATCH(B1040,EXTRATO_IMPORTADO!$I$5:$I$404,0)),"")</f>
        <v/>
      </c>
      <c r="P1040" s="26" t="str">
        <f>IFERROR(INDEX(EXTRATO_IMPORTADO!$F$5:$F$404,MATCH(B1040,EXTRATO_IMPORTADO!$I$5:$I$404,0)),"")</f>
        <v/>
      </c>
      <c r="Q1040" s="26" t="str">
        <f>IFERROR(INDEX(EXTRATO_IMPORTADO!$B$5:$B$404,MATCH(B1040,EXTRATO_IMPORTADO!$I$5:$I$404,0)),"")</f>
        <v/>
      </c>
      <c r="R1040" s="26" t="str">
        <f>IFERROR(MATCH(B1040,EXTRATO_IMPORTADO!$I$5:$I$404,0),"")</f>
        <v/>
      </c>
      <c r="S1040" s="26" t="str">
        <f t="shared" si="49"/>
        <v/>
      </c>
      <c r="T1040" s="26" t="str">
        <f t="shared" si="50"/>
        <v/>
      </c>
    </row>
    <row r="1041" spans="1:20" x14ac:dyDescent="0.3">
      <c r="A1041" s="26" t="str">
        <f>IF(BASE_CAIXA!A1038="","",BASE_CAIXA!A1038)</f>
        <v/>
      </c>
      <c r="B1041" s="26" t="str">
        <f>IF(A1041="","",BASE_CAIXA!AL1038)</f>
        <v/>
      </c>
      <c r="C1041" s="26" t="str">
        <f>IF(A1041="","",BASE_CAIXA!AJ1038)</f>
        <v/>
      </c>
      <c r="D1041" s="26" t="str">
        <f>IF(A1041="","",IF(BASE_CAIXA!C1038="Entrada","Crédito","Débito"))</f>
        <v/>
      </c>
      <c r="E1041" s="26" t="str">
        <f>IF(A1041="","",BASE_CAIXA!AA1038)</f>
        <v/>
      </c>
      <c r="F1041" s="26" t="str">
        <f>IF(A1041="","",BASE_CAIXA!N1038)</f>
        <v/>
      </c>
      <c r="G1041" s="26" t="str">
        <f>IF(A1041="","",BASE_CAIXA!O1038)</f>
        <v/>
      </c>
      <c r="H1041" s="26" t="str">
        <f>IF(A1041="","",BASE_CAIXA!P1038)</f>
        <v/>
      </c>
      <c r="I1041" s="26" t="str">
        <f>IF(A1041="","",IF(BASE_CAIXA!H1038&lt;&gt;"",BASE_CAIXA!H1038,BASE_CAIXA!G1038))</f>
        <v/>
      </c>
      <c r="J1041" s="26" t="str">
        <f>IF(A1041="","",BASE_CAIXA!G1038)</f>
        <v/>
      </c>
      <c r="K1041" s="26" t="str">
        <f>IF(A1041="","",BASE_CAIXA!I1038)</f>
        <v/>
      </c>
      <c r="L1041" s="26" t="str">
        <f>IF(A1041="","",BASE_CAIXA!J1038)</f>
        <v/>
      </c>
      <c r="M1041" s="26" t="str">
        <f>IF(A1041="","",BASE_CAIXA!AM1038)</f>
        <v/>
      </c>
      <c r="N1041" s="26" t="str">
        <f t="shared" ca="1" si="48"/>
        <v/>
      </c>
      <c r="O1041" s="26" t="str">
        <f>IFERROR(INDEX(EXTRATO_IMPORTADO!$A$5:$A$404,MATCH(B1041,EXTRATO_IMPORTADO!$I$5:$I$404,0)),"")</f>
        <v/>
      </c>
      <c r="P1041" s="26" t="str">
        <f>IFERROR(INDEX(EXTRATO_IMPORTADO!$F$5:$F$404,MATCH(B1041,EXTRATO_IMPORTADO!$I$5:$I$404,0)),"")</f>
        <v/>
      </c>
      <c r="Q1041" s="26" t="str">
        <f>IFERROR(INDEX(EXTRATO_IMPORTADO!$B$5:$B$404,MATCH(B1041,EXTRATO_IMPORTADO!$I$5:$I$404,0)),"")</f>
        <v/>
      </c>
      <c r="R1041" s="26" t="str">
        <f>IFERROR(MATCH(B1041,EXTRATO_IMPORTADO!$I$5:$I$404,0),"")</f>
        <v/>
      </c>
      <c r="S1041" s="26" t="str">
        <f t="shared" si="49"/>
        <v/>
      </c>
      <c r="T1041" s="26" t="str">
        <f t="shared" si="50"/>
        <v/>
      </c>
    </row>
    <row r="1042" spans="1:20" x14ac:dyDescent="0.3">
      <c r="A1042" s="26" t="str">
        <f>IF(BASE_CAIXA!A1039="","",BASE_CAIXA!A1039)</f>
        <v/>
      </c>
      <c r="B1042" s="26" t="str">
        <f>IF(A1042="","",BASE_CAIXA!AL1039)</f>
        <v/>
      </c>
      <c r="C1042" s="26" t="str">
        <f>IF(A1042="","",BASE_CAIXA!AJ1039)</f>
        <v/>
      </c>
      <c r="D1042" s="26" t="str">
        <f>IF(A1042="","",IF(BASE_CAIXA!C1039="Entrada","Crédito","Débito"))</f>
        <v/>
      </c>
      <c r="E1042" s="26" t="str">
        <f>IF(A1042="","",BASE_CAIXA!AA1039)</f>
        <v/>
      </c>
      <c r="F1042" s="26" t="str">
        <f>IF(A1042="","",BASE_CAIXA!N1039)</f>
        <v/>
      </c>
      <c r="G1042" s="26" t="str">
        <f>IF(A1042="","",BASE_CAIXA!O1039)</f>
        <v/>
      </c>
      <c r="H1042" s="26" t="str">
        <f>IF(A1042="","",BASE_CAIXA!P1039)</f>
        <v/>
      </c>
      <c r="I1042" s="26" t="str">
        <f>IF(A1042="","",IF(BASE_CAIXA!H1039&lt;&gt;"",BASE_CAIXA!H1039,BASE_CAIXA!G1039))</f>
        <v/>
      </c>
      <c r="J1042" s="26" t="str">
        <f>IF(A1042="","",BASE_CAIXA!G1039)</f>
        <v/>
      </c>
      <c r="K1042" s="26" t="str">
        <f>IF(A1042="","",BASE_CAIXA!I1039)</f>
        <v/>
      </c>
      <c r="L1042" s="26" t="str">
        <f>IF(A1042="","",BASE_CAIXA!J1039)</f>
        <v/>
      </c>
      <c r="M1042" s="26" t="str">
        <f>IF(A1042="","",BASE_CAIXA!AM1039)</f>
        <v/>
      </c>
      <c r="N1042" s="26" t="str">
        <f t="shared" ca="1" si="48"/>
        <v/>
      </c>
      <c r="O1042" s="26" t="str">
        <f>IFERROR(INDEX(EXTRATO_IMPORTADO!$A$5:$A$404,MATCH(B1042,EXTRATO_IMPORTADO!$I$5:$I$404,0)),"")</f>
        <v/>
      </c>
      <c r="P1042" s="26" t="str">
        <f>IFERROR(INDEX(EXTRATO_IMPORTADO!$F$5:$F$404,MATCH(B1042,EXTRATO_IMPORTADO!$I$5:$I$404,0)),"")</f>
        <v/>
      </c>
      <c r="Q1042" s="26" t="str">
        <f>IFERROR(INDEX(EXTRATO_IMPORTADO!$B$5:$B$404,MATCH(B1042,EXTRATO_IMPORTADO!$I$5:$I$404,0)),"")</f>
        <v/>
      </c>
      <c r="R1042" s="26" t="str">
        <f>IFERROR(MATCH(B1042,EXTRATO_IMPORTADO!$I$5:$I$404,0),"")</f>
        <v/>
      </c>
      <c r="S1042" s="26" t="str">
        <f t="shared" si="49"/>
        <v/>
      </c>
      <c r="T1042" s="26" t="str">
        <f t="shared" si="50"/>
        <v/>
      </c>
    </row>
    <row r="1043" spans="1:20" x14ac:dyDescent="0.3">
      <c r="A1043" s="26" t="str">
        <f>IF(BASE_CAIXA!A1040="","",BASE_CAIXA!A1040)</f>
        <v/>
      </c>
      <c r="B1043" s="26" t="str">
        <f>IF(A1043="","",BASE_CAIXA!AL1040)</f>
        <v/>
      </c>
      <c r="C1043" s="26" t="str">
        <f>IF(A1043="","",BASE_CAIXA!AJ1040)</f>
        <v/>
      </c>
      <c r="D1043" s="26" t="str">
        <f>IF(A1043="","",IF(BASE_CAIXA!C1040="Entrada","Crédito","Débito"))</f>
        <v/>
      </c>
      <c r="E1043" s="26" t="str">
        <f>IF(A1043="","",BASE_CAIXA!AA1040)</f>
        <v/>
      </c>
      <c r="F1043" s="26" t="str">
        <f>IF(A1043="","",BASE_CAIXA!N1040)</f>
        <v/>
      </c>
      <c r="G1043" s="26" t="str">
        <f>IF(A1043="","",BASE_CAIXA!O1040)</f>
        <v/>
      </c>
      <c r="H1043" s="26" t="str">
        <f>IF(A1043="","",BASE_CAIXA!P1040)</f>
        <v/>
      </c>
      <c r="I1043" s="26" t="str">
        <f>IF(A1043="","",IF(BASE_CAIXA!H1040&lt;&gt;"",BASE_CAIXA!H1040,BASE_CAIXA!G1040))</f>
        <v/>
      </c>
      <c r="J1043" s="26" t="str">
        <f>IF(A1043="","",BASE_CAIXA!G1040)</f>
        <v/>
      </c>
      <c r="K1043" s="26" t="str">
        <f>IF(A1043="","",BASE_CAIXA!I1040)</f>
        <v/>
      </c>
      <c r="L1043" s="26" t="str">
        <f>IF(A1043="","",BASE_CAIXA!J1040)</f>
        <v/>
      </c>
      <c r="M1043" s="26" t="str">
        <f>IF(A1043="","",BASE_CAIXA!AM1040)</f>
        <v/>
      </c>
      <c r="N1043" s="26" t="str">
        <f t="shared" ca="1" si="48"/>
        <v/>
      </c>
      <c r="O1043" s="26" t="str">
        <f>IFERROR(INDEX(EXTRATO_IMPORTADO!$A$5:$A$404,MATCH(B1043,EXTRATO_IMPORTADO!$I$5:$I$404,0)),"")</f>
        <v/>
      </c>
      <c r="P1043" s="26" t="str">
        <f>IFERROR(INDEX(EXTRATO_IMPORTADO!$F$5:$F$404,MATCH(B1043,EXTRATO_IMPORTADO!$I$5:$I$404,0)),"")</f>
        <v/>
      </c>
      <c r="Q1043" s="26" t="str">
        <f>IFERROR(INDEX(EXTRATO_IMPORTADO!$B$5:$B$404,MATCH(B1043,EXTRATO_IMPORTADO!$I$5:$I$404,0)),"")</f>
        <v/>
      </c>
      <c r="R1043" s="26" t="str">
        <f>IFERROR(MATCH(B1043,EXTRATO_IMPORTADO!$I$5:$I$404,0),"")</f>
        <v/>
      </c>
      <c r="S1043" s="26" t="str">
        <f t="shared" si="49"/>
        <v/>
      </c>
      <c r="T1043" s="26" t="str">
        <f t="shared" si="50"/>
        <v/>
      </c>
    </row>
    <row r="1044" spans="1:20" x14ac:dyDescent="0.3">
      <c r="A1044" s="26" t="str">
        <f>IF(BASE_CAIXA!A1041="","",BASE_CAIXA!A1041)</f>
        <v/>
      </c>
      <c r="B1044" s="26" t="str">
        <f>IF(A1044="","",BASE_CAIXA!AL1041)</f>
        <v/>
      </c>
      <c r="C1044" s="26" t="str">
        <f>IF(A1044="","",BASE_CAIXA!AJ1041)</f>
        <v/>
      </c>
      <c r="D1044" s="26" t="str">
        <f>IF(A1044="","",IF(BASE_CAIXA!C1041="Entrada","Crédito","Débito"))</f>
        <v/>
      </c>
      <c r="E1044" s="26" t="str">
        <f>IF(A1044="","",BASE_CAIXA!AA1041)</f>
        <v/>
      </c>
      <c r="F1044" s="26" t="str">
        <f>IF(A1044="","",BASE_CAIXA!N1041)</f>
        <v/>
      </c>
      <c r="G1044" s="26" t="str">
        <f>IF(A1044="","",BASE_CAIXA!O1041)</f>
        <v/>
      </c>
      <c r="H1044" s="26" t="str">
        <f>IF(A1044="","",BASE_CAIXA!P1041)</f>
        <v/>
      </c>
      <c r="I1044" s="26" t="str">
        <f>IF(A1044="","",IF(BASE_CAIXA!H1041&lt;&gt;"",BASE_CAIXA!H1041,BASE_CAIXA!G1041))</f>
        <v/>
      </c>
      <c r="J1044" s="26" t="str">
        <f>IF(A1044="","",BASE_CAIXA!G1041)</f>
        <v/>
      </c>
      <c r="K1044" s="26" t="str">
        <f>IF(A1044="","",BASE_CAIXA!I1041)</f>
        <v/>
      </c>
      <c r="L1044" s="26" t="str">
        <f>IF(A1044="","",BASE_CAIXA!J1041)</f>
        <v/>
      </c>
      <c r="M1044" s="26" t="str">
        <f>IF(A1044="","",BASE_CAIXA!AM1041)</f>
        <v/>
      </c>
      <c r="N1044" s="26" t="str">
        <f t="shared" ca="1" si="48"/>
        <v/>
      </c>
      <c r="O1044" s="26" t="str">
        <f>IFERROR(INDEX(EXTRATO_IMPORTADO!$A$5:$A$404,MATCH(B1044,EXTRATO_IMPORTADO!$I$5:$I$404,0)),"")</f>
        <v/>
      </c>
      <c r="P1044" s="26" t="str">
        <f>IFERROR(INDEX(EXTRATO_IMPORTADO!$F$5:$F$404,MATCH(B1044,EXTRATO_IMPORTADO!$I$5:$I$404,0)),"")</f>
        <v/>
      </c>
      <c r="Q1044" s="26" t="str">
        <f>IFERROR(INDEX(EXTRATO_IMPORTADO!$B$5:$B$404,MATCH(B1044,EXTRATO_IMPORTADO!$I$5:$I$404,0)),"")</f>
        <v/>
      </c>
      <c r="R1044" s="26" t="str">
        <f>IFERROR(MATCH(B1044,EXTRATO_IMPORTADO!$I$5:$I$404,0),"")</f>
        <v/>
      </c>
      <c r="S1044" s="26" t="str">
        <f t="shared" si="49"/>
        <v/>
      </c>
      <c r="T1044" s="26" t="str">
        <f t="shared" si="50"/>
        <v/>
      </c>
    </row>
    <row r="1045" spans="1:20" x14ac:dyDescent="0.3">
      <c r="A1045" s="26" t="str">
        <f>IF(BASE_CAIXA!A1042="","",BASE_CAIXA!A1042)</f>
        <v/>
      </c>
      <c r="B1045" s="26" t="str">
        <f>IF(A1045="","",BASE_CAIXA!AL1042)</f>
        <v/>
      </c>
      <c r="C1045" s="26" t="str">
        <f>IF(A1045="","",BASE_CAIXA!AJ1042)</f>
        <v/>
      </c>
      <c r="D1045" s="26" t="str">
        <f>IF(A1045="","",IF(BASE_CAIXA!C1042="Entrada","Crédito","Débito"))</f>
        <v/>
      </c>
      <c r="E1045" s="26" t="str">
        <f>IF(A1045="","",BASE_CAIXA!AA1042)</f>
        <v/>
      </c>
      <c r="F1045" s="26" t="str">
        <f>IF(A1045="","",BASE_CAIXA!N1042)</f>
        <v/>
      </c>
      <c r="G1045" s="26" t="str">
        <f>IF(A1045="","",BASE_CAIXA!O1042)</f>
        <v/>
      </c>
      <c r="H1045" s="26" t="str">
        <f>IF(A1045="","",BASE_CAIXA!P1042)</f>
        <v/>
      </c>
      <c r="I1045" s="26" t="str">
        <f>IF(A1045="","",IF(BASE_CAIXA!H1042&lt;&gt;"",BASE_CAIXA!H1042,BASE_CAIXA!G1042))</f>
        <v/>
      </c>
      <c r="J1045" s="26" t="str">
        <f>IF(A1045="","",BASE_CAIXA!G1042)</f>
        <v/>
      </c>
      <c r="K1045" s="26" t="str">
        <f>IF(A1045="","",BASE_CAIXA!I1042)</f>
        <v/>
      </c>
      <c r="L1045" s="26" t="str">
        <f>IF(A1045="","",BASE_CAIXA!J1042)</f>
        <v/>
      </c>
      <c r="M1045" s="26" t="str">
        <f>IF(A1045="","",BASE_CAIXA!AM1042)</f>
        <v/>
      </c>
      <c r="N1045" s="26" t="str">
        <f t="shared" ca="1" si="48"/>
        <v/>
      </c>
      <c r="O1045" s="26" t="str">
        <f>IFERROR(INDEX(EXTRATO_IMPORTADO!$A$5:$A$404,MATCH(B1045,EXTRATO_IMPORTADO!$I$5:$I$404,0)),"")</f>
        <v/>
      </c>
      <c r="P1045" s="26" t="str">
        <f>IFERROR(INDEX(EXTRATO_IMPORTADO!$F$5:$F$404,MATCH(B1045,EXTRATO_IMPORTADO!$I$5:$I$404,0)),"")</f>
        <v/>
      </c>
      <c r="Q1045" s="26" t="str">
        <f>IFERROR(INDEX(EXTRATO_IMPORTADO!$B$5:$B$404,MATCH(B1045,EXTRATO_IMPORTADO!$I$5:$I$404,0)),"")</f>
        <v/>
      </c>
      <c r="R1045" s="26" t="str">
        <f>IFERROR(MATCH(B1045,EXTRATO_IMPORTADO!$I$5:$I$404,0),"")</f>
        <v/>
      </c>
      <c r="S1045" s="26" t="str">
        <f t="shared" si="49"/>
        <v/>
      </c>
      <c r="T1045" s="26" t="str">
        <f t="shared" si="50"/>
        <v/>
      </c>
    </row>
    <row r="1046" spans="1:20" x14ac:dyDescent="0.3">
      <c r="A1046" s="26" t="str">
        <f>IF(BASE_CAIXA!A1043="","",BASE_CAIXA!A1043)</f>
        <v/>
      </c>
      <c r="B1046" s="26" t="str">
        <f>IF(A1046="","",BASE_CAIXA!AL1043)</f>
        <v/>
      </c>
      <c r="C1046" s="26" t="str">
        <f>IF(A1046="","",BASE_CAIXA!AJ1043)</f>
        <v/>
      </c>
      <c r="D1046" s="26" t="str">
        <f>IF(A1046="","",IF(BASE_CAIXA!C1043="Entrada","Crédito","Débito"))</f>
        <v/>
      </c>
      <c r="E1046" s="26" t="str">
        <f>IF(A1046="","",BASE_CAIXA!AA1043)</f>
        <v/>
      </c>
      <c r="F1046" s="26" t="str">
        <f>IF(A1046="","",BASE_CAIXA!N1043)</f>
        <v/>
      </c>
      <c r="G1046" s="26" t="str">
        <f>IF(A1046="","",BASE_CAIXA!O1043)</f>
        <v/>
      </c>
      <c r="H1046" s="26" t="str">
        <f>IF(A1046="","",BASE_CAIXA!P1043)</f>
        <v/>
      </c>
      <c r="I1046" s="26" t="str">
        <f>IF(A1046="","",IF(BASE_CAIXA!H1043&lt;&gt;"",BASE_CAIXA!H1043,BASE_CAIXA!G1043))</f>
        <v/>
      </c>
      <c r="J1046" s="26" t="str">
        <f>IF(A1046="","",BASE_CAIXA!G1043)</f>
        <v/>
      </c>
      <c r="K1046" s="26" t="str">
        <f>IF(A1046="","",BASE_CAIXA!I1043)</f>
        <v/>
      </c>
      <c r="L1046" s="26" t="str">
        <f>IF(A1046="","",BASE_CAIXA!J1043)</f>
        <v/>
      </c>
      <c r="M1046" s="26" t="str">
        <f>IF(A1046="","",BASE_CAIXA!AM1043)</f>
        <v/>
      </c>
      <c r="N1046" s="26" t="str">
        <f t="shared" ca="1" si="48"/>
        <v/>
      </c>
      <c r="O1046" s="26" t="str">
        <f>IFERROR(INDEX(EXTRATO_IMPORTADO!$A$5:$A$404,MATCH(B1046,EXTRATO_IMPORTADO!$I$5:$I$404,0)),"")</f>
        <v/>
      </c>
      <c r="P1046" s="26" t="str">
        <f>IFERROR(INDEX(EXTRATO_IMPORTADO!$F$5:$F$404,MATCH(B1046,EXTRATO_IMPORTADO!$I$5:$I$404,0)),"")</f>
        <v/>
      </c>
      <c r="Q1046" s="26" t="str">
        <f>IFERROR(INDEX(EXTRATO_IMPORTADO!$B$5:$B$404,MATCH(B1046,EXTRATO_IMPORTADO!$I$5:$I$404,0)),"")</f>
        <v/>
      </c>
      <c r="R1046" s="26" t="str">
        <f>IFERROR(MATCH(B1046,EXTRATO_IMPORTADO!$I$5:$I$404,0),"")</f>
        <v/>
      </c>
      <c r="S1046" s="26" t="str">
        <f t="shared" si="49"/>
        <v/>
      </c>
      <c r="T1046" s="26" t="str">
        <f t="shared" si="50"/>
        <v/>
      </c>
    </row>
    <row r="1047" spans="1:20" x14ac:dyDescent="0.3">
      <c r="A1047" s="26" t="str">
        <f>IF(BASE_CAIXA!A1044="","",BASE_CAIXA!A1044)</f>
        <v/>
      </c>
      <c r="B1047" s="26" t="str">
        <f>IF(A1047="","",BASE_CAIXA!AL1044)</f>
        <v/>
      </c>
      <c r="C1047" s="26" t="str">
        <f>IF(A1047="","",BASE_CAIXA!AJ1044)</f>
        <v/>
      </c>
      <c r="D1047" s="26" t="str">
        <f>IF(A1047="","",IF(BASE_CAIXA!C1044="Entrada","Crédito","Débito"))</f>
        <v/>
      </c>
      <c r="E1047" s="26" t="str">
        <f>IF(A1047="","",BASE_CAIXA!AA1044)</f>
        <v/>
      </c>
      <c r="F1047" s="26" t="str">
        <f>IF(A1047="","",BASE_CAIXA!N1044)</f>
        <v/>
      </c>
      <c r="G1047" s="26" t="str">
        <f>IF(A1047="","",BASE_CAIXA!O1044)</f>
        <v/>
      </c>
      <c r="H1047" s="26" t="str">
        <f>IF(A1047="","",BASE_CAIXA!P1044)</f>
        <v/>
      </c>
      <c r="I1047" s="26" t="str">
        <f>IF(A1047="","",IF(BASE_CAIXA!H1044&lt;&gt;"",BASE_CAIXA!H1044,BASE_CAIXA!G1044))</f>
        <v/>
      </c>
      <c r="J1047" s="26" t="str">
        <f>IF(A1047="","",BASE_CAIXA!G1044)</f>
        <v/>
      </c>
      <c r="K1047" s="26" t="str">
        <f>IF(A1047="","",BASE_CAIXA!I1044)</f>
        <v/>
      </c>
      <c r="L1047" s="26" t="str">
        <f>IF(A1047="","",BASE_CAIXA!J1044)</f>
        <v/>
      </c>
      <c r="M1047" s="26" t="str">
        <f>IF(A1047="","",BASE_CAIXA!AM1044)</f>
        <v/>
      </c>
      <c r="N1047" s="26" t="str">
        <f t="shared" ca="1" si="48"/>
        <v/>
      </c>
      <c r="O1047" s="26" t="str">
        <f>IFERROR(INDEX(EXTRATO_IMPORTADO!$A$5:$A$404,MATCH(B1047,EXTRATO_IMPORTADO!$I$5:$I$404,0)),"")</f>
        <v/>
      </c>
      <c r="P1047" s="26" t="str">
        <f>IFERROR(INDEX(EXTRATO_IMPORTADO!$F$5:$F$404,MATCH(B1047,EXTRATO_IMPORTADO!$I$5:$I$404,0)),"")</f>
        <v/>
      </c>
      <c r="Q1047" s="26" t="str">
        <f>IFERROR(INDEX(EXTRATO_IMPORTADO!$B$5:$B$404,MATCH(B1047,EXTRATO_IMPORTADO!$I$5:$I$404,0)),"")</f>
        <v/>
      </c>
      <c r="R1047" s="26" t="str">
        <f>IFERROR(MATCH(B1047,EXTRATO_IMPORTADO!$I$5:$I$404,0),"")</f>
        <v/>
      </c>
      <c r="S1047" s="26" t="str">
        <f t="shared" si="49"/>
        <v/>
      </c>
      <c r="T1047" s="26" t="str">
        <f t="shared" si="50"/>
        <v/>
      </c>
    </row>
    <row r="1048" spans="1:20" x14ac:dyDescent="0.3">
      <c r="A1048" s="26" t="str">
        <f>IF(BASE_CAIXA!A1045="","",BASE_CAIXA!A1045)</f>
        <v/>
      </c>
      <c r="B1048" s="26" t="str">
        <f>IF(A1048="","",BASE_CAIXA!AL1045)</f>
        <v/>
      </c>
      <c r="C1048" s="26" t="str">
        <f>IF(A1048="","",BASE_CAIXA!AJ1045)</f>
        <v/>
      </c>
      <c r="D1048" s="26" t="str">
        <f>IF(A1048="","",IF(BASE_CAIXA!C1045="Entrada","Crédito","Débito"))</f>
        <v/>
      </c>
      <c r="E1048" s="26" t="str">
        <f>IF(A1048="","",BASE_CAIXA!AA1045)</f>
        <v/>
      </c>
      <c r="F1048" s="26" t="str">
        <f>IF(A1048="","",BASE_CAIXA!N1045)</f>
        <v/>
      </c>
      <c r="G1048" s="26" t="str">
        <f>IF(A1048="","",BASE_CAIXA!O1045)</f>
        <v/>
      </c>
      <c r="H1048" s="26" t="str">
        <f>IF(A1048="","",BASE_CAIXA!P1045)</f>
        <v/>
      </c>
      <c r="I1048" s="26" t="str">
        <f>IF(A1048="","",IF(BASE_CAIXA!H1045&lt;&gt;"",BASE_CAIXA!H1045,BASE_CAIXA!G1045))</f>
        <v/>
      </c>
      <c r="J1048" s="26" t="str">
        <f>IF(A1048="","",BASE_CAIXA!G1045)</f>
        <v/>
      </c>
      <c r="K1048" s="26" t="str">
        <f>IF(A1048="","",BASE_CAIXA!I1045)</f>
        <v/>
      </c>
      <c r="L1048" s="26" t="str">
        <f>IF(A1048="","",BASE_CAIXA!J1045)</f>
        <v/>
      </c>
      <c r="M1048" s="26" t="str">
        <f>IF(A1048="","",BASE_CAIXA!AM1045)</f>
        <v/>
      </c>
      <c r="N1048" s="26" t="str">
        <f t="shared" ca="1" si="48"/>
        <v/>
      </c>
      <c r="O1048" s="26" t="str">
        <f>IFERROR(INDEX(EXTRATO_IMPORTADO!$A$5:$A$404,MATCH(B1048,EXTRATO_IMPORTADO!$I$5:$I$404,0)),"")</f>
        <v/>
      </c>
      <c r="P1048" s="26" t="str">
        <f>IFERROR(INDEX(EXTRATO_IMPORTADO!$F$5:$F$404,MATCH(B1048,EXTRATO_IMPORTADO!$I$5:$I$404,0)),"")</f>
        <v/>
      </c>
      <c r="Q1048" s="26" t="str">
        <f>IFERROR(INDEX(EXTRATO_IMPORTADO!$B$5:$B$404,MATCH(B1048,EXTRATO_IMPORTADO!$I$5:$I$404,0)),"")</f>
        <v/>
      </c>
      <c r="R1048" s="26" t="str">
        <f>IFERROR(MATCH(B1048,EXTRATO_IMPORTADO!$I$5:$I$404,0),"")</f>
        <v/>
      </c>
      <c r="S1048" s="26" t="str">
        <f t="shared" si="49"/>
        <v/>
      </c>
      <c r="T1048" s="26" t="str">
        <f t="shared" si="50"/>
        <v/>
      </c>
    </row>
    <row r="1049" spans="1:20" x14ac:dyDescent="0.3">
      <c r="A1049" s="26" t="str">
        <f>IF(BASE_CAIXA!A1046="","",BASE_CAIXA!A1046)</f>
        <v/>
      </c>
      <c r="B1049" s="26" t="str">
        <f>IF(A1049="","",BASE_CAIXA!AL1046)</f>
        <v/>
      </c>
      <c r="C1049" s="26" t="str">
        <f>IF(A1049="","",BASE_CAIXA!AJ1046)</f>
        <v/>
      </c>
      <c r="D1049" s="26" t="str">
        <f>IF(A1049="","",IF(BASE_CAIXA!C1046="Entrada","Crédito","Débito"))</f>
        <v/>
      </c>
      <c r="E1049" s="26" t="str">
        <f>IF(A1049="","",BASE_CAIXA!AA1046)</f>
        <v/>
      </c>
      <c r="F1049" s="26" t="str">
        <f>IF(A1049="","",BASE_CAIXA!N1046)</f>
        <v/>
      </c>
      <c r="G1049" s="26" t="str">
        <f>IF(A1049="","",BASE_CAIXA!O1046)</f>
        <v/>
      </c>
      <c r="H1049" s="26" t="str">
        <f>IF(A1049="","",BASE_CAIXA!P1046)</f>
        <v/>
      </c>
      <c r="I1049" s="26" t="str">
        <f>IF(A1049="","",IF(BASE_CAIXA!H1046&lt;&gt;"",BASE_CAIXA!H1046,BASE_CAIXA!G1046))</f>
        <v/>
      </c>
      <c r="J1049" s="26" t="str">
        <f>IF(A1049="","",BASE_CAIXA!G1046)</f>
        <v/>
      </c>
      <c r="K1049" s="26" t="str">
        <f>IF(A1049="","",BASE_CAIXA!I1046)</f>
        <v/>
      </c>
      <c r="L1049" s="26" t="str">
        <f>IF(A1049="","",BASE_CAIXA!J1046)</f>
        <v/>
      </c>
      <c r="M1049" s="26" t="str">
        <f>IF(A1049="","",BASE_CAIXA!AM1046)</f>
        <v/>
      </c>
      <c r="N1049" s="26" t="str">
        <f t="shared" ca="1" si="48"/>
        <v/>
      </c>
      <c r="O1049" s="26" t="str">
        <f>IFERROR(INDEX(EXTRATO_IMPORTADO!$A$5:$A$404,MATCH(B1049,EXTRATO_IMPORTADO!$I$5:$I$404,0)),"")</f>
        <v/>
      </c>
      <c r="P1049" s="26" t="str">
        <f>IFERROR(INDEX(EXTRATO_IMPORTADO!$F$5:$F$404,MATCH(B1049,EXTRATO_IMPORTADO!$I$5:$I$404,0)),"")</f>
        <v/>
      </c>
      <c r="Q1049" s="26" t="str">
        <f>IFERROR(INDEX(EXTRATO_IMPORTADO!$B$5:$B$404,MATCH(B1049,EXTRATO_IMPORTADO!$I$5:$I$404,0)),"")</f>
        <v/>
      </c>
      <c r="R1049" s="26" t="str">
        <f>IFERROR(MATCH(B1049,EXTRATO_IMPORTADO!$I$5:$I$404,0),"")</f>
        <v/>
      </c>
      <c r="S1049" s="26" t="str">
        <f t="shared" si="49"/>
        <v/>
      </c>
      <c r="T1049" s="26" t="str">
        <f t="shared" si="50"/>
        <v/>
      </c>
    </row>
    <row r="1050" spans="1:20" x14ac:dyDescent="0.3">
      <c r="A1050" s="26" t="str">
        <f>IF(BASE_CAIXA!A1047="","",BASE_CAIXA!A1047)</f>
        <v/>
      </c>
      <c r="B1050" s="26" t="str">
        <f>IF(A1050="","",BASE_CAIXA!AL1047)</f>
        <v/>
      </c>
      <c r="C1050" s="26" t="str">
        <f>IF(A1050="","",BASE_CAIXA!AJ1047)</f>
        <v/>
      </c>
      <c r="D1050" s="26" t="str">
        <f>IF(A1050="","",IF(BASE_CAIXA!C1047="Entrada","Crédito","Débito"))</f>
        <v/>
      </c>
      <c r="E1050" s="26" t="str">
        <f>IF(A1050="","",BASE_CAIXA!AA1047)</f>
        <v/>
      </c>
      <c r="F1050" s="26" t="str">
        <f>IF(A1050="","",BASE_CAIXA!N1047)</f>
        <v/>
      </c>
      <c r="G1050" s="26" t="str">
        <f>IF(A1050="","",BASE_CAIXA!O1047)</f>
        <v/>
      </c>
      <c r="H1050" s="26" t="str">
        <f>IF(A1050="","",BASE_CAIXA!P1047)</f>
        <v/>
      </c>
      <c r="I1050" s="26" t="str">
        <f>IF(A1050="","",IF(BASE_CAIXA!H1047&lt;&gt;"",BASE_CAIXA!H1047,BASE_CAIXA!G1047))</f>
        <v/>
      </c>
      <c r="J1050" s="26" t="str">
        <f>IF(A1050="","",BASE_CAIXA!G1047)</f>
        <v/>
      </c>
      <c r="K1050" s="26" t="str">
        <f>IF(A1050="","",BASE_CAIXA!I1047)</f>
        <v/>
      </c>
      <c r="L1050" s="26" t="str">
        <f>IF(A1050="","",BASE_CAIXA!J1047)</f>
        <v/>
      </c>
      <c r="M1050" s="26" t="str">
        <f>IF(A1050="","",BASE_CAIXA!AM1047)</f>
        <v/>
      </c>
      <c r="N1050" s="26" t="str">
        <f t="shared" ca="1" si="48"/>
        <v/>
      </c>
      <c r="O1050" s="26" t="str">
        <f>IFERROR(INDEX(EXTRATO_IMPORTADO!$A$5:$A$404,MATCH(B1050,EXTRATO_IMPORTADO!$I$5:$I$404,0)),"")</f>
        <v/>
      </c>
      <c r="P1050" s="26" t="str">
        <f>IFERROR(INDEX(EXTRATO_IMPORTADO!$F$5:$F$404,MATCH(B1050,EXTRATO_IMPORTADO!$I$5:$I$404,0)),"")</f>
        <v/>
      </c>
      <c r="Q1050" s="26" t="str">
        <f>IFERROR(INDEX(EXTRATO_IMPORTADO!$B$5:$B$404,MATCH(B1050,EXTRATO_IMPORTADO!$I$5:$I$404,0)),"")</f>
        <v/>
      </c>
      <c r="R1050" s="26" t="str">
        <f>IFERROR(MATCH(B1050,EXTRATO_IMPORTADO!$I$5:$I$404,0),"")</f>
        <v/>
      </c>
      <c r="S1050" s="26" t="str">
        <f t="shared" si="49"/>
        <v/>
      </c>
      <c r="T1050" s="26" t="str">
        <f t="shared" si="50"/>
        <v/>
      </c>
    </row>
    <row r="1051" spans="1:20" x14ac:dyDescent="0.3">
      <c r="A1051" s="26" t="str">
        <f>IF(BASE_CAIXA!A1048="","",BASE_CAIXA!A1048)</f>
        <v/>
      </c>
      <c r="B1051" s="26" t="str">
        <f>IF(A1051="","",BASE_CAIXA!AL1048)</f>
        <v/>
      </c>
      <c r="C1051" s="26" t="str">
        <f>IF(A1051="","",BASE_CAIXA!AJ1048)</f>
        <v/>
      </c>
      <c r="D1051" s="26" t="str">
        <f>IF(A1051="","",IF(BASE_CAIXA!C1048="Entrada","Crédito","Débito"))</f>
        <v/>
      </c>
      <c r="E1051" s="26" t="str">
        <f>IF(A1051="","",BASE_CAIXA!AA1048)</f>
        <v/>
      </c>
      <c r="F1051" s="26" t="str">
        <f>IF(A1051="","",BASE_CAIXA!N1048)</f>
        <v/>
      </c>
      <c r="G1051" s="26" t="str">
        <f>IF(A1051="","",BASE_CAIXA!O1048)</f>
        <v/>
      </c>
      <c r="H1051" s="26" t="str">
        <f>IF(A1051="","",BASE_CAIXA!P1048)</f>
        <v/>
      </c>
      <c r="I1051" s="26" t="str">
        <f>IF(A1051="","",IF(BASE_CAIXA!H1048&lt;&gt;"",BASE_CAIXA!H1048,BASE_CAIXA!G1048))</f>
        <v/>
      </c>
      <c r="J1051" s="26" t="str">
        <f>IF(A1051="","",BASE_CAIXA!G1048)</f>
        <v/>
      </c>
      <c r="K1051" s="26" t="str">
        <f>IF(A1051="","",BASE_CAIXA!I1048)</f>
        <v/>
      </c>
      <c r="L1051" s="26" t="str">
        <f>IF(A1051="","",BASE_CAIXA!J1048)</f>
        <v/>
      </c>
      <c r="M1051" s="26" t="str">
        <f>IF(A1051="","",BASE_CAIXA!AM1048)</f>
        <v/>
      </c>
      <c r="N1051" s="26" t="str">
        <f t="shared" ca="1" si="48"/>
        <v/>
      </c>
      <c r="O1051" s="26" t="str">
        <f>IFERROR(INDEX(EXTRATO_IMPORTADO!$A$5:$A$404,MATCH(B1051,EXTRATO_IMPORTADO!$I$5:$I$404,0)),"")</f>
        <v/>
      </c>
      <c r="P1051" s="26" t="str">
        <f>IFERROR(INDEX(EXTRATO_IMPORTADO!$F$5:$F$404,MATCH(B1051,EXTRATO_IMPORTADO!$I$5:$I$404,0)),"")</f>
        <v/>
      </c>
      <c r="Q1051" s="26" t="str">
        <f>IFERROR(INDEX(EXTRATO_IMPORTADO!$B$5:$B$404,MATCH(B1051,EXTRATO_IMPORTADO!$I$5:$I$404,0)),"")</f>
        <v/>
      </c>
      <c r="R1051" s="26" t="str">
        <f>IFERROR(MATCH(B1051,EXTRATO_IMPORTADO!$I$5:$I$404,0),"")</f>
        <v/>
      </c>
      <c r="S1051" s="26" t="str">
        <f t="shared" si="49"/>
        <v/>
      </c>
      <c r="T1051" s="26" t="str">
        <f t="shared" si="50"/>
        <v/>
      </c>
    </row>
    <row r="1052" spans="1:20" x14ac:dyDescent="0.3">
      <c r="A1052" s="26" t="str">
        <f>IF(BASE_CAIXA!A1049="","",BASE_CAIXA!A1049)</f>
        <v/>
      </c>
      <c r="B1052" s="26" t="str">
        <f>IF(A1052="","",BASE_CAIXA!AL1049)</f>
        <v/>
      </c>
      <c r="C1052" s="26" t="str">
        <f>IF(A1052="","",BASE_CAIXA!AJ1049)</f>
        <v/>
      </c>
      <c r="D1052" s="26" t="str">
        <f>IF(A1052="","",IF(BASE_CAIXA!C1049="Entrada","Crédito","Débito"))</f>
        <v/>
      </c>
      <c r="E1052" s="26" t="str">
        <f>IF(A1052="","",BASE_CAIXA!AA1049)</f>
        <v/>
      </c>
      <c r="F1052" s="26" t="str">
        <f>IF(A1052="","",BASE_CAIXA!N1049)</f>
        <v/>
      </c>
      <c r="G1052" s="26" t="str">
        <f>IF(A1052="","",BASE_CAIXA!O1049)</f>
        <v/>
      </c>
      <c r="H1052" s="26" t="str">
        <f>IF(A1052="","",BASE_CAIXA!P1049)</f>
        <v/>
      </c>
      <c r="I1052" s="26" t="str">
        <f>IF(A1052="","",IF(BASE_CAIXA!H1049&lt;&gt;"",BASE_CAIXA!H1049,BASE_CAIXA!G1049))</f>
        <v/>
      </c>
      <c r="J1052" s="26" t="str">
        <f>IF(A1052="","",BASE_CAIXA!G1049)</f>
        <v/>
      </c>
      <c r="K1052" s="26" t="str">
        <f>IF(A1052="","",BASE_CAIXA!I1049)</f>
        <v/>
      </c>
      <c r="L1052" s="26" t="str">
        <f>IF(A1052="","",BASE_CAIXA!J1049)</f>
        <v/>
      </c>
      <c r="M1052" s="26" t="str">
        <f>IF(A1052="","",BASE_CAIXA!AM1049)</f>
        <v/>
      </c>
      <c r="N1052" s="26" t="str">
        <f t="shared" ca="1" si="48"/>
        <v/>
      </c>
      <c r="O1052" s="26" t="str">
        <f>IFERROR(INDEX(EXTRATO_IMPORTADO!$A$5:$A$404,MATCH(B1052,EXTRATO_IMPORTADO!$I$5:$I$404,0)),"")</f>
        <v/>
      </c>
      <c r="P1052" s="26" t="str">
        <f>IFERROR(INDEX(EXTRATO_IMPORTADO!$F$5:$F$404,MATCH(B1052,EXTRATO_IMPORTADO!$I$5:$I$404,0)),"")</f>
        <v/>
      </c>
      <c r="Q1052" s="26" t="str">
        <f>IFERROR(INDEX(EXTRATO_IMPORTADO!$B$5:$B$404,MATCH(B1052,EXTRATO_IMPORTADO!$I$5:$I$404,0)),"")</f>
        <v/>
      </c>
      <c r="R1052" s="26" t="str">
        <f>IFERROR(MATCH(B1052,EXTRATO_IMPORTADO!$I$5:$I$404,0),"")</f>
        <v/>
      </c>
      <c r="S1052" s="26" t="str">
        <f t="shared" si="49"/>
        <v/>
      </c>
      <c r="T1052" s="26" t="str">
        <f t="shared" si="50"/>
        <v/>
      </c>
    </row>
    <row r="1053" spans="1:20" x14ac:dyDescent="0.3">
      <c r="A1053" s="26" t="str">
        <f>IF(BASE_CAIXA!A1050="","",BASE_CAIXA!A1050)</f>
        <v/>
      </c>
      <c r="B1053" s="26" t="str">
        <f>IF(A1053="","",BASE_CAIXA!AL1050)</f>
        <v/>
      </c>
      <c r="C1053" s="26" t="str">
        <f>IF(A1053="","",BASE_CAIXA!AJ1050)</f>
        <v/>
      </c>
      <c r="D1053" s="26" t="str">
        <f>IF(A1053="","",IF(BASE_CAIXA!C1050="Entrada","Crédito","Débito"))</f>
        <v/>
      </c>
      <c r="E1053" s="26" t="str">
        <f>IF(A1053="","",BASE_CAIXA!AA1050)</f>
        <v/>
      </c>
      <c r="F1053" s="26" t="str">
        <f>IF(A1053="","",BASE_CAIXA!N1050)</f>
        <v/>
      </c>
      <c r="G1053" s="26" t="str">
        <f>IF(A1053="","",BASE_CAIXA!O1050)</f>
        <v/>
      </c>
      <c r="H1053" s="26" t="str">
        <f>IF(A1053="","",BASE_CAIXA!P1050)</f>
        <v/>
      </c>
      <c r="I1053" s="26" t="str">
        <f>IF(A1053="","",IF(BASE_CAIXA!H1050&lt;&gt;"",BASE_CAIXA!H1050,BASE_CAIXA!G1050))</f>
        <v/>
      </c>
      <c r="J1053" s="26" t="str">
        <f>IF(A1053="","",BASE_CAIXA!G1050)</f>
        <v/>
      </c>
      <c r="K1053" s="26" t="str">
        <f>IF(A1053="","",BASE_CAIXA!I1050)</f>
        <v/>
      </c>
      <c r="L1053" s="26" t="str">
        <f>IF(A1053="","",BASE_CAIXA!J1050)</f>
        <v/>
      </c>
      <c r="M1053" s="26" t="str">
        <f>IF(A1053="","",BASE_CAIXA!AM1050)</f>
        <v/>
      </c>
      <c r="N1053" s="26" t="str">
        <f t="shared" ca="1" si="48"/>
        <v/>
      </c>
      <c r="O1053" s="26" t="str">
        <f>IFERROR(INDEX(EXTRATO_IMPORTADO!$A$5:$A$404,MATCH(B1053,EXTRATO_IMPORTADO!$I$5:$I$404,0)),"")</f>
        <v/>
      </c>
      <c r="P1053" s="26" t="str">
        <f>IFERROR(INDEX(EXTRATO_IMPORTADO!$F$5:$F$404,MATCH(B1053,EXTRATO_IMPORTADO!$I$5:$I$404,0)),"")</f>
        <v/>
      </c>
      <c r="Q1053" s="26" t="str">
        <f>IFERROR(INDEX(EXTRATO_IMPORTADO!$B$5:$B$404,MATCH(B1053,EXTRATO_IMPORTADO!$I$5:$I$404,0)),"")</f>
        <v/>
      </c>
      <c r="R1053" s="26" t="str">
        <f>IFERROR(MATCH(B1053,EXTRATO_IMPORTADO!$I$5:$I$404,0),"")</f>
        <v/>
      </c>
      <c r="S1053" s="26" t="str">
        <f t="shared" si="49"/>
        <v/>
      </c>
      <c r="T1053" s="26" t="str">
        <f t="shared" si="50"/>
        <v/>
      </c>
    </row>
    <row r="1054" spans="1:20" x14ac:dyDescent="0.3">
      <c r="A1054" s="26" t="str">
        <f>IF(BASE_CAIXA!A1051="","",BASE_CAIXA!A1051)</f>
        <v/>
      </c>
      <c r="B1054" s="26" t="str">
        <f>IF(A1054="","",BASE_CAIXA!AL1051)</f>
        <v/>
      </c>
      <c r="C1054" s="26" t="str">
        <f>IF(A1054="","",BASE_CAIXA!AJ1051)</f>
        <v/>
      </c>
      <c r="D1054" s="26" t="str">
        <f>IF(A1054="","",IF(BASE_CAIXA!C1051="Entrada","Crédito","Débito"))</f>
        <v/>
      </c>
      <c r="E1054" s="26" t="str">
        <f>IF(A1054="","",BASE_CAIXA!AA1051)</f>
        <v/>
      </c>
      <c r="F1054" s="26" t="str">
        <f>IF(A1054="","",BASE_CAIXA!N1051)</f>
        <v/>
      </c>
      <c r="G1054" s="26" t="str">
        <f>IF(A1054="","",BASE_CAIXA!O1051)</f>
        <v/>
      </c>
      <c r="H1054" s="26" t="str">
        <f>IF(A1054="","",BASE_CAIXA!P1051)</f>
        <v/>
      </c>
      <c r="I1054" s="26" t="str">
        <f>IF(A1054="","",IF(BASE_CAIXA!H1051&lt;&gt;"",BASE_CAIXA!H1051,BASE_CAIXA!G1051))</f>
        <v/>
      </c>
      <c r="J1054" s="26" t="str">
        <f>IF(A1054="","",BASE_CAIXA!G1051)</f>
        <v/>
      </c>
      <c r="K1054" s="26" t="str">
        <f>IF(A1054="","",BASE_CAIXA!I1051)</f>
        <v/>
      </c>
      <c r="L1054" s="26" t="str">
        <f>IF(A1054="","",BASE_CAIXA!J1051)</f>
        <v/>
      </c>
      <c r="M1054" s="26" t="str">
        <f>IF(A1054="","",BASE_CAIXA!AM1051)</f>
        <v/>
      </c>
      <c r="N1054" s="26" t="str">
        <f t="shared" ca="1" si="48"/>
        <v/>
      </c>
      <c r="O1054" s="26" t="str">
        <f>IFERROR(INDEX(EXTRATO_IMPORTADO!$A$5:$A$404,MATCH(B1054,EXTRATO_IMPORTADO!$I$5:$I$404,0)),"")</f>
        <v/>
      </c>
      <c r="P1054" s="26" t="str">
        <f>IFERROR(INDEX(EXTRATO_IMPORTADO!$F$5:$F$404,MATCH(B1054,EXTRATO_IMPORTADO!$I$5:$I$404,0)),"")</f>
        <v/>
      </c>
      <c r="Q1054" s="26" t="str">
        <f>IFERROR(INDEX(EXTRATO_IMPORTADO!$B$5:$B$404,MATCH(B1054,EXTRATO_IMPORTADO!$I$5:$I$404,0)),"")</f>
        <v/>
      </c>
      <c r="R1054" s="26" t="str">
        <f>IFERROR(MATCH(B1054,EXTRATO_IMPORTADO!$I$5:$I$404,0),"")</f>
        <v/>
      </c>
      <c r="S1054" s="26" t="str">
        <f t="shared" si="49"/>
        <v/>
      </c>
      <c r="T1054" s="26" t="str">
        <f t="shared" si="50"/>
        <v/>
      </c>
    </row>
    <row r="1055" spans="1:20" x14ac:dyDescent="0.3">
      <c r="A1055" s="26" t="str">
        <f>IF(BASE_CAIXA!A1052="","",BASE_CAIXA!A1052)</f>
        <v/>
      </c>
      <c r="B1055" s="26" t="str">
        <f>IF(A1055="","",BASE_CAIXA!AL1052)</f>
        <v/>
      </c>
      <c r="C1055" s="26" t="str">
        <f>IF(A1055="","",BASE_CAIXA!AJ1052)</f>
        <v/>
      </c>
      <c r="D1055" s="26" t="str">
        <f>IF(A1055="","",IF(BASE_CAIXA!C1052="Entrada","Crédito","Débito"))</f>
        <v/>
      </c>
      <c r="E1055" s="26" t="str">
        <f>IF(A1055="","",BASE_CAIXA!AA1052)</f>
        <v/>
      </c>
      <c r="F1055" s="26" t="str">
        <f>IF(A1055="","",BASE_CAIXA!N1052)</f>
        <v/>
      </c>
      <c r="G1055" s="26" t="str">
        <f>IF(A1055="","",BASE_CAIXA!O1052)</f>
        <v/>
      </c>
      <c r="H1055" s="26" t="str">
        <f>IF(A1055="","",BASE_CAIXA!P1052)</f>
        <v/>
      </c>
      <c r="I1055" s="26" t="str">
        <f>IF(A1055="","",IF(BASE_CAIXA!H1052&lt;&gt;"",BASE_CAIXA!H1052,BASE_CAIXA!G1052))</f>
        <v/>
      </c>
      <c r="J1055" s="26" t="str">
        <f>IF(A1055="","",BASE_CAIXA!G1052)</f>
        <v/>
      </c>
      <c r="K1055" s="26" t="str">
        <f>IF(A1055="","",BASE_CAIXA!I1052)</f>
        <v/>
      </c>
      <c r="L1055" s="26" t="str">
        <f>IF(A1055="","",BASE_CAIXA!J1052)</f>
        <v/>
      </c>
      <c r="M1055" s="26" t="str">
        <f>IF(A1055="","",BASE_CAIXA!AM1052)</f>
        <v/>
      </c>
      <c r="N1055" s="26" t="str">
        <f t="shared" ca="1" si="48"/>
        <v/>
      </c>
      <c r="O1055" s="26" t="str">
        <f>IFERROR(INDEX(EXTRATO_IMPORTADO!$A$5:$A$404,MATCH(B1055,EXTRATO_IMPORTADO!$I$5:$I$404,0)),"")</f>
        <v/>
      </c>
      <c r="P1055" s="26" t="str">
        <f>IFERROR(INDEX(EXTRATO_IMPORTADO!$F$5:$F$404,MATCH(B1055,EXTRATO_IMPORTADO!$I$5:$I$404,0)),"")</f>
        <v/>
      </c>
      <c r="Q1055" s="26" t="str">
        <f>IFERROR(INDEX(EXTRATO_IMPORTADO!$B$5:$B$404,MATCH(B1055,EXTRATO_IMPORTADO!$I$5:$I$404,0)),"")</f>
        <v/>
      </c>
      <c r="R1055" s="26" t="str">
        <f>IFERROR(MATCH(B1055,EXTRATO_IMPORTADO!$I$5:$I$404,0),"")</f>
        <v/>
      </c>
      <c r="S1055" s="26" t="str">
        <f t="shared" si="49"/>
        <v/>
      </c>
      <c r="T1055" s="26" t="str">
        <f t="shared" si="50"/>
        <v/>
      </c>
    </row>
    <row r="1056" spans="1:20" x14ac:dyDescent="0.3">
      <c r="A1056" s="26" t="str">
        <f>IF(BASE_CAIXA!A1053="","",BASE_CAIXA!A1053)</f>
        <v/>
      </c>
      <c r="B1056" s="26" t="str">
        <f>IF(A1056="","",BASE_CAIXA!AL1053)</f>
        <v/>
      </c>
      <c r="C1056" s="26" t="str">
        <f>IF(A1056="","",BASE_CAIXA!AJ1053)</f>
        <v/>
      </c>
      <c r="D1056" s="26" t="str">
        <f>IF(A1056="","",IF(BASE_CAIXA!C1053="Entrada","Crédito","Débito"))</f>
        <v/>
      </c>
      <c r="E1056" s="26" t="str">
        <f>IF(A1056="","",BASE_CAIXA!AA1053)</f>
        <v/>
      </c>
      <c r="F1056" s="26" t="str">
        <f>IF(A1056="","",BASE_CAIXA!N1053)</f>
        <v/>
      </c>
      <c r="G1056" s="26" t="str">
        <f>IF(A1056="","",BASE_CAIXA!O1053)</f>
        <v/>
      </c>
      <c r="H1056" s="26" t="str">
        <f>IF(A1056="","",BASE_CAIXA!P1053)</f>
        <v/>
      </c>
      <c r="I1056" s="26" t="str">
        <f>IF(A1056="","",IF(BASE_CAIXA!H1053&lt;&gt;"",BASE_CAIXA!H1053,BASE_CAIXA!G1053))</f>
        <v/>
      </c>
      <c r="J1056" s="26" t="str">
        <f>IF(A1056="","",BASE_CAIXA!G1053)</f>
        <v/>
      </c>
      <c r="K1056" s="26" t="str">
        <f>IF(A1056="","",BASE_CAIXA!I1053)</f>
        <v/>
      </c>
      <c r="L1056" s="26" t="str">
        <f>IF(A1056="","",BASE_CAIXA!J1053)</f>
        <v/>
      </c>
      <c r="M1056" s="26" t="str">
        <f>IF(A1056="","",BASE_CAIXA!AM1053)</f>
        <v/>
      </c>
      <c r="N1056" s="26" t="str">
        <f t="shared" ca="1" si="48"/>
        <v/>
      </c>
      <c r="O1056" s="26" t="str">
        <f>IFERROR(INDEX(EXTRATO_IMPORTADO!$A$5:$A$404,MATCH(B1056,EXTRATO_IMPORTADO!$I$5:$I$404,0)),"")</f>
        <v/>
      </c>
      <c r="P1056" s="26" t="str">
        <f>IFERROR(INDEX(EXTRATO_IMPORTADO!$F$5:$F$404,MATCH(B1056,EXTRATO_IMPORTADO!$I$5:$I$404,0)),"")</f>
        <v/>
      </c>
      <c r="Q1056" s="26" t="str">
        <f>IFERROR(INDEX(EXTRATO_IMPORTADO!$B$5:$B$404,MATCH(B1056,EXTRATO_IMPORTADO!$I$5:$I$404,0)),"")</f>
        <v/>
      </c>
      <c r="R1056" s="26" t="str">
        <f>IFERROR(MATCH(B1056,EXTRATO_IMPORTADO!$I$5:$I$404,0),"")</f>
        <v/>
      </c>
      <c r="S1056" s="26" t="str">
        <f t="shared" si="49"/>
        <v/>
      </c>
      <c r="T1056" s="26" t="str">
        <f t="shared" si="50"/>
        <v/>
      </c>
    </row>
    <row r="1057" spans="1:20" x14ac:dyDescent="0.3">
      <c r="A1057" s="26" t="str">
        <f>IF(BASE_CAIXA!A1054="","",BASE_CAIXA!A1054)</f>
        <v/>
      </c>
      <c r="B1057" s="26" t="str">
        <f>IF(A1057="","",BASE_CAIXA!AL1054)</f>
        <v/>
      </c>
      <c r="C1057" s="26" t="str">
        <f>IF(A1057="","",BASE_CAIXA!AJ1054)</f>
        <v/>
      </c>
      <c r="D1057" s="26" t="str">
        <f>IF(A1057="","",IF(BASE_CAIXA!C1054="Entrada","Crédito","Débito"))</f>
        <v/>
      </c>
      <c r="E1057" s="26" t="str">
        <f>IF(A1057="","",BASE_CAIXA!AA1054)</f>
        <v/>
      </c>
      <c r="F1057" s="26" t="str">
        <f>IF(A1057="","",BASE_CAIXA!N1054)</f>
        <v/>
      </c>
      <c r="G1057" s="26" t="str">
        <f>IF(A1057="","",BASE_CAIXA!O1054)</f>
        <v/>
      </c>
      <c r="H1057" s="26" t="str">
        <f>IF(A1057="","",BASE_CAIXA!P1054)</f>
        <v/>
      </c>
      <c r="I1057" s="26" t="str">
        <f>IF(A1057="","",IF(BASE_CAIXA!H1054&lt;&gt;"",BASE_CAIXA!H1054,BASE_CAIXA!G1054))</f>
        <v/>
      </c>
      <c r="J1057" s="26" t="str">
        <f>IF(A1057="","",BASE_CAIXA!G1054)</f>
        <v/>
      </c>
      <c r="K1057" s="26" t="str">
        <f>IF(A1057="","",BASE_CAIXA!I1054)</f>
        <v/>
      </c>
      <c r="L1057" s="26" t="str">
        <f>IF(A1057="","",BASE_CAIXA!J1054)</f>
        <v/>
      </c>
      <c r="M1057" s="26" t="str">
        <f>IF(A1057="","",BASE_CAIXA!AM1054)</f>
        <v/>
      </c>
      <c r="N1057" s="26" t="str">
        <f t="shared" ca="1" si="48"/>
        <v/>
      </c>
      <c r="O1057" s="26" t="str">
        <f>IFERROR(INDEX(EXTRATO_IMPORTADO!$A$5:$A$404,MATCH(B1057,EXTRATO_IMPORTADO!$I$5:$I$404,0)),"")</f>
        <v/>
      </c>
      <c r="P1057" s="26" t="str">
        <f>IFERROR(INDEX(EXTRATO_IMPORTADO!$F$5:$F$404,MATCH(B1057,EXTRATO_IMPORTADO!$I$5:$I$404,0)),"")</f>
        <v/>
      </c>
      <c r="Q1057" s="26" t="str">
        <f>IFERROR(INDEX(EXTRATO_IMPORTADO!$B$5:$B$404,MATCH(B1057,EXTRATO_IMPORTADO!$I$5:$I$404,0)),"")</f>
        <v/>
      </c>
      <c r="R1057" s="26" t="str">
        <f>IFERROR(MATCH(B1057,EXTRATO_IMPORTADO!$I$5:$I$404,0),"")</f>
        <v/>
      </c>
      <c r="S1057" s="26" t="str">
        <f t="shared" si="49"/>
        <v/>
      </c>
      <c r="T1057" s="26" t="str">
        <f t="shared" si="50"/>
        <v/>
      </c>
    </row>
    <row r="1058" spans="1:20" x14ac:dyDescent="0.3">
      <c r="A1058" s="26" t="str">
        <f>IF(BASE_CAIXA!A1055="","",BASE_CAIXA!A1055)</f>
        <v/>
      </c>
      <c r="B1058" s="26" t="str">
        <f>IF(A1058="","",BASE_CAIXA!AL1055)</f>
        <v/>
      </c>
      <c r="C1058" s="26" t="str">
        <f>IF(A1058="","",BASE_CAIXA!AJ1055)</f>
        <v/>
      </c>
      <c r="D1058" s="26" t="str">
        <f>IF(A1058="","",IF(BASE_CAIXA!C1055="Entrada","Crédito","Débito"))</f>
        <v/>
      </c>
      <c r="E1058" s="26" t="str">
        <f>IF(A1058="","",BASE_CAIXA!AA1055)</f>
        <v/>
      </c>
      <c r="F1058" s="26" t="str">
        <f>IF(A1058="","",BASE_CAIXA!N1055)</f>
        <v/>
      </c>
      <c r="G1058" s="26" t="str">
        <f>IF(A1058="","",BASE_CAIXA!O1055)</f>
        <v/>
      </c>
      <c r="H1058" s="26" t="str">
        <f>IF(A1058="","",BASE_CAIXA!P1055)</f>
        <v/>
      </c>
      <c r="I1058" s="26" t="str">
        <f>IF(A1058="","",IF(BASE_CAIXA!H1055&lt;&gt;"",BASE_CAIXA!H1055,BASE_CAIXA!G1055))</f>
        <v/>
      </c>
      <c r="J1058" s="26" t="str">
        <f>IF(A1058="","",BASE_CAIXA!G1055)</f>
        <v/>
      </c>
      <c r="K1058" s="26" t="str">
        <f>IF(A1058="","",BASE_CAIXA!I1055)</f>
        <v/>
      </c>
      <c r="L1058" s="26" t="str">
        <f>IF(A1058="","",BASE_CAIXA!J1055)</f>
        <v/>
      </c>
      <c r="M1058" s="26" t="str">
        <f>IF(A1058="","",BASE_CAIXA!AM1055)</f>
        <v/>
      </c>
      <c r="N1058" s="26" t="str">
        <f t="shared" ca="1" si="48"/>
        <v/>
      </c>
      <c r="O1058" s="26" t="str">
        <f>IFERROR(INDEX(EXTRATO_IMPORTADO!$A$5:$A$404,MATCH(B1058,EXTRATO_IMPORTADO!$I$5:$I$404,0)),"")</f>
        <v/>
      </c>
      <c r="P1058" s="26" t="str">
        <f>IFERROR(INDEX(EXTRATO_IMPORTADO!$F$5:$F$404,MATCH(B1058,EXTRATO_IMPORTADO!$I$5:$I$404,0)),"")</f>
        <v/>
      </c>
      <c r="Q1058" s="26" t="str">
        <f>IFERROR(INDEX(EXTRATO_IMPORTADO!$B$5:$B$404,MATCH(B1058,EXTRATO_IMPORTADO!$I$5:$I$404,0)),"")</f>
        <v/>
      </c>
      <c r="R1058" s="26" t="str">
        <f>IFERROR(MATCH(B1058,EXTRATO_IMPORTADO!$I$5:$I$404,0),"")</f>
        <v/>
      </c>
      <c r="S1058" s="26" t="str">
        <f t="shared" si="49"/>
        <v/>
      </c>
      <c r="T1058" s="26" t="str">
        <f t="shared" si="50"/>
        <v/>
      </c>
    </row>
    <row r="1059" spans="1:20" x14ac:dyDescent="0.3">
      <c r="A1059" s="26" t="str">
        <f>IF(BASE_CAIXA!A1056="","",BASE_CAIXA!A1056)</f>
        <v/>
      </c>
      <c r="B1059" s="26" t="str">
        <f>IF(A1059="","",BASE_CAIXA!AL1056)</f>
        <v/>
      </c>
      <c r="C1059" s="26" t="str">
        <f>IF(A1059="","",BASE_CAIXA!AJ1056)</f>
        <v/>
      </c>
      <c r="D1059" s="26" t="str">
        <f>IF(A1059="","",IF(BASE_CAIXA!C1056="Entrada","Crédito","Débito"))</f>
        <v/>
      </c>
      <c r="E1059" s="26" t="str">
        <f>IF(A1059="","",BASE_CAIXA!AA1056)</f>
        <v/>
      </c>
      <c r="F1059" s="26" t="str">
        <f>IF(A1059="","",BASE_CAIXA!N1056)</f>
        <v/>
      </c>
      <c r="G1059" s="26" t="str">
        <f>IF(A1059="","",BASE_CAIXA!O1056)</f>
        <v/>
      </c>
      <c r="H1059" s="26" t="str">
        <f>IF(A1059="","",BASE_CAIXA!P1056)</f>
        <v/>
      </c>
      <c r="I1059" s="26" t="str">
        <f>IF(A1059="","",IF(BASE_CAIXA!H1056&lt;&gt;"",BASE_CAIXA!H1056,BASE_CAIXA!G1056))</f>
        <v/>
      </c>
      <c r="J1059" s="26" t="str">
        <f>IF(A1059="","",BASE_CAIXA!G1056)</f>
        <v/>
      </c>
      <c r="K1059" s="26" t="str">
        <f>IF(A1059="","",BASE_CAIXA!I1056)</f>
        <v/>
      </c>
      <c r="L1059" s="26" t="str">
        <f>IF(A1059="","",BASE_CAIXA!J1056)</f>
        <v/>
      </c>
      <c r="M1059" s="26" t="str">
        <f>IF(A1059="","",BASE_CAIXA!AM1056)</f>
        <v/>
      </c>
      <c r="N1059" s="26" t="str">
        <f t="shared" ca="1" si="48"/>
        <v/>
      </c>
      <c r="O1059" s="26" t="str">
        <f>IFERROR(INDEX(EXTRATO_IMPORTADO!$A$5:$A$404,MATCH(B1059,EXTRATO_IMPORTADO!$I$5:$I$404,0)),"")</f>
        <v/>
      </c>
      <c r="P1059" s="26" t="str">
        <f>IFERROR(INDEX(EXTRATO_IMPORTADO!$F$5:$F$404,MATCH(B1059,EXTRATO_IMPORTADO!$I$5:$I$404,0)),"")</f>
        <v/>
      </c>
      <c r="Q1059" s="26" t="str">
        <f>IFERROR(INDEX(EXTRATO_IMPORTADO!$B$5:$B$404,MATCH(B1059,EXTRATO_IMPORTADO!$I$5:$I$404,0)),"")</f>
        <v/>
      </c>
      <c r="R1059" s="26" t="str">
        <f>IFERROR(MATCH(B1059,EXTRATO_IMPORTADO!$I$5:$I$404,0),"")</f>
        <v/>
      </c>
      <c r="S1059" s="26" t="str">
        <f t="shared" si="49"/>
        <v/>
      </c>
      <c r="T1059" s="26" t="str">
        <f t="shared" si="50"/>
        <v/>
      </c>
    </row>
    <row r="1060" spans="1:20" x14ac:dyDescent="0.3">
      <c r="A1060" s="26" t="str">
        <f>IF(BASE_CAIXA!A1057="","",BASE_CAIXA!A1057)</f>
        <v/>
      </c>
      <c r="B1060" s="26" t="str">
        <f>IF(A1060="","",BASE_CAIXA!AL1057)</f>
        <v/>
      </c>
      <c r="C1060" s="26" t="str">
        <f>IF(A1060="","",BASE_CAIXA!AJ1057)</f>
        <v/>
      </c>
      <c r="D1060" s="26" t="str">
        <f>IF(A1060="","",IF(BASE_CAIXA!C1057="Entrada","Crédito","Débito"))</f>
        <v/>
      </c>
      <c r="E1060" s="26" t="str">
        <f>IF(A1060="","",BASE_CAIXA!AA1057)</f>
        <v/>
      </c>
      <c r="F1060" s="26" t="str">
        <f>IF(A1060="","",BASE_CAIXA!N1057)</f>
        <v/>
      </c>
      <c r="G1060" s="26" t="str">
        <f>IF(A1060="","",BASE_CAIXA!O1057)</f>
        <v/>
      </c>
      <c r="H1060" s="26" t="str">
        <f>IF(A1060="","",BASE_CAIXA!P1057)</f>
        <v/>
      </c>
      <c r="I1060" s="26" t="str">
        <f>IF(A1060="","",IF(BASE_CAIXA!H1057&lt;&gt;"",BASE_CAIXA!H1057,BASE_CAIXA!G1057))</f>
        <v/>
      </c>
      <c r="J1060" s="26" t="str">
        <f>IF(A1060="","",BASE_CAIXA!G1057)</f>
        <v/>
      </c>
      <c r="K1060" s="26" t="str">
        <f>IF(A1060="","",BASE_CAIXA!I1057)</f>
        <v/>
      </c>
      <c r="L1060" s="26" t="str">
        <f>IF(A1060="","",BASE_CAIXA!J1057)</f>
        <v/>
      </c>
      <c r="M1060" s="26" t="str">
        <f>IF(A1060="","",BASE_CAIXA!AM1057)</f>
        <v/>
      </c>
      <c r="N1060" s="26" t="str">
        <f t="shared" ca="1" si="48"/>
        <v/>
      </c>
      <c r="O1060" s="26" t="str">
        <f>IFERROR(INDEX(EXTRATO_IMPORTADO!$A$5:$A$404,MATCH(B1060,EXTRATO_IMPORTADO!$I$5:$I$404,0)),"")</f>
        <v/>
      </c>
      <c r="P1060" s="26" t="str">
        <f>IFERROR(INDEX(EXTRATO_IMPORTADO!$F$5:$F$404,MATCH(B1060,EXTRATO_IMPORTADO!$I$5:$I$404,0)),"")</f>
        <v/>
      </c>
      <c r="Q1060" s="26" t="str">
        <f>IFERROR(INDEX(EXTRATO_IMPORTADO!$B$5:$B$404,MATCH(B1060,EXTRATO_IMPORTADO!$I$5:$I$404,0)),"")</f>
        <v/>
      </c>
      <c r="R1060" s="26" t="str">
        <f>IFERROR(MATCH(B1060,EXTRATO_IMPORTADO!$I$5:$I$404,0),"")</f>
        <v/>
      </c>
      <c r="S1060" s="26" t="str">
        <f t="shared" si="49"/>
        <v/>
      </c>
      <c r="T1060" s="26" t="str">
        <f t="shared" si="50"/>
        <v/>
      </c>
    </row>
    <row r="1061" spans="1:20" x14ac:dyDescent="0.3">
      <c r="A1061" s="26" t="str">
        <f>IF(BASE_CAIXA!A1058="","",BASE_CAIXA!A1058)</f>
        <v/>
      </c>
      <c r="B1061" s="26" t="str">
        <f>IF(A1061="","",BASE_CAIXA!AL1058)</f>
        <v/>
      </c>
      <c r="C1061" s="26" t="str">
        <f>IF(A1061="","",BASE_CAIXA!AJ1058)</f>
        <v/>
      </c>
      <c r="D1061" s="26" t="str">
        <f>IF(A1061="","",IF(BASE_CAIXA!C1058="Entrada","Crédito","Débito"))</f>
        <v/>
      </c>
      <c r="E1061" s="26" t="str">
        <f>IF(A1061="","",BASE_CAIXA!AA1058)</f>
        <v/>
      </c>
      <c r="F1061" s="26" t="str">
        <f>IF(A1061="","",BASE_CAIXA!N1058)</f>
        <v/>
      </c>
      <c r="G1061" s="26" t="str">
        <f>IF(A1061="","",BASE_CAIXA!O1058)</f>
        <v/>
      </c>
      <c r="H1061" s="26" t="str">
        <f>IF(A1061="","",BASE_CAIXA!P1058)</f>
        <v/>
      </c>
      <c r="I1061" s="26" t="str">
        <f>IF(A1061="","",IF(BASE_CAIXA!H1058&lt;&gt;"",BASE_CAIXA!H1058,BASE_CAIXA!G1058))</f>
        <v/>
      </c>
      <c r="J1061" s="26" t="str">
        <f>IF(A1061="","",BASE_CAIXA!G1058)</f>
        <v/>
      </c>
      <c r="K1061" s="26" t="str">
        <f>IF(A1061="","",BASE_CAIXA!I1058)</f>
        <v/>
      </c>
      <c r="L1061" s="26" t="str">
        <f>IF(A1061="","",BASE_CAIXA!J1058)</f>
        <v/>
      </c>
      <c r="M1061" s="26" t="str">
        <f>IF(A1061="","",BASE_CAIXA!AM1058)</f>
        <v/>
      </c>
      <c r="N1061" s="26" t="str">
        <f t="shared" ca="1" si="48"/>
        <v/>
      </c>
      <c r="O1061" s="26" t="str">
        <f>IFERROR(INDEX(EXTRATO_IMPORTADO!$A$5:$A$404,MATCH(B1061,EXTRATO_IMPORTADO!$I$5:$I$404,0)),"")</f>
        <v/>
      </c>
      <c r="P1061" s="26" t="str">
        <f>IFERROR(INDEX(EXTRATO_IMPORTADO!$F$5:$F$404,MATCH(B1061,EXTRATO_IMPORTADO!$I$5:$I$404,0)),"")</f>
        <v/>
      </c>
      <c r="Q1061" s="26" t="str">
        <f>IFERROR(INDEX(EXTRATO_IMPORTADO!$B$5:$B$404,MATCH(B1061,EXTRATO_IMPORTADO!$I$5:$I$404,0)),"")</f>
        <v/>
      </c>
      <c r="R1061" s="26" t="str">
        <f>IFERROR(MATCH(B1061,EXTRATO_IMPORTADO!$I$5:$I$404,0),"")</f>
        <v/>
      </c>
      <c r="S1061" s="26" t="str">
        <f t="shared" si="49"/>
        <v/>
      </c>
      <c r="T1061" s="26" t="str">
        <f t="shared" si="50"/>
        <v/>
      </c>
    </row>
    <row r="1062" spans="1:20" x14ac:dyDescent="0.3">
      <c r="A1062" s="26" t="str">
        <f>IF(BASE_CAIXA!A1059="","",BASE_CAIXA!A1059)</f>
        <v/>
      </c>
      <c r="B1062" s="26" t="str">
        <f>IF(A1062="","",BASE_CAIXA!AL1059)</f>
        <v/>
      </c>
      <c r="C1062" s="26" t="str">
        <f>IF(A1062="","",BASE_CAIXA!AJ1059)</f>
        <v/>
      </c>
      <c r="D1062" s="26" t="str">
        <f>IF(A1062="","",IF(BASE_CAIXA!C1059="Entrada","Crédito","Débito"))</f>
        <v/>
      </c>
      <c r="E1062" s="26" t="str">
        <f>IF(A1062="","",BASE_CAIXA!AA1059)</f>
        <v/>
      </c>
      <c r="F1062" s="26" t="str">
        <f>IF(A1062="","",BASE_CAIXA!N1059)</f>
        <v/>
      </c>
      <c r="G1062" s="26" t="str">
        <f>IF(A1062="","",BASE_CAIXA!O1059)</f>
        <v/>
      </c>
      <c r="H1062" s="26" t="str">
        <f>IF(A1062="","",BASE_CAIXA!P1059)</f>
        <v/>
      </c>
      <c r="I1062" s="26" t="str">
        <f>IF(A1062="","",IF(BASE_CAIXA!H1059&lt;&gt;"",BASE_CAIXA!H1059,BASE_CAIXA!G1059))</f>
        <v/>
      </c>
      <c r="J1062" s="26" t="str">
        <f>IF(A1062="","",BASE_CAIXA!G1059)</f>
        <v/>
      </c>
      <c r="K1062" s="26" t="str">
        <f>IF(A1062="","",BASE_CAIXA!I1059)</f>
        <v/>
      </c>
      <c r="L1062" s="26" t="str">
        <f>IF(A1062="","",BASE_CAIXA!J1059)</f>
        <v/>
      </c>
      <c r="M1062" s="26" t="str">
        <f>IF(A1062="","",BASE_CAIXA!AM1059)</f>
        <v/>
      </c>
      <c r="N1062" s="26" t="str">
        <f t="shared" ca="1" si="48"/>
        <v/>
      </c>
      <c r="O1062" s="26" t="str">
        <f>IFERROR(INDEX(EXTRATO_IMPORTADO!$A$5:$A$404,MATCH(B1062,EXTRATO_IMPORTADO!$I$5:$I$404,0)),"")</f>
        <v/>
      </c>
      <c r="P1062" s="26" t="str">
        <f>IFERROR(INDEX(EXTRATO_IMPORTADO!$F$5:$F$404,MATCH(B1062,EXTRATO_IMPORTADO!$I$5:$I$404,0)),"")</f>
        <v/>
      </c>
      <c r="Q1062" s="26" t="str">
        <f>IFERROR(INDEX(EXTRATO_IMPORTADO!$B$5:$B$404,MATCH(B1062,EXTRATO_IMPORTADO!$I$5:$I$404,0)),"")</f>
        <v/>
      </c>
      <c r="R1062" s="26" t="str">
        <f>IFERROR(MATCH(B1062,EXTRATO_IMPORTADO!$I$5:$I$404,0),"")</f>
        <v/>
      </c>
      <c r="S1062" s="26" t="str">
        <f t="shared" si="49"/>
        <v/>
      </c>
      <c r="T1062" s="26" t="str">
        <f t="shared" si="50"/>
        <v/>
      </c>
    </row>
    <row r="1063" spans="1:20" x14ac:dyDescent="0.3">
      <c r="A1063" s="26" t="str">
        <f>IF(BASE_CAIXA!A1060="","",BASE_CAIXA!A1060)</f>
        <v/>
      </c>
      <c r="B1063" s="26" t="str">
        <f>IF(A1063="","",BASE_CAIXA!AL1060)</f>
        <v/>
      </c>
      <c r="C1063" s="26" t="str">
        <f>IF(A1063="","",BASE_CAIXA!AJ1060)</f>
        <v/>
      </c>
      <c r="D1063" s="26" t="str">
        <f>IF(A1063="","",IF(BASE_CAIXA!C1060="Entrada","Crédito","Débito"))</f>
        <v/>
      </c>
      <c r="E1063" s="26" t="str">
        <f>IF(A1063="","",BASE_CAIXA!AA1060)</f>
        <v/>
      </c>
      <c r="F1063" s="26" t="str">
        <f>IF(A1063="","",BASE_CAIXA!N1060)</f>
        <v/>
      </c>
      <c r="G1063" s="26" t="str">
        <f>IF(A1063="","",BASE_CAIXA!O1060)</f>
        <v/>
      </c>
      <c r="H1063" s="26" t="str">
        <f>IF(A1063="","",BASE_CAIXA!P1060)</f>
        <v/>
      </c>
      <c r="I1063" s="26" t="str">
        <f>IF(A1063="","",IF(BASE_CAIXA!H1060&lt;&gt;"",BASE_CAIXA!H1060,BASE_CAIXA!G1060))</f>
        <v/>
      </c>
      <c r="J1063" s="26" t="str">
        <f>IF(A1063="","",BASE_CAIXA!G1060)</f>
        <v/>
      </c>
      <c r="K1063" s="26" t="str">
        <f>IF(A1063="","",BASE_CAIXA!I1060)</f>
        <v/>
      </c>
      <c r="L1063" s="26" t="str">
        <f>IF(A1063="","",BASE_CAIXA!J1060)</f>
        <v/>
      </c>
      <c r="M1063" s="26" t="str">
        <f>IF(A1063="","",BASE_CAIXA!AM1060)</f>
        <v/>
      </c>
      <c r="N1063" s="26" t="str">
        <f t="shared" ca="1" si="48"/>
        <v/>
      </c>
      <c r="O1063" s="26" t="str">
        <f>IFERROR(INDEX(EXTRATO_IMPORTADO!$A$5:$A$404,MATCH(B1063,EXTRATO_IMPORTADO!$I$5:$I$404,0)),"")</f>
        <v/>
      </c>
      <c r="P1063" s="26" t="str">
        <f>IFERROR(INDEX(EXTRATO_IMPORTADO!$F$5:$F$404,MATCH(B1063,EXTRATO_IMPORTADO!$I$5:$I$404,0)),"")</f>
        <v/>
      </c>
      <c r="Q1063" s="26" t="str">
        <f>IFERROR(INDEX(EXTRATO_IMPORTADO!$B$5:$B$404,MATCH(B1063,EXTRATO_IMPORTADO!$I$5:$I$404,0)),"")</f>
        <v/>
      </c>
      <c r="R1063" s="26" t="str">
        <f>IFERROR(MATCH(B1063,EXTRATO_IMPORTADO!$I$5:$I$404,0),"")</f>
        <v/>
      </c>
      <c r="S1063" s="26" t="str">
        <f t="shared" si="49"/>
        <v/>
      </c>
      <c r="T1063" s="26" t="str">
        <f t="shared" si="50"/>
        <v/>
      </c>
    </row>
    <row r="1064" spans="1:20" x14ac:dyDescent="0.3">
      <c r="A1064" s="26" t="str">
        <f>IF(BASE_CAIXA!A1061="","",BASE_CAIXA!A1061)</f>
        <v/>
      </c>
      <c r="B1064" s="26" t="str">
        <f>IF(A1064="","",BASE_CAIXA!AL1061)</f>
        <v/>
      </c>
      <c r="C1064" s="26" t="str">
        <f>IF(A1064="","",BASE_CAIXA!AJ1061)</f>
        <v/>
      </c>
      <c r="D1064" s="26" t="str">
        <f>IF(A1064="","",IF(BASE_CAIXA!C1061="Entrada","Crédito","Débito"))</f>
        <v/>
      </c>
      <c r="E1064" s="26" t="str">
        <f>IF(A1064="","",BASE_CAIXA!AA1061)</f>
        <v/>
      </c>
      <c r="F1064" s="26" t="str">
        <f>IF(A1064="","",BASE_CAIXA!N1061)</f>
        <v/>
      </c>
      <c r="G1064" s="26" t="str">
        <f>IF(A1064="","",BASE_CAIXA!O1061)</f>
        <v/>
      </c>
      <c r="H1064" s="26" t="str">
        <f>IF(A1064="","",BASE_CAIXA!P1061)</f>
        <v/>
      </c>
      <c r="I1064" s="26" t="str">
        <f>IF(A1064="","",IF(BASE_CAIXA!H1061&lt;&gt;"",BASE_CAIXA!H1061,BASE_CAIXA!G1061))</f>
        <v/>
      </c>
      <c r="J1064" s="26" t="str">
        <f>IF(A1064="","",BASE_CAIXA!G1061)</f>
        <v/>
      </c>
      <c r="K1064" s="26" t="str">
        <f>IF(A1064="","",BASE_CAIXA!I1061)</f>
        <v/>
      </c>
      <c r="L1064" s="26" t="str">
        <f>IF(A1064="","",BASE_CAIXA!J1061)</f>
        <v/>
      </c>
      <c r="M1064" s="26" t="str">
        <f>IF(A1064="","",BASE_CAIXA!AM1061)</f>
        <v/>
      </c>
      <c r="N1064" s="26" t="str">
        <f t="shared" ca="1" si="48"/>
        <v/>
      </c>
      <c r="O1064" s="26" t="str">
        <f>IFERROR(INDEX(EXTRATO_IMPORTADO!$A$5:$A$404,MATCH(B1064,EXTRATO_IMPORTADO!$I$5:$I$404,0)),"")</f>
        <v/>
      </c>
      <c r="P1064" s="26" t="str">
        <f>IFERROR(INDEX(EXTRATO_IMPORTADO!$F$5:$F$404,MATCH(B1064,EXTRATO_IMPORTADO!$I$5:$I$404,0)),"")</f>
        <v/>
      </c>
      <c r="Q1064" s="26" t="str">
        <f>IFERROR(INDEX(EXTRATO_IMPORTADO!$B$5:$B$404,MATCH(B1064,EXTRATO_IMPORTADO!$I$5:$I$404,0)),"")</f>
        <v/>
      </c>
      <c r="R1064" s="26" t="str">
        <f>IFERROR(MATCH(B1064,EXTRATO_IMPORTADO!$I$5:$I$404,0),"")</f>
        <v/>
      </c>
      <c r="S1064" s="26" t="str">
        <f t="shared" si="49"/>
        <v/>
      </c>
      <c r="T1064" s="26" t="str">
        <f t="shared" si="50"/>
        <v/>
      </c>
    </row>
    <row r="1065" spans="1:20" x14ac:dyDescent="0.3">
      <c r="A1065" s="26" t="str">
        <f>IF(BASE_CAIXA!A1062="","",BASE_CAIXA!A1062)</f>
        <v/>
      </c>
      <c r="B1065" s="26" t="str">
        <f>IF(A1065="","",BASE_CAIXA!AL1062)</f>
        <v/>
      </c>
      <c r="C1065" s="26" t="str">
        <f>IF(A1065="","",BASE_CAIXA!AJ1062)</f>
        <v/>
      </c>
      <c r="D1065" s="26" t="str">
        <f>IF(A1065="","",IF(BASE_CAIXA!C1062="Entrada","Crédito","Débito"))</f>
        <v/>
      </c>
      <c r="E1065" s="26" t="str">
        <f>IF(A1065="","",BASE_CAIXA!AA1062)</f>
        <v/>
      </c>
      <c r="F1065" s="26" t="str">
        <f>IF(A1065="","",BASE_CAIXA!N1062)</f>
        <v/>
      </c>
      <c r="G1065" s="26" t="str">
        <f>IF(A1065="","",BASE_CAIXA!O1062)</f>
        <v/>
      </c>
      <c r="H1065" s="26" t="str">
        <f>IF(A1065="","",BASE_CAIXA!P1062)</f>
        <v/>
      </c>
      <c r="I1065" s="26" t="str">
        <f>IF(A1065="","",IF(BASE_CAIXA!H1062&lt;&gt;"",BASE_CAIXA!H1062,BASE_CAIXA!G1062))</f>
        <v/>
      </c>
      <c r="J1065" s="26" t="str">
        <f>IF(A1065="","",BASE_CAIXA!G1062)</f>
        <v/>
      </c>
      <c r="K1065" s="26" t="str">
        <f>IF(A1065="","",BASE_CAIXA!I1062)</f>
        <v/>
      </c>
      <c r="L1065" s="26" t="str">
        <f>IF(A1065="","",BASE_CAIXA!J1062)</f>
        <v/>
      </c>
      <c r="M1065" s="26" t="str">
        <f>IF(A1065="","",BASE_CAIXA!AM1062)</f>
        <v/>
      </c>
      <c r="N1065" s="26" t="str">
        <f t="shared" ca="1" si="48"/>
        <v/>
      </c>
      <c r="O1065" s="26" t="str">
        <f>IFERROR(INDEX(EXTRATO_IMPORTADO!$A$5:$A$404,MATCH(B1065,EXTRATO_IMPORTADO!$I$5:$I$404,0)),"")</f>
        <v/>
      </c>
      <c r="P1065" s="26" t="str">
        <f>IFERROR(INDEX(EXTRATO_IMPORTADO!$F$5:$F$404,MATCH(B1065,EXTRATO_IMPORTADO!$I$5:$I$404,0)),"")</f>
        <v/>
      </c>
      <c r="Q1065" s="26" t="str">
        <f>IFERROR(INDEX(EXTRATO_IMPORTADO!$B$5:$B$404,MATCH(B1065,EXTRATO_IMPORTADO!$I$5:$I$404,0)),"")</f>
        <v/>
      </c>
      <c r="R1065" s="26" t="str">
        <f>IFERROR(MATCH(B1065,EXTRATO_IMPORTADO!$I$5:$I$404,0),"")</f>
        <v/>
      </c>
      <c r="S1065" s="26" t="str">
        <f t="shared" si="49"/>
        <v/>
      </c>
      <c r="T1065" s="26" t="str">
        <f t="shared" si="50"/>
        <v/>
      </c>
    </row>
    <row r="1066" spans="1:20" x14ac:dyDescent="0.3">
      <c r="A1066" s="26" t="str">
        <f>IF(BASE_CAIXA!A1063="","",BASE_CAIXA!A1063)</f>
        <v/>
      </c>
      <c r="B1066" s="26" t="str">
        <f>IF(A1066="","",BASE_CAIXA!AL1063)</f>
        <v/>
      </c>
      <c r="C1066" s="26" t="str">
        <f>IF(A1066="","",BASE_CAIXA!AJ1063)</f>
        <v/>
      </c>
      <c r="D1066" s="26" t="str">
        <f>IF(A1066="","",IF(BASE_CAIXA!C1063="Entrada","Crédito","Débito"))</f>
        <v/>
      </c>
      <c r="E1066" s="26" t="str">
        <f>IF(A1066="","",BASE_CAIXA!AA1063)</f>
        <v/>
      </c>
      <c r="F1066" s="26" t="str">
        <f>IF(A1066="","",BASE_CAIXA!N1063)</f>
        <v/>
      </c>
      <c r="G1066" s="26" t="str">
        <f>IF(A1066="","",BASE_CAIXA!O1063)</f>
        <v/>
      </c>
      <c r="H1066" s="26" t="str">
        <f>IF(A1066="","",BASE_CAIXA!P1063)</f>
        <v/>
      </c>
      <c r="I1066" s="26" t="str">
        <f>IF(A1066="","",IF(BASE_CAIXA!H1063&lt;&gt;"",BASE_CAIXA!H1063,BASE_CAIXA!G1063))</f>
        <v/>
      </c>
      <c r="J1066" s="26" t="str">
        <f>IF(A1066="","",BASE_CAIXA!G1063)</f>
        <v/>
      </c>
      <c r="K1066" s="26" t="str">
        <f>IF(A1066="","",BASE_CAIXA!I1063)</f>
        <v/>
      </c>
      <c r="L1066" s="26" t="str">
        <f>IF(A1066="","",BASE_CAIXA!J1063)</f>
        <v/>
      </c>
      <c r="M1066" s="26" t="str">
        <f>IF(A1066="","",BASE_CAIXA!AM1063)</f>
        <v/>
      </c>
      <c r="N1066" s="26" t="str">
        <f t="shared" ca="1" si="48"/>
        <v/>
      </c>
      <c r="O1066" s="26" t="str">
        <f>IFERROR(INDEX(EXTRATO_IMPORTADO!$A$5:$A$404,MATCH(B1066,EXTRATO_IMPORTADO!$I$5:$I$404,0)),"")</f>
        <v/>
      </c>
      <c r="P1066" s="26" t="str">
        <f>IFERROR(INDEX(EXTRATO_IMPORTADO!$F$5:$F$404,MATCH(B1066,EXTRATO_IMPORTADO!$I$5:$I$404,0)),"")</f>
        <v/>
      </c>
      <c r="Q1066" s="26" t="str">
        <f>IFERROR(INDEX(EXTRATO_IMPORTADO!$B$5:$B$404,MATCH(B1066,EXTRATO_IMPORTADO!$I$5:$I$404,0)),"")</f>
        <v/>
      </c>
      <c r="R1066" s="26" t="str">
        <f>IFERROR(MATCH(B1066,EXTRATO_IMPORTADO!$I$5:$I$404,0),"")</f>
        <v/>
      </c>
      <c r="S1066" s="26" t="str">
        <f t="shared" si="49"/>
        <v/>
      </c>
      <c r="T1066" s="26" t="str">
        <f t="shared" si="50"/>
        <v/>
      </c>
    </row>
    <row r="1067" spans="1:20" x14ac:dyDescent="0.3">
      <c r="A1067" s="26" t="str">
        <f>IF(BASE_CAIXA!A1064="","",BASE_CAIXA!A1064)</f>
        <v/>
      </c>
      <c r="B1067" s="26" t="str">
        <f>IF(A1067="","",BASE_CAIXA!AL1064)</f>
        <v/>
      </c>
      <c r="C1067" s="26" t="str">
        <f>IF(A1067="","",BASE_CAIXA!AJ1064)</f>
        <v/>
      </c>
      <c r="D1067" s="26" t="str">
        <f>IF(A1067="","",IF(BASE_CAIXA!C1064="Entrada","Crédito","Débito"))</f>
        <v/>
      </c>
      <c r="E1067" s="26" t="str">
        <f>IF(A1067="","",BASE_CAIXA!AA1064)</f>
        <v/>
      </c>
      <c r="F1067" s="26" t="str">
        <f>IF(A1067="","",BASE_CAIXA!N1064)</f>
        <v/>
      </c>
      <c r="G1067" s="26" t="str">
        <f>IF(A1067="","",BASE_CAIXA!O1064)</f>
        <v/>
      </c>
      <c r="H1067" s="26" t="str">
        <f>IF(A1067="","",BASE_CAIXA!P1064)</f>
        <v/>
      </c>
      <c r="I1067" s="26" t="str">
        <f>IF(A1067="","",IF(BASE_CAIXA!H1064&lt;&gt;"",BASE_CAIXA!H1064,BASE_CAIXA!G1064))</f>
        <v/>
      </c>
      <c r="J1067" s="26" t="str">
        <f>IF(A1067="","",BASE_CAIXA!G1064)</f>
        <v/>
      </c>
      <c r="K1067" s="26" t="str">
        <f>IF(A1067="","",BASE_CAIXA!I1064)</f>
        <v/>
      </c>
      <c r="L1067" s="26" t="str">
        <f>IF(A1067="","",BASE_CAIXA!J1064)</f>
        <v/>
      </c>
      <c r="M1067" s="26" t="str">
        <f>IF(A1067="","",BASE_CAIXA!AM1064)</f>
        <v/>
      </c>
      <c r="N1067" s="26" t="str">
        <f t="shared" ca="1" si="48"/>
        <v/>
      </c>
      <c r="O1067" s="26" t="str">
        <f>IFERROR(INDEX(EXTRATO_IMPORTADO!$A$5:$A$404,MATCH(B1067,EXTRATO_IMPORTADO!$I$5:$I$404,0)),"")</f>
        <v/>
      </c>
      <c r="P1067" s="26" t="str">
        <f>IFERROR(INDEX(EXTRATO_IMPORTADO!$F$5:$F$404,MATCH(B1067,EXTRATO_IMPORTADO!$I$5:$I$404,0)),"")</f>
        <v/>
      </c>
      <c r="Q1067" s="26" t="str">
        <f>IFERROR(INDEX(EXTRATO_IMPORTADO!$B$5:$B$404,MATCH(B1067,EXTRATO_IMPORTADO!$I$5:$I$404,0)),"")</f>
        <v/>
      </c>
      <c r="R1067" s="26" t="str">
        <f>IFERROR(MATCH(B1067,EXTRATO_IMPORTADO!$I$5:$I$404,0),"")</f>
        <v/>
      </c>
      <c r="S1067" s="26" t="str">
        <f t="shared" si="49"/>
        <v/>
      </c>
      <c r="T1067" s="26" t="str">
        <f t="shared" si="50"/>
        <v/>
      </c>
    </row>
    <row r="1068" spans="1:20" x14ac:dyDescent="0.3">
      <c r="A1068" s="26" t="str">
        <f>IF(BASE_CAIXA!A1065="","",BASE_CAIXA!A1065)</f>
        <v/>
      </c>
      <c r="B1068" s="26" t="str">
        <f>IF(A1068="","",BASE_CAIXA!AL1065)</f>
        <v/>
      </c>
      <c r="C1068" s="26" t="str">
        <f>IF(A1068="","",BASE_CAIXA!AJ1065)</f>
        <v/>
      </c>
      <c r="D1068" s="26" t="str">
        <f>IF(A1068="","",IF(BASE_CAIXA!C1065="Entrada","Crédito","Débito"))</f>
        <v/>
      </c>
      <c r="E1068" s="26" t="str">
        <f>IF(A1068="","",BASE_CAIXA!AA1065)</f>
        <v/>
      </c>
      <c r="F1068" s="26" t="str">
        <f>IF(A1068="","",BASE_CAIXA!N1065)</f>
        <v/>
      </c>
      <c r="G1068" s="26" t="str">
        <f>IF(A1068="","",BASE_CAIXA!O1065)</f>
        <v/>
      </c>
      <c r="H1068" s="26" t="str">
        <f>IF(A1068="","",BASE_CAIXA!P1065)</f>
        <v/>
      </c>
      <c r="I1068" s="26" t="str">
        <f>IF(A1068="","",IF(BASE_CAIXA!H1065&lt;&gt;"",BASE_CAIXA!H1065,BASE_CAIXA!G1065))</f>
        <v/>
      </c>
      <c r="J1068" s="26" t="str">
        <f>IF(A1068="","",BASE_CAIXA!G1065)</f>
        <v/>
      </c>
      <c r="K1068" s="26" t="str">
        <f>IF(A1068="","",BASE_CAIXA!I1065)</f>
        <v/>
      </c>
      <c r="L1068" s="26" t="str">
        <f>IF(A1068="","",BASE_CAIXA!J1065)</f>
        <v/>
      </c>
      <c r="M1068" s="26" t="str">
        <f>IF(A1068="","",BASE_CAIXA!AM1065)</f>
        <v/>
      </c>
      <c r="N1068" s="26" t="str">
        <f t="shared" ca="1" si="48"/>
        <v/>
      </c>
      <c r="O1068" s="26" t="str">
        <f>IFERROR(INDEX(EXTRATO_IMPORTADO!$A$5:$A$404,MATCH(B1068,EXTRATO_IMPORTADO!$I$5:$I$404,0)),"")</f>
        <v/>
      </c>
      <c r="P1068" s="26" t="str">
        <f>IFERROR(INDEX(EXTRATO_IMPORTADO!$F$5:$F$404,MATCH(B1068,EXTRATO_IMPORTADO!$I$5:$I$404,0)),"")</f>
        <v/>
      </c>
      <c r="Q1068" s="26" t="str">
        <f>IFERROR(INDEX(EXTRATO_IMPORTADO!$B$5:$B$404,MATCH(B1068,EXTRATO_IMPORTADO!$I$5:$I$404,0)),"")</f>
        <v/>
      </c>
      <c r="R1068" s="26" t="str">
        <f>IFERROR(MATCH(B1068,EXTRATO_IMPORTADO!$I$5:$I$404,0),"")</f>
        <v/>
      </c>
      <c r="S1068" s="26" t="str">
        <f t="shared" si="49"/>
        <v/>
      </c>
      <c r="T1068" s="26" t="str">
        <f t="shared" si="50"/>
        <v/>
      </c>
    </row>
    <row r="1069" spans="1:20" x14ac:dyDescent="0.3">
      <c r="A1069" s="26" t="str">
        <f>IF(BASE_CAIXA!A1066="","",BASE_CAIXA!A1066)</f>
        <v/>
      </c>
      <c r="B1069" s="26" t="str">
        <f>IF(A1069="","",BASE_CAIXA!AL1066)</f>
        <v/>
      </c>
      <c r="C1069" s="26" t="str">
        <f>IF(A1069="","",BASE_CAIXA!AJ1066)</f>
        <v/>
      </c>
      <c r="D1069" s="26" t="str">
        <f>IF(A1069="","",IF(BASE_CAIXA!C1066="Entrada","Crédito","Débito"))</f>
        <v/>
      </c>
      <c r="E1069" s="26" t="str">
        <f>IF(A1069="","",BASE_CAIXA!AA1066)</f>
        <v/>
      </c>
      <c r="F1069" s="26" t="str">
        <f>IF(A1069="","",BASE_CAIXA!N1066)</f>
        <v/>
      </c>
      <c r="G1069" s="26" t="str">
        <f>IF(A1069="","",BASE_CAIXA!O1066)</f>
        <v/>
      </c>
      <c r="H1069" s="26" t="str">
        <f>IF(A1069="","",BASE_CAIXA!P1066)</f>
        <v/>
      </c>
      <c r="I1069" s="26" t="str">
        <f>IF(A1069="","",IF(BASE_CAIXA!H1066&lt;&gt;"",BASE_CAIXA!H1066,BASE_CAIXA!G1066))</f>
        <v/>
      </c>
      <c r="J1069" s="26" t="str">
        <f>IF(A1069="","",BASE_CAIXA!G1066)</f>
        <v/>
      </c>
      <c r="K1069" s="26" t="str">
        <f>IF(A1069="","",BASE_CAIXA!I1066)</f>
        <v/>
      </c>
      <c r="L1069" s="26" t="str">
        <f>IF(A1069="","",BASE_CAIXA!J1066)</f>
        <v/>
      </c>
      <c r="M1069" s="26" t="str">
        <f>IF(A1069="","",BASE_CAIXA!AM1066)</f>
        <v/>
      </c>
      <c r="N1069" s="26" t="str">
        <f t="shared" ca="1" si="48"/>
        <v/>
      </c>
      <c r="O1069" s="26" t="str">
        <f>IFERROR(INDEX(EXTRATO_IMPORTADO!$A$5:$A$404,MATCH(B1069,EXTRATO_IMPORTADO!$I$5:$I$404,0)),"")</f>
        <v/>
      </c>
      <c r="P1069" s="26" t="str">
        <f>IFERROR(INDEX(EXTRATO_IMPORTADO!$F$5:$F$404,MATCH(B1069,EXTRATO_IMPORTADO!$I$5:$I$404,0)),"")</f>
        <v/>
      </c>
      <c r="Q1069" s="26" t="str">
        <f>IFERROR(INDEX(EXTRATO_IMPORTADO!$B$5:$B$404,MATCH(B1069,EXTRATO_IMPORTADO!$I$5:$I$404,0)),"")</f>
        <v/>
      </c>
      <c r="R1069" s="26" t="str">
        <f>IFERROR(MATCH(B1069,EXTRATO_IMPORTADO!$I$5:$I$404,0),"")</f>
        <v/>
      </c>
      <c r="S1069" s="26" t="str">
        <f t="shared" si="49"/>
        <v/>
      </c>
      <c r="T1069" s="26" t="str">
        <f t="shared" si="50"/>
        <v/>
      </c>
    </row>
    <row r="1070" spans="1:20" x14ac:dyDescent="0.3">
      <c r="A1070" s="26" t="str">
        <f>IF(BASE_CAIXA!A1067="","",BASE_CAIXA!A1067)</f>
        <v/>
      </c>
      <c r="B1070" s="26" t="str">
        <f>IF(A1070="","",BASE_CAIXA!AL1067)</f>
        <v/>
      </c>
      <c r="C1070" s="26" t="str">
        <f>IF(A1070="","",BASE_CAIXA!AJ1067)</f>
        <v/>
      </c>
      <c r="D1070" s="26" t="str">
        <f>IF(A1070="","",IF(BASE_CAIXA!C1067="Entrada","Crédito","Débito"))</f>
        <v/>
      </c>
      <c r="E1070" s="26" t="str">
        <f>IF(A1070="","",BASE_CAIXA!AA1067)</f>
        <v/>
      </c>
      <c r="F1070" s="26" t="str">
        <f>IF(A1070="","",BASE_CAIXA!N1067)</f>
        <v/>
      </c>
      <c r="G1070" s="26" t="str">
        <f>IF(A1070="","",BASE_CAIXA!O1067)</f>
        <v/>
      </c>
      <c r="H1070" s="26" t="str">
        <f>IF(A1070="","",BASE_CAIXA!P1067)</f>
        <v/>
      </c>
      <c r="I1070" s="26" t="str">
        <f>IF(A1070="","",IF(BASE_CAIXA!H1067&lt;&gt;"",BASE_CAIXA!H1067,BASE_CAIXA!G1067))</f>
        <v/>
      </c>
      <c r="J1070" s="26" t="str">
        <f>IF(A1070="","",BASE_CAIXA!G1067)</f>
        <v/>
      </c>
      <c r="K1070" s="26" t="str">
        <f>IF(A1070="","",BASE_CAIXA!I1067)</f>
        <v/>
      </c>
      <c r="L1070" s="26" t="str">
        <f>IF(A1070="","",BASE_CAIXA!J1067)</f>
        <v/>
      </c>
      <c r="M1070" s="26" t="str">
        <f>IF(A1070="","",BASE_CAIXA!AM1067)</f>
        <v/>
      </c>
      <c r="N1070" s="26" t="str">
        <f t="shared" ca="1" si="48"/>
        <v/>
      </c>
      <c r="O1070" s="26" t="str">
        <f>IFERROR(INDEX(EXTRATO_IMPORTADO!$A$5:$A$404,MATCH(B1070,EXTRATO_IMPORTADO!$I$5:$I$404,0)),"")</f>
        <v/>
      </c>
      <c r="P1070" s="26" t="str">
        <f>IFERROR(INDEX(EXTRATO_IMPORTADO!$F$5:$F$404,MATCH(B1070,EXTRATO_IMPORTADO!$I$5:$I$404,0)),"")</f>
        <v/>
      </c>
      <c r="Q1070" s="26" t="str">
        <f>IFERROR(INDEX(EXTRATO_IMPORTADO!$B$5:$B$404,MATCH(B1070,EXTRATO_IMPORTADO!$I$5:$I$404,0)),"")</f>
        <v/>
      </c>
      <c r="R1070" s="26" t="str">
        <f>IFERROR(MATCH(B1070,EXTRATO_IMPORTADO!$I$5:$I$404,0),"")</f>
        <v/>
      </c>
      <c r="S1070" s="26" t="str">
        <f t="shared" si="49"/>
        <v/>
      </c>
      <c r="T1070" s="26" t="str">
        <f t="shared" si="50"/>
        <v/>
      </c>
    </row>
    <row r="1071" spans="1:20" x14ac:dyDescent="0.3">
      <c r="A1071" s="26" t="str">
        <f>IF(BASE_CAIXA!A1068="","",BASE_CAIXA!A1068)</f>
        <v/>
      </c>
      <c r="B1071" s="26" t="str">
        <f>IF(A1071="","",BASE_CAIXA!AL1068)</f>
        <v/>
      </c>
      <c r="C1071" s="26" t="str">
        <f>IF(A1071="","",BASE_CAIXA!AJ1068)</f>
        <v/>
      </c>
      <c r="D1071" s="26" t="str">
        <f>IF(A1071="","",IF(BASE_CAIXA!C1068="Entrada","Crédito","Débito"))</f>
        <v/>
      </c>
      <c r="E1071" s="26" t="str">
        <f>IF(A1071="","",BASE_CAIXA!AA1068)</f>
        <v/>
      </c>
      <c r="F1071" s="26" t="str">
        <f>IF(A1071="","",BASE_CAIXA!N1068)</f>
        <v/>
      </c>
      <c r="G1071" s="26" t="str">
        <f>IF(A1071="","",BASE_CAIXA!O1068)</f>
        <v/>
      </c>
      <c r="H1071" s="26" t="str">
        <f>IF(A1071="","",BASE_CAIXA!P1068)</f>
        <v/>
      </c>
      <c r="I1071" s="26" t="str">
        <f>IF(A1071="","",IF(BASE_CAIXA!H1068&lt;&gt;"",BASE_CAIXA!H1068,BASE_CAIXA!G1068))</f>
        <v/>
      </c>
      <c r="J1071" s="26" t="str">
        <f>IF(A1071="","",BASE_CAIXA!G1068)</f>
        <v/>
      </c>
      <c r="K1071" s="26" t="str">
        <f>IF(A1071="","",BASE_CAIXA!I1068)</f>
        <v/>
      </c>
      <c r="L1071" s="26" t="str">
        <f>IF(A1071="","",BASE_CAIXA!J1068)</f>
        <v/>
      </c>
      <c r="M1071" s="26" t="str">
        <f>IF(A1071="","",BASE_CAIXA!AM1068)</f>
        <v/>
      </c>
      <c r="N1071" s="26" t="str">
        <f t="shared" ca="1" si="48"/>
        <v/>
      </c>
      <c r="O1071" s="26" t="str">
        <f>IFERROR(INDEX(EXTRATO_IMPORTADO!$A$5:$A$404,MATCH(B1071,EXTRATO_IMPORTADO!$I$5:$I$404,0)),"")</f>
        <v/>
      </c>
      <c r="P1071" s="26" t="str">
        <f>IFERROR(INDEX(EXTRATO_IMPORTADO!$F$5:$F$404,MATCH(B1071,EXTRATO_IMPORTADO!$I$5:$I$404,0)),"")</f>
        <v/>
      </c>
      <c r="Q1071" s="26" t="str">
        <f>IFERROR(INDEX(EXTRATO_IMPORTADO!$B$5:$B$404,MATCH(B1071,EXTRATO_IMPORTADO!$I$5:$I$404,0)),"")</f>
        <v/>
      </c>
      <c r="R1071" s="26" t="str">
        <f>IFERROR(MATCH(B1071,EXTRATO_IMPORTADO!$I$5:$I$404,0),"")</f>
        <v/>
      </c>
      <c r="S1071" s="26" t="str">
        <f t="shared" si="49"/>
        <v/>
      </c>
      <c r="T1071" s="26" t="str">
        <f t="shared" si="50"/>
        <v/>
      </c>
    </row>
    <row r="1072" spans="1:20" x14ac:dyDescent="0.3">
      <c r="A1072" s="26" t="str">
        <f>IF(BASE_CAIXA!A1069="","",BASE_CAIXA!A1069)</f>
        <v/>
      </c>
      <c r="B1072" s="26" t="str">
        <f>IF(A1072="","",BASE_CAIXA!AL1069)</f>
        <v/>
      </c>
      <c r="C1072" s="26" t="str">
        <f>IF(A1072="","",BASE_CAIXA!AJ1069)</f>
        <v/>
      </c>
      <c r="D1072" s="26" t="str">
        <f>IF(A1072="","",IF(BASE_CAIXA!C1069="Entrada","Crédito","Débito"))</f>
        <v/>
      </c>
      <c r="E1072" s="26" t="str">
        <f>IF(A1072="","",BASE_CAIXA!AA1069)</f>
        <v/>
      </c>
      <c r="F1072" s="26" t="str">
        <f>IF(A1072="","",BASE_CAIXA!N1069)</f>
        <v/>
      </c>
      <c r="G1072" s="26" t="str">
        <f>IF(A1072="","",BASE_CAIXA!O1069)</f>
        <v/>
      </c>
      <c r="H1072" s="26" t="str">
        <f>IF(A1072="","",BASE_CAIXA!P1069)</f>
        <v/>
      </c>
      <c r="I1072" s="26" t="str">
        <f>IF(A1072="","",IF(BASE_CAIXA!H1069&lt;&gt;"",BASE_CAIXA!H1069,BASE_CAIXA!G1069))</f>
        <v/>
      </c>
      <c r="J1072" s="26" t="str">
        <f>IF(A1072="","",BASE_CAIXA!G1069)</f>
        <v/>
      </c>
      <c r="K1072" s="26" t="str">
        <f>IF(A1072="","",BASE_CAIXA!I1069)</f>
        <v/>
      </c>
      <c r="L1072" s="26" t="str">
        <f>IF(A1072="","",BASE_CAIXA!J1069)</f>
        <v/>
      </c>
      <c r="M1072" s="26" t="str">
        <f>IF(A1072="","",BASE_CAIXA!AM1069)</f>
        <v/>
      </c>
      <c r="N1072" s="26" t="str">
        <f t="shared" ca="1" si="48"/>
        <v/>
      </c>
      <c r="O1072" s="26" t="str">
        <f>IFERROR(INDEX(EXTRATO_IMPORTADO!$A$5:$A$404,MATCH(B1072,EXTRATO_IMPORTADO!$I$5:$I$404,0)),"")</f>
        <v/>
      </c>
      <c r="P1072" s="26" t="str">
        <f>IFERROR(INDEX(EXTRATO_IMPORTADO!$F$5:$F$404,MATCH(B1072,EXTRATO_IMPORTADO!$I$5:$I$404,0)),"")</f>
        <v/>
      </c>
      <c r="Q1072" s="26" t="str">
        <f>IFERROR(INDEX(EXTRATO_IMPORTADO!$B$5:$B$404,MATCH(B1072,EXTRATO_IMPORTADO!$I$5:$I$404,0)),"")</f>
        <v/>
      </c>
      <c r="R1072" s="26" t="str">
        <f>IFERROR(MATCH(B1072,EXTRATO_IMPORTADO!$I$5:$I$404,0),"")</f>
        <v/>
      </c>
      <c r="S1072" s="26" t="str">
        <f t="shared" si="49"/>
        <v/>
      </c>
      <c r="T1072" s="26" t="str">
        <f t="shared" si="50"/>
        <v/>
      </c>
    </row>
    <row r="1073" spans="1:20" x14ac:dyDescent="0.3">
      <c r="A1073" s="26" t="str">
        <f>IF(BASE_CAIXA!A1070="","",BASE_CAIXA!A1070)</f>
        <v/>
      </c>
      <c r="B1073" s="26" t="str">
        <f>IF(A1073="","",BASE_CAIXA!AL1070)</f>
        <v/>
      </c>
      <c r="C1073" s="26" t="str">
        <f>IF(A1073="","",BASE_CAIXA!AJ1070)</f>
        <v/>
      </c>
      <c r="D1073" s="26" t="str">
        <f>IF(A1073="","",IF(BASE_CAIXA!C1070="Entrada","Crédito","Débito"))</f>
        <v/>
      </c>
      <c r="E1073" s="26" t="str">
        <f>IF(A1073="","",BASE_CAIXA!AA1070)</f>
        <v/>
      </c>
      <c r="F1073" s="26" t="str">
        <f>IF(A1073="","",BASE_CAIXA!N1070)</f>
        <v/>
      </c>
      <c r="G1073" s="26" t="str">
        <f>IF(A1073="","",BASE_CAIXA!O1070)</f>
        <v/>
      </c>
      <c r="H1073" s="26" t="str">
        <f>IF(A1073="","",BASE_CAIXA!P1070)</f>
        <v/>
      </c>
      <c r="I1073" s="26" t="str">
        <f>IF(A1073="","",IF(BASE_CAIXA!H1070&lt;&gt;"",BASE_CAIXA!H1070,BASE_CAIXA!G1070))</f>
        <v/>
      </c>
      <c r="J1073" s="26" t="str">
        <f>IF(A1073="","",BASE_CAIXA!G1070)</f>
        <v/>
      </c>
      <c r="K1073" s="26" t="str">
        <f>IF(A1073="","",BASE_CAIXA!I1070)</f>
        <v/>
      </c>
      <c r="L1073" s="26" t="str">
        <f>IF(A1073="","",BASE_CAIXA!J1070)</f>
        <v/>
      </c>
      <c r="M1073" s="26" t="str">
        <f>IF(A1073="","",BASE_CAIXA!AM1070)</f>
        <v/>
      </c>
      <c r="N1073" s="26" t="str">
        <f t="shared" ca="1" si="48"/>
        <v/>
      </c>
      <c r="O1073" s="26" t="str">
        <f>IFERROR(INDEX(EXTRATO_IMPORTADO!$A$5:$A$404,MATCH(B1073,EXTRATO_IMPORTADO!$I$5:$I$404,0)),"")</f>
        <v/>
      </c>
      <c r="P1073" s="26" t="str">
        <f>IFERROR(INDEX(EXTRATO_IMPORTADO!$F$5:$F$404,MATCH(B1073,EXTRATO_IMPORTADO!$I$5:$I$404,0)),"")</f>
        <v/>
      </c>
      <c r="Q1073" s="26" t="str">
        <f>IFERROR(INDEX(EXTRATO_IMPORTADO!$B$5:$B$404,MATCH(B1073,EXTRATO_IMPORTADO!$I$5:$I$404,0)),"")</f>
        <v/>
      </c>
      <c r="R1073" s="26" t="str">
        <f>IFERROR(MATCH(B1073,EXTRATO_IMPORTADO!$I$5:$I$404,0),"")</f>
        <v/>
      </c>
      <c r="S1073" s="26" t="str">
        <f t="shared" si="49"/>
        <v/>
      </c>
      <c r="T1073" s="26" t="str">
        <f t="shared" si="50"/>
        <v/>
      </c>
    </row>
    <row r="1074" spans="1:20" x14ac:dyDescent="0.3">
      <c r="A1074" s="26" t="str">
        <f>IF(BASE_CAIXA!A1071="","",BASE_CAIXA!A1071)</f>
        <v/>
      </c>
      <c r="B1074" s="26" t="str">
        <f>IF(A1074="","",BASE_CAIXA!AL1071)</f>
        <v/>
      </c>
      <c r="C1074" s="26" t="str">
        <f>IF(A1074="","",BASE_CAIXA!AJ1071)</f>
        <v/>
      </c>
      <c r="D1074" s="26" t="str">
        <f>IF(A1074="","",IF(BASE_CAIXA!C1071="Entrada","Crédito","Débito"))</f>
        <v/>
      </c>
      <c r="E1074" s="26" t="str">
        <f>IF(A1074="","",BASE_CAIXA!AA1071)</f>
        <v/>
      </c>
      <c r="F1074" s="26" t="str">
        <f>IF(A1074="","",BASE_CAIXA!N1071)</f>
        <v/>
      </c>
      <c r="G1074" s="26" t="str">
        <f>IF(A1074="","",BASE_CAIXA!O1071)</f>
        <v/>
      </c>
      <c r="H1074" s="26" t="str">
        <f>IF(A1074="","",BASE_CAIXA!P1071)</f>
        <v/>
      </c>
      <c r="I1074" s="26" t="str">
        <f>IF(A1074="","",IF(BASE_CAIXA!H1071&lt;&gt;"",BASE_CAIXA!H1071,BASE_CAIXA!G1071))</f>
        <v/>
      </c>
      <c r="J1074" s="26" t="str">
        <f>IF(A1074="","",BASE_CAIXA!G1071)</f>
        <v/>
      </c>
      <c r="K1074" s="26" t="str">
        <f>IF(A1074="","",BASE_CAIXA!I1071)</f>
        <v/>
      </c>
      <c r="L1074" s="26" t="str">
        <f>IF(A1074="","",BASE_CAIXA!J1071)</f>
        <v/>
      </c>
      <c r="M1074" s="26" t="str">
        <f>IF(A1074="","",BASE_CAIXA!AM1071)</f>
        <v/>
      </c>
      <c r="N1074" s="26" t="str">
        <f t="shared" ca="1" si="48"/>
        <v/>
      </c>
      <c r="O1074" s="26" t="str">
        <f>IFERROR(INDEX(EXTRATO_IMPORTADO!$A$5:$A$404,MATCH(B1074,EXTRATO_IMPORTADO!$I$5:$I$404,0)),"")</f>
        <v/>
      </c>
      <c r="P1074" s="26" t="str">
        <f>IFERROR(INDEX(EXTRATO_IMPORTADO!$F$5:$F$404,MATCH(B1074,EXTRATO_IMPORTADO!$I$5:$I$404,0)),"")</f>
        <v/>
      </c>
      <c r="Q1074" s="26" t="str">
        <f>IFERROR(INDEX(EXTRATO_IMPORTADO!$B$5:$B$404,MATCH(B1074,EXTRATO_IMPORTADO!$I$5:$I$404,0)),"")</f>
        <v/>
      </c>
      <c r="R1074" s="26" t="str">
        <f>IFERROR(MATCH(B1074,EXTRATO_IMPORTADO!$I$5:$I$404,0),"")</f>
        <v/>
      </c>
      <c r="S1074" s="26" t="str">
        <f t="shared" si="49"/>
        <v/>
      </c>
      <c r="T1074" s="26" t="str">
        <f t="shared" si="50"/>
        <v/>
      </c>
    </row>
    <row r="1075" spans="1:20" x14ac:dyDescent="0.3">
      <c r="A1075" s="26" t="str">
        <f>IF(BASE_CAIXA!A1072="","",BASE_CAIXA!A1072)</f>
        <v/>
      </c>
      <c r="B1075" s="26" t="str">
        <f>IF(A1075="","",BASE_CAIXA!AL1072)</f>
        <v/>
      </c>
      <c r="C1075" s="26" t="str">
        <f>IF(A1075="","",BASE_CAIXA!AJ1072)</f>
        <v/>
      </c>
      <c r="D1075" s="26" t="str">
        <f>IF(A1075="","",IF(BASE_CAIXA!C1072="Entrada","Crédito","Débito"))</f>
        <v/>
      </c>
      <c r="E1075" s="26" t="str">
        <f>IF(A1075="","",BASE_CAIXA!AA1072)</f>
        <v/>
      </c>
      <c r="F1075" s="26" t="str">
        <f>IF(A1075="","",BASE_CAIXA!N1072)</f>
        <v/>
      </c>
      <c r="G1075" s="26" t="str">
        <f>IF(A1075="","",BASE_CAIXA!O1072)</f>
        <v/>
      </c>
      <c r="H1075" s="26" t="str">
        <f>IF(A1075="","",BASE_CAIXA!P1072)</f>
        <v/>
      </c>
      <c r="I1075" s="26" t="str">
        <f>IF(A1075="","",IF(BASE_CAIXA!H1072&lt;&gt;"",BASE_CAIXA!H1072,BASE_CAIXA!G1072))</f>
        <v/>
      </c>
      <c r="J1075" s="26" t="str">
        <f>IF(A1075="","",BASE_CAIXA!G1072)</f>
        <v/>
      </c>
      <c r="K1075" s="26" t="str">
        <f>IF(A1075="","",BASE_CAIXA!I1072)</f>
        <v/>
      </c>
      <c r="L1075" s="26" t="str">
        <f>IF(A1075="","",BASE_CAIXA!J1072)</f>
        <v/>
      </c>
      <c r="M1075" s="26" t="str">
        <f>IF(A1075="","",BASE_CAIXA!AM1072)</f>
        <v/>
      </c>
      <c r="N1075" s="26" t="str">
        <f t="shared" ca="1" si="48"/>
        <v/>
      </c>
      <c r="O1075" s="26" t="str">
        <f>IFERROR(INDEX(EXTRATO_IMPORTADO!$A$5:$A$404,MATCH(B1075,EXTRATO_IMPORTADO!$I$5:$I$404,0)),"")</f>
        <v/>
      </c>
      <c r="P1075" s="26" t="str">
        <f>IFERROR(INDEX(EXTRATO_IMPORTADO!$F$5:$F$404,MATCH(B1075,EXTRATO_IMPORTADO!$I$5:$I$404,0)),"")</f>
        <v/>
      </c>
      <c r="Q1075" s="26" t="str">
        <f>IFERROR(INDEX(EXTRATO_IMPORTADO!$B$5:$B$404,MATCH(B1075,EXTRATO_IMPORTADO!$I$5:$I$404,0)),"")</f>
        <v/>
      </c>
      <c r="R1075" s="26" t="str">
        <f>IFERROR(MATCH(B1075,EXTRATO_IMPORTADO!$I$5:$I$404,0),"")</f>
        <v/>
      </c>
      <c r="S1075" s="26" t="str">
        <f t="shared" si="49"/>
        <v/>
      </c>
      <c r="T1075" s="26" t="str">
        <f t="shared" si="50"/>
        <v/>
      </c>
    </row>
    <row r="1076" spans="1:20" x14ac:dyDescent="0.3">
      <c r="A1076" s="26" t="str">
        <f>IF(BASE_CAIXA!A1073="","",BASE_CAIXA!A1073)</f>
        <v/>
      </c>
      <c r="B1076" s="26" t="str">
        <f>IF(A1076="","",BASE_CAIXA!AL1073)</f>
        <v/>
      </c>
      <c r="C1076" s="26" t="str">
        <f>IF(A1076="","",BASE_CAIXA!AJ1073)</f>
        <v/>
      </c>
      <c r="D1076" s="26" t="str">
        <f>IF(A1076="","",IF(BASE_CAIXA!C1073="Entrada","Crédito","Débito"))</f>
        <v/>
      </c>
      <c r="E1076" s="26" t="str">
        <f>IF(A1076="","",BASE_CAIXA!AA1073)</f>
        <v/>
      </c>
      <c r="F1076" s="26" t="str">
        <f>IF(A1076="","",BASE_CAIXA!N1073)</f>
        <v/>
      </c>
      <c r="G1076" s="26" t="str">
        <f>IF(A1076="","",BASE_CAIXA!O1073)</f>
        <v/>
      </c>
      <c r="H1076" s="26" t="str">
        <f>IF(A1076="","",BASE_CAIXA!P1073)</f>
        <v/>
      </c>
      <c r="I1076" s="26" t="str">
        <f>IF(A1076="","",IF(BASE_CAIXA!H1073&lt;&gt;"",BASE_CAIXA!H1073,BASE_CAIXA!G1073))</f>
        <v/>
      </c>
      <c r="J1076" s="26" t="str">
        <f>IF(A1076="","",BASE_CAIXA!G1073)</f>
        <v/>
      </c>
      <c r="K1076" s="26" t="str">
        <f>IF(A1076="","",BASE_CAIXA!I1073)</f>
        <v/>
      </c>
      <c r="L1076" s="26" t="str">
        <f>IF(A1076="","",BASE_CAIXA!J1073)</f>
        <v/>
      </c>
      <c r="M1076" s="26" t="str">
        <f>IF(A1076="","",BASE_CAIXA!AM1073)</f>
        <v/>
      </c>
      <c r="N1076" s="26" t="str">
        <f t="shared" ca="1" si="48"/>
        <v/>
      </c>
      <c r="O1076" s="26" t="str">
        <f>IFERROR(INDEX(EXTRATO_IMPORTADO!$A$5:$A$404,MATCH(B1076,EXTRATO_IMPORTADO!$I$5:$I$404,0)),"")</f>
        <v/>
      </c>
      <c r="P1076" s="26" t="str">
        <f>IFERROR(INDEX(EXTRATO_IMPORTADO!$F$5:$F$404,MATCH(B1076,EXTRATO_IMPORTADO!$I$5:$I$404,0)),"")</f>
        <v/>
      </c>
      <c r="Q1076" s="26" t="str">
        <f>IFERROR(INDEX(EXTRATO_IMPORTADO!$B$5:$B$404,MATCH(B1076,EXTRATO_IMPORTADO!$I$5:$I$404,0)),"")</f>
        <v/>
      </c>
      <c r="R1076" s="26" t="str">
        <f>IFERROR(MATCH(B1076,EXTRATO_IMPORTADO!$I$5:$I$404,0),"")</f>
        <v/>
      </c>
      <c r="S1076" s="26" t="str">
        <f t="shared" si="49"/>
        <v/>
      </c>
      <c r="T1076" s="26" t="str">
        <f t="shared" si="50"/>
        <v/>
      </c>
    </row>
    <row r="1077" spans="1:20" x14ac:dyDescent="0.3">
      <c r="A1077" s="26" t="str">
        <f>IF(BASE_CAIXA!A1074="","",BASE_CAIXA!A1074)</f>
        <v/>
      </c>
      <c r="B1077" s="26" t="str">
        <f>IF(A1077="","",BASE_CAIXA!AL1074)</f>
        <v/>
      </c>
      <c r="C1077" s="26" t="str">
        <f>IF(A1077="","",BASE_CAIXA!AJ1074)</f>
        <v/>
      </c>
      <c r="D1077" s="26" t="str">
        <f>IF(A1077="","",IF(BASE_CAIXA!C1074="Entrada","Crédito","Débito"))</f>
        <v/>
      </c>
      <c r="E1077" s="26" t="str">
        <f>IF(A1077="","",BASE_CAIXA!AA1074)</f>
        <v/>
      </c>
      <c r="F1077" s="26" t="str">
        <f>IF(A1077="","",BASE_CAIXA!N1074)</f>
        <v/>
      </c>
      <c r="G1077" s="26" t="str">
        <f>IF(A1077="","",BASE_CAIXA!O1074)</f>
        <v/>
      </c>
      <c r="H1077" s="26" t="str">
        <f>IF(A1077="","",BASE_CAIXA!P1074)</f>
        <v/>
      </c>
      <c r="I1077" s="26" t="str">
        <f>IF(A1077="","",IF(BASE_CAIXA!H1074&lt;&gt;"",BASE_CAIXA!H1074,BASE_CAIXA!G1074))</f>
        <v/>
      </c>
      <c r="J1077" s="26" t="str">
        <f>IF(A1077="","",BASE_CAIXA!G1074)</f>
        <v/>
      </c>
      <c r="K1077" s="26" t="str">
        <f>IF(A1077="","",BASE_CAIXA!I1074)</f>
        <v/>
      </c>
      <c r="L1077" s="26" t="str">
        <f>IF(A1077="","",BASE_CAIXA!J1074)</f>
        <v/>
      </c>
      <c r="M1077" s="26" t="str">
        <f>IF(A1077="","",BASE_CAIXA!AM1074)</f>
        <v/>
      </c>
      <c r="N1077" s="26" t="str">
        <f t="shared" ca="1" si="48"/>
        <v/>
      </c>
      <c r="O1077" s="26" t="str">
        <f>IFERROR(INDEX(EXTRATO_IMPORTADO!$A$5:$A$404,MATCH(B1077,EXTRATO_IMPORTADO!$I$5:$I$404,0)),"")</f>
        <v/>
      </c>
      <c r="P1077" s="26" t="str">
        <f>IFERROR(INDEX(EXTRATO_IMPORTADO!$F$5:$F$404,MATCH(B1077,EXTRATO_IMPORTADO!$I$5:$I$404,0)),"")</f>
        <v/>
      </c>
      <c r="Q1077" s="26" t="str">
        <f>IFERROR(INDEX(EXTRATO_IMPORTADO!$B$5:$B$404,MATCH(B1077,EXTRATO_IMPORTADO!$I$5:$I$404,0)),"")</f>
        <v/>
      </c>
      <c r="R1077" s="26" t="str">
        <f>IFERROR(MATCH(B1077,EXTRATO_IMPORTADO!$I$5:$I$404,0),"")</f>
        <v/>
      </c>
      <c r="S1077" s="26" t="str">
        <f t="shared" si="49"/>
        <v/>
      </c>
      <c r="T1077" s="26" t="str">
        <f t="shared" si="50"/>
        <v/>
      </c>
    </row>
    <row r="1078" spans="1:20" x14ac:dyDescent="0.3">
      <c r="A1078" s="26" t="str">
        <f>IF(BASE_CAIXA!A1075="","",BASE_CAIXA!A1075)</f>
        <v/>
      </c>
      <c r="B1078" s="26" t="str">
        <f>IF(A1078="","",BASE_CAIXA!AL1075)</f>
        <v/>
      </c>
      <c r="C1078" s="26" t="str">
        <f>IF(A1078="","",BASE_CAIXA!AJ1075)</f>
        <v/>
      </c>
      <c r="D1078" s="26" t="str">
        <f>IF(A1078="","",IF(BASE_CAIXA!C1075="Entrada","Crédito","Débito"))</f>
        <v/>
      </c>
      <c r="E1078" s="26" t="str">
        <f>IF(A1078="","",BASE_CAIXA!AA1075)</f>
        <v/>
      </c>
      <c r="F1078" s="26" t="str">
        <f>IF(A1078="","",BASE_CAIXA!N1075)</f>
        <v/>
      </c>
      <c r="G1078" s="26" t="str">
        <f>IF(A1078="","",BASE_CAIXA!O1075)</f>
        <v/>
      </c>
      <c r="H1078" s="26" t="str">
        <f>IF(A1078="","",BASE_CAIXA!P1075)</f>
        <v/>
      </c>
      <c r="I1078" s="26" t="str">
        <f>IF(A1078="","",IF(BASE_CAIXA!H1075&lt;&gt;"",BASE_CAIXA!H1075,BASE_CAIXA!G1075))</f>
        <v/>
      </c>
      <c r="J1078" s="26" t="str">
        <f>IF(A1078="","",BASE_CAIXA!G1075)</f>
        <v/>
      </c>
      <c r="K1078" s="26" t="str">
        <f>IF(A1078="","",BASE_CAIXA!I1075)</f>
        <v/>
      </c>
      <c r="L1078" s="26" t="str">
        <f>IF(A1078="","",BASE_CAIXA!J1075)</f>
        <v/>
      </c>
      <c r="M1078" s="26" t="str">
        <f>IF(A1078="","",BASE_CAIXA!AM1075)</f>
        <v/>
      </c>
      <c r="N1078" s="26" t="str">
        <f t="shared" ca="1" si="48"/>
        <v/>
      </c>
      <c r="O1078" s="26" t="str">
        <f>IFERROR(INDEX(EXTRATO_IMPORTADO!$A$5:$A$404,MATCH(B1078,EXTRATO_IMPORTADO!$I$5:$I$404,0)),"")</f>
        <v/>
      </c>
      <c r="P1078" s="26" t="str">
        <f>IFERROR(INDEX(EXTRATO_IMPORTADO!$F$5:$F$404,MATCH(B1078,EXTRATO_IMPORTADO!$I$5:$I$404,0)),"")</f>
        <v/>
      </c>
      <c r="Q1078" s="26" t="str">
        <f>IFERROR(INDEX(EXTRATO_IMPORTADO!$B$5:$B$404,MATCH(B1078,EXTRATO_IMPORTADO!$I$5:$I$404,0)),"")</f>
        <v/>
      </c>
      <c r="R1078" s="26" t="str">
        <f>IFERROR(MATCH(B1078,EXTRATO_IMPORTADO!$I$5:$I$404,0),"")</f>
        <v/>
      </c>
      <c r="S1078" s="26" t="str">
        <f t="shared" si="49"/>
        <v/>
      </c>
      <c r="T1078" s="26" t="str">
        <f t="shared" si="50"/>
        <v/>
      </c>
    </row>
    <row r="1079" spans="1:20" x14ac:dyDescent="0.3">
      <c r="A1079" s="26" t="str">
        <f>IF(BASE_CAIXA!A1076="","",BASE_CAIXA!A1076)</f>
        <v/>
      </c>
      <c r="B1079" s="26" t="str">
        <f>IF(A1079="","",BASE_CAIXA!AL1076)</f>
        <v/>
      </c>
      <c r="C1079" s="26" t="str">
        <f>IF(A1079="","",BASE_CAIXA!AJ1076)</f>
        <v/>
      </c>
      <c r="D1079" s="26" t="str">
        <f>IF(A1079="","",IF(BASE_CAIXA!C1076="Entrada","Crédito","Débito"))</f>
        <v/>
      </c>
      <c r="E1079" s="26" t="str">
        <f>IF(A1079="","",BASE_CAIXA!AA1076)</f>
        <v/>
      </c>
      <c r="F1079" s="26" t="str">
        <f>IF(A1079="","",BASE_CAIXA!N1076)</f>
        <v/>
      </c>
      <c r="G1079" s="26" t="str">
        <f>IF(A1079="","",BASE_CAIXA!O1076)</f>
        <v/>
      </c>
      <c r="H1079" s="26" t="str">
        <f>IF(A1079="","",BASE_CAIXA!P1076)</f>
        <v/>
      </c>
      <c r="I1079" s="26" t="str">
        <f>IF(A1079="","",IF(BASE_CAIXA!H1076&lt;&gt;"",BASE_CAIXA!H1076,BASE_CAIXA!G1076))</f>
        <v/>
      </c>
      <c r="J1079" s="26" t="str">
        <f>IF(A1079="","",BASE_CAIXA!G1076)</f>
        <v/>
      </c>
      <c r="K1079" s="26" t="str">
        <f>IF(A1079="","",BASE_CAIXA!I1076)</f>
        <v/>
      </c>
      <c r="L1079" s="26" t="str">
        <f>IF(A1079="","",BASE_CAIXA!J1076)</f>
        <v/>
      </c>
      <c r="M1079" s="26" t="str">
        <f>IF(A1079="","",BASE_CAIXA!AM1076)</f>
        <v/>
      </c>
      <c r="N1079" s="26" t="str">
        <f t="shared" ca="1" si="48"/>
        <v/>
      </c>
      <c r="O1079" s="26" t="str">
        <f>IFERROR(INDEX(EXTRATO_IMPORTADO!$A$5:$A$404,MATCH(B1079,EXTRATO_IMPORTADO!$I$5:$I$404,0)),"")</f>
        <v/>
      </c>
      <c r="P1079" s="26" t="str">
        <f>IFERROR(INDEX(EXTRATO_IMPORTADO!$F$5:$F$404,MATCH(B1079,EXTRATO_IMPORTADO!$I$5:$I$404,0)),"")</f>
        <v/>
      </c>
      <c r="Q1079" s="26" t="str">
        <f>IFERROR(INDEX(EXTRATO_IMPORTADO!$B$5:$B$404,MATCH(B1079,EXTRATO_IMPORTADO!$I$5:$I$404,0)),"")</f>
        <v/>
      </c>
      <c r="R1079" s="26" t="str">
        <f>IFERROR(MATCH(B1079,EXTRATO_IMPORTADO!$I$5:$I$404,0),"")</f>
        <v/>
      </c>
      <c r="S1079" s="26" t="str">
        <f t="shared" si="49"/>
        <v/>
      </c>
      <c r="T1079" s="26" t="str">
        <f t="shared" si="50"/>
        <v/>
      </c>
    </row>
    <row r="1080" spans="1:20" x14ac:dyDescent="0.3">
      <c r="A1080" s="26" t="str">
        <f>IF(BASE_CAIXA!A1077="","",BASE_CAIXA!A1077)</f>
        <v/>
      </c>
      <c r="B1080" s="26" t="str">
        <f>IF(A1080="","",BASE_CAIXA!AL1077)</f>
        <v/>
      </c>
      <c r="C1080" s="26" t="str">
        <f>IF(A1080="","",BASE_CAIXA!AJ1077)</f>
        <v/>
      </c>
      <c r="D1080" s="26" t="str">
        <f>IF(A1080="","",IF(BASE_CAIXA!C1077="Entrada","Crédito","Débito"))</f>
        <v/>
      </c>
      <c r="E1080" s="26" t="str">
        <f>IF(A1080="","",BASE_CAIXA!AA1077)</f>
        <v/>
      </c>
      <c r="F1080" s="26" t="str">
        <f>IF(A1080="","",BASE_CAIXA!N1077)</f>
        <v/>
      </c>
      <c r="G1080" s="26" t="str">
        <f>IF(A1080="","",BASE_CAIXA!O1077)</f>
        <v/>
      </c>
      <c r="H1080" s="26" t="str">
        <f>IF(A1080="","",BASE_CAIXA!P1077)</f>
        <v/>
      </c>
      <c r="I1080" s="26" t="str">
        <f>IF(A1080="","",IF(BASE_CAIXA!H1077&lt;&gt;"",BASE_CAIXA!H1077,BASE_CAIXA!G1077))</f>
        <v/>
      </c>
      <c r="J1080" s="26" t="str">
        <f>IF(A1080="","",BASE_CAIXA!G1077)</f>
        <v/>
      </c>
      <c r="K1080" s="26" t="str">
        <f>IF(A1080="","",BASE_CAIXA!I1077)</f>
        <v/>
      </c>
      <c r="L1080" s="26" t="str">
        <f>IF(A1080="","",BASE_CAIXA!J1077)</f>
        <v/>
      </c>
      <c r="M1080" s="26" t="str">
        <f>IF(A1080="","",BASE_CAIXA!AM1077)</f>
        <v/>
      </c>
      <c r="N1080" s="26" t="str">
        <f t="shared" ca="1" si="48"/>
        <v/>
      </c>
      <c r="O1080" s="26" t="str">
        <f>IFERROR(INDEX(EXTRATO_IMPORTADO!$A$5:$A$404,MATCH(B1080,EXTRATO_IMPORTADO!$I$5:$I$404,0)),"")</f>
        <v/>
      </c>
      <c r="P1080" s="26" t="str">
        <f>IFERROR(INDEX(EXTRATO_IMPORTADO!$F$5:$F$404,MATCH(B1080,EXTRATO_IMPORTADO!$I$5:$I$404,0)),"")</f>
        <v/>
      </c>
      <c r="Q1080" s="26" t="str">
        <f>IFERROR(INDEX(EXTRATO_IMPORTADO!$B$5:$B$404,MATCH(B1080,EXTRATO_IMPORTADO!$I$5:$I$404,0)),"")</f>
        <v/>
      </c>
      <c r="R1080" s="26" t="str">
        <f>IFERROR(MATCH(B1080,EXTRATO_IMPORTADO!$I$5:$I$404,0),"")</f>
        <v/>
      </c>
      <c r="S1080" s="26" t="str">
        <f t="shared" si="49"/>
        <v/>
      </c>
      <c r="T1080" s="26" t="str">
        <f t="shared" si="50"/>
        <v/>
      </c>
    </row>
    <row r="1081" spans="1:20" x14ac:dyDescent="0.3">
      <c r="A1081" s="26" t="str">
        <f>IF(BASE_CAIXA!A1078="","",BASE_CAIXA!A1078)</f>
        <v/>
      </c>
      <c r="B1081" s="26" t="str">
        <f>IF(A1081="","",BASE_CAIXA!AL1078)</f>
        <v/>
      </c>
      <c r="C1081" s="26" t="str">
        <f>IF(A1081="","",BASE_CAIXA!AJ1078)</f>
        <v/>
      </c>
      <c r="D1081" s="26" t="str">
        <f>IF(A1081="","",IF(BASE_CAIXA!C1078="Entrada","Crédito","Débito"))</f>
        <v/>
      </c>
      <c r="E1081" s="26" t="str">
        <f>IF(A1081="","",BASE_CAIXA!AA1078)</f>
        <v/>
      </c>
      <c r="F1081" s="26" t="str">
        <f>IF(A1081="","",BASE_CAIXA!N1078)</f>
        <v/>
      </c>
      <c r="G1081" s="26" t="str">
        <f>IF(A1081="","",BASE_CAIXA!O1078)</f>
        <v/>
      </c>
      <c r="H1081" s="26" t="str">
        <f>IF(A1081="","",BASE_CAIXA!P1078)</f>
        <v/>
      </c>
      <c r="I1081" s="26" t="str">
        <f>IF(A1081="","",IF(BASE_CAIXA!H1078&lt;&gt;"",BASE_CAIXA!H1078,BASE_CAIXA!G1078))</f>
        <v/>
      </c>
      <c r="J1081" s="26" t="str">
        <f>IF(A1081="","",BASE_CAIXA!G1078)</f>
        <v/>
      </c>
      <c r="K1081" s="26" t="str">
        <f>IF(A1081="","",BASE_CAIXA!I1078)</f>
        <v/>
      </c>
      <c r="L1081" s="26" t="str">
        <f>IF(A1081="","",BASE_CAIXA!J1078)</f>
        <v/>
      </c>
      <c r="M1081" s="26" t="str">
        <f>IF(A1081="","",BASE_CAIXA!AM1078)</f>
        <v/>
      </c>
      <c r="N1081" s="26" t="str">
        <f t="shared" ca="1" si="48"/>
        <v/>
      </c>
      <c r="O1081" s="26" t="str">
        <f>IFERROR(INDEX(EXTRATO_IMPORTADO!$A$5:$A$404,MATCH(B1081,EXTRATO_IMPORTADO!$I$5:$I$404,0)),"")</f>
        <v/>
      </c>
      <c r="P1081" s="26" t="str">
        <f>IFERROR(INDEX(EXTRATO_IMPORTADO!$F$5:$F$404,MATCH(B1081,EXTRATO_IMPORTADO!$I$5:$I$404,0)),"")</f>
        <v/>
      </c>
      <c r="Q1081" s="26" t="str">
        <f>IFERROR(INDEX(EXTRATO_IMPORTADO!$B$5:$B$404,MATCH(B1081,EXTRATO_IMPORTADO!$I$5:$I$404,0)),"")</f>
        <v/>
      </c>
      <c r="R1081" s="26" t="str">
        <f>IFERROR(MATCH(B1081,EXTRATO_IMPORTADO!$I$5:$I$404,0),"")</f>
        <v/>
      </c>
      <c r="S1081" s="26" t="str">
        <f t="shared" si="49"/>
        <v/>
      </c>
      <c r="T1081" s="26" t="str">
        <f t="shared" si="50"/>
        <v/>
      </c>
    </row>
    <row r="1082" spans="1:20" x14ac:dyDescent="0.3">
      <c r="A1082" s="26" t="str">
        <f>IF(BASE_CAIXA!A1079="","",BASE_CAIXA!A1079)</f>
        <v/>
      </c>
      <c r="B1082" s="26" t="str">
        <f>IF(A1082="","",BASE_CAIXA!AL1079)</f>
        <v/>
      </c>
      <c r="C1082" s="26" t="str">
        <f>IF(A1082="","",BASE_CAIXA!AJ1079)</f>
        <v/>
      </c>
      <c r="D1082" s="26" t="str">
        <f>IF(A1082="","",IF(BASE_CAIXA!C1079="Entrada","Crédito","Débito"))</f>
        <v/>
      </c>
      <c r="E1082" s="26" t="str">
        <f>IF(A1082="","",BASE_CAIXA!AA1079)</f>
        <v/>
      </c>
      <c r="F1082" s="26" t="str">
        <f>IF(A1082="","",BASE_CAIXA!N1079)</f>
        <v/>
      </c>
      <c r="G1082" s="26" t="str">
        <f>IF(A1082="","",BASE_CAIXA!O1079)</f>
        <v/>
      </c>
      <c r="H1082" s="26" t="str">
        <f>IF(A1082="","",BASE_CAIXA!P1079)</f>
        <v/>
      </c>
      <c r="I1082" s="26" t="str">
        <f>IF(A1082="","",IF(BASE_CAIXA!H1079&lt;&gt;"",BASE_CAIXA!H1079,BASE_CAIXA!G1079))</f>
        <v/>
      </c>
      <c r="J1082" s="26" t="str">
        <f>IF(A1082="","",BASE_CAIXA!G1079)</f>
        <v/>
      </c>
      <c r="K1082" s="26" t="str">
        <f>IF(A1082="","",BASE_CAIXA!I1079)</f>
        <v/>
      </c>
      <c r="L1082" s="26" t="str">
        <f>IF(A1082="","",BASE_CAIXA!J1079)</f>
        <v/>
      </c>
      <c r="M1082" s="26" t="str">
        <f>IF(A1082="","",BASE_CAIXA!AM1079)</f>
        <v/>
      </c>
      <c r="N1082" s="26" t="str">
        <f t="shared" ca="1" si="48"/>
        <v/>
      </c>
      <c r="O1082" s="26" t="str">
        <f>IFERROR(INDEX(EXTRATO_IMPORTADO!$A$5:$A$404,MATCH(B1082,EXTRATO_IMPORTADO!$I$5:$I$404,0)),"")</f>
        <v/>
      </c>
      <c r="P1082" s="26" t="str">
        <f>IFERROR(INDEX(EXTRATO_IMPORTADO!$F$5:$F$404,MATCH(B1082,EXTRATO_IMPORTADO!$I$5:$I$404,0)),"")</f>
        <v/>
      </c>
      <c r="Q1082" s="26" t="str">
        <f>IFERROR(INDEX(EXTRATO_IMPORTADO!$B$5:$B$404,MATCH(B1082,EXTRATO_IMPORTADO!$I$5:$I$404,0)),"")</f>
        <v/>
      </c>
      <c r="R1082" s="26" t="str">
        <f>IFERROR(MATCH(B1082,EXTRATO_IMPORTADO!$I$5:$I$404,0),"")</f>
        <v/>
      </c>
      <c r="S1082" s="26" t="str">
        <f t="shared" si="49"/>
        <v/>
      </c>
      <c r="T1082" s="26" t="str">
        <f t="shared" si="50"/>
        <v/>
      </c>
    </row>
    <row r="1083" spans="1:20" x14ac:dyDescent="0.3">
      <c r="A1083" s="26" t="str">
        <f>IF(BASE_CAIXA!A1080="","",BASE_CAIXA!A1080)</f>
        <v/>
      </c>
      <c r="B1083" s="26" t="str">
        <f>IF(A1083="","",BASE_CAIXA!AL1080)</f>
        <v/>
      </c>
      <c r="C1083" s="26" t="str">
        <f>IF(A1083="","",BASE_CAIXA!AJ1080)</f>
        <v/>
      </c>
      <c r="D1083" s="26" t="str">
        <f>IF(A1083="","",IF(BASE_CAIXA!C1080="Entrada","Crédito","Débito"))</f>
        <v/>
      </c>
      <c r="E1083" s="26" t="str">
        <f>IF(A1083="","",BASE_CAIXA!AA1080)</f>
        <v/>
      </c>
      <c r="F1083" s="26" t="str">
        <f>IF(A1083="","",BASE_CAIXA!N1080)</f>
        <v/>
      </c>
      <c r="G1083" s="26" t="str">
        <f>IF(A1083="","",BASE_CAIXA!O1080)</f>
        <v/>
      </c>
      <c r="H1083" s="26" t="str">
        <f>IF(A1083="","",BASE_CAIXA!P1080)</f>
        <v/>
      </c>
      <c r="I1083" s="26" t="str">
        <f>IF(A1083="","",IF(BASE_CAIXA!H1080&lt;&gt;"",BASE_CAIXA!H1080,BASE_CAIXA!G1080))</f>
        <v/>
      </c>
      <c r="J1083" s="26" t="str">
        <f>IF(A1083="","",BASE_CAIXA!G1080)</f>
        <v/>
      </c>
      <c r="K1083" s="26" t="str">
        <f>IF(A1083="","",BASE_CAIXA!I1080)</f>
        <v/>
      </c>
      <c r="L1083" s="26" t="str">
        <f>IF(A1083="","",BASE_CAIXA!J1080)</f>
        <v/>
      </c>
      <c r="M1083" s="26" t="str">
        <f>IF(A1083="","",BASE_CAIXA!AM1080)</f>
        <v/>
      </c>
      <c r="N1083" s="26" t="str">
        <f t="shared" ca="1" si="48"/>
        <v/>
      </c>
      <c r="O1083" s="26" t="str">
        <f>IFERROR(INDEX(EXTRATO_IMPORTADO!$A$5:$A$404,MATCH(B1083,EXTRATO_IMPORTADO!$I$5:$I$404,0)),"")</f>
        <v/>
      </c>
      <c r="P1083" s="26" t="str">
        <f>IFERROR(INDEX(EXTRATO_IMPORTADO!$F$5:$F$404,MATCH(B1083,EXTRATO_IMPORTADO!$I$5:$I$404,0)),"")</f>
        <v/>
      </c>
      <c r="Q1083" s="26" t="str">
        <f>IFERROR(INDEX(EXTRATO_IMPORTADO!$B$5:$B$404,MATCH(B1083,EXTRATO_IMPORTADO!$I$5:$I$404,0)),"")</f>
        <v/>
      </c>
      <c r="R1083" s="26" t="str">
        <f>IFERROR(MATCH(B1083,EXTRATO_IMPORTADO!$I$5:$I$404,0),"")</f>
        <v/>
      </c>
      <c r="S1083" s="26" t="str">
        <f t="shared" si="49"/>
        <v/>
      </c>
      <c r="T1083" s="26" t="str">
        <f t="shared" si="50"/>
        <v/>
      </c>
    </row>
    <row r="1084" spans="1:20" x14ac:dyDescent="0.3">
      <c r="A1084" s="26" t="str">
        <f>IF(BASE_CAIXA!A1081="","",BASE_CAIXA!A1081)</f>
        <v/>
      </c>
      <c r="B1084" s="26" t="str">
        <f>IF(A1084="","",BASE_CAIXA!AL1081)</f>
        <v/>
      </c>
      <c r="C1084" s="26" t="str">
        <f>IF(A1084="","",BASE_CAIXA!AJ1081)</f>
        <v/>
      </c>
      <c r="D1084" s="26" t="str">
        <f>IF(A1084="","",IF(BASE_CAIXA!C1081="Entrada","Crédito","Débito"))</f>
        <v/>
      </c>
      <c r="E1084" s="26" t="str">
        <f>IF(A1084="","",BASE_CAIXA!AA1081)</f>
        <v/>
      </c>
      <c r="F1084" s="26" t="str">
        <f>IF(A1084="","",BASE_CAIXA!N1081)</f>
        <v/>
      </c>
      <c r="G1084" s="26" t="str">
        <f>IF(A1084="","",BASE_CAIXA!O1081)</f>
        <v/>
      </c>
      <c r="H1084" s="26" t="str">
        <f>IF(A1084="","",BASE_CAIXA!P1081)</f>
        <v/>
      </c>
      <c r="I1084" s="26" t="str">
        <f>IF(A1084="","",IF(BASE_CAIXA!H1081&lt;&gt;"",BASE_CAIXA!H1081,BASE_CAIXA!G1081))</f>
        <v/>
      </c>
      <c r="J1084" s="26" t="str">
        <f>IF(A1084="","",BASE_CAIXA!G1081)</f>
        <v/>
      </c>
      <c r="K1084" s="26" t="str">
        <f>IF(A1084="","",BASE_CAIXA!I1081)</f>
        <v/>
      </c>
      <c r="L1084" s="26" t="str">
        <f>IF(A1084="","",BASE_CAIXA!J1081)</f>
        <v/>
      </c>
      <c r="M1084" s="26" t="str">
        <f>IF(A1084="","",BASE_CAIXA!AM1081)</f>
        <v/>
      </c>
      <c r="N1084" s="26" t="str">
        <f t="shared" ca="1" si="48"/>
        <v/>
      </c>
      <c r="O1084" s="26" t="str">
        <f>IFERROR(INDEX(EXTRATO_IMPORTADO!$A$5:$A$404,MATCH(B1084,EXTRATO_IMPORTADO!$I$5:$I$404,0)),"")</f>
        <v/>
      </c>
      <c r="P1084" s="26" t="str">
        <f>IFERROR(INDEX(EXTRATO_IMPORTADO!$F$5:$F$404,MATCH(B1084,EXTRATO_IMPORTADO!$I$5:$I$404,0)),"")</f>
        <v/>
      </c>
      <c r="Q1084" s="26" t="str">
        <f>IFERROR(INDEX(EXTRATO_IMPORTADO!$B$5:$B$404,MATCH(B1084,EXTRATO_IMPORTADO!$I$5:$I$404,0)),"")</f>
        <v/>
      </c>
      <c r="R1084" s="26" t="str">
        <f>IFERROR(MATCH(B1084,EXTRATO_IMPORTADO!$I$5:$I$404,0),"")</f>
        <v/>
      </c>
      <c r="S1084" s="26" t="str">
        <f t="shared" si="49"/>
        <v/>
      </c>
      <c r="T1084" s="26" t="str">
        <f t="shared" si="50"/>
        <v/>
      </c>
    </row>
    <row r="1085" spans="1:20" x14ac:dyDescent="0.3">
      <c r="A1085" s="26" t="str">
        <f>IF(BASE_CAIXA!A1082="","",BASE_CAIXA!A1082)</f>
        <v/>
      </c>
      <c r="B1085" s="26" t="str">
        <f>IF(A1085="","",BASE_CAIXA!AL1082)</f>
        <v/>
      </c>
      <c r="C1085" s="26" t="str">
        <f>IF(A1085="","",BASE_CAIXA!AJ1082)</f>
        <v/>
      </c>
      <c r="D1085" s="26" t="str">
        <f>IF(A1085="","",IF(BASE_CAIXA!C1082="Entrada","Crédito","Débito"))</f>
        <v/>
      </c>
      <c r="E1085" s="26" t="str">
        <f>IF(A1085="","",BASE_CAIXA!AA1082)</f>
        <v/>
      </c>
      <c r="F1085" s="26" t="str">
        <f>IF(A1085="","",BASE_CAIXA!N1082)</f>
        <v/>
      </c>
      <c r="G1085" s="26" t="str">
        <f>IF(A1085="","",BASE_CAIXA!O1082)</f>
        <v/>
      </c>
      <c r="H1085" s="26" t="str">
        <f>IF(A1085="","",BASE_CAIXA!P1082)</f>
        <v/>
      </c>
      <c r="I1085" s="26" t="str">
        <f>IF(A1085="","",IF(BASE_CAIXA!H1082&lt;&gt;"",BASE_CAIXA!H1082,BASE_CAIXA!G1082))</f>
        <v/>
      </c>
      <c r="J1085" s="26" t="str">
        <f>IF(A1085="","",BASE_CAIXA!G1082)</f>
        <v/>
      </c>
      <c r="K1085" s="26" t="str">
        <f>IF(A1085="","",BASE_CAIXA!I1082)</f>
        <v/>
      </c>
      <c r="L1085" s="26" t="str">
        <f>IF(A1085="","",BASE_CAIXA!J1082)</f>
        <v/>
      </c>
      <c r="M1085" s="26" t="str">
        <f>IF(A1085="","",BASE_CAIXA!AM1082)</f>
        <v/>
      </c>
      <c r="N1085" s="26" t="str">
        <f t="shared" ca="1" si="48"/>
        <v/>
      </c>
      <c r="O1085" s="26" t="str">
        <f>IFERROR(INDEX(EXTRATO_IMPORTADO!$A$5:$A$404,MATCH(B1085,EXTRATO_IMPORTADO!$I$5:$I$404,0)),"")</f>
        <v/>
      </c>
      <c r="P1085" s="26" t="str">
        <f>IFERROR(INDEX(EXTRATO_IMPORTADO!$F$5:$F$404,MATCH(B1085,EXTRATO_IMPORTADO!$I$5:$I$404,0)),"")</f>
        <v/>
      </c>
      <c r="Q1085" s="26" t="str">
        <f>IFERROR(INDEX(EXTRATO_IMPORTADO!$B$5:$B$404,MATCH(B1085,EXTRATO_IMPORTADO!$I$5:$I$404,0)),"")</f>
        <v/>
      </c>
      <c r="R1085" s="26" t="str">
        <f>IFERROR(MATCH(B1085,EXTRATO_IMPORTADO!$I$5:$I$404,0),"")</f>
        <v/>
      </c>
      <c r="S1085" s="26" t="str">
        <f t="shared" si="49"/>
        <v/>
      </c>
      <c r="T1085" s="26" t="str">
        <f t="shared" si="50"/>
        <v/>
      </c>
    </row>
    <row r="1086" spans="1:20" x14ac:dyDescent="0.3">
      <c r="A1086" s="26" t="str">
        <f>IF(BASE_CAIXA!A1083="","",BASE_CAIXA!A1083)</f>
        <v/>
      </c>
      <c r="B1086" s="26" t="str">
        <f>IF(A1086="","",BASE_CAIXA!AL1083)</f>
        <v/>
      </c>
      <c r="C1086" s="26" t="str">
        <f>IF(A1086="","",BASE_CAIXA!AJ1083)</f>
        <v/>
      </c>
      <c r="D1086" s="26" t="str">
        <f>IF(A1086="","",IF(BASE_CAIXA!C1083="Entrada","Crédito","Débito"))</f>
        <v/>
      </c>
      <c r="E1086" s="26" t="str">
        <f>IF(A1086="","",BASE_CAIXA!AA1083)</f>
        <v/>
      </c>
      <c r="F1086" s="26" t="str">
        <f>IF(A1086="","",BASE_CAIXA!N1083)</f>
        <v/>
      </c>
      <c r="G1086" s="26" t="str">
        <f>IF(A1086="","",BASE_CAIXA!O1083)</f>
        <v/>
      </c>
      <c r="H1086" s="26" t="str">
        <f>IF(A1086="","",BASE_CAIXA!P1083)</f>
        <v/>
      </c>
      <c r="I1086" s="26" t="str">
        <f>IF(A1086="","",IF(BASE_CAIXA!H1083&lt;&gt;"",BASE_CAIXA!H1083,BASE_CAIXA!G1083))</f>
        <v/>
      </c>
      <c r="J1086" s="26" t="str">
        <f>IF(A1086="","",BASE_CAIXA!G1083)</f>
        <v/>
      </c>
      <c r="K1086" s="26" t="str">
        <f>IF(A1086="","",BASE_CAIXA!I1083)</f>
        <v/>
      </c>
      <c r="L1086" s="26" t="str">
        <f>IF(A1086="","",BASE_CAIXA!J1083)</f>
        <v/>
      </c>
      <c r="M1086" s="26" t="str">
        <f>IF(A1086="","",BASE_CAIXA!AM1083)</f>
        <v/>
      </c>
      <c r="N1086" s="26" t="str">
        <f t="shared" ca="1" si="48"/>
        <v/>
      </c>
      <c r="O1086" s="26" t="str">
        <f>IFERROR(INDEX(EXTRATO_IMPORTADO!$A$5:$A$404,MATCH(B1086,EXTRATO_IMPORTADO!$I$5:$I$404,0)),"")</f>
        <v/>
      </c>
      <c r="P1086" s="26" t="str">
        <f>IFERROR(INDEX(EXTRATO_IMPORTADO!$F$5:$F$404,MATCH(B1086,EXTRATO_IMPORTADO!$I$5:$I$404,0)),"")</f>
        <v/>
      </c>
      <c r="Q1086" s="26" t="str">
        <f>IFERROR(INDEX(EXTRATO_IMPORTADO!$B$5:$B$404,MATCH(B1086,EXTRATO_IMPORTADO!$I$5:$I$404,0)),"")</f>
        <v/>
      </c>
      <c r="R1086" s="26" t="str">
        <f>IFERROR(MATCH(B1086,EXTRATO_IMPORTADO!$I$5:$I$404,0),"")</f>
        <v/>
      </c>
      <c r="S1086" s="26" t="str">
        <f t="shared" si="49"/>
        <v/>
      </c>
      <c r="T1086" s="26" t="str">
        <f t="shared" si="50"/>
        <v/>
      </c>
    </row>
    <row r="1087" spans="1:20" x14ac:dyDescent="0.3">
      <c r="A1087" s="26" t="str">
        <f>IF(BASE_CAIXA!A1084="","",BASE_CAIXA!A1084)</f>
        <v/>
      </c>
      <c r="B1087" s="26" t="str">
        <f>IF(A1087="","",BASE_CAIXA!AL1084)</f>
        <v/>
      </c>
      <c r="C1087" s="26" t="str">
        <f>IF(A1087="","",BASE_CAIXA!AJ1084)</f>
        <v/>
      </c>
      <c r="D1087" s="26" t="str">
        <f>IF(A1087="","",IF(BASE_CAIXA!C1084="Entrada","Crédito","Débito"))</f>
        <v/>
      </c>
      <c r="E1087" s="26" t="str">
        <f>IF(A1087="","",BASE_CAIXA!AA1084)</f>
        <v/>
      </c>
      <c r="F1087" s="26" t="str">
        <f>IF(A1087="","",BASE_CAIXA!N1084)</f>
        <v/>
      </c>
      <c r="G1087" s="26" t="str">
        <f>IF(A1087="","",BASE_CAIXA!O1084)</f>
        <v/>
      </c>
      <c r="H1087" s="26" t="str">
        <f>IF(A1087="","",BASE_CAIXA!P1084)</f>
        <v/>
      </c>
      <c r="I1087" s="26" t="str">
        <f>IF(A1087="","",IF(BASE_CAIXA!H1084&lt;&gt;"",BASE_CAIXA!H1084,BASE_CAIXA!G1084))</f>
        <v/>
      </c>
      <c r="J1087" s="26" t="str">
        <f>IF(A1087="","",BASE_CAIXA!G1084)</f>
        <v/>
      </c>
      <c r="K1087" s="26" t="str">
        <f>IF(A1087="","",BASE_CAIXA!I1084)</f>
        <v/>
      </c>
      <c r="L1087" s="26" t="str">
        <f>IF(A1087="","",BASE_CAIXA!J1084)</f>
        <v/>
      </c>
      <c r="M1087" s="26" t="str">
        <f>IF(A1087="","",BASE_CAIXA!AM1084)</f>
        <v/>
      </c>
      <c r="N1087" s="26" t="str">
        <f t="shared" ca="1" si="48"/>
        <v/>
      </c>
      <c r="O1087" s="26" t="str">
        <f>IFERROR(INDEX(EXTRATO_IMPORTADO!$A$5:$A$404,MATCH(B1087,EXTRATO_IMPORTADO!$I$5:$I$404,0)),"")</f>
        <v/>
      </c>
      <c r="P1087" s="26" t="str">
        <f>IFERROR(INDEX(EXTRATO_IMPORTADO!$F$5:$F$404,MATCH(B1087,EXTRATO_IMPORTADO!$I$5:$I$404,0)),"")</f>
        <v/>
      </c>
      <c r="Q1087" s="26" t="str">
        <f>IFERROR(INDEX(EXTRATO_IMPORTADO!$B$5:$B$404,MATCH(B1087,EXTRATO_IMPORTADO!$I$5:$I$404,0)),"")</f>
        <v/>
      </c>
      <c r="R1087" s="26" t="str">
        <f>IFERROR(MATCH(B1087,EXTRATO_IMPORTADO!$I$5:$I$404,0),"")</f>
        <v/>
      </c>
      <c r="S1087" s="26" t="str">
        <f t="shared" si="49"/>
        <v/>
      </c>
      <c r="T1087" s="26" t="str">
        <f t="shared" si="50"/>
        <v/>
      </c>
    </row>
    <row r="1088" spans="1:20" x14ac:dyDescent="0.3">
      <c r="A1088" s="26" t="str">
        <f>IF(BASE_CAIXA!A1085="","",BASE_CAIXA!A1085)</f>
        <v/>
      </c>
      <c r="B1088" s="26" t="str">
        <f>IF(A1088="","",BASE_CAIXA!AL1085)</f>
        <v/>
      </c>
      <c r="C1088" s="26" t="str">
        <f>IF(A1088="","",BASE_CAIXA!AJ1085)</f>
        <v/>
      </c>
      <c r="D1088" s="26" t="str">
        <f>IF(A1088="","",IF(BASE_CAIXA!C1085="Entrada","Crédito","Débito"))</f>
        <v/>
      </c>
      <c r="E1088" s="26" t="str">
        <f>IF(A1088="","",BASE_CAIXA!AA1085)</f>
        <v/>
      </c>
      <c r="F1088" s="26" t="str">
        <f>IF(A1088="","",BASE_CAIXA!N1085)</f>
        <v/>
      </c>
      <c r="G1088" s="26" t="str">
        <f>IF(A1088="","",BASE_CAIXA!O1085)</f>
        <v/>
      </c>
      <c r="H1088" s="26" t="str">
        <f>IF(A1088="","",BASE_CAIXA!P1085)</f>
        <v/>
      </c>
      <c r="I1088" s="26" t="str">
        <f>IF(A1088="","",IF(BASE_CAIXA!H1085&lt;&gt;"",BASE_CAIXA!H1085,BASE_CAIXA!G1085))</f>
        <v/>
      </c>
      <c r="J1088" s="26" t="str">
        <f>IF(A1088="","",BASE_CAIXA!G1085)</f>
        <v/>
      </c>
      <c r="K1088" s="26" t="str">
        <f>IF(A1088="","",BASE_CAIXA!I1085)</f>
        <v/>
      </c>
      <c r="L1088" s="26" t="str">
        <f>IF(A1088="","",BASE_CAIXA!J1085)</f>
        <v/>
      </c>
      <c r="M1088" s="26" t="str">
        <f>IF(A1088="","",BASE_CAIXA!AM1085)</f>
        <v/>
      </c>
      <c r="N1088" s="26" t="str">
        <f t="shared" ca="1" si="48"/>
        <v/>
      </c>
      <c r="O1088" s="26" t="str">
        <f>IFERROR(INDEX(EXTRATO_IMPORTADO!$A$5:$A$404,MATCH(B1088,EXTRATO_IMPORTADO!$I$5:$I$404,0)),"")</f>
        <v/>
      </c>
      <c r="P1088" s="26" t="str">
        <f>IFERROR(INDEX(EXTRATO_IMPORTADO!$F$5:$F$404,MATCH(B1088,EXTRATO_IMPORTADO!$I$5:$I$404,0)),"")</f>
        <v/>
      </c>
      <c r="Q1088" s="26" t="str">
        <f>IFERROR(INDEX(EXTRATO_IMPORTADO!$B$5:$B$404,MATCH(B1088,EXTRATO_IMPORTADO!$I$5:$I$404,0)),"")</f>
        <v/>
      </c>
      <c r="R1088" s="26" t="str">
        <f>IFERROR(MATCH(B1088,EXTRATO_IMPORTADO!$I$5:$I$404,0),"")</f>
        <v/>
      </c>
      <c r="S1088" s="26" t="str">
        <f t="shared" si="49"/>
        <v/>
      </c>
      <c r="T1088" s="26" t="str">
        <f t="shared" si="50"/>
        <v/>
      </c>
    </row>
    <row r="1089" spans="1:20" x14ac:dyDescent="0.3">
      <c r="A1089" s="26" t="str">
        <f>IF(BASE_CAIXA!A1086="","",BASE_CAIXA!A1086)</f>
        <v/>
      </c>
      <c r="B1089" s="26" t="str">
        <f>IF(A1089="","",BASE_CAIXA!AL1086)</f>
        <v/>
      </c>
      <c r="C1089" s="26" t="str">
        <f>IF(A1089="","",BASE_CAIXA!AJ1086)</f>
        <v/>
      </c>
      <c r="D1089" s="26" t="str">
        <f>IF(A1089="","",IF(BASE_CAIXA!C1086="Entrada","Crédito","Débito"))</f>
        <v/>
      </c>
      <c r="E1089" s="26" t="str">
        <f>IF(A1089="","",BASE_CAIXA!AA1086)</f>
        <v/>
      </c>
      <c r="F1089" s="26" t="str">
        <f>IF(A1089="","",BASE_CAIXA!N1086)</f>
        <v/>
      </c>
      <c r="G1089" s="26" t="str">
        <f>IF(A1089="","",BASE_CAIXA!O1086)</f>
        <v/>
      </c>
      <c r="H1089" s="26" t="str">
        <f>IF(A1089="","",BASE_CAIXA!P1086)</f>
        <v/>
      </c>
      <c r="I1089" s="26" t="str">
        <f>IF(A1089="","",IF(BASE_CAIXA!H1086&lt;&gt;"",BASE_CAIXA!H1086,BASE_CAIXA!G1086))</f>
        <v/>
      </c>
      <c r="J1089" s="26" t="str">
        <f>IF(A1089="","",BASE_CAIXA!G1086)</f>
        <v/>
      </c>
      <c r="K1089" s="26" t="str">
        <f>IF(A1089="","",BASE_CAIXA!I1086)</f>
        <v/>
      </c>
      <c r="L1089" s="26" t="str">
        <f>IF(A1089="","",BASE_CAIXA!J1086)</f>
        <v/>
      </c>
      <c r="M1089" s="26" t="str">
        <f>IF(A1089="","",BASE_CAIXA!AM1086)</f>
        <v/>
      </c>
      <c r="N1089" s="26" t="str">
        <f t="shared" ca="1" si="48"/>
        <v/>
      </c>
      <c r="O1089" s="26" t="str">
        <f>IFERROR(INDEX(EXTRATO_IMPORTADO!$A$5:$A$404,MATCH(B1089,EXTRATO_IMPORTADO!$I$5:$I$404,0)),"")</f>
        <v/>
      </c>
      <c r="P1089" s="26" t="str">
        <f>IFERROR(INDEX(EXTRATO_IMPORTADO!$F$5:$F$404,MATCH(B1089,EXTRATO_IMPORTADO!$I$5:$I$404,0)),"")</f>
        <v/>
      </c>
      <c r="Q1089" s="26" t="str">
        <f>IFERROR(INDEX(EXTRATO_IMPORTADO!$B$5:$B$404,MATCH(B1089,EXTRATO_IMPORTADO!$I$5:$I$404,0)),"")</f>
        <v/>
      </c>
      <c r="R1089" s="26" t="str">
        <f>IFERROR(MATCH(B1089,EXTRATO_IMPORTADO!$I$5:$I$404,0),"")</f>
        <v/>
      </c>
      <c r="S1089" s="26" t="str">
        <f t="shared" si="49"/>
        <v/>
      </c>
      <c r="T1089" s="26" t="str">
        <f t="shared" si="50"/>
        <v/>
      </c>
    </row>
    <row r="1090" spans="1:20" x14ac:dyDescent="0.3">
      <c r="A1090" s="26" t="str">
        <f>IF(BASE_CAIXA!A1087="","",BASE_CAIXA!A1087)</f>
        <v/>
      </c>
      <c r="B1090" s="26" t="str">
        <f>IF(A1090="","",BASE_CAIXA!AL1087)</f>
        <v/>
      </c>
      <c r="C1090" s="26" t="str">
        <f>IF(A1090="","",BASE_CAIXA!AJ1087)</f>
        <v/>
      </c>
      <c r="D1090" s="26" t="str">
        <f>IF(A1090="","",IF(BASE_CAIXA!C1087="Entrada","Crédito","Débito"))</f>
        <v/>
      </c>
      <c r="E1090" s="26" t="str">
        <f>IF(A1090="","",BASE_CAIXA!AA1087)</f>
        <v/>
      </c>
      <c r="F1090" s="26" t="str">
        <f>IF(A1090="","",BASE_CAIXA!N1087)</f>
        <v/>
      </c>
      <c r="G1090" s="26" t="str">
        <f>IF(A1090="","",BASE_CAIXA!O1087)</f>
        <v/>
      </c>
      <c r="H1090" s="26" t="str">
        <f>IF(A1090="","",BASE_CAIXA!P1087)</f>
        <v/>
      </c>
      <c r="I1090" s="26" t="str">
        <f>IF(A1090="","",IF(BASE_CAIXA!H1087&lt;&gt;"",BASE_CAIXA!H1087,BASE_CAIXA!G1087))</f>
        <v/>
      </c>
      <c r="J1090" s="26" t="str">
        <f>IF(A1090="","",BASE_CAIXA!G1087)</f>
        <v/>
      </c>
      <c r="K1090" s="26" t="str">
        <f>IF(A1090="","",BASE_CAIXA!I1087)</f>
        <v/>
      </c>
      <c r="L1090" s="26" t="str">
        <f>IF(A1090="","",BASE_CAIXA!J1087)</f>
        <v/>
      </c>
      <c r="M1090" s="26" t="str">
        <f>IF(A1090="","",BASE_CAIXA!AM1087)</f>
        <v/>
      </c>
      <c r="N1090" s="26" t="str">
        <f t="shared" ca="1" si="48"/>
        <v/>
      </c>
      <c r="O1090" s="26" t="str">
        <f>IFERROR(INDEX(EXTRATO_IMPORTADO!$A$5:$A$404,MATCH(B1090,EXTRATO_IMPORTADO!$I$5:$I$404,0)),"")</f>
        <v/>
      </c>
      <c r="P1090" s="26" t="str">
        <f>IFERROR(INDEX(EXTRATO_IMPORTADO!$F$5:$F$404,MATCH(B1090,EXTRATO_IMPORTADO!$I$5:$I$404,0)),"")</f>
        <v/>
      </c>
      <c r="Q1090" s="26" t="str">
        <f>IFERROR(INDEX(EXTRATO_IMPORTADO!$B$5:$B$404,MATCH(B1090,EXTRATO_IMPORTADO!$I$5:$I$404,0)),"")</f>
        <v/>
      </c>
      <c r="R1090" s="26" t="str">
        <f>IFERROR(MATCH(B1090,EXTRATO_IMPORTADO!$I$5:$I$404,0),"")</f>
        <v/>
      </c>
      <c r="S1090" s="26" t="str">
        <f t="shared" si="49"/>
        <v/>
      </c>
      <c r="T1090" s="26" t="str">
        <f t="shared" si="50"/>
        <v/>
      </c>
    </row>
    <row r="1091" spans="1:20" x14ac:dyDescent="0.3">
      <c r="A1091" s="26" t="str">
        <f>IF(BASE_CAIXA!A1088="","",BASE_CAIXA!A1088)</f>
        <v/>
      </c>
      <c r="B1091" s="26" t="str">
        <f>IF(A1091="","",BASE_CAIXA!AL1088)</f>
        <v/>
      </c>
      <c r="C1091" s="26" t="str">
        <f>IF(A1091="","",BASE_CAIXA!AJ1088)</f>
        <v/>
      </c>
      <c r="D1091" s="26" t="str">
        <f>IF(A1091="","",IF(BASE_CAIXA!C1088="Entrada","Crédito","Débito"))</f>
        <v/>
      </c>
      <c r="E1091" s="26" t="str">
        <f>IF(A1091="","",BASE_CAIXA!AA1088)</f>
        <v/>
      </c>
      <c r="F1091" s="26" t="str">
        <f>IF(A1091="","",BASE_CAIXA!N1088)</f>
        <v/>
      </c>
      <c r="G1091" s="26" t="str">
        <f>IF(A1091="","",BASE_CAIXA!O1088)</f>
        <v/>
      </c>
      <c r="H1091" s="26" t="str">
        <f>IF(A1091="","",BASE_CAIXA!P1088)</f>
        <v/>
      </c>
      <c r="I1091" s="26" t="str">
        <f>IF(A1091="","",IF(BASE_CAIXA!H1088&lt;&gt;"",BASE_CAIXA!H1088,BASE_CAIXA!G1088))</f>
        <v/>
      </c>
      <c r="J1091" s="26" t="str">
        <f>IF(A1091="","",BASE_CAIXA!G1088)</f>
        <v/>
      </c>
      <c r="K1091" s="26" t="str">
        <f>IF(A1091="","",BASE_CAIXA!I1088)</f>
        <v/>
      </c>
      <c r="L1091" s="26" t="str">
        <f>IF(A1091="","",BASE_CAIXA!J1088)</f>
        <v/>
      </c>
      <c r="M1091" s="26" t="str">
        <f>IF(A1091="","",BASE_CAIXA!AM1088)</f>
        <v/>
      </c>
      <c r="N1091" s="26" t="str">
        <f t="shared" ca="1" si="48"/>
        <v/>
      </c>
      <c r="O1091" s="26" t="str">
        <f>IFERROR(INDEX(EXTRATO_IMPORTADO!$A$5:$A$404,MATCH(B1091,EXTRATO_IMPORTADO!$I$5:$I$404,0)),"")</f>
        <v/>
      </c>
      <c r="P1091" s="26" t="str">
        <f>IFERROR(INDEX(EXTRATO_IMPORTADO!$F$5:$F$404,MATCH(B1091,EXTRATO_IMPORTADO!$I$5:$I$404,0)),"")</f>
        <v/>
      </c>
      <c r="Q1091" s="26" t="str">
        <f>IFERROR(INDEX(EXTRATO_IMPORTADO!$B$5:$B$404,MATCH(B1091,EXTRATO_IMPORTADO!$I$5:$I$404,0)),"")</f>
        <v/>
      </c>
      <c r="R1091" s="26" t="str">
        <f>IFERROR(MATCH(B1091,EXTRATO_IMPORTADO!$I$5:$I$404,0),"")</f>
        <v/>
      </c>
      <c r="S1091" s="26" t="str">
        <f t="shared" si="49"/>
        <v/>
      </c>
      <c r="T1091" s="26" t="str">
        <f t="shared" si="50"/>
        <v/>
      </c>
    </row>
    <row r="1092" spans="1:20" x14ac:dyDescent="0.3">
      <c r="A1092" s="26" t="str">
        <f>IF(BASE_CAIXA!A1089="","",BASE_CAIXA!A1089)</f>
        <v/>
      </c>
      <c r="B1092" s="26" t="str">
        <f>IF(A1092="","",BASE_CAIXA!AL1089)</f>
        <v/>
      </c>
      <c r="C1092" s="26" t="str">
        <f>IF(A1092="","",BASE_CAIXA!AJ1089)</f>
        <v/>
      </c>
      <c r="D1092" s="26" t="str">
        <f>IF(A1092="","",IF(BASE_CAIXA!C1089="Entrada","Crédito","Débito"))</f>
        <v/>
      </c>
      <c r="E1092" s="26" t="str">
        <f>IF(A1092="","",BASE_CAIXA!AA1089)</f>
        <v/>
      </c>
      <c r="F1092" s="26" t="str">
        <f>IF(A1092="","",BASE_CAIXA!N1089)</f>
        <v/>
      </c>
      <c r="G1092" s="26" t="str">
        <f>IF(A1092="","",BASE_CAIXA!O1089)</f>
        <v/>
      </c>
      <c r="H1092" s="26" t="str">
        <f>IF(A1092="","",BASE_CAIXA!P1089)</f>
        <v/>
      </c>
      <c r="I1092" s="26" t="str">
        <f>IF(A1092="","",IF(BASE_CAIXA!H1089&lt;&gt;"",BASE_CAIXA!H1089,BASE_CAIXA!G1089))</f>
        <v/>
      </c>
      <c r="J1092" s="26" t="str">
        <f>IF(A1092="","",BASE_CAIXA!G1089)</f>
        <v/>
      </c>
      <c r="K1092" s="26" t="str">
        <f>IF(A1092="","",BASE_CAIXA!I1089)</f>
        <v/>
      </c>
      <c r="L1092" s="26" t="str">
        <f>IF(A1092="","",BASE_CAIXA!J1089)</f>
        <v/>
      </c>
      <c r="M1092" s="26" t="str">
        <f>IF(A1092="","",BASE_CAIXA!AM1089)</f>
        <v/>
      </c>
      <c r="N1092" s="26" t="str">
        <f t="shared" ca="1" si="48"/>
        <v/>
      </c>
      <c r="O1092" s="26" t="str">
        <f>IFERROR(INDEX(EXTRATO_IMPORTADO!$A$5:$A$404,MATCH(B1092,EXTRATO_IMPORTADO!$I$5:$I$404,0)),"")</f>
        <v/>
      </c>
      <c r="P1092" s="26" t="str">
        <f>IFERROR(INDEX(EXTRATO_IMPORTADO!$F$5:$F$404,MATCH(B1092,EXTRATO_IMPORTADO!$I$5:$I$404,0)),"")</f>
        <v/>
      </c>
      <c r="Q1092" s="26" t="str">
        <f>IFERROR(INDEX(EXTRATO_IMPORTADO!$B$5:$B$404,MATCH(B1092,EXTRATO_IMPORTADO!$I$5:$I$404,0)),"")</f>
        <v/>
      </c>
      <c r="R1092" s="26" t="str">
        <f>IFERROR(MATCH(B1092,EXTRATO_IMPORTADO!$I$5:$I$404,0),"")</f>
        <v/>
      </c>
      <c r="S1092" s="26" t="str">
        <f t="shared" si="49"/>
        <v/>
      </c>
      <c r="T1092" s="26" t="str">
        <f t="shared" si="50"/>
        <v/>
      </c>
    </row>
    <row r="1093" spans="1:20" x14ac:dyDescent="0.3">
      <c r="A1093" s="26" t="str">
        <f>IF(BASE_CAIXA!A1090="","",BASE_CAIXA!A1090)</f>
        <v/>
      </c>
      <c r="B1093" s="26" t="str">
        <f>IF(A1093="","",BASE_CAIXA!AL1090)</f>
        <v/>
      </c>
      <c r="C1093" s="26" t="str">
        <f>IF(A1093="","",BASE_CAIXA!AJ1090)</f>
        <v/>
      </c>
      <c r="D1093" s="26" t="str">
        <f>IF(A1093="","",IF(BASE_CAIXA!C1090="Entrada","Crédito","Débito"))</f>
        <v/>
      </c>
      <c r="E1093" s="26" t="str">
        <f>IF(A1093="","",BASE_CAIXA!AA1090)</f>
        <v/>
      </c>
      <c r="F1093" s="26" t="str">
        <f>IF(A1093="","",BASE_CAIXA!N1090)</f>
        <v/>
      </c>
      <c r="G1093" s="26" t="str">
        <f>IF(A1093="","",BASE_CAIXA!O1090)</f>
        <v/>
      </c>
      <c r="H1093" s="26" t="str">
        <f>IF(A1093="","",BASE_CAIXA!P1090)</f>
        <v/>
      </c>
      <c r="I1093" s="26" t="str">
        <f>IF(A1093="","",IF(BASE_CAIXA!H1090&lt;&gt;"",BASE_CAIXA!H1090,BASE_CAIXA!G1090))</f>
        <v/>
      </c>
      <c r="J1093" s="26" t="str">
        <f>IF(A1093="","",BASE_CAIXA!G1090)</f>
        <v/>
      </c>
      <c r="K1093" s="26" t="str">
        <f>IF(A1093="","",BASE_CAIXA!I1090)</f>
        <v/>
      </c>
      <c r="L1093" s="26" t="str">
        <f>IF(A1093="","",BASE_CAIXA!J1090)</f>
        <v/>
      </c>
      <c r="M1093" s="26" t="str">
        <f>IF(A1093="","",BASE_CAIXA!AM1090)</f>
        <v/>
      </c>
      <c r="N1093" s="26" t="str">
        <f t="shared" ref="N1093:N1156" ca="1" si="51">IF(A1093="","",IF(R1093&lt;&gt;"",IF(AND(ABS(S1093)&lt;=0.01,ABS(T1093)&lt;=3),"Conciliado","Divergente"),IF(TODAY()&gt;C1093,"Pendente vencido","Previsto")))</f>
        <v/>
      </c>
      <c r="O1093" s="26" t="str">
        <f>IFERROR(INDEX(EXTRATO_IMPORTADO!$A$5:$A$404,MATCH(B1093,EXTRATO_IMPORTADO!$I$5:$I$404,0)),"")</f>
        <v/>
      </c>
      <c r="P1093" s="26" t="str">
        <f>IFERROR(INDEX(EXTRATO_IMPORTADO!$F$5:$F$404,MATCH(B1093,EXTRATO_IMPORTADO!$I$5:$I$404,0)),"")</f>
        <v/>
      </c>
      <c r="Q1093" s="26" t="str">
        <f>IFERROR(INDEX(EXTRATO_IMPORTADO!$B$5:$B$404,MATCH(B1093,EXTRATO_IMPORTADO!$I$5:$I$404,0)),"")</f>
        <v/>
      </c>
      <c r="R1093" s="26" t="str">
        <f>IFERROR(MATCH(B1093,EXTRATO_IMPORTADO!$I$5:$I$404,0),"")</f>
        <v/>
      </c>
      <c r="S1093" s="26" t="str">
        <f t="shared" ref="S1093:S1156" si="52">IF(OR(A1093="",P1093=""),"",P1093-E1093)</f>
        <v/>
      </c>
      <c r="T1093" s="26" t="str">
        <f t="shared" ref="T1093:T1156" si="53">IF(OR(A1093="",O1093=""),"",O1093-C1093)</f>
        <v/>
      </c>
    </row>
    <row r="1094" spans="1:20" x14ac:dyDescent="0.3">
      <c r="A1094" s="26" t="str">
        <f>IF(BASE_CAIXA!A1091="","",BASE_CAIXA!A1091)</f>
        <v/>
      </c>
      <c r="B1094" s="26" t="str">
        <f>IF(A1094="","",BASE_CAIXA!AL1091)</f>
        <v/>
      </c>
      <c r="C1094" s="26" t="str">
        <f>IF(A1094="","",BASE_CAIXA!AJ1091)</f>
        <v/>
      </c>
      <c r="D1094" s="26" t="str">
        <f>IF(A1094="","",IF(BASE_CAIXA!C1091="Entrada","Crédito","Débito"))</f>
        <v/>
      </c>
      <c r="E1094" s="26" t="str">
        <f>IF(A1094="","",BASE_CAIXA!AA1091)</f>
        <v/>
      </c>
      <c r="F1094" s="26" t="str">
        <f>IF(A1094="","",BASE_CAIXA!N1091)</f>
        <v/>
      </c>
      <c r="G1094" s="26" t="str">
        <f>IF(A1094="","",BASE_CAIXA!O1091)</f>
        <v/>
      </c>
      <c r="H1094" s="26" t="str">
        <f>IF(A1094="","",BASE_CAIXA!P1091)</f>
        <v/>
      </c>
      <c r="I1094" s="26" t="str">
        <f>IF(A1094="","",IF(BASE_CAIXA!H1091&lt;&gt;"",BASE_CAIXA!H1091,BASE_CAIXA!G1091))</f>
        <v/>
      </c>
      <c r="J1094" s="26" t="str">
        <f>IF(A1094="","",BASE_CAIXA!G1091)</f>
        <v/>
      </c>
      <c r="K1094" s="26" t="str">
        <f>IF(A1094="","",BASE_CAIXA!I1091)</f>
        <v/>
      </c>
      <c r="L1094" s="26" t="str">
        <f>IF(A1094="","",BASE_CAIXA!J1091)</f>
        <v/>
      </c>
      <c r="M1094" s="26" t="str">
        <f>IF(A1094="","",BASE_CAIXA!AM1091)</f>
        <v/>
      </c>
      <c r="N1094" s="26" t="str">
        <f t="shared" ca="1" si="51"/>
        <v/>
      </c>
      <c r="O1094" s="26" t="str">
        <f>IFERROR(INDEX(EXTRATO_IMPORTADO!$A$5:$A$404,MATCH(B1094,EXTRATO_IMPORTADO!$I$5:$I$404,0)),"")</f>
        <v/>
      </c>
      <c r="P1094" s="26" t="str">
        <f>IFERROR(INDEX(EXTRATO_IMPORTADO!$F$5:$F$404,MATCH(B1094,EXTRATO_IMPORTADO!$I$5:$I$404,0)),"")</f>
        <v/>
      </c>
      <c r="Q1094" s="26" t="str">
        <f>IFERROR(INDEX(EXTRATO_IMPORTADO!$B$5:$B$404,MATCH(B1094,EXTRATO_IMPORTADO!$I$5:$I$404,0)),"")</f>
        <v/>
      </c>
      <c r="R1094" s="26" t="str">
        <f>IFERROR(MATCH(B1094,EXTRATO_IMPORTADO!$I$5:$I$404,0),"")</f>
        <v/>
      </c>
      <c r="S1094" s="26" t="str">
        <f t="shared" si="52"/>
        <v/>
      </c>
      <c r="T1094" s="26" t="str">
        <f t="shared" si="53"/>
        <v/>
      </c>
    </row>
    <row r="1095" spans="1:20" x14ac:dyDescent="0.3">
      <c r="A1095" s="26" t="str">
        <f>IF(BASE_CAIXA!A1092="","",BASE_CAIXA!A1092)</f>
        <v/>
      </c>
      <c r="B1095" s="26" t="str">
        <f>IF(A1095="","",BASE_CAIXA!AL1092)</f>
        <v/>
      </c>
      <c r="C1095" s="26" t="str">
        <f>IF(A1095="","",BASE_CAIXA!AJ1092)</f>
        <v/>
      </c>
      <c r="D1095" s="26" t="str">
        <f>IF(A1095="","",IF(BASE_CAIXA!C1092="Entrada","Crédito","Débito"))</f>
        <v/>
      </c>
      <c r="E1095" s="26" t="str">
        <f>IF(A1095="","",BASE_CAIXA!AA1092)</f>
        <v/>
      </c>
      <c r="F1095" s="26" t="str">
        <f>IF(A1095="","",BASE_CAIXA!N1092)</f>
        <v/>
      </c>
      <c r="G1095" s="26" t="str">
        <f>IF(A1095="","",BASE_CAIXA!O1092)</f>
        <v/>
      </c>
      <c r="H1095" s="26" t="str">
        <f>IF(A1095="","",BASE_CAIXA!P1092)</f>
        <v/>
      </c>
      <c r="I1095" s="26" t="str">
        <f>IF(A1095="","",IF(BASE_CAIXA!H1092&lt;&gt;"",BASE_CAIXA!H1092,BASE_CAIXA!G1092))</f>
        <v/>
      </c>
      <c r="J1095" s="26" t="str">
        <f>IF(A1095="","",BASE_CAIXA!G1092)</f>
        <v/>
      </c>
      <c r="K1095" s="26" t="str">
        <f>IF(A1095="","",BASE_CAIXA!I1092)</f>
        <v/>
      </c>
      <c r="L1095" s="26" t="str">
        <f>IF(A1095="","",BASE_CAIXA!J1092)</f>
        <v/>
      </c>
      <c r="M1095" s="26" t="str">
        <f>IF(A1095="","",BASE_CAIXA!AM1092)</f>
        <v/>
      </c>
      <c r="N1095" s="26" t="str">
        <f t="shared" ca="1" si="51"/>
        <v/>
      </c>
      <c r="O1095" s="26" t="str">
        <f>IFERROR(INDEX(EXTRATO_IMPORTADO!$A$5:$A$404,MATCH(B1095,EXTRATO_IMPORTADO!$I$5:$I$404,0)),"")</f>
        <v/>
      </c>
      <c r="P1095" s="26" t="str">
        <f>IFERROR(INDEX(EXTRATO_IMPORTADO!$F$5:$F$404,MATCH(B1095,EXTRATO_IMPORTADO!$I$5:$I$404,0)),"")</f>
        <v/>
      </c>
      <c r="Q1095" s="26" t="str">
        <f>IFERROR(INDEX(EXTRATO_IMPORTADO!$B$5:$B$404,MATCH(B1095,EXTRATO_IMPORTADO!$I$5:$I$404,0)),"")</f>
        <v/>
      </c>
      <c r="R1095" s="26" t="str">
        <f>IFERROR(MATCH(B1095,EXTRATO_IMPORTADO!$I$5:$I$404,0),"")</f>
        <v/>
      </c>
      <c r="S1095" s="26" t="str">
        <f t="shared" si="52"/>
        <v/>
      </c>
      <c r="T1095" s="26" t="str">
        <f t="shared" si="53"/>
        <v/>
      </c>
    </row>
    <row r="1096" spans="1:20" x14ac:dyDescent="0.3">
      <c r="A1096" s="26" t="str">
        <f>IF(BASE_CAIXA!A1093="","",BASE_CAIXA!A1093)</f>
        <v/>
      </c>
      <c r="B1096" s="26" t="str">
        <f>IF(A1096="","",BASE_CAIXA!AL1093)</f>
        <v/>
      </c>
      <c r="C1096" s="26" t="str">
        <f>IF(A1096="","",BASE_CAIXA!AJ1093)</f>
        <v/>
      </c>
      <c r="D1096" s="26" t="str">
        <f>IF(A1096="","",IF(BASE_CAIXA!C1093="Entrada","Crédito","Débito"))</f>
        <v/>
      </c>
      <c r="E1096" s="26" t="str">
        <f>IF(A1096="","",BASE_CAIXA!AA1093)</f>
        <v/>
      </c>
      <c r="F1096" s="26" t="str">
        <f>IF(A1096="","",BASE_CAIXA!N1093)</f>
        <v/>
      </c>
      <c r="G1096" s="26" t="str">
        <f>IF(A1096="","",BASE_CAIXA!O1093)</f>
        <v/>
      </c>
      <c r="H1096" s="26" t="str">
        <f>IF(A1096="","",BASE_CAIXA!P1093)</f>
        <v/>
      </c>
      <c r="I1096" s="26" t="str">
        <f>IF(A1096="","",IF(BASE_CAIXA!H1093&lt;&gt;"",BASE_CAIXA!H1093,BASE_CAIXA!G1093))</f>
        <v/>
      </c>
      <c r="J1096" s="26" t="str">
        <f>IF(A1096="","",BASE_CAIXA!G1093)</f>
        <v/>
      </c>
      <c r="K1096" s="26" t="str">
        <f>IF(A1096="","",BASE_CAIXA!I1093)</f>
        <v/>
      </c>
      <c r="L1096" s="26" t="str">
        <f>IF(A1096="","",BASE_CAIXA!J1093)</f>
        <v/>
      </c>
      <c r="M1096" s="26" t="str">
        <f>IF(A1096="","",BASE_CAIXA!AM1093)</f>
        <v/>
      </c>
      <c r="N1096" s="26" t="str">
        <f t="shared" ca="1" si="51"/>
        <v/>
      </c>
      <c r="O1096" s="26" t="str">
        <f>IFERROR(INDEX(EXTRATO_IMPORTADO!$A$5:$A$404,MATCH(B1096,EXTRATO_IMPORTADO!$I$5:$I$404,0)),"")</f>
        <v/>
      </c>
      <c r="P1096" s="26" t="str">
        <f>IFERROR(INDEX(EXTRATO_IMPORTADO!$F$5:$F$404,MATCH(B1096,EXTRATO_IMPORTADO!$I$5:$I$404,0)),"")</f>
        <v/>
      </c>
      <c r="Q1096" s="26" t="str">
        <f>IFERROR(INDEX(EXTRATO_IMPORTADO!$B$5:$B$404,MATCH(B1096,EXTRATO_IMPORTADO!$I$5:$I$404,0)),"")</f>
        <v/>
      </c>
      <c r="R1096" s="26" t="str">
        <f>IFERROR(MATCH(B1096,EXTRATO_IMPORTADO!$I$5:$I$404,0),"")</f>
        <v/>
      </c>
      <c r="S1096" s="26" t="str">
        <f t="shared" si="52"/>
        <v/>
      </c>
      <c r="T1096" s="26" t="str">
        <f t="shared" si="53"/>
        <v/>
      </c>
    </row>
    <row r="1097" spans="1:20" x14ac:dyDescent="0.3">
      <c r="A1097" s="26" t="str">
        <f>IF(BASE_CAIXA!A1094="","",BASE_CAIXA!A1094)</f>
        <v/>
      </c>
      <c r="B1097" s="26" t="str">
        <f>IF(A1097="","",BASE_CAIXA!AL1094)</f>
        <v/>
      </c>
      <c r="C1097" s="26" t="str">
        <f>IF(A1097="","",BASE_CAIXA!AJ1094)</f>
        <v/>
      </c>
      <c r="D1097" s="26" t="str">
        <f>IF(A1097="","",IF(BASE_CAIXA!C1094="Entrada","Crédito","Débito"))</f>
        <v/>
      </c>
      <c r="E1097" s="26" t="str">
        <f>IF(A1097="","",BASE_CAIXA!AA1094)</f>
        <v/>
      </c>
      <c r="F1097" s="26" t="str">
        <f>IF(A1097="","",BASE_CAIXA!N1094)</f>
        <v/>
      </c>
      <c r="G1097" s="26" t="str">
        <f>IF(A1097="","",BASE_CAIXA!O1094)</f>
        <v/>
      </c>
      <c r="H1097" s="26" t="str">
        <f>IF(A1097="","",BASE_CAIXA!P1094)</f>
        <v/>
      </c>
      <c r="I1097" s="26" t="str">
        <f>IF(A1097="","",IF(BASE_CAIXA!H1094&lt;&gt;"",BASE_CAIXA!H1094,BASE_CAIXA!G1094))</f>
        <v/>
      </c>
      <c r="J1097" s="26" t="str">
        <f>IF(A1097="","",BASE_CAIXA!G1094)</f>
        <v/>
      </c>
      <c r="K1097" s="26" t="str">
        <f>IF(A1097="","",BASE_CAIXA!I1094)</f>
        <v/>
      </c>
      <c r="L1097" s="26" t="str">
        <f>IF(A1097="","",BASE_CAIXA!J1094)</f>
        <v/>
      </c>
      <c r="M1097" s="26" t="str">
        <f>IF(A1097="","",BASE_CAIXA!AM1094)</f>
        <v/>
      </c>
      <c r="N1097" s="26" t="str">
        <f t="shared" ca="1" si="51"/>
        <v/>
      </c>
      <c r="O1097" s="26" t="str">
        <f>IFERROR(INDEX(EXTRATO_IMPORTADO!$A$5:$A$404,MATCH(B1097,EXTRATO_IMPORTADO!$I$5:$I$404,0)),"")</f>
        <v/>
      </c>
      <c r="P1097" s="26" t="str">
        <f>IFERROR(INDEX(EXTRATO_IMPORTADO!$F$5:$F$404,MATCH(B1097,EXTRATO_IMPORTADO!$I$5:$I$404,0)),"")</f>
        <v/>
      </c>
      <c r="Q1097" s="26" t="str">
        <f>IFERROR(INDEX(EXTRATO_IMPORTADO!$B$5:$B$404,MATCH(B1097,EXTRATO_IMPORTADO!$I$5:$I$404,0)),"")</f>
        <v/>
      </c>
      <c r="R1097" s="26" t="str">
        <f>IFERROR(MATCH(B1097,EXTRATO_IMPORTADO!$I$5:$I$404,0),"")</f>
        <v/>
      </c>
      <c r="S1097" s="26" t="str">
        <f t="shared" si="52"/>
        <v/>
      </c>
      <c r="T1097" s="26" t="str">
        <f t="shared" si="53"/>
        <v/>
      </c>
    </row>
    <row r="1098" spans="1:20" x14ac:dyDescent="0.3">
      <c r="A1098" s="26" t="str">
        <f>IF(BASE_CAIXA!A1095="","",BASE_CAIXA!A1095)</f>
        <v/>
      </c>
      <c r="B1098" s="26" t="str">
        <f>IF(A1098="","",BASE_CAIXA!AL1095)</f>
        <v/>
      </c>
      <c r="C1098" s="26" t="str">
        <f>IF(A1098="","",BASE_CAIXA!AJ1095)</f>
        <v/>
      </c>
      <c r="D1098" s="26" t="str">
        <f>IF(A1098="","",IF(BASE_CAIXA!C1095="Entrada","Crédito","Débito"))</f>
        <v/>
      </c>
      <c r="E1098" s="26" t="str">
        <f>IF(A1098="","",BASE_CAIXA!AA1095)</f>
        <v/>
      </c>
      <c r="F1098" s="26" t="str">
        <f>IF(A1098="","",BASE_CAIXA!N1095)</f>
        <v/>
      </c>
      <c r="G1098" s="26" t="str">
        <f>IF(A1098="","",BASE_CAIXA!O1095)</f>
        <v/>
      </c>
      <c r="H1098" s="26" t="str">
        <f>IF(A1098="","",BASE_CAIXA!P1095)</f>
        <v/>
      </c>
      <c r="I1098" s="26" t="str">
        <f>IF(A1098="","",IF(BASE_CAIXA!H1095&lt;&gt;"",BASE_CAIXA!H1095,BASE_CAIXA!G1095))</f>
        <v/>
      </c>
      <c r="J1098" s="26" t="str">
        <f>IF(A1098="","",BASE_CAIXA!G1095)</f>
        <v/>
      </c>
      <c r="K1098" s="26" t="str">
        <f>IF(A1098="","",BASE_CAIXA!I1095)</f>
        <v/>
      </c>
      <c r="L1098" s="26" t="str">
        <f>IF(A1098="","",BASE_CAIXA!J1095)</f>
        <v/>
      </c>
      <c r="M1098" s="26" t="str">
        <f>IF(A1098="","",BASE_CAIXA!AM1095)</f>
        <v/>
      </c>
      <c r="N1098" s="26" t="str">
        <f t="shared" ca="1" si="51"/>
        <v/>
      </c>
      <c r="O1098" s="26" t="str">
        <f>IFERROR(INDEX(EXTRATO_IMPORTADO!$A$5:$A$404,MATCH(B1098,EXTRATO_IMPORTADO!$I$5:$I$404,0)),"")</f>
        <v/>
      </c>
      <c r="P1098" s="26" t="str">
        <f>IFERROR(INDEX(EXTRATO_IMPORTADO!$F$5:$F$404,MATCH(B1098,EXTRATO_IMPORTADO!$I$5:$I$404,0)),"")</f>
        <v/>
      </c>
      <c r="Q1098" s="26" t="str">
        <f>IFERROR(INDEX(EXTRATO_IMPORTADO!$B$5:$B$404,MATCH(B1098,EXTRATO_IMPORTADO!$I$5:$I$404,0)),"")</f>
        <v/>
      </c>
      <c r="R1098" s="26" t="str">
        <f>IFERROR(MATCH(B1098,EXTRATO_IMPORTADO!$I$5:$I$404,0),"")</f>
        <v/>
      </c>
      <c r="S1098" s="26" t="str">
        <f t="shared" si="52"/>
        <v/>
      </c>
      <c r="T1098" s="26" t="str">
        <f t="shared" si="53"/>
        <v/>
      </c>
    </row>
    <row r="1099" spans="1:20" x14ac:dyDescent="0.3">
      <c r="A1099" s="26" t="str">
        <f>IF(BASE_CAIXA!A1096="","",BASE_CAIXA!A1096)</f>
        <v/>
      </c>
      <c r="B1099" s="26" t="str">
        <f>IF(A1099="","",BASE_CAIXA!AL1096)</f>
        <v/>
      </c>
      <c r="C1099" s="26" t="str">
        <f>IF(A1099="","",BASE_CAIXA!AJ1096)</f>
        <v/>
      </c>
      <c r="D1099" s="26" t="str">
        <f>IF(A1099="","",IF(BASE_CAIXA!C1096="Entrada","Crédito","Débito"))</f>
        <v/>
      </c>
      <c r="E1099" s="26" t="str">
        <f>IF(A1099="","",BASE_CAIXA!AA1096)</f>
        <v/>
      </c>
      <c r="F1099" s="26" t="str">
        <f>IF(A1099="","",BASE_CAIXA!N1096)</f>
        <v/>
      </c>
      <c r="G1099" s="26" t="str">
        <f>IF(A1099="","",BASE_CAIXA!O1096)</f>
        <v/>
      </c>
      <c r="H1099" s="26" t="str">
        <f>IF(A1099="","",BASE_CAIXA!P1096)</f>
        <v/>
      </c>
      <c r="I1099" s="26" t="str">
        <f>IF(A1099="","",IF(BASE_CAIXA!H1096&lt;&gt;"",BASE_CAIXA!H1096,BASE_CAIXA!G1096))</f>
        <v/>
      </c>
      <c r="J1099" s="26" t="str">
        <f>IF(A1099="","",BASE_CAIXA!G1096)</f>
        <v/>
      </c>
      <c r="K1099" s="26" t="str">
        <f>IF(A1099="","",BASE_CAIXA!I1096)</f>
        <v/>
      </c>
      <c r="L1099" s="26" t="str">
        <f>IF(A1099="","",BASE_CAIXA!J1096)</f>
        <v/>
      </c>
      <c r="M1099" s="26" t="str">
        <f>IF(A1099="","",BASE_CAIXA!AM1096)</f>
        <v/>
      </c>
      <c r="N1099" s="26" t="str">
        <f t="shared" ca="1" si="51"/>
        <v/>
      </c>
      <c r="O1099" s="26" t="str">
        <f>IFERROR(INDEX(EXTRATO_IMPORTADO!$A$5:$A$404,MATCH(B1099,EXTRATO_IMPORTADO!$I$5:$I$404,0)),"")</f>
        <v/>
      </c>
      <c r="P1099" s="26" t="str">
        <f>IFERROR(INDEX(EXTRATO_IMPORTADO!$F$5:$F$404,MATCH(B1099,EXTRATO_IMPORTADO!$I$5:$I$404,0)),"")</f>
        <v/>
      </c>
      <c r="Q1099" s="26" t="str">
        <f>IFERROR(INDEX(EXTRATO_IMPORTADO!$B$5:$B$404,MATCH(B1099,EXTRATO_IMPORTADO!$I$5:$I$404,0)),"")</f>
        <v/>
      </c>
      <c r="R1099" s="26" t="str">
        <f>IFERROR(MATCH(B1099,EXTRATO_IMPORTADO!$I$5:$I$404,0),"")</f>
        <v/>
      </c>
      <c r="S1099" s="26" t="str">
        <f t="shared" si="52"/>
        <v/>
      </c>
      <c r="T1099" s="26" t="str">
        <f t="shared" si="53"/>
        <v/>
      </c>
    </row>
    <row r="1100" spans="1:20" x14ac:dyDescent="0.3">
      <c r="A1100" s="26" t="str">
        <f>IF(BASE_CAIXA!A1097="","",BASE_CAIXA!A1097)</f>
        <v/>
      </c>
      <c r="B1100" s="26" t="str">
        <f>IF(A1100="","",BASE_CAIXA!AL1097)</f>
        <v/>
      </c>
      <c r="C1100" s="26" t="str">
        <f>IF(A1100="","",BASE_CAIXA!AJ1097)</f>
        <v/>
      </c>
      <c r="D1100" s="26" t="str">
        <f>IF(A1100="","",IF(BASE_CAIXA!C1097="Entrada","Crédito","Débito"))</f>
        <v/>
      </c>
      <c r="E1100" s="26" t="str">
        <f>IF(A1100="","",BASE_CAIXA!AA1097)</f>
        <v/>
      </c>
      <c r="F1100" s="26" t="str">
        <f>IF(A1100="","",BASE_CAIXA!N1097)</f>
        <v/>
      </c>
      <c r="G1100" s="26" t="str">
        <f>IF(A1100="","",BASE_CAIXA!O1097)</f>
        <v/>
      </c>
      <c r="H1100" s="26" t="str">
        <f>IF(A1100="","",BASE_CAIXA!P1097)</f>
        <v/>
      </c>
      <c r="I1100" s="26" t="str">
        <f>IF(A1100="","",IF(BASE_CAIXA!H1097&lt;&gt;"",BASE_CAIXA!H1097,BASE_CAIXA!G1097))</f>
        <v/>
      </c>
      <c r="J1100" s="26" t="str">
        <f>IF(A1100="","",BASE_CAIXA!G1097)</f>
        <v/>
      </c>
      <c r="K1100" s="26" t="str">
        <f>IF(A1100="","",BASE_CAIXA!I1097)</f>
        <v/>
      </c>
      <c r="L1100" s="26" t="str">
        <f>IF(A1100="","",BASE_CAIXA!J1097)</f>
        <v/>
      </c>
      <c r="M1100" s="26" t="str">
        <f>IF(A1100="","",BASE_CAIXA!AM1097)</f>
        <v/>
      </c>
      <c r="N1100" s="26" t="str">
        <f t="shared" ca="1" si="51"/>
        <v/>
      </c>
      <c r="O1100" s="26" t="str">
        <f>IFERROR(INDEX(EXTRATO_IMPORTADO!$A$5:$A$404,MATCH(B1100,EXTRATO_IMPORTADO!$I$5:$I$404,0)),"")</f>
        <v/>
      </c>
      <c r="P1100" s="26" t="str">
        <f>IFERROR(INDEX(EXTRATO_IMPORTADO!$F$5:$F$404,MATCH(B1100,EXTRATO_IMPORTADO!$I$5:$I$404,0)),"")</f>
        <v/>
      </c>
      <c r="Q1100" s="26" t="str">
        <f>IFERROR(INDEX(EXTRATO_IMPORTADO!$B$5:$B$404,MATCH(B1100,EXTRATO_IMPORTADO!$I$5:$I$404,0)),"")</f>
        <v/>
      </c>
      <c r="R1100" s="26" t="str">
        <f>IFERROR(MATCH(B1100,EXTRATO_IMPORTADO!$I$5:$I$404,0),"")</f>
        <v/>
      </c>
      <c r="S1100" s="26" t="str">
        <f t="shared" si="52"/>
        <v/>
      </c>
      <c r="T1100" s="26" t="str">
        <f t="shared" si="53"/>
        <v/>
      </c>
    </row>
    <row r="1101" spans="1:20" x14ac:dyDescent="0.3">
      <c r="A1101" s="26" t="str">
        <f>IF(BASE_CAIXA!A1098="","",BASE_CAIXA!A1098)</f>
        <v/>
      </c>
      <c r="B1101" s="26" t="str">
        <f>IF(A1101="","",BASE_CAIXA!AL1098)</f>
        <v/>
      </c>
      <c r="C1101" s="26" t="str">
        <f>IF(A1101="","",BASE_CAIXA!AJ1098)</f>
        <v/>
      </c>
      <c r="D1101" s="26" t="str">
        <f>IF(A1101="","",IF(BASE_CAIXA!C1098="Entrada","Crédito","Débito"))</f>
        <v/>
      </c>
      <c r="E1101" s="26" t="str">
        <f>IF(A1101="","",BASE_CAIXA!AA1098)</f>
        <v/>
      </c>
      <c r="F1101" s="26" t="str">
        <f>IF(A1101="","",BASE_CAIXA!N1098)</f>
        <v/>
      </c>
      <c r="G1101" s="26" t="str">
        <f>IF(A1101="","",BASE_CAIXA!O1098)</f>
        <v/>
      </c>
      <c r="H1101" s="26" t="str">
        <f>IF(A1101="","",BASE_CAIXA!P1098)</f>
        <v/>
      </c>
      <c r="I1101" s="26" t="str">
        <f>IF(A1101="","",IF(BASE_CAIXA!H1098&lt;&gt;"",BASE_CAIXA!H1098,BASE_CAIXA!G1098))</f>
        <v/>
      </c>
      <c r="J1101" s="26" t="str">
        <f>IF(A1101="","",BASE_CAIXA!G1098)</f>
        <v/>
      </c>
      <c r="K1101" s="26" t="str">
        <f>IF(A1101="","",BASE_CAIXA!I1098)</f>
        <v/>
      </c>
      <c r="L1101" s="26" t="str">
        <f>IF(A1101="","",BASE_CAIXA!J1098)</f>
        <v/>
      </c>
      <c r="M1101" s="26" t="str">
        <f>IF(A1101="","",BASE_CAIXA!AM1098)</f>
        <v/>
      </c>
      <c r="N1101" s="26" t="str">
        <f t="shared" ca="1" si="51"/>
        <v/>
      </c>
      <c r="O1101" s="26" t="str">
        <f>IFERROR(INDEX(EXTRATO_IMPORTADO!$A$5:$A$404,MATCH(B1101,EXTRATO_IMPORTADO!$I$5:$I$404,0)),"")</f>
        <v/>
      </c>
      <c r="P1101" s="26" t="str">
        <f>IFERROR(INDEX(EXTRATO_IMPORTADO!$F$5:$F$404,MATCH(B1101,EXTRATO_IMPORTADO!$I$5:$I$404,0)),"")</f>
        <v/>
      </c>
      <c r="Q1101" s="26" t="str">
        <f>IFERROR(INDEX(EXTRATO_IMPORTADO!$B$5:$B$404,MATCH(B1101,EXTRATO_IMPORTADO!$I$5:$I$404,0)),"")</f>
        <v/>
      </c>
      <c r="R1101" s="26" t="str">
        <f>IFERROR(MATCH(B1101,EXTRATO_IMPORTADO!$I$5:$I$404,0),"")</f>
        <v/>
      </c>
      <c r="S1101" s="26" t="str">
        <f t="shared" si="52"/>
        <v/>
      </c>
      <c r="T1101" s="26" t="str">
        <f t="shared" si="53"/>
        <v/>
      </c>
    </row>
    <row r="1102" spans="1:20" x14ac:dyDescent="0.3">
      <c r="A1102" s="26" t="str">
        <f>IF(BASE_CAIXA!A1099="","",BASE_CAIXA!A1099)</f>
        <v/>
      </c>
      <c r="B1102" s="26" t="str">
        <f>IF(A1102="","",BASE_CAIXA!AL1099)</f>
        <v/>
      </c>
      <c r="C1102" s="26" t="str">
        <f>IF(A1102="","",BASE_CAIXA!AJ1099)</f>
        <v/>
      </c>
      <c r="D1102" s="26" t="str">
        <f>IF(A1102="","",IF(BASE_CAIXA!C1099="Entrada","Crédito","Débito"))</f>
        <v/>
      </c>
      <c r="E1102" s="26" t="str">
        <f>IF(A1102="","",BASE_CAIXA!AA1099)</f>
        <v/>
      </c>
      <c r="F1102" s="26" t="str">
        <f>IF(A1102="","",BASE_CAIXA!N1099)</f>
        <v/>
      </c>
      <c r="G1102" s="26" t="str">
        <f>IF(A1102="","",BASE_CAIXA!O1099)</f>
        <v/>
      </c>
      <c r="H1102" s="26" t="str">
        <f>IF(A1102="","",BASE_CAIXA!P1099)</f>
        <v/>
      </c>
      <c r="I1102" s="26" t="str">
        <f>IF(A1102="","",IF(BASE_CAIXA!H1099&lt;&gt;"",BASE_CAIXA!H1099,BASE_CAIXA!G1099))</f>
        <v/>
      </c>
      <c r="J1102" s="26" t="str">
        <f>IF(A1102="","",BASE_CAIXA!G1099)</f>
        <v/>
      </c>
      <c r="K1102" s="26" t="str">
        <f>IF(A1102="","",BASE_CAIXA!I1099)</f>
        <v/>
      </c>
      <c r="L1102" s="26" t="str">
        <f>IF(A1102="","",BASE_CAIXA!J1099)</f>
        <v/>
      </c>
      <c r="M1102" s="26" t="str">
        <f>IF(A1102="","",BASE_CAIXA!AM1099)</f>
        <v/>
      </c>
      <c r="N1102" s="26" t="str">
        <f t="shared" ca="1" si="51"/>
        <v/>
      </c>
      <c r="O1102" s="26" t="str">
        <f>IFERROR(INDEX(EXTRATO_IMPORTADO!$A$5:$A$404,MATCH(B1102,EXTRATO_IMPORTADO!$I$5:$I$404,0)),"")</f>
        <v/>
      </c>
      <c r="P1102" s="26" t="str">
        <f>IFERROR(INDEX(EXTRATO_IMPORTADO!$F$5:$F$404,MATCH(B1102,EXTRATO_IMPORTADO!$I$5:$I$404,0)),"")</f>
        <v/>
      </c>
      <c r="Q1102" s="26" t="str">
        <f>IFERROR(INDEX(EXTRATO_IMPORTADO!$B$5:$B$404,MATCH(B1102,EXTRATO_IMPORTADO!$I$5:$I$404,0)),"")</f>
        <v/>
      </c>
      <c r="R1102" s="26" t="str">
        <f>IFERROR(MATCH(B1102,EXTRATO_IMPORTADO!$I$5:$I$404,0),"")</f>
        <v/>
      </c>
      <c r="S1102" s="26" t="str">
        <f t="shared" si="52"/>
        <v/>
      </c>
      <c r="T1102" s="26" t="str">
        <f t="shared" si="53"/>
        <v/>
      </c>
    </row>
    <row r="1103" spans="1:20" x14ac:dyDescent="0.3">
      <c r="A1103" s="26" t="str">
        <f>IF(BASE_CAIXA!A1100="","",BASE_CAIXA!A1100)</f>
        <v/>
      </c>
      <c r="B1103" s="26" t="str">
        <f>IF(A1103="","",BASE_CAIXA!AL1100)</f>
        <v/>
      </c>
      <c r="C1103" s="26" t="str">
        <f>IF(A1103="","",BASE_CAIXA!AJ1100)</f>
        <v/>
      </c>
      <c r="D1103" s="26" t="str">
        <f>IF(A1103="","",IF(BASE_CAIXA!C1100="Entrada","Crédito","Débito"))</f>
        <v/>
      </c>
      <c r="E1103" s="26" t="str">
        <f>IF(A1103="","",BASE_CAIXA!AA1100)</f>
        <v/>
      </c>
      <c r="F1103" s="26" t="str">
        <f>IF(A1103="","",BASE_CAIXA!N1100)</f>
        <v/>
      </c>
      <c r="G1103" s="26" t="str">
        <f>IF(A1103="","",BASE_CAIXA!O1100)</f>
        <v/>
      </c>
      <c r="H1103" s="26" t="str">
        <f>IF(A1103="","",BASE_CAIXA!P1100)</f>
        <v/>
      </c>
      <c r="I1103" s="26" t="str">
        <f>IF(A1103="","",IF(BASE_CAIXA!H1100&lt;&gt;"",BASE_CAIXA!H1100,BASE_CAIXA!G1100))</f>
        <v/>
      </c>
      <c r="J1103" s="26" t="str">
        <f>IF(A1103="","",BASE_CAIXA!G1100)</f>
        <v/>
      </c>
      <c r="K1103" s="26" t="str">
        <f>IF(A1103="","",BASE_CAIXA!I1100)</f>
        <v/>
      </c>
      <c r="L1103" s="26" t="str">
        <f>IF(A1103="","",BASE_CAIXA!J1100)</f>
        <v/>
      </c>
      <c r="M1103" s="26" t="str">
        <f>IF(A1103="","",BASE_CAIXA!AM1100)</f>
        <v/>
      </c>
      <c r="N1103" s="26" t="str">
        <f t="shared" ca="1" si="51"/>
        <v/>
      </c>
      <c r="O1103" s="26" t="str">
        <f>IFERROR(INDEX(EXTRATO_IMPORTADO!$A$5:$A$404,MATCH(B1103,EXTRATO_IMPORTADO!$I$5:$I$404,0)),"")</f>
        <v/>
      </c>
      <c r="P1103" s="26" t="str">
        <f>IFERROR(INDEX(EXTRATO_IMPORTADO!$F$5:$F$404,MATCH(B1103,EXTRATO_IMPORTADO!$I$5:$I$404,0)),"")</f>
        <v/>
      </c>
      <c r="Q1103" s="26" t="str">
        <f>IFERROR(INDEX(EXTRATO_IMPORTADO!$B$5:$B$404,MATCH(B1103,EXTRATO_IMPORTADO!$I$5:$I$404,0)),"")</f>
        <v/>
      </c>
      <c r="R1103" s="26" t="str">
        <f>IFERROR(MATCH(B1103,EXTRATO_IMPORTADO!$I$5:$I$404,0),"")</f>
        <v/>
      </c>
      <c r="S1103" s="26" t="str">
        <f t="shared" si="52"/>
        <v/>
      </c>
      <c r="T1103" s="26" t="str">
        <f t="shared" si="53"/>
        <v/>
      </c>
    </row>
    <row r="1104" spans="1:20" x14ac:dyDescent="0.3">
      <c r="A1104" s="26" t="str">
        <f>IF(BASE_CAIXA!A1101="","",BASE_CAIXA!A1101)</f>
        <v/>
      </c>
      <c r="B1104" s="26" t="str">
        <f>IF(A1104="","",BASE_CAIXA!AL1101)</f>
        <v/>
      </c>
      <c r="C1104" s="26" t="str">
        <f>IF(A1104="","",BASE_CAIXA!AJ1101)</f>
        <v/>
      </c>
      <c r="D1104" s="26" t="str">
        <f>IF(A1104="","",IF(BASE_CAIXA!C1101="Entrada","Crédito","Débito"))</f>
        <v/>
      </c>
      <c r="E1104" s="26" t="str">
        <f>IF(A1104="","",BASE_CAIXA!AA1101)</f>
        <v/>
      </c>
      <c r="F1104" s="26" t="str">
        <f>IF(A1104="","",BASE_CAIXA!N1101)</f>
        <v/>
      </c>
      <c r="G1104" s="26" t="str">
        <f>IF(A1104="","",BASE_CAIXA!O1101)</f>
        <v/>
      </c>
      <c r="H1104" s="26" t="str">
        <f>IF(A1104="","",BASE_CAIXA!P1101)</f>
        <v/>
      </c>
      <c r="I1104" s="26" t="str">
        <f>IF(A1104="","",IF(BASE_CAIXA!H1101&lt;&gt;"",BASE_CAIXA!H1101,BASE_CAIXA!G1101))</f>
        <v/>
      </c>
      <c r="J1104" s="26" t="str">
        <f>IF(A1104="","",BASE_CAIXA!G1101)</f>
        <v/>
      </c>
      <c r="K1104" s="26" t="str">
        <f>IF(A1104="","",BASE_CAIXA!I1101)</f>
        <v/>
      </c>
      <c r="L1104" s="26" t="str">
        <f>IF(A1104="","",BASE_CAIXA!J1101)</f>
        <v/>
      </c>
      <c r="M1104" s="26" t="str">
        <f>IF(A1104="","",BASE_CAIXA!AM1101)</f>
        <v/>
      </c>
      <c r="N1104" s="26" t="str">
        <f t="shared" ca="1" si="51"/>
        <v/>
      </c>
      <c r="O1104" s="26" t="str">
        <f>IFERROR(INDEX(EXTRATO_IMPORTADO!$A$5:$A$404,MATCH(B1104,EXTRATO_IMPORTADO!$I$5:$I$404,0)),"")</f>
        <v/>
      </c>
      <c r="P1104" s="26" t="str">
        <f>IFERROR(INDEX(EXTRATO_IMPORTADO!$F$5:$F$404,MATCH(B1104,EXTRATO_IMPORTADO!$I$5:$I$404,0)),"")</f>
        <v/>
      </c>
      <c r="Q1104" s="26" t="str">
        <f>IFERROR(INDEX(EXTRATO_IMPORTADO!$B$5:$B$404,MATCH(B1104,EXTRATO_IMPORTADO!$I$5:$I$404,0)),"")</f>
        <v/>
      </c>
      <c r="R1104" s="26" t="str">
        <f>IFERROR(MATCH(B1104,EXTRATO_IMPORTADO!$I$5:$I$404,0),"")</f>
        <v/>
      </c>
      <c r="S1104" s="26" t="str">
        <f t="shared" si="52"/>
        <v/>
      </c>
      <c r="T1104" s="26" t="str">
        <f t="shared" si="53"/>
        <v/>
      </c>
    </row>
    <row r="1105" spans="1:20" x14ac:dyDescent="0.3">
      <c r="A1105" s="26" t="str">
        <f>IF(BASE_CAIXA!A1102="","",BASE_CAIXA!A1102)</f>
        <v/>
      </c>
      <c r="B1105" s="26" t="str">
        <f>IF(A1105="","",BASE_CAIXA!AL1102)</f>
        <v/>
      </c>
      <c r="C1105" s="26" t="str">
        <f>IF(A1105="","",BASE_CAIXA!AJ1102)</f>
        <v/>
      </c>
      <c r="D1105" s="26" t="str">
        <f>IF(A1105="","",IF(BASE_CAIXA!C1102="Entrada","Crédito","Débito"))</f>
        <v/>
      </c>
      <c r="E1105" s="26" t="str">
        <f>IF(A1105="","",BASE_CAIXA!AA1102)</f>
        <v/>
      </c>
      <c r="F1105" s="26" t="str">
        <f>IF(A1105="","",BASE_CAIXA!N1102)</f>
        <v/>
      </c>
      <c r="G1105" s="26" t="str">
        <f>IF(A1105="","",BASE_CAIXA!O1102)</f>
        <v/>
      </c>
      <c r="H1105" s="26" t="str">
        <f>IF(A1105="","",BASE_CAIXA!P1102)</f>
        <v/>
      </c>
      <c r="I1105" s="26" t="str">
        <f>IF(A1105="","",IF(BASE_CAIXA!H1102&lt;&gt;"",BASE_CAIXA!H1102,BASE_CAIXA!G1102))</f>
        <v/>
      </c>
      <c r="J1105" s="26" t="str">
        <f>IF(A1105="","",BASE_CAIXA!G1102)</f>
        <v/>
      </c>
      <c r="K1105" s="26" t="str">
        <f>IF(A1105="","",BASE_CAIXA!I1102)</f>
        <v/>
      </c>
      <c r="L1105" s="26" t="str">
        <f>IF(A1105="","",BASE_CAIXA!J1102)</f>
        <v/>
      </c>
      <c r="M1105" s="26" t="str">
        <f>IF(A1105="","",BASE_CAIXA!AM1102)</f>
        <v/>
      </c>
      <c r="N1105" s="26" t="str">
        <f t="shared" ca="1" si="51"/>
        <v/>
      </c>
      <c r="O1105" s="26" t="str">
        <f>IFERROR(INDEX(EXTRATO_IMPORTADO!$A$5:$A$404,MATCH(B1105,EXTRATO_IMPORTADO!$I$5:$I$404,0)),"")</f>
        <v/>
      </c>
      <c r="P1105" s="26" t="str">
        <f>IFERROR(INDEX(EXTRATO_IMPORTADO!$F$5:$F$404,MATCH(B1105,EXTRATO_IMPORTADO!$I$5:$I$404,0)),"")</f>
        <v/>
      </c>
      <c r="Q1105" s="26" t="str">
        <f>IFERROR(INDEX(EXTRATO_IMPORTADO!$B$5:$B$404,MATCH(B1105,EXTRATO_IMPORTADO!$I$5:$I$404,0)),"")</f>
        <v/>
      </c>
      <c r="R1105" s="26" t="str">
        <f>IFERROR(MATCH(B1105,EXTRATO_IMPORTADO!$I$5:$I$404,0),"")</f>
        <v/>
      </c>
      <c r="S1105" s="26" t="str">
        <f t="shared" si="52"/>
        <v/>
      </c>
      <c r="T1105" s="26" t="str">
        <f t="shared" si="53"/>
        <v/>
      </c>
    </row>
    <row r="1106" spans="1:20" x14ac:dyDescent="0.3">
      <c r="A1106" s="26" t="str">
        <f>IF(BASE_CAIXA!A1103="","",BASE_CAIXA!A1103)</f>
        <v/>
      </c>
      <c r="B1106" s="26" t="str">
        <f>IF(A1106="","",BASE_CAIXA!AL1103)</f>
        <v/>
      </c>
      <c r="C1106" s="26" t="str">
        <f>IF(A1106="","",BASE_CAIXA!AJ1103)</f>
        <v/>
      </c>
      <c r="D1106" s="26" t="str">
        <f>IF(A1106="","",IF(BASE_CAIXA!C1103="Entrada","Crédito","Débito"))</f>
        <v/>
      </c>
      <c r="E1106" s="26" t="str">
        <f>IF(A1106="","",BASE_CAIXA!AA1103)</f>
        <v/>
      </c>
      <c r="F1106" s="26" t="str">
        <f>IF(A1106="","",BASE_CAIXA!N1103)</f>
        <v/>
      </c>
      <c r="G1106" s="26" t="str">
        <f>IF(A1106="","",BASE_CAIXA!O1103)</f>
        <v/>
      </c>
      <c r="H1106" s="26" t="str">
        <f>IF(A1106="","",BASE_CAIXA!P1103)</f>
        <v/>
      </c>
      <c r="I1106" s="26" t="str">
        <f>IF(A1106="","",IF(BASE_CAIXA!H1103&lt;&gt;"",BASE_CAIXA!H1103,BASE_CAIXA!G1103))</f>
        <v/>
      </c>
      <c r="J1106" s="26" t="str">
        <f>IF(A1106="","",BASE_CAIXA!G1103)</f>
        <v/>
      </c>
      <c r="K1106" s="26" t="str">
        <f>IF(A1106="","",BASE_CAIXA!I1103)</f>
        <v/>
      </c>
      <c r="L1106" s="26" t="str">
        <f>IF(A1106="","",BASE_CAIXA!J1103)</f>
        <v/>
      </c>
      <c r="M1106" s="26" t="str">
        <f>IF(A1106="","",BASE_CAIXA!AM1103)</f>
        <v/>
      </c>
      <c r="N1106" s="26" t="str">
        <f t="shared" ca="1" si="51"/>
        <v/>
      </c>
      <c r="O1106" s="26" t="str">
        <f>IFERROR(INDEX(EXTRATO_IMPORTADO!$A$5:$A$404,MATCH(B1106,EXTRATO_IMPORTADO!$I$5:$I$404,0)),"")</f>
        <v/>
      </c>
      <c r="P1106" s="26" t="str">
        <f>IFERROR(INDEX(EXTRATO_IMPORTADO!$F$5:$F$404,MATCH(B1106,EXTRATO_IMPORTADO!$I$5:$I$404,0)),"")</f>
        <v/>
      </c>
      <c r="Q1106" s="26" t="str">
        <f>IFERROR(INDEX(EXTRATO_IMPORTADO!$B$5:$B$404,MATCH(B1106,EXTRATO_IMPORTADO!$I$5:$I$404,0)),"")</f>
        <v/>
      </c>
      <c r="R1106" s="26" t="str">
        <f>IFERROR(MATCH(B1106,EXTRATO_IMPORTADO!$I$5:$I$404,0),"")</f>
        <v/>
      </c>
      <c r="S1106" s="26" t="str">
        <f t="shared" si="52"/>
        <v/>
      </c>
      <c r="T1106" s="26" t="str">
        <f t="shared" si="53"/>
        <v/>
      </c>
    </row>
    <row r="1107" spans="1:20" x14ac:dyDescent="0.3">
      <c r="A1107" s="26" t="str">
        <f>IF(BASE_CAIXA!A1104="","",BASE_CAIXA!A1104)</f>
        <v/>
      </c>
      <c r="B1107" s="26" t="str">
        <f>IF(A1107="","",BASE_CAIXA!AL1104)</f>
        <v/>
      </c>
      <c r="C1107" s="26" t="str">
        <f>IF(A1107="","",BASE_CAIXA!AJ1104)</f>
        <v/>
      </c>
      <c r="D1107" s="26" t="str">
        <f>IF(A1107="","",IF(BASE_CAIXA!C1104="Entrada","Crédito","Débito"))</f>
        <v/>
      </c>
      <c r="E1107" s="26" t="str">
        <f>IF(A1107="","",BASE_CAIXA!AA1104)</f>
        <v/>
      </c>
      <c r="F1107" s="26" t="str">
        <f>IF(A1107="","",BASE_CAIXA!N1104)</f>
        <v/>
      </c>
      <c r="G1107" s="26" t="str">
        <f>IF(A1107="","",BASE_CAIXA!O1104)</f>
        <v/>
      </c>
      <c r="H1107" s="26" t="str">
        <f>IF(A1107="","",BASE_CAIXA!P1104)</f>
        <v/>
      </c>
      <c r="I1107" s="26" t="str">
        <f>IF(A1107="","",IF(BASE_CAIXA!H1104&lt;&gt;"",BASE_CAIXA!H1104,BASE_CAIXA!G1104))</f>
        <v/>
      </c>
      <c r="J1107" s="26" t="str">
        <f>IF(A1107="","",BASE_CAIXA!G1104)</f>
        <v/>
      </c>
      <c r="K1107" s="26" t="str">
        <f>IF(A1107="","",BASE_CAIXA!I1104)</f>
        <v/>
      </c>
      <c r="L1107" s="26" t="str">
        <f>IF(A1107="","",BASE_CAIXA!J1104)</f>
        <v/>
      </c>
      <c r="M1107" s="26" t="str">
        <f>IF(A1107="","",BASE_CAIXA!AM1104)</f>
        <v/>
      </c>
      <c r="N1107" s="26" t="str">
        <f t="shared" ca="1" si="51"/>
        <v/>
      </c>
      <c r="O1107" s="26" t="str">
        <f>IFERROR(INDEX(EXTRATO_IMPORTADO!$A$5:$A$404,MATCH(B1107,EXTRATO_IMPORTADO!$I$5:$I$404,0)),"")</f>
        <v/>
      </c>
      <c r="P1107" s="26" t="str">
        <f>IFERROR(INDEX(EXTRATO_IMPORTADO!$F$5:$F$404,MATCH(B1107,EXTRATO_IMPORTADO!$I$5:$I$404,0)),"")</f>
        <v/>
      </c>
      <c r="Q1107" s="26" t="str">
        <f>IFERROR(INDEX(EXTRATO_IMPORTADO!$B$5:$B$404,MATCH(B1107,EXTRATO_IMPORTADO!$I$5:$I$404,0)),"")</f>
        <v/>
      </c>
      <c r="R1107" s="26" t="str">
        <f>IFERROR(MATCH(B1107,EXTRATO_IMPORTADO!$I$5:$I$404,0),"")</f>
        <v/>
      </c>
      <c r="S1107" s="26" t="str">
        <f t="shared" si="52"/>
        <v/>
      </c>
      <c r="T1107" s="26" t="str">
        <f t="shared" si="53"/>
        <v/>
      </c>
    </row>
    <row r="1108" spans="1:20" x14ac:dyDescent="0.3">
      <c r="A1108" s="26" t="str">
        <f>IF(BASE_CAIXA!A1105="","",BASE_CAIXA!A1105)</f>
        <v/>
      </c>
      <c r="B1108" s="26" t="str">
        <f>IF(A1108="","",BASE_CAIXA!AL1105)</f>
        <v/>
      </c>
      <c r="C1108" s="26" t="str">
        <f>IF(A1108="","",BASE_CAIXA!AJ1105)</f>
        <v/>
      </c>
      <c r="D1108" s="26" t="str">
        <f>IF(A1108="","",IF(BASE_CAIXA!C1105="Entrada","Crédito","Débito"))</f>
        <v/>
      </c>
      <c r="E1108" s="26" t="str">
        <f>IF(A1108="","",BASE_CAIXA!AA1105)</f>
        <v/>
      </c>
      <c r="F1108" s="26" t="str">
        <f>IF(A1108="","",BASE_CAIXA!N1105)</f>
        <v/>
      </c>
      <c r="G1108" s="26" t="str">
        <f>IF(A1108="","",BASE_CAIXA!O1105)</f>
        <v/>
      </c>
      <c r="H1108" s="26" t="str">
        <f>IF(A1108="","",BASE_CAIXA!P1105)</f>
        <v/>
      </c>
      <c r="I1108" s="26" t="str">
        <f>IF(A1108="","",IF(BASE_CAIXA!H1105&lt;&gt;"",BASE_CAIXA!H1105,BASE_CAIXA!G1105))</f>
        <v/>
      </c>
      <c r="J1108" s="26" t="str">
        <f>IF(A1108="","",BASE_CAIXA!G1105)</f>
        <v/>
      </c>
      <c r="K1108" s="26" t="str">
        <f>IF(A1108="","",BASE_CAIXA!I1105)</f>
        <v/>
      </c>
      <c r="L1108" s="26" t="str">
        <f>IF(A1108="","",BASE_CAIXA!J1105)</f>
        <v/>
      </c>
      <c r="M1108" s="26" t="str">
        <f>IF(A1108="","",BASE_CAIXA!AM1105)</f>
        <v/>
      </c>
      <c r="N1108" s="26" t="str">
        <f t="shared" ca="1" si="51"/>
        <v/>
      </c>
      <c r="O1108" s="26" t="str">
        <f>IFERROR(INDEX(EXTRATO_IMPORTADO!$A$5:$A$404,MATCH(B1108,EXTRATO_IMPORTADO!$I$5:$I$404,0)),"")</f>
        <v/>
      </c>
      <c r="P1108" s="26" t="str">
        <f>IFERROR(INDEX(EXTRATO_IMPORTADO!$F$5:$F$404,MATCH(B1108,EXTRATO_IMPORTADO!$I$5:$I$404,0)),"")</f>
        <v/>
      </c>
      <c r="Q1108" s="26" t="str">
        <f>IFERROR(INDEX(EXTRATO_IMPORTADO!$B$5:$B$404,MATCH(B1108,EXTRATO_IMPORTADO!$I$5:$I$404,0)),"")</f>
        <v/>
      </c>
      <c r="R1108" s="26" t="str">
        <f>IFERROR(MATCH(B1108,EXTRATO_IMPORTADO!$I$5:$I$404,0),"")</f>
        <v/>
      </c>
      <c r="S1108" s="26" t="str">
        <f t="shared" si="52"/>
        <v/>
      </c>
      <c r="T1108" s="26" t="str">
        <f t="shared" si="53"/>
        <v/>
      </c>
    </row>
    <row r="1109" spans="1:20" x14ac:dyDescent="0.3">
      <c r="A1109" s="26" t="str">
        <f>IF(BASE_CAIXA!A1106="","",BASE_CAIXA!A1106)</f>
        <v/>
      </c>
      <c r="B1109" s="26" t="str">
        <f>IF(A1109="","",BASE_CAIXA!AL1106)</f>
        <v/>
      </c>
      <c r="C1109" s="26" t="str">
        <f>IF(A1109="","",BASE_CAIXA!AJ1106)</f>
        <v/>
      </c>
      <c r="D1109" s="26" t="str">
        <f>IF(A1109="","",IF(BASE_CAIXA!C1106="Entrada","Crédito","Débito"))</f>
        <v/>
      </c>
      <c r="E1109" s="26" t="str">
        <f>IF(A1109="","",BASE_CAIXA!AA1106)</f>
        <v/>
      </c>
      <c r="F1109" s="26" t="str">
        <f>IF(A1109="","",BASE_CAIXA!N1106)</f>
        <v/>
      </c>
      <c r="G1109" s="26" t="str">
        <f>IF(A1109="","",BASE_CAIXA!O1106)</f>
        <v/>
      </c>
      <c r="H1109" s="26" t="str">
        <f>IF(A1109="","",BASE_CAIXA!P1106)</f>
        <v/>
      </c>
      <c r="I1109" s="26" t="str">
        <f>IF(A1109="","",IF(BASE_CAIXA!H1106&lt;&gt;"",BASE_CAIXA!H1106,BASE_CAIXA!G1106))</f>
        <v/>
      </c>
      <c r="J1109" s="26" t="str">
        <f>IF(A1109="","",BASE_CAIXA!G1106)</f>
        <v/>
      </c>
      <c r="K1109" s="26" t="str">
        <f>IF(A1109="","",BASE_CAIXA!I1106)</f>
        <v/>
      </c>
      <c r="L1109" s="26" t="str">
        <f>IF(A1109="","",BASE_CAIXA!J1106)</f>
        <v/>
      </c>
      <c r="M1109" s="26" t="str">
        <f>IF(A1109="","",BASE_CAIXA!AM1106)</f>
        <v/>
      </c>
      <c r="N1109" s="26" t="str">
        <f t="shared" ca="1" si="51"/>
        <v/>
      </c>
      <c r="O1109" s="26" t="str">
        <f>IFERROR(INDEX(EXTRATO_IMPORTADO!$A$5:$A$404,MATCH(B1109,EXTRATO_IMPORTADO!$I$5:$I$404,0)),"")</f>
        <v/>
      </c>
      <c r="P1109" s="26" t="str">
        <f>IFERROR(INDEX(EXTRATO_IMPORTADO!$F$5:$F$404,MATCH(B1109,EXTRATO_IMPORTADO!$I$5:$I$404,0)),"")</f>
        <v/>
      </c>
      <c r="Q1109" s="26" t="str">
        <f>IFERROR(INDEX(EXTRATO_IMPORTADO!$B$5:$B$404,MATCH(B1109,EXTRATO_IMPORTADO!$I$5:$I$404,0)),"")</f>
        <v/>
      </c>
      <c r="R1109" s="26" t="str">
        <f>IFERROR(MATCH(B1109,EXTRATO_IMPORTADO!$I$5:$I$404,0),"")</f>
        <v/>
      </c>
      <c r="S1109" s="26" t="str">
        <f t="shared" si="52"/>
        <v/>
      </c>
      <c r="T1109" s="26" t="str">
        <f t="shared" si="53"/>
        <v/>
      </c>
    </row>
    <row r="1110" spans="1:20" x14ac:dyDescent="0.3">
      <c r="A1110" s="26" t="str">
        <f>IF(BASE_CAIXA!A1107="","",BASE_CAIXA!A1107)</f>
        <v/>
      </c>
      <c r="B1110" s="26" t="str">
        <f>IF(A1110="","",BASE_CAIXA!AL1107)</f>
        <v/>
      </c>
      <c r="C1110" s="26" t="str">
        <f>IF(A1110="","",BASE_CAIXA!AJ1107)</f>
        <v/>
      </c>
      <c r="D1110" s="26" t="str">
        <f>IF(A1110="","",IF(BASE_CAIXA!C1107="Entrada","Crédito","Débito"))</f>
        <v/>
      </c>
      <c r="E1110" s="26" t="str">
        <f>IF(A1110="","",BASE_CAIXA!AA1107)</f>
        <v/>
      </c>
      <c r="F1110" s="26" t="str">
        <f>IF(A1110="","",BASE_CAIXA!N1107)</f>
        <v/>
      </c>
      <c r="G1110" s="26" t="str">
        <f>IF(A1110="","",BASE_CAIXA!O1107)</f>
        <v/>
      </c>
      <c r="H1110" s="26" t="str">
        <f>IF(A1110="","",BASE_CAIXA!P1107)</f>
        <v/>
      </c>
      <c r="I1110" s="26" t="str">
        <f>IF(A1110="","",IF(BASE_CAIXA!H1107&lt;&gt;"",BASE_CAIXA!H1107,BASE_CAIXA!G1107))</f>
        <v/>
      </c>
      <c r="J1110" s="26" t="str">
        <f>IF(A1110="","",BASE_CAIXA!G1107)</f>
        <v/>
      </c>
      <c r="K1110" s="26" t="str">
        <f>IF(A1110="","",BASE_CAIXA!I1107)</f>
        <v/>
      </c>
      <c r="L1110" s="26" t="str">
        <f>IF(A1110="","",BASE_CAIXA!J1107)</f>
        <v/>
      </c>
      <c r="M1110" s="26" t="str">
        <f>IF(A1110="","",BASE_CAIXA!AM1107)</f>
        <v/>
      </c>
      <c r="N1110" s="26" t="str">
        <f t="shared" ca="1" si="51"/>
        <v/>
      </c>
      <c r="O1110" s="26" t="str">
        <f>IFERROR(INDEX(EXTRATO_IMPORTADO!$A$5:$A$404,MATCH(B1110,EXTRATO_IMPORTADO!$I$5:$I$404,0)),"")</f>
        <v/>
      </c>
      <c r="P1110" s="26" t="str">
        <f>IFERROR(INDEX(EXTRATO_IMPORTADO!$F$5:$F$404,MATCH(B1110,EXTRATO_IMPORTADO!$I$5:$I$404,0)),"")</f>
        <v/>
      </c>
      <c r="Q1110" s="26" t="str">
        <f>IFERROR(INDEX(EXTRATO_IMPORTADO!$B$5:$B$404,MATCH(B1110,EXTRATO_IMPORTADO!$I$5:$I$404,0)),"")</f>
        <v/>
      </c>
      <c r="R1110" s="26" t="str">
        <f>IFERROR(MATCH(B1110,EXTRATO_IMPORTADO!$I$5:$I$404,0),"")</f>
        <v/>
      </c>
      <c r="S1110" s="26" t="str">
        <f t="shared" si="52"/>
        <v/>
      </c>
      <c r="T1110" s="26" t="str">
        <f t="shared" si="53"/>
        <v/>
      </c>
    </row>
    <row r="1111" spans="1:20" x14ac:dyDescent="0.3">
      <c r="A1111" s="26" t="str">
        <f>IF(BASE_CAIXA!A1108="","",BASE_CAIXA!A1108)</f>
        <v/>
      </c>
      <c r="B1111" s="26" t="str">
        <f>IF(A1111="","",BASE_CAIXA!AL1108)</f>
        <v/>
      </c>
      <c r="C1111" s="26" t="str">
        <f>IF(A1111="","",BASE_CAIXA!AJ1108)</f>
        <v/>
      </c>
      <c r="D1111" s="26" t="str">
        <f>IF(A1111="","",IF(BASE_CAIXA!C1108="Entrada","Crédito","Débito"))</f>
        <v/>
      </c>
      <c r="E1111" s="26" t="str">
        <f>IF(A1111="","",BASE_CAIXA!AA1108)</f>
        <v/>
      </c>
      <c r="F1111" s="26" t="str">
        <f>IF(A1111="","",BASE_CAIXA!N1108)</f>
        <v/>
      </c>
      <c r="G1111" s="26" t="str">
        <f>IF(A1111="","",BASE_CAIXA!O1108)</f>
        <v/>
      </c>
      <c r="H1111" s="26" t="str">
        <f>IF(A1111="","",BASE_CAIXA!P1108)</f>
        <v/>
      </c>
      <c r="I1111" s="26" t="str">
        <f>IF(A1111="","",IF(BASE_CAIXA!H1108&lt;&gt;"",BASE_CAIXA!H1108,BASE_CAIXA!G1108))</f>
        <v/>
      </c>
      <c r="J1111" s="26" t="str">
        <f>IF(A1111="","",BASE_CAIXA!G1108)</f>
        <v/>
      </c>
      <c r="K1111" s="26" t="str">
        <f>IF(A1111="","",BASE_CAIXA!I1108)</f>
        <v/>
      </c>
      <c r="L1111" s="26" t="str">
        <f>IF(A1111="","",BASE_CAIXA!J1108)</f>
        <v/>
      </c>
      <c r="M1111" s="26" t="str">
        <f>IF(A1111="","",BASE_CAIXA!AM1108)</f>
        <v/>
      </c>
      <c r="N1111" s="26" t="str">
        <f t="shared" ca="1" si="51"/>
        <v/>
      </c>
      <c r="O1111" s="26" t="str">
        <f>IFERROR(INDEX(EXTRATO_IMPORTADO!$A$5:$A$404,MATCH(B1111,EXTRATO_IMPORTADO!$I$5:$I$404,0)),"")</f>
        <v/>
      </c>
      <c r="P1111" s="26" t="str">
        <f>IFERROR(INDEX(EXTRATO_IMPORTADO!$F$5:$F$404,MATCH(B1111,EXTRATO_IMPORTADO!$I$5:$I$404,0)),"")</f>
        <v/>
      </c>
      <c r="Q1111" s="26" t="str">
        <f>IFERROR(INDEX(EXTRATO_IMPORTADO!$B$5:$B$404,MATCH(B1111,EXTRATO_IMPORTADO!$I$5:$I$404,0)),"")</f>
        <v/>
      </c>
      <c r="R1111" s="26" t="str">
        <f>IFERROR(MATCH(B1111,EXTRATO_IMPORTADO!$I$5:$I$404,0),"")</f>
        <v/>
      </c>
      <c r="S1111" s="26" t="str">
        <f t="shared" si="52"/>
        <v/>
      </c>
      <c r="T1111" s="26" t="str">
        <f t="shared" si="53"/>
        <v/>
      </c>
    </row>
    <row r="1112" spans="1:20" x14ac:dyDescent="0.3">
      <c r="A1112" s="26" t="str">
        <f>IF(BASE_CAIXA!A1109="","",BASE_CAIXA!A1109)</f>
        <v/>
      </c>
      <c r="B1112" s="26" t="str">
        <f>IF(A1112="","",BASE_CAIXA!AL1109)</f>
        <v/>
      </c>
      <c r="C1112" s="26" t="str">
        <f>IF(A1112="","",BASE_CAIXA!AJ1109)</f>
        <v/>
      </c>
      <c r="D1112" s="26" t="str">
        <f>IF(A1112="","",IF(BASE_CAIXA!C1109="Entrada","Crédito","Débito"))</f>
        <v/>
      </c>
      <c r="E1112" s="26" t="str">
        <f>IF(A1112="","",BASE_CAIXA!AA1109)</f>
        <v/>
      </c>
      <c r="F1112" s="26" t="str">
        <f>IF(A1112="","",BASE_CAIXA!N1109)</f>
        <v/>
      </c>
      <c r="G1112" s="26" t="str">
        <f>IF(A1112="","",BASE_CAIXA!O1109)</f>
        <v/>
      </c>
      <c r="H1112" s="26" t="str">
        <f>IF(A1112="","",BASE_CAIXA!P1109)</f>
        <v/>
      </c>
      <c r="I1112" s="26" t="str">
        <f>IF(A1112="","",IF(BASE_CAIXA!H1109&lt;&gt;"",BASE_CAIXA!H1109,BASE_CAIXA!G1109))</f>
        <v/>
      </c>
      <c r="J1112" s="26" t="str">
        <f>IF(A1112="","",BASE_CAIXA!G1109)</f>
        <v/>
      </c>
      <c r="K1112" s="26" t="str">
        <f>IF(A1112="","",BASE_CAIXA!I1109)</f>
        <v/>
      </c>
      <c r="L1112" s="26" t="str">
        <f>IF(A1112="","",BASE_CAIXA!J1109)</f>
        <v/>
      </c>
      <c r="M1112" s="26" t="str">
        <f>IF(A1112="","",BASE_CAIXA!AM1109)</f>
        <v/>
      </c>
      <c r="N1112" s="26" t="str">
        <f t="shared" ca="1" si="51"/>
        <v/>
      </c>
      <c r="O1112" s="26" t="str">
        <f>IFERROR(INDEX(EXTRATO_IMPORTADO!$A$5:$A$404,MATCH(B1112,EXTRATO_IMPORTADO!$I$5:$I$404,0)),"")</f>
        <v/>
      </c>
      <c r="P1112" s="26" t="str">
        <f>IFERROR(INDEX(EXTRATO_IMPORTADO!$F$5:$F$404,MATCH(B1112,EXTRATO_IMPORTADO!$I$5:$I$404,0)),"")</f>
        <v/>
      </c>
      <c r="Q1112" s="26" t="str">
        <f>IFERROR(INDEX(EXTRATO_IMPORTADO!$B$5:$B$404,MATCH(B1112,EXTRATO_IMPORTADO!$I$5:$I$404,0)),"")</f>
        <v/>
      </c>
      <c r="R1112" s="26" t="str">
        <f>IFERROR(MATCH(B1112,EXTRATO_IMPORTADO!$I$5:$I$404,0),"")</f>
        <v/>
      </c>
      <c r="S1112" s="26" t="str">
        <f t="shared" si="52"/>
        <v/>
      </c>
      <c r="T1112" s="26" t="str">
        <f t="shared" si="53"/>
        <v/>
      </c>
    </row>
    <row r="1113" spans="1:20" x14ac:dyDescent="0.3">
      <c r="A1113" s="26" t="str">
        <f>IF(BASE_CAIXA!A1110="","",BASE_CAIXA!A1110)</f>
        <v/>
      </c>
      <c r="B1113" s="26" t="str">
        <f>IF(A1113="","",BASE_CAIXA!AL1110)</f>
        <v/>
      </c>
      <c r="C1113" s="26" t="str">
        <f>IF(A1113="","",BASE_CAIXA!AJ1110)</f>
        <v/>
      </c>
      <c r="D1113" s="26" t="str">
        <f>IF(A1113="","",IF(BASE_CAIXA!C1110="Entrada","Crédito","Débito"))</f>
        <v/>
      </c>
      <c r="E1113" s="26" t="str">
        <f>IF(A1113="","",BASE_CAIXA!AA1110)</f>
        <v/>
      </c>
      <c r="F1113" s="26" t="str">
        <f>IF(A1113="","",BASE_CAIXA!N1110)</f>
        <v/>
      </c>
      <c r="G1113" s="26" t="str">
        <f>IF(A1113="","",BASE_CAIXA!O1110)</f>
        <v/>
      </c>
      <c r="H1113" s="26" t="str">
        <f>IF(A1113="","",BASE_CAIXA!P1110)</f>
        <v/>
      </c>
      <c r="I1113" s="26" t="str">
        <f>IF(A1113="","",IF(BASE_CAIXA!H1110&lt;&gt;"",BASE_CAIXA!H1110,BASE_CAIXA!G1110))</f>
        <v/>
      </c>
      <c r="J1113" s="26" t="str">
        <f>IF(A1113="","",BASE_CAIXA!G1110)</f>
        <v/>
      </c>
      <c r="K1113" s="26" t="str">
        <f>IF(A1113="","",BASE_CAIXA!I1110)</f>
        <v/>
      </c>
      <c r="L1113" s="26" t="str">
        <f>IF(A1113="","",BASE_CAIXA!J1110)</f>
        <v/>
      </c>
      <c r="M1113" s="26" t="str">
        <f>IF(A1113="","",BASE_CAIXA!AM1110)</f>
        <v/>
      </c>
      <c r="N1113" s="26" t="str">
        <f t="shared" ca="1" si="51"/>
        <v/>
      </c>
      <c r="O1113" s="26" t="str">
        <f>IFERROR(INDEX(EXTRATO_IMPORTADO!$A$5:$A$404,MATCH(B1113,EXTRATO_IMPORTADO!$I$5:$I$404,0)),"")</f>
        <v/>
      </c>
      <c r="P1113" s="26" t="str">
        <f>IFERROR(INDEX(EXTRATO_IMPORTADO!$F$5:$F$404,MATCH(B1113,EXTRATO_IMPORTADO!$I$5:$I$404,0)),"")</f>
        <v/>
      </c>
      <c r="Q1113" s="26" t="str">
        <f>IFERROR(INDEX(EXTRATO_IMPORTADO!$B$5:$B$404,MATCH(B1113,EXTRATO_IMPORTADO!$I$5:$I$404,0)),"")</f>
        <v/>
      </c>
      <c r="R1113" s="26" t="str">
        <f>IFERROR(MATCH(B1113,EXTRATO_IMPORTADO!$I$5:$I$404,0),"")</f>
        <v/>
      </c>
      <c r="S1113" s="26" t="str">
        <f t="shared" si="52"/>
        <v/>
      </c>
      <c r="T1113" s="26" t="str">
        <f t="shared" si="53"/>
        <v/>
      </c>
    </row>
    <row r="1114" spans="1:20" x14ac:dyDescent="0.3">
      <c r="A1114" s="26" t="str">
        <f>IF(BASE_CAIXA!A1111="","",BASE_CAIXA!A1111)</f>
        <v/>
      </c>
      <c r="B1114" s="26" t="str">
        <f>IF(A1114="","",BASE_CAIXA!AL1111)</f>
        <v/>
      </c>
      <c r="C1114" s="26" t="str">
        <f>IF(A1114="","",BASE_CAIXA!AJ1111)</f>
        <v/>
      </c>
      <c r="D1114" s="26" t="str">
        <f>IF(A1114="","",IF(BASE_CAIXA!C1111="Entrada","Crédito","Débito"))</f>
        <v/>
      </c>
      <c r="E1114" s="26" t="str">
        <f>IF(A1114="","",BASE_CAIXA!AA1111)</f>
        <v/>
      </c>
      <c r="F1114" s="26" t="str">
        <f>IF(A1114="","",BASE_CAIXA!N1111)</f>
        <v/>
      </c>
      <c r="G1114" s="26" t="str">
        <f>IF(A1114="","",BASE_CAIXA!O1111)</f>
        <v/>
      </c>
      <c r="H1114" s="26" t="str">
        <f>IF(A1114="","",BASE_CAIXA!P1111)</f>
        <v/>
      </c>
      <c r="I1114" s="26" t="str">
        <f>IF(A1114="","",IF(BASE_CAIXA!H1111&lt;&gt;"",BASE_CAIXA!H1111,BASE_CAIXA!G1111))</f>
        <v/>
      </c>
      <c r="J1114" s="26" t="str">
        <f>IF(A1114="","",BASE_CAIXA!G1111)</f>
        <v/>
      </c>
      <c r="K1114" s="26" t="str">
        <f>IF(A1114="","",BASE_CAIXA!I1111)</f>
        <v/>
      </c>
      <c r="L1114" s="26" t="str">
        <f>IF(A1114="","",BASE_CAIXA!J1111)</f>
        <v/>
      </c>
      <c r="M1114" s="26" t="str">
        <f>IF(A1114="","",BASE_CAIXA!AM1111)</f>
        <v/>
      </c>
      <c r="N1114" s="26" t="str">
        <f t="shared" ca="1" si="51"/>
        <v/>
      </c>
      <c r="O1114" s="26" t="str">
        <f>IFERROR(INDEX(EXTRATO_IMPORTADO!$A$5:$A$404,MATCH(B1114,EXTRATO_IMPORTADO!$I$5:$I$404,0)),"")</f>
        <v/>
      </c>
      <c r="P1114" s="26" t="str">
        <f>IFERROR(INDEX(EXTRATO_IMPORTADO!$F$5:$F$404,MATCH(B1114,EXTRATO_IMPORTADO!$I$5:$I$404,0)),"")</f>
        <v/>
      </c>
      <c r="Q1114" s="26" t="str">
        <f>IFERROR(INDEX(EXTRATO_IMPORTADO!$B$5:$B$404,MATCH(B1114,EXTRATO_IMPORTADO!$I$5:$I$404,0)),"")</f>
        <v/>
      </c>
      <c r="R1114" s="26" t="str">
        <f>IFERROR(MATCH(B1114,EXTRATO_IMPORTADO!$I$5:$I$404,0),"")</f>
        <v/>
      </c>
      <c r="S1114" s="26" t="str">
        <f t="shared" si="52"/>
        <v/>
      </c>
      <c r="T1114" s="26" t="str">
        <f t="shared" si="53"/>
        <v/>
      </c>
    </row>
    <row r="1115" spans="1:20" x14ac:dyDescent="0.3">
      <c r="A1115" s="26" t="str">
        <f>IF(BASE_CAIXA!A1112="","",BASE_CAIXA!A1112)</f>
        <v/>
      </c>
      <c r="B1115" s="26" t="str">
        <f>IF(A1115="","",BASE_CAIXA!AL1112)</f>
        <v/>
      </c>
      <c r="C1115" s="26" t="str">
        <f>IF(A1115="","",BASE_CAIXA!AJ1112)</f>
        <v/>
      </c>
      <c r="D1115" s="26" t="str">
        <f>IF(A1115="","",IF(BASE_CAIXA!C1112="Entrada","Crédito","Débito"))</f>
        <v/>
      </c>
      <c r="E1115" s="26" t="str">
        <f>IF(A1115="","",BASE_CAIXA!AA1112)</f>
        <v/>
      </c>
      <c r="F1115" s="26" t="str">
        <f>IF(A1115="","",BASE_CAIXA!N1112)</f>
        <v/>
      </c>
      <c r="G1115" s="26" t="str">
        <f>IF(A1115="","",BASE_CAIXA!O1112)</f>
        <v/>
      </c>
      <c r="H1115" s="26" t="str">
        <f>IF(A1115="","",BASE_CAIXA!P1112)</f>
        <v/>
      </c>
      <c r="I1115" s="26" t="str">
        <f>IF(A1115="","",IF(BASE_CAIXA!H1112&lt;&gt;"",BASE_CAIXA!H1112,BASE_CAIXA!G1112))</f>
        <v/>
      </c>
      <c r="J1115" s="26" t="str">
        <f>IF(A1115="","",BASE_CAIXA!G1112)</f>
        <v/>
      </c>
      <c r="K1115" s="26" t="str">
        <f>IF(A1115="","",BASE_CAIXA!I1112)</f>
        <v/>
      </c>
      <c r="L1115" s="26" t="str">
        <f>IF(A1115="","",BASE_CAIXA!J1112)</f>
        <v/>
      </c>
      <c r="M1115" s="26" t="str">
        <f>IF(A1115="","",BASE_CAIXA!AM1112)</f>
        <v/>
      </c>
      <c r="N1115" s="26" t="str">
        <f t="shared" ca="1" si="51"/>
        <v/>
      </c>
      <c r="O1115" s="26" t="str">
        <f>IFERROR(INDEX(EXTRATO_IMPORTADO!$A$5:$A$404,MATCH(B1115,EXTRATO_IMPORTADO!$I$5:$I$404,0)),"")</f>
        <v/>
      </c>
      <c r="P1115" s="26" t="str">
        <f>IFERROR(INDEX(EXTRATO_IMPORTADO!$F$5:$F$404,MATCH(B1115,EXTRATO_IMPORTADO!$I$5:$I$404,0)),"")</f>
        <v/>
      </c>
      <c r="Q1115" s="26" t="str">
        <f>IFERROR(INDEX(EXTRATO_IMPORTADO!$B$5:$B$404,MATCH(B1115,EXTRATO_IMPORTADO!$I$5:$I$404,0)),"")</f>
        <v/>
      </c>
      <c r="R1115" s="26" t="str">
        <f>IFERROR(MATCH(B1115,EXTRATO_IMPORTADO!$I$5:$I$404,0),"")</f>
        <v/>
      </c>
      <c r="S1115" s="26" t="str">
        <f t="shared" si="52"/>
        <v/>
      </c>
      <c r="T1115" s="26" t="str">
        <f t="shared" si="53"/>
        <v/>
      </c>
    </row>
    <row r="1116" spans="1:20" x14ac:dyDescent="0.3">
      <c r="A1116" s="26" t="str">
        <f>IF(BASE_CAIXA!A1113="","",BASE_CAIXA!A1113)</f>
        <v/>
      </c>
      <c r="B1116" s="26" t="str">
        <f>IF(A1116="","",BASE_CAIXA!AL1113)</f>
        <v/>
      </c>
      <c r="C1116" s="26" t="str">
        <f>IF(A1116="","",BASE_CAIXA!AJ1113)</f>
        <v/>
      </c>
      <c r="D1116" s="26" t="str">
        <f>IF(A1116="","",IF(BASE_CAIXA!C1113="Entrada","Crédito","Débito"))</f>
        <v/>
      </c>
      <c r="E1116" s="26" t="str">
        <f>IF(A1116="","",BASE_CAIXA!AA1113)</f>
        <v/>
      </c>
      <c r="F1116" s="26" t="str">
        <f>IF(A1116="","",BASE_CAIXA!N1113)</f>
        <v/>
      </c>
      <c r="G1116" s="26" t="str">
        <f>IF(A1116="","",BASE_CAIXA!O1113)</f>
        <v/>
      </c>
      <c r="H1116" s="26" t="str">
        <f>IF(A1116="","",BASE_CAIXA!P1113)</f>
        <v/>
      </c>
      <c r="I1116" s="26" t="str">
        <f>IF(A1116="","",IF(BASE_CAIXA!H1113&lt;&gt;"",BASE_CAIXA!H1113,BASE_CAIXA!G1113))</f>
        <v/>
      </c>
      <c r="J1116" s="26" t="str">
        <f>IF(A1116="","",BASE_CAIXA!G1113)</f>
        <v/>
      </c>
      <c r="K1116" s="26" t="str">
        <f>IF(A1116="","",BASE_CAIXA!I1113)</f>
        <v/>
      </c>
      <c r="L1116" s="26" t="str">
        <f>IF(A1116="","",BASE_CAIXA!J1113)</f>
        <v/>
      </c>
      <c r="M1116" s="26" t="str">
        <f>IF(A1116="","",BASE_CAIXA!AM1113)</f>
        <v/>
      </c>
      <c r="N1116" s="26" t="str">
        <f t="shared" ca="1" si="51"/>
        <v/>
      </c>
      <c r="O1116" s="26" t="str">
        <f>IFERROR(INDEX(EXTRATO_IMPORTADO!$A$5:$A$404,MATCH(B1116,EXTRATO_IMPORTADO!$I$5:$I$404,0)),"")</f>
        <v/>
      </c>
      <c r="P1116" s="26" t="str">
        <f>IFERROR(INDEX(EXTRATO_IMPORTADO!$F$5:$F$404,MATCH(B1116,EXTRATO_IMPORTADO!$I$5:$I$404,0)),"")</f>
        <v/>
      </c>
      <c r="Q1116" s="26" t="str">
        <f>IFERROR(INDEX(EXTRATO_IMPORTADO!$B$5:$B$404,MATCH(B1116,EXTRATO_IMPORTADO!$I$5:$I$404,0)),"")</f>
        <v/>
      </c>
      <c r="R1116" s="26" t="str">
        <f>IFERROR(MATCH(B1116,EXTRATO_IMPORTADO!$I$5:$I$404,0),"")</f>
        <v/>
      </c>
      <c r="S1116" s="26" t="str">
        <f t="shared" si="52"/>
        <v/>
      </c>
      <c r="T1116" s="26" t="str">
        <f t="shared" si="53"/>
        <v/>
      </c>
    </row>
    <row r="1117" spans="1:20" x14ac:dyDescent="0.3">
      <c r="A1117" s="26" t="str">
        <f>IF(BASE_CAIXA!A1114="","",BASE_CAIXA!A1114)</f>
        <v/>
      </c>
      <c r="B1117" s="26" t="str">
        <f>IF(A1117="","",BASE_CAIXA!AL1114)</f>
        <v/>
      </c>
      <c r="C1117" s="26" t="str">
        <f>IF(A1117="","",BASE_CAIXA!AJ1114)</f>
        <v/>
      </c>
      <c r="D1117" s="26" t="str">
        <f>IF(A1117="","",IF(BASE_CAIXA!C1114="Entrada","Crédito","Débito"))</f>
        <v/>
      </c>
      <c r="E1117" s="26" t="str">
        <f>IF(A1117="","",BASE_CAIXA!AA1114)</f>
        <v/>
      </c>
      <c r="F1117" s="26" t="str">
        <f>IF(A1117="","",BASE_CAIXA!N1114)</f>
        <v/>
      </c>
      <c r="G1117" s="26" t="str">
        <f>IF(A1117="","",BASE_CAIXA!O1114)</f>
        <v/>
      </c>
      <c r="H1117" s="26" t="str">
        <f>IF(A1117="","",BASE_CAIXA!P1114)</f>
        <v/>
      </c>
      <c r="I1117" s="26" t="str">
        <f>IF(A1117="","",IF(BASE_CAIXA!H1114&lt;&gt;"",BASE_CAIXA!H1114,BASE_CAIXA!G1114))</f>
        <v/>
      </c>
      <c r="J1117" s="26" t="str">
        <f>IF(A1117="","",BASE_CAIXA!G1114)</f>
        <v/>
      </c>
      <c r="K1117" s="26" t="str">
        <f>IF(A1117="","",BASE_CAIXA!I1114)</f>
        <v/>
      </c>
      <c r="L1117" s="26" t="str">
        <f>IF(A1117="","",BASE_CAIXA!J1114)</f>
        <v/>
      </c>
      <c r="M1117" s="26" t="str">
        <f>IF(A1117="","",BASE_CAIXA!AM1114)</f>
        <v/>
      </c>
      <c r="N1117" s="26" t="str">
        <f t="shared" ca="1" si="51"/>
        <v/>
      </c>
      <c r="O1117" s="26" t="str">
        <f>IFERROR(INDEX(EXTRATO_IMPORTADO!$A$5:$A$404,MATCH(B1117,EXTRATO_IMPORTADO!$I$5:$I$404,0)),"")</f>
        <v/>
      </c>
      <c r="P1117" s="26" t="str">
        <f>IFERROR(INDEX(EXTRATO_IMPORTADO!$F$5:$F$404,MATCH(B1117,EXTRATO_IMPORTADO!$I$5:$I$404,0)),"")</f>
        <v/>
      </c>
      <c r="Q1117" s="26" t="str">
        <f>IFERROR(INDEX(EXTRATO_IMPORTADO!$B$5:$B$404,MATCH(B1117,EXTRATO_IMPORTADO!$I$5:$I$404,0)),"")</f>
        <v/>
      </c>
      <c r="R1117" s="26" t="str">
        <f>IFERROR(MATCH(B1117,EXTRATO_IMPORTADO!$I$5:$I$404,0),"")</f>
        <v/>
      </c>
      <c r="S1117" s="26" t="str">
        <f t="shared" si="52"/>
        <v/>
      </c>
      <c r="T1117" s="26" t="str">
        <f t="shared" si="53"/>
        <v/>
      </c>
    </row>
    <row r="1118" spans="1:20" x14ac:dyDescent="0.3">
      <c r="A1118" s="26" t="str">
        <f>IF(BASE_CAIXA!A1115="","",BASE_CAIXA!A1115)</f>
        <v/>
      </c>
      <c r="B1118" s="26" t="str">
        <f>IF(A1118="","",BASE_CAIXA!AL1115)</f>
        <v/>
      </c>
      <c r="C1118" s="26" t="str">
        <f>IF(A1118="","",BASE_CAIXA!AJ1115)</f>
        <v/>
      </c>
      <c r="D1118" s="26" t="str">
        <f>IF(A1118="","",IF(BASE_CAIXA!C1115="Entrada","Crédito","Débito"))</f>
        <v/>
      </c>
      <c r="E1118" s="26" t="str">
        <f>IF(A1118="","",BASE_CAIXA!AA1115)</f>
        <v/>
      </c>
      <c r="F1118" s="26" t="str">
        <f>IF(A1118="","",BASE_CAIXA!N1115)</f>
        <v/>
      </c>
      <c r="G1118" s="26" t="str">
        <f>IF(A1118="","",BASE_CAIXA!O1115)</f>
        <v/>
      </c>
      <c r="H1118" s="26" t="str">
        <f>IF(A1118="","",BASE_CAIXA!P1115)</f>
        <v/>
      </c>
      <c r="I1118" s="26" t="str">
        <f>IF(A1118="","",IF(BASE_CAIXA!H1115&lt;&gt;"",BASE_CAIXA!H1115,BASE_CAIXA!G1115))</f>
        <v/>
      </c>
      <c r="J1118" s="26" t="str">
        <f>IF(A1118="","",BASE_CAIXA!G1115)</f>
        <v/>
      </c>
      <c r="K1118" s="26" t="str">
        <f>IF(A1118="","",BASE_CAIXA!I1115)</f>
        <v/>
      </c>
      <c r="L1118" s="26" t="str">
        <f>IF(A1118="","",BASE_CAIXA!J1115)</f>
        <v/>
      </c>
      <c r="M1118" s="26" t="str">
        <f>IF(A1118="","",BASE_CAIXA!AM1115)</f>
        <v/>
      </c>
      <c r="N1118" s="26" t="str">
        <f t="shared" ca="1" si="51"/>
        <v/>
      </c>
      <c r="O1118" s="26" t="str">
        <f>IFERROR(INDEX(EXTRATO_IMPORTADO!$A$5:$A$404,MATCH(B1118,EXTRATO_IMPORTADO!$I$5:$I$404,0)),"")</f>
        <v/>
      </c>
      <c r="P1118" s="26" t="str">
        <f>IFERROR(INDEX(EXTRATO_IMPORTADO!$F$5:$F$404,MATCH(B1118,EXTRATO_IMPORTADO!$I$5:$I$404,0)),"")</f>
        <v/>
      </c>
      <c r="Q1118" s="26" t="str">
        <f>IFERROR(INDEX(EXTRATO_IMPORTADO!$B$5:$B$404,MATCH(B1118,EXTRATO_IMPORTADO!$I$5:$I$404,0)),"")</f>
        <v/>
      </c>
      <c r="R1118" s="26" t="str">
        <f>IFERROR(MATCH(B1118,EXTRATO_IMPORTADO!$I$5:$I$404,0),"")</f>
        <v/>
      </c>
      <c r="S1118" s="26" t="str">
        <f t="shared" si="52"/>
        <v/>
      </c>
      <c r="T1118" s="26" t="str">
        <f t="shared" si="53"/>
        <v/>
      </c>
    </row>
    <row r="1119" spans="1:20" x14ac:dyDescent="0.3">
      <c r="A1119" s="26" t="str">
        <f>IF(BASE_CAIXA!A1116="","",BASE_CAIXA!A1116)</f>
        <v/>
      </c>
      <c r="B1119" s="26" t="str">
        <f>IF(A1119="","",BASE_CAIXA!AL1116)</f>
        <v/>
      </c>
      <c r="C1119" s="26" t="str">
        <f>IF(A1119="","",BASE_CAIXA!AJ1116)</f>
        <v/>
      </c>
      <c r="D1119" s="26" t="str">
        <f>IF(A1119="","",IF(BASE_CAIXA!C1116="Entrada","Crédito","Débito"))</f>
        <v/>
      </c>
      <c r="E1119" s="26" t="str">
        <f>IF(A1119="","",BASE_CAIXA!AA1116)</f>
        <v/>
      </c>
      <c r="F1119" s="26" t="str">
        <f>IF(A1119="","",BASE_CAIXA!N1116)</f>
        <v/>
      </c>
      <c r="G1119" s="26" t="str">
        <f>IF(A1119="","",BASE_CAIXA!O1116)</f>
        <v/>
      </c>
      <c r="H1119" s="26" t="str">
        <f>IF(A1119="","",BASE_CAIXA!P1116)</f>
        <v/>
      </c>
      <c r="I1119" s="26" t="str">
        <f>IF(A1119="","",IF(BASE_CAIXA!H1116&lt;&gt;"",BASE_CAIXA!H1116,BASE_CAIXA!G1116))</f>
        <v/>
      </c>
      <c r="J1119" s="26" t="str">
        <f>IF(A1119="","",BASE_CAIXA!G1116)</f>
        <v/>
      </c>
      <c r="K1119" s="26" t="str">
        <f>IF(A1119="","",BASE_CAIXA!I1116)</f>
        <v/>
      </c>
      <c r="L1119" s="26" t="str">
        <f>IF(A1119="","",BASE_CAIXA!J1116)</f>
        <v/>
      </c>
      <c r="M1119" s="26" t="str">
        <f>IF(A1119="","",BASE_CAIXA!AM1116)</f>
        <v/>
      </c>
      <c r="N1119" s="26" t="str">
        <f t="shared" ca="1" si="51"/>
        <v/>
      </c>
      <c r="O1119" s="26" t="str">
        <f>IFERROR(INDEX(EXTRATO_IMPORTADO!$A$5:$A$404,MATCH(B1119,EXTRATO_IMPORTADO!$I$5:$I$404,0)),"")</f>
        <v/>
      </c>
      <c r="P1119" s="26" t="str">
        <f>IFERROR(INDEX(EXTRATO_IMPORTADO!$F$5:$F$404,MATCH(B1119,EXTRATO_IMPORTADO!$I$5:$I$404,0)),"")</f>
        <v/>
      </c>
      <c r="Q1119" s="26" t="str">
        <f>IFERROR(INDEX(EXTRATO_IMPORTADO!$B$5:$B$404,MATCH(B1119,EXTRATO_IMPORTADO!$I$5:$I$404,0)),"")</f>
        <v/>
      </c>
      <c r="R1119" s="26" t="str">
        <f>IFERROR(MATCH(B1119,EXTRATO_IMPORTADO!$I$5:$I$404,0),"")</f>
        <v/>
      </c>
      <c r="S1119" s="26" t="str">
        <f t="shared" si="52"/>
        <v/>
      </c>
      <c r="T1119" s="26" t="str">
        <f t="shared" si="53"/>
        <v/>
      </c>
    </row>
    <row r="1120" spans="1:20" x14ac:dyDescent="0.3">
      <c r="A1120" s="26" t="str">
        <f>IF(BASE_CAIXA!A1117="","",BASE_CAIXA!A1117)</f>
        <v/>
      </c>
      <c r="B1120" s="26" t="str">
        <f>IF(A1120="","",BASE_CAIXA!AL1117)</f>
        <v/>
      </c>
      <c r="C1120" s="26" t="str">
        <f>IF(A1120="","",BASE_CAIXA!AJ1117)</f>
        <v/>
      </c>
      <c r="D1120" s="26" t="str">
        <f>IF(A1120="","",IF(BASE_CAIXA!C1117="Entrada","Crédito","Débito"))</f>
        <v/>
      </c>
      <c r="E1120" s="26" t="str">
        <f>IF(A1120="","",BASE_CAIXA!AA1117)</f>
        <v/>
      </c>
      <c r="F1120" s="26" t="str">
        <f>IF(A1120="","",BASE_CAIXA!N1117)</f>
        <v/>
      </c>
      <c r="G1120" s="26" t="str">
        <f>IF(A1120="","",BASE_CAIXA!O1117)</f>
        <v/>
      </c>
      <c r="H1120" s="26" t="str">
        <f>IF(A1120="","",BASE_CAIXA!P1117)</f>
        <v/>
      </c>
      <c r="I1120" s="26" t="str">
        <f>IF(A1120="","",IF(BASE_CAIXA!H1117&lt;&gt;"",BASE_CAIXA!H1117,BASE_CAIXA!G1117))</f>
        <v/>
      </c>
      <c r="J1120" s="26" t="str">
        <f>IF(A1120="","",BASE_CAIXA!G1117)</f>
        <v/>
      </c>
      <c r="K1120" s="26" t="str">
        <f>IF(A1120="","",BASE_CAIXA!I1117)</f>
        <v/>
      </c>
      <c r="L1120" s="26" t="str">
        <f>IF(A1120="","",BASE_CAIXA!J1117)</f>
        <v/>
      </c>
      <c r="M1120" s="26" t="str">
        <f>IF(A1120="","",BASE_CAIXA!AM1117)</f>
        <v/>
      </c>
      <c r="N1120" s="26" t="str">
        <f t="shared" ca="1" si="51"/>
        <v/>
      </c>
      <c r="O1120" s="26" t="str">
        <f>IFERROR(INDEX(EXTRATO_IMPORTADO!$A$5:$A$404,MATCH(B1120,EXTRATO_IMPORTADO!$I$5:$I$404,0)),"")</f>
        <v/>
      </c>
      <c r="P1120" s="26" t="str">
        <f>IFERROR(INDEX(EXTRATO_IMPORTADO!$F$5:$F$404,MATCH(B1120,EXTRATO_IMPORTADO!$I$5:$I$404,0)),"")</f>
        <v/>
      </c>
      <c r="Q1120" s="26" t="str">
        <f>IFERROR(INDEX(EXTRATO_IMPORTADO!$B$5:$B$404,MATCH(B1120,EXTRATO_IMPORTADO!$I$5:$I$404,0)),"")</f>
        <v/>
      </c>
      <c r="R1120" s="26" t="str">
        <f>IFERROR(MATCH(B1120,EXTRATO_IMPORTADO!$I$5:$I$404,0),"")</f>
        <v/>
      </c>
      <c r="S1120" s="26" t="str">
        <f t="shared" si="52"/>
        <v/>
      </c>
      <c r="T1120" s="26" t="str">
        <f t="shared" si="53"/>
        <v/>
      </c>
    </row>
    <row r="1121" spans="1:20" x14ac:dyDescent="0.3">
      <c r="A1121" s="26" t="str">
        <f>IF(BASE_CAIXA!A1118="","",BASE_CAIXA!A1118)</f>
        <v/>
      </c>
      <c r="B1121" s="26" t="str">
        <f>IF(A1121="","",BASE_CAIXA!AL1118)</f>
        <v/>
      </c>
      <c r="C1121" s="26" t="str">
        <f>IF(A1121="","",BASE_CAIXA!AJ1118)</f>
        <v/>
      </c>
      <c r="D1121" s="26" t="str">
        <f>IF(A1121="","",IF(BASE_CAIXA!C1118="Entrada","Crédito","Débito"))</f>
        <v/>
      </c>
      <c r="E1121" s="26" t="str">
        <f>IF(A1121="","",BASE_CAIXA!AA1118)</f>
        <v/>
      </c>
      <c r="F1121" s="26" t="str">
        <f>IF(A1121="","",BASE_CAIXA!N1118)</f>
        <v/>
      </c>
      <c r="G1121" s="26" t="str">
        <f>IF(A1121="","",BASE_CAIXA!O1118)</f>
        <v/>
      </c>
      <c r="H1121" s="26" t="str">
        <f>IF(A1121="","",BASE_CAIXA!P1118)</f>
        <v/>
      </c>
      <c r="I1121" s="26" t="str">
        <f>IF(A1121="","",IF(BASE_CAIXA!H1118&lt;&gt;"",BASE_CAIXA!H1118,BASE_CAIXA!G1118))</f>
        <v/>
      </c>
      <c r="J1121" s="26" t="str">
        <f>IF(A1121="","",BASE_CAIXA!G1118)</f>
        <v/>
      </c>
      <c r="K1121" s="26" t="str">
        <f>IF(A1121="","",BASE_CAIXA!I1118)</f>
        <v/>
      </c>
      <c r="L1121" s="26" t="str">
        <f>IF(A1121="","",BASE_CAIXA!J1118)</f>
        <v/>
      </c>
      <c r="M1121" s="26" t="str">
        <f>IF(A1121="","",BASE_CAIXA!AM1118)</f>
        <v/>
      </c>
      <c r="N1121" s="26" t="str">
        <f t="shared" ca="1" si="51"/>
        <v/>
      </c>
      <c r="O1121" s="26" t="str">
        <f>IFERROR(INDEX(EXTRATO_IMPORTADO!$A$5:$A$404,MATCH(B1121,EXTRATO_IMPORTADO!$I$5:$I$404,0)),"")</f>
        <v/>
      </c>
      <c r="P1121" s="26" t="str">
        <f>IFERROR(INDEX(EXTRATO_IMPORTADO!$F$5:$F$404,MATCH(B1121,EXTRATO_IMPORTADO!$I$5:$I$404,0)),"")</f>
        <v/>
      </c>
      <c r="Q1121" s="26" t="str">
        <f>IFERROR(INDEX(EXTRATO_IMPORTADO!$B$5:$B$404,MATCH(B1121,EXTRATO_IMPORTADO!$I$5:$I$404,0)),"")</f>
        <v/>
      </c>
      <c r="R1121" s="26" t="str">
        <f>IFERROR(MATCH(B1121,EXTRATO_IMPORTADO!$I$5:$I$404,0),"")</f>
        <v/>
      </c>
      <c r="S1121" s="26" t="str">
        <f t="shared" si="52"/>
        <v/>
      </c>
      <c r="T1121" s="26" t="str">
        <f t="shared" si="53"/>
        <v/>
      </c>
    </row>
    <row r="1122" spans="1:20" x14ac:dyDescent="0.3">
      <c r="A1122" s="26" t="str">
        <f>IF(BASE_CAIXA!A1119="","",BASE_CAIXA!A1119)</f>
        <v/>
      </c>
      <c r="B1122" s="26" t="str">
        <f>IF(A1122="","",BASE_CAIXA!AL1119)</f>
        <v/>
      </c>
      <c r="C1122" s="26" t="str">
        <f>IF(A1122="","",BASE_CAIXA!AJ1119)</f>
        <v/>
      </c>
      <c r="D1122" s="26" t="str">
        <f>IF(A1122="","",IF(BASE_CAIXA!C1119="Entrada","Crédito","Débito"))</f>
        <v/>
      </c>
      <c r="E1122" s="26" t="str">
        <f>IF(A1122="","",BASE_CAIXA!AA1119)</f>
        <v/>
      </c>
      <c r="F1122" s="26" t="str">
        <f>IF(A1122="","",BASE_CAIXA!N1119)</f>
        <v/>
      </c>
      <c r="G1122" s="26" t="str">
        <f>IF(A1122="","",BASE_CAIXA!O1119)</f>
        <v/>
      </c>
      <c r="H1122" s="26" t="str">
        <f>IF(A1122="","",BASE_CAIXA!P1119)</f>
        <v/>
      </c>
      <c r="I1122" s="26" t="str">
        <f>IF(A1122="","",IF(BASE_CAIXA!H1119&lt;&gt;"",BASE_CAIXA!H1119,BASE_CAIXA!G1119))</f>
        <v/>
      </c>
      <c r="J1122" s="26" t="str">
        <f>IF(A1122="","",BASE_CAIXA!G1119)</f>
        <v/>
      </c>
      <c r="K1122" s="26" t="str">
        <f>IF(A1122="","",BASE_CAIXA!I1119)</f>
        <v/>
      </c>
      <c r="L1122" s="26" t="str">
        <f>IF(A1122="","",BASE_CAIXA!J1119)</f>
        <v/>
      </c>
      <c r="M1122" s="26" t="str">
        <f>IF(A1122="","",BASE_CAIXA!AM1119)</f>
        <v/>
      </c>
      <c r="N1122" s="26" t="str">
        <f t="shared" ca="1" si="51"/>
        <v/>
      </c>
      <c r="O1122" s="26" t="str">
        <f>IFERROR(INDEX(EXTRATO_IMPORTADO!$A$5:$A$404,MATCH(B1122,EXTRATO_IMPORTADO!$I$5:$I$404,0)),"")</f>
        <v/>
      </c>
      <c r="P1122" s="26" t="str">
        <f>IFERROR(INDEX(EXTRATO_IMPORTADO!$F$5:$F$404,MATCH(B1122,EXTRATO_IMPORTADO!$I$5:$I$404,0)),"")</f>
        <v/>
      </c>
      <c r="Q1122" s="26" t="str">
        <f>IFERROR(INDEX(EXTRATO_IMPORTADO!$B$5:$B$404,MATCH(B1122,EXTRATO_IMPORTADO!$I$5:$I$404,0)),"")</f>
        <v/>
      </c>
      <c r="R1122" s="26" t="str">
        <f>IFERROR(MATCH(B1122,EXTRATO_IMPORTADO!$I$5:$I$404,0),"")</f>
        <v/>
      </c>
      <c r="S1122" s="26" t="str">
        <f t="shared" si="52"/>
        <v/>
      </c>
      <c r="T1122" s="26" t="str">
        <f t="shared" si="53"/>
        <v/>
      </c>
    </row>
    <row r="1123" spans="1:20" x14ac:dyDescent="0.3">
      <c r="A1123" s="26" t="str">
        <f>IF(BASE_CAIXA!A1120="","",BASE_CAIXA!A1120)</f>
        <v/>
      </c>
      <c r="B1123" s="26" t="str">
        <f>IF(A1123="","",BASE_CAIXA!AL1120)</f>
        <v/>
      </c>
      <c r="C1123" s="26" t="str">
        <f>IF(A1123="","",BASE_CAIXA!AJ1120)</f>
        <v/>
      </c>
      <c r="D1123" s="26" t="str">
        <f>IF(A1123="","",IF(BASE_CAIXA!C1120="Entrada","Crédito","Débito"))</f>
        <v/>
      </c>
      <c r="E1123" s="26" t="str">
        <f>IF(A1123="","",BASE_CAIXA!AA1120)</f>
        <v/>
      </c>
      <c r="F1123" s="26" t="str">
        <f>IF(A1123="","",BASE_CAIXA!N1120)</f>
        <v/>
      </c>
      <c r="G1123" s="26" t="str">
        <f>IF(A1123="","",BASE_CAIXA!O1120)</f>
        <v/>
      </c>
      <c r="H1123" s="26" t="str">
        <f>IF(A1123="","",BASE_CAIXA!P1120)</f>
        <v/>
      </c>
      <c r="I1123" s="26" t="str">
        <f>IF(A1123="","",IF(BASE_CAIXA!H1120&lt;&gt;"",BASE_CAIXA!H1120,BASE_CAIXA!G1120))</f>
        <v/>
      </c>
      <c r="J1123" s="26" t="str">
        <f>IF(A1123="","",BASE_CAIXA!G1120)</f>
        <v/>
      </c>
      <c r="K1123" s="26" t="str">
        <f>IF(A1123="","",BASE_CAIXA!I1120)</f>
        <v/>
      </c>
      <c r="L1123" s="26" t="str">
        <f>IF(A1123="","",BASE_CAIXA!J1120)</f>
        <v/>
      </c>
      <c r="M1123" s="26" t="str">
        <f>IF(A1123="","",BASE_CAIXA!AM1120)</f>
        <v/>
      </c>
      <c r="N1123" s="26" t="str">
        <f t="shared" ca="1" si="51"/>
        <v/>
      </c>
      <c r="O1123" s="26" t="str">
        <f>IFERROR(INDEX(EXTRATO_IMPORTADO!$A$5:$A$404,MATCH(B1123,EXTRATO_IMPORTADO!$I$5:$I$404,0)),"")</f>
        <v/>
      </c>
      <c r="P1123" s="26" t="str">
        <f>IFERROR(INDEX(EXTRATO_IMPORTADO!$F$5:$F$404,MATCH(B1123,EXTRATO_IMPORTADO!$I$5:$I$404,0)),"")</f>
        <v/>
      </c>
      <c r="Q1123" s="26" t="str">
        <f>IFERROR(INDEX(EXTRATO_IMPORTADO!$B$5:$B$404,MATCH(B1123,EXTRATO_IMPORTADO!$I$5:$I$404,0)),"")</f>
        <v/>
      </c>
      <c r="R1123" s="26" t="str">
        <f>IFERROR(MATCH(B1123,EXTRATO_IMPORTADO!$I$5:$I$404,0),"")</f>
        <v/>
      </c>
      <c r="S1123" s="26" t="str">
        <f t="shared" si="52"/>
        <v/>
      </c>
      <c r="T1123" s="26" t="str">
        <f t="shared" si="53"/>
        <v/>
      </c>
    </row>
    <row r="1124" spans="1:20" x14ac:dyDescent="0.3">
      <c r="A1124" s="26" t="str">
        <f>IF(BASE_CAIXA!A1121="","",BASE_CAIXA!A1121)</f>
        <v/>
      </c>
      <c r="B1124" s="26" t="str">
        <f>IF(A1124="","",BASE_CAIXA!AL1121)</f>
        <v/>
      </c>
      <c r="C1124" s="26" t="str">
        <f>IF(A1124="","",BASE_CAIXA!AJ1121)</f>
        <v/>
      </c>
      <c r="D1124" s="26" t="str">
        <f>IF(A1124="","",IF(BASE_CAIXA!C1121="Entrada","Crédito","Débito"))</f>
        <v/>
      </c>
      <c r="E1124" s="26" t="str">
        <f>IF(A1124="","",BASE_CAIXA!AA1121)</f>
        <v/>
      </c>
      <c r="F1124" s="26" t="str">
        <f>IF(A1124="","",BASE_CAIXA!N1121)</f>
        <v/>
      </c>
      <c r="G1124" s="26" t="str">
        <f>IF(A1124="","",BASE_CAIXA!O1121)</f>
        <v/>
      </c>
      <c r="H1124" s="26" t="str">
        <f>IF(A1124="","",BASE_CAIXA!P1121)</f>
        <v/>
      </c>
      <c r="I1124" s="26" t="str">
        <f>IF(A1124="","",IF(BASE_CAIXA!H1121&lt;&gt;"",BASE_CAIXA!H1121,BASE_CAIXA!G1121))</f>
        <v/>
      </c>
      <c r="J1124" s="26" t="str">
        <f>IF(A1124="","",BASE_CAIXA!G1121)</f>
        <v/>
      </c>
      <c r="K1124" s="26" t="str">
        <f>IF(A1124="","",BASE_CAIXA!I1121)</f>
        <v/>
      </c>
      <c r="L1124" s="26" t="str">
        <f>IF(A1124="","",BASE_CAIXA!J1121)</f>
        <v/>
      </c>
      <c r="M1124" s="26" t="str">
        <f>IF(A1124="","",BASE_CAIXA!AM1121)</f>
        <v/>
      </c>
      <c r="N1124" s="26" t="str">
        <f t="shared" ca="1" si="51"/>
        <v/>
      </c>
      <c r="O1124" s="26" t="str">
        <f>IFERROR(INDEX(EXTRATO_IMPORTADO!$A$5:$A$404,MATCH(B1124,EXTRATO_IMPORTADO!$I$5:$I$404,0)),"")</f>
        <v/>
      </c>
      <c r="P1124" s="26" t="str">
        <f>IFERROR(INDEX(EXTRATO_IMPORTADO!$F$5:$F$404,MATCH(B1124,EXTRATO_IMPORTADO!$I$5:$I$404,0)),"")</f>
        <v/>
      </c>
      <c r="Q1124" s="26" t="str">
        <f>IFERROR(INDEX(EXTRATO_IMPORTADO!$B$5:$B$404,MATCH(B1124,EXTRATO_IMPORTADO!$I$5:$I$404,0)),"")</f>
        <v/>
      </c>
      <c r="R1124" s="26" t="str">
        <f>IFERROR(MATCH(B1124,EXTRATO_IMPORTADO!$I$5:$I$404,0),"")</f>
        <v/>
      </c>
      <c r="S1124" s="26" t="str">
        <f t="shared" si="52"/>
        <v/>
      </c>
      <c r="T1124" s="26" t="str">
        <f t="shared" si="53"/>
        <v/>
      </c>
    </row>
    <row r="1125" spans="1:20" x14ac:dyDescent="0.3">
      <c r="A1125" s="26" t="str">
        <f>IF(BASE_CAIXA!A1122="","",BASE_CAIXA!A1122)</f>
        <v/>
      </c>
      <c r="B1125" s="26" t="str">
        <f>IF(A1125="","",BASE_CAIXA!AL1122)</f>
        <v/>
      </c>
      <c r="C1125" s="26" t="str">
        <f>IF(A1125="","",BASE_CAIXA!AJ1122)</f>
        <v/>
      </c>
      <c r="D1125" s="26" t="str">
        <f>IF(A1125="","",IF(BASE_CAIXA!C1122="Entrada","Crédito","Débito"))</f>
        <v/>
      </c>
      <c r="E1125" s="26" t="str">
        <f>IF(A1125="","",BASE_CAIXA!AA1122)</f>
        <v/>
      </c>
      <c r="F1125" s="26" t="str">
        <f>IF(A1125="","",BASE_CAIXA!N1122)</f>
        <v/>
      </c>
      <c r="G1125" s="26" t="str">
        <f>IF(A1125="","",BASE_CAIXA!O1122)</f>
        <v/>
      </c>
      <c r="H1125" s="26" t="str">
        <f>IF(A1125="","",BASE_CAIXA!P1122)</f>
        <v/>
      </c>
      <c r="I1125" s="26" t="str">
        <f>IF(A1125="","",IF(BASE_CAIXA!H1122&lt;&gt;"",BASE_CAIXA!H1122,BASE_CAIXA!G1122))</f>
        <v/>
      </c>
      <c r="J1125" s="26" t="str">
        <f>IF(A1125="","",BASE_CAIXA!G1122)</f>
        <v/>
      </c>
      <c r="K1125" s="26" t="str">
        <f>IF(A1125="","",BASE_CAIXA!I1122)</f>
        <v/>
      </c>
      <c r="L1125" s="26" t="str">
        <f>IF(A1125="","",BASE_CAIXA!J1122)</f>
        <v/>
      </c>
      <c r="M1125" s="26" t="str">
        <f>IF(A1125="","",BASE_CAIXA!AM1122)</f>
        <v/>
      </c>
      <c r="N1125" s="26" t="str">
        <f t="shared" ca="1" si="51"/>
        <v/>
      </c>
      <c r="O1125" s="26" t="str">
        <f>IFERROR(INDEX(EXTRATO_IMPORTADO!$A$5:$A$404,MATCH(B1125,EXTRATO_IMPORTADO!$I$5:$I$404,0)),"")</f>
        <v/>
      </c>
      <c r="P1125" s="26" t="str">
        <f>IFERROR(INDEX(EXTRATO_IMPORTADO!$F$5:$F$404,MATCH(B1125,EXTRATO_IMPORTADO!$I$5:$I$404,0)),"")</f>
        <v/>
      </c>
      <c r="Q1125" s="26" t="str">
        <f>IFERROR(INDEX(EXTRATO_IMPORTADO!$B$5:$B$404,MATCH(B1125,EXTRATO_IMPORTADO!$I$5:$I$404,0)),"")</f>
        <v/>
      </c>
      <c r="R1125" s="26" t="str">
        <f>IFERROR(MATCH(B1125,EXTRATO_IMPORTADO!$I$5:$I$404,0),"")</f>
        <v/>
      </c>
      <c r="S1125" s="26" t="str">
        <f t="shared" si="52"/>
        <v/>
      </c>
      <c r="T1125" s="26" t="str">
        <f t="shared" si="53"/>
        <v/>
      </c>
    </row>
    <row r="1126" spans="1:20" x14ac:dyDescent="0.3">
      <c r="A1126" s="26" t="str">
        <f>IF(BASE_CAIXA!A1123="","",BASE_CAIXA!A1123)</f>
        <v/>
      </c>
      <c r="B1126" s="26" t="str">
        <f>IF(A1126="","",BASE_CAIXA!AL1123)</f>
        <v/>
      </c>
      <c r="C1126" s="26" t="str">
        <f>IF(A1126="","",BASE_CAIXA!AJ1123)</f>
        <v/>
      </c>
      <c r="D1126" s="26" t="str">
        <f>IF(A1126="","",IF(BASE_CAIXA!C1123="Entrada","Crédito","Débito"))</f>
        <v/>
      </c>
      <c r="E1126" s="26" t="str">
        <f>IF(A1126="","",BASE_CAIXA!AA1123)</f>
        <v/>
      </c>
      <c r="F1126" s="26" t="str">
        <f>IF(A1126="","",BASE_CAIXA!N1123)</f>
        <v/>
      </c>
      <c r="G1126" s="26" t="str">
        <f>IF(A1126="","",BASE_CAIXA!O1123)</f>
        <v/>
      </c>
      <c r="H1126" s="26" t="str">
        <f>IF(A1126="","",BASE_CAIXA!P1123)</f>
        <v/>
      </c>
      <c r="I1126" s="26" t="str">
        <f>IF(A1126="","",IF(BASE_CAIXA!H1123&lt;&gt;"",BASE_CAIXA!H1123,BASE_CAIXA!G1123))</f>
        <v/>
      </c>
      <c r="J1126" s="26" t="str">
        <f>IF(A1126="","",BASE_CAIXA!G1123)</f>
        <v/>
      </c>
      <c r="K1126" s="26" t="str">
        <f>IF(A1126="","",BASE_CAIXA!I1123)</f>
        <v/>
      </c>
      <c r="L1126" s="26" t="str">
        <f>IF(A1126="","",BASE_CAIXA!J1123)</f>
        <v/>
      </c>
      <c r="M1126" s="26" t="str">
        <f>IF(A1126="","",BASE_CAIXA!AM1123)</f>
        <v/>
      </c>
      <c r="N1126" s="26" t="str">
        <f t="shared" ca="1" si="51"/>
        <v/>
      </c>
      <c r="O1126" s="26" t="str">
        <f>IFERROR(INDEX(EXTRATO_IMPORTADO!$A$5:$A$404,MATCH(B1126,EXTRATO_IMPORTADO!$I$5:$I$404,0)),"")</f>
        <v/>
      </c>
      <c r="P1126" s="26" t="str">
        <f>IFERROR(INDEX(EXTRATO_IMPORTADO!$F$5:$F$404,MATCH(B1126,EXTRATO_IMPORTADO!$I$5:$I$404,0)),"")</f>
        <v/>
      </c>
      <c r="Q1126" s="26" t="str">
        <f>IFERROR(INDEX(EXTRATO_IMPORTADO!$B$5:$B$404,MATCH(B1126,EXTRATO_IMPORTADO!$I$5:$I$404,0)),"")</f>
        <v/>
      </c>
      <c r="R1126" s="26" t="str">
        <f>IFERROR(MATCH(B1126,EXTRATO_IMPORTADO!$I$5:$I$404,0),"")</f>
        <v/>
      </c>
      <c r="S1126" s="26" t="str">
        <f t="shared" si="52"/>
        <v/>
      </c>
      <c r="T1126" s="26" t="str">
        <f t="shared" si="53"/>
        <v/>
      </c>
    </row>
    <row r="1127" spans="1:20" x14ac:dyDescent="0.3">
      <c r="A1127" s="26" t="str">
        <f>IF(BASE_CAIXA!A1124="","",BASE_CAIXA!A1124)</f>
        <v/>
      </c>
      <c r="B1127" s="26" t="str">
        <f>IF(A1127="","",BASE_CAIXA!AL1124)</f>
        <v/>
      </c>
      <c r="C1127" s="26" t="str">
        <f>IF(A1127="","",BASE_CAIXA!AJ1124)</f>
        <v/>
      </c>
      <c r="D1127" s="26" t="str">
        <f>IF(A1127="","",IF(BASE_CAIXA!C1124="Entrada","Crédito","Débito"))</f>
        <v/>
      </c>
      <c r="E1127" s="26" t="str">
        <f>IF(A1127="","",BASE_CAIXA!AA1124)</f>
        <v/>
      </c>
      <c r="F1127" s="26" t="str">
        <f>IF(A1127="","",BASE_CAIXA!N1124)</f>
        <v/>
      </c>
      <c r="G1127" s="26" t="str">
        <f>IF(A1127="","",BASE_CAIXA!O1124)</f>
        <v/>
      </c>
      <c r="H1127" s="26" t="str">
        <f>IF(A1127="","",BASE_CAIXA!P1124)</f>
        <v/>
      </c>
      <c r="I1127" s="26" t="str">
        <f>IF(A1127="","",IF(BASE_CAIXA!H1124&lt;&gt;"",BASE_CAIXA!H1124,BASE_CAIXA!G1124))</f>
        <v/>
      </c>
      <c r="J1127" s="26" t="str">
        <f>IF(A1127="","",BASE_CAIXA!G1124)</f>
        <v/>
      </c>
      <c r="K1127" s="26" t="str">
        <f>IF(A1127="","",BASE_CAIXA!I1124)</f>
        <v/>
      </c>
      <c r="L1127" s="26" t="str">
        <f>IF(A1127="","",BASE_CAIXA!J1124)</f>
        <v/>
      </c>
      <c r="M1127" s="26" t="str">
        <f>IF(A1127="","",BASE_CAIXA!AM1124)</f>
        <v/>
      </c>
      <c r="N1127" s="26" t="str">
        <f t="shared" ca="1" si="51"/>
        <v/>
      </c>
      <c r="O1127" s="26" t="str">
        <f>IFERROR(INDEX(EXTRATO_IMPORTADO!$A$5:$A$404,MATCH(B1127,EXTRATO_IMPORTADO!$I$5:$I$404,0)),"")</f>
        <v/>
      </c>
      <c r="P1127" s="26" t="str">
        <f>IFERROR(INDEX(EXTRATO_IMPORTADO!$F$5:$F$404,MATCH(B1127,EXTRATO_IMPORTADO!$I$5:$I$404,0)),"")</f>
        <v/>
      </c>
      <c r="Q1127" s="26" t="str">
        <f>IFERROR(INDEX(EXTRATO_IMPORTADO!$B$5:$B$404,MATCH(B1127,EXTRATO_IMPORTADO!$I$5:$I$404,0)),"")</f>
        <v/>
      </c>
      <c r="R1127" s="26" t="str">
        <f>IFERROR(MATCH(B1127,EXTRATO_IMPORTADO!$I$5:$I$404,0),"")</f>
        <v/>
      </c>
      <c r="S1127" s="26" t="str">
        <f t="shared" si="52"/>
        <v/>
      </c>
      <c r="T1127" s="26" t="str">
        <f t="shared" si="53"/>
        <v/>
      </c>
    </row>
    <row r="1128" spans="1:20" x14ac:dyDescent="0.3">
      <c r="A1128" s="26" t="str">
        <f>IF(BASE_CAIXA!A1125="","",BASE_CAIXA!A1125)</f>
        <v/>
      </c>
      <c r="B1128" s="26" t="str">
        <f>IF(A1128="","",BASE_CAIXA!AL1125)</f>
        <v/>
      </c>
      <c r="C1128" s="26" t="str">
        <f>IF(A1128="","",BASE_CAIXA!AJ1125)</f>
        <v/>
      </c>
      <c r="D1128" s="26" t="str">
        <f>IF(A1128="","",IF(BASE_CAIXA!C1125="Entrada","Crédito","Débito"))</f>
        <v/>
      </c>
      <c r="E1128" s="26" t="str">
        <f>IF(A1128="","",BASE_CAIXA!AA1125)</f>
        <v/>
      </c>
      <c r="F1128" s="26" t="str">
        <f>IF(A1128="","",BASE_CAIXA!N1125)</f>
        <v/>
      </c>
      <c r="G1128" s="26" t="str">
        <f>IF(A1128="","",BASE_CAIXA!O1125)</f>
        <v/>
      </c>
      <c r="H1128" s="26" t="str">
        <f>IF(A1128="","",BASE_CAIXA!P1125)</f>
        <v/>
      </c>
      <c r="I1128" s="26" t="str">
        <f>IF(A1128="","",IF(BASE_CAIXA!H1125&lt;&gt;"",BASE_CAIXA!H1125,BASE_CAIXA!G1125))</f>
        <v/>
      </c>
      <c r="J1128" s="26" t="str">
        <f>IF(A1128="","",BASE_CAIXA!G1125)</f>
        <v/>
      </c>
      <c r="K1128" s="26" t="str">
        <f>IF(A1128="","",BASE_CAIXA!I1125)</f>
        <v/>
      </c>
      <c r="L1128" s="26" t="str">
        <f>IF(A1128="","",BASE_CAIXA!J1125)</f>
        <v/>
      </c>
      <c r="M1128" s="26" t="str">
        <f>IF(A1128="","",BASE_CAIXA!AM1125)</f>
        <v/>
      </c>
      <c r="N1128" s="26" t="str">
        <f t="shared" ca="1" si="51"/>
        <v/>
      </c>
      <c r="O1128" s="26" t="str">
        <f>IFERROR(INDEX(EXTRATO_IMPORTADO!$A$5:$A$404,MATCH(B1128,EXTRATO_IMPORTADO!$I$5:$I$404,0)),"")</f>
        <v/>
      </c>
      <c r="P1128" s="26" t="str">
        <f>IFERROR(INDEX(EXTRATO_IMPORTADO!$F$5:$F$404,MATCH(B1128,EXTRATO_IMPORTADO!$I$5:$I$404,0)),"")</f>
        <v/>
      </c>
      <c r="Q1128" s="26" t="str">
        <f>IFERROR(INDEX(EXTRATO_IMPORTADO!$B$5:$B$404,MATCH(B1128,EXTRATO_IMPORTADO!$I$5:$I$404,0)),"")</f>
        <v/>
      </c>
      <c r="R1128" s="26" t="str">
        <f>IFERROR(MATCH(B1128,EXTRATO_IMPORTADO!$I$5:$I$404,0),"")</f>
        <v/>
      </c>
      <c r="S1128" s="26" t="str">
        <f t="shared" si="52"/>
        <v/>
      </c>
      <c r="T1128" s="26" t="str">
        <f t="shared" si="53"/>
        <v/>
      </c>
    </row>
    <row r="1129" spans="1:20" x14ac:dyDescent="0.3">
      <c r="A1129" s="26" t="str">
        <f>IF(BASE_CAIXA!A1126="","",BASE_CAIXA!A1126)</f>
        <v/>
      </c>
      <c r="B1129" s="26" t="str">
        <f>IF(A1129="","",BASE_CAIXA!AL1126)</f>
        <v/>
      </c>
      <c r="C1129" s="26" t="str">
        <f>IF(A1129="","",BASE_CAIXA!AJ1126)</f>
        <v/>
      </c>
      <c r="D1129" s="26" t="str">
        <f>IF(A1129="","",IF(BASE_CAIXA!C1126="Entrada","Crédito","Débito"))</f>
        <v/>
      </c>
      <c r="E1129" s="26" t="str">
        <f>IF(A1129="","",BASE_CAIXA!AA1126)</f>
        <v/>
      </c>
      <c r="F1129" s="26" t="str">
        <f>IF(A1129="","",BASE_CAIXA!N1126)</f>
        <v/>
      </c>
      <c r="G1129" s="26" t="str">
        <f>IF(A1129="","",BASE_CAIXA!O1126)</f>
        <v/>
      </c>
      <c r="H1129" s="26" t="str">
        <f>IF(A1129="","",BASE_CAIXA!P1126)</f>
        <v/>
      </c>
      <c r="I1129" s="26" t="str">
        <f>IF(A1129="","",IF(BASE_CAIXA!H1126&lt;&gt;"",BASE_CAIXA!H1126,BASE_CAIXA!G1126))</f>
        <v/>
      </c>
      <c r="J1129" s="26" t="str">
        <f>IF(A1129="","",BASE_CAIXA!G1126)</f>
        <v/>
      </c>
      <c r="K1129" s="26" t="str">
        <f>IF(A1129="","",BASE_CAIXA!I1126)</f>
        <v/>
      </c>
      <c r="L1129" s="26" t="str">
        <f>IF(A1129="","",BASE_CAIXA!J1126)</f>
        <v/>
      </c>
      <c r="M1129" s="26" t="str">
        <f>IF(A1129="","",BASE_CAIXA!AM1126)</f>
        <v/>
      </c>
      <c r="N1129" s="26" t="str">
        <f t="shared" ca="1" si="51"/>
        <v/>
      </c>
      <c r="O1129" s="26" t="str">
        <f>IFERROR(INDEX(EXTRATO_IMPORTADO!$A$5:$A$404,MATCH(B1129,EXTRATO_IMPORTADO!$I$5:$I$404,0)),"")</f>
        <v/>
      </c>
      <c r="P1129" s="26" t="str">
        <f>IFERROR(INDEX(EXTRATO_IMPORTADO!$F$5:$F$404,MATCH(B1129,EXTRATO_IMPORTADO!$I$5:$I$404,0)),"")</f>
        <v/>
      </c>
      <c r="Q1129" s="26" t="str">
        <f>IFERROR(INDEX(EXTRATO_IMPORTADO!$B$5:$B$404,MATCH(B1129,EXTRATO_IMPORTADO!$I$5:$I$404,0)),"")</f>
        <v/>
      </c>
      <c r="R1129" s="26" t="str">
        <f>IFERROR(MATCH(B1129,EXTRATO_IMPORTADO!$I$5:$I$404,0),"")</f>
        <v/>
      </c>
      <c r="S1129" s="26" t="str">
        <f t="shared" si="52"/>
        <v/>
      </c>
      <c r="T1129" s="26" t="str">
        <f t="shared" si="53"/>
        <v/>
      </c>
    </row>
    <row r="1130" spans="1:20" x14ac:dyDescent="0.3">
      <c r="A1130" s="26" t="str">
        <f>IF(BASE_CAIXA!A1127="","",BASE_CAIXA!A1127)</f>
        <v/>
      </c>
      <c r="B1130" s="26" t="str">
        <f>IF(A1130="","",BASE_CAIXA!AL1127)</f>
        <v/>
      </c>
      <c r="C1130" s="26" t="str">
        <f>IF(A1130="","",BASE_CAIXA!AJ1127)</f>
        <v/>
      </c>
      <c r="D1130" s="26" t="str">
        <f>IF(A1130="","",IF(BASE_CAIXA!C1127="Entrada","Crédito","Débito"))</f>
        <v/>
      </c>
      <c r="E1130" s="26" t="str">
        <f>IF(A1130="","",BASE_CAIXA!AA1127)</f>
        <v/>
      </c>
      <c r="F1130" s="26" t="str">
        <f>IF(A1130="","",BASE_CAIXA!N1127)</f>
        <v/>
      </c>
      <c r="G1130" s="26" t="str">
        <f>IF(A1130="","",BASE_CAIXA!O1127)</f>
        <v/>
      </c>
      <c r="H1130" s="26" t="str">
        <f>IF(A1130="","",BASE_CAIXA!P1127)</f>
        <v/>
      </c>
      <c r="I1130" s="26" t="str">
        <f>IF(A1130="","",IF(BASE_CAIXA!H1127&lt;&gt;"",BASE_CAIXA!H1127,BASE_CAIXA!G1127))</f>
        <v/>
      </c>
      <c r="J1130" s="26" t="str">
        <f>IF(A1130="","",BASE_CAIXA!G1127)</f>
        <v/>
      </c>
      <c r="K1130" s="26" t="str">
        <f>IF(A1130="","",BASE_CAIXA!I1127)</f>
        <v/>
      </c>
      <c r="L1130" s="26" t="str">
        <f>IF(A1130="","",BASE_CAIXA!J1127)</f>
        <v/>
      </c>
      <c r="M1130" s="26" t="str">
        <f>IF(A1130="","",BASE_CAIXA!AM1127)</f>
        <v/>
      </c>
      <c r="N1130" s="26" t="str">
        <f t="shared" ca="1" si="51"/>
        <v/>
      </c>
      <c r="O1130" s="26" t="str">
        <f>IFERROR(INDEX(EXTRATO_IMPORTADO!$A$5:$A$404,MATCH(B1130,EXTRATO_IMPORTADO!$I$5:$I$404,0)),"")</f>
        <v/>
      </c>
      <c r="P1130" s="26" t="str">
        <f>IFERROR(INDEX(EXTRATO_IMPORTADO!$F$5:$F$404,MATCH(B1130,EXTRATO_IMPORTADO!$I$5:$I$404,0)),"")</f>
        <v/>
      </c>
      <c r="Q1130" s="26" t="str">
        <f>IFERROR(INDEX(EXTRATO_IMPORTADO!$B$5:$B$404,MATCH(B1130,EXTRATO_IMPORTADO!$I$5:$I$404,0)),"")</f>
        <v/>
      </c>
      <c r="R1130" s="26" t="str">
        <f>IFERROR(MATCH(B1130,EXTRATO_IMPORTADO!$I$5:$I$404,0),"")</f>
        <v/>
      </c>
      <c r="S1130" s="26" t="str">
        <f t="shared" si="52"/>
        <v/>
      </c>
      <c r="T1130" s="26" t="str">
        <f t="shared" si="53"/>
        <v/>
      </c>
    </row>
    <row r="1131" spans="1:20" x14ac:dyDescent="0.3">
      <c r="A1131" s="26" t="str">
        <f>IF(BASE_CAIXA!A1128="","",BASE_CAIXA!A1128)</f>
        <v/>
      </c>
      <c r="B1131" s="26" t="str">
        <f>IF(A1131="","",BASE_CAIXA!AL1128)</f>
        <v/>
      </c>
      <c r="C1131" s="26" t="str">
        <f>IF(A1131="","",BASE_CAIXA!AJ1128)</f>
        <v/>
      </c>
      <c r="D1131" s="26" t="str">
        <f>IF(A1131="","",IF(BASE_CAIXA!C1128="Entrada","Crédito","Débito"))</f>
        <v/>
      </c>
      <c r="E1131" s="26" t="str">
        <f>IF(A1131="","",BASE_CAIXA!AA1128)</f>
        <v/>
      </c>
      <c r="F1131" s="26" t="str">
        <f>IF(A1131="","",BASE_CAIXA!N1128)</f>
        <v/>
      </c>
      <c r="G1131" s="26" t="str">
        <f>IF(A1131="","",BASE_CAIXA!O1128)</f>
        <v/>
      </c>
      <c r="H1131" s="26" t="str">
        <f>IF(A1131="","",BASE_CAIXA!P1128)</f>
        <v/>
      </c>
      <c r="I1131" s="26" t="str">
        <f>IF(A1131="","",IF(BASE_CAIXA!H1128&lt;&gt;"",BASE_CAIXA!H1128,BASE_CAIXA!G1128))</f>
        <v/>
      </c>
      <c r="J1131" s="26" t="str">
        <f>IF(A1131="","",BASE_CAIXA!G1128)</f>
        <v/>
      </c>
      <c r="K1131" s="26" t="str">
        <f>IF(A1131="","",BASE_CAIXA!I1128)</f>
        <v/>
      </c>
      <c r="L1131" s="26" t="str">
        <f>IF(A1131="","",BASE_CAIXA!J1128)</f>
        <v/>
      </c>
      <c r="M1131" s="26" t="str">
        <f>IF(A1131="","",BASE_CAIXA!AM1128)</f>
        <v/>
      </c>
      <c r="N1131" s="26" t="str">
        <f t="shared" ca="1" si="51"/>
        <v/>
      </c>
      <c r="O1131" s="26" t="str">
        <f>IFERROR(INDEX(EXTRATO_IMPORTADO!$A$5:$A$404,MATCH(B1131,EXTRATO_IMPORTADO!$I$5:$I$404,0)),"")</f>
        <v/>
      </c>
      <c r="P1131" s="26" t="str">
        <f>IFERROR(INDEX(EXTRATO_IMPORTADO!$F$5:$F$404,MATCH(B1131,EXTRATO_IMPORTADO!$I$5:$I$404,0)),"")</f>
        <v/>
      </c>
      <c r="Q1131" s="26" t="str">
        <f>IFERROR(INDEX(EXTRATO_IMPORTADO!$B$5:$B$404,MATCH(B1131,EXTRATO_IMPORTADO!$I$5:$I$404,0)),"")</f>
        <v/>
      </c>
      <c r="R1131" s="26" t="str">
        <f>IFERROR(MATCH(B1131,EXTRATO_IMPORTADO!$I$5:$I$404,0),"")</f>
        <v/>
      </c>
      <c r="S1131" s="26" t="str">
        <f t="shared" si="52"/>
        <v/>
      </c>
      <c r="T1131" s="26" t="str">
        <f t="shared" si="53"/>
        <v/>
      </c>
    </row>
    <row r="1132" spans="1:20" x14ac:dyDescent="0.3">
      <c r="A1132" s="26" t="str">
        <f>IF(BASE_CAIXA!A1129="","",BASE_CAIXA!A1129)</f>
        <v/>
      </c>
      <c r="B1132" s="26" t="str">
        <f>IF(A1132="","",BASE_CAIXA!AL1129)</f>
        <v/>
      </c>
      <c r="C1132" s="26" t="str">
        <f>IF(A1132="","",BASE_CAIXA!AJ1129)</f>
        <v/>
      </c>
      <c r="D1132" s="26" t="str">
        <f>IF(A1132="","",IF(BASE_CAIXA!C1129="Entrada","Crédito","Débito"))</f>
        <v/>
      </c>
      <c r="E1132" s="26" t="str">
        <f>IF(A1132="","",BASE_CAIXA!AA1129)</f>
        <v/>
      </c>
      <c r="F1132" s="26" t="str">
        <f>IF(A1132="","",BASE_CAIXA!N1129)</f>
        <v/>
      </c>
      <c r="G1132" s="26" t="str">
        <f>IF(A1132="","",BASE_CAIXA!O1129)</f>
        <v/>
      </c>
      <c r="H1132" s="26" t="str">
        <f>IF(A1132="","",BASE_CAIXA!P1129)</f>
        <v/>
      </c>
      <c r="I1132" s="26" t="str">
        <f>IF(A1132="","",IF(BASE_CAIXA!H1129&lt;&gt;"",BASE_CAIXA!H1129,BASE_CAIXA!G1129))</f>
        <v/>
      </c>
      <c r="J1132" s="26" t="str">
        <f>IF(A1132="","",BASE_CAIXA!G1129)</f>
        <v/>
      </c>
      <c r="K1132" s="26" t="str">
        <f>IF(A1132="","",BASE_CAIXA!I1129)</f>
        <v/>
      </c>
      <c r="L1132" s="26" t="str">
        <f>IF(A1132="","",BASE_CAIXA!J1129)</f>
        <v/>
      </c>
      <c r="M1132" s="26" t="str">
        <f>IF(A1132="","",BASE_CAIXA!AM1129)</f>
        <v/>
      </c>
      <c r="N1132" s="26" t="str">
        <f t="shared" ca="1" si="51"/>
        <v/>
      </c>
      <c r="O1132" s="26" t="str">
        <f>IFERROR(INDEX(EXTRATO_IMPORTADO!$A$5:$A$404,MATCH(B1132,EXTRATO_IMPORTADO!$I$5:$I$404,0)),"")</f>
        <v/>
      </c>
      <c r="P1132" s="26" t="str">
        <f>IFERROR(INDEX(EXTRATO_IMPORTADO!$F$5:$F$404,MATCH(B1132,EXTRATO_IMPORTADO!$I$5:$I$404,0)),"")</f>
        <v/>
      </c>
      <c r="Q1132" s="26" t="str">
        <f>IFERROR(INDEX(EXTRATO_IMPORTADO!$B$5:$B$404,MATCH(B1132,EXTRATO_IMPORTADO!$I$5:$I$404,0)),"")</f>
        <v/>
      </c>
      <c r="R1132" s="26" t="str">
        <f>IFERROR(MATCH(B1132,EXTRATO_IMPORTADO!$I$5:$I$404,0),"")</f>
        <v/>
      </c>
      <c r="S1132" s="26" t="str">
        <f t="shared" si="52"/>
        <v/>
      </c>
      <c r="T1132" s="26" t="str">
        <f t="shared" si="53"/>
        <v/>
      </c>
    </row>
    <row r="1133" spans="1:20" x14ac:dyDescent="0.3">
      <c r="A1133" s="26" t="str">
        <f>IF(BASE_CAIXA!A1130="","",BASE_CAIXA!A1130)</f>
        <v/>
      </c>
      <c r="B1133" s="26" t="str">
        <f>IF(A1133="","",BASE_CAIXA!AL1130)</f>
        <v/>
      </c>
      <c r="C1133" s="26" t="str">
        <f>IF(A1133="","",BASE_CAIXA!AJ1130)</f>
        <v/>
      </c>
      <c r="D1133" s="26" t="str">
        <f>IF(A1133="","",IF(BASE_CAIXA!C1130="Entrada","Crédito","Débito"))</f>
        <v/>
      </c>
      <c r="E1133" s="26" t="str">
        <f>IF(A1133="","",BASE_CAIXA!AA1130)</f>
        <v/>
      </c>
      <c r="F1133" s="26" t="str">
        <f>IF(A1133="","",BASE_CAIXA!N1130)</f>
        <v/>
      </c>
      <c r="G1133" s="26" t="str">
        <f>IF(A1133="","",BASE_CAIXA!O1130)</f>
        <v/>
      </c>
      <c r="H1133" s="26" t="str">
        <f>IF(A1133="","",BASE_CAIXA!P1130)</f>
        <v/>
      </c>
      <c r="I1133" s="26" t="str">
        <f>IF(A1133="","",IF(BASE_CAIXA!H1130&lt;&gt;"",BASE_CAIXA!H1130,BASE_CAIXA!G1130))</f>
        <v/>
      </c>
      <c r="J1133" s="26" t="str">
        <f>IF(A1133="","",BASE_CAIXA!G1130)</f>
        <v/>
      </c>
      <c r="K1133" s="26" t="str">
        <f>IF(A1133="","",BASE_CAIXA!I1130)</f>
        <v/>
      </c>
      <c r="L1133" s="26" t="str">
        <f>IF(A1133="","",BASE_CAIXA!J1130)</f>
        <v/>
      </c>
      <c r="M1133" s="26" t="str">
        <f>IF(A1133="","",BASE_CAIXA!AM1130)</f>
        <v/>
      </c>
      <c r="N1133" s="26" t="str">
        <f t="shared" ca="1" si="51"/>
        <v/>
      </c>
      <c r="O1133" s="26" t="str">
        <f>IFERROR(INDEX(EXTRATO_IMPORTADO!$A$5:$A$404,MATCH(B1133,EXTRATO_IMPORTADO!$I$5:$I$404,0)),"")</f>
        <v/>
      </c>
      <c r="P1133" s="26" t="str">
        <f>IFERROR(INDEX(EXTRATO_IMPORTADO!$F$5:$F$404,MATCH(B1133,EXTRATO_IMPORTADO!$I$5:$I$404,0)),"")</f>
        <v/>
      </c>
      <c r="Q1133" s="26" t="str">
        <f>IFERROR(INDEX(EXTRATO_IMPORTADO!$B$5:$B$404,MATCH(B1133,EXTRATO_IMPORTADO!$I$5:$I$404,0)),"")</f>
        <v/>
      </c>
      <c r="R1133" s="26" t="str">
        <f>IFERROR(MATCH(B1133,EXTRATO_IMPORTADO!$I$5:$I$404,0),"")</f>
        <v/>
      </c>
      <c r="S1133" s="26" t="str">
        <f t="shared" si="52"/>
        <v/>
      </c>
      <c r="T1133" s="26" t="str">
        <f t="shared" si="53"/>
        <v/>
      </c>
    </row>
    <row r="1134" spans="1:20" x14ac:dyDescent="0.3">
      <c r="A1134" s="26" t="str">
        <f>IF(BASE_CAIXA!A1131="","",BASE_CAIXA!A1131)</f>
        <v/>
      </c>
      <c r="B1134" s="26" t="str">
        <f>IF(A1134="","",BASE_CAIXA!AL1131)</f>
        <v/>
      </c>
      <c r="C1134" s="26" t="str">
        <f>IF(A1134="","",BASE_CAIXA!AJ1131)</f>
        <v/>
      </c>
      <c r="D1134" s="26" t="str">
        <f>IF(A1134="","",IF(BASE_CAIXA!C1131="Entrada","Crédito","Débito"))</f>
        <v/>
      </c>
      <c r="E1134" s="26" t="str">
        <f>IF(A1134="","",BASE_CAIXA!AA1131)</f>
        <v/>
      </c>
      <c r="F1134" s="26" t="str">
        <f>IF(A1134="","",BASE_CAIXA!N1131)</f>
        <v/>
      </c>
      <c r="G1134" s="26" t="str">
        <f>IF(A1134="","",BASE_CAIXA!O1131)</f>
        <v/>
      </c>
      <c r="H1134" s="26" t="str">
        <f>IF(A1134="","",BASE_CAIXA!P1131)</f>
        <v/>
      </c>
      <c r="I1134" s="26" t="str">
        <f>IF(A1134="","",IF(BASE_CAIXA!H1131&lt;&gt;"",BASE_CAIXA!H1131,BASE_CAIXA!G1131))</f>
        <v/>
      </c>
      <c r="J1134" s="26" t="str">
        <f>IF(A1134="","",BASE_CAIXA!G1131)</f>
        <v/>
      </c>
      <c r="K1134" s="26" t="str">
        <f>IF(A1134="","",BASE_CAIXA!I1131)</f>
        <v/>
      </c>
      <c r="L1134" s="26" t="str">
        <f>IF(A1134="","",BASE_CAIXA!J1131)</f>
        <v/>
      </c>
      <c r="M1134" s="26" t="str">
        <f>IF(A1134="","",BASE_CAIXA!AM1131)</f>
        <v/>
      </c>
      <c r="N1134" s="26" t="str">
        <f t="shared" ca="1" si="51"/>
        <v/>
      </c>
      <c r="O1134" s="26" t="str">
        <f>IFERROR(INDEX(EXTRATO_IMPORTADO!$A$5:$A$404,MATCH(B1134,EXTRATO_IMPORTADO!$I$5:$I$404,0)),"")</f>
        <v/>
      </c>
      <c r="P1134" s="26" t="str">
        <f>IFERROR(INDEX(EXTRATO_IMPORTADO!$F$5:$F$404,MATCH(B1134,EXTRATO_IMPORTADO!$I$5:$I$404,0)),"")</f>
        <v/>
      </c>
      <c r="Q1134" s="26" t="str">
        <f>IFERROR(INDEX(EXTRATO_IMPORTADO!$B$5:$B$404,MATCH(B1134,EXTRATO_IMPORTADO!$I$5:$I$404,0)),"")</f>
        <v/>
      </c>
      <c r="R1134" s="26" t="str">
        <f>IFERROR(MATCH(B1134,EXTRATO_IMPORTADO!$I$5:$I$404,0),"")</f>
        <v/>
      </c>
      <c r="S1134" s="26" t="str">
        <f t="shared" si="52"/>
        <v/>
      </c>
      <c r="T1134" s="26" t="str">
        <f t="shared" si="53"/>
        <v/>
      </c>
    </row>
    <row r="1135" spans="1:20" x14ac:dyDescent="0.3">
      <c r="A1135" s="26" t="str">
        <f>IF(BASE_CAIXA!A1132="","",BASE_CAIXA!A1132)</f>
        <v/>
      </c>
      <c r="B1135" s="26" t="str">
        <f>IF(A1135="","",BASE_CAIXA!AL1132)</f>
        <v/>
      </c>
      <c r="C1135" s="26" t="str">
        <f>IF(A1135="","",BASE_CAIXA!AJ1132)</f>
        <v/>
      </c>
      <c r="D1135" s="26" t="str">
        <f>IF(A1135="","",IF(BASE_CAIXA!C1132="Entrada","Crédito","Débito"))</f>
        <v/>
      </c>
      <c r="E1135" s="26" t="str">
        <f>IF(A1135="","",BASE_CAIXA!AA1132)</f>
        <v/>
      </c>
      <c r="F1135" s="26" t="str">
        <f>IF(A1135="","",BASE_CAIXA!N1132)</f>
        <v/>
      </c>
      <c r="G1135" s="26" t="str">
        <f>IF(A1135="","",BASE_CAIXA!O1132)</f>
        <v/>
      </c>
      <c r="H1135" s="26" t="str">
        <f>IF(A1135="","",BASE_CAIXA!P1132)</f>
        <v/>
      </c>
      <c r="I1135" s="26" t="str">
        <f>IF(A1135="","",IF(BASE_CAIXA!H1132&lt;&gt;"",BASE_CAIXA!H1132,BASE_CAIXA!G1132))</f>
        <v/>
      </c>
      <c r="J1135" s="26" t="str">
        <f>IF(A1135="","",BASE_CAIXA!G1132)</f>
        <v/>
      </c>
      <c r="K1135" s="26" t="str">
        <f>IF(A1135="","",BASE_CAIXA!I1132)</f>
        <v/>
      </c>
      <c r="L1135" s="26" t="str">
        <f>IF(A1135="","",BASE_CAIXA!J1132)</f>
        <v/>
      </c>
      <c r="M1135" s="26" t="str">
        <f>IF(A1135="","",BASE_CAIXA!AM1132)</f>
        <v/>
      </c>
      <c r="N1135" s="26" t="str">
        <f t="shared" ca="1" si="51"/>
        <v/>
      </c>
      <c r="O1135" s="26" t="str">
        <f>IFERROR(INDEX(EXTRATO_IMPORTADO!$A$5:$A$404,MATCH(B1135,EXTRATO_IMPORTADO!$I$5:$I$404,0)),"")</f>
        <v/>
      </c>
      <c r="P1135" s="26" t="str">
        <f>IFERROR(INDEX(EXTRATO_IMPORTADO!$F$5:$F$404,MATCH(B1135,EXTRATO_IMPORTADO!$I$5:$I$404,0)),"")</f>
        <v/>
      </c>
      <c r="Q1135" s="26" t="str">
        <f>IFERROR(INDEX(EXTRATO_IMPORTADO!$B$5:$B$404,MATCH(B1135,EXTRATO_IMPORTADO!$I$5:$I$404,0)),"")</f>
        <v/>
      </c>
      <c r="R1135" s="26" t="str">
        <f>IFERROR(MATCH(B1135,EXTRATO_IMPORTADO!$I$5:$I$404,0),"")</f>
        <v/>
      </c>
      <c r="S1135" s="26" t="str">
        <f t="shared" si="52"/>
        <v/>
      </c>
      <c r="T1135" s="26" t="str">
        <f t="shared" si="53"/>
        <v/>
      </c>
    </row>
    <row r="1136" spans="1:20" x14ac:dyDescent="0.3">
      <c r="A1136" s="26" t="str">
        <f>IF(BASE_CAIXA!A1133="","",BASE_CAIXA!A1133)</f>
        <v/>
      </c>
      <c r="B1136" s="26" t="str">
        <f>IF(A1136="","",BASE_CAIXA!AL1133)</f>
        <v/>
      </c>
      <c r="C1136" s="26" t="str">
        <f>IF(A1136="","",BASE_CAIXA!AJ1133)</f>
        <v/>
      </c>
      <c r="D1136" s="26" t="str">
        <f>IF(A1136="","",IF(BASE_CAIXA!C1133="Entrada","Crédito","Débito"))</f>
        <v/>
      </c>
      <c r="E1136" s="26" t="str">
        <f>IF(A1136="","",BASE_CAIXA!AA1133)</f>
        <v/>
      </c>
      <c r="F1136" s="26" t="str">
        <f>IF(A1136="","",BASE_CAIXA!N1133)</f>
        <v/>
      </c>
      <c r="G1136" s="26" t="str">
        <f>IF(A1136="","",BASE_CAIXA!O1133)</f>
        <v/>
      </c>
      <c r="H1136" s="26" t="str">
        <f>IF(A1136="","",BASE_CAIXA!P1133)</f>
        <v/>
      </c>
      <c r="I1136" s="26" t="str">
        <f>IF(A1136="","",IF(BASE_CAIXA!H1133&lt;&gt;"",BASE_CAIXA!H1133,BASE_CAIXA!G1133))</f>
        <v/>
      </c>
      <c r="J1136" s="26" t="str">
        <f>IF(A1136="","",BASE_CAIXA!G1133)</f>
        <v/>
      </c>
      <c r="K1136" s="26" t="str">
        <f>IF(A1136="","",BASE_CAIXA!I1133)</f>
        <v/>
      </c>
      <c r="L1136" s="26" t="str">
        <f>IF(A1136="","",BASE_CAIXA!J1133)</f>
        <v/>
      </c>
      <c r="M1136" s="26" t="str">
        <f>IF(A1136="","",BASE_CAIXA!AM1133)</f>
        <v/>
      </c>
      <c r="N1136" s="26" t="str">
        <f t="shared" ca="1" si="51"/>
        <v/>
      </c>
      <c r="O1136" s="26" t="str">
        <f>IFERROR(INDEX(EXTRATO_IMPORTADO!$A$5:$A$404,MATCH(B1136,EXTRATO_IMPORTADO!$I$5:$I$404,0)),"")</f>
        <v/>
      </c>
      <c r="P1136" s="26" t="str">
        <f>IFERROR(INDEX(EXTRATO_IMPORTADO!$F$5:$F$404,MATCH(B1136,EXTRATO_IMPORTADO!$I$5:$I$404,0)),"")</f>
        <v/>
      </c>
      <c r="Q1136" s="26" t="str">
        <f>IFERROR(INDEX(EXTRATO_IMPORTADO!$B$5:$B$404,MATCH(B1136,EXTRATO_IMPORTADO!$I$5:$I$404,0)),"")</f>
        <v/>
      </c>
      <c r="R1136" s="26" t="str">
        <f>IFERROR(MATCH(B1136,EXTRATO_IMPORTADO!$I$5:$I$404,0),"")</f>
        <v/>
      </c>
      <c r="S1136" s="26" t="str">
        <f t="shared" si="52"/>
        <v/>
      </c>
      <c r="T1136" s="26" t="str">
        <f t="shared" si="53"/>
        <v/>
      </c>
    </row>
    <row r="1137" spans="1:20" x14ac:dyDescent="0.3">
      <c r="A1137" s="26" t="str">
        <f>IF(BASE_CAIXA!A1134="","",BASE_CAIXA!A1134)</f>
        <v/>
      </c>
      <c r="B1137" s="26" t="str">
        <f>IF(A1137="","",BASE_CAIXA!AL1134)</f>
        <v/>
      </c>
      <c r="C1137" s="26" t="str">
        <f>IF(A1137="","",BASE_CAIXA!AJ1134)</f>
        <v/>
      </c>
      <c r="D1137" s="26" t="str">
        <f>IF(A1137="","",IF(BASE_CAIXA!C1134="Entrada","Crédito","Débito"))</f>
        <v/>
      </c>
      <c r="E1137" s="26" t="str">
        <f>IF(A1137="","",BASE_CAIXA!AA1134)</f>
        <v/>
      </c>
      <c r="F1137" s="26" t="str">
        <f>IF(A1137="","",BASE_CAIXA!N1134)</f>
        <v/>
      </c>
      <c r="G1137" s="26" t="str">
        <f>IF(A1137="","",BASE_CAIXA!O1134)</f>
        <v/>
      </c>
      <c r="H1137" s="26" t="str">
        <f>IF(A1137="","",BASE_CAIXA!P1134)</f>
        <v/>
      </c>
      <c r="I1137" s="26" t="str">
        <f>IF(A1137="","",IF(BASE_CAIXA!H1134&lt;&gt;"",BASE_CAIXA!H1134,BASE_CAIXA!G1134))</f>
        <v/>
      </c>
      <c r="J1137" s="26" t="str">
        <f>IF(A1137="","",BASE_CAIXA!G1134)</f>
        <v/>
      </c>
      <c r="K1137" s="26" t="str">
        <f>IF(A1137="","",BASE_CAIXA!I1134)</f>
        <v/>
      </c>
      <c r="L1137" s="26" t="str">
        <f>IF(A1137="","",BASE_CAIXA!J1134)</f>
        <v/>
      </c>
      <c r="M1137" s="26" t="str">
        <f>IF(A1137="","",BASE_CAIXA!AM1134)</f>
        <v/>
      </c>
      <c r="N1137" s="26" t="str">
        <f t="shared" ca="1" si="51"/>
        <v/>
      </c>
      <c r="O1137" s="26" t="str">
        <f>IFERROR(INDEX(EXTRATO_IMPORTADO!$A$5:$A$404,MATCH(B1137,EXTRATO_IMPORTADO!$I$5:$I$404,0)),"")</f>
        <v/>
      </c>
      <c r="P1137" s="26" t="str">
        <f>IFERROR(INDEX(EXTRATO_IMPORTADO!$F$5:$F$404,MATCH(B1137,EXTRATO_IMPORTADO!$I$5:$I$404,0)),"")</f>
        <v/>
      </c>
      <c r="Q1137" s="26" t="str">
        <f>IFERROR(INDEX(EXTRATO_IMPORTADO!$B$5:$B$404,MATCH(B1137,EXTRATO_IMPORTADO!$I$5:$I$404,0)),"")</f>
        <v/>
      </c>
      <c r="R1137" s="26" t="str">
        <f>IFERROR(MATCH(B1137,EXTRATO_IMPORTADO!$I$5:$I$404,0),"")</f>
        <v/>
      </c>
      <c r="S1137" s="26" t="str">
        <f t="shared" si="52"/>
        <v/>
      </c>
      <c r="T1137" s="26" t="str">
        <f t="shared" si="53"/>
        <v/>
      </c>
    </row>
    <row r="1138" spans="1:20" x14ac:dyDescent="0.3">
      <c r="A1138" s="26" t="str">
        <f>IF(BASE_CAIXA!A1135="","",BASE_CAIXA!A1135)</f>
        <v/>
      </c>
      <c r="B1138" s="26" t="str">
        <f>IF(A1138="","",BASE_CAIXA!AL1135)</f>
        <v/>
      </c>
      <c r="C1138" s="26" t="str">
        <f>IF(A1138="","",BASE_CAIXA!AJ1135)</f>
        <v/>
      </c>
      <c r="D1138" s="26" t="str">
        <f>IF(A1138="","",IF(BASE_CAIXA!C1135="Entrada","Crédito","Débito"))</f>
        <v/>
      </c>
      <c r="E1138" s="26" t="str">
        <f>IF(A1138="","",BASE_CAIXA!AA1135)</f>
        <v/>
      </c>
      <c r="F1138" s="26" t="str">
        <f>IF(A1138="","",BASE_CAIXA!N1135)</f>
        <v/>
      </c>
      <c r="G1138" s="26" t="str">
        <f>IF(A1138="","",BASE_CAIXA!O1135)</f>
        <v/>
      </c>
      <c r="H1138" s="26" t="str">
        <f>IF(A1138="","",BASE_CAIXA!P1135)</f>
        <v/>
      </c>
      <c r="I1138" s="26" t="str">
        <f>IF(A1138="","",IF(BASE_CAIXA!H1135&lt;&gt;"",BASE_CAIXA!H1135,BASE_CAIXA!G1135))</f>
        <v/>
      </c>
      <c r="J1138" s="26" t="str">
        <f>IF(A1138="","",BASE_CAIXA!G1135)</f>
        <v/>
      </c>
      <c r="K1138" s="26" t="str">
        <f>IF(A1138="","",BASE_CAIXA!I1135)</f>
        <v/>
      </c>
      <c r="L1138" s="26" t="str">
        <f>IF(A1138="","",BASE_CAIXA!J1135)</f>
        <v/>
      </c>
      <c r="M1138" s="26" t="str">
        <f>IF(A1138="","",BASE_CAIXA!AM1135)</f>
        <v/>
      </c>
      <c r="N1138" s="26" t="str">
        <f t="shared" ca="1" si="51"/>
        <v/>
      </c>
      <c r="O1138" s="26" t="str">
        <f>IFERROR(INDEX(EXTRATO_IMPORTADO!$A$5:$A$404,MATCH(B1138,EXTRATO_IMPORTADO!$I$5:$I$404,0)),"")</f>
        <v/>
      </c>
      <c r="P1138" s="26" t="str">
        <f>IFERROR(INDEX(EXTRATO_IMPORTADO!$F$5:$F$404,MATCH(B1138,EXTRATO_IMPORTADO!$I$5:$I$404,0)),"")</f>
        <v/>
      </c>
      <c r="Q1138" s="26" t="str">
        <f>IFERROR(INDEX(EXTRATO_IMPORTADO!$B$5:$B$404,MATCH(B1138,EXTRATO_IMPORTADO!$I$5:$I$404,0)),"")</f>
        <v/>
      </c>
      <c r="R1138" s="26" t="str">
        <f>IFERROR(MATCH(B1138,EXTRATO_IMPORTADO!$I$5:$I$404,0),"")</f>
        <v/>
      </c>
      <c r="S1138" s="26" t="str">
        <f t="shared" si="52"/>
        <v/>
      </c>
      <c r="T1138" s="26" t="str">
        <f t="shared" si="53"/>
        <v/>
      </c>
    </row>
    <row r="1139" spans="1:20" x14ac:dyDescent="0.3">
      <c r="A1139" s="26" t="str">
        <f>IF(BASE_CAIXA!A1136="","",BASE_CAIXA!A1136)</f>
        <v/>
      </c>
      <c r="B1139" s="26" t="str">
        <f>IF(A1139="","",BASE_CAIXA!AL1136)</f>
        <v/>
      </c>
      <c r="C1139" s="26" t="str">
        <f>IF(A1139="","",BASE_CAIXA!AJ1136)</f>
        <v/>
      </c>
      <c r="D1139" s="26" t="str">
        <f>IF(A1139="","",IF(BASE_CAIXA!C1136="Entrada","Crédito","Débito"))</f>
        <v/>
      </c>
      <c r="E1139" s="26" t="str">
        <f>IF(A1139="","",BASE_CAIXA!AA1136)</f>
        <v/>
      </c>
      <c r="F1139" s="26" t="str">
        <f>IF(A1139="","",BASE_CAIXA!N1136)</f>
        <v/>
      </c>
      <c r="G1139" s="26" t="str">
        <f>IF(A1139="","",BASE_CAIXA!O1136)</f>
        <v/>
      </c>
      <c r="H1139" s="26" t="str">
        <f>IF(A1139="","",BASE_CAIXA!P1136)</f>
        <v/>
      </c>
      <c r="I1139" s="26" t="str">
        <f>IF(A1139="","",IF(BASE_CAIXA!H1136&lt;&gt;"",BASE_CAIXA!H1136,BASE_CAIXA!G1136))</f>
        <v/>
      </c>
      <c r="J1139" s="26" t="str">
        <f>IF(A1139="","",BASE_CAIXA!G1136)</f>
        <v/>
      </c>
      <c r="K1139" s="26" t="str">
        <f>IF(A1139="","",BASE_CAIXA!I1136)</f>
        <v/>
      </c>
      <c r="L1139" s="26" t="str">
        <f>IF(A1139="","",BASE_CAIXA!J1136)</f>
        <v/>
      </c>
      <c r="M1139" s="26" t="str">
        <f>IF(A1139="","",BASE_CAIXA!AM1136)</f>
        <v/>
      </c>
      <c r="N1139" s="26" t="str">
        <f t="shared" ca="1" si="51"/>
        <v/>
      </c>
      <c r="O1139" s="26" t="str">
        <f>IFERROR(INDEX(EXTRATO_IMPORTADO!$A$5:$A$404,MATCH(B1139,EXTRATO_IMPORTADO!$I$5:$I$404,0)),"")</f>
        <v/>
      </c>
      <c r="P1139" s="26" t="str">
        <f>IFERROR(INDEX(EXTRATO_IMPORTADO!$F$5:$F$404,MATCH(B1139,EXTRATO_IMPORTADO!$I$5:$I$404,0)),"")</f>
        <v/>
      </c>
      <c r="Q1139" s="26" t="str">
        <f>IFERROR(INDEX(EXTRATO_IMPORTADO!$B$5:$B$404,MATCH(B1139,EXTRATO_IMPORTADO!$I$5:$I$404,0)),"")</f>
        <v/>
      </c>
      <c r="R1139" s="26" t="str">
        <f>IFERROR(MATCH(B1139,EXTRATO_IMPORTADO!$I$5:$I$404,0),"")</f>
        <v/>
      </c>
      <c r="S1139" s="26" t="str">
        <f t="shared" si="52"/>
        <v/>
      </c>
      <c r="T1139" s="26" t="str">
        <f t="shared" si="53"/>
        <v/>
      </c>
    </row>
    <row r="1140" spans="1:20" x14ac:dyDescent="0.3">
      <c r="A1140" s="26" t="str">
        <f>IF(BASE_CAIXA!A1137="","",BASE_CAIXA!A1137)</f>
        <v/>
      </c>
      <c r="B1140" s="26" t="str">
        <f>IF(A1140="","",BASE_CAIXA!AL1137)</f>
        <v/>
      </c>
      <c r="C1140" s="26" t="str">
        <f>IF(A1140="","",BASE_CAIXA!AJ1137)</f>
        <v/>
      </c>
      <c r="D1140" s="26" t="str">
        <f>IF(A1140="","",IF(BASE_CAIXA!C1137="Entrada","Crédito","Débito"))</f>
        <v/>
      </c>
      <c r="E1140" s="26" t="str">
        <f>IF(A1140="","",BASE_CAIXA!AA1137)</f>
        <v/>
      </c>
      <c r="F1140" s="26" t="str">
        <f>IF(A1140="","",BASE_CAIXA!N1137)</f>
        <v/>
      </c>
      <c r="G1140" s="26" t="str">
        <f>IF(A1140="","",BASE_CAIXA!O1137)</f>
        <v/>
      </c>
      <c r="H1140" s="26" t="str">
        <f>IF(A1140="","",BASE_CAIXA!P1137)</f>
        <v/>
      </c>
      <c r="I1140" s="26" t="str">
        <f>IF(A1140="","",IF(BASE_CAIXA!H1137&lt;&gt;"",BASE_CAIXA!H1137,BASE_CAIXA!G1137))</f>
        <v/>
      </c>
      <c r="J1140" s="26" t="str">
        <f>IF(A1140="","",BASE_CAIXA!G1137)</f>
        <v/>
      </c>
      <c r="K1140" s="26" t="str">
        <f>IF(A1140="","",BASE_CAIXA!I1137)</f>
        <v/>
      </c>
      <c r="L1140" s="26" t="str">
        <f>IF(A1140="","",BASE_CAIXA!J1137)</f>
        <v/>
      </c>
      <c r="M1140" s="26" t="str">
        <f>IF(A1140="","",BASE_CAIXA!AM1137)</f>
        <v/>
      </c>
      <c r="N1140" s="26" t="str">
        <f t="shared" ca="1" si="51"/>
        <v/>
      </c>
      <c r="O1140" s="26" t="str">
        <f>IFERROR(INDEX(EXTRATO_IMPORTADO!$A$5:$A$404,MATCH(B1140,EXTRATO_IMPORTADO!$I$5:$I$404,0)),"")</f>
        <v/>
      </c>
      <c r="P1140" s="26" t="str">
        <f>IFERROR(INDEX(EXTRATO_IMPORTADO!$F$5:$F$404,MATCH(B1140,EXTRATO_IMPORTADO!$I$5:$I$404,0)),"")</f>
        <v/>
      </c>
      <c r="Q1140" s="26" t="str">
        <f>IFERROR(INDEX(EXTRATO_IMPORTADO!$B$5:$B$404,MATCH(B1140,EXTRATO_IMPORTADO!$I$5:$I$404,0)),"")</f>
        <v/>
      </c>
      <c r="R1140" s="26" t="str">
        <f>IFERROR(MATCH(B1140,EXTRATO_IMPORTADO!$I$5:$I$404,0),"")</f>
        <v/>
      </c>
      <c r="S1140" s="26" t="str">
        <f t="shared" si="52"/>
        <v/>
      </c>
      <c r="T1140" s="26" t="str">
        <f t="shared" si="53"/>
        <v/>
      </c>
    </row>
    <row r="1141" spans="1:20" x14ac:dyDescent="0.3">
      <c r="A1141" s="26" t="str">
        <f>IF(BASE_CAIXA!A1138="","",BASE_CAIXA!A1138)</f>
        <v/>
      </c>
      <c r="B1141" s="26" t="str">
        <f>IF(A1141="","",BASE_CAIXA!AL1138)</f>
        <v/>
      </c>
      <c r="C1141" s="26" t="str">
        <f>IF(A1141="","",BASE_CAIXA!AJ1138)</f>
        <v/>
      </c>
      <c r="D1141" s="26" t="str">
        <f>IF(A1141="","",IF(BASE_CAIXA!C1138="Entrada","Crédito","Débito"))</f>
        <v/>
      </c>
      <c r="E1141" s="26" t="str">
        <f>IF(A1141="","",BASE_CAIXA!AA1138)</f>
        <v/>
      </c>
      <c r="F1141" s="26" t="str">
        <f>IF(A1141="","",BASE_CAIXA!N1138)</f>
        <v/>
      </c>
      <c r="G1141" s="26" t="str">
        <f>IF(A1141="","",BASE_CAIXA!O1138)</f>
        <v/>
      </c>
      <c r="H1141" s="26" t="str">
        <f>IF(A1141="","",BASE_CAIXA!P1138)</f>
        <v/>
      </c>
      <c r="I1141" s="26" t="str">
        <f>IF(A1141="","",IF(BASE_CAIXA!H1138&lt;&gt;"",BASE_CAIXA!H1138,BASE_CAIXA!G1138))</f>
        <v/>
      </c>
      <c r="J1141" s="26" t="str">
        <f>IF(A1141="","",BASE_CAIXA!G1138)</f>
        <v/>
      </c>
      <c r="K1141" s="26" t="str">
        <f>IF(A1141="","",BASE_CAIXA!I1138)</f>
        <v/>
      </c>
      <c r="L1141" s="26" t="str">
        <f>IF(A1141="","",BASE_CAIXA!J1138)</f>
        <v/>
      </c>
      <c r="M1141" s="26" t="str">
        <f>IF(A1141="","",BASE_CAIXA!AM1138)</f>
        <v/>
      </c>
      <c r="N1141" s="26" t="str">
        <f t="shared" ca="1" si="51"/>
        <v/>
      </c>
      <c r="O1141" s="26" t="str">
        <f>IFERROR(INDEX(EXTRATO_IMPORTADO!$A$5:$A$404,MATCH(B1141,EXTRATO_IMPORTADO!$I$5:$I$404,0)),"")</f>
        <v/>
      </c>
      <c r="P1141" s="26" t="str">
        <f>IFERROR(INDEX(EXTRATO_IMPORTADO!$F$5:$F$404,MATCH(B1141,EXTRATO_IMPORTADO!$I$5:$I$404,0)),"")</f>
        <v/>
      </c>
      <c r="Q1141" s="26" t="str">
        <f>IFERROR(INDEX(EXTRATO_IMPORTADO!$B$5:$B$404,MATCH(B1141,EXTRATO_IMPORTADO!$I$5:$I$404,0)),"")</f>
        <v/>
      </c>
      <c r="R1141" s="26" t="str">
        <f>IFERROR(MATCH(B1141,EXTRATO_IMPORTADO!$I$5:$I$404,0),"")</f>
        <v/>
      </c>
      <c r="S1141" s="26" t="str">
        <f t="shared" si="52"/>
        <v/>
      </c>
      <c r="T1141" s="26" t="str">
        <f t="shared" si="53"/>
        <v/>
      </c>
    </row>
    <row r="1142" spans="1:20" x14ac:dyDescent="0.3">
      <c r="A1142" s="26" t="str">
        <f>IF(BASE_CAIXA!A1139="","",BASE_CAIXA!A1139)</f>
        <v/>
      </c>
      <c r="B1142" s="26" t="str">
        <f>IF(A1142="","",BASE_CAIXA!AL1139)</f>
        <v/>
      </c>
      <c r="C1142" s="26" t="str">
        <f>IF(A1142="","",BASE_CAIXA!AJ1139)</f>
        <v/>
      </c>
      <c r="D1142" s="26" t="str">
        <f>IF(A1142="","",IF(BASE_CAIXA!C1139="Entrada","Crédito","Débito"))</f>
        <v/>
      </c>
      <c r="E1142" s="26" t="str">
        <f>IF(A1142="","",BASE_CAIXA!AA1139)</f>
        <v/>
      </c>
      <c r="F1142" s="26" t="str">
        <f>IF(A1142="","",BASE_CAIXA!N1139)</f>
        <v/>
      </c>
      <c r="G1142" s="26" t="str">
        <f>IF(A1142="","",BASE_CAIXA!O1139)</f>
        <v/>
      </c>
      <c r="H1142" s="26" t="str">
        <f>IF(A1142="","",BASE_CAIXA!P1139)</f>
        <v/>
      </c>
      <c r="I1142" s="26" t="str">
        <f>IF(A1142="","",IF(BASE_CAIXA!H1139&lt;&gt;"",BASE_CAIXA!H1139,BASE_CAIXA!G1139))</f>
        <v/>
      </c>
      <c r="J1142" s="26" t="str">
        <f>IF(A1142="","",BASE_CAIXA!G1139)</f>
        <v/>
      </c>
      <c r="K1142" s="26" t="str">
        <f>IF(A1142="","",BASE_CAIXA!I1139)</f>
        <v/>
      </c>
      <c r="L1142" s="26" t="str">
        <f>IF(A1142="","",BASE_CAIXA!J1139)</f>
        <v/>
      </c>
      <c r="M1142" s="26" t="str">
        <f>IF(A1142="","",BASE_CAIXA!AM1139)</f>
        <v/>
      </c>
      <c r="N1142" s="26" t="str">
        <f t="shared" ca="1" si="51"/>
        <v/>
      </c>
      <c r="O1142" s="26" t="str">
        <f>IFERROR(INDEX(EXTRATO_IMPORTADO!$A$5:$A$404,MATCH(B1142,EXTRATO_IMPORTADO!$I$5:$I$404,0)),"")</f>
        <v/>
      </c>
      <c r="P1142" s="26" t="str">
        <f>IFERROR(INDEX(EXTRATO_IMPORTADO!$F$5:$F$404,MATCH(B1142,EXTRATO_IMPORTADO!$I$5:$I$404,0)),"")</f>
        <v/>
      </c>
      <c r="Q1142" s="26" t="str">
        <f>IFERROR(INDEX(EXTRATO_IMPORTADO!$B$5:$B$404,MATCH(B1142,EXTRATO_IMPORTADO!$I$5:$I$404,0)),"")</f>
        <v/>
      </c>
      <c r="R1142" s="26" t="str">
        <f>IFERROR(MATCH(B1142,EXTRATO_IMPORTADO!$I$5:$I$404,0),"")</f>
        <v/>
      </c>
      <c r="S1142" s="26" t="str">
        <f t="shared" si="52"/>
        <v/>
      </c>
      <c r="T1142" s="26" t="str">
        <f t="shared" si="53"/>
        <v/>
      </c>
    </row>
    <row r="1143" spans="1:20" x14ac:dyDescent="0.3">
      <c r="A1143" s="26" t="str">
        <f>IF(BASE_CAIXA!A1140="","",BASE_CAIXA!A1140)</f>
        <v/>
      </c>
      <c r="B1143" s="26" t="str">
        <f>IF(A1143="","",BASE_CAIXA!AL1140)</f>
        <v/>
      </c>
      <c r="C1143" s="26" t="str">
        <f>IF(A1143="","",BASE_CAIXA!AJ1140)</f>
        <v/>
      </c>
      <c r="D1143" s="26" t="str">
        <f>IF(A1143="","",IF(BASE_CAIXA!C1140="Entrada","Crédito","Débito"))</f>
        <v/>
      </c>
      <c r="E1143" s="26" t="str">
        <f>IF(A1143="","",BASE_CAIXA!AA1140)</f>
        <v/>
      </c>
      <c r="F1143" s="26" t="str">
        <f>IF(A1143="","",BASE_CAIXA!N1140)</f>
        <v/>
      </c>
      <c r="G1143" s="26" t="str">
        <f>IF(A1143="","",BASE_CAIXA!O1140)</f>
        <v/>
      </c>
      <c r="H1143" s="26" t="str">
        <f>IF(A1143="","",BASE_CAIXA!P1140)</f>
        <v/>
      </c>
      <c r="I1143" s="26" t="str">
        <f>IF(A1143="","",IF(BASE_CAIXA!H1140&lt;&gt;"",BASE_CAIXA!H1140,BASE_CAIXA!G1140))</f>
        <v/>
      </c>
      <c r="J1143" s="26" t="str">
        <f>IF(A1143="","",BASE_CAIXA!G1140)</f>
        <v/>
      </c>
      <c r="K1143" s="26" t="str">
        <f>IF(A1143="","",BASE_CAIXA!I1140)</f>
        <v/>
      </c>
      <c r="L1143" s="26" t="str">
        <f>IF(A1143="","",BASE_CAIXA!J1140)</f>
        <v/>
      </c>
      <c r="M1143" s="26" t="str">
        <f>IF(A1143="","",BASE_CAIXA!AM1140)</f>
        <v/>
      </c>
      <c r="N1143" s="26" t="str">
        <f t="shared" ca="1" si="51"/>
        <v/>
      </c>
      <c r="O1143" s="26" t="str">
        <f>IFERROR(INDEX(EXTRATO_IMPORTADO!$A$5:$A$404,MATCH(B1143,EXTRATO_IMPORTADO!$I$5:$I$404,0)),"")</f>
        <v/>
      </c>
      <c r="P1143" s="26" t="str">
        <f>IFERROR(INDEX(EXTRATO_IMPORTADO!$F$5:$F$404,MATCH(B1143,EXTRATO_IMPORTADO!$I$5:$I$404,0)),"")</f>
        <v/>
      </c>
      <c r="Q1143" s="26" t="str">
        <f>IFERROR(INDEX(EXTRATO_IMPORTADO!$B$5:$B$404,MATCH(B1143,EXTRATO_IMPORTADO!$I$5:$I$404,0)),"")</f>
        <v/>
      </c>
      <c r="R1143" s="26" t="str">
        <f>IFERROR(MATCH(B1143,EXTRATO_IMPORTADO!$I$5:$I$404,0),"")</f>
        <v/>
      </c>
      <c r="S1143" s="26" t="str">
        <f t="shared" si="52"/>
        <v/>
      </c>
      <c r="T1143" s="26" t="str">
        <f t="shared" si="53"/>
        <v/>
      </c>
    </row>
    <row r="1144" spans="1:20" x14ac:dyDescent="0.3">
      <c r="A1144" s="26" t="str">
        <f>IF(BASE_CAIXA!A1141="","",BASE_CAIXA!A1141)</f>
        <v/>
      </c>
      <c r="B1144" s="26" t="str">
        <f>IF(A1144="","",BASE_CAIXA!AL1141)</f>
        <v/>
      </c>
      <c r="C1144" s="26" t="str">
        <f>IF(A1144="","",BASE_CAIXA!AJ1141)</f>
        <v/>
      </c>
      <c r="D1144" s="26" t="str">
        <f>IF(A1144="","",IF(BASE_CAIXA!C1141="Entrada","Crédito","Débito"))</f>
        <v/>
      </c>
      <c r="E1144" s="26" t="str">
        <f>IF(A1144="","",BASE_CAIXA!AA1141)</f>
        <v/>
      </c>
      <c r="F1144" s="26" t="str">
        <f>IF(A1144="","",BASE_CAIXA!N1141)</f>
        <v/>
      </c>
      <c r="G1144" s="26" t="str">
        <f>IF(A1144="","",BASE_CAIXA!O1141)</f>
        <v/>
      </c>
      <c r="H1144" s="26" t="str">
        <f>IF(A1144="","",BASE_CAIXA!P1141)</f>
        <v/>
      </c>
      <c r="I1144" s="26" t="str">
        <f>IF(A1144="","",IF(BASE_CAIXA!H1141&lt;&gt;"",BASE_CAIXA!H1141,BASE_CAIXA!G1141))</f>
        <v/>
      </c>
      <c r="J1144" s="26" t="str">
        <f>IF(A1144="","",BASE_CAIXA!G1141)</f>
        <v/>
      </c>
      <c r="K1144" s="26" t="str">
        <f>IF(A1144="","",BASE_CAIXA!I1141)</f>
        <v/>
      </c>
      <c r="L1144" s="26" t="str">
        <f>IF(A1144="","",BASE_CAIXA!J1141)</f>
        <v/>
      </c>
      <c r="M1144" s="26" t="str">
        <f>IF(A1144="","",BASE_CAIXA!AM1141)</f>
        <v/>
      </c>
      <c r="N1144" s="26" t="str">
        <f t="shared" ca="1" si="51"/>
        <v/>
      </c>
      <c r="O1144" s="26" t="str">
        <f>IFERROR(INDEX(EXTRATO_IMPORTADO!$A$5:$A$404,MATCH(B1144,EXTRATO_IMPORTADO!$I$5:$I$404,0)),"")</f>
        <v/>
      </c>
      <c r="P1144" s="26" t="str">
        <f>IFERROR(INDEX(EXTRATO_IMPORTADO!$F$5:$F$404,MATCH(B1144,EXTRATO_IMPORTADO!$I$5:$I$404,0)),"")</f>
        <v/>
      </c>
      <c r="Q1144" s="26" t="str">
        <f>IFERROR(INDEX(EXTRATO_IMPORTADO!$B$5:$B$404,MATCH(B1144,EXTRATO_IMPORTADO!$I$5:$I$404,0)),"")</f>
        <v/>
      </c>
      <c r="R1144" s="26" t="str">
        <f>IFERROR(MATCH(B1144,EXTRATO_IMPORTADO!$I$5:$I$404,0),"")</f>
        <v/>
      </c>
      <c r="S1144" s="26" t="str">
        <f t="shared" si="52"/>
        <v/>
      </c>
      <c r="T1144" s="26" t="str">
        <f t="shared" si="53"/>
        <v/>
      </c>
    </row>
    <row r="1145" spans="1:20" x14ac:dyDescent="0.3">
      <c r="A1145" s="26" t="str">
        <f>IF(BASE_CAIXA!A1142="","",BASE_CAIXA!A1142)</f>
        <v/>
      </c>
      <c r="B1145" s="26" t="str">
        <f>IF(A1145="","",BASE_CAIXA!AL1142)</f>
        <v/>
      </c>
      <c r="C1145" s="26" t="str">
        <f>IF(A1145="","",BASE_CAIXA!AJ1142)</f>
        <v/>
      </c>
      <c r="D1145" s="26" t="str">
        <f>IF(A1145="","",IF(BASE_CAIXA!C1142="Entrada","Crédito","Débito"))</f>
        <v/>
      </c>
      <c r="E1145" s="26" t="str">
        <f>IF(A1145="","",BASE_CAIXA!AA1142)</f>
        <v/>
      </c>
      <c r="F1145" s="26" t="str">
        <f>IF(A1145="","",BASE_CAIXA!N1142)</f>
        <v/>
      </c>
      <c r="G1145" s="26" t="str">
        <f>IF(A1145="","",BASE_CAIXA!O1142)</f>
        <v/>
      </c>
      <c r="H1145" s="26" t="str">
        <f>IF(A1145="","",BASE_CAIXA!P1142)</f>
        <v/>
      </c>
      <c r="I1145" s="26" t="str">
        <f>IF(A1145="","",IF(BASE_CAIXA!H1142&lt;&gt;"",BASE_CAIXA!H1142,BASE_CAIXA!G1142))</f>
        <v/>
      </c>
      <c r="J1145" s="26" t="str">
        <f>IF(A1145="","",BASE_CAIXA!G1142)</f>
        <v/>
      </c>
      <c r="K1145" s="26" t="str">
        <f>IF(A1145="","",BASE_CAIXA!I1142)</f>
        <v/>
      </c>
      <c r="L1145" s="26" t="str">
        <f>IF(A1145="","",BASE_CAIXA!J1142)</f>
        <v/>
      </c>
      <c r="M1145" s="26" t="str">
        <f>IF(A1145="","",BASE_CAIXA!AM1142)</f>
        <v/>
      </c>
      <c r="N1145" s="26" t="str">
        <f t="shared" ca="1" si="51"/>
        <v/>
      </c>
      <c r="O1145" s="26" t="str">
        <f>IFERROR(INDEX(EXTRATO_IMPORTADO!$A$5:$A$404,MATCH(B1145,EXTRATO_IMPORTADO!$I$5:$I$404,0)),"")</f>
        <v/>
      </c>
      <c r="P1145" s="26" t="str">
        <f>IFERROR(INDEX(EXTRATO_IMPORTADO!$F$5:$F$404,MATCH(B1145,EXTRATO_IMPORTADO!$I$5:$I$404,0)),"")</f>
        <v/>
      </c>
      <c r="Q1145" s="26" t="str">
        <f>IFERROR(INDEX(EXTRATO_IMPORTADO!$B$5:$B$404,MATCH(B1145,EXTRATO_IMPORTADO!$I$5:$I$404,0)),"")</f>
        <v/>
      </c>
      <c r="R1145" s="26" t="str">
        <f>IFERROR(MATCH(B1145,EXTRATO_IMPORTADO!$I$5:$I$404,0),"")</f>
        <v/>
      </c>
      <c r="S1145" s="26" t="str">
        <f t="shared" si="52"/>
        <v/>
      </c>
      <c r="T1145" s="26" t="str">
        <f t="shared" si="53"/>
        <v/>
      </c>
    </row>
    <row r="1146" spans="1:20" x14ac:dyDescent="0.3">
      <c r="A1146" s="26" t="str">
        <f>IF(BASE_CAIXA!A1143="","",BASE_CAIXA!A1143)</f>
        <v/>
      </c>
      <c r="B1146" s="26" t="str">
        <f>IF(A1146="","",BASE_CAIXA!AL1143)</f>
        <v/>
      </c>
      <c r="C1146" s="26" t="str">
        <f>IF(A1146="","",BASE_CAIXA!AJ1143)</f>
        <v/>
      </c>
      <c r="D1146" s="26" t="str">
        <f>IF(A1146="","",IF(BASE_CAIXA!C1143="Entrada","Crédito","Débito"))</f>
        <v/>
      </c>
      <c r="E1146" s="26" t="str">
        <f>IF(A1146="","",BASE_CAIXA!AA1143)</f>
        <v/>
      </c>
      <c r="F1146" s="26" t="str">
        <f>IF(A1146="","",BASE_CAIXA!N1143)</f>
        <v/>
      </c>
      <c r="G1146" s="26" t="str">
        <f>IF(A1146="","",BASE_CAIXA!O1143)</f>
        <v/>
      </c>
      <c r="H1146" s="26" t="str">
        <f>IF(A1146="","",BASE_CAIXA!P1143)</f>
        <v/>
      </c>
      <c r="I1146" s="26" t="str">
        <f>IF(A1146="","",IF(BASE_CAIXA!H1143&lt;&gt;"",BASE_CAIXA!H1143,BASE_CAIXA!G1143))</f>
        <v/>
      </c>
      <c r="J1146" s="26" t="str">
        <f>IF(A1146="","",BASE_CAIXA!G1143)</f>
        <v/>
      </c>
      <c r="K1146" s="26" t="str">
        <f>IF(A1146="","",BASE_CAIXA!I1143)</f>
        <v/>
      </c>
      <c r="L1146" s="26" t="str">
        <f>IF(A1146="","",BASE_CAIXA!J1143)</f>
        <v/>
      </c>
      <c r="M1146" s="26" t="str">
        <f>IF(A1146="","",BASE_CAIXA!AM1143)</f>
        <v/>
      </c>
      <c r="N1146" s="26" t="str">
        <f t="shared" ca="1" si="51"/>
        <v/>
      </c>
      <c r="O1146" s="26" t="str">
        <f>IFERROR(INDEX(EXTRATO_IMPORTADO!$A$5:$A$404,MATCH(B1146,EXTRATO_IMPORTADO!$I$5:$I$404,0)),"")</f>
        <v/>
      </c>
      <c r="P1146" s="26" t="str">
        <f>IFERROR(INDEX(EXTRATO_IMPORTADO!$F$5:$F$404,MATCH(B1146,EXTRATO_IMPORTADO!$I$5:$I$404,0)),"")</f>
        <v/>
      </c>
      <c r="Q1146" s="26" t="str">
        <f>IFERROR(INDEX(EXTRATO_IMPORTADO!$B$5:$B$404,MATCH(B1146,EXTRATO_IMPORTADO!$I$5:$I$404,0)),"")</f>
        <v/>
      </c>
      <c r="R1146" s="26" t="str">
        <f>IFERROR(MATCH(B1146,EXTRATO_IMPORTADO!$I$5:$I$404,0),"")</f>
        <v/>
      </c>
      <c r="S1146" s="26" t="str">
        <f t="shared" si="52"/>
        <v/>
      </c>
      <c r="T1146" s="26" t="str">
        <f t="shared" si="53"/>
        <v/>
      </c>
    </row>
    <row r="1147" spans="1:20" x14ac:dyDescent="0.3">
      <c r="A1147" s="26" t="str">
        <f>IF(BASE_CAIXA!A1144="","",BASE_CAIXA!A1144)</f>
        <v/>
      </c>
      <c r="B1147" s="26" t="str">
        <f>IF(A1147="","",BASE_CAIXA!AL1144)</f>
        <v/>
      </c>
      <c r="C1147" s="26" t="str">
        <f>IF(A1147="","",BASE_CAIXA!AJ1144)</f>
        <v/>
      </c>
      <c r="D1147" s="26" t="str">
        <f>IF(A1147="","",IF(BASE_CAIXA!C1144="Entrada","Crédito","Débito"))</f>
        <v/>
      </c>
      <c r="E1147" s="26" t="str">
        <f>IF(A1147="","",BASE_CAIXA!AA1144)</f>
        <v/>
      </c>
      <c r="F1147" s="26" t="str">
        <f>IF(A1147="","",BASE_CAIXA!N1144)</f>
        <v/>
      </c>
      <c r="G1147" s="26" t="str">
        <f>IF(A1147="","",BASE_CAIXA!O1144)</f>
        <v/>
      </c>
      <c r="H1147" s="26" t="str">
        <f>IF(A1147="","",BASE_CAIXA!P1144)</f>
        <v/>
      </c>
      <c r="I1147" s="26" t="str">
        <f>IF(A1147="","",IF(BASE_CAIXA!H1144&lt;&gt;"",BASE_CAIXA!H1144,BASE_CAIXA!G1144))</f>
        <v/>
      </c>
      <c r="J1147" s="26" t="str">
        <f>IF(A1147="","",BASE_CAIXA!G1144)</f>
        <v/>
      </c>
      <c r="K1147" s="26" t="str">
        <f>IF(A1147="","",BASE_CAIXA!I1144)</f>
        <v/>
      </c>
      <c r="L1147" s="26" t="str">
        <f>IF(A1147="","",BASE_CAIXA!J1144)</f>
        <v/>
      </c>
      <c r="M1147" s="26" t="str">
        <f>IF(A1147="","",BASE_CAIXA!AM1144)</f>
        <v/>
      </c>
      <c r="N1147" s="26" t="str">
        <f t="shared" ca="1" si="51"/>
        <v/>
      </c>
      <c r="O1147" s="26" t="str">
        <f>IFERROR(INDEX(EXTRATO_IMPORTADO!$A$5:$A$404,MATCH(B1147,EXTRATO_IMPORTADO!$I$5:$I$404,0)),"")</f>
        <v/>
      </c>
      <c r="P1147" s="26" t="str">
        <f>IFERROR(INDEX(EXTRATO_IMPORTADO!$F$5:$F$404,MATCH(B1147,EXTRATO_IMPORTADO!$I$5:$I$404,0)),"")</f>
        <v/>
      </c>
      <c r="Q1147" s="26" t="str">
        <f>IFERROR(INDEX(EXTRATO_IMPORTADO!$B$5:$B$404,MATCH(B1147,EXTRATO_IMPORTADO!$I$5:$I$404,0)),"")</f>
        <v/>
      </c>
      <c r="R1147" s="26" t="str">
        <f>IFERROR(MATCH(B1147,EXTRATO_IMPORTADO!$I$5:$I$404,0),"")</f>
        <v/>
      </c>
      <c r="S1147" s="26" t="str">
        <f t="shared" si="52"/>
        <v/>
      </c>
      <c r="T1147" s="26" t="str">
        <f t="shared" si="53"/>
        <v/>
      </c>
    </row>
    <row r="1148" spans="1:20" x14ac:dyDescent="0.3">
      <c r="A1148" s="26" t="str">
        <f>IF(BASE_CAIXA!A1145="","",BASE_CAIXA!A1145)</f>
        <v/>
      </c>
      <c r="B1148" s="26" t="str">
        <f>IF(A1148="","",BASE_CAIXA!AL1145)</f>
        <v/>
      </c>
      <c r="C1148" s="26" t="str">
        <f>IF(A1148="","",BASE_CAIXA!AJ1145)</f>
        <v/>
      </c>
      <c r="D1148" s="26" t="str">
        <f>IF(A1148="","",IF(BASE_CAIXA!C1145="Entrada","Crédito","Débito"))</f>
        <v/>
      </c>
      <c r="E1148" s="26" t="str">
        <f>IF(A1148="","",BASE_CAIXA!AA1145)</f>
        <v/>
      </c>
      <c r="F1148" s="26" t="str">
        <f>IF(A1148="","",BASE_CAIXA!N1145)</f>
        <v/>
      </c>
      <c r="G1148" s="26" t="str">
        <f>IF(A1148="","",BASE_CAIXA!O1145)</f>
        <v/>
      </c>
      <c r="H1148" s="26" t="str">
        <f>IF(A1148="","",BASE_CAIXA!P1145)</f>
        <v/>
      </c>
      <c r="I1148" s="26" t="str">
        <f>IF(A1148="","",IF(BASE_CAIXA!H1145&lt;&gt;"",BASE_CAIXA!H1145,BASE_CAIXA!G1145))</f>
        <v/>
      </c>
      <c r="J1148" s="26" t="str">
        <f>IF(A1148="","",BASE_CAIXA!G1145)</f>
        <v/>
      </c>
      <c r="K1148" s="26" t="str">
        <f>IF(A1148="","",BASE_CAIXA!I1145)</f>
        <v/>
      </c>
      <c r="L1148" s="26" t="str">
        <f>IF(A1148="","",BASE_CAIXA!J1145)</f>
        <v/>
      </c>
      <c r="M1148" s="26" t="str">
        <f>IF(A1148="","",BASE_CAIXA!AM1145)</f>
        <v/>
      </c>
      <c r="N1148" s="26" t="str">
        <f t="shared" ca="1" si="51"/>
        <v/>
      </c>
      <c r="O1148" s="26" t="str">
        <f>IFERROR(INDEX(EXTRATO_IMPORTADO!$A$5:$A$404,MATCH(B1148,EXTRATO_IMPORTADO!$I$5:$I$404,0)),"")</f>
        <v/>
      </c>
      <c r="P1148" s="26" t="str">
        <f>IFERROR(INDEX(EXTRATO_IMPORTADO!$F$5:$F$404,MATCH(B1148,EXTRATO_IMPORTADO!$I$5:$I$404,0)),"")</f>
        <v/>
      </c>
      <c r="Q1148" s="26" t="str">
        <f>IFERROR(INDEX(EXTRATO_IMPORTADO!$B$5:$B$404,MATCH(B1148,EXTRATO_IMPORTADO!$I$5:$I$404,0)),"")</f>
        <v/>
      </c>
      <c r="R1148" s="26" t="str">
        <f>IFERROR(MATCH(B1148,EXTRATO_IMPORTADO!$I$5:$I$404,0),"")</f>
        <v/>
      </c>
      <c r="S1148" s="26" t="str">
        <f t="shared" si="52"/>
        <v/>
      </c>
      <c r="T1148" s="26" t="str">
        <f t="shared" si="53"/>
        <v/>
      </c>
    </row>
    <row r="1149" spans="1:20" x14ac:dyDescent="0.3">
      <c r="A1149" s="26" t="str">
        <f>IF(BASE_CAIXA!A1146="","",BASE_CAIXA!A1146)</f>
        <v/>
      </c>
      <c r="B1149" s="26" t="str">
        <f>IF(A1149="","",BASE_CAIXA!AL1146)</f>
        <v/>
      </c>
      <c r="C1149" s="26" t="str">
        <f>IF(A1149="","",BASE_CAIXA!AJ1146)</f>
        <v/>
      </c>
      <c r="D1149" s="26" t="str">
        <f>IF(A1149="","",IF(BASE_CAIXA!C1146="Entrada","Crédito","Débito"))</f>
        <v/>
      </c>
      <c r="E1149" s="26" t="str">
        <f>IF(A1149="","",BASE_CAIXA!AA1146)</f>
        <v/>
      </c>
      <c r="F1149" s="26" t="str">
        <f>IF(A1149="","",BASE_CAIXA!N1146)</f>
        <v/>
      </c>
      <c r="G1149" s="26" t="str">
        <f>IF(A1149="","",BASE_CAIXA!O1146)</f>
        <v/>
      </c>
      <c r="H1149" s="26" t="str">
        <f>IF(A1149="","",BASE_CAIXA!P1146)</f>
        <v/>
      </c>
      <c r="I1149" s="26" t="str">
        <f>IF(A1149="","",IF(BASE_CAIXA!H1146&lt;&gt;"",BASE_CAIXA!H1146,BASE_CAIXA!G1146))</f>
        <v/>
      </c>
      <c r="J1149" s="26" t="str">
        <f>IF(A1149="","",BASE_CAIXA!G1146)</f>
        <v/>
      </c>
      <c r="K1149" s="26" t="str">
        <f>IF(A1149="","",BASE_CAIXA!I1146)</f>
        <v/>
      </c>
      <c r="L1149" s="26" t="str">
        <f>IF(A1149="","",BASE_CAIXA!J1146)</f>
        <v/>
      </c>
      <c r="M1149" s="26" t="str">
        <f>IF(A1149="","",BASE_CAIXA!AM1146)</f>
        <v/>
      </c>
      <c r="N1149" s="26" t="str">
        <f t="shared" ca="1" si="51"/>
        <v/>
      </c>
      <c r="O1149" s="26" t="str">
        <f>IFERROR(INDEX(EXTRATO_IMPORTADO!$A$5:$A$404,MATCH(B1149,EXTRATO_IMPORTADO!$I$5:$I$404,0)),"")</f>
        <v/>
      </c>
      <c r="P1149" s="26" t="str">
        <f>IFERROR(INDEX(EXTRATO_IMPORTADO!$F$5:$F$404,MATCH(B1149,EXTRATO_IMPORTADO!$I$5:$I$404,0)),"")</f>
        <v/>
      </c>
      <c r="Q1149" s="26" t="str">
        <f>IFERROR(INDEX(EXTRATO_IMPORTADO!$B$5:$B$404,MATCH(B1149,EXTRATO_IMPORTADO!$I$5:$I$404,0)),"")</f>
        <v/>
      </c>
      <c r="R1149" s="26" t="str">
        <f>IFERROR(MATCH(B1149,EXTRATO_IMPORTADO!$I$5:$I$404,0),"")</f>
        <v/>
      </c>
      <c r="S1149" s="26" t="str">
        <f t="shared" si="52"/>
        <v/>
      </c>
      <c r="T1149" s="26" t="str">
        <f t="shared" si="53"/>
        <v/>
      </c>
    </row>
    <row r="1150" spans="1:20" x14ac:dyDescent="0.3">
      <c r="A1150" s="26" t="str">
        <f>IF(BASE_CAIXA!A1147="","",BASE_CAIXA!A1147)</f>
        <v/>
      </c>
      <c r="B1150" s="26" t="str">
        <f>IF(A1150="","",BASE_CAIXA!AL1147)</f>
        <v/>
      </c>
      <c r="C1150" s="26" t="str">
        <f>IF(A1150="","",BASE_CAIXA!AJ1147)</f>
        <v/>
      </c>
      <c r="D1150" s="26" t="str">
        <f>IF(A1150="","",IF(BASE_CAIXA!C1147="Entrada","Crédito","Débito"))</f>
        <v/>
      </c>
      <c r="E1150" s="26" t="str">
        <f>IF(A1150="","",BASE_CAIXA!AA1147)</f>
        <v/>
      </c>
      <c r="F1150" s="26" t="str">
        <f>IF(A1150="","",BASE_CAIXA!N1147)</f>
        <v/>
      </c>
      <c r="G1150" s="26" t="str">
        <f>IF(A1150="","",BASE_CAIXA!O1147)</f>
        <v/>
      </c>
      <c r="H1150" s="26" t="str">
        <f>IF(A1150="","",BASE_CAIXA!P1147)</f>
        <v/>
      </c>
      <c r="I1150" s="26" t="str">
        <f>IF(A1150="","",IF(BASE_CAIXA!H1147&lt;&gt;"",BASE_CAIXA!H1147,BASE_CAIXA!G1147))</f>
        <v/>
      </c>
      <c r="J1150" s="26" t="str">
        <f>IF(A1150="","",BASE_CAIXA!G1147)</f>
        <v/>
      </c>
      <c r="K1150" s="26" t="str">
        <f>IF(A1150="","",BASE_CAIXA!I1147)</f>
        <v/>
      </c>
      <c r="L1150" s="26" t="str">
        <f>IF(A1150="","",BASE_CAIXA!J1147)</f>
        <v/>
      </c>
      <c r="M1150" s="26" t="str">
        <f>IF(A1150="","",BASE_CAIXA!AM1147)</f>
        <v/>
      </c>
      <c r="N1150" s="26" t="str">
        <f t="shared" ca="1" si="51"/>
        <v/>
      </c>
      <c r="O1150" s="26" t="str">
        <f>IFERROR(INDEX(EXTRATO_IMPORTADO!$A$5:$A$404,MATCH(B1150,EXTRATO_IMPORTADO!$I$5:$I$404,0)),"")</f>
        <v/>
      </c>
      <c r="P1150" s="26" t="str">
        <f>IFERROR(INDEX(EXTRATO_IMPORTADO!$F$5:$F$404,MATCH(B1150,EXTRATO_IMPORTADO!$I$5:$I$404,0)),"")</f>
        <v/>
      </c>
      <c r="Q1150" s="26" t="str">
        <f>IFERROR(INDEX(EXTRATO_IMPORTADO!$B$5:$B$404,MATCH(B1150,EXTRATO_IMPORTADO!$I$5:$I$404,0)),"")</f>
        <v/>
      </c>
      <c r="R1150" s="26" t="str">
        <f>IFERROR(MATCH(B1150,EXTRATO_IMPORTADO!$I$5:$I$404,0),"")</f>
        <v/>
      </c>
      <c r="S1150" s="26" t="str">
        <f t="shared" si="52"/>
        <v/>
      </c>
      <c r="T1150" s="26" t="str">
        <f t="shared" si="53"/>
        <v/>
      </c>
    </row>
    <row r="1151" spans="1:20" x14ac:dyDescent="0.3">
      <c r="A1151" s="26" t="str">
        <f>IF(BASE_CAIXA!A1148="","",BASE_CAIXA!A1148)</f>
        <v/>
      </c>
      <c r="B1151" s="26" t="str">
        <f>IF(A1151="","",BASE_CAIXA!AL1148)</f>
        <v/>
      </c>
      <c r="C1151" s="26" t="str">
        <f>IF(A1151="","",BASE_CAIXA!AJ1148)</f>
        <v/>
      </c>
      <c r="D1151" s="26" t="str">
        <f>IF(A1151="","",IF(BASE_CAIXA!C1148="Entrada","Crédito","Débito"))</f>
        <v/>
      </c>
      <c r="E1151" s="26" t="str">
        <f>IF(A1151="","",BASE_CAIXA!AA1148)</f>
        <v/>
      </c>
      <c r="F1151" s="26" t="str">
        <f>IF(A1151="","",BASE_CAIXA!N1148)</f>
        <v/>
      </c>
      <c r="G1151" s="26" t="str">
        <f>IF(A1151="","",BASE_CAIXA!O1148)</f>
        <v/>
      </c>
      <c r="H1151" s="26" t="str">
        <f>IF(A1151="","",BASE_CAIXA!P1148)</f>
        <v/>
      </c>
      <c r="I1151" s="26" t="str">
        <f>IF(A1151="","",IF(BASE_CAIXA!H1148&lt;&gt;"",BASE_CAIXA!H1148,BASE_CAIXA!G1148))</f>
        <v/>
      </c>
      <c r="J1151" s="26" t="str">
        <f>IF(A1151="","",BASE_CAIXA!G1148)</f>
        <v/>
      </c>
      <c r="K1151" s="26" t="str">
        <f>IF(A1151="","",BASE_CAIXA!I1148)</f>
        <v/>
      </c>
      <c r="L1151" s="26" t="str">
        <f>IF(A1151="","",BASE_CAIXA!J1148)</f>
        <v/>
      </c>
      <c r="M1151" s="26" t="str">
        <f>IF(A1151="","",BASE_CAIXA!AM1148)</f>
        <v/>
      </c>
      <c r="N1151" s="26" t="str">
        <f t="shared" ca="1" si="51"/>
        <v/>
      </c>
      <c r="O1151" s="26" t="str">
        <f>IFERROR(INDEX(EXTRATO_IMPORTADO!$A$5:$A$404,MATCH(B1151,EXTRATO_IMPORTADO!$I$5:$I$404,0)),"")</f>
        <v/>
      </c>
      <c r="P1151" s="26" t="str">
        <f>IFERROR(INDEX(EXTRATO_IMPORTADO!$F$5:$F$404,MATCH(B1151,EXTRATO_IMPORTADO!$I$5:$I$404,0)),"")</f>
        <v/>
      </c>
      <c r="Q1151" s="26" t="str">
        <f>IFERROR(INDEX(EXTRATO_IMPORTADO!$B$5:$B$404,MATCH(B1151,EXTRATO_IMPORTADO!$I$5:$I$404,0)),"")</f>
        <v/>
      </c>
      <c r="R1151" s="26" t="str">
        <f>IFERROR(MATCH(B1151,EXTRATO_IMPORTADO!$I$5:$I$404,0),"")</f>
        <v/>
      </c>
      <c r="S1151" s="26" t="str">
        <f t="shared" si="52"/>
        <v/>
      </c>
      <c r="T1151" s="26" t="str">
        <f t="shared" si="53"/>
        <v/>
      </c>
    </row>
    <row r="1152" spans="1:20" x14ac:dyDescent="0.3">
      <c r="A1152" s="26" t="str">
        <f>IF(BASE_CAIXA!A1149="","",BASE_CAIXA!A1149)</f>
        <v/>
      </c>
      <c r="B1152" s="26" t="str">
        <f>IF(A1152="","",BASE_CAIXA!AL1149)</f>
        <v/>
      </c>
      <c r="C1152" s="26" t="str">
        <f>IF(A1152="","",BASE_CAIXA!AJ1149)</f>
        <v/>
      </c>
      <c r="D1152" s="26" t="str">
        <f>IF(A1152="","",IF(BASE_CAIXA!C1149="Entrada","Crédito","Débito"))</f>
        <v/>
      </c>
      <c r="E1152" s="26" t="str">
        <f>IF(A1152="","",BASE_CAIXA!AA1149)</f>
        <v/>
      </c>
      <c r="F1152" s="26" t="str">
        <f>IF(A1152="","",BASE_CAIXA!N1149)</f>
        <v/>
      </c>
      <c r="G1152" s="26" t="str">
        <f>IF(A1152="","",BASE_CAIXA!O1149)</f>
        <v/>
      </c>
      <c r="H1152" s="26" t="str">
        <f>IF(A1152="","",BASE_CAIXA!P1149)</f>
        <v/>
      </c>
      <c r="I1152" s="26" t="str">
        <f>IF(A1152="","",IF(BASE_CAIXA!H1149&lt;&gt;"",BASE_CAIXA!H1149,BASE_CAIXA!G1149))</f>
        <v/>
      </c>
      <c r="J1152" s="26" t="str">
        <f>IF(A1152="","",BASE_CAIXA!G1149)</f>
        <v/>
      </c>
      <c r="K1152" s="26" t="str">
        <f>IF(A1152="","",BASE_CAIXA!I1149)</f>
        <v/>
      </c>
      <c r="L1152" s="26" t="str">
        <f>IF(A1152="","",BASE_CAIXA!J1149)</f>
        <v/>
      </c>
      <c r="M1152" s="26" t="str">
        <f>IF(A1152="","",BASE_CAIXA!AM1149)</f>
        <v/>
      </c>
      <c r="N1152" s="26" t="str">
        <f t="shared" ca="1" si="51"/>
        <v/>
      </c>
      <c r="O1152" s="26" t="str">
        <f>IFERROR(INDEX(EXTRATO_IMPORTADO!$A$5:$A$404,MATCH(B1152,EXTRATO_IMPORTADO!$I$5:$I$404,0)),"")</f>
        <v/>
      </c>
      <c r="P1152" s="26" t="str">
        <f>IFERROR(INDEX(EXTRATO_IMPORTADO!$F$5:$F$404,MATCH(B1152,EXTRATO_IMPORTADO!$I$5:$I$404,0)),"")</f>
        <v/>
      </c>
      <c r="Q1152" s="26" t="str">
        <f>IFERROR(INDEX(EXTRATO_IMPORTADO!$B$5:$B$404,MATCH(B1152,EXTRATO_IMPORTADO!$I$5:$I$404,0)),"")</f>
        <v/>
      </c>
      <c r="R1152" s="26" t="str">
        <f>IFERROR(MATCH(B1152,EXTRATO_IMPORTADO!$I$5:$I$404,0),"")</f>
        <v/>
      </c>
      <c r="S1152" s="26" t="str">
        <f t="shared" si="52"/>
        <v/>
      </c>
      <c r="T1152" s="26" t="str">
        <f t="shared" si="53"/>
        <v/>
      </c>
    </row>
    <row r="1153" spans="1:20" x14ac:dyDescent="0.3">
      <c r="A1153" s="26" t="str">
        <f>IF(BASE_CAIXA!A1150="","",BASE_CAIXA!A1150)</f>
        <v/>
      </c>
      <c r="B1153" s="26" t="str">
        <f>IF(A1153="","",BASE_CAIXA!AL1150)</f>
        <v/>
      </c>
      <c r="C1153" s="26" t="str">
        <f>IF(A1153="","",BASE_CAIXA!AJ1150)</f>
        <v/>
      </c>
      <c r="D1153" s="26" t="str">
        <f>IF(A1153="","",IF(BASE_CAIXA!C1150="Entrada","Crédito","Débito"))</f>
        <v/>
      </c>
      <c r="E1153" s="26" t="str">
        <f>IF(A1153="","",BASE_CAIXA!AA1150)</f>
        <v/>
      </c>
      <c r="F1153" s="26" t="str">
        <f>IF(A1153="","",BASE_CAIXA!N1150)</f>
        <v/>
      </c>
      <c r="G1153" s="26" t="str">
        <f>IF(A1153="","",BASE_CAIXA!O1150)</f>
        <v/>
      </c>
      <c r="H1153" s="26" t="str">
        <f>IF(A1153="","",BASE_CAIXA!P1150)</f>
        <v/>
      </c>
      <c r="I1153" s="26" t="str">
        <f>IF(A1153="","",IF(BASE_CAIXA!H1150&lt;&gt;"",BASE_CAIXA!H1150,BASE_CAIXA!G1150))</f>
        <v/>
      </c>
      <c r="J1153" s="26" t="str">
        <f>IF(A1153="","",BASE_CAIXA!G1150)</f>
        <v/>
      </c>
      <c r="K1153" s="26" t="str">
        <f>IF(A1153="","",BASE_CAIXA!I1150)</f>
        <v/>
      </c>
      <c r="L1153" s="26" t="str">
        <f>IF(A1153="","",BASE_CAIXA!J1150)</f>
        <v/>
      </c>
      <c r="M1153" s="26" t="str">
        <f>IF(A1153="","",BASE_CAIXA!AM1150)</f>
        <v/>
      </c>
      <c r="N1153" s="26" t="str">
        <f t="shared" ca="1" si="51"/>
        <v/>
      </c>
      <c r="O1153" s="26" t="str">
        <f>IFERROR(INDEX(EXTRATO_IMPORTADO!$A$5:$A$404,MATCH(B1153,EXTRATO_IMPORTADO!$I$5:$I$404,0)),"")</f>
        <v/>
      </c>
      <c r="P1153" s="26" t="str">
        <f>IFERROR(INDEX(EXTRATO_IMPORTADO!$F$5:$F$404,MATCH(B1153,EXTRATO_IMPORTADO!$I$5:$I$404,0)),"")</f>
        <v/>
      </c>
      <c r="Q1153" s="26" t="str">
        <f>IFERROR(INDEX(EXTRATO_IMPORTADO!$B$5:$B$404,MATCH(B1153,EXTRATO_IMPORTADO!$I$5:$I$404,0)),"")</f>
        <v/>
      </c>
      <c r="R1153" s="26" t="str">
        <f>IFERROR(MATCH(B1153,EXTRATO_IMPORTADO!$I$5:$I$404,0),"")</f>
        <v/>
      </c>
      <c r="S1153" s="26" t="str">
        <f t="shared" si="52"/>
        <v/>
      </c>
      <c r="T1153" s="26" t="str">
        <f t="shared" si="53"/>
        <v/>
      </c>
    </row>
    <row r="1154" spans="1:20" x14ac:dyDescent="0.3">
      <c r="A1154" s="26" t="str">
        <f>IF(BASE_CAIXA!A1151="","",BASE_CAIXA!A1151)</f>
        <v/>
      </c>
      <c r="B1154" s="26" t="str">
        <f>IF(A1154="","",BASE_CAIXA!AL1151)</f>
        <v/>
      </c>
      <c r="C1154" s="26" t="str">
        <f>IF(A1154="","",BASE_CAIXA!AJ1151)</f>
        <v/>
      </c>
      <c r="D1154" s="26" t="str">
        <f>IF(A1154="","",IF(BASE_CAIXA!C1151="Entrada","Crédito","Débito"))</f>
        <v/>
      </c>
      <c r="E1154" s="26" t="str">
        <f>IF(A1154="","",BASE_CAIXA!AA1151)</f>
        <v/>
      </c>
      <c r="F1154" s="26" t="str">
        <f>IF(A1154="","",BASE_CAIXA!N1151)</f>
        <v/>
      </c>
      <c r="G1154" s="26" t="str">
        <f>IF(A1154="","",BASE_CAIXA!O1151)</f>
        <v/>
      </c>
      <c r="H1154" s="26" t="str">
        <f>IF(A1154="","",BASE_CAIXA!P1151)</f>
        <v/>
      </c>
      <c r="I1154" s="26" t="str">
        <f>IF(A1154="","",IF(BASE_CAIXA!H1151&lt;&gt;"",BASE_CAIXA!H1151,BASE_CAIXA!G1151))</f>
        <v/>
      </c>
      <c r="J1154" s="26" t="str">
        <f>IF(A1154="","",BASE_CAIXA!G1151)</f>
        <v/>
      </c>
      <c r="K1154" s="26" t="str">
        <f>IF(A1154="","",BASE_CAIXA!I1151)</f>
        <v/>
      </c>
      <c r="L1154" s="26" t="str">
        <f>IF(A1154="","",BASE_CAIXA!J1151)</f>
        <v/>
      </c>
      <c r="M1154" s="26" t="str">
        <f>IF(A1154="","",BASE_CAIXA!AM1151)</f>
        <v/>
      </c>
      <c r="N1154" s="26" t="str">
        <f t="shared" ca="1" si="51"/>
        <v/>
      </c>
      <c r="O1154" s="26" t="str">
        <f>IFERROR(INDEX(EXTRATO_IMPORTADO!$A$5:$A$404,MATCH(B1154,EXTRATO_IMPORTADO!$I$5:$I$404,0)),"")</f>
        <v/>
      </c>
      <c r="P1154" s="26" t="str">
        <f>IFERROR(INDEX(EXTRATO_IMPORTADO!$F$5:$F$404,MATCH(B1154,EXTRATO_IMPORTADO!$I$5:$I$404,0)),"")</f>
        <v/>
      </c>
      <c r="Q1154" s="26" t="str">
        <f>IFERROR(INDEX(EXTRATO_IMPORTADO!$B$5:$B$404,MATCH(B1154,EXTRATO_IMPORTADO!$I$5:$I$404,0)),"")</f>
        <v/>
      </c>
      <c r="R1154" s="26" t="str">
        <f>IFERROR(MATCH(B1154,EXTRATO_IMPORTADO!$I$5:$I$404,0),"")</f>
        <v/>
      </c>
      <c r="S1154" s="26" t="str">
        <f t="shared" si="52"/>
        <v/>
      </c>
      <c r="T1154" s="26" t="str">
        <f t="shared" si="53"/>
        <v/>
      </c>
    </row>
    <row r="1155" spans="1:20" x14ac:dyDescent="0.3">
      <c r="A1155" s="26" t="str">
        <f>IF(BASE_CAIXA!A1152="","",BASE_CAIXA!A1152)</f>
        <v/>
      </c>
      <c r="B1155" s="26" t="str">
        <f>IF(A1155="","",BASE_CAIXA!AL1152)</f>
        <v/>
      </c>
      <c r="C1155" s="26" t="str">
        <f>IF(A1155="","",BASE_CAIXA!AJ1152)</f>
        <v/>
      </c>
      <c r="D1155" s="26" t="str">
        <f>IF(A1155="","",IF(BASE_CAIXA!C1152="Entrada","Crédito","Débito"))</f>
        <v/>
      </c>
      <c r="E1155" s="26" t="str">
        <f>IF(A1155="","",BASE_CAIXA!AA1152)</f>
        <v/>
      </c>
      <c r="F1155" s="26" t="str">
        <f>IF(A1155="","",BASE_CAIXA!N1152)</f>
        <v/>
      </c>
      <c r="G1155" s="26" t="str">
        <f>IF(A1155="","",BASE_CAIXA!O1152)</f>
        <v/>
      </c>
      <c r="H1155" s="26" t="str">
        <f>IF(A1155="","",BASE_CAIXA!P1152)</f>
        <v/>
      </c>
      <c r="I1155" s="26" t="str">
        <f>IF(A1155="","",IF(BASE_CAIXA!H1152&lt;&gt;"",BASE_CAIXA!H1152,BASE_CAIXA!G1152))</f>
        <v/>
      </c>
      <c r="J1155" s="26" t="str">
        <f>IF(A1155="","",BASE_CAIXA!G1152)</f>
        <v/>
      </c>
      <c r="K1155" s="26" t="str">
        <f>IF(A1155="","",BASE_CAIXA!I1152)</f>
        <v/>
      </c>
      <c r="L1155" s="26" t="str">
        <f>IF(A1155="","",BASE_CAIXA!J1152)</f>
        <v/>
      </c>
      <c r="M1155" s="26" t="str">
        <f>IF(A1155="","",BASE_CAIXA!AM1152)</f>
        <v/>
      </c>
      <c r="N1155" s="26" t="str">
        <f t="shared" ca="1" si="51"/>
        <v/>
      </c>
      <c r="O1155" s="26" t="str">
        <f>IFERROR(INDEX(EXTRATO_IMPORTADO!$A$5:$A$404,MATCH(B1155,EXTRATO_IMPORTADO!$I$5:$I$404,0)),"")</f>
        <v/>
      </c>
      <c r="P1155" s="26" t="str">
        <f>IFERROR(INDEX(EXTRATO_IMPORTADO!$F$5:$F$404,MATCH(B1155,EXTRATO_IMPORTADO!$I$5:$I$404,0)),"")</f>
        <v/>
      </c>
      <c r="Q1155" s="26" t="str">
        <f>IFERROR(INDEX(EXTRATO_IMPORTADO!$B$5:$B$404,MATCH(B1155,EXTRATO_IMPORTADO!$I$5:$I$404,0)),"")</f>
        <v/>
      </c>
      <c r="R1155" s="26" t="str">
        <f>IFERROR(MATCH(B1155,EXTRATO_IMPORTADO!$I$5:$I$404,0),"")</f>
        <v/>
      </c>
      <c r="S1155" s="26" t="str">
        <f t="shared" si="52"/>
        <v/>
      </c>
      <c r="T1155" s="26" t="str">
        <f t="shared" si="53"/>
        <v/>
      </c>
    </row>
    <row r="1156" spans="1:20" x14ac:dyDescent="0.3">
      <c r="A1156" s="26" t="str">
        <f>IF(BASE_CAIXA!A1153="","",BASE_CAIXA!A1153)</f>
        <v/>
      </c>
      <c r="B1156" s="26" t="str">
        <f>IF(A1156="","",BASE_CAIXA!AL1153)</f>
        <v/>
      </c>
      <c r="C1156" s="26" t="str">
        <f>IF(A1156="","",BASE_CAIXA!AJ1153)</f>
        <v/>
      </c>
      <c r="D1156" s="26" t="str">
        <f>IF(A1156="","",IF(BASE_CAIXA!C1153="Entrada","Crédito","Débito"))</f>
        <v/>
      </c>
      <c r="E1156" s="26" t="str">
        <f>IF(A1156="","",BASE_CAIXA!AA1153)</f>
        <v/>
      </c>
      <c r="F1156" s="26" t="str">
        <f>IF(A1156="","",BASE_CAIXA!N1153)</f>
        <v/>
      </c>
      <c r="G1156" s="26" t="str">
        <f>IF(A1156="","",BASE_CAIXA!O1153)</f>
        <v/>
      </c>
      <c r="H1156" s="26" t="str">
        <f>IF(A1156="","",BASE_CAIXA!P1153)</f>
        <v/>
      </c>
      <c r="I1156" s="26" t="str">
        <f>IF(A1156="","",IF(BASE_CAIXA!H1153&lt;&gt;"",BASE_CAIXA!H1153,BASE_CAIXA!G1153))</f>
        <v/>
      </c>
      <c r="J1156" s="26" t="str">
        <f>IF(A1156="","",BASE_CAIXA!G1153)</f>
        <v/>
      </c>
      <c r="K1156" s="26" t="str">
        <f>IF(A1156="","",BASE_CAIXA!I1153)</f>
        <v/>
      </c>
      <c r="L1156" s="26" t="str">
        <f>IF(A1156="","",BASE_CAIXA!J1153)</f>
        <v/>
      </c>
      <c r="M1156" s="26" t="str">
        <f>IF(A1156="","",BASE_CAIXA!AM1153)</f>
        <v/>
      </c>
      <c r="N1156" s="26" t="str">
        <f t="shared" ca="1" si="51"/>
        <v/>
      </c>
      <c r="O1156" s="26" t="str">
        <f>IFERROR(INDEX(EXTRATO_IMPORTADO!$A$5:$A$404,MATCH(B1156,EXTRATO_IMPORTADO!$I$5:$I$404,0)),"")</f>
        <v/>
      </c>
      <c r="P1156" s="26" t="str">
        <f>IFERROR(INDEX(EXTRATO_IMPORTADO!$F$5:$F$404,MATCH(B1156,EXTRATO_IMPORTADO!$I$5:$I$404,0)),"")</f>
        <v/>
      </c>
      <c r="Q1156" s="26" t="str">
        <f>IFERROR(INDEX(EXTRATO_IMPORTADO!$B$5:$B$404,MATCH(B1156,EXTRATO_IMPORTADO!$I$5:$I$404,0)),"")</f>
        <v/>
      </c>
      <c r="R1156" s="26" t="str">
        <f>IFERROR(MATCH(B1156,EXTRATO_IMPORTADO!$I$5:$I$404,0),"")</f>
        <v/>
      </c>
      <c r="S1156" s="26" t="str">
        <f t="shared" si="52"/>
        <v/>
      </c>
      <c r="T1156" s="26" t="str">
        <f t="shared" si="53"/>
        <v/>
      </c>
    </row>
    <row r="1157" spans="1:20" x14ac:dyDescent="0.3">
      <c r="A1157" s="26" t="str">
        <f>IF(BASE_CAIXA!A1154="","",BASE_CAIXA!A1154)</f>
        <v/>
      </c>
      <c r="B1157" s="26" t="str">
        <f>IF(A1157="","",BASE_CAIXA!AL1154)</f>
        <v/>
      </c>
      <c r="C1157" s="26" t="str">
        <f>IF(A1157="","",BASE_CAIXA!AJ1154)</f>
        <v/>
      </c>
      <c r="D1157" s="26" t="str">
        <f>IF(A1157="","",IF(BASE_CAIXA!C1154="Entrada","Crédito","Débito"))</f>
        <v/>
      </c>
      <c r="E1157" s="26" t="str">
        <f>IF(A1157="","",BASE_CAIXA!AA1154)</f>
        <v/>
      </c>
      <c r="F1157" s="26" t="str">
        <f>IF(A1157="","",BASE_CAIXA!N1154)</f>
        <v/>
      </c>
      <c r="G1157" s="26" t="str">
        <f>IF(A1157="","",BASE_CAIXA!O1154)</f>
        <v/>
      </c>
      <c r="H1157" s="26" t="str">
        <f>IF(A1157="","",BASE_CAIXA!P1154)</f>
        <v/>
      </c>
      <c r="I1157" s="26" t="str">
        <f>IF(A1157="","",IF(BASE_CAIXA!H1154&lt;&gt;"",BASE_CAIXA!H1154,BASE_CAIXA!G1154))</f>
        <v/>
      </c>
      <c r="J1157" s="26" t="str">
        <f>IF(A1157="","",BASE_CAIXA!G1154)</f>
        <v/>
      </c>
      <c r="K1157" s="26" t="str">
        <f>IF(A1157="","",BASE_CAIXA!I1154)</f>
        <v/>
      </c>
      <c r="L1157" s="26" t="str">
        <f>IF(A1157="","",BASE_CAIXA!J1154)</f>
        <v/>
      </c>
      <c r="M1157" s="26" t="str">
        <f>IF(A1157="","",BASE_CAIXA!AM1154)</f>
        <v/>
      </c>
      <c r="N1157" s="26" t="str">
        <f t="shared" ref="N1157:N1220" ca="1" si="54">IF(A1157="","",IF(R1157&lt;&gt;"",IF(AND(ABS(S1157)&lt;=0.01,ABS(T1157)&lt;=3),"Conciliado","Divergente"),IF(TODAY()&gt;C1157,"Pendente vencido","Previsto")))</f>
        <v/>
      </c>
      <c r="O1157" s="26" t="str">
        <f>IFERROR(INDEX(EXTRATO_IMPORTADO!$A$5:$A$404,MATCH(B1157,EXTRATO_IMPORTADO!$I$5:$I$404,0)),"")</f>
        <v/>
      </c>
      <c r="P1157" s="26" t="str">
        <f>IFERROR(INDEX(EXTRATO_IMPORTADO!$F$5:$F$404,MATCH(B1157,EXTRATO_IMPORTADO!$I$5:$I$404,0)),"")</f>
        <v/>
      </c>
      <c r="Q1157" s="26" t="str">
        <f>IFERROR(INDEX(EXTRATO_IMPORTADO!$B$5:$B$404,MATCH(B1157,EXTRATO_IMPORTADO!$I$5:$I$404,0)),"")</f>
        <v/>
      </c>
      <c r="R1157" s="26" t="str">
        <f>IFERROR(MATCH(B1157,EXTRATO_IMPORTADO!$I$5:$I$404,0),"")</f>
        <v/>
      </c>
      <c r="S1157" s="26" t="str">
        <f t="shared" ref="S1157:S1220" si="55">IF(OR(A1157="",P1157=""),"",P1157-E1157)</f>
        <v/>
      </c>
      <c r="T1157" s="26" t="str">
        <f t="shared" ref="T1157:T1220" si="56">IF(OR(A1157="",O1157=""),"",O1157-C1157)</f>
        <v/>
      </c>
    </row>
    <row r="1158" spans="1:20" x14ac:dyDescent="0.3">
      <c r="A1158" s="26" t="str">
        <f>IF(BASE_CAIXA!A1155="","",BASE_CAIXA!A1155)</f>
        <v/>
      </c>
      <c r="B1158" s="26" t="str">
        <f>IF(A1158="","",BASE_CAIXA!AL1155)</f>
        <v/>
      </c>
      <c r="C1158" s="26" t="str">
        <f>IF(A1158="","",BASE_CAIXA!AJ1155)</f>
        <v/>
      </c>
      <c r="D1158" s="26" t="str">
        <f>IF(A1158="","",IF(BASE_CAIXA!C1155="Entrada","Crédito","Débito"))</f>
        <v/>
      </c>
      <c r="E1158" s="26" t="str">
        <f>IF(A1158="","",BASE_CAIXA!AA1155)</f>
        <v/>
      </c>
      <c r="F1158" s="26" t="str">
        <f>IF(A1158="","",BASE_CAIXA!N1155)</f>
        <v/>
      </c>
      <c r="G1158" s="26" t="str">
        <f>IF(A1158="","",BASE_CAIXA!O1155)</f>
        <v/>
      </c>
      <c r="H1158" s="26" t="str">
        <f>IF(A1158="","",BASE_CAIXA!P1155)</f>
        <v/>
      </c>
      <c r="I1158" s="26" t="str">
        <f>IF(A1158="","",IF(BASE_CAIXA!H1155&lt;&gt;"",BASE_CAIXA!H1155,BASE_CAIXA!G1155))</f>
        <v/>
      </c>
      <c r="J1158" s="26" t="str">
        <f>IF(A1158="","",BASE_CAIXA!G1155)</f>
        <v/>
      </c>
      <c r="K1158" s="26" t="str">
        <f>IF(A1158="","",BASE_CAIXA!I1155)</f>
        <v/>
      </c>
      <c r="L1158" s="26" t="str">
        <f>IF(A1158="","",BASE_CAIXA!J1155)</f>
        <v/>
      </c>
      <c r="M1158" s="26" t="str">
        <f>IF(A1158="","",BASE_CAIXA!AM1155)</f>
        <v/>
      </c>
      <c r="N1158" s="26" t="str">
        <f t="shared" ca="1" si="54"/>
        <v/>
      </c>
      <c r="O1158" s="26" t="str">
        <f>IFERROR(INDEX(EXTRATO_IMPORTADO!$A$5:$A$404,MATCH(B1158,EXTRATO_IMPORTADO!$I$5:$I$404,0)),"")</f>
        <v/>
      </c>
      <c r="P1158" s="26" t="str">
        <f>IFERROR(INDEX(EXTRATO_IMPORTADO!$F$5:$F$404,MATCH(B1158,EXTRATO_IMPORTADO!$I$5:$I$404,0)),"")</f>
        <v/>
      </c>
      <c r="Q1158" s="26" t="str">
        <f>IFERROR(INDEX(EXTRATO_IMPORTADO!$B$5:$B$404,MATCH(B1158,EXTRATO_IMPORTADO!$I$5:$I$404,0)),"")</f>
        <v/>
      </c>
      <c r="R1158" s="26" t="str">
        <f>IFERROR(MATCH(B1158,EXTRATO_IMPORTADO!$I$5:$I$404,0),"")</f>
        <v/>
      </c>
      <c r="S1158" s="26" t="str">
        <f t="shared" si="55"/>
        <v/>
      </c>
      <c r="T1158" s="26" t="str">
        <f t="shared" si="56"/>
        <v/>
      </c>
    </row>
    <row r="1159" spans="1:20" x14ac:dyDescent="0.3">
      <c r="A1159" s="26" t="str">
        <f>IF(BASE_CAIXA!A1156="","",BASE_CAIXA!A1156)</f>
        <v/>
      </c>
      <c r="B1159" s="26" t="str">
        <f>IF(A1159="","",BASE_CAIXA!AL1156)</f>
        <v/>
      </c>
      <c r="C1159" s="26" t="str">
        <f>IF(A1159="","",BASE_CAIXA!AJ1156)</f>
        <v/>
      </c>
      <c r="D1159" s="26" t="str">
        <f>IF(A1159="","",IF(BASE_CAIXA!C1156="Entrada","Crédito","Débito"))</f>
        <v/>
      </c>
      <c r="E1159" s="26" t="str">
        <f>IF(A1159="","",BASE_CAIXA!AA1156)</f>
        <v/>
      </c>
      <c r="F1159" s="26" t="str">
        <f>IF(A1159="","",BASE_CAIXA!N1156)</f>
        <v/>
      </c>
      <c r="G1159" s="26" t="str">
        <f>IF(A1159="","",BASE_CAIXA!O1156)</f>
        <v/>
      </c>
      <c r="H1159" s="26" t="str">
        <f>IF(A1159="","",BASE_CAIXA!P1156)</f>
        <v/>
      </c>
      <c r="I1159" s="26" t="str">
        <f>IF(A1159="","",IF(BASE_CAIXA!H1156&lt;&gt;"",BASE_CAIXA!H1156,BASE_CAIXA!G1156))</f>
        <v/>
      </c>
      <c r="J1159" s="26" t="str">
        <f>IF(A1159="","",BASE_CAIXA!G1156)</f>
        <v/>
      </c>
      <c r="K1159" s="26" t="str">
        <f>IF(A1159="","",BASE_CAIXA!I1156)</f>
        <v/>
      </c>
      <c r="L1159" s="26" t="str">
        <f>IF(A1159="","",BASE_CAIXA!J1156)</f>
        <v/>
      </c>
      <c r="M1159" s="26" t="str">
        <f>IF(A1159="","",BASE_CAIXA!AM1156)</f>
        <v/>
      </c>
      <c r="N1159" s="26" t="str">
        <f t="shared" ca="1" si="54"/>
        <v/>
      </c>
      <c r="O1159" s="26" t="str">
        <f>IFERROR(INDEX(EXTRATO_IMPORTADO!$A$5:$A$404,MATCH(B1159,EXTRATO_IMPORTADO!$I$5:$I$404,0)),"")</f>
        <v/>
      </c>
      <c r="P1159" s="26" t="str">
        <f>IFERROR(INDEX(EXTRATO_IMPORTADO!$F$5:$F$404,MATCH(B1159,EXTRATO_IMPORTADO!$I$5:$I$404,0)),"")</f>
        <v/>
      </c>
      <c r="Q1159" s="26" t="str">
        <f>IFERROR(INDEX(EXTRATO_IMPORTADO!$B$5:$B$404,MATCH(B1159,EXTRATO_IMPORTADO!$I$5:$I$404,0)),"")</f>
        <v/>
      </c>
      <c r="R1159" s="26" t="str">
        <f>IFERROR(MATCH(B1159,EXTRATO_IMPORTADO!$I$5:$I$404,0),"")</f>
        <v/>
      </c>
      <c r="S1159" s="26" t="str">
        <f t="shared" si="55"/>
        <v/>
      </c>
      <c r="T1159" s="26" t="str">
        <f t="shared" si="56"/>
        <v/>
      </c>
    </row>
    <row r="1160" spans="1:20" x14ac:dyDescent="0.3">
      <c r="A1160" s="26" t="str">
        <f>IF(BASE_CAIXA!A1157="","",BASE_CAIXA!A1157)</f>
        <v/>
      </c>
      <c r="B1160" s="26" t="str">
        <f>IF(A1160="","",BASE_CAIXA!AL1157)</f>
        <v/>
      </c>
      <c r="C1160" s="26" t="str">
        <f>IF(A1160="","",BASE_CAIXA!AJ1157)</f>
        <v/>
      </c>
      <c r="D1160" s="26" t="str">
        <f>IF(A1160="","",IF(BASE_CAIXA!C1157="Entrada","Crédito","Débito"))</f>
        <v/>
      </c>
      <c r="E1160" s="26" t="str">
        <f>IF(A1160="","",BASE_CAIXA!AA1157)</f>
        <v/>
      </c>
      <c r="F1160" s="26" t="str">
        <f>IF(A1160="","",BASE_CAIXA!N1157)</f>
        <v/>
      </c>
      <c r="G1160" s="26" t="str">
        <f>IF(A1160="","",BASE_CAIXA!O1157)</f>
        <v/>
      </c>
      <c r="H1160" s="26" t="str">
        <f>IF(A1160="","",BASE_CAIXA!P1157)</f>
        <v/>
      </c>
      <c r="I1160" s="26" t="str">
        <f>IF(A1160="","",IF(BASE_CAIXA!H1157&lt;&gt;"",BASE_CAIXA!H1157,BASE_CAIXA!G1157))</f>
        <v/>
      </c>
      <c r="J1160" s="26" t="str">
        <f>IF(A1160="","",BASE_CAIXA!G1157)</f>
        <v/>
      </c>
      <c r="K1160" s="26" t="str">
        <f>IF(A1160="","",BASE_CAIXA!I1157)</f>
        <v/>
      </c>
      <c r="L1160" s="26" t="str">
        <f>IF(A1160="","",BASE_CAIXA!J1157)</f>
        <v/>
      </c>
      <c r="M1160" s="26" t="str">
        <f>IF(A1160="","",BASE_CAIXA!AM1157)</f>
        <v/>
      </c>
      <c r="N1160" s="26" t="str">
        <f t="shared" ca="1" si="54"/>
        <v/>
      </c>
      <c r="O1160" s="26" t="str">
        <f>IFERROR(INDEX(EXTRATO_IMPORTADO!$A$5:$A$404,MATCH(B1160,EXTRATO_IMPORTADO!$I$5:$I$404,0)),"")</f>
        <v/>
      </c>
      <c r="P1160" s="26" t="str">
        <f>IFERROR(INDEX(EXTRATO_IMPORTADO!$F$5:$F$404,MATCH(B1160,EXTRATO_IMPORTADO!$I$5:$I$404,0)),"")</f>
        <v/>
      </c>
      <c r="Q1160" s="26" t="str">
        <f>IFERROR(INDEX(EXTRATO_IMPORTADO!$B$5:$B$404,MATCH(B1160,EXTRATO_IMPORTADO!$I$5:$I$404,0)),"")</f>
        <v/>
      </c>
      <c r="R1160" s="26" t="str">
        <f>IFERROR(MATCH(B1160,EXTRATO_IMPORTADO!$I$5:$I$404,0),"")</f>
        <v/>
      </c>
      <c r="S1160" s="26" t="str">
        <f t="shared" si="55"/>
        <v/>
      </c>
      <c r="T1160" s="26" t="str">
        <f t="shared" si="56"/>
        <v/>
      </c>
    </row>
    <row r="1161" spans="1:20" x14ac:dyDescent="0.3">
      <c r="A1161" s="26" t="str">
        <f>IF(BASE_CAIXA!A1158="","",BASE_CAIXA!A1158)</f>
        <v/>
      </c>
      <c r="B1161" s="26" t="str">
        <f>IF(A1161="","",BASE_CAIXA!AL1158)</f>
        <v/>
      </c>
      <c r="C1161" s="26" t="str">
        <f>IF(A1161="","",BASE_CAIXA!AJ1158)</f>
        <v/>
      </c>
      <c r="D1161" s="26" t="str">
        <f>IF(A1161="","",IF(BASE_CAIXA!C1158="Entrada","Crédito","Débito"))</f>
        <v/>
      </c>
      <c r="E1161" s="26" t="str">
        <f>IF(A1161="","",BASE_CAIXA!AA1158)</f>
        <v/>
      </c>
      <c r="F1161" s="26" t="str">
        <f>IF(A1161="","",BASE_CAIXA!N1158)</f>
        <v/>
      </c>
      <c r="G1161" s="26" t="str">
        <f>IF(A1161="","",BASE_CAIXA!O1158)</f>
        <v/>
      </c>
      <c r="H1161" s="26" t="str">
        <f>IF(A1161="","",BASE_CAIXA!P1158)</f>
        <v/>
      </c>
      <c r="I1161" s="26" t="str">
        <f>IF(A1161="","",IF(BASE_CAIXA!H1158&lt;&gt;"",BASE_CAIXA!H1158,BASE_CAIXA!G1158))</f>
        <v/>
      </c>
      <c r="J1161" s="26" t="str">
        <f>IF(A1161="","",BASE_CAIXA!G1158)</f>
        <v/>
      </c>
      <c r="K1161" s="26" t="str">
        <f>IF(A1161="","",BASE_CAIXA!I1158)</f>
        <v/>
      </c>
      <c r="L1161" s="26" t="str">
        <f>IF(A1161="","",BASE_CAIXA!J1158)</f>
        <v/>
      </c>
      <c r="M1161" s="26" t="str">
        <f>IF(A1161="","",BASE_CAIXA!AM1158)</f>
        <v/>
      </c>
      <c r="N1161" s="26" t="str">
        <f t="shared" ca="1" si="54"/>
        <v/>
      </c>
      <c r="O1161" s="26" t="str">
        <f>IFERROR(INDEX(EXTRATO_IMPORTADO!$A$5:$A$404,MATCH(B1161,EXTRATO_IMPORTADO!$I$5:$I$404,0)),"")</f>
        <v/>
      </c>
      <c r="P1161" s="26" t="str">
        <f>IFERROR(INDEX(EXTRATO_IMPORTADO!$F$5:$F$404,MATCH(B1161,EXTRATO_IMPORTADO!$I$5:$I$404,0)),"")</f>
        <v/>
      </c>
      <c r="Q1161" s="26" t="str">
        <f>IFERROR(INDEX(EXTRATO_IMPORTADO!$B$5:$B$404,MATCH(B1161,EXTRATO_IMPORTADO!$I$5:$I$404,0)),"")</f>
        <v/>
      </c>
      <c r="R1161" s="26" t="str">
        <f>IFERROR(MATCH(B1161,EXTRATO_IMPORTADO!$I$5:$I$404,0),"")</f>
        <v/>
      </c>
      <c r="S1161" s="26" t="str">
        <f t="shared" si="55"/>
        <v/>
      </c>
      <c r="T1161" s="26" t="str">
        <f t="shared" si="56"/>
        <v/>
      </c>
    </row>
    <row r="1162" spans="1:20" x14ac:dyDescent="0.3">
      <c r="A1162" s="26" t="str">
        <f>IF(BASE_CAIXA!A1159="","",BASE_CAIXA!A1159)</f>
        <v/>
      </c>
      <c r="B1162" s="26" t="str">
        <f>IF(A1162="","",BASE_CAIXA!AL1159)</f>
        <v/>
      </c>
      <c r="C1162" s="26" t="str">
        <f>IF(A1162="","",BASE_CAIXA!AJ1159)</f>
        <v/>
      </c>
      <c r="D1162" s="26" t="str">
        <f>IF(A1162="","",IF(BASE_CAIXA!C1159="Entrada","Crédito","Débito"))</f>
        <v/>
      </c>
      <c r="E1162" s="26" t="str">
        <f>IF(A1162="","",BASE_CAIXA!AA1159)</f>
        <v/>
      </c>
      <c r="F1162" s="26" t="str">
        <f>IF(A1162="","",BASE_CAIXA!N1159)</f>
        <v/>
      </c>
      <c r="G1162" s="26" t="str">
        <f>IF(A1162="","",BASE_CAIXA!O1159)</f>
        <v/>
      </c>
      <c r="H1162" s="26" t="str">
        <f>IF(A1162="","",BASE_CAIXA!P1159)</f>
        <v/>
      </c>
      <c r="I1162" s="26" t="str">
        <f>IF(A1162="","",IF(BASE_CAIXA!H1159&lt;&gt;"",BASE_CAIXA!H1159,BASE_CAIXA!G1159))</f>
        <v/>
      </c>
      <c r="J1162" s="26" t="str">
        <f>IF(A1162="","",BASE_CAIXA!G1159)</f>
        <v/>
      </c>
      <c r="K1162" s="26" t="str">
        <f>IF(A1162="","",BASE_CAIXA!I1159)</f>
        <v/>
      </c>
      <c r="L1162" s="26" t="str">
        <f>IF(A1162="","",BASE_CAIXA!J1159)</f>
        <v/>
      </c>
      <c r="M1162" s="26" t="str">
        <f>IF(A1162="","",BASE_CAIXA!AM1159)</f>
        <v/>
      </c>
      <c r="N1162" s="26" t="str">
        <f t="shared" ca="1" si="54"/>
        <v/>
      </c>
      <c r="O1162" s="26" t="str">
        <f>IFERROR(INDEX(EXTRATO_IMPORTADO!$A$5:$A$404,MATCH(B1162,EXTRATO_IMPORTADO!$I$5:$I$404,0)),"")</f>
        <v/>
      </c>
      <c r="P1162" s="26" t="str">
        <f>IFERROR(INDEX(EXTRATO_IMPORTADO!$F$5:$F$404,MATCH(B1162,EXTRATO_IMPORTADO!$I$5:$I$404,0)),"")</f>
        <v/>
      </c>
      <c r="Q1162" s="26" t="str">
        <f>IFERROR(INDEX(EXTRATO_IMPORTADO!$B$5:$B$404,MATCH(B1162,EXTRATO_IMPORTADO!$I$5:$I$404,0)),"")</f>
        <v/>
      </c>
      <c r="R1162" s="26" t="str">
        <f>IFERROR(MATCH(B1162,EXTRATO_IMPORTADO!$I$5:$I$404,0),"")</f>
        <v/>
      </c>
      <c r="S1162" s="26" t="str">
        <f t="shared" si="55"/>
        <v/>
      </c>
      <c r="T1162" s="26" t="str">
        <f t="shared" si="56"/>
        <v/>
      </c>
    </row>
    <row r="1163" spans="1:20" x14ac:dyDescent="0.3">
      <c r="A1163" s="26" t="str">
        <f>IF(BASE_CAIXA!A1160="","",BASE_CAIXA!A1160)</f>
        <v/>
      </c>
      <c r="B1163" s="26" t="str">
        <f>IF(A1163="","",BASE_CAIXA!AL1160)</f>
        <v/>
      </c>
      <c r="C1163" s="26" t="str">
        <f>IF(A1163="","",BASE_CAIXA!AJ1160)</f>
        <v/>
      </c>
      <c r="D1163" s="26" t="str">
        <f>IF(A1163="","",IF(BASE_CAIXA!C1160="Entrada","Crédito","Débito"))</f>
        <v/>
      </c>
      <c r="E1163" s="26" t="str">
        <f>IF(A1163="","",BASE_CAIXA!AA1160)</f>
        <v/>
      </c>
      <c r="F1163" s="26" t="str">
        <f>IF(A1163="","",BASE_CAIXA!N1160)</f>
        <v/>
      </c>
      <c r="G1163" s="26" t="str">
        <f>IF(A1163="","",BASE_CAIXA!O1160)</f>
        <v/>
      </c>
      <c r="H1163" s="26" t="str">
        <f>IF(A1163="","",BASE_CAIXA!P1160)</f>
        <v/>
      </c>
      <c r="I1163" s="26" t="str">
        <f>IF(A1163="","",IF(BASE_CAIXA!H1160&lt;&gt;"",BASE_CAIXA!H1160,BASE_CAIXA!G1160))</f>
        <v/>
      </c>
      <c r="J1163" s="26" t="str">
        <f>IF(A1163="","",BASE_CAIXA!G1160)</f>
        <v/>
      </c>
      <c r="K1163" s="26" t="str">
        <f>IF(A1163="","",BASE_CAIXA!I1160)</f>
        <v/>
      </c>
      <c r="L1163" s="26" t="str">
        <f>IF(A1163="","",BASE_CAIXA!J1160)</f>
        <v/>
      </c>
      <c r="M1163" s="26" t="str">
        <f>IF(A1163="","",BASE_CAIXA!AM1160)</f>
        <v/>
      </c>
      <c r="N1163" s="26" t="str">
        <f t="shared" ca="1" si="54"/>
        <v/>
      </c>
      <c r="O1163" s="26" t="str">
        <f>IFERROR(INDEX(EXTRATO_IMPORTADO!$A$5:$A$404,MATCH(B1163,EXTRATO_IMPORTADO!$I$5:$I$404,0)),"")</f>
        <v/>
      </c>
      <c r="P1163" s="26" t="str">
        <f>IFERROR(INDEX(EXTRATO_IMPORTADO!$F$5:$F$404,MATCH(B1163,EXTRATO_IMPORTADO!$I$5:$I$404,0)),"")</f>
        <v/>
      </c>
      <c r="Q1163" s="26" t="str">
        <f>IFERROR(INDEX(EXTRATO_IMPORTADO!$B$5:$B$404,MATCH(B1163,EXTRATO_IMPORTADO!$I$5:$I$404,0)),"")</f>
        <v/>
      </c>
      <c r="R1163" s="26" t="str">
        <f>IFERROR(MATCH(B1163,EXTRATO_IMPORTADO!$I$5:$I$404,0),"")</f>
        <v/>
      </c>
      <c r="S1163" s="26" t="str">
        <f t="shared" si="55"/>
        <v/>
      </c>
      <c r="T1163" s="26" t="str">
        <f t="shared" si="56"/>
        <v/>
      </c>
    </row>
    <row r="1164" spans="1:20" x14ac:dyDescent="0.3">
      <c r="A1164" s="26" t="str">
        <f>IF(BASE_CAIXA!A1161="","",BASE_CAIXA!A1161)</f>
        <v/>
      </c>
      <c r="B1164" s="26" t="str">
        <f>IF(A1164="","",BASE_CAIXA!AL1161)</f>
        <v/>
      </c>
      <c r="C1164" s="26" t="str">
        <f>IF(A1164="","",BASE_CAIXA!AJ1161)</f>
        <v/>
      </c>
      <c r="D1164" s="26" t="str">
        <f>IF(A1164="","",IF(BASE_CAIXA!C1161="Entrada","Crédito","Débito"))</f>
        <v/>
      </c>
      <c r="E1164" s="26" t="str">
        <f>IF(A1164="","",BASE_CAIXA!AA1161)</f>
        <v/>
      </c>
      <c r="F1164" s="26" t="str">
        <f>IF(A1164="","",BASE_CAIXA!N1161)</f>
        <v/>
      </c>
      <c r="G1164" s="26" t="str">
        <f>IF(A1164="","",BASE_CAIXA!O1161)</f>
        <v/>
      </c>
      <c r="H1164" s="26" t="str">
        <f>IF(A1164="","",BASE_CAIXA!P1161)</f>
        <v/>
      </c>
      <c r="I1164" s="26" t="str">
        <f>IF(A1164="","",IF(BASE_CAIXA!H1161&lt;&gt;"",BASE_CAIXA!H1161,BASE_CAIXA!G1161))</f>
        <v/>
      </c>
      <c r="J1164" s="26" t="str">
        <f>IF(A1164="","",BASE_CAIXA!G1161)</f>
        <v/>
      </c>
      <c r="K1164" s="26" t="str">
        <f>IF(A1164="","",BASE_CAIXA!I1161)</f>
        <v/>
      </c>
      <c r="L1164" s="26" t="str">
        <f>IF(A1164="","",BASE_CAIXA!J1161)</f>
        <v/>
      </c>
      <c r="M1164" s="26" t="str">
        <f>IF(A1164="","",BASE_CAIXA!AM1161)</f>
        <v/>
      </c>
      <c r="N1164" s="26" t="str">
        <f t="shared" ca="1" si="54"/>
        <v/>
      </c>
      <c r="O1164" s="26" t="str">
        <f>IFERROR(INDEX(EXTRATO_IMPORTADO!$A$5:$A$404,MATCH(B1164,EXTRATO_IMPORTADO!$I$5:$I$404,0)),"")</f>
        <v/>
      </c>
      <c r="P1164" s="26" t="str">
        <f>IFERROR(INDEX(EXTRATO_IMPORTADO!$F$5:$F$404,MATCH(B1164,EXTRATO_IMPORTADO!$I$5:$I$404,0)),"")</f>
        <v/>
      </c>
      <c r="Q1164" s="26" t="str">
        <f>IFERROR(INDEX(EXTRATO_IMPORTADO!$B$5:$B$404,MATCH(B1164,EXTRATO_IMPORTADO!$I$5:$I$404,0)),"")</f>
        <v/>
      </c>
      <c r="R1164" s="26" t="str">
        <f>IFERROR(MATCH(B1164,EXTRATO_IMPORTADO!$I$5:$I$404,0),"")</f>
        <v/>
      </c>
      <c r="S1164" s="26" t="str">
        <f t="shared" si="55"/>
        <v/>
      </c>
      <c r="T1164" s="26" t="str">
        <f t="shared" si="56"/>
        <v/>
      </c>
    </row>
    <row r="1165" spans="1:20" x14ac:dyDescent="0.3">
      <c r="A1165" s="26" t="str">
        <f>IF(BASE_CAIXA!A1162="","",BASE_CAIXA!A1162)</f>
        <v/>
      </c>
      <c r="B1165" s="26" t="str">
        <f>IF(A1165="","",BASE_CAIXA!AL1162)</f>
        <v/>
      </c>
      <c r="C1165" s="26" t="str">
        <f>IF(A1165="","",BASE_CAIXA!AJ1162)</f>
        <v/>
      </c>
      <c r="D1165" s="26" t="str">
        <f>IF(A1165="","",IF(BASE_CAIXA!C1162="Entrada","Crédito","Débito"))</f>
        <v/>
      </c>
      <c r="E1165" s="26" t="str">
        <f>IF(A1165="","",BASE_CAIXA!AA1162)</f>
        <v/>
      </c>
      <c r="F1165" s="26" t="str">
        <f>IF(A1165="","",BASE_CAIXA!N1162)</f>
        <v/>
      </c>
      <c r="G1165" s="26" t="str">
        <f>IF(A1165="","",BASE_CAIXA!O1162)</f>
        <v/>
      </c>
      <c r="H1165" s="26" t="str">
        <f>IF(A1165="","",BASE_CAIXA!P1162)</f>
        <v/>
      </c>
      <c r="I1165" s="26" t="str">
        <f>IF(A1165="","",IF(BASE_CAIXA!H1162&lt;&gt;"",BASE_CAIXA!H1162,BASE_CAIXA!G1162))</f>
        <v/>
      </c>
      <c r="J1165" s="26" t="str">
        <f>IF(A1165="","",BASE_CAIXA!G1162)</f>
        <v/>
      </c>
      <c r="K1165" s="26" t="str">
        <f>IF(A1165="","",BASE_CAIXA!I1162)</f>
        <v/>
      </c>
      <c r="L1165" s="26" t="str">
        <f>IF(A1165="","",BASE_CAIXA!J1162)</f>
        <v/>
      </c>
      <c r="M1165" s="26" t="str">
        <f>IF(A1165="","",BASE_CAIXA!AM1162)</f>
        <v/>
      </c>
      <c r="N1165" s="26" t="str">
        <f t="shared" ca="1" si="54"/>
        <v/>
      </c>
      <c r="O1165" s="26" t="str">
        <f>IFERROR(INDEX(EXTRATO_IMPORTADO!$A$5:$A$404,MATCH(B1165,EXTRATO_IMPORTADO!$I$5:$I$404,0)),"")</f>
        <v/>
      </c>
      <c r="P1165" s="26" t="str">
        <f>IFERROR(INDEX(EXTRATO_IMPORTADO!$F$5:$F$404,MATCH(B1165,EXTRATO_IMPORTADO!$I$5:$I$404,0)),"")</f>
        <v/>
      </c>
      <c r="Q1165" s="26" t="str">
        <f>IFERROR(INDEX(EXTRATO_IMPORTADO!$B$5:$B$404,MATCH(B1165,EXTRATO_IMPORTADO!$I$5:$I$404,0)),"")</f>
        <v/>
      </c>
      <c r="R1165" s="26" t="str">
        <f>IFERROR(MATCH(B1165,EXTRATO_IMPORTADO!$I$5:$I$404,0),"")</f>
        <v/>
      </c>
      <c r="S1165" s="26" t="str">
        <f t="shared" si="55"/>
        <v/>
      </c>
      <c r="T1165" s="26" t="str">
        <f t="shared" si="56"/>
        <v/>
      </c>
    </row>
    <row r="1166" spans="1:20" x14ac:dyDescent="0.3">
      <c r="A1166" s="26" t="str">
        <f>IF(BASE_CAIXA!A1163="","",BASE_CAIXA!A1163)</f>
        <v/>
      </c>
      <c r="B1166" s="26" t="str">
        <f>IF(A1166="","",BASE_CAIXA!AL1163)</f>
        <v/>
      </c>
      <c r="C1166" s="26" t="str">
        <f>IF(A1166="","",BASE_CAIXA!AJ1163)</f>
        <v/>
      </c>
      <c r="D1166" s="26" t="str">
        <f>IF(A1166="","",IF(BASE_CAIXA!C1163="Entrada","Crédito","Débito"))</f>
        <v/>
      </c>
      <c r="E1166" s="26" t="str">
        <f>IF(A1166="","",BASE_CAIXA!AA1163)</f>
        <v/>
      </c>
      <c r="F1166" s="26" t="str">
        <f>IF(A1166="","",BASE_CAIXA!N1163)</f>
        <v/>
      </c>
      <c r="G1166" s="26" t="str">
        <f>IF(A1166="","",BASE_CAIXA!O1163)</f>
        <v/>
      </c>
      <c r="H1166" s="26" t="str">
        <f>IF(A1166="","",BASE_CAIXA!P1163)</f>
        <v/>
      </c>
      <c r="I1166" s="26" t="str">
        <f>IF(A1166="","",IF(BASE_CAIXA!H1163&lt;&gt;"",BASE_CAIXA!H1163,BASE_CAIXA!G1163))</f>
        <v/>
      </c>
      <c r="J1166" s="26" t="str">
        <f>IF(A1166="","",BASE_CAIXA!G1163)</f>
        <v/>
      </c>
      <c r="K1166" s="26" t="str">
        <f>IF(A1166="","",BASE_CAIXA!I1163)</f>
        <v/>
      </c>
      <c r="L1166" s="26" t="str">
        <f>IF(A1166="","",BASE_CAIXA!J1163)</f>
        <v/>
      </c>
      <c r="M1166" s="26" t="str">
        <f>IF(A1166="","",BASE_CAIXA!AM1163)</f>
        <v/>
      </c>
      <c r="N1166" s="26" t="str">
        <f t="shared" ca="1" si="54"/>
        <v/>
      </c>
      <c r="O1166" s="26" t="str">
        <f>IFERROR(INDEX(EXTRATO_IMPORTADO!$A$5:$A$404,MATCH(B1166,EXTRATO_IMPORTADO!$I$5:$I$404,0)),"")</f>
        <v/>
      </c>
      <c r="P1166" s="26" t="str">
        <f>IFERROR(INDEX(EXTRATO_IMPORTADO!$F$5:$F$404,MATCH(B1166,EXTRATO_IMPORTADO!$I$5:$I$404,0)),"")</f>
        <v/>
      </c>
      <c r="Q1166" s="26" t="str">
        <f>IFERROR(INDEX(EXTRATO_IMPORTADO!$B$5:$B$404,MATCH(B1166,EXTRATO_IMPORTADO!$I$5:$I$404,0)),"")</f>
        <v/>
      </c>
      <c r="R1166" s="26" t="str">
        <f>IFERROR(MATCH(B1166,EXTRATO_IMPORTADO!$I$5:$I$404,0),"")</f>
        <v/>
      </c>
      <c r="S1166" s="26" t="str">
        <f t="shared" si="55"/>
        <v/>
      </c>
      <c r="T1166" s="26" t="str">
        <f t="shared" si="56"/>
        <v/>
      </c>
    </row>
    <row r="1167" spans="1:20" x14ac:dyDescent="0.3">
      <c r="A1167" s="26" t="str">
        <f>IF(BASE_CAIXA!A1164="","",BASE_CAIXA!A1164)</f>
        <v/>
      </c>
      <c r="B1167" s="26" t="str">
        <f>IF(A1167="","",BASE_CAIXA!AL1164)</f>
        <v/>
      </c>
      <c r="C1167" s="26" t="str">
        <f>IF(A1167="","",BASE_CAIXA!AJ1164)</f>
        <v/>
      </c>
      <c r="D1167" s="26" t="str">
        <f>IF(A1167="","",IF(BASE_CAIXA!C1164="Entrada","Crédito","Débito"))</f>
        <v/>
      </c>
      <c r="E1167" s="26" t="str">
        <f>IF(A1167="","",BASE_CAIXA!AA1164)</f>
        <v/>
      </c>
      <c r="F1167" s="26" t="str">
        <f>IF(A1167="","",BASE_CAIXA!N1164)</f>
        <v/>
      </c>
      <c r="G1167" s="26" t="str">
        <f>IF(A1167="","",BASE_CAIXA!O1164)</f>
        <v/>
      </c>
      <c r="H1167" s="26" t="str">
        <f>IF(A1167="","",BASE_CAIXA!P1164)</f>
        <v/>
      </c>
      <c r="I1167" s="26" t="str">
        <f>IF(A1167="","",IF(BASE_CAIXA!H1164&lt;&gt;"",BASE_CAIXA!H1164,BASE_CAIXA!G1164))</f>
        <v/>
      </c>
      <c r="J1167" s="26" t="str">
        <f>IF(A1167="","",BASE_CAIXA!G1164)</f>
        <v/>
      </c>
      <c r="K1167" s="26" t="str">
        <f>IF(A1167="","",BASE_CAIXA!I1164)</f>
        <v/>
      </c>
      <c r="L1167" s="26" t="str">
        <f>IF(A1167="","",BASE_CAIXA!J1164)</f>
        <v/>
      </c>
      <c r="M1167" s="26" t="str">
        <f>IF(A1167="","",BASE_CAIXA!AM1164)</f>
        <v/>
      </c>
      <c r="N1167" s="26" t="str">
        <f t="shared" ca="1" si="54"/>
        <v/>
      </c>
      <c r="O1167" s="26" t="str">
        <f>IFERROR(INDEX(EXTRATO_IMPORTADO!$A$5:$A$404,MATCH(B1167,EXTRATO_IMPORTADO!$I$5:$I$404,0)),"")</f>
        <v/>
      </c>
      <c r="P1167" s="26" t="str">
        <f>IFERROR(INDEX(EXTRATO_IMPORTADO!$F$5:$F$404,MATCH(B1167,EXTRATO_IMPORTADO!$I$5:$I$404,0)),"")</f>
        <v/>
      </c>
      <c r="Q1167" s="26" t="str">
        <f>IFERROR(INDEX(EXTRATO_IMPORTADO!$B$5:$B$404,MATCH(B1167,EXTRATO_IMPORTADO!$I$5:$I$404,0)),"")</f>
        <v/>
      </c>
      <c r="R1167" s="26" t="str">
        <f>IFERROR(MATCH(B1167,EXTRATO_IMPORTADO!$I$5:$I$404,0),"")</f>
        <v/>
      </c>
      <c r="S1167" s="26" t="str">
        <f t="shared" si="55"/>
        <v/>
      </c>
      <c r="T1167" s="26" t="str">
        <f t="shared" si="56"/>
        <v/>
      </c>
    </row>
    <row r="1168" spans="1:20" x14ac:dyDescent="0.3">
      <c r="A1168" s="26" t="str">
        <f>IF(BASE_CAIXA!A1165="","",BASE_CAIXA!A1165)</f>
        <v/>
      </c>
      <c r="B1168" s="26" t="str">
        <f>IF(A1168="","",BASE_CAIXA!AL1165)</f>
        <v/>
      </c>
      <c r="C1168" s="26" t="str">
        <f>IF(A1168="","",BASE_CAIXA!AJ1165)</f>
        <v/>
      </c>
      <c r="D1168" s="26" t="str">
        <f>IF(A1168="","",IF(BASE_CAIXA!C1165="Entrada","Crédito","Débito"))</f>
        <v/>
      </c>
      <c r="E1168" s="26" t="str">
        <f>IF(A1168="","",BASE_CAIXA!AA1165)</f>
        <v/>
      </c>
      <c r="F1168" s="26" t="str">
        <f>IF(A1168="","",BASE_CAIXA!N1165)</f>
        <v/>
      </c>
      <c r="G1168" s="26" t="str">
        <f>IF(A1168="","",BASE_CAIXA!O1165)</f>
        <v/>
      </c>
      <c r="H1168" s="26" t="str">
        <f>IF(A1168="","",BASE_CAIXA!P1165)</f>
        <v/>
      </c>
      <c r="I1168" s="26" t="str">
        <f>IF(A1168="","",IF(BASE_CAIXA!H1165&lt;&gt;"",BASE_CAIXA!H1165,BASE_CAIXA!G1165))</f>
        <v/>
      </c>
      <c r="J1168" s="26" t="str">
        <f>IF(A1168="","",BASE_CAIXA!G1165)</f>
        <v/>
      </c>
      <c r="K1168" s="26" t="str">
        <f>IF(A1168="","",BASE_CAIXA!I1165)</f>
        <v/>
      </c>
      <c r="L1168" s="26" t="str">
        <f>IF(A1168="","",BASE_CAIXA!J1165)</f>
        <v/>
      </c>
      <c r="M1168" s="26" t="str">
        <f>IF(A1168="","",BASE_CAIXA!AM1165)</f>
        <v/>
      </c>
      <c r="N1168" s="26" t="str">
        <f t="shared" ca="1" si="54"/>
        <v/>
      </c>
      <c r="O1168" s="26" t="str">
        <f>IFERROR(INDEX(EXTRATO_IMPORTADO!$A$5:$A$404,MATCH(B1168,EXTRATO_IMPORTADO!$I$5:$I$404,0)),"")</f>
        <v/>
      </c>
      <c r="P1168" s="26" t="str">
        <f>IFERROR(INDEX(EXTRATO_IMPORTADO!$F$5:$F$404,MATCH(B1168,EXTRATO_IMPORTADO!$I$5:$I$404,0)),"")</f>
        <v/>
      </c>
      <c r="Q1168" s="26" t="str">
        <f>IFERROR(INDEX(EXTRATO_IMPORTADO!$B$5:$B$404,MATCH(B1168,EXTRATO_IMPORTADO!$I$5:$I$404,0)),"")</f>
        <v/>
      </c>
      <c r="R1168" s="26" t="str">
        <f>IFERROR(MATCH(B1168,EXTRATO_IMPORTADO!$I$5:$I$404,0),"")</f>
        <v/>
      </c>
      <c r="S1168" s="26" t="str">
        <f t="shared" si="55"/>
        <v/>
      </c>
      <c r="T1168" s="26" t="str">
        <f t="shared" si="56"/>
        <v/>
      </c>
    </row>
    <row r="1169" spans="1:20" x14ac:dyDescent="0.3">
      <c r="A1169" s="26" t="str">
        <f>IF(BASE_CAIXA!A1166="","",BASE_CAIXA!A1166)</f>
        <v/>
      </c>
      <c r="B1169" s="26" t="str">
        <f>IF(A1169="","",BASE_CAIXA!AL1166)</f>
        <v/>
      </c>
      <c r="C1169" s="26" t="str">
        <f>IF(A1169="","",BASE_CAIXA!AJ1166)</f>
        <v/>
      </c>
      <c r="D1169" s="26" t="str">
        <f>IF(A1169="","",IF(BASE_CAIXA!C1166="Entrada","Crédito","Débito"))</f>
        <v/>
      </c>
      <c r="E1169" s="26" t="str">
        <f>IF(A1169="","",BASE_CAIXA!AA1166)</f>
        <v/>
      </c>
      <c r="F1169" s="26" t="str">
        <f>IF(A1169="","",BASE_CAIXA!N1166)</f>
        <v/>
      </c>
      <c r="G1169" s="26" t="str">
        <f>IF(A1169="","",BASE_CAIXA!O1166)</f>
        <v/>
      </c>
      <c r="H1169" s="26" t="str">
        <f>IF(A1169="","",BASE_CAIXA!P1166)</f>
        <v/>
      </c>
      <c r="I1169" s="26" t="str">
        <f>IF(A1169="","",IF(BASE_CAIXA!H1166&lt;&gt;"",BASE_CAIXA!H1166,BASE_CAIXA!G1166))</f>
        <v/>
      </c>
      <c r="J1169" s="26" t="str">
        <f>IF(A1169="","",BASE_CAIXA!G1166)</f>
        <v/>
      </c>
      <c r="K1169" s="26" t="str">
        <f>IF(A1169="","",BASE_CAIXA!I1166)</f>
        <v/>
      </c>
      <c r="L1169" s="26" t="str">
        <f>IF(A1169="","",BASE_CAIXA!J1166)</f>
        <v/>
      </c>
      <c r="M1169" s="26" t="str">
        <f>IF(A1169="","",BASE_CAIXA!AM1166)</f>
        <v/>
      </c>
      <c r="N1169" s="26" t="str">
        <f t="shared" ca="1" si="54"/>
        <v/>
      </c>
      <c r="O1169" s="26" t="str">
        <f>IFERROR(INDEX(EXTRATO_IMPORTADO!$A$5:$A$404,MATCH(B1169,EXTRATO_IMPORTADO!$I$5:$I$404,0)),"")</f>
        <v/>
      </c>
      <c r="P1169" s="26" t="str">
        <f>IFERROR(INDEX(EXTRATO_IMPORTADO!$F$5:$F$404,MATCH(B1169,EXTRATO_IMPORTADO!$I$5:$I$404,0)),"")</f>
        <v/>
      </c>
      <c r="Q1169" s="26" t="str">
        <f>IFERROR(INDEX(EXTRATO_IMPORTADO!$B$5:$B$404,MATCH(B1169,EXTRATO_IMPORTADO!$I$5:$I$404,0)),"")</f>
        <v/>
      </c>
      <c r="R1169" s="26" t="str">
        <f>IFERROR(MATCH(B1169,EXTRATO_IMPORTADO!$I$5:$I$404,0),"")</f>
        <v/>
      </c>
      <c r="S1169" s="26" t="str">
        <f t="shared" si="55"/>
        <v/>
      </c>
      <c r="T1169" s="26" t="str">
        <f t="shared" si="56"/>
        <v/>
      </c>
    </row>
    <row r="1170" spans="1:20" x14ac:dyDescent="0.3">
      <c r="A1170" s="26" t="str">
        <f>IF(BASE_CAIXA!A1167="","",BASE_CAIXA!A1167)</f>
        <v/>
      </c>
      <c r="B1170" s="26" t="str">
        <f>IF(A1170="","",BASE_CAIXA!AL1167)</f>
        <v/>
      </c>
      <c r="C1170" s="26" t="str">
        <f>IF(A1170="","",BASE_CAIXA!AJ1167)</f>
        <v/>
      </c>
      <c r="D1170" s="26" t="str">
        <f>IF(A1170="","",IF(BASE_CAIXA!C1167="Entrada","Crédito","Débito"))</f>
        <v/>
      </c>
      <c r="E1170" s="26" t="str">
        <f>IF(A1170="","",BASE_CAIXA!AA1167)</f>
        <v/>
      </c>
      <c r="F1170" s="26" t="str">
        <f>IF(A1170="","",BASE_CAIXA!N1167)</f>
        <v/>
      </c>
      <c r="G1170" s="26" t="str">
        <f>IF(A1170="","",BASE_CAIXA!O1167)</f>
        <v/>
      </c>
      <c r="H1170" s="26" t="str">
        <f>IF(A1170="","",BASE_CAIXA!P1167)</f>
        <v/>
      </c>
      <c r="I1170" s="26" t="str">
        <f>IF(A1170="","",IF(BASE_CAIXA!H1167&lt;&gt;"",BASE_CAIXA!H1167,BASE_CAIXA!G1167))</f>
        <v/>
      </c>
      <c r="J1170" s="26" t="str">
        <f>IF(A1170="","",BASE_CAIXA!G1167)</f>
        <v/>
      </c>
      <c r="K1170" s="26" t="str">
        <f>IF(A1170="","",BASE_CAIXA!I1167)</f>
        <v/>
      </c>
      <c r="L1170" s="26" t="str">
        <f>IF(A1170="","",BASE_CAIXA!J1167)</f>
        <v/>
      </c>
      <c r="M1170" s="26" t="str">
        <f>IF(A1170="","",BASE_CAIXA!AM1167)</f>
        <v/>
      </c>
      <c r="N1170" s="26" t="str">
        <f t="shared" ca="1" si="54"/>
        <v/>
      </c>
      <c r="O1170" s="26" t="str">
        <f>IFERROR(INDEX(EXTRATO_IMPORTADO!$A$5:$A$404,MATCH(B1170,EXTRATO_IMPORTADO!$I$5:$I$404,0)),"")</f>
        <v/>
      </c>
      <c r="P1170" s="26" t="str">
        <f>IFERROR(INDEX(EXTRATO_IMPORTADO!$F$5:$F$404,MATCH(B1170,EXTRATO_IMPORTADO!$I$5:$I$404,0)),"")</f>
        <v/>
      </c>
      <c r="Q1170" s="26" t="str">
        <f>IFERROR(INDEX(EXTRATO_IMPORTADO!$B$5:$B$404,MATCH(B1170,EXTRATO_IMPORTADO!$I$5:$I$404,0)),"")</f>
        <v/>
      </c>
      <c r="R1170" s="26" t="str">
        <f>IFERROR(MATCH(B1170,EXTRATO_IMPORTADO!$I$5:$I$404,0),"")</f>
        <v/>
      </c>
      <c r="S1170" s="26" t="str">
        <f t="shared" si="55"/>
        <v/>
      </c>
      <c r="T1170" s="26" t="str">
        <f t="shared" si="56"/>
        <v/>
      </c>
    </row>
    <row r="1171" spans="1:20" x14ac:dyDescent="0.3">
      <c r="A1171" s="26" t="str">
        <f>IF(BASE_CAIXA!A1168="","",BASE_CAIXA!A1168)</f>
        <v/>
      </c>
      <c r="B1171" s="26" t="str">
        <f>IF(A1171="","",BASE_CAIXA!AL1168)</f>
        <v/>
      </c>
      <c r="C1171" s="26" t="str">
        <f>IF(A1171="","",BASE_CAIXA!AJ1168)</f>
        <v/>
      </c>
      <c r="D1171" s="26" t="str">
        <f>IF(A1171="","",IF(BASE_CAIXA!C1168="Entrada","Crédito","Débito"))</f>
        <v/>
      </c>
      <c r="E1171" s="26" t="str">
        <f>IF(A1171="","",BASE_CAIXA!AA1168)</f>
        <v/>
      </c>
      <c r="F1171" s="26" t="str">
        <f>IF(A1171="","",BASE_CAIXA!N1168)</f>
        <v/>
      </c>
      <c r="G1171" s="26" t="str">
        <f>IF(A1171="","",BASE_CAIXA!O1168)</f>
        <v/>
      </c>
      <c r="H1171" s="26" t="str">
        <f>IF(A1171="","",BASE_CAIXA!P1168)</f>
        <v/>
      </c>
      <c r="I1171" s="26" t="str">
        <f>IF(A1171="","",IF(BASE_CAIXA!H1168&lt;&gt;"",BASE_CAIXA!H1168,BASE_CAIXA!G1168))</f>
        <v/>
      </c>
      <c r="J1171" s="26" t="str">
        <f>IF(A1171="","",BASE_CAIXA!G1168)</f>
        <v/>
      </c>
      <c r="K1171" s="26" t="str">
        <f>IF(A1171="","",BASE_CAIXA!I1168)</f>
        <v/>
      </c>
      <c r="L1171" s="26" t="str">
        <f>IF(A1171="","",BASE_CAIXA!J1168)</f>
        <v/>
      </c>
      <c r="M1171" s="26" t="str">
        <f>IF(A1171="","",BASE_CAIXA!AM1168)</f>
        <v/>
      </c>
      <c r="N1171" s="26" t="str">
        <f t="shared" ca="1" si="54"/>
        <v/>
      </c>
      <c r="O1171" s="26" t="str">
        <f>IFERROR(INDEX(EXTRATO_IMPORTADO!$A$5:$A$404,MATCH(B1171,EXTRATO_IMPORTADO!$I$5:$I$404,0)),"")</f>
        <v/>
      </c>
      <c r="P1171" s="26" t="str">
        <f>IFERROR(INDEX(EXTRATO_IMPORTADO!$F$5:$F$404,MATCH(B1171,EXTRATO_IMPORTADO!$I$5:$I$404,0)),"")</f>
        <v/>
      </c>
      <c r="Q1171" s="26" t="str">
        <f>IFERROR(INDEX(EXTRATO_IMPORTADO!$B$5:$B$404,MATCH(B1171,EXTRATO_IMPORTADO!$I$5:$I$404,0)),"")</f>
        <v/>
      </c>
      <c r="R1171" s="26" t="str">
        <f>IFERROR(MATCH(B1171,EXTRATO_IMPORTADO!$I$5:$I$404,0),"")</f>
        <v/>
      </c>
      <c r="S1171" s="26" t="str">
        <f t="shared" si="55"/>
        <v/>
      </c>
      <c r="T1171" s="26" t="str">
        <f t="shared" si="56"/>
        <v/>
      </c>
    </row>
    <row r="1172" spans="1:20" x14ac:dyDescent="0.3">
      <c r="A1172" s="26" t="str">
        <f>IF(BASE_CAIXA!A1169="","",BASE_CAIXA!A1169)</f>
        <v/>
      </c>
      <c r="B1172" s="26" t="str">
        <f>IF(A1172="","",BASE_CAIXA!AL1169)</f>
        <v/>
      </c>
      <c r="C1172" s="26" t="str">
        <f>IF(A1172="","",BASE_CAIXA!AJ1169)</f>
        <v/>
      </c>
      <c r="D1172" s="26" t="str">
        <f>IF(A1172="","",IF(BASE_CAIXA!C1169="Entrada","Crédito","Débito"))</f>
        <v/>
      </c>
      <c r="E1172" s="26" t="str">
        <f>IF(A1172="","",BASE_CAIXA!AA1169)</f>
        <v/>
      </c>
      <c r="F1172" s="26" t="str">
        <f>IF(A1172="","",BASE_CAIXA!N1169)</f>
        <v/>
      </c>
      <c r="G1172" s="26" t="str">
        <f>IF(A1172="","",BASE_CAIXA!O1169)</f>
        <v/>
      </c>
      <c r="H1172" s="26" t="str">
        <f>IF(A1172="","",BASE_CAIXA!P1169)</f>
        <v/>
      </c>
      <c r="I1172" s="26" t="str">
        <f>IF(A1172="","",IF(BASE_CAIXA!H1169&lt;&gt;"",BASE_CAIXA!H1169,BASE_CAIXA!G1169))</f>
        <v/>
      </c>
      <c r="J1172" s="26" t="str">
        <f>IF(A1172="","",BASE_CAIXA!G1169)</f>
        <v/>
      </c>
      <c r="K1172" s="26" t="str">
        <f>IF(A1172="","",BASE_CAIXA!I1169)</f>
        <v/>
      </c>
      <c r="L1172" s="26" t="str">
        <f>IF(A1172="","",BASE_CAIXA!J1169)</f>
        <v/>
      </c>
      <c r="M1172" s="26" t="str">
        <f>IF(A1172="","",BASE_CAIXA!AM1169)</f>
        <v/>
      </c>
      <c r="N1172" s="26" t="str">
        <f t="shared" ca="1" si="54"/>
        <v/>
      </c>
      <c r="O1172" s="26" t="str">
        <f>IFERROR(INDEX(EXTRATO_IMPORTADO!$A$5:$A$404,MATCH(B1172,EXTRATO_IMPORTADO!$I$5:$I$404,0)),"")</f>
        <v/>
      </c>
      <c r="P1172" s="26" t="str">
        <f>IFERROR(INDEX(EXTRATO_IMPORTADO!$F$5:$F$404,MATCH(B1172,EXTRATO_IMPORTADO!$I$5:$I$404,0)),"")</f>
        <v/>
      </c>
      <c r="Q1172" s="26" t="str">
        <f>IFERROR(INDEX(EXTRATO_IMPORTADO!$B$5:$B$404,MATCH(B1172,EXTRATO_IMPORTADO!$I$5:$I$404,0)),"")</f>
        <v/>
      </c>
      <c r="R1172" s="26" t="str">
        <f>IFERROR(MATCH(B1172,EXTRATO_IMPORTADO!$I$5:$I$404,0),"")</f>
        <v/>
      </c>
      <c r="S1172" s="26" t="str">
        <f t="shared" si="55"/>
        <v/>
      </c>
      <c r="T1172" s="26" t="str">
        <f t="shared" si="56"/>
        <v/>
      </c>
    </row>
    <row r="1173" spans="1:20" x14ac:dyDescent="0.3">
      <c r="A1173" s="26" t="str">
        <f>IF(BASE_CAIXA!A1170="","",BASE_CAIXA!A1170)</f>
        <v/>
      </c>
      <c r="B1173" s="26" t="str">
        <f>IF(A1173="","",BASE_CAIXA!AL1170)</f>
        <v/>
      </c>
      <c r="C1173" s="26" t="str">
        <f>IF(A1173="","",BASE_CAIXA!AJ1170)</f>
        <v/>
      </c>
      <c r="D1173" s="26" t="str">
        <f>IF(A1173="","",IF(BASE_CAIXA!C1170="Entrada","Crédito","Débito"))</f>
        <v/>
      </c>
      <c r="E1173" s="26" t="str">
        <f>IF(A1173="","",BASE_CAIXA!AA1170)</f>
        <v/>
      </c>
      <c r="F1173" s="26" t="str">
        <f>IF(A1173="","",BASE_CAIXA!N1170)</f>
        <v/>
      </c>
      <c r="G1173" s="26" t="str">
        <f>IF(A1173="","",BASE_CAIXA!O1170)</f>
        <v/>
      </c>
      <c r="H1173" s="26" t="str">
        <f>IF(A1173="","",BASE_CAIXA!P1170)</f>
        <v/>
      </c>
      <c r="I1173" s="26" t="str">
        <f>IF(A1173="","",IF(BASE_CAIXA!H1170&lt;&gt;"",BASE_CAIXA!H1170,BASE_CAIXA!G1170))</f>
        <v/>
      </c>
      <c r="J1173" s="26" t="str">
        <f>IF(A1173="","",BASE_CAIXA!G1170)</f>
        <v/>
      </c>
      <c r="K1173" s="26" t="str">
        <f>IF(A1173="","",BASE_CAIXA!I1170)</f>
        <v/>
      </c>
      <c r="L1173" s="26" t="str">
        <f>IF(A1173="","",BASE_CAIXA!J1170)</f>
        <v/>
      </c>
      <c r="M1173" s="26" t="str">
        <f>IF(A1173="","",BASE_CAIXA!AM1170)</f>
        <v/>
      </c>
      <c r="N1173" s="26" t="str">
        <f t="shared" ca="1" si="54"/>
        <v/>
      </c>
      <c r="O1173" s="26" t="str">
        <f>IFERROR(INDEX(EXTRATO_IMPORTADO!$A$5:$A$404,MATCH(B1173,EXTRATO_IMPORTADO!$I$5:$I$404,0)),"")</f>
        <v/>
      </c>
      <c r="P1173" s="26" t="str">
        <f>IFERROR(INDEX(EXTRATO_IMPORTADO!$F$5:$F$404,MATCH(B1173,EXTRATO_IMPORTADO!$I$5:$I$404,0)),"")</f>
        <v/>
      </c>
      <c r="Q1173" s="26" t="str">
        <f>IFERROR(INDEX(EXTRATO_IMPORTADO!$B$5:$B$404,MATCH(B1173,EXTRATO_IMPORTADO!$I$5:$I$404,0)),"")</f>
        <v/>
      </c>
      <c r="R1173" s="26" t="str">
        <f>IFERROR(MATCH(B1173,EXTRATO_IMPORTADO!$I$5:$I$404,0),"")</f>
        <v/>
      </c>
      <c r="S1173" s="26" t="str">
        <f t="shared" si="55"/>
        <v/>
      </c>
      <c r="T1173" s="26" t="str">
        <f t="shared" si="56"/>
        <v/>
      </c>
    </row>
    <row r="1174" spans="1:20" x14ac:dyDescent="0.3">
      <c r="A1174" s="26" t="str">
        <f>IF(BASE_CAIXA!A1171="","",BASE_CAIXA!A1171)</f>
        <v/>
      </c>
      <c r="B1174" s="26" t="str">
        <f>IF(A1174="","",BASE_CAIXA!AL1171)</f>
        <v/>
      </c>
      <c r="C1174" s="26" t="str">
        <f>IF(A1174="","",BASE_CAIXA!AJ1171)</f>
        <v/>
      </c>
      <c r="D1174" s="26" t="str">
        <f>IF(A1174="","",IF(BASE_CAIXA!C1171="Entrada","Crédito","Débito"))</f>
        <v/>
      </c>
      <c r="E1174" s="26" t="str">
        <f>IF(A1174="","",BASE_CAIXA!AA1171)</f>
        <v/>
      </c>
      <c r="F1174" s="26" t="str">
        <f>IF(A1174="","",BASE_CAIXA!N1171)</f>
        <v/>
      </c>
      <c r="G1174" s="26" t="str">
        <f>IF(A1174="","",BASE_CAIXA!O1171)</f>
        <v/>
      </c>
      <c r="H1174" s="26" t="str">
        <f>IF(A1174="","",BASE_CAIXA!P1171)</f>
        <v/>
      </c>
      <c r="I1174" s="26" t="str">
        <f>IF(A1174="","",IF(BASE_CAIXA!H1171&lt;&gt;"",BASE_CAIXA!H1171,BASE_CAIXA!G1171))</f>
        <v/>
      </c>
      <c r="J1174" s="26" t="str">
        <f>IF(A1174="","",BASE_CAIXA!G1171)</f>
        <v/>
      </c>
      <c r="K1174" s="26" t="str">
        <f>IF(A1174="","",BASE_CAIXA!I1171)</f>
        <v/>
      </c>
      <c r="L1174" s="26" t="str">
        <f>IF(A1174="","",BASE_CAIXA!J1171)</f>
        <v/>
      </c>
      <c r="M1174" s="26" t="str">
        <f>IF(A1174="","",BASE_CAIXA!AM1171)</f>
        <v/>
      </c>
      <c r="N1174" s="26" t="str">
        <f t="shared" ca="1" si="54"/>
        <v/>
      </c>
      <c r="O1174" s="26" t="str">
        <f>IFERROR(INDEX(EXTRATO_IMPORTADO!$A$5:$A$404,MATCH(B1174,EXTRATO_IMPORTADO!$I$5:$I$404,0)),"")</f>
        <v/>
      </c>
      <c r="P1174" s="26" t="str">
        <f>IFERROR(INDEX(EXTRATO_IMPORTADO!$F$5:$F$404,MATCH(B1174,EXTRATO_IMPORTADO!$I$5:$I$404,0)),"")</f>
        <v/>
      </c>
      <c r="Q1174" s="26" t="str">
        <f>IFERROR(INDEX(EXTRATO_IMPORTADO!$B$5:$B$404,MATCH(B1174,EXTRATO_IMPORTADO!$I$5:$I$404,0)),"")</f>
        <v/>
      </c>
      <c r="R1174" s="26" t="str">
        <f>IFERROR(MATCH(B1174,EXTRATO_IMPORTADO!$I$5:$I$404,0),"")</f>
        <v/>
      </c>
      <c r="S1174" s="26" t="str">
        <f t="shared" si="55"/>
        <v/>
      </c>
      <c r="T1174" s="26" t="str">
        <f t="shared" si="56"/>
        <v/>
      </c>
    </row>
    <row r="1175" spans="1:20" x14ac:dyDescent="0.3">
      <c r="A1175" s="26" t="str">
        <f>IF(BASE_CAIXA!A1172="","",BASE_CAIXA!A1172)</f>
        <v/>
      </c>
      <c r="B1175" s="26" t="str">
        <f>IF(A1175="","",BASE_CAIXA!AL1172)</f>
        <v/>
      </c>
      <c r="C1175" s="26" t="str">
        <f>IF(A1175="","",BASE_CAIXA!AJ1172)</f>
        <v/>
      </c>
      <c r="D1175" s="26" t="str">
        <f>IF(A1175="","",IF(BASE_CAIXA!C1172="Entrada","Crédito","Débito"))</f>
        <v/>
      </c>
      <c r="E1175" s="26" t="str">
        <f>IF(A1175="","",BASE_CAIXA!AA1172)</f>
        <v/>
      </c>
      <c r="F1175" s="26" t="str">
        <f>IF(A1175="","",BASE_CAIXA!N1172)</f>
        <v/>
      </c>
      <c r="G1175" s="26" t="str">
        <f>IF(A1175="","",BASE_CAIXA!O1172)</f>
        <v/>
      </c>
      <c r="H1175" s="26" t="str">
        <f>IF(A1175="","",BASE_CAIXA!P1172)</f>
        <v/>
      </c>
      <c r="I1175" s="26" t="str">
        <f>IF(A1175="","",IF(BASE_CAIXA!H1172&lt;&gt;"",BASE_CAIXA!H1172,BASE_CAIXA!G1172))</f>
        <v/>
      </c>
      <c r="J1175" s="26" t="str">
        <f>IF(A1175="","",BASE_CAIXA!G1172)</f>
        <v/>
      </c>
      <c r="K1175" s="26" t="str">
        <f>IF(A1175="","",BASE_CAIXA!I1172)</f>
        <v/>
      </c>
      <c r="L1175" s="26" t="str">
        <f>IF(A1175="","",BASE_CAIXA!J1172)</f>
        <v/>
      </c>
      <c r="M1175" s="26" t="str">
        <f>IF(A1175="","",BASE_CAIXA!AM1172)</f>
        <v/>
      </c>
      <c r="N1175" s="26" t="str">
        <f t="shared" ca="1" si="54"/>
        <v/>
      </c>
      <c r="O1175" s="26" t="str">
        <f>IFERROR(INDEX(EXTRATO_IMPORTADO!$A$5:$A$404,MATCH(B1175,EXTRATO_IMPORTADO!$I$5:$I$404,0)),"")</f>
        <v/>
      </c>
      <c r="P1175" s="26" t="str">
        <f>IFERROR(INDEX(EXTRATO_IMPORTADO!$F$5:$F$404,MATCH(B1175,EXTRATO_IMPORTADO!$I$5:$I$404,0)),"")</f>
        <v/>
      </c>
      <c r="Q1175" s="26" t="str">
        <f>IFERROR(INDEX(EXTRATO_IMPORTADO!$B$5:$B$404,MATCH(B1175,EXTRATO_IMPORTADO!$I$5:$I$404,0)),"")</f>
        <v/>
      </c>
      <c r="R1175" s="26" t="str">
        <f>IFERROR(MATCH(B1175,EXTRATO_IMPORTADO!$I$5:$I$404,0),"")</f>
        <v/>
      </c>
      <c r="S1175" s="26" t="str">
        <f t="shared" si="55"/>
        <v/>
      </c>
      <c r="T1175" s="26" t="str">
        <f t="shared" si="56"/>
        <v/>
      </c>
    </row>
    <row r="1176" spans="1:20" x14ac:dyDescent="0.3">
      <c r="A1176" s="26" t="str">
        <f>IF(BASE_CAIXA!A1173="","",BASE_CAIXA!A1173)</f>
        <v/>
      </c>
      <c r="B1176" s="26" t="str">
        <f>IF(A1176="","",BASE_CAIXA!AL1173)</f>
        <v/>
      </c>
      <c r="C1176" s="26" t="str">
        <f>IF(A1176="","",BASE_CAIXA!AJ1173)</f>
        <v/>
      </c>
      <c r="D1176" s="26" t="str">
        <f>IF(A1176="","",IF(BASE_CAIXA!C1173="Entrada","Crédito","Débito"))</f>
        <v/>
      </c>
      <c r="E1176" s="26" t="str">
        <f>IF(A1176="","",BASE_CAIXA!AA1173)</f>
        <v/>
      </c>
      <c r="F1176" s="26" t="str">
        <f>IF(A1176="","",BASE_CAIXA!N1173)</f>
        <v/>
      </c>
      <c r="G1176" s="26" t="str">
        <f>IF(A1176="","",BASE_CAIXA!O1173)</f>
        <v/>
      </c>
      <c r="H1176" s="26" t="str">
        <f>IF(A1176="","",BASE_CAIXA!P1173)</f>
        <v/>
      </c>
      <c r="I1176" s="26" t="str">
        <f>IF(A1176="","",IF(BASE_CAIXA!H1173&lt;&gt;"",BASE_CAIXA!H1173,BASE_CAIXA!G1173))</f>
        <v/>
      </c>
      <c r="J1176" s="26" t="str">
        <f>IF(A1176="","",BASE_CAIXA!G1173)</f>
        <v/>
      </c>
      <c r="K1176" s="26" t="str">
        <f>IF(A1176="","",BASE_CAIXA!I1173)</f>
        <v/>
      </c>
      <c r="L1176" s="26" t="str">
        <f>IF(A1176="","",BASE_CAIXA!J1173)</f>
        <v/>
      </c>
      <c r="M1176" s="26" t="str">
        <f>IF(A1176="","",BASE_CAIXA!AM1173)</f>
        <v/>
      </c>
      <c r="N1176" s="26" t="str">
        <f t="shared" ca="1" si="54"/>
        <v/>
      </c>
      <c r="O1176" s="26" t="str">
        <f>IFERROR(INDEX(EXTRATO_IMPORTADO!$A$5:$A$404,MATCH(B1176,EXTRATO_IMPORTADO!$I$5:$I$404,0)),"")</f>
        <v/>
      </c>
      <c r="P1176" s="26" t="str">
        <f>IFERROR(INDEX(EXTRATO_IMPORTADO!$F$5:$F$404,MATCH(B1176,EXTRATO_IMPORTADO!$I$5:$I$404,0)),"")</f>
        <v/>
      </c>
      <c r="Q1176" s="26" t="str">
        <f>IFERROR(INDEX(EXTRATO_IMPORTADO!$B$5:$B$404,MATCH(B1176,EXTRATO_IMPORTADO!$I$5:$I$404,0)),"")</f>
        <v/>
      </c>
      <c r="R1176" s="26" t="str">
        <f>IFERROR(MATCH(B1176,EXTRATO_IMPORTADO!$I$5:$I$404,0),"")</f>
        <v/>
      </c>
      <c r="S1176" s="26" t="str">
        <f t="shared" si="55"/>
        <v/>
      </c>
      <c r="T1176" s="26" t="str">
        <f t="shared" si="56"/>
        <v/>
      </c>
    </row>
    <row r="1177" spans="1:20" x14ac:dyDescent="0.3">
      <c r="A1177" s="26" t="str">
        <f>IF(BASE_CAIXA!A1174="","",BASE_CAIXA!A1174)</f>
        <v/>
      </c>
      <c r="B1177" s="26" t="str">
        <f>IF(A1177="","",BASE_CAIXA!AL1174)</f>
        <v/>
      </c>
      <c r="C1177" s="26" t="str">
        <f>IF(A1177="","",BASE_CAIXA!AJ1174)</f>
        <v/>
      </c>
      <c r="D1177" s="26" t="str">
        <f>IF(A1177="","",IF(BASE_CAIXA!C1174="Entrada","Crédito","Débito"))</f>
        <v/>
      </c>
      <c r="E1177" s="26" t="str">
        <f>IF(A1177="","",BASE_CAIXA!AA1174)</f>
        <v/>
      </c>
      <c r="F1177" s="26" t="str">
        <f>IF(A1177="","",BASE_CAIXA!N1174)</f>
        <v/>
      </c>
      <c r="G1177" s="26" t="str">
        <f>IF(A1177="","",BASE_CAIXA!O1174)</f>
        <v/>
      </c>
      <c r="H1177" s="26" t="str">
        <f>IF(A1177="","",BASE_CAIXA!P1174)</f>
        <v/>
      </c>
      <c r="I1177" s="26" t="str">
        <f>IF(A1177="","",IF(BASE_CAIXA!H1174&lt;&gt;"",BASE_CAIXA!H1174,BASE_CAIXA!G1174))</f>
        <v/>
      </c>
      <c r="J1177" s="26" t="str">
        <f>IF(A1177="","",BASE_CAIXA!G1174)</f>
        <v/>
      </c>
      <c r="K1177" s="26" t="str">
        <f>IF(A1177="","",BASE_CAIXA!I1174)</f>
        <v/>
      </c>
      <c r="L1177" s="26" t="str">
        <f>IF(A1177="","",BASE_CAIXA!J1174)</f>
        <v/>
      </c>
      <c r="M1177" s="26" t="str">
        <f>IF(A1177="","",BASE_CAIXA!AM1174)</f>
        <v/>
      </c>
      <c r="N1177" s="26" t="str">
        <f t="shared" ca="1" si="54"/>
        <v/>
      </c>
      <c r="O1177" s="26" t="str">
        <f>IFERROR(INDEX(EXTRATO_IMPORTADO!$A$5:$A$404,MATCH(B1177,EXTRATO_IMPORTADO!$I$5:$I$404,0)),"")</f>
        <v/>
      </c>
      <c r="P1177" s="26" t="str">
        <f>IFERROR(INDEX(EXTRATO_IMPORTADO!$F$5:$F$404,MATCH(B1177,EXTRATO_IMPORTADO!$I$5:$I$404,0)),"")</f>
        <v/>
      </c>
      <c r="Q1177" s="26" t="str">
        <f>IFERROR(INDEX(EXTRATO_IMPORTADO!$B$5:$B$404,MATCH(B1177,EXTRATO_IMPORTADO!$I$5:$I$404,0)),"")</f>
        <v/>
      </c>
      <c r="R1177" s="26" t="str">
        <f>IFERROR(MATCH(B1177,EXTRATO_IMPORTADO!$I$5:$I$404,0),"")</f>
        <v/>
      </c>
      <c r="S1177" s="26" t="str">
        <f t="shared" si="55"/>
        <v/>
      </c>
      <c r="T1177" s="26" t="str">
        <f t="shared" si="56"/>
        <v/>
      </c>
    </row>
    <row r="1178" spans="1:20" x14ac:dyDescent="0.3">
      <c r="A1178" s="26" t="str">
        <f>IF(BASE_CAIXA!A1175="","",BASE_CAIXA!A1175)</f>
        <v/>
      </c>
      <c r="B1178" s="26" t="str">
        <f>IF(A1178="","",BASE_CAIXA!AL1175)</f>
        <v/>
      </c>
      <c r="C1178" s="26" t="str">
        <f>IF(A1178="","",BASE_CAIXA!AJ1175)</f>
        <v/>
      </c>
      <c r="D1178" s="26" t="str">
        <f>IF(A1178="","",IF(BASE_CAIXA!C1175="Entrada","Crédito","Débito"))</f>
        <v/>
      </c>
      <c r="E1178" s="26" t="str">
        <f>IF(A1178="","",BASE_CAIXA!AA1175)</f>
        <v/>
      </c>
      <c r="F1178" s="26" t="str">
        <f>IF(A1178="","",BASE_CAIXA!N1175)</f>
        <v/>
      </c>
      <c r="G1178" s="26" t="str">
        <f>IF(A1178="","",BASE_CAIXA!O1175)</f>
        <v/>
      </c>
      <c r="H1178" s="26" t="str">
        <f>IF(A1178="","",BASE_CAIXA!P1175)</f>
        <v/>
      </c>
      <c r="I1178" s="26" t="str">
        <f>IF(A1178="","",IF(BASE_CAIXA!H1175&lt;&gt;"",BASE_CAIXA!H1175,BASE_CAIXA!G1175))</f>
        <v/>
      </c>
      <c r="J1178" s="26" t="str">
        <f>IF(A1178="","",BASE_CAIXA!G1175)</f>
        <v/>
      </c>
      <c r="K1178" s="26" t="str">
        <f>IF(A1178="","",BASE_CAIXA!I1175)</f>
        <v/>
      </c>
      <c r="L1178" s="26" t="str">
        <f>IF(A1178="","",BASE_CAIXA!J1175)</f>
        <v/>
      </c>
      <c r="M1178" s="26" t="str">
        <f>IF(A1178="","",BASE_CAIXA!AM1175)</f>
        <v/>
      </c>
      <c r="N1178" s="26" t="str">
        <f t="shared" ca="1" si="54"/>
        <v/>
      </c>
      <c r="O1178" s="26" t="str">
        <f>IFERROR(INDEX(EXTRATO_IMPORTADO!$A$5:$A$404,MATCH(B1178,EXTRATO_IMPORTADO!$I$5:$I$404,0)),"")</f>
        <v/>
      </c>
      <c r="P1178" s="26" t="str">
        <f>IFERROR(INDEX(EXTRATO_IMPORTADO!$F$5:$F$404,MATCH(B1178,EXTRATO_IMPORTADO!$I$5:$I$404,0)),"")</f>
        <v/>
      </c>
      <c r="Q1178" s="26" t="str">
        <f>IFERROR(INDEX(EXTRATO_IMPORTADO!$B$5:$B$404,MATCH(B1178,EXTRATO_IMPORTADO!$I$5:$I$404,0)),"")</f>
        <v/>
      </c>
      <c r="R1178" s="26" t="str">
        <f>IFERROR(MATCH(B1178,EXTRATO_IMPORTADO!$I$5:$I$404,0),"")</f>
        <v/>
      </c>
      <c r="S1178" s="26" t="str">
        <f t="shared" si="55"/>
        <v/>
      </c>
      <c r="T1178" s="26" t="str">
        <f t="shared" si="56"/>
        <v/>
      </c>
    </row>
    <row r="1179" spans="1:20" x14ac:dyDescent="0.3">
      <c r="A1179" s="26" t="str">
        <f>IF(BASE_CAIXA!A1176="","",BASE_CAIXA!A1176)</f>
        <v/>
      </c>
      <c r="B1179" s="26" t="str">
        <f>IF(A1179="","",BASE_CAIXA!AL1176)</f>
        <v/>
      </c>
      <c r="C1179" s="26" t="str">
        <f>IF(A1179="","",BASE_CAIXA!AJ1176)</f>
        <v/>
      </c>
      <c r="D1179" s="26" t="str">
        <f>IF(A1179="","",IF(BASE_CAIXA!C1176="Entrada","Crédito","Débito"))</f>
        <v/>
      </c>
      <c r="E1179" s="26" t="str">
        <f>IF(A1179="","",BASE_CAIXA!AA1176)</f>
        <v/>
      </c>
      <c r="F1179" s="26" t="str">
        <f>IF(A1179="","",BASE_CAIXA!N1176)</f>
        <v/>
      </c>
      <c r="G1179" s="26" t="str">
        <f>IF(A1179="","",BASE_CAIXA!O1176)</f>
        <v/>
      </c>
      <c r="H1179" s="26" t="str">
        <f>IF(A1179="","",BASE_CAIXA!P1176)</f>
        <v/>
      </c>
      <c r="I1179" s="26" t="str">
        <f>IF(A1179="","",IF(BASE_CAIXA!H1176&lt;&gt;"",BASE_CAIXA!H1176,BASE_CAIXA!G1176))</f>
        <v/>
      </c>
      <c r="J1179" s="26" t="str">
        <f>IF(A1179="","",BASE_CAIXA!G1176)</f>
        <v/>
      </c>
      <c r="K1179" s="26" t="str">
        <f>IF(A1179="","",BASE_CAIXA!I1176)</f>
        <v/>
      </c>
      <c r="L1179" s="26" t="str">
        <f>IF(A1179="","",BASE_CAIXA!J1176)</f>
        <v/>
      </c>
      <c r="M1179" s="26" t="str">
        <f>IF(A1179="","",BASE_CAIXA!AM1176)</f>
        <v/>
      </c>
      <c r="N1179" s="26" t="str">
        <f t="shared" ca="1" si="54"/>
        <v/>
      </c>
      <c r="O1179" s="26" t="str">
        <f>IFERROR(INDEX(EXTRATO_IMPORTADO!$A$5:$A$404,MATCH(B1179,EXTRATO_IMPORTADO!$I$5:$I$404,0)),"")</f>
        <v/>
      </c>
      <c r="P1179" s="26" t="str">
        <f>IFERROR(INDEX(EXTRATO_IMPORTADO!$F$5:$F$404,MATCH(B1179,EXTRATO_IMPORTADO!$I$5:$I$404,0)),"")</f>
        <v/>
      </c>
      <c r="Q1179" s="26" t="str">
        <f>IFERROR(INDEX(EXTRATO_IMPORTADO!$B$5:$B$404,MATCH(B1179,EXTRATO_IMPORTADO!$I$5:$I$404,0)),"")</f>
        <v/>
      </c>
      <c r="R1179" s="26" t="str">
        <f>IFERROR(MATCH(B1179,EXTRATO_IMPORTADO!$I$5:$I$404,0),"")</f>
        <v/>
      </c>
      <c r="S1179" s="26" t="str">
        <f t="shared" si="55"/>
        <v/>
      </c>
      <c r="T1179" s="26" t="str">
        <f t="shared" si="56"/>
        <v/>
      </c>
    </row>
    <row r="1180" spans="1:20" x14ac:dyDescent="0.3">
      <c r="A1180" s="26" t="str">
        <f>IF(BASE_CAIXA!A1177="","",BASE_CAIXA!A1177)</f>
        <v/>
      </c>
      <c r="B1180" s="26" t="str">
        <f>IF(A1180="","",BASE_CAIXA!AL1177)</f>
        <v/>
      </c>
      <c r="C1180" s="26" t="str">
        <f>IF(A1180="","",BASE_CAIXA!AJ1177)</f>
        <v/>
      </c>
      <c r="D1180" s="26" t="str">
        <f>IF(A1180="","",IF(BASE_CAIXA!C1177="Entrada","Crédito","Débito"))</f>
        <v/>
      </c>
      <c r="E1180" s="26" t="str">
        <f>IF(A1180="","",BASE_CAIXA!AA1177)</f>
        <v/>
      </c>
      <c r="F1180" s="26" t="str">
        <f>IF(A1180="","",BASE_CAIXA!N1177)</f>
        <v/>
      </c>
      <c r="G1180" s="26" t="str">
        <f>IF(A1180="","",BASE_CAIXA!O1177)</f>
        <v/>
      </c>
      <c r="H1180" s="26" t="str">
        <f>IF(A1180="","",BASE_CAIXA!P1177)</f>
        <v/>
      </c>
      <c r="I1180" s="26" t="str">
        <f>IF(A1180="","",IF(BASE_CAIXA!H1177&lt;&gt;"",BASE_CAIXA!H1177,BASE_CAIXA!G1177))</f>
        <v/>
      </c>
      <c r="J1180" s="26" t="str">
        <f>IF(A1180="","",BASE_CAIXA!G1177)</f>
        <v/>
      </c>
      <c r="K1180" s="26" t="str">
        <f>IF(A1180="","",BASE_CAIXA!I1177)</f>
        <v/>
      </c>
      <c r="L1180" s="26" t="str">
        <f>IF(A1180="","",BASE_CAIXA!J1177)</f>
        <v/>
      </c>
      <c r="M1180" s="26" t="str">
        <f>IF(A1180="","",BASE_CAIXA!AM1177)</f>
        <v/>
      </c>
      <c r="N1180" s="26" t="str">
        <f t="shared" ca="1" si="54"/>
        <v/>
      </c>
      <c r="O1180" s="26" t="str">
        <f>IFERROR(INDEX(EXTRATO_IMPORTADO!$A$5:$A$404,MATCH(B1180,EXTRATO_IMPORTADO!$I$5:$I$404,0)),"")</f>
        <v/>
      </c>
      <c r="P1180" s="26" t="str">
        <f>IFERROR(INDEX(EXTRATO_IMPORTADO!$F$5:$F$404,MATCH(B1180,EXTRATO_IMPORTADO!$I$5:$I$404,0)),"")</f>
        <v/>
      </c>
      <c r="Q1180" s="26" t="str">
        <f>IFERROR(INDEX(EXTRATO_IMPORTADO!$B$5:$B$404,MATCH(B1180,EXTRATO_IMPORTADO!$I$5:$I$404,0)),"")</f>
        <v/>
      </c>
      <c r="R1180" s="26" t="str">
        <f>IFERROR(MATCH(B1180,EXTRATO_IMPORTADO!$I$5:$I$404,0),"")</f>
        <v/>
      </c>
      <c r="S1180" s="26" t="str">
        <f t="shared" si="55"/>
        <v/>
      </c>
      <c r="T1180" s="26" t="str">
        <f t="shared" si="56"/>
        <v/>
      </c>
    </row>
    <row r="1181" spans="1:20" x14ac:dyDescent="0.3">
      <c r="A1181" s="26" t="str">
        <f>IF(BASE_CAIXA!A1178="","",BASE_CAIXA!A1178)</f>
        <v/>
      </c>
      <c r="B1181" s="26" t="str">
        <f>IF(A1181="","",BASE_CAIXA!AL1178)</f>
        <v/>
      </c>
      <c r="C1181" s="26" t="str">
        <f>IF(A1181="","",BASE_CAIXA!AJ1178)</f>
        <v/>
      </c>
      <c r="D1181" s="26" t="str">
        <f>IF(A1181="","",IF(BASE_CAIXA!C1178="Entrada","Crédito","Débito"))</f>
        <v/>
      </c>
      <c r="E1181" s="26" t="str">
        <f>IF(A1181="","",BASE_CAIXA!AA1178)</f>
        <v/>
      </c>
      <c r="F1181" s="26" t="str">
        <f>IF(A1181="","",BASE_CAIXA!N1178)</f>
        <v/>
      </c>
      <c r="G1181" s="26" t="str">
        <f>IF(A1181="","",BASE_CAIXA!O1178)</f>
        <v/>
      </c>
      <c r="H1181" s="26" t="str">
        <f>IF(A1181="","",BASE_CAIXA!P1178)</f>
        <v/>
      </c>
      <c r="I1181" s="26" t="str">
        <f>IF(A1181="","",IF(BASE_CAIXA!H1178&lt;&gt;"",BASE_CAIXA!H1178,BASE_CAIXA!G1178))</f>
        <v/>
      </c>
      <c r="J1181" s="26" t="str">
        <f>IF(A1181="","",BASE_CAIXA!G1178)</f>
        <v/>
      </c>
      <c r="K1181" s="26" t="str">
        <f>IF(A1181="","",BASE_CAIXA!I1178)</f>
        <v/>
      </c>
      <c r="L1181" s="26" t="str">
        <f>IF(A1181="","",BASE_CAIXA!J1178)</f>
        <v/>
      </c>
      <c r="M1181" s="26" t="str">
        <f>IF(A1181="","",BASE_CAIXA!AM1178)</f>
        <v/>
      </c>
      <c r="N1181" s="26" t="str">
        <f t="shared" ca="1" si="54"/>
        <v/>
      </c>
      <c r="O1181" s="26" t="str">
        <f>IFERROR(INDEX(EXTRATO_IMPORTADO!$A$5:$A$404,MATCH(B1181,EXTRATO_IMPORTADO!$I$5:$I$404,0)),"")</f>
        <v/>
      </c>
      <c r="P1181" s="26" t="str">
        <f>IFERROR(INDEX(EXTRATO_IMPORTADO!$F$5:$F$404,MATCH(B1181,EXTRATO_IMPORTADO!$I$5:$I$404,0)),"")</f>
        <v/>
      </c>
      <c r="Q1181" s="26" t="str">
        <f>IFERROR(INDEX(EXTRATO_IMPORTADO!$B$5:$B$404,MATCH(B1181,EXTRATO_IMPORTADO!$I$5:$I$404,0)),"")</f>
        <v/>
      </c>
      <c r="R1181" s="26" t="str">
        <f>IFERROR(MATCH(B1181,EXTRATO_IMPORTADO!$I$5:$I$404,0),"")</f>
        <v/>
      </c>
      <c r="S1181" s="26" t="str">
        <f t="shared" si="55"/>
        <v/>
      </c>
      <c r="T1181" s="26" t="str">
        <f t="shared" si="56"/>
        <v/>
      </c>
    </row>
    <row r="1182" spans="1:20" x14ac:dyDescent="0.3">
      <c r="A1182" s="26" t="str">
        <f>IF(BASE_CAIXA!A1179="","",BASE_CAIXA!A1179)</f>
        <v/>
      </c>
      <c r="B1182" s="26" t="str">
        <f>IF(A1182="","",BASE_CAIXA!AL1179)</f>
        <v/>
      </c>
      <c r="C1182" s="26" t="str">
        <f>IF(A1182="","",BASE_CAIXA!AJ1179)</f>
        <v/>
      </c>
      <c r="D1182" s="26" t="str">
        <f>IF(A1182="","",IF(BASE_CAIXA!C1179="Entrada","Crédito","Débito"))</f>
        <v/>
      </c>
      <c r="E1182" s="26" t="str">
        <f>IF(A1182="","",BASE_CAIXA!AA1179)</f>
        <v/>
      </c>
      <c r="F1182" s="26" t="str">
        <f>IF(A1182="","",BASE_CAIXA!N1179)</f>
        <v/>
      </c>
      <c r="G1182" s="26" t="str">
        <f>IF(A1182="","",BASE_CAIXA!O1179)</f>
        <v/>
      </c>
      <c r="H1182" s="26" t="str">
        <f>IF(A1182="","",BASE_CAIXA!P1179)</f>
        <v/>
      </c>
      <c r="I1182" s="26" t="str">
        <f>IF(A1182="","",IF(BASE_CAIXA!H1179&lt;&gt;"",BASE_CAIXA!H1179,BASE_CAIXA!G1179))</f>
        <v/>
      </c>
      <c r="J1182" s="26" t="str">
        <f>IF(A1182="","",BASE_CAIXA!G1179)</f>
        <v/>
      </c>
      <c r="K1182" s="26" t="str">
        <f>IF(A1182="","",BASE_CAIXA!I1179)</f>
        <v/>
      </c>
      <c r="L1182" s="26" t="str">
        <f>IF(A1182="","",BASE_CAIXA!J1179)</f>
        <v/>
      </c>
      <c r="M1182" s="26" t="str">
        <f>IF(A1182="","",BASE_CAIXA!AM1179)</f>
        <v/>
      </c>
      <c r="N1182" s="26" t="str">
        <f t="shared" ca="1" si="54"/>
        <v/>
      </c>
      <c r="O1182" s="26" t="str">
        <f>IFERROR(INDEX(EXTRATO_IMPORTADO!$A$5:$A$404,MATCH(B1182,EXTRATO_IMPORTADO!$I$5:$I$404,0)),"")</f>
        <v/>
      </c>
      <c r="P1182" s="26" t="str">
        <f>IFERROR(INDEX(EXTRATO_IMPORTADO!$F$5:$F$404,MATCH(B1182,EXTRATO_IMPORTADO!$I$5:$I$404,0)),"")</f>
        <v/>
      </c>
      <c r="Q1182" s="26" t="str">
        <f>IFERROR(INDEX(EXTRATO_IMPORTADO!$B$5:$B$404,MATCH(B1182,EXTRATO_IMPORTADO!$I$5:$I$404,0)),"")</f>
        <v/>
      </c>
      <c r="R1182" s="26" t="str">
        <f>IFERROR(MATCH(B1182,EXTRATO_IMPORTADO!$I$5:$I$404,0),"")</f>
        <v/>
      </c>
      <c r="S1182" s="26" t="str">
        <f t="shared" si="55"/>
        <v/>
      </c>
      <c r="T1182" s="26" t="str">
        <f t="shared" si="56"/>
        <v/>
      </c>
    </row>
    <row r="1183" spans="1:20" x14ac:dyDescent="0.3">
      <c r="A1183" s="26" t="str">
        <f>IF(BASE_CAIXA!A1180="","",BASE_CAIXA!A1180)</f>
        <v/>
      </c>
      <c r="B1183" s="26" t="str">
        <f>IF(A1183="","",BASE_CAIXA!AL1180)</f>
        <v/>
      </c>
      <c r="C1183" s="26" t="str">
        <f>IF(A1183="","",BASE_CAIXA!AJ1180)</f>
        <v/>
      </c>
      <c r="D1183" s="26" t="str">
        <f>IF(A1183="","",IF(BASE_CAIXA!C1180="Entrada","Crédito","Débito"))</f>
        <v/>
      </c>
      <c r="E1183" s="26" t="str">
        <f>IF(A1183="","",BASE_CAIXA!AA1180)</f>
        <v/>
      </c>
      <c r="F1183" s="26" t="str">
        <f>IF(A1183="","",BASE_CAIXA!N1180)</f>
        <v/>
      </c>
      <c r="G1183" s="26" t="str">
        <f>IF(A1183="","",BASE_CAIXA!O1180)</f>
        <v/>
      </c>
      <c r="H1183" s="26" t="str">
        <f>IF(A1183="","",BASE_CAIXA!P1180)</f>
        <v/>
      </c>
      <c r="I1183" s="26" t="str">
        <f>IF(A1183="","",IF(BASE_CAIXA!H1180&lt;&gt;"",BASE_CAIXA!H1180,BASE_CAIXA!G1180))</f>
        <v/>
      </c>
      <c r="J1183" s="26" t="str">
        <f>IF(A1183="","",BASE_CAIXA!G1180)</f>
        <v/>
      </c>
      <c r="K1183" s="26" t="str">
        <f>IF(A1183="","",BASE_CAIXA!I1180)</f>
        <v/>
      </c>
      <c r="L1183" s="26" t="str">
        <f>IF(A1183="","",BASE_CAIXA!J1180)</f>
        <v/>
      </c>
      <c r="M1183" s="26" t="str">
        <f>IF(A1183="","",BASE_CAIXA!AM1180)</f>
        <v/>
      </c>
      <c r="N1183" s="26" t="str">
        <f t="shared" ca="1" si="54"/>
        <v/>
      </c>
      <c r="O1183" s="26" t="str">
        <f>IFERROR(INDEX(EXTRATO_IMPORTADO!$A$5:$A$404,MATCH(B1183,EXTRATO_IMPORTADO!$I$5:$I$404,0)),"")</f>
        <v/>
      </c>
      <c r="P1183" s="26" t="str">
        <f>IFERROR(INDEX(EXTRATO_IMPORTADO!$F$5:$F$404,MATCH(B1183,EXTRATO_IMPORTADO!$I$5:$I$404,0)),"")</f>
        <v/>
      </c>
      <c r="Q1183" s="26" t="str">
        <f>IFERROR(INDEX(EXTRATO_IMPORTADO!$B$5:$B$404,MATCH(B1183,EXTRATO_IMPORTADO!$I$5:$I$404,0)),"")</f>
        <v/>
      </c>
      <c r="R1183" s="26" t="str">
        <f>IFERROR(MATCH(B1183,EXTRATO_IMPORTADO!$I$5:$I$404,0),"")</f>
        <v/>
      </c>
      <c r="S1183" s="26" t="str">
        <f t="shared" si="55"/>
        <v/>
      </c>
      <c r="T1183" s="26" t="str">
        <f t="shared" si="56"/>
        <v/>
      </c>
    </row>
    <row r="1184" spans="1:20" x14ac:dyDescent="0.3">
      <c r="A1184" s="26" t="str">
        <f>IF(BASE_CAIXA!A1181="","",BASE_CAIXA!A1181)</f>
        <v/>
      </c>
      <c r="B1184" s="26" t="str">
        <f>IF(A1184="","",BASE_CAIXA!AL1181)</f>
        <v/>
      </c>
      <c r="C1184" s="26" t="str">
        <f>IF(A1184="","",BASE_CAIXA!AJ1181)</f>
        <v/>
      </c>
      <c r="D1184" s="26" t="str">
        <f>IF(A1184="","",IF(BASE_CAIXA!C1181="Entrada","Crédito","Débito"))</f>
        <v/>
      </c>
      <c r="E1184" s="26" t="str">
        <f>IF(A1184="","",BASE_CAIXA!AA1181)</f>
        <v/>
      </c>
      <c r="F1184" s="26" t="str">
        <f>IF(A1184="","",BASE_CAIXA!N1181)</f>
        <v/>
      </c>
      <c r="G1184" s="26" t="str">
        <f>IF(A1184="","",BASE_CAIXA!O1181)</f>
        <v/>
      </c>
      <c r="H1184" s="26" t="str">
        <f>IF(A1184="","",BASE_CAIXA!P1181)</f>
        <v/>
      </c>
      <c r="I1184" s="26" t="str">
        <f>IF(A1184="","",IF(BASE_CAIXA!H1181&lt;&gt;"",BASE_CAIXA!H1181,BASE_CAIXA!G1181))</f>
        <v/>
      </c>
      <c r="J1184" s="26" t="str">
        <f>IF(A1184="","",BASE_CAIXA!G1181)</f>
        <v/>
      </c>
      <c r="K1184" s="26" t="str">
        <f>IF(A1184="","",BASE_CAIXA!I1181)</f>
        <v/>
      </c>
      <c r="L1184" s="26" t="str">
        <f>IF(A1184="","",BASE_CAIXA!J1181)</f>
        <v/>
      </c>
      <c r="M1184" s="26" t="str">
        <f>IF(A1184="","",BASE_CAIXA!AM1181)</f>
        <v/>
      </c>
      <c r="N1184" s="26" t="str">
        <f t="shared" ca="1" si="54"/>
        <v/>
      </c>
      <c r="O1184" s="26" t="str">
        <f>IFERROR(INDEX(EXTRATO_IMPORTADO!$A$5:$A$404,MATCH(B1184,EXTRATO_IMPORTADO!$I$5:$I$404,0)),"")</f>
        <v/>
      </c>
      <c r="P1184" s="26" t="str">
        <f>IFERROR(INDEX(EXTRATO_IMPORTADO!$F$5:$F$404,MATCH(B1184,EXTRATO_IMPORTADO!$I$5:$I$404,0)),"")</f>
        <v/>
      </c>
      <c r="Q1184" s="26" t="str">
        <f>IFERROR(INDEX(EXTRATO_IMPORTADO!$B$5:$B$404,MATCH(B1184,EXTRATO_IMPORTADO!$I$5:$I$404,0)),"")</f>
        <v/>
      </c>
      <c r="R1184" s="26" t="str">
        <f>IFERROR(MATCH(B1184,EXTRATO_IMPORTADO!$I$5:$I$404,0),"")</f>
        <v/>
      </c>
      <c r="S1184" s="26" t="str">
        <f t="shared" si="55"/>
        <v/>
      </c>
      <c r="T1184" s="26" t="str">
        <f t="shared" si="56"/>
        <v/>
      </c>
    </row>
    <row r="1185" spans="1:20" x14ac:dyDescent="0.3">
      <c r="A1185" s="26" t="str">
        <f>IF(BASE_CAIXA!A1182="","",BASE_CAIXA!A1182)</f>
        <v/>
      </c>
      <c r="B1185" s="26" t="str">
        <f>IF(A1185="","",BASE_CAIXA!AL1182)</f>
        <v/>
      </c>
      <c r="C1185" s="26" t="str">
        <f>IF(A1185="","",BASE_CAIXA!AJ1182)</f>
        <v/>
      </c>
      <c r="D1185" s="26" t="str">
        <f>IF(A1185="","",IF(BASE_CAIXA!C1182="Entrada","Crédito","Débito"))</f>
        <v/>
      </c>
      <c r="E1185" s="26" t="str">
        <f>IF(A1185="","",BASE_CAIXA!AA1182)</f>
        <v/>
      </c>
      <c r="F1185" s="26" t="str">
        <f>IF(A1185="","",BASE_CAIXA!N1182)</f>
        <v/>
      </c>
      <c r="G1185" s="26" t="str">
        <f>IF(A1185="","",BASE_CAIXA!O1182)</f>
        <v/>
      </c>
      <c r="H1185" s="26" t="str">
        <f>IF(A1185="","",BASE_CAIXA!P1182)</f>
        <v/>
      </c>
      <c r="I1185" s="26" t="str">
        <f>IF(A1185="","",IF(BASE_CAIXA!H1182&lt;&gt;"",BASE_CAIXA!H1182,BASE_CAIXA!G1182))</f>
        <v/>
      </c>
      <c r="J1185" s="26" t="str">
        <f>IF(A1185="","",BASE_CAIXA!G1182)</f>
        <v/>
      </c>
      <c r="K1185" s="26" t="str">
        <f>IF(A1185="","",BASE_CAIXA!I1182)</f>
        <v/>
      </c>
      <c r="L1185" s="26" t="str">
        <f>IF(A1185="","",BASE_CAIXA!J1182)</f>
        <v/>
      </c>
      <c r="M1185" s="26" t="str">
        <f>IF(A1185="","",BASE_CAIXA!AM1182)</f>
        <v/>
      </c>
      <c r="N1185" s="26" t="str">
        <f t="shared" ca="1" si="54"/>
        <v/>
      </c>
      <c r="O1185" s="26" t="str">
        <f>IFERROR(INDEX(EXTRATO_IMPORTADO!$A$5:$A$404,MATCH(B1185,EXTRATO_IMPORTADO!$I$5:$I$404,0)),"")</f>
        <v/>
      </c>
      <c r="P1185" s="26" t="str">
        <f>IFERROR(INDEX(EXTRATO_IMPORTADO!$F$5:$F$404,MATCH(B1185,EXTRATO_IMPORTADO!$I$5:$I$404,0)),"")</f>
        <v/>
      </c>
      <c r="Q1185" s="26" t="str">
        <f>IFERROR(INDEX(EXTRATO_IMPORTADO!$B$5:$B$404,MATCH(B1185,EXTRATO_IMPORTADO!$I$5:$I$404,0)),"")</f>
        <v/>
      </c>
      <c r="R1185" s="26" t="str">
        <f>IFERROR(MATCH(B1185,EXTRATO_IMPORTADO!$I$5:$I$404,0),"")</f>
        <v/>
      </c>
      <c r="S1185" s="26" t="str">
        <f t="shared" si="55"/>
        <v/>
      </c>
      <c r="T1185" s="26" t="str">
        <f t="shared" si="56"/>
        <v/>
      </c>
    </row>
    <row r="1186" spans="1:20" x14ac:dyDescent="0.3">
      <c r="A1186" s="26" t="str">
        <f>IF(BASE_CAIXA!A1183="","",BASE_CAIXA!A1183)</f>
        <v/>
      </c>
      <c r="B1186" s="26" t="str">
        <f>IF(A1186="","",BASE_CAIXA!AL1183)</f>
        <v/>
      </c>
      <c r="C1186" s="26" t="str">
        <f>IF(A1186="","",BASE_CAIXA!AJ1183)</f>
        <v/>
      </c>
      <c r="D1186" s="26" t="str">
        <f>IF(A1186="","",IF(BASE_CAIXA!C1183="Entrada","Crédito","Débito"))</f>
        <v/>
      </c>
      <c r="E1186" s="26" t="str">
        <f>IF(A1186="","",BASE_CAIXA!AA1183)</f>
        <v/>
      </c>
      <c r="F1186" s="26" t="str">
        <f>IF(A1186="","",BASE_CAIXA!N1183)</f>
        <v/>
      </c>
      <c r="G1186" s="26" t="str">
        <f>IF(A1186="","",BASE_CAIXA!O1183)</f>
        <v/>
      </c>
      <c r="H1186" s="26" t="str">
        <f>IF(A1186="","",BASE_CAIXA!P1183)</f>
        <v/>
      </c>
      <c r="I1186" s="26" t="str">
        <f>IF(A1186="","",IF(BASE_CAIXA!H1183&lt;&gt;"",BASE_CAIXA!H1183,BASE_CAIXA!G1183))</f>
        <v/>
      </c>
      <c r="J1186" s="26" t="str">
        <f>IF(A1186="","",BASE_CAIXA!G1183)</f>
        <v/>
      </c>
      <c r="K1186" s="26" t="str">
        <f>IF(A1186="","",BASE_CAIXA!I1183)</f>
        <v/>
      </c>
      <c r="L1186" s="26" t="str">
        <f>IF(A1186="","",BASE_CAIXA!J1183)</f>
        <v/>
      </c>
      <c r="M1186" s="26" t="str">
        <f>IF(A1186="","",BASE_CAIXA!AM1183)</f>
        <v/>
      </c>
      <c r="N1186" s="26" t="str">
        <f t="shared" ca="1" si="54"/>
        <v/>
      </c>
      <c r="O1186" s="26" t="str">
        <f>IFERROR(INDEX(EXTRATO_IMPORTADO!$A$5:$A$404,MATCH(B1186,EXTRATO_IMPORTADO!$I$5:$I$404,0)),"")</f>
        <v/>
      </c>
      <c r="P1186" s="26" t="str">
        <f>IFERROR(INDEX(EXTRATO_IMPORTADO!$F$5:$F$404,MATCH(B1186,EXTRATO_IMPORTADO!$I$5:$I$404,0)),"")</f>
        <v/>
      </c>
      <c r="Q1186" s="26" t="str">
        <f>IFERROR(INDEX(EXTRATO_IMPORTADO!$B$5:$B$404,MATCH(B1186,EXTRATO_IMPORTADO!$I$5:$I$404,0)),"")</f>
        <v/>
      </c>
      <c r="R1186" s="26" t="str">
        <f>IFERROR(MATCH(B1186,EXTRATO_IMPORTADO!$I$5:$I$404,0),"")</f>
        <v/>
      </c>
      <c r="S1186" s="26" t="str">
        <f t="shared" si="55"/>
        <v/>
      </c>
      <c r="T1186" s="26" t="str">
        <f t="shared" si="56"/>
        <v/>
      </c>
    </row>
    <row r="1187" spans="1:20" x14ac:dyDescent="0.3">
      <c r="A1187" s="26" t="str">
        <f>IF(BASE_CAIXA!A1184="","",BASE_CAIXA!A1184)</f>
        <v/>
      </c>
      <c r="B1187" s="26" t="str">
        <f>IF(A1187="","",BASE_CAIXA!AL1184)</f>
        <v/>
      </c>
      <c r="C1187" s="26" t="str">
        <f>IF(A1187="","",BASE_CAIXA!AJ1184)</f>
        <v/>
      </c>
      <c r="D1187" s="26" t="str">
        <f>IF(A1187="","",IF(BASE_CAIXA!C1184="Entrada","Crédito","Débito"))</f>
        <v/>
      </c>
      <c r="E1187" s="26" t="str">
        <f>IF(A1187="","",BASE_CAIXA!AA1184)</f>
        <v/>
      </c>
      <c r="F1187" s="26" t="str">
        <f>IF(A1187="","",BASE_CAIXA!N1184)</f>
        <v/>
      </c>
      <c r="G1187" s="26" t="str">
        <f>IF(A1187="","",BASE_CAIXA!O1184)</f>
        <v/>
      </c>
      <c r="H1187" s="26" t="str">
        <f>IF(A1187="","",BASE_CAIXA!P1184)</f>
        <v/>
      </c>
      <c r="I1187" s="26" t="str">
        <f>IF(A1187="","",IF(BASE_CAIXA!H1184&lt;&gt;"",BASE_CAIXA!H1184,BASE_CAIXA!G1184))</f>
        <v/>
      </c>
      <c r="J1187" s="26" t="str">
        <f>IF(A1187="","",BASE_CAIXA!G1184)</f>
        <v/>
      </c>
      <c r="K1187" s="26" t="str">
        <f>IF(A1187="","",BASE_CAIXA!I1184)</f>
        <v/>
      </c>
      <c r="L1187" s="26" t="str">
        <f>IF(A1187="","",BASE_CAIXA!J1184)</f>
        <v/>
      </c>
      <c r="M1187" s="26" t="str">
        <f>IF(A1187="","",BASE_CAIXA!AM1184)</f>
        <v/>
      </c>
      <c r="N1187" s="26" t="str">
        <f t="shared" ca="1" si="54"/>
        <v/>
      </c>
      <c r="O1187" s="26" t="str">
        <f>IFERROR(INDEX(EXTRATO_IMPORTADO!$A$5:$A$404,MATCH(B1187,EXTRATO_IMPORTADO!$I$5:$I$404,0)),"")</f>
        <v/>
      </c>
      <c r="P1187" s="26" t="str">
        <f>IFERROR(INDEX(EXTRATO_IMPORTADO!$F$5:$F$404,MATCH(B1187,EXTRATO_IMPORTADO!$I$5:$I$404,0)),"")</f>
        <v/>
      </c>
      <c r="Q1187" s="26" t="str">
        <f>IFERROR(INDEX(EXTRATO_IMPORTADO!$B$5:$B$404,MATCH(B1187,EXTRATO_IMPORTADO!$I$5:$I$404,0)),"")</f>
        <v/>
      </c>
      <c r="R1187" s="26" t="str">
        <f>IFERROR(MATCH(B1187,EXTRATO_IMPORTADO!$I$5:$I$404,0),"")</f>
        <v/>
      </c>
      <c r="S1187" s="26" t="str">
        <f t="shared" si="55"/>
        <v/>
      </c>
      <c r="T1187" s="26" t="str">
        <f t="shared" si="56"/>
        <v/>
      </c>
    </row>
    <row r="1188" spans="1:20" x14ac:dyDescent="0.3">
      <c r="A1188" s="26" t="str">
        <f>IF(BASE_CAIXA!A1185="","",BASE_CAIXA!A1185)</f>
        <v/>
      </c>
      <c r="B1188" s="26" t="str">
        <f>IF(A1188="","",BASE_CAIXA!AL1185)</f>
        <v/>
      </c>
      <c r="C1188" s="26" t="str">
        <f>IF(A1188="","",BASE_CAIXA!AJ1185)</f>
        <v/>
      </c>
      <c r="D1188" s="26" t="str">
        <f>IF(A1188="","",IF(BASE_CAIXA!C1185="Entrada","Crédito","Débito"))</f>
        <v/>
      </c>
      <c r="E1188" s="26" t="str">
        <f>IF(A1188="","",BASE_CAIXA!AA1185)</f>
        <v/>
      </c>
      <c r="F1188" s="26" t="str">
        <f>IF(A1188="","",BASE_CAIXA!N1185)</f>
        <v/>
      </c>
      <c r="G1188" s="26" t="str">
        <f>IF(A1188="","",BASE_CAIXA!O1185)</f>
        <v/>
      </c>
      <c r="H1188" s="26" t="str">
        <f>IF(A1188="","",BASE_CAIXA!P1185)</f>
        <v/>
      </c>
      <c r="I1188" s="26" t="str">
        <f>IF(A1188="","",IF(BASE_CAIXA!H1185&lt;&gt;"",BASE_CAIXA!H1185,BASE_CAIXA!G1185))</f>
        <v/>
      </c>
      <c r="J1188" s="26" t="str">
        <f>IF(A1188="","",BASE_CAIXA!G1185)</f>
        <v/>
      </c>
      <c r="K1188" s="26" t="str">
        <f>IF(A1188="","",BASE_CAIXA!I1185)</f>
        <v/>
      </c>
      <c r="L1188" s="26" t="str">
        <f>IF(A1188="","",BASE_CAIXA!J1185)</f>
        <v/>
      </c>
      <c r="M1188" s="26" t="str">
        <f>IF(A1188="","",BASE_CAIXA!AM1185)</f>
        <v/>
      </c>
      <c r="N1188" s="26" t="str">
        <f t="shared" ca="1" si="54"/>
        <v/>
      </c>
      <c r="O1188" s="26" t="str">
        <f>IFERROR(INDEX(EXTRATO_IMPORTADO!$A$5:$A$404,MATCH(B1188,EXTRATO_IMPORTADO!$I$5:$I$404,0)),"")</f>
        <v/>
      </c>
      <c r="P1188" s="26" t="str">
        <f>IFERROR(INDEX(EXTRATO_IMPORTADO!$F$5:$F$404,MATCH(B1188,EXTRATO_IMPORTADO!$I$5:$I$404,0)),"")</f>
        <v/>
      </c>
      <c r="Q1188" s="26" t="str">
        <f>IFERROR(INDEX(EXTRATO_IMPORTADO!$B$5:$B$404,MATCH(B1188,EXTRATO_IMPORTADO!$I$5:$I$404,0)),"")</f>
        <v/>
      </c>
      <c r="R1188" s="26" t="str">
        <f>IFERROR(MATCH(B1188,EXTRATO_IMPORTADO!$I$5:$I$404,0),"")</f>
        <v/>
      </c>
      <c r="S1188" s="26" t="str">
        <f t="shared" si="55"/>
        <v/>
      </c>
      <c r="T1188" s="26" t="str">
        <f t="shared" si="56"/>
        <v/>
      </c>
    </row>
    <row r="1189" spans="1:20" x14ac:dyDescent="0.3">
      <c r="A1189" s="26" t="str">
        <f>IF(BASE_CAIXA!A1186="","",BASE_CAIXA!A1186)</f>
        <v/>
      </c>
      <c r="B1189" s="26" t="str">
        <f>IF(A1189="","",BASE_CAIXA!AL1186)</f>
        <v/>
      </c>
      <c r="C1189" s="26" t="str">
        <f>IF(A1189="","",BASE_CAIXA!AJ1186)</f>
        <v/>
      </c>
      <c r="D1189" s="26" t="str">
        <f>IF(A1189="","",IF(BASE_CAIXA!C1186="Entrada","Crédito","Débito"))</f>
        <v/>
      </c>
      <c r="E1189" s="26" t="str">
        <f>IF(A1189="","",BASE_CAIXA!AA1186)</f>
        <v/>
      </c>
      <c r="F1189" s="26" t="str">
        <f>IF(A1189="","",BASE_CAIXA!N1186)</f>
        <v/>
      </c>
      <c r="G1189" s="26" t="str">
        <f>IF(A1189="","",BASE_CAIXA!O1186)</f>
        <v/>
      </c>
      <c r="H1189" s="26" t="str">
        <f>IF(A1189="","",BASE_CAIXA!P1186)</f>
        <v/>
      </c>
      <c r="I1189" s="26" t="str">
        <f>IF(A1189="","",IF(BASE_CAIXA!H1186&lt;&gt;"",BASE_CAIXA!H1186,BASE_CAIXA!G1186))</f>
        <v/>
      </c>
      <c r="J1189" s="26" t="str">
        <f>IF(A1189="","",BASE_CAIXA!G1186)</f>
        <v/>
      </c>
      <c r="K1189" s="26" t="str">
        <f>IF(A1189="","",BASE_CAIXA!I1186)</f>
        <v/>
      </c>
      <c r="L1189" s="26" t="str">
        <f>IF(A1189="","",BASE_CAIXA!J1186)</f>
        <v/>
      </c>
      <c r="M1189" s="26" t="str">
        <f>IF(A1189="","",BASE_CAIXA!AM1186)</f>
        <v/>
      </c>
      <c r="N1189" s="26" t="str">
        <f t="shared" ca="1" si="54"/>
        <v/>
      </c>
      <c r="O1189" s="26" t="str">
        <f>IFERROR(INDEX(EXTRATO_IMPORTADO!$A$5:$A$404,MATCH(B1189,EXTRATO_IMPORTADO!$I$5:$I$404,0)),"")</f>
        <v/>
      </c>
      <c r="P1189" s="26" t="str">
        <f>IFERROR(INDEX(EXTRATO_IMPORTADO!$F$5:$F$404,MATCH(B1189,EXTRATO_IMPORTADO!$I$5:$I$404,0)),"")</f>
        <v/>
      </c>
      <c r="Q1189" s="26" t="str">
        <f>IFERROR(INDEX(EXTRATO_IMPORTADO!$B$5:$B$404,MATCH(B1189,EXTRATO_IMPORTADO!$I$5:$I$404,0)),"")</f>
        <v/>
      </c>
      <c r="R1189" s="26" t="str">
        <f>IFERROR(MATCH(B1189,EXTRATO_IMPORTADO!$I$5:$I$404,0),"")</f>
        <v/>
      </c>
      <c r="S1189" s="26" t="str">
        <f t="shared" si="55"/>
        <v/>
      </c>
      <c r="T1189" s="26" t="str">
        <f t="shared" si="56"/>
        <v/>
      </c>
    </row>
    <row r="1190" spans="1:20" x14ac:dyDescent="0.3">
      <c r="A1190" s="26" t="str">
        <f>IF(BASE_CAIXA!A1187="","",BASE_CAIXA!A1187)</f>
        <v/>
      </c>
      <c r="B1190" s="26" t="str">
        <f>IF(A1190="","",BASE_CAIXA!AL1187)</f>
        <v/>
      </c>
      <c r="C1190" s="26" t="str">
        <f>IF(A1190="","",BASE_CAIXA!AJ1187)</f>
        <v/>
      </c>
      <c r="D1190" s="26" t="str">
        <f>IF(A1190="","",IF(BASE_CAIXA!C1187="Entrada","Crédito","Débito"))</f>
        <v/>
      </c>
      <c r="E1190" s="26" t="str">
        <f>IF(A1190="","",BASE_CAIXA!AA1187)</f>
        <v/>
      </c>
      <c r="F1190" s="26" t="str">
        <f>IF(A1190="","",BASE_CAIXA!N1187)</f>
        <v/>
      </c>
      <c r="G1190" s="26" t="str">
        <f>IF(A1190="","",BASE_CAIXA!O1187)</f>
        <v/>
      </c>
      <c r="H1190" s="26" t="str">
        <f>IF(A1190="","",BASE_CAIXA!P1187)</f>
        <v/>
      </c>
      <c r="I1190" s="26" t="str">
        <f>IF(A1190="","",IF(BASE_CAIXA!H1187&lt;&gt;"",BASE_CAIXA!H1187,BASE_CAIXA!G1187))</f>
        <v/>
      </c>
      <c r="J1190" s="26" t="str">
        <f>IF(A1190="","",BASE_CAIXA!G1187)</f>
        <v/>
      </c>
      <c r="K1190" s="26" t="str">
        <f>IF(A1190="","",BASE_CAIXA!I1187)</f>
        <v/>
      </c>
      <c r="L1190" s="26" t="str">
        <f>IF(A1190="","",BASE_CAIXA!J1187)</f>
        <v/>
      </c>
      <c r="M1190" s="26" t="str">
        <f>IF(A1190="","",BASE_CAIXA!AM1187)</f>
        <v/>
      </c>
      <c r="N1190" s="26" t="str">
        <f t="shared" ca="1" si="54"/>
        <v/>
      </c>
      <c r="O1190" s="26" t="str">
        <f>IFERROR(INDEX(EXTRATO_IMPORTADO!$A$5:$A$404,MATCH(B1190,EXTRATO_IMPORTADO!$I$5:$I$404,0)),"")</f>
        <v/>
      </c>
      <c r="P1190" s="26" t="str">
        <f>IFERROR(INDEX(EXTRATO_IMPORTADO!$F$5:$F$404,MATCH(B1190,EXTRATO_IMPORTADO!$I$5:$I$404,0)),"")</f>
        <v/>
      </c>
      <c r="Q1190" s="26" t="str">
        <f>IFERROR(INDEX(EXTRATO_IMPORTADO!$B$5:$B$404,MATCH(B1190,EXTRATO_IMPORTADO!$I$5:$I$404,0)),"")</f>
        <v/>
      </c>
      <c r="R1190" s="26" t="str">
        <f>IFERROR(MATCH(B1190,EXTRATO_IMPORTADO!$I$5:$I$404,0),"")</f>
        <v/>
      </c>
      <c r="S1190" s="26" t="str">
        <f t="shared" si="55"/>
        <v/>
      </c>
      <c r="T1190" s="26" t="str">
        <f t="shared" si="56"/>
        <v/>
      </c>
    </row>
    <row r="1191" spans="1:20" x14ac:dyDescent="0.3">
      <c r="A1191" s="26" t="str">
        <f>IF(BASE_CAIXA!A1188="","",BASE_CAIXA!A1188)</f>
        <v/>
      </c>
      <c r="B1191" s="26" t="str">
        <f>IF(A1191="","",BASE_CAIXA!AL1188)</f>
        <v/>
      </c>
      <c r="C1191" s="26" t="str">
        <f>IF(A1191="","",BASE_CAIXA!AJ1188)</f>
        <v/>
      </c>
      <c r="D1191" s="26" t="str">
        <f>IF(A1191="","",IF(BASE_CAIXA!C1188="Entrada","Crédito","Débito"))</f>
        <v/>
      </c>
      <c r="E1191" s="26" t="str">
        <f>IF(A1191="","",BASE_CAIXA!AA1188)</f>
        <v/>
      </c>
      <c r="F1191" s="26" t="str">
        <f>IF(A1191="","",BASE_CAIXA!N1188)</f>
        <v/>
      </c>
      <c r="G1191" s="26" t="str">
        <f>IF(A1191="","",BASE_CAIXA!O1188)</f>
        <v/>
      </c>
      <c r="H1191" s="26" t="str">
        <f>IF(A1191="","",BASE_CAIXA!P1188)</f>
        <v/>
      </c>
      <c r="I1191" s="26" t="str">
        <f>IF(A1191="","",IF(BASE_CAIXA!H1188&lt;&gt;"",BASE_CAIXA!H1188,BASE_CAIXA!G1188))</f>
        <v/>
      </c>
      <c r="J1191" s="26" t="str">
        <f>IF(A1191="","",BASE_CAIXA!G1188)</f>
        <v/>
      </c>
      <c r="K1191" s="26" t="str">
        <f>IF(A1191="","",BASE_CAIXA!I1188)</f>
        <v/>
      </c>
      <c r="L1191" s="26" t="str">
        <f>IF(A1191="","",BASE_CAIXA!J1188)</f>
        <v/>
      </c>
      <c r="M1191" s="26" t="str">
        <f>IF(A1191="","",BASE_CAIXA!AM1188)</f>
        <v/>
      </c>
      <c r="N1191" s="26" t="str">
        <f t="shared" ca="1" si="54"/>
        <v/>
      </c>
      <c r="O1191" s="26" t="str">
        <f>IFERROR(INDEX(EXTRATO_IMPORTADO!$A$5:$A$404,MATCH(B1191,EXTRATO_IMPORTADO!$I$5:$I$404,0)),"")</f>
        <v/>
      </c>
      <c r="P1191" s="26" t="str">
        <f>IFERROR(INDEX(EXTRATO_IMPORTADO!$F$5:$F$404,MATCH(B1191,EXTRATO_IMPORTADO!$I$5:$I$404,0)),"")</f>
        <v/>
      </c>
      <c r="Q1191" s="26" t="str">
        <f>IFERROR(INDEX(EXTRATO_IMPORTADO!$B$5:$B$404,MATCH(B1191,EXTRATO_IMPORTADO!$I$5:$I$404,0)),"")</f>
        <v/>
      </c>
      <c r="R1191" s="26" t="str">
        <f>IFERROR(MATCH(B1191,EXTRATO_IMPORTADO!$I$5:$I$404,0),"")</f>
        <v/>
      </c>
      <c r="S1191" s="26" t="str">
        <f t="shared" si="55"/>
        <v/>
      </c>
      <c r="T1191" s="26" t="str">
        <f t="shared" si="56"/>
        <v/>
      </c>
    </row>
    <row r="1192" spans="1:20" x14ac:dyDescent="0.3">
      <c r="A1192" s="26" t="str">
        <f>IF(BASE_CAIXA!A1189="","",BASE_CAIXA!A1189)</f>
        <v/>
      </c>
      <c r="B1192" s="26" t="str">
        <f>IF(A1192="","",BASE_CAIXA!AL1189)</f>
        <v/>
      </c>
      <c r="C1192" s="26" t="str">
        <f>IF(A1192="","",BASE_CAIXA!AJ1189)</f>
        <v/>
      </c>
      <c r="D1192" s="26" t="str">
        <f>IF(A1192="","",IF(BASE_CAIXA!C1189="Entrada","Crédito","Débito"))</f>
        <v/>
      </c>
      <c r="E1192" s="26" t="str">
        <f>IF(A1192="","",BASE_CAIXA!AA1189)</f>
        <v/>
      </c>
      <c r="F1192" s="26" t="str">
        <f>IF(A1192="","",BASE_CAIXA!N1189)</f>
        <v/>
      </c>
      <c r="G1192" s="26" t="str">
        <f>IF(A1192="","",BASE_CAIXA!O1189)</f>
        <v/>
      </c>
      <c r="H1192" s="26" t="str">
        <f>IF(A1192="","",BASE_CAIXA!P1189)</f>
        <v/>
      </c>
      <c r="I1192" s="26" t="str">
        <f>IF(A1192="","",IF(BASE_CAIXA!H1189&lt;&gt;"",BASE_CAIXA!H1189,BASE_CAIXA!G1189))</f>
        <v/>
      </c>
      <c r="J1192" s="26" t="str">
        <f>IF(A1192="","",BASE_CAIXA!G1189)</f>
        <v/>
      </c>
      <c r="K1192" s="26" t="str">
        <f>IF(A1192="","",BASE_CAIXA!I1189)</f>
        <v/>
      </c>
      <c r="L1192" s="26" t="str">
        <f>IF(A1192="","",BASE_CAIXA!J1189)</f>
        <v/>
      </c>
      <c r="M1192" s="26" t="str">
        <f>IF(A1192="","",BASE_CAIXA!AM1189)</f>
        <v/>
      </c>
      <c r="N1192" s="26" t="str">
        <f t="shared" ca="1" si="54"/>
        <v/>
      </c>
      <c r="O1192" s="26" t="str">
        <f>IFERROR(INDEX(EXTRATO_IMPORTADO!$A$5:$A$404,MATCH(B1192,EXTRATO_IMPORTADO!$I$5:$I$404,0)),"")</f>
        <v/>
      </c>
      <c r="P1192" s="26" t="str">
        <f>IFERROR(INDEX(EXTRATO_IMPORTADO!$F$5:$F$404,MATCH(B1192,EXTRATO_IMPORTADO!$I$5:$I$404,0)),"")</f>
        <v/>
      </c>
      <c r="Q1192" s="26" t="str">
        <f>IFERROR(INDEX(EXTRATO_IMPORTADO!$B$5:$B$404,MATCH(B1192,EXTRATO_IMPORTADO!$I$5:$I$404,0)),"")</f>
        <v/>
      </c>
      <c r="R1192" s="26" t="str">
        <f>IFERROR(MATCH(B1192,EXTRATO_IMPORTADO!$I$5:$I$404,0),"")</f>
        <v/>
      </c>
      <c r="S1192" s="26" t="str">
        <f t="shared" si="55"/>
        <v/>
      </c>
      <c r="T1192" s="26" t="str">
        <f t="shared" si="56"/>
        <v/>
      </c>
    </row>
    <row r="1193" spans="1:20" x14ac:dyDescent="0.3">
      <c r="A1193" s="26" t="str">
        <f>IF(BASE_CAIXA!A1190="","",BASE_CAIXA!A1190)</f>
        <v/>
      </c>
      <c r="B1193" s="26" t="str">
        <f>IF(A1193="","",BASE_CAIXA!AL1190)</f>
        <v/>
      </c>
      <c r="C1193" s="26" t="str">
        <f>IF(A1193="","",BASE_CAIXA!AJ1190)</f>
        <v/>
      </c>
      <c r="D1193" s="26" t="str">
        <f>IF(A1193="","",IF(BASE_CAIXA!C1190="Entrada","Crédito","Débito"))</f>
        <v/>
      </c>
      <c r="E1193" s="26" t="str">
        <f>IF(A1193="","",BASE_CAIXA!AA1190)</f>
        <v/>
      </c>
      <c r="F1193" s="26" t="str">
        <f>IF(A1193="","",BASE_CAIXA!N1190)</f>
        <v/>
      </c>
      <c r="G1193" s="26" t="str">
        <f>IF(A1193="","",BASE_CAIXA!O1190)</f>
        <v/>
      </c>
      <c r="H1193" s="26" t="str">
        <f>IF(A1193="","",BASE_CAIXA!P1190)</f>
        <v/>
      </c>
      <c r="I1193" s="26" t="str">
        <f>IF(A1193="","",IF(BASE_CAIXA!H1190&lt;&gt;"",BASE_CAIXA!H1190,BASE_CAIXA!G1190))</f>
        <v/>
      </c>
      <c r="J1193" s="26" t="str">
        <f>IF(A1193="","",BASE_CAIXA!G1190)</f>
        <v/>
      </c>
      <c r="K1193" s="26" t="str">
        <f>IF(A1193="","",BASE_CAIXA!I1190)</f>
        <v/>
      </c>
      <c r="L1193" s="26" t="str">
        <f>IF(A1193="","",BASE_CAIXA!J1190)</f>
        <v/>
      </c>
      <c r="M1193" s="26" t="str">
        <f>IF(A1193="","",BASE_CAIXA!AM1190)</f>
        <v/>
      </c>
      <c r="N1193" s="26" t="str">
        <f t="shared" ca="1" si="54"/>
        <v/>
      </c>
      <c r="O1193" s="26" t="str">
        <f>IFERROR(INDEX(EXTRATO_IMPORTADO!$A$5:$A$404,MATCH(B1193,EXTRATO_IMPORTADO!$I$5:$I$404,0)),"")</f>
        <v/>
      </c>
      <c r="P1193" s="26" t="str">
        <f>IFERROR(INDEX(EXTRATO_IMPORTADO!$F$5:$F$404,MATCH(B1193,EXTRATO_IMPORTADO!$I$5:$I$404,0)),"")</f>
        <v/>
      </c>
      <c r="Q1193" s="26" t="str">
        <f>IFERROR(INDEX(EXTRATO_IMPORTADO!$B$5:$B$404,MATCH(B1193,EXTRATO_IMPORTADO!$I$5:$I$404,0)),"")</f>
        <v/>
      </c>
      <c r="R1193" s="26" t="str">
        <f>IFERROR(MATCH(B1193,EXTRATO_IMPORTADO!$I$5:$I$404,0),"")</f>
        <v/>
      </c>
      <c r="S1193" s="26" t="str">
        <f t="shared" si="55"/>
        <v/>
      </c>
      <c r="T1193" s="26" t="str">
        <f t="shared" si="56"/>
        <v/>
      </c>
    </row>
    <row r="1194" spans="1:20" x14ac:dyDescent="0.3">
      <c r="A1194" s="26" t="str">
        <f>IF(BASE_CAIXA!A1191="","",BASE_CAIXA!A1191)</f>
        <v/>
      </c>
      <c r="B1194" s="26" t="str">
        <f>IF(A1194="","",BASE_CAIXA!AL1191)</f>
        <v/>
      </c>
      <c r="C1194" s="26" t="str">
        <f>IF(A1194="","",BASE_CAIXA!AJ1191)</f>
        <v/>
      </c>
      <c r="D1194" s="26" t="str">
        <f>IF(A1194="","",IF(BASE_CAIXA!C1191="Entrada","Crédito","Débito"))</f>
        <v/>
      </c>
      <c r="E1194" s="26" t="str">
        <f>IF(A1194="","",BASE_CAIXA!AA1191)</f>
        <v/>
      </c>
      <c r="F1194" s="26" t="str">
        <f>IF(A1194="","",BASE_CAIXA!N1191)</f>
        <v/>
      </c>
      <c r="G1194" s="26" t="str">
        <f>IF(A1194="","",BASE_CAIXA!O1191)</f>
        <v/>
      </c>
      <c r="H1194" s="26" t="str">
        <f>IF(A1194="","",BASE_CAIXA!P1191)</f>
        <v/>
      </c>
      <c r="I1194" s="26" t="str">
        <f>IF(A1194="","",IF(BASE_CAIXA!H1191&lt;&gt;"",BASE_CAIXA!H1191,BASE_CAIXA!G1191))</f>
        <v/>
      </c>
      <c r="J1194" s="26" t="str">
        <f>IF(A1194="","",BASE_CAIXA!G1191)</f>
        <v/>
      </c>
      <c r="K1194" s="26" t="str">
        <f>IF(A1194="","",BASE_CAIXA!I1191)</f>
        <v/>
      </c>
      <c r="L1194" s="26" t="str">
        <f>IF(A1194="","",BASE_CAIXA!J1191)</f>
        <v/>
      </c>
      <c r="M1194" s="26" t="str">
        <f>IF(A1194="","",BASE_CAIXA!AM1191)</f>
        <v/>
      </c>
      <c r="N1194" s="26" t="str">
        <f t="shared" ca="1" si="54"/>
        <v/>
      </c>
      <c r="O1194" s="26" t="str">
        <f>IFERROR(INDEX(EXTRATO_IMPORTADO!$A$5:$A$404,MATCH(B1194,EXTRATO_IMPORTADO!$I$5:$I$404,0)),"")</f>
        <v/>
      </c>
      <c r="P1194" s="26" t="str">
        <f>IFERROR(INDEX(EXTRATO_IMPORTADO!$F$5:$F$404,MATCH(B1194,EXTRATO_IMPORTADO!$I$5:$I$404,0)),"")</f>
        <v/>
      </c>
      <c r="Q1194" s="26" t="str">
        <f>IFERROR(INDEX(EXTRATO_IMPORTADO!$B$5:$B$404,MATCH(B1194,EXTRATO_IMPORTADO!$I$5:$I$404,0)),"")</f>
        <v/>
      </c>
      <c r="R1194" s="26" t="str">
        <f>IFERROR(MATCH(B1194,EXTRATO_IMPORTADO!$I$5:$I$404,0),"")</f>
        <v/>
      </c>
      <c r="S1194" s="26" t="str">
        <f t="shared" si="55"/>
        <v/>
      </c>
      <c r="T1194" s="26" t="str">
        <f t="shared" si="56"/>
        <v/>
      </c>
    </row>
    <row r="1195" spans="1:20" x14ac:dyDescent="0.3">
      <c r="A1195" s="26" t="str">
        <f>IF(BASE_CAIXA!A1192="","",BASE_CAIXA!A1192)</f>
        <v/>
      </c>
      <c r="B1195" s="26" t="str">
        <f>IF(A1195="","",BASE_CAIXA!AL1192)</f>
        <v/>
      </c>
      <c r="C1195" s="26" t="str">
        <f>IF(A1195="","",BASE_CAIXA!AJ1192)</f>
        <v/>
      </c>
      <c r="D1195" s="26" t="str">
        <f>IF(A1195="","",IF(BASE_CAIXA!C1192="Entrada","Crédito","Débito"))</f>
        <v/>
      </c>
      <c r="E1195" s="26" t="str">
        <f>IF(A1195="","",BASE_CAIXA!AA1192)</f>
        <v/>
      </c>
      <c r="F1195" s="26" t="str">
        <f>IF(A1195="","",BASE_CAIXA!N1192)</f>
        <v/>
      </c>
      <c r="G1195" s="26" t="str">
        <f>IF(A1195="","",BASE_CAIXA!O1192)</f>
        <v/>
      </c>
      <c r="H1195" s="26" t="str">
        <f>IF(A1195="","",BASE_CAIXA!P1192)</f>
        <v/>
      </c>
      <c r="I1195" s="26" t="str">
        <f>IF(A1195="","",IF(BASE_CAIXA!H1192&lt;&gt;"",BASE_CAIXA!H1192,BASE_CAIXA!G1192))</f>
        <v/>
      </c>
      <c r="J1195" s="26" t="str">
        <f>IF(A1195="","",BASE_CAIXA!G1192)</f>
        <v/>
      </c>
      <c r="K1195" s="26" t="str">
        <f>IF(A1195="","",BASE_CAIXA!I1192)</f>
        <v/>
      </c>
      <c r="L1195" s="26" t="str">
        <f>IF(A1195="","",BASE_CAIXA!J1192)</f>
        <v/>
      </c>
      <c r="M1195" s="26" t="str">
        <f>IF(A1195="","",BASE_CAIXA!AM1192)</f>
        <v/>
      </c>
      <c r="N1195" s="26" t="str">
        <f t="shared" ca="1" si="54"/>
        <v/>
      </c>
      <c r="O1195" s="26" t="str">
        <f>IFERROR(INDEX(EXTRATO_IMPORTADO!$A$5:$A$404,MATCH(B1195,EXTRATO_IMPORTADO!$I$5:$I$404,0)),"")</f>
        <v/>
      </c>
      <c r="P1195" s="26" t="str">
        <f>IFERROR(INDEX(EXTRATO_IMPORTADO!$F$5:$F$404,MATCH(B1195,EXTRATO_IMPORTADO!$I$5:$I$404,0)),"")</f>
        <v/>
      </c>
      <c r="Q1195" s="26" t="str">
        <f>IFERROR(INDEX(EXTRATO_IMPORTADO!$B$5:$B$404,MATCH(B1195,EXTRATO_IMPORTADO!$I$5:$I$404,0)),"")</f>
        <v/>
      </c>
      <c r="R1195" s="26" t="str">
        <f>IFERROR(MATCH(B1195,EXTRATO_IMPORTADO!$I$5:$I$404,0),"")</f>
        <v/>
      </c>
      <c r="S1195" s="26" t="str">
        <f t="shared" si="55"/>
        <v/>
      </c>
      <c r="T1195" s="26" t="str">
        <f t="shared" si="56"/>
        <v/>
      </c>
    </row>
    <row r="1196" spans="1:20" x14ac:dyDescent="0.3">
      <c r="A1196" s="26" t="str">
        <f>IF(BASE_CAIXA!A1193="","",BASE_CAIXA!A1193)</f>
        <v/>
      </c>
      <c r="B1196" s="26" t="str">
        <f>IF(A1196="","",BASE_CAIXA!AL1193)</f>
        <v/>
      </c>
      <c r="C1196" s="26" t="str">
        <f>IF(A1196="","",BASE_CAIXA!AJ1193)</f>
        <v/>
      </c>
      <c r="D1196" s="26" t="str">
        <f>IF(A1196="","",IF(BASE_CAIXA!C1193="Entrada","Crédito","Débito"))</f>
        <v/>
      </c>
      <c r="E1196" s="26" t="str">
        <f>IF(A1196="","",BASE_CAIXA!AA1193)</f>
        <v/>
      </c>
      <c r="F1196" s="26" t="str">
        <f>IF(A1196="","",BASE_CAIXA!N1193)</f>
        <v/>
      </c>
      <c r="G1196" s="26" t="str">
        <f>IF(A1196="","",BASE_CAIXA!O1193)</f>
        <v/>
      </c>
      <c r="H1196" s="26" t="str">
        <f>IF(A1196="","",BASE_CAIXA!P1193)</f>
        <v/>
      </c>
      <c r="I1196" s="26" t="str">
        <f>IF(A1196="","",IF(BASE_CAIXA!H1193&lt;&gt;"",BASE_CAIXA!H1193,BASE_CAIXA!G1193))</f>
        <v/>
      </c>
      <c r="J1196" s="26" t="str">
        <f>IF(A1196="","",BASE_CAIXA!G1193)</f>
        <v/>
      </c>
      <c r="K1196" s="26" t="str">
        <f>IF(A1196="","",BASE_CAIXA!I1193)</f>
        <v/>
      </c>
      <c r="L1196" s="26" t="str">
        <f>IF(A1196="","",BASE_CAIXA!J1193)</f>
        <v/>
      </c>
      <c r="M1196" s="26" t="str">
        <f>IF(A1196="","",BASE_CAIXA!AM1193)</f>
        <v/>
      </c>
      <c r="N1196" s="26" t="str">
        <f t="shared" ca="1" si="54"/>
        <v/>
      </c>
      <c r="O1196" s="26" t="str">
        <f>IFERROR(INDEX(EXTRATO_IMPORTADO!$A$5:$A$404,MATCH(B1196,EXTRATO_IMPORTADO!$I$5:$I$404,0)),"")</f>
        <v/>
      </c>
      <c r="P1196" s="26" t="str">
        <f>IFERROR(INDEX(EXTRATO_IMPORTADO!$F$5:$F$404,MATCH(B1196,EXTRATO_IMPORTADO!$I$5:$I$404,0)),"")</f>
        <v/>
      </c>
      <c r="Q1196" s="26" t="str">
        <f>IFERROR(INDEX(EXTRATO_IMPORTADO!$B$5:$B$404,MATCH(B1196,EXTRATO_IMPORTADO!$I$5:$I$404,0)),"")</f>
        <v/>
      </c>
      <c r="R1196" s="26" t="str">
        <f>IFERROR(MATCH(B1196,EXTRATO_IMPORTADO!$I$5:$I$404,0),"")</f>
        <v/>
      </c>
      <c r="S1196" s="26" t="str">
        <f t="shared" si="55"/>
        <v/>
      </c>
      <c r="T1196" s="26" t="str">
        <f t="shared" si="56"/>
        <v/>
      </c>
    </row>
    <row r="1197" spans="1:20" x14ac:dyDescent="0.3">
      <c r="A1197" s="26" t="str">
        <f>IF(BASE_CAIXA!A1194="","",BASE_CAIXA!A1194)</f>
        <v/>
      </c>
      <c r="B1197" s="26" t="str">
        <f>IF(A1197="","",BASE_CAIXA!AL1194)</f>
        <v/>
      </c>
      <c r="C1197" s="26" t="str">
        <f>IF(A1197="","",BASE_CAIXA!AJ1194)</f>
        <v/>
      </c>
      <c r="D1197" s="26" t="str">
        <f>IF(A1197="","",IF(BASE_CAIXA!C1194="Entrada","Crédito","Débito"))</f>
        <v/>
      </c>
      <c r="E1197" s="26" t="str">
        <f>IF(A1197="","",BASE_CAIXA!AA1194)</f>
        <v/>
      </c>
      <c r="F1197" s="26" t="str">
        <f>IF(A1197="","",BASE_CAIXA!N1194)</f>
        <v/>
      </c>
      <c r="G1197" s="26" t="str">
        <f>IF(A1197="","",BASE_CAIXA!O1194)</f>
        <v/>
      </c>
      <c r="H1197" s="26" t="str">
        <f>IF(A1197="","",BASE_CAIXA!P1194)</f>
        <v/>
      </c>
      <c r="I1197" s="26" t="str">
        <f>IF(A1197="","",IF(BASE_CAIXA!H1194&lt;&gt;"",BASE_CAIXA!H1194,BASE_CAIXA!G1194))</f>
        <v/>
      </c>
      <c r="J1197" s="26" t="str">
        <f>IF(A1197="","",BASE_CAIXA!G1194)</f>
        <v/>
      </c>
      <c r="K1197" s="26" t="str">
        <f>IF(A1197="","",BASE_CAIXA!I1194)</f>
        <v/>
      </c>
      <c r="L1197" s="26" t="str">
        <f>IF(A1197="","",BASE_CAIXA!J1194)</f>
        <v/>
      </c>
      <c r="M1197" s="26" t="str">
        <f>IF(A1197="","",BASE_CAIXA!AM1194)</f>
        <v/>
      </c>
      <c r="N1197" s="26" t="str">
        <f t="shared" ca="1" si="54"/>
        <v/>
      </c>
      <c r="O1197" s="26" t="str">
        <f>IFERROR(INDEX(EXTRATO_IMPORTADO!$A$5:$A$404,MATCH(B1197,EXTRATO_IMPORTADO!$I$5:$I$404,0)),"")</f>
        <v/>
      </c>
      <c r="P1197" s="26" t="str">
        <f>IFERROR(INDEX(EXTRATO_IMPORTADO!$F$5:$F$404,MATCH(B1197,EXTRATO_IMPORTADO!$I$5:$I$404,0)),"")</f>
        <v/>
      </c>
      <c r="Q1197" s="26" t="str">
        <f>IFERROR(INDEX(EXTRATO_IMPORTADO!$B$5:$B$404,MATCH(B1197,EXTRATO_IMPORTADO!$I$5:$I$404,0)),"")</f>
        <v/>
      </c>
      <c r="R1197" s="26" t="str">
        <f>IFERROR(MATCH(B1197,EXTRATO_IMPORTADO!$I$5:$I$404,0),"")</f>
        <v/>
      </c>
      <c r="S1197" s="26" t="str">
        <f t="shared" si="55"/>
        <v/>
      </c>
      <c r="T1197" s="26" t="str">
        <f t="shared" si="56"/>
        <v/>
      </c>
    </row>
    <row r="1198" spans="1:20" x14ac:dyDescent="0.3">
      <c r="A1198" s="26" t="str">
        <f>IF(BASE_CAIXA!A1195="","",BASE_CAIXA!A1195)</f>
        <v/>
      </c>
      <c r="B1198" s="26" t="str">
        <f>IF(A1198="","",BASE_CAIXA!AL1195)</f>
        <v/>
      </c>
      <c r="C1198" s="26" t="str">
        <f>IF(A1198="","",BASE_CAIXA!AJ1195)</f>
        <v/>
      </c>
      <c r="D1198" s="26" t="str">
        <f>IF(A1198="","",IF(BASE_CAIXA!C1195="Entrada","Crédito","Débito"))</f>
        <v/>
      </c>
      <c r="E1198" s="26" t="str">
        <f>IF(A1198="","",BASE_CAIXA!AA1195)</f>
        <v/>
      </c>
      <c r="F1198" s="26" t="str">
        <f>IF(A1198="","",BASE_CAIXA!N1195)</f>
        <v/>
      </c>
      <c r="G1198" s="26" t="str">
        <f>IF(A1198="","",BASE_CAIXA!O1195)</f>
        <v/>
      </c>
      <c r="H1198" s="26" t="str">
        <f>IF(A1198="","",BASE_CAIXA!P1195)</f>
        <v/>
      </c>
      <c r="I1198" s="26" t="str">
        <f>IF(A1198="","",IF(BASE_CAIXA!H1195&lt;&gt;"",BASE_CAIXA!H1195,BASE_CAIXA!G1195))</f>
        <v/>
      </c>
      <c r="J1198" s="26" t="str">
        <f>IF(A1198="","",BASE_CAIXA!G1195)</f>
        <v/>
      </c>
      <c r="K1198" s="26" t="str">
        <f>IF(A1198="","",BASE_CAIXA!I1195)</f>
        <v/>
      </c>
      <c r="L1198" s="26" t="str">
        <f>IF(A1198="","",BASE_CAIXA!J1195)</f>
        <v/>
      </c>
      <c r="M1198" s="26" t="str">
        <f>IF(A1198="","",BASE_CAIXA!AM1195)</f>
        <v/>
      </c>
      <c r="N1198" s="26" t="str">
        <f t="shared" ca="1" si="54"/>
        <v/>
      </c>
      <c r="O1198" s="26" t="str">
        <f>IFERROR(INDEX(EXTRATO_IMPORTADO!$A$5:$A$404,MATCH(B1198,EXTRATO_IMPORTADO!$I$5:$I$404,0)),"")</f>
        <v/>
      </c>
      <c r="P1198" s="26" t="str">
        <f>IFERROR(INDEX(EXTRATO_IMPORTADO!$F$5:$F$404,MATCH(B1198,EXTRATO_IMPORTADO!$I$5:$I$404,0)),"")</f>
        <v/>
      </c>
      <c r="Q1198" s="26" t="str">
        <f>IFERROR(INDEX(EXTRATO_IMPORTADO!$B$5:$B$404,MATCH(B1198,EXTRATO_IMPORTADO!$I$5:$I$404,0)),"")</f>
        <v/>
      </c>
      <c r="R1198" s="26" t="str">
        <f>IFERROR(MATCH(B1198,EXTRATO_IMPORTADO!$I$5:$I$404,0),"")</f>
        <v/>
      </c>
      <c r="S1198" s="26" t="str">
        <f t="shared" si="55"/>
        <v/>
      </c>
      <c r="T1198" s="26" t="str">
        <f t="shared" si="56"/>
        <v/>
      </c>
    </row>
    <row r="1199" spans="1:20" x14ac:dyDescent="0.3">
      <c r="A1199" s="26" t="str">
        <f>IF(BASE_CAIXA!A1196="","",BASE_CAIXA!A1196)</f>
        <v/>
      </c>
      <c r="B1199" s="26" t="str">
        <f>IF(A1199="","",BASE_CAIXA!AL1196)</f>
        <v/>
      </c>
      <c r="C1199" s="26" t="str">
        <f>IF(A1199="","",BASE_CAIXA!AJ1196)</f>
        <v/>
      </c>
      <c r="D1199" s="26" t="str">
        <f>IF(A1199="","",IF(BASE_CAIXA!C1196="Entrada","Crédito","Débito"))</f>
        <v/>
      </c>
      <c r="E1199" s="26" t="str">
        <f>IF(A1199="","",BASE_CAIXA!AA1196)</f>
        <v/>
      </c>
      <c r="F1199" s="26" t="str">
        <f>IF(A1199="","",BASE_CAIXA!N1196)</f>
        <v/>
      </c>
      <c r="G1199" s="26" t="str">
        <f>IF(A1199="","",BASE_CAIXA!O1196)</f>
        <v/>
      </c>
      <c r="H1199" s="26" t="str">
        <f>IF(A1199="","",BASE_CAIXA!P1196)</f>
        <v/>
      </c>
      <c r="I1199" s="26" t="str">
        <f>IF(A1199="","",IF(BASE_CAIXA!H1196&lt;&gt;"",BASE_CAIXA!H1196,BASE_CAIXA!G1196))</f>
        <v/>
      </c>
      <c r="J1199" s="26" t="str">
        <f>IF(A1199="","",BASE_CAIXA!G1196)</f>
        <v/>
      </c>
      <c r="K1199" s="26" t="str">
        <f>IF(A1199="","",BASE_CAIXA!I1196)</f>
        <v/>
      </c>
      <c r="L1199" s="26" t="str">
        <f>IF(A1199="","",BASE_CAIXA!J1196)</f>
        <v/>
      </c>
      <c r="M1199" s="26" t="str">
        <f>IF(A1199="","",BASE_CAIXA!AM1196)</f>
        <v/>
      </c>
      <c r="N1199" s="26" t="str">
        <f t="shared" ca="1" si="54"/>
        <v/>
      </c>
      <c r="O1199" s="26" t="str">
        <f>IFERROR(INDEX(EXTRATO_IMPORTADO!$A$5:$A$404,MATCH(B1199,EXTRATO_IMPORTADO!$I$5:$I$404,0)),"")</f>
        <v/>
      </c>
      <c r="P1199" s="26" t="str">
        <f>IFERROR(INDEX(EXTRATO_IMPORTADO!$F$5:$F$404,MATCH(B1199,EXTRATO_IMPORTADO!$I$5:$I$404,0)),"")</f>
        <v/>
      </c>
      <c r="Q1199" s="26" t="str">
        <f>IFERROR(INDEX(EXTRATO_IMPORTADO!$B$5:$B$404,MATCH(B1199,EXTRATO_IMPORTADO!$I$5:$I$404,0)),"")</f>
        <v/>
      </c>
      <c r="R1199" s="26" t="str">
        <f>IFERROR(MATCH(B1199,EXTRATO_IMPORTADO!$I$5:$I$404,0),"")</f>
        <v/>
      </c>
      <c r="S1199" s="26" t="str">
        <f t="shared" si="55"/>
        <v/>
      </c>
      <c r="T1199" s="26" t="str">
        <f t="shared" si="56"/>
        <v/>
      </c>
    </row>
    <row r="1200" spans="1:20" x14ac:dyDescent="0.3">
      <c r="A1200" s="26" t="str">
        <f>IF(BASE_CAIXA!A1197="","",BASE_CAIXA!A1197)</f>
        <v/>
      </c>
      <c r="B1200" s="26" t="str">
        <f>IF(A1200="","",BASE_CAIXA!AL1197)</f>
        <v/>
      </c>
      <c r="C1200" s="26" t="str">
        <f>IF(A1200="","",BASE_CAIXA!AJ1197)</f>
        <v/>
      </c>
      <c r="D1200" s="26" t="str">
        <f>IF(A1200="","",IF(BASE_CAIXA!C1197="Entrada","Crédito","Débito"))</f>
        <v/>
      </c>
      <c r="E1200" s="26" t="str">
        <f>IF(A1200="","",BASE_CAIXA!AA1197)</f>
        <v/>
      </c>
      <c r="F1200" s="26" t="str">
        <f>IF(A1200="","",BASE_CAIXA!N1197)</f>
        <v/>
      </c>
      <c r="G1200" s="26" t="str">
        <f>IF(A1200="","",BASE_CAIXA!O1197)</f>
        <v/>
      </c>
      <c r="H1200" s="26" t="str">
        <f>IF(A1200="","",BASE_CAIXA!P1197)</f>
        <v/>
      </c>
      <c r="I1200" s="26" t="str">
        <f>IF(A1200="","",IF(BASE_CAIXA!H1197&lt;&gt;"",BASE_CAIXA!H1197,BASE_CAIXA!G1197))</f>
        <v/>
      </c>
      <c r="J1200" s="26" t="str">
        <f>IF(A1200="","",BASE_CAIXA!G1197)</f>
        <v/>
      </c>
      <c r="K1200" s="26" t="str">
        <f>IF(A1200="","",BASE_CAIXA!I1197)</f>
        <v/>
      </c>
      <c r="L1200" s="26" t="str">
        <f>IF(A1200="","",BASE_CAIXA!J1197)</f>
        <v/>
      </c>
      <c r="M1200" s="26" t="str">
        <f>IF(A1200="","",BASE_CAIXA!AM1197)</f>
        <v/>
      </c>
      <c r="N1200" s="26" t="str">
        <f t="shared" ca="1" si="54"/>
        <v/>
      </c>
      <c r="O1200" s="26" t="str">
        <f>IFERROR(INDEX(EXTRATO_IMPORTADO!$A$5:$A$404,MATCH(B1200,EXTRATO_IMPORTADO!$I$5:$I$404,0)),"")</f>
        <v/>
      </c>
      <c r="P1200" s="26" t="str">
        <f>IFERROR(INDEX(EXTRATO_IMPORTADO!$F$5:$F$404,MATCH(B1200,EXTRATO_IMPORTADO!$I$5:$I$404,0)),"")</f>
        <v/>
      </c>
      <c r="Q1200" s="26" t="str">
        <f>IFERROR(INDEX(EXTRATO_IMPORTADO!$B$5:$B$404,MATCH(B1200,EXTRATO_IMPORTADO!$I$5:$I$404,0)),"")</f>
        <v/>
      </c>
      <c r="R1200" s="26" t="str">
        <f>IFERROR(MATCH(B1200,EXTRATO_IMPORTADO!$I$5:$I$404,0),"")</f>
        <v/>
      </c>
      <c r="S1200" s="26" t="str">
        <f t="shared" si="55"/>
        <v/>
      </c>
      <c r="T1200" s="26" t="str">
        <f t="shared" si="56"/>
        <v/>
      </c>
    </row>
    <row r="1201" spans="1:20" x14ac:dyDescent="0.3">
      <c r="A1201" s="26" t="str">
        <f>IF(BASE_CAIXA!A1198="","",BASE_CAIXA!A1198)</f>
        <v/>
      </c>
      <c r="B1201" s="26" t="str">
        <f>IF(A1201="","",BASE_CAIXA!AL1198)</f>
        <v/>
      </c>
      <c r="C1201" s="26" t="str">
        <f>IF(A1201="","",BASE_CAIXA!AJ1198)</f>
        <v/>
      </c>
      <c r="D1201" s="26" t="str">
        <f>IF(A1201="","",IF(BASE_CAIXA!C1198="Entrada","Crédito","Débito"))</f>
        <v/>
      </c>
      <c r="E1201" s="26" t="str">
        <f>IF(A1201="","",BASE_CAIXA!AA1198)</f>
        <v/>
      </c>
      <c r="F1201" s="26" t="str">
        <f>IF(A1201="","",BASE_CAIXA!N1198)</f>
        <v/>
      </c>
      <c r="G1201" s="26" t="str">
        <f>IF(A1201="","",BASE_CAIXA!O1198)</f>
        <v/>
      </c>
      <c r="H1201" s="26" t="str">
        <f>IF(A1201="","",BASE_CAIXA!P1198)</f>
        <v/>
      </c>
      <c r="I1201" s="26" t="str">
        <f>IF(A1201="","",IF(BASE_CAIXA!H1198&lt;&gt;"",BASE_CAIXA!H1198,BASE_CAIXA!G1198))</f>
        <v/>
      </c>
      <c r="J1201" s="26" t="str">
        <f>IF(A1201="","",BASE_CAIXA!G1198)</f>
        <v/>
      </c>
      <c r="K1201" s="26" t="str">
        <f>IF(A1201="","",BASE_CAIXA!I1198)</f>
        <v/>
      </c>
      <c r="L1201" s="26" t="str">
        <f>IF(A1201="","",BASE_CAIXA!J1198)</f>
        <v/>
      </c>
      <c r="M1201" s="26" t="str">
        <f>IF(A1201="","",BASE_CAIXA!AM1198)</f>
        <v/>
      </c>
      <c r="N1201" s="26" t="str">
        <f t="shared" ca="1" si="54"/>
        <v/>
      </c>
      <c r="O1201" s="26" t="str">
        <f>IFERROR(INDEX(EXTRATO_IMPORTADO!$A$5:$A$404,MATCH(B1201,EXTRATO_IMPORTADO!$I$5:$I$404,0)),"")</f>
        <v/>
      </c>
      <c r="P1201" s="26" t="str">
        <f>IFERROR(INDEX(EXTRATO_IMPORTADO!$F$5:$F$404,MATCH(B1201,EXTRATO_IMPORTADO!$I$5:$I$404,0)),"")</f>
        <v/>
      </c>
      <c r="Q1201" s="26" t="str">
        <f>IFERROR(INDEX(EXTRATO_IMPORTADO!$B$5:$B$404,MATCH(B1201,EXTRATO_IMPORTADO!$I$5:$I$404,0)),"")</f>
        <v/>
      </c>
      <c r="R1201" s="26" t="str">
        <f>IFERROR(MATCH(B1201,EXTRATO_IMPORTADO!$I$5:$I$404,0),"")</f>
        <v/>
      </c>
      <c r="S1201" s="26" t="str">
        <f t="shared" si="55"/>
        <v/>
      </c>
      <c r="T1201" s="26" t="str">
        <f t="shared" si="56"/>
        <v/>
      </c>
    </row>
    <row r="1202" spans="1:20" x14ac:dyDescent="0.3">
      <c r="A1202" s="26" t="str">
        <f>IF(BASE_CAIXA!A1199="","",BASE_CAIXA!A1199)</f>
        <v/>
      </c>
      <c r="B1202" s="26" t="str">
        <f>IF(A1202="","",BASE_CAIXA!AL1199)</f>
        <v/>
      </c>
      <c r="C1202" s="26" t="str">
        <f>IF(A1202="","",BASE_CAIXA!AJ1199)</f>
        <v/>
      </c>
      <c r="D1202" s="26" t="str">
        <f>IF(A1202="","",IF(BASE_CAIXA!C1199="Entrada","Crédito","Débito"))</f>
        <v/>
      </c>
      <c r="E1202" s="26" t="str">
        <f>IF(A1202="","",BASE_CAIXA!AA1199)</f>
        <v/>
      </c>
      <c r="F1202" s="26" t="str">
        <f>IF(A1202="","",BASE_CAIXA!N1199)</f>
        <v/>
      </c>
      <c r="G1202" s="26" t="str">
        <f>IF(A1202="","",BASE_CAIXA!O1199)</f>
        <v/>
      </c>
      <c r="H1202" s="26" t="str">
        <f>IF(A1202="","",BASE_CAIXA!P1199)</f>
        <v/>
      </c>
      <c r="I1202" s="26" t="str">
        <f>IF(A1202="","",IF(BASE_CAIXA!H1199&lt;&gt;"",BASE_CAIXA!H1199,BASE_CAIXA!G1199))</f>
        <v/>
      </c>
      <c r="J1202" s="26" t="str">
        <f>IF(A1202="","",BASE_CAIXA!G1199)</f>
        <v/>
      </c>
      <c r="K1202" s="26" t="str">
        <f>IF(A1202="","",BASE_CAIXA!I1199)</f>
        <v/>
      </c>
      <c r="L1202" s="26" t="str">
        <f>IF(A1202="","",BASE_CAIXA!J1199)</f>
        <v/>
      </c>
      <c r="M1202" s="26" t="str">
        <f>IF(A1202="","",BASE_CAIXA!AM1199)</f>
        <v/>
      </c>
      <c r="N1202" s="26" t="str">
        <f t="shared" ca="1" si="54"/>
        <v/>
      </c>
      <c r="O1202" s="26" t="str">
        <f>IFERROR(INDEX(EXTRATO_IMPORTADO!$A$5:$A$404,MATCH(B1202,EXTRATO_IMPORTADO!$I$5:$I$404,0)),"")</f>
        <v/>
      </c>
      <c r="P1202" s="26" t="str">
        <f>IFERROR(INDEX(EXTRATO_IMPORTADO!$F$5:$F$404,MATCH(B1202,EXTRATO_IMPORTADO!$I$5:$I$404,0)),"")</f>
        <v/>
      </c>
      <c r="Q1202" s="26" t="str">
        <f>IFERROR(INDEX(EXTRATO_IMPORTADO!$B$5:$B$404,MATCH(B1202,EXTRATO_IMPORTADO!$I$5:$I$404,0)),"")</f>
        <v/>
      </c>
      <c r="R1202" s="26" t="str">
        <f>IFERROR(MATCH(B1202,EXTRATO_IMPORTADO!$I$5:$I$404,0),"")</f>
        <v/>
      </c>
      <c r="S1202" s="26" t="str">
        <f t="shared" si="55"/>
        <v/>
      </c>
      <c r="T1202" s="26" t="str">
        <f t="shared" si="56"/>
        <v/>
      </c>
    </row>
    <row r="1203" spans="1:20" x14ac:dyDescent="0.3">
      <c r="A1203" s="26" t="str">
        <f>IF(BASE_CAIXA!A1200="","",BASE_CAIXA!A1200)</f>
        <v/>
      </c>
      <c r="B1203" s="26" t="str">
        <f>IF(A1203="","",BASE_CAIXA!AL1200)</f>
        <v/>
      </c>
      <c r="C1203" s="26" t="str">
        <f>IF(A1203="","",BASE_CAIXA!AJ1200)</f>
        <v/>
      </c>
      <c r="D1203" s="26" t="str">
        <f>IF(A1203="","",IF(BASE_CAIXA!C1200="Entrada","Crédito","Débito"))</f>
        <v/>
      </c>
      <c r="E1203" s="26" t="str">
        <f>IF(A1203="","",BASE_CAIXA!AA1200)</f>
        <v/>
      </c>
      <c r="F1203" s="26" t="str">
        <f>IF(A1203="","",BASE_CAIXA!N1200)</f>
        <v/>
      </c>
      <c r="G1203" s="26" t="str">
        <f>IF(A1203="","",BASE_CAIXA!O1200)</f>
        <v/>
      </c>
      <c r="H1203" s="26" t="str">
        <f>IF(A1203="","",BASE_CAIXA!P1200)</f>
        <v/>
      </c>
      <c r="I1203" s="26" t="str">
        <f>IF(A1203="","",IF(BASE_CAIXA!H1200&lt;&gt;"",BASE_CAIXA!H1200,BASE_CAIXA!G1200))</f>
        <v/>
      </c>
      <c r="J1203" s="26" t="str">
        <f>IF(A1203="","",BASE_CAIXA!G1200)</f>
        <v/>
      </c>
      <c r="K1203" s="26" t="str">
        <f>IF(A1203="","",BASE_CAIXA!I1200)</f>
        <v/>
      </c>
      <c r="L1203" s="26" t="str">
        <f>IF(A1203="","",BASE_CAIXA!J1200)</f>
        <v/>
      </c>
      <c r="M1203" s="26" t="str">
        <f>IF(A1203="","",BASE_CAIXA!AM1200)</f>
        <v/>
      </c>
      <c r="N1203" s="26" t="str">
        <f t="shared" ca="1" si="54"/>
        <v/>
      </c>
      <c r="O1203" s="26" t="str">
        <f>IFERROR(INDEX(EXTRATO_IMPORTADO!$A$5:$A$404,MATCH(B1203,EXTRATO_IMPORTADO!$I$5:$I$404,0)),"")</f>
        <v/>
      </c>
      <c r="P1203" s="26" t="str">
        <f>IFERROR(INDEX(EXTRATO_IMPORTADO!$F$5:$F$404,MATCH(B1203,EXTRATO_IMPORTADO!$I$5:$I$404,0)),"")</f>
        <v/>
      </c>
      <c r="Q1203" s="26" t="str">
        <f>IFERROR(INDEX(EXTRATO_IMPORTADO!$B$5:$B$404,MATCH(B1203,EXTRATO_IMPORTADO!$I$5:$I$404,0)),"")</f>
        <v/>
      </c>
      <c r="R1203" s="26" t="str">
        <f>IFERROR(MATCH(B1203,EXTRATO_IMPORTADO!$I$5:$I$404,0),"")</f>
        <v/>
      </c>
      <c r="S1203" s="26" t="str">
        <f t="shared" si="55"/>
        <v/>
      </c>
      <c r="T1203" s="26" t="str">
        <f t="shared" si="56"/>
        <v/>
      </c>
    </row>
    <row r="1204" spans="1:20" x14ac:dyDescent="0.3">
      <c r="A1204" s="26" t="str">
        <f>IF(BASE_CAIXA!A1201="","",BASE_CAIXA!A1201)</f>
        <v/>
      </c>
      <c r="B1204" s="26" t="str">
        <f>IF(A1204="","",BASE_CAIXA!AL1201)</f>
        <v/>
      </c>
      <c r="C1204" s="26" t="str">
        <f>IF(A1204="","",BASE_CAIXA!AJ1201)</f>
        <v/>
      </c>
      <c r="D1204" s="26" t="str">
        <f>IF(A1204="","",IF(BASE_CAIXA!C1201="Entrada","Crédito","Débito"))</f>
        <v/>
      </c>
      <c r="E1204" s="26" t="str">
        <f>IF(A1204="","",BASE_CAIXA!AA1201)</f>
        <v/>
      </c>
      <c r="F1204" s="26" t="str">
        <f>IF(A1204="","",BASE_CAIXA!N1201)</f>
        <v/>
      </c>
      <c r="G1204" s="26" t="str">
        <f>IF(A1204="","",BASE_CAIXA!O1201)</f>
        <v/>
      </c>
      <c r="H1204" s="26" t="str">
        <f>IF(A1204="","",BASE_CAIXA!P1201)</f>
        <v/>
      </c>
      <c r="I1204" s="26" t="str">
        <f>IF(A1204="","",IF(BASE_CAIXA!H1201&lt;&gt;"",BASE_CAIXA!H1201,BASE_CAIXA!G1201))</f>
        <v/>
      </c>
      <c r="J1204" s="26" t="str">
        <f>IF(A1204="","",BASE_CAIXA!G1201)</f>
        <v/>
      </c>
      <c r="K1204" s="26" t="str">
        <f>IF(A1204="","",BASE_CAIXA!I1201)</f>
        <v/>
      </c>
      <c r="L1204" s="26" t="str">
        <f>IF(A1204="","",BASE_CAIXA!J1201)</f>
        <v/>
      </c>
      <c r="M1204" s="26" t="str">
        <f>IF(A1204="","",BASE_CAIXA!AM1201)</f>
        <v/>
      </c>
      <c r="N1204" s="26" t="str">
        <f t="shared" ca="1" si="54"/>
        <v/>
      </c>
      <c r="O1204" s="26" t="str">
        <f>IFERROR(INDEX(EXTRATO_IMPORTADO!$A$5:$A$404,MATCH(B1204,EXTRATO_IMPORTADO!$I$5:$I$404,0)),"")</f>
        <v/>
      </c>
      <c r="P1204" s="26" t="str">
        <f>IFERROR(INDEX(EXTRATO_IMPORTADO!$F$5:$F$404,MATCH(B1204,EXTRATO_IMPORTADO!$I$5:$I$404,0)),"")</f>
        <v/>
      </c>
      <c r="Q1204" s="26" t="str">
        <f>IFERROR(INDEX(EXTRATO_IMPORTADO!$B$5:$B$404,MATCH(B1204,EXTRATO_IMPORTADO!$I$5:$I$404,0)),"")</f>
        <v/>
      </c>
      <c r="R1204" s="26" t="str">
        <f>IFERROR(MATCH(B1204,EXTRATO_IMPORTADO!$I$5:$I$404,0),"")</f>
        <v/>
      </c>
      <c r="S1204" s="26" t="str">
        <f t="shared" si="55"/>
        <v/>
      </c>
      <c r="T1204" s="26" t="str">
        <f t="shared" si="56"/>
        <v/>
      </c>
    </row>
    <row r="1205" spans="1:20" x14ac:dyDescent="0.3">
      <c r="A1205" s="26" t="str">
        <f>IF(BASE_CAIXA!A1202="","",BASE_CAIXA!A1202)</f>
        <v/>
      </c>
      <c r="B1205" s="26" t="str">
        <f>IF(A1205="","",BASE_CAIXA!AL1202)</f>
        <v/>
      </c>
      <c r="C1205" s="26" t="str">
        <f>IF(A1205="","",BASE_CAIXA!AJ1202)</f>
        <v/>
      </c>
      <c r="D1205" s="26" t="str">
        <f>IF(A1205="","",IF(BASE_CAIXA!C1202="Entrada","Crédito","Débito"))</f>
        <v/>
      </c>
      <c r="E1205" s="26" t="str">
        <f>IF(A1205="","",BASE_CAIXA!AA1202)</f>
        <v/>
      </c>
      <c r="F1205" s="26" t="str">
        <f>IF(A1205="","",BASE_CAIXA!N1202)</f>
        <v/>
      </c>
      <c r="G1205" s="26" t="str">
        <f>IF(A1205="","",BASE_CAIXA!O1202)</f>
        <v/>
      </c>
      <c r="H1205" s="26" t="str">
        <f>IF(A1205="","",BASE_CAIXA!P1202)</f>
        <v/>
      </c>
      <c r="I1205" s="26" t="str">
        <f>IF(A1205="","",IF(BASE_CAIXA!H1202&lt;&gt;"",BASE_CAIXA!H1202,BASE_CAIXA!G1202))</f>
        <v/>
      </c>
      <c r="J1205" s="26" t="str">
        <f>IF(A1205="","",BASE_CAIXA!G1202)</f>
        <v/>
      </c>
      <c r="K1205" s="26" t="str">
        <f>IF(A1205="","",BASE_CAIXA!I1202)</f>
        <v/>
      </c>
      <c r="L1205" s="26" t="str">
        <f>IF(A1205="","",BASE_CAIXA!J1202)</f>
        <v/>
      </c>
      <c r="M1205" s="26" t="str">
        <f>IF(A1205="","",BASE_CAIXA!AM1202)</f>
        <v/>
      </c>
      <c r="N1205" s="26" t="str">
        <f t="shared" ca="1" si="54"/>
        <v/>
      </c>
      <c r="O1205" s="26" t="str">
        <f>IFERROR(INDEX(EXTRATO_IMPORTADO!$A$5:$A$404,MATCH(B1205,EXTRATO_IMPORTADO!$I$5:$I$404,0)),"")</f>
        <v/>
      </c>
      <c r="P1205" s="26" t="str">
        <f>IFERROR(INDEX(EXTRATO_IMPORTADO!$F$5:$F$404,MATCH(B1205,EXTRATO_IMPORTADO!$I$5:$I$404,0)),"")</f>
        <v/>
      </c>
      <c r="Q1205" s="26" t="str">
        <f>IFERROR(INDEX(EXTRATO_IMPORTADO!$B$5:$B$404,MATCH(B1205,EXTRATO_IMPORTADO!$I$5:$I$404,0)),"")</f>
        <v/>
      </c>
      <c r="R1205" s="26" t="str">
        <f>IFERROR(MATCH(B1205,EXTRATO_IMPORTADO!$I$5:$I$404,0),"")</f>
        <v/>
      </c>
      <c r="S1205" s="26" t="str">
        <f t="shared" si="55"/>
        <v/>
      </c>
      <c r="T1205" s="26" t="str">
        <f t="shared" si="56"/>
        <v/>
      </c>
    </row>
    <row r="1206" spans="1:20" x14ac:dyDescent="0.3">
      <c r="A1206" s="26" t="str">
        <f>IF(BASE_CAIXA!A1203="","",BASE_CAIXA!A1203)</f>
        <v/>
      </c>
      <c r="B1206" s="26" t="str">
        <f>IF(A1206="","",BASE_CAIXA!AL1203)</f>
        <v/>
      </c>
      <c r="C1206" s="26" t="str">
        <f>IF(A1206="","",BASE_CAIXA!AJ1203)</f>
        <v/>
      </c>
      <c r="D1206" s="26" t="str">
        <f>IF(A1206="","",IF(BASE_CAIXA!C1203="Entrada","Crédito","Débito"))</f>
        <v/>
      </c>
      <c r="E1206" s="26" t="str">
        <f>IF(A1206="","",BASE_CAIXA!AA1203)</f>
        <v/>
      </c>
      <c r="F1206" s="26" t="str">
        <f>IF(A1206="","",BASE_CAIXA!N1203)</f>
        <v/>
      </c>
      <c r="G1206" s="26" t="str">
        <f>IF(A1206="","",BASE_CAIXA!O1203)</f>
        <v/>
      </c>
      <c r="H1206" s="26" t="str">
        <f>IF(A1206="","",BASE_CAIXA!P1203)</f>
        <v/>
      </c>
      <c r="I1206" s="26" t="str">
        <f>IF(A1206="","",IF(BASE_CAIXA!H1203&lt;&gt;"",BASE_CAIXA!H1203,BASE_CAIXA!G1203))</f>
        <v/>
      </c>
      <c r="J1206" s="26" t="str">
        <f>IF(A1206="","",BASE_CAIXA!G1203)</f>
        <v/>
      </c>
      <c r="K1206" s="26" t="str">
        <f>IF(A1206="","",BASE_CAIXA!I1203)</f>
        <v/>
      </c>
      <c r="L1206" s="26" t="str">
        <f>IF(A1206="","",BASE_CAIXA!J1203)</f>
        <v/>
      </c>
      <c r="M1206" s="26" t="str">
        <f>IF(A1206="","",BASE_CAIXA!AM1203)</f>
        <v/>
      </c>
      <c r="N1206" s="26" t="str">
        <f t="shared" ca="1" si="54"/>
        <v/>
      </c>
      <c r="O1206" s="26" t="str">
        <f>IFERROR(INDEX(EXTRATO_IMPORTADO!$A$5:$A$404,MATCH(B1206,EXTRATO_IMPORTADO!$I$5:$I$404,0)),"")</f>
        <v/>
      </c>
      <c r="P1206" s="26" t="str">
        <f>IFERROR(INDEX(EXTRATO_IMPORTADO!$F$5:$F$404,MATCH(B1206,EXTRATO_IMPORTADO!$I$5:$I$404,0)),"")</f>
        <v/>
      </c>
      <c r="Q1206" s="26" t="str">
        <f>IFERROR(INDEX(EXTRATO_IMPORTADO!$B$5:$B$404,MATCH(B1206,EXTRATO_IMPORTADO!$I$5:$I$404,0)),"")</f>
        <v/>
      </c>
      <c r="R1206" s="26" t="str">
        <f>IFERROR(MATCH(B1206,EXTRATO_IMPORTADO!$I$5:$I$404,0),"")</f>
        <v/>
      </c>
      <c r="S1206" s="26" t="str">
        <f t="shared" si="55"/>
        <v/>
      </c>
      <c r="T1206" s="26" t="str">
        <f t="shared" si="56"/>
        <v/>
      </c>
    </row>
    <row r="1207" spans="1:20" x14ac:dyDescent="0.3">
      <c r="A1207" s="26" t="str">
        <f>IF(BASE_CAIXA!A1204="","",BASE_CAIXA!A1204)</f>
        <v/>
      </c>
      <c r="B1207" s="26" t="str">
        <f>IF(A1207="","",BASE_CAIXA!AL1204)</f>
        <v/>
      </c>
      <c r="C1207" s="26" t="str">
        <f>IF(A1207="","",BASE_CAIXA!AJ1204)</f>
        <v/>
      </c>
      <c r="D1207" s="26" t="str">
        <f>IF(A1207="","",IF(BASE_CAIXA!C1204="Entrada","Crédito","Débito"))</f>
        <v/>
      </c>
      <c r="E1207" s="26" t="str">
        <f>IF(A1207="","",BASE_CAIXA!AA1204)</f>
        <v/>
      </c>
      <c r="F1207" s="26" t="str">
        <f>IF(A1207="","",BASE_CAIXA!N1204)</f>
        <v/>
      </c>
      <c r="G1207" s="26" t="str">
        <f>IF(A1207="","",BASE_CAIXA!O1204)</f>
        <v/>
      </c>
      <c r="H1207" s="26" t="str">
        <f>IF(A1207="","",BASE_CAIXA!P1204)</f>
        <v/>
      </c>
      <c r="I1207" s="26" t="str">
        <f>IF(A1207="","",IF(BASE_CAIXA!H1204&lt;&gt;"",BASE_CAIXA!H1204,BASE_CAIXA!G1204))</f>
        <v/>
      </c>
      <c r="J1207" s="26" t="str">
        <f>IF(A1207="","",BASE_CAIXA!G1204)</f>
        <v/>
      </c>
      <c r="K1207" s="26" t="str">
        <f>IF(A1207="","",BASE_CAIXA!I1204)</f>
        <v/>
      </c>
      <c r="L1207" s="26" t="str">
        <f>IF(A1207="","",BASE_CAIXA!J1204)</f>
        <v/>
      </c>
      <c r="M1207" s="26" t="str">
        <f>IF(A1207="","",BASE_CAIXA!AM1204)</f>
        <v/>
      </c>
      <c r="N1207" s="26" t="str">
        <f t="shared" ca="1" si="54"/>
        <v/>
      </c>
      <c r="O1207" s="26" t="str">
        <f>IFERROR(INDEX(EXTRATO_IMPORTADO!$A$5:$A$404,MATCH(B1207,EXTRATO_IMPORTADO!$I$5:$I$404,0)),"")</f>
        <v/>
      </c>
      <c r="P1207" s="26" t="str">
        <f>IFERROR(INDEX(EXTRATO_IMPORTADO!$F$5:$F$404,MATCH(B1207,EXTRATO_IMPORTADO!$I$5:$I$404,0)),"")</f>
        <v/>
      </c>
      <c r="Q1207" s="26" t="str">
        <f>IFERROR(INDEX(EXTRATO_IMPORTADO!$B$5:$B$404,MATCH(B1207,EXTRATO_IMPORTADO!$I$5:$I$404,0)),"")</f>
        <v/>
      </c>
      <c r="R1207" s="26" t="str">
        <f>IFERROR(MATCH(B1207,EXTRATO_IMPORTADO!$I$5:$I$404,0),"")</f>
        <v/>
      </c>
      <c r="S1207" s="26" t="str">
        <f t="shared" si="55"/>
        <v/>
      </c>
      <c r="T1207" s="26" t="str">
        <f t="shared" si="56"/>
        <v/>
      </c>
    </row>
    <row r="1208" spans="1:20" x14ac:dyDescent="0.3">
      <c r="A1208" s="26" t="str">
        <f>IF(BASE_CAIXA!A1205="","",BASE_CAIXA!A1205)</f>
        <v/>
      </c>
      <c r="B1208" s="26" t="str">
        <f>IF(A1208="","",BASE_CAIXA!AL1205)</f>
        <v/>
      </c>
      <c r="C1208" s="26" t="str">
        <f>IF(A1208="","",BASE_CAIXA!AJ1205)</f>
        <v/>
      </c>
      <c r="D1208" s="26" t="str">
        <f>IF(A1208="","",IF(BASE_CAIXA!C1205="Entrada","Crédito","Débito"))</f>
        <v/>
      </c>
      <c r="E1208" s="26" t="str">
        <f>IF(A1208="","",BASE_CAIXA!AA1205)</f>
        <v/>
      </c>
      <c r="F1208" s="26" t="str">
        <f>IF(A1208="","",BASE_CAIXA!N1205)</f>
        <v/>
      </c>
      <c r="G1208" s="26" t="str">
        <f>IF(A1208="","",BASE_CAIXA!O1205)</f>
        <v/>
      </c>
      <c r="H1208" s="26" t="str">
        <f>IF(A1208="","",BASE_CAIXA!P1205)</f>
        <v/>
      </c>
      <c r="I1208" s="26" t="str">
        <f>IF(A1208="","",IF(BASE_CAIXA!H1205&lt;&gt;"",BASE_CAIXA!H1205,BASE_CAIXA!G1205))</f>
        <v/>
      </c>
      <c r="J1208" s="26" t="str">
        <f>IF(A1208="","",BASE_CAIXA!G1205)</f>
        <v/>
      </c>
      <c r="K1208" s="26" t="str">
        <f>IF(A1208="","",BASE_CAIXA!I1205)</f>
        <v/>
      </c>
      <c r="L1208" s="26" t="str">
        <f>IF(A1208="","",BASE_CAIXA!J1205)</f>
        <v/>
      </c>
      <c r="M1208" s="26" t="str">
        <f>IF(A1208="","",BASE_CAIXA!AM1205)</f>
        <v/>
      </c>
      <c r="N1208" s="26" t="str">
        <f t="shared" ca="1" si="54"/>
        <v/>
      </c>
      <c r="O1208" s="26" t="str">
        <f>IFERROR(INDEX(EXTRATO_IMPORTADO!$A$5:$A$404,MATCH(B1208,EXTRATO_IMPORTADO!$I$5:$I$404,0)),"")</f>
        <v/>
      </c>
      <c r="P1208" s="26" t="str">
        <f>IFERROR(INDEX(EXTRATO_IMPORTADO!$F$5:$F$404,MATCH(B1208,EXTRATO_IMPORTADO!$I$5:$I$404,0)),"")</f>
        <v/>
      </c>
      <c r="Q1208" s="26" t="str">
        <f>IFERROR(INDEX(EXTRATO_IMPORTADO!$B$5:$B$404,MATCH(B1208,EXTRATO_IMPORTADO!$I$5:$I$404,0)),"")</f>
        <v/>
      </c>
      <c r="R1208" s="26" t="str">
        <f>IFERROR(MATCH(B1208,EXTRATO_IMPORTADO!$I$5:$I$404,0),"")</f>
        <v/>
      </c>
      <c r="S1208" s="26" t="str">
        <f t="shared" si="55"/>
        <v/>
      </c>
      <c r="T1208" s="26" t="str">
        <f t="shared" si="56"/>
        <v/>
      </c>
    </row>
    <row r="1209" spans="1:20" x14ac:dyDescent="0.3">
      <c r="A1209" s="26" t="str">
        <f>IF(BASE_CAIXA!A1206="","",BASE_CAIXA!A1206)</f>
        <v/>
      </c>
      <c r="B1209" s="26" t="str">
        <f>IF(A1209="","",BASE_CAIXA!AL1206)</f>
        <v/>
      </c>
      <c r="C1209" s="26" t="str">
        <f>IF(A1209="","",BASE_CAIXA!AJ1206)</f>
        <v/>
      </c>
      <c r="D1209" s="26" t="str">
        <f>IF(A1209="","",IF(BASE_CAIXA!C1206="Entrada","Crédito","Débito"))</f>
        <v/>
      </c>
      <c r="E1209" s="26" t="str">
        <f>IF(A1209="","",BASE_CAIXA!AA1206)</f>
        <v/>
      </c>
      <c r="F1209" s="26" t="str">
        <f>IF(A1209="","",BASE_CAIXA!N1206)</f>
        <v/>
      </c>
      <c r="G1209" s="26" t="str">
        <f>IF(A1209="","",BASE_CAIXA!O1206)</f>
        <v/>
      </c>
      <c r="H1209" s="26" t="str">
        <f>IF(A1209="","",BASE_CAIXA!P1206)</f>
        <v/>
      </c>
      <c r="I1209" s="26" t="str">
        <f>IF(A1209="","",IF(BASE_CAIXA!H1206&lt;&gt;"",BASE_CAIXA!H1206,BASE_CAIXA!G1206))</f>
        <v/>
      </c>
      <c r="J1209" s="26" t="str">
        <f>IF(A1209="","",BASE_CAIXA!G1206)</f>
        <v/>
      </c>
      <c r="K1209" s="26" t="str">
        <f>IF(A1209="","",BASE_CAIXA!I1206)</f>
        <v/>
      </c>
      <c r="L1209" s="26" t="str">
        <f>IF(A1209="","",BASE_CAIXA!J1206)</f>
        <v/>
      </c>
      <c r="M1209" s="26" t="str">
        <f>IF(A1209="","",BASE_CAIXA!AM1206)</f>
        <v/>
      </c>
      <c r="N1209" s="26" t="str">
        <f t="shared" ca="1" si="54"/>
        <v/>
      </c>
      <c r="O1209" s="26" t="str">
        <f>IFERROR(INDEX(EXTRATO_IMPORTADO!$A$5:$A$404,MATCH(B1209,EXTRATO_IMPORTADO!$I$5:$I$404,0)),"")</f>
        <v/>
      </c>
      <c r="P1209" s="26" t="str">
        <f>IFERROR(INDEX(EXTRATO_IMPORTADO!$F$5:$F$404,MATCH(B1209,EXTRATO_IMPORTADO!$I$5:$I$404,0)),"")</f>
        <v/>
      </c>
      <c r="Q1209" s="26" t="str">
        <f>IFERROR(INDEX(EXTRATO_IMPORTADO!$B$5:$B$404,MATCH(B1209,EXTRATO_IMPORTADO!$I$5:$I$404,0)),"")</f>
        <v/>
      </c>
      <c r="R1209" s="26" t="str">
        <f>IFERROR(MATCH(B1209,EXTRATO_IMPORTADO!$I$5:$I$404,0),"")</f>
        <v/>
      </c>
      <c r="S1209" s="26" t="str">
        <f t="shared" si="55"/>
        <v/>
      </c>
      <c r="T1209" s="26" t="str">
        <f t="shared" si="56"/>
        <v/>
      </c>
    </row>
    <row r="1210" spans="1:20" x14ac:dyDescent="0.3">
      <c r="A1210" s="26" t="str">
        <f>IF(BASE_CAIXA!A1207="","",BASE_CAIXA!A1207)</f>
        <v/>
      </c>
      <c r="B1210" s="26" t="str">
        <f>IF(A1210="","",BASE_CAIXA!AL1207)</f>
        <v/>
      </c>
      <c r="C1210" s="26" t="str">
        <f>IF(A1210="","",BASE_CAIXA!AJ1207)</f>
        <v/>
      </c>
      <c r="D1210" s="26" t="str">
        <f>IF(A1210="","",IF(BASE_CAIXA!C1207="Entrada","Crédito","Débito"))</f>
        <v/>
      </c>
      <c r="E1210" s="26" t="str">
        <f>IF(A1210="","",BASE_CAIXA!AA1207)</f>
        <v/>
      </c>
      <c r="F1210" s="26" t="str">
        <f>IF(A1210="","",BASE_CAIXA!N1207)</f>
        <v/>
      </c>
      <c r="G1210" s="26" t="str">
        <f>IF(A1210="","",BASE_CAIXA!O1207)</f>
        <v/>
      </c>
      <c r="H1210" s="26" t="str">
        <f>IF(A1210="","",BASE_CAIXA!P1207)</f>
        <v/>
      </c>
      <c r="I1210" s="26" t="str">
        <f>IF(A1210="","",IF(BASE_CAIXA!H1207&lt;&gt;"",BASE_CAIXA!H1207,BASE_CAIXA!G1207))</f>
        <v/>
      </c>
      <c r="J1210" s="26" t="str">
        <f>IF(A1210="","",BASE_CAIXA!G1207)</f>
        <v/>
      </c>
      <c r="K1210" s="26" t="str">
        <f>IF(A1210="","",BASE_CAIXA!I1207)</f>
        <v/>
      </c>
      <c r="L1210" s="26" t="str">
        <f>IF(A1210="","",BASE_CAIXA!J1207)</f>
        <v/>
      </c>
      <c r="M1210" s="26" t="str">
        <f>IF(A1210="","",BASE_CAIXA!AM1207)</f>
        <v/>
      </c>
      <c r="N1210" s="26" t="str">
        <f t="shared" ca="1" si="54"/>
        <v/>
      </c>
      <c r="O1210" s="26" t="str">
        <f>IFERROR(INDEX(EXTRATO_IMPORTADO!$A$5:$A$404,MATCH(B1210,EXTRATO_IMPORTADO!$I$5:$I$404,0)),"")</f>
        <v/>
      </c>
      <c r="P1210" s="26" t="str">
        <f>IFERROR(INDEX(EXTRATO_IMPORTADO!$F$5:$F$404,MATCH(B1210,EXTRATO_IMPORTADO!$I$5:$I$404,0)),"")</f>
        <v/>
      </c>
      <c r="Q1210" s="26" t="str">
        <f>IFERROR(INDEX(EXTRATO_IMPORTADO!$B$5:$B$404,MATCH(B1210,EXTRATO_IMPORTADO!$I$5:$I$404,0)),"")</f>
        <v/>
      </c>
      <c r="R1210" s="26" t="str">
        <f>IFERROR(MATCH(B1210,EXTRATO_IMPORTADO!$I$5:$I$404,0),"")</f>
        <v/>
      </c>
      <c r="S1210" s="26" t="str">
        <f t="shared" si="55"/>
        <v/>
      </c>
      <c r="T1210" s="26" t="str">
        <f t="shared" si="56"/>
        <v/>
      </c>
    </row>
    <row r="1211" spans="1:20" x14ac:dyDescent="0.3">
      <c r="A1211" s="26" t="str">
        <f>IF(BASE_CAIXA!A1208="","",BASE_CAIXA!A1208)</f>
        <v/>
      </c>
      <c r="B1211" s="26" t="str">
        <f>IF(A1211="","",BASE_CAIXA!AL1208)</f>
        <v/>
      </c>
      <c r="C1211" s="26" t="str">
        <f>IF(A1211="","",BASE_CAIXA!AJ1208)</f>
        <v/>
      </c>
      <c r="D1211" s="26" t="str">
        <f>IF(A1211="","",IF(BASE_CAIXA!C1208="Entrada","Crédito","Débito"))</f>
        <v/>
      </c>
      <c r="E1211" s="26" t="str">
        <f>IF(A1211="","",BASE_CAIXA!AA1208)</f>
        <v/>
      </c>
      <c r="F1211" s="26" t="str">
        <f>IF(A1211="","",BASE_CAIXA!N1208)</f>
        <v/>
      </c>
      <c r="G1211" s="26" t="str">
        <f>IF(A1211="","",BASE_CAIXA!O1208)</f>
        <v/>
      </c>
      <c r="H1211" s="26" t="str">
        <f>IF(A1211="","",BASE_CAIXA!P1208)</f>
        <v/>
      </c>
      <c r="I1211" s="26" t="str">
        <f>IF(A1211="","",IF(BASE_CAIXA!H1208&lt;&gt;"",BASE_CAIXA!H1208,BASE_CAIXA!G1208))</f>
        <v/>
      </c>
      <c r="J1211" s="26" t="str">
        <f>IF(A1211="","",BASE_CAIXA!G1208)</f>
        <v/>
      </c>
      <c r="K1211" s="26" t="str">
        <f>IF(A1211="","",BASE_CAIXA!I1208)</f>
        <v/>
      </c>
      <c r="L1211" s="26" t="str">
        <f>IF(A1211="","",BASE_CAIXA!J1208)</f>
        <v/>
      </c>
      <c r="M1211" s="26" t="str">
        <f>IF(A1211="","",BASE_CAIXA!AM1208)</f>
        <v/>
      </c>
      <c r="N1211" s="26" t="str">
        <f t="shared" ca="1" si="54"/>
        <v/>
      </c>
      <c r="O1211" s="26" t="str">
        <f>IFERROR(INDEX(EXTRATO_IMPORTADO!$A$5:$A$404,MATCH(B1211,EXTRATO_IMPORTADO!$I$5:$I$404,0)),"")</f>
        <v/>
      </c>
      <c r="P1211" s="26" t="str">
        <f>IFERROR(INDEX(EXTRATO_IMPORTADO!$F$5:$F$404,MATCH(B1211,EXTRATO_IMPORTADO!$I$5:$I$404,0)),"")</f>
        <v/>
      </c>
      <c r="Q1211" s="26" t="str">
        <f>IFERROR(INDEX(EXTRATO_IMPORTADO!$B$5:$B$404,MATCH(B1211,EXTRATO_IMPORTADO!$I$5:$I$404,0)),"")</f>
        <v/>
      </c>
      <c r="R1211" s="26" t="str">
        <f>IFERROR(MATCH(B1211,EXTRATO_IMPORTADO!$I$5:$I$404,0),"")</f>
        <v/>
      </c>
      <c r="S1211" s="26" t="str">
        <f t="shared" si="55"/>
        <v/>
      </c>
      <c r="T1211" s="26" t="str">
        <f t="shared" si="56"/>
        <v/>
      </c>
    </row>
    <row r="1212" spans="1:20" x14ac:dyDescent="0.3">
      <c r="A1212" s="26" t="str">
        <f>IF(BASE_CAIXA!A1209="","",BASE_CAIXA!A1209)</f>
        <v/>
      </c>
      <c r="B1212" s="26" t="str">
        <f>IF(A1212="","",BASE_CAIXA!AL1209)</f>
        <v/>
      </c>
      <c r="C1212" s="26" t="str">
        <f>IF(A1212="","",BASE_CAIXA!AJ1209)</f>
        <v/>
      </c>
      <c r="D1212" s="26" t="str">
        <f>IF(A1212="","",IF(BASE_CAIXA!C1209="Entrada","Crédito","Débito"))</f>
        <v/>
      </c>
      <c r="E1212" s="26" t="str">
        <f>IF(A1212="","",BASE_CAIXA!AA1209)</f>
        <v/>
      </c>
      <c r="F1212" s="26" t="str">
        <f>IF(A1212="","",BASE_CAIXA!N1209)</f>
        <v/>
      </c>
      <c r="G1212" s="26" t="str">
        <f>IF(A1212="","",BASE_CAIXA!O1209)</f>
        <v/>
      </c>
      <c r="H1212" s="26" t="str">
        <f>IF(A1212="","",BASE_CAIXA!P1209)</f>
        <v/>
      </c>
      <c r="I1212" s="26" t="str">
        <f>IF(A1212="","",IF(BASE_CAIXA!H1209&lt;&gt;"",BASE_CAIXA!H1209,BASE_CAIXA!G1209))</f>
        <v/>
      </c>
      <c r="J1212" s="26" t="str">
        <f>IF(A1212="","",BASE_CAIXA!G1209)</f>
        <v/>
      </c>
      <c r="K1212" s="26" t="str">
        <f>IF(A1212="","",BASE_CAIXA!I1209)</f>
        <v/>
      </c>
      <c r="L1212" s="26" t="str">
        <f>IF(A1212="","",BASE_CAIXA!J1209)</f>
        <v/>
      </c>
      <c r="M1212" s="26" t="str">
        <f>IF(A1212="","",BASE_CAIXA!AM1209)</f>
        <v/>
      </c>
      <c r="N1212" s="26" t="str">
        <f t="shared" ca="1" si="54"/>
        <v/>
      </c>
      <c r="O1212" s="26" t="str">
        <f>IFERROR(INDEX(EXTRATO_IMPORTADO!$A$5:$A$404,MATCH(B1212,EXTRATO_IMPORTADO!$I$5:$I$404,0)),"")</f>
        <v/>
      </c>
      <c r="P1212" s="26" t="str">
        <f>IFERROR(INDEX(EXTRATO_IMPORTADO!$F$5:$F$404,MATCH(B1212,EXTRATO_IMPORTADO!$I$5:$I$404,0)),"")</f>
        <v/>
      </c>
      <c r="Q1212" s="26" t="str">
        <f>IFERROR(INDEX(EXTRATO_IMPORTADO!$B$5:$B$404,MATCH(B1212,EXTRATO_IMPORTADO!$I$5:$I$404,0)),"")</f>
        <v/>
      </c>
      <c r="R1212" s="26" t="str">
        <f>IFERROR(MATCH(B1212,EXTRATO_IMPORTADO!$I$5:$I$404,0),"")</f>
        <v/>
      </c>
      <c r="S1212" s="26" t="str">
        <f t="shared" si="55"/>
        <v/>
      </c>
      <c r="T1212" s="26" t="str">
        <f t="shared" si="56"/>
        <v/>
      </c>
    </row>
    <row r="1213" spans="1:20" x14ac:dyDescent="0.3">
      <c r="A1213" s="26" t="str">
        <f>IF(BASE_CAIXA!A1210="","",BASE_CAIXA!A1210)</f>
        <v/>
      </c>
      <c r="B1213" s="26" t="str">
        <f>IF(A1213="","",BASE_CAIXA!AL1210)</f>
        <v/>
      </c>
      <c r="C1213" s="26" t="str">
        <f>IF(A1213="","",BASE_CAIXA!AJ1210)</f>
        <v/>
      </c>
      <c r="D1213" s="26" t="str">
        <f>IF(A1213="","",IF(BASE_CAIXA!C1210="Entrada","Crédito","Débito"))</f>
        <v/>
      </c>
      <c r="E1213" s="26" t="str">
        <f>IF(A1213="","",BASE_CAIXA!AA1210)</f>
        <v/>
      </c>
      <c r="F1213" s="26" t="str">
        <f>IF(A1213="","",BASE_CAIXA!N1210)</f>
        <v/>
      </c>
      <c r="G1213" s="26" t="str">
        <f>IF(A1213="","",BASE_CAIXA!O1210)</f>
        <v/>
      </c>
      <c r="H1213" s="26" t="str">
        <f>IF(A1213="","",BASE_CAIXA!P1210)</f>
        <v/>
      </c>
      <c r="I1213" s="26" t="str">
        <f>IF(A1213="","",IF(BASE_CAIXA!H1210&lt;&gt;"",BASE_CAIXA!H1210,BASE_CAIXA!G1210))</f>
        <v/>
      </c>
      <c r="J1213" s="26" t="str">
        <f>IF(A1213="","",BASE_CAIXA!G1210)</f>
        <v/>
      </c>
      <c r="K1213" s="26" t="str">
        <f>IF(A1213="","",BASE_CAIXA!I1210)</f>
        <v/>
      </c>
      <c r="L1213" s="26" t="str">
        <f>IF(A1213="","",BASE_CAIXA!J1210)</f>
        <v/>
      </c>
      <c r="M1213" s="26" t="str">
        <f>IF(A1213="","",BASE_CAIXA!AM1210)</f>
        <v/>
      </c>
      <c r="N1213" s="26" t="str">
        <f t="shared" ca="1" si="54"/>
        <v/>
      </c>
      <c r="O1213" s="26" t="str">
        <f>IFERROR(INDEX(EXTRATO_IMPORTADO!$A$5:$A$404,MATCH(B1213,EXTRATO_IMPORTADO!$I$5:$I$404,0)),"")</f>
        <v/>
      </c>
      <c r="P1213" s="26" t="str">
        <f>IFERROR(INDEX(EXTRATO_IMPORTADO!$F$5:$F$404,MATCH(B1213,EXTRATO_IMPORTADO!$I$5:$I$404,0)),"")</f>
        <v/>
      </c>
      <c r="Q1213" s="26" t="str">
        <f>IFERROR(INDEX(EXTRATO_IMPORTADO!$B$5:$B$404,MATCH(B1213,EXTRATO_IMPORTADO!$I$5:$I$404,0)),"")</f>
        <v/>
      </c>
      <c r="R1213" s="26" t="str">
        <f>IFERROR(MATCH(B1213,EXTRATO_IMPORTADO!$I$5:$I$404,0),"")</f>
        <v/>
      </c>
      <c r="S1213" s="26" t="str">
        <f t="shared" si="55"/>
        <v/>
      </c>
      <c r="T1213" s="26" t="str">
        <f t="shared" si="56"/>
        <v/>
      </c>
    </row>
    <row r="1214" spans="1:20" x14ac:dyDescent="0.3">
      <c r="A1214" s="26" t="str">
        <f>IF(BASE_CAIXA!A1211="","",BASE_CAIXA!A1211)</f>
        <v/>
      </c>
      <c r="B1214" s="26" t="str">
        <f>IF(A1214="","",BASE_CAIXA!AL1211)</f>
        <v/>
      </c>
      <c r="C1214" s="26" t="str">
        <f>IF(A1214="","",BASE_CAIXA!AJ1211)</f>
        <v/>
      </c>
      <c r="D1214" s="26" t="str">
        <f>IF(A1214="","",IF(BASE_CAIXA!C1211="Entrada","Crédito","Débito"))</f>
        <v/>
      </c>
      <c r="E1214" s="26" t="str">
        <f>IF(A1214="","",BASE_CAIXA!AA1211)</f>
        <v/>
      </c>
      <c r="F1214" s="26" t="str">
        <f>IF(A1214="","",BASE_CAIXA!N1211)</f>
        <v/>
      </c>
      <c r="G1214" s="26" t="str">
        <f>IF(A1214="","",BASE_CAIXA!O1211)</f>
        <v/>
      </c>
      <c r="H1214" s="26" t="str">
        <f>IF(A1214="","",BASE_CAIXA!P1211)</f>
        <v/>
      </c>
      <c r="I1214" s="26" t="str">
        <f>IF(A1214="","",IF(BASE_CAIXA!H1211&lt;&gt;"",BASE_CAIXA!H1211,BASE_CAIXA!G1211))</f>
        <v/>
      </c>
      <c r="J1214" s="26" t="str">
        <f>IF(A1214="","",BASE_CAIXA!G1211)</f>
        <v/>
      </c>
      <c r="K1214" s="26" t="str">
        <f>IF(A1214="","",BASE_CAIXA!I1211)</f>
        <v/>
      </c>
      <c r="L1214" s="26" t="str">
        <f>IF(A1214="","",BASE_CAIXA!J1211)</f>
        <v/>
      </c>
      <c r="M1214" s="26" t="str">
        <f>IF(A1214="","",BASE_CAIXA!AM1211)</f>
        <v/>
      </c>
      <c r="N1214" s="26" t="str">
        <f t="shared" ca="1" si="54"/>
        <v/>
      </c>
      <c r="O1214" s="26" t="str">
        <f>IFERROR(INDEX(EXTRATO_IMPORTADO!$A$5:$A$404,MATCH(B1214,EXTRATO_IMPORTADO!$I$5:$I$404,0)),"")</f>
        <v/>
      </c>
      <c r="P1214" s="26" t="str">
        <f>IFERROR(INDEX(EXTRATO_IMPORTADO!$F$5:$F$404,MATCH(B1214,EXTRATO_IMPORTADO!$I$5:$I$404,0)),"")</f>
        <v/>
      </c>
      <c r="Q1214" s="26" t="str">
        <f>IFERROR(INDEX(EXTRATO_IMPORTADO!$B$5:$B$404,MATCH(B1214,EXTRATO_IMPORTADO!$I$5:$I$404,0)),"")</f>
        <v/>
      </c>
      <c r="R1214" s="26" t="str">
        <f>IFERROR(MATCH(B1214,EXTRATO_IMPORTADO!$I$5:$I$404,0),"")</f>
        <v/>
      </c>
      <c r="S1214" s="26" t="str">
        <f t="shared" si="55"/>
        <v/>
      </c>
      <c r="T1214" s="26" t="str">
        <f t="shared" si="56"/>
        <v/>
      </c>
    </row>
    <row r="1215" spans="1:20" x14ac:dyDescent="0.3">
      <c r="A1215" s="26" t="str">
        <f>IF(BASE_CAIXA!A1212="","",BASE_CAIXA!A1212)</f>
        <v/>
      </c>
      <c r="B1215" s="26" t="str">
        <f>IF(A1215="","",BASE_CAIXA!AL1212)</f>
        <v/>
      </c>
      <c r="C1215" s="26" t="str">
        <f>IF(A1215="","",BASE_CAIXA!AJ1212)</f>
        <v/>
      </c>
      <c r="D1215" s="26" t="str">
        <f>IF(A1215="","",IF(BASE_CAIXA!C1212="Entrada","Crédito","Débito"))</f>
        <v/>
      </c>
      <c r="E1215" s="26" t="str">
        <f>IF(A1215="","",BASE_CAIXA!AA1212)</f>
        <v/>
      </c>
      <c r="F1215" s="26" t="str">
        <f>IF(A1215="","",BASE_CAIXA!N1212)</f>
        <v/>
      </c>
      <c r="G1215" s="26" t="str">
        <f>IF(A1215="","",BASE_CAIXA!O1212)</f>
        <v/>
      </c>
      <c r="H1215" s="26" t="str">
        <f>IF(A1215="","",BASE_CAIXA!P1212)</f>
        <v/>
      </c>
      <c r="I1215" s="26" t="str">
        <f>IF(A1215="","",IF(BASE_CAIXA!H1212&lt;&gt;"",BASE_CAIXA!H1212,BASE_CAIXA!G1212))</f>
        <v/>
      </c>
      <c r="J1215" s="26" t="str">
        <f>IF(A1215="","",BASE_CAIXA!G1212)</f>
        <v/>
      </c>
      <c r="K1215" s="26" t="str">
        <f>IF(A1215="","",BASE_CAIXA!I1212)</f>
        <v/>
      </c>
      <c r="L1215" s="26" t="str">
        <f>IF(A1215="","",BASE_CAIXA!J1212)</f>
        <v/>
      </c>
      <c r="M1215" s="26" t="str">
        <f>IF(A1215="","",BASE_CAIXA!AM1212)</f>
        <v/>
      </c>
      <c r="N1215" s="26" t="str">
        <f t="shared" ca="1" si="54"/>
        <v/>
      </c>
      <c r="O1215" s="26" t="str">
        <f>IFERROR(INDEX(EXTRATO_IMPORTADO!$A$5:$A$404,MATCH(B1215,EXTRATO_IMPORTADO!$I$5:$I$404,0)),"")</f>
        <v/>
      </c>
      <c r="P1215" s="26" t="str">
        <f>IFERROR(INDEX(EXTRATO_IMPORTADO!$F$5:$F$404,MATCH(B1215,EXTRATO_IMPORTADO!$I$5:$I$404,0)),"")</f>
        <v/>
      </c>
      <c r="Q1215" s="26" t="str">
        <f>IFERROR(INDEX(EXTRATO_IMPORTADO!$B$5:$B$404,MATCH(B1215,EXTRATO_IMPORTADO!$I$5:$I$404,0)),"")</f>
        <v/>
      </c>
      <c r="R1215" s="26" t="str">
        <f>IFERROR(MATCH(B1215,EXTRATO_IMPORTADO!$I$5:$I$404,0),"")</f>
        <v/>
      </c>
      <c r="S1215" s="26" t="str">
        <f t="shared" si="55"/>
        <v/>
      </c>
      <c r="T1215" s="26" t="str">
        <f t="shared" si="56"/>
        <v/>
      </c>
    </row>
    <row r="1216" spans="1:20" x14ac:dyDescent="0.3">
      <c r="A1216" s="26" t="str">
        <f>IF(BASE_CAIXA!A1213="","",BASE_CAIXA!A1213)</f>
        <v/>
      </c>
      <c r="B1216" s="26" t="str">
        <f>IF(A1216="","",BASE_CAIXA!AL1213)</f>
        <v/>
      </c>
      <c r="C1216" s="26" t="str">
        <f>IF(A1216="","",BASE_CAIXA!AJ1213)</f>
        <v/>
      </c>
      <c r="D1216" s="26" t="str">
        <f>IF(A1216="","",IF(BASE_CAIXA!C1213="Entrada","Crédito","Débito"))</f>
        <v/>
      </c>
      <c r="E1216" s="26" t="str">
        <f>IF(A1216="","",BASE_CAIXA!AA1213)</f>
        <v/>
      </c>
      <c r="F1216" s="26" t="str">
        <f>IF(A1216="","",BASE_CAIXA!N1213)</f>
        <v/>
      </c>
      <c r="G1216" s="26" t="str">
        <f>IF(A1216="","",BASE_CAIXA!O1213)</f>
        <v/>
      </c>
      <c r="H1216" s="26" t="str">
        <f>IF(A1216="","",BASE_CAIXA!P1213)</f>
        <v/>
      </c>
      <c r="I1216" s="26" t="str">
        <f>IF(A1216="","",IF(BASE_CAIXA!H1213&lt;&gt;"",BASE_CAIXA!H1213,BASE_CAIXA!G1213))</f>
        <v/>
      </c>
      <c r="J1216" s="26" t="str">
        <f>IF(A1216="","",BASE_CAIXA!G1213)</f>
        <v/>
      </c>
      <c r="K1216" s="26" t="str">
        <f>IF(A1216="","",BASE_CAIXA!I1213)</f>
        <v/>
      </c>
      <c r="L1216" s="26" t="str">
        <f>IF(A1216="","",BASE_CAIXA!J1213)</f>
        <v/>
      </c>
      <c r="M1216" s="26" t="str">
        <f>IF(A1216="","",BASE_CAIXA!AM1213)</f>
        <v/>
      </c>
      <c r="N1216" s="26" t="str">
        <f t="shared" ca="1" si="54"/>
        <v/>
      </c>
      <c r="O1216" s="26" t="str">
        <f>IFERROR(INDEX(EXTRATO_IMPORTADO!$A$5:$A$404,MATCH(B1216,EXTRATO_IMPORTADO!$I$5:$I$404,0)),"")</f>
        <v/>
      </c>
      <c r="P1216" s="26" t="str">
        <f>IFERROR(INDEX(EXTRATO_IMPORTADO!$F$5:$F$404,MATCH(B1216,EXTRATO_IMPORTADO!$I$5:$I$404,0)),"")</f>
        <v/>
      </c>
      <c r="Q1216" s="26" t="str">
        <f>IFERROR(INDEX(EXTRATO_IMPORTADO!$B$5:$B$404,MATCH(B1216,EXTRATO_IMPORTADO!$I$5:$I$404,0)),"")</f>
        <v/>
      </c>
      <c r="R1216" s="26" t="str">
        <f>IFERROR(MATCH(B1216,EXTRATO_IMPORTADO!$I$5:$I$404,0),"")</f>
        <v/>
      </c>
      <c r="S1216" s="26" t="str">
        <f t="shared" si="55"/>
        <v/>
      </c>
      <c r="T1216" s="26" t="str">
        <f t="shared" si="56"/>
        <v/>
      </c>
    </row>
    <row r="1217" spans="1:20" x14ac:dyDescent="0.3">
      <c r="A1217" s="26" t="str">
        <f>IF(BASE_CAIXA!A1214="","",BASE_CAIXA!A1214)</f>
        <v/>
      </c>
      <c r="B1217" s="26" t="str">
        <f>IF(A1217="","",BASE_CAIXA!AL1214)</f>
        <v/>
      </c>
      <c r="C1217" s="26" t="str">
        <f>IF(A1217="","",BASE_CAIXA!AJ1214)</f>
        <v/>
      </c>
      <c r="D1217" s="26" t="str">
        <f>IF(A1217="","",IF(BASE_CAIXA!C1214="Entrada","Crédito","Débito"))</f>
        <v/>
      </c>
      <c r="E1217" s="26" t="str">
        <f>IF(A1217="","",BASE_CAIXA!AA1214)</f>
        <v/>
      </c>
      <c r="F1217" s="26" t="str">
        <f>IF(A1217="","",BASE_CAIXA!N1214)</f>
        <v/>
      </c>
      <c r="G1217" s="26" t="str">
        <f>IF(A1217="","",BASE_CAIXA!O1214)</f>
        <v/>
      </c>
      <c r="H1217" s="26" t="str">
        <f>IF(A1217="","",BASE_CAIXA!P1214)</f>
        <v/>
      </c>
      <c r="I1217" s="26" t="str">
        <f>IF(A1217="","",IF(BASE_CAIXA!H1214&lt;&gt;"",BASE_CAIXA!H1214,BASE_CAIXA!G1214))</f>
        <v/>
      </c>
      <c r="J1217" s="26" t="str">
        <f>IF(A1217="","",BASE_CAIXA!G1214)</f>
        <v/>
      </c>
      <c r="K1217" s="26" t="str">
        <f>IF(A1217="","",BASE_CAIXA!I1214)</f>
        <v/>
      </c>
      <c r="L1217" s="26" t="str">
        <f>IF(A1217="","",BASE_CAIXA!J1214)</f>
        <v/>
      </c>
      <c r="M1217" s="26" t="str">
        <f>IF(A1217="","",BASE_CAIXA!AM1214)</f>
        <v/>
      </c>
      <c r="N1217" s="26" t="str">
        <f t="shared" ca="1" si="54"/>
        <v/>
      </c>
      <c r="O1217" s="26" t="str">
        <f>IFERROR(INDEX(EXTRATO_IMPORTADO!$A$5:$A$404,MATCH(B1217,EXTRATO_IMPORTADO!$I$5:$I$404,0)),"")</f>
        <v/>
      </c>
      <c r="P1217" s="26" t="str">
        <f>IFERROR(INDEX(EXTRATO_IMPORTADO!$F$5:$F$404,MATCH(B1217,EXTRATO_IMPORTADO!$I$5:$I$404,0)),"")</f>
        <v/>
      </c>
      <c r="Q1217" s="26" t="str">
        <f>IFERROR(INDEX(EXTRATO_IMPORTADO!$B$5:$B$404,MATCH(B1217,EXTRATO_IMPORTADO!$I$5:$I$404,0)),"")</f>
        <v/>
      </c>
      <c r="R1217" s="26" t="str">
        <f>IFERROR(MATCH(B1217,EXTRATO_IMPORTADO!$I$5:$I$404,0),"")</f>
        <v/>
      </c>
      <c r="S1217" s="26" t="str">
        <f t="shared" si="55"/>
        <v/>
      </c>
      <c r="T1217" s="26" t="str">
        <f t="shared" si="56"/>
        <v/>
      </c>
    </row>
    <row r="1218" spans="1:20" x14ac:dyDescent="0.3">
      <c r="A1218" s="26" t="str">
        <f>IF(BASE_CAIXA!A1215="","",BASE_CAIXA!A1215)</f>
        <v/>
      </c>
      <c r="B1218" s="26" t="str">
        <f>IF(A1218="","",BASE_CAIXA!AL1215)</f>
        <v/>
      </c>
      <c r="C1218" s="26" t="str">
        <f>IF(A1218="","",BASE_CAIXA!AJ1215)</f>
        <v/>
      </c>
      <c r="D1218" s="26" t="str">
        <f>IF(A1218="","",IF(BASE_CAIXA!C1215="Entrada","Crédito","Débito"))</f>
        <v/>
      </c>
      <c r="E1218" s="26" t="str">
        <f>IF(A1218="","",BASE_CAIXA!AA1215)</f>
        <v/>
      </c>
      <c r="F1218" s="26" t="str">
        <f>IF(A1218="","",BASE_CAIXA!N1215)</f>
        <v/>
      </c>
      <c r="G1218" s="26" t="str">
        <f>IF(A1218="","",BASE_CAIXA!O1215)</f>
        <v/>
      </c>
      <c r="H1218" s="26" t="str">
        <f>IF(A1218="","",BASE_CAIXA!P1215)</f>
        <v/>
      </c>
      <c r="I1218" s="26" t="str">
        <f>IF(A1218="","",IF(BASE_CAIXA!H1215&lt;&gt;"",BASE_CAIXA!H1215,BASE_CAIXA!G1215))</f>
        <v/>
      </c>
      <c r="J1218" s="26" t="str">
        <f>IF(A1218="","",BASE_CAIXA!G1215)</f>
        <v/>
      </c>
      <c r="K1218" s="26" t="str">
        <f>IF(A1218="","",BASE_CAIXA!I1215)</f>
        <v/>
      </c>
      <c r="L1218" s="26" t="str">
        <f>IF(A1218="","",BASE_CAIXA!J1215)</f>
        <v/>
      </c>
      <c r="M1218" s="26" t="str">
        <f>IF(A1218="","",BASE_CAIXA!AM1215)</f>
        <v/>
      </c>
      <c r="N1218" s="26" t="str">
        <f t="shared" ca="1" si="54"/>
        <v/>
      </c>
      <c r="O1218" s="26" t="str">
        <f>IFERROR(INDEX(EXTRATO_IMPORTADO!$A$5:$A$404,MATCH(B1218,EXTRATO_IMPORTADO!$I$5:$I$404,0)),"")</f>
        <v/>
      </c>
      <c r="P1218" s="26" t="str">
        <f>IFERROR(INDEX(EXTRATO_IMPORTADO!$F$5:$F$404,MATCH(B1218,EXTRATO_IMPORTADO!$I$5:$I$404,0)),"")</f>
        <v/>
      </c>
      <c r="Q1218" s="26" t="str">
        <f>IFERROR(INDEX(EXTRATO_IMPORTADO!$B$5:$B$404,MATCH(B1218,EXTRATO_IMPORTADO!$I$5:$I$404,0)),"")</f>
        <v/>
      </c>
      <c r="R1218" s="26" t="str">
        <f>IFERROR(MATCH(B1218,EXTRATO_IMPORTADO!$I$5:$I$404,0),"")</f>
        <v/>
      </c>
      <c r="S1218" s="26" t="str">
        <f t="shared" si="55"/>
        <v/>
      </c>
      <c r="T1218" s="26" t="str">
        <f t="shared" si="56"/>
        <v/>
      </c>
    </row>
    <row r="1219" spans="1:20" x14ac:dyDescent="0.3">
      <c r="A1219" s="26" t="str">
        <f>IF(BASE_CAIXA!A1216="","",BASE_CAIXA!A1216)</f>
        <v/>
      </c>
      <c r="B1219" s="26" t="str">
        <f>IF(A1219="","",BASE_CAIXA!AL1216)</f>
        <v/>
      </c>
      <c r="C1219" s="26" t="str">
        <f>IF(A1219="","",BASE_CAIXA!AJ1216)</f>
        <v/>
      </c>
      <c r="D1219" s="26" t="str">
        <f>IF(A1219="","",IF(BASE_CAIXA!C1216="Entrada","Crédito","Débito"))</f>
        <v/>
      </c>
      <c r="E1219" s="26" t="str">
        <f>IF(A1219="","",BASE_CAIXA!AA1216)</f>
        <v/>
      </c>
      <c r="F1219" s="26" t="str">
        <f>IF(A1219="","",BASE_CAIXA!N1216)</f>
        <v/>
      </c>
      <c r="G1219" s="26" t="str">
        <f>IF(A1219="","",BASE_CAIXA!O1216)</f>
        <v/>
      </c>
      <c r="H1219" s="26" t="str">
        <f>IF(A1219="","",BASE_CAIXA!P1216)</f>
        <v/>
      </c>
      <c r="I1219" s="26" t="str">
        <f>IF(A1219="","",IF(BASE_CAIXA!H1216&lt;&gt;"",BASE_CAIXA!H1216,BASE_CAIXA!G1216))</f>
        <v/>
      </c>
      <c r="J1219" s="26" t="str">
        <f>IF(A1219="","",BASE_CAIXA!G1216)</f>
        <v/>
      </c>
      <c r="K1219" s="26" t="str">
        <f>IF(A1219="","",BASE_CAIXA!I1216)</f>
        <v/>
      </c>
      <c r="L1219" s="26" t="str">
        <f>IF(A1219="","",BASE_CAIXA!J1216)</f>
        <v/>
      </c>
      <c r="M1219" s="26" t="str">
        <f>IF(A1219="","",BASE_CAIXA!AM1216)</f>
        <v/>
      </c>
      <c r="N1219" s="26" t="str">
        <f t="shared" ca="1" si="54"/>
        <v/>
      </c>
      <c r="O1219" s="26" t="str">
        <f>IFERROR(INDEX(EXTRATO_IMPORTADO!$A$5:$A$404,MATCH(B1219,EXTRATO_IMPORTADO!$I$5:$I$404,0)),"")</f>
        <v/>
      </c>
      <c r="P1219" s="26" t="str">
        <f>IFERROR(INDEX(EXTRATO_IMPORTADO!$F$5:$F$404,MATCH(B1219,EXTRATO_IMPORTADO!$I$5:$I$404,0)),"")</f>
        <v/>
      </c>
      <c r="Q1219" s="26" t="str">
        <f>IFERROR(INDEX(EXTRATO_IMPORTADO!$B$5:$B$404,MATCH(B1219,EXTRATO_IMPORTADO!$I$5:$I$404,0)),"")</f>
        <v/>
      </c>
      <c r="R1219" s="26" t="str">
        <f>IFERROR(MATCH(B1219,EXTRATO_IMPORTADO!$I$5:$I$404,0),"")</f>
        <v/>
      </c>
      <c r="S1219" s="26" t="str">
        <f t="shared" si="55"/>
        <v/>
      </c>
      <c r="T1219" s="26" t="str">
        <f t="shared" si="56"/>
        <v/>
      </c>
    </row>
    <row r="1220" spans="1:20" x14ac:dyDescent="0.3">
      <c r="A1220" s="26" t="str">
        <f>IF(BASE_CAIXA!A1217="","",BASE_CAIXA!A1217)</f>
        <v/>
      </c>
      <c r="B1220" s="26" t="str">
        <f>IF(A1220="","",BASE_CAIXA!AL1217)</f>
        <v/>
      </c>
      <c r="C1220" s="26" t="str">
        <f>IF(A1220="","",BASE_CAIXA!AJ1217)</f>
        <v/>
      </c>
      <c r="D1220" s="26" t="str">
        <f>IF(A1220="","",IF(BASE_CAIXA!C1217="Entrada","Crédito","Débito"))</f>
        <v/>
      </c>
      <c r="E1220" s="26" t="str">
        <f>IF(A1220="","",BASE_CAIXA!AA1217)</f>
        <v/>
      </c>
      <c r="F1220" s="26" t="str">
        <f>IF(A1220="","",BASE_CAIXA!N1217)</f>
        <v/>
      </c>
      <c r="G1220" s="26" t="str">
        <f>IF(A1220="","",BASE_CAIXA!O1217)</f>
        <v/>
      </c>
      <c r="H1220" s="26" t="str">
        <f>IF(A1220="","",BASE_CAIXA!P1217)</f>
        <v/>
      </c>
      <c r="I1220" s="26" t="str">
        <f>IF(A1220="","",IF(BASE_CAIXA!H1217&lt;&gt;"",BASE_CAIXA!H1217,BASE_CAIXA!G1217))</f>
        <v/>
      </c>
      <c r="J1220" s="26" t="str">
        <f>IF(A1220="","",BASE_CAIXA!G1217)</f>
        <v/>
      </c>
      <c r="K1220" s="26" t="str">
        <f>IF(A1220="","",BASE_CAIXA!I1217)</f>
        <v/>
      </c>
      <c r="L1220" s="26" t="str">
        <f>IF(A1220="","",BASE_CAIXA!J1217)</f>
        <v/>
      </c>
      <c r="M1220" s="26" t="str">
        <f>IF(A1220="","",BASE_CAIXA!AM1217)</f>
        <v/>
      </c>
      <c r="N1220" s="26" t="str">
        <f t="shared" ca="1" si="54"/>
        <v/>
      </c>
      <c r="O1220" s="26" t="str">
        <f>IFERROR(INDEX(EXTRATO_IMPORTADO!$A$5:$A$404,MATCH(B1220,EXTRATO_IMPORTADO!$I$5:$I$404,0)),"")</f>
        <v/>
      </c>
      <c r="P1220" s="26" t="str">
        <f>IFERROR(INDEX(EXTRATO_IMPORTADO!$F$5:$F$404,MATCH(B1220,EXTRATO_IMPORTADO!$I$5:$I$404,0)),"")</f>
        <v/>
      </c>
      <c r="Q1220" s="26" t="str">
        <f>IFERROR(INDEX(EXTRATO_IMPORTADO!$B$5:$B$404,MATCH(B1220,EXTRATO_IMPORTADO!$I$5:$I$404,0)),"")</f>
        <v/>
      </c>
      <c r="R1220" s="26" t="str">
        <f>IFERROR(MATCH(B1220,EXTRATO_IMPORTADO!$I$5:$I$404,0),"")</f>
        <v/>
      </c>
      <c r="S1220" s="26" t="str">
        <f t="shared" si="55"/>
        <v/>
      </c>
      <c r="T1220" s="26" t="str">
        <f t="shared" si="56"/>
        <v/>
      </c>
    </row>
    <row r="1221" spans="1:20" x14ac:dyDescent="0.3">
      <c r="A1221" s="26" t="str">
        <f>IF(BASE_CAIXA!A1218="","",BASE_CAIXA!A1218)</f>
        <v/>
      </c>
      <c r="B1221" s="26" t="str">
        <f>IF(A1221="","",BASE_CAIXA!AL1218)</f>
        <v/>
      </c>
      <c r="C1221" s="26" t="str">
        <f>IF(A1221="","",BASE_CAIXA!AJ1218)</f>
        <v/>
      </c>
      <c r="D1221" s="26" t="str">
        <f>IF(A1221="","",IF(BASE_CAIXA!C1218="Entrada","Crédito","Débito"))</f>
        <v/>
      </c>
      <c r="E1221" s="26" t="str">
        <f>IF(A1221="","",BASE_CAIXA!AA1218)</f>
        <v/>
      </c>
      <c r="F1221" s="26" t="str">
        <f>IF(A1221="","",BASE_CAIXA!N1218)</f>
        <v/>
      </c>
      <c r="G1221" s="26" t="str">
        <f>IF(A1221="","",BASE_CAIXA!O1218)</f>
        <v/>
      </c>
      <c r="H1221" s="26" t="str">
        <f>IF(A1221="","",BASE_CAIXA!P1218)</f>
        <v/>
      </c>
      <c r="I1221" s="26" t="str">
        <f>IF(A1221="","",IF(BASE_CAIXA!H1218&lt;&gt;"",BASE_CAIXA!H1218,BASE_CAIXA!G1218))</f>
        <v/>
      </c>
      <c r="J1221" s="26" t="str">
        <f>IF(A1221="","",BASE_CAIXA!G1218)</f>
        <v/>
      </c>
      <c r="K1221" s="26" t="str">
        <f>IF(A1221="","",BASE_CAIXA!I1218)</f>
        <v/>
      </c>
      <c r="L1221" s="26" t="str">
        <f>IF(A1221="","",BASE_CAIXA!J1218)</f>
        <v/>
      </c>
      <c r="M1221" s="26" t="str">
        <f>IF(A1221="","",BASE_CAIXA!AM1218)</f>
        <v/>
      </c>
      <c r="N1221" s="26" t="str">
        <f t="shared" ref="N1221:N1284" ca="1" si="57">IF(A1221="","",IF(R1221&lt;&gt;"",IF(AND(ABS(S1221)&lt;=0.01,ABS(T1221)&lt;=3),"Conciliado","Divergente"),IF(TODAY()&gt;C1221,"Pendente vencido","Previsto")))</f>
        <v/>
      </c>
      <c r="O1221" s="26" t="str">
        <f>IFERROR(INDEX(EXTRATO_IMPORTADO!$A$5:$A$404,MATCH(B1221,EXTRATO_IMPORTADO!$I$5:$I$404,0)),"")</f>
        <v/>
      </c>
      <c r="P1221" s="26" t="str">
        <f>IFERROR(INDEX(EXTRATO_IMPORTADO!$F$5:$F$404,MATCH(B1221,EXTRATO_IMPORTADO!$I$5:$I$404,0)),"")</f>
        <v/>
      </c>
      <c r="Q1221" s="26" t="str">
        <f>IFERROR(INDEX(EXTRATO_IMPORTADO!$B$5:$B$404,MATCH(B1221,EXTRATO_IMPORTADO!$I$5:$I$404,0)),"")</f>
        <v/>
      </c>
      <c r="R1221" s="26" t="str">
        <f>IFERROR(MATCH(B1221,EXTRATO_IMPORTADO!$I$5:$I$404,0),"")</f>
        <v/>
      </c>
      <c r="S1221" s="26" t="str">
        <f t="shared" ref="S1221:S1284" si="58">IF(OR(A1221="",P1221=""),"",P1221-E1221)</f>
        <v/>
      </c>
      <c r="T1221" s="26" t="str">
        <f t="shared" ref="T1221:T1284" si="59">IF(OR(A1221="",O1221=""),"",O1221-C1221)</f>
        <v/>
      </c>
    </row>
    <row r="1222" spans="1:20" x14ac:dyDescent="0.3">
      <c r="A1222" s="26" t="str">
        <f>IF(BASE_CAIXA!A1219="","",BASE_CAIXA!A1219)</f>
        <v/>
      </c>
      <c r="B1222" s="26" t="str">
        <f>IF(A1222="","",BASE_CAIXA!AL1219)</f>
        <v/>
      </c>
      <c r="C1222" s="26" t="str">
        <f>IF(A1222="","",BASE_CAIXA!AJ1219)</f>
        <v/>
      </c>
      <c r="D1222" s="26" t="str">
        <f>IF(A1222="","",IF(BASE_CAIXA!C1219="Entrada","Crédito","Débito"))</f>
        <v/>
      </c>
      <c r="E1222" s="26" t="str">
        <f>IF(A1222="","",BASE_CAIXA!AA1219)</f>
        <v/>
      </c>
      <c r="F1222" s="26" t="str">
        <f>IF(A1222="","",BASE_CAIXA!N1219)</f>
        <v/>
      </c>
      <c r="G1222" s="26" t="str">
        <f>IF(A1222="","",BASE_CAIXA!O1219)</f>
        <v/>
      </c>
      <c r="H1222" s="26" t="str">
        <f>IF(A1222="","",BASE_CAIXA!P1219)</f>
        <v/>
      </c>
      <c r="I1222" s="26" t="str">
        <f>IF(A1222="","",IF(BASE_CAIXA!H1219&lt;&gt;"",BASE_CAIXA!H1219,BASE_CAIXA!G1219))</f>
        <v/>
      </c>
      <c r="J1222" s="26" t="str">
        <f>IF(A1222="","",BASE_CAIXA!G1219)</f>
        <v/>
      </c>
      <c r="K1222" s="26" t="str">
        <f>IF(A1222="","",BASE_CAIXA!I1219)</f>
        <v/>
      </c>
      <c r="L1222" s="26" t="str">
        <f>IF(A1222="","",BASE_CAIXA!J1219)</f>
        <v/>
      </c>
      <c r="M1222" s="26" t="str">
        <f>IF(A1222="","",BASE_CAIXA!AM1219)</f>
        <v/>
      </c>
      <c r="N1222" s="26" t="str">
        <f t="shared" ca="1" si="57"/>
        <v/>
      </c>
      <c r="O1222" s="26" t="str">
        <f>IFERROR(INDEX(EXTRATO_IMPORTADO!$A$5:$A$404,MATCH(B1222,EXTRATO_IMPORTADO!$I$5:$I$404,0)),"")</f>
        <v/>
      </c>
      <c r="P1222" s="26" t="str">
        <f>IFERROR(INDEX(EXTRATO_IMPORTADO!$F$5:$F$404,MATCH(B1222,EXTRATO_IMPORTADO!$I$5:$I$404,0)),"")</f>
        <v/>
      </c>
      <c r="Q1222" s="26" t="str">
        <f>IFERROR(INDEX(EXTRATO_IMPORTADO!$B$5:$B$404,MATCH(B1222,EXTRATO_IMPORTADO!$I$5:$I$404,0)),"")</f>
        <v/>
      </c>
      <c r="R1222" s="26" t="str">
        <f>IFERROR(MATCH(B1222,EXTRATO_IMPORTADO!$I$5:$I$404,0),"")</f>
        <v/>
      </c>
      <c r="S1222" s="26" t="str">
        <f t="shared" si="58"/>
        <v/>
      </c>
      <c r="T1222" s="26" t="str">
        <f t="shared" si="59"/>
        <v/>
      </c>
    </row>
    <row r="1223" spans="1:20" x14ac:dyDescent="0.3">
      <c r="A1223" s="26" t="str">
        <f>IF(BASE_CAIXA!A1220="","",BASE_CAIXA!A1220)</f>
        <v/>
      </c>
      <c r="B1223" s="26" t="str">
        <f>IF(A1223="","",BASE_CAIXA!AL1220)</f>
        <v/>
      </c>
      <c r="C1223" s="26" t="str">
        <f>IF(A1223="","",BASE_CAIXA!AJ1220)</f>
        <v/>
      </c>
      <c r="D1223" s="26" t="str">
        <f>IF(A1223="","",IF(BASE_CAIXA!C1220="Entrada","Crédito","Débito"))</f>
        <v/>
      </c>
      <c r="E1223" s="26" t="str">
        <f>IF(A1223="","",BASE_CAIXA!AA1220)</f>
        <v/>
      </c>
      <c r="F1223" s="26" t="str">
        <f>IF(A1223="","",BASE_CAIXA!N1220)</f>
        <v/>
      </c>
      <c r="G1223" s="26" t="str">
        <f>IF(A1223="","",BASE_CAIXA!O1220)</f>
        <v/>
      </c>
      <c r="H1223" s="26" t="str">
        <f>IF(A1223="","",BASE_CAIXA!P1220)</f>
        <v/>
      </c>
      <c r="I1223" s="26" t="str">
        <f>IF(A1223="","",IF(BASE_CAIXA!H1220&lt;&gt;"",BASE_CAIXA!H1220,BASE_CAIXA!G1220))</f>
        <v/>
      </c>
      <c r="J1223" s="26" t="str">
        <f>IF(A1223="","",BASE_CAIXA!G1220)</f>
        <v/>
      </c>
      <c r="K1223" s="26" t="str">
        <f>IF(A1223="","",BASE_CAIXA!I1220)</f>
        <v/>
      </c>
      <c r="L1223" s="26" t="str">
        <f>IF(A1223="","",BASE_CAIXA!J1220)</f>
        <v/>
      </c>
      <c r="M1223" s="26" t="str">
        <f>IF(A1223="","",BASE_CAIXA!AM1220)</f>
        <v/>
      </c>
      <c r="N1223" s="26" t="str">
        <f t="shared" ca="1" si="57"/>
        <v/>
      </c>
      <c r="O1223" s="26" t="str">
        <f>IFERROR(INDEX(EXTRATO_IMPORTADO!$A$5:$A$404,MATCH(B1223,EXTRATO_IMPORTADO!$I$5:$I$404,0)),"")</f>
        <v/>
      </c>
      <c r="P1223" s="26" t="str">
        <f>IFERROR(INDEX(EXTRATO_IMPORTADO!$F$5:$F$404,MATCH(B1223,EXTRATO_IMPORTADO!$I$5:$I$404,0)),"")</f>
        <v/>
      </c>
      <c r="Q1223" s="26" t="str">
        <f>IFERROR(INDEX(EXTRATO_IMPORTADO!$B$5:$B$404,MATCH(B1223,EXTRATO_IMPORTADO!$I$5:$I$404,0)),"")</f>
        <v/>
      </c>
      <c r="R1223" s="26" t="str">
        <f>IFERROR(MATCH(B1223,EXTRATO_IMPORTADO!$I$5:$I$404,0),"")</f>
        <v/>
      </c>
      <c r="S1223" s="26" t="str">
        <f t="shared" si="58"/>
        <v/>
      </c>
      <c r="T1223" s="26" t="str">
        <f t="shared" si="59"/>
        <v/>
      </c>
    </row>
    <row r="1224" spans="1:20" x14ac:dyDescent="0.3">
      <c r="A1224" s="26" t="str">
        <f>IF(BASE_CAIXA!A1221="","",BASE_CAIXA!A1221)</f>
        <v/>
      </c>
      <c r="B1224" s="26" t="str">
        <f>IF(A1224="","",BASE_CAIXA!AL1221)</f>
        <v/>
      </c>
      <c r="C1224" s="26" t="str">
        <f>IF(A1224="","",BASE_CAIXA!AJ1221)</f>
        <v/>
      </c>
      <c r="D1224" s="26" t="str">
        <f>IF(A1224="","",IF(BASE_CAIXA!C1221="Entrada","Crédito","Débito"))</f>
        <v/>
      </c>
      <c r="E1224" s="26" t="str">
        <f>IF(A1224="","",BASE_CAIXA!AA1221)</f>
        <v/>
      </c>
      <c r="F1224" s="26" t="str">
        <f>IF(A1224="","",BASE_CAIXA!N1221)</f>
        <v/>
      </c>
      <c r="G1224" s="26" t="str">
        <f>IF(A1224="","",BASE_CAIXA!O1221)</f>
        <v/>
      </c>
      <c r="H1224" s="26" t="str">
        <f>IF(A1224="","",BASE_CAIXA!P1221)</f>
        <v/>
      </c>
      <c r="I1224" s="26" t="str">
        <f>IF(A1224="","",IF(BASE_CAIXA!H1221&lt;&gt;"",BASE_CAIXA!H1221,BASE_CAIXA!G1221))</f>
        <v/>
      </c>
      <c r="J1224" s="26" t="str">
        <f>IF(A1224="","",BASE_CAIXA!G1221)</f>
        <v/>
      </c>
      <c r="K1224" s="26" t="str">
        <f>IF(A1224="","",BASE_CAIXA!I1221)</f>
        <v/>
      </c>
      <c r="L1224" s="26" t="str">
        <f>IF(A1224="","",BASE_CAIXA!J1221)</f>
        <v/>
      </c>
      <c r="M1224" s="26" t="str">
        <f>IF(A1224="","",BASE_CAIXA!AM1221)</f>
        <v/>
      </c>
      <c r="N1224" s="26" t="str">
        <f t="shared" ca="1" si="57"/>
        <v/>
      </c>
      <c r="O1224" s="26" t="str">
        <f>IFERROR(INDEX(EXTRATO_IMPORTADO!$A$5:$A$404,MATCH(B1224,EXTRATO_IMPORTADO!$I$5:$I$404,0)),"")</f>
        <v/>
      </c>
      <c r="P1224" s="26" t="str">
        <f>IFERROR(INDEX(EXTRATO_IMPORTADO!$F$5:$F$404,MATCH(B1224,EXTRATO_IMPORTADO!$I$5:$I$404,0)),"")</f>
        <v/>
      </c>
      <c r="Q1224" s="26" t="str">
        <f>IFERROR(INDEX(EXTRATO_IMPORTADO!$B$5:$B$404,MATCH(B1224,EXTRATO_IMPORTADO!$I$5:$I$404,0)),"")</f>
        <v/>
      </c>
      <c r="R1224" s="26" t="str">
        <f>IFERROR(MATCH(B1224,EXTRATO_IMPORTADO!$I$5:$I$404,0),"")</f>
        <v/>
      </c>
      <c r="S1224" s="26" t="str">
        <f t="shared" si="58"/>
        <v/>
      </c>
      <c r="T1224" s="26" t="str">
        <f t="shared" si="59"/>
        <v/>
      </c>
    </row>
    <row r="1225" spans="1:20" x14ac:dyDescent="0.3">
      <c r="A1225" s="26" t="str">
        <f>IF(BASE_CAIXA!A1222="","",BASE_CAIXA!A1222)</f>
        <v/>
      </c>
      <c r="B1225" s="26" t="str">
        <f>IF(A1225="","",BASE_CAIXA!AL1222)</f>
        <v/>
      </c>
      <c r="C1225" s="26" t="str">
        <f>IF(A1225="","",BASE_CAIXA!AJ1222)</f>
        <v/>
      </c>
      <c r="D1225" s="26" t="str">
        <f>IF(A1225="","",IF(BASE_CAIXA!C1222="Entrada","Crédito","Débito"))</f>
        <v/>
      </c>
      <c r="E1225" s="26" t="str">
        <f>IF(A1225="","",BASE_CAIXA!AA1222)</f>
        <v/>
      </c>
      <c r="F1225" s="26" t="str">
        <f>IF(A1225="","",BASE_CAIXA!N1222)</f>
        <v/>
      </c>
      <c r="G1225" s="26" t="str">
        <f>IF(A1225="","",BASE_CAIXA!O1222)</f>
        <v/>
      </c>
      <c r="H1225" s="26" t="str">
        <f>IF(A1225="","",BASE_CAIXA!P1222)</f>
        <v/>
      </c>
      <c r="I1225" s="26" t="str">
        <f>IF(A1225="","",IF(BASE_CAIXA!H1222&lt;&gt;"",BASE_CAIXA!H1222,BASE_CAIXA!G1222))</f>
        <v/>
      </c>
      <c r="J1225" s="26" t="str">
        <f>IF(A1225="","",BASE_CAIXA!G1222)</f>
        <v/>
      </c>
      <c r="K1225" s="26" t="str">
        <f>IF(A1225="","",BASE_CAIXA!I1222)</f>
        <v/>
      </c>
      <c r="L1225" s="26" t="str">
        <f>IF(A1225="","",BASE_CAIXA!J1222)</f>
        <v/>
      </c>
      <c r="M1225" s="26" t="str">
        <f>IF(A1225="","",BASE_CAIXA!AM1222)</f>
        <v/>
      </c>
      <c r="N1225" s="26" t="str">
        <f t="shared" ca="1" si="57"/>
        <v/>
      </c>
      <c r="O1225" s="26" t="str">
        <f>IFERROR(INDEX(EXTRATO_IMPORTADO!$A$5:$A$404,MATCH(B1225,EXTRATO_IMPORTADO!$I$5:$I$404,0)),"")</f>
        <v/>
      </c>
      <c r="P1225" s="26" t="str">
        <f>IFERROR(INDEX(EXTRATO_IMPORTADO!$F$5:$F$404,MATCH(B1225,EXTRATO_IMPORTADO!$I$5:$I$404,0)),"")</f>
        <v/>
      </c>
      <c r="Q1225" s="26" t="str">
        <f>IFERROR(INDEX(EXTRATO_IMPORTADO!$B$5:$B$404,MATCH(B1225,EXTRATO_IMPORTADO!$I$5:$I$404,0)),"")</f>
        <v/>
      </c>
      <c r="R1225" s="26" t="str">
        <f>IFERROR(MATCH(B1225,EXTRATO_IMPORTADO!$I$5:$I$404,0),"")</f>
        <v/>
      </c>
      <c r="S1225" s="26" t="str">
        <f t="shared" si="58"/>
        <v/>
      </c>
      <c r="T1225" s="26" t="str">
        <f t="shared" si="59"/>
        <v/>
      </c>
    </row>
    <row r="1226" spans="1:20" x14ac:dyDescent="0.3">
      <c r="A1226" s="26" t="str">
        <f>IF(BASE_CAIXA!A1223="","",BASE_CAIXA!A1223)</f>
        <v/>
      </c>
      <c r="B1226" s="26" t="str">
        <f>IF(A1226="","",BASE_CAIXA!AL1223)</f>
        <v/>
      </c>
      <c r="C1226" s="26" t="str">
        <f>IF(A1226="","",BASE_CAIXA!AJ1223)</f>
        <v/>
      </c>
      <c r="D1226" s="26" t="str">
        <f>IF(A1226="","",IF(BASE_CAIXA!C1223="Entrada","Crédito","Débito"))</f>
        <v/>
      </c>
      <c r="E1226" s="26" t="str">
        <f>IF(A1226="","",BASE_CAIXA!AA1223)</f>
        <v/>
      </c>
      <c r="F1226" s="26" t="str">
        <f>IF(A1226="","",BASE_CAIXA!N1223)</f>
        <v/>
      </c>
      <c r="G1226" s="26" t="str">
        <f>IF(A1226="","",BASE_CAIXA!O1223)</f>
        <v/>
      </c>
      <c r="H1226" s="26" t="str">
        <f>IF(A1226="","",BASE_CAIXA!P1223)</f>
        <v/>
      </c>
      <c r="I1226" s="26" t="str">
        <f>IF(A1226="","",IF(BASE_CAIXA!H1223&lt;&gt;"",BASE_CAIXA!H1223,BASE_CAIXA!G1223))</f>
        <v/>
      </c>
      <c r="J1226" s="26" t="str">
        <f>IF(A1226="","",BASE_CAIXA!G1223)</f>
        <v/>
      </c>
      <c r="K1226" s="26" t="str">
        <f>IF(A1226="","",BASE_CAIXA!I1223)</f>
        <v/>
      </c>
      <c r="L1226" s="26" t="str">
        <f>IF(A1226="","",BASE_CAIXA!J1223)</f>
        <v/>
      </c>
      <c r="M1226" s="26" t="str">
        <f>IF(A1226="","",BASE_CAIXA!AM1223)</f>
        <v/>
      </c>
      <c r="N1226" s="26" t="str">
        <f t="shared" ca="1" si="57"/>
        <v/>
      </c>
      <c r="O1226" s="26" t="str">
        <f>IFERROR(INDEX(EXTRATO_IMPORTADO!$A$5:$A$404,MATCH(B1226,EXTRATO_IMPORTADO!$I$5:$I$404,0)),"")</f>
        <v/>
      </c>
      <c r="P1226" s="26" t="str">
        <f>IFERROR(INDEX(EXTRATO_IMPORTADO!$F$5:$F$404,MATCH(B1226,EXTRATO_IMPORTADO!$I$5:$I$404,0)),"")</f>
        <v/>
      </c>
      <c r="Q1226" s="26" t="str">
        <f>IFERROR(INDEX(EXTRATO_IMPORTADO!$B$5:$B$404,MATCH(B1226,EXTRATO_IMPORTADO!$I$5:$I$404,0)),"")</f>
        <v/>
      </c>
      <c r="R1226" s="26" t="str">
        <f>IFERROR(MATCH(B1226,EXTRATO_IMPORTADO!$I$5:$I$404,0),"")</f>
        <v/>
      </c>
      <c r="S1226" s="26" t="str">
        <f t="shared" si="58"/>
        <v/>
      </c>
      <c r="T1226" s="26" t="str">
        <f t="shared" si="59"/>
        <v/>
      </c>
    </row>
    <row r="1227" spans="1:20" x14ac:dyDescent="0.3">
      <c r="A1227" s="26" t="str">
        <f>IF(BASE_CAIXA!A1224="","",BASE_CAIXA!A1224)</f>
        <v/>
      </c>
      <c r="B1227" s="26" t="str">
        <f>IF(A1227="","",BASE_CAIXA!AL1224)</f>
        <v/>
      </c>
      <c r="C1227" s="26" t="str">
        <f>IF(A1227="","",BASE_CAIXA!AJ1224)</f>
        <v/>
      </c>
      <c r="D1227" s="26" t="str">
        <f>IF(A1227="","",IF(BASE_CAIXA!C1224="Entrada","Crédito","Débito"))</f>
        <v/>
      </c>
      <c r="E1227" s="26" t="str">
        <f>IF(A1227="","",BASE_CAIXA!AA1224)</f>
        <v/>
      </c>
      <c r="F1227" s="26" t="str">
        <f>IF(A1227="","",BASE_CAIXA!N1224)</f>
        <v/>
      </c>
      <c r="G1227" s="26" t="str">
        <f>IF(A1227="","",BASE_CAIXA!O1224)</f>
        <v/>
      </c>
      <c r="H1227" s="26" t="str">
        <f>IF(A1227="","",BASE_CAIXA!P1224)</f>
        <v/>
      </c>
      <c r="I1227" s="26" t="str">
        <f>IF(A1227="","",IF(BASE_CAIXA!H1224&lt;&gt;"",BASE_CAIXA!H1224,BASE_CAIXA!G1224))</f>
        <v/>
      </c>
      <c r="J1227" s="26" t="str">
        <f>IF(A1227="","",BASE_CAIXA!G1224)</f>
        <v/>
      </c>
      <c r="K1227" s="26" t="str">
        <f>IF(A1227="","",BASE_CAIXA!I1224)</f>
        <v/>
      </c>
      <c r="L1227" s="26" t="str">
        <f>IF(A1227="","",BASE_CAIXA!J1224)</f>
        <v/>
      </c>
      <c r="M1227" s="26" t="str">
        <f>IF(A1227="","",BASE_CAIXA!AM1224)</f>
        <v/>
      </c>
      <c r="N1227" s="26" t="str">
        <f t="shared" ca="1" si="57"/>
        <v/>
      </c>
      <c r="O1227" s="26" t="str">
        <f>IFERROR(INDEX(EXTRATO_IMPORTADO!$A$5:$A$404,MATCH(B1227,EXTRATO_IMPORTADO!$I$5:$I$404,0)),"")</f>
        <v/>
      </c>
      <c r="P1227" s="26" t="str">
        <f>IFERROR(INDEX(EXTRATO_IMPORTADO!$F$5:$F$404,MATCH(B1227,EXTRATO_IMPORTADO!$I$5:$I$404,0)),"")</f>
        <v/>
      </c>
      <c r="Q1227" s="26" t="str">
        <f>IFERROR(INDEX(EXTRATO_IMPORTADO!$B$5:$B$404,MATCH(B1227,EXTRATO_IMPORTADO!$I$5:$I$404,0)),"")</f>
        <v/>
      </c>
      <c r="R1227" s="26" t="str">
        <f>IFERROR(MATCH(B1227,EXTRATO_IMPORTADO!$I$5:$I$404,0),"")</f>
        <v/>
      </c>
      <c r="S1227" s="26" t="str">
        <f t="shared" si="58"/>
        <v/>
      </c>
      <c r="T1227" s="26" t="str">
        <f t="shared" si="59"/>
        <v/>
      </c>
    </row>
    <row r="1228" spans="1:20" x14ac:dyDescent="0.3">
      <c r="A1228" s="26" t="str">
        <f>IF(BASE_CAIXA!A1225="","",BASE_CAIXA!A1225)</f>
        <v/>
      </c>
      <c r="B1228" s="26" t="str">
        <f>IF(A1228="","",BASE_CAIXA!AL1225)</f>
        <v/>
      </c>
      <c r="C1228" s="26" t="str">
        <f>IF(A1228="","",BASE_CAIXA!AJ1225)</f>
        <v/>
      </c>
      <c r="D1228" s="26" t="str">
        <f>IF(A1228="","",IF(BASE_CAIXA!C1225="Entrada","Crédito","Débito"))</f>
        <v/>
      </c>
      <c r="E1228" s="26" t="str">
        <f>IF(A1228="","",BASE_CAIXA!AA1225)</f>
        <v/>
      </c>
      <c r="F1228" s="26" t="str">
        <f>IF(A1228="","",BASE_CAIXA!N1225)</f>
        <v/>
      </c>
      <c r="G1228" s="26" t="str">
        <f>IF(A1228="","",BASE_CAIXA!O1225)</f>
        <v/>
      </c>
      <c r="H1228" s="26" t="str">
        <f>IF(A1228="","",BASE_CAIXA!P1225)</f>
        <v/>
      </c>
      <c r="I1228" s="26" t="str">
        <f>IF(A1228="","",IF(BASE_CAIXA!H1225&lt;&gt;"",BASE_CAIXA!H1225,BASE_CAIXA!G1225))</f>
        <v/>
      </c>
      <c r="J1228" s="26" t="str">
        <f>IF(A1228="","",BASE_CAIXA!G1225)</f>
        <v/>
      </c>
      <c r="K1228" s="26" t="str">
        <f>IF(A1228="","",BASE_CAIXA!I1225)</f>
        <v/>
      </c>
      <c r="L1228" s="26" t="str">
        <f>IF(A1228="","",BASE_CAIXA!J1225)</f>
        <v/>
      </c>
      <c r="M1228" s="26" t="str">
        <f>IF(A1228="","",BASE_CAIXA!AM1225)</f>
        <v/>
      </c>
      <c r="N1228" s="26" t="str">
        <f t="shared" ca="1" si="57"/>
        <v/>
      </c>
      <c r="O1228" s="26" t="str">
        <f>IFERROR(INDEX(EXTRATO_IMPORTADO!$A$5:$A$404,MATCH(B1228,EXTRATO_IMPORTADO!$I$5:$I$404,0)),"")</f>
        <v/>
      </c>
      <c r="P1228" s="26" t="str">
        <f>IFERROR(INDEX(EXTRATO_IMPORTADO!$F$5:$F$404,MATCH(B1228,EXTRATO_IMPORTADO!$I$5:$I$404,0)),"")</f>
        <v/>
      </c>
      <c r="Q1228" s="26" t="str">
        <f>IFERROR(INDEX(EXTRATO_IMPORTADO!$B$5:$B$404,MATCH(B1228,EXTRATO_IMPORTADO!$I$5:$I$404,0)),"")</f>
        <v/>
      </c>
      <c r="R1228" s="26" t="str">
        <f>IFERROR(MATCH(B1228,EXTRATO_IMPORTADO!$I$5:$I$404,0),"")</f>
        <v/>
      </c>
      <c r="S1228" s="26" t="str">
        <f t="shared" si="58"/>
        <v/>
      </c>
      <c r="T1228" s="26" t="str">
        <f t="shared" si="59"/>
        <v/>
      </c>
    </row>
    <row r="1229" spans="1:20" x14ac:dyDescent="0.3">
      <c r="A1229" s="26" t="str">
        <f>IF(BASE_CAIXA!A1226="","",BASE_CAIXA!A1226)</f>
        <v/>
      </c>
      <c r="B1229" s="26" t="str">
        <f>IF(A1229="","",BASE_CAIXA!AL1226)</f>
        <v/>
      </c>
      <c r="C1229" s="26" t="str">
        <f>IF(A1229="","",BASE_CAIXA!AJ1226)</f>
        <v/>
      </c>
      <c r="D1229" s="26" t="str">
        <f>IF(A1229="","",IF(BASE_CAIXA!C1226="Entrada","Crédito","Débito"))</f>
        <v/>
      </c>
      <c r="E1229" s="26" t="str">
        <f>IF(A1229="","",BASE_CAIXA!AA1226)</f>
        <v/>
      </c>
      <c r="F1229" s="26" t="str">
        <f>IF(A1229="","",BASE_CAIXA!N1226)</f>
        <v/>
      </c>
      <c r="G1229" s="26" t="str">
        <f>IF(A1229="","",BASE_CAIXA!O1226)</f>
        <v/>
      </c>
      <c r="H1229" s="26" t="str">
        <f>IF(A1229="","",BASE_CAIXA!P1226)</f>
        <v/>
      </c>
      <c r="I1229" s="26" t="str">
        <f>IF(A1229="","",IF(BASE_CAIXA!H1226&lt;&gt;"",BASE_CAIXA!H1226,BASE_CAIXA!G1226))</f>
        <v/>
      </c>
      <c r="J1229" s="26" t="str">
        <f>IF(A1229="","",BASE_CAIXA!G1226)</f>
        <v/>
      </c>
      <c r="K1229" s="26" t="str">
        <f>IF(A1229="","",BASE_CAIXA!I1226)</f>
        <v/>
      </c>
      <c r="L1229" s="26" t="str">
        <f>IF(A1229="","",BASE_CAIXA!J1226)</f>
        <v/>
      </c>
      <c r="M1229" s="26" t="str">
        <f>IF(A1229="","",BASE_CAIXA!AM1226)</f>
        <v/>
      </c>
      <c r="N1229" s="26" t="str">
        <f t="shared" ca="1" si="57"/>
        <v/>
      </c>
      <c r="O1229" s="26" t="str">
        <f>IFERROR(INDEX(EXTRATO_IMPORTADO!$A$5:$A$404,MATCH(B1229,EXTRATO_IMPORTADO!$I$5:$I$404,0)),"")</f>
        <v/>
      </c>
      <c r="P1229" s="26" t="str">
        <f>IFERROR(INDEX(EXTRATO_IMPORTADO!$F$5:$F$404,MATCH(B1229,EXTRATO_IMPORTADO!$I$5:$I$404,0)),"")</f>
        <v/>
      </c>
      <c r="Q1229" s="26" t="str">
        <f>IFERROR(INDEX(EXTRATO_IMPORTADO!$B$5:$B$404,MATCH(B1229,EXTRATO_IMPORTADO!$I$5:$I$404,0)),"")</f>
        <v/>
      </c>
      <c r="R1229" s="26" t="str">
        <f>IFERROR(MATCH(B1229,EXTRATO_IMPORTADO!$I$5:$I$404,0),"")</f>
        <v/>
      </c>
      <c r="S1229" s="26" t="str">
        <f t="shared" si="58"/>
        <v/>
      </c>
      <c r="T1229" s="26" t="str">
        <f t="shared" si="59"/>
        <v/>
      </c>
    </row>
    <row r="1230" spans="1:20" x14ac:dyDescent="0.3">
      <c r="A1230" s="26" t="str">
        <f>IF(BASE_CAIXA!A1227="","",BASE_CAIXA!A1227)</f>
        <v/>
      </c>
      <c r="B1230" s="26" t="str">
        <f>IF(A1230="","",BASE_CAIXA!AL1227)</f>
        <v/>
      </c>
      <c r="C1230" s="26" t="str">
        <f>IF(A1230="","",BASE_CAIXA!AJ1227)</f>
        <v/>
      </c>
      <c r="D1230" s="26" t="str">
        <f>IF(A1230="","",IF(BASE_CAIXA!C1227="Entrada","Crédito","Débito"))</f>
        <v/>
      </c>
      <c r="E1230" s="26" t="str">
        <f>IF(A1230="","",BASE_CAIXA!AA1227)</f>
        <v/>
      </c>
      <c r="F1230" s="26" t="str">
        <f>IF(A1230="","",BASE_CAIXA!N1227)</f>
        <v/>
      </c>
      <c r="G1230" s="26" t="str">
        <f>IF(A1230="","",BASE_CAIXA!O1227)</f>
        <v/>
      </c>
      <c r="H1230" s="26" t="str">
        <f>IF(A1230="","",BASE_CAIXA!P1227)</f>
        <v/>
      </c>
      <c r="I1230" s="26" t="str">
        <f>IF(A1230="","",IF(BASE_CAIXA!H1227&lt;&gt;"",BASE_CAIXA!H1227,BASE_CAIXA!G1227))</f>
        <v/>
      </c>
      <c r="J1230" s="26" t="str">
        <f>IF(A1230="","",BASE_CAIXA!G1227)</f>
        <v/>
      </c>
      <c r="K1230" s="26" t="str">
        <f>IF(A1230="","",BASE_CAIXA!I1227)</f>
        <v/>
      </c>
      <c r="L1230" s="26" t="str">
        <f>IF(A1230="","",BASE_CAIXA!J1227)</f>
        <v/>
      </c>
      <c r="M1230" s="26" t="str">
        <f>IF(A1230="","",BASE_CAIXA!AM1227)</f>
        <v/>
      </c>
      <c r="N1230" s="26" t="str">
        <f t="shared" ca="1" si="57"/>
        <v/>
      </c>
      <c r="O1230" s="26" t="str">
        <f>IFERROR(INDEX(EXTRATO_IMPORTADO!$A$5:$A$404,MATCH(B1230,EXTRATO_IMPORTADO!$I$5:$I$404,0)),"")</f>
        <v/>
      </c>
      <c r="P1230" s="26" t="str">
        <f>IFERROR(INDEX(EXTRATO_IMPORTADO!$F$5:$F$404,MATCH(B1230,EXTRATO_IMPORTADO!$I$5:$I$404,0)),"")</f>
        <v/>
      </c>
      <c r="Q1230" s="26" t="str">
        <f>IFERROR(INDEX(EXTRATO_IMPORTADO!$B$5:$B$404,MATCH(B1230,EXTRATO_IMPORTADO!$I$5:$I$404,0)),"")</f>
        <v/>
      </c>
      <c r="R1230" s="26" t="str">
        <f>IFERROR(MATCH(B1230,EXTRATO_IMPORTADO!$I$5:$I$404,0),"")</f>
        <v/>
      </c>
      <c r="S1230" s="26" t="str">
        <f t="shared" si="58"/>
        <v/>
      </c>
      <c r="T1230" s="26" t="str">
        <f t="shared" si="59"/>
        <v/>
      </c>
    </row>
    <row r="1231" spans="1:20" x14ac:dyDescent="0.3">
      <c r="A1231" s="26" t="str">
        <f>IF(BASE_CAIXA!A1228="","",BASE_CAIXA!A1228)</f>
        <v/>
      </c>
      <c r="B1231" s="26" t="str">
        <f>IF(A1231="","",BASE_CAIXA!AL1228)</f>
        <v/>
      </c>
      <c r="C1231" s="26" t="str">
        <f>IF(A1231="","",BASE_CAIXA!AJ1228)</f>
        <v/>
      </c>
      <c r="D1231" s="26" t="str">
        <f>IF(A1231="","",IF(BASE_CAIXA!C1228="Entrada","Crédito","Débito"))</f>
        <v/>
      </c>
      <c r="E1231" s="26" t="str">
        <f>IF(A1231="","",BASE_CAIXA!AA1228)</f>
        <v/>
      </c>
      <c r="F1231" s="26" t="str">
        <f>IF(A1231="","",BASE_CAIXA!N1228)</f>
        <v/>
      </c>
      <c r="G1231" s="26" t="str">
        <f>IF(A1231="","",BASE_CAIXA!O1228)</f>
        <v/>
      </c>
      <c r="H1231" s="26" t="str">
        <f>IF(A1231="","",BASE_CAIXA!P1228)</f>
        <v/>
      </c>
      <c r="I1231" s="26" t="str">
        <f>IF(A1231="","",IF(BASE_CAIXA!H1228&lt;&gt;"",BASE_CAIXA!H1228,BASE_CAIXA!G1228))</f>
        <v/>
      </c>
      <c r="J1231" s="26" t="str">
        <f>IF(A1231="","",BASE_CAIXA!G1228)</f>
        <v/>
      </c>
      <c r="K1231" s="26" t="str">
        <f>IF(A1231="","",BASE_CAIXA!I1228)</f>
        <v/>
      </c>
      <c r="L1231" s="26" t="str">
        <f>IF(A1231="","",BASE_CAIXA!J1228)</f>
        <v/>
      </c>
      <c r="M1231" s="26" t="str">
        <f>IF(A1231="","",BASE_CAIXA!AM1228)</f>
        <v/>
      </c>
      <c r="N1231" s="26" t="str">
        <f t="shared" ca="1" si="57"/>
        <v/>
      </c>
      <c r="O1231" s="26" t="str">
        <f>IFERROR(INDEX(EXTRATO_IMPORTADO!$A$5:$A$404,MATCH(B1231,EXTRATO_IMPORTADO!$I$5:$I$404,0)),"")</f>
        <v/>
      </c>
      <c r="P1231" s="26" t="str">
        <f>IFERROR(INDEX(EXTRATO_IMPORTADO!$F$5:$F$404,MATCH(B1231,EXTRATO_IMPORTADO!$I$5:$I$404,0)),"")</f>
        <v/>
      </c>
      <c r="Q1231" s="26" t="str">
        <f>IFERROR(INDEX(EXTRATO_IMPORTADO!$B$5:$B$404,MATCH(B1231,EXTRATO_IMPORTADO!$I$5:$I$404,0)),"")</f>
        <v/>
      </c>
      <c r="R1231" s="26" t="str">
        <f>IFERROR(MATCH(B1231,EXTRATO_IMPORTADO!$I$5:$I$404,0),"")</f>
        <v/>
      </c>
      <c r="S1231" s="26" t="str">
        <f t="shared" si="58"/>
        <v/>
      </c>
      <c r="T1231" s="26" t="str">
        <f t="shared" si="59"/>
        <v/>
      </c>
    </row>
    <row r="1232" spans="1:20" x14ac:dyDescent="0.3">
      <c r="A1232" s="26" t="str">
        <f>IF(BASE_CAIXA!A1229="","",BASE_CAIXA!A1229)</f>
        <v/>
      </c>
      <c r="B1232" s="26" t="str">
        <f>IF(A1232="","",BASE_CAIXA!AL1229)</f>
        <v/>
      </c>
      <c r="C1232" s="26" t="str">
        <f>IF(A1232="","",BASE_CAIXA!AJ1229)</f>
        <v/>
      </c>
      <c r="D1232" s="26" t="str">
        <f>IF(A1232="","",IF(BASE_CAIXA!C1229="Entrada","Crédito","Débito"))</f>
        <v/>
      </c>
      <c r="E1232" s="26" t="str">
        <f>IF(A1232="","",BASE_CAIXA!AA1229)</f>
        <v/>
      </c>
      <c r="F1232" s="26" t="str">
        <f>IF(A1232="","",BASE_CAIXA!N1229)</f>
        <v/>
      </c>
      <c r="G1232" s="26" t="str">
        <f>IF(A1232="","",BASE_CAIXA!O1229)</f>
        <v/>
      </c>
      <c r="H1232" s="26" t="str">
        <f>IF(A1232="","",BASE_CAIXA!P1229)</f>
        <v/>
      </c>
      <c r="I1232" s="26" t="str">
        <f>IF(A1232="","",IF(BASE_CAIXA!H1229&lt;&gt;"",BASE_CAIXA!H1229,BASE_CAIXA!G1229))</f>
        <v/>
      </c>
      <c r="J1232" s="26" t="str">
        <f>IF(A1232="","",BASE_CAIXA!G1229)</f>
        <v/>
      </c>
      <c r="K1232" s="26" t="str">
        <f>IF(A1232="","",BASE_CAIXA!I1229)</f>
        <v/>
      </c>
      <c r="L1232" s="26" t="str">
        <f>IF(A1232="","",BASE_CAIXA!J1229)</f>
        <v/>
      </c>
      <c r="M1232" s="26" t="str">
        <f>IF(A1232="","",BASE_CAIXA!AM1229)</f>
        <v/>
      </c>
      <c r="N1232" s="26" t="str">
        <f t="shared" ca="1" si="57"/>
        <v/>
      </c>
      <c r="O1232" s="26" t="str">
        <f>IFERROR(INDEX(EXTRATO_IMPORTADO!$A$5:$A$404,MATCH(B1232,EXTRATO_IMPORTADO!$I$5:$I$404,0)),"")</f>
        <v/>
      </c>
      <c r="P1232" s="26" t="str">
        <f>IFERROR(INDEX(EXTRATO_IMPORTADO!$F$5:$F$404,MATCH(B1232,EXTRATO_IMPORTADO!$I$5:$I$404,0)),"")</f>
        <v/>
      </c>
      <c r="Q1232" s="26" t="str">
        <f>IFERROR(INDEX(EXTRATO_IMPORTADO!$B$5:$B$404,MATCH(B1232,EXTRATO_IMPORTADO!$I$5:$I$404,0)),"")</f>
        <v/>
      </c>
      <c r="R1232" s="26" t="str">
        <f>IFERROR(MATCH(B1232,EXTRATO_IMPORTADO!$I$5:$I$404,0),"")</f>
        <v/>
      </c>
      <c r="S1232" s="26" t="str">
        <f t="shared" si="58"/>
        <v/>
      </c>
      <c r="T1232" s="26" t="str">
        <f t="shared" si="59"/>
        <v/>
      </c>
    </row>
    <row r="1233" spans="1:20" x14ac:dyDescent="0.3">
      <c r="A1233" s="26" t="str">
        <f>IF(BASE_CAIXA!A1230="","",BASE_CAIXA!A1230)</f>
        <v/>
      </c>
      <c r="B1233" s="26" t="str">
        <f>IF(A1233="","",BASE_CAIXA!AL1230)</f>
        <v/>
      </c>
      <c r="C1233" s="26" t="str">
        <f>IF(A1233="","",BASE_CAIXA!AJ1230)</f>
        <v/>
      </c>
      <c r="D1233" s="26" t="str">
        <f>IF(A1233="","",IF(BASE_CAIXA!C1230="Entrada","Crédito","Débito"))</f>
        <v/>
      </c>
      <c r="E1233" s="26" t="str">
        <f>IF(A1233="","",BASE_CAIXA!AA1230)</f>
        <v/>
      </c>
      <c r="F1233" s="26" t="str">
        <f>IF(A1233="","",BASE_CAIXA!N1230)</f>
        <v/>
      </c>
      <c r="G1233" s="26" t="str">
        <f>IF(A1233="","",BASE_CAIXA!O1230)</f>
        <v/>
      </c>
      <c r="H1233" s="26" t="str">
        <f>IF(A1233="","",BASE_CAIXA!P1230)</f>
        <v/>
      </c>
      <c r="I1233" s="26" t="str">
        <f>IF(A1233="","",IF(BASE_CAIXA!H1230&lt;&gt;"",BASE_CAIXA!H1230,BASE_CAIXA!G1230))</f>
        <v/>
      </c>
      <c r="J1233" s="26" t="str">
        <f>IF(A1233="","",BASE_CAIXA!G1230)</f>
        <v/>
      </c>
      <c r="K1233" s="26" t="str">
        <f>IF(A1233="","",BASE_CAIXA!I1230)</f>
        <v/>
      </c>
      <c r="L1233" s="26" t="str">
        <f>IF(A1233="","",BASE_CAIXA!J1230)</f>
        <v/>
      </c>
      <c r="M1233" s="26" t="str">
        <f>IF(A1233="","",BASE_CAIXA!AM1230)</f>
        <v/>
      </c>
      <c r="N1233" s="26" t="str">
        <f t="shared" ca="1" si="57"/>
        <v/>
      </c>
      <c r="O1233" s="26" t="str">
        <f>IFERROR(INDEX(EXTRATO_IMPORTADO!$A$5:$A$404,MATCH(B1233,EXTRATO_IMPORTADO!$I$5:$I$404,0)),"")</f>
        <v/>
      </c>
      <c r="P1233" s="26" t="str">
        <f>IFERROR(INDEX(EXTRATO_IMPORTADO!$F$5:$F$404,MATCH(B1233,EXTRATO_IMPORTADO!$I$5:$I$404,0)),"")</f>
        <v/>
      </c>
      <c r="Q1233" s="26" t="str">
        <f>IFERROR(INDEX(EXTRATO_IMPORTADO!$B$5:$B$404,MATCH(B1233,EXTRATO_IMPORTADO!$I$5:$I$404,0)),"")</f>
        <v/>
      </c>
      <c r="R1233" s="26" t="str">
        <f>IFERROR(MATCH(B1233,EXTRATO_IMPORTADO!$I$5:$I$404,0),"")</f>
        <v/>
      </c>
      <c r="S1233" s="26" t="str">
        <f t="shared" si="58"/>
        <v/>
      </c>
      <c r="T1233" s="26" t="str">
        <f t="shared" si="59"/>
        <v/>
      </c>
    </row>
    <row r="1234" spans="1:20" x14ac:dyDescent="0.3">
      <c r="A1234" s="26" t="str">
        <f>IF(BASE_CAIXA!A1231="","",BASE_CAIXA!A1231)</f>
        <v/>
      </c>
      <c r="B1234" s="26" t="str">
        <f>IF(A1234="","",BASE_CAIXA!AL1231)</f>
        <v/>
      </c>
      <c r="C1234" s="26" t="str">
        <f>IF(A1234="","",BASE_CAIXA!AJ1231)</f>
        <v/>
      </c>
      <c r="D1234" s="26" t="str">
        <f>IF(A1234="","",IF(BASE_CAIXA!C1231="Entrada","Crédito","Débito"))</f>
        <v/>
      </c>
      <c r="E1234" s="26" t="str">
        <f>IF(A1234="","",BASE_CAIXA!AA1231)</f>
        <v/>
      </c>
      <c r="F1234" s="26" t="str">
        <f>IF(A1234="","",BASE_CAIXA!N1231)</f>
        <v/>
      </c>
      <c r="G1234" s="26" t="str">
        <f>IF(A1234="","",BASE_CAIXA!O1231)</f>
        <v/>
      </c>
      <c r="H1234" s="26" t="str">
        <f>IF(A1234="","",BASE_CAIXA!P1231)</f>
        <v/>
      </c>
      <c r="I1234" s="26" t="str">
        <f>IF(A1234="","",IF(BASE_CAIXA!H1231&lt;&gt;"",BASE_CAIXA!H1231,BASE_CAIXA!G1231))</f>
        <v/>
      </c>
      <c r="J1234" s="26" t="str">
        <f>IF(A1234="","",BASE_CAIXA!G1231)</f>
        <v/>
      </c>
      <c r="K1234" s="26" t="str">
        <f>IF(A1234="","",BASE_CAIXA!I1231)</f>
        <v/>
      </c>
      <c r="L1234" s="26" t="str">
        <f>IF(A1234="","",BASE_CAIXA!J1231)</f>
        <v/>
      </c>
      <c r="M1234" s="26" t="str">
        <f>IF(A1234="","",BASE_CAIXA!AM1231)</f>
        <v/>
      </c>
      <c r="N1234" s="26" t="str">
        <f t="shared" ca="1" si="57"/>
        <v/>
      </c>
      <c r="O1234" s="26" t="str">
        <f>IFERROR(INDEX(EXTRATO_IMPORTADO!$A$5:$A$404,MATCH(B1234,EXTRATO_IMPORTADO!$I$5:$I$404,0)),"")</f>
        <v/>
      </c>
      <c r="P1234" s="26" t="str">
        <f>IFERROR(INDEX(EXTRATO_IMPORTADO!$F$5:$F$404,MATCH(B1234,EXTRATO_IMPORTADO!$I$5:$I$404,0)),"")</f>
        <v/>
      </c>
      <c r="Q1234" s="26" t="str">
        <f>IFERROR(INDEX(EXTRATO_IMPORTADO!$B$5:$B$404,MATCH(B1234,EXTRATO_IMPORTADO!$I$5:$I$404,0)),"")</f>
        <v/>
      </c>
      <c r="R1234" s="26" t="str">
        <f>IFERROR(MATCH(B1234,EXTRATO_IMPORTADO!$I$5:$I$404,0),"")</f>
        <v/>
      </c>
      <c r="S1234" s="26" t="str">
        <f t="shared" si="58"/>
        <v/>
      </c>
      <c r="T1234" s="26" t="str">
        <f t="shared" si="59"/>
        <v/>
      </c>
    </row>
    <row r="1235" spans="1:20" x14ac:dyDescent="0.3">
      <c r="A1235" s="26" t="str">
        <f>IF(BASE_CAIXA!A1232="","",BASE_CAIXA!A1232)</f>
        <v/>
      </c>
      <c r="B1235" s="26" t="str">
        <f>IF(A1235="","",BASE_CAIXA!AL1232)</f>
        <v/>
      </c>
      <c r="C1235" s="26" t="str">
        <f>IF(A1235="","",BASE_CAIXA!AJ1232)</f>
        <v/>
      </c>
      <c r="D1235" s="26" t="str">
        <f>IF(A1235="","",IF(BASE_CAIXA!C1232="Entrada","Crédito","Débito"))</f>
        <v/>
      </c>
      <c r="E1235" s="26" t="str">
        <f>IF(A1235="","",BASE_CAIXA!AA1232)</f>
        <v/>
      </c>
      <c r="F1235" s="26" t="str">
        <f>IF(A1235="","",BASE_CAIXA!N1232)</f>
        <v/>
      </c>
      <c r="G1235" s="26" t="str">
        <f>IF(A1235="","",BASE_CAIXA!O1232)</f>
        <v/>
      </c>
      <c r="H1235" s="26" t="str">
        <f>IF(A1235="","",BASE_CAIXA!P1232)</f>
        <v/>
      </c>
      <c r="I1235" s="26" t="str">
        <f>IF(A1235="","",IF(BASE_CAIXA!H1232&lt;&gt;"",BASE_CAIXA!H1232,BASE_CAIXA!G1232))</f>
        <v/>
      </c>
      <c r="J1235" s="26" t="str">
        <f>IF(A1235="","",BASE_CAIXA!G1232)</f>
        <v/>
      </c>
      <c r="K1235" s="26" t="str">
        <f>IF(A1235="","",BASE_CAIXA!I1232)</f>
        <v/>
      </c>
      <c r="L1235" s="26" t="str">
        <f>IF(A1235="","",BASE_CAIXA!J1232)</f>
        <v/>
      </c>
      <c r="M1235" s="26" t="str">
        <f>IF(A1235="","",BASE_CAIXA!AM1232)</f>
        <v/>
      </c>
      <c r="N1235" s="26" t="str">
        <f t="shared" ca="1" si="57"/>
        <v/>
      </c>
      <c r="O1235" s="26" t="str">
        <f>IFERROR(INDEX(EXTRATO_IMPORTADO!$A$5:$A$404,MATCH(B1235,EXTRATO_IMPORTADO!$I$5:$I$404,0)),"")</f>
        <v/>
      </c>
      <c r="P1235" s="26" t="str">
        <f>IFERROR(INDEX(EXTRATO_IMPORTADO!$F$5:$F$404,MATCH(B1235,EXTRATO_IMPORTADO!$I$5:$I$404,0)),"")</f>
        <v/>
      </c>
      <c r="Q1235" s="26" t="str">
        <f>IFERROR(INDEX(EXTRATO_IMPORTADO!$B$5:$B$404,MATCH(B1235,EXTRATO_IMPORTADO!$I$5:$I$404,0)),"")</f>
        <v/>
      </c>
      <c r="R1235" s="26" t="str">
        <f>IFERROR(MATCH(B1235,EXTRATO_IMPORTADO!$I$5:$I$404,0),"")</f>
        <v/>
      </c>
      <c r="S1235" s="26" t="str">
        <f t="shared" si="58"/>
        <v/>
      </c>
      <c r="T1235" s="26" t="str">
        <f t="shared" si="59"/>
        <v/>
      </c>
    </row>
    <row r="1236" spans="1:20" x14ac:dyDescent="0.3">
      <c r="A1236" s="26" t="str">
        <f>IF(BASE_CAIXA!A1233="","",BASE_CAIXA!A1233)</f>
        <v/>
      </c>
      <c r="B1236" s="26" t="str">
        <f>IF(A1236="","",BASE_CAIXA!AL1233)</f>
        <v/>
      </c>
      <c r="C1236" s="26" t="str">
        <f>IF(A1236="","",BASE_CAIXA!AJ1233)</f>
        <v/>
      </c>
      <c r="D1236" s="26" t="str">
        <f>IF(A1236="","",IF(BASE_CAIXA!C1233="Entrada","Crédito","Débito"))</f>
        <v/>
      </c>
      <c r="E1236" s="26" t="str">
        <f>IF(A1236="","",BASE_CAIXA!AA1233)</f>
        <v/>
      </c>
      <c r="F1236" s="26" t="str">
        <f>IF(A1236="","",BASE_CAIXA!N1233)</f>
        <v/>
      </c>
      <c r="G1236" s="26" t="str">
        <f>IF(A1236="","",BASE_CAIXA!O1233)</f>
        <v/>
      </c>
      <c r="H1236" s="26" t="str">
        <f>IF(A1236="","",BASE_CAIXA!P1233)</f>
        <v/>
      </c>
      <c r="I1236" s="26" t="str">
        <f>IF(A1236="","",IF(BASE_CAIXA!H1233&lt;&gt;"",BASE_CAIXA!H1233,BASE_CAIXA!G1233))</f>
        <v/>
      </c>
      <c r="J1236" s="26" t="str">
        <f>IF(A1236="","",BASE_CAIXA!G1233)</f>
        <v/>
      </c>
      <c r="K1236" s="26" t="str">
        <f>IF(A1236="","",BASE_CAIXA!I1233)</f>
        <v/>
      </c>
      <c r="L1236" s="26" t="str">
        <f>IF(A1236="","",BASE_CAIXA!J1233)</f>
        <v/>
      </c>
      <c r="M1236" s="26" t="str">
        <f>IF(A1236="","",BASE_CAIXA!AM1233)</f>
        <v/>
      </c>
      <c r="N1236" s="26" t="str">
        <f t="shared" ca="1" si="57"/>
        <v/>
      </c>
      <c r="O1236" s="26" t="str">
        <f>IFERROR(INDEX(EXTRATO_IMPORTADO!$A$5:$A$404,MATCH(B1236,EXTRATO_IMPORTADO!$I$5:$I$404,0)),"")</f>
        <v/>
      </c>
      <c r="P1236" s="26" t="str">
        <f>IFERROR(INDEX(EXTRATO_IMPORTADO!$F$5:$F$404,MATCH(B1236,EXTRATO_IMPORTADO!$I$5:$I$404,0)),"")</f>
        <v/>
      </c>
      <c r="Q1236" s="26" t="str">
        <f>IFERROR(INDEX(EXTRATO_IMPORTADO!$B$5:$B$404,MATCH(B1236,EXTRATO_IMPORTADO!$I$5:$I$404,0)),"")</f>
        <v/>
      </c>
      <c r="R1236" s="26" t="str">
        <f>IFERROR(MATCH(B1236,EXTRATO_IMPORTADO!$I$5:$I$404,0),"")</f>
        <v/>
      </c>
      <c r="S1236" s="26" t="str">
        <f t="shared" si="58"/>
        <v/>
      </c>
      <c r="T1236" s="26" t="str">
        <f t="shared" si="59"/>
        <v/>
      </c>
    </row>
    <row r="1237" spans="1:20" x14ac:dyDescent="0.3">
      <c r="A1237" s="26" t="str">
        <f>IF(BASE_CAIXA!A1234="","",BASE_CAIXA!A1234)</f>
        <v/>
      </c>
      <c r="B1237" s="26" t="str">
        <f>IF(A1237="","",BASE_CAIXA!AL1234)</f>
        <v/>
      </c>
      <c r="C1237" s="26" t="str">
        <f>IF(A1237="","",BASE_CAIXA!AJ1234)</f>
        <v/>
      </c>
      <c r="D1237" s="26" t="str">
        <f>IF(A1237="","",IF(BASE_CAIXA!C1234="Entrada","Crédito","Débito"))</f>
        <v/>
      </c>
      <c r="E1237" s="26" t="str">
        <f>IF(A1237="","",BASE_CAIXA!AA1234)</f>
        <v/>
      </c>
      <c r="F1237" s="26" t="str">
        <f>IF(A1237="","",BASE_CAIXA!N1234)</f>
        <v/>
      </c>
      <c r="G1237" s="26" t="str">
        <f>IF(A1237="","",BASE_CAIXA!O1234)</f>
        <v/>
      </c>
      <c r="H1237" s="26" t="str">
        <f>IF(A1237="","",BASE_CAIXA!P1234)</f>
        <v/>
      </c>
      <c r="I1237" s="26" t="str">
        <f>IF(A1237="","",IF(BASE_CAIXA!H1234&lt;&gt;"",BASE_CAIXA!H1234,BASE_CAIXA!G1234))</f>
        <v/>
      </c>
      <c r="J1237" s="26" t="str">
        <f>IF(A1237="","",BASE_CAIXA!G1234)</f>
        <v/>
      </c>
      <c r="K1237" s="26" t="str">
        <f>IF(A1237="","",BASE_CAIXA!I1234)</f>
        <v/>
      </c>
      <c r="L1237" s="26" t="str">
        <f>IF(A1237="","",BASE_CAIXA!J1234)</f>
        <v/>
      </c>
      <c r="M1237" s="26" t="str">
        <f>IF(A1237="","",BASE_CAIXA!AM1234)</f>
        <v/>
      </c>
      <c r="N1237" s="26" t="str">
        <f t="shared" ca="1" si="57"/>
        <v/>
      </c>
      <c r="O1237" s="26" t="str">
        <f>IFERROR(INDEX(EXTRATO_IMPORTADO!$A$5:$A$404,MATCH(B1237,EXTRATO_IMPORTADO!$I$5:$I$404,0)),"")</f>
        <v/>
      </c>
      <c r="P1237" s="26" t="str">
        <f>IFERROR(INDEX(EXTRATO_IMPORTADO!$F$5:$F$404,MATCH(B1237,EXTRATO_IMPORTADO!$I$5:$I$404,0)),"")</f>
        <v/>
      </c>
      <c r="Q1237" s="26" t="str">
        <f>IFERROR(INDEX(EXTRATO_IMPORTADO!$B$5:$B$404,MATCH(B1237,EXTRATO_IMPORTADO!$I$5:$I$404,0)),"")</f>
        <v/>
      </c>
      <c r="R1237" s="26" t="str">
        <f>IFERROR(MATCH(B1237,EXTRATO_IMPORTADO!$I$5:$I$404,0),"")</f>
        <v/>
      </c>
      <c r="S1237" s="26" t="str">
        <f t="shared" si="58"/>
        <v/>
      </c>
      <c r="T1237" s="26" t="str">
        <f t="shared" si="59"/>
        <v/>
      </c>
    </row>
    <row r="1238" spans="1:20" x14ac:dyDescent="0.3">
      <c r="A1238" s="26" t="str">
        <f>IF(BASE_CAIXA!A1235="","",BASE_CAIXA!A1235)</f>
        <v/>
      </c>
      <c r="B1238" s="26" t="str">
        <f>IF(A1238="","",BASE_CAIXA!AL1235)</f>
        <v/>
      </c>
      <c r="C1238" s="26" t="str">
        <f>IF(A1238="","",BASE_CAIXA!AJ1235)</f>
        <v/>
      </c>
      <c r="D1238" s="26" t="str">
        <f>IF(A1238="","",IF(BASE_CAIXA!C1235="Entrada","Crédito","Débito"))</f>
        <v/>
      </c>
      <c r="E1238" s="26" t="str">
        <f>IF(A1238="","",BASE_CAIXA!AA1235)</f>
        <v/>
      </c>
      <c r="F1238" s="26" t="str">
        <f>IF(A1238="","",BASE_CAIXA!N1235)</f>
        <v/>
      </c>
      <c r="G1238" s="26" t="str">
        <f>IF(A1238="","",BASE_CAIXA!O1235)</f>
        <v/>
      </c>
      <c r="H1238" s="26" t="str">
        <f>IF(A1238="","",BASE_CAIXA!P1235)</f>
        <v/>
      </c>
      <c r="I1238" s="26" t="str">
        <f>IF(A1238="","",IF(BASE_CAIXA!H1235&lt;&gt;"",BASE_CAIXA!H1235,BASE_CAIXA!G1235))</f>
        <v/>
      </c>
      <c r="J1238" s="26" t="str">
        <f>IF(A1238="","",BASE_CAIXA!G1235)</f>
        <v/>
      </c>
      <c r="K1238" s="26" t="str">
        <f>IF(A1238="","",BASE_CAIXA!I1235)</f>
        <v/>
      </c>
      <c r="L1238" s="26" t="str">
        <f>IF(A1238="","",BASE_CAIXA!J1235)</f>
        <v/>
      </c>
      <c r="M1238" s="26" t="str">
        <f>IF(A1238="","",BASE_CAIXA!AM1235)</f>
        <v/>
      </c>
      <c r="N1238" s="26" t="str">
        <f t="shared" ca="1" si="57"/>
        <v/>
      </c>
      <c r="O1238" s="26" t="str">
        <f>IFERROR(INDEX(EXTRATO_IMPORTADO!$A$5:$A$404,MATCH(B1238,EXTRATO_IMPORTADO!$I$5:$I$404,0)),"")</f>
        <v/>
      </c>
      <c r="P1238" s="26" t="str">
        <f>IFERROR(INDEX(EXTRATO_IMPORTADO!$F$5:$F$404,MATCH(B1238,EXTRATO_IMPORTADO!$I$5:$I$404,0)),"")</f>
        <v/>
      </c>
      <c r="Q1238" s="26" t="str">
        <f>IFERROR(INDEX(EXTRATO_IMPORTADO!$B$5:$B$404,MATCH(B1238,EXTRATO_IMPORTADO!$I$5:$I$404,0)),"")</f>
        <v/>
      </c>
      <c r="R1238" s="26" t="str">
        <f>IFERROR(MATCH(B1238,EXTRATO_IMPORTADO!$I$5:$I$404,0),"")</f>
        <v/>
      </c>
      <c r="S1238" s="26" t="str">
        <f t="shared" si="58"/>
        <v/>
      </c>
      <c r="T1238" s="26" t="str">
        <f t="shared" si="59"/>
        <v/>
      </c>
    </row>
    <row r="1239" spans="1:20" x14ac:dyDescent="0.3">
      <c r="A1239" s="26" t="str">
        <f>IF(BASE_CAIXA!A1236="","",BASE_CAIXA!A1236)</f>
        <v/>
      </c>
      <c r="B1239" s="26" t="str">
        <f>IF(A1239="","",BASE_CAIXA!AL1236)</f>
        <v/>
      </c>
      <c r="C1239" s="26" t="str">
        <f>IF(A1239="","",BASE_CAIXA!AJ1236)</f>
        <v/>
      </c>
      <c r="D1239" s="26" t="str">
        <f>IF(A1239="","",IF(BASE_CAIXA!C1236="Entrada","Crédito","Débito"))</f>
        <v/>
      </c>
      <c r="E1239" s="26" t="str">
        <f>IF(A1239="","",BASE_CAIXA!AA1236)</f>
        <v/>
      </c>
      <c r="F1239" s="26" t="str">
        <f>IF(A1239="","",BASE_CAIXA!N1236)</f>
        <v/>
      </c>
      <c r="G1239" s="26" t="str">
        <f>IF(A1239="","",BASE_CAIXA!O1236)</f>
        <v/>
      </c>
      <c r="H1239" s="26" t="str">
        <f>IF(A1239="","",BASE_CAIXA!P1236)</f>
        <v/>
      </c>
      <c r="I1239" s="26" t="str">
        <f>IF(A1239="","",IF(BASE_CAIXA!H1236&lt;&gt;"",BASE_CAIXA!H1236,BASE_CAIXA!G1236))</f>
        <v/>
      </c>
      <c r="J1239" s="26" t="str">
        <f>IF(A1239="","",BASE_CAIXA!G1236)</f>
        <v/>
      </c>
      <c r="K1239" s="26" t="str">
        <f>IF(A1239="","",BASE_CAIXA!I1236)</f>
        <v/>
      </c>
      <c r="L1239" s="26" t="str">
        <f>IF(A1239="","",BASE_CAIXA!J1236)</f>
        <v/>
      </c>
      <c r="M1239" s="26" t="str">
        <f>IF(A1239="","",BASE_CAIXA!AM1236)</f>
        <v/>
      </c>
      <c r="N1239" s="26" t="str">
        <f t="shared" ca="1" si="57"/>
        <v/>
      </c>
      <c r="O1239" s="26" t="str">
        <f>IFERROR(INDEX(EXTRATO_IMPORTADO!$A$5:$A$404,MATCH(B1239,EXTRATO_IMPORTADO!$I$5:$I$404,0)),"")</f>
        <v/>
      </c>
      <c r="P1239" s="26" t="str">
        <f>IFERROR(INDEX(EXTRATO_IMPORTADO!$F$5:$F$404,MATCH(B1239,EXTRATO_IMPORTADO!$I$5:$I$404,0)),"")</f>
        <v/>
      </c>
      <c r="Q1239" s="26" t="str">
        <f>IFERROR(INDEX(EXTRATO_IMPORTADO!$B$5:$B$404,MATCH(B1239,EXTRATO_IMPORTADO!$I$5:$I$404,0)),"")</f>
        <v/>
      </c>
      <c r="R1239" s="26" t="str">
        <f>IFERROR(MATCH(B1239,EXTRATO_IMPORTADO!$I$5:$I$404,0),"")</f>
        <v/>
      </c>
      <c r="S1239" s="26" t="str">
        <f t="shared" si="58"/>
        <v/>
      </c>
      <c r="T1239" s="26" t="str">
        <f t="shared" si="59"/>
        <v/>
      </c>
    </row>
    <row r="1240" spans="1:20" x14ac:dyDescent="0.3">
      <c r="A1240" s="26" t="str">
        <f>IF(BASE_CAIXA!A1237="","",BASE_CAIXA!A1237)</f>
        <v/>
      </c>
      <c r="B1240" s="26" t="str">
        <f>IF(A1240="","",BASE_CAIXA!AL1237)</f>
        <v/>
      </c>
      <c r="C1240" s="26" t="str">
        <f>IF(A1240="","",BASE_CAIXA!AJ1237)</f>
        <v/>
      </c>
      <c r="D1240" s="26" t="str">
        <f>IF(A1240="","",IF(BASE_CAIXA!C1237="Entrada","Crédito","Débito"))</f>
        <v/>
      </c>
      <c r="E1240" s="26" t="str">
        <f>IF(A1240="","",BASE_CAIXA!AA1237)</f>
        <v/>
      </c>
      <c r="F1240" s="26" t="str">
        <f>IF(A1240="","",BASE_CAIXA!N1237)</f>
        <v/>
      </c>
      <c r="G1240" s="26" t="str">
        <f>IF(A1240="","",BASE_CAIXA!O1237)</f>
        <v/>
      </c>
      <c r="H1240" s="26" t="str">
        <f>IF(A1240="","",BASE_CAIXA!P1237)</f>
        <v/>
      </c>
      <c r="I1240" s="26" t="str">
        <f>IF(A1240="","",IF(BASE_CAIXA!H1237&lt;&gt;"",BASE_CAIXA!H1237,BASE_CAIXA!G1237))</f>
        <v/>
      </c>
      <c r="J1240" s="26" t="str">
        <f>IF(A1240="","",BASE_CAIXA!G1237)</f>
        <v/>
      </c>
      <c r="K1240" s="26" t="str">
        <f>IF(A1240="","",BASE_CAIXA!I1237)</f>
        <v/>
      </c>
      <c r="L1240" s="26" t="str">
        <f>IF(A1240="","",BASE_CAIXA!J1237)</f>
        <v/>
      </c>
      <c r="M1240" s="26" t="str">
        <f>IF(A1240="","",BASE_CAIXA!AM1237)</f>
        <v/>
      </c>
      <c r="N1240" s="26" t="str">
        <f t="shared" ca="1" si="57"/>
        <v/>
      </c>
      <c r="O1240" s="26" t="str">
        <f>IFERROR(INDEX(EXTRATO_IMPORTADO!$A$5:$A$404,MATCH(B1240,EXTRATO_IMPORTADO!$I$5:$I$404,0)),"")</f>
        <v/>
      </c>
      <c r="P1240" s="26" t="str">
        <f>IFERROR(INDEX(EXTRATO_IMPORTADO!$F$5:$F$404,MATCH(B1240,EXTRATO_IMPORTADO!$I$5:$I$404,0)),"")</f>
        <v/>
      </c>
      <c r="Q1240" s="26" t="str">
        <f>IFERROR(INDEX(EXTRATO_IMPORTADO!$B$5:$B$404,MATCH(B1240,EXTRATO_IMPORTADO!$I$5:$I$404,0)),"")</f>
        <v/>
      </c>
      <c r="R1240" s="26" t="str">
        <f>IFERROR(MATCH(B1240,EXTRATO_IMPORTADO!$I$5:$I$404,0),"")</f>
        <v/>
      </c>
      <c r="S1240" s="26" t="str">
        <f t="shared" si="58"/>
        <v/>
      </c>
      <c r="T1240" s="26" t="str">
        <f t="shared" si="59"/>
        <v/>
      </c>
    </row>
    <row r="1241" spans="1:20" x14ac:dyDescent="0.3">
      <c r="A1241" s="26" t="str">
        <f>IF(BASE_CAIXA!A1238="","",BASE_CAIXA!A1238)</f>
        <v/>
      </c>
      <c r="B1241" s="26" t="str">
        <f>IF(A1241="","",BASE_CAIXA!AL1238)</f>
        <v/>
      </c>
      <c r="C1241" s="26" t="str">
        <f>IF(A1241="","",BASE_CAIXA!AJ1238)</f>
        <v/>
      </c>
      <c r="D1241" s="26" t="str">
        <f>IF(A1241="","",IF(BASE_CAIXA!C1238="Entrada","Crédito","Débito"))</f>
        <v/>
      </c>
      <c r="E1241" s="26" t="str">
        <f>IF(A1241="","",BASE_CAIXA!AA1238)</f>
        <v/>
      </c>
      <c r="F1241" s="26" t="str">
        <f>IF(A1241="","",BASE_CAIXA!N1238)</f>
        <v/>
      </c>
      <c r="G1241" s="26" t="str">
        <f>IF(A1241="","",BASE_CAIXA!O1238)</f>
        <v/>
      </c>
      <c r="H1241" s="26" t="str">
        <f>IF(A1241="","",BASE_CAIXA!P1238)</f>
        <v/>
      </c>
      <c r="I1241" s="26" t="str">
        <f>IF(A1241="","",IF(BASE_CAIXA!H1238&lt;&gt;"",BASE_CAIXA!H1238,BASE_CAIXA!G1238))</f>
        <v/>
      </c>
      <c r="J1241" s="26" t="str">
        <f>IF(A1241="","",BASE_CAIXA!G1238)</f>
        <v/>
      </c>
      <c r="K1241" s="26" t="str">
        <f>IF(A1241="","",BASE_CAIXA!I1238)</f>
        <v/>
      </c>
      <c r="L1241" s="26" t="str">
        <f>IF(A1241="","",BASE_CAIXA!J1238)</f>
        <v/>
      </c>
      <c r="M1241" s="26" t="str">
        <f>IF(A1241="","",BASE_CAIXA!AM1238)</f>
        <v/>
      </c>
      <c r="N1241" s="26" t="str">
        <f t="shared" ca="1" si="57"/>
        <v/>
      </c>
      <c r="O1241" s="26" t="str">
        <f>IFERROR(INDEX(EXTRATO_IMPORTADO!$A$5:$A$404,MATCH(B1241,EXTRATO_IMPORTADO!$I$5:$I$404,0)),"")</f>
        <v/>
      </c>
      <c r="P1241" s="26" t="str">
        <f>IFERROR(INDEX(EXTRATO_IMPORTADO!$F$5:$F$404,MATCH(B1241,EXTRATO_IMPORTADO!$I$5:$I$404,0)),"")</f>
        <v/>
      </c>
      <c r="Q1241" s="26" t="str">
        <f>IFERROR(INDEX(EXTRATO_IMPORTADO!$B$5:$B$404,MATCH(B1241,EXTRATO_IMPORTADO!$I$5:$I$404,0)),"")</f>
        <v/>
      </c>
      <c r="R1241" s="26" t="str">
        <f>IFERROR(MATCH(B1241,EXTRATO_IMPORTADO!$I$5:$I$404,0),"")</f>
        <v/>
      </c>
      <c r="S1241" s="26" t="str">
        <f t="shared" si="58"/>
        <v/>
      </c>
      <c r="T1241" s="26" t="str">
        <f t="shared" si="59"/>
        <v/>
      </c>
    </row>
    <row r="1242" spans="1:20" x14ac:dyDescent="0.3">
      <c r="A1242" s="26" t="str">
        <f>IF(BASE_CAIXA!A1239="","",BASE_CAIXA!A1239)</f>
        <v/>
      </c>
      <c r="B1242" s="26" t="str">
        <f>IF(A1242="","",BASE_CAIXA!AL1239)</f>
        <v/>
      </c>
      <c r="C1242" s="26" t="str">
        <f>IF(A1242="","",BASE_CAIXA!AJ1239)</f>
        <v/>
      </c>
      <c r="D1242" s="26" t="str">
        <f>IF(A1242="","",IF(BASE_CAIXA!C1239="Entrada","Crédito","Débito"))</f>
        <v/>
      </c>
      <c r="E1242" s="26" t="str">
        <f>IF(A1242="","",BASE_CAIXA!AA1239)</f>
        <v/>
      </c>
      <c r="F1242" s="26" t="str">
        <f>IF(A1242="","",BASE_CAIXA!N1239)</f>
        <v/>
      </c>
      <c r="G1242" s="26" t="str">
        <f>IF(A1242="","",BASE_CAIXA!O1239)</f>
        <v/>
      </c>
      <c r="H1242" s="26" t="str">
        <f>IF(A1242="","",BASE_CAIXA!P1239)</f>
        <v/>
      </c>
      <c r="I1242" s="26" t="str">
        <f>IF(A1242="","",IF(BASE_CAIXA!H1239&lt;&gt;"",BASE_CAIXA!H1239,BASE_CAIXA!G1239))</f>
        <v/>
      </c>
      <c r="J1242" s="26" t="str">
        <f>IF(A1242="","",BASE_CAIXA!G1239)</f>
        <v/>
      </c>
      <c r="K1242" s="26" t="str">
        <f>IF(A1242="","",BASE_CAIXA!I1239)</f>
        <v/>
      </c>
      <c r="L1242" s="26" t="str">
        <f>IF(A1242="","",BASE_CAIXA!J1239)</f>
        <v/>
      </c>
      <c r="M1242" s="26" t="str">
        <f>IF(A1242="","",BASE_CAIXA!AM1239)</f>
        <v/>
      </c>
      <c r="N1242" s="26" t="str">
        <f t="shared" ca="1" si="57"/>
        <v/>
      </c>
      <c r="O1242" s="26" t="str">
        <f>IFERROR(INDEX(EXTRATO_IMPORTADO!$A$5:$A$404,MATCH(B1242,EXTRATO_IMPORTADO!$I$5:$I$404,0)),"")</f>
        <v/>
      </c>
      <c r="P1242" s="26" t="str">
        <f>IFERROR(INDEX(EXTRATO_IMPORTADO!$F$5:$F$404,MATCH(B1242,EXTRATO_IMPORTADO!$I$5:$I$404,0)),"")</f>
        <v/>
      </c>
      <c r="Q1242" s="26" t="str">
        <f>IFERROR(INDEX(EXTRATO_IMPORTADO!$B$5:$B$404,MATCH(B1242,EXTRATO_IMPORTADO!$I$5:$I$404,0)),"")</f>
        <v/>
      </c>
      <c r="R1242" s="26" t="str">
        <f>IFERROR(MATCH(B1242,EXTRATO_IMPORTADO!$I$5:$I$404,0),"")</f>
        <v/>
      </c>
      <c r="S1242" s="26" t="str">
        <f t="shared" si="58"/>
        <v/>
      </c>
      <c r="T1242" s="26" t="str">
        <f t="shared" si="59"/>
        <v/>
      </c>
    </row>
    <row r="1243" spans="1:20" x14ac:dyDescent="0.3">
      <c r="A1243" s="26" t="str">
        <f>IF(BASE_CAIXA!A1240="","",BASE_CAIXA!A1240)</f>
        <v/>
      </c>
      <c r="B1243" s="26" t="str">
        <f>IF(A1243="","",BASE_CAIXA!AL1240)</f>
        <v/>
      </c>
      <c r="C1243" s="26" t="str">
        <f>IF(A1243="","",BASE_CAIXA!AJ1240)</f>
        <v/>
      </c>
      <c r="D1243" s="26" t="str">
        <f>IF(A1243="","",IF(BASE_CAIXA!C1240="Entrada","Crédito","Débito"))</f>
        <v/>
      </c>
      <c r="E1243" s="26" t="str">
        <f>IF(A1243="","",BASE_CAIXA!AA1240)</f>
        <v/>
      </c>
      <c r="F1243" s="26" t="str">
        <f>IF(A1243="","",BASE_CAIXA!N1240)</f>
        <v/>
      </c>
      <c r="G1243" s="26" t="str">
        <f>IF(A1243="","",BASE_CAIXA!O1240)</f>
        <v/>
      </c>
      <c r="H1243" s="26" t="str">
        <f>IF(A1243="","",BASE_CAIXA!P1240)</f>
        <v/>
      </c>
      <c r="I1243" s="26" t="str">
        <f>IF(A1243="","",IF(BASE_CAIXA!H1240&lt;&gt;"",BASE_CAIXA!H1240,BASE_CAIXA!G1240))</f>
        <v/>
      </c>
      <c r="J1243" s="26" t="str">
        <f>IF(A1243="","",BASE_CAIXA!G1240)</f>
        <v/>
      </c>
      <c r="K1243" s="26" t="str">
        <f>IF(A1243="","",BASE_CAIXA!I1240)</f>
        <v/>
      </c>
      <c r="L1243" s="26" t="str">
        <f>IF(A1243="","",BASE_CAIXA!J1240)</f>
        <v/>
      </c>
      <c r="M1243" s="26" t="str">
        <f>IF(A1243="","",BASE_CAIXA!AM1240)</f>
        <v/>
      </c>
      <c r="N1243" s="26" t="str">
        <f t="shared" ca="1" si="57"/>
        <v/>
      </c>
      <c r="O1243" s="26" t="str">
        <f>IFERROR(INDEX(EXTRATO_IMPORTADO!$A$5:$A$404,MATCH(B1243,EXTRATO_IMPORTADO!$I$5:$I$404,0)),"")</f>
        <v/>
      </c>
      <c r="P1243" s="26" t="str">
        <f>IFERROR(INDEX(EXTRATO_IMPORTADO!$F$5:$F$404,MATCH(B1243,EXTRATO_IMPORTADO!$I$5:$I$404,0)),"")</f>
        <v/>
      </c>
      <c r="Q1243" s="26" t="str">
        <f>IFERROR(INDEX(EXTRATO_IMPORTADO!$B$5:$B$404,MATCH(B1243,EXTRATO_IMPORTADO!$I$5:$I$404,0)),"")</f>
        <v/>
      </c>
      <c r="R1243" s="26" t="str">
        <f>IFERROR(MATCH(B1243,EXTRATO_IMPORTADO!$I$5:$I$404,0),"")</f>
        <v/>
      </c>
      <c r="S1243" s="26" t="str">
        <f t="shared" si="58"/>
        <v/>
      </c>
      <c r="T1243" s="26" t="str">
        <f t="shared" si="59"/>
        <v/>
      </c>
    </row>
    <row r="1244" spans="1:20" x14ac:dyDescent="0.3">
      <c r="A1244" s="26" t="str">
        <f>IF(BASE_CAIXA!A1241="","",BASE_CAIXA!A1241)</f>
        <v/>
      </c>
      <c r="B1244" s="26" t="str">
        <f>IF(A1244="","",BASE_CAIXA!AL1241)</f>
        <v/>
      </c>
      <c r="C1244" s="26" t="str">
        <f>IF(A1244="","",BASE_CAIXA!AJ1241)</f>
        <v/>
      </c>
      <c r="D1244" s="26" t="str">
        <f>IF(A1244="","",IF(BASE_CAIXA!C1241="Entrada","Crédito","Débito"))</f>
        <v/>
      </c>
      <c r="E1244" s="26" t="str">
        <f>IF(A1244="","",BASE_CAIXA!AA1241)</f>
        <v/>
      </c>
      <c r="F1244" s="26" t="str">
        <f>IF(A1244="","",BASE_CAIXA!N1241)</f>
        <v/>
      </c>
      <c r="G1244" s="26" t="str">
        <f>IF(A1244="","",BASE_CAIXA!O1241)</f>
        <v/>
      </c>
      <c r="H1244" s="26" t="str">
        <f>IF(A1244="","",BASE_CAIXA!P1241)</f>
        <v/>
      </c>
      <c r="I1244" s="26" t="str">
        <f>IF(A1244="","",IF(BASE_CAIXA!H1241&lt;&gt;"",BASE_CAIXA!H1241,BASE_CAIXA!G1241))</f>
        <v/>
      </c>
      <c r="J1244" s="26" t="str">
        <f>IF(A1244="","",BASE_CAIXA!G1241)</f>
        <v/>
      </c>
      <c r="K1244" s="26" t="str">
        <f>IF(A1244="","",BASE_CAIXA!I1241)</f>
        <v/>
      </c>
      <c r="L1244" s="26" t="str">
        <f>IF(A1244="","",BASE_CAIXA!J1241)</f>
        <v/>
      </c>
      <c r="M1244" s="26" t="str">
        <f>IF(A1244="","",BASE_CAIXA!AM1241)</f>
        <v/>
      </c>
      <c r="N1244" s="26" t="str">
        <f t="shared" ca="1" si="57"/>
        <v/>
      </c>
      <c r="O1244" s="26" t="str">
        <f>IFERROR(INDEX(EXTRATO_IMPORTADO!$A$5:$A$404,MATCH(B1244,EXTRATO_IMPORTADO!$I$5:$I$404,0)),"")</f>
        <v/>
      </c>
      <c r="P1244" s="26" t="str">
        <f>IFERROR(INDEX(EXTRATO_IMPORTADO!$F$5:$F$404,MATCH(B1244,EXTRATO_IMPORTADO!$I$5:$I$404,0)),"")</f>
        <v/>
      </c>
      <c r="Q1244" s="26" t="str">
        <f>IFERROR(INDEX(EXTRATO_IMPORTADO!$B$5:$B$404,MATCH(B1244,EXTRATO_IMPORTADO!$I$5:$I$404,0)),"")</f>
        <v/>
      </c>
      <c r="R1244" s="26" t="str">
        <f>IFERROR(MATCH(B1244,EXTRATO_IMPORTADO!$I$5:$I$404,0),"")</f>
        <v/>
      </c>
      <c r="S1244" s="26" t="str">
        <f t="shared" si="58"/>
        <v/>
      </c>
      <c r="T1244" s="26" t="str">
        <f t="shared" si="59"/>
        <v/>
      </c>
    </row>
    <row r="1245" spans="1:20" x14ac:dyDescent="0.3">
      <c r="A1245" s="26" t="str">
        <f>IF(BASE_CAIXA!A1242="","",BASE_CAIXA!A1242)</f>
        <v/>
      </c>
      <c r="B1245" s="26" t="str">
        <f>IF(A1245="","",BASE_CAIXA!AL1242)</f>
        <v/>
      </c>
      <c r="C1245" s="26" t="str">
        <f>IF(A1245="","",BASE_CAIXA!AJ1242)</f>
        <v/>
      </c>
      <c r="D1245" s="26" t="str">
        <f>IF(A1245="","",IF(BASE_CAIXA!C1242="Entrada","Crédito","Débito"))</f>
        <v/>
      </c>
      <c r="E1245" s="26" t="str">
        <f>IF(A1245="","",BASE_CAIXA!AA1242)</f>
        <v/>
      </c>
      <c r="F1245" s="26" t="str">
        <f>IF(A1245="","",BASE_CAIXA!N1242)</f>
        <v/>
      </c>
      <c r="G1245" s="26" t="str">
        <f>IF(A1245="","",BASE_CAIXA!O1242)</f>
        <v/>
      </c>
      <c r="H1245" s="26" t="str">
        <f>IF(A1245="","",BASE_CAIXA!P1242)</f>
        <v/>
      </c>
      <c r="I1245" s="26" t="str">
        <f>IF(A1245="","",IF(BASE_CAIXA!H1242&lt;&gt;"",BASE_CAIXA!H1242,BASE_CAIXA!G1242))</f>
        <v/>
      </c>
      <c r="J1245" s="26" t="str">
        <f>IF(A1245="","",BASE_CAIXA!G1242)</f>
        <v/>
      </c>
      <c r="K1245" s="26" t="str">
        <f>IF(A1245="","",BASE_CAIXA!I1242)</f>
        <v/>
      </c>
      <c r="L1245" s="26" t="str">
        <f>IF(A1245="","",BASE_CAIXA!J1242)</f>
        <v/>
      </c>
      <c r="M1245" s="26" t="str">
        <f>IF(A1245="","",BASE_CAIXA!AM1242)</f>
        <v/>
      </c>
      <c r="N1245" s="26" t="str">
        <f t="shared" ca="1" si="57"/>
        <v/>
      </c>
      <c r="O1245" s="26" t="str">
        <f>IFERROR(INDEX(EXTRATO_IMPORTADO!$A$5:$A$404,MATCH(B1245,EXTRATO_IMPORTADO!$I$5:$I$404,0)),"")</f>
        <v/>
      </c>
      <c r="P1245" s="26" t="str">
        <f>IFERROR(INDEX(EXTRATO_IMPORTADO!$F$5:$F$404,MATCH(B1245,EXTRATO_IMPORTADO!$I$5:$I$404,0)),"")</f>
        <v/>
      </c>
      <c r="Q1245" s="26" t="str">
        <f>IFERROR(INDEX(EXTRATO_IMPORTADO!$B$5:$B$404,MATCH(B1245,EXTRATO_IMPORTADO!$I$5:$I$404,0)),"")</f>
        <v/>
      </c>
      <c r="R1245" s="26" t="str">
        <f>IFERROR(MATCH(B1245,EXTRATO_IMPORTADO!$I$5:$I$404,0),"")</f>
        <v/>
      </c>
      <c r="S1245" s="26" t="str">
        <f t="shared" si="58"/>
        <v/>
      </c>
      <c r="T1245" s="26" t="str">
        <f t="shared" si="59"/>
        <v/>
      </c>
    </row>
    <row r="1246" spans="1:20" x14ac:dyDescent="0.3">
      <c r="A1246" s="26" t="str">
        <f>IF(BASE_CAIXA!A1243="","",BASE_CAIXA!A1243)</f>
        <v/>
      </c>
      <c r="B1246" s="26" t="str">
        <f>IF(A1246="","",BASE_CAIXA!AL1243)</f>
        <v/>
      </c>
      <c r="C1246" s="26" t="str">
        <f>IF(A1246="","",BASE_CAIXA!AJ1243)</f>
        <v/>
      </c>
      <c r="D1246" s="26" t="str">
        <f>IF(A1246="","",IF(BASE_CAIXA!C1243="Entrada","Crédito","Débito"))</f>
        <v/>
      </c>
      <c r="E1246" s="26" t="str">
        <f>IF(A1246="","",BASE_CAIXA!AA1243)</f>
        <v/>
      </c>
      <c r="F1246" s="26" t="str">
        <f>IF(A1246="","",BASE_CAIXA!N1243)</f>
        <v/>
      </c>
      <c r="G1246" s="26" t="str">
        <f>IF(A1246="","",BASE_CAIXA!O1243)</f>
        <v/>
      </c>
      <c r="H1246" s="26" t="str">
        <f>IF(A1246="","",BASE_CAIXA!P1243)</f>
        <v/>
      </c>
      <c r="I1246" s="26" t="str">
        <f>IF(A1246="","",IF(BASE_CAIXA!H1243&lt;&gt;"",BASE_CAIXA!H1243,BASE_CAIXA!G1243))</f>
        <v/>
      </c>
      <c r="J1246" s="26" t="str">
        <f>IF(A1246="","",BASE_CAIXA!G1243)</f>
        <v/>
      </c>
      <c r="K1246" s="26" t="str">
        <f>IF(A1246="","",BASE_CAIXA!I1243)</f>
        <v/>
      </c>
      <c r="L1246" s="26" t="str">
        <f>IF(A1246="","",BASE_CAIXA!J1243)</f>
        <v/>
      </c>
      <c r="M1246" s="26" t="str">
        <f>IF(A1246="","",BASE_CAIXA!AM1243)</f>
        <v/>
      </c>
      <c r="N1246" s="26" t="str">
        <f t="shared" ca="1" si="57"/>
        <v/>
      </c>
      <c r="O1246" s="26" t="str">
        <f>IFERROR(INDEX(EXTRATO_IMPORTADO!$A$5:$A$404,MATCH(B1246,EXTRATO_IMPORTADO!$I$5:$I$404,0)),"")</f>
        <v/>
      </c>
      <c r="P1246" s="26" t="str">
        <f>IFERROR(INDEX(EXTRATO_IMPORTADO!$F$5:$F$404,MATCH(B1246,EXTRATO_IMPORTADO!$I$5:$I$404,0)),"")</f>
        <v/>
      </c>
      <c r="Q1246" s="26" t="str">
        <f>IFERROR(INDEX(EXTRATO_IMPORTADO!$B$5:$B$404,MATCH(B1246,EXTRATO_IMPORTADO!$I$5:$I$404,0)),"")</f>
        <v/>
      </c>
      <c r="R1246" s="26" t="str">
        <f>IFERROR(MATCH(B1246,EXTRATO_IMPORTADO!$I$5:$I$404,0),"")</f>
        <v/>
      </c>
      <c r="S1246" s="26" t="str">
        <f t="shared" si="58"/>
        <v/>
      </c>
      <c r="T1246" s="26" t="str">
        <f t="shared" si="59"/>
        <v/>
      </c>
    </row>
    <row r="1247" spans="1:20" x14ac:dyDescent="0.3">
      <c r="A1247" s="26" t="str">
        <f>IF(BASE_CAIXA!A1244="","",BASE_CAIXA!A1244)</f>
        <v/>
      </c>
      <c r="B1247" s="26" t="str">
        <f>IF(A1247="","",BASE_CAIXA!AL1244)</f>
        <v/>
      </c>
      <c r="C1247" s="26" t="str">
        <f>IF(A1247="","",BASE_CAIXA!AJ1244)</f>
        <v/>
      </c>
      <c r="D1247" s="26" t="str">
        <f>IF(A1247="","",IF(BASE_CAIXA!C1244="Entrada","Crédito","Débito"))</f>
        <v/>
      </c>
      <c r="E1247" s="26" t="str">
        <f>IF(A1247="","",BASE_CAIXA!AA1244)</f>
        <v/>
      </c>
      <c r="F1247" s="26" t="str">
        <f>IF(A1247="","",BASE_CAIXA!N1244)</f>
        <v/>
      </c>
      <c r="G1247" s="26" t="str">
        <f>IF(A1247="","",BASE_CAIXA!O1244)</f>
        <v/>
      </c>
      <c r="H1247" s="26" t="str">
        <f>IF(A1247="","",BASE_CAIXA!P1244)</f>
        <v/>
      </c>
      <c r="I1247" s="26" t="str">
        <f>IF(A1247="","",IF(BASE_CAIXA!H1244&lt;&gt;"",BASE_CAIXA!H1244,BASE_CAIXA!G1244))</f>
        <v/>
      </c>
      <c r="J1247" s="26" t="str">
        <f>IF(A1247="","",BASE_CAIXA!G1244)</f>
        <v/>
      </c>
      <c r="K1247" s="26" t="str">
        <f>IF(A1247="","",BASE_CAIXA!I1244)</f>
        <v/>
      </c>
      <c r="L1247" s="26" t="str">
        <f>IF(A1247="","",BASE_CAIXA!J1244)</f>
        <v/>
      </c>
      <c r="M1247" s="26" t="str">
        <f>IF(A1247="","",BASE_CAIXA!AM1244)</f>
        <v/>
      </c>
      <c r="N1247" s="26" t="str">
        <f t="shared" ca="1" si="57"/>
        <v/>
      </c>
      <c r="O1247" s="26" t="str">
        <f>IFERROR(INDEX(EXTRATO_IMPORTADO!$A$5:$A$404,MATCH(B1247,EXTRATO_IMPORTADO!$I$5:$I$404,0)),"")</f>
        <v/>
      </c>
      <c r="P1247" s="26" t="str">
        <f>IFERROR(INDEX(EXTRATO_IMPORTADO!$F$5:$F$404,MATCH(B1247,EXTRATO_IMPORTADO!$I$5:$I$404,0)),"")</f>
        <v/>
      </c>
      <c r="Q1247" s="26" t="str">
        <f>IFERROR(INDEX(EXTRATO_IMPORTADO!$B$5:$B$404,MATCH(B1247,EXTRATO_IMPORTADO!$I$5:$I$404,0)),"")</f>
        <v/>
      </c>
      <c r="R1247" s="26" t="str">
        <f>IFERROR(MATCH(B1247,EXTRATO_IMPORTADO!$I$5:$I$404,0),"")</f>
        <v/>
      </c>
      <c r="S1247" s="26" t="str">
        <f t="shared" si="58"/>
        <v/>
      </c>
      <c r="T1247" s="26" t="str">
        <f t="shared" si="59"/>
        <v/>
      </c>
    </row>
    <row r="1248" spans="1:20" x14ac:dyDescent="0.3">
      <c r="A1248" s="26" t="str">
        <f>IF(BASE_CAIXA!A1245="","",BASE_CAIXA!A1245)</f>
        <v/>
      </c>
      <c r="B1248" s="26" t="str">
        <f>IF(A1248="","",BASE_CAIXA!AL1245)</f>
        <v/>
      </c>
      <c r="C1248" s="26" t="str">
        <f>IF(A1248="","",BASE_CAIXA!AJ1245)</f>
        <v/>
      </c>
      <c r="D1248" s="26" t="str">
        <f>IF(A1248="","",IF(BASE_CAIXA!C1245="Entrada","Crédito","Débito"))</f>
        <v/>
      </c>
      <c r="E1248" s="26" t="str">
        <f>IF(A1248="","",BASE_CAIXA!AA1245)</f>
        <v/>
      </c>
      <c r="F1248" s="26" t="str">
        <f>IF(A1248="","",BASE_CAIXA!N1245)</f>
        <v/>
      </c>
      <c r="G1248" s="26" t="str">
        <f>IF(A1248="","",BASE_CAIXA!O1245)</f>
        <v/>
      </c>
      <c r="H1248" s="26" t="str">
        <f>IF(A1248="","",BASE_CAIXA!P1245)</f>
        <v/>
      </c>
      <c r="I1248" s="26" t="str">
        <f>IF(A1248="","",IF(BASE_CAIXA!H1245&lt;&gt;"",BASE_CAIXA!H1245,BASE_CAIXA!G1245))</f>
        <v/>
      </c>
      <c r="J1248" s="26" t="str">
        <f>IF(A1248="","",BASE_CAIXA!G1245)</f>
        <v/>
      </c>
      <c r="K1248" s="26" t="str">
        <f>IF(A1248="","",BASE_CAIXA!I1245)</f>
        <v/>
      </c>
      <c r="L1248" s="26" t="str">
        <f>IF(A1248="","",BASE_CAIXA!J1245)</f>
        <v/>
      </c>
      <c r="M1248" s="26" t="str">
        <f>IF(A1248="","",BASE_CAIXA!AM1245)</f>
        <v/>
      </c>
      <c r="N1248" s="26" t="str">
        <f t="shared" ca="1" si="57"/>
        <v/>
      </c>
      <c r="O1248" s="26" t="str">
        <f>IFERROR(INDEX(EXTRATO_IMPORTADO!$A$5:$A$404,MATCH(B1248,EXTRATO_IMPORTADO!$I$5:$I$404,0)),"")</f>
        <v/>
      </c>
      <c r="P1248" s="26" t="str">
        <f>IFERROR(INDEX(EXTRATO_IMPORTADO!$F$5:$F$404,MATCH(B1248,EXTRATO_IMPORTADO!$I$5:$I$404,0)),"")</f>
        <v/>
      </c>
      <c r="Q1248" s="26" t="str">
        <f>IFERROR(INDEX(EXTRATO_IMPORTADO!$B$5:$B$404,MATCH(B1248,EXTRATO_IMPORTADO!$I$5:$I$404,0)),"")</f>
        <v/>
      </c>
      <c r="R1248" s="26" t="str">
        <f>IFERROR(MATCH(B1248,EXTRATO_IMPORTADO!$I$5:$I$404,0),"")</f>
        <v/>
      </c>
      <c r="S1248" s="26" t="str">
        <f t="shared" si="58"/>
        <v/>
      </c>
      <c r="T1248" s="26" t="str">
        <f t="shared" si="59"/>
        <v/>
      </c>
    </row>
    <row r="1249" spans="1:20" x14ac:dyDescent="0.3">
      <c r="A1249" s="26" t="str">
        <f>IF(BASE_CAIXA!A1246="","",BASE_CAIXA!A1246)</f>
        <v/>
      </c>
      <c r="B1249" s="26" t="str">
        <f>IF(A1249="","",BASE_CAIXA!AL1246)</f>
        <v/>
      </c>
      <c r="C1249" s="26" t="str">
        <f>IF(A1249="","",BASE_CAIXA!AJ1246)</f>
        <v/>
      </c>
      <c r="D1249" s="26" t="str">
        <f>IF(A1249="","",IF(BASE_CAIXA!C1246="Entrada","Crédito","Débito"))</f>
        <v/>
      </c>
      <c r="E1249" s="26" t="str">
        <f>IF(A1249="","",BASE_CAIXA!AA1246)</f>
        <v/>
      </c>
      <c r="F1249" s="26" t="str">
        <f>IF(A1249="","",BASE_CAIXA!N1246)</f>
        <v/>
      </c>
      <c r="G1249" s="26" t="str">
        <f>IF(A1249="","",BASE_CAIXA!O1246)</f>
        <v/>
      </c>
      <c r="H1249" s="26" t="str">
        <f>IF(A1249="","",BASE_CAIXA!P1246)</f>
        <v/>
      </c>
      <c r="I1249" s="26" t="str">
        <f>IF(A1249="","",IF(BASE_CAIXA!H1246&lt;&gt;"",BASE_CAIXA!H1246,BASE_CAIXA!G1246))</f>
        <v/>
      </c>
      <c r="J1249" s="26" t="str">
        <f>IF(A1249="","",BASE_CAIXA!G1246)</f>
        <v/>
      </c>
      <c r="K1249" s="26" t="str">
        <f>IF(A1249="","",BASE_CAIXA!I1246)</f>
        <v/>
      </c>
      <c r="L1249" s="26" t="str">
        <f>IF(A1249="","",BASE_CAIXA!J1246)</f>
        <v/>
      </c>
      <c r="M1249" s="26" t="str">
        <f>IF(A1249="","",BASE_CAIXA!AM1246)</f>
        <v/>
      </c>
      <c r="N1249" s="26" t="str">
        <f t="shared" ca="1" si="57"/>
        <v/>
      </c>
      <c r="O1249" s="26" t="str">
        <f>IFERROR(INDEX(EXTRATO_IMPORTADO!$A$5:$A$404,MATCH(B1249,EXTRATO_IMPORTADO!$I$5:$I$404,0)),"")</f>
        <v/>
      </c>
      <c r="P1249" s="26" t="str">
        <f>IFERROR(INDEX(EXTRATO_IMPORTADO!$F$5:$F$404,MATCH(B1249,EXTRATO_IMPORTADO!$I$5:$I$404,0)),"")</f>
        <v/>
      </c>
      <c r="Q1249" s="26" t="str">
        <f>IFERROR(INDEX(EXTRATO_IMPORTADO!$B$5:$B$404,MATCH(B1249,EXTRATO_IMPORTADO!$I$5:$I$404,0)),"")</f>
        <v/>
      </c>
      <c r="R1249" s="26" t="str">
        <f>IFERROR(MATCH(B1249,EXTRATO_IMPORTADO!$I$5:$I$404,0),"")</f>
        <v/>
      </c>
      <c r="S1249" s="26" t="str">
        <f t="shared" si="58"/>
        <v/>
      </c>
      <c r="T1249" s="26" t="str">
        <f t="shared" si="59"/>
        <v/>
      </c>
    </row>
    <row r="1250" spans="1:20" x14ac:dyDescent="0.3">
      <c r="A1250" s="26" t="str">
        <f>IF(BASE_CAIXA!A1247="","",BASE_CAIXA!A1247)</f>
        <v/>
      </c>
      <c r="B1250" s="26" t="str">
        <f>IF(A1250="","",BASE_CAIXA!AL1247)</f>
        <v/>
      </c>
      <c r="C1250" s="26" t="str">
        <f>IF(A1250="","",BASE_CAIXA!AJ1247)</f>
        <v/>
      </c>
      <c r="D1250" s="26" t="str">
        <f>IF(A1250="","",IF(BASE_CAIXA!C1247="Entrada","Crédito","Débito"))</f>
        <v/>
      </c>
      <c r="E1250" s="26" t="str">
        <f>IF(A1250="","",BASE_CAIXA!AA1247)</f>
        <v/>
      </c>
      <c r="F1250" s="26" t="str">
        <f>IF(A1250="","",BASE_CAIXA!N1247)</f>
        <v/>
      </c>
      <c r="G1250" s="26" t="str">
        <f>IF(A1250="","",BASE_CAIXA!O1247)</f>
        <v/>
      </c>
      <c r="H1250" s="26" t="str">
        <f>IF(A1250="","",BASE_CAIXA!P1247)</f>
        <v/>
      </c>
      <c r="I1250" s="26" t="str">
        <f>IF(A1250="","",IF(BASE_CAIXA!H1247&lt;&gt;"",BASE_CAIXA!H1247,BASE_CAIXA!G1247))</f>
        <v/>
      </c>
      <c r="J1250" s="26" t="str">
        <f>IF(A1250="","",BASE_CAIXA!G1247)</f>
        <v/>
      </c>
      <c r="K1250" s="26" t="str">
        <f>IF(A1250="","",BASE_CAIXA!I1247)</f>
        <v/>
      </c>
      <c r="L1250" s="26" t="str">
        <f>IF(A1250="","",BASE_CAIXA!J1247)</f>
        <v/>
      </c>
      <c r="M1250" s="26" t="str">
        <f>IF(A1250="","",BASE_CAIXA!AM1247)</f>
        <v/>
      </c>
      <c r="N1250" s="26" t="str">
        <f t="shared" ca="1" si="57"/>
        <v/>
      </c>
      <c r="O1250" s="26" t="str">
        <f>IFERROR(INDEX(EXTRATO_IMPORTADO!$A$5:$A$404,MATCH(B1250,EXTRATO_IMPORTADO!$I$5:$I$404,0)),"")</f>
        <v/>
      </c>
      <c r="P1250" s="26" t="str">
        <f>IFERROR(INDEX(EXTRATO_IMPORTADO!$F$5:$F$404,MATCH(B1250,EXTRATO_IMPORTADO!$I$5:$I$404,0)),"")</f>
        <v/>
      </c>
      <c r="Q1250" s="26" t="str">
        <f>IFERROR(INDEX(EXTRATO_IMPORTADO!$B$5:$B$404,MATCH(B1250,EXTRATO_IMPORTADO!$I$5:$I$404,0)),"")</f>
        <v/>
      </c>
      <c r="R1250" s="26" t="str">
        <f>IFERROR(MATCH(B1250,EXTRATO_IMPORTADO!$I$5:$I$404,0),"")</f>
        <v/>
      </c>
      <c r="S1250" s="26" t="str">
        <f t="shared" si="58"/>
        <v/>
      </c>
      <c r="T1250" s="26" t="str">
        <f t="shared" si="59"/>
        <v/>
      </c>
    </row>
    <row r="1251" spans="1:20" x14ac:dyDescent="0.3">
      <c r="A1251" s="26" t="str">
        <f>IF(BASE_CAIXA!A1248="","",BASE_CAIXA!A1248)</f>
        <v/>
      </c>
      <c r="B1251" s="26" t="str">
        <f>IF(A1251="","",BASE_CAIXA!AL1248)</f>
        <v/>
      </c>
      <c r="C1251" s="26" t="str">
        <f>IF(A1251="","",BASE_CAIXA!AJ1248)</f>
        <v/>
      </c>
      <c r="D1251" s="26" t="str">
        <f>IF(A1251="","",IF(BASE_CAIXA!C1248="Entrada","Crédito","Débito"))</f>
        <v/>
      </c>
      <c r="E1251" s="26" t="str">
        <f>IF(A1251="","",BASE_CAIXA!AA1248)</f>
        <v/>
      </c>
      <c r="F1251" s="26" t="str">
        <f>IF(A1251="","",BASE_CAIXA!N1248)</f>
        <v/>
      </c>
      <c r="G1251" s="26" t="str">
        <f>IF(A1251="","",BASE_CAIXA!O1248)</f>
        <v/>
      </c>
      <c r="H1251" s="26" t="str">
        <f>IF(A1251="","",BASE_CAIXA!P1248)</f>
        <v/>
      </c>
      <c r="I1251" s="26" t="str">
        <f>IF(A1251="","",IF(BASE_CAIXA!H1248&lt;&gt;"",BASE_CAIXA!H1248,BASE_CAIXA!G1248))</f>
        <v/>
      </c>
      <c r="J1251" s="26" t="str">
        <f>IF(A1251="","",BASE_CAIXA!G1248)</f>
        <v/>
      </c>
      <c r="K1251" s="26" t="str">
        <f>IF(A1251="","",BASE_CAIXA!I1248)</f>
        <v/>
      </c>
      <c r="L1251" s="26" t="str">
        <f>IF(A1251="","",BASE_CAIXA!J1248)</f>
        <v/>
      </c>
      <c r="M1251" s="26" t="str">
        <f>IF(A1251="","",BASE_CAIXA!AM1248)</f>
        <v/>
      </c>
      <c r="N1251" s="26" t="str">
        <f t="shared" ca="1" si="57"/>
        <v/>
      </c>
      <c r="O1251" s="26" t="str">
        <f>IFERROR(INDEX(EXTRATO_IMPORTADO!$A$5:$A$404,MATCH(B1251,EXTRATO_IMPORTADO!$I$5:$I$404,0)),"")</f>
        <v/>
      </c>
      <c r="P1251" s="26" t="str">
        <f>IFERROR(INDEX(EXTRATO_IMPORTADO!$F$5:$F$404,MATCH(B1251,EXTRATO_IMPORTADO!$I$5:$I$404,0)),"")</f>
        <v/>
      </c>
      <c r="Q1251" s="26" t="str">
        <f>IFERROR(INDEX(EXTRATO_IMPORTADO!$B$5:$B$404,MATCH(B1251,EXTRATO_IMPORTADO!$I$5:$I$404,0)),"")</f>
        <v/>
      </c>
      <c r="R1251" s="26" t="str">
        <f>IFERROR(MATCH(B1251,EXTRATO_IMPORTADO!$I$5:$I$404,0),"")</f>
        <v/>
      </c>
      <c r="S1251" s="26" t="str">
        <f t="shared" si="58"/>
        <v/>
      </c>
      <c r="T1251" s="26" t="str">
        <f t="shared" si="59"/>
        <v/>
      </c>
    </row>
    <row r="1252" spans="1:20" x14ac:dyDescent="0.3">
      <c r="A1252" s="26" t="str">
        <f>IF(BASE_CAIXA!A1249="","",BASE_CAIXA!A1249)</f>
        <v/>
      </c>
      <c r="B1252" s="26" t="str">
        <f>IF(A1252="","",BASE_CAIXA!AL1249)</f>
        <v/>
      </c>
      <c r="C1252" s="26" t="str">
        <f>IF(A1252="","",BASE_CAIXA!AJ1249)</f>
        <v/>
      </c>
      <c r="D1252" s="26" t="str">
        <f>IF(A1252="","",IF(BASE_CAIXA!C1249="Entrada","Crédito","Débito"))</f>
        <v/>
      </c>
      <c r="E1252" s="26" t="str">
        <f>IF(A1252="","",BASE_CAIXA!AA1249)</f>
        <v/>
      </c>
      <c r="F1252" s="26" t="str">
        <f>IF(A1252="","",BASE_CAIXA!N1249)</f>
        <v/>
      </c>
      <c r="G1252" s="26" t="str">
        <f>IF(A1252="","",BASE_CAIXA!O1249)</f>
        <v/>
      </c>
      <c r="H1252" s="26" t="str">
        <f>IF(A1252="","",BASE_CAIXA!P1249)</f>
        <v/>
      </c>
      <c r="I1252" s="26" t="str">
        <f>IF(A1252="","",IF(BASE_CAIXA!H1249&lt;&gt;"",BASE_CAIXA!H1249,BASE_CAIXA!G1249))</f>
        <v/>
      </c>
      <c r="J1252" s="26" t="str">
        <f>IF(A1252="","",BASE_CAIXA!G1249)</f>
        <v/>
      </c>
      <c r="K1252" s="26" t="str">
        <f>IF(A1252="","",BASE_CAIXA!I1249)</f>
        <v/>
      </c>
      <c r="L1252" s="26" t="str">
        <f>IF(A1252="","",BASE_CAIXA!J1249)</f>
        <v/>
      </c>
      <c r="M1252" s="26" t="str">
        <f>IF(A1252="","",BASE_CAIXA!AM1249)</f>
        <v/>
      </c>
      <c r="N1252" s="26" t="str">
        <f t="shared" ca="1" si="57"/>
        <v/>
      </c>
      <c r="O1252" s="26" t="str">
        <f>IFERROR(INDEX(EXTRATO_IMPORTADO!$A$5:$A$404,MATCH(B1252,EXTRATO_IMPORTADO!$I$5:$I$404,0)),"")</f>
        <v/>
      </c>
      <c r="P1252" s="26" t="str">
        <f>IFERROR(INDEX(EXTRATO_IMPORTADO!$F$5:$F$404,MATCH(B1252,EXTRATO_IMPORTADO!$I$5:$I$404,0)),"")</f>
        <v/>
      </c>
      <c r="Q1252" s="26" t="str">
        <f>IFERROR(INDEX(EXTRATO_IMPORTADO!$B$5:$B$404,MATCH(B1252,EXTRATO_IMPORTADO!$I$5:$I$404,0)),"")</f>
        <v/>
      </c>
      <c r="R1252" s="26" t="str">
        <f>IFERROR(MATCH(B1252,EXTRATO_IMPORTADO!$I$5:$I$404,0),"")</f>
        <v/>
      </c>
      <c r="S1252" s="26" t="str">
        <f t="shared" si="58"/>
        <v/>
      </c>
      <c r="T1252" s="26" t="str">
        <f t="shared" si="59"/>
        <v/>
      </c>
    </row>
    <row r="1253" spans="1:20" x14ac:dyDescent="0.3">
      <c r="A1253" s="26" t="str">
        <f>IF(BASE_CAIXA!A1250="","",BASE_CAIXA!A1250)</f>
        <v/>
      </c>
      <c r="B1253" s="26" t="str">
        <f>IF(A1253="","",BASE_CAIXA!AL1250)</f>
        <v/>
      </c>
      <c r="C1253" s="26" t="str">
        <f>IF(A1253="","",BASE_CAIXA!AJ1250)</f>
        <v/>
      </c>
      <c r="D1253" s="26" t="str">
        <f>IF(A1253="","",IF(BASE_CAIXA!C1250="Entrada","Crédito","Débito"))</f>
        <v/>
      </c>
      <c r="E1253" s="26" t="str">
        <f>IF(A1253="","",BASE_CAIXA!AA1250)</f>
        <v/>
      </c>
      <c r="F1253" s="26" t="str">
        <f>IF(A1253="","",BASE_CAIXA!N1250)</f>
        <v/>
      </c>
      <c r="G1253" s="26" t="str">
        <f>IF(A1253="","",BASE_CAIXA!O1250)</f>
        <v/>
      </c>
      <c r="H1253" s="26" t="str">
        <f>IF(A1253="","",BASE_CAIXA!P1250)</f>
        <v/>
      </c>
      <c r="I1253" s="26" t="str">
        <f>IF(A1253="","",IF(BASE_CAIXA!H1250&lt;&gt;"",BASE_CAIXA!H1250,BASE_CAIXA!G1250))</f>
        <v/>
      </c>
      <c r="J1253" s="26" t="str">
        <f>IF(A1253="","",BASE_CAIXA!G1250)</f>
        <v/>
      </c>
      <c r="K1253" s="26" t="str">
        <f>IF(A1253="","",BASE_CAIXA!I1250)</f>
        <v/>
      </c>
      <c r="L1253" s="26" t="str">
        <f>IF(A1253="","",BASE_CAIXA!J1250)</f>
        <v/>
      </c>
      <c r="M1253" s="26" t="str">
        <f>IF(A1253="","",BASE_CAIXA!AM1250)</f>
        <v/>
      </c>
      <c r="N1253" s="26" t="str">
        <f t="shared" ca="1" si="57"/>
        <v/>
      </c>
      <c r="O1253" s="26" t="str">
        <f>IFERROR(INDEX(EXTRATO_IMPORTADO!$A$5:$A$404,MATCH(B1253,EXTRATO_IMPORTADO!$I$5:$I$404,0)),"")</f>
        <v/>
      </c>
      <c r="P1253" s="26" t="str">
        <f>IFERROR(INDEX(EXTRATO_IMPORTADO!$F$5:$F$404,MATCH(B1253,EXTRATO_IMPORTADO!$I$5:$I$404,0)),"")</f>
        <v/>
      </c>
      <c r="Q1253" s="26" t="str">
        <f>IFERROR(INDEX(EXTRATO_IMPORTADO!$B$5:$B$404,MATCH(B1253,EXTRATO_IMPORTADO!$I$5:$I$404,0)),"")</f>
        <v/>
      </c>
      <c r="R1253" s="26" t="str">
        <f>IFERROR(MATCH(B1253,EXTRATO_IMPORTADO!$I$5:$I$404,0),"")</f>
        <v/>
      </c>
      <c r="S1253" s="26" t="str">
        <f t="shared" si="58"/>
        <v/>
      </c>
      <c r="T1253" s="26" t="str">
        <f t="shared" si="59"/>
        <v/>
      </c>
    </row>
    <row r="1254" spans="1:20" x14ac:dyDescent="0.3">
      <c r="A1254" s="26" t="str">
        <f>IF(BASE_CAIXA!A1251="","",BASE_CAIXA!A1251)</f>
        <v/>
      </c>
      <c r="B1254" s="26" t="str">
        <f>IF(A1254="","",BASE_CAIXA!AL1251)</f>
        <v/>
      </c>
      <c r="C1254" s="26" t="str">
        <f>IF(A1254="","",BASE_CAIXA!AJ1251)</f>
        <v/>
      </c>
      <c r="D1254" s="26" t="str">
        <f>IF(A1254="","",IF(BASE_CAIXA!C1251="Entrada","Crédito","Débito"))</f>
        <v/>
      </c>
      <c r="E1254" s="26" t="str">
        <f>IF(A1254="","",BASE_CAIXA!AA1251)</f>
        <v/>
      </c>
      <c r="F1254" s="26" t="str">
        <f>IF(A1254="","",BASE_CAIXA!N1251)</f>
        <v/>
      </c>
      <c r="G1254" s="26" t="str">
        <f>IF(A1254="","",BASE_CAIXA!O1251)</f>
        <v/>
      </c>
      <c r="H1254" s="26" t="str">
        <f>IF(A1254="","",BASE_CAIXA!P1251)</f>
        <v/>
      </c>
      <c r="I1254" s="26" t="str">
        <f>IF(A1254="","",IF(BASE_CAIXA!H1251&lt;&gt;"",BASE_CAIXA!H1251,BASE_CAIXA!G1251))</f>
        <v/>
      </c>
      <c r="J1254" s="26" t="str">
        <f>IF(A1254="","",BASE_CAIXA!G1251)</f>
        <v/>
      </c>
      <c r="K1254" s="26" t="str">
        <f>IF(A1254="","",BASE_CAIXA!I1251)</f>
        <v/>
      </c>
      <c r="L1254" s="26" t="str">
        <f>IF(A1254="","",BASE_CAIXA!J1251)</f>
        <v/>
      </c>
      <c r="M1254" s="26" t="str">
        <f>IF(A1254="","",BASE_CAIXA!AM1251)</f>
        <v/>
      </c>
      <c r="N1254" s="26" t="str">
        <f t="shared" ca="1" si="57"/>
        <v/>
      </c>
      <c r="O1254" s="26" t="str">
        <f>IFERROR(INDEX(EXTRATO_IMPORTADO!$A$5:$A$404,MATCH(B1254,EXTRATO_IMPORTADO!$I$5:$I$404,0)),"")</f>
        <v/>
      </c>
      <c r="P1254" s="26" t="str">
        <f>IFERROR(INDEX(EXTRATO_IMPORTADO!$F$5:$F$404,MATCH(B1254,EXTRATO_IMPORTADO!$I$5:$I$404,0)),"")</f>
        <v/>
      </c>
      <c r="Q1254" s="26" t="str">
        <f>IFERROR(INDEX(EXTRATO_IMPORTADO!$B$5:$B$404,MATCH(B1254,EXTRATO_IMPORTADO!$I$5:$I$404,0)),"")</f>
        <v/>
      </c>
      <c r="R1254" s="26" t="str">
        <f>IFERROR(MATCH(B1254,EXTRATO_IMPORTADO!$I$5:$I$404,0),"")</f>
        <v/>
      </c>
      <c r="S1254" s="26" t="str">
        <f t="shared" si="58"/>
        <v/>
      </c>
      <c r="T1254" s="26" t="str">
        <f t="shared" si="59"/>
        <v/>
      </c>
    </row>
    <row r="1255" spans="1:20" x14ac:dyDescent="0.3">
      <c r="A1255" s="26" t="str">
        <f>IF(BASE_CAIXA!A1252="","",BASE_CAIXA!A1252)</f>
        <v/>
      </c>
      <c r="B1255" s="26" t="str">
        <f>IF(A1255="","",BASE_CAIXA!AL1252)</f>
        <v/>
      </c>
      <c r="C1255" s="26" t="str">
        <f>IF(A1255="","",BASE_CAIXA!AJ1252)</f>
        <v/>
      </c>
      <c r="D1255" s="26" t="str">
        <f>IF(A1255="","",IF(BASE_CAIXA!C1252="Entrada","Crédito","Débito"))</f>
        <v/>
      </c>
      <c r="E1255" s="26" t="str">
        <f>IF(A1255="","",BASE_CAIXA!AA1252)</f>
        <v/>
      </c>
      <c r="F1255" s="26" t="str">
        <f>IF(A1255="","",BASE_CAIXA!N1252)</f>
        <v/>
      </c>
      <c r="G1255" s="26" t="str">
        <f>IF(A1255="","",BASE_CAIXA!O1252)</f>
        <v/>
      </c>
      <c r="H1255" s="26" t="str">
        <f>IF(A1255="","",BASE_CAIXA!P1252)</f>
        <v/>
      </c>
      <c r="I1255" s="26" t="str">
        <f>IF(A1255="","",IF(BASE_CAIXA!H1252&lt;&gt;"",BASE_CAIXA!H1252,BASE_CAIXA!G1252))</f>
        <v/>
      </c>
      <c r="J1255" s="26" t="str">
        <f>IF(A1255="","",BASE_CAIXA!G1252)</f>
        <v/>
      </c>
      <c r="K1255" s="26" t="str">
        <f>IF(A1255="","",BASE_CAIXA!I1252)</f>
        <v/>
      </c>
      <c r="L1255" s="26" t="str">
        <f>IF(A1255="","",BASE_CAIXA!J1252)</f>
        <v/>
      </c>
      <c r="M1255" s="26" t="str">
        <f>IF(A1255="","",BASE_CAIXA!AM1252)</f>
        <v/>
      </c>
      <c r="N1255" s="26" t="str">
        <f t="shared" ca="1" si="57"/>
        <v/>
      </c>
      <c r="O1255" s="26" t="str">
        <f>IFERROR(INDEX(EXTRATO_IMPORTADO!$A$5:$A$404,MATCH(B1255,EXTRATO_IMPORTADO!$I$5:$I$404,0)),"")</f>
        <v/>
      </c>
      <c r="P1255" s="26" t="str">
        <f>IFERROR(INDEX(EXTRATO_IMPORTADO!$F$5:$F$404,MATCH(B1255,EXTRATO_IMPORTADO!$I$5:$I$404,0)),"")</f>
        <v/>
      </c>
      <c r="Q1255" s="26" t="str">
        <f>IFERROR(INDEX(EXTRATO_IMPORTADO!$B$5:$B$404,MATCH(B1255,EXTRATO_IMPORTADO!$I$5:$I$404,0)),"")</f>
        <v/>
      </c>
      <c r="R1255" s="26" t="str">
        <f>IFERROR(MATCH(B1255,EXTRATO_IMPORTADO!$I$5:$I$404,0),"")</f>
        <v/>
      </c>
      <c r="S1255" s="26" t="str">
        <f t="shared" si="58"/>
        <v/>
      </c>
      <c r="T1255" s="26" t="str">
        <f t="shared" si="59"/>
        <v/>
      </c>
    </row>
    <row r="1256" spans="1:20" x14ac:dyDescent="0.3">
      <c r="A1256" s="26" t="str">
        <f>IF(BASE_CAIXA!A1253="","",BASE_CAIXA!A1253)</f>
        <v/>
      </c>
      <c r="B1256" s="26" t="str">
        <f>IF(A1256="","",BASE_CAIXA!AL1253)</f>
        <v/>
      </c>
      <c r="C1256" s="26" t="str">
        <f>IF(A1256="","",BASE_CAIXA!AJ1253)</f>
        <v/>
      </c>
      <c r="D1256" s="26" t="str">
        <f>IF(A1256="","",IF(BASE_CAIXA!C1253="Entrada","Crédito","Débito"))</f>
        <v/>
      </c>
      <c r="E1256" s="26" t="str">
        <f>IF(A1256="","",BASE_CAIXA!AA1253)</f>
        <v/>
      </c>
      <c r="F1256" s="26" t="str">
        <f>IF(A1256="","",BASE_CAIXA!N1253)</f>
        <v/>
      </c>
      <c r="G1256" s="26" t="str">
        <f>IF(A1256="","",BASE_CAIXA!O1253)</f>
        <v/>
      </c>
      <c r="H1256" s="26" t="str">
        <f>IF(A1256="","",BASE_CAIXA!P1253)</f>
        <v/>
      </c>
      <c r="I1256" s="26" t="str">
        <f>IF(A1256="","",IF(BASE_CAIXA!H1253&lt;&gt;"",BASE_CAIXA!H1253,BASE_CAIXA!G1253))</f>
        <v/>
      </c>
      <c r="J1256" s="26" t="str">
        <f>IF(A1256="","",BASE_CAIXA!G1253)</f>
        <v/>
      </c>
      <c r="K1256" s="26" t="str">
        <f>IF(A1256="","",BASE_CAIXA!I1253)</f>
        <v/>
      </c>
      <c r="L1256" s="26" t="str">
        <f>IF(A1256="","",BASE_CAIXA!J1253)</f>
        <v/>
      </c>
      <c r="M1256" s="26" t="str">
        <f>IF(A1256="","",BASE_CAIXA!AM1253)</f>
        <v/>
      </c>
      <c r="N1256" s="26" t="str">
        <f t="shared" ca="1" si="57"/>
        <v/>
      </c>
      <c r="O1256" s="26" t="str">
        <f>IFERROR(INDEX(EXTRATO_IMPORTADO!$A$5:$A$404,MATCH(B1256,EXTRATO_IMPORTADO!$I$5:$I$404,0)),"")</f>
        <v/>
      </c>
      <c r="P1256" s="26" t="str">
        <f>IFERROR(INDEX(EXTRATO_IMPORTADO!$F$5:$F$404,MATCH(B1256,EXTRATO_IMPORTADO!$I$5:$I$404,0)),"")</f>
        <v/>
      </c>
      <c r="Q1256" s="26" t="str">
        <f>IFERROR(INDEX(EXTRATO_IMPORTADO!$B$5:$B$404,MATCH(B1256,EXTRATO_IMPORTADO!$I$5:$I$404,0)),"")</f>
        <v/>
      </c>
      <c r="R1256" s="26" t="str">
        <f>IFERROR(MATCH(B1256,EXTRATO_IMPORTADO!$I$5:$I$404,0),"")</f>
        <v/>
      </c>
      <c r="S1256" s="26" t="str">
        <f t="shared" si="58"/>
        <v/>
      </c>
      <c r="T1256" s="26" t="str">
        <f t="shared" si="59"/>
        <v/>
      </c>
    </row>
    <row r="1257" spans="1:20" x14ac:dyDescent="0.3">
      <c r="A1257" s="26" t="str">
        <f>IF(BASE_CAIXA!A1254="","",BASE_CAIXA!A1254)</f>
        <v/>
      </c>
      <c r="B1257" s="26" t="str">
        <f>IF(A1257="","",BASE_CAIXA!AL1254)</f>
        <v/>
      </c>
      <c r="C1257" s="26" t="str">
        <f>IF(A1257="","",BASE_CAIXA!AJ1254)</f>
        <v/>
      </c>
      <c r="D1257" s="26" t="str">
        <f>IF(A1257="","",IF(BASE_CAIXA!C1254="Entrada","Crédito","Débito"))</f>
        <v/>
      </c>
      <c r="E1257" s="26" t="str">
        <f>IF(A1257="","",BASE_CAIXA!AA1254)</f>
        <v/>
      </c>
      <c r="F1257" s="26" t="str">
        <f>IF(A1257="","",BASE_CAIXA!N1254)</f>
        <v/>
      </c>
      <c r="G1257" s="26" t="str">
        <f>IF(A1257="","",BASE_CAIXA!O1254)</f>
        <v/>
      </c>
      <c r="H1257" s="26" t="str">
        <f>IF(A1257="","",BASE_CAIXA!P1254)</f>
        <v/>
      </c>
      <c r="I1257" s="26" t="str">
        <f>IF(A1257="","",IF(BASE_CAIXA!H1254&lt;&gt;"",BASE_CAIXA!H1254,BASE_CAIXA!G1254))</f>
        <v/>
      </c>
      <c r="J1257" s="26" t="str">
        <f>IF(A1257="","",BASE_CAIXA!G1254)</f>
        <v/>
      </c>
      <c r="K1257" s="26" t="str">
        <f>IF(A1257="","",BASE_CAIXA!I1254)</f>
        <v/>
      </c>
      <c r="L1257" s="26" t="str">
        <f>IF(A1257="","",BASE_CAIXA!J1254)</f>
        <v/>
      </c>
      <c r="M1257" s="26" t="str">
        <f>IF(A1257="","",BASE_CAIXA!AM1254)</f>
        <v/>
      </c>
      <c r="N1257" s="26" t="str">
        <f t="shared" ca="1" si="57"/>
        <v/>
      </c>
      <c r="O1257" s="26" t="str">
        <f>IFERROR(INDEX(EXTRATO_IMPORTADO!$A$5:$A$404,MATCH(B1257,EXTRATO_IMPORTADO!$I$5:$I$404,0)),"")</f>
        <v/>
      </c>
      <c r="P1257" s="26" t="str">
        <f>IFERROR(INDEX(EXTRATO_IMPORTADO!$F$5:$F$404,MATCH(B1257,EXTRATO_IMPORTADO!$I$5:$I$404,0)),"")</f>
        <v/>
      </c>
      <c r="Q1257" s="26" t="str">
        <f>IFERROR(INDEX(EXTRATO_IMPORTADO!$B$5:$B$404,MATCH(B1257,EXTRATO_IMPORTADO!$I$5:$I$404,0)),"")</f>
        <v/>
      </c>
      <c r="R1257" s="26" t="str">
        <f>IFERROR(MATCH(B1257,EXTRATO_IMPORTADO!$I$5:$I$404,0),"")</f>
        <v/>
      </c>
      <c r="S1257" s="26" t="str">
        <f t="shared" si="58"/>
        <v/>
      </c>
      <c r="T1257" s="26" t="str">
        <f t="shared" si="59"/>
        <v/>
      </c>
    </row>
    <row r="1258" spans="1:20" x14ac:dyDescent="0.3">
      <c r="A1258" s="26" t="str">
        <f>IF(BASE_CAIXA!A1255="","",BASE_CAIXA!A1255)</f>
        <v/>
      </c>
      <c r="B1258" s="26" t="str">
        <f>IF(A1258="","",BASE_CAIXA!AL1255)</f>
        <v/>
      </c>
      <c r="C1258" s="26" t="str">
        <f>IF(A1258="","",BASE_CAIXA!AJ1255)</f>
        <v/>
      </c>
      <c r="D1258" s="26" t="str">
        <f>IF(A1258="","",IF(BASE_CAIXA!C1255="Entrada","Crédito","Débito"))</f>
        <v/>
      </c>
      <c r="E1258" s="26" t="str">
        <f>IF(A1258="","",BASE_CAIXA!AA1255)</f>
        <v/>
      </c>
      <c r="F1258" s="26" t="str">
        <f>IF(A1258="","",BASE_CAIXA!N1255)</f>
        <v/>
      </c>
      <c r="G1258" s="26" t="str">
        <f>IF(A1258="","",BASE_CAIXA!O1255)</f>
        <v/>
      </c>
      <c r="H1258" s="26" t="str">
        <f>IF(A1258="","",BASE_CAIXA!P1255)</f>
        <v/>
      </c>
      <c r="I1258" s="26" t="str">
        <f>IF(A1258="","",IF(BASE_CAIXA!H1255&lt;&gt;"",BASE_CAIXA!H1255,BASE_CAIXA!G1255))</f>
        <v/>
      </c>
      <c r="J1258" s="26" t="str">
        <f>IF(A1258="","",BASE_CAIXA!G1255)</f>
        <v/>
      </c>
      <c r="K1258" s="26" t="str">
        <f>IF(A1258="","",BASE_CAIXA!I1255)</f>
        <v/>
      </c>
      <c r="L1258" s="26" t="str">
        <f>IF(A1258="","",BASE_CAIXA!J1255)</f>
        <v/>
      </c>
      <c r="M1258" s="26" t="str">
        <f>IF(A1258="","",BASE_CAIXA!AM1255)</f>
        <v/>
      </c>
      <c r="N1258" s="26" t="str">
        <f t="shared" ca="1" si="57"/>
        <v/>
      </c>
      <c r="O1258" s="26" t="str">
        <f>IFERROR(INDEX(EXTRATO_IMPORTADO!$A$5:$A$404,MATCH(B1258,EXTRATO_IMPORTADO!$I$5:$I$404,0)),"")</f>
        <v/>
      </c>
      <c r="P1258" s="26" t="str">
        <f>IFERROR(INDEX(EXTRATO_IMPORTADO!$F$5:$F$404,MATCH(B1258,EXTRATO_IMPORTADO!$I$5:$I$404,0)),"")</f>
        <v/>
      </c>
      <c r="Q1258" s="26" t="str">
        <f>IFERROR(INDEX(EXTRATO_IMPORTADO!$B$5:$B$404,MATCH(B1258,EXTRATO_IMPORTADO!$I$5:$I$404,0)),"")</f>
        <v/>
      </c>
      <c r="R1258" s="26" t="str">
        <f>IFERROR(MATCH(B1258,EXTRATO_IMPORTADO!$I$5:$I$404,0),"")</f>
        <v/>
      </c>
      <c r="S1258" s="26" t="str">
        <f t="shared" si="58"/>
        <v/>
      </c>
      <c r="T1258" s="26" t="str">
        <f t="shared" si="59"/>
        <v/>
      </c>
    </row>
    <row r="1259" spans="1:20" x14ac:dyDescent="0.3">
      <c r="A1259" s="26" t="str">
        <f>IF(BASE_CAIXA!A1256="","",BASE_CAIXA!A1256)</f>
        <v/>
      </c>
      <c r="B1259" s="26" t="str">
        <f>IF(A1259="","",BASE_CAIXA!AL1256)</f>
        <v/>
      </c>
      <c r="C1259" s="26" t="str">
        <f>IF(A1259="","",BASE_CAIXA!AJ1256)</f>
        <v/>
      </c>
      <c r="D1259" s="26" t="str">
        <f>IF(A1259="","",IF(BASE_CAIXA!C1256="Entrada","Crédito","Débito"))</f>
        <v/>
      </c>
      <c r="E1259" s="26" t="str">
        <f>IF(A1259="","",BASE_CAIXA!AA1256)</f>
        <v/>
      </c>
      <c r="F1259" s="26" t="str">
        <f>IF(A1259="","",BASE_CAIXA!N1256)</f>
        <v/>
      </c>
      <c r="G1259" s="26" t="str">
        <f>IF(A1259="","",BASE_CAIXA!O1256)</f>
        <v/>
      </c>
      <c r="H1259" s="26" t="str">
        <f>IF(A1259="","",BASE_CAIXA!P1256)</f>
        <v/>
      </c>
      <c r="I1259" s="26" t="str">
        <f>IF(A1259="","",IF(BASE_CAIXA!H1256&lt;&gt;"",BASE_CAIXA!H1256,BASE_CAIXA!G1256))</f>
        <v/>
      </c>
      <c r="J1259" s="26" t="str">
        <f>IF(A1259="","",BASE_CAIXA!G1256)</f>
        <v/>
      </c>
      <c r="K1259" s="26" t="str">
        <f>IF(A1259="","",BASE_CAIXA!I1256)</f>
        <v/>
      </c>
      <c r="L1259" s="26" t="str">
        <f>IF(A1259="","",BASE_CAIXA!J1256)</f>
        <v/>
      </c>
      <c r="M1259" s="26" t="str">
        <f>IF(A1259="","",BASE_CAIXA!AM1256)</f>
        <v/>
      </c>
      <c r="N1259" s="26" t="str">
        <f t="shared" ca="1" si="57"/>
        <v/>
      </c>
      <c r="O1259" s="26" t="str">
        <f>IFERROR(INDEX(EXTRATO_IMPORTADO!$A$5:$A$404,MATCH(B1259,EXTRATO_IMPORTADO!$I$5:$I$404,0)),"")</f>
        <v/>
      </c>
      <c r="P1259" s="26" t="str">
        <f>IFERROR(INDEX(EXTRATO_IMPORTADO!$F$5:$F$404,MATCH(B1259,EXTRATO_IMPORTADO!$I$5:$I$404,0)),"")</f>
        <v/>
      </c>
      <c r="Q1259" s="26" t="str">
        <f>IFERROR(INDEX(EXTRATO_IMPORTADO!$B$5:$B$404,MATCH(B1259,EXTRATO_IMPORTADO!$I$5:$I$404,0)),"")</f>
        <v/>
      </c>
      <c r="R1259" s="26" t="str">
        <f>IFERROR(MATCH(B1259,EXTRATO_IMPORTADO!$I$5:$I$404,0),"")</f>
        <v/>
      </c>
      <c r="S1259" s="26" t="str">
        <f t="shared" si="58"/>
        <v/>
      </c>
      <c r="T1259" s="26" t="str">
        <f t="shared" si="59"/>
        <v/>
      </c>
    </row>
    <row r="1260" spans="1:20" x14ac:dyDescent="0.3">
      <c r="A1260" s="26" t="str">
        <f>IF(BASE_CAIXA!A1257="","",BASE_CAIXA!A1257)</f>
        <v/>
      </c>
      <c r="B1260" s="26" t="str">
        <f>IF(A1260="","",BASE_CAIXA!AL1257)</f>
        <v/>
      </c>
      <c r="C1260" s="26" t="str">
        <f>IF(A1260="","",BASE_CAIXA!AJ1257)</f>
        <v/>
      </c>
      <c r="D1260" s="26" t="str">
        <f>IF(A1260="","",IF(BASE_CAIXA!C1257="Entrada","Crédito","Débito"))</f>
        <v/>
      </c>
      <c r="E1260" s="26" t="str">
        <f>IF(A1260="","",BASE_CAIXA!AA1257)</f>
        <v/>
      </c>
      <c r="F1260" s="26" t="str">
        <f>IF(A1260="","",BASE_CAIXA!N1257)</f>
        <v/>
      </c>
      <c r="G1260" s="26" t="str">
        <f>IF(A1260="","",BASE_CAIXA!O1257)</f>
        <v/>
      </c>
      <c r="H1260" s="26" t="str">
        <f>IF(A1260="","",BASE_CAIXA!P1257)</f>
        <v/>
      </c>
      <c r="I1260" s="26" t="str">
        <f>IF(A1260="","",IF(BASE_CAIXA!H1257&lt;&gt;"",BASE_CAIXA!H1257,BASE_CAIXA!G1257))</f>
        <v/>
      </c>
      <c r="J1260" s="26" t="str">
        <f>IF(A1260="","",BASE_CAIXA!G1257)</f>
        <v/>
      </c>
      <c r="K1260" s="26" t="str">
        <f>IF(A1260="","",BASE_CAIXA!I1257)</f>
        <v/>
      </c>
      <c r="L1260" s="26" t="str">
        <f>IF(A1260="","",BASE_CAIXA!J1257)</f>
        <v/>
      </c>
      <c r="M1260" s="26" t="str">
        <f>IF(A1260="","",BASE_CAIXA!AM1257)</f>
        <v/>
      </c>
      <c r="N1260" s="26" t="str">
        <f t="shared" ca="1" si="57"/>
        <v/>
      </c>
      <c r="O1260" s="26" t="str">
        <f>IFERROR(INDEX(EXTRATO_IMPORTADO!$A$5:$A$404,MATCH(B1260,EXTRATO_IMPORTADO!$I$5:$I$404,0)),"")</f>
        <v/>
      </c>
      <c r="P1260" s="26" t="str">
        <f>IFERROR(INDEX(EXTRATO_IMPORTADO!$F$5:$F$404,MATCH(B1260,EXTRATO_IMPORTADO!$I$5:$I$404,0)),"")</f>
        <v/>
      </c>
      <c r="Q1260" s="26" t="str">
        <f>IFERROR(INDEX(EXTRATO_IMPORTADO!$B$5:$B$404,MATCH(B1260,EXTRATO_IMPORTADO!$I$5:$I$404,0)),"")</f>
        <v/>
      </c>
      <c r="R1260" s="26" t="str">
        <f>IFERROR(MATCH(B1260,EXTRATO_IMPORTADO!$I$5:$I$404,0),"")</f>
        <v/>
      </c>
      <c r="S1260" s="26" t="str">
        <f t="shared" si="58"/>
        <v/>
      </c>
      <c r="T1260" s="26" t="str">
        <f t="shared" si="59"/>
        <v/>
      </c>
    </row>
    <row r="1261" spans="1:20" x14ac:dyDescent="0.3">
      <c r="A1261" s="26" t="str">
        <f>IF(BASE_CAIXA!A1258="","",BASE_CAIXA!A1258)</f>
        <v/>
      </c>
      <c r="B1261" s="26" t="str">
        <f>IF(A1261="","",BASE_CAIXA!AL1258)</f>
        <v/>
      </c>
      <c r="C1261" s="26" t="str">
        <f>IF(A1261="","",BASE_CAIXA!AJ1258)</f>
        <v/>
      </c>
      <c r="D1261" s="26" t="str">
        <f>IF(A1261="","",IF(BASE_CAIXA!C1258="Entrada","Crédito","Débito"))</f>
        <v/>
      </c>
      <c r="E1261" s="26" t="str">
        <f>IF(A1261="","",BASE_CAIXA!AA1258)</f>
        <v/>
      </c>
      <c r="F1261" s="26" t="str">
        <f>IF(A1261="","",BASE_CAIXA!N1258)</f>
        <v/>
      </c>
      <c r="G1261" s="26" t="str">
        <f>IF(A1261="","",BASE_CAIXA!O1258)</f>
        <v/>
      </c>
      <c r="H1261" s="26" t="str">
        <f>IF(A1261="","",BASE_CAIXA!P1258)</f>
        <v/>
      </c>
      <c r="I1261" s="26" t="str">
        <f>IF(A1261="","",IF(BASE_CAIXA!H1258&lt;&gt;"",BASE_CAIXA!H1258,BASE_CAIXA!G1258))</f>
        <v/>
      </c>
      <c r="J1261" s="26" t="str">
        <f>IF(A1261="","",BASE_CAIXA!G1258)</f>
        <v/>
      </c>
      <c r="K1261" s="26" t="str">
        <f>IF(A1261="","",BASE_CAIXA!I1258)</f>
        <v/>
      </c>
      <c r="L1261" s="26" t="str">
        <f>IF(A1261="","",BASE_CAIXA!J1258)</f>
        <v/>
      </c>
      <c r="M1261" s="26" t="str">
        <f>IF(A1261="","",BASE_CAIXA!AM1258)</f>
        <v/>
      </c>
      <c r="N1261" s="26" t="str">
        <f t="shared" ca="1" si="57"/>
        <v/>
      </c>
      <c r="O1261" s="26" t="str">
        <f>IFERROR(INDEX(EXTRATO_IMPORTADO!$A$5:$A$404,MATCH(B1261,EXTRATO_IMPORTADO!$I$5:$I$404,0)),"")</f>
        <v/>
      </c>
      <c r="P1261" s="26" t="str">
        <f>IFERROR(INDEX(EXTRATO_IMPORTADO!$F$5:$F$404,MATCH(B1261,EXTRATO_IMPORTADO!$I$5:$I$404,0)),"")</f>
        <v/>
      </c>
      <c r="Q1261" s="26" t="str">
        <f>IFERROR(INDEX(EXTRATO_IMPORTADO!$B$5:$B$404,MATCH(B1261,EXTRATO_IMPORTADO!$I$5:$I$404,0)),"")</f>
        <v/>
      </c>
      <c r="R1261" s="26" t="str">
        <f>IFERROR(MATCH(B1261,EXTRATO_IMPORTADO!$I$5:$I$404,0),"")</f>
        <v/>
      </c>
      <c r="S1261" s="26" t="str">
        <f t="shared" si="58"/>
        <v/>
      </c>
      <c r="T1261" s="26" t="str">
        <f t="shared" si="59"/>
        <v/>
      </c>
    </row>
    <row r="1262" spans="1:20" x14ac:dyDescent="0.3">
      <c r="A1262" s="26" t="str">
        <f>IF(BASE_CAIXA!A1259="","",BASE_CAIXA!A1259)</f>
        <v/>
      </c>
      <c r="B1262" s="26" t="str">
        <f>IF(A1262="","",BASE_CAIXA!AL1259)</f>
        <v/>
      </c>
      <c r="C1262" s="26" t="str">
        <f>IF(A1262="","",BASE_CAIXA!AJ1259)</f>
        <v/>
      </c>
      <c r="D1262" s="26" t="str">
        <f>IF(A1262="","",IF(BASE_CAIXA!C1259="Entrada","Crédito","Débito"))</f>
        <v/>
      </c>
      <c r="E1262" s="26" t="str">
        <f>IF(A1262="","",BASE_CAIXA!AA1259)</f>
        <v/>
      </c>
      <c r="F1262" s="26" t="str">
        <f>IF(A1262="","",BASE_CAIXA!N1259)</f>
        <v/>
      </c>
      <c r="G1262" s="26" t="str">
        <f>IF(A1262="","",BASE_CAIXA!O1259)</f>
        <v/>
      </c>
      <c r="H1262" s="26" t="str">
        <f>IF(A1262="","",BASE_CAIXA!P1259)</f>
        <v/>
      </c>
      <c r="I1262" s="26" t="str">
        <f>IF(A1262="","",IF(BASE_CAIXA!H1259&lt;&gt;"",BASE_CAIXA!H1259,BASE_CAIXA!G1259))</f>
        <v/>
      </c>
      <c r="J1262" s="26" t="str">
        <f>IF(A1262="","",BASE_CAIXA!G1259)</f>
        <v/>
      </c>
      <c r="K1262" s="26" t="str">
        <f>IF(A1262="","",BASE_CAIXA!I1259)</f>
        <v/>
      </c>
      <c r="L1262" s="26" t="str">
        <f>IF(A1262="","",BASE_CAIXA!J1259)</f>
        <v/>
      </c>
      <c r="M1262" s="26" t="str">
        <f>IF(A1262="","",BASE_CAIXA!AM1259)</f>
        <v/>
      </c>
      <c r="N1262" s="26" t="str">
        <f t="shared" ca="1" si="57"/>
        <v/>
      </c>
      <c r="O1262" s="26" t="str">
        <f>IFERROR(INDEX(EXTRATO_IMPORTADO!$A$5:$A$404,MATCH(B1262,EXTRATO_IMPORTADO!$I$5:$I$404,0)),"")</f>
        <v/>
      </c>
      <c r="P1262" s="26" t="str">
        <f>IFERROR(INDEX(EXTRATO_IMPORTADO!$F$5:$F$404,MATCH(B1262,EXTRATO_IMPORTADO!$I$5:$I$404,0)),"")</f>
        <v/>
      </c>
      <c r="Q1262" s="26" t="str">
        <f>IFERROR(INDEX(EXTRATO_IMPORTADO!$B$5:$B$404,MATCH(B1262,EXTRATO_IMPORTADO!$I$5:$I$404,0)),"")</f>
        <v/>
      </c>
      <c r="R1262" s="26" t="str">
        <f>IFERROR(MATCH(B1262,EXTRATO_IMPORTADO!$I$5:$I$404,0),"")</f>
        <v/>
      </c>
      <c r="S1262" s="26" t="str">
        <f t="shared" si="58"/>
        <v/>
      </c>
      <c r="T1262" s="26" t="str">
        <f t="shared" si="59"/>
        <v/>
      </c>
    </row>
    <row r="1263" spans="1:20" x14ac:dyDescent="0.3">
      <c r="A1263" s="26" t="str">
        <f>IF(BASE_CAIXA!A1260="","",BASE_CAIXA!A1260)</f>
        <v/>
      </c>
      <c r="B1263" s="26" t="str">
        <f>IF(A1263="","",BASE_CAIXA!AL1260)</f>
        <v/>
      </c>
      <c r="C1263" s="26" t="str">
        <f>IF(A1263="","",BASE_CAIXA!AJ1260)</f>
        <v/>
      </c>
      <c r="D1263" s="26" t="str">
        <f>IF(A1263="","",IF(BASE_CAIXA!C1260="Entrada","Crédito","Débito"))</f>
        <v/>
      </c>
      <c r="E1263" s="26" t="str">
        <f>IF(A1263="","",BASE_CAIXA!AA1260)</f>
        <v/>
      </c>
      <c r="F1263" s="26" t="str">
        <f>IF(A1263="","",BASE_CAIXA!N1260)</f>
        <v/>
      </c>
      <c r="G1263" s="26" t="str">
        <f>IF(A1263="","",BASE_CAIXA!O1260)</f>
        <v/>
      </c>
      <c r="H1263" s="26" t="str">
        <f>IF(A1263="","",BASE_CAIXA!P1260)</f>
        <v/>
      </c>
      <c r="I1263" s="26" t="str">
        <f>IF(A1263="","",IF(BASE_CAIXA!H1260&lt;&gt;"",BASE_CAIXA!H1260,BASE_CAIXA!G1260))</f>
        <v/>
      </c>
      <c r="J1263" s="26" t="str">
        <f>IF(A1263="","",BASE_CAIXA!G1260)</f>
        <v/>
      </c>
      <c r="K1263" s="26" t="str">
        <f>IF(A1263="","",BASE_CAIXA!I1260)</f>
        <v/>
      </c>
      <c r="L1263" s="26" t="str">
        <f>IF(A1263="","",BASE_CAIXA!J1260)</f>
        <v/>
      </c>
      <c r="M1263" s="26" t="str">
        <f>IF(A1263="","",BASE_CAIXA!AM1260)</f>
        <v/>
      </c>
      <c r="N1263" s="26" t="str">
        <f t="shared" ca="1" si="57"/>
        <v/>
      </c>
      <c r="O1263" s="26" t="str">
        <f>IFERROR(INDEX(EXTRATO_IMPORTADO!$A$5:$A$404,MATCH(B1263,EXTRATO_IMPORTADO!$I$5:$I$404,0)),"")</f>
        <v/>
      </c>
      <c r="P1263" s="26" t="str">
        <f>IFERROR(INDEX(EXTRATO_IMPORTADO!$F$5:$F$404,MATCH(B1263,EXTRATO_IMPORTADO!$I$5:$I$404,0)),"")</f>
        <v/>
      </c>
      <c r="Q1263" s="26" t="str">
        <f>IFERROR(INDEX(EXTRATO_IMPORTADO!$B$5:$B$404,MATCH(B1263,EXTRATO_IMPORTADO!$I$5:$I$404,0)),"")</f>
        <v/>
      </c>
      <c r="R1263" s="26" t="str">
        <f>IFERROR(MATCH(B1263,EXTRATO_IMPORTADO!$I$5:$I$404,0),"")</f>
        <v/>
      </c>
      <c r="S1263" s="26" t="str">
        <f t="shared" si="58"/>
        <v/>
      </c>
      <c r="T1263" s="26" t="str">
        <f t="shared" si="59"/>
        <v/>
      </c>
    </row>
    <row r="1264" spans="1:20" x14ac:dyDescent="0.3">
      <c r="A1264" s="26" t="str">
        <f>IF(BASE_CAIXA!A1261="","",BASE_CAIXA!A1261)</f>
        <v/>
      </c>
      <c r="B1264" s="26" t="str">
        <f>IF(A1264="","",BASE_CAIXA!AL1261)</f>
        <v/>
      </c>
      <c r="C1264" s="26" t="str">
        <f>IF(A1264="","",BASE_CAIXA!AJ1261)</f>
        <v/>
      </c>
      <c r="D1264" s="26" t="str">
        <f>IF(A1264="","",IF(BASE_CAIXA!C1261="Entrada","Crédito","Débito"))</f>
        <v/>
      </c>
      <c r="E1264" s="26" t="str">
        <f>IF(A1264="","",BASE_CAIXA!AA1261)</f>
        <v/>
      </c>
      <c r="F1264" s="26" t="str">
        <f>IF(A1264="","",BASE_CAIXA!N1261)</f>
        <v/>
      </c>
      <c r="G1264" s="26" t="str">
        <f>IF(A1264="","",BASE_CAIXA!O1261)</f>
        <v/>
      </c>
      <c r="H1264" s="26" t="str">
        <f>IF(A1264="","",BASE_CAIXA!P1261)</f>
        <v/>
      </c>
      <c r="I1264" s="26" t="str">
        <f>IF(A1264="","",IF(BASE_CAIXA!H1261&lt;&gt;"",BASE_CAIXA!H1261,BASE_CAIXA!G1261))</f>
        <v/>
      </c>
      <c r="J1264" s="26" t="str">
        <f>IF(A1264="","",BASE_CAIXA!G1261)</f>
        <v/>
      </c>
      <c r="K1264" s="26" t="str">
        <f>IF(A1264="","",BASE_CAIXA!I1261)</f>
        <v/>
      </c>
      <c r="L1264" s="26" t="str">
        <f>IF(A1264="","",BASE_CAIXA!J1261)</f>
        <v/>
      </c>
      <c r="M1264" s="26" t="str">
        <f>IF(A1264="","",BASE_CAIXA!AM1261)</f>
        <v/>
      </c>
      <c r="N1264" s="26" t="str">
        <f t="shared" ca="1" si="57"/>
        <v/>
      </c>
      <c r="O1264" s="26" t="str">
        <f>IFERROR(INDEX(EXTRATO_IMPORTADO!$A$5:$A$404,MATCH(B1264,EXTRATO_IMPORTADO!$I$5:$I$404,0)),"")</f>
        <v/>
      </c>
      <c r="P1264" s="26" t="str">
        <f>IFERROR(INDEX(EXTRATO_IMPORTADO!$F$5:$F$404,MATCH(B1264,EXTRATO_IMPORTADO!$I$5:$I$404,0)),"")</f>
        <v/>
      </c>
      <c r="Q1264" s="26" t="str">
        <f>IFERROR(INDEX(EXTRATO_IMPORTADO!$B$5:$B$404,MATCH(B1264,EXTRATO_IMPORTADO!$I$5:$I$404,0)),"")</f>
        <v/>
      </c>
      <c r="R1264" s="26" t="str">
        <f>IFERROR(MATCH(B1264,EXTRATO_IMPORTADO!$I$5:$I$404,0),"")</f>
        <v/>
      </c>
      <c r="S1264" s="26" t="str">
        <f t="shared" si="58"/>
        <v/>
      </c>
      <c r="T1264" s="26" t="str">
        <f t="shared" si="59"/>
        <v/>
      </c>
    </row>
    <row r="1265" spans="1:20" x14ac:dyDescent="0.3">
      <c r="A1265" s="26" t="str">
        <f>IF(BASE_CAIXA!A1262="","",BASE_CAIXA!A1262)</f>
        <v/>
      </c>
      <c r="B1265" s="26" t="str">
        <f>IF(A1265="","",BASE_CAIXA!AL1262)</f>
        <v/>
      </c>
      <c r="C1265" s="26" t="str">
        <f>IF(A1265="","",BASE_CAIXA!AJ1262)</f>
        <v/>
      </c>
      <c r="D1265" s="26" t="str">
        <f>IF(A1265="","",IF(BASE_CAIXA!C1262="Entrada","Crédito","Débito"))</f>
        <v/>
      </c>
      <c r="E1265" s="26" t="str">
        <f>IF(A1265="","",BASE_CAIXA!AA1262)</f>
        <v/>
      </c>
      <c r="F1265" s="26" t="str">
        <f>IF(A1265="","",BASE_CAIXA!N1262)</f>
        <v/>
      </c>
      <c r="G1265" s="26" t="str">
        <f>IF(A1265="","",BASE_CAIXA!O1262)</f>
        <v/>
      </c>
      <c r="H1265" s="26" t="str">
        <f>IF(A1265="","",BASE_CAIXA!P1262)</f>
        <v/>
      </c>
      <c r="I1265" s="26" t="str">
        <f>IF(A1265="","",IF(BASE_CAIXA!H1262&lt;&gt;"",BASE_CAIXA!H1262,BASE_CAIXA!G1262))</f>
        <v/>
      </c>
      <c r="J1265" s="26" t="str">
        <f>IF(A1265="","",BASE_CAIXA!G1262)</f>
        <v/>
      </c>
      <c r="K1265" s="26" t="str">
        <f>IF(A1265="","",BASE_CAIXA!I1262)</f>
        <v/>
      </c>
      <c r="L1265" s="26" t="str">
        <f>IF(A1265="","",BASE_CAIXA!J1262)</f>
        <v/>
      </c>
      <c r="M1265" s="26" t="str">
        <f>IF(A1265="","",BASE_CAIXA!AM1262)</f>
        <v/>
      </c>
      <c r="N1265" s="26" t="str">
        <f t="shared" ca="1" si="57"/>
        <v/>
      </c>
      <c r="O1265" s="26" t="str">
        <f>IFERROR(INDEX(EXTRATO_IMPORTADO!$A$5:$A$404,MATCH(B1265,EXTRATO_IMPORTADO!$I$5:$I$404,0)),"")</f>
        <v/>
      </c>
      <c r="P1265" s="26" t="str">
        <f>IFERROR(INDEX(EXTRATO_IMPORTADO!$F$5:$F$404,MATCH(B1265,EXTRATO_IMPORTADO!$I$5:$I$404,0)),"")</f>
        <v/>
      </c>
      <c r="Q1265" s="26" t="str">
        <f>IFERROR(INDEX(EXTRATO_IMPORTADO!$B$5:$B$404,MATCH(B1265,EXTRATO_IMPORTADO!$I$5:$I$404,0)),"")</f>
        <v/>
      </c>
      <c r="R1265" s="26" t="str">
        <f>IFERROR(MATCH(B1265,EXTRATO_IMPORTADO!$I$5:$I$404,0),"")</f>
        <v/>
      </c>
      <c r="S1265" s="26" t="str">
        <f t="shared" si="58"/>
        <v/>
      </c>
      <c r="T1265" s="26" t="str">
        <f t="shared" si="59"/>
        <v/>
      </c>
    </row>
    <row r="1266" spans="1:20" x14ac:dyDescent="0.3">
      <c r="A1266" s="26" t="str">
        <f>IF(BASE_CAIXA!A1263="","",BASE_CAIXA!A1263)</f>
        <v/>
      </c>
      <c r="B1266" s="26" t="str">
        <f>IF(A1266="","",BASE_CAIXA!AL1263)</f>
        <v/>
      </c>
      <c r="C1266" s="26" t="str">
        <f>IF(A1266="","",BASE_CAIXA!AJ1263)</f>
        <v/>
      </c>
      <c r="D1266" s="26" t="str">
        <f>IF(A1266="","",IF(BASE_CAIXA!C1263="Entrada","Crédito","Débito"))</f>
        <v/>
      </c>
      <c r="E1266" s="26" t="str">
        <f>IF(A1266="","",BASE_CAIXA!AA1263)</f>
        <v/>
      </c>
      <c r="F1266" s="26" t="str">
        <f>IF(A1266="","",BASE_CAIXA!N1263)</f>
        <v/>
      </c>
      <c r="G1266" s="26" t="str">
        <f>IF(A1266="","",BASE_CAIXA!O1263)</f>
        <v/>
      </c>
      <c r="H1266" s="26" t="str">
        <f>IF(A1266="","",BASE_CAIXA!P1263)</f>
        <v/>
      </c>
      <c r="I1266" s="26" t="str">
        <f>IF(A1266="","",IF(BASE_CAIXA!H1263&lt;&gt;"",BASE_CAIXA!H1263,BASE_CAIXA!G1263))</f>
        <v/>
      </c>
      <c r="J1266" s="26" t="str">
        <f>IF(A1266="","",BASE_CAIXA!G1263)</f>
        <v/>
      </c>
      <c r="K1266" s="26" t="str">
        <f>IF(A1266="","",BASE_CAIXA!I1263)</f>
        <v/>
      </c>
      <c r="L1266" s="26" t="str">
        <f>IF(A1266="","",BASE_CAIXA!J1263)</f>
        <v/>
      </c>
      <c r="M1266" s="26" t="str">
        <f>IF(A1266="","",BASE_CAIXA!AM1263)</f>
        <v/>
      </c>
      <c r="N1266" s="26" t="str">
        <f t="shared" ca="1" si="57"/>
        <v/>
      </c>
      <c r="O1266" s="26" t="str">
        <f>IFERROR(INDEX(EXTRATO_IMPORTADO!$A$5:$A$404,MATCH(B1266,EXTRATO_IMPORTADO!$I$5:$I$404,0)),"")</f>
        <v/>
      </c>
      <c r="P1266" s="26" t="str">
        <f>IFERROR(INDEX(EXTRATO_IMPORTADO!$F$5:$F$404,MATCH(B1266,EXTRATO_IMPORTADO!$I$5:$I$404,0)),"")</f>
        <v/>
      </c>
      <c r="Q1266" s="26" t="str">
        <f>IFERROR(INDEX(EXTRATO_IMPORTADO!$B$5:$B$404,MATCH(B1266,EXTRATO_IMPORTADO!$I$5:$I$404,0)),"")</f>
        <v/>
      </c>
      <c r="R1266" s="26" t="str">
        <f>IFERROR(MATCH(B1266,EXTRATO_IMPORTADO!$I$5:$I$404,0),"")</f>
        <v/>
      </c>
      <c r="S1266" s="26" t="str">
        <f t="shared" si="58"/>
        <v/>
      </c>
      <c r="T1266" s="26" t="str">
        <f t="shared" si="59"/>
        <v/>
      </c>
    </row>
    <row r="1267" spans="1:20" x14ac:dyDescent="0.3">
      <c r="A1267" s="26" t="str">
        <f>IF(BASE_CAIXA!A1264="","",BASE_CAIXA!A1264)</f>
        <v/>
      </c>
      <c r="B1267" s="26" t="str">
        <f>IF(A1267="","",BASE_CAIXA!AL1264)</f>
        <v/>
      </c>
      <c r="C1267" s="26" t="str">
        <f>IF(A1267="","",BASE_CAIXA!AJ1264)</f>
        <v/>
      </c>
      <c r="D1267" s="26" t="str">
        <f>IF(A1267="","",IF(BASE_CAIXA!C1264="Entrada","Crédito","Débito"))</f>
        <v/>
      </c>
      <c r="E1267" s="26" t="str">
        <f>IF(A1267="","",BASE_CAIXA!AA1264)</f>
        <v/>
      </c>
      <c r="F1267" s="26" t="str">
        <f>IF(A1267="","",BASE_CAIXA!N1264)</f>
        <v/>
      </c>
      <c r="G1267" s="26" t="str">
        <f>IF(A1267="","",BASE_CAIXA!O1264)</f>
        <v/>
      </c>
      <c r="H1267" s="26" t="str">
        <f>IF(A1267="","",BASE_CAIXA!P1264)</f>
        <v/>
      </c>
      <c r="I1267" s="26" t="str">
        <f>IF(A1267="","",IF(BASE_CAIXA!H1264&lt;&gt;"",BASE_CAIXA!H1264,BASE_CAIXA!G1264))</f>
        <v/>
      </c>
      <c r="J1267" s="26" t="str">
        <f>IF(A1267="","",BASE_CAIXA!G1264)</f>
        <v/>
      </c>
      <c r="K1267" s="26" t="str">
        <f>IF(A1267="","",BASE_CAIXA!I1264)</f>
        <v/>
      </c>
      <c r="L1267" s="26" t="str">
        <f>IF(A1267="","",BASE_CAIXA!J1264)</f>
        <v/>
      </c>
      <c r="M1267" s="26" t="str">
        <f>IF(A1267="","",BASE_CAIXA!AM1264)</f>
        <v/>
      </c>
      <c r="N1267" s="26" t="str">
        <f t="shared" ca="1" si="57"/>
        <v/>
      </c>
      <c r="O1267" s="26" t="str">
        <f>IFERROR(INDEX(EXTRATO_IMPORTADO!$A$5:$A$404,MATCH(B1267,EXTRATO_IMPORTADO!$I$5:$I$404,0)),"")</f>
        <v/>
      </c>
      <c r="P1267" s="26" t="str">
        <f>IFERROR(INDEX(EXTRATO_IMPORTADO!$F$5:$F$404,MATCH(B1267,EXTRATO_IMPORTADO!$I$5:$I$404,0)),"")</f>
        <v/>
      </c>
      <c r="Q1267" s="26" t="str">
        <f>IFERROR(INDEX(EXTRATO_IMPORTADO!$B$5:$B$404,MATCH(B1267,EXTRATO_IMPORTADO!$I$5:$I$404,0)),"")</f>
        <v/>
      </c>
      <c r="R1267" s="26" t="str">
        <f>IFERROR(MATCH(B1267,EXTRATO_IMPORTADO!$I$5:$I$404,0),"")</f>
        <v/>
      </c>
      <c r="S1267" s="26" t="str">
        <f t="shared" si="58"/>
        <v/>
      </c>
      <c r="T1267" s="26" t="str">
        <f t="shared" si="59"/>
        <v/>
      </c>
    </row>
    <row r="1268" spans="1:20" x14ac:dyDescent="0.3">
      <c r="A1268" s="26" t="str">
        <f>IF(BASE_CAIXA!A1265="","",BASE_CAIXA!A1265)</f>
        <v/>
      </c>
      <c r="B1268" s="26" t="str">
        <f>IF(A1268="","",BASE_CAIXA!AL1265)</f>
        <v/>
      </c>
      <c r="C1268" s="26" t="str">
        <f>IF(A1268="","",BASE_CAIXA!AJ1265)</f>
        <v/>
      </c>
      <c r="D1268" s="26" t="str">
        <f>IF(A1268="","",IF(BASE_CAIXA!C1265="Entrada","Crédito","Débito"))</f>
        <v/>
      </c>
      <c r="E1268" s="26" t="str">
        <f>IF(A1268="","",BASE_CAIXA!AA1265)</f>
        <v/>
      </c>
      <c r="F1268" s="26" t="str">
        <f>IF(A1268="","",BASE_CAIXA!N1265)</f>
        <v/>
      </c>
      <c r="G1268" s="26" t="str">
        <f>IF(A1268="","",BASE_CAIXA!O1265)</f>
        <v/>
      </c>
      <c r="H1268" s="26" t="str">
        <f>IF(A1268="","",BASE_CAIXA!P1265)</f>
        <v/>
      </c>
      <c r="I1268" s="26" t="str">
        <f>IF(A1268="","",IF(BASE_CAIXA!H1265&lt;&gt;"",BASE_CAIXA!H1265,BASE_CAIXA!G1265))</f>
        <v/>
      </c>
      <c r="J1268" s="26" t="str">
        <f>IF(A1268="","",BASE_CAIXA!G1265)</f>
        <v/>
      </c>
      <c r="K1268" s="26" t="str">
        <f>IF(A1268="","",BASE_CAIXA!I1265)</f>
        <v/>
      </c>
      <c r="L1268" s="26" t="str">
        <f>IF(A1268="","",BASE_CAIXA!J1265)</f>
        <v/>
      </c>
      <c r="M1268" s="26" t="str">
        <f>IF(A1268="","",BASE_CAIXA!AM1265)</f>
        <v/>
      </c>
      <c r="N1268" s="26" t="str">
        <f t="shared" ca="1" si="57"/>
        <v/>
      </c>
      <c r="O1268" s="26" t="str">
        <f>IFERROR(INDEX(EXTRATO_IMPORTADO!$A$5:$A$404,MATCH(B1268,EXTRATO_IMPORTADO!$I$5:$I$404,0)),"")</f>
        <v/>
      </c>
      <c r="P1268" s="26" t="str">
        <f>IFERROR(INDEX(EXTRATO_IMPORTADO!$F$5:$F$404,MATCH(B1268,EXTRATO_IMPORTADO!$I$5:$I$404,0)),"")</f>
        <v/>
      </c>
      <c r="Q1268" s="26" t="str">
        <f>IFERROR(INDEX(EXTRATO_IMPORTADO!$B$5:$B$404,MATCH(B1268,EXTRATO_IMPORTADO!$I$5:$I$404,0)),"")</f>
        <v/>
      </c>
      <c r="R1268" s="26" t="str">
        <f>IFERROR(MATCH(B1268,EXTRATO_IMPORTADO!$I$5:$I$404,0),"")</f>
        <v/>
      </c>
      <c r="S1268" s="26" t="str">
        <f t="shared" si="58"/>
        <v/>
      </c>
      <c r="T1268" s="26" t="str">
        <f t="shared" si="59"/>
        <v/>
      </c>
    </row>
    <row r="1269" spans="1:20" x14ac:dyDescent="0.3">
      <c r="A1269" s="26" t="str">
        <f>IF(BASE_CAIXA!A1266="","",BASE_CAIXA!A1266)</f>
        <v/>
      </c>
      <c r="B1269" s="26" t="str">
        <f>IF(A1269="","",BASE_CAIXA!AL1266)</f>
        <v/>
      </c>
      <c r="C1269" s="26" t="str">
        <f>IF(A1269="","",BASE_CAIXA!AJ1266)</f>
        <v/>
      </c>
      <c r="D1269" s="26" t="str">
        <f>IF(A1269="","",IF(BASE_CAIXA!C1266="Entrada","Crédito","Débito"))</f>
        <v/>
      </c>
      <c r="E1269" s="26" t="str">
        <f>IF(A1269="","",BASE_CAIXA!AA1266)</f>
        <v/>
      </c>
      <c r="F1269" s="26" t="str">
        <f>IF(A1269="","",BASE_CAIXA!N1266)</f>
        <v/>
      </c>
      <c r="G1269" s="26" t="str">
        <f>IF(A1269="","",BASE_CAIXA!O1266)</f>
        <v/>
      </c>
      <c r="H1269" s="26" t="str">
        <f>IF(A1269="","",BASE_CAIXA!P1266)</f>
        <v/>
      </c>
      <c r="I1269" s="26" t="str">
        <f>IF(A1269="","",IF(BASE_CAIXA!H1266&lt;&gt;"",BASE_CAIXA!H1266,BASE_CAIXA!G1266))</f>
        <v/>
      </c>
      <c r="J1269" s="26" t="str">
        <f>IF(A1269="","",BASE_CAIXA!G1266)</f>
        <v/>
      </c>
      <c r="K1269" s="26" t="str">
        <f>IF(A1269="","",BASE_CAIXA!I1266)</f>
        <v/>
      </c>
      <c r="L1269" s="26" t="str">
        <f>IF(A1269="","",BASE_CAIXA!J1266)</f>
        <v/>
      </c>
      <c r="M1269" s="26" t="str">
        <f>IF(A1269="","",BASE_CAIXA!AM1266)</f>
        <v/>
      </c>
      <c r="N1269" s="26" t="str">
        <f t="shared" ca="1" si="57"/>
        <v/>
      </c>
      <c r="O1269" s="26" t="str">
        <f>IFERROR(INDEX(EXTRATO_IMPORTADO!$A$5:$A$404,MATCH(B1269,EXTRATO_IMPORTADO!$I$5:$I$404,0)),"")</f>
        <v/>
      </c>
      <c r="P1269" s="26" t="str">
        <f>IFERROR(INDEX(EXTRATO_IMPORTADO!$F$5:$F$404,MATCH(B1269,EXTRATO_IMPORTADO!$I$5:$I$404,0)),"")</f>
        <v/>
      </c>
      <c r="Q1269" s="26" t="str">
        <f>IFERROR(INDEX(EXTRATO_IMPORTADO!$B$5:$B$404,MATCH(B1269,EXTRATO_IMPORTADO!$I$5:$I$404,0)),"")</f>
        <v/>
      </c>
      <c r="R1269" s="26" t="str">
        <f>IFERROR(MATCH(B1269,EXTRATO_IMPORTADO!$I$5:$I$404,0),"")</f>
        <v/>
      </c>
      <c r="S1269" s="26" t="str">
        <f t="shared" si="58"/>
        <v/>
      </c>
      <c r="T1269" s="26" t="str">
        <f t="shared" si="59"/>
        <v/>
      </c>
    </row>
    <row r="1270" spans="1:20" x14ac:dyDescent="0.3">
      <c r="A1270" s="26" t="str">
        <f>IF(BASE_CAIXA!A1267="","",BASE_CAIXA!A1267)</f>
        <v/>
      </c>
      <c r="B1270" s="26" t="str">
        <f>IF(A1270="","",BASE_CAIXA!AL1267)</f>
        <v/>
      </c>
      <c r="C1270" s="26" t="str">
        <f>IF(A1270="","",BASE_CAIXA!AJ1267)</f>
        <v/>
      </c>
      <c r="D1270" s="26" t="str">
        <f>IF(A1270="","",IF(BASE_CAIXA!C1267="Entrada","Crédito","Débito"))</f>
        <v/>
      </c>
      <c r="E1270" s="26" t="str">
        <f>IF(A1270="","",BASE_CAIXA!AA1267)</f>
        <v/>
      </c>
      <c r="F1270" s="26" t="str">
        <f>IF(A1270="","",BASE_CAIXA!N1267)</f>
        <v/>
      </c>
      <c r="G1270" s="26" t="str">
        <f>IF(A1270="","",BASE_CAIXA!O1267)</f>
        <v/>
      </c>
      <c r="H1270" s="26" t="str">
        <f>IF(A1270="","",BASE_CAIXA!P1267)</f>
        <v/>
      </c>
      <c r="I1270" s="26" t="str">
        <f>IF(A1270="","",IF(BASE_CAIXA!H1267&lt;&gt;"",BASE_CAIXA!H1267,BASE_CAIXA!G1267))</f>
        <v/>
      </c>
      <c r="J1270" s="26" t="str">
        <f>IF(A1270="","",BASE_CAIXA!G1267)</f>
        <v/>
      </c>
      <c r="K1270" s="26" t="str">
        <f>IF(A1270="","",BASE_CAIXA!I1267)</f>
        <v/>
      </c>
      <c r="L1270" s="26" t="str">
        <f>IF(A1270="","",BASE_CAIXA!J1267)</f>
        <v/>
      </c>
      <c r="M1270" s="26" t="str">
        <f>IF(A1270="","",BASE_CAIXA!AM1267)</f>
        <v/>
      </c>
      <c r="N1270" s="26" t="str">
        <f t="shared" ca="1" si="57"/>
        <v/>
      </c>
      <c r="O1270" s="26" t="str">
        <f>IFERROR(INDEX(EXTRATO_IMPORTADO!$A$5:$A$404,MATCH(B1270,EXTRATO_IMPORTADO!$I$5:$I$404,0)),"")</f>
        <v/>
      </c>
      <c r="P1270" s="26" t="str">
        <f>IFERROR(INDEX(EXTRATO_IMPORTADO!$F$5:$F$404,MATCH(B1270,EXTRATO_IMPORTADO!$I$5:$I$404,0)),"")</f>
        <v/>
      </c>
      <c r="Q1270" s="26" t="str">
        <f>IFERROR(INDEX(EXTRATO_IMPORTADO!$B$5:$B$404,MATCH(B1270,EXTRATO_IMPORTADO!$I$5:$I$404,0)),"")</f>
        <v/>
      </c>
      <c r="R1270" s="26" t="str">
        <f>IFERROR(MATCH(B1270,EXTRATO_IMPORTADO!$I$5:$I$404,0),"")</f>
        <v/>
      </c>
      <c r="S1270" s="26" t="str">
        <f t="shared" si="58"/>
        <v/>
      </c>
      <c r="T1270" s="26" t="str">
        <f t="shared" si="59"/>
        <v/>
      </c>
    </row>
    <row r="1271" spans="1:20" x14ac:dyDescent="0.3">
      <c r="A1271" s="26" t="str">
        <f>IF(BASE_CAIXA!A1268="","",BASE_CAIXA!A1268)</f>
        <v/>
      </c>
      <c r="B1271" s="26" t="str">
        <f>IF(A1271="","",BASE_CAIXA!AL1268)</f>
        <v/>
      </c>
      <c r="C1271" s="26" t="str">
        <f>IF(A1271="","",BASE_CAIXA!AJ1268)</f>
        <v/>
      </c>
      <c r="D1271" s="26" t="str">
        <f>IF(A1271="","",IF(BASE_CAIXA!C1268="Entrada","Crédito","Débito"))</f>
        <v/>
      </c>
      <c r="E1271" s="26" t="str">
        <f>IF(A1271="","",BASE_CAIXA!AA1268)</f>
        <v/>
      </c>
      <c r="F1271" s="26" t="str">
        <f>IF(A1271="","",BASE_CAIXA!N1268)</f>
        <v/>
      </c>
      <c r="G1271" s="26" t="str">
        <f>IF(A1271="","",BASE_CAIXA!O1268)</f>
        <v/>
      </c>
      <c r="H1271" s="26" t="str">
        <f>IF(A1271="","",BASE_CAIXA!P1268)</f>
        <v/>
      </c>
      <c r="I1271" s="26" t="str">
        <f>IF(A1271="","",IF(BASE_CAIXA!H1268&lt;&gt;"",BASE_CAIXA!H1268,BASE_CAIXA!G1268))</f>
        <v/>
      </c>
      <c r="J1271" s="26" t="str">
        <f>IF(A1271="","",BASE_CAIXA!G1268)</f>
        <v/>
      </c>
      <c r="K1271" s="26" t="str">
        <f>IF(A1271="","",BASE_CAIXA!I1268)</f>
        <v/>
      </c>
      <c r="L1271" s="26" t="str">
        <f>IF(A1271="","",BASE_CAIXA!J1268)</f>
        <v/>
      </c>
      <c r="M1271" s="26" t="str">
        <f>IF(A1271="","",BASE_CAIXA!AM1268)</f>
        <v/>
      </c>
      <c r="N1271" s="26" t="str">
        <f t="shared" ca="1" si="57"/>
        <v/>
      </c>
      <c r="O1271" s="26" t="str">
        <f>IFERROR(INDEX(EXTRATO_IMPORTADO!$A$5:$A$404,MATCH(B1271,EXTRATO_IMPORTADO!$I$5:$I$404,0)),"")</f>
        <v/>
      </c>
      <c r="P1271" s="26" t="str">
        <f>IFERROR(INDEX(EXTRATO_IMPORTADO!$F$5:$F$404,MATCH(B1271,EXTRATO_IMPORTADO!$I$5:$I$404,0)),"")</f>
        <v/>
      </c>
      <c r="Q1271" s="26" t="str">
        <f>IFERROR(INDEX(EXTRATO_IMPORTADO!$B$5:$B$404,MATCH(B1271,EXTRATO_IMPORTADO!$I$5:$I$404,0)),"")</f>
        <v/>
      </c>
      <c r="R1271" s="26" t="str">
        <f>IFERROR(MATCH(B1271,EXTRATO_IMPORTADO!$I$5:$I$404,0),"")</f>
        <v/>
      </c>
      <c r="S1271" s="26" t="str">
        <f t="shared" si="58"/>
        <v/>
      </c>
      <c r="T1271" s="26" t="str">
        <f t="shared" si="59"/>
        <v/>
      </c>
    </row>
    <row r="1272" spans="1:20" x14ac:dyDescent="0.3">
      <c r="A1272" s="26" t="str">
        <f>IF(BASE_CAIXA!A1269="","",BASE_CAIXA!A1269)</f>
        <v/>
      </c>
      <c r="B1272" s="26" t="str">
        <f>IF(A1272="","",BASE_CAIXA!AL1269)</f>
        <v/>
      </c>
      <c r="C1272" s="26" t="str">
        <f>IF(A1272="","",BASE_CAIXA!AJ1269)</f>
        <v/>
      </c>
      <c r="D1272" s="26" t="str">
        <f>IF(A1272="","",IF(BASE_CAIXA!C1269="Entrada","Crédito","Débito"))</f>
        <v/>
      </c>
      <c r="E1272" s="26" t="str">
        <f>IF(A1272="","",BASE_CAIXA!AA1269)</f>
        <v/>
      </c>
      <c r="F1272" s="26" t="str">
        <f>IF(A1272="","",BASE_CAIXA!N1269)</f>
        <v/>
      </c>
      <c r="G1272" s="26" t="str">
        <f>IF(A1272="","",BASE_CAIXA!O1269)</f>
        <v/>
      </c>
      <c r="H1272" s="26" t="str">
        <f>IF(A1272="","",BASE_CAIXA!P1269)</f>
        <v/>
      </c>
      <c r="I1272" s="26" t="str">
        <f>IF(A1272="","",IF(BASE_CAIXA!H1269&lt;&gt;"",BASE_CAIXA!H1269,BASE_CAIXA!G1269))</f>
        <v/>
      </c>
      <c r="J1272" s="26" t="str">
        <f>IF(A1272="","",BASE_CAIXA!G1269)</f>
        <v/>
      </c>
      <c r="K1272" s="26" t="str">
        <f>IF(A1272="","",BASE_CAIXA!I1269)</f>
        <v/>
      </c>
      <c r="L1272" s="26" t="str">
        <f>IF(A1272="","",BASE_CAIXA!J1269)</f>
        <v/>
      </c>
      <c r="M1272" s="26" t="str">
        <f>IF(A1272="","",BASE_CAIXA!AM1269)</f>
        <v/>
      </c>
      <c r="N1272" s="26" t="str">
        <f t="shared" ca="1" si="57"/>
        <v/>
      </c>
      <c r="O1272" s="26" t="str">
        <f>IFERROR(INDEX(EXTRATO_IMPORTADO!$A$5:$A$404,MATCH(B1272,EXTRATO_IMPORTADO!$I$5:$I$404,0)),"")</f>
        <v/>
      </c>
      <c r="P1272" s="26" t="str">
        <f>IFERROR(INDEX(EXTRATO_IMPORTADO!$F$5:$F$404,MATCH(B1272,EXTRATO_IMPORTADO!$I$5:$I$404,0)),"")</f>
        <v/>
      </c>
      <c r="Q1272" s="26" t="str">
        <f>IFERROR(INDEX(EXTRATO_IMPORTADO!$B$5:$B$404,MATCH(B1272,EXTRATO_IMPORTADO!$I$5:$I$404,0)),"")</f>
        <v/>
      </c>
      <c r="R1272" s="26" t="str">
        <f>IFERROR(MATCH(B1272,EXTRATO_IMPORTADO!$I$5:$I$404,0),"")</f>
        <v/>
      </c>
      <c r="S1272" s="26" t="str">
        <f t="shared" si="58"/>
        <v/>
      </c>
      <c r="T1272" s="26" t="str">
        <f t="shared" si="59"/>
        <v/>
      </c>
    </row>
    <row r="1273" spans="1:20" x14ac:dyDescent="0.3">
      <c r="A1273" s="26" t="str">
        <f>IF(BASE_CAIXA!A1270="","",BASE_CAIXA!A1270)</f>
        <v/>
      </c>
      <c r="B1273" s="26" t="str">
        <f>IF(A1273="","",BASE_CAIXA!AL1270)</f>
        <v/>
      </c>
      <c r="C1273" s="26" t="str">
        <f>IF(A1273="","",BASE_CAIXA!AJ1270)</f>
        <v/>
      </c>
      <c r="D1273" s="26" t="str">
        <f>IF(A1273="","",IF(BASE_CAIXA!C1270="Entrada","Crédito","Débito"))</f>
        <v/>
      </c>
      <c r="E1273" s="26" t="str">
        <f>IF(A1273="","",BASE_CAIXA!AA1270)</f>
        <v/>
      </c>
      <c r="F1273" s="26" t="str">
        <f>IF(A1273="","",BASE_CAIXA!N1270)</f>
        <v/>
      </c>
      <c r="G1273" s="26" t="str">
        <f>IF(A1273="","",BASE_CAIXA!O1270)</f>
        <v/>
      </c>
      <c r="H1273" s="26" t="str">
        <f>IF(A1273="","",BASE_CAIXA!P1270)</f>
        <v/>
      </c>
      <c r="I1273" s="26" t="str">
        <f>IF(A1273="","",IF(BASE_CAIXA!H1270&lt;&gt;"",BASE_CAIXA!H1270,BASE_CAIXA!G1270))</f>
        <v/>
      </c>
      <c r="J1273" s="26" t="str">
        <f>IF(A1273="","",BASE_CAIXA!G1270)</f>
        <v/>
      </c>
      <c r="K1273" s="26" t="str">
        <f>IF(A1273="","",BASE_CAIXA!I1270)</f>
        <v/>
      </c>
      <c r="L1273" s="26" t="str">
        <f>IF(A1273="","",BASE_CAIXA!J1270)</f>
        <v/>
      </c>
      <c r="M1273" s="26" t="str">
        <f>IF(A1273="","",BASE_CAIXA!AM1270)</f>
        <v/>
      </c>
      <c r="N1273" s="26" t="str">
        <f t="shared" ca="1" si="57"/>
        <v/>
      </c>
      <c r="O1273" s="26" t="str">
        <f>IFERROR(INDEX(EXTRATO_IMPORTADO!$A$5:$A$404,MATCH(B1273,EXTRATO_IMPORTADO!$I$5:$I$404,0)),"")</f>
        <v/>
      </c>
      <c r="P1273" s="26" t="str">
        <f>IFERROR(INDEX(EXTRATO_IMPORTADO!$F$5:$F$404,MATCH(B1273,EXTRATO_IMPORTADO!$I$5:$I$404,0)),"")</f>
        <v/>
      </c>
      <c r="Q1273" s="26" t="str">
        <f>IFERROR(INDEX(EXTRATO_IMPORTADO!$B$5:$B$404,MATCH(B1273,EXTRATO_IMPORTADO!$I$5:$I$404,0)),"")</f>
        <v/>
      </c>
      <c r="R1273" s="26" t="str">
        <f>IFERROR(MATCH(B1273,EXTRATO_IMPORTADO!$I$5:$I$404,0),"")</f>
        <v/>
      </c>
      <c r="S1273" s="26" t="str">
        <f t="shared" si="58"/>
        <v/>
      </c>
      <c r="T1273" s="26" t="str">
        <f t="shared" si="59"/>
        <v/>
      </c>
    </row>
    <row r="1274" spans="1:20" x14ac:dyDescent="0.3">
      <c r="A1274" s="26" t="str">
        <f>IF(BASE_CAIXA!A1271="","",BASE_CAIXA!A1271)</f>
        <v/>
      </c>
      <c r="B1274" s="26" t="str">
        <f>IF(A1274="","",BASE_CAIXA!AL1271)</f>
        <v/>
      </c>
      <c r="C1274" s="26" t="str">
        <f>IF(A1274="","",BASE_CAIXA!AJ1271)</f>
        <v/>
      </c>
      <c r="D1274" s="26" t="str">
        <f>IF(A1274="","",IF(BASE_CAIXA!C1271="Entrada","Crédito","Débito"))</f>
        <v/>
      </c>
      <c r="E1274" s="26" t="str">
        <f>IF(A1274="","",BASE_CAIXA!AA1271)</f>
        <v/>
      </c>
      <c r="F1274" s="26" t="str">
        <f>IF(A1274="","",BASE_CAIXA!N1271)</f>
        <v/>
      </c>
      <c r="G1274" s="26" t="str">
        <f>IF(A1274="","",BASE_CAIXA!O1271)</f>
        <v/>
      </c>
      <c r="H1274" s="26" t="str">
        <f>IF(A1274="","",BASE_CAIXA!P1271)</f>
        <v/>
      </c>
      <c r="I1274" s="26" t="str">
        <f>IF(A1274="","",IF(BASE_CAIXA!H1271&lt;&gt;"",BASE_CAIXA!H1271,BASE_CAIXA!G1271))</f>
        <v/>
      </c>
      <c r="J1274" s="26" t="str">
        <f>IF(A1274="","",BASE_CAIXA!G1271)</f>
        <v/>
      </c>
      <c r="K1274" s="26" t="str">
        <f>IF(A1274="","",BASE_CAIXA!I1271)</f>
        <v/>
      </c>
      <c r="L1274" s="26" t="str">
        <f>IF(A1274="","",BASE_CAIXA!J1271)</f>
        <v/>
      </c>
      <c r="M1274" s="26" t="str">
        <f>IF(A1274="","",BASE_CAIXA!AM1271)</f>
        <v/>
      </c>
      <c r="N1274" s="26" t="str">
        <f t="shared" ca="1" si="57"/>
        <v/>
      </c>
      <c r="O1274" s="26" t="str">
        <f>IFERROR(INDEX(EXTRATO_IMPORTADO!$A$5:$A$404,MATCH(B1274,EXTRATO_IMPORTADO!$I$5:$I$404,0)),"")</f>
        <v/>
      </c>
      <c r="P1274" s="26" t="str">
        <f>IFERROR(INDEX(EXTRATO_IMPORTADO!$F$5:$F$404,MATCH(B1274,EXTRATO_IMPORTADO!$I$5:$I$404,0)),"")</f>
        <v/>
      </c>
      <c r="Q1274" s="26" t="str">
        <f>IFERROR(INDEX(EXTRATO_IMPORTADO!$B$5:$B$404,MATCH(B1274,EXTRATO_IMPORTADO!$I$5:$I$404,0)),"")</f>
        <v/>
      </c>
      <c r="R1274" s="26" t="str">
        <f>IFERROR(MATCH(B1274,EXTRATO_IMPORTADO!$I$5:$I$404,0),"")</f>
        <v/>
      </c>
      <c r="S1274" s="26" t="str">
        <f t="shared" si="58"/>
        <v/>
      </c>
      <c r="T1274" s="26" t="str">
        <f t="shared" si="59"/>
        <v/>
      </c>
    </row>
    <row r="1275" spans="1:20" x14ac:dyDescent="0.3">
      <c r="A1275" s="26" t="str">
        <f>IF(BASE_CAIXA!A1272="","",BASE_CAIXA!A1272)</f>
        <v/>
      </c>
      <c r="B1275" s="26" t="str">
        <f>IF(A1275="","",BASE_CAIXA!AL1272)</f>
        <v/>
      </c>
      <c r="C1275" s="26" t="str">
        <f>IF(A1275="","",BASE_CAIXA!AJ1272)</f>
        <v/>
      </c>
      <c r="D1275" s="26" t="str">
        <f>IF(A1275="","",IF(BASE_CAIXA!C1272="Entrada","Crédito","Débito"))</f>
        <v/>
      </c>
      <c r="E1275" s="26" t="str">
        <f>IF(A1275="","",BASE_CAIXA!AA1272)</f>
        <v/>
      </c>
      <c r="F1275" s="26" t="str">
        <f>IF(A1275="","",BASE_CAIXA!N1272)</f>
        <v/>
      </c>
      <c r="G1275" s="26" t="str">
        <f>IF(A1275="","",BASE_CAIXA!O1272)</f>
        <v/>
      </c>
      <c r="H1275" s="26" t="str">
        <f>IF(A1275="","",BASE_CAIXA!P1272)</f>
        <v/>
      </c>
      <c r="I1275" s="26" t="str">
        <f>IF(A1275="","",IF(BASE_CAIXA!H1272&lt;&gt;"",BASE_CAIXA!H1272,BASE_CAIXA!G1272))</f>
        <v/>
      </c>
      <c r="J1275" s="26" t="str">
        <f>IF(A1275="","",BASE_CAIXA!G1272)</f>
        <v/>
      </c>
      <c r="K1275" s="26" t="str">
        <f>IF(A1275="","",BASE_CAIXA!I1272)</f>
        <v/>
      </c>
      <c r="L1275" s="26" t="str">
        <f>IF(A1275="","",BASE_CAIXA!J1272)</f>
        <v/>
      </c>
      <c r="M1275" s="26" t="str">
        <f>IF(A1275="","",BASE_CAIXA!AM1272)</f>
        <v/>
      </c>
      <c r="N1275" s="26" t="str">
        <f t="shared" ca="1" si="57"/>
        <v/>
      </c>
      <c r="O1275" s="26" t="str">
        <f>IFERROR(INDEX(EXTRATO_IMPORTADO!$A$5:$A$404,MATCH(B1275,EXTRATO_IMPORTADO!$I$5:$I$404,0)),"")</f>
        <v/>
      </c>
      <c r="P1275" s="26" t="str">
        <f>IFERROR(INDEX(EXTRATO_IMPORTADO!$F$5:$F$404,MATCH(B1275,EXTRATO_IMPORTADO!$I$5:$I$404,0)),"")</f>
        <v/>
      </c>
      <c r="Q1275" s="26" t="str">
        <f>IFERROR(INDEX(EXTRATO_IMPORTADO!$B$5:$B$404,MATCH(B1275,EXTRATO_IMPORTADO!$I$5:$I$404,0)),"")</f>
        <v/>
      </c>
      <c r="R1275" s="26" t="str">
        <f>IFERROR(MATCH(B1275,EXTRATO_IMPORTADO!$I$5:$I$404,0),"")</f>
        <v/>
      </c>
      <c r="S1275" s="26" t="str">
        <f t="shared" si="58"/>
        <v/>
      </c>
      <c r="T1275" s="26" t="str">
        <f t="shared" si="59"/>
        <v/>
      </c>
    </row>
    <row r="1276" spans="1:20" x14ac:dyDescent="0.3">
      <c r="A1276" s="26" t="str">
        <f>IF(BASE_CAIXA!A1273="","",BASE_CAIXA!A1273)</f>
        <v/>
      </c>
      <c r="B1276" s="26" t="str">
        <f>IF(A1276="","",BASE_CAIXA!AL1273)</f>
        <v/>
      </c>
      <c r="C1276" s="26" t="str">
        <f>IF(A1276="","",BASE_CAIXA!AJ1273)</f>
        <v/>
      </c>
      <c r="D1276" s="26" t="str">
        <f>IF(A1276="","",IF(BASE_CAIXA!C1273="Entrada","Crédito","Débito"))</f>
        <v/>
      </c>
      <c r="E1276" s="26" t="str">
        <f>IF(A1276="","",BASE_CAIXA!AA1273)</f>
        <v/>
      </c>
      <c r="F1276" s="26" t="str">
        <f>IF(A1276="","",BASE_CAIXA!N1273)</f>
        <v/>
      </c>
      <c r="G1276" s="26" t="str">
        <f>IF(A1276="","",BASE_CAIXA!O1273)</f>
        <v/>
      </c>
      <c r="H1276" s="26" t="str">
        <f>IF(A1276="","",BASE_CAIXA!P1273)</f>
        <v/>
      </c>
      <c r="I1276" s="26" t="str">
        <f>IF(A1276="","",IF(BASE_CAIXA!H1273&lt;&gt;"",BASE_CAIXA!H1273,BASE_CAIXA!G1273))</f>
        <v/>
      </c>
      <c r="J1276" s="26" t="str">
        <f>IF(A1276="","",BASE_CAIXA!G1273)</f>
        <v/>
      </c>
      <c r="K1276" s="26" t="str">
        <f>IF(A1276="","",BASE_CAIXA!I1273)</f>
        <v/>
      </c>
      <c r="L1276" s="26" t="str">
        <f>IF(A1276="","",BASE_CAIXA!J1273)</f>
        <v/>
      </c>
      <c r="M1276" s="26" t="str">
        <f>IF(A1276="","",BASE_CAIXA!AM1273)</f>
        <v/>
      </c>
      <c r="N1276" s="26" t="str">
        <f t="shared" ca="1" si="57"/>
        <v/>
      </c>
      <c r="O1276" s="26" t="str">
        <f>IFERROR(INDEX(EXTRATO_IMPORTADO!$A$5:$A$404,MATCH(B1276,EXTRATO_IMPORTADO!$I$5:$I$404,0)),"")</f>
        <v/>
      </c>
      <c r="P1276" s="26" t="str">
        <f>IFERROR(INDEX(EXTRATO_IMPORTADO!$F$5:$F$404,MATCH(B1276,EXTRATO_IMPORTADO!$I$5:$I$404,0)),"")</f>
        <v/>
      </c>
      <c r="Q1276" s="26" t="str">
        <f>IFERROR(INDEX(EXTRATO_IMPORTADO!$B$5:$B$404,MATCH(B1276,EXTRATO_IMPORTADO!$I$5:$I$404,0)),"")</f>
        <v/>
      </c>
      <c r="R1276" s="26" t="str">
        <f>IFERROR(MATCH(B1276,EXTRATO_IMPORTADO!$I$5:$I$404,0),"")</f>
        <v/>
      </c>
      <c r="S1276" s="26" t="str">
        <f t="shared" si="58"/>
        <v/>
      </c>
      <c r="T1276" s="26" t="str">
        <f t="shared" si="59"/>
        <v/>
      </c>
    </row>
    <row r="1277" spans="1:20" x14ac:dyDescent="0.3">
      <c r="A1277" s="26" t="str">
        <f>IF(BASE_CAIXA!A1274="","",BASE_CAIXA!A1274)</f>
        <v/>
      </c>
      <c r="B1277" s="26" t="str">
        <f>IF(A1277="","",BASE_CAIXA!AL1274)</f>
        <v/>
      </c>
      <c r="C1277" s="26" t="str">
        <f>IF(A1277="","",BASE_CAIXA!AJ1274)</f>
        <v/>
      </c>
      <c r="D1277" s="26" t="str">
        <f>IF(A1277="","",IF(BASE_CAIXA!C1274="Entrada","Crédito","Débito"))</f>
        <v/>
      </c>
      <c r="E1277" s="26" t="str">
        <f>IF(A1277="","",BASE_CAIXA!AA1274)</f>
        <v/>
      </c>
      <c r="F1277" s="26" t="str">
        <f>IF(A1277="","",BASE_CAIXA!N1274)</f>
        <v/>
      </c>
      <c r="G1277" s="26" t="str">
        <f>IF(A1277="","",BASE_CAIXA!O1274)</f>
        <v/>
      </c>
      <c r="H1277" s="26" t="str">
        <f>IF(A1277="","",BASE_CAIXA!P1274)</f>
        <v/>
      </c>
      <c r="I1277" s="26" t="str">
        <f>IF(A1277="","",IF(BASE_CAIXA!H1274&lt;&gt;"",BASE_CAIXA!H1274,BASE_CAIXA!G1274))</f>
        <v/>
      </c>
      <c r="J1277" s="26" t="str">
        <f>IF(A1277="","",BASE_CAIXA!G1274)</f>
        <v/>
      </c>
      <c r="K1277" s="26" t="str">
        <f>IF(A1277="","",BASE_CAIXA!I1274)</f>
        <v/>
      </c>
      <c r="L1277" s="26" t="str">
        <f>IF(A1277="","",BASE_CAIXA!J1274)</f>
        <v/>
      </c>
      <c r="M1277" s="26" t="str">
        <f>IF(A1277="","",BASE_CAIXA!AM1274)</f>
        <v/>
      </c>
      <c r="N1277" s="26" t="str">
        <f t="shared" ca="1" si="57"/>
        <v/>
      </c>
      <c r="O1277" s="26" t="str">
        <f>IFERROR(INDEX(EXTRATO_IMPORTADO!$A$5:$A$404,MATCH(B1277,EXTRATO_IMPORTADO!$I$5:$I$404,0)),"")</f>
        <v/>
      </c>
      <c r="P1277" s="26" t="str">
        <f>IFERROR(INDEX(EXTRATO_IMPORTADO!$F$5:$F$404,MATCH(B1277,EXTRATO_IMPORTADO!$I$5:$I$404,0)),"")</f>
        <v/>
      </c>
      <c r="Q1277" s="26" t="str">
        <f>IFERROR(INDEX(EXTRATO_IMPORTADO!$B$5:$B$404,MATCH(B1277,EXTRATO_IMPORTADO!$I$5:$I$404,0)),"")</f>
        <v/>
      </c>
      <c r="R1277" s="26" t="str">
        <f>IFERROR(MATCH(B1277,EXTRATO_IMPORTADO!$I$5:$I$404,0),"")</f>
        <v/>
      </c>
      <c r="S1277" s="26" t="str">
        <f t="shared" si="58"/>
        <v/>
      </c>
      <c r="T1277" s="26" t="str">
        <f t="shared" si="59"/>
        <v/>
      </c>
    </row>
    <row r="1278" spans="1:20" x14ac:dyDescent="0.3">
      <c r="A1278" s="26" t="str">
        <f>IF(BASE_CAIXA!A1275="","",BASE_CAIXA!A1275)</f>
        <v/>
      </c>
      <c r="B1278" s="26" t="str">
        <f>IF(A1278="","",BASE_CAIXA!AL1275)</f>
        <v/>
      </c>
      <c r="C1278" s="26" t="str">
        <f>IF(A1278="","",BASE_CAIXA!AJ1275)</f>
        <v/>
      </c>
      <c r="D1278" s="26" t="str">
        <f>IF(A1278="","",IF(BASE_CAIXA!C1275="Entrada","Crédito","Débito"))</f>
        <v/>
      </c>
      <c r="E1278" s="26" t="str">
        <f>IF(A1278="","",BASE_CAIXA!AA1275)</f>
        <v/>
      </c>
      <c r="F1278" s="26" t="str">
        <f>IF(A1278="","",BASE_CAIXA!N1275)</f>
        <v/>
      </c>
      <c r="G1278" s="26" t="str">
        <f>IF(A1278="","",BASE_CAIXA!O1275)</f>
        <v/>
      </c>
      <c r="H1278" s="26" t="str">
        <f>IF(A1278="","",BASE_CAIXA!P1275)</f>
        <v/>
      </c>
      <c r="I1278" s="26" t="str">
        <f>IF(A1278="","",IF(BASE_CAIXA!H1275&lt;&gt;"",BASE_CAIXA!H1275,BASE_CAIXA!G1275))</f>
        <v/>
      </c>
      <c r="J1278" s="26" t="str">
        <f>IF(A1278="","",BASE_CAIXA!G1275)</f>
        <v/>
      </c>
      <c r="K1278" s="26" t="str">
        <f>IF(A1278="","",BASE_CAIXA!I1275)</f>
        <v/>
      </c>
      <c r="L1278" s="26" t="str">
        <f>IF(A1278="","",BASE_CAIXA!J1275)</f>
        <v/>
      </c>
      <c r="M1278" s="26" t="str">
        <f>IF(A1278="","",BASE_CAIXA!AM1275)</f>
        <v/>
      </c>
      <c r="N1278" s="26" t="str">
        <f t="shared" ca="1" si="57"/>
        <v/>
      </c>
      <c r="O1278" s="26" t="str">
        <f>IFERROR(INDEX(EXTRATO_IMPORTADO!$A$5:$A$404,MATCH(B1278,EXTRATO_IMPORTADO!$I$5:$I$404,0)),"")</f>
        <v/>
      </c>
      <c r="P1278" s="26" t="str">
        <f>IFERROR(INDEX(EXTRATO_IMPORTADO!$F$5:$F$404,MATCH(B1278,EXTRATO_IMPORTADO!$I$5:$I$404,0)),"")</f>
        <v/>
      </c>
      <c r="Q1278" s="26" t="str">
        <f>IFERROR(INDEX(EXTRATO_IMPORTADO!$B$5:$B$404,MATCH(B1278,EXTRATO_IMPORTADO!$I$5:$I$404,0)),"")</f>
        <v/>
      </c>
      <c r="R1278" s="26" t="str">
        <f>IFERROR(MATCH(B1278,EXTRATO_IMPORTADO!$I$5:$I$404,0),"")</f>
        <v/>
      </c>
      <c r="S1278" s="26" t="str">
        <f t="shared" si="58"/>
        <v/>
      </c>
      <c r="T1278" s="26" t="str">
        <f t="shared" si="59"/>
        <v/>
      </c>
    </row>
    <row r="1279" spans="1:20" x14ac:dyDescent="0.3">
      <c r="A1279" s="26" t="str">
        <f>IF(BASE_CAIXA!A1276="","",BASE_CAIXA!A1276)</f>
        <v/>
      </c>
      <c r="B1279" s="26" t="str">
        <f>IF(A1279="","",BASE_CAIXA!AL1276)</f>
        <v/>
      </c>
      <c r="C1279" s="26" t="str">
        <f>IF(A1279="","",BASE_CAIXA!AJ1276)</f>
        <v/>
      </c>
      <c r="D1279" s="26" t="str">
        <f>IF(A1279="","",IF(BASE_CAIXA!C1276="Entrada","Crédito","Débito"))</f>
        <v/>
      </c>
      <c r="E1279" s="26" t="str">
        <f>IF(A1279="","",BASE_CAIXA!AA1276)</f>
        <v/>
      </c>
      <c r="F1279" s="26" t="str">
        <f>IF(A1279="","",BASE_CAIXA!N1276)</f>
        <v/>
      </c>
      <c r="G1279" s="26" t="str">
        <f>IF(A1279="","",BASE_CAIXA!O1276)</f>
        <v/>
      </c>
      <c r="H1279" s="26" t="str">
        <f>IF(A1279="","",BASE_CAIXA!P1276)</f>
        <v/>
      </c>
      <c r="I1279" s="26" t="str">
        <f>IF(A1279="","",IF(BASE_CAIXA!H1276&lt;&gt;"",BASE_CAIXA!H1276,BASE_CAIXA!G1276))</f>
        <v/>
      </c>
      <c r="J1279" s="26" t="str">
        <f>IF(A1279="","",BASE_CAIXA!G1276)</f>
        <v/>
      </c>
      <c r="K1279" s="26" t="str">
        <f>IF(A1279="","",BASE_CAIXA!I1276)</f>
        <v/>
      </c>
      <c r="L1279" s="26" t="str">
        <f>IF(A1279="","",BASE_CAIXA!J1276)</f>
        <v/>
      </c>
      <c r="M1279" s="26" t="str">
        <f>IF(A1279="","",BASE_CAIXA!AM1276)</f>
        <v/>
      </c>
      <c r="N1279" s="26" t="str">
        <f t="shared" ca="1" si="57"/>
        <v/>
      </c>
      <c r="O1279" s="26" t="str">
        <f>IFERROR(INDEX(EXTRATO_IMPORTADO!$A$5:$A$404,MATCH(B1279,EXTRATO_IMPORTADO!$I$5:$I$404,0)),"")</f>
        <v/>
      </c>
      <c r="P1279" s="26" t="str">
        <f>IFERROR(INDEX(EXTRATO_IMPORTADO!$F$5:$F$404,MATCH(B1279,EXTRATO_IMPORTADO!$I$5:$I$404,0)),"")</f>
        <v/>
      </c>
      <c r="Q1279" s="26" t="str">
        <f>IFERROR(INDEX(EXTRATO_IMPORTADO!$B$5:$B$404,MATCH(B1279,EXTRATO_IMPORTADO!$I$5:$I$404,0)),"")</f>
        <v/>
      </c>
      <c r="R1279" s="26" t="str">
        <f>IFERROR(MATCH(B1279,EXTRATO_IMPORTADO!$I$5:$I$404,0),"")</f>
        <v/>
      </c>
      <c r="S1279" s="26" t="str">
        <f t="shared" si="58"/>
        <v/>
      </c>
      <c r="T1279" s="26" t="str">
        <f t="shared" si="59"/>
        <v/>
      </c>
    </row>
    <row r="1280" spans="1:20" x14ac:dyDescent="0.3">
      <c r="A1280" s="26" t="str">
        <f>IF(BASE_CAIXA!A1277="","",BASE_CAIXA!A1277)</f>
        <v/>
      </c>
      <c r="B1280" s="26" t="str">
        <f>IF(A1280="","",BASE_CAIXA!AL1277)</f>
        <v/>
      </c>
      <c r="C1280" s="26" t="str">
        <f>IF(A1280="","",BASE_CAIXA!AJ1277)</f>
        <v/>
      </c>
      <c r="D1280" s="26" t="str">
        <f>IF(A1280="","",IF(BASE_CAIXA!C1277="Entrada","Crédito","Débito"))</f>
        <v/>
      </c>
      <c r="E1280" s="26" t="str">
        <f>IF(A1280="","",BASE_CAIXA!AA1277)</f>
        <v/>
      </c>
      <c r="F1280" s="26" t="str">
        <f>IF(A1280="","",BASE_CAIXA!N1277)</f>
        <v/>
      </c>
      <c r="G1280" s="26" t="str">
        <f>IF(A1280="","",BASE_CAIXA!O1277)</f>
        <v/>
      </c>
      <c r="H1280" s="26" t="str">
        <f>IF(A1280="","",BASE_CAIXA!P1277)</f>
        <v/>
      </c>
      <c r="I1280" s="26" t="str">
        <f>IF(A1280="","",IF(BASE_CAIXA!H1277&lt;&gt;"",BASE_CAIXA!H1277,BASE_CAIXA!G1277))</f>
        <v/>
      </c>
      <c r="J1280" s="26" t="str">
        <f>IF(A1280="","",BASE_CAIXA!G1277)</f>
        <v/>
      </c>
      <c r="K1280" s="26" t="str">
        <f>IF(A1280="","",BASE_CAIXA!I1277)</f>
        <v/>
      </c>
      <c r="L1280" s="26" t="str">
        <f>IF(A1280="","",BASE_CAIXA!J1277)</f>
        <v/>
      </c>
      <c r="M1280" s="26" t="str">
        <f>IF(A1280="","",BASE_CAIXA!AM1277)</f>
        <v/>
      </c>
      <c r="N1280" s="26" t="str">
        <f t="shared" ca="1" si="57"/>
        <v/>
      </c>
      <c r="O1280" s="26" t="str">
        <f>IFERROR(INDEX(EXTRATO_IMPORTADO!$A$5:$A$404,MATCH(B1280,EXTRATO_IMPORTADO!$I$5:$I$404,0)),"")</f>
        <v/>
      </c>
      <c r="P1280" s="26" t="str">
        <f>IFERROR(INDEX(EXTRATO_IMPORTADO!$F$5:$F$404,MATCH(B1280,EXTRATO_IMPORTADO!$I$5:$I$404,0)),"")</f>
        <v/>
      </c>
      <c r="Q1280" s="26" t="str">
        <f>IFERROR(INDEX(EXTRATO_IMPORTADO!$B$5:$B$404,MATCH(B1280,EXTRATO_IMPORTADO!$I$5:$I$404,0)),"")</f>
        <v/>
      </c>
      <c r="R1280" s="26" t="str">
        <f>IFERROR(MATCH(B1280,EXTRATO_IMPORTADO!$I$5:$I$404,0),"")</f>
        <v/>
      </c>
      <c r="S1280" s="26" t="str">
        <f t="shared" si="58"/>
        <v/>
      </c>
      <c r="T1280" s="26" t="str">
        <f t="shared" si="59"/>
        <v/>
      </c>
    </row>
    <row r="1281" spans="1:20" x14ac:dyDescent="0.3">
      <c r="A1281" s="26" t="str">
        <f>IF(BASE_CAIXA!A1278="","",BASE_CAIXA!A1278)</f>
        <v/>
      </c>
      <c r="B1281" s="26" t="str">
        <f>IF(A1281="","",BASE_CAIXA!AL1278)</f>
        <v/>
      </c>
      <c r="C1281" s="26" t="str">
        <f>IF(A1281="","",BASE_CAIXA!AJ1278)</f>
        <v/>
      </c>
      <c r="D1281" s="26" t="str">
        <f>IF(A1281="","",IF(BASE_CAIXA!C1278="Entrada","Crédito","Débito"))</f>
        <v/>
      </c>
      <c r="E1281" s="26" t="str">
        <f>IF(A1281="","",BASE_CAIXA!AA1278)</f>
        <v/>
      </c>
      <c r="F1281" s="26" t="str">
        <f>IF(A1281="","",BASE_CAIXA!N1278)</f>
        <v/>
      </c>
      <c r="G1281" s="26" t="str">
        <f>IF(A1281="","",BASE_CAIXA!O1278)</f>
        <v/>
      </c>
      <c r="H1281" s="26" t="str">
        <f>IF(A1281="","",BASE_CAIXA!P1278)</f>
        <v/>
      </c>
      <c r="I1281" s="26" t="str">
        <f>IF(A1281="","",IF(BASE_CAIXA!H1278&lt;&gt;"",BASE_CAIXA!H1278,BASE_CAIXA!G1278))</f>
        <v/>
      </c>
      <c r="J1281" s="26" t="str">
        <f>IF(A1281="","",BASE_CAIXA!G1278)</f>
        <v/>
      </c>
      <c r="K1281" s="26" t="str">
        <f>IF(A1281="","",BASE_CAIXA!I1278)</f>
        <v/>
      </c>
      <c r="L1281" s="26" t="str">
        <f>IF(A1281="","",BASE_CAIXA!J1278)</f>
        <v/>
      </c>
      <c r="M1281" s="26" t="str">
        <f>IF(A1281="","",BASE_CAIXA!AM1278)</f>
        <v/>
      </c>
      <c r="N1281" s="26" t="str">
        <f t="shared" ca="1" si="57"/>
        <v/>
      </c>
      <c r="O1281" s="26" t="str">
        <f>IFERROR(INDEX(EXTRATO_IMPORTADO!$A$5:$A$404,MATCH(B1281,EXTRATO_IMPORTADO!$I$5:$I$404,0)),"")</f>
        <v/>
      </c>
      <c r="P1281" s="26" t="str">
        <f>IFERROR(INDEX(EXTRATO_IMPORTADO!$F$5:$F$404,MATCH(B1281,EXTRATO_IMPORTADO!$I$5:$I$404,0)),"")</f>
        <v/>
      </c>
      <c r="Q1281" s="26" t="str">
        <f>IFERROR(INDEX(EXTRATO_IMPORTADO!$B$5:$B$404,MATCH(B1281,EXTRATO_IMPORTADO!$I$5:$I$404,0)),"")</f>
        <v/>
      </c>
      <c r="R1281" s="26" t="str">
        <f>IFERROR(MATCH(B1281,EXTRATO_IMPORTADO!$I$5:$I$404,0),"")</f>
        <v/>
      </c>
      <c r="S1281" s="26" t="str">
        <f t="shared" si="58"/>
        <v/>
      </c>
      <c r="T1281" s="26" t="str">
        <f t="shared" si="59"/>
        <v/>
      </c>
    </row>
    <row r="1282" spans="1:20" x14ac:dyDescent="0.3">
      <c r="A1282" s="26" t="str">
        <f>IF(BASE_CAIXA!A1279="","",BASE_CAIXA!A1279)</f>
        <v/>
      </c>
      <c r="B1282" s="26" t="str">
        <f>IF(A1282="","",BASE_CAIXA!AL1279)</f>
        <v/>
      </c>
      <c r="C1282" s="26" t="str">
        <f>IF(A1282="","",BASE_CAIXA!AJ1279)</f>
        <v/>
      </c>
      <c r="D1282" s="26" t="str">
        <f>IF(A1282="","",IF(BASE_CAIXA!C1279="Entrada","Crédito","Débito"))</f>
        <v/>
      </c>
      <c r="E1282" s="26" t="str">
        <f>IF(A1282="","",BASE_CAIXA!AA1279)</f>
        <v/>
      </c>
      <c r="F1282" s="26" t="str">
        <f>IF(A1282="","",BASE_CAIXA!N1279)</f>
        <v/>
      </c>
      <c r="G1282" s="26" t="str">
        <f>IF(A1282="","",BASE_CAIXA!O1279)</f>
        <v/>
      </c>
      <c r="H1282" s="26" t="str">
        <f>IF(A1282="","",BASE_CAIXA!P1279)</f>
        <v/>
      </c>
      <c r="I1282" s="26" t="str">
        <f>IF(A1282="","",IF(BASE_CAIXA!H1279&lt;&gt;"",BASE_CAIXA!H1279,BASE_CAIXA!G1279))</f>
        <v/>
      </c>
      <c r="J1282" s="26" t="str">
        <f>IF(A1282="","",BASE_CAIXA!G1279)</f>
        <v/>
      </c>
      <c r="K1282" s="26" t="str">
        <f>IF(A1282="","",BASE_CAIXA!I1279)</f>
        <v/>
      </c>
      <c r="L1282" s="26" t="str">
        <f>IF(A1282="","",BASE_CAIXA!J1279)</f>
        <v/>
      </c>
      <c r="M1282" s="26" t="str">
        <f>IF(A1282="","",BASE_CAIXA!AM1279)</f>
        <v/>
      </c>
      <c r="N1282" s="26" t="str">
        <f t="shared" ca="1" si="57"/>
        <v/>
      </c>
      <c r="O1282" s="26" t="str">
        <f>IFERROR(INDEX(EXTRATO_IMPORTADO!$A$5:$A$404,MATCH(B1282,EXTRATO_IMPORTADO!$I$5:$I$404,0)),"")</f>
        <v/>
      </c>
      <c r="P1282" s="26" t="str">
        <f>IFERROR(INDEX(EXTRATO_IMPORTADO!$F$5:$F$404,MATCH(B1282,EXTRATO_IMPORTADO!$I$5:$I$404,0)),"")</f>
        <v/>
      </c>
      <c r="Q1282" s="26" t="str">
        <f>IFERROR(INDEX(EXTRATO_IMPORTADO!$B$5:$B$404,MATCH(B1282,EXTRATO_IMPORTADO!$I$5:$I$404,0)),"")</f>
        <v/>
      </c>
      <c r="R1282" s="26" t="str">
        <f>IFERROR(MATCH(B1282,EXTRATO_IMPORTADO!$I$5:$I$404,0),"")</f>
        <v/>
      </c>
      <c r="S1282" s="26" t="str">
        <f t="shared" si="58"/>
        <v/>
      </c>
      <c r="T1282" s="26" t="str">
        <f t="shared" si="59"/>
        <v/>
      </c>
    </row>
    <row r="1283" spans="1:20" x14ac:dyDescent="0.3">
      <c r="A1283" s="26" t="str">
        <f>IF(BASE_CAIXA!A1280="","",BASE_CAIXA!A1280)</f>
        <v/>
      </c>
      <c r="B1283" s="26" t="str">
        <f>IF(A1283="","",BASE_CAIXA!AL1280)</f>
        <v/>
      </c>
      <c r="C1283" s="26" t="str">
        <f>IF(A1283="","",BASE_CAIXA!AJ1280)</f>
        <v/>
      </c>
      <c r="D1283" s="26" t="str">
        <f>IF(A1283="","",IF(BASE_CAIXA!C1280="Entrada","Crédito","Débito"))</f>
        <v/>
      </c>
      <c r="E1283" s="26" t="str">
        <f>IF(A1283="","",BASE_CAIXA!AA1280)</f>
        <v/>
      </c>
      <c r="F1283" s="26" t="str">
        <f>IF(A1283="","",BASE_CAIXA!N1280)</f>
        <v/>
      </c>
      <c r="G1283" s="26" t="str">
        <f>IF(A1283="","",BASE_CAIXA!O1280)</f>
        <v/>
      </c>
      <c r="H1283" s="26" t="str">
        <f>IF(A1283="","",BASE_CAIXA!P1280)</f>
        <v/>
      </c>
      <c r="I1283" s="26" t="str">
        <f>IF(A1283="","",IF(BASE_CAIXA!H1280&lt;&gt;"",BASE_CAIXA!H1280,BASE_CAIXA!G1280))</f>
        <v/>
      </c>
      <c r="J1283" s="26" t="str">
        <f>IF(A1283="","",BASE_CAIXA!G1280)</f>
        <v/>
      </c>
      <c r="K1283" s="26" t="str">
        <f>IF(A1283="","",BASE_CAIXA!I1280)</f>
        <v/>
      </c>
      <c r="L1283" s="26" t="str">
        <f>IF(A1283="","",BASE_CAIXA!J1280)</f>
        <v/>
      </c>
      <c r="M1283" s="26" t="str">
        <f>IF(A1283="","",BASE_CAIXA!AM1280)</f>
        <v/>
      </c>
      <c r="N1283" s="26" t="str">
        <f t="shared" ca="1" si="57"/>
        <v/>
      </c>
      <c r="O1283" s="26" t="str">
        <f>IFERROR(INDEX(EXTRATO_IMPORTADO!$A$5:$A$404,MATCH(B1283,EXTRATO_IMPORTADO!$I$5:$I$404,0)),"")</f>
        <v/>
      </c>
      <c r="P1283" s="26" t="str">
        <f>IFERROR(INDEX(EXTRATO_IMPORTADO!$F$5:$F$404,MATCH(B1283,EXTRATO_IMPORTADO!$I$5:$I$404,0)),"")</f>
        <v/>
      </c>
      <c r="Q1283" s="26" t="str">
        <f>IFERROR(INDEX(EXTRATO_IMPORTADO!$B$5:$B$404,MATCH(B1283,EXTRATO_IMPORTADO!$I$5:$I$404,0)),"")</f>
        <v/>
      </c>
      <c r="R1283" s="26" t="str">
        <f>IFERROR(MATCH(B1283,EXTRATO_IMPORTADO!$I$5:$I$404,0),"")</f>
        <v/>
      </c>
      <c r="S1283" s="26" t="str">
        <f t="shared" si="58"/>
        <v/>
      </c>
      <c r="T1283" s="26" t="str">
        <f t="shared" si="59"/>
        <v/>
      </c>
    </row>
    <row r="1284" spans="1:20" x14ac:dyDescent="0.3">
      <c r="A1284" s="26" t="str">
        <f>IF(BASE_CAIXA!A1281="","",BASE_CAIXA!A1281)</f>
        <v/>
      </c>
      <c r="B1284" s="26" t="str">
        <f>IF(A1284="","",BASE_CAIXA!AL1281)</f>
        <v/>
      </c>
      <c r="C1284" s="26" t="str">
        <f>IF(A1284="","",BASE_CAIXA!AJ1281)</f>
        <v/>
      </c>
      <c r="D1284" s="26" t="str">
        <f>IF(A1284="","",IF(BASE_CAIXA!C1281="Entrada","Crédito","Débito"))</f>
        <v/>
      </c>
      <c r="E1284" s="26" t="str">
        <f>IF(A1284="","",BASE_CAIXA!AA1281)</f>
        <v/>
      </c>
      <c r="F1284" s="26" t="str">
        <f>IF(A1284="","",BASE_CAIXA!N1281)</f>
        <v/>
      </c>
      <c r="G1284" s="26" t="str">
        <f>IF(A1284="","",BASE_CAIXA!O1281)</f>
        <v/>
      </c>
      <c r="H1284" s="26" t="str">
        <f>IF(A1284="","",BASE_CAIXA!P1281)</f>
        <v/>
      </c>
      <c r="I1284" s="26" t="str">
        <f>IF(A1284="","",IF(BASE_CAIXA!H1281&lt;&gt;"",BASE_CAIXA!H1281,BASE_CAIXA!G1281))</f>
        <v/>
      </c>
      <c r="J1284" s="26" t="str">
        <f>IF(A1284="","",BASE_CAIXA!G1281)</f>
        <v/>
      </c>
      <c r="K1284" s="26" t="str">
        <f>IF(A1284="","",BASE_CAIXA!I1281)</f>
        <v/>
      </c>
      <c r="L1284" s="26" t="str">
        <f>IF(A1284="","",BASE_CAIXA!J1281)</f>
        <v/>
      </c>
      <c r="M1284" s="26" t="str">
        <f>IF(A1284="","",BASE_CAIXA!AM1281)</f>
        <v/>
      </c>
      <c r="N1284" s="26" t="str">
        <f t="shared" ca="1" si="57"/>
        <v/>
      </c>
      <c r="O1284" s="26" t="str">
        <f>IFERROR(INDEX(EXTRATO_IMPORTADO!$A$5:$A$404,MATCH(B1284,EXTRATO_IMPORTADO!$I$5:$I$404,0)),"")</f>
        <v/>
      </c>
      <c r="P1284" s="26" t="str">
        <f>IFERROR(INDEX(EXTRATO_IMPORTADO!$F$5:$F$404,MATCH(B1284,EXTRATO_IMPORTADO!$I$5:$I$404,0)),"")</f>
        <v/>
      </c>
      <c r="Q1284" s="26" t="str">
        <f>IFERROR(INDEX(EXTRATO_IMPORTADO!$B$5:$B$404,MATCH(B1284,EXTRATO_IMPORTADO!$I$5:$I$404,0)),"")</f>
        <v/>
      </c>
      <c r="R1284" s="26" t="str">
        <f>IFERROR(MATCH(B1284,EXTRATO_IMPORTADO!$I$5:$I$404,0),"")</f>
        <v/>
      </c>
      <c r="S1284" s="26" t="str">
        <f t="shared" si="58"/>
        <v/>
      </c>
      <c r="T1284" s="26" t="str">
        <f t="shared" si="59"/>
        <v/>
      </c>
    </row>
    <row r="1285" spans="1:20" x14ac:dyDescent="0.3">
      <c r="A1285" s="26" t="str">
        <f>IF(BASE_CAIXA!A1282="","",BASE_CAIXA!A1282)</f>
        <v/>
      </c>
      <c r="B1285" s="26" t="str">
        <f>IF(A1285="","",BASE_CAIXA!AL1282)</f>
        <v/>
      </c>
      <c r="C1285" s="26" t="str">
        <f>IF(A1285="","",BASE_CAIXA!AJ1282)</f>
        <v/>
      </c>
      <c r="D1285" s="26" t="str">
        <f>IF(A1285="","",IF(BASE_CAIXA!C1282="Entrada","Crédito","Débito"))</f>
        <v/>
      </c>
      <c r="E1285" s="26" t="str">
        <f>IF(A1285="","",BASE_CAIXA!AA1282)</f>
        <v/>
      </c>
      <c r="F1285" s="26" t="str">
        <f>IF(A1285="","",BASE_CAIXA!N1282)</f>
        <v/>
      </c>
      <c r="G1285" s="26" t="str">
        <f>IF(A1285="","",BASE_CAIXA!O1282)</f>
        <v/>
      </c>
      <c r="H1285" s="26" t="str">
        <f>IF(A1285="","",BASE_CAIXA!P1282)</f>
        <v/>
      </c>
      <c r="I1285" s="26" t="str">
        <f>IF(A1285="","",IF(BASE_CAIXA!H1282&lt;&gt;"",BASE_CAIXA!H1282,BASE_CAIXA!G1282))</f>
        <v/>
      </c>
      <c r="J1285" s="26" t="str">
        <f>IF(A1285="","",BASE_CAIXA!G1282)</f>
        <v/>
      </c>
      <c r="K1285" s="26" t="str">
        <f>IF(A1285="","",BASE_CAIXA!I1282)</f>
        <v/>
      </c>
      <c r="L1285" s="26" t="str">
        <f>IF(A1285="","",BASE_CAIXA!J1282)</f>
        <v/>
      </c>
      <c r="M1285" s="26" t="str">
        <f>IF(A1285="","",BASE_CAIXA!AM1282)</f>
        <v/>
      </c>
      <c r="N1285" s="26" t="str">
        <f t="shared" ref="N1285:N1348" ca="1" si="60">IF(A1285="","",IF(R1285&lt;&gt;"",IF(AND(ABS(S1285)&lt;=0.01,ABS(T1285)&lt;=3),"Conciliado","Divergente"),IF(TODAY()&gt;C1285,"Pendente vencido","Previsto")))</f>
        <v/>
      </c>
      <c r="O1285" s="26" t="str">
        <f>IFERROR(INDEX(EXTRATO_IMPORTADO!$A$5:$A$404,MATCH(B1285,EXTRATO_IMPORTADO!$I$5:$I$404,0)),"")</f>
        <v/>
      </c>
      <c r="P1285" s="26" t="str">
        <f>IFERROR(INDEX(EXTRATO_IMPORTADO!$F$5:$F$404,MATCH(B1285,EXTRATO_IMPORTADO!$I$5:$I$404,0)),"")</f>
        <v/>
      </c>
      <c r="Q1285" s="26" t="str">
        <f>IFERROR(INDEX(EXTRATO_IMPORTADO!$B$5:$B$404,MATCH(B1285,EXTRATO_IMPORTADO!$I$5:$I$404,0)),"")</f>
        <v/>
      </c>
      <c r="R1285" s="26" t="str">
        <f>IFERROR(MATCH(B1285,EXTRATO_IMPORTADO!$I$5:$I$404,0),"")</f>
        <v/>
      </c>
      <c r="S1285" s="26" t="str">
        <f t="shared" ref="S1285:S1348" si="61">IF(OR(A1285="",P1285=""),"",P1285-E1285)</f>
        <v/>
      </c>
      <c r="T1285" s="26" t="str">
        <f t="shared" ref="T1285:T1348" si="62">IF(OR(A1285="",O1285=""),"",O1285-C1285)</f>
        <v/>
      </c>
    </row>
    <row r="1286" spans="1:20" x14ac:dyDescent="0.3">
      <c r="A1286" s="26" t="str">
        <f>IF(BASE_CAIXA!A1283="","",BASE_CAIXA!A1283)</f>
        <v/>
      </c>
      <c r="B1286" s="26" t="str">
        <f>IF(A1286="","",BASE_CAIXA!AL1283)</f>
        <v/>
      </c>
      <c r="C1286" s="26" t="str">
        <f>IF(A1286="","",BASE_CAIXA!AJ1283)</f>
        <v/>
      </c>
      <c r="D1286" s="26" t="str">
        <f>IF(A1286="","",IF(BASE_CAIXA!C1283="Entrada","Crédito","Débito"))</f>
        <v/>
      </c>
      <c r="E1286" s="26" t="str">
        <f>IF(A1286="","",BASE_CAIXA!AA1283)</f>
        <v/>
      </c>
      <c r="F1286" s="26" t="str">
        <f>IF(A1286="","",BASE_CAIXA!N1283)</f>
        <v/>
      </c>
      <c r="G1286" s="26" t="str">
        <f>IF(A1286="","",BASE_CAIXA!O1283)</f>
        <v/>
      </c>
      <c r="H1286" s="26" t="str">
        <f>IF(A1286="","",BASE_CAIXA!P1283)</f>
        <v/>
      </c>
      <c r="I1286" s="26" t="str">
        <f>IF(A1286="","",IF(BASE_CAIXA!H1283&lt;&gt;"",BASE_CAIXA!H1283,BASE_CAIXA!G1283))</f>
        <v/>
      </c>
      <c r="J1286" s="26" t="str">
        <f>IF(A1286="","",BASE_CAIXA!G1283)</f>
        <v/>
      </c>
      <c r="K1286" s="26" t="str">
        <f>IF(A1286="","",BASE_CAIXA!I1283)</f>
        <v/>
      </c>
      <c r="L1286" s="26" t="str">
        <f>IF(A1286="","",BASE_CAIXA!J1283)</f>
        <v/>
      </c>
      <c r="M1286" s="26" t="str">
        <f>IF(A1286="","",BASE_CAIXA!AM1283)</f>
        <v/>
      </c>
      <c r="N1286" s="26" t="str">
        <f t="shared" ca="1" si="60"/>
        <v/>
      </c>
      <c r="O1286" s="26" t="str">
        <f>IFERROR(INDEX(EXTRATO_IMPORTADO!$A$5:$A$404,MATCH(B1286,EXTRATO_IMPORTADO!$I$5:$I$404,0)),"")</f>
        <v/>
      </c>
      <c r="P1286" s="26" t="str">
        <f>IFERROR(INDEX(EXTRATO_IMPORTADO!$F$5:$F$404,MATCH(B1286,EXTRATO_IMPORTADO!$I$5:$I$404,0)),"")</f>
        <v/>
      </c>
      <c r="Q1286" s="26" t="str">
        <f>IFERROR(INDEX(EXTRATO_IMPORTADO!$B$5:$B$404,MATCH(B1286,EXTRATO_IMPORTADO!$I$5:$I$404,0)),"")</f>
        <v/>
      </c>
      <c r="R1286" s="26" t="str">
        <f>IFERROR(MATCH(B1286,EXTRATO_IMPORTADO!$I$5:$I$404,0),"")</f>
        <v/>
      </c>
      <c r="S1286" s="26" t="str">
        <f t="shared" si="61"/>
        <v/>
      </c>
      <c r="T1286" s="26" t="str">
        <f t="shared" si="62"/>
        <v/>
      </c>
    </row>
    <row r="1287" spans="1:20" x14ac:dyDescent="0.3">
      <c r="A1287" s="26" t="str">
        <f>IF(BASE_CAIXA!A1284="","",BASE_CAIXA!A1284)</f>
        <v/>
      </c>
      <c r="B1287" s="26" t="str">
        <f>IF(A1287="","",BASE_CAIXA!AL1284)</f>
        <v/>
      </c>
      <c r="C1287" s="26" t="str">
        <f>IF(A1287="","",BASE_CAIXA!AJ1284)</f>
        <v/>
      </c>
      <c r="D1287" s="26" t="str">
        <f>IF(A1287="","",IF(BASE_CAIXA!C1284="Entrada","Crédito","Débito"))</f>
        <v/>
      </c>
      <c r="E1287" s="26" t="str">
        <f>IF(A1287="","",BASE_CAIXA!AA1284)</f>
        <v/>
      </c>
      <c r="F1287" s="26" t="str">
        <f>IF(A1287="","",BASE_CAIXA!N1284)</f>
        <v/>
      </c>
      <c r="G1287" s="26" t="str">
        <f>IF(A1287="","",BASE_CAIXA!O1284)</f>
        <v/>
      </c>
      <c r="H1287" s="26" t="str">
        <f>IF(A1287="","",BASE_CAIXA!P1284)</f>
        <v/>
      </c>
      <c r="I1287" s="26" t="str">
        <f>IF(A1287="","",IF(BASE_CAIXA!H1284&lt;&gt;"",BASE_CAIXA!H1284,BASE_CAIXA!G1284))</f>
        <v/>
      </c>
      <c r="J1287" s="26" t="str">
        <f>IF(A1287="","",BASE_CAIXA!G1284)</f>
        <v/>
      </c>
      <c r="K1287" s="26" t="str">
        <f>IF(A1287="","",BASE_CAIXA!I1284)</f>
        <v/>
      </c>
      <c r="L1287" s="26" t="str">
        <f>IF(A1287="","",BASE_CAIXA!J1284)</f>
        <v/>
      </c>
      <c r="M1287" s="26" t="str">
        <f>IF(A1287="","",BASE_CAIXA!AM1284)</f>
        <v/>
      </c>
      <c r="N1287" s="26" t="str">
        <f t="shared" ca="1" si="60"/>
        <v/>
      </c>
      <c r="O1287" s="26" t="str">
        <f>IFERROR(INDEX(EXTRATO_IMPORTADO!$A$5:$A$404,MATCH(B1287,EXTRATO_IMPORTADO!$I$5:$I$404,0)),"")</f>
        <v/>
      </c>
      <c r="P1287" s="26" t="str">
        <f>IFERROR(INDEX(EXTRATO_IMPORTADO!$F$5:$F$404,MATCH(B1287,EXTRATO_IMPORTADO!$I$5:$I$404,0)),"")</f>
        <v/>
      </c>
      <c r="Q1287" s="26" t="str">
        <f>IFERROR(INDEX(EXTRATO_IMPORTADO!$B$5:$B$404,MATCH(B1287,EXTRATO_IMPORTADO!$I$5:$I$404,0)),"")</f>
        <v/>
      </c>
      <c r="R1287" s="26" t="str">
        <f>IFERROR(MATCH(B1287,EXTRATO_IMPORTADO!$I$5:$I$404,0),"")</f>
        <v/>
      </c>
      <c r="S1287" s="26" t="str">
        <f t="shared" si="61"/>
        <v/>
      </c>
      <c r="T1287" s="26" t="str">
        <f t="shared" si="62"/>
        <v/>
      </c>
    </row>
    <row r="1288" spans="1:20" x14ac:dyDescent="0.3">
      <c r="A1288" s="26" t="str">
        <f>IF(BASE_CAIXA!A1285="","",BASE_CAIXA!A1285)</f>
        <v/>
      </c>
      <c r="B1288" s="26" t="str">
        <f>IF(A1288="","",BASE_CAIXA!AL1285)</f>
        <v/>
      </c>
      <c r="C1288" s="26" t="str">
        <f>IF(A1288="","",BASE_CAIXA!AJ1285)</f>
        <v/>
      </c>
      <c r="D1288" s="26" t="str">
        <f>IF(A1288="","",IF(BASE_CAIXA!C1285="Entrada","Crédito","Débito"))</f>
        <v/>
      </c>
      <c r="E1288" s="26" t="str">
        <f>IF(A1288="","",BASE_CAIXA!AA1285)</f>
        <v/>
      </c>
      <c r="F1288" s="26" t="str">
        <f>IF(A1288="","",BASE_CAIXA!N1285)</f>
        <v/>
      </c>
      <c r="G1288" s="26" t="str">
        <f>IF(A1288="","",BASE_CAIXA!O1285)</f>
        <v/>
      </c>
      <c r="H1288" s="26" t="str">
        <f>IF(A1288="","",BASE_CAIXA!P1285)</f>
        <v/>
      </c>
      <c r="I1288" s="26" t="str">
        <f>IF(A1288="","",IF(BASE_CAIXA!H1285&lt;&gt;"",BASE_CAIXA!H1285,BASE_CAIXA!G1285))</f>
        <v/>
      </c>
      <c r="J1288" s="26" t="str">
        <f>IF(A1288="","",BASE_CAIXA!G1285)</f>
        <v/>
      </c>
      <c r="K1288" s="26" t="str">
        <f>IF(A1288="","",BASE_CAIXA!I1285)</f>
        <v/>
      </c>
      <c r="L1288" s="26" t="str">
        <f>IF(A1288="","",BASE_CAIXA!J1285)</f>
        <v/>
      </c>
      <c r="M1288" s="26" t="str">
        <f>IF(A1288="","",BASE_CAIXA!AM1285)</f>
        <v/>
      </c>
      <c r="N1288" s="26" t="str">
        <f t="shared" ca="1" si="60"/>
        <v/>
      </c>
      <c r="O1288" s="26" t="str">
        <f>IFERROR(INDEX(EXTRATO_IMPORTADO!$A$5:$A$404,MATCH(B1288,EXTRATO_IMPORTADO!$I$5:$I$404,0)),"")</f>
        <v/>
      </c>
      <c r="P1288" s="26" t="str">
        <f>IFERROR(INDEX(EXTRATO_IMPORTADO!$F$5:$F$404,MATCH(B1288,EXTRATO_IMPORTADO!$I$5:$I$404,0)),"")</f>
        <v/>
      </c>
      <c r="Q1288" s="26" t="str">
        <f>IFERROR(INDEX(EXTRATO_IMPORTADO!$B$5:$B$404,MATCH(B1288,EXTRATO_IMPORTADO!$I$5:$I$404,0)),"")</f>
        <v/>
      </c>
      <c r="R1288" s="26" t="str">
        <f>IFERROR(MATCH(B1288,EXTRATO_IMPORTADO!$I$5:$I$404,0),"")</f>
        <v/>
      </c>
      <c r="S1288" s="26" t="str">
        <f t="shared" si="61"/>
        <v/>
      </c>
      <c r="T1288" s="26" t="str">
        <f t="shared" si="62"/>
        <v/>
      </c>
    </row>
    <row r="1289" spans="1:20" x14ac:dyDescent="0.3">
      <c r="A1289" s="26" t="str">
        <f>IF(BASE_CAIXA!A1286="","",BASE_CAIXA!A1286)</f>
        <v/>
      </c>
      <c r="B1289" s="26" t="str">
        <f>IF(A1289="","",BASE_CAIXA!AL1286)</f>
        <v/>
      </c>
      <c r="C1289" s="26" t="str">
        <f>IF(A1289="","",BASE_CAIXA!AJ1286)</f>
        <v/>
      </c>
      <c r="D1289" s="26" t="str">
        <f>IF(A1289="","",IF(BASE_CAIXA!C1286="Entrada","Crédito","Débito"))</f>
        <v/>
      </c>
      <c r="E1289" s="26" t="str">
        <f>IF(A1289="","",BASE_CAIXA!AA1286)</f>
        <v/>
      </c>
      <c r="F1289" s="26" t="str">
        <f>IF(A1289="","",BASE_CAIXA!N1286)</f>
        <v/>
      </c>
      <c r="G1289" s="26" t="str">
        <f>IF(A1289="","",BASE_CAIXA!O1286)</f>
        <v/>
      </c>
      <c r="H1289" s="26" t="str">
        <f>IF(A1289="","",BASE_CAIXA!P1286)</f>
        <v/>
      </c>
      <c r="I1289" s="26" t="str">
        <f>IF(A1289="","",IF(BASE_CAIXA!H1286&lt;&gt;"",BASE_CAIXA!H1286,BASE_CAIXA!G1286))</f>
        <v/>
      </c>
      <c r="J1289" s="26" t="str">
        <f>IF(A1289="","",BASE_CAIXA!G1286)</f>
        <v/>
      </c>
      <c r="K1289" s="26" t="str">
        <f>IF(A1289="","",BASE_CAIXA!I1286)</f>
        <v/>
      </c>
      <c r="L1289" s="26" t="str">
        <f>IF(A1289="","",BASE_CAIXA!J1286)</f>
        <v/>
      </c>
      <c r="M1289" s="26" t="str">
        <f>IF(A1289="","",BASE_CAIXA!AM1286)</f>
        <v/>
      </c>
      <c r="N1289" s="26" t="str">
        <f t="shared" ca="1" si="60"/>
        <v/>
      </c>
      <c r="O1289" s="26" t="str">
        <f>IFERROR(INDEX(EXTRATO_IMPORTADO!$A$5:$A$404,MATCH(B1289,EXTRATO_IMPORTADO!$I$5:$I$404,0)),"")</f>
        <v/>
      </c>
      <c r="P1289" s="26" t="str">
        <f>IFERROR(INDEX(EXTRATO_IMPORTADO!$F$5:$F$404,MATCH(B1289,EXTRATO_IMPORTADO!$I$5:$I$404,0)),"")</f>
        <v/>
      </c>
      <c r="Q1289" s="26" t="str">
        <f>IFERROR(INDEX(EXTRATO_IMPORTADO!$B$5:$B$404,MATCH(B1289,EXTRATO_IMPORTADO!$I$5:$I$404,0)),"")</f>
        <v/>
      </c>
      <c r="R1289" s="26" t="str">
        <f>IFERROR(MATCH(B1289,EXTRATO_IMPORTADO!$I$5:$I$404,0),"")</f>
        <v/>
      </c>
      <c r="S1289" s="26" t="str">
        <f t="shared" si="61"/>
        <v/>
      </c>
      <c r="T1289" s="26" t="str">
        <f t="shared" si="62"/>
        <v/>
      </c>
    </row>
    <row r="1290" spans="1:20" x14ac:dyDescent="0.3">
      <c r="A1290" s="26" t="str">
        <f>IF(BASE_CAIXA!A1287="","",BASE_CAIXA!A1287)</f>
        <v/>
      </c>
      <c r="B1290" s="26" t="str">
        <f>IF(A1290="","",BASE_CAIXA!AL1287)</f>
        <v/>
      </c>
      <c r="C1290" s="26" t="str">
        <f>IF(A1290="","",BASE_CAIXA!AJ1287)</f>
        <v/>
      </c>
      <c r="D1290" s="26" t="str">
        <f>IF(A1290="","",IF(BASE_CAIXA!C1287="Entrada","Crédito","Débito"))</f>
        <v/>
      </c>
      <c r="E1290" s="26" t="str">
        <f>IF(A1290="","",BASE_CAIXA!AA1287)</f>
        <v/>
      </c>
      <c r="F1290" s="26" t="str">
        <f>IF(A1290="","",BASE_CAIXA!N1287)</f>
        <v/>
      </c>
      <c r="G1290" s="26" t="str">
        <f>IF(A1290="","",BASE_CAIXA!O1287)</f>
        <v/>
      </c>
      <c r="H1290" s="26" t="str">
        <f>IF(A1290="","",BASE_CAIXA!P1287)</f>
        <v/>
      </c>
      <c r="I1290" s="26" t="str">
        <f>IF(A1290="","",IF(BASE_CAIXA!H1287&lt;&gt;"",BASE_CAIXA!H1287,BASE_CAIXA!G1287))</f>
        <v/>
      </c>
      <c r="J1290" s="26" t="str">
        <f>IF(A1290="","",BASE_CAIXA!G1287)</f>
        <v/>
      </c>
      <c r="K1290" s="26" t="str">
        <f>IF(A1290="","",BASE_CAIXA!I1287)</f>
        <v/>
      </c>
      <c r="L1290" s="26" t="str">
        <f>IF(A1290="","",BASE_CAIXA!J1287)</f>
        <v/>
      </c>
      <c r="M1290" s="26" t="str">
        <f>IF(A1290="","",BASE_CAIXA!AM1287)</f>
        <v/>
      </c>
      <c r="N1290" s="26" t="str">
        <f t="shared" ca="1" si="60"/>
        <v/>
      </c>
      <c r="O1290" s="26" t="str">
        <f>IFERROR(INDEX(EXTRATO_IMPORTADO!$A$5:$A$404,MATCH(B1290,EXTRATO_IMPORTADO!$I$5:$I$404,0)),"")</f>
        <v/>
      </c>
      <c r="P1290" s="26" t="str">
        <f>IFERROR(INDEX(EXTRATO_IMPORTADO!$F$5:$F$404,MATCH(B1290,EXTRATO_IMPORTADO!$I$5:$I$404,0)),"")</f>
        <v/>
      </c>
      <c r="Q1290" s="26" t="str">
        <f>IFERROR(INDEX(EXTRATO_IMPORTADO!$B$5:$B$404,MATCH(B1290,EXTRATO_IMPORTADO!$I$5:$I$404,0)),"")</f>
        <v/>
      </c>
      <c r="R1290" s="26" t="str">
        <f>IFERROR(MATCH(B1290,EXTRATO_IMPORTADO!$I$5:$I$404,0),"")</f>
        <v/>
      </c>
      <c r="S1290" s="26" t="str">
        <f t="shared" si="61"/>
        <v/>
      </c>
      <c r="T1290" s="26" t="str">
        <f t="shared" si="62"/>
        <v/>
      </c>
    </row>
    <row r="1291" spans="1:20" x14ac:dyDescent="0.3">
      <c r="A1291" s="26" t="str">
        <f>IF(BASE_CAIXA!A1288="","",BASE_CAIXA!A1288)</f>
        <v/>
      </c>
      <c r="B1291" s="26" t="str">
        <f>IF(A1291="","",BASE_CAIXA!AL1288)</f>
        <v/>
      </c>
      <c r="C1291" s="26" t="str">
        <f>IF(A1291="","",BASE_CAIXA!AJ1288)</f>
        <v/>
      </c>
      <c r="D1291" s="26" t="str">
        <f>IF(A1291="","",IF(BASE_CAIXA!C1288="Entrada","Crédito","Débito"))</f>
        <v/>
      </c>
      <c r="E1291" s="26" t="str">
        <f>IF(A1291="","",BASE_CAIXA!AA1288)</f>
        <v/>
      </c>
      <c r="F1291" s="26" t="str">
        <f>IF(A1291="","",BASE_CAIXA!N1288)</f>
        <v/>
      </c>
      <c r="G1291" s="26" t="str">
        <f>IF(A1291="","",BASE_CAIXA!O1288)</f>
        <v/>
      </c>
      <c r="H1291" s="26" t="str">
        <f>IF(A1291="","",BASE_CAIXA!P1288)</f>
        <v/>
      </c>
      <c r="I1291" s="26" t="str">
        <f>IF(A1291="","",IF(BASE_CAIXA!H1288&lt;&gt;"",BASE_CAIXA!H1288,BASE_CAIXA!G1288))</f>
        <v/>
      </c>
      <c r="J1291" s="26" t="str">
        <f>IF(A1291="","",BASE_CAIXA!G1288)</f>
        <v/>
      </c>
      <c r="K1291" s="26" t="str">
        <f>IF(A1291="","",BASE_CAIXA!I1288)</f>
        <v/>
      </c>
      <c r="L1291" s="26" t="str">
        <f>IF(A1291="","",BASE_CAIXA!J1288)</f>
        <v/>
      </c>
      <c r="M1291" s="26" t="str">
        <f>IF(A1291="","",BASE_CAIXA!AM1288)</f>
        <v/>
      </c>
      <c r="N1291" s="26" t="str">
        <f t="shared" ca="1" si="60"/>
        <v/>
      </c>
      <c r="O1291" s="26" t="str">
        <f>IFERROR(INDEX(EXTRATO_IMPORTADO!$A$5:$A$404,MATCH(B1291,EXTRATO_IMPORTADO!$I$5:$I$404,0)),"")</f>
        <v/>
      </c>
      <c r="P1291" s="26" t="str">
        <f>IFERROR(INDEX(EXTRATO_IMPORTADO!$F$5:$F$404,MATCH(B1291,EXTRATO_IMPORTADO!$I$5:$I$404,0)),"")</f>
        <v/>
      </c>
      <c r="Q1291" s="26" t="str">
        <f>IFERROR(INDEX(EXTRATO_IMPORTADO!$B$5:$B$404,MATCH(B1291,EXTRATO_IMPORTADO!$I$5:$I$404,0)),"")</f>
        <v/>
      </c>
      <c r="R1291" s="26" t="str">
        <f>IFERROR(MATCH(B1291,EXTRATO_IMPORTADO!$I$5:$I$404,0),"")</f>
        <v/>
      </c>
      <c r="S1291" s="26" t="str">
        <f t="shared" si="61"/>
        <v/>
      </c>
      <c r="T1291" s="26" t="str">
        <f t="shared" si="62"/>
        <v/>
      </c>
    </row>
    <row r="1292" spans="1:20" x14ac:dyDescent="0.3">
      <c r="A1292" s="26" t="str">
        <f>IF(BASE_CAIXA!A1289="","",BASE_CAIXA!A1289)</f>
        <v/>
      </c>
      <c r="B1292" s="26" t="str">
        <f>IF(A1292="","",BASE_CAIXA!AL1289)</f>
        <v/>
      </c>
      <c r="C1292" s="26" t="str">
        <f>IF(A1292="","",BASE_CAIXA!AJ1289)</f>
        <v/>
      </c>
      <c r="D1292" s="26" t="str">
        <f>IF(A1292="","",IF(BASE_CAIXA!C1289="Entrada","Crédito","Débito"))</f>
        <v/>
      </c>
      <c r="E1292" s="26" t="str">
        <f>IF(A1292="","",BASE_CAIXA!AA1289)</f>
        <v/>
      </c>
      <c r="F1292" s="26" t="str">
        <f>IF(A1292="","",BASE_CAIXA!N1289)</f>
        <v/>
      </c>
      <c r="G1292" s="26" t="str">
        <f>IF(A1292="","",BASE_CAIXA!O1289)</f>
        <v/>
      </c>
      <c r="H1292" s="26" t="str">
        <f>IF(A1292="","",BASE_CAIXA!P1289)</f>
        <v/>
      </c>
      <c r="I1292" s="26" t="str">
        <f>IF(A1292="","",IF(BASE_CAIXA!H1289&lt;&gt;"",BASE_CAIXA!H1289,BASE_CAIXA!G1289))</f>
        <v/>
      </c>
      <c r="J1292" s="26" t="str">
        <f>IF(A1292="","",BASE_CAIXA!G1289)</f>
        <v/>
      </c>
      <c r="K1292" s="26" t="str">
        <f>IF(A1292="","",BASE_CAIXA!I1289)</f>
        <v/>
      </c>
      <c r="L1292" s="26" t="str">
        <f>IF(A1292="","",BASE_CAIXA!J1289)</f>
        <v/>
      </c>
      <c r="M1292" s="26" t="str">
        <f>IF(A1292="","",BASE_CAIXA!AM1289)</f>
        <v/>
      </c>
      <c r="N1292" s="26" t="str">
        <f t="shared" ca="1" si="60"/>
        <v/>
      </c>
      <c r="O1292" s="26" t="str">
        <f>IFERROR(INDEX(EXTRATO_IMPORTADO!$A$5:$A$404,MATCH(B1292,EXTRATO_IMPORTADO!$I$5:$I$404,0)),"")</f>
        <v/>
      </c>
      <c r="P1292" s="26" t="str">
        <f>IFERROR(INDEX(EXTRATO_IMPORTADO!$F$5:$F$404,MATCH(B1292,EXTRATO_IMPORTADO!$I$5:$I$404,0)),"")</f>
        <v/>
      </c>
      <c r="Q1292" s="26" t="str">
        <f>IFERROR(INDEX(EXTRATO_IMPORTADO!$B$5:$B$404,MATCH(B1292,EXTRATO_IMPORTADO!$I$5:$I$404,0)),"")</f>
        <v/>
      </c>
      <c r="R1292" s="26" t="str">
        <f>IFERROR(MATCH(B1292,EXTRATO_IMPORTADO!$I$5:$I$404,0),"")</f>
        <v/>
      </c>
      <c r="S1292" s="26" t="str">
        <f t="shared" si="61"/>
        <v/>
      </c>
      <c r="T1292" s="26" t="str">
        <f t="shared" si="62"/>
        <v/>
      </c>
    </row>
    <row r="1293" spans="1:20" x14ac:dyDescent="0.3">
      <c r="A1293" s="26" t="str">
        <f>IF(BASE_CAIXA!A1290="","",BASE_CAIXA!A1290)</f>
        <v/>
      </c>
      <c r="B1293" s="26" t="str">
        <f>IF(A1293="","",BASE_CAIXA!AL1290)</f>
        <v/>
      </c>
      <c r="C1293" s="26" t="str">
        <f>IF(A1293="","",BASE_CAIXA!AJ1290)</f>
        <v/>
      </c>
      <c r="D1293" s="26" t="str">
        <f>IF(A1293="","",IF(BASE_CAIXA!C1290="Entrada","Crédito","Débito"))</f>
        <v/>
      </c>
      <c r="E1293" s="26" t="str">
        <f>IF(A1293="","",BASE_CAIXA!AA1290)</f>
        <v/>
      </c>
      <c r="F1293" s="26" t="str">
        <f>IF(A1293="","",BASE_CAIXA!N1290)</f>
        <v/>
      </c>
      <c r="G1293" s="26" t="str">
        <f>IF(A1293="","",BASE_CAIXA!O1290)</f>
        <v/>
      </c>
      <c r="H1293" s="26" t="str">
        <f>IF(A1293="","",BASE_CAIXA!P1290)</f>
        <v/>
      </c>
      <c r="I1293" s="26" t="str">
        <f>IF(A1293="","",IF(BASE_CAIXA!H1290&lt;&gt;"",BASE_CAIXA!H1290,BASE_CAIXA!G1290))</f>
        <v/>
      </c>
      <c r="J1293" s="26" t="str">
        <f>IF(A1293="","",BASE_CAIXA!G1290)</f>
        <v/>
      </c>
      <c r="K1293" s="26" t="str">
        <f>IF(A1293="","",BASE_CAIXA!I1290)</f>
        <v/>
      </c>
      <c r="L1293" s="26" t="str">
        <f>IF(A1293="","",BASE_CAIXA!J1290)</f>
        <v/>
      </c>
      <c r="M1293" s="26" t="str">
        <f>IF(A1293="","",BASE_CAIXA!AM1290)</f>
        <v/>
      </c>
      <c r="N1293" s="26" t="str">
        <f t="shared" ca="1" si="60"/>
        <v/>
      </c>
      <c r="O1293" s="26" t="str">
        <f>IFERROR(INDEX(EXTRATO_IMPORTADO!$A$5:$A$404,MATCH(B1293,EXTRATO_IMPORTADO!$I$5:$I$404,0)),"")</f>
        <v/>
      </c>
      <c r="P1293" s="26" t="str">
        <f>IFERROR(INDEX(EXTRATO_IMPORTADO!$F$5:$F$404,MATCH(B1293,EXTRATO_IMPORTADO!$I$5:$I$404,0)),"")</f>
        <v/>
      </c>
      <c r="Q1293" s="26" t="str">
        <f>IFERROR(INDEX(EXTRATO_IMPORTADO!$B$5:$B$404,MATCH(B1293,EXTRATO_IMPORTADO!$I$5:$I$404,0)),"")</f>
        <v/>
      </c>
      <c r="R1293" s="26" t="str">
        <f>IFERROR(MATCH(B1293,EXTRATO_IMPORTADO!$I$5:$I$404,0),"")</f>
        <v/>
      </c>
      <c r="S1293" s="26" t="str">
        <f t="shared" si="61"/>
        <v/>
      </c>
      <c r="T1293" s="26" t="str">
        <f t="shared" si="62"/>
        <v/>
      </c>
    </row>
    <row r="1294" spans="1:20" x14ac:dyDescent="0.3">
      <c r="A1294" s="26" t="str">
        <f>IF(BASE_CAIXA!A1291="","",BASE_CAIXA!A1291)</f>
        <v/>
      </c>
      <c r="B1294" s="26" t="str">
        <f>IF(A1294="","",BASE_CAIXA!AL1291)</f>
        <v/>
      </c>
      <c r="C1294" s="26" t="str">
        <f>IF(A1294="","",BASE_CAIXA!AJ1291)</f>
        <v/>
      </c>
      <c r="D1294" s="26" t="str">
        <f>IF(A1294="","",IF(BASE_CAIXA!C1291="Entrada","Crédito","Débito"))</f>
        <v/>
      </c>
      <c r="E1294" s="26" t="str">
        <f>IF(A1294="","",BASE_CAIXA!AA1291)</f>
        <v/>
      </c>
      <c r="F1294" s="26" t="str">
        <f>IF(A1294="","",BASE_CAIXA!N1291)</f>
        <v/>
      </c>
      <c r="G1294" s="26" t="str">
        <f>IF(A1294="","",BASE_CAIXA!O1291)</f>
        <v/>
      </c>
      <c r="H1294" s="26" t="str">
        <f>IF(A1294="","",BASE_CAIXA!P1291)</f>
        <v/>
      </c>
      <c r="I1294" s="26" t="str">
        <f>IF(A1294="","",IF(BASE_CAIXA!H1291&lt;&gt;"",BASE_CAIXA!H1291,BASE_CAIXA!G1291))</f>
        <v/>
      </c>
      <c r="J1294" s="26" t="str">
        <f>IF(A1294="","",BASE_CAIXA!G1291)</f>
        <v/>
      </c>
      <c r="K1294" s="26" t="str">
        <f>IF(A1294="","",BASE_CAIXA!I1291)</f>
        <v/>
      </c>
      <c r="L1294" s="26" t="str">
        <f>IF(A1294="","",BASE_CAIXA!J1291)</f>
        <v/>
      </c>
      <c r="M1294" s="26" t="str">
        <f>IF(A1294="","",BASE_CAIXA!AM1291)</f>
        <v/>
      </c>
      <c r="N1294" s="26" t="str">
        <f t="shared" ca="1" si="60"/>
        <v/>
      </c>
      <c r="O1294" s="26" t="str">
        <f>IFERROR(INDEX(EXTRATO_IMPORTADO!$A$5:$A$404,MATCH(B1294,EXTRATO_IMPORTADO!$I$5:$I$404,0)),"")</f>
        <v/>
      </c>
      <c r="P1294" s="26" t="str">
        <f>IFERROR(INDEX(EXTRATO_IMPORTADO!$F$5:$F$404,MATCH(B1294,EXTRATO_IMPORTADO!$I$5:$I$404,0)),"")</f>
        <v/>
      </c>
      <c r="Q1294" s="26" t="str">
        <f>IFERROR(INDEX(EXTRATO_IMPORTADO!$B$5:$B$404,MATCH(B1294,EXTRATO_IMPORTADO!$I$5:$I$404,0)),"")</f>
        <v/>
      </c>
      <c r="R1294" s="26" t="str">
        <f>IFERROR(MATCH(B1294,EXTRATO_IMPORTADO!$I$5:$I$404,0),"")</f>
        <v/>
      </c>
      <c r="S1294" s="26" t="str">
        <f t="shared" si="61"/>
        <v/>
      </c>
      <c r="T1294" s="26" t="str">
        <f t="shared" si="62"/>
        <v/>
      </c>
    </row>
    <row r="1295" spans="1:20" x14ac:dyDescent="0.3">
      <c r="A1295" s="26" t="str">
        <f>IF(BASE_CAIXA!A1292="","",BASE_CAIXA!A1292)</f>
        <v/>
      </c>
      <c r="B1295" s="26" t="str">
        <f>IF(A1295="","",BASE_CAIXA!AL1292)</f>
        <v/>
      </c>
      <c r="C1295" s="26" t="str">
        <f>IF(A1295="","",BASE_CAIXA!AJ1292)</f>
        <v/>
      </c>
      <c r="D1295" s="26" t="str">
        <f>IF(A1295="","",IF(BASE_CAIXA!C1292="Entrada","Crédito","Débito"))</f>
        <v/>
      </c>
      <c r="E1295" s="26" t="str">
        <f>IF(A1295="","",BASE_CAIXA!AA1292)</f>
        <v/>
      </c>
      <c r="F1295" s="26" t="str">
        <f>IF(A1295="","",BASE_CAIXA!N1292)</f>
        <v/>
      </c>
      <c r="G1295" s="26" t="str">
        <f>IF(A1295="","",BASE_CAIXA!O1292)</f>
        <v/>
      </c>
      <c r="H1295" s="26" t="str">
        <f>IF(A1295="","",BASE_CAIXA!P1292)</f>
        <v/>
      </c>
      <c r="I1295" s="26" t="str">
        <f>IF(A1295="","",IF(BASE_CAIXA!H1292&lt;&gt;"",BASE_CAIXA!H1292,BASE_CAIXA!G1292))</f>
        <v/>
      </c>
      <c r="J1295" s="26" t="str">
        <f>IF(A1295="","",BASE_CAIXA!G1292)</f>
        <v/>
      </c>
      <c r="K1295" s="26" t="str">
        <f>IF(A1295="","",BASE_CAIXA!I1292)</f>
        <v/>
      </c>
      <c r="L1295" s="26" t="str">
        <f>IF(A1295="","",BASE_CAIXA!J1292)</f>
        <v/>
      </c>
      <c r="M1295" s="26" t="str">
        <f>IF(A1295="","",BASE_CAIXA!AM1292)</f>
        <v/>
      </c>
      <c r="N1295" s="26" t="str">
        <f t="shared" ca="1" si="60"/>
        <v/>
      </c>
      <c r="O1295" s="26" t="str">
        <f>IFERROR(INDEX(EXTRATO_IMPORTADO!$A$5:$A$404,MATCH(B1295,EXTRATO_IMPORTADO!$I$5:$I$404,0)),"")</f>
        <v/>
      </c>
      <c r="P1295" s="26" t="str">
        <f>IFERROR(INDEX(EXTRATO_IMPORTADO!$F$5:$F$404,MATCH(B1295,EXTRATO_IMPORTADO!$I$5:$I$404,0)),"")</f>
        <v/>
      </c>
      <c r="Q1295" s="26" t="str">
        <f>IFERROR(INDEX(EXTRATO_IMPORTADO!$B$5:$B$404,MATCH(B1295,EXTRATO_IMPORTADO!$I$5:$I$404,0)),"")</f>
        <v/>
      </c>
      <c r="R1295" s="26" t="str">
        <f>IFERROR(MATCH(B1295,EXTRATO_IMPORTADO!$I$5:$I$404,0),"")</f>
        <v/>
      </c>
      <c r="S1295" s="26" t="str">
        <f t="shared" si="61"/>
        <v/>
      </c>
      <c r="T1295" s="26" t="str">
        <f t="shared" si="62"/>
        <v/>
      </c>
    </row>
    <row r="1296" spans="1:20" x14ac:dyDescent="0.3">
      <c r="A1296" s="26" t="str">
        <f>IF(BASE_CAIXA!A1293="","",BASE_CAIXA!A1293)</f>
        <v/>
      </c>
      <c r="B1296" s="26" t="str">
        <f>IF(A1296="","",BASE_CAIXA!AL1293)</f>
        <v/>
      </c>
      <c r="C1296" s="26" t="str">
        <f>IF(A1296="","",BASE_CAIXA!AJ1293)</f>
        <v/>
      </c>
      <c r="D1296" s="26" t="str">
        <f>IF(A1296="","",IF(BASE_CAIXA!C1293="Entrada","Crédito","Débito"))</f>
        <v/>
      </c>
      <c r="E1296" s="26" t="str">
        <f>IF(A1296="","",BASE_CAIXA!AA1293)</f>
        <v/>
      </c>
      <c r="F1296" s="26" t="str">
        <f>IF(A1296="","",BASE_CAIXA!N1293)</f>
        <v/>
      </c>
      <c r="G1296" s="26" t="str">
        <f>IF(A1296="","",BASE_CAIXA!O1293)</f>
        <v/>
      </c>
      <c r="H1296" s="26" t="str">
        <f>IF(A1296="","",BASE_CAIXA!P1293)</f>
        <v/>
      </c>
      <c r="I1296" s="26" t="str">
        <f>IF(A1296="","",IF(BASE_CAIXA!H1293&lt;&gt;"",BASE_CAIXA!H1293,BASE_CAIXA!G1293))</f>
        <v/>
      </c>
      <c r="J1296" s="26" t="str">
        <f>IF(A1296="","",BASE_CAIXA!G1293)</f>
        <v/>
      </c>
      <c r="K1296" s="26" t="str">
        <f>IF(A1296="","",BASE_CAIXA!I1293)</f>
        <v/>
      </c>
      <c r="L1296" s="26" t="str">
        <f>IF(A1296="","",BASE_CAIXA!J1293)</f>
        <v/>
      </c>
      <c r="M1296" s="26" t="str">
        <f>IF(A1296="","",BASE_CAIXA!AM1293)</f>
        <v/>
      </c>
      <c r="N1296" s="26" t="str">
        <f t="shared" ca="1" si="60"/>
        <v/>
      </c>
      <c r="O1296" s="26" t="str">
        <f>IFERROR(INDEX(EXTRATO_IMPORTADO!$A$5:$A$404,MATCH(B1296,EXTRATO_IMPORTADO!$I$5:$I$404,0)),"")</f>
        <v/>
      </c>
      <c r="P1296" s="26" t="str">
        <f>IFERROR(INDEX(EXTRATO_IMPORTADO!$F$5:$F$404,MATCH(B1296,EXTRATO_IMPORTADO!$I$5:$I$404,0)),"")</f>
        <v/>
      </c>
      <c r="Q1296" s="26" t="str">
        <f>IFERROR(INDEX(EXTRATO_IMPORTADO!$B$5:$B$404,MATCH(B1296,EXTRATO_IMPORTADO!$I$5:$I$404,0)),"")</f>
        <v/>
      </c>
      <c r="R1296" s="26" t="str">
        <f>IFERROR(MATCH(B1296,EXTRATO_IMPORTADO!$I$5:$I$404,0),"")</f>
        <v/>
      </c>
      <c r="S1296" s="26" t="str">
        <f t="shared" si="61"/>
        <v/>
      </c>
      <c r="T1296" s="26" t="str">
        <f t="shared" si="62"/>
        <v/>
      </c>
    </row>
    <row r="1297" spans="1:20" x14ac:dyDescent="0.3">
      <c r="A1297" s="26" t="str">
        <f>IF(BASE_CAIXA!A1294="","",BASE_CAIXA!A1294)</f>
        <v/>
      </c>
      <c r="B1297" s="26" t="str">
        <f>IF(A1297="","",BASE_CAIXA!AL1294)</f>
        <v/>
      </c>
      <c r="C1297" s="26" t="str">
        <f>IF(A1297="","",BASE_CAIXA!AJ1294)</f>
        <v/>
      </c>
      <c r="D1297" s="26" t="str">
        <f>IF(A1297="","",IF(BASE_CAIXA!C1294="Entrada","Crédito","Débito"))</f>
        <v/>
      </c>
      <c r="E1297" s="26" t="str">
        <f>IF(A1297="","",BASE_CAIXA!AA1294)</f>
        <v/>
      </c>
      <c r="F1297" s="26" t="str">
        <f>IF(A1297="","",BASE_CAIXA!N1294)</f>
        <v/>
      </c>
      <c r="G1297" s="26" t="str">
        <f>IF(A1297="","",BASE_CAIXA!O1294)</f>
        <v/>
      </c>
      <c r="H1297" s="26" t="str">
        <f>IF(A1297="","",BASE_CAIXA!P1294)</f>
        <v/>
      </c>
      <c r="I1297" s="26" t="str">
        <f>IF(A1297="","",IF(BASE_CAIXA!H1294&lt;&gt;"",BASE_CAIXA!H1294,BASE_CAIXA!G1294))</f>
        <v/>
      </c>
      <c r="J1297" s="26" t="str">
        <f>IF(A1297="","",BASE_CAIXA!G1294)</f>
        <v/>
      </c>
      <c r="K1297" s="26" t="str">
        <f>IF(A1297="","",BASE_CAIXA!I1294)</f>
        <v/>
      </c>
      <c r="L1297" s="26" t="str">
        <f>IF(A1297="","",BASE_CAIXA!J1294)</f>
        <v/>
      </c>
      <c r="M1297" s="26" t="str">
        <f>IF(A1297="","",BASE_CAIXA!AM1294)</f>
        <v/>
      </c>
      <c r="N1297" s="26" t="str">
        <f t="shared" ca="1" si="60"/>
        <v/>
      </c>
      <c r="O1297" s="26" t="str">
        <f>IFERROR(INDEX(EXTRATO_IMPORTADO!$A$5:$A$404,MATCH(B1297,EXTRATO_IMPORTADO!$I$5:$I$404,0)),"")</f>
        <v/>
      </c>
      <c r="P1297" s="26" t="str">
        <f>IFERROR(INDEX(EXTRATO_IMPORTADO!$F$5:$F$404,MATCH(B1297,EXTRATO_IMPORTADO!$I$5:$I$404,0)),"")</f>
        <v/>
      </c>
      <c r="Q1297" s="26" t="str">
        <f>IFERROR(INDEX(EXTRATO_IMPORTADO!$B$5:$B$404,MATCH(B1297,EXTRATO_IMPORTADO!$I$5:$I$404,0)),"")</f>
        <v/>
      </c>
      <c r="R1297" s="26" t="str">
        <f>IFERROR(MATCH(B1297,EXTRATO_IMPORTADO!$I$5:$I$404,0),"")</f>
        <v/>
      </c>
      <c r="S1297" s="26" t="str">
        <f t="shared" si="61"/>
        <v/>
      </c>
      <c r="T1297" s="26" t="str">
        <f t="shared" si="62"/>
        <v/>
      </c>
    </row>
    <row r="1298" spans="1:20" x14ac:dyDescent="0.3">
      <c r="A1298" s="26" t="str">
        <f>IF(BASE_CAIXA!A1295="","",BASE_CAIXA!A1295)</f>
        <v/>
      </c>
      <c r="B1298" s="26" t="str">
        <f>IF(A1298="","",BASE_CAIXA!AL1295)</f>
        <v/>
      </c>
      <c r="C1298" s="26" t="str">
        <f>IF(A1298="","",BASE_CAIXA!AJ1295)</f>
        <v/>
      </c>
      <c r="D1298" s="26" t="str">
        <f>IF(A1298="","",IF(BASE_CAIXA!C1295="Entrada","Crédito","Débito"))</f>
        <v/>
      </c>
      <c r="E1298" s="26" t="str">
        <f>IF(A1298="","",BASE_CAIXA!AA1295)</f>
        <v/>
      </c>
      <c r="F1298" s="26" t="str">
        <f>IF(A1298="","",BASE_CAIXA!N1295)</f>
        <v/>
      </c>
      <c r="G1298" s="26" t="str">
        <f>IF(A1298="","",BASE_CAIXA!O1295)</f>
        <v/>
      </c>
      <c r="H1298" s="26" t="str">
        <f>IF(A1298="","",BASE_CAIXA!P1295)</f>
        <v/>
      </c>
      <c r="I1298" s="26" t="str">
        <f>IF(A1298="","",IF(BASE_CAIXA!H1295&lt;&gt;"",BASE_CAIXA!H1295,BASE_CAIXA!G1295))</f>
        <v/>
      </c>
      <c r="J1298" s="26" t="str">
        <f>IF(A1298="","",BASE_CAIXA!G1295)</f>
        <v/>
      </c>
      <c r="K1298" s="26" t="str">
        <f>IF(A1298="","",BASE_CAIXA!I1295)</f>
        <v/>
      </c>
      <c r="L1298" s="26" t="str">
        <f>IF(A1298="","",BASE_CAIXA!J1295)</f>
        <v/>
      </c>
      <c r="M1298" s="26" t="str">
        <f>IF(A1298="","",BASE_CAIXA!AM1295)</f>
        <v/>
      </c>
      <c r="N1298" s="26" t="str">
        <f t="shared" ca="1" si="60"/>
        <v/>
      </c>
      <c r="O1298" s="26" t="str">
        <f>IFERROR(INDEX(EXTRATO_IMPORTADO!$A$5:$A$404,MATCH(B1298,EXTRATO_IMPORTADO!$I$5:$I$404,0)),"")</f>
        <v/>
      </c>
      <c r="P1298" s="26" t="str">
        <f>IFERROR(INDEX(EXTRATO_IMPORTADO!$F$5:$F$404,MATCH(B1298,EXTRATO_IMPORTADO!$I$5:$I$404,0)),"")</f>
        <v/>
      </c>
      <c r="Q1298" s="26" t="str">
        <f>IFERROR(INDEX(EXTRATO_IMPORTADO!$B$5:$B$404,MATCH(B1298,EXTRATO_IMPORTADO!$I$5:$I$404,0)),"")</f>
        <v/>
      </c>
      <c r="R1298" s="26" t="str">
        <f>IFERROR(MATCH(B1298,EXTRATO_IMPORTADO!$I$5:$I$404,0),"")</f>
        <v/>
      </c>
      <c r="S1298" s="26" t="str">
        <f t="shared" si="61"/>
        <v/>
      </c>
      <c r="T1298" s="26" t="str">
        <f t="shared" si="62"/>
        <v/>
      </c>
    </row>
    <row r="1299" spans="1:20" x14ac:dyDescent="0.3">
      <c r="A1299" s="26" t="str">
        <f>IF(BASE_CAIXA!A1296="","",BASE_CAIXA!A1296)</f>
        <v/>
      </c>
      <c r="B1299" s="26" t="str">
        <f>IF(A1299="","",BASE_CAIXA!AL1296)</f>
        <v/>
      </c>
      <c r="C1299" s="26" t="str">
        <f>IF(A1299="","",BASE_CAIXA!AJ1296)</f>
        <v/>
      </c>
      <c r="D1299" s="26" t="str">
        <f>IF(A1299="","",IF(BASE_CAIXA!C1296="Entrada","Crédito","Débito"))</f>
        <v/>
      </c>
      <c r="E1299" s="26" t="str">
        <f>IF(A1299="","",BASE_CAIXA!AA1296)</f>
        <v/>
      </c>
      <c r="F1299" s="26" t="str">
        <f>IF(A1299="","",BASE_CAIXA!N1296)</f>
        <v/>
      </c>
      <c r="G1299" s="26" t="str">
        <f>IF(A1299="","",BASE_CAIXA!O1296)</f>
        <v/>
      </c>
      <c r="H1299" s="26" t="str">
        <f>IF(A1299="","",BASE_CAIXA!P1296)</f>
        <v/>
      </c>
      <c r="I1299" s="26" t="str">
        <f>IF(A1299="","",IF(BASE_CAIXA!H1296&lt;&gt;"",BASE_CAIXA!H1296,BASE_CAIXA!G1296))</f>
        <v/>
      </c>
      <c r="J1299" s="26" t="str">
        <f>IF(A1299="","",BASE_CAIXA!G1296)</f>
        <v/>
      </c>
      <c r="K1299" s="26" t="str">
        <f>IF(A1299="","",BASE_CAIXA!I1296)</f>
        <v/>
      </c>
      <c r="L1299" s="26" t="str">
        <f>IF(A1299="","",BASE_CAIXA!J1296)</f>
        <v/>
      </c>
      <c r="M1299" s="26" t="str">
        <f>IF(A1299="","",BASE_CAIXA!AM1296)</f>
        <v/>
      </c>
      <c r="N1299" s="26" t="str">
        <f t="shared" ca="1" si="60"/>
        <v/>
      </c>
      <c r="O1299" s="26" t="str">
        <f>IFERROR(INDEX(EXTRATO_IMPORTADO!$A$5:$A$404,MATCH(B1299,EXTRATO_IMPORTADO!$I$5:$I$404,0)),"")</f>
        <v/>
      </c>
      <c r="P1299" s="26" t="str">
        <f>IFERROR(INDEX(EXTRATO_IMPORTADO!$F$5:$F$404,MATCH(B1299,EXTRATO_IMPORTADO!$I$5:$I$404,0)),"")</f>
        <v/>
      </c>
      <c r="Q1299" s="26" t="str">
        <f>IFERROR(INDEX(EXTRATO_IMPORTADO!$B$5:$B$404,MATCH(B1299,EXTRATO_IMPORTADO!$I$5:$I$404,0)),"")</f>
        <v/>
      </c>
      <c r="R1299" s="26" t="str">
        <f>IFERROR(MATCH(B1299,EXTRATO_IMPORTADO!$I$5:$I$404,0),"")</f>
        <v/>
      </c>
      <c r="S1299" s="26" t="str">
        <f t="shared" si="61"/>
        <v/>
      </c>
      <c r="T1299" s="26" t="str">
        <f t="shared" si="62"/>
        <v/>
      </c>
    </row>
    <row r="1300" spans="1:20" x14ac:dyDescent="0.3">
      <c r="A1300" s="26" t="str">
        <f>IF(BASE_CAIXA!A1297="","",BASE_CAIXA!A1297)</f>
        <v/>
      </c>
      <c r="B1300" s="26" t="str">
        <f>IF(A1300="","",BASE_CAIXA!AL1297)</f>
        <v/>
      </c>
      <c r="C1300" s="26" t="str">
        <f>IF(A1300="","",BASE_CAIXA!AJ1297)</f>
        <v/>
      </c>
      <c r="D1300" s="26" t="str">
        <f>IF(A1300="","",IF(BASE_CAIXA!C1297="Entrada","Crédito","Débito"))</f>
        <v/>
      </c>
      <c r="E1300" s="26" t="str">
        <f>IF(A1300="","",BASE_CAIXA!AA1297)</f>
        <v/>
      </c>
      <c r="F1300" s="26" t="str">
        <f>IF(A1300="","",BASE_CAIXA!N1297)</f>
        <v/>
      </c>
      <c r="G1300" s="26" t="str">
        <f>IF(A1300="","",BASE_CAIXA!O1297)</f>
        <v/>
      </c>
      <c r="H1300" s="26" t="str">
        <f>IF(A1300="","",BASE_CAIXA!P1297)</f>
        <v/>
      </c>
      <c r="I1300" s="26" t="str">
        <f>IF(A1300="","",IF(BASE_CAIXA!H1297&lt;&gt;"",BASE_CAIXA!H1297,BASE_CAIXA!G1297))</f>
        <v/>
      </c>
      <c r="J1300" s="26" t="str">
        <f>IF(A1300="","",BASE_CAIXA!G1297)</f>
        <v/>
      </c>
      <c r="K1300" s="26" t="str">
        <f>IF(A1300="","",BASE_CAIXA!I1297)</f>
        <v/>
      </c>
      <c r="L1300" s="26" t="str">
        <f>IF(A1300="","",BASE_CAIXA!J1297)</f>
        <v/>
      </c>
      <c r="M1300" s="26" t="str">
        <f>IF(A1300="","",BASE_CAIXA!AM1297)</f>
        <v/>
      </c>
      <c r="N1300" s="26" t="str">
        <f t="shared" ca="1" si="60"/>
        <v/>
      </c>
      <c r="O1300" s="26" t="str">
        <f>IFERROR(INDEX(EXTRATO_IMPORTADO!$A$5:$A$404,MATCH(B1300,EXTRATO_IMPORTADO!$I$5:$I$404,0)),"")</f>
        <v/>
      </c>
      <c r="P1300" s="26" t="str">
        <f>IFERROR(INDEX(EXTRATO_IMPORTADO!$F$5:$F$404,MATCH(B1300,EXTRATO_IMPORTADO!$I$5:$I$404,0)),"")</f>
        <v/>
      </c>
      <c r="Q1300" s="26" t="str">
        <f>IFERROR(INDEX(EXTRATO_IMPORTADO!$B$5:$B$404,MATCH(B1300,EXTRATO_IMPORTADO!$I$5:$I$404,0)),"")</f>
        <v/>
      </c>
      <c r="R1300" s="26" t="str">
        <f>IFERROR(MATCH(B1300,EXTRATO_IMPORTADO!$I$5:$I$404,0),"")</f>
        <v/>
      </c>
      <c r="S1300" s="26" t="str">
        <f t="shared" si="61"/>
        <v/>
      </c>
      <c r="T1300" s="26" t="str">
        <f t="shared" si="62"/>
        <v/>
      </c>
    </row>
    <row r="1301" spans="1:20" x14ac:dyDescent="0.3">
      <c r="A1301" s="26" t="str">
        <f>IF(BASE_CAIXA!A1298="","",BASE_CAIXA!A1298)</f>
        <v/>
      </c>
      <c r="B1301" s="26" t="str">
        <f>IF(A1301="","",BASE_CAIXA!AL1298)</f>
        <v/>
      </c>
      <c r="C1301" s="26" t="str">
        <f>IF(A1301="","",BASE_CAIXA!AJ1298)</f>
        <v/>
      </c>
      <c r="D1301" s="26" t="str">
        <f>IF(A1301="","",IF(BASE_CAIXA!C1298="Entrada","Crédito","Débito"))</f>
        <v/>
      </c>
      <c r="E1301" s="26" t="str">
        <f>IF(A1301="","",BASE_CAIXA!AA1298)</f>
        <v/>
      </c>
      <c r="F1301" s="26" t="str">
        <f>IF(A1301="","",BASE_CAIXA!N1298)</f>
        <v/>
      </c>
      <c r="G1301" s="26" t="str">
        <f>IF(A1301="","",BASE_CAIXA!O1298)</f>
        <v/>
      </c>
      <c r="H1301" s="26" t="str">
        <f>IF(A1301="","",BASE_CAIXA!P1298)</f>
        <v/>
      </c>
      <c r="I1301" s="26" t="str">
        <f>IF(A1301="","",IF(BASE_CAIXA!H1298&lt;&gt;"",BASE_CAIXA!H1298,BASE_CAIXA!G1298))</f>
        <v/>
      </c>
      <c r="J1301" s="26" t="str">
        <f>IF(A1301="","",BASE_CAIXA!G1298)</f>
        <v/>
      </c>
      <c r="K1301" s="26" t="str">
        <f>IF(A1301="","",BASE_CAIXA!I1298)</f>
        <v/>
      </c>
      <c r="L1301" s="26" t="str">
        <f>IF(A1301="","",BASE_CAIXA!J1298)</f>
        <v/>
      </c>
      <c r="M1301" s="26" t="str">
        <f>IF(A1301="","",BASE_CAIXA!AM1298)</f>
        <v/>
      </c>
      <c r="N1301" s="26" t="str">
        <f t="shared" ca="1" si="60"/>
        <v/>
      </c>
      <c r="O1301" s="26" t="str">
        <f>IFERROR(INDEX(EXTRATO_IMPORTADO!$A$5:$A$404,MATCH(B1301,EXTRATO_IMPORTADO!$I$5:$I$404,0)),"")</f>
        <v/>
      </c>
      <c r="P1301" s="26" t="str">
        <f>IFERROR(INDEX(EXTRATO_IMPORTADO!$F$5:$F$404,MATCH(B1301,EXTRATO_IMPORTADO!$I$5:$I$404,0)),"")</f>
        <v/>
      </c>
      <c r="Q1301" s="26" t="str">
        <f>IFERROR(INDEX(EXTRATO_IMPORTADO!$B$5:$B$404,MATCH(B1301,EXTRATO_IMPORTADO!$I$5:$I$404,0)),"")</f>
        <v/>
      </c>
      <c r="R1301" s="26" t="str">
        <f>IFERROR(MATCH(B1301,EXTRATO_IMPORTADO!$I$5:$I$404,0),"")</f>
        <v/>
      </c>
      <c r="S1301" s="26" t="str">
        <f t="shared" si="61"/>
        <v/>
      </c>
      <c r="T1301" s="26" t="str">
        <f t="shared" si="62"/>
        <v/>
      </c>
    </row>
    <row r="1302" spans="1:20" x14ac:dyDescent="0.3">
      <c r="A1302" s="26" t="str">
        <f>IF(BASE_CAIXA!A1299="","",BASE_CAIXA!A1299)</f>
        <v/>
      </c>
      <c r="B1302" s="26" t="str">
        <f>IF(A1302="","",BASE_CAIXA!AL1299)</f>
        <v/>
      </c>
      <c r="C1302" s="26" t="str">
        <f>IF(A1302="","",BASE_CAIXA!AJ1299)</f>
        <v/>
      </c>
      <c r="D1302" s="26" t="str">
        <f>IF(A1302="","",IF(BASE_CAIXA!C1299="Entrada","Crédito","Débito"))</f>
        <v/>
      </c>
      <c r="E1302" s="26" t="str">
        <f>IF(A1302="","",BASE_CAIXA!AA1299)</f>
        <v/>
      </c>
      <c r="F1302" s="26" t="str">
        <f>IF(A1302="","",BASE_CAIXA!N1299)</f>
        <v/>
      </c>
      <c r="G1302" s="26" t="str">
        <f>IF(A1302="","",BASE_CAIXA!O1299)</f>
        <v/>
      </c>
      <c r="H1302" s="26" t="str">
        <f>IF(A1302="","",BASE_CAIXA!P1299)</f>
        <v/>
      </c>
      <c r="I1302" s="26" t="str">
        <f>IF(A1302="","",IF(BASE_CAIXA!H1299&lt;&gt;"",BASE_CAIXA!H1299,BASE_CAIXA!G1299))</f>
        <v/>
      </c>
      <c r="J1302" s="26" t="str">
        <f>IF(A1302="","",BASE_CAIXA!G1299)</f>
        <v/>
      </c>
      <c r="K1302" s="26" t="str">
        <f>IF(A1302="","",BASE_CAIXA!I1299)</f>
        <v/>
      </c>
      <c r="L1302" s="26" t="str">
        <f>IF(A1302="","",BASE_CAIXA!J1299)</f>
        <v/>
      </c>
      <c r="M1302" s="26" t="str">
        <f>IF(A1302="","",BASE_CAIXA!AM1299)</f>
        <v/>
      </c>
      <c r="N1302" s="26" t="str">
        <f t="shared" ca="1" si="60"/>
        <v/>
      </c>
      <c r="O1302" s="26" t="str">
        <f>IFERROR(INDEX(EXTRATO_IMPORTADO!$A$5:$A$404,MATCH(B1302,EXTRATO_IMPORTADO!$I$5:$I$404,0)),"")</f>
        <v/>
      </c>
      <c r="P1302" s="26" t="str">
        <f>IFERROR(INDEX(EXTRATO_IMPORTADO!$F$5:$F$404,MATCH(B1302,EXTRATO_IMPORTADO!$I$5:$I$404,0)),"")</f>
        <v/>
      </c>
      <c r="Q1302" s="26" t="str">
        <f>IFERROR(INDEX(EXTRATO_IMPORTADO!$B$5:$B$404,MATCH(B1302,EXTRATO_IMPORTADO!$I$5:$I$404,0)),"")</f>
        <v/>
      </c>
      <c r="R1302" s="26" t="str">
        <f>IFERROR(MATCH(B1302,EXTRATO_IMPORTADO!$I$5:$I$404,0),"")</f>
        <v/>
      </c>
      <c r="S1302" s="26" t="str">
        <f t="shared" si="61"/>
        <v/>
      </c>
      <c r="T1302" s="26" t="str">
        <f t="shared" si="62"/>
        <v/>
      </c>
    </row>
    <row r="1303" spans="1:20" x14ac:dyDescent="0.3">
      <c r="A1303" s="26" t="str">
        <f>IF(BASE_CAIXA!A1300="","",BASE_CAIXA!A1300)</f>
        <v/>
      </c>
      <c r="B1303" s="26" t="str">
        <f>IF(A1303="","",BASE_CAIXA!AL1300)</f>
        <v/>
      </c>
      <c r="C1303" s="26" t="str">
        <f>IF(A1303="","",BASE_CAIXA!AJ1300)</f>
        <v/>
      </c>
      <c r="D1303" s="26" t="str">
        <f>IF(A1303="","",IF(BASE_CAIXA!C1300="Entrada","Crédito","Débito"))</f>
        <v/>
      </c>
      <c r="E1303" s="26" t="str">
        <f>IF(A1303="","",BASE_CAIXA!AA1300)</f>
        <v/>
      </c>
      <c r="F1303" s="26" t="str">
        <f>IF(A1303="","",BASE_CAIXA!N1300)</f>
        <v/>
      </c>
      <c r="G1303" s="26" t="str">
        <f>IF(A1303="","",BASE_CAIXA!O1300)</f>
        <v/>
      </c>
      <c r="H1303" s="26" t="str">
        <f>IF(A1303="","",BASE_CAIXA!P1300)</f>
        <v/>
      </c>
      <c r="I1303" s="26" t="str">
        <f>IF(A1303="","",IF(BASE_CAIXA!H1300&lt;&gt;"",BASE_CAIXA!H1300,BASE_CAIXA!G1300))</f>
        <v/>
      </c>
      <c r="J1303" s="26" t="str">
        <f>IF(A1303="","",BASE_CAIXA!G1300)</f>
        <v/>
      </c>
      <c r="K1303" s="26" t="str">
        <f>IF(A1303="","",BASE_CAIXA!I1300)</f>
        <v/>
      </c>
      <c r="L1303" s="26" t="str">
        <f>IF(A1303="","",BASE_CAIXA!J1300)</f>
        <v/>
      </c>
      <c r="M1303" s="26" t="str">
        <f>IF(A1303="","",BASE_CAIXA!AM1300)</f>
        <v/>
      </c>
      <c r="N1303" s="26" t="str">
        <f t="shared" ca="1" si="60"/>
        <v/>
      </c>
      <c r="O1303" s="26" t="str">
        <f>IFERROR(INDEX(EXTRATO_IMPORTADO!$A$5:$A$404,MATCH(B1303,EXTRATO_IMPORTADO!$I$5:$I$404,0)),"")</f>
        <v/>
      </c>
      <c r="P1303" s="26" t="str">
        <f>IFERROR(INDEX(EXTRATO_IMPORTADO!$F$5:$F$404,MATCH(B1303,EXTRATO_IMPORTADO!$I$5:$I$404,0)),"")</f>
        <v/>
      </c>
      <c r="Q1303" s="26" t="str">
        <f>IFERROR(INDEX(EXTRATO_IMPORTADO!$B$5:$B$404,MATCH(B1303,EXTRATO_IMPORTADO!$I$5:$I$404,0)),"")</f>
        <v/>
      </c>
      <c r="R1303" s="26" t="str">
        <f>IFERROR(MATCH(B1303,EXTRATO_IMPORTADO!$I$5:$I$404,0),"")</f>
        <v/>
      </c>
      <c r="S1303" s="26" t="str">
        <f t="shared" si="61"/>
        <v/>
      </c>
      <c r="T1303" s="26" t="str">
        <f t="shared" si="62"/>
        <v/>
      </c>
    </row>
    <row r="1304" spans="1:20" x14ac:dyDescent="0.3">
      <c r="A1304" s="26" t="str">
        <f>IF(BASE_CAIXA!A1301="","",BASE_CAIXA!A1301)</f>
        <v/>
      </c>
      <c r="B1304" s="26" t="str">
        <f>IF(A1304="","",BASE_CAIXA!AL1301)</f>
        <v/>
      </c>
      <c r="C1304" s="26" t="str">
        <f>IF(A1304="","",BASE_CAIXA!AJ1301)</f>
        <v/>
      </c>
      <c r="D1304" s="26" t="str">
        <f>IF(A1304="","",IF(BASE_CAIXA!C1301="Entrada","Crédito","Débito"))</f>
        <v/>
      </c>
      <c r="E1304" s="26" t="str">
        <f>IF(A1304="","",BASE_CAIXA!AA1301)</f>
        <v/>
      </c>
      <c r="F1304" s="26" t="str">
        <f>IF(A1304="","",BASE_CAIXA!N1301)</f>
        <v/>
      </c>
      <c r="G1304" s="26" t="str">
        <f>IF(A1304="","",BASE_CAIXA!O1301)</f>
        <v/>
      </c>
      <c r="H1304" s="26" t="str">
        <f>IF(A1304="","",BASE_CAIXA!P1301)</f>
        <v/>
      </c>
      <c r="I1304" s="26" t="str">
        <f>IF(A1304="","",IF(BASE_CAIXA!H1301&lt;&gt;"",BASE_CAIXA!H1301,BASE_CAIXA!G1301))</f>
        <v/>
      </c>
      <c r="J1304" s="26" t="str">
        <f>IF(A1304="","",BASE_CAIXA!G1301)</f>
        <v/>
      </c>
      <c r="K1304" s="26" t="str">
        <f>IF(A1304="","",BASE_CAIXA!I1301)</f>
        <v/>
      </c>
      <c r="L1304" s="26" t="str">
        <f>IF(A1304="","",BASE_CAIXA!J1301)</f>
        <v/>
      </c>
      <c r="M1304" s="26" t="str">
        <f>IF(A1304="","",BASE_CAIXA!AM1301)</f>
        <v/>
      </c>
      <c r="N1304" s="26" t="str">
        <f t="shared" ca="1" si="60"/>
        <v/>
      </c>
      <c r="O1304" s="26" t="str">
        <f>IFERROR(INDEX(EXTRATO_IMPORTADO!$A$5:$A$404,MATCH(B1304,EXTRATO_IMPORTADO!$I$5:$I$404,0)),"")</f>
        <v/>
      </c>
      <c r="P1304" s="26" t="str">
        <f>IFERROR(INDEX(EXTRATO_IMPORTADO!$F$5:$F$404,MATCH(B1304,EXTRATO_IMPORTADO!$I$5:$I$404,0)),"")</f>
        <v/>
      </c>
      <c r="Q1304" s="26" t="str">
        <f>IFERROR(INDEX(EXTRATO_IMPORTADO!$B$5:$B$404,MATCH(B1304,EXTRATO_IMPORTADO!$I$5:$I$404,0)),"")</f>
        <v/>
      </c>
      <c r="R1304" s="26" t="str">
        <f>IFERROR(MATCH(B1304,EXTRATO_IMPORTADO!$I$5:$I$404,0),"")</f>
        <v/>
      </c>
      <c r="S1304" s="26" t="str">
        <f t="shared" si="61"/>
        <v/>
      </c>
      <c r="T1304" s="26" t="str">
        <f t="shared" si="62"/>
        <v/>
      </c>
    </row>
    <row r="1305" spans="1:20" x14ac:dyDescent="0.3">
      <c r="A1305" s="26" t="str">
        <f>IF(BASE_CAIXA!A1302="","",BASE_CAIXA!A1302)</f>
        <v/>
      </c>
      <c r="B1305" s="26" t="str">
        <f>IF(A1305="","",BASE_CAIXA!AL1302)</f>
        <v/>
      </c>
      <c r="C1305" s="26" t="str">
        <f>IF(A1305="","",BASE_CAIXA!AJ1302)</f>
        <v/>
      </c>
      <c r="D1305" s="26" t="str">
        <f>IF(A1305="","",IF(BASE_CAIXA!C1302="Entrada","Crédito","Débito"))</f>
        <v/>
      </c>
      <c r="E1305" s="26" t="str">
        <f>IF(A1305="","",BASE_CAIXA!AA1302)</f>
        <v/>
      </c>
      <c r="F1305" s="26" t="str">
        <f>IF(A1305="","",BASE_CAIXA!N1302)</f>
        <v/>
      </c>
      <c r="G1305" s="26" t="str">
        <f>IF(A1305="","",BASE_CAIXA!O1302)</f>
        <v/>
      </c>
      <c r="H1305" s="26" t="str">
        <f>IF(A1305="","",BASE_CAIXA!P1302)</f>
        <v/>
      </c>
      <c r="I1305" s="26" t="str">
        <f>IF(A1305="","",IF(BASE_CAIXA!H1302&lt;&gt;"",BASE_CAIXA!H1302,BASE_CAIXA!G1302))</f>
        <v/>
      </c>
      <c r="J1305" s="26" t="str">
        <f>IF(A1305="","",BASE_CAIXA!G1302)</f>
        <v/>
      </c>
      <c r="K1305" s="26" t="str">
        <f>IF(A1305="","",BASE_CAIXA!I1302)</f>
        <v/>
      </c>
      <c r="L1305" s="26" t="str">
        <f>IF(A1305="","",BASE_CAIXA!J1302)</f>
        <v/>
      </c>
      <c r="M1305" s="26" t="str">
        <f>IF(A1305="","",BASE_CAIXA!AM1302)</f>
        <v/>
      </c>
      <c r="N1305" s="26" t="str">
        <f t="shared" ca="1" si="60"/>
        <v/>
      </c>
      <c r="O1305" s="26" t="str">
        <f>IFERROR(INDEX(EXTRATO_IMPORTADO!$A$5:$A$404,MATCH(B1305,EXTRATO_IMPORTADO!$I$5:$I$404,0)),"")</f>
        <v/>
      </c>
      <c r="P1305" s="26" t="str">
        <f>IFERROR(INDEX(EXTRATO_IMPORTADO!$F$5:$F$404,MATCH(B1305,EXTRATO_IMPORTADO!$I$5:$I$404,0)),"")</f>
        <v/>
      </c>
      <c r="Q1305" s="26" t="str">
        <f>IFERROR(INDEX(EXTRATO_IMPORTADO!$B$5:$B$404,MATCH(B1305,EXTRATO_IMPORTADO!$I$5:$I$404,0)),"")</f>
        <v/>
      </c>
      <c r="R1305" s="26" t="str">
        <f>IFERROR(MATCH(B1305,EXTRATO_IMPORTADO!$I$5:$I$404,0),"")</f>
        <v/>
      </c>
      <c r="S1305" s="26" t="str">
        <f t="shared" si="61"/>
        <v/>
      </c>
      <c r="T1305" s="26" t="str">
        <f t="shared" si="62"/>
        <v/>
      </c>
    </row>
    <row r="1306" spans="1:20" x14ac:dyDescent="0.3">
      <c r="A1306" s="26" t="str">
        <f>IF(BASE_CAIXA!A1303="","",BASE_CAIXA!A1303)</f>
        <v/>
      </c>
      <c r="B1306" s="26" t="str">
        <f>IF(A1306="","",BASE_CAIXA!AL1303)</f>
        <v/>
      </c>
      <c r="C1306" s="26" t="str">
        <f>IF(A1306="","",BASE_CAIXA!AJ1303)</f>
        <v/>
      </c>
      <c r="D1306" s="26" t="str">
        <f>IF(A1306="","",IF(BASE_CAIXA!C1303="Entrada","Crédito","Débito"))</f>
        <v/>
      </c>
      <c r="E1306" s="26" t="str">
        <f>IF(A1306="","",BASE_CAIXA!AA1303)</f>
        <v/>
      </c>
      <c r="F1306" s="26" t="str">
        <f>IF(A1306="","",BASE_CAIXA!N1303)</f>
        <v/>
      </c>
      <c r="G1306" s="26" t="str">
        <f>IF(A1306="","",BASE_CAIXA!O1303)</f>
        <v/>
      </c>
      <c r="H1306" s="26" t="str">
        <f>IF(A1306="","",BASE_CAIXA!P1303)</f>
        <v/>
      </c>
      <c r="I1306" s="26" t="str">
        <f>IF(A1306="","",IF(BASE_CAIXA!H1303&lt;&gt;"",BASE_CAIXA!H1303,BASE_CAIXA!G1303))</f>
        <v/>
      </c>
      <c r="J1306" s="26" t="str">
        <f>IF(A1306="","",BASE_CAIXA!G1303)</f>
        <v/>
      </c>
      <c r="K1306" s="26" t="str">
        <f>IF(A1306="","",BASE_CAIXA!I1303)</f>
        <v/>
      </c>
      <c r="L1306" s="26" t="str">
        <f>IF(A1306="","",BASE_CAIXA!J1303)</f>
        <v/>
      </c>
      <c r="M1306" s="26" t="str">
        <f>IF(A1306="","",BASE_CAIXA!AM1303)</f>
        <v/>
      </c>
      <c r="N1306" s="26" t="str">
        <f t="shared" ca="1" si="60"/>
        <v/>
      </c>
      <c r="O1306" s="26" t="str">
        <f>IFERROR(INDEX(EXTRATO_IMPORTADO!$A$5:$A$404,MATCH(B1306,EXTRATO_IMPORTADO!$I$5:$I$404,0)),"")</f>
        <v/>
      </c>
      <c r="P1306" s="26" t="str">
        <f>IFERROR(INDEX(EXTRATO_IMPORTADO!$F$5:$F$404,MATCH(B1306,EXTRATO_IMPORTADO!$I$5:$I$404,0)),"")</f>
        <v/>
      </c>
      <c r="Q1306" s="26" t="str">
        <f>IFERROR(INDEX(EXTRATO_IMPORTADO!$B$5:$B$404,MATCH(B1306,EXTRATO_IMPORTADO!$I$5:$I$404,0)),"")</f>
        <v/>
      </c>
      <c r="R1306" s="26" t="str">
        <f>IFERROR(MATCH(B1306,EXTRATO_IMPORTADO!$I$5:$I$404,0),"")</f>
        <v/>
      </c>
      <c r="S1306" s="26" t="str">
        <f t="shared" si="61"/>
        <v/>
      </c>
      <c r="T1306" s="26" t="str">
        <f t="shared" si="62"/>
        <v/>
      </c>
    </row>
    <row r="1307" spans="1:20" x14ac:dyDescent="0.3">
      <c r="A1307" s="26" t="str">
        <f>IF(BASE_CAIXA!A1304="","",BASE_CAIXA!A1304)</f>
        <v/>
      </c>
      <c r="B1307" s="26" t="str">
        <f>IF(A1307="","",BASE_CAIXA!AL1304)</f>
        <v/>
      </c>
      <c r="C1307" s="26" t="str">
        <f>IF(A1307="","",BASE_CAIXA!AJ1304)</f>
        <v/>
      </c>
      <c r="D1307" s="26" t="str">
        <f>IF(A1307="","",IF(BASE_CAIXA!C1304="Entrada","Crédito","Débito"))</f>
        <v/>
      </c>
      <c r="E1307" s="26" t="str">
        <f>IF(A1307="","",BASE_CAIXA!AA1304)</f>
        <v/>
      </c>
      <c r="F1307" s="26" t="str">
        <f>IF(A1307="","",BASE_CAIXA!N1304)</f>
        <v/>
      </c>
      <c r="G1307" s="26" t="str">
        <f>IF(A1307="","",BASE_CAIXA!O1304)</f>
        <v/>
      </c>
      <c r="H1307" s="26" t="str">
        <f>IF(A1307="","",BASE_CAIXA!P1304)</f>
        <v/>
      </c>
      <c r="I1307" s="26" t="str">
        <f>IF(A1307="","",IF(BASE_CAIXA!H1304&lt;&gt;"",BASE_CAIXA!H1304,BASE_CAIXA!G1304))</f>
        <v/>
      </c>
      <c r="J1307" s="26" t="str">
        <f>IF(A1307="","",BASE_CAIXA!G1304)</f>
        <v/>
      </c>
      <c r="K1307" s="26" t="str">
        <f>IF(A1307="","",BASE_CAIXA!I1304)</f>
        <v/>
      </c>
      <c r="L1307" s="26" t="str">
        <f>IF(A1307="","",BASE_CAIXA!J1304)</f>
        <v/>
      </c>
      <c r="M1307" s="26" t="str">
        <f>IF(A1307="","",BASE_CAIXA!AM1304)</f>
        <v/>
      </c>
      <c r="N1307" s="26" t="str">
        <f t="shared" ca="1" si="60"/>
        <v/>
      </c>
      <c r="O1307" s="26" t="str">
        <f>IFERROR(INDEX(EXTRATO_IMPORTADO!$A$5:$A$404,MATCH(B1307,EXTRATO_IMPORTADO!$I$5:$I$404,0)),"")</f>
        <v/>
      </c>
      <c r="P1307" s="26" t="str">
        <f>IFERROR(INDEX(EXTRATO_IMPORTADO!$F$5:$F$404,MATCH(B1307,EXTRATO_IMPORTADO!$I$5:$I$404,0)),"")</f>
        <v/>
      </c>
      <c r="Q1307" s="26" t="str">
        <f>IFERROR(INDEX(EXTRATO_IMPORTADO!$B$5:$B$404,MATCH(B1307,EXTRATO_IMPORTADO!$I$5:$I$404,0)),"")</f>
        <v/>
      </c>
      <c r="R1307" s="26" t="str">
        <f>IFERROR(MATCH(B1307,EXTRATO_IMPORTADO!$I$5:$I$404,0),"")</f>
        <v/>
      </c>
      <c r="S1307" s="26" t="str">
        <f t="shared" si="61"/>
        <v/>
      </c>
      <c r="T1307" s="26" t="str">
        <f t="shared" si="62"/>
        <v/>
      </c>
    </row>
    <row r="1308" spans="1:20" x14ac:dyDescent="0.3">
      <c r="A1308" s="26" t="str">
        <f>IF(BASE_CAIXA!A1305="","",BASE_CAIXA!A1305)</f>
        <v/>
      </c>
      <c r="B1308" s="26" t="str">
        <f>IF(A1308="","",BASE_CAIXA!AL1305)</f>
        <v/>
      </c>
      <c r="C1308" s="26" t="str">
        <f>IF(A1308="","",BASE_CAIXA!AJ1305)</f>
        <v/>
      </c>
      <c r="D1308" s="26" t="str">
        <f>IF(A1308="","",IF(BASE_CAIXA!C1305="Entrada","Crédito","Débito"))</f>
        <v/>
      </c>
      <c r="E1308" s="26" t="str">
        <f>IF(A1308="","",BASE_CAIXA!AA1305)</f>
        <v/>
      </c>
      <c r="F1308" s="26" t="str">
        <f>IF(A1308="","",BASE_CAIXA!N1305)</f>
        <v/>
      </c>
      <c r="G1308" s="26" t="str">
        <f>IF(A1308="","",BASE_CAIXA!O1305)</f>
        <v/>
      </c>
      <c r="H1308" s="26" t="str">
        <f>IF(A1308="","",BASE_CAIXA!P1305)</f>
        <v/>
      </c>
      <c r="I1308" s="26" t="str">
        <f>IF(A1308="","",IF(BASE_CAIXA!H1305&lt;&gt;"",BASE_CAIXA!H1305,BASE_CAIXA!G1305))</f>
        <v/>
      </c>
      <c r="J1308" s="26" t="str">
        <f>IF(A1308="","",BASE_CAIXA!G1305)</f>
        <v/>
      </c>
      <c r="K1308" s="26" t="str">
        <f>IF(A1308="","",BASE_CAIXA!I1305)</f>
        <v/>
      </c>
      <c r="L1308" s="26" t="str">
        <f>IF(A1308="","",BASE_CAIXA!J1305)</f>
        <v/>
      </c>
      <c r="M1308" s="26" t="str">
        <f>IF(A1308="","",BASE_CAIXA!AM1305)</f>
        <v/>
      </c>
      <c r="N1308" s="26" t="str">
        <f t="shared" ca="1" si="60"/>
        <v/>
      </c>
      <c r="O1308" s="26" t="str">
        <f>IFERROR(INDEX(EXTRATO_IMPORTADO!$A$5:$A$404,MATCH(B1308,EXTRATO_IMPORTADO!$I$5:$I$404,0)),"")</f>
        <v/>
      </c>
      <c r="P1308" s="26" t="str">
        <f>IFERROR(INDEX(EXTRATO_IMPORTADO!$F$5:$F$404,MATCH(B1308,EXTRATO_IMPORTADO!$I$5:$I$404,0)),"")</f>
        <v/>
      </c>
      <c r="Q1308" s="26" t="str">
        <f>IFERROR(INDEX(EXTRATO_IMPORTADO!$B$5:$B$404,MATCH(B1308,EXTRATO_IMPORTADO!$I$5:$I$404,0)),"")</f>
        <v/>
      </c>
      <c r="R1308" s="26" t="str">
        <f>IFERROR(MATCH(B1308,EXTRATO_IMPORTADO!$I$5:$I$404,0),"")</f>
        <v/>
      </c>
      <c r="S1308" s="26" t="str">
        <f t="shared" si="61"/>
        <v/>
      </c>
      <c r="T1308" s="26" t="str">
        <f t="shared" si="62"/>
        <v/>
      </c>
    </row>
    <row r="1309" spans="1:20" x14ac:dyDescent="0.3">
      <c r="A1309" s="26" t="str">
        <f>IF(BASE_CAIXA!A1306="","",BASE_CAIXA!A1306)</f>
        <v/>
      </c>
      <c r="B1309" s="26" t="str">
        <f>IF(A1309="","",BASE_CAIXA!AL1306)</f>
        <v/>
      </c>
      <c r="C1309" s="26" t="str">
        <f>IF(A1309="","",BASE_CAIXA!AJ1306)</f>
        <v/>
      </c>
      <c r="D1309" s="26" t="str">
        <f>IF(A1309="","",IF(BASE_CAIXA!C1306="Entrada","Crédito","Débito"))</f>
        <v/>
      </c>
      <c r="E1309" s="26" t="str">
        <f>IF(A1309="","",BASE_CAIXA!AA1306)</f>
        <v/>
      </c>
      <c r="F1309" s="26" t="str">
        <f>IF(A1309="","",BASE_CAIXA!N1306)</f>
        <v/>
      </c>
      <c r="G1309" s="26" t="str">
        <f>IF(A1309="","",BASE_CAIXA!O1306)</f>
        <v/>
      </c>
      <c r="H1309" s="26" t="str">
        <f>IF(A1309="","",BASE_CAIXA!P1306)</f>
        <v/>
      </c>
      <c r="I1309" s="26" t="str">
        <f>IF(A1309="","",IF(BASE_CAIXA!H1306&lt;&gt;"",BASE_CAIXA!H1306,BASE_CAIXA!G1306))</f>
        <v/>
      </c>
      <c r="J1309" s="26" t="str">
        <f>IF(A1309="","",BASE_CAIXA!G1306)</f>
        <v/>
      </c>
      <c r="K1309" s="26" t="str">
        <f>IF(A1309="","",BASE_CAIXA!I1306)</f>
        <v/>
      </c>
      <c r="L1309" s="26" t="str">
        <f>IF(A1309="","",BASE_CAIXA!J1306)</f>
        <v/>
      </c>
      <c r="M1309" s="26" t="str">
        <f>IF(A1309="","",BASE_CAIXA!AM1306)</f>
        <v/>
      </c>
      <c r="N1309" s="26" t="str">
        <f t="shared" ca="1" si="60"/>
        <v/>
      </c>
      <c r="O1309" s="26" t="str">
        <f>IFERROR(INDEX(EXTRATO_IMPORTADO!$A$5:$A$404,MATCH(B1309,EXTRATO_IMPORTADO!$I$5:$I$404,0)),"")</f>
        <v/>
      </c>
      <c r="P1309" s="26" t="str">
        <f>IFERROR(INDEX(EXTRATO_IMPORTADO!$F$5:$F$404,MATCH(B1309,EXTRATO_IMPORTADO!$I$5:$I$404,0)),"")</f>
        <v/>
      </c>
      <c r="Q1309" s="26" t="str">
        <f>IFERROR(INDEX(EXTRATO_IMPORTADO!$B$5:$B$404,MATCH(B1309,EXTRATO_IMPORTADO!$I$5:$I$404,0)),"")</f>
        <v/>
      </c>
      <c r="R1309" s="26" t="str">
        <f>IFERROR(MATCH(B1309,EXTRATO_IMPORTADO!$I$5:$I$404,0),"")</f>
        <v/>
      </c>
      <c r="S1309" s="26" t="str">
        <f t="shared" si="61"/>
        <v/>
      </c>
      <c r="T1309" s="26" t="str">
        <f t="shared" si="62"/>
        <v/>
      </c>
    </row>
    <row r="1310" spans="1:20" x14ac:dyDescent="0.3">
      <c r="A1310" s="26" t="str">
        <f>IF(BASE_CAIXA!A1307="","",BASE_CAIXA!A1307)</f>
        <v/>
      </c>
      <c r="B1310" s="26" t="str">
        <f>IF(A1310="","",BASE_CAIXA!AL1307)</f>
        <v/>
      </c>
      <c r="C1310" s="26" t="str">
        <f>IF(A1310="","",BASE_CAIXA!AJ1307)</f>
        <v/>
      </c>
      <c r="D1310" s="26" t="str">
        <f>IF(A1310="","",IF(BASE_CAIXA!C1307="Entrada","Crédito","Débito"))</f>
        <v/>
      </c>
      <c r="E1310" s="26" t="str">
        <f>IF(A1310="","",BASE_CAIXA!AA1307)</f>
        <v/>
      </c>
      <c r="F1310" s="26" t="str">
        <f>IF(A1310="","",BASE_CAIXA!N1307)</f>
        <v/>
      </c>
      <c r="G1310" s="26" t="str">
        <f>IF(A1310="","",BASE_CAIXA!O1307)</f>
        <v/>
      </c>
      <c r="H1310" s="26" t="str">
        <f>IF(A1310="","",BASE_CAIXA!P1307)</f>
        <v/>
      </c>
      <c r="I1310" s="26" t="str">
        <f>IF(A1310="","",IF(BASE_CAIXA!H1307&lt;&gt;"",BASE_CAIXA!H1307,BASE_CAIXA!G1307))</f>
        <v/>
      </c>
      <c r="J1310" s="26" t="str">
        <f>IF(A1310="","",BASE_CAIXA!G1307)</f>
        <v/>
      </c>
      <c r="K1310" s="26" t="str">
        <f>IF(A1310="","",BASE_CAIXA!I1307)</f>
        <v/>
      </c>
      <c r="L1310" s="26" t="str">
        <f>IF(A1310="","",BASE_CAIXA!J1307)</f>
        <v/>
      </c>
      <c r="M1310" s="26" t="str">
        <f>IF(A1310="","",BASE_CAIXA!AM1307)</f>
        <v/>
      </c>
      <c r="N1310" s="26" t="str">
        <f t="shared" ca="1" si="60"/>
        <v/>
      </c>
      <c r="O1310" s="26" t="str">
        <f>IFERROR(INDEX(EXTRATO_IMPORTADO!$A$5:$A$404,MATCH(B1310,EXTRATO_IMPORTADO!$I$5:$I$404,0)),"")</f>
        <v/>
      </c>
      <c r="P1310" s="26" t="str">
        <f>IFERROR(INDEX(EXTRATO_IMPORTADO!$F$5:$F$404,MATCH(B1310,EXTRATO_IMPORTADO!$I$5:$I$404,0)),"")</f>
        <v/>
      </c>
      <c r="Q1310" s="26" t="str">
        <f>IFERROR(INDEX(EXTRATO_IMPORTADO!$B$5:$B$404,MATCH(B1310,EXTRATO_IMPORTADO!$I$5:$I$404,0)),"")</f>
        <v/>
      </c>
      <c r="R1310" s="26" t="str">
        <f>IFERROR(MATCH(B1310,EXTRATO_IMPORTADO!$I$5:$I$404,0),"")</f>
        <v/>
      </c>
      <c r="S1310" s="26" t="str">
        <f t="shared" si="61"/>
        <v/>
      </c>
      <c r="T1310" s="26" t="str">
        <f t="shared" si="62"/>
        <v/>
      </c>
    </row>
    <row r="1311" spans="1:20" x14ac:dyDescent="0.3">
      <c r="A1311" s="26" t="str">
        <f>IF(BASE_CAIXA!A1308="","",BASE_CAIXA!A1308)</f>
        <v/>
      </c>
      <c r="B1311" s="26" t="str">
        <f>IF(A1311="","",BASE_CAIXA!AL1308)</f>
        <v/>
      </c>
      <c r="C1311" s="26" t="str">
        <f>IF(A1311="","",BASE_CAIXA!AJ1308)</f>
        <v/>
      </c>
      <c r="D1311" s="26" t="str">
        <f>IF(A1311="","",IF(BASE_CAIXA!C1308="Entrada","Crédito","Débito"))</f>
        <v/>
      </c>
      <c r="E1311" s="26" t="str">
        <f>IF(A1311="","",BASE_CAIXA!AA1308)</f>
        <v/>
      </c>
      <c r="F1311" s="26" t="str">
        <f>IF(A1311="","",BASE_CAIXA!N1308)</f>
        <v/>
      </c>
      <c r="G1311" s="26" t="str">
        <f>IF(A1311="","",BASE_CAIXA!O1308)</f>
        <v/>
      </c>
      <c r="H1311" s="26" t="str">
        <f>IF(A1311="","",BASE_CAIXA!P1308)</f>
        <v/>
      </c>
      <c r="I1311" s="26" t="str">
        <f>IF(A1311="","",IF(BASE_CAIXA!H1308&lt;&gt;"",BASE_CAIXA!H1308,BASE_CAIXA!G1308))</f>
        <v/>
      </c>
      <c r="J1311" s="26" t="str">
        <f>IF(A1311="","",BASE_CAIXA!G1308)</f>
        <v/>
      </c>
      <c r="K1311" s="26" t="str">
        <f>IF(A1311="","",BASE_CAIXA!I1308)</f>
        <v/>
      </c>
      <c r="L1311" s="26" t="str">
        <f>IF(A1311="","",BASE_CAIXA!J1308)</f>
        <v/>
      </c>
      <c r="M1311" s="26" t="str">
        <f>IF(A1311="","",BASE_CAIXA!AM1308)</f>
        <v/>
      </c>
      <c r="N1311" s="26" t="str">
        <f t="shared" ca="1" si="60"/>
        <v/>
      </c>
      <c r="O1311" s="26" t="str">
        <f>IFERROR(INDEX(EXTRATO_IMPORTADO!$A$5:$A$404,MATCH(B1311,EXTRATO_IMPORTADO!$I$5:$I$404,0)),"")</f>
        <v/>
      </c>
      <c r="P1311" s="26" t="str">
        <f>IFERROR(INDEX(EXTRATO_IMPORTADO!$F$5:$F$404,MATCH(B1311,EXTRATO_IMPORTADO!$I$5:$I$404,0)),"")</f>
        <v/>
      </c>
      <c r="Q1311" s="26" t="str">
        <f>IFERROR(INDEX(EXTRATO_IMPORTADO!$B$5:$B$404,MATCH(B1311,EXTRATO_IMPORTADO!$I$5:$I$404,0)),"")</f>
        <v/>
      </c>
      <c r="R1311" s="26" t="str">
        <f>IFERROR(MATCH(B1311,EXTRATO_IMPORTADO!$I$5:$I$404,0),"")</f>
        <v/>
      </c>
      <c r="S1311" s="26" t="str">
        <f t="shared" si="61"/>
        <v/>
      </c>
      <c r="T1311" s="26" t="str">
        <f t="shared" si="62"/>
        <v/>
      </c>
    </row>
    <row r="1312" spans="1:20" x14ac:dyDescent="0.3">
      <c r="A1312" s="26" t="str">
        <f>IF(BASE_CAIXA!A1309="","",BASE_CAIXA!A1309)</f>
        <v/>
      </c>
      <c r="B1312" s="26" t="str">
        <f>IF(A1312="","",BASE_CAIXA!AL1309)</f>
        <v/>
      </c>
      <c r="C1312" s="26" t="str">
        <f>IF(A1312="","",BASE_CAIXA!AJ1309)</f>
        <v/>
      </c>
      <c r="D1312" s="26" t="str">
        <f>IF(A1312="","",IF(BASE_CAIXA!C1309="Entrada","Crédito","Débito"))</f>
        <v/>
      </c>
      <c r="E1312" s="26" t="str">
        <f>IF(A1312="","",BASE_CAIXA!AA1309)</f>
        <v/>
      </c>
      <c r="F1312" s="26" t="str">
        <f>IF(A1312="","",BASE_CAIXA!N1309)</f>
        <v/>
      </c>
      <c r="G1312" s="26" t="str">
        <f>IF(A1312="","",BASE_CAIXA!O1309)</f>
        <v/>
      </c>
      <c r="H1312" s="26" t="str">
        <f>IF(A1312="","",BASE_CAIXA!P1309)</f>
        <v/>
      </c>
      <c r="I1312" s="26" t="str">
        <f>IF(A1312="","",IF(BASE_CAIXA!H1309&lt;&gt;"",BASE_CAIXA!H1309,BASE_CAIXA!G1309))</f>
        <v/>
      </c>
      <c r="J1312" s="26" t="str">
        <f>IF(A1312="","",BASE_CAIXA!G1309)</f>
        <v/>
      </c>
      <c r="K1312" s="26" t="str">
        <f>IF(A1312="","",BASE_CAIXA!I1309)</f>
        <v/>
      </c>
      <c r="L1312" s="26" t="str">
        <f>IF(A1312="","",BASE_CAIXA!J1309)</f>
        <v/>
      </c>
      <c r="M1312" s="26" t="str">
        <f>IF(A1312="","",BASE_CAIXA!AM1309)</f>
        <v/>
      </c>
      <c r="N1312" s="26" t="str">
        <f t="shared" ca="1" si="60"/>
        <v/>
      </c>
      <c r="O1312" s="26" t="str">
        <f>IFERROR(INDEX(EXTRATO_IMPORTADO!$A$5:$A$404,MATCH(B1312,EXTRATO_IMPORTADO!$I$5:$I$404,0)),"")</f>
        <v/>
      </c>
      <c r="P1312" s="26" t="str">
        <f>IFERROR(INDEX(EXTRATO_IMPORTADO!$F$5:$F$404,MATCH(B1312,EXTRATO_IMPORTADO!$I$5:$I$404,0)),"")</f>
        <v/>
      </c>
      <c r="Q1312" s="26" t="str">
        <f>IFERROR(INDEX(EXTRATO_IMPORTADO!$B$5:$B$404,MATCH(B1312,EXTRATO_IMPORTADO!$I$5:$I$404,0)),"")</f>
        <v/>
      </c>
      <c r="R1312" s="26" t="str">
        <f>IFERROR(MATCH(B1312,EXTRATO_IMPORTADO!$I$5:$I$404,0),"")</f>
        <v/>
      </c>
      <c r="S1312" s="26" t="str">
        <f t="shared" si="61"/>
        <v/>
      </c>
      <c r="T1312" s="26" t="str">
        <f t="shared" si="62"/>
        <v/>
      </c>
    </row>
    <row r="1313" spans="1:20" x14ac:dyDescent="0.3">
      <c r="A1313" s="26" t="str">
        <f>IF(BASE_CAIXA!A1310="","",BASE_CAIXA!A1310)</f>
        <v/>
      </c>
      <c r="B1313" s="26" t="str">
        <f>IF(A1313="","",BASE_CAIXA!AL1310)</f>
        <v/>
      </c>
      <c r="C1313" s="26" t="str">
        <f>IF(A1313="","",BASE_CAIXA!AJ1310)</f>
        <v/>
      </c>
      <c r="D1313" s="26" t="str">
        <f>IF(A1313="","",IF(BASE_CAIXA!C1310="Entrada","Crédito","Débito"))</f>
        <v/>
      </c>
      <c r="E1313" s="26" t="str">
        <f>IF(A1313="","",BASE_CAIXA!AA1310)</f>
        <v/>
      </c>
      <c r="F1313" s="26" t="str">
        <f>IF(A1313="","",BASE_CAIXA!N1310)</f>
        <v/>
      </c>
      <c r="G1313" s="26" t="str">
        <f>IF(A1313="","",BASE_CAIXA!O1310)</f>
        <v/>
      </c>
      <c r="H1313" s="26" t="str">
        <f>IF(A1313="","",BASE_CAIXA!P1310)</f>
        <v/>
      </c>
      <c r="I1313" s="26" t="str">
        <f>IF(A1313="","",IF(BASE_CAIXA!H1310&lt;&gt;"",BASE_CAIXA!H1310,BASE_CAIXA!G1310))</f>
        <v/>
      </c>
      <c r="J1313" s="26" t="str">
        <f>IF(A1313="","",BASE_CAIXA!G1310)</f>
        <v/>
      </c>
      <c r="K1313" s="26" t="str">
        <f>IF(A1313="","",BASE_CAIXA!I1310)</f>
        <v/>
      </c>
      <c r="L1313" s="26" t="str">
        <f>IF(A1313="","",BASE_CAIXA!J1310)</f>
        <v/>
      </c>
      <c r="M1313" s="26" t="str">
        <f>IF(A1313="","",BASE_CAIXA!AM1310)</f>
        <v/>
      </c>
      <c r="N1313" s="26" t="str">
        <f t="shared" ca="1" si="60"/>
        <v/>
      </c>
      <c r="O1313" s="26" t="str">
        <f>IFERROR(INDEX(EXTRATO_IMPORTADO!$A$5:$A$404,MATCH(B1313,EXTRATO_IMPORTADO!$I$5:$I$404,0)),"")</f>
        <v/>
      </c>
      <c r="P1313" s="26" t="str">
        <f>IFERROR(INDEX(EXTRATO_IMPORTADO!$F$5:$F$404,MATCH(B1313,EXTRATO_IMPORTADO!$I$5:$I$404,0)),"")</f>
        <v/>
      </c>
      <c r="Q1313" s="26" t="str">
        <f>IFERROR(INDEX(EXTRATO_IMPORTADO!$B$5:$B$404,MATCH(B1313,EXTRATO_IMPORTADO!$I$5:$I$404,0)),"")</f>
        <v/>
      </c>
      <c r="R1313" s="26" t="str">
        <f>IFERROR(MATCH(B1313,EXTRATO_IMPORTADO!$I$5:$I$404,0),"")</f>
        <v/>
      </c>
      <c r="S1313" s="26" t="str">
        <f t="shared" si="61"/>
        <v/>
      </c>
      <c r="T1313" s="26" t="str">
        <f t="shared" si="62"/>
        <v/>
      </c>
    </row>
    <row r="1314" spans="1:20" x14ac:dyDescent="0.3">
      <c r="A1314" s="26" t="str">
        <f>IF(BASE_CAIXA!A1311="","",BASE_CAIXA!A1311)</f>
        <v/>
      </c>
      <c r="B1314" s="26" t="str">
        <f>IF(A1314="","",BASE_CAIXA!AL1311)</f>
        <v/>
      </c>
      <c r="C1314" s="26" t="str">
        <f>IF(A1314="","",BASE_CAIXA!AJ1311)</f>
        <v/>
      </c>
      <c r="D1314" s="26" t="str">
        <f>IF(A1314="","",IF(BASE_CAIXA!C1311="Entrada","Crédito","Débito"))</f>
        <v/>
      </c>
      <c r="E1314" s="26" t="str">
        <f>IF(A1314="","",BASE_CAIXA!AA1311)</f>
        <v/>
      </c>
      <c r="F1314" s="26" t="str">
        <f>IF(A1314="","",BASE_CAIXA!N1311)</f>
        <v/>
      </c>
      <c r="G1314" s="26" t="str">
        <f>IF(A1314="","",BASE_CAIXA!O1311)</f>
        <v/>
      </c>
      <c r="H1314" s="26" t="str">
        <f>IF(A1314="","",BASE_CAIXA!P1311)</f>
        <v/>
      </c>
      <c r="I1314" s="26" t="str">
        <f>IF(A1314="","",IF(BASE_CAIXA!H1311&lt;&gt;"",BASE_CAIXA!H1311,BASE_CAIXA!G1311))</f>
        <v/>
      </c>
      <c r="J1314" s="26" t="str">
        <f>IF(A1314="","",BASE_CAIXA!G1311)</f>
        <v/>
      </c>
      <c r="K1314" s="26" t="str">
        <f>IF(A1314="","",BASE_CAIXA!I1311)</f>
        <v/>
      </c>
      <c r="L1314" s="26" t="str">
        <f>IF(A1314="","",BASE_CAIXA!J1311)</f>
        <v/>
      </c>
      <c r="M1314" s="26" t="str">
        <f>IF(A1314="","",BASE_CAIXA!AM1311)</f>
        <v/>
      </c>
      <c r="N1314" s="26" t="str">
        <f t="shared" ca="1" si="60"/>
        <v/>
      </c>
      <c r="O1314" s="26" t="str">
        <f>IFERROR(INDEX(EXTRATO_IMPORTADO!$A$5:$A$404,MATCH(B1314,EXTRATO_IMPORTADO!$I$5:$I$404,0)),"")</f>
        <v/>
      </c>
      <c r="P1314" s="26" t="str">
        <f>IFERROR(INDEX(EXTRATO_IMPORTADO!$F$5:$F$404,MATCH(B1314,EXTRATO_IMPORTADO!$I$5:$I$404,0)),"")</f>
        <v/>
      </c>
      <c r="Q1314" s="26" t="str">
        <f>IFERROR(INDEX(EXTRATO_IMPORTADO!$B$5:$B$404,MATCH(B1314,EXTRATO_IMPORTADO!$I$5:$I$404,0)),"")</f>
        <v/>
      </c>
      <c r="R1314" s="26" t="str">
        <f>IFERROR(MATCH(B1314,EXTRATO_IMPORTADO!$I$5:$I$404,0),"")</f>
        <v/>
      </c>
      <c r="S1314" s="26" t="str">
        <f t="shared" si="61"/>
        <v/>
      </c>
      <c r="T1314" s="26" t="str">
        <f t="shared" si="62"/>
        <v/>
      </c>
    </row>
    <row r="1315" spans="1:20" x14ac:dyDescent="0.3">
      <c r="A1315" s="26" t="str">
        <f>IF(BASE_CAIXA!A1312="","",BASE_CAIXA!A1312)</f>
        <v/>
      </c>
      <c r="B1315" s="26" t="str">
        <f>IF(A1315="","",BASE_CAIXA!AL1312)</f>
        <v/>
      </c>
      <c r="C1315" s="26" t="str">
        <f>IF(A1315="","",BASE_CAIXA!AJ1312)</f>
        <v/>
      </c>
      <c r="D1315" s="26" t="str">
        <f>IF(A1315="","",IF(BASE_CAIXA!C1312="Entrada","Crédito","Débito"))</f>
        <v/>
      </c>
      <c r="E1315" s="26" t="str">
        <f>IF(A1315="","",BASE_CAIXA!AA1312)</f>
        <v/>
      </c>
      <c r="F1315" s="26" t="str">
        <f>IF(A1315="","",BASE_CAIXA!N1312)</f>
        <v/>
      </c>
      <c r="G1315" s="26" t="str">
        <f>IF(A1315="","",BASE_CAIXA!O1312)</f>
        <v/>
      </c>
      <c r="H1315" s="26" t="str">
        <f>IF(A1315="","",BASE_CAIXA!P1312)</f>
        <v/>
      </c>
      <c r="I1315" s="26" t="str">
        <f>IF(A1315="","",IF(BASE_CAIXA!H1312&lt;&gt;"",BASE_CAIXA!H1312,BASE_CAIXA!G1312))</f>
        <v/>
      </c>
      <c r="J1315" s="26" t="str">
        <f>IF(A1315="","",BASE_CAIXA!G1312)</f>
        <v/>
      </c>
      <c r="K1315" s="26" t="str">
        <f>IF(A1315="","",BASE_CAIXA!I1312)</f>
        <v/>
      </c>
      <c r="L1315" s="26" t="str">
        <f>IF(A1315="","",BASE_CAIXA!J1312)</f>
        <v/>
      </c>
      <c r="M1315" s="26" t="str">
        <f>IF(A1315="","",BASE_CAIXA!AM1312)</f>
        <v/>
      </c>
      <c r="N1315" s="26" t="str">
        <f t="shared" ca="1" si="60"/>
        <v/>
      </c>
      <c r="O1315" s="26" t="str">
        <f>IFERROR(INDEX(EXTRATO_IMPORTADO!$A$5:$A$404,MATCH(B1315,EXTRATO_IMPORTADO!$I$5:$I$404,0)),"")</f>
        <v/>
      </c>
      <c r="P1315" s="26" t="str">
        <f>IFERROR(INDEX(EXTRATO_IMPORTADO!$F$5:$F$404,MATCH(B1315,EXTRATO_IMPORTADO!$I$5:$I$404,0)),"")</f>
        <v/>
      </c>
      <c r="Q1315" s="26" t="str">
        <f>IFERROR(INDEX(EXTRATO_IMPORTADO!$B$5:$B$404,MATCH(B1315,EXTRATO_IMPORTADO!$I$5:$I$404,0)),"")</f>
        <v/>
      </c>
      <c r="R1315" s="26" t="str">
        <f>IFERROR(MATCH(B1315,EXTRATO_IMPORTADO!$I$5:$I$404,0),"")</f>
        <v/>
      </c>
      <c r="S1315" s="26" t="str">
        <f t="shared" si="61"/>
        <v/>
      </c>
      <c r="T1315" s="26" t="str">
        <f t="shared" si="62"/>
        <v/>
      </c>
    </row>
    <row r="1316" spans="1:20" x14ac:dyDescent="0.3">
      <c r="A1316" s="26" t="str">
        <f>IF(BASE_CAIXA!A1313="","",BASE_CAIXA!A1313)</f>
        <v/>
      </c>
      <c r="B1316" s="26" t="str">
        <f>IF(A1316="","",BASE_CAIXA!AL1313)</f>
        <v/>
      </c>
      <c r="C1316" s="26" t="str">
        <f>IF(A1316="","",BASE_CAIXA!AJ1313)</f>
        <v/>
      </c>
      <c r="D1316" s="26" t="str">
        <f>IF(A1316="","",IF(BASE_CAIXA!C1313="Entrada","Crédito","Débito"))</f>
        <v/>
      </c>
      <c r="E1316" s="26" t="str">
        <f>IF(A1316="","",BASE_CAIXA!AA1313)</f>
        <v/>
      </c>
      <c r="F1316" s="26" t="str">
        <f>IF(A1316="","",BASE_CAIXA!N1313)</f>
        <v/>
      </c>
      <c r="G1316" s="26" t="str">
        <f>IF(A1316="","",BASE_CAIXA!O1313)</f>
        <v/>
      </c>
      <c r="H1316" s="26" t="str">
        <f>IF(A1316="","",BASE_CAIXA!P1313)</f>
        <v/>
      </c>
      <c r="I1316" s="26" t="str">
        <f>IF(A1316="","",IF(BASE_CAIXA!H1313&lt;&gt;"",BASE_CAIXA!H1313,BASE_CAIXA!G1313))</f>
        <v/>
      </c>
      <c r="J1316" s="26" t="str">
        <f>IF(A1316="","",BASE_CAIXA!G1313)</f>
        <v/>
      </c>
      <c r="K1316" s="26" t="str">
        <f>IF(A1316="","",BASE_CAIXA!I1313)</f>
        <v/>
      </c>
      <c r="L1316" s="26" t="str">
        <f>IF(A1316="","",BASE_CAIXA!J1313)</f>
        <v/>
      </c>
      <c r="M1316" s="26" t="str">
        <f>IF(A1316="","",BASE_CAIXA!AM1313)</f>
        <v/>
      </c>
      <c r="N1316" s="26" t="str">
        <f t="shared" ca="1" si="60"/>
        <v/>
      </c>
      <c r="O1316" s="26" t="str">
        <f>IFERROR(INDEX(EXTRATO_IMPORTADO!$A$5:$A$404,MATCH(B1316,EXTRATO_IMPORTADO!$I$5:$I$404,0)),"")</f>
        <v/>
      </c>
      <c r="P1316" s="26" t="str">
        <f>IFERROR(INDEX(EXTRATO_IMPORTADO!$F$5:$F$404,MATCH(B1316,EXTRATO_IMPORTADO!$I$5:$I$404,0)),"")</f>
        <v/>
      </c>
      <c r="Q1316" s="26" t="str">
        <f>IFERROR(INDEX(EXTRATO_IMPORTADO!$B$5:$B$404,MATCH(B1316,EXTRATO_IMPORTADO!$I$5:$I$404,0)),"")</f>
        <v/>
      </c>
      <c r="R1316" s="26" t="str">
        <f>IFERROR(MATCH(B1316,EXTRATO_IMPORTADO!$I$5:$I$404,0),"")</f>
        <v/>
      </c>
      <c r="S1316" s="26" t="str">
        <f t="shared" si="61"/>
        <v/>
      </c>
      <c r="T1316" s="26" t="str">
        <f t="shared" si="62"/>
        <v/>
      </c>
    </row>
    <row r="1317" spans="1:20" x14ac:dyDescent="0.3">
      <c r="A1317" s="26" t="str">
        <f>IF(BASE_CAIXA!A1314="","",BASE_CAIXA!A1314)</f>
        <v/>
      </c>
      <c r="B1317" s="26" t="str">
        <f>IF(A1317="","",BASE_CAIXA!AL1314)</f>
        <v/>
      </c>
      <c r="C1317" s="26" t="str">
        <f>IF(A1317="","",BASE_CAIXA!AJ1314)</f>
        <v/>
      </c>
      <c r="D1317" s="26" t="str">
        <f>IF(A1317="","",IF(BASE_CAIXA!C1314="Entrada","Crédito","Débito"))</f>
        <v/>
      </c>
      <c r="E1317" s="26" t="str">
        <f>IF(A1317="","",BASE_CAIXA!AA1314)</f>
        <v/>
      </c>
      <c r="F1317" s="26" t="str">
        <f>IF(A1317="","",BASE_CAIXA!N1314)</f>
        <v/>
      </c>
      <c r="G1317" s="26" t="str">
        <f>IF(A1317="","",BASE_CAIXA!O1314)</f>
        <v/>
      </c>
      <c r="H1317" s="26" t="str">
        <f>IF(A1317="","",BASE_CAIXA!P1314)</f>
        <v/>
      </c>
      <c r="I1317" s="26" t="str">
        <f>IF(A1317="","",IF(BASE_CAIXA!H1314&lt;&gt;"",BASE_CAIXA!H1314,BASE_CAIXA!G1314))</f>
        <v/>
      </c>
      <c r="J1317" s="26" t="str">
        <f>IF(A1317="","",BASE_CAIXA!G1314)</f>
        <v/>
      </c>
      <c r="K1317" s="26" t="str">
        <f>IF(A1317="","",BASE_CAIXA!I1314)</f>
        <v/>
      </c>
      <c r="L1317" s="26" t="str">
        <f>IF(A1317="","",BASE_CAIXA!J1314)</f>
        <v/>
      </c>
      <c r="M1317" s="26" t="str">
        <f>IF(A1317="","",BASE_CAIXA!AM1314)</f>
        <v/>
      </c>
      <c r="N1317" s="26" t="str">
        <f t="shared" ca="1" si="60"/>
        <v/>
      </c>
      <c r="O1317" s="26" t="str">
        <f>IFERROR(INDEX(EXTRATO_IMPORTADO!$A$5:$A$404,MATCH(B1317,EXTRATO_IMPORTADO!$I$5:$I$404,0)),"")</f>
        <v/>
      </c>
      <c r="P1317" s="26" t="str">
        <f>IFERROR(INDEX(EXTRATO_IMPORTADO!$F$5:$F$404,MATCH(B1317,EXTRATO_IMPORTADO!$I$5:$I$404,0)),"")</f>
        <v/>
      </c>
      <c r="Q1317" s="26" t="str">
        <f>IFERROR(INDEX(EXTRATO_IMPORTADO!$B$5:$B$404,MATCH(B1317,EXTRATO_IMPORTADO!$I$5:$I$404,0)),"")</f>
        <v/>
      </c>
      <c r="R1317" s="26" t="str">
        <f>IFERROR(MATCH(B1317,EXTRATO_IMPORTADO!$I$5:$I$404,0),"")</f>
        <v/>
      </c>
      <c r="S1317" s="26" t="str">
        <f t="shared" si="61"/>
        <v/>
      </c>
      <c r="T1317" s="26" t="str">
        <f t="shared" si="62"/>
        <v/>
      </c>
    </row>
    <row r="1318" spans="1:20" x14ac:dyDescent="0.3">
      <c r="A1318" s="26" t="str">
        <f>IF(BASE_CAIXA!A1315="","",BASE_CAIXA!A1315)</f>
        <v/>
      </c>
      <c r="B1318" s="26" t="str">
        <f>IF(A1318="","",BASE_CAIXA!AL1315)</f>
        <v/>
      </c>
      <c r="C1318" s="26" t="str">
        <f>IF(A1318="","",BASE_CAIXA!AJ1315)</f>
        <v/>
      </c>
      <c r="D1318" s="26" t="str">
        <f>IF(A1318="","",IF(BASE_CAIXA!C1315="Entrada","Crédito","Débito"))</f>
        <v/>
      </c>
      <c r="E1318" s="26" t="str">
        <f>IF(A1318="","",BASE_CAIXA!AA1315)</f>
        <v/>
      </c>
      <c r="F1318" s="26" t="str">
        <f>IF(A1318="","",BASE_CAIXA!N1315)</f>
        <v/>
      </c>
      <c r="G1318" s="26" t="str">
        <f>IF(A1318="","",BASE_CAIXA!O1315)</f>
        <v/>
      </c>
      <c r="H1318" s="26" t="str">
        <f>IF(A1318="","",BASE_CAIXA!P1315)</f>
        <v/>
      </c>
      <c r="I1318" s="26" t="str">
        <f>IF(A1318="","",IF(BASE_CAIXA!H1315&lt;&gt;"",BASE_CAIXA!H1315,BASE_CAIXA!G1315))</f>
        <v/>
      </c>
      <c r="J1318" s="26" t="str">
        <f>IF(A1318="","",BASE_CAIXA!G1315)</f>
        <v/>
      </c>
      <c r="K1318" s="26" t="str">
        <f>IF(A1318="","",BASE_CAIXA!I1315)</f>
        <v/>
      </c>
      <c r="L1318" s="26" t="str">
        <f>IF(A1318="","",BASE_CAIXA!J1315)</f>
        <v/>
      </c>
      <c r="M1318" s="26" t="str">
        <f>IF(A1318="","",BASE_CAIXA!AM1315)</f>
        <v/>
      </c>
      <c r="N1318" s="26" t="str">
        <f t="shared" ca="1" si="60"/>
        <v/>
      </c>
      <c r="O1318" s="26" t="str">
        <f>IFERROR(INDEX(EXTRATO_IMPORTADO!$A$5:$A$404,MATCH(B1318,EXTRATO_IMPORTADO!$I$5:$I$404,0)),"")</f>
        <v/>
      </c>
      <c r="P1318" s="26" t="str">
        <f>IFERROR(INDEX(EXTRATO_IMPORTADO!$F$5:$F$404,MATCH(B1318,EXTRATO_IMPORTADO!$I$5:$I$404,0)),"")</f>
        <v/>
      </c>
      <c r="Q1318" s="26" t="str">
        <f>IFERROR(INDEX(EXTRATO_IMPORTADO!$B$5:$B$404,MATCH(B1318,EXTRATO_IMPORTADO!$I$5:$I$404,0)),"")</f>
        <v/>
      </c>
      <c r="R1318" s="26" t="str">
        <f>IFERROR(MATCH(B1318,EXTRATO_IMPORTADO!$I$5:$I$404,0),"")</f>
        <v/>
      </c>
      <c r="S1318" s="26" t="str">
        <f t="shared" si="61"/>
        <v/>
      </c>
      <c r="T1318" s="26" t="str">
        <f t="shared" si="62"/>
        <v/>
      </c>
    </row>
    <row r="1319" spans="1:20" x14ac:dyDescent="0.3">
      <c r="A1319" s="26" t="str">
        <f>IF(BASE_CAIXA!A1316="","",BASE_CAIXA!A1316)</f>
        <v/>
      </c>
      <c r="B1319" s="26" t="str">
        <f>IF(A1319="","",BASE_CAIXA!AL1316)</f>
        <v/>
      </c>
      <c r="C1319" s="26" t="str">
        <f>IF(A1319="","",BASE_CAIXA!AJ1316)</f>
        <v/>
      </c>
      <c r="D1319" s="26" t="str">
        <f>IF(A1319="","",IF(BASE_CAIXA!C1316="Entrada","Crédito","Débito"))</f>
        <v/>
      </c>
      <c r="E1319" s="26" t="str">
        <f>IF(A1319="","",BASE_CAIXA!AA1316)</f>
        <v/>
      </c>
      <c r="F1319" s="26" t="str">
        <f>IF(A1319="","",BASE_CAIXA!N1316)</f>
        <v/>
      </c>
      <c r="G1319" s="26" t="str">
        <f>IF(A1319="","",BASE_CAIXA!O1316)</f>
        <v/>
      </c>
      <c r="H1319" s="26" t="str">
        <f>IF(A1319="","",BASE_CAIXA!P1316)</f>
        <v/>
      </c>
      <c r="I1319" s="26" t="str">
        <f>IF(A1319="","",IF(BASE_CAIXA!H1316&lt;&gt;"",BASE_CAIXA!H1316,BASE_CAIXA!G1316))</f>
        <v/>
      </c>
      <c r="J1319" s="26" t="str">
        <f>IF(A1319="","",BASE_CAIXA!G1316)</f>
        <v/>
      </c>
      <c r="K1319" s="26" t="str">
        <f>IF(A1319="","",BASE_CAIXA!I1316)</f>
        <v/>
      </c>
      <c r="L1319" s="26" t="str">
        <f>IF(A1319="","",BASE_CAIXA!J1316)</f>
        <v/>
      </c>
      <c r="M1319" s="26" t="str">
        <f>IF(A1319="","",BASE_CAIXA!AM1316)</f>
        <v/>
      </c>
      <c r="N1319" s="26" t="str">
        <f t="shared" ca="1" si="60"/>
        <v/>
      </c>
      <c r="O1319" s="26" t="str">
        <f>IFERROR(INDEX(EXTRATO_IMPORTADO!$A$5:$A$404,MATCH(B1319,EXTRATO_IMPORTADO!$I$5:$I$404,0)),"")</f>
        <v/>
      </c>
      <c r="P1319" s="26" t="str">
        <f>IFERROR(INDEX(EXTRATO_IMPORTADO!$F$5:$F$404,MATCH(B1319,EXTRATO_IMPORTADO!$I$5:$I$404,0)),"")</f>
        <v/>
      </c>
      <c r="Q1319" s="26" t="str">
        <f>IFERROR(INDEX(EXTRATO_IMPORTADO!$B$5:$B$404,MATCH(B1319,EXTRATO_IMPORTADO!$I$5:$I$404,0)),"")</f>
        <v/>
      </c>
      <c r="R1319" s="26" t="str">
        <f>IFERROR(MATCH(B1319,EXTRATO_IMPORTADO!$I$5:$I$404,0),"")</f>
        <v/>
      </c>
      <c r="S1319" s="26" t="str">
        <f t="shared" si="61"/>
        <v/>
      </c>
      <c r="T1319" s="26" t="str">
        <f t="shared" si="62"/>
        <v/>
      </c>
    </row>
    <row r="1320" spans="1:20" x14ac:dyDescent="0.3">
      <c r="A1320" s="26" t="str">
        <f>IF(BASE_CAIXA!A1317="","",BASE_CAIXA!A1317)</f>
        <v/>
      </c>
      <c r="B1320" s="26" t="str">
        <f>IF(A1320="","",BASE_CAIXA!AL1317)</f>
        <v/>
      </c>
      <c r="C1320" s="26" t="str">
        <f>IF(A1320="","",BASE_CAIXA!AJ1317)</f>
        <v/>
      </c>
      <c r="D1320" s="26" t="str">
        <f>IF(A1320="","",IF(BASE_CAIXA!C1317="Entrada","Crédito","Débito"))</f>
        <v/>
      </c>
      <c r="E1320" s="26" t="str">
        <f>IF(A1320="","",BASE_CAIXA!AA1317)</f>
        <v/>
      </c>
      <c r="F1320" s="26" t="str">
        <f>IF(A1320="","",BASE_CAIXA!N1317)</f>
        <v/>
      </c>
      <c r="G1320" s="26" t="str">
        <f>IF(A1320="","",BASE_CAIXA!O1317)</f>
        <v/>
      </c>
      <c r="H1320" s="26" t="str">
        <f>IF(A1320="","",BASE_CAIXA!P1317)</f>
        <v/>
      </c>
      <c r="I1320" s="26" t="str">
        <f>IF(A1320="","",IF(BASE_CAIXA!H1317&lt;&gt;"",BASE_CAIXA!H1317,BASE_CAIXA!G1317))</f>
        <v/>
      </c>
      <c r="J1320" s="26" t="str">
        <f>IF(A1320="","",BASE_CAIXA!G1317)</f>
        <v/>
      </c>
      <c r="K1320" s="26" t="str">
        <f>IF(A1320="","",BASE_CAIXA!I1317)</f>
        <v/>
      </c>
      <c r="L1320" s="26" t="str">
        <f>IF(A1320="","",BASE_CAIXA!J1317)</f>
        <v/>
      </c>
      <c r="M1320" s="26" t="str">
        <f>IF(A1320="","",BASE_CAIXA!AM1317)</f>
        <v/>
      </c>
      <c r="N1320" s="26" t="str">
        <f t="shared" ca="1" si="60"/>
        <v/>
      </c>
      <c r="O1320" s="26" t="str">
        <f>IFERROR(INDEX(EXTRATO_IMPORTADO!$A$5:$A$404,MATCH(B1320,EXTRATO_IMPORTADO!$I$5:$I$404,0)),"")</f>
        <v/>
      </c>
      <c r="P1320" s="26" t="str">
        <f>IFERROR(INDEX(EXTRATO_IMPORTADO!$F$5:$F$404,MATCH(B1320,EXTRATO_IMPORTADO!$I$5:$I$404,0)),"")</f>
        <v/>
      </c>
      <c r="Q1320" s="26" t="str">
        <f>IFERROR(INDEX(EXTRATO_IMPORTADO!$B$5:$B$404,MATCH(B1320,EXTRATO_IMPORTADO!$I$5:$I$404,0)),"")</f>
        <v/>
      </c>
      <c r="R1320" s="26" t="str">
        <f>IFERROR(MATCH(B1320,EXTRATO_IMPORTADO!$I$5:$I$404,0),"")</f>
        <v/>
      </c>
      <c r="S1320" s="26" t="str">
        <f t="shared" si="61"/>
        <v/>
      </c>
      <c r="T1320" s="26" t="str">
        <f t="shared" si="62"/>
        <v/>
      </c>
    </row>
    <row r="1321" spans="1:20" x14ac:dyDescent="0.3">
      <c r="A1321" s="26" t="str">
        <f>IF(BASE_CAIXA!A1318="","",BASE_CAIXA!A1318)</f>
        <v/>
      </c>
      <c r="B1321" s="26" t="str">
        <f>IF(A1321="","",BASE_CAIXA!AL1318)</f>
        <v/>
      </c>
      <c r="C1321" s="26" t="str">
        <f>IF(A1321="","",BASE_CAIXA!AJ1318)</f>
        <v/>
      </c>
      <c r="D1321" s="26" t="str">
        <f>IF(A1321="","",IF(BASE_CAIXA!C1318="Entrada","Crédito","Débito"))</f>
        <v/>
      </c>
      <c r="E1321" s="26" t="str">
        <f>IF(A1321="","",BASE_CAIXA!AA1318)</f>
        <v/>
      </c>
      <c r="F1321" s="26" t="str">
        <f>IF(A1321="","",BASE_CAIXA!N1318)</f>
        <v/>
      </c>
      <c r="G1321" s="26" t="str">
        <f>IF(A1321="","",BASE_CAIXA!O1318)</f>
        <v/>
      </c>
      <c r="H1321" s="26" t="str">
        <f>IF(A1321="","",BASE_CAIXA!P1318)</f>
        <v/>
      </c>
      <c r="I1321" s="26" t="str">
        <f>IF(A1321="","",IF(BASE_CAIXA!H1318&lt;&gt;"",BASE_CAIXA!H1318,BASE_CAIXA!G1318))</f>
        <v/>
      </c>
      <c r="J1321" s="26" t="str">
        <f>IF(A1321="","",BASE_CAIXA!G1318)</f>
        <v/>
      </c>
      <c r="K1321" s="26" t="str">
        <f>IF(A1321="","",BASE_CAIXA!I1318)</f>
        <v/>
      </c>
      <c r="L1321" s="26" t="str">
        <f>IF(A1321="","",BASE_CAIXA!J1318)</f>
        <v/>
      </c>
      <c r="M1321" s="26" t="str">
        <f>IF(A1321="","",BASE_CAIXA!AM1318)</f>
        <v/>
      </c>
      <c r="N1321" s="26" t="str">
        <f t="shared" ca="1" si="60"/>
        <v/>
      </c>
      <c r="O1321" s="26" t="str">
        <f>IFERROR(INDEX(EXTRATO_IMPORTADO!$A$5:$A$404,MATCH(B1321,EXTRATO_IMPORTADO!$I$5:$I$404,0)),"")</f>
        <v/>
      </c>
      <c r="P1321" s="26" t="str">
        <f>IFERROR(INDEX(EXTRATO_IMPORTADO!$F$5:$F$404,MATCH(B1321,EXTRATO_IMPORTADO!$I$5:$I$404,0)),"")</f>
        <v/>
      </c>
      <c r="Q1321" s="26" t="str">
        <f>IFERROR(INDEX(EXTRATO_IMPORTADO!$B$5:$B$404,MATCH(B1321,EXTRATO_IMPORTADO!$I$5:$I$404,0)),"")</f>
        <v/>
      </c>
      <c r="R1321" s="26" t="str">
        <f>IFERROR(MATCH(B1321,EXTRATO_IMPORTADO!$I$5:$I$404,0),"")</f>
        <v/>
      </c>
      <c r="S1321" s="26" t="str">
        <f t="shared" si="61"/>
        <v/>
      </c>
      <c r="T1321" s="26" t="str">
        <f t="shared" si="62"/>
        <v/>
      </c>
    </row>
    <row r="1322" spans="1:20" x14ac:dyDescent="0.3">
      <c r="A1322" s="26" t="str">
        <f>IF(BASE_CAIXA!A1319="","",BASE_CAIXA!A1319)</f>
        <v/>
      </c>
      <c r="B1322" s="26" t="str">
        <f>IF(A1322="","",BASE_CAIXA!AL1319)</f>
        <v/>
      </c>
      <c r="C1322" s="26" t="str">
        <f>IF(A1322="","",BASE_CAIXA!AJ1319)</f>
        <v/>
      </c>
      <c r="D1322" s="26" t="str">
        <f>IF(A1322="","",IF(BASE_CAIXA!C1319="Entrada","Crédito","Débito"))</f>
        <v/>
      </c>
      <c r="E1322" s="26" t="str">
        <f>IF(A1322="","",BASE_CAIXA!AA1319)</f>
        <v/>
      </c>
      <c r="F1322" s="26" t="str">
        <f>IF(A1322="","",BASE_CAIXA!N1319)</f>
        <v/>
      </c>
      <c r="G1322" s="26" t="str">
        <f>IF(A1322="","",BASE_CAIXA!O1319)</f>
        <v/>
      </c>
      <c r="H1322" s="26" t="str">
        <f>IF(A1322="","",BASE_CAIXA!P1319)</f>
        <v/>
      </c>
      <c r="I1322" s="26" t="str">
        <f>IF(A1322="","",IF(BASE_CAIXA!H1319&lt;&gt;"",BASE_CAIXA!H1319,BASE_CAIXA!G1319))</f>
        <v/>
      </c>
      <c r="J1322" s="26" t="str">
        <f>IF(A1322="","",BASE_CAIXA!G1319)</f>
        <v/>
      </c>
      <c r="K1322" s="26" t="str">
        <f>IF(A1322="","",BASE_CAIXA!I1319)</f>
        <v/>
      </c>
      <c r="L1322" s="26" t="str">
        <f>IF(A1322="","",BASE_CAIXA!J1319)</f>
        <v/>
      </c>
      <c r="M1322" s="26" t="str">
        <f>IF(A1322="","",BASE_CAIXA!AM1319)</f>
        <v/>
      </c>
      <c r="N1322" s="26" t="str">
        <f t="shared" ca="1" si="60"/>
        <v/>
      </c>
      <c r="O1322" s="26" t="str">
        <f>IFERROR(INDEX(EXTRATO_IMPORTADO!$A$5:$A$404,MATCH(B1322,EXTRATO_IMPORTADO!$I$5:$I$404,0)),"")</f>
        <v/>
      </c>
      <c r="P1322" s="26" t="str">
        <f>IFERROR(INDEX(EXTRATO_IMPORTADO!$F$5:$F$404,MATCH(B1322,EXTRATO_IMPORTADO!$I$5:$I$404,0)),"")</f>
        <v/>
      </c>
      <c r="Q1322" s="26" t="str">
        <f>IFERROR(INDEX(EXTRATO_IMPORTADO!$B$5:$B$404,MATCH(B1322,EXTRATO_IMPORTADO!$I$5:$I$404,0)),"")</f>
        <v/>
      </c>
      <c r="R1322" s="26" t="str">
        <f>IFERROR(MATCH(B1322,EXTRATO_IMPORTADO!$I$5:$I$404,0),"")</f>
        <v/>
      </c>
      <c r="S1322" s="26" t="str">
        <f t="shared" si="61"/>
        <v/>
      </c>
      <c r="T1322" s="26" t="str">
        <f t="shared" si="62"/>
        <v/>
      </c>
    </row>
    <row r="1323" spans="1:20" x14ac:dyDescent="0.3">
      <c r="A1323" s="26" t="str">
        <f>IF(BASE_CAIXA!A1320="","",BASE_CAIXA!A1320)</f>
        <v/>
      </c>
      <c r="B1323" s="26" t="str">
        <f>IF(A1323="","",BASE_CAIXA!AL1320)</f>
        <v/>
      </c>
      <c r="C1323" s="26" t="str">
        <f>IF(A1323="","",BASE_CAIXA!AJ1320)</f>
        <v/>
      </c>
      <c r="D1323" s="26" t="str">
        <f>IF(A1323="","",IF(BASE_CAIXA!C1320="Entrada","Crédito","Débito"))</f>
        <v/>
      </c>
      <c r="E1323" s="26" t="str">
        <f>IF(A1323="","",BASE_CAIXA!AA1320)</f>
        <v/>
      </c>
      <c r="F1323" s="26" t="str">
        <f>IF(A1323="","",BASE_CAIXA!N1320)</f>
        <v/>
      </c>
      <c r="G1323" s="26" t="str">
        <f>IF(A1323="","",BASE_CAIXA!O1320)</f>
        <v/>
      </c>
      <c r="H1323" s="26" t="str">
        <f>IF(A1323="","",BASE_CAIXA!P1320)</f>
        <v/>
      </c>
      <c r="I1323" s="26" t="str">
        <f>IF(A1323="","",IF(BASE_CAIXA!H1320&lt;&gt;"",BASE_CAIXA!H1320,BASE_CAIXA!G1320))</f>
        <v/>
      </c>
      <c r="J1323" s="26" t="str">
        <f>IF(A1323="","",BASE_CAIXA!G1320)</f>
        <v/>
      </c>
      <c r="K1323" s="26" t="str">
        <f>IF(A1323="","",BASE_CAIXA!I1320)</f>
        <v/>
      </c>
      <c r="L1323" s="26" t="str">
        <f>IF(A1323="","",BASE_CAIXA!J1320)</f>
        <v/>
      </c>
      <c r="M1323" s="26" t="str">
        <f>IF(A1323="","",BASE_CAIXA!AM1320)</f>
        <v/>
      </c>
      <c r="N1323" s="26" t="str">
        <f t="shared" ca="1" si="60"/>
        <v/>
      </c>
      <c r="O1323" s="26" t="str">
        <f>IFERROR(INDEX(EXTRATO_IMPORTADO!$A$5:$A$404,MATCH(B1323,EXTRATO_IMPORTADO!$I$5:$I$404,0)),"")</f>
        <v/>
      </c>
      <c r="P1323" s="26" t="str">
        <f>IFERROR(INDEX(EXTRATO_IMPORTADO!$F$5:$F$404,MATCH(B1323,EXTRATO_IMPORTADO!$I$5:$I$404,0)),"")</f>
        <v/>
      </c>
      <c r="Q1323" s="26" t="str">
        <f>IFERROR(INDEX(EXTRATO_IMPORTADO!$B$5:$B$404,MATCH(B1323,EXTRATO_IMPORTADO!$I$5:$I$404,0)),"")</f>
        <v/>
      </c>
      <c r="R1323" s="26" t="str">
        <f>IFERROR(MATCH(B1323,EXTRATO_IMPORTADO!$I$5:$I$404,0),"")</f>
        <v/>
      </c>
      <c r="S1323" s="26" t="str">
        <f t="shared" si="61"/>
        <v/>
      </c>
      <c r="T1323" s="26" t="str">
        <f t="shared" si="62"/>
        <v/>
      </c>
    </row>
    <row r="1324" spans="1:20" x14ac:dyDescent="0.3">
      <c r="A1324" s="26" t="str">
        <f>IF(BASE_CAIXA!A1321="","",BASE_CAIXA!A1321)</f>
        <v/>
      </c>
      <c r="B1324" s="26" t="str">
        <f>IF(A1324="","",BASE_CAIXA!AL1321)</f>
        <v/>
      </c>
      <c r="C1324" s="26" t="str">
        <f>IF(A1324="","",BASE_CAIXA!AJ1321)</f>
        <v/>
      </c>
      <c r="D1324" s="26" t="str">
        <f>IF(A1324="","",IF(BASE_CAIXA!C1321="Entrada","Crédito","Débito"))</f>
        <v/>
      </c>
      <c r="E1324" s="26" t="str">
        <f>IF(A1324="","",BASE_CAIXA!AA1321)</f>
        <v/>
      </c>
      <c r="F1324" s="26" t="str">
        <f>IF(A1324="","",BASE_CAIXA!N1321)</f>
        <v/>
      </c>
      <c r="G1324" s="26" t="str">
        <f>IF(A1324="","",BASE_CAIXA!O1321)</f>
        <v/>
      </c>
      <c r="H1324" s="26" t="str">
        <f>IF(A1324="","",BASE_CAIXA!P1321)</f>
        <v/>
      </c>
      <c r="I1324" s="26" t="str">
        <f>IF(A1324="","",IF(BASE_CAIXA!H1321&lt;&gt;"",BASE_CAIXA!H1321,BASE_CAIXA!G1321))</f>
        <v/>
      </c>
      <c r="J1324" s="26" t="str">
        <f>IF(A1324="","",BASE_CAIXA!G1321)</f>
        <v/>
      </c>
      <c r="K1324" s="26" t="str">
        <f>IF(A1324="","",BASE_CAIXA!I1321)</f>
        <v/>
      </c>
      <c r="L1324" s="26" t="str">
        <f>IF(A1324="","",BASE_CAIXA!J1321)</f>
        <v/>
      </c>
      <c r="M1324" s="26" t="str">
        <f>IF(A1324="","",BASE_CAIXA!AM1321)</f>
        <v/>
      </c>
      <c r="N1324" s="26" t="str">
        <f t="shared" ca="1" si="60"/>
        <v/>
      </c>
      <c r="O1324" s="26" t="str">
        <f>IFERROR(INDEX(EXTRATO_IMPORTADO!$A$5:$A$404,MATCH(B1324,EXTRATO_IMPORTADO!$I$5:$I$404,0)),"")</f>
        <v/>
      </c>
      <c r="P1324" s="26" t="str">
        <f>IFERROR(INDEX(EXTRATO_IMPORTADO!$F$5:$F$404,MATCH(B1324,EXTRATO_IMPORTADO!$I$5:$I$404,0)),"")</f>
        <v/>
      </c>
      <c r="Q1324" s="26" t="str">
        <f>IFERROR(INDEX(EXTRATO_IMPORTADO!$B$5:$B$404,MATCH(B1324,EXTRATO_IMPORTADO!$I$5:$I$404,0)),"")</f>
        <v/>
      </c>
      <c r="R1324" s="26" t="str">
        <f>IFERROR(MATCH(B1324,EXTRATO_IMPORTADO!$I$5:$I$404,0),"")</f>
        <v/>
      </c>
      <c r="S1324" s="26" t="str">
        <f t="shared" si="61"/>
        <v/>
      </c>
      <c r="T1324" s="26" t="str">
        <f t="shared" si="62"/>
        <v/>
      </c>
    </row>
    <row r="1325" spans="1:20" x14ac:dyDescent="0.3">
      <c r="A1325" s="26" t="str">
        <f>IF(BASE_CAIXA!A1322="","",BASE_CAIXA!A1322)</f>
        <v/>
      </c>
      <c r="B1325" s="26" t="str">
        <f>IF(A1325="","",BASE_CAIXA!AL1322)</f>
        <v/>
      </c>
      <c r="C1325" s="26" t="str">
        <f>IF(A1325="","",BASE_CAIXA!AJ1322)</f>
        <v/>
      </c>
      <c r="D1325" s="26" t="str">
        <f>IF(A1325="","",IF(BASE_CAIXA!C1322="Entrada","Crédito","Débito"))</f>
        <v/>
      </c>
      <c r="E1325" s="26" t="str">
        <f>IF(A1325="","",BASE_CAIXA!AA1322)</f>
        <v/>
      </c>
      <c r="F1325" s="26" t="str">
        <f>IF(A1325="","",BASE_CAIXA!N1322)</f>
        <v/>
      </c>
      <c r="G1325" s="26" t="str">
        <f>IF(A1325="","",BASE_CAIXA!O1322)</f>
        <v/>
      </c>
      <c r="H1325" s="26" t="str">
        <f>IF(A1325="","",BASE_CAIXA!P1322)</f>
        <v/>
      </c>
      <c r="I1325" s="26" t="str">
        <f>IF(A1325="","",IF(BASE_CAIXA!H1322&lt;&gt;"",BASE_CAIXA!H1322,BASE_CAIXA!G1322))</f>
        <v/>
      </c>
      <c r="J1325" s="26" t="str">
        <f>IF(A1325="","",BASE_CAIXA!G1322)</f>
        <v/>
      </c>
      <c r="K1325" s="26" t="str">
        <f>IF(A1325="","",BASE_CAIXA!I1322)</f>
        <v/>
      </c>
      <c r="L1325" s="26" t="str">
        <f>IF(A1325="","",BASE_CAIXA!J1322)</f>
        <v/>
      </c>
      <c r="M1325" s="26" t="str">
        <f>IF(A1325="","",BASE_CAIXA!AM1322)</f>
        <v/>
      </c>
      <c r="N1325" s="26" t="str">
        <f t="shared" ca="1" si="60"/>
        <v/>
      </c>
      <c r="O1325" s="26" t="str">
        <f>IFERROR(INDEX(EXTRATO_IMPORTADO!$A$5:$A$404,MATCH(B1325,EXTRATO_IMPORTADO!$I$5:$I$404,0)),"")</f>
        <v/>
      </c>
      <c r="P1325" s="26" t="str">
        <f>IFERROR(INDEX(EXTRATO_IMPORTADO!$F$5:$F$404,MATCH(B1325,EXTRATO_IMPORTADO!$I$5:$I$404,0)),"")</f>
        <v/>
      </c>
      <c r="Q1325" s="26" t="str">
        <f>IFERROR(INDEX(EXTRATO_IMPORTADO!$B$5:$B$404,MATCH(B1325,EXTRATO_IMPORTADO!$I$5:$I$404,0)),"")</f>
        <v/>
      </c>
      <c r="R1325" s="26" t="str">
        <f>IFERROR(MATCH(B1325,EXTRATO_IMPORTADO!$I$5:$I$404,0),"")</f>
        <v/>
      </c>
      <c r="S1325" s="26" t="str">
        <f t="shared" si="61"/>
        <v/>
      </c>
      <c r="T1325" s="26" t="str">
        <f t="shared" si="62"/>
        <v/>
      </c>
    </row>
    <row r="1326" spans="1:20" x14ac:dyDescent="0.3">
      <c r="A1326" s="26" t="str">
        <f>IF(BASE_CAIXA!A1323="","",BASE_CAIXA!A1323)</f>
        <v/>
      </c>
      <c r="B1326" s="26" t="str">
        <f>IF(A1326="","",BASE_CAIXA!AL1323)</f>
        <v/>
      </c>
      <c r="C1326" s="26" t="str">
        <f>IF(A1326="","",BASE_CAIXA!AJ1323)</f>
        <v/>
      </c>
      <c r="D1326" s="26" t="str">
        <f>IF(A1326="","",IF(BASE_CAIXA!C1323="Entrada","Crédito","Débito"))</f>
        <v/>
      </c>
      <c r="E1326" s="26" t="str">
        <f>IF(A1326="","",BASE_CAIXA!AA1323)</f>
        <v/>
      </c>
      <c r="F1326" s="26" t="str">
        <f>IF(A1326="","",BASE_CAIXA!N1323)</f>
        <v/>
      </c>
      <c r="G1326" s="26" t="str">
        <f>IF(A1326="","",BASE_CAIXA!O1323)</f>
        <v/>
      </c>
      <c r="H1326" s="26" t="str">
        <f>IF(A1326="","",BASE_CAIXA!P1323)</f>
        <v/>
      </c>
      <c r="I1326" s="26" t="str">
        <f>IF(A1326="","",IF(BASE_CAIXA!H1323&lt;&gt;"",BASE_CAIXA!H1323,BASE_CAIXA!G1323))</f>
        <v/>
      </c>
      <c r="J1326" s="26" t="str">
        <f>IF(A1326="","",BASE_CAIXA!G1323)</f>
        <v/>
      </c>
      <c r="K1326" s="26" t="str">
        <f>IF(A1326="","",BASE_CAIXA!I1323)</f>
        <v/>
      </c>
      <c r="L1326" s="26" t="str">
        <f>IF(A1326="","",BASE_CAIXA!J1323)</f>
        <v/>
      </c>
      <c r="M1326" s="26" t="str">
        <f>IF(A1326="","",BASE_CAIXA!AM1323)</f>
        <v/>
      </c>
      <c r="N1326" s="26" t="str">
        <f t="shared" ca="1" si="60"/>
        <v/>
      </c>
      <c r="O1326" s="26" t="str">
        <f>IFERROR(INDEX(EXTRATO_IMPORTADO!$A$5:$A$404,MATCH(B1326,EXTRATO_IMPORTADO!$I$5:$I$404,0)),"")</f>
        <v/>
      </c>
      <c r="P1326" s="26" t="str">
        <f>IFERROR(INDEX(EXTRATO_IMPORTADO!$F$5:$F$404,MATCH(B1326,EXTRATO_IMPORTADO!$I$5:$I$404,0)),"")</f>
        <v/>
      </c>
      <c r="Q1326" s="26" t="str">
        <f>IFERROR(INDEX(EXTRATO_IMPORTADO!$B$5:$B$404,MATCH(B1326,EXTRATO_IMPORTADO!$I$5:$I$404,0)),"")</f>
        <v/>
      </c>
      <c r="R1326" s="26" t="str">
        <f>IFERROR(MATCH(B1326,EXTRATO_IMPORTADO!$I$5:$I$404,0),"")</f>
        <v/>
      </c>
      <c r="S1326" s="26" t="str">
        <f t="shared" si="61"/>
        <v/>
      </c>
      <c r="T1326" s="26" t="str">
        <f t="shared" si="62"/>
        <v/>
      </c>
    </row>
    <row r="1327" spans="1:20" x14ac:dyDescent="0.3">
      <c r="A1327" s="26" t="str">
        <f>IF(BASE_CAIXA!A1324="","",BASE_CAIXA!A1324)</f>
        <v/>
      </c>
      <c r="B1327" s="26" t="str">
        <f>IF(A1327="","",BASE_CAIXA!AL1324)</f>
        <v/>
      </c>
      <c r="C1327" s="26" t="str">
        <f>IF(A1327="","",BASE_CAIXA!AJ1324)</f>
        <v/>
      </c>
      <c r="D1327" s="26" t="str">
        <f>IF(A1327="","",IF(BASE_CAIXA!C1324="Entrada","Crédito","Débito"))</f>
        <v/>
      </c>
      <c r="E1327" s="26" t="str">
        <f>IF(A1327="","",BASE_CAIXA!AA1324)</f>
        <v/>
      </c>
      <c r="F1327" s="26" t="str">
        <f>IF(A1327="","",BASE_CAIXA!N1324)</f>
        <v/>
      </c>
      <c r="G1327" s="26" t="str">
        <f>IF(A1327="","",BASE_CAIXA!O1324)</f>
        <v/>
      </c>
      <c r="H1327" s="26" t="str">
        <f>IF(A1327="","",BASE_CAIXA!P1324)</f>
        <v/>
      </c>
      <c r="I1327" s="26" t="str">
        <f>IF(A1327="","",IF(BASE_CAIXA!H1324&lt;&gt;"",BASE_CAIXA!H1324,BASE_CAIXA!G1324))</f>
        <v/>
      </c>
      <c r="J1327" s="26" t="str">
        <f>IF(A1327="","",BASE_CAIXA!G1324)</f>
        <v/>
      </c>
      <c r="K1327" s="26" t="str">
        <f>IF(A1327="","",BASE_CAIXA!I1324)</f>
        <v/>
      </c>
      <c r="L1327" s="26" t="str">
        <f>IF(A1327="","",BASE_CAIXA!J1324)</f>
        <v/>
      </c>
      <c r="M1327" s="26" t="str">
        <f>IF(A1327="","",BASE_CAIXA!AM1324)</f>
        <v/>
      </c>
      <c r="N1327" s="26" t="str">
        <f t="shared" ca="1" si="60"/>
        <v/>
      </c>
      <c r="O1327" s="26" t="str">
        <f>IFERROR(INDEX(EXTRATO_IMPORTADO!$A$5:$A$404,MATCH(B1327,EXTRATO_IMPORTADO!$I$5:$I$404,0)),"")</f>
        <v/>
      </c>
      <c r="P1327" s="26" t="str">
        <f>IFERROR(INDEX(EXTRATO_IMPORTADO!$F$5:$F$404,MATCH(B1327,EXTRATO_IMPORTADO!$I$5:$I$404,0)),"")</f>
        <v/>
      </c>
      <c r="Q1327" s="26" t="str">
        <f>IFERROR(INDEX(EXTRATO_IMPORTADO!$B$5:$B$404,MATCH(B1327,EXTRATO_IMPORTADO!$I$5:$I$404,0)),"")</f>
        <v/>
      </c>
      <c r="R1327" s="26" t="str">
        <f>IFERROR(MATCH(B1327,EXTRATO_IMPORTADO!$I$5:$I$404,0),"")</f>
        <v/>
      </c>
      <c r="S1327" s="26" t="str">
        <f t="shared" si="61"/>
        <v/>
      </c>
      <c r="T1327" s="26" t="str">
        <f t="shared" si="62"/>
        <v/>
      </c>
    </row>
    <row r="1328" spans="1:20" x14ac:dyDescent="0.3">
      <c r="A1328" s="26" t="str">
        <f>IF(BASE_CAIXA!A1325="","",BASE_CAIXA!A1325)</f>
        <v/>
      </c>
      <c r="B1328" s="26" t="str">
        <f>IF(A1328="","",BASE_CAIXA!AL1325)</f>
        <v/>
      </c>
      <c r="C1328" s="26" t="str">
        <f>IF(A1328="","",BASE_CAIXA!AJ1325)</f>
        <v/>
      </c>
      <c r="D1328" s="26" t="str">
        <f>IF(A1328="","",IF(BASE_CAIXA!C1325="Entrada","Crédito","Débito"))</f>
        <v/>
      </c>
      <c r="E1328" s="26" t="str">
        <f>IF(A1328="","",BASE_CAIXA!AA1325)</f>
        <v/>
      </c>
      <c r="F1328" s="26" t="str">
        <f>IF(A1328="","",BASE_CAIXA!N1325)</f>
        <v/>
      </c>
      <c r="G1328" s="26" t="str">
        <f>IF(A1328="","",BASE_CAIXA!O1325)</f>
        <v/>
      </c>
      <c r="H1328" s="26" t="str">
        <f>IF(A1328="","",BASE_CAIXA!P1325)</f>
        <v/>
      </c>
      <c r="I1328" s="26" t="str">
        <f>IF(A1328="","",IF(BASE_CAIXA!H1325&lt;&gt;"",BASE_CAIXA!H1325,BASE_CAIXA!G1325))</f>
        <v/>
      </c>
      <c r="J1328" s="26" t="str">
        <f>IF(A1328="","",BASE_CAIXA!G1325)</f>
        <v/>
      </c>
      <c r="K1328" s="26" t="str">
        <f>IF(A1328="","",BASE_CAIXA!I1325)</f>
        <v/>
      </c>
      <c r="L1328" s="26" t="str">
        <f>IF(A1328="","",BASE_CAIXA!J1325)</f>
        <v/>
      </c>
      <c r="M1328" s="26" t="str">
        <f>IF(A1328="","",BASE_CAIXA!AM1325)</f>
        <v/>
      </c>
      <c r="N1328" s="26" t="str">
        <f t="shared" ca="1" si="60"/>
        <v/>
      </c>
      <c r="O1328" s="26" t="str">
        <f>IFERROR(INDEX(EXTRATO_IMPORTADO!$A$5:$A$404,MATCH(B1328,EXTRATO_IMPORTADO!$I$5:$I$404,0)),"")</f>
        <v/>
      </c>
      <c r="P1328" s="26" t="str">
        <f>IFERROR(INDEX(EXTRATO_IMPORTADO!$F$5:$F$404,MATCH(B1328,EXTRATO_IMPORTADO!$I$5:$I$404,0)),"")</f>
        <v/>
      </c>
      <c r="Q1328" s="26" t="str">
        <f>IFERROR(INDEX(EXTRATO_IMPORTADO!$B$5:$B$404,MATCH(B1328,EXTRATO_IMPORTADO!$I$5:$I$404,0)),"")</f>
        <v/>
      </c>
      <c r="R1328" s="26" t="str">
        <f>IFERROR(MATCH(B1328,EXTRATO_IMPORTADO!$I$5:$I$404,0),"")</f>
        <v/>
      </c>
      <c r="S1328" s="26" t="str">
        <f t="shared" si="61"/>
        <v/>
      </c>
      <c r="T1328" s="26" t="str">
        <f t="shared" si="62"/>
        <v/>
      </c>
    </row>
    <row r="1329" spans="1:20" x14ac:dyDescent="0.3">
      <c r="A1329" s="26" t="str">
        <f>IF(BASE_CAIXA!A1326="","",BASE_CAIXA!A1326)</f>
        <v/>
      </c>
      <c r="B1329" s="26" t="str">
        <f>IF(A1329="","",BASE_CAIXA!AL1326)</f>
        <v/>
      </c>
      <c r="C1329" s="26" t="str">
        <f>IF(A1329="","",BASE_CAIXA!AJ1326)</f>
        <v/>
      </c>
      <c r="D1329" s="26" t="str">
        <f>IF(A1329="","",IF(BASE_CAIXA!C1326="Entrada","Crédito","Débito"))</f>
        <v/>
      </c>
      <c r="E1329" s="26" t="str">
        <f>IF(A1329="","",BASE_CAIXA!AA1326)</f>
        <v/>
      </c>
      <c r="F1329" s="26" t="str">
        <f>IF(A1329="","",BASE_CAIXA!N1326)</f>
        <v/>
      </c>
      <c r="G1329" s="26" t="str">
        <f>IF(A1329="","",BASE_CAIXA!O1326)</f>
        <v/>
      </c>
      <c r="H1329" s="26" t="str">
        <f>IF(A1329="","",BASE_CAIXA!P1326)</f>
        <v/>
      </c>
      <c r="I1329" s="26" t="str">
        <f>IF(A1329="","",IF(BASE_CAIXA!H1326&lt;&gt;"",BASE_CAIXA!H1326,BASE_CAIXA!G1326))</f>
        <v/>
      </c>
      <c r="J1329" s="26" t="str">
        <f>IF(A1329="","",BASE_CAIXA!G1326)</f>
        <v/>
      </c>
      <c r="K1329" s="26" t="str">
        <f>IF(A1329="","",BASE_CAIXA!I1326)</f>
        <v/>
      </c>
      <c r="L1329" s="26" t="str">
        <f>IF(A1329="","",BASE_CAIXA!J1326)</f>
        <v/>
      </c>
      <c r="M1329" s="26" t="str">
        <f>IF(A1329="","",BASE_CAIXA!AM1326)</f>
        <v/>
      </c>
      <c r="N1329" s="26" t="str">
        <f t="shared" ca="1" si="60"/>
        <v/>
      </c>
      <c r="O1329" s="26" t="str">
        <f>IFERROR(INDEX(EXTRATO_IMPORTADO!$A$5:$A$404,MATCH(B1329,EXTRATO_IMPORTADO!$I$5:$I$404,0)),"")</f>
        <v/>
      </c>
      <c r="P1329" s="26" t="str">
        <f>IFERROR(INDEX(EXTRATO_IMPORTADO!$F$5:$F$404,MATCH(B1329,EXTRATO_IMPORTADO!$I$5:$I$404,0)),"")</f>
        <v/>
      </c>
      <c r="Q1329" s="26" t="str">
        <f>IFERROR(INDEX(EXTRATO_IMPORTADO!$B$5:$B$404,MATCH(B1329,EXTRATO_IMPORTADO!$I$5:$I$404,0)),"")</f>
        <v/>
      </c>
      <c r="R1329" s="26" t="str">
        <f>IFERROR(MATCH(B1329,EXTRATO_IMPORTADO!$I$5:$I$404,0),"")</f>
        <v/>
      </c>
      <c r="S1329" s="26" t="str">
        <f t="shared" si="61"/>
        <v/>
      </c>
      <c r="T1329" s="26" t="str">
        <f t="shared" si="62"/>
        <v/>
      </c>
    </row>
    <row r="1330" spans="1:20" x14ac:dyDescent="0.3">
      <c r="A1330" s="26" t="str">
        <f>IF(BASE_CAIXA!A1327="","",BASE_CAIXA!A1327)</f>
        <v/>
      </c>
      <c r="B1330" s="26" t="str">
        <f>IF(A1330="","",BASE_CAIXA!AL1327)</f>
        <v/>
      </c>
      <c r="C1330" s="26" t="str">
        <f>IF(A1330="","",BASE_CAIXA!AJ1327)</f>
        <v/>
      </c>
      <c r="D1330" s="26" t="str">
        <f>IF(A1330="","",IF(BASE_CAIXA!C1327="Entrada","Crédito","Débito"))</f>
        <v/>
      </c>
      <c r="E1330" s="26" t="str">
        <f>IF(A1330="","",BASE_CAIXA!AA1327)</f>
        <v/>
      </c>
      <c r="F1330" s="26" t="str">
        <f>IF(A1330="","",BASE_CAIXA!N1327)</f>
        <v/>
      </c>
      <c r="G1330" s="26" t="str">
        <f>IF(A1330="","",BASE_CAIXA!O1327)</f>
        <v/>
      </c>
      <c r="H1330" s="26" t="str">
        <f>IF(A1330="","",BASE_CAIXA!P1327)</f>
        <v/>
      </c>
      <c r="I1330" s="26" t="str">
        <f>IF(A1330="","",IF(BASE_CAIXA!H1327&lt;&gt;"",BASE_CAIXA!H1327,BASE_CAIXA!G1327))</f>
        <v/>
      </c>
      <c r="J1330" s="26" t="str">
        <f>IF(A1330="","",BASE_CAIXA!G1327)</f>
        <v/>
      </c>
      <c r="K1330" s="26" t="str">
        <f>IF(A1330="","",BASE_CAIXA!I1327)</f>
        <v/>
      </c>
      <c r="L1330" s="26" t="str">
        <f>IF(A1330="","",BASE_CAIXA!J1327)</f>
        <v/>
      </c>
      <c r="M1330" s="26" t="str">
        <f>IF(A1330="","",BASE_CAIXA!AM1327)</f>
        <v/>
      </c>
      <c r="N1330" s="26" t="str">
        <f t="shared" ca="1" si="60"/>
        <v/>
      </c>
      <c r="O1330" s="26" t="str">
        <f>IFERROR(INDEX(EXTRATO_IMPORTADO!$A$5:$A$404,MATCH(B1330,EXTRATO_IMPORTADO!$I$5:$I$404,0)),"")</f>
        <v/>
      </c>
      <c r="P1330" s="26" t="str">
        <f>IFERROR(INDEX(EXTRATO_IMPORTADO!$F$5:$F$404,MATCH(B1330,EXTRATO_IMPORTADO!$I$5:$I$404,0)),"")</f>
        <v/>
      </c>
      <c r="Q1330" s="26" t="str">
        <f>IFERROR(INDEX(EXTRATO_IMPORTADO!$B$5:$B$404,MATCH(B1330,EXTRATO_IMPORTADO!$I$5:$I$404,0)),"")</f>
        <v/>
      </c>
      <c r="R1330" s="26" t="str">
        <f>IFERROR(MATCH(B1330,EXTRATO_IMPORTADO!$I$5:$I$404,0),"")</f>
        <v/>
      </c>
      <c r="S1330" s="26" t="str">
        <f t="shared" si="61"/>
        <v/>
      </c>
      <c r="T1330" s="26" t="str">
        <f t="shared" si="62"/>
        <v/>
      </c>
    </row>
    <row r="1331" spans="1:20" x14ac:dyDescent="0.3">
      <c r="A1331" s="26" t="str">
        <f>IF(BASE_CAIXA!A1328="","",BASE_CAIXA!A1328)</f>
        <v/>
      </c>
      <c r="B1331" s="26" t="str">
        <f>IF(A1331="","",BASE_CAIXA!AL1328)</f>
        <v/>
      </c>
      <c r="C1331" s="26" t="str">
        <f>IF(A1331="","",BASE_CAIXA!AJ1328)</f>
        <v/>
      </c>
      <c r="D1331" s="26" t="str">
        <f>IF(A1331="","",IF(BASE_CAIXA!C1328="Entrada","Crédito","Débito"))</f>
        <v/>
      </c>
      <c r="E1331" s="26" t="str">
        <f>IF(A1331="","",BASE_CAIXA!AA1328)</f>
        <v/>
      </c>
      <c r="F1331" s="26" t="str">
        <f>IF(A1331="","",BASE_CAIXA!N1328)</f>
        <v/>
      </c>
      <c r="G1331" s="26" t="str">
        <f>IF(A1331="","",BASE_CAIXA!O1328)</f>
        <v/>
      </c>
      <c r="H1331" s="26" t="str">
        <f>IF(A1331="","",BASE_CAIXA!P1328)</f>
        <v/>
      </c>
      <c r="I1331" s="26" t="str">
        <f>IF(A1331="","",IF(BASE_CAIXA!H1328&lt;&gt;"",BASE_CAIXA!H1328,BASE_CAIXA!G1328))</f>
        <v/>
      </c>
      <c r="J1331" s="26" t="str">
        <f>IF(A1331="","",BASE_CAIXA!G1328)</f>
        <v/>
      </c>
      <c r="K1331" s="26" t="str">
        <f>IF(A1331="","",BASE_CAIXA!I1328)</f>
        <v/>
      </c>
      <c r="L1331" s="26" t="str">
        <f>IF(A1331="","",BASE_CAIXA!J1328)</f>
        <v/>
      </c>
      <c r="M1331" s="26" t="str">
        <f>IF(A1331="","",BASE_CAIXA!AM1328)</f>
        <v/>
      </c>
      <c r="N1331" s="26" t="str">
        <f t="shared" ca="1" si="60"/>
        <v/>
      </c>
      <c r="O1331" s="26" t="str">
        <f>IFERROR(INDEX(EXTRATO_IMPORTADO!$A$5:$A$404,MATCH(B1331,EXTRATO_IMPORTADO!$I$5:$I$404,0)),"")</f>
        <v/>
      </c>
      <c r="P1331" s="26" t="str">
        <f>IFERROR(INDEX(EXTRATO_IMPORTADO!$F$5:$F$404,MATCH(B1331,EXTRATO_IMPORTADO!$I$5:$I$404,0)),"")</f>
        <v/>
      </c>
      <c r="Q1331" s="26" t="str">
        <f>IFERROR(INDEX(EXTRATO_IMPORTADO!$B$5:$B$404,MATCH(B1331,EXTRATO_IMPORTADO!$I$5:$I$404,0)),"")</f>
        <v/>
      </c>
      <c r="R1331" s="26" t="str">
        <f>IFERROR(MATCH(B1331,EXTRATO_IMPORTADO!$I$5:$I$404,0),"")</f>
        <v/>
      </c>
      <c r="S1331" s="26" t="str">
        <f t="shared" si="61"/>
        <v/>
      </c>
      <c r="T1331" s="26" t="str">
        <f t="shared" si="62"/>
        <v/>
      </c>
    </row>
    <row r="1332" spans="1:20" x14ac:dyDescent="0.3">
      <c r="A1332" s="26" t="str">
        <f>IF(BASE_CAIXA!A1329="","",BASE_CAIXA!A1329)</f>
        <v/>
      </c>
      <c r="B1332" s="26" t="str">
        <f>IF(A1332="","",BASE_CAIXA!AL1329)</f>
        <v/>
      </c>
      <c r="C1332" s="26" t="str">
        <f>IF(A1332="","",BASE_CAIXA!AJ1329)</f>
        <v/>
      </c>
      <c r="D1332" s="26" t="str">
        <f>IF(A1332="","",IF(BASE_CAIXA!C1329="Entrada","Crédito","Débito"))</f>
        <v/>
      </c>
      <c r="E1332" s="26" t="str">
        <f>IF(A1332="","",BASE_CAIXA!AA1329)</f>
        <v/>
      </c>
      <c r="F1332" s="26" t="str">
        <f>IF(A1332="","",BASE_CAIXA!N1329)</f>
        <v/>
      </c>
      <c r="G1332" s="26" t="str">
        <f>IF(A1332="","",BASE_CAIXA!O1329)</f>
        <v/>
      </c>
      <c r="H1332" s="26" t="str">
        <f>IF(A1332="","",BASE_CAIXA!P1329)</f>
        <v/>
      </c>
      <c r="I1332" s="26" t="str">
        <f>IF(A1332="","",IF(BASE_CAIXA!H1329&lt;&gt;"",BASE_CAIXA!H1329,BASE_CAIXA!G1329))</f>
        <v/>
      </c>
      <c r="J1332" s="26" t="str">
        <f>IF(A1332="","",BASE_CAIXA!G1329)</f>
        <v/>
      </c>
      <c r="K1332" s="26" t="str">
        <f>IF(A1332="","",BASE_CAIXA!I1329)</f>
        <v/>
      </c>
      <c r="L1332" s="26" t="str">
        <f>IF(A1332="","",BASE_CAIXA!J1329)</f>
        <v/>
      </c>
      <c r="M1332" s="26" t="str">
        <f>IF(A1332="","",BASE_CAIXA!AM1329)</f>
        <v/>
      </c>
      <c r="N1332" s="26" t="str">
        <f t="shared" ca="1" si="60"/>
        <v/>
      </c>
      <c r="O1332" s="26" t="str">
        <f>IFERROR(INDEX(EXTRATO_IMPORTADO!$A$5:$A$404,MATCH(B1332,EXTRATO_IMPORTADO!$I$5:$I$404,0)),"")</f>
        <v/>
      </c>
      <c r="P1332" s="26" t="str">
        <f>IFERROR(INDEX(EXTRATO_IMPORTADO!$F$5:$F$404,MATCH(B1332,EXTRATO_IMPORTADO!$I$5:$I$404,0)),"")</f>
        <v/>
      </c>
      <c r="Q1332" s="26" t="str">
        <f>IFERROR(INDEX(EXTRATO_IMPORTADO!$B$5:$B$404,MATCH(B1332,EXTRATO_IMPORTADO!$I$5:$I$404,0)),"")</f>
        <v/>
      </c>
      <c r="R1332" s="26" t="str">
        <f>IFERROR(MATCH(B1332,EXTRATO_IMPORTADO!$I$5:$I$404,0),"")</f>
        <v/>
      </c>
      <c r="S1332" s="26" t="str">
        <f t="shared" si="61"/>
        <v/>
      </c>
      <c r="T1332" s="26" t="str">
        <f t="shared" si="62"/>
        <v/>
      </c>
    </row>
    <row r="1333" spans="1:20" x14ac:dyDescent="0.3">
      <c r="A1333" s="26" t="str">
        <f>IF(BASE_CAIXA!A1330="","",BASE_CAIXA!A1330)</f>
        <v/>
      </c>
      <c r="B1333" s="26" t="str">
        <f>IF(A1333="","",BASE_CAIXA!AL1330)</f>
        <v/>
      </c>
      <c r="C1333" s="26" t="str">
        <f>IF(A1333="","",BASE_CAIXA!AJ1330)</f>
        <v/>
      </c>
      <c r="D1333" s="26" t="str">
        <f>IF(A1333="","",IF(BASE_CAIXA!C1330="Entrada","Crédito","Débito"))</f>
        <v/>
      </c>
      <c r="E1333" s="26" t="str">
        <f>IF(A1333="","",BASE_CAIXA!AA1330)</f>
        <v/>
      </c>
      <c r="F1333" s="26" t="str">
        <f>IF(A1333="","",BASE_CAIXA!N1330)</f>
        <v/>
      </c>
      <c r="G1333" s="26" t="str">
        <f>IF(A1333="","",BASE_CAIXA!O1330)</f>
        <v/>
      </c>
      <c r="H1333" s="26" t="str">
        <f>IF(A1333="","",BASE_CAIXA!P1330)</f>
        <v/>
      </c>
      <c r="I1333" s="26" t="str">
        <f>IF(A1333="","",IF(BASE_CAIXA!H1330&lt;&gt;"",BASE_CAIXA!H1330,BASE_CAIXA!G1330))</f>
        <v/>
      </c>
      <c r="J1333" s="26" t="str">
        <f>IF(A1333="","",BASE_CAIXA!G1330)</f>
        <v/>
      </c>
      <c r="K1333" s="26" t="str">
        <f>IF(A1333="","",BASE_CAIXA!I1330)</f>
        <v/>
      </c>
      <c r="L1333" s="26" t="str">
        <f>IF(A1333="","",BASE_CAIXA!J1330)</f>
        <v/>
      </c>
      <c r="M1333" s="26" t="str">
        <f>IF(A1333="","",BASE_CAIXA!AM1330)</f>
        <v/>
      </c>
      <c r="N1333" s="26" t="str">
        <f t="shared" ca="1" si="60"/>
        <v/>
      </c>
      <c r="O1333" s="26" t="str">
        <f>IFERROR(INDEX(EXTRATO_IMPORTADO!$A$5:$A$404,MATCH(B1333,EXTRATO_IMPORTADO!$I$5:$I$404,0)),"")</f>
        <v/>
      </c>
      <c r="P1333" s="26" t="str">
        <f>IFERROR(INDEX(EXTRATO_IMPORTADO!$F$5:$F$404,MATCH(B1333,EXTRATO_IMPORTADO!$I$5:$I$404,0)),"")</f>
        <v/>
      </c>
      <c r="Q1333" s="26" t="str">
        <f>IFERROR(INDEX(EXTRATO_IMPORTADO!$B$5:$B$404,MATCH(B1333,EXTRATO_IMPORTADO!$I$5:$I$404,0)),"")</f>
        <v/>
      </c>
      <c r="R1333" s="26" t="str">
        <f>IFERROR(MATCH(B1333,EXTRATO_IMPORTADO!$I$5:$I$404,0),"")</f>
        <v/>
      </c>
      <c r="S1333" s="26" t="str">
        <f t="shared" si="61"/>
        <v/>
      </c>
      <c r="T1333" s="26" t="str">
        <f t="shared" si="62"/>
        <v/>
      </c>
    </row>
    <row r="1334" spans="1:20" x14ac:dyDescent="0.3">
      <c r="A1334" s="26" t="str">
        <f>IF(BASE_CAIXA!A1331="","",BASE_CAIXA!A1331)</f>
        <v/>
      </c>
      <c r="B1334" s="26" t="str">
        <f>IF(A1334="","",BASE_CAIXA!AL1331)</f>
        <v/>
      </c>
      <c r="C1334" s="26" t="str">
        <f>IF(A1334="","",BASE_CAIXA!AJ1331)</f>
        <v/>
      </c>
      <c r="D1334" s="26" t="str">
        <f>IF(A1334="","",IF(BASE_CAIXA!C1331="Entrada","Crédito","Débito"))</f>
        <v/>
      </c>
      <c r="E1334" s="26" t="str">
        <f>IF(A1334="","",BASE_CAIXA!AA1331)</f>
        <v/>
      </c>
      <c r="F1334" s="26" t="str">
        <f>IF(A1334="","",BASE_CAIXA!N1331)</f>
        <v/>
      </c>
      <c r="G1334" s="26" t="str">
        <f>IF(A1334="","",BASE_CAIXA!O1331)</f>
        <v/>
      </c>
      <c r="H1334" s="26" t="str">
        <f>IF(A1334="","",BASE_CAIXA!P1331)</f>
        <v/>
      </c>
      <c r="I1334" s="26" t="str">
        <f>IF(A1334="","",IF(BASE_CAIXA!H1331&lt;&gt;"",BASE_CAIXA!H1331,BASE_CAIXA!G1331))</f>
        <v/>
      </c>
      <c r="J1334" s="26" t="str">
        <f>IF(A1334="","",BASE_CAIXA!G1331)</f>
        <v/>
      </c>
      <c r="K1334" s="26" t="str">
        <f>IF(A1334="","",BASE_CAIXA!I1331)</f>
        <v/>
      </c>
      <c r="L1334" s="26" t="str">
        <f>IF(A1334="","",BASE_CAIXA!J1331)</f>
        <v/>
      </c>
      <c r="M1334" s="26" t="str">
        <f>IF(A1334="","",BASE_CAIXA!AM1331)</f>
        <v/>
      </c>
      <c r="N1334" s="26" t="str">
        <f t="shared" ca="1" si="60"/>
        <v/>
      </c>
      <c r="O1334" s="26" t="str">
        <f>IFERROR(INDEX(EXTRATO_IMPORTADO!$A$5:$A$404,MATCH(B1334,EXTRATO_IMPORTADO!$I$5:$I$404,0)),"")</f>
        <v/>
      </c>
      <c r="P1334" s="26" t="str">
        <f>IFERROR(INDEX(EXTRATO_IMPORTADO!$F$5:$F$404,MATCH(B1334,EXTRATO_IMPORTADO!$I$5:$I$404,0)),"")</f>
        <v/>
      </c>
      <c r="Q1334" s="26" t="str">
        <f>IFERROR(INDEX(EXTRATO_IMPORTADO!$B$5:$B$404,MATCH(B1334,EXTRATO_IMPORTADO!$I$5:$I$404,0)),"")</f>
        <v/>
      </c>
      <c r="R1334" s="26" t="str">
        <f>IFERROR(MATCH(B1334,EXTRATO_IMPORTADO!$I$5:$I$404,0),"")</f>
        <v/>
      </c>
      <c r="S1334" s="26" t="str">
        <f t="shared" si="61"/>
        <v/>
      </c>
      <c r="T1334" s="26" t="str">
        <f t="shared" si="62"/>
        <v/>
      </c>
    </row>
    <row r="1335" spans="1:20" x14ac:dyDescent="0.3">
      <c r="A1335" s="26" t="str">
        <f>IF(BASE_CAIXA!A1332="","",BASE_CAIXA!A1332)</f>
        <v/>
      </c>
      <c r="B1335" s="26" t="str">
        <f>IF(A1335="","",BASE_CAIXA!AL1332)</f>
        <v/>
      </c>
      <c r="C1335" s="26" t="str">
        <f>IF(A1335="","",BASE_CAIXA!AJ1332)</f>
        <v/>
      </c>
      <c r="D1335" s="26" t="str">
        <f>IF(A1335="","",IF(BASE_CAIXA!C1332="Entrada","Crédito","Débito"))</f>
        <v/>
      </c>
      <c r="E1335" s="26" t="str">
        <f>IF(A1335="","",BASE_CAIXA!AA1332)</f>
        <v/>
      </c>
      <c r="F1335" s="26" t="str">
        <f>IF(A1335="","",BASE_CAIXA!N1332)</f>
        <v/>
      </c>
      <c r="G1335" s="26" t="str">
        <f>IF(A1335="","",BASE_CAIXA!O1332)</f>
        <v/>
      </c>
      <c r="H1335" s="26" t="str">
        <f>IF(A1335="","",BASE_CAIXA!P1332)</f>
        <v/>
      </c>
      <c r="I1335" s="26" t="str">
        <f>IF(A1335="","",IF(BASE_CAIXA!H1332&lt;&gt;"",BASE_CAIXA!H1332,BASE_CAIXA!G1332))</f>
        <v/>
      </c>
      <c r="J1335" s="26" t="str">
        <f>IF(A1335="","",BASE_CAIXA!G1332)</f>
        <v/>
      </c>
      <c r="K1335" s="26" t="str">
        <f>IF(A1335="","",BASE_CAIXA!I1332)</f>
        <v/>
      </c>
      <c r="L1335" s="26" t="str">
        <f>IF(A1335="","",BASE_CAIXA!J1332)</f>
        <v/>
      </c>
      <c r="M1335" s="26" t="str">
        <f>IF(A1335="","",BASE_CAIXA!AM1332)</f>
        <v/>
      </c>
      <c r="N1335" s="26" t="str">
        <f t="shared" ca="1" si="60"/>
        <v/>
      </c>
      <c r="O1335" s="26" t="str">
        <f>IFERROR(INDEX(EXTRATO_IMPORTADO!$A$5:$A$404,MATCH(B1335,EXTRATO_IMPORTADO!$I$5:$I$404,0)),"")</f>
        <v/>
      </c>
      <c r="P1335" s="26" t="str">
        <f>IFERROR(INDEX(EXTRATO_IMPORTADO!$F$5:$F$404,MATCH(B1335,EXTRATO_IMPORTADO!$I$5:$I$404,0)),"")</f>
        <v/>
      </c>
      <c r="Q1335" s="26" t="str">
        <f>IFERROR(INDEX(EXTRATO_IMPORTADO!$B$5:$B$404,MATCH(B1335,EXTRATO_IMPORTADO!$I$5:$I$404,0)),"")</f>
        <v/>
      </c>
      <c r="R1335" s="26" t="str">
        <f>IFERROR(MATCH(B1335,EXTRATO_IMPORTADO!$I$5:$I$404,0),"")</f>
        <v/>
      </c>
      <c r="S1335" s="26" t="str">
        <f t="shared" si="61"/>
        <v/>
      </c>
      <c r="T1335" s="26" t="str">
        <f t="shared" si="62"/>
        <v/>
      </c>
    </row>
    <row r="1336" spans="1:20" x14ac:dyDescent="0.3">
      <c r="A1336" s="26" t="str">
        <f>IF(BASE_CAIXA!A1333="","",BASE_CAIXA!A1333)</f>
        <v/>
      </c>
      <c r="B1336" s="26" t="str">
        <f>IF(A1336="","",BASE_CAIXA!AL1333)</f>
        <v/>
      </c>
      <c r="C1336" s="26" t="str">
        <f>IF(A1336="","",BASE_CAIXA!AJ1333)</f>
        <v/>
      </c>
      <c r="D1336" s="26" t="str">
        <f>IF(A1336="","",IF(BASE_CAIXA!C1333="Entrada","Crédito","Débito"))</f>
        <v/>
      </c>
      <c r="E1336" s="26" t="str">
        <f>IF(A1336="","",BASE_CAIXA!AA1333)</f>
        <v/>
      </c>
      <c r="F1336" s="26" t="str">
        <f>IF(A1336="","",BASE_CAIXA!N1333)</f>
        <v/>
      </c>
      <c r="G1336" s="26" t="str">
        <f>IF(A1336="","",BASE_CAIXA!O1333)</f>
        <v/>
      </c>
      <c r="H1336" s="26" t="str">
        <f>IF(A1336="","",BASE_CAIXA!P1333)</f>
        <v/>
      </c>
      <c r="I1336" s="26" t="str">
        <f>IF(A1336="","",IF(BASE_CAIXA!H1333&lt;&gt;"",BASE_CAIXA!H1333,BASE_CAIXA!G1333))</f>
        <v/>
      </c>
      <c r="J1336" s="26" t="str">
        <f>IF(A1336="","",BASE_CAIXA!G1333)</f>
        <v/>
      </c>
      <c r="K1336" s="26" t="str">
        <f>IF(A1336="","",BASE_CAIXA!I1333)</f>
        <v/>
      </c>
      <c r="L1336" s="26" t="str">
        <f>IF(A1336="","",BASE_CAIXA!J1333)</f>
        <v/>
      </c>
      <c r="M1336" s="26" t="str">
        <f>IF(A1336="","",BASE_CAIXA!AM1333)</f>
        <v/>
      </c>
      <c r="N1336" s="26" t="str">
        <f t="shared" ca="1" si="60"/>
        <v/>
      </c>
      <c r="O1336" s="26" t="str">
        <f>IFERROR(INDEX(EXTRATO_IMPORTADO!$A$5:$A$404,MATCH(B1336,EXTRATO_IMPORTADO!$I$5:$I$404,0)),"")</f>
        <v/>
      </c>
      <c r="P1336" s="26" t="str">
        <f>IFERROR(INDEX(EXTRATO_IMPORTADO!$F$5:$F$404,MATCH(B1336,EXTRATO_IMPORTADO!$I$5:$I$404,0)),"")</f>
        <v/>
      </c>
      <c r="Q1336" s="26" t="str">
        <f>IFERROR(INDEX(EXTRATO_IMPORTADO!$B$5:$B$404,MATCH(B1336,EXTRATO_IMPORTADO!$I$5:$I$404,0)),"")</f>
        <v/>
      </c>
      <c r="R1336" s="26" t="str">
        <f>IFERROR(MATCH(B1336,EXTRATO_IMPORTADO!$I$5:$I$404,0),"")</f>
        <v/>
      </c>
      <c r="S1336" s="26" t="str">
        <f t="shared" si="61"/>
        <v/>
      </c>
      <c r="T1336" s="26" t="str">
        <f t="shared" si="62"/>
        <v/>
      </c>
    </row>
    <row r="1337" spans="1:20" x14ac:dyDescent="0.3">
      <c r="A1337" s="26" t="str">
        <f>IF(BASE_CAIXA!A1334="","",BASE_CAIXA!A1334)</f>
        <v/>
      </c>
      <c r="B1337" s="26" t="str">
        <f>IF(A1337="","",BASE_CAIXA!AL1334)</f>
        <v/>
      </c>
      <c r="C1337" s="26" t="str">
        <f>IF(A1337="","",BASE_CAIXA!AJ1334)</f>
        <v/>
      </c>
      <c r="D1337" s="26" t="str">
        <f>IF(A1337="","",IF(BASE_CAIXA!C1334="Entrada","Crédito","Débito"))</f>
        <v/>
      </c>
      <c r="E1337" s="26" t="str">
        <f>IF(A1337="","",BASE_CAIXA!AA1334)</f>
        <v/>
      </c>
      <c r="F1337" s="26" t="str">
        <f>IF(A1337="","",BASE_CAIXA!N1334)</f>
        <v/>
      </c>
      <c r="G1337" s="26" t="str">
        <f>IF(A1337="","",BASE_CAIXA!O1334)</f>
        <v/>
      </c>
      <c r="H1337" s="26" t="str">
        <f>IF(A1337="","",BASE_CAIXA!P1334)</f>
        <v/>
      </c>
      <c r="I1337" s="26" t="str">
        <f>IF(A1337="","",IF(BASE_CAIXA!H1334&lt;&gt;"",BASE_CAIXA!H1334,BASE_CAIXA!G1334))</f>
        <v/>
      </c>
      <c r="J1337" s="26" t="str">
        <f>IF(A1337="","",BASE_CAIXA!G1334)</f>
        <v/>
      </c>
      <c r="K1337" s="26" t="str">
        <f>IF(A1337="","",BASE_CAIXA!I1334)</f>
        <v/>
      </c>
      <c r="L1337" s="26" t="str">
        <f>IF(A1337="","",BASE_CAIXA!J1334)</f>
        <v/>
      </c>
      <c r="M1337" s="26" t="str">
        <f>IF(A1337="","",BASE_CAIXA!AM1334)</f>
        <v/>
      </c>
      <c r="N1337" s="26" t="str">
        <f t="shared" ca="1" si="60"/>
        <v/>
      </c>
      <c r="O1337" s="26" t="str">
        <f>IFERROR(INDEX(EXTRATO_IMPORTADO!$A$5:$A$404,MATCH(B1337,EXTRATO_IMPORTADO!$I$5:$I$404,0)),"")</f>
        <v/>
      </c>
      <c r="P1337" s="26" t="str">
        <f>IFERROR(INDEX(EXTRATO_IMPORTADO!$F$5:$F$404,MATCH(B1337,EXTRATO_IMPORTADO!$I$5:$I$404,0)),"")</f>
        <v/>
      </c>
      <c r="Q1337" s="26" t="str">
        <f>IFERROR(INDEX(EXTRATO_IMPORTADO!$B$5:$B$404,MATCH(B1337,EXTRATO_IMPORTADO!$I$5:$I$404,0)),"")</f>
        <v/>
      </c>
      <c r="R1337" s="26" t="str">
        <f>IFERROR(MATCH(B1337,EXTRATO_IMPORTADO!$I$5:$I$404,0),"")</f>
        <v/>
      </c>
      <c r="S1337" s="26" t="str">
        <f t="shared" si="61"/>
        <v/>
      </c>
      <c r="T1337" s="26" t="str">
        <f t="shared" si="62"/>
        <v/>
      </c>
    </row>
    <row r="1338" spans="1:20" x14ac:dyDescent="0.3">
      <c r="A1338" s="26" t="str">
        <f>IF(BASE_CAIXA!A1335="","",BASE_CAIXA!A1335)</f>
        <v/>
      </c>
      <c r="B1338" s="26" t="str">
        <f>IF(A1338="","",BASE_CAIXA!AL1335)</f>
        <v/>
      </c>
      <c r="C1338" s="26" t="str">
        <f>IF(A1338="","",BASE_CAIXA!AJ1335)</f>
        <v/>
      </c>
      <c r="D1338" s="26" t="str">
        <f>IF(A1338="","",IF(BASE_CAIXA!C1335="Entrada","Crédito","Débito"))</f>
        <v/>
      </c>
      <c r="E1338" s="26" t="str">
        <f>IF(A1338="","",BASE_CAIXA!AA1335)</f>
        <v/>
      </c>
      <c r="F1338" s="26" t="str">
        <f>IF(A1338="","",BASE_CAIXA!N1335)</f>
        <v/>
      </c>
      <c r="G1338" s="26" t="str">
        <f>IF(A1338="","",BASE_CAIXA!O1335)</f>
        <v/>
      </c>
      <c r="H1338" s="26" t="str">
        <f>IF(A1338="","",BASE_CAIXA!P1335)</f>
        <v/>
      </c>
      <c r="I1338" s="26" t="str">
        <f>IF(A1338="","",IF(BASE_CAIXA!H1335&lt;&gt;"",BASE_CAIXA!H1335,BASE_CAIXA!G1335))</f>
        <v/>
      </c>
      <c r="J1338" s="26" t="str">
        <f>IF(A1338="","",BASE_CAIXA!G1335)</f>
        <v/>
      </c>
      <c r="K1338" s="26" t="str">
        <f>IF(A1338="","",BASE_CAIXA!I1335)</f>
        <v/>
      </c>
      <c r="L1338" s="26" t="str">
        <f>IF(A1338="","",BASE_CAIXA!J1335)</f>
        <v/>
      </c>
      <c r="M1338" s="26" t="str">
        <f>IF(A1338="","",BASE_CAIXA!AM1335)</f>
        <v/>
      </c>
      <c r="N1338" s="26" t="str">
        <f t="shared" ca="1" si="60"/>
        <v/>
      </c>
      <c r="O1338" s="26" t="str">
        <f>IFERROR(INDEX(EXTRATO_IMPORTADO!$A$5:$A$404,MATCH(B1338,EXTRATO_IMPORTADO!$I$5:$I$404,0)),"")</f>
        <v/>
      </c>
      <c r="P1338" s="26" t="str">
        <f>IFERROR(INDEX(EXTRATO_IMPORTADO!$F$5:$F$404,MATCH(B1338,EXTRATO_IMPORTADO!$I$5:$I$404,0)),"")</f>
        <v/>
      </c>
      <c r="Q1338" s="26" t="str">
        <f>IFERROR(INDEX(EXTRATO_IMPORTADO!$B$5:$B$404,MATCH(B1338,EXTRATO_IMPORTADO!$I$5:$I$404,0)),"")</f>
        <v/>
      </c>
      <c r="R1338" s="26" t="str">
        <f>IFERROR(MATCH(B1338,EXTRATO_IMPORTADO!$I$5:$I$404,0),"")</f>
        <v/>
      </c>
      <c r="S1338" s="26" t="str">
        <f t="shared" si="61"/>
        <v/>
      </c>
      <c r="T1338" s="26" t="str">
        <f t="shared" si="62"/>
        <v/>
      </c>
    </row>
    <row r="1339" spans="1:20" x14ac:dyDescent="0.3">
      <c r="A1339" s="26" t="str">
        <f>IF(BASE_CAIXA!A1336="","",BASE_CAIXA!A1336)</f>
        <v/>
      </c>
      <c r="B1339" s="26" t="str">
        <f>IF(A1339="","",BASE_CAIXA!AL1336)</f>
        <v/>
      </c>
      <c r="C1339" s="26" t="str">
        <f>IF(A1339="","",BASE_CAIXA!AJ1336)</f>
        <v/>
      </c>
      <c r="D1339" s="26" t="str">
        <f>IF(A1339="","",IF(BASE_CAIXA!C1336="Entrada","Crédito","Débito"))</f>
        <v/>
      </c>
      <c r="E1339" s="26" t="str">
        <f>IF(A1339="","",BASE_CAIXA!AA1336)</f>
        <v/>
      </c>
      <c r="F1339" s="26" t="str">
        <f>IF(A1339="","",BASE_CAIXA!N1336)</f>
        <v/>
      </c>
      <c r="G1339" s="26" t="str">
        <f>IF(A1339="","",BASE_CAIXA!O1336)</f>
        <v/>
      </c>
      <c r="H1339" s="26" t="str">
        <f>IF(A1339="","",BASE_CAIXA!P1336)</f>
        <v/>
      </c>
      <c r="I1339" s="26" t="str">
        <f>IF(A1339="","",IF(BASE_CAIXA!H1336&lt;&gt;"",BASE_CAIXA!H1336,BASE_CAIXA!G1336))</f>
        <v/>
      </c>
      <c r="J1339" s="26" t="str">
        <f>IF(A1339="","",BASE_CAIXA!G1336)</f>
        <v/>
      </c>
      <c r="K1339" s="26" t="str">
        <f>IF(A1339="","",BASE_CAIXA!I1336)</f>
        <v/>
      </c>
      <c r="L1339" s="26" t="str">
        <f>IF(A1339="","",BASE_CAIXA!J1336)</f>
        <v/>
      </c>
      <c r="M1339" s="26" t="str">
        <f>IF(A1339="","",BASE_CAIXA!AM1336)</f>
        <v/>
      </c>
      <c r="N1339" s="26" t="str">
        <f t="shared" ca="1" si="60"/>
        <v/>
      </c>
      <c r="O1339" s="26" t="str">
        <f>IFERROR(INDEX(EXTRATO_IMPORTADO!$A$5:$A$404,MATCH(B1339,EXTRATO_IMPORTADO!$I$5:$I$404,0)),"")</f>
        <v/>
      </c>
      <c r="P1339" s="26" t="str">
        <f>IFERROR(INDEX(EXTRATO_IMPORTADO!$F$5:$F$404,MATCH(B1339,EXTRATO_IMPORTADO!$I$5:$I$404,0)),"")</f>
        <v/>
      </c>
      <c r="Q1339" s="26" t="str">
        <f>IFERROR(INDEX(EXTRATO_IMPORTADO!$B$5:$B$404,MATCH(B1339,EXTRATO_IMPORTADO!$I$5:$I$404,0)),"")</f>
        <v/>
      </c>
      <c r="R1339" s="26" t="str">
        <f>IFERROR(MATCH(B1339,EXTRATO_IMPORTADO!$I$5:$I$404,0),"")</f>
        <v/>
      </c>
      <c r="S1339" s="26" t="str">
        <f t="shared" si="61"/>
        <v/>
      </c>
      <c r="T1339" s="26" t="str">
        <f t="shared" si="62"/>
        <v/>
      </c>
    </row>
    <row r="1340" spans="1:20" x14ac:dyDescent="0.3">
      <c r="A1340" s="26" t="str">
        <f>IF(BASE_CAIXA!A1337="","",BASE_CAIXA!A1337)</f>
        <v/>
      </c>
      <c r="B1340" s="26" t="str">
        <f>IF(A1340="","",BASE_CAIXA!AL1337)</f>
        <v/>
      </c>
      <c r="C1340" s="26" t="str">
        <f>IF(A1340="","",BASE_CAIXA!AJ1337)</f>
        <v/>
      </c>
      <c r="D1340" s="26" t="str">
        <f>IF(A1340="","",IF(BASE_CAIXA!C1337="Entrada","Crédito","Débito"))</f>
        <v/>
      </c>
      <c r="E1340" s="26" t="str">
        <f>IF(A1340="","",BASE_CAIXA!AA1337)</f>
        <v/>
      </c>
      <c r="F1340" s="26" t="str">
        <f>IF(A1340="","",BASE_CAIXA!N1337)</f>
        <v/>
      </c>
      <c r="G1340" s="26" t="str">
        <f>IF(A1340="","",BASE_CAIXA!O1337)</f>
        <v/>
      </c>
      <c r="H1340" s="26" t="str">
        <f>IF(A1340="","",BASE_CAIXA!P1337)</f>
        <v/>
      </c>
      <c r="I1340" s="26" t="str">
        <f>IF(A1340="","",IF(BASE_CAIXA!H1337&lt;&gt;"",BASE_CAIXA!H1337,BASE_CAIXA!G1337))</f>
        <v/>
      </c>
      <c r="J1340" s="26" t="str">
        <f>IF(A1340="","",BASE_CAIXA!G1337)</f>
        <v/>
      </c>
      <c r="K1340" s="26" t="str">
        <f>IF(A1340="","",BASE_CAIXA!I1337)</f>
        <v/>
      </c>
      <c r="L1340" s="26" t="str">
        <f>IF(A1340="","",BASE_CAIXA!J1337)</f>
        <v/>
      </c>
      <c r="M1340" s="26" t="str">
        <f>IF(A1340="","",BASE_CAIXA!AM1337)</f>
        <v/>
      </c>
      <c r="N1340" s="26" t="str">
        <f t="shared" ca="1" si="60"/>
        <v/>
      </c>
      <c r="O1340" s="26" t="str">
        <f>IFERROR(INDEX(EXTRATO_IMPORTADO!$A$5:$A$404,MATCH(B1340,EXTRATO_IMPORTADO!$I$5:$I$404,0)),"")</f>
        <v/>
      </c>
      <c r="P1340" s="26" t="str">
        <f>IFERROR(INDEX(EXTRATO_IMPORTADO!$F$5:$F$404,MATCH(B1340,EXTRATO_IMPORTADO!$I$5:$I$404,0)),"")</f>
        <v/>
      </c>
      <c r="Q1340" s="26" t="str">
        <f>IFERROR(INDEX(EXTRATO_IMPORTADO!$B$5:$B$404,MATCH(B1340,EXTRATO_IMPORTADO!$I$5:$I$404,0)),"")</f>
        <v/>
      </c>
      <c r="R1340" s="26" t="str">
        <f>IFERROR(MATCH(B1340,EXTRATO_IMPORTADO!$I$5:$I$404,0),"")</f>
        <v/>
      </c>
      <c r="S1340" s="26" t="str">
        <f t="shared" si="61"/>
        <v/>
      </c>
      <c r="T1340" s="26" t="str">
        <f t="shared" si="62"/>
        <v/>
      </c>
    </row>
    <row r="1341" spans="1:20" x14ac:dyDescent="0.3">
      <c r="A1341" s="26" t="str">
        <f>IF(BASE_CAIXA!A1338="","",BASE_CAIXA!A1338)</f>
        <v/>
      </c>
      <c r="B1341" s="26" t="str">
        <f>IF(A1341="","",BASE_CAIXA!AL1338)</f>
        <v/>
      </c>
      <c r="C1341" s="26" t="str">
        <f>IF(A1341="","",BASE_CAIXA!AJ1338)</f>
        <v/>
      </c>
      <c r="D1341" s="26" t="str">
        <f>IF(A1341="","",IF(BASE_CAIXA!C1338="Entrada","Crédito","Débito"))</f>
        <v/>
      </c>
      <c r="E1341" s="26" t="str">
        <f>IF(A1341="","",BASE_CAIXA!AA1338)</f>
        <v/>
      </c>
      <c r="F1341" s="26" t="str">
        <f>IF(A1341="","",BASE_CAIXA!N1338)</f>
        <v/>
      </c>
      <c r="G1341" s="26" t="str">
        <f>IF(A1341="","",BASE_CAIXA!O1338)</f>
        <v/>
      </c>
      <c r="H1341" s="26" t="str">
        <f>IF(A1341="","",BASE_CAIXA!P1338)</f>
        <v/>
      </c>
      <c r="I1341" s="26" t="str">
        <f>IF(A1341="","",IF(BASE_CAIXA!H1338&lt;&gt;"",BASE_CAIXA!H1338,BASE_CAIXA!G1338))</f>
        <v/>
      </c>
      <c r="J1341" s="26" t="str">
        <f>IF(A1341="","",BASE_CAIXA!G1338)</f>
        <v/>
      </c>
      <c r="K1341" s="26" t="str">
        <f>IF(A1341="","",BASE_CAIXA!I1338)</f>
        <v/>
      </c>
      <c r="L1341" s="26" t="str">
        <f>IF(A1341="","",BASE_CAIXA!J1338)</f>
        <v/>
      </c>
      <c r="M1341" s="26" t="str">
        <f>IF(A1341="","",BASE_CAIXA!AM1338)</f>
        <v/>
      </c>
      <c r="N1341" s="26" t="str">
        <f t="shared" ca="1" si="60"/>
        <v/>
      </c>
      <c r="O1341" s="26" t="str">
        <f>IFERROR(INDEX(EXTRATO_IMPORTADO!$A$5:$A$404,MATCH(B1341,EXTRATO_IMPORTADO!$I$5:$I$404,0)),"")</f>
        <v/>
      </c>
      <c r="P1341" s="26" t="str">
        <f>IFERROR(INDEX(EXTRATO_IMPORTADO!$F$5:$F$404,MATCH(B1341,EXTRATO_IMPORTADO!$I$5:$I$404,0)),"")</f>
        <v/>
      </c>
      <c r="Q1341" s="26" t="str">
        <f>IFERROR(INDEX(EXTRATO_IMPORTADO!$B$5:$B$404,MATCH(B1341,EXTRATO_IMPORTADO!$I$5:$I$404,0)),"")</f>
        <v/>
      </c>
      <c r="R1341" s="26" t="str">
        <f>IFERROR(MATCH(B1341,EXTRATO_IMPORTADO!$I$5:$I$404,0),"")</f>
        <v/>
      </c>
      <c r="S1341" s="26" t="str">
        <f t="shared" si="61"/>
        <v/>
      </c>
      <c r="T1341" s="26" t="str">
        <f t="shared" si="62"/>
        <v/>
      </c>
    </row>
    <row r="1342" spans="1:20" x14ac:dyDescent="0.3">
      <c r="A1342" s="26" t="str">
        <f>IF(BASE_CAIXA!A1339="","",BASE_CAIXA!A1339)</f>
        <v/>
      </c>
      <c r="B1342" s="26" t="str">
        <f>IF(A1342="","",BASE_CAIXA!AL1339)</f>
        <v/>
      </c>
      <c r="C1342" s="26" t="str">
        <f>IF(A1342="","",BASE_CAIXA!AJ1339)</f>
        <v/>
      </c>
      <c r="D1342" s="26" t="str">
        <f>IF(A1342="","",IF(BASE_CAIXA!C1339="Entrada","Crédito","Débito"))</f>
        <v/>
      </c>
      <c r="E1342" s="26" t="str">
        <f>IF(A1342="","",BASE_CAIXA!AA1339)</f>
        <v/>
      </c>
      <c r="F1342" s="26" t="str">
        <f>IF(A1342="","",BASE_CAIXA!N1339)</f>
        <v/>
      </c>
      <c r="G1342" s="26" t="str">
        <f>IF(A1342="","",BASE_CAIXA!O1339)</f>
        <v/>
      </c>
      <c r="H1342" s="26" t="str">
        <f>IF(A1342="","",BASE_CAIXA!P1339)</f>
        <v/>
      </c>
      <c r="I1342" s="26" t="str">
        <f>IF(A1342="","",IF(BASE_CAIXA!H1339&lt;&gt;"",BASE_CAIXA!H1339,BASE_CAIXA!G1339))</f>
        <v/>
      </c>
      <c r="J1342" s="26" t="str">
        <f>IF(A1342="","",BASE_CAIXA!G1339)</f>
        <v/>
      </c>
      <c r="K1342" s="26" t="str">
        <f>IF(A1342="","",BASE_CAIXA!I1339)</f>
        <v/>
      </c>
      <c r="L1342" s="26" t="str">
        <f>IF(A1342="","",BASE_CAIXA!J1339)</f>
        <v/>
      </c>
      <c r="M1342" s="26" t="str">
        <f>IF(A1342="","",BASE_CAIXA!AM1339)</f>
        <v/>
      </c>
      <c r="N1342" s="26" t="str">
        <f t="shared" ca="1" si="60"/>
        <v/>
      </c>
      <c r="O1342" s="26" t="str">
        <f>IFERROR(INDEX(EXTRATO_IMPORTADO!$A$5:$A$404,MATCH(B1342,EXTRATO_IMPORTADO!$I$5:$I$404,0)),"")</f>
        <v/>
      </c>
      <c r="P1342" s="26" t="str">
        <f>IFERROR(INDEX(EXTRATO_IMPORTADO!$F$5:$F$404,MATCH(B1342,EXTRATO_IMPORTADO!$I$5:$I$404,0)),"")</f>
        <v/>
      </c>
      <c r="Q1342" s="26" t="str">
        <f>IFERROR(INDEX(EXTRATO_IMPORTADO!$B$5:$B$404,MATCH(B1342,EXTRATO_IMPORTADO!$I$5:$I$404,0)),"")</f>
        <v/>
      </c>
      <c r="R1342" s="26" t="str">
        <f>IFERROR(MATCH(B1342,EXTRATO_IMPORTADO!$I$5:$I$404,0),"")</f>
        <v/>
      </c>
      <c r="S1342" s="26" t="str">
        <f t="shared" si="61"/>
        <v/>
      </c>
      <c r="T1342" s="26" t="str">
        <f t="shared" si="62"/>
        <v/>
      </c>
    </row>
    <row r="1343" spans="1:20" x14ac:dyDescent="0.3">
      <c r="A1343" s="26" t="str">
        <f>IF(BASE_CAIXA!A1340="","",BASE_CAIXA!A1340)</f>
        <v/>
      </c>
      <c r="B1343" s="26" t="str">
        <f>IF(A1343="","",BASE_CAIXA!AL1340)</f>
        <v/>
      </c>
      <c r="C1343" s="26" t="str">
        <f>IF(A1343="","",BASE_CAIXA!AJ1340)</f>
        <v/>
      </c>
      <c r="D1343" s="26" t="str">
        <f>IF(A1343="","",IF(BASE_CAIXA!C1340="Entrada","Crédito","Débito"))</f>
        <v/>
      </c>
      <c r="E1343" s="26" t="str">
        <f>IF(A1343="","",BASE_CAIXA!AA1340)</f>
        <v/>
      </c>
      <c r="F1343" s="26" t="str">
        <f>IF(A1343="","",BASE_CAIXA!N1340)</f>
        <v/>
      </c>
      <c r="G1343" s="26" t="str">
        <f>IF(A1343="","",BASE_CAIXA!O1340)</f>
        <v/>
      </c>
      <c r="H1343" s="26" t="str">
        <f>IF(A1343="","",BASE_CAIXA!P1340)</f>
        <v/>
      </c>
      <c r="I1343" s="26" t="str">
        <f>IF(A1343="","",IF(BASE_CAIXA!H1340&lt;&gt;"",BASE_CAIXA!H1340,BASE_CAIXA!G1340))</f>
        <v/>
      </c>
      <c r="J1343" s="26" t="str">
        <f>IF(A1343="","",BASE_CAIXA!G1340)</f>
        <v/>
      </c>
      <c r="K1343" s="26" t="str">
        <f>IF(A1343="","",BASE_CAIXA!I1340)</f>
        <v/>
      </c>
      <c r="L1343" s="26" t="str">
        <f>IF(A1343="","",BASE_CAIXA!J1340)</f>
        <v/>
      </c>
      <c r="M1343" s="26" t="str">
        <f>IF(A1343="","",BASE_CAIXA!AM1340)</f>
        <v/>
      </c>
      <c r="N1343" s="26" t="str">
        <f t="shared" ca="1" si="60"/>
        <v/>
      </c>
      <c r="O1343" s="26" t="str">
        <f>IFERROR(INDEX(EXTRATO_IMPORTADO!$A$5:$A$404,MATCH(B1343,EXTRATO_IMPORTADO!$I$5:$I$404,0)),"")</f>
        <v/>
      </c>
      <c r="P1343" s="26" t="str">
        <f>IFERROR(INDEX(EXTRATO_IMPORTADO!$F$5:$F$404,MATCH(B1343,EXTRATO_IMPORTADO!$I$5:$I$404,0)),"")</f>
        <v/>
      </c>
      <c r="Q1343" s="26" t="str">
        <f>IFERROR(INDEX(EXTRATO_IMPORTADO!$B$5:$B$404,MATCH(B1343,EXTRATO_IMPORTADO!$I$5:$I$404,0)),"")</f>
        <v/>
      </c>
      <c r="R1343" s="26" t="str">
        <f>IFERROR(MATCH(B1343,EXTRATO_IMPORTADO!$I$5:$I$404,0),"")</f>
        <v/>
      </c>
      <c r="S1343" s="26" t="str">
        <f t="shared" si="61"/>
        <v/>
      </c>
      <c r="T1343" s="26" t="str">
        <f t="shared" si="62"/>
        <v/>
      </c>
    </row>
    <row r="1344" spans="1:20" x14ac:dyDescent="0.3">
      <c r="A1344" s="26" t="str">
        <f>IF(BASE_CAIXA!A1341="","",BASE_CAIXA!A1341)</f>
        <v/>
      </c>
      <c r="B1344" s="26" t="str">
        <f>IF(A1344="","",BASE_CAIXA!AL1341)</f>
        <v/>
      </c>
      <c r="C1344" s="26" t="str">
        <f>IF(A1344="","",BASE_CAIXA!AJ1341)</f>
        <v/>
      </c>
      <c r="D1344" s="26" t="str">
        <f>IF(A1344="","",IF(BASE_CAIXA!C1341="Entrada","Crédito","Débito"))</f>
        <v/>
      </c>
      <c r="E1344" s="26" t="str">
        <f>IF(A1344="","",BASE_CAIXA!AA1341)</f>
        <v/>
      </c>
      <c r="F1344" s="26" t="str">
        <f>IF(A1344="","",BASE_CAIXA!N1341)</f>
        <v/>
      </c>
      <c r="G1344" s="26" t="str">
        <f>IF(A1344="","",BASE_CAIXA!O1341)</f>
        <v/>
      </c>
      <c r="H1344" s="26" t="str">
        <f>IF(A1344="","",BASE_CAIXA!P1341)</f>
        <v/>
      </c>
      <c r="I1344" s="26" t="str">
        <f>IF(A1344="","",IF(BASE_CAIXA!H1341&lt;&gt;"",BASE_CAIXA!H1341,BASE_CAIXA!G1341))</f>
        <v/>
      </c>
      <c r="J1344" s="26" t="str">
        <f>IF(A1344="","",BASE_CAIXA!G1341)</f>
        <v/>
      </c>
      <c r="K1344" s="26" t="str">
        <f>IF(A1344="","",BASE_CAIXA!I1341)</f>
        <v/>
      </c>
      <c r="L1344" s="26" t="str">
        <f>IF(A1344="","",BASE_CAIXA!J1341)</f>
        <v/>
      </c>
      <c r="M1344" s="26" t="str">
        <f>IF(A1344="","",BASE_CAIXA!AM1341)</f>
        <v/>
      </c>
      <c r="N1344" s="26" t="str">
        <f t="shared" ca="1" si="60"/>
        <v/>
      </c>
      <c r="O1344" s="26" t="str">
        <f>IFERROR(INDEX(EXTRATO_IMPORTADO!$A$5:$A$404,MATCH(B1344,EXTRATO_IMPORTADO!$I$5:$I$404,0)),"")</f>
        <v/>
      </c>
      <c r="P1344" s="26" t="str">
        <f>IFERROR(INDEX(EXTRATO_IMPORTADO!$F$5:$F$404,MATCH(B1344,EXTRATO_IMPORTADO!$I$5:$I$404,0)),"")</f>
        <v/>
      </c>
      <c r="Q1344" s="26" t="str">
        <f>IFERROR(INDEX(EXTRATO_IMPORTADO!$B$5:$B$404,MATCH(B1344,EXTRATO_IMPORTADO!$I$5:$I$404,0)),"")</f>
        <v/>
      </c>
      <c r="R1344" s="26" t="str">
        <f>IFERROR(MATCH(B1344,EXTRATO_IMPORTADO!$I$5:$I$404,0),"")</f>
        <v/>
      </c>
      <c r="S1344" s="26" t="str">
        <f t="shared" si="61"/>
        <v/>
      </c>
      <c r="T1344" s="26" t="str">
        <f t="shared" si="62"/>
        <v/>
      </c>
    </row>
    <row r="1345" spans="1:20" x14ac:dyDescent="0.3">
      <c r="A1345" s="26" t="str">
        <f>IF(BASE_CAIXA!A1342="","",BASE_CAIXA!A1342)</f>
        <v/>
      </c>
      <c r="B1345" s="26" t="str">
        <f>IF(A1345="","",BASE_CAIXA!AL1342)</f>
        <v/>
      </c>
      <c r="C1345" s="26" t="str">
        <f>IF(A1345="","",BASE_CAIXA!AJ1342)</f>
        <v/>
      </c>
      <c r="D1345" s="26" t="str">
        <f>IF(A1345="","",IF(BASE_CAIXA!C1342="Entrada","Crédito","Débito"))</f>
        <v/>
      </c>
      <c r="E1345" s="26" t="str">
        <f>IF(A1345="","",BASE_CAIXA!AA1342)</f>
        <v/>
      </c>
      <c r="F1345" s="26" t="str">
        <f>IF(A1345="","",BASE_CAIXA!N1342)</f>
        <v/>
      </c>
      <c r="G1345" s="26" t="str">
        <f>IF(A1345="","",BASE_CAIXA!O1342)</f>
        <v/>
      </c>
      <c r="H1345" s="26" t="str">
        <f>IF(A1345="","",BASE_CAIXA!P1342)</f>
        <v/>
      </c>
      <c r="I1345" s="26" t="str">
        <f>IF(A1345="","",IF(BASE_CAIXA!H1342&lt;&gt;"",BASE_CAIXA!H1342,BASE_CAIXA!G1342))</f>
        <v/>
      </c>
      <c r="J1345" s="26" t="str">
        <f>IF(A1345="","",BASE_CAIXA!G1342)</f>
        <v/>
      </c>
      <c r="K1345" s="26" t="str">
        <f>IF(A1345="","",BASE_CAIXA!I1342)</f>
        <v/>
      </c>
      <c r="L1345" s="26" t="str">
        <f>IF(A1345="","",BASE_CAIXA!J1342)</f>
        <v/>
      </c>
      <c r="M1345" s="26" t="str">
        <f>IF(A1345="","",BASE_CAIXA!AM1342)</f>
        <v/>
      </c>
      <c r="N1345" s="26" t="str">
        <f t="shared" ca="1" si="60"/>
        <v/>
      </c>
      <c r="O1345" s="26" t="str">
        <f>IFERROR(INDEX(EXTRATO_IMPORTADO!$A$5:$A$404,MATCH(B1345,EXTRATO_IMPORTADO!$I$5:$I$404,0)),"")</f>
        <v/>
      </c>
      <c r="P1345" s="26" t="str">
        <f>IFERROR(INDEX(EXTRATO_IMPORTADO!$F$5:$F$404,MATCH(B1345,EXTRATO_IMPORTADO!$I$5:$I$404,0)),"")</f>
        <v/>
      </c>
      <c r="Q1345" s="26" t="str">
        <f>IFERROR(INDEX(EXTRATO_IMPORTADO!$B$5:$B$404,MATCH(B1345,EXTRATO_IMPORTADO!$I$5:$I$404,0)),"")</f>
        <v/>
      </c>
      <c r="R1345" s="26" t="str">
        <f>IFERROR(MATCH(B1345,EXTRATO_IMPORTADO!$I$5:$I$404,0),"")</f>
        <v/>
      </c>
      <c r="S1345" s="26" t="str">
        <f t="shared" si="61"/>
        <v/>
      </c>
      <c r="T1345" s="26" t="str">
        <f t="shared" si="62"/>
        <v/>
      </c>
    </row>
    <row r="1346" spans="1:20" x14ac:dyDescent="0.3">
      <c r="A1346" s="26" t="str">
        <f>IF(BASE_CAIXA!A1343="","",BASE_CAIXA!A1343)</f>
        <v/>
      </c>
      <c r="B1346" s="26" t="str">
        <f>IF(A1346="","",BASE_CAIXA!AL1343)</f>
        <v/>
      </c>
      <c r="C1346" s="26" t="str">
        <f>IF(A1346="","",BASE_CAIXA!AJ1343)</f>
        <v/>
      </c>
      <c r="D1346" s="26" t="str">
        <f>IF(A1346="","",IF(BASE_CAIXA!C1343="Entrada","Crédito","Débito"))</f>
        <v/>
      </c>
      <c r="E1346" s="26" t="str">
        <f>IF(A1346="","",BASE_CAIXA!AA1343)</f>
        <v/>
      </c>
      <c r="F1346" s="26" t="str">
        <f>IF(A1346="","",BASE_CAIXA!N1343)</f>
        <v/>
      </c>
      <c r="G1346" s="26" t="str">
        <f>IF(A1346="","",BASE_CAIXA!O1343)</f>
        <v/>
      </c>
      <c r="H1346" s="26" t="str">
        <f>IF(A1346="","",BASE_CAIXA!P1343)</f>
        <v/>
      </c>
      <c r="I1346" s="26" t="str">
        <f>IF(A1346="","",IF(BASE_CAIXA!H1343&lt;&gt;"",BASE_CAIXA!H1343,BASE_CAIXA!G1343))</f>
        <v/>
      </c>
      <c r="J1346" s="26" t="str">
        <f>IF(A1346="","",BASE_CAIXA!G1343)</f>
        <v/>
      </c>
      <c r="K1346" s="26" t="str">
        <f>IF(A1346="","",BASE_CAIXA!I1343)</f>
        <v/>
      </c>
      <c r="L1346" s="26" t="str">
        <f>IF(A1346="","",BASE_CAIXA!J1343)</f>
        <v/>
      </c>
      <c r="M1346" s="26" t="str">
        <f>IF(A1346="","",BASE_CAIXA!AM1343)</f>
        <v/>
      </c>
      <c r="N1346" s="26" t="str">
        <f t="shared" ca="1" si="60"/>
        <v/>
      </c>
      <c r="O1346" s="26" t="str">
        <f>IFERROR(INDEX(EXTRATO_IMPORTADO!$A$5:$A$404,MATCH(B1346,EXTRATO_IMPORTADO!$I$5:$I$404,0)),"")</f>
        <v/>
      </c>
      <c r="P1346" s="26" t="str">
        <f>IFERROR(INDEX(EXTRATO_IMPORTADO!$F$5:$F$404,MATCH(B1346,EXTRATO_IMPORTADO!$I$5:$I$404,0)),"")</f>
        <v/>
      </c>
      <c r="Q1346" s="26" t="str">
        <f>IFERROR(INDEX(EXTRATO_IMPORTADO!$B$5:$B$404,MATCH(B1346,EXTRATO_IMPORTADO!$I$5:$I$404,0)),"")</f>
        <v/>
      </c>
      <c r="R1346" s="26" t="str">
        <f>IFERROR(MATCH(B1346,EXTRATO_IMPORTADO!$I$5:$I$404,0),"")</f>
        <v/>
      </c>
      <c r="S1346" s="26" t="str">
        <f t="shared" si="61"/>
        <v/>
      </c>
      <c r="T1346" s="26" t="str">
        <f t="shared" si="62"/>
        <v/>
      </c>
    </row>
    <row r="1347" spans="1:20" x14ac:dyDescent="0.3">
      <c r="A1347" s="26" t="str">
        <f>IF(BASE_CAIXA!A1344="","",BASE_CAIXA!A1344)</f>
        <v/>
      </c>
      <c r="B1347" s="26" t="str">
        <f>IF(A1347="","",BASE_CAIXA!AL1344)</f>
        <v/>
      </c>
      <c r="C1347" s="26" t="str">
        <f>IF(A1347="","",BASE_CAIXA!AJ1344)</f>
        <v/>
      </c>
      <c r="D1347" s="26" t="str">
        <f>IF(A1347="","",IF(BASE_CAIXA!C1344="Entrada","Crédito","Débito"))</f>
        <v/>
      </c>
      <c r="E1347" s="26" t="str">
        <f>IF(A1347="","",BASE_CAIXA!AA1344)</f>
        <v/>
      </c>
      <c r="F1347" s="26" t="str">
        <f>IF(A1347="","",BASE_CAIXA!N1344)</f>
        <v/>
      </c>
      <c r="G1347" s="26" t="str">
        <f>IF(A1347="","",BASE_CAIXA!O1344)</f>
        <v/>
      </c>
      <c r="H1347" s="26" t="str">
        <f>IF(A1347="","",BASE_CAIXA!P1344)</f>
        <v/>
      </c>
      <c r="I1347" s="26" t="str">
        <f>IF(A1347="","",IF(BASE_CAIXA!H1344&lt;&gt;"",BASE_CAIXA!H1344,BASE_CAIXA!G1344))</f>
        <v/>
      </c>
      <c r="J1347" s="26" t="str">
        <f>IF(A1347="","",BASE_CAIXA!G1344)</f>
        <v/>
      </c>
      <c r="K1347" s="26" t="str">
        <f>IF(A1347="","",BASE_CAIXA!I1344)</f>
        <v/>
      </c>
      <c r="L1347" s="26" t="str">
        <f>IF(A1347="","",BASE_CAIXA!J1344)</f>
        <v/>
      </c>
      <c r="M1347" s="26" t="str">
        <f>IF(A1347="","",BASE_CAIXA!AM1344)</f>
        <v/>
      </c>
      <c r="N1347" s="26" t="str">
        <f t="shared" ca="1" si="60"/>
        <v/>
      </c>
      <c r="O1347" s="26" t="str">
        <f>IFERROR(INDEX(EXTRATO_IMPORTADO!$A$5:$A$404,MATCH(B1347,EXTRATO_IMPORTADO!$I$5:$I$404,0)),"")</f>
        <v/>
      </c>
      <c r="P1347" s="26" t="str">
        <f>IFERROR(INDEX(EXTRATO_IMPORTADO!$F$5:$F$404,MATCH(B1347,EXTRATO_IMPORTADO!$I$5:$I$404,0)),"")</f>
        <v/>
      </c>
      <c r="Q1347" s="26" t="str">
        <f>IFERROR(INDEX(EXTRATO_IMPORTADO!$B$5:$B$404,MATCH(B1347,EXTRATO_IMPORTADO!$I$5:$I$404,0)),"")</f>
        <v/>
      </c>
      <c r="R1347" s="26" t="str">
        <f>IFERROR(MATCH(B1347,EXTRATO_IMPORTADO!$I$5:$I$404,0),"")</f>
        <v/>
      </c>
      <c r="S1347" s="26" t="str">
        <f t="shared" si="61"/>
        <v/>
      </c>
      <c r="T1347" s="26" t="str">
        <f t="shared" si="62"/>
        <v/>
      </c>
    </row>
    <row r="1348" spans="1:20" x14ac:dyDescent="0.3">
      <c r="A1348" s="26" t="str">
        <f>IF(BASE_CAIXA!A1345="","",BASE_CAIXA!A1345)</f>
        <v/>
      </c>
      <c r="B1348" s="26" t="str">
        <f>IF(A1348="","",BASE_CAIXA!AL1345)</f>
        <v/>
      </c>
      <c r="C1348" s="26" t="str">
        <f>IF(A1348="","",BASE_CAIXA!AJ1345)</f>
        <v/>
      </c>
      <c r="D1348" s="26" t="str">
        <f>IF(A1348="","",IF(BASE_CAIXA!C1345="Entrada","Crédito","Débito"))</f>
        <v/>
      </c>
      <c r="E1348" s="26" t="str">
        <f>IF(A1348="","",BASE_CAIXA!AA1345)</f>
        <v/>
      </c>
      <c r="F1348" s="26" t="str">
        <f>IF(A1348="","",BASE_CAIXA!N1345)</f>
        <v/>
      </c>
      <c r="G1348" s="26" t="str">
        <f>IF(A1348="","",BASE_CAIXA!O1345)</f>
        <v/>
      </c>
      <c r="H1348" s="26" t="str">
        <f>IF(A1348="","",BASE_CAIXA!P1345)</f>
        <v/>
      </c>
      <c r="I1348" s="26" t="str">
        <f>IF(A1348="","",IF(BASE_CAIXA!H1345&lt;&gt;"",BASE_CAIXA!H1345,BASE_CAIXA!G1345))</f>
        <v/>
      </c>
      <c r="J1348" s="26" t="str">
        <f>IF(A1348="","",BASE_CAIXA!G1345)</f>
        <v/>
      </c>
      <c r="K1348" s="26" t="str">
        <f>IF(A1348="","",BASE_CAIXA!I1345)</f>
        <v/>
      </c>
      <c r="L1348" s="26" t="str">
        <f>IF(A1348="","",BASE_CAIXA!J1345)</f>
        <v/>
      </c>
      <c r="M1348" s="26" t="str">
        <f>IF(A1348="","",BASE_CAIXA!AM1345)</f>
        <v/>
      </c>
      <c r="N1348" s="26" t="str">
        <f t="shared" ca="1" si="60"/>
        <v/>
      </c>
      <c r="O1348" s="26" t="str">
        <f>IFERROR(INDEX(EXTRATO_IMPORTADO!$A$5:$A$404,MATCH(B1348,EXTRATO_IMPORTADO!$I$5:$I$404,0)),"")</f>
        <v/>
      </c>
      <c r="P1348" s="26" t="str">
        <f>IFERROR(INDEX(EXTRATO_IMPORTADO!$F$5:$F$404,MATCH(B1348,EXTRATO_IMPORTADO!$I$5:$I$404,0)),"")</f>
        <v/>
      </c>
      <c r="Q1348" s="26" t="str">
        <f>IFERROR(INDEX(EXTRATO_IMPORTADO!$B$5:$B$404,MATCH(B1348,EXTRATO_IMPORTADO!$I$5:$I$404,0)),"")</f>
        <v/>
      </c>
      <c r="R1348" s="26" t="str">
        <f>IFERROR(MATCH(B1348,EXTRATO_IMPORTADO!$I$5:$I$404,0),"")</f>
        <v/>
      </c>
      <c r="S1348" s="26" t="str">
        <f t="shared" si="61"/>
        <v/>
      </c>
      <c r="T1348" s="26" t="str">
        <f t="shared" si="62"/>
        <v/>
      </c>
    </row>
    <row r="1349" spans="1:20" x14ac:dyDescent="0.3">
      <c r="A1349" s="26" t="str">
        <f>IF(BASE_CAIXA!A1346="","",BASE_CAIXA!A1346)</f>
        <v/>
      </c>
      <c r="B1349" s="26" t="str">
        <f>IF(A1349="","",BASE_CAIXA!AL1346)</f>
        <v/>
      </c>
      <c r="C1349" s="26" t="str">
        <f>IF(A1349="","",BASE_CAIXA!AJ1346)</f>
        <v/>
      </c>
      <c r="D1349" s="26" t="str">
        <f>IF(A1349="","",IF(BASE_CAIXA!C1346="Entrada","Crédito","Débito"))</f>
        <v/>
      </c>
      <c r="E1349" s="26" t="str">
        <f>IF(A1349="","",BASE_CAIXA!AA1346)</f>
        <v/>
      </c>
      <c r="F1349" s="26" t="str">
        <f>IF(A1349="","",BASE_CAIXA!N1346)</f>
        <v/>
      </c>
      <c r="G1349" s="26" t="str">
        <f>IF(A1349="","",BASE_CAIXA!O1346)</f>
        <v/>
      </c>
      <c r="H1349" s="26" t="str">
        <f>IF(A1349="","",BASE_CAIXA!P1346)</f>
        <v/>
      </c>
      <c r="I1349" s="26" t="str">
        <f>IF(A1349="","",IF(BASE_CAIXA!H1346&lt;&gt;"",BASE_CAIXA!H1346,BASE_CAIXA!G1346))</f>
        <v/>
      </c>
      <c r="J1349" s="26" t="str">
        <f>IF(A1349="","",BASE_CAIXA!G1346)</f>
        <v/>
      </c>
      <c r="K1349" s="26" t="str">
        <f>IF(A1349="","",BASE_CAIXA!I1346)</f>
        <v/>
      </c>
      <c r="L1349" s="26" t="str">
        <f>IF(A1349="","",BASE_CAIXA!J1346)</f>
        <v/>
      </c>
      <c r="M1349" s="26" t="str">
        <f>IF(A1349="","",BASE_CAIXA!AM1346)</f>
        <v/>
      </c>
      <c r="N1349" s="26" t="str">
        <f t="shared" ref="N1349:N1412" ca="1" si="63">IF(A1349="","",IF(R1349&lt;&gt;"",IF(AND(ABS(S1349)&lt;=0.01,ABS(T1349)&lt;=3),"Conciliado","Divergente"),IF(TODAY()&gt;C1349,"Pendente vencido","Previsto")))</f>
        <v/>
      </c>
      <c r="O1349" s="26" t="str">
        <f>IFERROR(INDEX(EXTRATO_IMPORTADO!$A$5:$A$404,MATCH(B1349,EXTRATO_IMPORTADO!$I$5:$I$404,0)),"")</f>
        <v/>
      </c>
      <c r="P1349" s="26" t="str">
        <f>IFERROR(INDEX(EXTRATO_IMPORTADO!$F$5:$F$404,MATCH(B1349,EXTRATO_IMPORTADO!$I$5:$I$404,0)),"")</f>
        <v/>
      </c>
      <c r="Q1349" s="26" t="str">
        <f>IFERROR(INDEX(EXTRATO_IMPORTADO!$B$5:$B$404,MATCH(B1349,EXTRATO_IMPORTADO!$I$5:$I$404,0)),"")</f>
        <v/>
      </c>
      <c r="R1349" s="26" t="str">
        <f>IFERROR(MATCH(B1349,EXTRATO_IMPORTADO!$I$5:$I$404,0),"")</f>
        <v/>
      </c>
      <c r="S1349" s="26" t="str">
        <f t="shared" ref="S1349:S1412" si="64">IF(OR(A1349="",P1349=""),"",P1349-E1349)</f>
        <v/>
      </c>
      <c r="T1349" s="26" t="str">
        <f t="shared" ref="T1349:T1412" si="65">IF(OR(A1349="",O1349=""),"",O1349-C1349)</f>
        <v/>
      </c>
    </row>
    <row r="1350" spans="1:20" x14ac:dyDescent="0.3">
      <c r="A1350" s="26" t="str">
        <f>IF(BASE_CAIXA!A1347="","",BASE_CAIXA!A1347)</f>
        <v/>
      </c>
      <c r="B1350" s="26" t="str">
        <f>IF(A1350="","",BASE_CAIXA!AL1347)</f>
        <v/>
      </c>
      <c r="C1350" s="26" t="str">
        <f>IF(A1350="","",BASE_CAIXA!AJ1347)</f>
        <v/>
      </c>
      <c r="D1350" s="26" t="str">
        <f>IF(A1350="","",IF(BASE_CAIXA!C1347="Entrada","Crédito","Débito"))</f>
        <v/>
      </c>
      <c r="E1350" s="26" t="str">
        <f>IF(A1350="","",BASE_CAIXA!AA1347)</f>
        <v/>
      </c>
      <c r="F1350" s="26" t="str">
        <f>IF(A1350="","",BASE_CAIXA!N1347)</f>
        <v/>
      </c>
      <c r="G1350" s="26" t="str">
        <f>IF(A1350="","",BASE_CAIXA!O1347)</f>
        <v/>
      </c>
      <c r="H1350" s="26" t="str">
        <f>IF(A1350="","",BASE_CAIXA!P1347)</f>
        <v/>
      </c>
      <c r="I1350" s="26" t="str">
        <f>IF(A1350="","",IF(BASE_CAIXA!H1347&lt;&gt;"",BASE_CAIXA!H1347,BASE_CAIXA!G1347))</f>
        <v/>
      </c>
      <c r="J1350" s="26" t="str">
        <f>IF(A1350="","",BASE_CAIXA!G1347)</f>
        <v/>
      </c>
      <c r="K1350" s="26" t="str">
        <f>IF(A1350="","",BASE_CAIXA!I1347)</f>
        <v/>
      </c>
      <c r="L1350" s="26" t="str">
        <f>IF(A1350="","",BASE_CAIXA!J1347)</f>
        <v/>
      </c>
      <c r="M1350" s="26" t="str">
        <f>IF(A1350="","",BASE_CAIXA!AM1347)</f>
        <v/>
      </c>
      <c r="N1350" s="26" t="str">
        <f t="shared" ca="1" si="63"/>
        <v/>
      </c>
      <c r="O1350" s="26" t="str">
        <f>IFERROR(INDEX(EXTRATO_IMPORTADO!$A$5:$A$404,MATCH(B1350,EXTRATO_IMPORTADO!$I$5:$I$404,0)),"")</f>
        <v/>
      </c>
      <c r="P1350" s="26" t="str">
        <f>IFERROR(INDEX(EXTRATO_IMPORTADO!$F$5:$F$404,MATCH(B1350,EXTRATO_IMPORTADO!$I$5:$I$404,0)),"")</f>
        <v/>
      </c>
      <c r="Q1350" s="26" t="str">
        <f>IFERROR(INDEX(EXTRATO_IMPORTADO!$B$5:$B$404,MATCH(B1350,EXTRATO_IMPORTADO!$I$5:$I$404,0)),"")</f>
        <v/>
      </c>
      <c r="R1350" s="26" t="str">
        <f>IFERROR(MATCH(B1350,EXTRATO_IMPORTADO!$I$5:$I$404,0),"")</f>
        <v/>
      </c>
      <c r="S1350" s="26" t="str">
        <f t="shared" si="64"/>
        <v/>
      </c>
      <c r="T1350" s="26" t="str">
        <f t="shared" si="65"/>
        <v/>
      </c>
    </row>
    <row r="1351" spans="1:20" x14ac:dyDescent="0.3">
      <c r="A1351" s="26" t="str">
        <f>IF(BASE_CAIXA!A1348="","",BASE_CAIXA!A1348)</f>
        <v/>
      </c>
      <c r="B1351" s="26" t="str">
        <f>IF(A1351="","",BASE_CAIXA!AL1348)</f>
        <v/>
      </c>
      <c r="C1351" s="26" t="str">
        <f>IF(A1351="","",BASE_CAIXA!AJ1348)</f>
        <v/>
      </c>
      <c r="D1351" s="26" t="str">
        <f>IF(A1351="","",IF(BASE_CAIXA!C1348="Entrada","Crédito","Débito"))</f>
        <v/>
      </c>
      <c r="E1351" s="26" t="str">
        <f>IF(A1351="","",BASE_CAIXA!AA1348)</f>
        <v/>
      </c>
      <c r="F1351" s="26" t="str">
        <f>IF(A1351="","",BASE_CAIXA!N1348)</f>
        <v/>
      </c>
      <c r="G1351" s="26" t="str">
        <f>IF(A1351="","",BASE_CAIXA!O1348)</f>
        <v/>
      </c>
      <c r="H1351" s="26" t="str">
        <f>IF(A1351="","",BASE_CAIXA!P1348)</f>
        <v/>
      </c>
      <c r="I1351" s="26" t="str">
        <f>IF(A1351="","",IF(BASE_CAIXA!H1348&lt;&gt;"",BASE_CAIXA!H1348,BASE_CAIXA!G1348))</f>
        <v/>
      </c>
      <c r="J1351" s="26" t="str">
        <f>IF(A1351="","",BASE_CAIXA!G1348)</f>
        <v/>
      </c>
      <c r="K1351" s="26" t="str">
        <f>IF(A1351="","",BASE_CAIXA!I1348)</f>
        <v/>
      </c>
      <c r="L1351" s="26" t="str">
        <f>IF(A1351="","",BASE_CAIXA!J1348)</f>
        <v/>
      </c>
      <c r="M1351" s="26" t="str">
        <f>IF(A1351="","",BASE_CAIXA!AM1348)</f>
        <v/>
      </c>
      <c r="N1351" s="26" t="str">
        <f t="shared" ca="1" si="63"/>
        <v/>
      </c>
      <c r="O1351" s="26" t="str">
        <f>IFERROR(INDEX(EXTRATO_IMPORTADO!$A$5:$A$404,MATCH(B1351,EXTRATO_IMPORTADO!$I$5:$I$404,0)),"")</f>
        <v/>
      </c>
      <c r="P1351" s="26" t="str">
        <f>IFERROR(INDEX(EXTRATO_IMPORTADO!$F$5:$F$404,MATCH(B1351,EXTRATO_IMPORTADO!$I$5:$I$404,0)),"")</f>
        <v/>
      </c>
      <c r="Q1351" s="26" t="str">
        <f>IFERROR(INDEX(EXTRATO_IMPORTADO!$B$5:$B$404,MATCH(B1351,EXTRATO_IMPORTADO!$I$5:$I$404,0)),"")</f>
        <v/>
      </c>
      <c r="R1351" s="26" t="str">
        <f>IFERROR(MATCH(B1351,EXTRATO_IMPORTADO!$I$5:$I$404,0),"")</f>
        <v/>
      </c>
      <c r="S1351" s="26" t="str">
        <f t="shared" si="64"/>
        <v/>
      </c>
      <c r="T1351" s="26" t="str">
        <f t="shared" si="65"/>
        <v/>
      </c>
    </row>
    <row r="1352" spans="1:20" x14ac:dyDescent="0.3">
      <c r="A1352" s="26" t="str">
        <f>IF(BASE_CAIXA!A1349="","",BASE_CAIXA!A1349)</f>
        <v/>
      </c>
      <c r="B1352" s="26" t="str">
        <f>IF(A1352="","",BASE_CAIXA!AL1349)</f>
        <v/>
      </c>
      <c r="C1352" s="26" t="str">
        <f>IF(A1352="","",BASE_CAIXA!AJ1349)</f>
        <v/>
      </c>
      <c r="D1352" s="26" t="str">
        <f>IF(A1352="","",IF(BASE_CAIXA!C1349="Entrada","Crédito","Débito"))</f>
        <v/>
      </c>
      <c r="E1352" s="26" t="str">
        <f>IF(A1352="","",BASE_CAIXA!AA1349)</f>
        <v/>
      </c>
      <c r="F1352" s="26" t="str">
        <f>IF(A1352="","",BASE_CAIXA!N1349)</f>
        <v/>
      </c>
      <c r="G1352" s="26" t="str">
        <f>IF(A1352="","",BASE_CAIXA!O1349)</f>
        <v/>
      </c>
      <c r="H1352" s="26" t="str">
        <f>IF(A1352="","",BASE_CAIXA!P1349)</f>
        <v/>
      </c>
      <c r="I1352" s="26" t="str">
        <f>IF(A1352="","",IF(BASE_CAIXA!H1349&lt;&gt;"",BASE_CAIXA!H1349,BASE_CAIXA!G1349))</f>
        <v/>
      </c>
      <c r="J1352" s="26" t="str">
        <f>IF(A1352="","",BASE_CAIXA!G1349)</f>
        <v/>
      </c>
      <c r="K1352" s="26" t="str">
        <f>IF(A1352="","",BASE_CAIXA!I1349)</f>
        <v/>
      </c>
      <c r="L1352" s="26" t="str">
        <f>IF(A1352="","",BASE_CAIXA!J1349)</f>
        <v/>
      </c>
      <c r="M1352" s="26" t="str">
        <f>IF(A1352="","",BASE_CAIXA!AM1349)</f>
        <v/>
      </c>
      <c r="N1352" s="26" t="str">
        <f t="shared" ca="1" si="63"/>
        <v/>
      </c>
      <c r="O1352" s="26" t="str">
        <f>IFERROR(INDEX(EXTRATO_IMPORTADO!$A$5:$A$404,MATCH(B1352,EXTRATO_IMPORTADO!$I$5:$I$404,0)),"")</f>
        <v/>
      </c>
      <c r="P1352" s="26" t="str">
        <f>IFERROR(INDEX(EXTRATO_IMPORTADO!$F$5:$F$404,MATCH(B1352,EXTRATO_IMPORTADO!$I$5:$I$404,0)),"")</f>
        <v/>
      </c>
      <c r="Q1352" s="26" t="str">
        <f>IFERROR(INDEX(EXTRATO_IMPORTADO!$B$5:$B$404,MATCH(B1352,EXTRATO_IMPORTADO!$I$5:$I$404,0)),"")</f>
        <v/>
      </c>
      <c r="R1352" s="26" t="str">
        <f>IFERROR(MATCH(B1352,EXTRATO_IMPORTADO!$I$5:$I$404,0),"")</f>
        <v/>
      </c>
      <c r="S1352" s="26" t="str">
        <f t="shared" si="64"/>
        <v/>
      </c>
      <c r="T1352" s="26" t="str">
        <f t="shared" si="65"/>
        <v/>
      </c>
    </row>
    <row r="1353" spans="1:20" x14ac:dyDescent="0.3">
      <c r="A1353" s="26" t="str">
        <f>IF(BASE_CAIXA!A1350="","",BASE_CAIXA!A1350)</f>
        <v/>
      </c>
      <c r="B1353" s="26" t="str">
        <f>IF(A1353="","",BASE_CAIXA!AL1350)</f>
        <v/>
      </c>
      <c r="C1353" s="26" t="str">
        <f>IF(A1353="","",BASE_CAIXA!AJ1350)</f>
        <v/>
      </c>
      <c r="D1353" s="26" t="str">
        <f>IF(A1353="","",IF(BASE_CAIXA!C1350="Entrada","Crédito","Débito"))</f>
        <v/>
      </c>
      <c r="E1353" s="26" t="str">
        <f>IF(A1353="","",BASE_CAIXA!AA1350)</f>
        <v/>
      </c>
      <c r="F1353" s="26" t="str">
        <f>IF(A1353="","",BASE_CAIXA!N1350)</f>
        <v/>
      </c>
      <c r="G1353" s="26" t="str">
        <f>IF(A1353="","",BASE_CAIXA!O1350)</f>
        <v/>
      </c>
      <c r="H1353" s="26" t="str">
        <f>IF(A1353="","",BASE_CAIXA!P1350)</f>
        <v/>
      </c>
      <c r="I1353" s="26" t="str">
        <f>IF(A1353="","",IF(BASE_CAIXA!H1350&lt;&gt;"",BASE_CAIXA!H1350,BASE_CAIXA!G1350))</f>
        <v/>
      </c>
      <c r="J1353" s="26" t="str">
        <f>IF(A1353="","",BASE_CAIXA!G1350)</f>
        <v/>
      </c>
      <c r="K1353" s="26" t="str">
        <f>IF(A1353="","",BASE_CAIXA!I1350)</f>
        <v/>
      </c>
      <c r="L1353" s="26" t="str">
        <f>IF(A1353="","",BASE_CAIXA!J1350)</f>
        <v/>
      </c>
      <c r="M1353" s="26" t="str">
        <f>IF(A1353="","",BASE_CAIXA!AM1350)</f>
        <v/>
      </c>
      <c r="N1353" s="26" t="str">
        <f t="shared" ca="1" si="63"/>
        <v/>
      </c>
      <c r="O1353" s="26" t="str">
        <f>IFERROR(INDEX(EXTRATO_IMPORTADO!$A$5:$A$404,MATCH(B1353,EXTRATO_IMPORTADO!$I$5:$I$404,0)),"")</f>
        <v/>
      </c>
      <c r="P1353" s="26" t="str">
        <f>IFERROR(INDEX(EXTRATO_IMPORTADO!$F$5:$F$404,MATCH(B1353,EXTRATO_IMPORTADO!$I$5:$I$404,0)),"")</f>
        <v/>
      </c>
      <c r="Q1353" s="26" t="str">
        <f>IFERROR(INDEX(EXTRATO_IMPORTADO!$B$5:$B$404,MATCH(B1353,EXTRATO_IMPORTADO!$I$5:$I$404,0)),"")</f>
        <v/>
      </c>
      <c r="R1353" s="26" t="str">
        <f>IFERROR(MATCH(B1353,EXTRATO_IMPORTADO!$I$5:$I$404,0),"")</f>
        <v/>
      </c>
      <c r="S1353" s="26" t="str">
        <f t="shared" si="64"/>
        <v/>
      </c>
      <c r="T1353" s="26" t="str">
        <f t="shared" si="65"/>
        <v/>
      </c>
    </row>
    <row r="1354" spans="1:20" x14ac:dyDescent="0.3">
      <c r="A1354" s="26" t="str">
        <f>IF(BASE_CAIXA!A1351="","",BASE_CAIXA!A1351)</f>
        <v/>
      </c>
      <c r="B1354" s="26" t="str">
        <f>IF(A1354="","",BASE_CAIXA!AL1351)</f>
        <v/>
      </c>
      <c r="C1354" s="26" t="str">
        <f>IF(A1354="","",BASE_CAIXA!AJ1351)</f>
        <v/>
      </c>
      <c r="D1354" s="26" t="str">
        <f>IF(A1354="","",IF(BASE_CAIXA!C1351="Entrada","Crédito","Débito"))</f>
        <v/>
      </c>
      <c r="E1354" s="26" t="str">
        <f>IF(A1354="","",BASE_CAIXA!AA1351)</f>
        <v/>
      </c>
      <c r="F1354" s="26" t="str">
        <f>IF(A1354="","",BASE_CAIXA!N1351)</f>
        <v/>
      </c>
      <c r="G1354" s="26" t="str">
        <f>IF(A1354="","",BASE_CAIXA!O1351)</f>
        <v/>
      </c>
      <c r="H1354" s="26" t="str">
        <f>IF(A1354="","",BASE_CAIXA!P1351)</f>
        <v/>
      </c>
      <c r="I1354" s="26" t="str">
        <f>IF(A1354="","",IF(BASE_CAIXA!H1351&lt;&gt;"",BASE_CAIXA!H1351,BASE_CAIXA!G1351))</f>
        <v/>
      </c>
      <c r="J1354" s="26" t="str">
        <f>IF(A1354="","",BASE_CAIXA!G1351)</f>
        <v/>
      </c>
      <c r="K1354" s="26" t="str">
        <f>IF(A1354="","",BASE_CAIXA!I1351)</f>
        <v/>
      </c>
      <c r="L1354" s="26" t="str">
        <f>IF(A1354="","",BASE_CAIXA!J1351)</f>
        <v/>
      </c>
      <c r="M1354" s="26" t="str">
        <f>IF(A1354="","",BASE_CAIXA!AM1351)</f>
        <v/>
      </c>
      <c r="N1354" s="26" t="str">
        <f t="shared" ca="1" si="63"/>
        <v/>
      </c>
      <c r="O1354" s="26" t="str">
        <f>IFERROR(INDEX(EXTRATO_IMPORTADO!$A$5:$A$404,MATCH(B1354,EXTRATO_IMPORTADO!$I$5:$I$404,0)),"")</f>
        <v/>
      </c>
      <c r="P1354" s="26" t="str">
        <f>IFERROR(INDEX(EXTRATO_IMPORTADO!$F$5:$F$404,MATCH(B1354,EXTRATO_IMPORTADO!$I$5:$I$404,0)),"")</f>
        <v/>
      </c>
      <c r="Q1354" s="26" t="str">
        <f>IFERROR(INDEX(EXTRATO_IMPORTADO!$B$5:$B$404,MATCH(B1354,EXTRATO_IMPORTADO!$I$5:$I$404,0)),"")</f>
        <v/>
      </c>
      <c r="R1354" s="26" t="str">
        <f>IFERROR(MATCH(B1354,EXTRATO_IMPORTADO!$I$5:$I$404,0),"")</f>
        <v/>
      </c>
      <c r="S1354" s="26" t="str">
        <f t="shared" si="64"/>
        <v/>
      </c>
      <c r="T1354" s="26" t="str">
        <f t="shared" si="65"/>
        <v/>
      </c>
    </row>
    <row r="1355" spans="1:20" x14ac:dyDescent="0.3">
      <c r="A1355" s="26" t="str">
        <f>IF(BASE_CAIXA!A1352="","",BASE_CAIXA!A1352)</f>
        <v/>
      </c>
      <c r="B1355" s="26" t="str">
        <f>IF(A1355="","",BASE_CAIXA!AL1352)</f>
        <v/>
      </c>
      <c r="C1355" s="26" t="str">
        <f>IF(A1355="","",BASE_CAIXA!AJ1352)</f>
        <v/>
      </c>
      <c r="D1355" s="26" t="str">
        <f>IF(A1355="","",IF(BASE_CAIXA!C1352="Entrada","Crédito","Débito"))</f>
        <v/>
      </c>
      <c r="E1355" s="26" t="str">
        <f>IF(A1355="","",BASE_CAIXA!AA1352)</f>
        <v/>
      </c>
      <c r="F1355" s="26" t="str">
        <f>IF(A1355="","",BASE_CAIXA!N1352)</f>
        <v/>
      </c>
      <c r="G1355" s="26" t="str">
        <f>IF(A1355="","",BASE_CAIXA!O1352)</f>
        <v/>
      </c>
      <c r="H1355" s="26" t="str">
        <f>IF(A1355="","",BASE_CAIXA!P1352)</f>
        <v/>
      </c>
      <c r="I1355" s="26" t="str">
        <f>IF(A1355="","",IF(BASE_CAIXA!H1352&lt;&gt;"",BASE_CAIXA!H1352,BASE_CAIXA!G1352))</f>
        <v/>
      </c>
      <c r="J1355" s="26" t="str">
        <f>IF(A1355="","",BASE_CAIXA!G1352)</f>
        <v/>
      </c>
      <c r="K1355" s="26" t="str">
        <f>IF(A1355="","",BASE_CAIXA!I1352)</f>
        <v/>
      </c>
      <c r="L1355" s="26" t="str">
        <f>IF(A1355="","",BASE_CAIXA!J1352)</f>
        <v/>
      </c>
      <c r="M1355" s="26" t="str">
        <f>IF(A1355="","",BASE_CAIXA!AM1352)</f>
        <v/>
      </c>
      <c r="N1355" s="26" t="str">
        <f t="shared" ca="1" si="63"/>
        <v/>
      </c>
      <c r="O1355" s="26" t="str">
        <f>IFERROR(INDEX(EXTRATO_IMPORTADO!$A$5:$A$404,MATCH(B1355,EXTRATO_IMPORTADO!$I$5:$I$404,0)),"")</f>
        <v/>
      </c>
      <c r="P1355" s="26" t="str">
        <f>IFERROR(INDEX(EXTRATO_IMPORTADO!$F$5:$F$404,MATCH(B1355,EXTRATO_IMPORTADO!$I$5:$I$404,0)),"")</f>
        <v/>
      </c>
      <c r="Q1355" s="26" t="str">
        <f>IFERROR(INDEX(EXTRATO_IMPORTADO!$B$5:$B$404,MATCH(B1355,EXTRATO_IMPORTADO!$I$5:$I$404,0)),"")</f>
        <v/>
      </c>
      <c r="R1355" s="26" t="str">
        <f>IFERROR(MATCH(B1355,EXTRATO_IMPORTADO!$I$5:$I$404,0),"")</f>
        <v/>
      </c>
      <c r="S1355" s="26" t="str">
        <f t="shared" si="64"/>
        <v/>
      </c>
      <c r="T1355" s="26" t="str">
        <f t="shared" si="65"/>
        <v/>
      </c>
    </row>
    <row r="1356" spans="1:20" x14ac:dyDescent="0.3">
      <c r="A1356" s="26" t="str">
        <f>IF(BASE_CAIXA!A1353="","",BASE_CAIXA!A1353)</f>
        <v/>
      </c>
      <c r="B1356" s="26" t="str">
        <f>IF(A1356="","",BASE_CAIXA!AL1353)</f>
        <v/>
      </c>
      <c r="C1356" s="26" t="str">
        <f>IF(A1356="","",BASE_CAIXA!AJ1353)</f>
        <v/>
      </c>
      <c r="D1356" s="26" t="str">
        <f>IF(A1356="","",IF(BASE_CAIXA!C1353="Entrada","Crédito","Débito"))</f>
        <v/>
      </c>
      <c r="E1356" s="26" t="str">
        <f>IF(A1356="","",BASE_CAIXA!AA1353)</f>
        <v/>
      </c>
      <c r="F1356" s="26" t="str">
        <f>IF(A1356="","",BASE_CAIXA!N1353)</f>
        <v/>
      </c>
      <c r="G1356" s="26" t="str">
        <f>IF(A1356="","",BASE_CAIXA!O1353)</f>
        <v/>
      </c>
      <c r="H1356" s="26" t="str">
        <f>IF(A1356="","",BASE_CAIXA!P1353)</f>
        <v/>
      </c>
      <c r="I1356" s="26" t="str">
        <f>IF(A1356="","",IF(BASE_CAIXA!H1353&lt;&gt;"",BASE_CAIXA!H1353,BASE_CAIXA!G1353))</f>
        <v/>
      </c>
      <c r="J1356" s="26" t="str">
        <f>IF(A1356="","",BASE_CAIXA!G1353)</f>
        <v/>
      </c>
      <c r="K1356" s="26" t="str">
        <f>IF(A1356="","",BASE_CAIXA!I1353)</f>
        <v/>
      </c>
      <c r="L1356" s="26" t="str">
        <f>IF(A1356="","",BASE_CAIXA!J1353)</f>
        <v/>
      </c>
      <c r="M1356" s="26" t="str">
        <f>IF(A1356="","",BASE_CAIXA!AM1353)</f>
        <v/>
      </c>
      <c r="N1356" s="26" t="str">
        <f t="shared" ca="1" si="63"/>
        <v/>
      </c>
      <c r="O1356" s="26" t="str">
        <f>IFERROR(INDEX(EXTRATO_IMPORTADO!$A$5:$A$404,MATCH(B1356,EXTRATO_IMPORTADO!$I$5:$I$404,0)),"")</f>
        <v/>
      </c>
      <c r="P1356" s="26" t="str">
        <f>IFERROR(INDEX(EXTRATO_IMPORTADO!$F$5:$F$404,MATCH(B1356,EXTRATO_IMPORTADO!$I$5:$I$404,0)),"")</f>
        <v/>
      </c>
      <c r="Q1356" s="26" t="str">
        <f>IFERROR(INDEX(EXTRATO_IMPORTADO!$B$5:$B$404,MATCH(B1356,EXTRATO_IMPORTADO!$I$5:$I$404,0)),"")</f>
        <v/>
      </c>
      <c r="R1356" s="26" t="str">
        <f>IFERROR(MATCH(B1356,EXTRATO_IMPORTADO!$I$5:$I$404,0),"")</f>
        <v/>
      </c>
      <c r="S1356" s="26" t="str">
        <f t="shared" si="64"/>
        <v/>
      </c>
      <c r="T1356" s="26" t="str">
        <f t="shared" si="65"/>
        <v/>
      </c>
    </row>
    <row r="1357" spans="1:20" x14ac:dyDescent="0.3">
      <c r="A1357" s="26" t="str">
        <f>IF(BASE_CAIXA!A1354="","",BASE_CAIXA!A1354)</f>
        <v/>
      </c>
      <c r="B1357" s="26" t="str">
        <f>IF(A1357="","",BASE_CAIXA!AL1354)</f>
        <v/>
      </c>
      <c r="C1357" s="26" t="str">
        <f>IF(A1357="","",BASE_CAIXA!AJ1354)</f>
        <v/>
      </c>
      <c r="D1357" s="26" t="str">
        <f>IF(A1357="","",IF(BASE_CAIXA!C1354="Entrada","Crédito","Débito"))</f>
        <v/>
      </c>
      <c r="E1357" s="26" t="str">
        <f>IF(A1357="","",BASE_CAIXA!AA1354)</f>
        <v/>
      </c>
      <c r="F1357" s="26" t="str">
        <f>IF(A1357="","",BASE_CAIXA!N1354)</f>
        <v/>
      </c>
      <c r="G1357" s="26" t="str">
        <f>IF(A1357="","",BASE_CAIXA!O1354)</f>
        <v/>
      </c>
      <c r="H1357" s="26" t="str">
        <f>IF(A1357="","",BASE_CAIXA!P1354)</f>
        <v/>
      </c>
      <c r="I1357" s="26" t="str">
        <f>IF(A1357="","",IF(BASE_CAIXA!H1354&lt;&gt;"",BASE_CAIXA!H1354,BASE_CAIXA!G1354))</f>
        <v/>
      </c>
      <c r="J1357" s="26" t="str">
        <f>IF(A1357="","",BASE_CAIXA!G1354)</f>
        <v/>
      </c>
      <c r="K1357" s="26" t="str">
        <f>IF(A1357="","",BASE_CAIXA!I1354)</f>
        <v/>
      </c>
      <c r="L1357" s="26" t="str">
        <f>IF(A1357="","",BASE_CAIXA!J1354)</f>
        <v/>
      </c>
      <c r="M1357" s="26" t="str">
        <f>IF(A1357="","",BASE_CAIXA!AM1354)</f>
        <v/>
      </c>
      <c r="N1357" s="26" t="str">
        <f t="shared" ca="1" si="63"/>
        <v/>
      </c>
      <c r="O1357" s="26" t="str">
        <f>IFERROR(INDEX(EXTRATO_IMPORTADO!$A$5:$A$404,MATCH(B1357,EXTRATO_IMPORTADO!$I$5:$I$404,0)),"")</f>
        <v/>
      </c>
      <c r="P1357" s="26" t="str">
        <f>IFERROR(INDEX(EXTRATO_IMPORTADO!$F$5:$F$404,MATCH(B1357,EXTRATO_IMPORTADO!$I$5:$I$404,0)),"")</f>
        <v/>
      </c>
      <c r="Q1357" s="26" t="str">
        <f>IFERROR(INDEX(EXTRATO_IMPORTADO!$B$5:$B$404,MATCH(B1357,EXTRATO_IMPORTADO!$I$5:$I$404,0)),"")</f>
        <v/>
      </c>
      <c r="R1357" s="26" t="str">
        <f>IFERROR(MATCH(B1357,EXTRATO_IMPORTADO!$I$5:$I$404,0),"")</f>
        <v/>
      </c>
      <c r="S1357" s="26" t="str">
        <f t="shared" si="64"/>
        <v/>
      </c>
      <c r="T1357" s="26" t="str">
        <f t="shared" si="65"/>
        <v/>
      </c>
    </row>
    <row r="1358" spans="1:20" x14ac:dyDescent="0.3">
      <c r="A1358" s="26" t="str">
        <f>IF(BASE_CAIXA!A1355="","",BASE_CAIXA!A1355)</f>
        <v/>
      </c>
      <c r="B1358" s="26" t="str">
        <f>IF(A1358="","",BASE_CAIXA!AL1355)</f>
        <v/>
      </c>
      <c r="C1358" s="26" t="str">
        <f>IF(A1358="","",BASE_CAIXA!AJ1355)</f>
        <v/>
      </c>
      <c r="D1358" s="26" t="str">
        <f>IF(A1358="","",IF(BASE_CAIXA!C1355="Entrada","Crédito","Débito"))</f>
        <v/>
      </c>
      <c r="E1358" s="26" t="str">
        <f>IF(A1358="","",BASE_CAIXA!AA1355)</f>
        <v/>
      </c>
      <c r="F1358" s="26" t="str">
        <f>IF(A1358="","",BASE_CAIXA!N1355)</f>
        <v/>
      </c>
      <c r="G1358" s="26" t="str">
        <f>IF(A1358="","",BASE_CAIXA!O1355)</f>
        <v/>
      </c>
      <c r="H1358" s="26" t="str">
        <f>IF(A1358="","",BASE_CAIXA!P1355)</f>
        <v/>
      </c>
      <c r="I1358" s="26" t="str">
        <f>IF(A1358="","",IF(BASE_CAIXA!H1355&lt;&gt;"",BASE_CAIXA!H1355,BASE_CAIXA!G1355))</f>
        <v/>
      </c>
      <c r="J1358" s="26" t="str">
        <f>IF(A1358="","",BASE_CAIXA!G1355)</f>
        <v/>
      </c>
      <c r="K1358" s="26" t="str">
        <f>IF(A1358="","",BASE_CAIXA!I1355)</f>
        <v/>
      </c>
      <c r="L1358" s="26" t="str">
        <f>IF(A1358="","",BASE_CAIXA!J1355)</f>
        <v/>
      </c>
      <c r="M1358" s="26" t="str">
        <f>IF(A1358="","",BASE_CAIXA!AM1355)</f>
        <v/>
      </c>
      <c r="N1358" s="26" t="str">
        <f t="shared" ca="1" si="63"/>
        <v/>
      </c>
      <c r="O1358" s="26" t="str">
        <f>IFERROR(INDEX(EXTRATO_IMPORTADO!$A$5:$A$404,MATCH(B1358,EXTRATO_IMPORTADO!$I$5:$I$404,0)),"")</f>
        <v/>
      </c>
      <c r="P1358" s="26" t="str">
        <f>IFERROR(INDEX(EXTRATO_IMPORTADO!$F$5:$F$404,MATCH(B1358,EXTRATO_IMPORTADO!$I$5:$I$404,0)),"")</f>
        <v/>
      </c>
      <c r="Q1358" s="26" t="str">
        <f>IFERROR(INDEX(EXTRATO_IMPORTADO!$B$5:$B$404,MATCH(B1358,EXTRATO_IMPORTADO!$I$5:$I$404,0)),"")</f>
        <v/>
      </c>
      <c r="R1358" s="26" t="str">
        <f>IFERROR(MATCH(B1358,EXTRATO_IMPORTADO!$I$5:$I$404,0),"")</f>
        <v/>
      </c>
      <c r="S1358" s="26" t="str">
        <f t="shared" si="64"/>
        <v/>
      </c>
      <c r="T1358" s="26" t="str">
        <f t="shared" si="65"/>
        <v/>
      </c>
    </row>
    <row r="1359" spans="1:20" x14ac:dyDescent="0.3">
      <c r="A1359" s="26" t="str">
        <f>IF(BASE_CAIXA!A1356="","",BASE_CAIXA!A1356)</f>
        <v/>
      </c>
      <c r="B1359" s="26" t="str">
        <f>IF(A1359="","",BASE_CAIXA!AL1356)</f>
        <v/>
      </c>
      <c r="C1359" s="26" t="str">
        <f>IF(A1359="","",BASE_CAIXA!AJ1356)</f>
        <v/>
      </c>
      <c r="D1359" s="26" t="str">
        <f>IF(A1359="","",IF(BASE_CAIXA!C1356="Entrada","Crédito","Débito"))</f>
        <v/>
      </c>
      <c r="E1359" s="26" t="str">
        <f>IF(A1359="","",BASE_CAIXA!AA1356)</f>
        <v/>
      </c>
      <c r="F1359" s="26" t="str">
        <f>IF(A1359="","",BASE_CAIXA!N1356)</f>
        <v/>
      </c>
      <c r="G1359" s="26" t="str">
        <f>IF(A1359="","",BASE_CAIXA!O1356)</f>
        <v/>
      </c>
      <c r="H1359" s="26" t="str">
        <f>IF(A1359="","",BASE_CAIXA!P1356)</f>
        <v/>
      </c>
      <c r="I1359" s="26" t="str">
        <f>IF(A1359="","",IF(BASE_CAIXA!H1356&lt;&gt;"",BASE_CAIXA!H1356,BASE_CAIXA!G1356))</f>
        <v/>
      </c>
      <c r="J1359" s="26" t="str">
        <f>IF(A1359="","",BASE_CAIXA!G1356)</f>
        <v/>
      </c>
      <c r="K1359" s="26" t="str">
        <f>IF(A1359="","",BASE_CAIXA!I1356)</f>
        <v/>
      </c>
      <c r="L1359" s="26" t="str">
        <f>IF(A1359="","",BASE_CAIXA!J1356)</f>
        <v/>
      </c>
      <c r="M1359" s="26" t="str">
        <f>IF(A1359="","",BASE_CAIXA!AM1356)</f>
        <v/>
      </c>
      <c r="N1359" s="26" t="str">
        <f t="shared" ca="1" si="63"/>
        <v/>
      </c>
      <c r="O1359" s="26" t="str">
        <f>IFERROR(INDEX(EXTRATO_IMPORTADO!$A$5:$A$404,MATCH(B1359,EXTRATO_IMPORTADO!$I$5:$I$404,0)),"")</f>
        <v/>
      </c>
      <c r="P1359" s="26" t="str">
        <f>IFERROR(INDEX(EXTRATO_IMPORTADO!$F$5:$F$404,MATCH(B1359,EXTRATO_IMPORTADO!$I$5:$I$404,0)),"")</f>
        <v/>
      </c>
      <c r="Q1359" s="26" t="str">
        <f>IFERROR(INDEX(EXTRATO_IMPORTADO!$B$5:$B$404,MATCH(B1359,EXTRATO_IMPORTADO!$I$5:$I$404,0)),"")</f>
        <v/>
      </c>
      <c r="R1359" s="26" t="str">
        <f>IFERROR(MATCH(B1359,EXTRATO_IMPORTADO!$I$5:$I$404,0),"")</f>
        <v/>
      </c>
      <c r="S1359" s="26" t="str">
        <f t="shared" si="64"/>
        <v/>
      </c>
      <c r="T1359" s="26" t="str">
        <f t="shared" si="65"/>
        <v/>
      </c>
    </row>
    <row r="1360" spans="1:20" x14ac:dyDescent="0.3">
      <c r="A1360" s="26" t="str">
        <f>IF(BASE_CAIXA!A1357="","",BASE_CAIXA!A1357)</f>
        <v/>
      </c>
      <c r="B1360" s="26" t="str">
        <f>IF(A1360="","",BASE_CAIXA!AL1357)</f>
        <v/>
      </c>
      <c r="C1360" s="26" t="str">
        <f>IF(A1360="","",BASE_CAIXA!AJ1357)</f>
        <v/>
      </c>
      <c r="D1360" s="26" t="str">
        <f>IF(A1360="","",IF(BASE_CAIXA!C1357="Entrada","Crédito","Débito"))</f>
        <v/>
      </c>
      <c r="E1360" s="26" t="str">
        <f>IF(A1360="","",BASE_CAIXA!AA1357)</f>
        <v/>
      </c>
      <c r="F1360" s="26" t="str">
        <f>IF(A1360="","",BASE_CAIXA!N1357)</f>
        <v/>
      </c>
      <c r="G1360" s="26" t="str">
        <f>IF(A1360="","",BASE_CAIXA!O1357)</f>
        <v/>
      </c>
      <c r="H1360" s="26" t="str">
        <f>IF(A1360="","",BASE_CAIXA!P1357)</f>
        <v/>
      </c>
      <c r="I1360" s="26" t="str">
        <f>IF(A1360="","",IF(BASE_CAIXA!H1357&lt;&gt;"",BASE_CAIXA!H1357,BASE_CAIXA!G1357))</f>
        <v/>
      </c>
      <c r="J1360" s="26" t="str">
        <f>IF(A1360="","",BASE_CAIXA!G1357)</f>
        <v/>
      </c>
      <c r="K1360" s="26" t="str">
        <f>IF(A1360="","",BASE_CAIXA!I1357)</f>
        <v/>
      </c>
      <c r="L1360" s="26" t="str">
        <f>IF(A1360="","",BASE_CAIXA!J1357)</f>
        <v/>
      </c>
      <c r="M1360" s="26" t="str">
        <f>IF(A1360="","",BASE_CAIXA!AM1357)</f>
        <v/>
      </c>
      <c r="N1360" s="26" t="str">
        <f t="shared" ca="1" si="63"/>
        <v/>
      </c>
      <c r="O1360" s="26" t="str">
        <f>IFERROR(INDEX(EXTRATO_IMPORTADO!$A$5:$A$404,MATCH(B1360,EXTRATO_IMPORTADO!$I$5:$I$404,0)),"")</f>
        <v/>
      </c>
      <c r="P1360" s="26" t="str">
        <f>IFERROR(INDEX(EXTRATO_IMPORTADO!$F$5:$F$404,MATCH(B1360,EXTRATO_IMPORTADO!$I$5:$I$404,0)),"")</f>
        <v/>
      </c>
      <c r="Q1360" s="26" t="str">
        <f>IFERROR(INDEX(EXTRATO_IMPORTADO!$B$5:$B$404,MATCH(B1360,EXTRATO_IMPORTADO!$I$5:$I$404,0)),"")</f>
        <v/>
      </c>
      <c r="R1360" s="26" t="str">
        <f>IFERROR(MATCH(B1360,EXTRATO_IMPORTADO!$I$5:$I$404,0),"")</f>
        <v/>
      </c>
      <c r="S1360" s="26" t="str">
        <f t="shared" si="64"/>
        <v/>
      </c>
      <c r="T1360" s="26" t="str">
        <f t="shared" si="65"/>
        <v/>
      </c>
    </row>
    <row r="1361" spans="1:20" x14ac:dyDescent="0.3">
      <c r="A1361" s="26" t="str">
        <f>IF(BASE_CAIXA!A1358="","",BASE_CAIXA!A1358)</f>
        <v/>
      </c>
      <c r="B1361" s="26" t="str">
        <f>IF(A1361="","",BASE_CAIXA!AL1358)</f>
        <v/>
      </c>
      <c r="C1361" s="26" t="str">
        <f>IF(A1361="","",BASE_CAIXA!AJ1358)</f>
        <v/>
      </c>
      <c r="D1361" s="26" t="str">
        <f>IF(A1361="","",IF(BASE_CAIXA!C1358="Entrada","Crédito","Débito"))</f>
        <v/>
      </c>
      <c r="E1361" s="26" t="str">
        <f>IF(A1361="","",BASE_CAIXA!AA1358)</f>
        <v/>
      </c>
      <c r="F1361" s="26" t="str">
        <f>IF(A1361="","",BASE_CAIXA!N1358)</f>
        <v/>
      </c>
      <c r="G1361" s="26" t="str">
        <f>IF(A1361="","",BASE_CAIXA!O1358)</f>
        <v/>
      </c>
      <c r="H1361" s="26" t="str">
        <f>IF(A1361="","",BASE_CAIXA!P1358)</f>
        <v/>
      </c>
      <c r="I1361" s="26" t="str">
        <f>IF(A1361="","",IF(BASE_CAIXA!H1358&lt;&gt;"",BASE_CAIXA!H1358,BASE_CAIXA!G1358))</f>
        <v/>
      </c>
      <c r="J1361" s="26" t="str">
        <f>IF(A1361="","",BASE_CAIXA!G1358)</f>
        <v/>
      </c>
      <c r="K1361" s="26" t="str">
        <f>IF(A1361="","",BASE_CAIXA!I1358)</f>
        <v/>
      </c>
      <c r="L1361" s="26" t="str">
        <f>IF(A1361="","",BASE_CAIXA!J1358)</f>
        <v/>
      </c>
      <c r="M1361" s="26" t="str">
        <f>IF(A1361="","",BASE_CAIXA!AM1358)</f>
        <v/>
      </c>
      <c r="N1361" s="26" t="str">
        <f t="shared" ca="1" si="63"/>
        <v/>
      </c>
      <c r="O1361" s="26" t="str">
        <f>IFERROR(INDEX(EXTRATO_IMPORTADO!$A$5:$A$404,MATCH(B1361,EXTRATO_IMPORTADO!$I$5:$I$404,0)),"")</f>
        <v/>
      </c>
      <c r="P1361" s="26" t="str">
        <f>IFERROR(INDEX(EXTRATO_IMPORTADO!$F$5:$F$404,MATCH(B1361,EXTRATO_IMPORTADO!$I$5:$I$404,0)),"")</f>
        <v/>
      </c>
      <c r="Q1361" s="26" t="str">
        <f>IFERROR(INDEX(EXTRATO_IMPORTADO!$B$5:$B$404,MATCH(B1361,EXTRATO_IMPORTADO!$I$5:$I$404,0)),"")</f>
        <v/>
      </c>
      <c r="R1361" s="26" t="str">
        <f>IFERROR(MATCH(B1361,EXTRATO_IMPORTADO!$I$5:$I$404,0),"")</f>
        <v/>
      </c>
      <c r="S1361" s="26" t="str">
        <f t="shared" si="64"/>
        <v/>
      </c>
      <c r="T1361" s="26" t="str">
        <f t="shared" si="65"/>
        <v/>
      </c>
    </row>
    <row r="1362" spans="1:20" x14ac:dyDescent="0.3">
      <c r="A1362" s="26" t="str">
        <f>IF(BASE_CAIXA!A1359="","",BASE_CAIXA!A1359)</f>
        <v/>
      </c>
      <c r="B1362" s="26" t="str">
        <f>IF(A1362="","",BASE_CAIXA!AL1359)</f>
        <v/>
      </c>
      <c r="C1362" s="26" t="str">
        <f>IF(A1362="","",BASE_CAIXA!AJ1359)</f>
        <v/>
      </c>
      <c r="D1362" s="26" t="str">
        <f>IF(A1362="","",IF(BASE_CAIXA!C1359="Entrada","Crédito","Débito"))</f>
        <v/>
      </c>
      <c r="E1362" s="26" t="str">
        <f>IF(A1362="","",BASE_CAIXA!AA1359)</f>
        <v/>
      </c>
      <c r="F1362" s="26" t="str">
        <f>IF(A1362="","",BASE_CAIXA!N1359)</f>
        <v/>
      </c>
      <c r="G1362" s="26" t="str">
        <f>IF(A1362="","",BASE_CAIXA!O1359)</f>
        <v/>
      </c>
      <c r="H1362" s="26" t="str">
        <f>IF(A1362="","",BASE_CAIXA!P1359)</f>
        <v/>
      </c>
      <c r="I1362" s="26" t="str">
        <f>IF(A1362="","",IF(BASE_CAIXA!H1359&lt;&gt;"",BASE_CAIXA!H1359,BASE_CAIXA!G1359))</f>
        <v/>
      </c>
      <c r="J1362" s="26" t="str">
        <f>IF(A1362="","",BASE_CAIXA!G1359)</f>
        <v/>
      </c>
      <c r="K1362" s="26" t="str">
        <f>IF(A1362="","",BASE_CAIXA!I1359)</f>
        <v/>
      </c>
      <c r="L1362" s="26" t="str">
        <f>IF(A1362="","",BASE_CAIXA!J1359)</f>
        <v/>
      </c>
      <c r="M1362" s="26" t="str">
        <f>IF(A1362="","",BASE_CAIXA!AM1359)</f>
        <v/>
      </c>
      <c r="N1362" s="26" t="str">
        <f t="shared" ca="1" si="63"/>
        <v/>
      </c>
      <c r="O1362" s="26" t="str">
        <f>IFERROR(INDEX(EXTRATO_IMPORTADO!$A$5:$A$404,MATCH(B1362,EXTRATO_IMPORTADO!$I$5:$I$404,0)),"")</f>
        <v/>
      </c>
      <c r="P1362" s="26" t="str">
        <f>IFERROR(INDEX(EXTRATO_IMPORTADO!$F$5:$F$404,MATCH(B1362,EXTRATO_IMPORTADO!$I$5:$I$404,0)),"")</f>
        <v/>
      </c>
      <c r="Q1362" s="26" t="str">
        <f>IFERROR(INDEX(EXTRATO_IMPORTADO!$B$5:$B$404,MATCH(B1362,EXTRATO_IMPORTADO!$I$5:$I$404,0)),"")</f>
        <v/>
      </c>
      <c r="R1362" s="26" t="str">
        <f>IFERROR(MATCH(B1362,EXTRATO_IMPORTADO!$I$5:$I$404,0),"")</f>
        <v/>
      </c>
      <c r="S1362" s="26" t="str">
        <f t="shared" si="64"/>
        <v/>
      </c>
      <c r="T1362" s="26" t="str">
        <f t="shared" si="65"/>
        <v/>
      </c>
    </row>
    <row r="1363" spans="1:20" x14ac:dyDescent="0.3">
      <c r="A1363" s="26" t="str">
        <f>IF(BASE_CAIXA!A1360="","",BASE_CAIXA!A1360)</f>
        <v/>
      </c>
      <c r="B1363" s="26" t="str">
        <f>IF(A1363="","",BASE_CAIXA!AL1360)</f>
        <v/>
      </c>
      <c r="C1363" s="26" t="str">
        <f>IF(A1363="","",BASE_CAIXA!AJ1360)</f>
        <v/>
      </c>
      <c r="D1363" s="26" t="str">
        <f>IF(A1363="","",IF(BASE_CAIXA!C1360="Entrada","Crédito","Débito"))</f>
        <v/>
      </c>
      <c r="E1363" s="26" t="str">
        <f>IF(A1363="","",BASE_CAIXA!AA1360)</f>
        <v/>
      </c>
      <c r="F1363" s="26" t="str">
        <f>IF(A1363="","",BASE_CAIXA!N1360)</f>
        <v/>
      </c>
      <c r="G1363" s="26" t="str">
        <f>IF(A1363="","",BASE_CAIXA!O1360)</f>
        <v/>
      </c>
      <c r="H1363" s="26" t="str">
        <f>IF(A1363="","",BASE_CAIXA!P1360)</f>
        <v/>
      </c>
      <c r="I1363" s="26" t="str">
        <f>IF(A1363="","",IF(BASE_CAIXA!H1360&lt;&gt;"",BASE_CAIXA!H1360,BASE_CAIXA!G1360))</f>
        <v/>
      </c>
      <c r="J1363" s="26" t="str">
        <f>IF(A1363="","",BASE_CAIXA!G1360)</f>
        <v/>
      </c>
      <c r="K1363" s="26" t="str">
        <f>IF(A1363="","",BASE_CAIXA!I1360)</f>
        <v/>
      </c>
      <c r="L1363" s="26" t="str">
        <f>IF(A1363="","",BASE_CAIXA!J1360)</f>
        <v/>
      </c>
      <c r="M1363" s="26" t="str">
        <f>IF(A1363="","",BASE_CAIXA!AM1360)</f>
        <v/>
      </c>
      <c r="N1363" s="26" t="str">
        <f t="shared" ca="1" si="63"/>
        <v/>
      </c>
      <c r="O1363" s="26" t="str">
        <f>IFERROR(INDEX(EXTRATO_IMPORTADO!$A$5:$A$404,MATCH(B1363,EXTRATO_IMPORTADO!$I$5:$I$404,0)),"")</f>
        <v/>
      </c>
      <c r="P1363" s="26" t="str">
        <f>IFERROR(INDEX(EXTRATO_IMPORTADO!$F$5:$F$404,MATCH(B1363,EXTRATO_IMPORTADO!$I$5:$I$404,0)),"")</f>
        <v/>
      </c>
      <c r="Q1363" s="26" t="str">
        <f>IFERROR(INDEX(EXTRATO_IMPORTADO!$B$5:$B$404,MATCH(B1363,EXTRATO_IMPORTADO!$I$5:$I$404,0)),"")</f>
        <v/>
      </c>
      <c r="R1363" s="26" t="str">
        <f>IFERROR(MATCH(B1363,EXTRATO_IMPORTADO!$I$5:$I$404,0),"")</f>
        <v/>
      </c>
      <c r="S1363" s="26" t="str">
        <f t="shared" si="64"/>
        <v/>
      </c>
      <c r="T1363" s="26" t="str">
        <f t="shared" si="65"/>
        <v/>
      </c>
    </row>
    <row r="1364" spans="1:20" x14ac:dyDescent="0.3">
      <c r="A1364" s="26" t="str">
        <f>IF(BASE_CAIXA!A1361="","",BASE_CAIXA!A1361)</f>
        <v/>
      </c>
      <c r="B1364" s="26" t="str">
        <f>IF(A1364="","",BASE_CAIXA!AL1361)</f>
        <v/>
      </c>
      <c r="C1364" s="26" t="str">
        <f>IF(A1364="","",BASE_CAIXA!AJ1361)</f>
        <v/>
      </c>
      <c r="D1364" s="26" t="str">
        <f>IF(A1364="","",IF(BASE_CAIXA!C1361="Entrada","Crédito","Débito"))</f>
        <v/>
      </c>
      <c r="E1364" s="26" t="str">
        <f>IF(A1364="","",BASE_CAIXA!AA1361)</f>
        <v/>
      </c>
      <c r="F1364" s="26" t="str">
        <f>IF(A1364="","",BASE_CAIXA!N1361)</f>
        <v/>
      </c>
      <c r="G1364" s="26" t="str">
        <f>IF(A1364="","",BASE_CAIXA!O1361)</f>
        <v/>
      </c>
      <c r="H1364" s="26" t="str">
        <f>IF(A1364="","",BASE_CAIXA!P1361)</f>
        <v/>
      </c>
      <c r="I1364" s="26" t="str">
        <f>IF(A1364="","",IF(BASE_CAIXA!H1361&lt;&gt;"",BASE_CAIXA!H1361,BASE_CAIXA!G1361))</f>
        <v/>
      </c>
      <c r="J1364" s="26" t="str">
        <f>IF(A1364="","",BASE_CAIXA!G1361)</f>
        <v/>
      </c>
      <c r="K1364" s="26" t="str">
        <f>IF(A1364="","",BASE_CAIXA!I1361)</f>
        <v/>
      </c>
      <c r="L1364" s="26" t="str">
        <f>IF(A1364="","",BASE_CAIXA!J1361)</f>
        <v/>
      </c>
      <c r="M1364" s="26" t="str">
        <f>IF(A1364="","",BASE_CAIXA!AM1361)</f>
        <v/>
      </c>
      <c r="N1364" s="26" t="str">
        <f t="shared" ca="1" si="63"/>
        <v/>
      </c>
      <c r="O1364" s="26" t="str">
        <f>IFERROR(INDEX(EXTRATO_IMPORTADO!$A$5:$A$404,MATCH(B1364,EXTRATO_IMPORTADO!$I$5:$I$404,0)),"")</f>
        <v/>
      </c>
      <c r="P1364" s="26" t="str">
        <f>IFERROR(INDEX(EXTRATO_IMPORTADO!$F$5:$F$404,MATCH(B1364,EXTRATO_IMPORTADO!$I$5:$I$404,0)),"")</f>
        <v/>
      </c>
      <c r="Q1364" s="26" t="str">
        <f>IFERROR(INDEX(EXTRATO_IMPORTADO!$B$5:$B$404,MATCH(B1364,EXTRATO_IMPORTADO!$I$5:$I$404,0)),"")</f>
        <v/>
      </c>
      <c r="R1364" s="26" t="str">
        <f>IFERROR(MATCH(B1364,EXTRATO_IMPORTADO!$I$5:$I$404,0),"")</f>
        <v/>
      </c>
      <c r="S1364" s="26" t="str">
        <f t="shared" si="64"/>
        <v/>
      </c>
      <c r="T1364" s="26" t="str">
        <f t="shared" si="65"/>
        <v/>
      </c>
    </row>
    <row r="1365" spans="1:20" x14ac:dyDescent="0.3">
      <c r="A1365" s="26" t="str">
        <f>IF(BASE_CAIXA!A1362="","",BASE_CAIXA!A1362)</f>
        <v/>
      </c>
      <c r="B1365" s="26" t="str">
        <f>IF(A1365="","",BASE_CAIXA!AL1362)</f>
        <v/>
      </c>
      <c r="C1365" s="26" t="str">
        <f>IF(A1365="","",BASE_CAIXA!AJ1362)</f>
        <v/>
      </c>
      <c r="D1365" s="26" t="str">
        <f>IF(A1365="","",IF(BASE_CAIXA!C1362="Entrada","Crédito","Débito"))</f>
        <v/>
      </c>
      <c r="E1365" s="26" t="str">
        <f>IF(A1365="","",BASE_CAIXA!AA1362)</f>
        <v/>
      </c>
      <c r="F1365" s="26" t="str">
        <f>IF(A1365="","",BASE_CAIXA!N1362)</f>
        <v/>
      </c>
      <c r="G1365" s="26" t="str">
        <f>IF(A1365="","",BASE_CAIXA!O1362)</f>
        <v/>
      </c>
      <c r="H1365" s="26" t="str">
        <f>IF(A1365="","",BASE_CAIXA!P1362)</f>
        <v/>
      </c>
      <c r="I1365" s="26" t="str">
        <f>IF(A1365="","",IF(BASE_CAIXA!H1362&lt;&gt;"",BASE_CAIXA!H1362,BASE_CAIXA!G1362))</f>
        <v/>
      </c>
      <c r="J1365" s="26" t="str">
        <f>IF(A1365="","",BASE_CAIXA!G1362)</f>
        <v/>
      </c>
      <c r="K1365" s="26" t="str">
        <f>IF(A1365="","",BASE_CAIXA!I1362)</f>
        <v/>
      </c>
      <c r="L1365" s="26" t="str">
        <f>IF(A1365="","",BASE_CAIXA!J1362)</f>
        <v/>
      </c>
      <c r="M1365" s="26" t="str">
        <f>IF(A1365="","",BASE_CAIXA!AM1362)</f>
        <v/>
      </c>
      <c r="N1365" s="26" t="str">
        <f t="shared" ca="1" si="63"/>
        <v/>
      </c>
      <c r="O1365" s="26" t="str">
        <f>IFERROR(INDEX(EXTRATO_IMPORTADO!$A$5:$A$404,MATCH(B1365,EXTRATO_IMPORTADO!$I$5:$I$404,0)),"")</f>
        <v/>
      </c>
      <c r="P1365" s="26" t="str">
        <f>IFERROR(INDEX(EXTRATO_IMPORTADO!$F$5:$F$404,MATCH(B1365,EXTRATO_IMPORTADO!$I$5:$I$404,0)),"")</f>
        <v/>
      </c>
      <c r="Q1365" s="26" t="str">
        <f>IFERROR(INDEX(EXTRATO_IMPORTADO!$B$5:$B$404,MATCH(B1365,EXTRATO_IMPORTADO!$I$5:$I$404,0)),"")</f>
        <v/>
      </c>
      <c r="R1365" s="26" t="str">
        <f>IFERROR(MATCH(B1365,EXTRATO_IMPORTADO!$I$5:$I$404,0),"")</f>
        <v/>
      </c>
      <c r="S1365" s="26" t="str">
        <f t="shared" si="64"/>
        <v/>
      </c>
      <c r="T1365" s="26" t="str">
        <f t="shared" si="65"/>
        <v/>
      </c>
    </row>
    <row r="1366" spans="1:20" x14ac:dyDescent="0.3">
      <c r="A1366" s="26" t="str">
        <f>IF(BASE_CAIXA!A1363="","",BASE_CAIXA!A1363)</f>
        <v/>
      </c>
      <c r="B1366" s="26" t="str">
        <f>IF(A1366="","",BASE_CAIXA!AL1363)</f>
        <v/>
      </c>
      <c r="C1366" s="26" t="str">
        <f>IF(A1366="","",BASE_CAIXA!AJ1363)</f>
        <v/>
      </c>
      <c r="D1366" s="26" t="str">
        <f>IF(A1366="","",IF(BASE_CAIXA!C1363="Entrada","Crédito","Débito"))</f>
        <v/>
      </c>
      <c r="E1366" s="26" t="str">
        <f>IF(A1366="","",BASE_CAIXA!AA1363)</f>
        <v/>
      </c>
      <c r="F1366" s="26" t="str">
        <f>IF(A1366="","",BASE_CAIXA!N1363)</f>
        <v/>
      </c>
      <c r="G1366" s="26" t="str">
        <f>IF(A1366="","",BASE_CAIXA!O1363)</f>
        <v/>
      </c>
      <c r="H1366" s="26" t="str">
        <f>IF(A1366="","",BASE_CAIXA!P1363)</f>
        <v/>
      </c>
      <c r="I1366" s="26" t="str">
        <f>IF(A1366="","",IF(BASE_CAIXA!H1363&lt;&gt;"",BASE_CAIXA!H1363,BASE_CAIXA!G1363))</f>
        <v/>
      </c>
      <c r="J1366" s="26" t="str">
        <f>IF(A1366="","",BASE_CAIXA!G1363)</f>
        <v/>
      </c>
      <c r="K1366" s="26" t="str">
        <f>IF(A1366="","",BASE_CAIXA!I1363)</f>
        <v/>
      </c>
      <c r="L1366" s="26" t="str">
        <f>IF(A1366="","",BASE_CAIXA!J1363)</f>
        <v/>
      </c>
      <c r="M1366" s="26" t="str">
        <f>IF(A1366="","",BASE_CAIXA!AM1363)</f>
        <v/>
      </c>
      <c r="N1366" s="26" t="str">
        <f t="shared" ca="1" si="63"/>
        <v/>
      </c>
      <c r="O1366" s="26" t="str">
        <f>IFERROR(INDEX(EXTRATO_IMPORTADO!$A$5:$A$404,MATCH(B1366,EXTRATO_IMPORTADO!$I$5:$I$404,0)),"")</f>
        <v/>
      </c>
      <c r="P1366" s="26" t="str">
        <f>IFERROR(INDEX(EXTRATO_IMPORTADO!$F$5:$F$404,MATCH(B1366,EXTRATO_IMPORTADO!$I$5:$I$404,0)),"")</f>
        <v/>
      </c>
      <c r="Q1366" s="26" t="str">
        <f>IFERROR(INDEX(EXTRATO_IMPORTADO!$B$5:$B$404,MATCH(B1366,EXTRATO_IMPORTADO!$I$5:$I$404,0)),"")</f>
        <v/>
      </c>
      <c r="R1366" s="26" t="str">
        <f>IFERROR(MATCH(B1366,EXTRATO_IMPORTADO!$I$5:$I$404,0),"")</f>
        <v/>
      </c>
      <c r="S1366" s="26" t="str">
        <f t="shared" si="64"/>
        <v/>
      </c>
      <c r="T1366" s="26" t="str">
        <f t="shared" si="65"/>
        <v/>
      </c>
    </row>
    <row r="1367" spans="1:20" x14ac:dyDescent="0.3">
      <c r="A1367" s="26" t="str">
        <f>IF(BASE_CAIXA!A1364="","",BASE_CAIXA!A1364)</f>
        <v/>
      </c>
      <c r="B1367" s="26" t="str">
        <f>IF(A1367="","",BASE_CAIXA!AL1364)</f>
        <v/>
      </c>
      <c r="C1367" s="26" t="str">
        <f>IF(A1367="","",BASE_CAIXA!AJ1364)</f>
        <v/>
      </c>
      <c r="D1367" s="26" t="str">
        <f>IF(A1367="","",IF(BASE_CAIXA!C1364="Entrada","Crédito","Débito"))</f>
        <v/>
      </c>
      <c r="E1367" s="26" t="str">
        <f>IF(A1367="","",BASE_CAIXA!AA1364)</f>
        <v/>
      </c>
      <c r="F1367" s="26" t="str">
        <f>IF(A1367="","",BASE_CAIXA!N1364)</f>
        <v/>
      </c>
      <c r="G1367" s="26" t="str">
        <f>IF(A1367="","",BASE_CAIXA!O1364)</f>
        <v/>
      </c>
      <c r="H1367" s="26" t="str">
        <f>IF(A1367="","",BASE_CAIXA!P1364)</f>
        <v/>
      </c>
      <c r="I1367" s="26" t="str">
        <f>IF(A1367="","",IF(BASE_CAIXA!H1364&lt;&gt;"",BASE_CAIXA!H1364,BASE_CAIXA!G1364))</f>
        <v/>
      </c>
      <c r="J1367" s="26" t="str">
        <f>IF(A1367="","",BASE_CAIXA!G1364)</f>
        <v/>
      </c>
      <c r="K1367" s="26" t="str">
        <f>IF(A1367="","",BASE_CAIXA!I1364)</f>
        <v/>
      </c>
      <c r="L1367" s="26" t="str">
        <f>IF(A1367="","",BASE_CAIXA!J1364)</f>
        <v/>
      </c>
      <c r="M1367" s="26" t="str">
        <f>IF(A1367="","",BASE_CAIXA!AM1364)</f>
        <v/>
      </c>
      <c r="N1367" s="26" t="str">
        <f t="shared" ca="1" si="63"/>
        <v/>
      </c>
      <c r="O1367" s="26" t="str">
        <f>IFERROR(INDEX(EXTRATO_IMPORTADO!$A$5:$A$404,MATCH(B1367,EXTRATO_IMPORTADO!$I$5:$I$404,0)),"")</f>
        <v/>
      </c>
      <c r="P1367" s="26" t="str">
        <f>IFERROR(INDEX(EXTRATO_IMPORTADO!$F$5:$F$404,MATCH(B1367,EXTRATO_IMPORTADO!$I$5:$I$404,0)),"")</f>
        <v/>
      </c>
      <c r="Q1367" s="26" t="str">
        <f>IFERROR(INDEX(EXTRATO_IMPORTADO!$B$5:$B$404,MATCH(B1367,EXTRATO_IMPORTADO!$I$5:$I$404,0)),"")</f>
        <v/>
      </c>
      <c r="R1367" s="26" t="str">
        <f>IFERROR(MATCH(B1367,EXTRATO_IMPORTADO!$I$5:$I$404,0),"")</f>
        <v/>
      </c>
      <c r="S1367" s="26" t="str">
        <f t="shared" si="64"/>
        <v/>
      </c>
      <c r="T1367" s="26" t="str">
        <f t="shared" si="65"/>
        <v/>
      </c>
    </row>
    <row r="1368" spans="1:20" x14ac:dyDescent="0.3">
      <c r="A1368" s="26" t="str">
        <f>IF(BASE_CAIXA!A1365="","",BASE_CAIXA!A1365)</f>
        <v/>
      </c>
      <c r="B1368" s="26" t="str">
        <f>IF(A1368="","",BASE_CAIXA!AL1365)</f>
        <v/>
      </c>
      <c r="C1368" s="26" t="str">
        <f>IF(A1368="","",BASE_CAIXA!AJ1365)</f>
        <v/>
      </c>
      <c r="D1368" s="26" t="str">
        <f>IF(A1368="","",IF(BASE_CAIXA!C1365="Entrada","Crédito","Débito"))</f>
        <v/>
      </c>
      <c r="E1368" s="26" t="str">
        <f>IF(A1368="","",BASE_CAIXA!AA1365)</f>
        <v/>
      </c>
      <c r="F1368" s="26" t="str">
        <f>IF(A1368="","",BASE_CAIXA!N1365)</f>
        <v/>
      </c>
      <c r="G1368" s="26" t="str">
        <f>IF(A1368="","",BASE_CAIXA!O1365)</f>
        <v/>
      </c>
      <c r="H1368" s="26" t="str">
        <f>IF(A1368="","",BASE_CAIXA!P1365)</f>
        <v/>
      </c>
      <c r="I1368" s="26" t="str">
        <f>IF(A1368="","",IF(BASE_CAIXA!H1365&lt;&gt;"",BASE_CAIXA!H1365,BASE_CAIXA!G1365))</f>
        <v/>
      </c>
      <c r="J1368" s="26" t="str">
        <f>IF(A1368="","",BASE_CAIXA!G1365)</f>
        <v/>
      </c>
      <c r="K1368" s="26" t="str">
        <f>IF(A1368="","",BASE_CAIXA!I1365)</f>
        <v/>
      </c>
      <c r="L1368" s="26" t="str">
        <f>IF(A1368="","",BASE_CAIXA!J1365)</f>
        <v/>
      </c>
      <c r="M1368" s="26" t="str">
        <f>IF(A1368="","",BASE_CAIXA!AM1365)</f>
        <v/>
      </c>
      <c r="N1368" s="26" t="str">
        <f t="shared" ca="1" si="63"/>
        <v/>
      </c>
      <c r="O1368" s="26" t="str">
        <f>IFERROR(INDEX(EXTRATO_IMPORTADO!$A$5:$A$404,MATCH(B1368,EXTRATO_IMPORTADO!$I$5:$I$404,0)),"")</f>
        <v/>
      </c>
      <c r="P1368" s="26" t="str">
        <f>IFERROR(INDEX(EXTRATO_IMPORTADO!$F$5:$F$404,MATCH(B1368,EXTRATO_IMPORTADO!$I$5:$I$404,0)),"")</f>
        <v/>
      </c>
      <c r="Q1368" s="26" t="str">
        <f>IFERROR(INDEX(EXTRATO_IMPORTADO!$B$5:$B$404,MATCH(B1368,EXTRATO_IMPORTADO!$I$5:$I$404,0)),"")</f>
        <v/>
      </c>
      <c r="R1368" s="26" t="str">
        <f>IFERROR(MATCH(B1368,EXTRATO_IMPORTADO!$I$5:$I$404,0),"")</f>
        <v/>
      </c>
      <c r="S1368" s="26" t="str">
        <f t="shared" si="64"/>
        <v/>
      </c>
      <c r="T1368" s="26" t="str">
        <f t="shared" si="65"/>
        <v/>
      </c>
    </row>
    <row r="1369" spans="1:20" x14ac:dyDescent="0.3">
      <c r="A1369" s="26" t="str">
        <f>IF(BASE_CAIXA!A1366="","",BASE_CAIXA!A1366)</f>
        <v/>
      </c>
      <c r="B1369" s="26" t="str">
        <f>IF(A1369="","",BASE_CAIXA!AL1366)</f>
        <v/>
      </c>
      <c r="C1369" s="26" t="str">
        <f>IF(A1369="","",BASE_CAIXA!AJ1366)</f>
        <v/>
      </c>
      <c r="D1369" s="26" t="str">
        <f>IF(A1369="","",IF(BASE_CAIXA!C1366="Entrada","Crédito","Débito"))</f>
        <v/>
      </c>
      <c r="E1369" s="26" t="str">
        <f>IF(A1369="","",BASE_CAIXA!AA1366)</f>
        <v/>
      </c>
      <c r="F1369" s="26" t="str">
        <f>IF(A1369="","",BASE_CAIXA!N1366)</f>
        <v/>
      </c>
      <c r="G1369" s="26" t="str">
        <f>IF(A1369="","",BASE_CAIXA!O1366)</f>
        <v/>
      </c>
      <c r="H1369" s="26" t="str">
        <f>IF(A1369="","",BASE_CAIXA!P1366)</f>
        <v/>
      </c>
      <c r="I1369" s="26" t="str">
        <f>IF(A1369="","",IF(BASE_CAIXA!H1366&lt;&gt;"",BASE_CAIXA!H1366,BASE_CAIXA!G1366))</f>
        <v/>
      </c>
      <c r="J1369" s="26" t="str">
        <f>IF(A1369="","",BASE_CAIXA!G1366)</f>
        <v/>
      </c>
      <c r="K1369" s="26" t="str">
        <f>IF(A1369="","",BASE_CAIXA!I1366)</f>
        <v/>
      </c>
      <c r="L1369" s="26" t="str">
        <f>IF(A1369="","",BASE_CAIXA!J1366)</f>
        <v/>
      </c>
      <c r="M1369" s="26" t="str">
        <f>IF(A1369="","",BASE_CAIXA!AM1366)</f>
        <v/>
      </c>
      <c r="N1369" s="26" t="str">
        <f t="shared" ca="1" si="63"/>
        <v/>
      </c>
      <c r="O1369" s="26" t="str">
        <f>IFERROR(INDEX(EXTRATO_IMPORTADO!$A$5:$A$404,MATCH(B1369,EXTRATO_IMPORTADO!$I$5:$I$404,0)),"")</f>
        <v/>
      </c>
      <c r="P1369" s="26" t="str">
        <f>IFERROR(INDEX(EXTRATO_IMPORTADO!$F$5:$F$404,MATCH(B1369,EXTRATO_IMPORTADO!$I$5:$I$404,0)),"")</f>
        <v/>
      </c>
      <c r="Q1369" s="26" t="str">
        <f>IFERROR(INDEX(EXTRATO_IMPORTADO!$B$5:$B$404,MATCH(B1369,EXTRATO_IMPORTADO!$I$5:$I$404,0)),"")</f>
        <v/>
      </c>
      <c r="R1369" s="26" t="str">
        <f>IFERROR(MATCH(B1369,EXTRATO_IMPORTADO!$I$5:$I$404,0),"")</f>
        <v/>
      </c>
      <c r="S1369" s="26" t="str">
        <f t="shared" si="64"/>
        <v/>
      </c>
      <c r="T1369" s="26" t="str">
        <f t="shared" si="65"/>
        <v/>
      </c>
    </row>
    <row r="1370" spans="1:20" x14ac:dyDescent="0.3">
      <c r="A1370" s="26" t="str">
        <f>IF(BASE_CAIXA!A1367="","",BASE_CAIXA!A1367)</f>
        <v/>
      </c>
      <c r="B1370" s="26" t="str">
        <f>IF(A1370="","",BASE_CAIXA!AL1367)</f>
        <v/>
      </c>
      <c r="C1370" s="26" t="str">
        <f>IF(A1370="","",BASE_CAIXA!AJ1367)</f>
        <v/>
      </c>
      <c r="D1370" s="26" t="str">
        <f>IF(A1370="","",IF(BASE_CAIXA!C1367="Entrada","Crédito","Débito"))</f>
        <v/>
      </c>
      <c r="E1370" s="26" t="str">
        <f>IF(A1370="","",BASE_CAIXA!AA1367)</f>
        <v/>
      </c>
      <c r="F1370" s="26" t="str">
        <f>IF(A1370="","",BASE_CAIXA!N1367)</f>
        <v/>
      </c>
      <c r="G1370" s="26" t="str">
        <f>IF(A1370="","",BASE_CAIXA!O1367)</f>
        <v/>
      </c>
      <c r="H1370" s="26" t="str">
        <f>IF(A1370="","",BASE_CAIXA!P1367)</f>
        <v/>
      </c>
      <c r="I1370" s="26" t="str">
        <f>IF(A1370="","",IF(BASE_CAIXA!H1367&lt;&gt;"",BASE_CAIXA!H1367,BASE_CAIXA!G1367))</f>
        <v/>
      </c>
      <c r="J1370" s="26" t="str">
        <f>IF(A1370="","",BASE_CAIXA!G1367)</f>
        <v/>
      </c>
      <c r="K1370" s="26" t="str">
        <f>IF(A1370="","",BASE_CAIXA!I1367)</f>
        <v/>
      </c>
      <c r="L1370" s="26" t="str">
        <f>IF(A1370="","",BASE_CAIXA!J1367)</f>
        <v/>
      </c>
      <c r="M1370" s="26" t="str">
        <f>IF(A1370="","",BASE_CAIXA!AM1367)</f>
        <v/>
      </c>
      <c r="N1370" s="26" t="str">
        <f t="shared" ca="1" si="63"/>
        <v/>
      </c>
      <c r="O1370" s="26" t="str">
        <f>IFERROR(INDEX(EXTRATO_IMPORTADO!$A$5:$A$404,MATCH(B1370,EXTRATO_IMPORTADO!$I$5:$I$404,0)),"")</f>
        <v/>
      </c>
      <c r="P1370" s="26" t="str">
        <f>IFERROR(INDEX(EXTRATO_IMPORTADO!$F$5:$F$404,MATCH(B1370,EXTRATO_IMPORTADO!$I$5:$I$404,0)),"")</f>
        <v/>
      </c>
      <c r="Q1370" s="26" t="str">
        <f>IFERROR(INDEX(EXTRATO_IMPORTADO!$B$5:$B$404,MATCH(B1370,EXTRATO_IMPORTADO!$I$5:$I$404,0)),"")</f>
        <v/>
      </c>
      <c r="R1370" s="26" t="str">
        <f>IFERROR(MATCH(B1370,EXTRATO_IMPORTADO!$I$5:$I$404,0),"")</f>
        <v/>
      </c>
      <c r="S1370" s="26" t="str">
        <f t="shared" si="64"/>
        <v/>
      </c>
      <c r="T1370" s="26" t="str">
        <f t="shared" si="65"/>
        <v/>
      </c>
    </row>
    <row r="1371" spans="1:20" x14ac:dyDescent="0.3">
      <c r="A1371" s="26" t="str">
        <f>IF(BASE_CAIXA!A1368="","",BASE_CAIXA!A1368)</f>
        <v/>
      </c>
      <c r="B1371" s="26" t="str">
        <f>IF(A1371="","",BASE_CAIXA!AL1368)</f>
        <v/>
      </c>
      <c r="C1371" s="26" t="str">
        <f>IF(A1371="","",BASE_CAIXA!AJ1368)</f>
        <v/>
      </c>
      <c r="D1371" s="26" t="str">
        <f>IF(A1371="","",IF(BASE_CAIXA!C1368="Entrada","Crédito","Débito"))</f>
        <v/>
      </c>
      <c r="E1371" s="26" t="str">
        <f>IF(A1371="","",BASE_CAIXA!AA1368)</f>
        <v/>
      </c>
      <c r="F1371" s="26" t="str">
        <f>IF(A1371="","",BASE_CAIXA!N1368)</f>
        <v/>
      </c>
      <c r="G1371" s="26" t="str">
        <f>IF(A1371="","",BASE_CAIXA!O1368)</f>
        <v/>
      </c>
      <c r="H1371" s="26" t="str">
        <f>IF(A1371="","",BASE_CAIXA!P1368)</f>
        <v/>
      </c>
      <c r="I1371" s="26" t="str">
        <f>IF(A1371="","",IF(BASE_CAIXA!H1368&lt;&gt;"",BASE_CAIXA!H1368,BASE_CAIXA!G1368))</f>
        <v/>
      </c>
      <c r="J1371" s="26" t="str">
        <f>IF(A1371="","",BASE_CAIXA!G1368)</f>
        <v/>
      </c>
      <c r="K1371" s="26" t="str">
        <f>IF(A1371="","",BASE_CAIXA!I1368)</f>
        <v/>
      </c>
      <c r="L1371" s="26" t="str">
        <f>IF(A1371="","",BASE_CAIXA!J1368)</f>
        <v/>
      </c>
      <c r="M1371" s="26" t="str">
        <f>IF(A1371="","",BASE_CAIXA!AM1368)</f>
        <v/>
      </c>
      <c r="N1371" s="26" t="str">
        <f t="shared" ca="1" si="63"/>
        <v/>
      </c>
      <c r="O1371" s="26" t="str">
        <f>IFERROR(INDEX(EXTRATO_IMPORTADO!$A$5:$A$404,MATCH(B1371,EXTRATO_IMPORTADO!$I$5:$I$404,0)),"")</f>
        <v/>
      </c>
      <c r="P1371" s="26" t="str">
        <f>IFERROR(INDEX(EXTRATO_IMPORTADO!$F$5:$F$404,MATCH(B1371,EXTRATO_IMPORTADO!$I$5:$I$404,0)),"")</f>
        <v/>
      </c>
      <c r="Q1371" s="26" t="str">
        <f>IFERROR(INDEX(EXTRATO_IMPORTADO!$B$5:$B$404,MATCH(B1371,EXTRATO_IMPORTADO!$I$5:$I$404,0)),"")</f>
        <v/>
      </c>
      <c r="R1371" s="26" t="str">
        <f>IFERROR(MATCH(B1371,EXTRATO_IMPORTADO!$I$5:$I$404,0),"")</f>
        <v/>
      </c>
      <c r="S1371" s="26" t="str">
        <f t="shared" si="64"/>
        <v/>
      </c>
      <c r="T1371" s="26" t="str">
        <f t="shared" si="65"/>
        <v/>
      </c>
    </row>
    <row r="1372" spans="1:20" x14ac:dyDescent="0.3">
      <c r="A1372" s="26" t="str">
        <f>IF(BASE_CAIXA!A1369="","",BASE_CAIXA!A1369)</f>
        <v/>
      </c>
      <c r="B1372" s="26" t="str">
        <f>IF(A1372="","",BASE_CAIXA!AL1369)</f>
        <v/>
      </c>
      <c r="C1372" s="26" t="str">
        <f>IF(A1372="","",BASE_CAIXA!AJ1369)</f>
        <v/>
      </c>
      <c r="D1372" s="26" t="str">
        <f>IF(A1372="","",IF(BASE_CAIXA!C1369="Entrada","Crédito","Débito"))</f>
        <v/>
      </c>
      <c r="E1372" s="26" t="str">
        <f>IF(A1372="","",BASE_CAIXA!AA1369)</f>
        <v/>
      </c>
      <c r="F1372" s="26" t="str">
        <f>IF(A1372="","",BASE_CAIXA!N1369)</f>
        <v/>
      </c>
      <c r="G1372" s="26" t="str">
        <f>IF(A1372="","",BASE_CAIXA!O1369)</f>
        <v/>
      </c>
      <c r="H1372" s="26" t="str">
        <f>IF(A1372="","",BASE_CAIXA!P1369)</f>
        <v/>
      </c>
      <c r="I1372" s="26" t="str">
        <f>IF(A1372="","",IF(BASE_CAIXA!H1369&lt;&gt;"",BASE_CAIXA!H1369,BASE_CAIXA!G1369))</f>
        <v/>
      </c>
      <c r="J1372" s="26" t="str">
        <f>IF(A1372="","",BASE_CAIXA!G1369)</f>
        <v/>
      </c>
      <c r="K1372" s="26" t="str">
        <f>IF(A1372="","",BASE_CAIXA!I1369)</f>
        <v/>
      </c>
      <c r="L1372" s="26" t="str">
        <f>IF(A1372="","",BASE_CAIXA!J1369)</f>
        <v/>
      </c>
      <c r="M1372" s="26" t="str">
        <f>IF(A1372="","",BASE_CAIXA!AM1369)</f>
        <v/>
      </c>
      <c r="N1372" s="26" t="str">
        <f t="shared" ca="1" si="63"/>
        <v/>
      </c>
      <c r="O1372" s="26" t="str">
        <f>IFERROR(INDEX(EXTRATO_IMPORTADO!$A$5:$A$404,MATCH(B1372,EXTRATO_IMPORTADO!$I$5:$I$404,0)),"")</f>
        <v/>
      </c>
      <c r="P1372" s="26" t="str">
        <f>IFERROR(INDEX(EXTRATO_IMPORTADO!$F$5:$F$404,MATCH(B1372,EXTRATO_IMPORTADO!$I$5:$I$404,0)),"")</f>
        <v/>
      </c>
      <c r="Q1372" s="26" t="str">
        <f>IFERROR(INDEX(EXTRATO_IMPORTADO!$B$5:$B$404,MATCH(B1372,EXTRATO_IMPORTADO!$I$5:$I$404,0)),"")</f>
        <v/>
      </c>
      <c r="R1372" s="26" t="str">
        <f>IFERROR(MATCH(B1372,EXTRATO_IMPORTADO!$I$5:$I$404,0),"")</f>
        <v/>
      </c>
      <c r="S1372" s="26" t="str">
        <f t="shared" si="64"/>
        <v/>
      </c>
      <c r="T1372" s="26" t="str">
        <f t="shared" si="65"/>
        <v/>
      </c>
    </row>
    <row r="1373" spans="1:20" x14ac:dyDescent="0.3">
      <c r="A1373" s="26" t="str">
        <f>IF(BASE_CAIXA!A1370="","",BASE_CAIXA!A1370)</f>
        <v/>
      </c>
      <c r="B1373" s="26" t="str">
        <f>IF(A1373="","",BASE_CAIXA!AL1370)</f>
        <v/>
      </c>
      <c r="C1373" s="26" t="str">
        <f>IF(A1373="","",BASE_CAIXA!AJ1370)</f>
        <v/>
      </c>
      <c r="D1373" s="26" t="str">
        <f>IF(A1373="","",IF(BASE_CAIXA!C1370="Entrada","Crédito","Débito"))</f>
        <v/>
      </c>
      <c r="E1373" s="26" t="str">
        <f>IF(A1373="","",BASE_CAIXA!AA1370)</f>
        <v/>
      </c>
      <c r="F1373" s="26" t="str">
        <f>IF(A1373="","",BASE_CAIXA!N1370)</f>
        <v/>
      </c>
      <c r="G1373" s="26" t="str">
        <f>IF(A1373="","",BASE_CAIXA!O1370)</f>
        <v/>
      </c>
      <c r="H1373" s="26" t="str">
        <f>IF(A1373="","",BASE_CAIXA!P1370)</f>
        <v/>
      </c>
      <c r="I1373" s="26" t="str">
        <f>IF(A1373="","",IF(BASE_CAIXA!H1370&lt;&gt;"",BASE_CAIXA!H1370,BASE_CAIXA!G1370))</f>
        <v/>
      </c>
      <c r="J1373" s="26" t="str">
        <f>IF(A1373="","",BASE_CAIXA!G1370)</f>
        <v/>
      </c>
      <c r="K1373" s="26" t="str">
        <f>IF(A1373="","",BASE_CAIXA!I1370)</f>
        <v/>
      </c>
      <c r="L1373" s="26" t="str">
        <f>IF(A1373="","",BASE_CAIXA!J1370)</f>
        <v/>
      </c>
      <c r="M1373" s="26" t="str">
        <f>IF(A1373="","",BASE_CAIXA!AM1370)</f>
        <v/>
      </c>
      <c r="N1373" s="26" t="str">
        <f t="shared" ca="1" si="63"/>
        <v/>
      </c>
      <c r="O1373" s="26" t="str">
        <f>IFERROR(INDEX(EXTRATO_IMPORTADO!$A$5:$A$404,MATCH(B1373,EXTRATO_IMPORTADO!$I$5:$I$404,0)),"")</f>
        <v/>
      </c>
      <c r="P1373" s="26" t="str">
        <f>IFERROR(INDEX(EXTRATO_IMPORTADO!$F$5:$F$404,MATCH(B1373,EXTRATO_IMPORTADO!$I$5:$I$404,0)),"")</f>
        <v/>
      </c>
      <c r="Q1373" s="26" t="str">
        <f>IFERROR(INDEX(EXTRATO_IMPORTADO!$B$5:$B$404,MATCH(B1373,EXTRATO_IMPORTADO!$I$5:$I$404,0)),"")</f>
        <v/>
      </c>
      <c r="R1373" s="26" t="str">
        <f>IFERROR(MATCH(B1373,EXTRATO_IMPORTADO!$I$5:$I$404,0),"")</f>
        <v/>
      </c>
      <c r="S1373" s="26" t="str">
        <f t="shared" si="64"/>
        <v/>
      </c>
      <c r="T1373" s="26" t="str">
        <f t="shared" si="65"/>
        <v/>
      </c>
    </row>
    <row r="1374" spans="1:20" x14ac:dyDescent="0.3">
      <c r="A1374" s="26" t="str">
        <f>IF(BASE_CAIXA!A1371="","",BASE_CAIXA!A1371)</f>
        <v/>
      </c>
      <c r="B1374" s="26" t="str">
        <f>IF(A1374="","",BASE_CAIXA!AL1371)</f>
        <v/>
      </c>
      <c r="C1374" s="26" t="str">
        <f>IF(A1374="","",BASE_CAIXA!AJ1371)</f>
        <v/>
      </c>
      <c r="D1374" s="26" t="str">
        <f>IF(A1374="","",IF(BASE_CAIXA!C1371="Entrada","Crédito","Débito"))</f>
        <v/>
      </c>
      <c r="E1374" s="26" t="str">
        <f>IF(A1374="","",BASE_CAIXA!AA1371)</f>
        <v/>
      </c>
      <c r="F1374" s="26" t="str">
        <f>IF(A1374="","",BASE_CAIXA!N1371)</f>
        <v/>
      </c>
      <c r="G1374" s="26" t="str">
        <f>IF(A1374="","",BASE_CAIXA!O1371)</f>
        <v/>
      </c>
      <c r="H1374" s="26" t="str">
        <f>IF(A1374="","",BASE_CAIXA!P1371)</f>
        <v/>
      </c>
      <c r="I1374" s="26" t="str">
        <f>IF(A1374="","",IF(BASE_CAIXA!H1371&lt;&gt;"",BASE_CAIXA!H1371,BASE_CAIXA!G1371))</f>
        <v/>
      </c>
      <c r="J1374" s="26" t="str">
        <f>IF(A1374="","",BASE_CAIXA!G1371)</f>
        <v/>
      </c>
      <c r="K1374" s="26" t="str">
        <f>IF(A1374="","",BASE_CAIXA!I1371)</f>
        <v/>
      </c>
      <c r="L1374" s="26" t="str">
        <f>IF(A1374="","",BASE_CAIXA!J1371)</f>
        <v/>
      </c>
      <c r="M1374" s="26" t="str">
        <f>IF(A1374="","",BASE_CAIXA!AM1371)</f>
        <v/>
      </c>
      <c r="N1374" s="26" t="str">
        <f t="shared" ca="1" si="63"/>
        <v/>
      </c>
      <c r="O1374" s="26" t="str">
        <f>IFERROR(INDEX(EXTRATO_IMPORTADO!$A$5:$A$404,MATCH(B1374,EXTRATO_IMPORTADO!$I$5:$I$404,0)),"")</f>
        <v/>
      </c>
      <c r="P1374" s="26" t="str">
        <f>IFERROR(INDEX(EXTRATO_IMPORTADO!$F$5:$F$404,MATCH(B1374,EXTRATO_IMPORTADO!$I$5:$I$404,0)),"")</f>
        <v/>
      </c>
      <c r="Q1374" s="26" t="str">
        <f>IFERROR(INDEX(EXTRATO_IMPORTADO!$B$5:$B$404,MATCH(B1374,EXTRATO_IMPORTADO!$I$5:$I$404,0)),"")</f>
        <v/>
      </c>
      <c r="R1374" s="26" t="str">
        <f>IFERROR(MATCH(B1374,EXTRATO_IMPORTADO!$I$5:$I$404,0),"")</f>
        <v/>
      </c>
      <c r="S1374" s="26" t="str">
        <f t="shared" si="64"/>
        <v/>
      </c>
      <c r="T1374" s="26" t="str">
        <f t="shared" si="65"/>
        <v/>
      </c>
    </row>
    <row r="1375" spans="1:20" x14ac:dyDescent="0.3">
      <c r="A1375" s="26" t="str">
        <f>IF(BASE_CAIXA!A1372="","",BASE_CAIXA!A1372)</f>
        <v/>
      </c>
      <c r="B1375" s="26" t="str">
        <f>IF(A1375="","",BASE_CAIXA!AL1372)</f>
        <v/>
      </c>
      <c r="C1375" s="26" t="str">
        <f>IF(A1375="","",BASE_CAIXA!AJ1372)</f>
        <v/>
      </c>
      <c r="D1375" s="26" t="str">
        <f>IF(A1375="","",IF(BASE_CAIXA!C1372="Entrada","Crédito","Débito"))</f>
        <v/>
      </c>
      <c r="E1375" s="26" t="str">
        <f>IF(A1375="","",BASE_CAIXA!AA1372)</f>
        <v/>
      </c>
      <c r="F1375" s="26" t="str">
        <f>IF(A1375="","",BASE_CAIXA!N1372)</f>
        <v/>
      </c>
      <c r="G1375" s="26" t="str">
        <f>IF(A1375="","",BASE_CAIXA!O1372)</f>
        <v/>
      </c>
      <c r="H1375" s="26" t="str">
        <f>IF(A1375="","",BASE_CAIXA!P1372)</f>
        <v/>
      </c>
      <c r="I1375" s="26" t="str">
        <f>IF(A1375="","",IF(BASE_CAIXA!H1372&lt;&gt;"",BASE_CAIXA!H1372,BASE_CAIXA!G1372))</f>
        <v/>
      </c>
      <c r="J1375" s="26" t="str">
        <f>IF(A1375="","",BASE_CAIXA!G1372)</f>
        <v/>
      </c>
      <c r="K1375" s="26" t="str">
        <f>IF(A1375="","",BASE_CAIXA!I1372)</f>
        <v/>
      </c>
      <c r="L1375" s="26" t="str">
        <f>IF(A1375="","",BASE_CAIXA!J1372)</f>
        <v/>
      </c>
      <c r="M1375" s="26" t="str">
        <f>IF(A1375="","",BASE_CAIXA!AM1372)</f>
        <v/>
      </c>
      <c r="N1375" s="26" t="str">
        <f t="shared" ca="1" si="63"/>
        <v/>
      </c>
      <c r="O1375" s="26" t="str">
        <f>IFERROR(INDEX(EXTRATO_IMPORTADO!$A$5:$A$404,MATCH(B1375,EXTRATO_IMPORTADO!$I$5:$I$404,0)),"")</f>
        <v/>
      </c>
      <c r="P1375" s="26" t="str">
        <f>IFERROR(INDEX(EXTRATO_IMPORTADO!$F$5:$F$404,MATCH(B1375,EXTRATO_IMPORTADO!$I$5:$I$404,0)),"")</f>
        <v/>
      </c>
      <c r="Q1375" s="26" t="str">
        <f>IFERROR(INDEX(EXTRATO_IMPORTADO!$B$5:$B$404,MATCH(B1375,EXTRATO_IMPORTADO!$I$5:$I$404,0)),"")</f>
        <v/>
      </c>
      <c r="R1375" s="26" t="str">
        <f>IFERROR(MATCH(B1375,EXTRATO_IMPORTADO!$I$5:$I$404,0),"")</f>
        <v/>
      </c>
      <c r="S1375" s="26" t="str">
        <f t="shared" si="64"/>
        <v/>
      </c>
      <c r="T1375" s="26" t="str">
        <f t="shared" si="65"/>
        <v/>
      </c>
    </row>
    <row r="1376" spans="1:20" x14ac:dyDescent="0.3">
      <c r="A1376" s="26" t="str">
        <f>IF(BASE_CAIXA!A1373="","",BASE_CAIXA!A1373)</f>
        <v/>
      </c>
      <c r="B1376" s="26" t="str">
        <f>IF(A1376="","",BASE_CAIXA!AL1373)</f>
        <v/>
      </c>
      <c r="C1376" s="26" t="str">
        <f>IF(A1376="","",BASE_CAIXA!AJ1373)</f>
        <v/>
      </c>
      <c r="D1376" s="26" t="str">
        <f>IF(A1376="","",IF(BASE_CAIXA!C1373="Entrada","Crédito","Débito"))</f>
        <v/>
      </c>
      <c r="E1376" s="26" t="str">
        <f>IF(A1376="","",BASE_CAIXA!AA1373)</f>
        <v/>
      </c>
      <c r="F1376" s="26" t="str">
        <f>IF(A1376="","",BASE_CAIXA!N1373)</f>
        <v/>
      </c>
      <c r="G1376" s="26" t="str">
        <f>IF(A1376="","",BASE_CAIXA!O1373)</f>
        <v/>
      </c>
      <c r="H1376" s="26" t="str">
        <f>IF(A1376="","",BASE_CAIXA!P1373)</f>
        <v/>
      </c>
      <c r="I1376" s="26" t="str">
        <f>IF(A1376="","",IF(BASE_CAIXA!H1373&lt;&gt;"",BASE_CAIXA!H1373,BASE_CAIXA!G1373))</f>
        <v/>
      </c>
      <c r="J1376" s="26" t="str">
        <f>IF(A1376="","",BASE_CAIXA!G1373)</f>
        <v/>
      </c>
      <c r="K1376" s="26" t="str">
        <f>IF(A1376="","",BASE_CAIXA!I1373)</f>
        <v/>
      </c>
      <c r="L1376" s="26" t="str">
        <f>IF(A1376="","",BASE_CAIXA!J1373)</f>
        <v/>
      </c>
      <c r="M1376" s="26" t="str">
        <f>IF(A1376="","",BASE_CAIXA!AM1373)</f>
        <v/>
      </c>
      <c r="N1376" s="26" t="str">
        <f t="shared" ca="1" si="63"/>
        <v/>
      </c>
      <c r="O1376" s="26" t="str">
        <f>IFERROR(INDEX(EXTRATO_IMPORTADO!$A$5:$A$404,MATCH(B1376,EXTRATO_IMPORTADO!$I$5:$I$404,0)),"")</f>
        <v/>
      </c>
      <c r="P1376" s="26" t="str">
        <f>IFERROR(INDEX(EXTRATO_IMPORTADO!$F$5:$F$404,MATCH(B1376,EXTRATO_IMPORTADO!$I$5:$I$404,0)),"")</f>
        <v/>
      </c>
      <c r="Q1376" s="26" t="str">
        <f>IFERROR(INDEX(EXTRATO_IMPORTADO!$B$5:$B$404,MATCH(B1376,EXTRATO_IMPORTADO!$I$5:$I$404,0)),"")</f>
        <v/>
      </c>
      <c r="R1376" s="26" t="str">
        <f>IFERROR(MATCH(B1376,EXTRATO_IMPORTADO!$I$5:$I$404,0),"")</f>
        <v/>
      </c>
      <c r="S1376" s="26" t="str">
        <f t="shared" si="64"/>
        <v/>
      </c>
      <c r="T1376" s="26" t="str">
        <f t="shared" si="65"/>
        <v/>
      </c>
    </row>
    <row r="1377" spans="1:20" x14ac:dyDescent="0.3">
      <c r="A1377" s="26" t="str">
        <f>IF(BASE_CAIXA!A1374="","",BASE_CAIXA!A1374)</f>
        <v/>
      </c>
      <c r="B1377" s="26" t="str">
        <f>IF(A1377="","",BASE_CAIXA!AL1374)</f>
        <v/>
      </c>
      <c r="C1377" s="26" t="str">
        <f>IF(A1377="","",BASE_CAIXA!AJ1374)</f>
        <v/>
      </c>
      <c r="D1377" s="26" t="str">
        <f>IF(A1377="","",IF(BASE_CAIXA!C1374="Entrada","Crédito","Débito"))</f>
        <v/>
      </c>
      <c r="E1377" s="26" t="str">
        <f>IF(A1377="","",BASE_CAIXA!AA1374)</f>
        <v/>
      </c>
      <c r="F1377" s="26" t="str">
        <f>IF(A1377="","",BASE_CAIXA!N1374)</f>
        <v/>
      </c>
      <c r="G1377" s="26" t="str">
        <f>IF(A1377="","",BASE_CAIXA!O1374)</f>
        <v/>
      </c>
      <c r="H1377" s="26" t="str">
        <f>IF(A1377="","",BASE_CAIXA!P1374)</f>
        <v/>
      </c>
      <c r="I1377" s="26" t="str">
        <f>IF(A1377="","",IF(BASE_CAIXA!H1374&lt;&gt;"",BASE_CAIXA!H1374,BASE_CAIXA!G1374))</f>
        <v/>
      </c>
      <c r="J1377" s="26" t="str">
        <f>IF(A1377="","",BASE_CAIXA!G1374)</f>
        <v/>
      </c>
      <c r="K1377" s="26" t="str">
        <f>IF(A1377="","",BASE_CAIXA!I1374)</f>
        <v/>
      </c>
      <c r="L1377" s="26" t="str">
        <f>IF(A1377="","",BASE_CAIXA!J1374)</f>
        <v/>
      </c>
      <c r="M1377" s="26" t="str">
        <f>IF(A1377="","",BASE_CAIXA!AM1374)</f>
        <v/>
      </c>
      <c r="N1377" s="26" t="str">
        <f t="shared" ca="1" si="63"/>
        <v/>
      </c>
      <c r="O1377" s="26" t="str">
        <f>IFERROR(INDEX(EXTRATO_IMPORTADO!$A$5:$A$404,MATCH(B1377,EXTRATO_IMPORTADO!$I$5:$I$404,0)),"")</f>
        <v/>
      </c>
      <c r="P1377" s="26" t="str">
        <f>IFERROR(INDEX(EXTRATO_IMPORTADO!$F$5:$F$404,MATCH(B1377,EXTRATO_IMPORTADO!$I$5:$I$404,0)),"")</f>
        <v/>
      </c>
      <c r="Q1377" s="26" t="str">
        <f>IFERROR(INDEX(EXTRATO_IMPORTADO!$B$5:$B$404,MATCH(B1377,EXTRATO_IMPORTADO!$I$5:$I$404,0)),"")</f>
        <v/>
      </c>
      <c r="R1377" s="26" t="str">
        <f>IFERROR(MATCH(B1377,EXTRATO_IMPORTADO!$I$5:$I$404,0),"")</f>
        <v/>
      </c>
      <c r="S1377" s="26" t="str">
        <f t="shared" si="64"/>
        <v/>
      </c>
      <c r="T1377" s="26" t="str">
        <f t="shared" si="65"/>
        <v/>
      </c>
    </row>
    <row r="1378" spans="1:20" x14ac:dyDescent="0.3">
      <c r="A1378" s="26" t="str">
        <f>IF(BASE_CAIXA!A1375="","",BASE_CAIXA!A1375)</f>
        <v/>
      </c>
      <c r="B1378" s="26" t="str">
        <f>IF(A1378="","",BASE_CAIXA!AL1375)</f>
        <v/>
      </c>
      <c r="C1378" s="26" t="str">
        <f>IF(A1378="","",BASE_CAIXA!AJ1375)</f>
        <v/>
      </c>
      <c r="D1378" s="26" t="str">
        <f>IF(A1378="","",IF(BASE_CAIXA!C1375="Entrada","Crédito","Débito"))</f>
        <v/>
      </c>
      <c r="E1378" s="26" t="str">
        <f>IF(A1378="","",BASE_CAIXA!AA1375)</f>
        <v/>
      </c>
      <c r="F1378" s="26" t="str">
        <f>IF(A1378="","",BASE_CAIXA!N1375)</f>
        <v/>
      </c>
      <c r="G1378" s="26" t="str">
        <f>IF(A1378="","",BASE_CAIXA!O1375)</f>
        <v/>
      </c>
      <c r="H1378" s="26" t="str">
        <f>IF(A1378="","",BASE_CAIXA!P1375)</f>
        <v/>
      </c>
      <c r="I1378" s="26" t="str">
        <f>IF(A1378="","",IF(BASE_CAIXA!H1375&lt;&gt;"",BASE_CAIXA!H1375,BASE_CAIXA!G1375))</f>
        <v/>
      </c>
      <c r="J1378" s="26" t="str">
        <f>IF(A1378="","",BASE_CAIXA!G1375)</f>
        <v/>
      </c>
      <c r="K1378" s="26" t="str">
        <f>IF(A1378="","",BASE_CAIXA!I1375)</f>
        <v/>
      </c>
      <c r="L1378" s="26" t="str">
        <f>IF(A1378="","",BASE_CAIXA!J1375)</f>
        <v/>
      </c>
      <c r="M1378" s="26" t="str">
        <f>IF(A1378="","",BASE_CAIXA!AM1375)</f>
        <v/>
      </c>
      <c r="N1378" s="26" t="str">
        <f t="shared" ca="1" si="63"/>
        <v/>
      </c>
      <c r="O1378" s="26" t="str">
        <f>IFERROR(INDEX(EXTRATO_IMPORTADO!$A$5:$A$404,MATCH(B1378,EXTRATO_IMPORTADO!$I$5:$I$404,0)),"")</f>
        <v/>
      </c>
      <c r="P1378" s="26" t="str">
        <f>IFERROR(INDEX(EXTRATO_IMPORTADO!$F$5:$F$404,MATCH(B1378,EXTRATO_IMPORTADO!$I$5:$I$404,0)),"")</f>
        <v/>
      </c>
      <c r="Q1378" s="26" t="str">
        <f>IFERROR(INDEX(EXTRATO_IMPORTADO!$B$5:$B$404,MATCH(B1378,EXTRATO_IMPORTADO!$I$5:$I$404,0)),"")</f>
        <v/>
      </c>
      <c r="R1378" s="26" t="str">
        <f>IFERROR(MATCH(B1378,EXTRATO_IMPORTADO!$I$5:$I$404,0),"")</f>
        <v/>
      </c>
      <c r="S1378" s="26" t="str">
        <f t="shared" si="64"/>
        <v/>
      </c>
      <c r="T1378" s="26" t="str">
        <f t="shared" si="65"/>
        <v/>
      </c>
    </row>
    <row r="1379" spans="1:20" x14ac:dyDescent="0.3">
      <c r="A1379" s="26" t="str">
        <f>IF(BASE_CAIXA!A1376="","",BASE_CAIXA!A1376)</f>
        <v/>
      </c>
      <c r="B1379" s="26" t="str">
        <f>IF(A1379="","",BASE_CAIXA!AL1376)</f>
        <v/>
      </c>
      <c r="C1379" s="26" t="str">
        <f>IF(A1379="","",BASE_CAIXA!AJ1376)</f>
        <v/>
      </c>
      <c r="D1379" s="26" t="str">
        <f>IF(A1379="","",IF(BASE_CAIXA!C1376="Entrada","Crédito","Débito"))</f>
        <v/>
      </c>
      <c r="E1379" s="26" t="str">
        <f>IF(A1379="","",BASE_CAIXA!AA1376)</f>
        <v/>
      </c>
      <c r="F1379" s="26" t="str">
        <f>IF(A1379="","",BASE_CAIXA!N1376)</f>
        <v/>
      </c>
      <c r="G1379" s="26" t="str">
        <f>IF(A1379="","",BASE_CAIXA!O1376)</f>
        <v/>
      </c>
      <c r="H1379" s="26" t="str">
        <f>IF(A1379="","",BASE_CAIXA!P1376)</f>
        <v/>
      </c>
      <c r="I1379" s="26" t="str">
        <f>IF(A1379="","",IF(BASE_CAIXA!H1376&lt;&gt;"",BASE_CAIXA!H1376,BASE_CAIXA!G1376))</f>
        <v/>
      </c>
      <c r="J1379" s="26" t="str">
        <f>IF(A1379="","",BASE_CAIXA!G1376)</f>
        <v/>
      </c>
      <c r="K1379" s="26" t="str">
        <f>IF(A1379="","",BASE_CAIXA!I1376)</f>
        <v/>
      </c>
      <c r="L1379" s="26" t="str">
        <f>IF(A1379="","",BASE_CAIXA!J1376)</f>
        <v/>
      </c>
      <c r="M1379" s="26" t="str">
        <f>IF(A1379="","",BASE_CAIXA!AM1376)</f>
        <v/>
      </c>
      <c r="N1379" s="26" t="str">
        <f t="shared" ca="1" si="63"/>
        <v/>
      </c>
      <c r="O1379" s="26" t="str">
        <f>IFERROR(INDEX(EXTRATO_IMPORTADO!$A$5:$A$404,MATCH(B1379,EXTRATO_IMPORTADO!$I$5:$I$404,0)),"")</f>
        <v/>
      </c>
      <c r="P1379" s="26" t="str">
        <f>IFERROR(INDEX(EXTRATO_IMPORTADO!$F$5:$F$404,MATCH(B1379,EXTRATO_IMPORTADO!$I$5:$I$404,0)),"")</f>
        <v/>
      </c>
      <c r="Q1379" s="26" t="str">
        <f>IFERROR(INDEX(EXTRATO_IMPORTADO!$B$5:$B$404,MATCH(B1379,EXTRATO_IMPORTADO!$I$5:$I$404,0)),"")</f>
        <v/>
      </c>
      <c r="R1379" s="26" t="str">
        <f>IFERROR(MATCH(B1379,EXTRATO_IMPORTADO!$I$5:$I$404,0),"")</f>
        <v/>
      </c>
      <c r="S1379" s="26" t="str">
        <f t="shared" si="64"/>
        <v/>
      </c>
      <c r="T1379" s="26" t="str">
        <f t="shared" si="65"/>
        <v/>
      </c>
    </row>
    <row r="1380" spans="1:20" x14ac:dyDescent="0.3">
      <c r="A1380" s="26" t="str">
        <f>IF(BASE_CAIXA!A1377="","",BASE_CAIXA!A1377)</f>
        <v/>
      </c>
      <c r="B1380" s="26" t="str">
        <f>IF(A1380="","",BASE_CAIXA!AL1377)</f>
        <v/>
      </c>
      <c r="C1380" s="26" t="str">
        <f>IF(A1380="","",BASE_CAIXA!AJ1377)</f>
        <v/>
      </c>
      <c r="D1380" s="26" t="str">
        <f>IF(A1380="","",IF(BASE_CAIXA!C1377="Entrada","Crédito","Débito"))</f>
        <v/>
      </c>
      <c r="E1380" s="26" t="str">
        <f>IF(A1380="","",BASE_CAIXA!AA1377)</f>
        <v/>
      </c>
      <c r="F1380" s="26" t="str">
        <f>IF(A1380="","",BASE_CAIXA!N1377)</f>
        <v/>
      </c>
      <c r="G1380" s="26" t="str">
        <f>IF(A1380="","",BASE_CAIXA!O1377)</f>
        <v/>
      </c>
      <c r="H1380" s="26" t="str">
        <f>IF(A1380="","",BASE_CAIXA!P1377)</f>
        <v/>
      </c>
      <c r="I1380" s="26" t="str">
        <f>IF(A1380="","",IF(BASE_CAIXA!H1377&lt;&gt;"",BASE_CAIXA!H1377,BASE_CAIXA!G1377))</f>
        <v/>
      </c>
      <c r="J1380" s="26" t="str">
        <f>IF(A1380="","",BASE_CAIXA!G1377)</f>
        <v/>
      </c>
      <c r="K1380" s="26" t="str">
        <f>IF(A1380="","",BASE_CAIXA!I1377)</f>
        <v/>
      </c>
      <c r="L1380" s="26" t="str">
        <f>IF(A1380="","",BASE_CAIXA!J1377)</f>
        <v/>
      </c>
      <c r="M1380" s="26" t="str">
        <f>IF(A1380="","",BASE_CAIXA!AM1377)</f>
        <v/>
      </c>
      <c r="N1380" s="26" t="str">
        <f t="shared" ca="1" si="63"/>
        <v/>
      </c>
      <c r="O1380" s="26" t="str">
        <f>IFERROR(INDEX(EXTRATO_IMPORTADO!$A$5:$A$404,MATCH(B1380,EXTRATO_IMPORTADO!$I$5:$I$404,0)),"")</f>
        <v/>
      </c>
      <c r="P1380" s="26" t="str">
        <f>IFERROR(INDEX(EXTRATO_IMPORTADO!$F$5:$F$404,MATCH(B1380,EXTRATO_IMPORTADO!$I$5:$I$404,0)),"")</f>
        <v/>
      </c>
      <c r="Q1380" s="26" t="str">
        <f>IFERROR(INDEX(EXTRATO_IMPORTADO!$B$5:$B$404,MATCH(B1380,EXTRATO_IMPORTADO!$I$5:$I$404,0)),"")</f>
        <v/>
      </c>
      <c r="R1380" s="26" t="str">
        <f>IFERROR(MATCH(B1380,EXTRATO_IMPORTADO!$I$5:$I$404,0),"")</f>
        <v/>
      </c>
      <c r="S1380" s="26" t="str">
        <f t="shared" si="64"/>
        <v/>
      </c>
      <c r="T1380" s="26" t="str">
        <f t="shared" si="65"/>
        <v/>
      </c>
    </row>
    <row r="1381" spans="1:20" x14ac:dyDescent="0.3">
      <c r="A1381" s="26" t="str">
        <f>IF(BASE_CAIXA!A1378="","",BASE_CAIXA!A1378)</f>
        <v/>
      </c>
      <c r="B1381" s="26" t="str">
        <f>IF(A1381="","",BASE_CAIXA!AL1378)</f>
        <v/>
      </c>
      <c r="C1381" s="26" t="str">
        <f>IF(A1381="","",BASE_CAIXA!AJ1378)</f>
        <v/>
      </c>
      <c r="D1381" s="26" t="str">
        <f>IF(A1381="","",IF(BASE_CAIXA!C1378="Entrada","Crédito","Débito"))</f>
        <v/>
      </c>
      <c r="E1381" s="26" t="str">
        <f>IF(A1381="","",BASE_CAIXA!AA1378)</f>
        <v/>
      </c>
      <c r="F1381" s="26" t="str">
        <f>IF(A1381="","",BASE_CAIXA!N1378)</f>
        <v/>
      </c>
      <c r="G1381" s="26" t="str">
        <f>IF(A1381="","",BASE_CAIXA!O1378)</f>
        <v/>
      </c>
      <c r="H1381" s="26" t="str">
        <f>IF(A1381="","",BASE_CAIXA!P1378)</f>
        <v/>
      </c>
      <c r="I1381" s="26" t="str">
        <f>IF(A1381="","",IF(BASE_CAIXA!H1378&lt;&gt;"",BASE_CAIXA!H1378,BASE_CAIXA!G1378))</f>
        <v/>
      </c>
      <c r="J1381" s="26" t="str">
        <f>IF(A1381="","",BASE_CAIXA!G1378)</f>
        <v/>
      </c>
      <c r="K1381" s="26" t="str">
        <f>IF(A1381="","",BASE_CAIXA!I1378)</f>
        <v/>
      </c>
      <c r="L1381" s="26" t="str">
        <f>IF(A1381="","",BASE_CAIXA!J1378)</f>
        <v/>
      </c>
      <c r="M1381" s="26" t="str">
        <f>IF(A1381="","",BASE_CAIXA!AM1378)</f>
        <v/>
      </c>
      <c r="N1381" s="26" t="str">
        <f t="shared" ca="1" si="63"/>
        <v/>
      </c>
      <c r="O1381" s="26" t="str">
        <f>IFERROR(INDEX(EXTRATO_IMPORTADO!$A$5:$A$404,MATCH(B1381,EXTRATO_IMPORTADO!$I$5:$I$404,0)),"")</f>
        <v/>
      </c>
      <c r="P1381" s="26" t="str">
        <f>IFERROR(INDEX(EXTRATO_IMPORTADO!$F$5:$F$404,MATCH(B1381,EXTRATO_IMPORTADO!$I$5:$I$404,0)),"")</f>
        <v/>
      </c>
      <c r="Q1381" s="26" t="str">
        <f>IFERROR(INDEX(EXTRATO_IMPORTADO!$B$5:$B$404,MATCH(B1381,EXTRATO_IMPORTADO!$I$5:$I$404,0)),"")</f>
        <v/>
      </c>
      <c r="R1381" s="26" t="str">
        <f>IFERROR(MATCH(B1381,EXTRATO_IMPORTADO!$I$5:$I$404,0),"")</f>
        <v/>
      </c>
      <c r="S1381" s="26" t="str">
        <f t="shared" si="64"/>
        <v/>
      </c>
      <c r="T1381" s="26" t="str">
        <f t="shared" si="65"/>
        <v/>
      </c>
    </row>
    <row r="1382" spans="1:20" x14ac:dyDescent="0.3">
      <c r="A1382" s="26" t="str">
        <f>IF(BASE_CAIXA!A1379="","",BASE_CAIXA!A1379)</f>
        <v/>
      </c>
      <c r="B1382" s="26" t="str">
        <f>IF(A1382="","",BASE_CAIXA!AL1379)</f>
        <v/>
      </c>
      <c r="C1382" s="26" t="str">
        <f>IF(A1382="","",BASE_CAIXA!AJ1379)</f>
        <v/>
      </c>
      <c r="D1382" s="26" t="str">
        <f>IF(A1382="","",IF(BASE_CAIXA!C1379="Entrada","Crédito","Débito"))</f>
        <v/>
      </c>
      <c r="E1382" s="26" t="str">
        <f>IF(A1382="","",BASE_CAIXA!AA1379)</f>
        <v/>
      </c>
      <c r="F1382" s="26" t="str">
        <f>IF(A1382="","",BASE_CAIXA!N1379)</f>
        <v/>
      </c>
      <c r="G1382" s="26" t="str">
        <f>IF(A1382="","",BASE_CAIXA!O1379)</f>
        <v/>
      </c>
      <c r="H1382" s="26" t="str">
        <f>IF(A1382="","",BASE_CAIXA!P1379)</f>
        <v/>
      </c>
      <c r="I1382" s="26" t="str">
        <f>IF(A1382="","",IF(BASE_CAIXA!H1379&lt;&gt;"",BASE_CAIXA!H1379,BASE_CAIXA!G1379))</f>
        <v/>
      </c>
      <c r="J1382" s="26" t="str">
        <f>IF(A1382="","",BASE_CAIXA!G1379)</f>
        <v/>
      </c>
      <c r="K1382" s="26" t="str">
        <f>IF(A1382="","",BASE_CAIXA!I1379)</f>
        <v/>
      </c>
      <c r="L1382" s="26" t="str">
        <f>IF(A1382="","",BASE_CAIXA!J1379)</f>
        <v/>
      </c>
      <c r="M1382" s="26" t="str">
        <f>IF(A1382="","",BASE_CAIXA!AM1379)</f>
        <v/>
      </c>
      <c r="N1382" s="26" t="str">
        <f t="shared" ca="1" si="63"/>
        <v/>
      </c>
      <c r="O1382" s="26" t="str">
        <f>IFERROR(INDEX(EXTRATO_IMPORTADO!$A$5:$A$404,MATCH(B1382,EXTRATO_IMPORTADO!$I$5:$I$404,0)),"")</f>
        <v/>
      </c>
      <c r="P1382" s="26" t="str">
        <f>IFERROR(INDEX(EXTRATO_IMPORTADO!$F$5:$F$404,MATCH(B1382,EXTRATO_IMPORTADO!$I$5:$I$404,0)),"")</f>
        <v/>
      </c>
      <c r="Q1382" s="26" t="str">
        <f>IFERROR(INDEX(EXTRATO_IMPORTADO!$B$5:$B$404,MATCH(B1382,EXTRATO_IMPORTADO!$I$5:$I$404,0)),"")</f>
        <v/>
      </c>
      <c r="R1382" s="26" t="str">
        <f>IFERROR(MATCH(B1382,EXTRATO_IMPORTADO!$I$5:$I$404,0),"")</f>
        <v/>
      </c>
      <c r="S1382" s="26" t="str">
        <f t="shared" si="64"/>
        <v/>
      </c>
      <c r="T1382" s="26" t="str">
        <f t="shared" si="65"/>
        <v/>
      </c>
    </row>
    <row r="1383" spans="1:20" x14ac:dyDescent="0.3">
      <c r="A1383" s="26" t="str">
        <f>IF(BASE_CAIXA!A1380="","",BASE_CAIXA!A1380)</f>
        <v/>
      </c>
      <c r="B1383" s="26" t="str">
        <f>IF(A1383="","",BASE_CAIXA!AL1380)</f>
        <v/>
      </c>
      <c r="C1383" s="26" t="str">
        <f>IF(A1383="","",BASE_CAIXA!AJ1380)</f>
        <v/>
      </c>
      <c r="D1383" s="26" t="str">
        <f>IF(A1383="","",IF(BASE_CAIXA!C1380="Entrada","Crédito","Débito"))</f>
        <v/>
      </c>
      <c r="E1383" s="26" t="str">
        <f>IF(A1383="","",BASE_CAIXA!AA1380)</f>
        <v/>
      </c>
      <c r="F1383" s="26" t="str">
        <f>IF(A1383="","",BASE_CAIXA!N1380)</f>
        <v/>
      </c>
      <c r="G1383" s="26" t="str">
        <f>IF(A1383="","",BASE_CAIXA!O1380)</f>
        <v/>
      </c>
      <c r="H1383" s="26" t="str">
        <f>IF(A1383="","",BASE_CAIXA!P1380)</f>
        <v/>
      </c>
      <c r="I1383" s="26" t="str">
        <f>IF(A1383="","",IF(BASE_CAIXA!H1380&lt;&gt;"",BASE_CAIXA!H1380,BASE_CAIXA!G1380))</f>
        <v/>
      </c>
      <c r="J1383" s="26" t="str">
        <f>IF(A1383="","",BASE_CAIXA!G1380)</f>
        <v/>
      </c>
      <c r="K1383" s="26" t="str">
        <f>IF(A1383="","",BASE_CAIXA!I1380)</f>
        <v/>
      </c>
      <c r="L1383" s="26" t="str">
        <f>IF(A1383="","",BASE_CAIXA!J1380)</f>
        <v/>
      </c>
      <c r="M1383" s="26" t="str">
        <f>IF(A1383="","",BASE_CAIXA!AM1380)</f>
        <v/>
      </c>
      <c r="N1383" s="26" t="str">
        <f t="shared" ca="1" si="63"/>
        <v/>
      </c>
      <c r="O1383" s="26" t="str">
        <f>IFERROR(INDEX(EXTRATO_IMPORTADO!$A$5:$A$404,MATCH(B1383,EXTRATO_IMPORTADO!$I$5:$I$404,0)),"")</f>
        <v/>
      </c>
      <c r="P1383" s="26" t="str">
        <f>IFERROR(INDEX(EXTRATO_IMPORTADO!$F$5:$F$404,MATCH(B1383,EXTRATO_IMPORTADO!$I$5:$I$404,0)),"")</f>
        <v/>
      </c>
      <c r="Q1383" s="26" t="str">
        <f>IFERROR(INDEX(EXTRATO_IMPORTADO!$B$5:$B$404,MATCH(B1383,EXTRATO_IMPORTADO!$I$5:$I$404,0)),"")</f>
        <v/>
      </c>
      <c r="R1383" s="26" t="str">
        <f>IFERROR(MATCH(B1383,EXTRATO_IMPORTADO!$I$5:$I$404,0),"")</f>
        <v/>
      </c>
      <c r="S1383" s="26" t="str">
        <f t="shared" si="64"/>
        <v/>
      </c>
      <c r="T1383" s="26" t="str">
        <f t="shared" si="65"/>
        <v/>
      </c>
    </row>
    <row r="1384" spans="1:20" x14ac:dyDescent="0.3">
      <c r="A1384" s="26" t="str">
        <f>IF(BASE_CAIXA!A1381="","",BASE_CAIXA!A1381)</f>
        <v/>
      </c>
      <c r="B1384" s="26" t="str">
        <f>IF(A1384="","",BASE_CAIXA!AL1381)</f>
        <v/>
      </c>
      <c r="C1384" s="26" t="str">
        <f>IF(A1384="","",BASE_CAIXA!AJ1381)</f>
        <v/>
      </c>
      <c r="D1384" s="26" t="str">
        <f>IF(A1384="","",IF(BASE_CAIXA!C1381="Entrada","Crédito","Débito"))</f>
        <v/>
      </c>
      <c r="E1384" s="26" t="str">
        <f>IF(A1384="","",BASE_CAIXA!AA1381)</f>
        <v/>
      </c>
      <c r="F1384" s="26" t="str">
        <f>IF(A1384="","",BASE_CAIXA!N1381)</f>
        <v/>
      </c>
      <c r="G1384" s="26" t="str">
        <f>IF(A1384="","",BASE_CAIXA!O1381)</f>
        <v/>
      </c>
      <c r="H1384" s="26" t="str">
        <f>IF(A1384="","",BASE_CAIXA!P1381)</f>
        <v/>
      </c>
      <c r="I1384" s="26" t="str">
        <f>IF(A1384="","",IF(BASE_CAIXA!H1381&lt;&gt;"",BASE_CAIXA!H1381,BASE_CAIXA!G1381))</f>
        <v/>
      </c>
      <c r="J1384" s="26" t="str">
        <f>IF(A1384="","",BASE_CAIXA!G1381)</f>
        <v/>
      </c>
      <c r="K1384" s="26" t="str">
        <f>IF(A1384="","",BASE_CAIXA!I1381)</f>
        <v/>
      </c>
      <c r="L1384" s="26" t="str">
        <f>IF(A1384="","",BASE_CAIXA!J1381)</f>
        <v/>
      </c>
      <c r="M1384" s="26" t="str">
        <f>IF(A1384="","",BASE_CAIXA!AM1381)</f>
        <v/>
      </c>
      <c r="N1384" s="26" t="str">
        <f t="shared" ca="1" si="63"/>
        <v/>
      </c>
      <c r="O1384" s="26" t="str">
        <f>IFERROR(INDEX(EXTRATO_IMPORTADO!$A$5:$A$404,MATCH(B1384,EXTRATO_IMPORTADO!$I$5:$I$404,0)),"")</f>
        <v/>
      </c>
      <c r="P1384" s="26" t="str">
        <f>IFERROR(INDEX(EXTRATO_IMPORTADO!$F$5:$F$404,MATCH(B1384,EXTRATO_IMPORTADO!$I$5:$I$404,0)),"")</f>
        <v/>
      </c>
      <c r="Q1384" s="26" t="str">
        <f>IFERROR(INDEX(EXTRATO_IMPORTADO!$B$5:$B$404,MATCH(B1384,EXTRATO_IMPORTADO!$I$5:$I$404,0)),"")</f>
        <v/>
      </c>
      <c r="R1384" s="26" t="str">
        <f>IFERROR(MATCH(B1384,EXTRATO_IMPORTADO!$I$5:$I$404,0),"")</f>
        <v/>
      </c>
      <c r="S1384" s="26" t="str">
        <f t="shared" si="64"/>
        <v/>
      </c>
      <c r="T1384" s="26" t="str">
        <f t="shared" si="65"/>
        <v/>
      </c>
    </row>
    <row r="1385" spans="1:20" x14ac:dyDescent="0.3">
      <c r="A1385" s="26" t="str">
        <f>IF(BASE_CAIXA!A1382="","",BASE_CAIXA!A1382)</f>
        <v/>
      </c>
      <c r="B1385" s="26" t="str">
        <f>IF(A1385="","",BASE_CAIXA!AL1382)</f>
        <v/>
      </c>
      <c r="C1385" s="26" t="str">
        <f>IF(A1385="","",BASE_CAIXA!AJ1382)</f>
        <v/>
      </c>
      <c r="D1385" s="26" t="str">
        <f>IF(A1385="","",IF(BASE_CAIXA!C1382="Entrada","Crédito","Débito"))</f>
        <v/>
      </c>
      <c r="E1385" s="26" t="str">
        <f>IF(A1385="","",BASE_CAIXA!AA1382)</f>
        <v/>
      </c>
      <c r="F1385" s="26" t="str">
        <f>IF(A1385="","",BASE_CAIXA!N1382)</f>
        <v/>
      </c>
      <c r="G1385" s="26" t="str">
        <f>IF(A1385="","",BASE_CAIXA!O1382)</f>
        <v/>
      </c>
      <c r="H1385" s="26" t="str">
        <f>IF(A1385="","",BASE_CAIXA!P1382)</f>
        <v/>
      </c>
      <c r="I1385" s="26" t="str">
        <f>IF(A1385="","",IF(BASE_CAIXA!H1382&lt;&gt;"",BASE_CAIXA!H1382,BASE_CAIXA!G1382))</f>
        <v/>
      </c>
      <c r="J1385" s="26" t="str">
        <f>IF(A1385="","",BASE_CAIXA!G1382)</f>
        <v/>
      </c>
      <c r="K1385" s="26" t="str">
        <f>IF(A1385="","",BASE_CAIXA!I1382)</f>
        <v/>
      </c>
      <c r="L1385" s="26" t="str">
        <f>IF(A1385="","",BASE_CAIXA!J1382)</f>
        <v/>
      </c>
      <c r="M1385" s="26" t="str">
        <f>IF(A1385="","",BASE_CAIXA!AM1382)</f>
        <v/>
      </c>
      <c r="N1385" s="26" t="str">
        <f t="shared" ca="1" si="63"/>
        <v/>
      </c>
      <c r="O1385" s="26" t="str">
        <f>IFERROR(INDEX(EXTRATO_IMPORTADO!$A$5:$A$404,MATCH(B1385,EXTRATO_IMPORTADO!$I$5:$I$404,0)),"")</f>
        <v/>
      </c>
      <c r="P1385" s="26" t="str">
        <f>IFERROR(INDEX(EXTRATO_IMPORTADO!$F$5:$F$404,MATCH(B1385,EXTRATO_IMPORTADO!$I$5:$I$404,0)),"")</f>
        <v/>
      </c>
      <c r="Q1385" s="26" t="str">
        <f>IFERROR(INDEX(EXTRATO_IMPORTADO!$B$5:$B$404,MATCH(B1385,EXTRATO_IMPORTADO!$I$5:$I$404,0)),"")</f>
        <v/>
      </c>
      <c r="R1385" s="26" t="str">
        <f>IFERROR(MATCH(B1385,EXTRATO_IMPORTADO!$I$5:$I$404,0),"")</f>
        <v/>
      </c>
      <c r="S1385" s="26" t="str">
        <f t="shared" si="64"/>
        <v/>
      </c>
      <c r="T1385" s="26" t="str">
        <f t="shared" si="65"/>
        <v/>
      </c>
    </row>
    <row r="1386" spans="1:20" x14ac:dyDescent="0.3">
      <c r="A1386" s="26" t="str">
        <f>IF(BASE_CAIXA!A1383="","",BASE_CAIXA!A1383)</f>
        <v/>
      </c>
      <c r="B1386" s="26" t="str">
        <f>IF(A1386="","",BASE_CAIXA!AL1383)</f>
        <v/>
      </c>
      <c r="C1386" s="26" t="str">
        <f>IF(A1386="","",BASE_CAIXA!AJ1383)</f>
        <v/>
      </c>
      <c r="D1386" s="26" t="str">
        <f>IF(A1386="","",IF(BASE_CAIXA!C1383="Entrada","Crédito","Débito"))</f>
        <v/>
      </c>
      <c r="E1386" s="26" t="str">
        <f>IF(A1386="","",BASE_CAIXA!AA1383)</f>
        <v/>
      </c>
      <c r="F1386" s="26" t="str">
        <f>IF(A1386="","",BASE_CAIXA!N1383)</f>
        <v/>
      </c>
      <c r="G1386" s="26" t="str">
        <f>IF(A1386="","",BASE_CAIXA!O1383)</f>
        <v/>
      </c>
      <c r="H1386" s="26" t="str">
        <f>IF(A1386="","",BASE_CAIXA!P1383)</f>
        <v/>
      </c>
      <c r="I1386" s="26" t="str">
        <f>IF(A1386="","",IF(BASE_CAIXA!H1383&lt;&gt;"",BASE_CAIXA!H1383,BASE_CAIXA!G1383))</f>
        <v/>
      </c>
      <c r="J1386" s="26" t="str">
        <f>IF(A1386="","",BASE_CAIXA!G1383)</f>
        <v/>
      </c>
      <c r="K1386" s="26" t="str">
        <f>IF(A1386="","",BASE_CAIXA!I1383)</f>
        <v/>
      </c>
      <c r="L1386" s="26" t="str">
        <f>IF(A1386="","",BASE_CAIXA!J1383)</f>
        <v/>
      </c>
      <c r="M1386" s="26" t="str">
        <f>IF(A1386="","",BASE_CAIXA!AM1383)</f>
        <v/>
      </c>
      <c r="N1386" s="26" t="str">
        <f t="shared" ca="1" si="63"/>
        <v/>
      </c>
      <c r="O1386" s="26" t="str">
        <f>IFERROR(INDEX(EXTRATO_IMPORTADO!$A$5:$A$404,MATCH(B1386,EXTRATO_IMPORTADO!$I$5:$I$404,0)),"")</f>
        <v/>
      </c>
      <c r="P1386" s="26" t="str">
        <f>IFERROR(INDEX(EXTRATO_IMPORTADO!$F$5:$F$404,MATCH(B1386,EXTRATO_IMPORTADO!$I$5:$I$404,0)),"")</f>
        <v/>
      </c>
      <c r="Q1386" s="26" t="str">
        <f>IFERROR(INDEX(EXTRATO_IMPORTADO!$B$5:$B$404,MATCH(B1386,EXTRATO_IMPORTADO!$I$5:$I$404,0)),"")</f>
        <v/>
      </c>
      <c r="R1386" s="26" t="str">
        <f>IFERROR(MATCH(B1386,EXTRATO_IMPORTADO!$I$5:$I$404,0),"")</f>
        <v/>
      </c>
      <c r="S1386" s="26" t="str">
        <f t="shared" si="64"/>
        <v/>
      </c>
      <c r="T1386" s="26" t="str">
        <f t="shared" si="65"/>
        <v/>
      </c>
    </row>
    <row r="1387" spans="1:20" x14ac:dyDescent="0.3">
      <c r="A1387" s="26" t="str">
        <f>IF(BASE_CAIXA!A1384="","",BASE_CAIXA!A1384)</f>
        <v/>
      </c>
      <c r="B1387" s="26" t="str">
        <f>IF(A1387="","",BASE_CAIXA!AL1384)</f>
        <v/>
      </c>
      <c r="C1387" s="26" t="str">
        <f>IF(A1387="","",BASE_CAIXA!AJ1384)</f>
        <v/>
      </c>
      <c r="D1387" s="26" t="str">
        <f>IF(A1387="","",IF(BASE_CAIXA!C1384="Entrada","Crédito","Débito"))</f>
        <v/>
      </c>
      <c r="E1387" s="26" t="str">
        <f>IF(A1387="","",BASE_CAIXA!AA1384)</f>
        <v/>
      </c>
      <c r="F1387" s="26" t="str">
        <f>IF(A1387="","",BASE_CAIXA!N1384)</f>
        <v/>
      </c>
      <c r="G1387" s="26" t="str">
        <f>IF(A1387="","",BASE_CAIXA!O1384)</f>
        <v/>
      </c>
      <c r="H1387" s="26" t="str">
        <f>IF(A1387="","",BASE_CAIXA!P1384)</f>
        <v/>
      </c>
      <c r="I1387" s="26" t="str">
        <f>IF(A1387="","",IF(BASE_CAIXA!H1384&lt;&gt;"",BASE_CAIXA!H1384,BASE_CAIXA!G1384))</f>
        <v/>
      </c>
      <c r="J1387" s="26" t="str">
        <f>IF(A1387="","",BASE_CAIXA!G1384)</f>
        <v/>
      </c>
      <c r="K1387" s="26" t="str">
        <f>IF(A1387="","",BASE_CAIXA!I1384)</f>
        <v/>
      </c>
      <c r="L1387" s="26" t="str">
        <f>IF(A1387="","",BASE_CAIXA!J1384)</f>
        <v/>
      </c>
      <c r="M1387" s="26" t="str">
        <f>IF(A1387="","",BASE_CAIXA!AM1384)</f>
        <v/>
      </c>
      <c r="N1387" s="26" t="str">
        <f t="shared" ca="1" si="63"/>
        <v/>
      </c>
      <c r="O1387" s="26" t="str">
        <f>IFERROR(INDEX(EXTRATO_IMPORTADO!$A$5:$A$404,MATCH(B1387,EXTRATO_IMPORTADO!$I$5:$I$404,0)),"")</f>
        <v/>
      </c>
      <c r="P1387" s="26" t="str">
        <f>IFERROR(INDEX(EXTRATO_IMPORTADO!$F$5:$F$404,MATCH(B1387,EXTRATO_IMPORTADO!$I$5:$I$404,0)),"")</f>
        <v/>
      </c>
      <c r="Q1387" s="26" t="str">
        <f>IFERROR(INDEX(EXTRATO_IMPORTADO!$B$5:$B$404,MATCH(B1387,EXTRATO_IMPORTADO!$I$5:$I$404,0)),"")</f>
        <v/>
      </c>
      <c r="R1387" s="26" t="str">
        <f>IFERROR(MATCH(B1387,EXTRATO_IMPORTADO!$I$5:$I$404,0),"")</f>
        <v/>
      </c>
      <c r="S1387" s="26" t="str">
        <f t="shared" si="64"/>
        <v/>
      </c>
      <c r="T1387" s="26" t="str">
        <f t="shared" si="65"/>
        <v/>
      </c>
    </row>
    <row r="1388" spans="1:20" x14ac:dyDescent="0.3">
      <c r="A1388" s="26" t="str">
        <f>IF(BASE_CAIXA!A1385="","",BASE_CAIXA!A1385)</f>
        <v/>
      </c>
      <c r="B1388" s="26" t="str">
        <f>IF(A1388="","",BASE_CAIXA!AL1385)</f>
        <v/>
      </c>
      <c r="C1388" s="26" t="str">
        <f>IF(A1388="","",BASE_CAIXA!AJ1385)</f>
        <v/>
      </c>
      <c r="D1388" s="26" t="str">
        <f>IF(A1388="","",IF(BASE_CAIXA!C1385="Entrada","Crédito","Débito"))</f>
        <v/>
      </c>
      <c r="E1388" s="26" t="str">
        <f>IF(A1388="","",BASE_CAIXA!AA1385)</f>
        <v/>
      </c>
      <c r="F1388" s="26" t="str">
        <f>IF(A1388="","",BASE_CAIXA!N1385)</f>
        <v/>
      </c>
      <c r="G1388" s="26" t="str">
        <f>IF(A1388="","",BASE_CAIXA!O1385)</f>
        <v/>
      </c>
      <c r="H1388" s="26" t="str">
        <f>IF(A1388="","",BASE_CAIXA!P1385)</f>
        <v/>
      </c>
      <c r="I1388" s="26" t="str">
        <f>IF(A1388="","",IF(BASE_CAIXA!H1385&lt;&gt;"",BASE_CAIXA!H1385,BASE_CAIXA!G1385))</f>
        <v/>
      </c>
      <c r="J1388" s="26" t="str">
        <f>IF(A1388="","",BASE_CAIXA!G1385)</f>
        <v/>
      </c>
      <c r="K1388" s="26" t="str">
        <f>IF(A1388="","",BASE_CAIXA!I1385)</f>
        <v/>
      </c>
      <c r="L1388" s="26" t="str">
        <f>IF(A1388="","",BASE_CAIXA!J1385)</f>
        <v/>
      </c>
      <c r="M1388" s="26" t="str">
        <f>IF(A1388="","",BASE_CAIXA!AM1385)</f>
        <v/>
      </c>
      <c r="N1388" s="26" t="str">
        <f t="shared" ca="1" si="63"/>
        <v/>
      </c>
      <c r="O1388" s="26" t="str">
        <f>IFERROR(INDEX(EXTRATO_IMPORTADO!$A$5:$A$404,MATCH(B1388,EXTRATO_IMPORTADO!$I$5:$I$404,0)),"")</f>
        <v/>
      </c>
      <c r="P1388" s="26" t="str">
        <f>IFERROR(INDEX(EXTRATO_IMPORTADO!$F$5:$F$404,MATCH(B1388,EXTRATO_IMPORTADO!$I$5:$I$404,0)),"")</f>
        <v/>
      </c>
      <c r="Q1388" s="26" t="str">
        <f>IFERROR(INDEX(EXTRATO_IMPORTADO!$B$5:$B$404,MATCH(B1388,EXTRATO_IMPORTADO!$I$5:$I$404,0)),"")</f>
        <v/>
      </c>
      <c r="R1388" s="26" t="str">
        <f>IFERROR(MATCH(B1388,EXTRATO_IMPORTADO!$I$5:$I$404,0),"")</f>
        <v/>
      </c>
      <c r="S1388" s="26" t="str">
        <f t="shared" si="64"/>
        <v/>
      </c>
      <c r="T1388" s="26" t="str">
        <f t="shared" si="65"/>
        <v/>
      </c>
    </row>
    <row r="1389" spans="1:20" x14ac:dyDescent="0.3">
      <c r="A1389" s="26" t="str">
        <f>IF(BASE_CAIXA!A1386="","",BASE_CAIXA!A1386)</f>
        <v/>
      </c>
      <c r="B1389" s="26" t="str">
        <f>IF(A1389="","",BASE_CAIXA!AL1386)</f>
        <v/>
      </c>
      <c r="C1389" s="26" t="str">
        <f>IF(A1389="","",BASE_CAIXA!AJ1386)</f>
        <v/>
      </c>
      <c r="D1389" s="26" t="str">
        <f>IF(A1389="","",IF(BASE_CAIXA!C1386="Entrada","Crédito","Débito"))</f>
        <v/>
      </c>
      <c r="E1389" s="26" t="str">
        <f>IF(A1389="","",BASE_CAIXA!AA1386)</f>
        <v/>
      </c>
      <c r="F1389" s="26" t="str">
        <f>IF(A1389="","",BASE_CAIXA!N1386)</f>
        <v/>
      </c>
      <c r="G1389" s="26" t="str">
        <f>IF(A1389="","",BASE_CAIXA!O1386)</f>
        <v/>
      </c>
      <c r="H1389" s="26" t="str">
        <f>IF(A1389="","",BASE_CAIXA!P1386)</f>
        <v/>
      </c>
      <c r="I1389" s="26" t="str">
        <f>IF(A1389="","",IF(BASE_CAIXA!H1386&lt;&gt;"",BASE_CAIXA!H1386,BASE_CAIXA!G1386))</f>
        <v/>
      </c>
      <c r="J1389" s="26" t="str">
        <f>IF(A1389="","",BASE_CAIXA!G1386)</f>
        <v/>
      </c>
      <c r="K1389" s="26" t="str">
        <f>IF(A1389="","",BASE_CAIXA!I1386)</f>
        <v/>
      </c>
      <c r="L1389" s="26" t="str">
        <f>IF(A1389="","",BASE_CAIXA!J1386)</f>
        <v/>
      </c>
      <c r="M1389" s="26" t="str">
        <f>IF(A1389="","",BASE_CAIXA!AM1386)</f>
        <v/>
      </c>
      <c r="N1389" s="26" t="str">
        <f t="shared" ca="1" si="63"/>
        <v/>
      </c>
      <c r="O1389" s="26" t="str">
        <f>IFERROR(INDEX(EXTRATO_IMPORTADO!$A$5:$A$404,MATCH(B1389,EXTRATO_IMPORTADO!$I$5:$I$404,0)),"")</f>
        <v/>
      </c>
      <c r="P1389" s="26" t="str">
        <f>IFERROR(INDEX(EXTRATO_IMPORTADO!$F$5:$F$404,MATCH(B1389,EXTRATO_IMPORTADO!$I$5:$I$404,0)),"")</f>
        <v/>
      </c>
      <c r="Q1389" s="26" t="str">
        <f>IFERROR(INDEX(EXTRATO_IMPORTADO!$B$5:$B$404,MATCH(B1389,EXTRATO_IMPORTADO!$I$5:$I$404,0)),"")</f>
        <v/>
      </c>
      <c r="R1389" s="26" t="str">
        <f>IFERROR(MATCH(B1389,EXTRATO_IMPORTADO!$I$5:$I$404,0),"")</f>
        <v/>
      </c>
      <c r="S1389" s="26" t="str">
        <f t="shared" si="64"/>
        <v/>
      </c>
      <c r="T1389" s="26" t="str">
        <f t="shared" si="65"/>
        <v/>
      </c>
    </row>
    <row r="1390" spans="1:20" x14ac:dyDescent="0.3">
      <c r="A1390" s="26" t="str">
        <f>IF(BASE_CAIXA!A1387="","",BASE_CAIXA!A1387)</f>
        <v/>
      </c>
      <c r="B1390" s="26" t="str">
        <f>IF(A1390="","",BASE_CAIXA!AL1387)</f>
        <v/>
      </c>
      <c r="C1390" s="26" t="str">
        <f>IF(A1390="","",BASE_CAIXA!AJ1387)</f>
        <v/>
      </c>
      <c r="D1390" s="26" t="str">
        <f>IF(A1390="","",IF(BASE_CAIXA!C1387="Entrada","Crédito","Débito"))</f>
        <v/>
      </c>
      <c r="E1390" s="26" t="str">
        <f>IF(A1390="","",BASE_CAIXA!AA1387)</f>
        <v/>
      </c>
      <c r="F1390" s="26" t="str">
        <f>IF(A1390="","",BASE_CAIXA!N1387)</f>
        <v/>
      </c>
      <c r="G1390" s="26" t="str">
        <f>IF(A1390="","",BASE_CAIXA!O1387)</f>
        <v/>
      </c>
      <c r="H1390" s="26" t="str">
        <f>IF(A1390="","",BASE_CAIXA!P1387)</f>
        <v/>
      </c>
      <c r="I1390" s="26" t="str">
        <f>IF(A1390="","",IF(BASE_CAIXA!H1387&lt;&gt;"",BASE_CAIXA!H1387,BASE_CAIXA!G1387))</f>
        <v/>
      </c>
      <c r="J1390" s="26" t="str">
        <f>IF(A1390="","",BASE_CAIXA!G1387)</f>
        <v/>
      </c>
      <c r="K1390" s="26" t="str">
        <f>IF(A1390="","",BASE_CAIXA!I1387)</f>
        <v/>
      </c>
      <c r="L1390" s="26" t="str">
        <f>IF(A1390="","",BASE_CAIXA!J1387)</f>
        <v/>
      </c>
      <c r="M1390" s="26" t="str">
        <f>IF(A1390="","",BASE_CAIXA!AM1387)</f>
        <v/>
      </c>
      <c r="N1390" s="26" t="str">
        <f t="shared" ca="1" si="63"/>
        <v/>
      </c>
      <c r="O1390" s="26" t="str">
        <f>IFERROR(INDEX(EXTRATO_IMPORTADO!$A$5:$A$404,MATCH(B1390,EXTRATO_IMPORTADO!$I$5:$I$404,0)),"")</f>
        <v/>
      </c>
      <c r="P1390" s="26" t="str">
        <f>IFERROR(INDEX(EXTRATO_IMPORTADO!$F$5:$F$404,MATCH(B1390,EXTRATO_IMPORTADO!$I$5:$I$404,0)),"")</f>
        <v/>
      </c>
      <c r="Q1390" s="26" t="str">
        <f>IFERROR(INDEX(EXTRATO_IMPORTADO!$B$5:$B$404,MATCH(B1390,EXTRATO_IMPORTADO!$I$5:$I$404,0)),"")</f>
        <v/>
      </c>
      <c r="R1390" s="26" t="str">
        <f>IFERROR(MATCH(B1390,EXTRATO_IMPORTADO!$I$5:$I$404,0),"")</f>
        <v/>
      </c>
      <c r="S1390" s="26" t="str">
        <f t="shared" si="64"/>
        <v/>
      </c>
      <c r="T1390" s="26" t="str">
        <f t="shared" si="65"/>
        <v/>
      </c>
    </row>
    <row r="1391" spans="1:20" x14ac:dyDescent="0.3">
      <c r="A1391" s="26" t="str">
        <f>IF(BASE_CAIXA!A1388="","",BASE_CAIXA!A1388)</f>
        <v/>
      </c>
      <c r="B1391" s="26" t="str">
        <f>IF(A1391="","",BASE_CAIXA!AL1388)</f>
        <v/>
      </c>
      <c r="C1391" s="26" t="str">
        <f>IF(A1391="","",BASE_CAIXA!AJ1388)</f>
        <v/>
      </c>
      <c r="D1391" s="26" t="str">
        <f>IF(A1391="","",IF(BASE_CAIXA!C1388="Entrada","Crédito","Débito"))</f>
        <v/>
      </c>
      <c r="E1391" s="26" t="str">
        <f>IF(A1391="","",BASE_CAIXA!AA1388)</f>
        <v/>
      </c>
      <c r="F1391" s="26" t="str">
        <f>IF(A1391="","",BASE_CAIXA!N1388)</f>
        <v/>
      </c>
      <c r="G1391" s="26" t="str">
        <f>IF(A1391="","",BASE_CAIXA!O1388)</f>
        <v/>
      </c>
      <c r="H1391" s="26" t="str">
        <f>IF(A1391="","",BASE_CAIXA!P1388)</f>
        <v/>
      </c>
      <c r="I1391" s="26" t="str">
        <f>IF(A1391="","",IF(BASE_CAIXA!H1388&lt;&gt;"",BASE_CAIXA!H1388,BASE_CAIXA!G1388))</f>
        <v/>
      </c>
      <c r="J1391" s="26" t="str">
        <f>IF(A1391="","",BASE_CAIXA!G1388)</f>
        <v/>
      </c>
      <c r="K1391" s="26" t="str">
        <f>IF(A1391="","",BASE_CAIXA!I1388)</f>
        <v/>
      </c>
      <c r="L1391" s="26" t="str">
        <f>IF(A1391="","",BASE_CAIXA!J1388)</f>
        <v/>
      </c>
      <c r="M1391" s="26" t="str">
        <f>IF(A1391="","",BASE_CAIXA!AM1388)</f>
        <v/>
      </c>
      <c r="N1391" s="26" t="str">
        <f t="shared" ca="1" si="63"/>
        <v/>
      </c>
      <c r="O1391" s="26" t="str">
        <f>IFERROR(INDEX(EXTRATO_IMPORTADO!$A$5:$A$404,MATCH(B1391,EXTRATO_IMPORTADO!$I$5:$I$404,0)),"")</f>
        <v/>
      </c>
      <c r="P1391" s="26" t="str">
        <f>IFERROR(INDEX(EXTRATO_IMPORTADO!$F$5:$F$404,MATCH(B1391,EXTRATO_IMPORTADO!$I$5:$I$404,0)),"")</f>
        <v/>
      </c>
      <c r="Q1391" s="26" t="str">
        <f>IFERROR(INDEX(EXTRATO_IMPORTADO!$B$5:$B$404,MATCH(B1391,EXTRATO_IMPORTADO!$I$5:$I$404,0)),"")</f>
        <v/>
      </c>
      <c r="R1391" s="26" t="str">
        <f>IFERROR(MATCH(B1391,EXTRATO_IMPORTADO!$I$5:$I$404,0),"")</f>
        <v/>
      </c>
      <c r="S1391" s="26" t="str">
        <f t="shared" si="64"/>
        <v/>
      </c>
      <c r="T1391" s="26" t="str">
        <f t="shared" si="65"/>
        <v/>
      </c>
    </row>
    <row r="1392" spans="1:20" x14ac:dyDescent="0.3">
      <c r="A1392" s="26" t="str">
        <f>IF(BASE_CAIXA!A1389="","",BASE_CAIXA!A1389)</f>
        <v/>
      </c>
      <c r="B1392" s="26" t="str">
        <f>IF(A1392="","",BASE_CAIXA!AL1389)</f>
        <v/>
      </c>
      <c r="C1392" s="26" t="str">
        <f>IF(A1392="","",BASE_CAIXA!AJ1389)</f>
        <v/>
      </c>
      <c r="D1392" s="26" t="str">
        <f>IF(A1392="","",IF(BASE_CAIXA!C1389="Entrada","Crédito","Débito"))</f>
        <v/>
      </c>
      <c r="E1392" s="26" t="str">
        <f>IF(A1392="","",BASE_CAIXA!AA1389)</f>
        <v/>
      </c>
      <c r="F1392" s="26" t="str">
        <f>IF(A1392="","",BASE_CAIXA!N1389)</f>
        <v/>
      </c>
      <c r="G1392" s="26" t="str">
        <f>IF(A1392="","",BASE_CAIXA!O1389)</f>
        <v/>
      </c>
      <c r="H1392" s="26" t="str">
        <f>IF(A1392="","",BASE_CAIXA!P1389)</f>
        <v/>
      </c>
      <c r="I1392" s="26" t="str">
        <f>IF(A1392="","",IF(BASE_CAIXA!H1389&lt;&gt;"",BASE_CAIXA!H1389,BASE_CAIXA!G1389))</f>
        <v/>
      </c>
      <c r="J1392" s="26" t="str">
        <f>IF(A1392="","",BASE_CAIXA!G1389)</f>
        <v/>
      </c>
      <c r="K1392" s="26" t="str">
        <f>IF(A1392="","",BASE_CAIXA!I1389)</f>
        <v/>
      </c>
      <c r="L1392" s="26" t="str">
        <f>IF(A1392="","",BASE_CAIXA!J1389)</f>
        <v/>
      </c>
      <c r="M1392" s="26" t="str">
        <f>IF(A1392="","",BASE_CAIXA!AM1389)</f>
        <v/>
      </c>
      <c r="N1392" s="26" t="str">
        <f t="shared" ca="1" si="63"/>
        <v/>
      </c>
      <c r="O1392" s="26" t="str">
        <f>IFERROR(INDEX(EXTRATO_IMPORTADO!$A$5:$A$404,MATCH(B1392,EXTRATO_IMPORTADO!$I$5:$I$404,0)),"")</f>
        <v/>
      </c>
      <c r="P1392" s="26" t="str">
        <f>IFERROR(INDEX(EXTRATO_IMPORTADO!$F$5:$F$404,MATCH(B1392,EXTRATO_IMPORTADO!$I$5:$I$404,0)),"")</f>
        <v/>
      </c>
      <c r="Q1392" s="26" t="str">
        <f>IFERROR(INDEX(EXTRATO_IMPORTADO!$B$5:$B$404,MATCH(B1392,EXTRATO_IMPORTADO!$I$5:$I$404,0)),"")</f>
        <v/>
      </c>
      <c r="R1392" s="26" t="str">
        <f>IFERROR(MATCH(B1392,EXTRATO_IMPORTADO!$I$5:$I$404,0),"")</f>
        <v/>
      </c>
      <c r="S1392" s="26" t="str">
        <f t="shared" si="64"/>
        <v/>
      </c>
      <c r="T1392" s="26" t="str">
        <f t="shared" si="65"/>
        <v/>
      </c>
    </row>
    <row r="1393" spans="1:20" x14ac:dyDescent="0.3">
      <c r="A1393" s="26" t="str">
        <f>IF(BASE_CAIXA!A1390="","",BASE_CAIXA!A1390)</f>
        <v/>
      </c>
      <c r="B1393" s="26" t="str">
        <f>IF(A1393="","",BASE_CAIXA!AL1390)</f>
        <v/>
      </c>
      <c r="C1393" s="26" t="str">
        <f>IF(A1393="","",BASE_CAIXA!AJ1390)</f>
        <v/>
      </c>
      <c r="D1393" s="26" t="str">
        <f>IF(A1393="","",IF(BASE_CAIXA!C1390="Entrada","Crédito","Débito"))</f>
        <v/>
      </c>
      <c r="E1393" s="26" t="str">
        <f>IF(A1393="","",BASE_CAIXA!AA1390)</f>
        <v/>
      </c>
      <c r="F1393" s="26" t="str">
        <f>IF(A1393="","",BASE_CAIXA!N1390)</f>
        <v/>
      </c>
      <c r="G1393" s="26" t="str">
        <f>IF(A1393="","",BASE_CAIXA!O1390)</f>
        <v/>
      </c>
      <c r="H1393" s="26" t="str">
        <f>IF(A1393="","",BASE_CAIXA!P1390)</f>
        <v/>
      </c>
      <c r="I1393" s="26" t="str">
        <f>IF(A1393="","",IF(BASE_CAIXA!H1390&lt;&gt;"",BASE_CAIXA!H1390,BASE_CAIXA!G1390))</f>
        <v/>
      </c>
      <c r="J1393" s="26" t="str">
        <f>IF(A1393="","",BASE_CAIXA!G1390)</f>
        <v/>
      </c>
      <c r="K1393" s="26" t="str">
        <f>IF(A1393="","",BASE_CAIXA!I1390)</f>
        <v/>
      </c>
      <c r="L1393" s="26" t="str">
        <f>IF(A1393="","",BASE_CAIXA!J1390)</f>
        <v/>
      </c>
      <c r="M1393" s="26" t="str">
        <f>IF(A1393="","",BASE_CAIXA!AM1390)</f>
        <v/>
      </c>
      <c r="N1393" s="26" t="str">
        <f t="shared" ca="1" si="63"/>
        <v/>
      </c>
      <c r="O1393" s="26" t="str">
        <f>IFERROR(INDEX(EXTRATO_IMPORTADO!$A$5:$A$404,MATCH(B1393,EXTRATO_IMPORTADO!$I$5:$I$404,0)),"")</f>
        <v/>
      </c>
      <c r="P1393" s="26" t="str">
        <f>IFERROR(INDEX(EXTRATO_IMPORTADO!$F$5:$F$404,MATCH(B1393,EXTRATO_IMPORTADO!$I$5:$I$404,0)),"")</f>
        <v/>
      </c>
      <c r="Q1393" s="26" t="str">
        <f>IFERROR(INDEX(EXTRATO_IMPORTADO!$B$5:$B$404,MATCH(B1393,EXTRATO_IMPORTADO!$I$5:$I$404,0)),"")</f>
        <v/>
      </c>
      <c r="R1393" s="26" t="str">
        <f>IFERROR(MATCH(B1393,EXTRATO_IMPORTADO!$I$5:$I$404,0),"")</f>
        <v/>
      </c>
      <c r="S1393" s="26" t="str">
        <f t="shared" si="64"/>
        <v/>
      </c>
      <c r="T1393" s="26" t="str">
        <f t="shared" si="65"/>
        <v/>
      </c>
    </row>
    <row r="1394" spans="1:20" x14ac:dyDescent="0.3">
      <c r="A1394" s="26" t="str">
        <f>IF(BASE_CAIXA!A1391="","",BASE_CAIXA!A1391)</f>
        <v/>
      </c>
      <c r="B1394" s="26" t="str">
        <f>IF(A1394="","",BASE_CAIXA!AL1391)</f>
        <v/>
      </c>
      <c r="C1394" s="26" t="str">
        <f>IF(A1394="","",BASE_CAIXA!AJ1391)</f>
        <v/>
      </c>
      <c r="D1394" s="26" t="str">
        <f>IF(A1394="","",IF(BASE_CAIXA!C1391="Entrada","Crédito","Débito"))</f>
        <v/>
      </c>
      <c r="E1394" s="26" t="str">
        <f>IF(A1394="","",BASE_CAIXA!AA1391)</f>
        <v/>
      </c>
      <c r="F1394" s="26" t="str">
        <f>IF(A1394="","",BASE_CAIXA!N1391)</f>
        <v/>
      </c>
      <c r="G1394" s="26" t="str">
        <f>IF(A1394="","",BASE_CAIXA!O1391)</f>
        <v/>
      </c>
      <c r="H1394" s="26" t="str">
        <f>IF(A1394="","",BASE_CAIXA!P1391)</f>
        <v/>
      </c>
      <c r="I1394" s="26" t="str">
        <f>IF(A1394="","",IF(BASE_CAIXA!H1391&lt;&gt;"",BASE_CAIXA!H1391,BASE_CAIXA!G1391))</f>
        <v/>
      </c>
      <c r="J1394" s="26" t="str">
        <f>IF(A1394="","",BASE_CAIXA!G1391)</f>
        <v/>
      </c>
      <c r="K1394" s="26" t="str">
        <f>IF(A1394="","",BASE_CAIXA!I1391)</f>
        <v/>
      </c>
      <c r="L1394" s="26" t="str">
        <f>IF(A1394="","",BASE_CAIXA!J1391)</f>
        <v/>
      </c>
      <c r="M1394" s="26" t="str">
        <f>IF(A1394="","",BASE_CAIXA!AM1391)</f>
        <v/>
      </c>
      <c r="N1394" s="26" t="str">
        <f t="shared" ca="1" si="63"/>
        <v/>
      </c>
      <c r="O1394" s="26" t="str">
        <f>IFERROR(INDEX(EXTRATO_IMPORTADO!$A$5:$A$404,MATCH(B1394,EXTRATO_IMPORTADO!$I$5:$I$404,0)),"")</f>
        <v/>
      </c>
      <c r="P1394" s="26" t="str">
        <f>IFERROR(INDEX(EXTRATO_IMPORTADO!$F$5:$F$404,MATCH(B1394,EXTRATO_IMPORTADO!$I$5:$I$404,0)),"")</f>
        <v/>
      </c>
      <c r="Q1394" s="26" t="str">
        <f>IFERROR(INDEX(EXTRATO_IMPORTADO!$B$5:$B$404,MATCH(B1394,EXTRATO_IMPORTADO!$I$5:$I$404,0)),"")</f>
        <v/>
      </c>
      <c r="R1394" s="26" t="str">
        <f>IFERROR(MATCH(B1394,EXTRATO_IMPORTADO!$I$5:$I$404,0),"")</f>
        <v/>
      </c>
      <c r="S1394" s="26" t="str">
        <f t="shared" si="64"/>
        <v/>
      </c>
      <c r="T1394" s="26" t="str">
        <f t="shared" si="65"/>
        <v/>
      </c>
    </row>
    <row r="1395" spans="1:20" x14ac:dyDescent="0.3">
      <c r="A1395" s="26" t="str">
        <f>IF(BASE_CAIXA!A1392="","",BASE_CAIXA!A1392)</f>
        <v/>
      </c>
      <c r="B1395" s="26" t="str">
        <f>IF(A1395="","",BASE_CAIXA!AL1392)</f>
        <v/>
      </c>
      <c r="C1395" s="26" t="str">
        <f>IF(A1395="","",BASE_CAIXA!AJ1392)</f>
        <v/>
      </c>
      <c r="D1395" s="26" t="str">
        <f>IF(A1395="","",IF(BASE_CAIXA!C1392="Entrada","Crédito","Débito"))</f>
        <v/>
      </c>
      <c r="E1395" s="26" t="str">
        <f>IF(A1395="","",BASE_CAIXA!AA1392)</f>
        <v/>
      </c>
      <c r="F1395" s="26" t="str">
        <f>IF(A1395="","",BASE_CAIXA!N1392)</f>
        <v/>
      </c>
      <c r="G1395" s="26" t="str">
        <f>IF(A1395="","",BASE_CAIXA!O1392)</f>
        <v/>
      </c>
      <c r="H1395" s="26" t="str">
        <f>IF(A1395="","",BASE_CAIXA!P1392)</f>
        <v/>
      </c>
      <c r="I1395" s="26" t="str">
        <f>IF(A1395="","",IF(BASE_CAIXA!H1392&lt;&gt;"",BASE_CAIXA!H1392,BASE_CAIXA!G1392))</f>
        <v/>
      </c>
      <c r="J1395" s="26" t="str">
        <f>IF(A1395="","",BASE_CAIXA!G1392)</f>
        <v/>
      </c>
      <c r="K1395" s="26" t="str">
        <f>IF(A1395="","",BASE_CAIXA!I1392)</f>
        <v/>
      </c>
      <c r="L1395" s="26" t="str">
        <f>IF(A1395="","",BASE_CAIXA!J1392)</f>
        <v/>
      </c>
      <c r="M1395" s="26" t="str">
        <f>IF(A1395="","",BASE_CAIXA!AM1392)</f>
        <v/>
      </c>
      <c r="N1395" s="26" t="str">
        <f t="shared" ca="1" si="63"/>
        <v/>
      </c>
      <c r="O1395" s="26" t="str">
        <f>IFERROR(INDEX(EXTRATO_IMPORTADO!$A$5:$A$404,MATCH(B1395,EXTRATO_IMPORTADO!$I$5:$I$404,0)),"")</f>
        <v/>
      </c>
      <c r="P1395" s="26" t="str">
        <f>IFERROR(INDEX(EXTRATO_IMPORTADO!$F$5:$F$404,MATCH(B1395,EXTRATO_IMPORTADO!$I$5:$I$404,0)),"")</f>
        <v/>
      </c>
      <c r="Q1395" s="26" t="str">
        <f>IFERROR(INDEX(EXTRATO_IMPORTADO!$B$5:$B$404,MATCH(B1395,EXTRATO_IMPORTADO!$I$5:$I$404,0)),"")</f>
        <v/>
      </c>
      <c r="R1395" s="26" t="str">
        <f>IFERROR(MATCH(B1395,EXTRATO_IMPORTADO!$I$5:$I$404,0),"")</f>
        <v/>
      </c>
      <c r="S1395" s="26" t="str">
        <f t="shared" si="64"/>
        <v/>
      </c>
      <c r="T1395" s="26" t="str">
        <f t="shared" si="65"/>
        <v/>
      </c>
    </row>
    <row r="1396" spans="1:20" x14ac:dyDescent="0.3">
      <c r="A1396" s="26" t="str">
        <f>IF(BASE_CAIXA!A1393="","",BASE_CAIXA!A1393)</f>
        <v/>
      </c>
      <c r="B1396" s="26" t="str">
        <f>IF(A1396="","",BASE_CAIXA!AL1393)</f>
        <v/>
      </c>
      <c r="C1396" s="26" t="str">
        <f>IF(A1396="","",BASE_CAIXA!AJ1393)</f>
        <v/>
      </c>
      <c r="D1396" s="26" t="str">
        <f>IF(A1396="","",IF(BASE_CAIXA!C1393="Entrada","Crédito","Débito"))</f>
        <v/>
      </c>
      <c r="E1396" s="26" t="str">
        <f>IF(A1396="","",BASE_CAIXA!AA1393)</f>
        <v/>
      </c>
      <c r="F1396" s="26" t="str">
        <f>IF(A1396="","",BASE_CAIXA!N1393)</f>
        <v/>
      </c>
      <c r="G1396" s="26" t="str">
        <f>IF(A1396="","",BASE_CAIXA!O1393)</f>
        <v/>
      </c>
      <c r="H1396" s="26" t="str">
        <f>IF(A1396="","",BASE_CAIXA!P1393)</f>
        <v/>
      </c>
      <c r="I1396" s="26" t="str">
        <f>IF(A1396="","",IF(BASE_CAIXA!H1393&lt;&gt;"",BASE_CAIXA!H1393,BASE_CAIXA!G1393))</f>
        <v/>
      </c>
      <c r="J1396" s="26" t="str">
        <f>IF(A1396="","",BASE_CAIXA!G1393)</f>
        <v/>
      </c>
      <c r="K1396" s="26" t="str">
        <f>IF(A1396="","",BASE_CAIXA!I1393)</f>
        <v/>
      </c>
      <c r="L1396" s="26" t="str">
        <f>IF(A1396="","",BASE_CAIXA!J1393)</f>
        <v/>
      </c>
      <c r="M1396" s="26" t="str">
        <f>IF(A1396="","",BASE_CAIXA!AM1393)</f>
        <v/>
      </c>
      <c r="N1396" s="26" t="str">
        <f t="shared" ca="1" si="63"/>
        <v/>
      </c>
      <c r="O1396" s="26" t="str">
        <f>IFERROR(INDEX(EXTRATO_IMPORTADO!$A$5:$A$404,MATCH(B1396,EXTRATO_IMPORTADO!$I$5:$I$404,0)),"")</f>
        <v/>
      </c>
      <c r="P1396" s="26" t="str">
        <f>IFERROR(INDEX(EXTRATO_IMPORTADO!$F$5:$F$404,MATCH(B1396,EXTRATO_IMPORTADO!$I$5:$I$404,0)),"")</f>
        <v/>
      </c>
      <c r="Q1396" s="26" t="str">
        <f>IFERROR(INDEX(EXTRATO_IMPORTADO!$B$5:$B$404,MATCH(B1396,EXTRATO_IMPORTADO!$I$5:$I$404,0)),"")</f>
        <v/>
      </c>
      <c r="R1396" s="26" t="str">
        <f>IFERROR(MATCH(B1396,EXTRATO_IMPORTADO!$I$5:$I$404,0),"")</f>
        <v/>
      </c>
      <c r="S1396" s="26" t="str">
        <f t="shared" si="64"/>
        <v/>
      </c>
      <c r="T1396" s="26" t="str">
        <f t="shared" si="65"/>
        <v/>
      </c>
    </row>
    <row r="1397" spans="1:20" x14ac:dyDescent="0.3">
      <c r="A1397" s="26" t="str">
        <f>IF(BASE_CAIXA!A1394="","",BASE_CAIXA!A1394)</f>
        <v/>
      </c>
      <c r="B1397" s="26" t="str">
        <f>IF(A1397="","",BASE_CAIXA!AL1394)</f>
        <v/>
      </c>
      <c r="C1397" s="26" t="str">
        <f>IF(A1397="","",BASE_CAIXA!AJ1394)</f>
        <v/>
      </c>
      <c r="D1397" s="26" t="str">
        <f>IF(A1397="","",IF(BASE_CAIXA!C1394="Entrada","Crédito","Débito"))</f>
        <v/>
      </c>
      <c r="E1397" s="26" t="str">
        <f>IF(A1397="","",BASE_CAIXA!AA1394)</f>
        <v/>
      </c>
      <c r="F1397" s="26" t="str">
        <f>IF(A1397="","",BASE_CAIXA!N1394)</f>
        <v/>
      </c>
      <c r="G1397" s="26" t="str">
        <f>IF(A1397="","",BASE_CAIXA!O1394)</f>
        <v/>
      </c>
      <c r="H1397" s="26" t="str">
        <f>IF(A1397="","",BASE_CAIXA!P1394)</f>
        <v/>
      </c>
      <c r="I1397" s="26" t="str">
        <f>IF(A1397="","",IF(BASE_CAIXA!H1394&lt;&gt;"",BASE_CAIXA!H1394,BASE_CAIXA!G1394))</f>
        <v/>
      </c>
      <c r="J1397" s="26" t="str">
        <f>IF(A1397="","",BASE_CAIXA!G1394)</f>
        <v/>
      </c>
      <c r="K1397" s="26" t="str">
        <f>IF(A1397="","",BASE_CAIXA!I1394)</f>
        <v/>
      </c>
      <c r="L1397" s="26" t="str">
        <f>IF(A1397="","",BASE_CAIXA!J1394)</f>
        <v/>
      </c>
      <c r="M1397" s="26" t="str">
        <f>IF(A1397="","",BASE_CAIXA!AM1394)</f>
        <v/>
      </c>
      <c r="N1397" s="26" t="str">
        <f t="shared" ca="1" si="63"/>
        <v/>
      </c>
      <c r="O1397" s="26" t="str">
        <f>IFERROR(INDEX(EXTRATO_IMPORTADO!$A$5:$A$404,MATCH(B1397,EXTRATO_IMPORTADO!$I$5:$I$404,0)),"")</f>
        <v/>
      </c>
      <c r="P1397" s="26" t="str">
        <f>IFERROR(INDEX(EXTRATO_IMPORTADO!$F$5:$F$404,MATCH(B1397,EXTRATO_IMPORTADO!$I$5:$I$404,0)),"")</f>
        <v/>
      </c>
      <c r="Q1397" s="26" t="str">
        <f>IFERROR(INDEX(EXTRATO_IMPORTADO!$B$5:$B$404,MATCH(B1397,EXTRATO_IMPORTADO!$I$5:$I$404,0)),"")</f>
        <v/>
      </c>
      <c r="R1397" s="26" t="str">
        <f>IFERROR(MATCH(B1397,EXTRATO_IMPORTADO!$I$5:$I$404,0),"")</f>
        <v/>
      </c>
      <c r="S1397" s="26" t="str">
        <f t="shared" si="64"/>
        <v/>
      </c>
      <c r="T1397" s="26" t="str">
        <f t="shared" si="65"/>
        <v/>
      </c>
    </row>
    <row r="1398" spans="1:20" x14ac:dyDescent="0.3">
      <c r="A1398" s="26" t="str">
        <f>IF(BASE_CAIXA!A1395="","",BASE_CAIXA!A1395)</f>
        <v/>
      </c>
      <c r="B1398" s="26" t="str">
        <f>IF(A1398="","",BASE_CAIXA!AL1395)</f>
        <v/>
      </c>
      <c r="C1398" s="26" t="str">
        <f>IF(A1398="","",BASE_CAIXA!AJ1395)</f>
        <v/>
      </c>
      <c r="D1398" s="26" t="str">
        <f>IF(A1398="","",IF(BASE_CAIXA!C1395="Entrada","Crédito","Débito"))</f>
        <v/>
      </c>
      <c r="E1398" s="26" t="str">
        <f>IF(A1398="","",BASE_CAIXA!AA1395)</f>
        <v/>
      </c>
      <c r="F1398" s="26" t="str">
        <f>IF(A1398="","",BASE_CAIXA!N1395)</f>
        <v/>
      </c>
      <c r="G1398" s="26" t="str">
        <f>IF(A1398="","",BASE_CAIXA!O1395)</f>
        <v/>
      </c>
      <c r="H1398" s="26" t="str">
        <f>IF(A1398="","",BASE_CAIXA!P1395)</f>
        <v/>
      </c>
      <c r="I1398" s="26" t="str">
        <f>IF(A1398="","",IF(BASE_CAIXA!H1395&lt;&gt;"",BASE_CAIXA!H1395,BASE_CAIXA!G1395))</f>
        <v/>
      </c>
      <c r="J1398" s="26" t="str">
        <f>IF(A1398="","",BASE_CAIXA!G1395)</f>
        <v/>
      </c>
      <c r="K1398" s="26" t="str">
        <f>IF(A1398="","",BASE_CAIXA!I1395)</f>
        <v/>
      </c>
      <c r="L1398" s="26" t="str">
        <f>IF(A1398="","",BASE_CAIXA!J1395)</f>
        <v/>
      </c>
      <c r="M1398" s="26" t="str">
        <f>IF(A1398="","",BASE_CAIXA!AM1395)</f>
        <v/>
      </c>
      <c r="N1398" s="26" t="str">
        <f t="shared" ca="1" si="63"/>
        <v/>
      </c>
      <c r="O1398" s="26" t="str">
        <f>IFERROR(INDEX(EXTRATO_IMPORTADO!$A$5:$A$404,MATCH(B1398,EXTRATO_IMPORTADO!$I$5:$I$404,0)),"")</f>
        <v/>
      </c>
      <c r="P1398" s="26" t="str">
        <f>IFERROR(INDEX(EXTRATO_IMPORTADO!$F$5:$F$404,MATCH(B1398,EXTRATO_IMPORTADO!$I$5:$I$404,0)),"")</f>
        <v/>
      </c>
      <c r="Q1398" s="26" t="str">
        <f>IFERROR(INDEX(EXTRATO_IMPORTADO!$B$5:$B$404,MATCH(B1398,EXTRATO_IMPORTADO!$I$5:$I$404,0)),"")</f>
        <v/>
      </c>
      <c r="R1398" s="26" t="str">
        <f>IFERROR(MATCH(B1398,EXTRATO_IMPORTADO!$I$5:$I$404,0),"")</f>
        <v/>
      </c>
      <c r="S1398" s="26" t="str">
        <f t="shared" si="64"/>
        <v/>
      </c>
      <c r="T1398" s="26" t="str">
        <f t="shared" si="65"/>
        <v/>
      </c>
    </row>
    <row r="1399" spans="1:20" x14ac:dyDescent="0.3">
      <c r="A1399" s="26" t="str">
        <f>IF(BASE_CAIXA!A1396="","",BASE_CAIXA!A1396)</f>
        <v/>
      </c>
      <c r="B1399" s="26" t="str">
        <f>IF(A1399="","",BASE_CAIXA!AL1396)</f>
        <v/>
      </c>
      <c r="C1399" s="26" t="str">
        <f>IF(A1399="","",BASE_CAIXA!AJ1396)</f>
        <v/>
      </c>
      <c r="D1399" s="26" t="str">
        <f>IF(A1399="","",IF(BASE_CAIXA!C1396="Entrada","Crédito","Débito"))</f>
        <v/>
      </c>
      <c r="E1399" s="26" t="str">
        <f>IF(A1399="","",BASE_CAIXA!AA1396)</f>
        <v/>
      </c>
      <c r="F1399" s="26" t="str">
        <f>IF(A1399="","",BASE_CAIXA!N1396)</f>
        <v/>
      </c>
      <c r="G1399" s="26" t="str">
        <f>IF(A1399="","",BASE_CAIXA!O1396)</f>
        <v/>
      </c>
      <c r="H1399" s="26" t="str">
        <f>IF(A1399="","",BASE_CAIXA!P1396)</f>
        <v/>
      </c>
      <c r="I1399" s="26" t="str">
        <f>IF(A1399="","",IF(BASE_CAIXA!H1396&lt;&gt;"",BASE_CAIXA!H1396,BASE_CAIXA!G1396))</f>
        <v/>
      </c>
      <c r="J1399" s="26" t="str">
        <f>IF(A1399="","",BASE_CAIXA!G1396)</f>
        <v/>
      </c>
      <c r="K1399" s="26" t="str">
        <f>IF(A1399="","",BASE_CAIXA!I1396)</f>
        <v/>
      </c>
      <c r="L1399" s="26" t="str">
        <f>IF(A1399="","",BASE_CAIXA!J1396)</f>
        <v/>
      </c>
      <c r="M1399" s="26" t="str">
        <f>IF(A1399="","",BASE_CAIXA!AM1396)</f>
        <v/>
      </c>
      <c r="N1399" s="26" t="str">
        <f t="shared" ca="1" si="63"/>
        <v/>
      </c>
      <c r="O1399" s="26" t="str">
        <f>IFERROR(INDEX(EXTRATO_IMPORTADO!$A$5:$A$404,MATCH(B1399,EXTRATO_IMPORTADO!$I$5:$I$404,0)),"")</f>
        <v/>
      </c>
      <c r="P1399" s="26" t="str">
        <f>IFERROR(INDEX(EXTRATO_IMPORTADO!$F$5:$F$404,MATCH(B1399,EXTRATO_IMPORTADO!$I$5:$I$404,0)),"")</f>
        <v/>
      </c>
      <c r="Q1399" s="26" t="str">
        <f>IFERROR(INDEX(EXTRATO_IMPORTADO!$B$5:$B$404,MATCH(B1399,EXTRATO_IMPORTADO!$I$5:$I$404,0)),"")</f>
        <v/>
      </c>
      <c r="R1399" s="26" t="str">
        <f>IFERROR(MATCH(B1399,EXTRATO_IMPORTADO!$I$5:$I$404,0),"")</f>
        <v/>
      </c>
      <c r="S1399" s="26" t="str">
        <f t="shared" si="64"/>
        <v/>
      </c>
      <c r="T1399" s="26" t="str">
        <f t="shared" si="65"/>
        <v/>
      </c>
    </row>
    <row r="1400" spans="1:20" x14ac:dyDescent="0.3">
      <c r="A1400" s="26" t="str">
        <f>IF(BASE_CAIXA!A1397="","",BASE_CAIXA!A1397)</f>
        <v/>
      </c>
      <c r="B1400" s="26" t="str">
        <f>IF(A1400="","",BASE_CAIXA!AL1397)</f>
        <v/>
      </c>
      <c r="C1400" s="26" t="str">
        <f>IF(A1400="","",BASE_CAIXA!AJ1397)</f>
        <v/>
      </c>
      <c r="D1400" s="26" t="str">
        <f>IF(A1400="","",IF(BASE_CAIXA!C1397="Entrada","Crédito","Débito"))</f>
        <v/>
      </c>
      <c r="E1400" s="26" t="str">
        <f>IF(A1400="","",BASE_CAIXA!AA1397)</f>
        <v/>
      </c>
      <c r="F1400" s="26" t="str">
        <f>IF(A1400="","",BASE_CAIXA!N1397)</f>
        <v/>
      </c>
      <c r="G1400" s="26" t="str">
        <f>IF(A1400="","",BASE_CAIXA!O1397)</f>
        <v/>
      </c>
      <c r="H1400" s="26" t="str">
        <f>IF(A1400="","",BASE_CAIXA!P1397)</f>
        <v/>
      </c>
      <c r="I1400" s="26" t="str">
        <f>IF(A1400="","",IF(BASE_CAIXA!H1397&lt;&gt;"",BASE_CAIXA!H1397,BASE_CAIXA!G1397))</f>
        <v/>
      </c>
      <c r="J1400" s="26" t="str">
        <f>IF(A1400="","",BASE_CAIXA!G1397)</f>
        <v/>
      </c>
      <c r="K1400" s="26" t="str">
        <f>IF(A1400="","",BASE_CAIXA!I1397)</f>
        <v/>
      </c>
      <c r="L1400" s="26" t="str">
        <f>IF(A1400="","",BASE_CAIXA!J1397)</f>
        <v/>
      </c>
      <c r="M1400" s="26" t="str">
        <f>IF(A1400="","",BASE_CAIXA!AM1397)</f>
        <v/>
      </c>
      <c r="N1400" s="26" t="str">
        <f t="shared" ca="1" si="63"/>
        <v/>
      </c>
      <c r="O1400" s="26" t="str">
        <f>IFERROR(INDEX(EXTRATO_IMPORTADO!$A$5:$A$404,MATCH(B1400,EXTRATO_IMPORTADO!$I$5:$I$404,0)),"")</f>
        <v/>
      </c>
      <c r="P1400" s="26" t="str">
        <f>IFERROR(INDEX(EXTRATO_IMPORTADO!$F$5:$F$404,MATCH(B1400,EXTRATO_IMPORTADO!$I$5:$I$404,0)),"")</f>
        <v/>
      </c>
      <c r="Q1400" s="26" t="str">
        <f>IFERROR(INDEX(EXTRATO_IMPORTADO!$B$5:$B$404,MATCH(B1400,EXTRATO_IMPORTADO!$I$5:$I$404,0)),"")</f>
        <v/>
      </c>
      <c r="R1400" s="26" t="str">
        <f>IFERROR(MATCH(B1400,EXTRATO_IMPORTADO!$I$5:$I$404,0),"")</f>
        <v/>
      </c>
      <c r="S1400" s="26" t="str">
        <f t="shared" si="64"/>
        <v/>
      </c>
      <c r="T1400" s="26" t="str">
        <f t="shared" si="65"/>
        <v/>
      </c>
    </row>
    <row r="1401" spans="1:20" x14ac:dyDescent="0.3">
      <c r="A1401" s="26" t="str">
        <f>IF(BASE_CAIXA!A1398="","",BASE_CAIXA!A1398)</f>
        <v/>
      </c>
      <c r="B1401" s="26" t="str">
        <f>IF(A1401="","",BASE_CAIXA!AL1398)</f>
        <v/>
      </c>
      <c r="C1401" s="26" t="str">
        <f>IF(A1401="","",BASE_CAIXA!AJ1398)</f>
        <v/>
      </c>
      <c r="D1401" s="26" t="str">
        <f>IF(A1401="","",IF(BASE_CAIXA!C1398="Entrada","Crédito","Débito"))</f>
        <v/>
      </c>
      <c r="E1401" s="26" t="str">
        <f>IF(A1401="","",BASE_CAIXA!AA1398)</f>
        <v/>
      </c>
      <c r="F1401" s="26" t="str">
        <f>IF(A1401="","",BASE_CAIXA!N1398)</f>
        <v/>
      </c>
      <c r="G1401" s="26" t="str">
        <f>IF(A1401="","",BASE_CAIXA!O1398)</f>
        <v/>
      </c>
      <c r="H1401" s="26" t="str">
        <f>IF(A1401="","",BASE_CAIXA!P1398)</f>
        <v/>
      </c>
      <c r="I1401" s="26" t="str">
        <f>IF(A1401="","",IF(BASE_CAIXA!H1398&lt;&gt;"",BASE_CAIXA!H1398,BASE_CAIXA!G1398))</f>
        <v/>
      </c>
      <c r="J1401" s="26" t="str">
        <f>IF(A1401="","",BASE_CAIXA!G1398)</f>
        <v/>
      </c>
      <c r="K1401" s="26" t="str">
        <f>IF(A1401="","",BASE_CAIXA!I1398)</f>
        <v/>
      </c>
      <c r="L1401" s="26" t="str">
        <f>IF(A1401="","",BASE_CAIXA!J1398)</f>
        <v/>
      </c>
      <c r="M1401" s="26" t="str">
        <f>IF(A1401="","",BASE_CAIXA!AM1398)</f>
        <v/>
      </c>
      <c r="N1401" s="26" t="str">
        <f t="shared" ca="1" si="63"/>
        <v/>
      </c>
      <c r="O1401" s="26" t="str">
        <f>IFERROR(INDEX(EXTRATO_IMPORTADO!$A$5:$A$404,MATCH(B1401,EXTRATO_IMPORTADO!$I$5:$I$404,0)),"")</f>
        <v/>
      </c>
      <c r="P1401" s="26" t="str">
        <f>IFERROR(INDEX(EXTRATO_IMPORTADO!$F$5:$F$404,MATCH(B1401,EXTRATO_IMPORTADO!$I$5:$I$404,0)),"")</f>
        <v/>
      </c>
      <c r="Q1401" s="26" t="str">
        <f>IFERROR(INDEX(EXTRATO_IMPORTADO!$B$5:$B$404,MATCH(B1401,EXTRATO_IMPORTADO!$I$5:$I$404,0)),"")</f>
        <v/>
      </c>
      <c r="R1401" s="26" t="str">
        <f>IFERROR(MATCH(B1401,EXTRATO_IMPORTADO!$I$5:$I$404,0),"")</f>
        <v/>
      </c>
      <c r="S1401" s="26" t="str">
        <f t="shared" si="64"/>
        <v/>
      </c>
      <c r="T1401" s="26" t="str">
        <f t="shared" si="65"/>
        <v/>
      </c>
    </row>
    <row r="1402" spans="1:20" x14ac:dyDescent="0.3">
      <c r="A1402" s="26" t="str">
        <f>IF(BASE_CAIXA!A1399="","",BASE_CAIXA!A1399)</f>
        <v/>
      </c>
      <c r="B1402" s="26" t="str">
        <f>IF(A1402="","",BASE_CAIXA!AL1399)</f>
        <v/>
      </c>
      <c r="C1402" s="26" t="str">
        <f>IF(A1402="","",BASE_CAIXA!AJ1399)</f>
        <v/>
      </c>
      <c r="D1402" s="26" t="str">
        <f>IF(A1402="","",IF(BASE_CAIXA!C1399="Entrada","Crédito","Débito"))</f>
        <v/>
      </c>
      <c r="E1402" s="26" t="str">
        <f>IF(A1402="","",BASE_CAIXA!AA1399)</f>
        <v/>
      </c>
      <c r="F1402" s="26" t="str">
        <f>IF(A1402="","",BASE_CAIXA!N1399)</f>
        <v/>
      </c>
      <c r="G1402" s="26" t="str">
        <f>IF(A1402="","",BASE_CAIXA!O1399)</f>
        <v/>
      </c>
      <c r="H1402" s="26" t="str">
        <f>IF(A1402="","",BASE_CAIXA!P1399)</f>
        <v/>
      </c>
      <c r="I1402" s="26" t="str">
        <f>IF(A1402="","",IF(BASE_CAIXA!H1399&lt;&gt;"",BASE_CAIXA!H1399,BASE_CAIXA!G1399))</f>
        <v/>
      </c>
      <c r="J1402" s="26" t="str">
        <f>IF(A1402="","",BASE_CAIXA!G1399)</f>
        <v/>
      </c>
      <c r="K1402" s="26" t="str">
        <f>IF(A1402="","",BASE_CAIXA!I1399)</f>
        <v/>
      </c>
      <c r="L1402" s="26" t="str">
        <f>IF(A1402="","",BASE_CAIXA!J1399)</f>
        <v/>
      </c>
      <c r="M1402" s="26" t="str">
        <f>IF(A1402="","",BASE_CAIXA!AM1399)</f>
        <v/>
      </c>
      <c r="N1402" s="26" t="str">
        <f t="shared" ca="1" si="63"/>
        <v/>
      </c>
      <c r="O1402" s="26" t="str">
        <f>IFERROR(INDEX(EXTRATO_IMPORTADO!$A$5:$A$404,MATCH(B1402,EXTRATO_IMPORTADO!$I$5:$I$404,0)),"")</f>
        <v/>
      </c>
      <c r="P1402" s="26" t="str">
        <f>IFERROR(INDEX(EXTRATO_IMPORTADO!$F$5:$F$404,MATCH(B1402,EXTRATO_IMPORTADO!$I$5:$I$404,0)),"")</f>
        <v/>
      </c>
      <c r="Q1402" s="26" t="str">
        <f>IFERROR(INDEX(EXTRATO_IMPORTADO!$B$5:$B$404,MATCH(B1402,EXTRATO_IMPORTADO!$I$5:$I$404,0)),"")</f>
        <v/>
      </c>
      <c r="R1402" s="26" t="str">
        <f>IFERROR(MATCH(B1402,EXTRATO_IMPORTADO!$I$5:$I$404,0),"")</f>
        <v/>
      </c>
      <c r="S1402" s="26" t="str">
        <f t="shared" si="64"/>
        <v/>
      </c>
      <c r="T1402" s="26" t="str">
        <f t="shared" si="65"/>
        <v/>
      </c>
    </row>
    <row r="1403" spans="1:20" x14ac:dyDescent="0.3">
      <c r="A1403" s="26" t="str">
        <f>IF(BASE_CAIXA!A1400="","",BASE_CAIXA!A1400)</f>
        <v/>
      </c>
      <c r="B1403" s="26" t="str">
        <f>IF(A1403="","",BASE_CAIXA!AL1400)</f>
        <v/>
      </c>
      <c r="C1403" s="26" t="str">
        <f>IF(A1403="","",BASE_CAIXA!AJ1400)</f>
        <v/>
      </c>
      <c r="D1403" s="26" t="str">
        <f>IF(A1403="","",IF(BASE_CAIXA!C1400="Entrada","Crédito","Débito"))</f>
        <v/>
      </c>
      <c r="E1403" s="26" t="str">
        <f>IF(A1403="","",BASE_CAIXA!AA1400)</f>
        <v/>
      </c>
      <c r="F1403" s="26" t="str">
        <f>IF(A1403="","",BASE_CAIXA!N1400)</f>
        <v/>
      </c>
      <c r="G1403" s="26" t="str">
        <f>IF(A1403="","",BASE_CAIXA!O1400)</f>
        <v/>
      </c>
      <c r="H1403" s="26" t="str">
        <f>IF(A1403="","",BASE_CAIXA!P1400)</f>
        <v/>
      </c>
      <c r="I1403" s="26" t="str">
        <f>IF(A1403="","",IF(BASE_CAIXA!H1400&lt;&gt;"",BASE_CAIXA!H1400,BASE_CAIXA!G1400))</f>
        <v/>
      </c>
      <c r="J1403" s="26" t="str">
        <f>IF(A1403="","",BASE_CAIXA!G1400)</f>
        <v/>
      </c>
      <c r="K1403" s="26" t="str">
        <f>IF(A1403="","",BASE_CAIXA!I1400)</f>
        <v/>
      </c>
      <c r="L1403" s="26" t="str">
        <f>IF(A1403="","",BASE_CAIXA!J1400)</f>
        <v/>
      </c>
      <c r="M1403" s="26" t="str">
        <f>IF(A1403="","",BASE_CAIXA!AM1400)</f>
        <v/>
      </c>
      <c r="N1403" s="26" t="str">
        <f t="shared" ca="1" si="63"/>
        <v/>
      </c>
      <c r="O1403" s="26" t="str">
        <f>IFERROR(INDEX(EXTRATO_IMPORTADO!$A$5:$A$404,MATCH(B1403,EXTRATO_IMPORTADO!$I$5:$I$404,0)),"")</f>
        <v/>
      </c>
      <c r="P1403" s="26" t="str">
        <f>IFERROR(INDEX(EXTRATO_IMPORTADO!$F$5:$F$404,MATCH(B1403,EXTRATO_IMPORTADO!$I$5:$I$404,0)),"")</f>
        <v/>
      </c>
      <c r="Q1403" s="26" t="str">
        <f>IFERROR(INDEX(EXTRATO_IMPORTADO!$B$5:$B$404,MATCH(B1403,EXTRATO_IMPORTADO!$I$5:$I$404,0)),"")</f>
        <v/>
      </c>
      <c r="R1403" s="26" t="str">
        <f>IFERROR(MATCH(B1403,EXTRATO_IMPORTADO!$I$5:$I$404,0),"")</f>
        <v/>
      </c>
      <c r="S1403" s="26" t="str">
        <f t="shared" si="64"/>
        <v/>
      </c>
      <c r="T1403" s="26" t="str">
        <f t="shared" si="65"/>
        <v/>
      </c>
    </row>
    <row r="1404" spans="1:20" x14ac:dyDescent="0.3">
      <c r="A1404" s="26" t="str">
        <f>IF(BASE_CAIXA!A1401="","",BASE_CAIXA!A1401)</f>
        <v/>
      </c>
      <c r="B1404" s="26" t="str">
        <f>IF(A1404="","",BASE_CAIXA!AL1401)</f>
        <v/>
      </c>
      <c r="C1404" s="26" t="str">
        <f>IF(A1404="","",BASE_CAIXA!AJ1401)</f>
        <v/>
      </c>
      <c r="D1404" s="26" t="str">
        <f>IF(A1404="","",IF(BASE_CAIXA!C1401="Entrada","Crédito","Débito"))</f>
        <v/>
      </c>
      <c r="E1404" s="26" t="str">
        <f>IF(A1404="","",BASE_CAIXA!AA1401)</f>
        <v/>
      </c>
      <c r="F1404" s="26" t="str">
        <f>IF(A1404="","",BASE_CAIXA!N1401)</f>
        <v/>
      </c>
      <c r="G1404" s="26" t="str">
        <f>IF(A1404="","",BASE_CAIXA!O1401)</f>
        <v/>
      </c>
      <c r="H1404" s="26" t="str">
        <f>IF(A1404="","",BASE_CAIXA!P1401)</f>
        <v/>
      </c>
      <c r="I1404" s="26" t="str">
        <f>IF(A1404="","",IF(BASE_CAIXA!H1401&lt;&gt;"",BASE_CAIXA!H1401,BASE_CAIXA!G1401))</f>
        <v/>
      </c>
      <c r="J1404" s="26" t="str">
        <f>IF(A1404="","",BASE_CAIXA!G1401)</f>
        <v/>
      </c>
      <c r="K1404" s="26" t="str">
        <f>IF(A1404="","",BASE_CAIXA!I1401)</f>
        <v/>
      </c>
      <c r="L1404" s="26" t="str">
        <f>IF(A1404="","",BASE_CAIXA!J1401)</f>
        <v/>
      </c>
      <c r="M1404" s="26" t="str">
        <f>IF(A1404="","",BASE_CAIXA!AM1401)</f>
        <v/>
      </c>
      <c r="N1404" s="26" t="str">
        <f t="shared" ca="1" si="63"/>
        <v/>
      </c>
      <c r="O1404" s="26" t="str">
        <f>IFERROR(INDEX(EXTRATO_IMPORTADO!$A$5:$A$404,MATCH(B1404,EXTRATO_IMPORTADO!$I$5:$I$404,0)),"")</f>
        <v/>
      </c>
      <c r="P1404" s="26" t="str">
        <f>IFERROR(INDEX(EXTRATO_IMPORTADO!$F$5:$F$404,MATCH(B1404,EXTRATO_IMPORTADO!$I$5:$I$404,0)),"")</f>
        <v/>
      </c>
      <c r="Q1404" s="26" t="str">
        <f>IFERROR(INDEX(EXTRATO_IMPORTADO!$B$5:$B$404,MATCH(B1404,EXTRATO_IMPORTADO!$I$5:$I$404,0)),"")</f>
        <v/>
      </c>
      <c r="R1404" s="26" t="str">
        <f>IFERROR(MATCH(B1404,EXTRATO_IMPORTADO!$I$5:$I$404,0),"")</f>
        <v/>
      </c>
      <c r="S1404" s="26" t="str">
        <f t="shared" si="64"/>
        <v/>
      </c>
      <c r="T1404" s="26" t="str">
        <f t="shared" si="65"/>
        <v/>
      </c>
    </row>
    <row r="1405" spans="1:20" x14ac:dyDescent="0.3">
      <c r="A1405" s="26" t="str">
        <f>IF(BASE_CAIXA!A1402="","",BASE_CAIXA!A1402)</f>
        <v/>
      </c>
      <c r="B1405" s="26" t="str">
        <f>IF(A1405="","",BASE_CAIXA!AL1402)</f>
        <v/>
      </c>
      <c r="C1405" s="26" t="str">
        <f>IF(A1405="","",BASE_CAIXA!AJ1402)</f>
        <v/>
      </c>
      <c r="D1405" s="26" t="str">
        <f>IF(A1405="","",IF(BASE_CAIXA!C1402="Entrada","Crédito","Débito"))</f>
        <v/>
      </c>
      <c r="E1405" s="26" t="str">
        <f>IF(A1405="","",BASE_CAIXA!AA1402)</f>
        <v/>
      </c>
      <c r="F1405" s="26" t="str">
        <f>IF(A1405="","",BASE_CAIXA!N1402)</f>
        <v/>
      </c>
      <c r="G1405" s="26" t="str">
        <f>IF(A1405="","",BASE_CAIXA!O1402)</f>
        <v/>
      </c>
      <c r="H1405" s="26" t="str">
        <f>IF(A1405="","",BASE_CAIXA!P1402)</f>
        <v/>
      </c>
      <c r="I1405" s="26" t="str">
        <f>IF(A1405="","",IF(BASE_CAIXA!H1402&lt;&gt;"",BASE_CAIXA!H1402,BASE_CAIXA!G1402))</f>
        <v/>
      </c>
      <c r="J1405" s="26" t="str">
        <f>IF(A1405="","",BASE_CAIXA!G1402)</f>
        <v/>
      </c>
      <c r="K1405" s="26" t="str">
        <f>IF(A1405="","",BASE_CAIXA!I1402)</f>
        <v/>
      </c>
      <c r="L1405" s="26" t="str">
        <f>IF(A1405="","",BASE_CAIXA!J1402)</f>
        <v/>
      </c>
      <c r="M1405" s="26" t="str">
        <f>IF(A1405="","",BASE_CAIXA!AM1402)</f>
        <v/>
      </c>
      <c r="N1405" s="26" t="str">
        <f t="shared" ca="1" si="63"/>
        <v/>
      </c>
      <c r="O1405" s="26" t="str">
        <f>IFERROR(INDEX(EXTRATO_IMPORTADO!$A$5:$A$404,MATCH(B1405,EXTRATO_IMPORTADO!$I$5:$I$404,0)),"")</f>
        <v/>
      </c>
      <c r="P1405" s="26" t="str">
        <f>IFERROR(INDEX(EXTRATO_IMPORTADO!$F$5:$F$404,MATCH(B1405,EXTRATO_IMPORTADO!$I$5:$I$404,0)),"")</f>
        <v/>
      </c>
      <c r="Q1405" s="26" t="str">
        <f>IFERROR(INDEX(EXTRATO_IMPORTADO!$B$5:$B$404,MATCH(B1405,EXTRATO_IMPORTADO!$I$5:$I$404,0)),"")</f>
        <v/>
      </c>
      <c r="R1405" s="26" t="str">
        <f>IFERROR(MATCH(B1405,EXTRATO_IMPORTADO!$I$5:$I$404,0),"")</f>
        <v/>
      </c>
      <c r="S1405" s="26" t="str">
        <f t="shared" si="64"/>
        <v/>
      </c>
      <c r="T1405" s="26" t="str">
        <f t="shared" si="65"/>
        <v/>
      </c>
    </row>
    <row r="1406" spans="1:20" x14ac:dyDescent="0.3">
      <c r="A1406" s="26" t="str">
        <f>IF(BASE_CAIXA!A1403="","",BASE_CAIXA!A1403)</f>
        <v/>
      </c>
      <c r="B1406" s="26" t="str">
        <f>IF(A1406="","",BASE_CAIXA!AL1403)</f>
        <v/>
      </c>
      <c r="C1406" s="26" t="str">
        <f>IF(A1406="","",BASE_CAIXA!AJ1403)</f>
        <v/>
      </c>
      <c r="D1406" s="26" t="str">
        <f>IF(A1406="","",IF(BASE_CAIXA!C1403="Entrada","Crédito","Débito"))</f>
        <v/>
      </c>
      <c r="E1406" s="26" t="str">
        <f>IF(A1406="","",BASE_CAIXA!AA1403)</f>
        <v/>
      </c>
      <c r="F1406" s="26" t="str">
        <f>IF(A1406="","",BASE_CAIXA!N1403)</f>
        <v/>
      </c>
      <c r="G1406" s="26" t="str">
        <f>IF(A1406="","",BASE_CAIXA!O1403)</f>
        <v/>
      </c>
      <c r="H1406" s="26" t="str">
        <f>IF(A1406="","",BASE_CAIXA!P1403)</f>
        <v/>
      </c>
      <c r="I1406" s="26" t="str">
        <f>IF(A1406="","",IF(BASE_CAIXA!H1403&lt;&gt;"",BASE_CAIXA!H1403,BASE_CAIXA!G1403))</f>
        <v/>
      </c>
      <c r="J1406" s="26" t="str">
        <f>IF(A1406="","",BASE_CAIXA!G1403)</f>
        <v/>
      </c>
      <c r="K1406" s="26" t="str">
        <f>IF(A1406="","",BASE_CAIXA!I1403)</f>
        <v/>
      </c>
      <c r="L1406" s="26" t="str">
        <f>IF(A1406="","",BASE_CAIXA!J1403)</f>
        <v/>
      </c>
      <c r="M1406" s="26" t="str">
        <f>IF(A1406="","",BASE_CAIXA!AM1403)</f>
        <v/>
      </c>
      <c r="N1406" s="26" t="str">
        <f t="shared" ca="1" si="63"/>
        <v/>
      </c>
      <c r="O1406" s="26" t="str">
        <f>IFERROR(INDEX(EXTRATO_IMPORTADO!$A$5:$A$404,MATCH(B1406,EXTRATO_IMPORTADO!$I$5:$I$404,0)),"")</f>
        <v/>
      </c>
      <c r="P1406" s="26" t="str">
        <f>IFERROR(INDEX(EXTRATO_IMPORTADO!$F$5:$F$404,MATCH(B1406,EXTRATO_IMPORTADO!$I$5:$I$404,0)),"")</f>
        <v/>
      </c>
      <c r="Q1406" s="26" t="str">
        <f>IFERROR(INDEX(EXTRATO_IMPORTADO!$B$5:$B$404,MATCH(B1406,EXTRATO_IMPORTADO!$I$5:$I$404,0)),"")</f>
        <v/>
      </c>
      <c r="R1406" s="26" t="str">
        <f>IFERROR(MATCH(B1406,EXTRATO_IMPORTADO!$I$5:$I$404,0),"")</f>
        <v/>
      </c>
      <c r="S1406" s="26" t="str">
        <f t="shared" si="64"/>
        <v/>
      </c>
      <c r="T1406" s="26" t="str">
        <f t="shared" si="65"/>
        <v/>
      </c>
    </row>
    <row r="1407" spans="1:20" x14ac:dyDescent="0.3">
      <c r="A1407" s="26" t="str">
        <f>IF(BASE_CAIXA!A1404="","",BASE_CAIXA!A1404)</f>
        <v/>
      </c>
      <c r="B1407" s="26" t="str">
        <f>IF(A1407="","",BASE_CAIXA!AL1404)</f>
        <v/>
      </c>
      <c r="C1407" s="26" t="str">
        <f>IF(A1407="","",BASE_CAIXA!AJ1404)</f>
        <v/>
      </c>
      <c r="D1407" s="26" t="str">
        <f>IF(A1407="","",IF(BASE_CAIXA!C1404="Entrada","Crédito","Débito"))</f>
        <v/>
      </c>
      <c r="E1407" s="26" t="str">
        <f>IF(A1407="","",BASE_CAIXA!AA1404)</f>
        <v/>
      </c>
      <c r="F1407" s="26" t="str">
        <f>IF(A1407="","",BASE_CAIXA!N1404)</f>
        <v/>
      </c>
      <c r="G1407" s="26" t="str">
        <f>IF(A1407="","",BASE_CAIXA!O1404)</f>
        <v/>
      </c>
      <c r="H1407" s="26" t="str">
        <f>IF(A1407="","",BASE_CAIXA!P1404)</f>
        <v/>
      </c>
      <c r="I1407" s="26" t="str">
        <f>IF(A1407="","",IF(BASE_CAIXA!H1404&lt;&gt;"",BASE_CAIXA!H1404,BASE_CAIXA!G1404))</f>
        <v/>
      </c>
      <c r="J1407" s="26" t="str">
        <f>IF(A1407="","",BASE_CAIXA!G1404)</f>
        <v/>
      </c>
      <c r="K1407" s="26" t="str">
        <f>IF(A1407="","",BASE_CAIXA!I1404)</f>
        <v/>
      </c>
      <c r="L1407" s="26" t="str">
        <f>IF(A1407="","",BASE_CAIXA!J1404)</f>
        <v/>
      </c>
      <c r="M1407" s="26" t="str">
        <f>IF(A1407="","",BASE_CAIXA!AM1404)</f>
        <v/>
      </c>
      <c r="N1407" s="26" t="str">
        <f t="shared" ca="1" si="63"/>
        <v/>
      </c>
      <c r="O1407" s="26" t="str">
        <f>IFERROR(INDEX(EXTRATO_IMPORTADO!$A$5:$A$404,MATCH(B1407,EXTRATO_IMPORTADO!$I$5:$I$404,0)),"")</f>
        <v/>
      </c>
      <c r="P1407" s="26" t="str">
        <f>IFERROR(INDEX(EXTRATO_IMPORTADO!$F$5:$F$404,MATCH(B1407,EXTRATO_IMPORTADO!$I$5:$I$404,0)),"")</f>
        <v/>
      </c>
      <c r="Q1407" s="26" t="str">
        <f>IFERROR(INDEX(EXTRATO_IMPORTADO!$B$5:$B$404,MATCH(B1407,EXTRATO_IMPORTADO!$I$5:$I$404,0)),"")</f>
        <v/>
      </c>
      <c r="R1407" s="26" t="str">
        <f>IFERROR(MATCH(B1407,EXTRATO_IMPORTADO!$I$5:$I$404,0),"")</f>
        <v/>
      </c>
      <c r="S1407" s="26" t="str">
        <f t="shared" si="64"/>
        <v/>
      </c>
      <c r="T1407" s="26" t="str">
        <f t="shared" si="65"/>
        <v/>
      </c>
    </row>
    <row r="1408" spans="1:20" x14ac:dyDescent="0.3">
      <c r="A1408" s="26" t="str">
        <f>IF(BASE_CAIXA!A1405="","",BASE_CAIXA!A1405)</f>
        <v/>
      </c>
      <c r="B1408" s="26" t="str">
        <f>IF(A1408="","",BASE_CAIXA!AL1405)</f>
        <v/>
      </c>
      <c r="C1408" s="26" t="str">
        <f>IF(A1408="","",BASE_CAIXA!AJ1405)</f>
        <v/>
      </c>
      <c r="D1408" s="26" t="str">
        <f>IF(A1408="","",IF(BASE_CAIXA!C1405="Entrada","Crédito","Débito"))</f>
        <v/>
      </c>
      <c r="E1408" s="26" t="str">
        <f>IF(A1408="","",BASE_CAIXA!AA1405)</f>
        <v/>
      </c>
      <c r="F1408" s="26" t="str">
        <f>IF(A1408="","",BASE_CAIXA!N1405)</f>
        <v/>
      </c>
      <c r="G1408" s="26" t="str">
        <f>IF(A1408="","",BASE_CAIXA!O1405)</f>
        <v/>
      </c>
      <c r="H1408" s="26" t="str">
        <f>IF(A1408="","",BASE_CAIXA!P1405)</f>
        <v/>
      </c>
      <c r="I1408" s="26" t="str">
        <f>IF(A1408="","",IF(BASE_CAIXA!H1405&lt;&gt;"",BASE_CAIXA!H1405,BASE_CAIXA!G1405))</f>
        <v/>
      </c>
      <c r="J1408" s="26" t="str">
        <f>IF(A1408="","",BASE_CAIXA!G1405)</f>
        <v/>
      </c>
      <c r="K1408" s="26" t="str">
        <f>IF(A1408="","",BASE_CAIXA!I1405)</f>
        <v/>
      </c>
      <c r="L1408" s="26" t="str">
        <f>IF(A1408="","",BASE_CAIXA!J1405)</f>
        <v/>
      </c>
      <c r="M1408" s="26" t="str">
        <f>IF(A1408="","",BASE_CAIXA!AM1405)</f>
        <v/>
      </c>
      <c r="N1408" s="26" t="str">
        <f t="shared" ca="1" si="63"/>
        <v/>
      </c>
      <c r="O1408" s="26" t="str">
        <f>IFERROR(INDEX(EXTRATO_IMPORTADO!$A$5:$A$404,MATCH(B1408,EXTRATO_IMPORTADO!$I$5:$I$404,0)),"")</f>
        <v/>
      </c>
      <c r="P1408" s="26" t="str">
        <f>IFERROR(INDEX(EXTRATO_IMPORTADO!$F$5:$F$404,MATCH(B1408,EXTRATO_IMPORTADO!$I$5:$I$404,0)),"")</f>
        <v/>
      </c>
      <c r="Q1408" s="26" t="str">
        <f>IFERROR(INDEX(EXTRATO_IMPORTADO!$B$5:$B$404,MATCH(B1408,EXTRATO_IMPORTADO!$I$5:$I$404,0)),"")</f>
        <v/>
      </c>
      <c r="R1408" s="26" t="str">
        <f>IFERROR(MATCH(B1408,EXTRATO_IMPORTADO!$I$5:$I$404,0),"")</f>
        <v/>
      </c>
      <c r="S1408" s="26" t="str">
        <f t="shared" si="64"/>
        <v/>
      </c>
      <c r="T1408" s="26" t="str">
        <f t="shared" si="65"/>
        <v/>
      </c>
    </row>
    <row r="1409" spans="1:20" x14ac:dyDescent="0.3">
      <c r="A1409" s="26" t="str">
        <f>IF(BASE_CAIXA!A1406="","",BASE_CAIXA!A1406)</f>
        <v/>
      </c>
      <c r="B1409" s="26" t="str">
        <f>IF(A1409="","",BASE_CAIXA!AL1406)</f>
        <v/>
      </c>
      <c r="C1409" s="26" t="str">
        <f>IF(A1409="","",BASE_CAIXA!AJ1406)</f>
        <v/>
      </c>
      <c r="D1409" s="26" t="str">
        <f>IF(A1409="","",IF(BASE_CAIXA!C1406="Entrada","Crédito","Débito"))</f>
        <v/>
      </c>
      <c r="E1409" s="26" t="str">
        <f>IF(A1409="","",BASE_CAIXA!AA1406)</f>
        <v/>
      </c>
      <c r="F1409" s="26" t="str">
        <f>IF(A1409="","",BASE_CAIXA!N1406)</f>
        <v/>
      </c>
      <c r="G1409" s="26" t="str">
        <f>IF(A1409="","",BASE_CAIXA!O1406)</f>
        <v/>
      </c>
      <c r="H1409" s="26" t="str">
        <f>IF(A1409="","",BASE_CAIXA!P1406)</f>
        <v/>
      </c>
      <c r="I1409" s="26" t="str">
        <f>IF(A1409="","",IF(BASE_CAIXA!H1406&lt;&gt;"",BASE_CAIXA!H1406,BASE_CAIXA!G1406))</f>
        <v/>
      </c>
      <c r="J1409" s="26" t="str">
        <f>IF(A1409="","",BASE_CAIXA!G1406)</f>
        <v/>
      </c>
      <c r="K1409" s="26" t="str">
        <f>IF(A1409="","",BASE_CAIXA!I1406)</f>
        <v/>
      </c>
      <c r="L1409" s="26" t="str">
        <f>IF(A1409="","",BASE_CAIXA!J1406)</f>
        <v/>
      </c>
      <c r="M1409" s="26" t="str">
        <f>IF(A1409="","",BASE_CAIXA!AM1406)</f>
        <v/>
      </c>
      <c r="N1409" s="26" t="str">
        <f t="shared" ca="1" si="63"/>
        <v/>
      </c>
      <c r="O1409" s="26" t="str">
        <f>IFERROR(INDEX(EXTRATO_IMPORTADO!$A$5:$A$404,MATCH(B1409,EXTRATO_IMPORTADO!$I$5:$I$404,0)),"")</f>
        <v/>
      </c>
      <c r="P1409" s="26" t="str">
        <f>IFERROR(INDEX(EXTRATO_IMPORTADO!$F$5:$F$404,MATCH(B1409,EXTRATO_IMPORTADO!$I$5:$I$404,0)),"")</f>
        <v/>
      </c>
      <c r="Q1409" s="26" t="str">
        <f>IFERROR(INDEX(EXTRATO_IMPORTADO!$B$5:$B$404,MATCH(B1409,EXTRATO_IMPORTADO!$I$5:$I$404,0)),"")</f>
        <v/>
      </c>
      <c r="R1409" s="26" t="str">
        <f>IFERROR(MATCH(B1409,EXTRATO_IMPORTADO!$I$5:$I$404,0),"")</f>
        <v/>
      </c>
      <c r="S1409" s="26" t="str">
        <f t="shared" si="64"/>
        <v/>
      </c>
      <c r="T1409" s="26" t="str">
        <f t="shared" si="65"/>
        <v/>
      </c>
    </row>
    <row r="1410" spans="1:20" x14ac:dyDescent="0.3">
      <c r="A1410" s="26" t="str">
        <f>IF(BASE_CAIXA!A1407="","",BASE_CAIXA!A1407)</f>
        <v/>
      </c>
      <c r="B1410" s="26" t="str">
        <f>IF(A1410="","",BASE_CAIXA!AL1407)</f>
        <v/>
      </c>
      <c r="C1410" s="26" t="str">
        <f>IF(A1410="","",BASE_CAIXA!AJ1407)</f>
        <v/>
      </c>
      <c r="D1410" s="26" t="str">
        <f>IF(A1410="","",IF(BASE_CAIXA!C1407="Entrada","Crédito","Débito"))</f>
        <v/>
      </c>
      <c r="E1410" s="26" t="str">
        <f>IF(A1410="","",BASE_CAIXA!AA1407)</f>
        <v/>
      </c>
      <c r="F1410" s="26" t="str">
        <f>IF(A1410="","",BASE_CAIXA!N1407)</f>
        <v/>
      </c>
      <c r="G1410" s="26" t="str">
        <f>IF(A1410="","",BASE_CAIXA!O1407)</f>
        <v/>
      </c>
      <c r="H1410" s="26" t="str">
        <f>IF(A1410="","",BASE_CAIXA!P1407)</f>
        <v/>
      </c>
      <c r="I1410" s="26" t="str">
        <f>IF(A1410="","",IF(BASE_CAIXA!H1407&lt;&gt;"",BASE_CAIXA!H1407,BASE_CAIXA!G1407))</f>
        <v/>
      </c>
      <c r="J1410" s="26" t="str">
        <f>IF(A1410="","",BASE_CAIXA!G1407)</f>
        <v/>
      </c>
      <c r="K1410" s="26" t="str">
        <f>IF(A1410="","",BASE_CAIXA!I1407)</f>
        <v/>
      </c>
      <c r="L1410" s="26" t="str">
        <f>IF(A1410="","",BASE_CAIXA!J1407)</f>
        <v/>
      </c>
      <c r="M1410" s="26" t="str">
        <f>IF(A1410="","",BASE_CAIXA!AM1407)</f>
        <v/>
      </c>
      <c r="N1410" s="26" t="str">
        <f t="shared" ca="1" si="63"/>
        <v/>
      </c>
      <c r="O1410" s="26" t="str">
        <f>IFERROR(INDEX(EXTRATO_IMPORTADO!$A$5:$A$404,MATCH(B1410,EXTRATO_IMPORTADO!$I$5:$I$404,0)),"")</f>
        <v/>
      </c>
      <c r="P1410" s="26" t="str">
        <f>IFERROR(INDEX(EXTRATO_IMPORTADO!$F$5:$F$404,MATCH(B1410,EXTRATO_IMPORTADO!$I$5:$I$404,0)),"")</f>
        <v/>
      </c>
      <c r="Q1410" s="26" t="str">
        <f>IFERROR(INDEX(EXTRATO_IMPORTADO!$B$5:$B$404,MATCH(B1410,EXTRATO_IMPORTADO!$I$5:$I$404,0)),"")</f>
        <v/>
      </c>
      <c r="R1410" s="26" t="str">
        <f>IFERROR(MATCH(B1410,EXTRATO_IMPORTADO!$I$5:$I$404,0),"")</f>
        <v/>
      </c>
      <c r="S1410" s="26" t="str">
        <f t="shared" si="64"/>
        <v/>
      </c>
      <c r="T1410" s="26" t="str">
        <f t="shared" si="65"/>
        <v/>
      </c>
    </row>
    <row r="1411" spans="1:20" x14ac:dyDescent="0.3">
      <c r="A1411" s="26" t="str">
        <f>IF(BASE_CAIXA!A1408="","",BASE_CAIXA!A1408)</f>
        <v/>
      </c>
      <c r="B1411" s="26" t="str">
        <f>IF(A1411="","",BASE_CAIXA!AL1408)</f>
        <v/>
      </c>
      <c r="C1411" s="26" t="str">
        <f>IF(A1411="","",BASE_CAIXA!AJ1408)</f>
        <v/>
      </c>
      <c r="D1411" s="26" t="str">
        <f>IF(A1411="","",IF(BASE_CAIXA!C1408="Entrada","Crédito","Débito"))</f>
        <v/>
      </c>
      <c r="E1411" s="26" t="str">
        <f>IF(A1411="","",BASE_CAIXA!AA1408)</f>
        <v/>
      </c>
      <c r="F1411" s="26" t="str">
        <f>IF(A1411="","",BASE_CAIXA!N1408)</f>
        <v/>
      </c>
      <c r="G1411" s="26" t="str">
        <f>IF(A1411="","",BASE_CAIXA!O1408)</f>
        <v/>
      </c>
      <c r="H1411" s="26" t="str">
        <f>IF(A1411="","",BASE_CAIXA!P1408)</f>
        <v/>
      </c>
      <c r="I1411" s="26" t="str">
        <f>IF(A1411="","",IF(BASE_CAIXA!H1408&lt;&gt;"",BASE_CAIXA!H1408,BASE_CAIXA!G1408))</f>
        <v/>
      </c>
      <c r="J1411" s="26" t="str">
        <f>IF(A1411="","",BASE_CAIXA!G1408)</f>
        <v/>
      </c>
      <c r="K1411" s="26" t="str">
        <f>IF(A1411="","",BASE_CAIXA!I1408)</f>
        <v/>
      </c>
      <c r="L1411" s="26" t="str">
        <f>IF(A1411="","",BASE_CAIXA!J1408)</f>
        <v/>
      </c>
      <c r="M1411" s="26" t="str">
        <f>IF(A1411="","",BASE_CAIXA!AM1408)</f>
        <v/>
      </c>
      <c r="N1411" s="26" t="str">
        <f t="shared" ca="1" si="63"/>
        <v/>
      </c>
      <c r="O1411" s="26" t="str">
        <f>IFERROR(INDEX(EXTRATO_IMPORTADO!$A$5:$A$404,MATCH(B1411,EXTRATO_IMPORTADO!$I$5:$I$404,0)),"")</f>
        <v/>
      </c>
      <c r="P1411" s="26" t="str">
        <f>IFERROR(INDEX(EXTRATO_IMPORTADO!$F$5:$F$404,MATCH(B1411,EXTRATO_IMPORTADO!$I$5:$I$404,0)),"")</f>
        <v/>
      </c>
      <c r="Q1411" s="26" t="str">
        <f>IFERROR(INDEX(EXTRATO_IMPORTADO!$B$5:$B$404,MATCH(B1411,EXTRATO_IMPORTADO!$I$5:$I$404,0)),"")</f>
        <v/>
      </c>
      <c r="R1411" s="26" t="str">
        <f>IFERROR(MATCH(B1411,EXTRATO_IMPORTADO!$I$5:$I$404,0),"")</f>
        <v/>
      </c>
      <c r="S1411" s="26" t="str">
        <f t="shared" si="64"/>
        <v/>
      </c>
      <c r="T1411" s="26" t="str">
        <f t="shared" si="65"/>
        <v/>
      </c>
    </row>
    <row r="1412" spans="1:20" x14ac:dyDescent="0.3">
      <c r="A1412" s="26" t="str">
        <f>IF(BASE_CAIXA!A1409="","",BASE_CAIXA!A1409)</f>
        <v/>
      </c>
      <c r="B1412" s="26" t="str">
        <f>IF(A1412="","",BASE_CAIXA!AL1409)</f>
        <v/>
      </c>
      <c r="C1412" s="26" t="str">
        <f>IF(A1412="","",BASE_CAIXA!AJ1409)</f>
        <v/>
      </c>
      <c r="D1412" s="26" t="str">
        <f>IF(A1412="","",IF(BASE_CAIXA!C1409="Entrada","Crédito","Débito"))</f>
        <v/>
      </c>
      <c r="E1412" s="26" t="str">
        <f>IF(A1412="","",BASE_CAIXA!AA1409)</f>
        <v/>
      </c>
      <c r="F1412" s="26" t="str">
        <f>IF(A1412="","",BASE_CAIXA!N1409)</f>
        <v/>
      </c>
      <c r="G1412" s="26" t="str">
        <f>IF(A1412="","",BASE_CAIXA!O1409)</f>
        <v/>
      </c>
      <c r="H1412" s="26" t="str">
        <f>IF(A1412="","",BASE_CAIXA!P1409)</f>
        <v/>
      </c>
      <c r="I1412" s="26" t="str">
        <f>IF(A1412="","",IF(BASE_CAIXA!H1409&lt;&gt;"",BASE_CAIXA!H1409,BASE_CAIXA!G1409))</f>
        <v/>
      </c>
      <c r="J1412" s="26" t="str">
        <f>IF(A1412="","",BASE_CAIXA!G1409)</f>
        <v/>
      </c>
      <c r="K1412" s="26" t="str">
        <f>IF(A1412="","",BASE_CAIXA!I1409)</f>
        <v/>
      </c>
      <c r="L1412" s="26" t="str">
        <f>IF(A1412="","",BASE_CAIXA!J1409)</f>
        <v/>
      </c>
      <c r="M1412" s="26" t="str">
        <f>IF(A1412="","",BASE_CAIXA!AM1409)</f>
        <v/>
      </c>
      <c r="N1412" s="26" t="str">
        <f t="shared" ca="1" si="63"/>
        <v/>
      </c>
      <c r="O1412" s="26" t="str">
        <f>IFERROR(INDEX(EXTRATO_IMPORTADO!$A$5:$A$404,MATCH(B1412,EXTRATO_IMPORTADO!$I$5:$I$404,0)),"")</f>
        <v/>
      </c>
      <c r="P1412" s="26" t="str">
        <f>IFERROR(INDEX(EXTRATO_IMPORTADO!$F$5:$F$404,MATCH(B1412,EXTRATO_IMPORTADO!$I$5:$I$404,0)),"")</f>
        <v/>
      </c>
      <c r="Q1412" s="26" t="str">
        <f>IFERROR(INDEX(EXTRATO_IMPORTADO!$B$5:$B$404,MATCH(B1412,EXTRATO_IMPORTADO!$I$5:$I$404,0)),"")</f>
        <v/>
      </c>
      <c r="R1412" s="26" t="str">
        <f>IFERROR(MATCH(B1412,EXTRATO_IMPORTADO!$I$5:$I$404,0),"")</f>
        <v/>
      </c>
      <c r="S1412" s="26" t="str">
        <f t="shared" si="64"/>
        <v/>
      </c>
      <c r="T1412" s="26" t="str">
        <f t="shared" si="65"/>
        <v/>
      </c>
    </row>
    <row r="1413" spans="1:20" x14ac:dyDescent="0.3">
      <c r="A1413" s="26" t="str">
        <f>IF(BASE_CAIXA!A1410="","",BASE_CAIXA!A1410)</f>
        <v/>
      </c>
      <c r="B1413" s="26" t="str">
        <f>IF(A1413="","",BASE_CAIXA!AL1410)</f>
        <v/>
      </c>
      <c r="C1413" s="26" t="str">
        <f>IF(A1413="","",BASE_CAIXA!AJ1410)</f>
        <v/>
      </c>
      <c r="D1413" s="26" t="str">
        <f>IF(A1413="","",IF(BASE_CAIXA!C1410="Entrada","Crédito","Débito"))</f>
        <v/>
      </c>
      <c r="E1413" s="26" t="str">
        <f>IF(A1413="","",BASE_CAIXA!AA1410)</f>
        <v/>
      </c>
      <c r="F1413" s="26" t="str">
        <f>IF(A1413="","",BASE_CAIXA!N1410)</f>
        <v/>
      </c>
      <c r="G1413" s="26" t="str">
        <f>IF(A1413="","",BASE_CAIXA!O1410)</f>
        <v/>
      </c>
      <c r="H1413" s="26" t="str">
        <f>IF(A1413="","",BASE_CAIXA!P1410)</f>
        <v/>
      </c>
      <c r="I1413" s="26" t="str">
        <f>IF(A1413="","",IF(BASE_CAIXA!H1410&lt;&gt;"",BASE_CAIXA!H1410,BASE_CAIXA!G1410))</f>
        <v/>
      </c>
      <c r="J1413" s="26" t="str">
        <f>IF(A1413="","",BASE_CAIXA!G1410)</f>
        <v/>
      </c>
      <c r="K1413" s="26" t="str">
        <f>IF(A1413="","",BASE_CAIXA!I1410)</f>
        <v/>
      </c>
      <c r="L1413" s="26" t="str">
        <f>IF(A1413="","",BASE_CAIXA!J1410)</f>
        <v/>
      </c>
      <c r="M1413" s="26" t="str">
        <f>IF(A1413="","",BASE_CAIXA!AM1410)</f>
        <v/>
      </c>
      <c r="N1413" s="26" t="str">
        <f t="shared" ref="N1413:N1476" ca="1" si="66">IF(A1413="","",IF(R1413&lt;&gt;"",IF(AND(ABS(S1413)&lt;=0.01,ABS(T1413)&lt;=3),"Conciliado","Divergente"),IF(TODAY()&gt;C1413,"Pendente vencido","Previsto")))</f>
        <v/>
      </c>
      <c r="O1413" s="26" t="str">
        <f>IFERROR(INDEX(EXTRATO_IMPORTADO!$A$5:$A$404,MATCH(B1413,EXTRATO_IMPORTADO!$I$5:$I$404,0)),"")</f>
        <v/>
      </c>
      <c r="P1413" s="26" t="str">
        <f>IFERROR(INDEX(EXTRATO_IMPORTADO!$F$5:$F$404,MATCH(B1413,EXTRATO_IMPORTADO!$I$5:$I$404,0)),"")</f>
        <v/>
      </c>
      <c r="Q1413" s="26" t="str">
        <f>IFERROR(INDEX(EXTRATO_IMPORTADO!$B$5:$B$404,MATCH(B1413,EXTRATO_IMPORTADO!$I$5:$I$404,0)),"")</f>
        <v/>
      </c>
      <c r="R1413" s="26" t="str">
        <f>IFERROR(MATCH(B1413,EXTRATO_IMPORTADO!$I$5:$I$404,0),"")</f>
        <v/>
      </c>
      <c r="S1413" s="26" t="str">
        <f t="shared" ref="S1413:S1476" si="67">IF(OR(A1413="",P1413=""),"",P1413-E1413)</f>
        <v/>
      </c>
      <c r="T1413" s="26" t="str">
        <f t="shared" ref="T1413:T1476" si="68">IF(OR(A1413="",O1413=""),"",O1413-C1413)</f>
        <v/>
      </c>
    </row>
    <row r="1414" spans="1:20" x14ac:dyDescent="0.3">
      <c r="A1414" s="26" t="str">
        <f>IF(BASE_CAIXA!A1411="","",BASE_CAIXA!A1411)</f>
        <v/>
      </c>
      <c r="B1414" s="26" t="str">
        <f>IF(A1414="","",BASE_CAIXA!AL1411)</f>
        <v/>
      </c>
      <c r="C1414" s="26" t="str">
        <f>IF(A1414="","",BASE_CAIXA!AJ1411)</f>
        <v/>
      </c>
      <c r="D1414" s="26" t="str">
        <f>IF(A1414="","",IF(BASE_CAIXA!C1411="Entrada","Crédito","Débito"))</f>
        <v/>
      </c>
      <c r="E1414" s="26" t="str">
        <f>IF(A1414="","",BASE_CAIXA!AA1411)</f>
        <v/>
      </c>
      <c r="F1414" s="26" t="str">
        <f>IF(A1414="","",BASE_CAIXA!N1411)</f>
        <v/>
      </c>
      <c r="G1414" s="26" t="str">
        <f>IF(A1414="","",BASE_CAIXA!O1411)</f>
        <v/>
      </c>
      <c r="H1414" s="26" t="str">
        <f>IF(A1414="","",BASE_CAIXA!P1411)</f>
        <v/>
      </c>
      <c r="I1414" s="26" t="str">
        <f>IF(A1414="","",IF(BASE_CAIXA!H1411&lt;&gt;"",BASE_CAIXA!H1411,BASE_CAIXA!G1411))</f>
        <v/>
      </c>
      <c r="J1414" s="26" t="str">
        <f>IF(A1414="","",BASE_CAIXA!G1411)</f>
        <v/>
      </c>
      <c r="K1414" s="26" t="str">
        <f>IF(A1414="","",BASE_CAIXA!I1411)</f>
        <v/>
      </c>
      <c r="L1414" s="26" t="str">
        <f>IF(A1414="","",BASE_CAIXA!J1411)</f>
        <v/>
      </c>
      <c r="M1414" s="26" t="str">
        <f>IF(A1414="","",BASE_CAIXA!AM1411)</f>
        <v/>
      </c>
      <c r="N1414" s="26" t="str">
        <f t="shared" ca="1" si="66"/>
        <v/>
      </c>
      <c r="O1414" s="26" t="str">
        <f>IFERROR(INDEX(EXTRATO_IMPORTADO!$A$5:$A$404,MATCH(B1414,EXTRATO_IMPORTADO!$I$5:$I$404,0)),"")</f>
        <v/>
      </c>
      <c r="P1414" s="26" t="str">
        <f>IFERROR(INDEX(EXTRATO_IMPORTADO!$F$5:$F$404,MATCH(B1414,EXTRATO_IMPORTADO!$I$5:$I$404,0)),"")</f>
        <v/>
      </c>
      <c r="Q1414" s="26" t="str">
        <f>IFERROR(INDEX(EXTRATO_IMPORTADO!$B$5:$B$404,MATCH(B1414,EXTRATO_IMPORTADO!$I$5:$I$404,0)),"")</f>
        <v/>
      </c>
      <c r="R1414" s="26" t="str">
        <f>IFERROR(MATCH(B1414,EXTRATO_IMPORTADO!$I$5:$I$404,0),"")</f>
        <v/>
      </c>
      <c r="S1414" s="26" t="str">
        <f t="shared" si="67"/>
        <v/>
      </c>
      <c r="T1414" s="26" t="str">
        <f t="shared" si="68"/>
        <v/>
      </c>
    </row>
    <row r="1415" spans="1:20" x14ac:dyDescent="0.3">
      <c r="A1415" s="26" t="str">
        <f>IF(BASE_CAIXA!A1412="","",BASE_CAIXA!A1412)</f>
        <v/>
      </c>
      <c r="B1415" s="26" t="str">
        <f>IF(A1415="","",BASE_CAIXA!AL1412)</f>
        <v/>
      </c>
      <c r="C1415" s="26" t="str">
        <f>IF(A1415="","",BASE_CAIXA!AJ1412)</f>
        <v/>
      </c>
      <c r="D1415" s="26" t="str">
        <f>IF(A1415="","",IF(BASE_CAIXA!C1412="Entrada","Crédito","Débito"))</f>
        <v/>
      </c>
      <c r="E1415" s="26" t="str">
        <f>IF(A1415="","",BASE_CAIXA!AA1412)</f>
        <v/>
      </c>
      <c r="F1415" s="26" t="str">
        <f>IF(A1415="","",BASE_CAIXA!N1412)</f>
        <v/>
      </c>
      <c r="G1415" s="26" t="str">
        <f>IF(A1415="","",BASE_CAIXA!O1412)</f>
        <v/>
      </c>
      <c r="H1415" s="26" t="str">
        <f>IF(A1415="","",BASE_CAIXA!P1412)</f>
        <v/>
      </c>
      <c r="I1415" s="26" t="str">
        <f>IF(A1415="","",IF(BASE_CAIXA!H1412&lt;&gt;"",BASE_CAIXA!H1412,BASE_CAIXA!G1412))</f>
        <v/>
      </c>
      <c r="J1415" s="26" t="str">
        <f>IF(A1415="","",BASE_CAIXA!G1412)</f>
        <v/>
      </c>
      <c r="K1415" s="26" t="str">
        <f>IF(A1415="","",BASE_CAIXA!I1412)</f>
        <v/>
      </c>
      <c r="L1415" s="26" t="str">
        <f>IF(A1415="","",BASE_CAIXA!J1412)</f>
        <v/>
      </c>
      <c r="M1415" s="26" t="str">
        <f>IF(A1415="","",BASE_CAIXA!AM1412)</f>
        <v/>
      </c>
      <c r="N1415" s="26" t="str">
        <f t="shared" ca="1" si="66"/>
        <v/>
      </c>
      <c r="O1415" s="26" t="str">
        <f>IFERROR(INDEX(EXTRATO_IMPORTADO!$A$5:$A$404,MATCH(B1415,EXTRATO_IMPORTADO!$I$5:$I$404,0)),"")</f>
        <v/>
      </c>
      <c r="P1415" s="26" t="str">
        <f>IFERROR(INDEX(EXTRATO_IMPORTADO!$F$5:$F$404,MATCH(B1415,EXTRATO_IMPORTADO!$I$5:$I$404,0)),"")</f>
        <v/>
      </c>
      <c r="Q1415" s="26" t="str">
        <f>IFERROR(INDEX(EXTRATO_IMPORTADO!$B$5:$B$404,MATCH(B1415,EXTRATO_IMPORTADO!$I$5:$I$404,0)),"")</f>
        <v/>
      </c>
      <c r="R1415" s="26" t="str">
        <f>IFERROR(MATCH(B1415,EXTRATO_IMPORTADO!$I$5:$I$404,0),"")</f>
        <v/>
      </c>
      <c r="S1415" s="26" t="str">
        <f t="shared" si="67"/>
        <v/>
      </c>
      <c r="T1415" s="26" t="str">
        <f t="shared" si="68"/>
        <v/>
      </c>
    </row>
    <row r="1416" spans="1:20" x14ac:dyDescent="0.3">
      <c r="A1416" s="26" t="str">
        <f>IF(BASE_CAIXA!A1413="","",BASE_CAIXA!A1413)</f>
        <v/>
      </c>
      <c r="B1416" s="26" t="str">
        <f>IF(A1416="","",BASE_CAIXA!AL1413)</f>
        <v/>
      </c>
      <c r="C1416" s="26" t="str">
        <f>IF(A1416="","",BASE_CAIXA!AJ1413)</f>
        <v/>
      </c>
      <c r="D1416" s="26" t="str">
        <f>IF(A1416="","",IF(BASE_CAIXA!C1413="Entrada","Crédito","Débito"))</f>
        <v/>
      </c>
      <c r="E1416" s="26" t="str">
        <f>IF(A1416="","",BASE_CAIXA!AA1413)</f>
        <v/>
      </c>
      <c r="F1416" s="26" t="str">
        <f>IF(A1416="","",BASE_CAIXA!N1413)</f>
        <v/>
      </c>
      <c r="G1416" s="26" t="str">
        <f>IF(A1416="","",BASE_CAIXA!O1413)</f>
        <v/>
      </c>
      <c r="H1416" s="26" t="str">
        <f>IF(A1416="","",BASE_CAIXA!P1413)</f>
        <v/>
      </c>
      <c r="I1416" s="26" t="str">
        <f>IF(A1416="","",IF(BASE_CAIXA!H1413&lt;&gt;"",BASE_CAIXA!H1413,BASE_CAIXA!G1413))</f>
        <v/>
      </c>
      <c r="J1416" s="26" t="str">
        <f>IF(A1416="","",BASE_CAIXA!G1413)</f>
        <v/>
      </c>
      <c r="K1416" s="26" t="str">
        <f>IF(A1416="","",BASE_CAIXA!I1413)</f>
        <v/>
      </c>
      <c r="L1416" s="26" t="str">
        <f>IF(A1416="","",BASE_CAIXA!J1413)</f>
        <v/>
      </c>
      <c r="M1416" s="26" t="str">
        <f>IF(A1416="","",BASE_CAIXA!AM1413)</f>
        <v/>
      </c>
      <c r="N1416" s="26" t="str">
        <f t="shared" ca="1" si="66"/>
        <v/>
      </c>
      <c r="O1416" s="26" t="str">
        <f>IFERROR(INDEX(EXTRATO_IMPORTADO!$A$5:$A$404,MATCH(B1416,EXTRATO_IMPORTADO!$I$5:$I$404,0)),"")</f>
        <v/>
      </c>
      <c r="P1416" s="26" t="str">
        <f>IFERROR(INDEX(EXTRATO_IMPORTADO!$F$5:$F$404,MATCH(B1416,EXTRATO_IMPORTADO!$I$5:$I$404,0)),"")</f>
        <v/>
      </c>
      <c r="Q1416" s="26" t="str">
        <f>IFERROR(INDEX(EXTRATO_IMPORTADO!$B$5:$B$404,MATCH(B1416,EXTRATO_IMPORTADO!$I$5:$I$404,0)),"")</f>
        <v/>
      </c>
      <c r="R1416" s="26" t="str">
        <f>IFERROR(MATCH(B1416,EXTRATO_IMPORTADO!$I$5:$I$404,0),"")</f>
        <v/>
      </c>
      <c r="S1416" s="26" t="str">
        <f t="shared" si="67"/>
        <v/>
      </c>
      <c r="T1416" s="26" t="str">
        <f t="shared" si="68"/>
        <v/>
      </c>
    </row>
    <row r="1417" spans="1:20" x14ac:dyDescent="0.3">
      <c r="A1417" s="26" t="str">
        <f>IF(BASE_CAIXA!A1414="","",BASE_CAIXA!A1414)</f>
        <v/>
      </c>
      <c r="B1417" s="26" t="str">
        <f>IF(A1417="","",BASE_CAIXA!AL1414)</f>
        <v/>
      </c>
      <c r="C1417" s="26" t="str">
        <f>IF(A1417="","",BASE_CAIXA!AJ1414)</f>
        <v/>
      </c>
      <c r="D1417" s="26" t="str">
        <f>IF(A1417="","",IF(BASE_CAIXA!C1414="Entrada","Crédito","Débito"))</f>
        <v/>
      </c>
      <c r="E1417" s="26" t="str">
        <f>IF(A1417="","",BASE_CAIXA!AA1414)</f>
        <v/>
      </c>
      <c r="F1417" s="26" t="str">
        <f>IF(A1417="","",BASE_CAIXA!N1414)</f>
        <v/>
      </c>
      <c r="G1417" s="26" t="str">
        <f>IF(A1417="","",BASE_CAIXA!O1414)</f>
        <v/>
      </c>
      <c r="H1417" s="26" t="str">
        <f>IF(A1417="","",BASE_CAIXA!P1414)</f>
        <v/>
      </c>
      <c r="I1417" s="26" t="str">
        <f>IF(A1417="","",IF(BASE_CAIXA!H1414&lt;&gt;"",BASE_CAIXA!H1414,BASE_CAIXA!G1414))</f>
        <v/>
      </c>
      <c r="J1417" s="26" t="str">
        <f>IF(A1417="","",BASE_CAIXA!G1414)</f>
        <v/>
      </c>
      <c r="K1417" s="26" t="str">
        <f>IF(A1417="","",BASE_CAIXA!I1414)</f>
        <v/>
      </c>
      <c r="L1417" s="26" t="str">
        <f>IF(A1417="","",BASE_CAIXA!J1414)</f>
        <v/>
      </c>
      <c r="M1417" s="26" t="str">
        <f>IF(A1417="","",BASE_CAIXA!AM1414)</f>
        <v/>
      </c>
      <c r="N1417" s="26" t="str">
        <f t="shared" ca="1" si="66"/>
        <v/>
      </c>
      <c r="O1417" s="26" t="str">
        <f>IFERROR(INDEX(EXTRATO_IMPORTADO!$A$5:$A$404,MATCH(B1417,EXTRATO_IMPORTADO!$I$5:$I$404,0)),"")</f>
        <v/>
      </c>
      <c r="P1417" s="26" t="str">
        <f>IFERROR(INDEX(EXTRATO_IMPORTADO!$F$5:$F$404,MATCH(B1417,EXTRATO_IMPORTADO!$I$5:$I$404,0)),"")</f>
        <v/>
      </c>
      <c r="Q1417" s="26" t="str">
        <f>IFERROR(INDEX(EXTRATO_IMPORTADO!$B$5:$B$404,MATCH(B1417,EXTRATO_IMPORTADO!$I$5:$I$404,0)),"")</f>
        <v/>
      </c>
      <c r="R1417" s="26" t="str">
        <f>IFERROR(MATCH(B1417,EXTRATO_IMPORTADO!$I$5:$I$404,0),"")</f>
        <v/>
      </c>
      <c r="S1417" s="26" t="str">
        <f t="shared" si="67"/>
        <v/>
      </c>
      <c r="T1417" s="26" t="str">
        <f t="shared" si="68"/>
        <v/>
      </c>
    </row>
    <row r="1418" spans="1:20" x14ac:dyDescent="0.3">
      <c r="A1418" s="26" t="str">
        <f>IF(BASE_CAIXA!A1415="","",BASE_CAIXA!A1415)</f>
        <v/>
      </c>
      <c r="B1418" s="26" t="str">
        <f>IF(A1418="","",BASE_CAIXA!AL1415)</f>
        <v/>
      </c>
      <c r="C1418" s="26" t="str">
        <f>IF(A1418="","",BASE_CAIXA!AJ1415)</f>
        <v/>
      </c>
      <c r="D1418" s="26" t="str">
        <f>IF(A1418="","",IF(BASE_CAIXA!C1415="Entrada","Crédito","Débito"))</f>
        <v/>
      </c>
      <c r="E1418" s="26" t="str">
        <f>IF(A1418="","",BASE_CAIXA!AA1415)</f>
        <v/>
      </c>
      <c r="F1418" s="26" t="str">
        <f>IF(A1418="","",BASE_CAIXA!N1415)</f>
        <v/>
      </c>
      <c r="G1418" s="26" t="str">
        <f>IF(A1418="","",BASE_CAIXA!O1415)</f>
        <v/>
      </c>
      <c r="H1418" s="26" t="str">
        <f>IF(A1418="","",BASE_CAIXA!P1415)</f>
        <v/>
      </c>
      <c r="I1418" s="26" t="str">
        <f>IF(A1418="","",IF(BASE_CAIXA!H1415&lt;&gt;"",BASE_CAIXA!H1415,BASE_CAIXA!G1415))</f>
        <v/>
      </c>
      <c r="J1418" s="26" t="str">
        <f>IF(A1418="","",BASE_CAIXA!G1415)</f>
        <v/>
      </c>
      <c r="K1418" s="26" t="str">
        <f>IF(A1418="","",BASE_CAIXA!I1415)</f>
        <v/>
      </c>
      <c r="L1418" s="26" t="str">
        <f>IF(A1418="","",BASE_CAIXA!J1415)</f>
        <v/>
      </c>
      <c r="M1418" s="26" t="str">
        <f>IF(A1418="","",BASE_CAIXA!AM1415)</f>
        <v/>
      </c>
      <c r="N1418" s="26" t="str">
        <f t="shared" ca="1" si="66"/>
        <v/>
      </c>
      <c r="O1418" s="26" t="str">
        <f>IFERROR(INDEX(EXTRATO_IMPORTADO!$A$5:$A$404,MATCH(B1418,EXTRATO_IMPORTADO!$I$5:$I$404,0)),"")</f>
        <v/>
      </c>
      <c r="P1418" s="26" t="str">
        <f>IFERROR(INDEX(EXTRATO_IMPORTADO!$F$5:$F$404,MATCH(B1418,EXTRATO_IMPORTADO!$I$5:$I$404,0)),"")</f>
        <v/>
      </c>
      <c r="Q1418" s="26" t="str">
        <f>IFERROR(INDEX(EXTRATO_IMPORTADO!$B$5:$B$404,MATCH(B1418,EXTRATO_IMPORTADO!$I$5:$I$404,0)),"")</f>
        <v/>
      </c>
      <c r="R1418" s="26" t="str">
        <f>IFERROR(MATCH(B1418,EXTRATO_IMPORTADO!$I$5:$I$404,0),"")</f>
        <v/>
      </c>
      <c r="S1418" s="26" t="str">
        <f t="shared" si="67"/>
        <v/>
      </c>
      <c r="T1418" s="26" t="str">
        <f t="shared" si="68"/>
        <v/>
      </c>
    </row>
    <row r="1419" spans="1:20" x14ac:dyDescent="0.3">
      <c r="A1419" s="26" t="str">
        <f>IF(BASE_CAIXA!A1416="","",BASE_CAIXA!A1416)</f>
        <v/>
      </c>
      <c r="B1419" s="26" t="str">
        <f>IF(A1419="","",BASE_CAIXA!AL1416)</f>
        <v/>
      </c>
      <c r="C1419" s="26" t="str">
        <f>IF(A1419="","",BASE_CAIXA!AJ1416)</f>
        <v/>
      </c>
      <c r="D1419" s="26" t="str">
        <f>IF(A1419="","",IF(BASE_CAIXA!C1416="Entrada","Crédito","Débito"))</f>
        <v/>
      </c>
      <c r="E1419" s="26" t="str">
        <f>IF(A1419="","",BASE_CAIXA!AA1416)</f>
        <v/>
      </c>
      <c r="F1419" s="26" t="str">
        <f>IF(A1419="","",BASE_CAIXA!N1416)</f>
        <v/>
      </c>
      <c r="G1419" s="26" t="str">
        <f>IF(A1419="","",BASE_CAIXA!O1416)</f>
        <v/>
      </c>
      <c r="H1419" s="26" t="str">
        <f>IF(A1419="","",BASE_CAIXA!P1416)</f>
        <v/>
      </c>
      <c r="I1419" s="26" t="str">
        <f>IF(A1419="","",IF(BASE_CAIXA!H1416&lt;&gt;"",BASE_CAIXA!H1416,BASE_CAIXA!G1416))</f>
        <v/>
      </c>
      <c r="J1419" s="26" t="str">
        <f>IF(A1419="","",BASE_CAIXA!G1416)</f>
        <v/>
      </c>
      <c r="K1419" s="26" t="str">
        <f>IF(A1419="","",BASE_CAIXA!I1416)</f>
        <v/>
      </c>
      <c r="L1419" s="26" t="str">
        <f>IF(A1419="","",BASE_CAIXA!J1416)</f>
        <v/>
      </c>
      <c r="M1419" s="26" t="str">
        <f>IF(A1419="","",BASE_CAIXA!AM1416)</f>
        <v/>
      </c>
      <c r="N1419" s="26" t="str">
        <f t="shared" ca="1" si="66"/>
        <v/>
      </c>
      <c r="O1419" s="26" t="str">
        <f>IFERROR(INDEX(EXTRATO_IMPORTADO!$A$5:$A$404,MATCH(B1419,EXTRATO_IMPORTADO!$I$5:$I$404,0)),"")</f>
        <v/>
      </c>
      <c r="P1419" s="26" t="str">
        <f>IFERROR(INDEX(EXTRATO_IMPORTADO!$F$5:$F$404,MATCH(B1419,EXTRATO_IMPORTADO!$I$5:$I$404,0)),"")</f>
        <v/>
      </c>
      <c r="Q1419" s="26" t="str">
        <f>IFERROR(INDEX(EXTRATO_IMPORTADO!$B$5:$B$404,MATCH(B1419,EXTRATO_IMPORTADO!$I$5:$I$404,0)),"")</f>
        <v/>
      </c>
      <c r="R1419" s="26" t="str">
        <f>IFERROR(MATCH(B1419,EXTRATO_IMPORTADO!$I$5:$I$404,0),"")</f>
        <v/>
      </c>
      <c r="S1419" s="26" t="str">
        <f t="shared" si="67"/>
        <v/>
      </c>
      <c r="T1419" s="26" t="str">
        <f t="shared" si="68"/>
        <v/>
      </c>
    </row>
    <row r="1420" spans="1:20" x14ac:dyDescent="0.3">
      <c r="A1420" s="26" t="str">
        <f>IF(BASE_CAIXA!A1417="","",BASE_CAIXA!A1417)</f>
        <v/>
      </c>
      <c r="B1420" s="26" t="str">
        <f>IF(A1420="","",BASE_CAIXA!AL1417)</f>
        <v/>
      </c>
      <c r="C1420" s="26" t="str">
        <f>IF(A1420="","",BASE_CAIXA!AJ1417)</f>
        <v/>
      </c>
      <c r="D1420" s="26" t="str">
        <f>IF(A1420="","",IF(BASE_CAIXA!C1417="Entrada","Crédito","Débito"))</f>
        <v/>
      </c>
      <c r="E1420" s="26" t="str">
        <f>IF(A1420="","",BASE_CAIXA!AA1417)</f>
        <v/>
      </c>
      <c r="F1420" s="26" t="str">
        <f>IF(A1420="","",BASE_CAIXA!N1417)</f>
        <v/>
      </c>
      <c r="G1420" s="26" t="str">
        <f>IF(A1420="","",BASE_CAIXA!O1417)</f>
        <v/>
      </c>
      <c r="H1420" s="26" t="str">
        <f>IF(A1420="","",BASE_CAIXA!P1417)</f>
        <v/>
      </c>
      <c r="I1420" s="26" t="str">
        <f>IF(A1420="","",IF(BASE_CAIXA!H1417&lt;&gt;"",BASE_CAIXA!H1417,BASE_CAIXA!G1417))</f>
        <v/>
      </c>
      <c r="J1420" s="26" t="str">
        <f>IF(A1420="","",BASE_CAIXA!G1417)</f>
        <v/>
      </c>
      <c r="K1420" s="26" t="str">
        <f>IF(A1420="","",BASE_CAIXA!I1417)</f>
        <v/>
      </c>
      <c r="L1420" s="26" t="str">
        <f>IF(A1420="","",BASE_CAIXA!J1417)</f>
        <v/>
      </c>
      <c r="M1420" s="26" t="str">
        <f>IF(A1420="","",BASE_CAIXA!AM1417)</f>
        <v/>
      </c>
      <c r="N1420" s="26" t="str">
        <f t="shared" ca="1" si="66"/>
        <v/>
      </c>
      <c r="O1420" s="26" t="str">
        <f>IFERROR(INDEX(EXTRATO_IMPORTADO!$A$5:$A$404,MATCH(B1420,EXTRATO_IMPORTADO!$I$5:$I$404,0)),"")</f>
        <v/>
      </c>
      <c r="P1420" s="26" t="str">
        <f>IFERROR(INDEX(EXTRATO_IMPORTADO!$F$5:$F$404,MATCH(B1420,EXTRATO_IMPORTADO!$I$5:$I$404,0)),"")</f>
        <v/>
      </c>
      <c r="Q1420" s="26" t="str">
        <f>IFERROR(INDEX(EXTRATO_IMPORTADO!$B$5:$B$404,MATCH(B1420,EXTRATO_IMPORTADO!$I$5:$I$404,0)),"")</f>
        <v/>
      </c>
      <c r="R1420" s="26" t="str">
        <f>IFERROR(MATCH(B1420,EXTRATO_IMPORTADO!$I$5:$I$404,0),"")</f>
        <v/>
      </c>
      <c r="S1420" s="26" t="str">
        <f t="shared" si="67"/>
        <v/>
      </c>
      <c r="T1420" s="26" t="str">
        <f t="shared" si="68"/>
        <v/>
      </c>
    </row>
    <row r="1421" spans="1:20" x14ac:dyDescent="0.3">
      <c r="A1421" s="26" t="str">
        <f>IF(BASE_CAIXA!A1418="","",BASE_CAIXA!A1418)</f>
        <v/>
      </c>
      <c r="B1421" s="26" t="str">
        <f>IF(A1421="","",BASE_CAIXA!AL1418)</f>
        <v/>
      </c>
      <c r="C1421" s="26" t="str">
        <f>IF(A1421="","",BASE_CAIXA!AJ1418)</f>
        <v/>
      </c>
      <c r="D1421" s="26" t="str">
        <f>IF(A1421="","",IF(BASE_CAIXA!C1418="Entrada","Crédito","Débito"))</f>
        <v/>
      </c>
      <c r="E1421" s="26" t="str">
        <f>IF(A1421="","",BASE_CAIXA!AA1418)</f>
        <v/>
      </c>
      <c r="F1421" s="26" t="str">
        <f>IF(A1421="","",BASE_CAIXA!N1418)</f>
        <v/>
      </c>
      <c r="G1421" s="26" t="str">
        <f>IF(A1421="","",BASE_CAIXA!O1418)</f>
        <v/>
      </c>
      <c r="H1421" s="26" t="str">
        <f>IF(A1421="","",BASE_CAIXA!P1418)</f>
        <v/>
      </c>
      <c r="I1421" s="26" t="str">
        <f>IF(A1421="","",IF(BASE_CAIXA!H1418&lt;&gt;"",BASE_CAIXA!H1418,BASE_CAIXA!G1418))</f>
        <v/>
      </c>
      <c r="J1421" s="26" t="str">
        <f>IF(A1421="","",BASE_CAIXA!G1418)</f>
        <v/>
      </c>
      <c r="K1421" s="26" t="str">
        <f>IF(A1421="","",BASE_CAIXA!I1418)</f>
        <v/>
      </c>
      <c r="L1421" s="26" t="str">
        <f>IF(A1421="","",BASE_CAIXA!J1418)</f>
        <v/>
      </c>
      <c r="M1421" s="26" t="str">
        <f>IF(A1421="","",BASE_CAIXA!AM1418)</f>
        <v/>
      </c>
      <c r="N1421" s="26" t="str">
        <f t="shared" ca="1" si="66"/>
        <v/>
      </c>
      <c r="O1421" s="26" t="str">
        <f>IFERROR(INDEX(EXTRATO_IMPORTADO!$A$5:$A$404,MATCH(B1421,EXTRATO_IMPORTADO!$I$5:$I$404,0)),"")</f>
        <v/>
      </c>
      <c r="P1421" s="26" t="str">
        <f>IFERROR(INDEX(EXTRATO_IMPORTADO!$F$5:$F$404,MATCH(B1421,EXTRATO_IMPORTADO!$I$5:$I$404,0)),"")</f>
        <v/>
      </c>
      <c r="Q1421" s="26" t="str">
        <f>IFERROR(INDEX(EXTRATO_IMPORTADO!$B$5:$B$404,MATCH(B1421,EXTRATO_IMPORTADO!$I$5:$I$404,0)),"")</f>
        <v/>
      </c>
      <c r="R1421" s="26" t="str">
        <f>IFERROR(MATCH(B1421,EXTRATO_IMPORTADO!$I$5:$I$404,0),"")</f>
        <v/>
      </c>
      <c r="S1421" s="26" t="str">
        <f t="shared" si="67"/>
        <v/>
      </c>
      <c r="T1421" s="26" t="str">
        <f t="shared" si="68"/>
        <v/>
      </c>
    </row>
    <row r="1422" spans="1:20" x14ac:dyDescent="0.3">
      <c r="A1422" s="26" t="str">
        <f>IF(BASE_CAIXA!A1419="","",BASE_CAIXA!A1419)</f>
        <v/>
      </c>
      <c r="B1422" s="26" t="str">
        <f>IF(A1422="","",BASE_CAIXA!AL1419)</f>
        <v/>
      </c>
      <c r="C1422" s="26" t="str">
        <f>IF(A1422="","",BASE_CAIXA!AJ1419)</f>
        <v/>
      </c>
      <c r="D1422" s="26" t="str">
        <f>IF(A1422="","",IF(BASE_CAIXA!C1419="Entrada","Crédito","Débito"))</f>
        <v/>
      </c>
      <c r="E1422" s="26" t="str">
        <f>IF(A1422="","",BASE_CAIXA!AA1419)</f>
        <v/>
      </c>
      <c r="F1422" s="26" t="str">
        <f>IF(A1422="","",BASE_CAIXA!N1419)</f>
        <v/>
      </c>
      <c r="G1422" s="26" t="str">
        <f>IF(A1422="","",BASE_CAIXA!O1419)</f>
        <v/>
      </c>
      <c r="H1422" s="26" t="str">
        <f>IF(A1422="","",BASE_CAIXA!P1419)</f>
        <v/>
      </c>
      <c r="I1422" s="26" t="str">
        <f>IF(A1422="","",IF(BASE_CAIXA!H1419&lt;&gt;"",BASE_CAIXA!H1419,BASE_CAIXA!G1419))</f>
        <v/>
      </c>
      <c r="J1422" s="26" t="str">
        <f>IF(A1422="","",BASE_CAIXA!G1419)</f>
        <v/>
      </c>
      <c r="K1422" s="26" t="str">
        <f>IF(A1422="","",BASE_CAIXA!I1419)</f>
        <v/>
      </c>
      <c r="L1422" s="26" t="str">
        <f>IF(A1422="","",BASE_CAIXA!J1419)</f>
        <v/>
      </c>
      <c r="M1422" s="26" t="str">
        <f>IF(A1422="","",BASE_CAIXA!AM1419)</f>
        <v/>
      </c>
      <c r="N1422" s="26" t="str">
        <f t="shared" ca="1" si="66"/>
        <v/>
      </c>
      <c r="O1422" s="26" t="str">
        <f>IFERROR(INDEX(EXTRATO_IMPORTADO!$A$5:$A$404,MATCH(B1422,EXTRATO_IMPORTADO!$I$5:$I$404,0)),"")</f>
        <v/>
      </c>
      <c r="P1422" s="26" t="str">
        <f>IFERROR(INDEX(EXTRATO_IMPORTADO!$F$5:$F$404,MATCH(B1422,EXTRATO_IMPORTADO!$I$5:$I$404,0)),"")</f>
        <v/>
      </c>
      <c r="Q1422" s="26" t="str">
        <f>IFERROR(INDEX(EXTRATO_IMPORTADO!$B$5:$B$404,MATCH(B1422,EXTRATO_IMPORTADO!$I$5:$I$404,0)),"")</f>
        <v/>
      </c>
      <c r="R1422" s="26" t="str">
        <f>IFERROR(MATCH(B1422,EXTRATO_IMPORTADO!$I$5:$I$404,0),"")</f>
        <v/>
      </c>
      <c r="S1422" s="26" t="str">
        <f t="shared" si="67"/>
        <v/>
      </c>
      <c r="T1422" s="26" t="str">
        <f t="shared" si="68"/>
        <v/>
      </c>
    </row>
    <row r="1423" spans="1:20" x14ac:dyDescent="0.3">
      <c r="A1423" s="26" t="str">
        <f>IF(BASE_CAIXA!A1420="","",BASE_CAIXA!A1420)</f>
        <v/>
      </c>
      <c r="B1423" s="26" t="str">
        <f>IF(A1423="","",BASE_CAIXA!AL1420)</f>
        <v/>
      </c>
      <c r="C1423" s="26" t="str">
        <f>IF(A1423="","",BASE_CAIXA!AJ1420)</f>
        <v/>
      </c>
      <c r="D1423" s="26" t="str">
        <f>IF(A1423="","",IF(BASE_CAIXA!C1420="Entrada","Crédito","Débito"))</f>
        <v/>
      </c>
      <c r="E1423" s="26" t="str">
        <f>IF(A1423="","",BASE_CAIXA!AA1420)</f>
        <v/>
      </c>
      <c r="F1423" s="26" t="str">
        <f>IF(A1423="","",BASE_CAIXA!N1420)</f>
        <v/>
      </c>
      <c r="G1423" s="26" t="str">
        <f>IF(A1423="","",BASE_CAIXA!O1420)</f>
        <v/>
      </c>
      <c r="H1423" s="26" t="str">
        <f>IF(A1423="","",BASE_CAIXA!P1420)</f>
        <v/>
      </c>
      <c r="I1423" s="26" t="str">
        <f>IF(A1423="","",IF(BASE_CAIXA!H1420&lt;&gt;"",BASE_CAIXA!H1420,BASE_CAIXA!G1420))</f>
        <v/>
      </c>
      <c r="J1423" s="26" t="str">
        <f>IF(A1423="","",BASE_CAIXA!G1420)</f>
        <v/>
      </c>
      <c r="K1423" s="26" t="str">
        <f>IF(A1423="","",BASE_CAIXA!I1420)</f>
        <v/>
      </c>
      <c r="L1423" s="26" t="str">
        <f>IF(A1423="","",BASE_CAIXA!J1420)</f>
        <v/>
      </c>
      <c r="M1423" s="26" t="str">
        <f>IF(A1423="","",BASE_CAIXA!AM1420)</f>
        <v/>
      </c>
      <c r="N1423" s="26" t="str">
        <f t="shared" ca="1" si="66"/>
        <v/>
      </c>
      <c r="O1423" s="26" t="str">
        <f>IFERROR(INDEX(EXTRATO_IMPORTADO!$A$5:$A$404,MATCH(B1423,EXTRATO_IMPORTADO!$I$5:$I$404,0)),"")</f>
        <v/>
      </c>
      <c r="P1423" s="26" t="str">
        <f>IFERROR(INDEX(EXTRATO_IMPORTADO!$F$5:$F$404,MATCH(B1423,EXTRATO_IMPORTADO!$I$5:$I$404,0)),"")</f>
        <v/>
      </c>
      <c r="Q1423" s="26" t="str">
        <f>IFERROR(INDEX(EXTRATO_IMPORTADO!$B$5:$B$404,MATCH(B1423,EXTRATO_IMPORTADO!$I$5:$I$404,0)),"")</f>
        <v/>
      </c>
      <c r="R1423" s="26" t="str">
        <f>IFERROR(MATCH(B1423,EXTRATO_IMPORTADO!$I$5:$I$404,0),"")</f>
        <v/>
      </c>
      <c r="S1423" s="26" t="str">
        <f t="shared" si="67"/>
        <v/>
      </c>
      <c r="T1423" s="26" t="str">
        <f t="shared" si="68"/>
        <v/>
      </c>
    </row>
    <row r="1424" spans="1:20" x14ac:dyDescent="0.3">
      <c r="A1424" s="26" t="str">
        <f>IF(BASE_CAIXA!A1421="","",BASE_CAIXA!A1421)</f>
        <v/>
      </c>
      <c r="B1424" s="26" t="str">
        <f>IF(A1424="","",BASE_CAIXA!AL1421)</f>
        <v/>
      </c>
      <c r="C1424" s="26" t="str">
        <f>IF(A1424="","",BASE_CAIXA!AJ1421)</f>
        <v/>
      </c>
      <c r="D1424" s="26" t="str">
        <f>IF(A1424="","",IF(BASE_CAIXA!C1421="Entrada","Crédito","Débito"))</f>
        <v/>
      </c>
      <c r="E1424" s="26" t="str">
        <f>IF(A1424="","",BASE_CAIXA!AA1421)</f>
        <v/>
      </c>
      <c r="F1424" s="26" t="str">
        <f>IF(A1424="","",BASE_CAIXA!N1421)</f>
        <v/>
      </c>
      <c r="G1424" s="26" t="str">
        <f>IF(A1424="","",BASE_CAIXA!O1421)</f>
        <v/>
      </c>
      <c r="H1424" s="26" t="str">
        <f>IF(A1424="","",BASE_CAIXA!P1421)</f>
        <v/>
      </c>
      <c r="I1424" s="26" t="str">
        <f>IF(A1424="","",IF(BASE_CAIXA!H1421&lt;&gt;"",BASE_CAIXA!H1421,BASE_CAIXA!G1421))</f>
        <v/>
      </c>
      <c r="J1424" s="26" t="str">
        <f>IF(A1424="","",BASE_CAIXA!G1421)</f>
        <v/>
      </c>
      <c r="K1424" s="26" t="str">
        <f>IF(A1424="","",BASE_CAIXA!I1421)</f>
        <v/>
      </c>
      <c r="L1424" s="26" t="str">
        <f>IF(A1424="","",BASE_CAIXA!J1421)</f>
        <v/>
      </c>
      <c r="M1424" s="26" t="str">
        <f>IF(A1424="","",BASE_CAIXA!AM1421)</f>
        <v/>
      </c>
      <c r="N1424" s="26" t="str">
        <f t="shared" ca="1" si="66"/>
        <v/>
      </c>
      <c r="O1424" s="26" t="str">
        <f>IFERROR(INDEX(EXTRATO_IMPORTADO!$A$5:$A$404,MATCH(B1424,EXTRATO_IMPORTADO!$I$5:$I$404,0)),"")</f>
        <v/>
      </c>
      <c r="P1424" s="26" t="str">
        <f>IFERROR(INDEX(EXTRATO_IMPORTADO!$F$5:$F$404,MATCH(B1424,EXTRATO_IMPORTADO!$I$5:$I$404,0)),"")</f>
        <v/>
      </c>
      <c r="Q1424" s="26" t="str">
        <f>IFERROR(INDEX(EXTRATO_IMPORTADO!$B$5:$B$404,MATCH(B1424,EXTRATO_IMPORTADO!$I$5:$I$404,0)),"")</f>
        <v/>
      </c>
      <c r="R1424" s="26" t="str">
        <f>IFERROR(MATCH(B1424,EXTRATO_IMPORTADO!$I$5:$I$404,0),"")</f>
        <v/>
      </c>
      <c r="S1424" s="26" t="str">
        <f t="shared" si="67"/>
        <v/>
      </c>
      <c r="T1424" s="26" t="str">
        <f t="shared" si="68"/>
        <v/>
      </c>
    </row>
    <row r="1425" spans="1:20" x14ac:dyDescent="0.3">
      <c r="A1425" s="26" t="str">
        <f>IF(BASE_CAIXA!A1422="","",BASE_CAIXA!A1422)</f>
        <v/>
      </c>
      <c r="B1425" s="26" t="str">
        <f>IF(A1425="","",BASE_CAIXA!AL1422)</f>
        <v/>
      </c>
      <c r="C1425" s="26" t="str">
        <f>IF(A1425="","",BASE_CAIXA!AJ1422)</f>
        <v/>
      </c>
      <c r="D1425" s="26" t="str">
        <f>IF(A1425="","",IF(BASE_CAIXA!C1422="Entrada","Crédito","Débito"))</f>
        <v/>
      </c>
      <c r="E1425" s="26" t="str">
        <f>IF(A1425="","",BASE_CAIXA!AA1422)</f>
        <v/>
      </c>
      <c r="F1425" s="26" t="str">
        <f>IF(A1425="","",BASE_CAIXA!N1422)</f>
        <v/>
      </c>
      <c r="G1425" s="26" t="str">
        <f>IF(A1425="","",BASE_CAIXA!O1422)</f>
        <v/>
      </c>
      <c r="H1425" s="26" t="str">
        <f>IF(A1425="","",BASE_CAIXA!P1422)</f>
        <v/>
      </c>
      <c r="I1425" s="26" t="str">
        <f>IF(A1425="","",IF(BASE_CAIXA!H1422&lt;&gt;"",BASE_CAIXA!H1422,BASE_CAIXA!G1422))</f>
        <v/>
      </c>
      <c r="J1425" s="26" t="str">
        <f>IF(A1425="","",BASE_CAIXA!G1422)</f>
        <v/>
      </c>
      <c r="K1425" s="26" t="str">
        <f>IF(A1425="","",BASE_CAIXA!I1422)</f>
        <v/>
      </c>
      <c r="L1425" s="26" t="str">
        <f>IF(A1425="","",BASE_CAIXA!J1422)</f>
        <v/>
      </c>
      <c r="M1425" s="26" t="str">
        <f>IF(A1425="","",BASE_CAIXA!AM1422)</f>
        <v/>
      </c>
      <c r="N1425" s="26" t="str">
        <f t="shared" ca="1" si="66"/>
        <v/>
      </c>
      <c r="O1425" s="26" t="str">
        <f>IFERROR(INDEX(EXTRATO_IMPORTADO!$A$5:$A$404,MATCH(B1425,EXTRATO_IMPORTADO!$I$5:$I$404,0)),"")</f>
        <v/>
      </c>
      <c r="P1425" s="26" t="str">
        <f>IFERROR(INDEX(EXTRATO_IMPORTADO!$F$5:$F$404,MATCH(B1425,EXTRATO_IMPORTADO!$I$5:$I$404,0)),"")</f>
        <v/>
      </c>
      <c r="Q1425" s="26" t="str">
        <f>IFERROR(INDEX(EXTRATO_IMPORTADO!$B$5:$B$404,MATCH(B1425,EXTRATO_IMPORTADO!$I$5:$I$404,0)),"")</f>
        <v/>
      </c>
      <c r="R1425" s="26" t="str">
        <f>IFERROR(MATCH(B1425,EXTRATO_IMPORTADO!$I$5:$I$404,0),"")</f>
        <v/>
      </c>
      <c r="S1425" s="26" t="str">
        <f t="shared" si="67"/>
        <v/>
      </c>
      <c r="T1425" s="26" t="str">
        <f t="shared" si="68"/>
        <v/>
      </c>
    </row>
    <row r="1426" spans="1:20" x14ac:dyDescent="0.3">
      <c r="A1426" s="26" t="str">
        <f>IF(BASE_CAIXA!A1423="","",BASE_CAIXA!A1423)</f>
        <v/>
      </c>
      <c r="B1426" s="26" t="str">
        <f>IF(A1426="","",BASE_CAIXA!AL1423)</f>
        <v/>
      </c>
      <c r="C1426" s="26" t="str">
        <f>IF(A1426="","",BASE_CAIXA!AJ1423)</f>
        <v/>
      </c>
      <c r="D1426" s="26" t="str">
        <f>IF(A1426="","",IF(BASE_CAIXA!C1423="Entrada","Crédito","Débito"))</f>
        <v/>
      </c>
      <c r="E1426" s="26" t="str">
        <f>IF(A1426="","",BASE_CAIXA!AA1423)</f>
        <v/>
      </c>
      <c r="F1426" s="26" t="str">
        <f>IF(A1426="","",BASE_CAIXA!N1423)</f>
        <v/>
      </c>
      <c r="G1426" s="26" t="str">
        <f>IF(A1426="","",BASE_CAIXA!O1423)</f>
        <v/>
      </c>
      <c r="H1426" s="26" t="str">
        <f>IF(A1426="","",BASE_CAIXA!P1423)</f>
        <v/>
      </c>
      <c r="I1426" s="26" t="str">
        <f>IF(A1426="","",IF(BASE_CAIXA!H1423&lt;&gt;"",BASE_CAIXA!H1423,BASE_CAIXA!G1423))</f>
        <v/>
      </c>
      <c r="J1426" s="26" t="str">
        <f>IF(A1426="","",BASE_CAIXA!G1423)</f>
        <v/>
      </c>
      <c r="K1426" s="26" t="str">
        <f>IF(A1426="","",BASE_CAIXA!I1423)</f>
        <v/>
      </c>
      <c r="L1426" s="26" t="str">
        <f>IF(A1426="","",BASE_CAIXA!J1423)</f>
        <v/>
      </c>
      <c r="M1426" s="26" t="str">
        <f>IF(A1426="","",BASE_CAIXA!AM1423)</f>
        <v/>
      </c>
      <c r="N1426" s="26" t="str">
        <f t="shared" ca="1" si="66"/>
        <v/>
      </c>
      <c r="O1426" s="26" t="str">
        <f>IFERROR(INDEX(EXTRATO_IMPORTADO!$A$5:$A$404,MATCH(B1426,EXTRATO_IMPORTADO!$I$5:$I$404,0)),"")</f>
        <v/>
      </c>
      <c r="P1426" s="26" t="str">
        <f>IFERROR(INDEX(EXTRATO_IMPORTADO!$F$5:$F$404,MATCH(B1426,EXTRATO_IMPORTADO!$I$5:$I$404,0)),"")</f>
        <v/>
      </c>
      <c r="Q1426" s="26" t="str">
        <f>IFERROR(INDEX(EXTRATO_IMPORTADO!$B$5:$B$404,MATCH(B1426,EXTRATO_IMPORTADO!$I$5:$I$404,0)),"")</f>
        <v/>
      </c>
      <c r="R1426" s="26" t="str">
        <f>IFERROR(MATCH(B1426,EXTRATO_IMPORTADO!$I$5:$I$404,0),"")</f>
        <v/>
      </c>
      <c r="S1426" s="26" t="str">
        <f t="shared" si="67"/>
        <v/>
      </c>
      <c r="T1426" s="26" t="str">
        <f t="shared" si="68"/>
        <v/>
      </c>
    </row>
    <row r="1427" spans="1:20" x14ac:dyDescent="0.3">
      <c r="A1427" s="26" t="str">
        <f>IF(BASE_CAIXA!A1424="","",BASE_CAIXA!A1424)</f>
        <v/>
      </c>
      <c r="B1427" s="26" t="str">
        <f>IF(A1427="","",BASE_CAIXA!AL1424)</f>
        <v/>
      </c>
      <c r="C1427" s="26" t="str">
        <f>IF(A1427="","",BASE_CAIXA!AJ1424)</f>
        <v/>
      </c>
      <c r="D1427" s="26" t="str">
        <f>IF(A1427="","",IF(BASE_CAIXA!C1424="Entrada","Crédito","Débito"))</f>
        <v/>
      </c>
      <c r="E1427" s="26" t="str">
        <f>IF(A1427="","",BASE_CAIXA!AA1424)</f>
        <v/>
      </c>
      <c r="F1427" s="26" t="str">
        <f>IF(A1427="","",BASE_CAIXA!N1424)</f>
        <v/>
      </c>
      <c r="G1427" s="26" t="str">
        <f>IF(A1427="","",BASE_CAIXA!O1424)</f>
        <v/>
      </c>
      <c r="H1427" s="26" t="str">
        <f>IF(A1427="","",BASE_CAIXA!P1424)</f>
        <v/>
      </c>
      <c r="I1427" s="26" t="str">
        <f>IF(A1427="","",IF(BASE_CAIXA!H1424&lt;&gt;"",BASE_CAIXA!H1424,BASE_CAIXA!G1424))</f>
        <v/>
      </c>
      <c r="J1427" s="26" t="str">
        <f>IF(A1427="","",BASE_CAIXA!G1424)</f>
        <v/>
      </c>
      <c r="K1427" s="26" t="str">
        <f>IF(A1427="","",BASE_CAIXA!I1424)</f>
        <v/>
      </c>
      <c r="L1427" s="26" t="str">
        <f>IF(A1427="","",BASE_CAIXA!J1424)</f>
        <v/>
      </c>
      <c r="M1427" s="26" t="str">
        <f>IF(A1427="","",BASE_CAIXA!AM1424)</f>
        <v/>
      </c>
      <c r="N1427" s="26" t="str">
        <f t="shared" ca="1" si="66"/>
        <v/>
      </c>
      <c r="O1427" s="26" t="str">
        <f>IFERROR(INDEX(EXTRATO_IMPORTADO!$A$5:$A$404,MATCH(B1427,EXTRATO_IMPORTADO!$I$5:$I$404,0)),"")</f>
        <v/>
      </c>
      <c r="P1427" s="26" t="str">
        <f>IFERROR(INDEX(EXTRATO_IMPORTADO!$F$5:$F$404,MATCH(B1427,EXTRATO_IMPORTADO!$I$5:$I$404,0)),"")</f>
        <v/>
      </c>
      <c r="Q1427" s="26" t="str">
        <f>IFERROR(INDEX(EXTRATO_IMPORTADO!$B$5:$B$404,MATCH(B1427,EXTRATO_IMPORTADO!$I$5:$I$404,0)),"")</f>
        <v/>
      </c>
      <c r="R1427" s="26" t="str">
        <f>IFERROR(MATCH(B1427,EXTRATO_IMPORTADO!$I$5:$I$404,0),"")</f>
        <v/>
      </c>
      <c r="S1427" s="26" t="str">
        <f t="shared" si="67"/>
        <v/>
      </c>
      <c r="T1427" s="26" t="str">
        <f t="shared" si="68"/>
        <v/>
      </c>
    </row>
    <row r="1428" spans="1:20" x14ac:dyDescent="0.3">
      <c r="A1428" s="26" t="str">
        <f>IF(BASE_CAIXA!A1425="","",BASE_CAIXA!A1425)</f>
        <v/>
      </c>
      <c r="B1428" s="26" t="str">
        <f>IF(A1428="","",BASE_CAIXA!AL1425)</f>
        <v/>
      </c>
      <c r="C1428" s="26" t="str">
        <f>IF(A1428="","",BASE_CAIXA!AJ1425)</f>
        <v/>
      </c>
      <c r="D1428" s="26" t="str">
        <f>IF(A1428="","",IF(BASE_CAIXA!C1425="Entrada","Crédito","Débito"))</f>
        <v/>
      </c>
      <c r="E1428" s="26" t="str">
        <f>IF(A1428="","",BASE_CAIXA!AA1425)</f>
        <v/>
      </c>
      <c r="F1428" s="26" t="str">
        <f>IF(A1428="","",BASE_CAIXA!N1425)</f>
        <v/>
      </c>
      <c r="G1428" s="26" t="str">
        <f>IF(A1428="","",BASE_CAIXA!O1425)</f>
        <v/>
      </c>
      <c r="H1428" s="26" t="str">
        <f>IF(A1428="","",BASE_CAIXA!P1425)</f>
        <v/>
      </c>
      <c r="I1428" s="26" t="str">
        <f>IF(A1428="","",IF(BASE_CAIXA!H1425&lt;&gt;"",BASE_CAIXA!H1425,BASE_CAIXA!G1425))</f>
        <v/>
      </c>
      <c r="J1428" s="26" t="str">
        <f>IF(A1428="","",BASE_CAIXA!G1425)</f>
        <v/>
      </c>
      <c r="K1428" s="26" t="str">
        <f>IF(A1428="","",BASE_CAIXA!I1425)</f>
        <v/>
      </c>
      <c r="L1428" s="26" t="str">
        <f>IF(A1428="","",BASE_CAIXA!J1425)</f>
        <v/>
      </c>
      <c r="M1428" s="26" t="str">
        <f>IF(A1428="","",BASE_CAIXA!AM1425)</f>
        <v/>
      </c>
      <c r="N1428" s="26" t="str">
        <f t="shared" ca="1" si="66"/>
        <v/>
      </c>
      <c r="O1428" s="26" t="str">
        <f>IFERROR(INDEX(EXTRATO_IMPORTADO!$A$5:$A$404,MATCH(B1428,EXTRATO_IMPORTADO!$I$5:$I$404,0)),"")</f>
        <v/>
      </c>
      <c r="P1428" s="26" t="str">
        <f>IFERROR(INDEX(EXTRATO_IMPORTADO!$F$5:$F$404,MATCH(B1428,EXTRATO_IMPORTADO!$I$5:$I$404,0)),"")</f>
        <v/>
      </c>
      <c r="Q1428" s="26" t="str">
        <f>IFERROR(INDEX(EXTRATO_IMPORTADO!$B$5:$B$404,MATCH(B1428,EXTRATO_IMPORTADO!$I$5:$I$404,0)),"")</f>
        <v/>
      </c>
      <c r="R1428" s="26" t="str">
        <f>IFERROR(MATCH(B1428,EXTRATO_IMPORTADO!$I$5:$I$404,0),"")</f>
        <v/>
      </c>
      <c r="S1428" s="26" t="str">
        <f t="shared" si="67"/>
        <v/>
      </c>
      <c r="T1428" s="26" t="str">
        <f t="shared" si="68"/>
        <v/>
      </c>
    </row>
    <row r="1429" spans="1:20" x14ac:dyDescent="0.3">
      <c r="A1429" s="26" t="str">
        <f>IF(BASE_CAIXA!A1426="","",BASE_CAIXA!A1426)</f>
        <v/>
      </c>
      <c r="B1429" s="26" t="str">
        <f>IF(A1429="","",BASE_CAIXA!AL1426)</f>
        <v/>
      </c>
      <c r="C1429" s="26" t="str">
        <f>IF(A1429="","",BASE_CAIXA!AJ1426)</f>
        <v/>
      </c>
      <c r="D1429" s="26" t="str">
        <f>IF(A1429="","",IF(BASE_CAIXA!C1426="Entrada","Crédito","Débito"))</f>
        <v/>
      </c>
      <c r="E1429" s="26" t="str">
        <f>IF(A1429="","",BASE_CAIXA!AA1426)</f>
        <v/>
      </c>
      <c r="F1429" s="26" t="str">
        <f>IF(A1429="","",BASE_CAIXA!N1426)</f>
        <v/>
      </c>
      <c r="G1429" s="26" t="str">
        <f>IF(A1429="","",BASE_CAIXA!O1426)</f>
        <v/>
      </c>
      <c r="H1429" s="26" t="str">
        <f>IF(A1429="","",BASE_CAIXA!P1426)</f>
        <v/>
      </c>
      <c r="I1429" s="26" t="str">
        <f>IF(A1429="","",IF(BASE_CAIXA!H1426&lt;&gt;"",BASE_CAIXA!H1426,BASE_CAIXA!G1426))</f>
        <v/>
      </c>
      <c r="J1429" s="26" t="str">
        <f>IF(A1429="","",BASE_CAIXA!G1426)</f>
        <v/>
      </c>
      <c r="K1429" s="26" t="str">
        <f>IF(A1429="","",BASE_CAIXA!I1426)</f>
        <v/>
      </c>
      <c r="L1429" s="26" t="str">
        <f>IF(A1429="","",BASE_CAIXA!J1426)</f>
        <v/>
      </c>
      <c r="M1429" s="26" t="str">
        <f>IF(A1429="","",BASE_CAIXA!AM1426)</f>
        <v/>
      </c>
      <c r="N1429" s="26" t="str">
        <f t="shared" ca="1" si="66"/>
        <v/>
      </c>
      <c r="O1429" s="26" t="str">
        <f>IFERROR(INDEX(EXTRATO_IMPORTADO!$A$5:$A$404,MATCH(B1429,EXTRATO_IMPORTADO!$I$5:$I$404,0)),"")</f>
        <v/>
      </c>
      <c r="P1429" s="26" t="str">
        <f>IFERROR(INDEX(EXTRATO_IMPORTADO!$F$5:$F$404,MATCH(B1429,EXTRATO_IMPORTADO!$I$5:$I$404,0)),"")</f>
        <v/>
      </c>
      <c r="Q1429" s="26" t="str">
        <f>IFERROR(INDEX(EXTRATO_IMPORTADO!$B$5:$B$404,MATCH(B1429,EXTRATO_IMPORTADO!$I$5:$I$404,0)),"")</f>
        <v/>
      </c>
      <c r="R1429" s="26" t="str">
        <f>IFERROR(MATCH(B1429,EXTRATO_IMPORTADO!$I$5:$I$404,0),"")</f>
        <v/>
      </c>
      <c r="S1429" s="26" t="str">
        <f t="shared" si="67"/>
        <v/>
      </c>
      <c r="T1429" s="26" t="str">
        <f t="shared" si="68"/>
        <v/>
      </c>
    </row>
    <row r="1430" spans="1:20" x14ac:dyDescent="0.3">
      <c r="A1430" s="26" t="str">
        <f>IF(BASE_CAIXA!A1427="","",BASE_CAIXA!A1427)</f>
        <v/>
      </c>
      <c r="B1430" s="26" t="str">
        <f>IF(A1430="","",BASE_CAIXA!AL1427)</f>
        <v/>
      </c>
      <c r="C1430" s="26" t="str">
        <f>IF(A1430="","",BASE_CAIXA!AJ1427)</f>
        <v/>
      </c>
      <c r="D1430" s="26" t="str">
        <f>IF(A1430="","",IF(BASE_CAIXA!C1427="Entrada","Crédito","Débito"))</f>
        <v/>
      </c>
      <c r="E1430" s="26" t="str">
        <f>IF(A1430="","",BASE_CAIXA!AA1427)</f>
        <v/>
      </c>
      <c r="F1430" s="26" t="str">
        <f>IF(A1430="","",BASE_CAIXA!N1427)</f>
        <v/>
      </c>
      <c r="G1430" s="26" t="str">
        <f>IF(A1430="","",BASE_CAIXA!O1427)</f>
        <v/>
      </c>
      <c r="H1430" s="26" t="str">
        <f>IF(A1430="","",BASE_CAIXA!P1427)</f>
        <v/>
      </c>
      <c r="I1430" s="26" t="str">
        <f>IF(A1430="","",IF(BASE_CAIXA!H1427&lt;&gt;"",BASE_CAIXA!H1427,BASE_CAIXA!G1427))</f>
        <v/>
      </c>
      <c r="J1430" s="26" t="str">
        <f>IF(A1430="","",BASE_CAIXA!G1427)</f>
        <v/>
      </c>
      <c r="K1430" s="26" t="str">
        <f>IF(A1430="","",BASE_CAIXA!I1427)</f>
        <v/>
      </c>
      <c r="L1430" s="26" t="str">
        <f>IF(A1430="","",BASE_CAIXA!J1427)</f>
        <v/>
      </c>
      <c r="M1430" s="26" t="str">
        <f>IF(A1430="","",BASE_CAIXA!AM1427)</f>
        <v/>
      </c>
      <c r="N1430" s="26" t="str">
        <f t="shared" ca="1" si="66"/>
        <v/>
      </c>
      <c r="O1430" s="26" t="str">
        <f>IFERROR(INDEX(EXTRATO_IMPORTADO!$A$5:$A$404,MATCH(B1430,EXTRATO_IMPORTADO!$I$5:$I$404,0)),"")</f>
        <v/>
      </c>
      <c r="P1430" s="26" t="str">
        <f>IFERROR(INDEX(EXTRATO_IMPORTADO!$F$5:$F$404,MATCH(B1430,EXTRATO_IMPORTADO!$I$5:$I$404,0)),"")</f>
        <v/>
      </c>
      <c r="Q1430" s="26" t="str">
        <f>IFERROR(INDEX(EXTRATO_IMPORTADO!$B$5:$B$404,MATCH(B1430,EXTRATO_IMPORTADO!$I$5:$I$404,0)),"")</f>
        <v/>
      </c>
      <c r="R1430" s="26" t="str">
        <f>IFERROR(MATCH(B1430,EXTRATO_IMPORTADO!$I$5:$I$404,0),"")</f>
        <v/>
      </c>
      <c r="S1430" s="26" t="str">
        <f t="shared" si="67"/>
        <v/>
      </c>
      <c r="T1430" s="26" t="str">
        <f t="shared" si="68"/>
        <v/>
      </c>
    </row>
    <row r="1431" spans="1:20" x14ac:dyDescent="0.3">
      <c r="A1431" s="26" t="str">
        <f>IF(BASE_CAIXA!A1428="","",BASE_CAIXA!A1428)</f>
        <v/>
      </c>
      <c r="B1431" s="26" t="str">
        <f>IF(A1431="","",BASE_CAIXA!AL1428)</f>
        <v/>
      </c>
      <c r="C1431" s="26" t="str">
        <f>IF(A1431="","",BASE_CAIXA!AJ1428)</f>
        <v/>
      </c>
      <c r="D1431" s="26" t="str">
        <f>IF(A1431="","",IF(BASE_CAIXA!C1428="Entrada","Crédito","Débito"))</f>
        <v/>
      </c>
      <c r="E1431" s="26" t="str">
        <f>IF(A1431="","",BASE_CAIXA!AA1428)</f>
        <v/>
      </c>
      <c r="F1431" s="26" t="str">
        <f>IF(A1431="","",BASE_CAIXA!N1428)</f>
        <v/>
      </c>
      <c r="G1431" s="26" t="str">
        <f>IF(A1431="","",BASE_CAIXA!O1428)</f>
        <v/>
      </c>
      <c r="H1431" s="26" t="str">
        <f>IF(A1431="","",BASE_CAIXA!P1428)</f>
        <v/>
      </c>
      <c r="I1431" s="26" t="str">
        <f>IF(A1431="","",IF(BASE_CAIXA!H1428&lt;&gt;"",BASE_CAIXA!H1428,BASE_CAIXA!G1428))</f>
        <v/>
      </c>
      <c r="J1431" s="26" t="str">
        <f>IF(A1431="","",BASE_CAIXA!G1428)</f>
        <v/>
      </c>
      <c r="K1431" s="26" t="str">
        <f>IF(A1431="","",BASE_CAIXA!I1428)</f>
        <v/>
      </c>
      <c r="L1431" s="26" t="str">
        <f>IF(A1431="","",BASE_CAIXA!J1428)</f>
        <v/>
      </c>
      <c r="M1431" s="26" t="str">
        <f>IF(A1431="","",BASE_CAIXA!AM1428)</f>
        <v/>
      </c>
      <c r="N1431" s="26" t="str">
        <f t="shared" ca="1" si="66"/>
        <v/>
      </c>
      <c r="O1431" s="26" t="str">
        <f>IFERROR(INDEX(EXTRATO_IMPORTADO!$A$5:$A$404,MATCH(B1431,EXTRATO_IMPORTADO!$I$5:$I$404,0)),"")</f>
        <v/>
      </c>
      <c r="P1431" s="26" t="str">
        <f>IFERROR(INDEX(EXTRATO_IMPORTADO!$F$5:$F$404,MATCH(B1431,EXTRATO_IMPORTADO!$I$5:$I$404,0)),"")</f>
        <v/>
      </c>
      <c r="Q1431" s="26" t="str">
        <f>IFERROR(INDEX(EXTRATO_IMPORTADO!$B$5:$B$404,MATCH(B1431,EXTRATO_IMPORTADO!$I$5:$I$404,0)),"")</f>
        <v/>
      </c>
      <c r="R1431" s="26" t="str">
        <f>IFERROR(MATCH(B1431,EXTRATO_IMPORTADO!$I$5:$I$404,0),"")</f>
        <v/>
      </c>
      <c r="S1431" s="26" t="str">
        <f t="shared" si="67"/>
        <v/>
      </c>
      <c r="T1431" s="26" t="str">
        <f t="shared" si="68"/>
        <v/>
      </c>
    </row>
    <row r="1432" spans="1:20" x14ac:dyDescent="0.3">
      <c r="A1432" s="26" t="str">
        <f>IF(BASE_CAIXA!A1429="","",BASE_CAIXA!A1429)</f>
        <v/>
      </c>
      <c r="B1432" s="26" t="str">
        <f>IF(A1432="","",BASE_CAIXA!AL1429)</f>
        <v/>
      </c>
      <c r="C1432" s="26" t="str">
        <f>IF(A1432="","",BASE_CAIXA!AJ1429)</f>
        <v/>
      </c>
      <c r="D1432" s="26" t="str">
        <f>IF(A1432="","",IF(BASE_CAIXA!C1429="Entrada","Crédito","Débito"))</f>
        <v/>
      </c>
      <c r="E1432" s="26" t="str">
        <f>IF(A1432="","",BASE_CAIXA!AA1429)</f>
        <v/>
      </c>
      <c r="F1432" s="26" t="str">
        <f>IF(A1432="","",BASE_CAIXA!N1429)</f>
        <v/>
      </c>
      <c r="G1432" s="26" t="str">
        <f>IF(A1432="","",BASE_CAIXA!O1429)</f>
        <v/>
      </c>
      <c r="H1432" s="26" t="str">
        <f>IF(A1432="","",BASE_CAIXA!P1429)</f>
        <v/>
      </c>
      <c r="I1432" s="26" t="str">
        <f>IF(A1432="","",IF(BASE_CAIXA!H1429&lt;&gt;"",BASE_CAIXA!H1429,BASE_CAIXA!G1429))</f>
        <v/>
      </c>
      <c r="J1432" s="26" t="str">
        <f>IF(A1432="","",BASE_CAIXA!G1429)</f>
        <v/>
      </c>
      <c r="K1432" s="26" t="str">
        <f>IF(A1432="","",BASE_CAIXA!I1429)</f>
        <v/>
      </c>
      <c r="L1432" s="26" t="str">
        <f>IF(A1432="","",BASE_CAIXA!J1429)</f>
        <v/>
      </c>
      <c r="M1432" s="26" t="str">
        <f>IF(A1432="","",BASE_CAIXA!AM1429)</f>
        <v/>
      </c>
      <c r="N1432" s="26" t="str">
        <f t="shared" ca="1" si="66"/>
        <v/>
      </c>
      <c r="O1432" s="26" t="str">
        <f>IFERROR(INDEX(EXTRATO_IMPORTADO!$A$5:$A$404,MATCH(B1432,EXTRATO_IMPORTADO!$I$5:$I$404,0)),"")</f>
        <v/>
      </c>
      <c r="P1432" s="26" t="str">
        <f>IFERROR(INDEX(EXTRATO_IMPORTADO!$F$5:$F$404,MATCH(B1432,EXTRATO_IMPORTADO!$I$5:$I$404,0)),"")</f>
        <v/>
      </c>
      <c r="Q1432" s="26" t="str">
        <f>IFERROR(INDEX(EXTRATO_IMPORTADO!$B$5:$B$404,MATCH(B1432,EXTRATO_IMPORTADO!$I$5:$I$404,0)),"")</f>
        <v/>
      </c>
      <c r="R1432" s="26" t="str">
        <f>IFERROR(MATCH(B1432,EXTRATO_IMPORTADO!$I$5:$I$404,0),"")</f>
        <v/>
      </c>
      <c r="S1432" s="26" t="str">
        <f t="shared" si="67"/>
        <v/>
      </c>
      <c r="T1432" s="26" t="str">
        <f t="shared" si="68"/>
        <v/>
      </c>
    </row>
    <row r="1433" spans="1:20" x14ac:dyDescent="0.3">
      <c r="A1433" s="26" t="str">
        <f>IF(BASE_CAIXA!A1430="","",BASE_CAIXA!A1430)</f>
        <v/>
      </c>
      <c r="B1433" s="26" t="str">
        <f>IF(A1433="","",BASE_CAIXA!AL1430)</f>
        <v/>
      </c>
      <c r="C1433" s="26" t="str">
        <f>IF(A1433="","",BASE_CAIXA!AJ1430)</f>
        <v/>
      </c>
      <c r="D1433" s="26" t="str">
        <f>IF(A1433="","",IF(BASE_CAIXA!C1430="Entrada","Crédito","Débito"))</f>
        <v/>
      </c>
      <c r="E1433" s="26" t="str">
        <f>IF(A1433="","",BASE_CAIXA!AA1430)</f>
        <v/>
      </c>
      <c r="F1433" s="26" t="str">
        <f>IF(A1433="","",BASE_CAIXA!N1430)</f>
        <v/>
      </c>
      <c r="G1433" s="26" t="str">
        <f>IF(A1433="","",BASE_CAIXA!O1430)</f>
        <v/>
      </c>
      <c r="H1433" s="26" t="str">
        <f>IF(A1433="","",BASE_CAIXA!P1430)</f>
        <v/>
      </c>
      <c r="I1433" s="26" t="str">
        <f>IF(A1433="","",IF(BASE_CAIXA!H1430&lt;&gt;"",BASE_CAIXA!H1430,BASE_CAIXA!G1430))</f>
        <v/>
      </c>
      <c r="J1433" s="26" t="str">
        <f>IF(A1433="","",BASE_CAIXA!G1430)</f>
        <v/>
      </c>
      <c r="K1433" s="26" t="str">
        <f>IF(A1433="","",BASE_CAIXA!I1430)</f>
        <v/>
      </c>
      <c r="L1433" s="26" t="str">
        <f>IF(A1433="","",BASE_CAIXA!J1430)</f>
        <v/>
      </c>
      <c r="M1433" s="26" t="str">
        <f>IF(A1433="","",BASE_CAIXA!AM1430)</f>
        <v/>
      </c>
      <c r="N1433" s="26" t="str">
        <f t="shared" ca="1" si="66"/>
        <v/>
      </c>
      <c r="O1433" s="26" t="str">
        <f>IFERROR(INDEX(EXTRATO_IMPORTADO!$A$5:$A$404,MATCH(B1433,EXTRATO_IMPORTADO!$I$5:$I$404,0)),"")</f>
        <v/>
      </c>
      <c r="P1433" s="26" t="str">
        <f>IFERROR(INDEX(EXTRATO_IMPORTADO!$F$5:$F$404,MATCH(B1433,EXTRATO_IMPORTADO!$I$5:$I$404,0)),"")</f>
        <v/>
      </c>
      <c r="Q1433" s="26" t="str">
        <f>IFERROR(INDEX(EXTRATO_IMPORTADO!$B$5:$B$404,MATCH(B1433,EXTRATO_IMPORTADO!$I$5:$I$404,0)),"")</f>
        <v/>
      </c>
      <c r="R1433" s="26" t="str">
        <f>IFERROR(MATCH(B1433,EXTRATO_IMPORTADO!$I$5:$I$404,0),"")</f>
        <v/>
      </c>
      <c r="S1433" s="26" t="str">
        <f t="shared" si="67"/>
        <v/>
      </c>
      <c r="T1433" s="26" t="str">
        <f t="shared" si="68"/>
        <v/>
      </c>
    </row>
    <row r="1434" spans="1:20" x14ac:dyDescent="0.3">
      <c r="A1434" s="26" t="str">
        <f>IF(BASE_CAIXA!A1431="","",BASE_CAIXA!A1431)</f>
        <v/>
      </c>
      <c r="B1434" s="26" t="str">
        <f>IF(A1434="","",BASE_CAIXA!AL1431)</f>
        <v/>
      </c>
      <c r="C1434" s="26" t="str">
        <f>IF(A1434="","",BASE_CAIXA!AJ1431)</f>
        <v/>
      </c>
      <c r="D1434" s="26" t="str">
        <f>IF(A1434="","",IF(BASE_CAIXA!C1431="Entrada","Crédito","Débito"))</f>
        <v/>
      </c>
      <c r="E1434" s="26" t="str">
        <f>IF(A1434="","",BASE_CAIXA!AA1431)</f>
        <v/>
      </c>
      <c r="F1434" s="26" t="str">
        <f>IF(A1434="","",BASE_CAIXA!N1431)</f>
        <v/>
      </c>
      <c r="G1434" s="26" t="str">
        <f>IF(A1434="","",BASE_CAIXA!O1431)</f>
        <v/>
      </c>
      <c r="H1434" s="26" t="str">
        <f>IF(A1434="","",BASE_CAIXA!P1431)</f>
        <v/>
      </c>
      <c r="I1434" s="26" t="str">
        <f>IF(A1434="","",IF(BASE_CAIXA!H1431&lt;&gt;"",BASE_CAIXA!H1431,BASE_CAIXA!G1431))</f>
        <v/>
      </c>
      <c r="J1434" s="26" t="str">
        <f>IF(A1434="","",BASE_CAIXA!G1431)</f>
        <v/>
      </c>
      <c r="K1434" s="26" t="str">
        <f>IF(A1434="","",BASE_CAIXA!I1431)</f>
        <v/>
      </c>
      <c r="L1434" s="26" t="str">
        <f>IF(A1434="","",BASE_CAIXA!J1431)</f>
        <v/>
      </c>
      <c r="M1434" s="26" t="str">
        <f>IF(A1434="","",BASE_CAIXA!AM1431)</f>
        <v/>
      </c>
      <c r="N1434" s="26" t="str">
        <f t="shared" ca="1" si="66"/>
        <v/>
      </c>
      <c r="O1434" s="26" t="str">
        <f>IFERROR(INDEX(EXTRATO_IMPORTADO!$A$5:$A$404,MATCH(B1434,EXTRATO_IMPORTADO!$I$5:$I$404,0)),"")</f>
        <v/>
      </c>
      <c r="P1434" s="26" t="str">
        <f>IFERROR(INDEX(EXTRATO_IMPORTADO!$F$5:$F$404,MATCH(B1434,EXTRATO_IMPORTADO!$I$5:$I$404,0)),"")</f>
        <v/>
      </c>
      <c r="Q1434" s="26" t="str">
        <f>IFERROR(INDEX(EXTRATO_IMPORTADO!$B$5:$B$404,MATCH(B1434,EXTRATO_IMPORTADO!$I$5:$I$404,0)),"")</f>
        <v/>
      </c>
      <c r="R1434" s="26" t="str">
        <f>IFERROR(MATCH(B1434,EXTRATO_IMPORTADO!$I$5:$I$404,0),"")</f>
        <v/>
      </c>
      <c r="S1434" s="26" t="str">
        <f t="shared" si="67"/>
        <v/>
      </c>
      <c r="T1434" s="26" t="str">
        <f t="shared" si="68"/>
        <v/>
      </c>
    </row>
    <row r="1435" spans="1:20" x14ac:dyDescent="0.3">
      <c r="A1435" s="26" t="str">
        <f>IF(BASE_CAIXA!A1432="","",BASE_CAIXA!A1432)</f>
        <v/>
      </c>
      <c r="B1435" s="26" t="str">
        <f>IF(A1435="","",BASE_CAIXA!AL1432)</f>
        <v/>
      </c>
      <c r="C1435" s="26" t="str">
        <f>IF(A1435="","",BASE_CAIXA!AJ1432)</f>
        <v/>
      </c>
      <c r="D1435" s="26" t="str">
        <f>IF(A1435="","",IF(BASE_CAIXA!C1432="Entrada","Crédito","Débito"))</f>
        <v/>
      </c>
      <c r="E1435" s="26" t="str">
        <f>IF(A1435="","",BASE_CAIXA!AA1432)</f>
        <v/>
      </c>
      <c r="F1435" s="26" t="str">
        <f>IF(A1435="","",BASE_CAIXA!N1432)</f>
        <v/>
      </c>
      <c r="G1435" s="26" t="str">
        <f>IF(A1435="","",BASE_CAIXA!O1432)</f>
        <v/>
      </c>
      <c r="H1435" s="26" t="str">
        <f>IF(A1435="","",BASE_CAIXA!P1432)</f>
        <v/>
      </c>
      <c r="I1435" s="26" t="str">
        <f>IF(A1435="","",IF(BASE_CAIXA!H1432&lt;&gt;"",BASE_CAIXA!H1432,BASE_CAIXA!G1432))</f>
        <v/>
      </c>
      <c r="J1435" s="26" t="str">
        <f>IF(A1435="","",BASE_CAIXA!G1432)</f>
        <v/>
      </c>
      <c r="K1435" s="26" t="str">
        <f>IF(A1435="","",BASE_CAIXA!I1432)</f>
        <v/>
      </c>
      <c r="L1435" s="26" t="str">
        <f>IF(A1435="","",BASE_CAIXA!J1432)</f>
        <v/>
      </c>
      <c r="M1435" s="26" t="str">
        <f>IF(A1435="","",BASE_CAIXA!AM1432)</f>
        <v/>
      </c>
      <c r="N1435" s="26" t="str">
        <f t="shared" ca="1" si="66"/>
        <v/>
      </c>
      <c r="O1435" s="26" t="str">
        <f>IFERROR(INDEX(EXTRATO_IMPORTADO!$A$5:$A$404,MATCH(B1435,EXTRATO_IMPORTADO!$I$5:$I$404,0)),"")</f>
        <v/>
      </c>
      <c r="P1435" s="26" t="str">
        <f>IFERROR(INDEX(EXTRATO_IMPORTADO!$F$5:$F$404,MATCH(B1435,EXTRATO_IMPORTADO!$I$5:$I$404,0)),"")</f>
        <v/>
      </c>
      <c r="Q1435" s="26" t="str">
        <f>IFERROR(INDEX(EXTRATO_IMPORTADO!$B$5:$B$404,MATCH(B1435,EXTRATO_IMPORTADO!$I$5:$I$404,0)),"")</f>
        <v/>
      </c>
      <c r="R1435" s="26" t="str">
        <f>IFERROR(MATCH(B1435,EXTRATO_IMPORTADO!$I$5:$I$404,0),"")</f>
        <v/>
      </c>
      <c r="S1435" s="26" t="str">
        <f t="shared" si="67"/>
        <v/>
      </c>
      <c r="T1435" s="26" t="str">
        <f t="shared" si="68"/>
        <v/>
      </c>
    </row>
    <row r="1436" spans="1:20" x14ac:dyDescent="0.3">
      <c r="A1436" s="26" t="str">
        <f>IF(BASE_CAIXA!A1433="","",BASE_CAIXA!A1433)</f>
        <v/>
      </c>
      <c r="B1436" s="26" t="str">
        <f>IF(A1436="","",BASE_CAIXA!AL1433)</f>
        <v/>
      </c>
      <c r="C1436" s="26" t="str">
        <f>IF(A1436="","",BASE_CAIXA!AJ1433)</f>
        <v/>
      </c>
      <c r="D1436" s="26" t="str">
        <f>IF(A1436="","",IF(BASE_CAIXA!C1433="Entrada","Crédito","Débito"))</f>
        <v/>
      </c>
      <c r="E1436" s="26" t="str">
        <f>IF(A1436="","",BASE_CAIXA!AA1433)</f>
        <v/>
      </c>
      <c r="F1436" s="26" t="str">
        <f>IF(A1436="","",BASE_CAIXA!N1433)</f>
        <v/>
      </c>
      <c r="G1436" s="26" t="str">
        <f>IF(A1436="","",BASE_CAIXA!O1433)</f>
        <v/>
      </c>
      <c r="H1436" s="26" t="str">
        <f>IF(A1436="","",BASE_CAIXA!P1433)</f>
        <v/>
      </c>
      <c r="I1436" s="26" t="str">
        <f>IF(A1436="","",IF(BASE_CAIXA!H1433&lt;&gt;"",BASE_CAIXA!H1433,BASE_CAIXA!G1433))</f>
        <v/>
      </c>
      <c r="J1436" s="26" t="str">
        <f>IF(A1436="","",BASE_CAIXA!G1433)</f>
        <v/>
      </c>
      <c r="K1436" s="26" t="str">
        <f>IF(A1436="","",BASE_CAIXA!I1433)</f>
        <v/>
      </c>
      <c r="L1436" s="26" t="str">
        <f>IF(A1436="","",BASE_CAIXA!J1433)</f>
        <v/>
      </c>
      <c r="M1436" s="26" t="str">
        <f>IF(A1436="","",BASE_CAIXA!AM1433)</f>
        <v/>
      </c>
      <c r="N1436" s="26" t="str">
        <f t="shared" ca="1" si="66"/>
        <v/>
      </c>
      <c r="O1436" s="26" t="str">
        <f>IFERROR(INDEX(EXTRATO_IMPORTADO!$A$5:$A$404,MATCH(B1436,EXTRATO_IMPORTADO!$I$5:$I$404,0)),"")</f>
        <v/>
      </c>
      <c r="P1436" s="26" t="str">
        <f>IFERROR(INDEX(EXTRATO_IMPORTADO!$F$5:$F$404,MATCH(B1436,EXTRATO_IMPORTADO!$I$5:$I$404,0)),"")</f>
        <v/>
      </c>
      <c r="Q1436" s="26" t="str">
        <f>IFERROR(INDEX(EXTRATO_IMPORTADO!$B$5:$B$404,MATCH(B1436,EXTRATO_IMPORTADO!$I$5:$I$404,0)),"")</f>
        <v/>
      </c>
      <c r="R1436" s="26" t="str">
        <f>IFERROR(MATCH(B1436,EXTRATO_IMPORTADO!$I$5:$I$404,0),"")</f>
        <v/>
      </c>
      <c r="S1436" s="26" t="str">
        <f t="shared" si="67"/>
        <v/>
      </c>
      <c r="T1436" s="26" t="str">
        <f t="shared" si="68"/>
        <v/>
      </c>
    </row>
    <row r="1437" spans="1:20" x14ac:dyDescent="0.3">
      <c r="A1437" s="26" t="str">
        <f>IF(BASE_CAIXA!A1434="","",BASE_CAIXA!A1434)</f>
        <v/>
      </c>
      <c r="B1437" s="26" t="str">
        <f>IF(A1437="","",BASE_CAIXA!AL1434)</f>
        <v/>
      </c>
      <c r="C1437" s="26" t="str">
        <f>IF(A1437="","",BASE_CAIXA!AJ1434)</f>
        <v/>
      </c>
      <c r="D1437" s="26" t="str">
        <f>IF(A1437="","",IF(BASE_CAIXA!C1434="Entrada","Crédito","Débito"))</f>
        <v/>
      </c>
      <c r="E1437" s="26" t="str">
        <f>IF(A1437="","",BASE_CAIXA!AA1434)</f>
        <v/>
      </c>
      <c r="F1437" s="26" t="str">
        <f>IF(A1437="","",BASE_CAIXA!N1434)</f>
        <v/>
      </c>
      <c r="G1437" s="26" t="str">
        <f>IF(A1437="","",BASE_CAIXA!O1434)</f>
        <v/>
      </c>
      <c r="H1437" s="26" t="str">
        <f>IF(A1437="","",BASE_CAIXA!P1434)</f>
        <v/>
      </c>
      <c r="I1437" s="26" t="str">
        <f>IF(A1437="","",IF(BASE_CAIXA!H1434&lt;&gt;"",BASE_CAIXA!H1434,BASE_CAIXA!G1434))</f>
        <v/>
      </c>
      <c r="J1437" s="26" t="str">
        <f>IF(A1437="","",BASE_CAIXA!G1434)</f>
        <v/>
      </c>
      <c r="K1437" s="26" t="str">
        <f>IF(A1437="","",BASE_CAIXA!I1434)</f>
        <v/>
      </c>
      <c r="L1437" s="26" t="str">
        <f>IF(A1437="","",BASE_CAIXA!J1434)</f>
        <v/>
      </c>
      <c r="M1437" s="26" t="str">
        <f>IF(A1437="","",BASE_CAIXA!AM1434)</f>
        <v/>
      </c>
      <c r="N1437" s="26" t="str">
        <f t="shared" ca="1" si="66"/>
        <v/>
      </c>
      <c r="O1437" s="26" t="str">
        <f>IFERROR(INDEX(EXTRATO_IMPORTADO!$A$5:$A$404,MATCH(B1437,EXTRATO_IMPORTADO!$I$5:$I$404,0)),"")</f>
        <v/>
      </c>
      <c r="P1437" s="26" t="str">
        <f>IFERROR(INDEX(EXTRATO_IMPORTADO!$F$5:$F$404,MATCH(B1437,EXTRATO_IMPORTADO!$I$5:$I$404,0)),"")</f>
        <v/>
      </c>
      <c r="Q1437" s="26" t="str">
        <f>IFERROR(INDEX(EXTRATO_IMPORTADO!$B$5:$B$404,MATCH(B1437,EXTRATO_IMPORTADO!$I$5:$I$404,0)),"")</f>
        <v/>
      </c>
      <c r="R1437" s="26" t="str">
        <f>IFERROR(MATCH(B1437,EXTRATO_IMPORTADO!$I$5:$I$404,0),"")</f>
        <v/>
      </c>
      <c r="S1437" s="26" t="str">
        <f t="shared" si="67"/>
        <v/>
      </c>
      <c r="T1437" s="26" t="str">
        <f t="shared" si="68"/>
        <v/>
      </c>
    </row>
    <row r="1438" spans="1:20" x14ac:dyDescent="0.3">
      <c r="A1438" s="26" t="str">
        <f>IF(BASE_CAIXA!A1435="","",BASE_CAIXA!A1435)</f>
        <v/>
      </c>
      <c r="B1438" s="26" t="str">
        <f>IF(A1438="","",BASE_CAIXA!AL1435)</f>
        <v/>
      </c>
      <c r="C1438" s="26" t="str">
        <f>IF(A1438="","",BASE_CAIXA!AJ1435)</f>
        <v/>
      </c>
      <c r="D1438" s="26" t="str">
        <f>IF(A1438="","",IF(BASE_CAIXA!C1435="Entrada","Crédito","Débito"))</f>
        <v/>
      </c>
      <c r="E1438" s="26" t="str">
        <f>IF(A1438="","",BASE_CAIXA!AA1435)</f>
        <v/>
      </c>
      <c r="F1438" s="26" t="str">
        <f>IF(A1438="","",BASE_CAIXA!N1435)</f>
        <v/>
      </c>
      <c r="G1438" s="26" t="str">
        <f>IF(A1438="","",BASE_CAIXA!O1435)</f>
        <v/>
      </c>
      <c r="H1438" s="26" t="str">
        <f>IF(A1438="","",BASE_CAIXA!P1435)</f>
        <v/>
      </c>
      <c r="I1438" s="26" t="str">
        <f>IF(A1438="","",IF(BASE_CAIXA!H1435&lt;&gt;"",BASE_CAIXA!H1435,BASE_CAIXA!G1435))</f>
        <v/>
      </c>
      <c r="J1438" s="26" t="str">
        <f>IF(A1438="","",BASE_CAIXA!G1435)</f>
        <v/>
      </c>
      <c r="K1438" s="26" t="str">
        <f>IF(A1438="","",BASE_CAIXA!I1435)</f>
        <v/>
      </c>
      <c r="L1438" s="26" t="str">
        <f>IF(A1438="","",BASE_CAIXA!J1435)</f>
        <v/>
      </c>
      <c r="M1438" s="26" t="str">
        <f>IF(A1438="","",BASE_CAIXA!AM1435)</f>
        <v/>
      </c>
      <c r="N1438" s="26" t="str">
        <f t="shared" ca="1" si="66"/>
        <v/>
      </c>
      <c r="O1438" s="26" t="str">
        <f>IFERROR(INDEX(EXTRATO_IMPORTADO!$A$5:$A$404,MATCH(B1438,EXTRATO_IMPORTADO!$I$5:$I$404,0)),"")</f>
        <v/>
      </c>
      <c r="P1438" s="26" t="str">
        <f>IFERROR(INDEX(EXTRATO_IMPORTADO!$F$5:$F$404,MATCH(B1438,EXTRATO_IMPORTADO!$I$5:$I$404,0)),"")</f>
        <v/>
      </c>
      <c r="Q1438" s="26" t="str">
        <f>IFERROR(INDEX(EXTRATO_IMPORTADO!$B$5:$B$404,MATCH(B1438,EXTRATO_IMPORTADO!$I$5:$I$404,0)),"")</f>
        <v/>
      </c>
      <c r="R1438" s="26" t="str">
        <f>IFERROR(MATCH(B1438,EXTRATO_IMPORTADO!$I$5:$I$404,0),"")</f>
        <v/>
      </c>
      <c r="S1438" s="26" t="str">
        <f t="shared" si="67"/>
        <v/>
      </c>
      <c r="T1438" s="26" t="str">
        <f t="shared" si="68"/>
        <v/>
      </c>
    </row>
    <row r="1439" spans="1:20" x14ac:dyDescent="0.3">
      <c r="A1439" s="26" t="str">
        <f>IF(BASE_CAIXA!A1436="","",BASE_CAIXA!A1436)</f>
        <v/>
      </c>
      <c r="B1439" s="26" t="str">
        <f>IF(A1439="","",BASE_CAIXA!AL1436)</f>
        <v/>
      </c>
      <c r="C1439" s="26" t="str">
        <f>IF(A1439="","",BASE_CAIXA!AJ1436)</f>
        <v/>
      </c>
      <c r="D1439" s="26" t="str">
        <f>IF(A1439="","",IF(BASE_CAIXA!C1436="Entrada","Crédito","Débito"))</f>
        <v/>
      </c>
      <c r="E1439" s="26" t="str">
        <f>IF(A1439="","",BASE_CAIXA!AA1436)</f>
        <v/>
      </c>
      <c r="F1439" s="26" t="str">
        <f>IF(A1439="","",BASE_CAIXA!N1436)</f>
        <v/>
      </c>
      <c r="G1439" s="26" t="str">
        <f>IF(A1439="","",BASE_CAIXA!O1436)</f>
        <v/>
      </c>
      <c r="H1439" s="26" t="str">
        <f>IF(A1439="","",BASE_CAIXA!P1436)</f>
        <v/>
      </c>
      <c r="I1439" s="26" t="str">
        <f>IF(A1439="","",IF(BASE_CAIXA!H1436&lt;&gt;"",BASE_CAIXA!H1436,BASE_CAIXA!G1436))</f>
        <v/>
      </c>
      <c r="J1439" s="26" t="str">
        <f>IF(A1439="","",BASE_CAIXA!G1436)</f>
        <v/>
      </c>
      <c r="K1439" s="26" t="str">
        <f>IF(A1439="","",BASE_CAIXA!I1436)</f>
        <v/>
      </c>
      <c r="L1439" s="26" t="str">
        <f>IF(A1439="","",BASE_CAIXA!J1436)</f>
        <v/>
      </c>
      <c r="M1439" s="26" t="str">
        <f>IF(A1439="","",BASE_CAIXA!AM1436)</f>
        <v/>
      </c>
      <c r="N1439" s="26" t="str">
        <f t="shared" ca="1" si="66"/>
        <v/>
      </c>
      <c r="O1439" s="26" t="str">
        <f>IFERROR(INDEX(EXTRATO_IMPORTADO!$A$5:$A$404,MATCH(B1439,EXTRATO_IMPORTADO!$I$5:$I$404,0)),"")</f>
        <v/>
      </c>
      <c r="P1439" s="26" t="str">
        <f>IFERROR(INDEX(EXTRATO_IMPORTADO!$F$5:$F$404,MATCH(B1439,EXTRATO_IMPORTADO!$I$5:$I$404,0)),"")</f>
        <v/>
      </c>
      <c r="Q1439" s="26" t="str">
        <f>IFERROR(INDEX(EXTRATO_IMPORTADO!$B$5:$B$404,MATCH(B1439,EXTRATO_IMPORTADO!$I$5:$I$404,0)),"")</f>
        <v/>
      </c>
      <c r="R1439" s="26" t="str">
        <f>IFERROR(MATCH(B1439,EXTRATO_IMPORTADO!$I$5:$I$404,0),"")</f>
        <v/>
      </c>
      <c r="S1439" s="26" t="str">
        <f t="shared" si="67"/>
        <v/>
      </c>
      <c r="T1439" s="26" t="str">
        <f t="shared" si="68"/>
        <v/>
      </c>
    </row>
    <row r="1440" spans="1:20" x14ac:dyDescent="0.3">
      <c r="A1440" s="26" t="str">
        <f>IF(BASE_CAIXA!A1437="","",BASE_CAIXA!A1437)</f>
        <v/>
      </c>
      <c r="B1440" s="26" t="str">
        <f>IF(A1440="","",BASE_CAIXA!AL1437)</f>
        <v/>
      </c>
      <c r="C1440" s="26" t="str">
        <f>IF(A1440="","",BASE_CAIXA!AJ1437)</f>
        <v/>
      </c>
      <c r="D1440" s="26" t="str">
        <f>IF(A1440="","",IF(BASE_CAIXA!C1437="Entrada","Crédito","Débito"))</f>
        <v/>
      </c>
      <c r="E1440" s="26" t="str">
        <f>IF(A1440="","",BASE_CAIXA!AA1437)</f>
        <v/>
      </c>
      <c r="F1440" s="26" t="str">
        <f>IF(A1440="","",BASE_CAIXA!N1437)</f>
        <v/>
      </c>
      <c r="G1440" s="26" t="str">
        <f>IF(A1440="","",BASE_CAIXA!O1437)</f>
        <v/>
      </c>
      <c r="H1440" s="26" t="str">
        <f>IF(A1440="","",BASE_CAIXA!P1437)</f>
        <v/>
      </c>
      <c r="I1440" s="26" t="str">
        <f>IF(A1440="","",IF(BASE_CAIXA!H1437&lt;&gt;"",BASE_CAIXA!H1437,BASE_CAIXA!G1437))</f>
        <v/>
      </c>
      <c r="J1440" s="26" t="str">
        <f>IF(A1440="","",BASE_CAIXA!G1437)</f>
        <v/>
      </c>
      <c r="K1440" s="26" t="str">
        <f>IF(A1440="","",BASE_CAIXA!I1437)</f>
        <v/>
      </c>
      <c r="L1440" s="26" t="str">
        <f>IF(A1440="","",BASE_CAIXA!J1437)</f>
        <v/>
      </c>
      <c r="M1440" s="26" t="str">
        <f>IF(A1440="","",BASE_CAIXA!AM1437)</f>
        <v/>
      </c>
      <c r="N1440" s="26" t="str">
        <f t="shared" ca="1" si="66"/>
        <v/>
      </c>
      <c r="O1440" s="26" t="str">
        <f>IFERROR(INDEX(EXTRATO_IMPORTADO!$A$5:$A$404,MATCH(B1440,EXTRATO_IMPORTADO!$I$5:$I$404,0)),"")</f>
        <v/>
      </c>
      <c r="P1440" s="26" t="str">
        <f>IFERROR(INDEX(EXTRATO_IMPORTADO!$F$5:$F$404,MATCH(B1440,EXTRATO_IMPORTADO!$I$5:$I$404,0)),"")</f>
        <v/>
      </c>
      <c r="Q1440" s="26" t="str">
        <f>IFERROR(INDEX(EXTRATO_IMPORTADO!$B$5:$B$404,MATCH(B1440,EXTRATO_IMPORTADO!$I$5:$I$404,0)),"")</f>
        <v/>
      </c>
      <c r="R1440" s="26" t="str">
        <f>IFERROR(MATCH(B1440,EXTRATO_IMPORTADO!$I$5:$I$404,0),"")</f>
        <v/>
      </c>
      <c r="S1440" s="26" t="str">
        <f t="shared" si="67"/>
        <v/>
      </c>
      <c r="T1440" s="26" t="str">
        <f t="shared" si="68"/>
        <v/>
      </c>
    </row>
    <row r="1441" spans="1:20" x14ac:dyDescent="0.3">
      <c r="A1441" s="26" t="str">
        <f>IF(BASE_CAIXA!A1438="","",BASE_CAIXA!A1438)</f>
        <v/>
      </c>
      <c r="B1441" s="26" t="str">
        <f>IF(A1441="","",BASE_CAIXA!AL1438)</f>
        <v/>
      </c>
      <c r="C1441" s="26" t="str">
        <f>IF(A1441="","",BASE_CAIXA!AJ1438)</f>
        <v/>
      </c>
      <c r="D1441" s="26" t="str">
        <f>IF(A1441="","",IF(BASE_CAIXA!C1438="Entrada","Crédito","Débito"))</f>
        <v/>
      </c>
      <c r="E1441" s="26" t="str">
        <f>IF(A1441="","",BASE_CAIXA!AA1438)</f>
        <v/>
      </c>
      <c r="F1441" s="26" t="str">
        <f>IF(A1441="","",BASE_CAIXA!N1438)</f>
        <v/>
      </c>
      <c r="G1441" s="26" t="str">
        <f>IF(A1441="","",BASE_CAIXA!O1438)</f>
        <v/>
      </c>
      <c r="H1441" s="26" t="str">
        <f>IF(A1441="","",BASE_CAIXA!P1438)</f>
        <v/>
      </c>
      <c r="I1441" s="26" t="str">
        <f>IF(A1441="","",IF(BASE_CAIXA!H1438&lt;&gt;"",BASE_CAIXA!H1438,BASE_CAIXA!G1438))</f>
        <v/>
      </c>
      <c r="J1441" s="26" t="str">
        <f>IF(A1441="","",BASE_CAIXA!G1438)</f>
        <v/>
      </c>
      <c r="K1441" s="26" t="str">
        <f>IF(A1441="","",BASE_CAIXA!I1438)</f>
        <v/>
      </c>
      <c r="L1441" s="26" t="str">
        <f>IF(A1441="","",BASE_CAIXA!J1438)</f>
        <v/>
      </c>
      <c r="M1441" s="26" t="str">
        <f>IF(A1441="","",BASE_CAIXA!AM1438)</f>
        <v/>
      </c>
      <c r="N1441" s="26" t="str">
        <f t="shared" ca="1" si="66"/>
        <v/>
      </c>
      <c r="O1441" s="26" t="str">
        <f>IFERROR(INDEX(EXTRATO_IMPORTADO!$A$5:$A$404,MATCH(B1441,EXTRATO_IMPORTADO!$I$5:$I$404,0)),"")</f>
        <v/>
      </c>
      <c r="P1441" s="26" t="str">
        <f>IFERROR(INDEX(EXTRATO_IMPORTADO!$F$5:$F$404,MATCH(B1441,EXTRATO_IMPORTADO!$I$5:$I$404,0)),"")</f>
        <v/>
      </c>
      <c r="Q1441" s="26" t="str">
        <f>IFERROR(INDEX(EXTRATO_IMPORTADO!$B$5:$B$404,MATCH(B1441,EXTRATO_IMPORTADO!$I$5:$I$404,0)),"")</f>
        <v/>
      </c>
      <c r="R1441" s="26" t="str">
        <f>IFERROR(MATCH(B1441,EXTRATO_IMPORTADO!$I$5:$I$404,0),"")</f>
        <v/>
      </c>
      <c r="S1441" s="26" t="str">
        <f t="shared" si="67"/>
        <v/>
      </c>
      <c r="T1441" s="26" t="str">
        <f t="shared" si="68"/>
        <v/>
      </c>
    </row>
    <row r="1442" spans="1:20" x14ac:dyDescent="0.3">
      <c r="A1442" s="26" t="str">
        <f>IF(BASE_CAIXA!A1439="","",BASE_CAIXA!A1439)</f>
        <v/>
      </c>
      <c r="B1442" s="26" t="str">
        <f>IF(A1442="","",BASE_CAIXA!AL1439)</f>
        <v/>
      </c>
      <c r="C1442" s="26" t="str">
        <f>IF(A1442="","",BASE_CAIXA!AJ1439)</f>
        <v/>
      </c>
      <c r="D1442" s="26" t="str">
        <f>IF(A1442="","",IF(BASE_CAIXA!C1439="Entrada","Crédito","Débito"))</f>
        <v/>
      </c>
      <c r="E1442" s="26" t="str">
        <f>IF(A1442="","",BASE_CAIXA!AA1439)</f>
        <v/>
      </c>
      <c r="F1442" s="26" t="str">
        <f>IF(A1442="","",BASE_CAIXA!N1439)</f>
        <v/>
      </c>
      <c r="G1442" s="26" t="str">
        <f>IF(A1442="","",BASE_CAIXA!O1439)</f>
        <v/>
      </c>
      <c r="H1442" s="26" t="str">
        <f>IF(A1442="","",BASE_CAIXA!P1439)</f>
        <v/>
      </c>
      <c r="I1442" s="26" t="str">
        <f>IF(A1442="","",IF(BASE_CAIXA!H1439&lt;&gt;"",BASE_CAIXA!H1439,BASE_CAIXA!G1439))</f>
        <v/>
      </c>
      <c r="J1442" s="26" t="str">
        <f>IF(A1442="","",BASE_CAIXA!G1439)</f>
        <v/>
      </c>
      <c r="K1442" s="26" t="str">
        <f>IF(A1442="","",BASE_CAIXA!I1439)</f>
        <v/>
      </c>
      <c r="L1442" s="26" t="str">
        <f>IF(A1442="","",BASE_CAIXA!J1439)</f>
        <v/>
      </c>
      <c r="M1442" s="26" t="str">
        <f>IF(A1442="","",BASE_CAIXA!AM1439)</f>
        <v/>
      </c>
      <c r="N1442" s="26" t="str">
        <f t="shared" ca="1" si="66"/>
        <v/>
      </c>
      <c r="O1442" s="26" t="str">
        <f>IFERROR(INDEX(EXTRATO_IMPORTADO!$A$5:$A$404,MATCH(B1442,EXTRATO_IMPORTADO!$I$5:$I$404,0)),"")</f>
        <v/>
      </c>
      <c r="P1442" s="26" t="str">
        <f>IFERROR(INDEX(EXTRATO_IMPORTADO!$F$5:$F$404,MATCH(B1442,EXTRATO_IMPORTADO!$I$5:$I$404,0)),"")</f>
        <v/>
      </c>
      <c r="Q1442" s="26" t="str">
        <f>IFERROR(INDEX(EXTRATO_IMPORTADO!$B$5:$B$404,MATCH(B1442,EXTRATO_IMPORTADO!$I$5:$I$404,0)),"")</f>
        <v/>
      </c>
      <c r="R1442" s="26" t="str">
        <f>IFERROR(MATCH(B1442,EXTRATO_IMPORTADO!$I$5:$I$404,0),"")</f>
        <v/>
      </c>
      <c r="S1442" s="26" t="str">
        <f t="shared" si="67"/>
        <v/>
      </c>
      <c r="T1442" s="26" t="str">
        <f t="shared" si="68"/>
        <v/>
      </c>
    </row>
    <row r="1443" spans="1:20" x14ac:dyDescent="0.3">
      <c r="A1443" s="26" t="str">
        <f>IF(BASE_CAIXA!A1440="","",BASE_CAIXA!A1440)</f>
        <v/>
      </c>
      <c r="B1443" s="26" t="str">
        <f>IF(A1443="","",BASE_CAIXA!AL1440)</f>
        <v/>
      </c>
      <c r="C1443" s="26" t="str">
        <f>IF(A1443="","",BASE_CAIXA!AJ1440)</f>
        <v/>
      </c>
      <c r="D1443" s="26" t="str">
        <f>IF(A1443="","",IF(BASE_CAIXA!C1440="Entrada","Crédito","Débito"))</f>
        <v/>
      </c>
      <c r="E1443" s="26" t="str">
        <f>IF(A1443="","",BASE_CAIXA!AA1440)</f>
        <v/>
      </c>
      <c r="F1443" s="26" t="str">
        <f>IF(A1443="","",BASE_CAIXA!N1440)</f>
        <v/>
      </c>
      <c r="G1443" s="26" t="str">
        <f>IF(A1443="","",BASE_CAIXA!O1440)</f>
        <v/>
      </c>
      <c r="H1443" s="26" t="str">
        <f>IF(A1443="","",BASE_CAIXA!P1440)</f>
        <v/>
      </c>
      <c r="I1443" s="26" t="str">
        <f>IF(A1443="","",IF(BASE_CAIXA!H1440&lt;&gt;"",BASE_CAIXA!H1440,BASE_CAIXA!G1440))</f>
        <v/>
      </c>
      <c r="J1443" s="26" t="str">
        <f>IF(A1443="","",BASE_CAIXA!G1440)</f>
        <v/>
      </c>
      <c r="K1443" s="26" t="str">
        <f>IF(A1443="","",BASE_CAIXA!I1440)</f>
        <v/>
      </c>
      <c r="L1443" s="26" t="str">
        <f>IF(A1443="","",BASE_CAIXA!J1440)</f>
        <v/>
      </c>
      <c r="M1443" s="26" t="str">
        <f>IF(A1443="","",BASE_CAIXA!AM1440)</f>
        <v/>
      </c>
      <c r="N1443" s="26" t="str">
        <f t="shared" ca="1" si="66"/>
        <v/>
      </c>
      <c r="O1443" s="26" t="str">
        <f>IFERROR(INDEX(EXTRATO_IMPORTADO!$A$5:$A$404,MATCH(B1443,EXTRATO_IMPORTADO!$I$5:$I$404,0)),"")</f>
        <v/>
      </c>
      <c r="P1443" s="26" t="str">
        <f>IFERROR(INDEX(EXTRATO_IMPORTADO!$F$5:$F$404,MATCH(B1443,EXTRATO_IMPORTADO!$I$5:$I$404,0)),"")</f>
        <v/>
      </c>
      <c r="Q1443" s="26" t="str">
        <f>IFERROR(INDEX(EXTRATO_IMPORTADO!$B$5:$B$404,MATCH(B1443,EXTRATO_IMPORTADO!$I$5:$I$404,0)),"")</f>
        <v/>
      </c>
      <c r="R1443" s="26" t="str">
        <f>IFERROR(MATCH(B1443,EXTRATO_IMPORTADO!$I$5:$I$404,0),"")</f>
        <v/>
      </c>
      <c r="S1443" s="26" t="str">
        <f t="shared" si="67"/>
        <v/>
      </c>
      <c r="T1443" s="26" t="str">
        <f t="shared" si="68"/>
        <v/>
      </c>
    </row>
    <row r="1444" spans="1:20" x14ac:dyDescent="0.3">
      <c r="A1444" s="26" t="str">
        <f>IF(BASE_CAIXA!A1441="","",BASE_CAIXA!A1441)</f>
        <v/>
      </c>
      <c r="B1444" s="26" t="str">
        <f>IF(A1444="","",BASE_CAIXA!AL1441)</f>
        <v/>
      </c>
      <c r="C1444" s="26" t="str">
        <f>IF(A1444="","",BASE_CAIXA!AJ1441)</f>
        <v/>
      </c>
      <c r="D1444" s="26" t="str">
        <f>IF(A1444="","",IF(BASE_CAIXA!C1441="Entrada","Crédito","Débito"))</f>
        <v/>
      </c>
      <c r="E1444" s="26" t="str">
        <f>IF(A1444="","",BASE_CAIXA!AA1441)</f>
        <v/>
      </c>
      <c r="F1444" s="26" t="str">
        <f>IF(A1444="","",BASE_CAIXA!N1441)</f>
        <v/>
      </c>
      <c r="G1444" s="26" t="str">
        <f>IF(A1444="","",BASE_CAIXA!O1441)</f>
        <v/>
      </c>
      <c r="H1444" s="26" t="str">
        <f>IF(A1444="","",BASE_CAIXA!P1441)</f>
        <v/>
      </c>
      <c r="I1444" s="26" t="str">
        <f>IF(A1444="","",IF(BASE_CAIXA!H1441&lt;&gt;"",BASE_CAIXA!H1441,BASE_CAIXA!G1441))</f>
        <v/>
      </c>
      <c r="J1444" s="26" t="str">
        <f>IF(A1444="","",BASE_CAIXA!G1441)</f>
        <v/>
      </c>
      <c r="K1444" s="26" t="str">
        <f>IF(A1444="","",BASE_CAIXA!I1441)</f>
        <v/>
      </c>
      <c r="L1444" s="26" t="str">
        <f>IF(A1444="","",BASE_CAIXA!J1441)</f>
        <v/>
      </c>
      <c r="M1444" s="26" t="str">
        <f>IF(A1444="","",BASE_CAIXA!AM1441)</f>
        <v/>
      </c>
      <c r="N1444" s="26" t="str">
        <f t="shared" ca="1" si="66"/>
        <v/>
      </c>
      <c r="O1444" s="26" t="str">
        <f>IFERROR(INDEX(EXTRATO_IMPORTADO!$A$5:$A$404,MATCH(B1444,EXTRATO_IMPORTADO!$I$5:$I$404,0)),"")</f>
        <v/>
      </c>
      <c r="P1444" s="26" t="str">
        <f>IFERROR(INDEX(EXTRATO_IMPORTADO!$F$5:$F$404,MATCH(B1444,EXTRATO_IMPORTADO!$I$5:$I$404,0)),"")</f>
        <v/>
      </c>
      <c r="Q1444" s="26" t="str">
        <f>IFERROR(INDEX(EXTRATO_IMPORTADO!$B$5:$B$404,MATCH(B1444,EXTRATO_IMPORTADO!$I$5:$I$404,0)),"")</f>
        <v/>
      </c>
      <c r="R1444" s="26" t="str">
        <f>IFERROR(MATCH(B1444,EXTRATO_IMPORTADO!$I$5:$I$404,0),"")</f>
        <v/>
      </c>
      <c r="S1444" s="26" t="str">
        <f t="shared" si="67"/>
        <v/>
      </c>
      <c r="T1444" s="26" t="str">
        <f t="shared" si="68"/>
        <v/>
      </c>
    </row>
    <row r="1445" spans="1:20" x14ac:dyDescent="0.3">
      <c r="A1445" s="26" t="str">
        <f>IF(BASE_CAIXA!A1442="","",BASE_CAIXA!A1442)</f>
        <v/>
      </c>
      <c r="B1445" s="26" t="str">
        <f>IF(A1445="","",BASE_CAIXA!AL1442)</f>
        <v/>
      </c>
      <c r="C1445" s="26" t="str">
        <f>IF(A1445="","",BASE_CAIXA!AJ1442)</f>
        <v/>
      </c>
      <c r="D1445" s="26" t="str">
        <f>IF(A1445="","",IF(BASE_CAIXA!C1442="Entrada","Crédito","Débito"))</f>
        <v/>
      </c>
      <c r="E1445" s="26" t="str">
        <f>IF(A1445="","",BASE_CAIXA!AA1442)</f>
        <v/>
      </c>
      <c r="F1445" s="26" t="str">
        <f>IF(A1445="","",BASE_CAIXA!N1442)</f>
        <v/>
      </c>
      <c r="G1445" s="26" t="str">
        <f>IF(A1445="","",BASE_CAIXA!O1442)</f>
        <v/>
      </c>
      <c r="H1445" s="26" t="str">
        <f>IF(A1445="","",BASE_CAIXA!P1442)</f>
        <v/>
      </c>
      <c r="I1445" s="26" t="str">
        <f>IF(A1445="","",IF(BASE_CAIXA!H1442&lt;&gt;"",BASE_CAIXA!H1442,BASE_CAIXA!G1442))</f>
        <v/>
      </c>
      <c r="J1445" s="26" t="str">
        <f>IF(A1445="","",BASE_CAIXA!G1442)</f>
        <v/>
      </c>
      <c r="K1445" s="26" t="str">
        <f>IF(A1445="","",BASE_CAIXA!I1442)</f>
        <v/>
      </c>
      <c r="L1445" s="26" t="str">
        <f>IF(A1445="","",BASE_CAIXA!J1442)</f>
        <v/>
      </c>
      <c r="M1445" s="26" t="str">
        <f>IF(A1445="","",BASE_CAIXA!AM1442)</f>
        <v/>
      </c>
      <c r="N1445" s="26" t="str">
        <f t="shared" ca="1" si="66"/>
        <v/>
      </c>
      <c r="O1445" s="26" t="str">
        <f>IFERROR(INDEX(EXTRATO_IMPORTADO!$A$5:$A$404,MATCH(B1445,EXTRATO_IMPORTADO!$I$5:$I$404,0)),"")</f>
        <v/>
      </c>
      <c r="P1445" s="26" t="str">
        <f>IFERROR(INDEX(EXTRATO_IMPORTADO!$F$5:$F$404,MATCH(B1445,EXTRATO_IMPORTADO!$I$5:$I$404,0)),"")</f>
        <v/>
      </c>
      <c r="Q1445" s="26" t="str">
        <f>IFERROR(INDEX(EXTRATO_IMPORTADO!$B$5:$B$404,MATCH(B1445,EXTRATO_IMPORTADO!$I$5:$I$404,0)),"")</f>
        <v/>
      </c>
      <c r="R1445" s="26" t="str">
        <f>IFERROR(MATCH(B1445,EXTRATO_IMPORTADO!$I$5:$I$404,0),"")</f>
        <v/>
      </c>
      <c r="S1445" s="26" t="str">
        <f t="shared" si="67"/>
        <v/>
      </c>
      <c r="T1445" s="26" t="str">
        <f t="shared" si="68"/>
        <v/>
      </c>
    </row>
    <row r="1446" spans="1:20" x14ac:dyDescent="0.3">
      <c r="A1446" s="26" t="str">
        <f>IF(BASE_CAIXA!A1443="","",BASE_CAIXA!A1443)</f>
        <v/>
      </c>
      <c r="B1446" s="26" t="str">
        <f>IF(A1446="","",BASE_CAIXA!AL1443)</f>
        <v/>
      </c>
      <c r="C1446" s="26" t="str">
        <f>IF(A1446="","",BASE_CAIXA!AJ1443)</f>
        <v/>
      </c>
      <c r="D1446" s="26" t="str">
        <f>IF(A1446="","",IF(BASE_CAIXA!C1443="Entrada","Crédito","Débito"))</f>
        <v/>
      </c>
      <c r="E1446" s="26" t="str">
        <f>IF(A1446="","",BASE_CAIXA!AA1443)</f>
        <v/>
      </c>
      <c r="F1446" s="26" t="str">
        <f>IF(A1446="","",BASE_CAIXA!N1443)</f>
        <v/>
      </c>
      <c r="G1446" s="26" t="str">
        <f>IF(A1446="","",BASE_CAIXA!O1443)</f>
        <v/>
      </c>
      <c r="H1446" s="26" t="str">
        <f>IF(A1446="","",BASE_CAIXA!P1443)</f>
        <v/>
      </c>
      <c r="I1446" s="26" t="str">
        <f>IF(A1446="","",IF(BASE_CAIXA!H1443&lt;&gt;"",BASE_CAIXA!H1443,BASE_CAIXA!G1443))</f>
        <v/>
      </c>
      <c r="J1446" s="26" t="str">
        <f>IF(A1446="","",BASE_CAIXA!G1443)</f>
        <v/>
      </c>
      <c r="K1446" s="26" t="str">
        <f>IF(A1446="","",BASE_CAIXA!I1443)</f>
        <v/>
      </c>
      <c r="L1446" s="26" t="str">
        <f>IF(A1446="","",BASE_CAIXA!J1443)</f>
        <v/>
      </c>
      <c r="M1446" s="26" t="str">
        <f>IF(A1446="","",BASE_CAIXA!AM1443)</f>
        <v/>
      </c>
      <c r="N1446" s="26" t="str">
        <f t="shared" ca="1" si="66"/>
        <v/>
      </c>
      <c r="O1446" s="26" t="str">
        <f>IFERROR(INDEX(EXTRATO_IMPORTADO!$A$5:$A$404,MATCH(B1446,EXTRATO_IMPORTADO!$I$5:$I$404,0)),"")</f>
        <v/>
      </c>
      <c r="P1446" s="26" t="str">
        <f>IFERROR(INDEX(EXTRATO_IMPORTADO!$F$5:$F$404,MATCH(B1446,EXTRATO_IMPORTADO!$I$5:$I$404,0)),"")</f>
        <v/>
      </c>
      <c r="Q1446" s="26" t="str">
        <f>IFERROR(INDEX(EXTRATO_IMPORTADO!$B$5:$B$404,MATCH(B1446,EXTRATO_IMPORTADO!$I$5:$I$404,0)),"")</f>
        <v/>
      </c>
      <c r="R1446" s="26" t="str">
        <f>IFERROR(MATCH(B1446,EXTRATO_IMPORTADO!$I$5:$I$404,0),"")</f>
        <v/>
      </c>
      <c r="S1446" s="26" t="str">
        <f t="shared" si="67"/>
        <v/>
      </c>
      <c r="T1446" s="26" t="str">
        <f t="shared" si="68"/>
        <v/>
      </c>
    </row>
    <row r="1447" spans="1:20" x14ac:dyDescent="0.3">
      <c r="A1447" s="26" t="str">
        <f>IF(BASE_CAIXA!A1444="","",BASE_CAIXA!A1444)</f>
        <v/>
      </c>
      <c r="B1447" s="26" t="str">
        <f>IF(A1447="","",BASE_CAIXA!AL1444)</f>
        <v/>
      </c>
      <c r="C1447" s="26" t="str">
        <f>IF(A1447="","",BASE_CAIXA!AJ1444)</f>
        <v/>
      </c>
      <c r="D1447" s="26" t="str">
        <f>IF(A1447="","",IF(BASE_CAIXA!C1444="Entrada","Crédito","Débito"))</f>
        <v/>
      </c>
      <c r="E1447" s="26" t="str">
        <f>IF(A1447="","",BASE_CAIXA!AA1444)</f>
        <v/>
      </c>
      <c r="F1447" s="26" t="str">
        <f>IF(A1447="","",BASE_CAIXA!N1444)</f>
        <v/>
      </c>
      <c r="G1447" s="26" t="str">
        <f>IF(A1447="","",BASE_CAIXA!O1444)</f>
        <v/>
      </c>
      <c r="H1447" s="26" t="str">
        <f>IF(A1447="","",BASE_CAIXA!P1444)</f>
        <v/>
      </c>
      <c r="I1447" s="26" t="str">
        <f>IF(A1447="","",IF(BASE_CAIXA!H1444&lt;&gt;"",BASE_CAIXA!H1444,BASE_CAIXA!G1444))</f>
        <v/>
      </c>
      <c r="J1447" s="26" t="str">
        <f>IF(A1447="","",BASE_CAIXA!G1444)</f>
        <v/>
      </c>
      <c r="K1447" s="26" t="str">
        <f>IF(A1447="","",BASE_CAIXA!I1444)</f>
        <v/>
      </c>
      <c r="L1447" s="26" t="str">
        <f>IF(A1447="","",BASE_CAIXA!J1444)</f>
        <v/>
      </c>
      <c r="M1447" s="26" t="str">
        <f>IF(A1447="","",BASE_CAIXA!AM1444)</f>
        <v/>
      </c>
      <c r="N1447" s="26" t="str">
        <f t="shared" ca="1" si="66"/>
        <v/>
      </c>
      <c r="O1447" s="26" t="str">
        <f>IFERROR(INDEX(EXTRATO_IMPORTADO!$A$5:$A$404,MATCH(B1447,EXTRATO_IMPORTADO!$I$5:$I$404,0)),"")</f>
        <v/>
      </c>
      <c r="P1447" s="26" t="str">
        <f>IFERROR(INDEX(EXTRATO_IMPORTADO!$F$5:$F$404,MATCH(B1447,EXTRATO_IMPORTADO!$I$5:$I$404,0)),"")</f>
        <v/>
      </c>
      <c r="Q1447" s="26" t="str">
        <f>IFERROR(INDEX(EXTRATO_IMPORTADO!$B$5:$B$404,MATCH(B1447,EXTRATO_IMPORTADO!$I$5:$I$404,0)),"")</f>
        <v/>
      </c>
      <c r="R1447" s="26" t="str">
        <f>IFERROR(MATCH(B1447,EXTRATO_IMPORTADO!$I$5:$I$404,0),"")</f>
        <v/>
      </c>
      <c r="S1447" s="26" t="str">
        <f t="shared" si="67"/>
        <v/>
      </c>
      <c r="T1447" s="26" t="str">
        <f t="shared" si="68"/>
        <v/>
      </c>
    </row>
    <row r="1448" spans="1:20" x14ac:dyDescent="0.3">
      <c r="A1448" s="26" t="str">
        <f>IF(BASE_CAIXA!A1445="","",BASE_CAIXA!A1445)</f>
        <v/>
      </c>
      <c r="B1448" s="26" t="str">
        <f>IF(A1448="","",BASE_CAIXA!AL1445)</f>
        <v/>
      </c>
      <c r="C1448" s="26" t="str">
        <f>IF(A1448="","",BASE_CAIXA!AJ1445)</f>
        <v/>
      </c>
      <c r="D1448" s="26" t="str">
        <f>IF(A1448="","",IF(BASE_CAIXA!C1445="Entrada","Crédito","Débito"))</f>
        <v/>
      </c>
      <c r="E1448" s="26" t="str">
        <f>IF(A1448="","",BASE_CAIXA!AA1445)</f>
        <v/>
      </c>
      <c r="F1448" s="26" t="str">
        <f>IF(A1448="","",BASE_CAIXA!N1445)</f>
        <v/>
      </c>
      <c r="G1448" s="26" t="str">
        <f>IF(A1448="","",BASE_CAIXA!O1445)</f>
        <v/>
      </c>
      <c r="H1448" s="26" t="str">
        <f>IF(A1448="","",BASE_CAIXA!P1445)</f>
        <v/>
      </c>
      <c r="I1448" s="26" t="str">
        <f>IF(A1448="","",IF(BASE_CAIXA!H1445&lt;&gt;"",BASE_CAIXA!H1445,BASE_CAIXA!G1445))</f>
        <v/>
      </c>
      <c r="J1448" s="26" t="str">
        <f>IF(A1448="","",BASE_CAIXA!G1445)</f>
        <v/>
      </c>
      <c r="K1448" s="26" t="str">
        <f>IF(A1448="","",BASE_CAIXA!I1445)</f>
        <v/>
      </c>
      <c r="L1448" s="26" t="str">
        <f>IF(A1448="","",BASE_CAIXA!J1445)</f>
        <v/>
      </c>
      <c r="M1448" s="26" t="str">
        <f>IF(A1448="","",BASE_CAIXA!AM1445)</f>
        <v/>
      </c>
      <c r="N1448" s="26" t="str">
        <f t="shared" ca="1" si="66"/>
        <v/>
      </c>
      <c r="O1448" s="26" t="str">
        <f>IFERROR(INDEX(EXTRATO_IMPORTADO!$A$5:$A$404,MATCH(B1448,EXTRATO_IMPORTADO!$I$5:$I$404,0)),"")</f>
        <v/>
      </c>
      <c r="P1448" s="26" t="str">
        <f>IFERROR(INDEX(EXTRATO_IMPORTADO!$F$5:$F$404,MATCH(B1448,EXTRATO_IMPORTADO!$I$5:$I$404,0)),"")</f>
        <v/>
      </c>
      <c r="Q1448" s="26" t="str">
        <f>IFERROR(INDEX(EXTRATO_IMPORTADO!$B$5:$B$404,MATCH(B1448,EXTRATO_IMPORTADO!$I$5:$I$404,0)),"")</f>
        <v/>
      </c>
      <c r="R1448" s="26" t="str">
        <f>IFERROR(MATCH(B1448,EXTRATO_IMPORTADO!$I$5:$I$404,0),"")</f>
        <v/>
      </c>
      <c r="S1448" s="26" t="str">
        <f t="shared" si="67"/>
        <v/>
      </c>
      <c r="T1448" s="26" t="str">
        <f t="shared" si="68"/>
        <v/>
      </c>
    </row>
    <row r="1449" spans="1:20" x14ac:dyDescent="0.3">
      <c r="A1449" s="26" t="str">
        <f>IF(BASE_CAIXA!A1446="","",BASE_CAIXA!A1446)</f>
        <v/>
      </c>
      <c r="B1449" s="26" t="str">
        <f>IF(A1449="","",BASE_CAIXA!AL1446)</f>
        <v/>
      </c>
      <c r="C1449" s="26" t="str">
        <f>IF(A1449="","",BASE_CAIXA!AJ1446)</f>
        <v/>
      </c>
      <c r="D1449" s="26" t="str">
        <f>IF(A1449="","",IF(BASE_CAIXA!C1446="Entrada","Crédito","Débito"))</f>
        <v/>
      </c>
      <c r="E1449" s="26" t="str">
        <f>IF(A1449="","",BASE_CAIXA!AA1446)</f>
        <v/>
      </c>
      <c r="F1449" s="26" t="str">
        <f>IF(A1449="","",BASE_CAIXA!N1446)</f>
        <v/>
      </c>
      <c r="G1449" s="26" t="str">
        <f>IF(A1449="","",BASE_CAIXA!O1446)</f>
        <v/>
      </c>
      <c r="H1449" s="26" t="str">
        <f>IF(A1449="","",BASE_CAIXA!P1446)</f>
        <v/>
      </c>
      <c r="I1449" s="26" t="str">
        <f>IF(A1449="","",IF(BASE_CAIXA!H1446&lt;&gt;"",BASE_CAIXA!H1446,BASE_CAIXA!G1446))</f>
        <v/>
      </c>
      <c r="J1449" s="26" t="str">
        <f>IF(A1449="","",BASE_CAIXA!G1446)</f>
        <v/>
      </c>
      <c r="K1449" s="26" t="str">
        <f>IF(A1449="","",BASE_CAIXA!I1446)</f>
        <v/>
      </c>
      <c r="L1449" s="26" t="str">
        <f>IF(A1449="","",BASE_CAIXA!J1446)</f>
        <v/>
      </c>
      <c r="M1449" s="26" t="str">
        <f>IF(A1449="","",BASE_CAIXA!AM1446)</f>
        <v/>
      </c>
      <c r="N1449" s="26" t="str">
        <f t="shared" ca="1" si="66"/>
        <v/>
      </c>
      <c r="O1449" s="26" t="str">
        <f>IFERROR(INDEX(EXTRATO_IMPORTADO!$A$5:$A$404,MATCH(B1449,EXTRATO_IMPORTADO!$I$5:$I$404,0)),"")</f>
        <v/>
      </c>
      <c r="P1449" s="26" t="str">
        <f>IFERROR(INDEX(EXTRATO_IMPORTADO!$F$5:$F$404,MATCH(B1449,EXTRATO_IMPORTADO!$I$5:$I$404,0)),"")</f>
        <v/>
      </c>
      <c r="Q1449" s="26" t="str">
        <f>IFERROR(INDEX(EXTRATO_IMPORTADO!$B$5:$B$404,MATCH(B1449,EXTRATO_IMPORTADO!$I$5:$I$404,0)),"")</f>
        <v/>
      </c>
      <c r="R1449" s="26" t="str">
        <f>IFERROR(MATCH(B1449,EXTRATO_IMPORTADO!$I$5:$I$404,0),"")</f>
        <v/>
      </c>
      <c r="S1449" s="26" t="str">
        <f t="shared" si="67"/>
        <v/>
      </c>
      <c r="T1449" s="26" t="str">
        <f t="shared" si="68"/>
        <v/>
      </c>
    </row>
    <row r="1450" spans="1:20" x14ac:dyDescent="0.3">
      <c r="A1450" s="26" t="str">
        <f>IF(BASE_CAIXA!A1447="","",BASE_CAIXA!A1447)</f>
        <v/>
      </c>
      <c r="B1450" s="26" t="str">
        <f>IF(A1450="","",BASE_CAIXA!AL1447)</f>
        <v/>
      </c>
      <c r="C1450" s="26" t="str">
        <f>IF(A1450="","",BASE_CAIXA!AJ1447)</f>
        <v/>
      </c>
      <c r="D1450" s="26" t="str">
        <f>IF(A1450="","",IF(BASE_CAIXA!C1447="Entrada","Crédito","Débito"))</f>
        <v/>
      </c>
      <c r="E1450" s="26" t="str">
        <f>IF(A1450="","",BASE_CAIXA!AA1447)</f>
        <v/>
      </c>
      <c r="F1450" s="26" t="str">
        <f>IF(A1450="","",BASE_CAIXA!N1447)</f>
        <v/>
      </c>
      <c r="G1450" s="26" t="str">
        <f>IF(A1450="","",BASE_CAIXA!O1447)</f>
        <v/>
      </c>
      <c r="H1450" s="26" t="str">
        <f>IF(A1450="","",BASE_CAIXA!P1447)</f>
        <v/>
      </c>
      <c r="I1450" s="26" t="str">
        <f>IF(A1450="","",IF(BASE_CAIXA!H1447&lt;&gt;"",BASE_CAIXA!H1447,BASE_CAIXA!G1447))</f>
        <v/>
      </c>
      <c r="J1450" s="26" t="str">
        <f>IF(A1450="","",BASE_CAIXA!G1447)</f>
        <v/>
      </c>
      <c r="K1450" s="26" t="str">
        <f>IF(A1450="","",BASE_CAIXA!I1447)</f>
        <v/>
      </c>
      <c r="L1450" s="26" t="str">
        <f>IF(A1450="","",BASE_CAIXA!J1447)</f>
        <v/>
      </c>
      <c r="M1450" s="26" t="str">
        <f>IF(A1450="","",BASE_CAIXA!AM1447)</f>
        <v/>
      </c>
      <c r="N1450" s="26" t="str">
        <f t="shared" ca="1" si="66"/>
        <v/>
      </c>
      <c r="O1450" s="26" t="str">
        <f>IFERROR(INDEX(EXTRATO_IMPORTADO!$A$5:$A$404,MATCH(B1450,EXTRATO_IMPORTADO!$I$5:$I$404,0)),"")</f>
        <v/>
      </c>
      <c r="P1450" s="26" t="str">
        <f>IFERROR(INDEX(EXTRATO_IMPORTADO!$F$5:$F$404,MATCH(B1450,EXTRATO_IMPORTADO!$I$5:$I$404,0)),"")</f>
        <v/>
      </c>
      <c r="Q1450" s="26" t="str">
        <f>IFERROR(INDEX(EXTRATO_IMPORTADO!$B$5:$B$404,MATCH(B1450,EXTRATO_IMPORTADO!$I$5:$I$404,0)),"")</f>
        <v/>
      </c>
      <c r="R1450" s="26" t="str">
        <f>IFERROR(MATCH(B1450,EXTRATO_IMPORTADO!$I$5:$I$404,0),"")</f>
        <v/>
      </c>
      <c r="S1450" s="26" t="str">
        <f t="shared" si="67"/>
        <v/>
      </c>
      <c r="T1450" s="26" t="str">
        <f t="shared" si="68"/>
        <v/>
      </c>
    </row>
    <row r="1451" spans="1:20" x14ac:dyDescent="0.3">
      <c r="A1451" s="26" t="str">
        <f>IF(BASE_CAIXA!A1448="","",BASE_CAIXA!A1448)</f>
        <v/>
      </c>
      <c r="B1451" s="26" t="str">
        <f>IF(A1451="","",BASE_CAIXA!AL1448)</f>
        <v/>
      </c>
      <c r="C1451" s="26" t="str">
        <f>IF(A1451="","",BASE_CAIXA!AJ1448)</f>
        <v/>
      </c>
      <c r="D1451" s="26" t="str">
        <f>IF(A1451="","",IF(BASE_CAIXA!C1448="Entrada","Crédito","Débito"))</f>
        <v/>
      </c>
      <c r="E1451" s="26" t="str">
        <f>IF(A1451="","",BASE_CAIXA!AA1448)</f>
        <v/>
      </c>
      <c r="F1451" s="26" t="str">
        <f>IF(A1451="","",BASE_CAIXA!N1448)</f>
        <v/>
      </c>
      <c r="G1451" s="26" t="str">
        <f>IF(A1451="","",BASE_CAIXA!O1448)</f>
        <v/>
      </c>
      <c r="H1451" s="26" t="str">
        <f>IF(A1451="","",BASE_CAIXA!P1448)</f>
        <v/>
      </c>
      <c r="I1451" s="26" t="str">
        <f>IF(A1451="","",IF(BASE_CAIXA!H1448&lt;&gt;"",BASE_CAIXA!H1448,BASE_CAIXA!G1448))</f>
        <v/>
      </c>
      <c r="J1451" s="26" t="str">
        <f>IF(A1451="","",BASE_CAIXA!G1448)</f>
        <v/>
      </c>
      <c r="K1451" s="26" t="str">
        <f>IF(A1451="","",BASE_CAIXA!I1448)</f>
        <v/>
      </c>
      <c r="L1451" s="26" t="str">
        <f>IF(A1451="","",BASE_CAIXA!J1448)</f>
        <v/>
      </c>
      <c r="M1451" s="26" t="str">
        <f>IF(A1451="","",BASE_CAIXA!AM1448)</f>
        <v/>
      </c>
      <c r="N1451" s="26" t="str">
        <f t="shared" ca="1" si="66"/>
        <v/>
      </c>
      <c r="O1451" s="26" t="str">
        <f>IFERROR(INDEX(EXTRATO_IMPORTADO!$A$5:$A$404,MATCH(B1451,EXTRATO_IMPORTADO!$I$5:$I$404,0)),"")</f>
        <v/>
      </c>
      <c r="P1451" s="26" t="str">
        <f>IFERROR(INDEX(EXTRATO_IMPORTADO!$F$5:$F$404,MATCH(B1451,EXTRATO_IMPORTADO!$I$5:$I$404,0)),"")</f>
        <v/>
      </c>
      <c r="Q1451" s="26" t="str">
        <f>IFERROR(INDEX(EXTRATO_IMPORTADO!$B$5:$B$404,MATCH(B1451,EXTRATO_IMPORTADO!$I$5:$I$404,0)),"")</f>
        <v/>
      </c>
      <c r="R1451" s="26" t="str">
        <f>IFERROR(MATCH(B1451,EXTRATO_IMPORTADO!$I$5:$I$404,0),"")</f>
        <v/>
      </c>
      <c r="S1451" s="26" t="str">
        <f t="shared" si="67"/>
        <v/>
      </c>
      <c r="T1451" s="26" t="str">
        <f t="shared" si="68"/>
        <v/>
      </c>
    </row>
    <row r="1452" spans="1:20" x14ac:dyDescent="0.3">
      <c r="A1452" s="26" t="str">
        <f>IF(BASE_CAIXA!A1449="","",BASE_CAIXA!A1449)</f>
        <v/>
      </c>
      <c r="B1452" s="26" t="str">
        <f>IF(A1452="","",BASE_CAIXA!AL1449)</f>
        <v/>
      </c>
      <c r="C1452" s="26" t="str">
        <f>IF(A1452="","",BASE_CAIXA!AJ1449)</f>
        <v/>
      </c>
      <c r="D1452" s="26" t="str">
        <f>IF(A1452="","",IF(BASE_CAIXA!C1449="Entrada","Crédito","Débito"))</f>
        <v/>
      </c>
      <c r="E1452" s="26" t="str">
        <f>IF(A1452="","",BASE_CAIXA!AA1449)</f>
        <v/>
      </c>
      <c r="F1452" s="26" t="str">
        <f>IF(A1452="","",BASE_CAIXA!N1449)</f>
        <v/>
      </c>
      <c r="G1452" s="26" t="str">
        <f>IF(A1452="","",BASE_CAIXA!O1449)</f>
        <v/>
      </c>
      <c r="H1452" s="26" t="str">
        <f>IF(A1452="","",BASE_CAIXA!P1449)</f>
        <v/>
      </c>
      <c r="I1452" s="26" t="str">
        <f>IF(A1452="","",IF(BASE_CAIXA!H1449&lt;&gt;"",BASE_CAIXA!H1449,BASE_CAIXA!G1449))</f>
        <v/>
      </c>
      <c r="J1452" s="26" t="str">
        <f>IF(A1452="","",BASE_CAIXA!G1449)</f>
        <v/>
      </c>
      <c r="K1452" s="26" t="str">
        <f>IF(A1452="","",BASE_CAIXA!I1449)</f>
        <v/>
      </c>
      <c r="L1452" s="26" t="str">
        <f>IF(A1452="","",BASE_CAIXA!J1449)</f>
        <v/>
      </c>
      <c r="M1452" s="26" t="str">
        <f>IF(A1452="","",BASE_CAIXA!AM1449)</f>
        <v/>
      </c>
      <c r="N1452" s="26" t="str">
        <f t="shared" ca="1" si="66"/>
        <v/>
      </c>
      <c r="O1452" s="26" t="str">
        <f>IFERROR(INDEX(EXTRATO_IMPORTADO!$A$5:$A$404,MATCH(B1452,EXTRATO_IMPORTADO!$I$5:$I$404,0)),"")</f>
        <v/>
      </c>
      <c r="P1452" s="26" t="str">
        <f>IFERROR(INDEX(EXTRATO_IMPORTADO!$F$5:$F$404,MATCH(B1452,EXTRATO_IMPORTADO!$I$5:$I$404,0)),"")</f>
        <v/>
      </c>
      <c r="Q1452" s="26" t="str">
        <f>IFERROR(INDEX(EXTRATO_IMPORTADO!$B$5:$B$404,MATCH(B1452,EXTRATO_IMPORTADO!$I$5:$I$404,0)),"")</f>
        <v/>
      </c>
      <c r="R1452" s="26" t="str">
        <f>IFERROR(MATCH(B1452,EXTRATO_IMPORTADO!$I$5:$I$404,0),"")</f>
        <v/>
      </c>
      <c r="S1452" s="26" t="str">
        <f t="shared" si="67"/>
        <v/>
      </c>
      <c r="T1452" s="26" t="str">
        <f t="shared" si="68"/>
        <v/>
      </c>
    </row>
    <row r="1453" spans="1:20" x14ac:dyDescent="0.3">
      <c r="A1453" s="26" t="str">
        <f>IF(BASE_CAIXA!A1450="","",BASE_CAIXA!A1450)</f>
        <v/>
      </c>
      <c r="B1453" s="26" t="str">
        <f>IF(A1453="","",BASE_CAIXA!AL1450)</f>
        <v/>
      </c>
      <c r="C1453" s="26" t="str">
        <f>IF(A1453="","",BASE_CAIXA!AJ1450)</f>
        <v/>
      </c>
      <c r="D1453" s="26" t="str">
        <f>IF(A1453="","",IF(BASE_CAIXA!C1450="Entrada","Crédito","Débito"))</f>
        <v/>
      </c>
      <c r="E1453" s="26" t="str">
        <f>IF(A1453="","",BASE_CAIXA!AA1450)</f>
        <v/>
      </c>
      <c r="F1453" s="26" t="str">
        <f>IF(A1453="","",BASE_CAIXA!N1450)</f>
        <v/>
      </c>
      <c r="G1453" s="26" t="str">
        <f>IF(A1453="","",BASE_CAIXA!O1450)</f>
        <v/>
      </c>
      <c r="H1453" s="26" t="str">
        <f>IF(A1453="","",BASE_CAIXA!P1450)</f>
        <v/>
      </c>
      <c r="I1453" s="26" t="str">
        <f>IF(A1453="","",IF(BASE_CAIXA!H1450&lt;&gt;"",BASE_CAIXA!H1450,BASE_CAIXA!G1450))</f>
        <v/>
      </c>
      <c r="J1453" s="26" t="str">
        <f>IF(A1453="","",BASE_CAIXA!G1450)</f>
        <v/>
      </c>
      <c r="K1453" s="26" t="str">
        <f>IF(A1453="","",BASE_CAIXA!I1450)</f>
        <v/>
      </c>
      <c r="L1453" s="26" t="str">
        <f>IF(A1453="","",BASE_CAIXA!J1450)</f>
        <v/>
      </c>
      <c r="M1453" s="26" t="str">
        <f>IF(A1453="","",BASE_CAIXA!AM1450)</f>
        <v/>
      </c>
      <c r="N1453" s="26" t="str">
        <f t="shared" ca="1" si="66"/>
        <v/>
      </c>
      <c r="O1453" s="26" t="str">
        <f>IFERROR(INDEX(EXTRATO_IMPORTADO!$A$5:$A$404,MATCH(B1453,EXTRATO_IMPORTADO!$I$5:$I$404,0)),"")</f>
        <v/>
      </c>
      <c r="P1453" s="26" t="str">
        <f>IFERROR(INDEX(EXTRATO_IMPORTADO!$F$5:$F$404,MATCH(B1453,EXTRATO_IMPORTADO!$I$5:$I$404,0)),"")</f>
        <v/>
      </c>
      <c r="Q1453" s="26" t="str">
        <f>IFERROR(INDEX(EXTRATO_IMPORTADO!$B$5:$B$404,MATCH(B1453,EXTRATO_IMPORTADO!$I$5:$I$404,0)),"")</f>
        <v/>
      </c>
      <c r="R1453" s="26" t="str">
        <f>IFERROR(MATCH(B1453,EXTRATO_IMPORTADO!$I$5:$I$404,0),"")</f>
        <v/>
      </c>
      <c r="S1453" s="26" t="str">
        <f t="shared" si="67"/>
        <v/>
      </c>
      <c r="T1453" s="26" t="str">
        <f t="shared" si="68"/>
        <v/>
      </c>
    </row>
    <row r="1454" spans="1:20" x14ac:dyDescent="0.3">
      <c r="A1454" s="26" t="str">
        <f>IF(BASE_CAIXA!A1451="","",BASE_CAIXA!A1451)</f>
        <v/>
      </c>
      <c r="B1454" s="26" t="str">
        <f>IF(A1454="","",BASE_CAIXA!AL1451)</f>
        <v/>
      </c>
      <c r="C1454" s="26" t="str">
        <f>IF(A1454="","",BASE_CAIXA!AJ1451)</f>
        <v/>
      </c>
      <c r="D1454" s="26" t="str">
        <f>IF(A1454="","",IF(BASE_CAIXA!C1451="Entrada","Crédito","Débito"))</f>
        <v/>
      </c>
      <c r="E1454" s="26" t="str">
        <f>IF(A1454="","",BASE_CAIXA!AA1451)</f>
        <v/>
      </c>
      <c r="F1454" s="26" t="str">
        <f>IF(A1454="","",BASE_CAIXA!N1451)</f>
        <v/>
      </c>
      <c r="G1454" s="26" t="str">
        <f>IF(A1454="","",BASE_CAIXA!O1451)</f>
        <v/>
      </c>
      <c r="H1454" s="26" t="str">
        <f>IF(A1454="","",BASE_CAIXA!P1451)</f>
        <v/>
      </c>
      <c r="I1454" s="26" t="str">
        <f>IF(A1454="","",IF(BASE_CAIXA!H1451&lt;&gt;"",BASE_CAIXA!H1451,BASE_CAIXA!G1451))</f>
        <v/>
      </c>
      <c r="J1454" s="26" t="str">
        <f>IF(A1454="","",BASE_CAIXA!G1451)</f>
        <v/>
      </c>
      <c r="K1454" s="26" t="str">
        <f>IF(A1454="","",BASE_CAIXA!I1451)</f>
        <v/>
      </c>
      <c r="L1454" s="26" t="str">
        <f>IF(A1454="","",BASE_CAIXA!J1451)</f>
        <v/>
      </c>
      <c r="M1454" s="26" t="str">
        <f>IF(A1454="","",BASE_CAIXA!AM1451)</f>
        <v/>
      </c>
      <c r="N1454" s="26" t="str">
        <f t="shared" ca="1" si="66"/>
        <v/>
      </c>
      <c r="O1454" s="26" t="str">
        <f>IFERROR(INDEX(EXTRATO_IMPORTADO!$A$5:$A$404,MATCH(B1454,EXTRATO_IMPORTADO!$I$5:$I$404,0)),"")</f>
        <v/>
      </c>
      <c r="P1454" s="26" t="str">
        <f>IFERROR(INDEX(EXTRATO_IMPORTADO!$F$5:$F$404,MATCH(B1454,EXTRATO_IMPORTADO!$I$5:$I$404,0)),"")</f>
        <v/>
      </c>
      <c r="Q1454" s="26" t="str">
        <f>IFERROR(INDEX(EXTRATO_IMPORTADO!$B$5:$B$404,MATCH(B1454,EXTRATO_IMPORTADO!$I$5:$I$404,0)),"")</f>
        <v/>
      </c>
      <c r="R1454" s="26" t="str">
        <f>IFERROR(MATCH(B1454,EXTRATO_IMPORTADO!$I$5:$I$404,0),"")</f>
        <v/>
      </c>
      <c r="S1454" s="26" t="str">
        <f t="shared" si="67"/>
        <v/>
      </c>
      <c r="T1454" s="26" t="str">
        <f t="shared" si="68"/>
        <v/>
      </c>
    </row>
    <row r="1455" spans="1:20" x14ac:dyDescent="0.3">
      <c r="A1455" s="26" t="str">
        <f>IF(BASE_CAIXA!A1452="","",BASE_CAIXA!A1452)</f>
        <v/>
      </c>
      <c r="B1455" s="26" t="str">
        <f>IF(A1455="","",BASE_CAIXA!AL1452)</f>
        <v/>
      </c>
      <c r="C1455" s="26" t="str">
        <f>IF(A1455="","",BASE_CAIXA!AJ1452)</f>
        <v/>
      </c>
      <c r="D1455" s="26" t="str">
        <f>IF(A1455="","",IF(BASE_CAIXA!C1452="Entrada","Crédito","Débito"))</f>
        <v/>
      </c>
      <c r="E1455" s="26" t="str">
        <f>IF(A1455="","",BASE_CAIXA!AA1452)</f>
        <v/>
      </c>
      <c r="F1455" s="26" t="str">
        <f>IF(A1455="","",BASE_CAIXA!N1452)</f>
        <v/>
      </c>
      <c r="G1455" s="26" t="str">
        <f>IF(A1455="","",BASE_CAIXA!O1452)</f>
        <v/>
      </c>
      <c r="H1455" s="26" t="str">
        <f>IF(A1455="","",BASE_CAIXA!P1452)</f>
        <v/>
      </c>
      <c r="I1455" s="26" t="str">
        <f>IF(A1455="","",IF(BASE_CAIXA!H1452&lt;&gt;"",BASE_CAIXA!H1452,BASE_CAIXA!G1452))</f>
        <v/>
      </c>
      <c r="J1455" s="26" t="str">
        <f>IF(A1455="","",BASE_CAIXA!G1452)</f>
        <v/>
      </c>
      <c r="K1455" s="26" t="str">
        <f>IF(A1455="","",BASE_CAIXA!I1452)</f>
        <v/>
      </c>
      <c r="L1455" s="26" t="str">
        <f>IF(A1455="","",BASE_CAIXA!J1452)</f>
        <v/>
      </c>
      <c r="M1455" s="26" t="str">
        <f>IF(A1455="","",BASE_CAIXA!AM1452)</f>
        <v/>
      </c>
      <c r="N1455" s="26" t="str">
        <f t="shared" ca="1" si="66"/>
        <v/>
      </c>
      <c r="O1455" s="26" t="str">
        <f>IFERROR(INDEX(EXTRATO_IMPORTADO!$A$5:$A$404,MATCH(B1455,EXTRATO_IMPORTADO!$I$5:$I$404,0)),"")</f>
        <v/>
      </c>
      <c r="P1455" s="26" t="str">
        <f>IFERROR(INDEX(EXTRATO_IMPORTADO!$F$5:$F$404,MATCH(B1455,EXTRATO_IMPORTADO!$I$5:$I$404,0)),"")</f>
        <v/>
      </c>
      <c r="Q1455" s="26" t="str">
        <f>IFERROR(INDEX(EXTRATO_IMPORTADO!$B$5:$B$404,MATCH(B1455,EXTRATO_IMPORTADO!$I$5:$I$404,0)),"")</f>
        <v/>
      </c>
      <c r="R1455" s="26" t="str">
        <f>IFERROR(MATCH(B1455,EXTRATO_IMPORTADO!$I$5:$I$404,0),"")</f>
        <v/>
      </c>
      <c r="S1455" s="26" t="str">
        <f t="shared" si="67"/>
        <v/>
      </c>
      <c r="T1455" s="26" t="str">
        <f t="shared" si="68"/>
        <v/>
      </c>
    </row>
    <row r="1456" spans="1:20" x14ac:dyDescent="0.3">
      <c r="A1456" s="26" t="str">
        <f>IF(BASE_CAIXA!A1453="","",BASE_CAIXA!A1453)</f>
        <v/>
      </c>
      <c r="B1456" s="26" t="str">
        <f>IF(A1456="","",BASE_CAIXA!AL1453)</f>
        <v/>
      </c>
      <c r="C1456" s="26" t="str">
        <f>IF(A1456="","",BASE_CAIXA!AJ1453)</f>
        <v/>
      </c>
      <c r="D1456" s="26" t="str">
        <f>IF(A1456="","",IF(BASE_CAIXA!C1453="Entrada","Crédito","Débito"))</f>
        <v/>
      </c>
      <c r="E1456" s="26" t="str">
        <f>IF(A1456="","",BASE_CAIXA!AA1453)</f>
        <v/>
      </c>
      <c r="F1456" s="26" t="str">
        <f>IF(A1456="","",BASE_CAIXA!N1453)</f>
        <v/>
      </c>
      <c r="G1456" s="26" t="str">
        <f>IF(A1456="","",BASE_CAIXA!O1453)</f>
        <v/>
      </c>
      <c r="H1456" s="26" t="str">
        <f>IF(A1456="","",BASE_CAIXA!P1453)</f>
        <v/>
      </c>
      <c r="I1456" s="26" t="str">
        <f>IF(A1456="","",IF(BASE_CAIXA!H1453&lt;&gt;"",BASE_CAIXA!H1453,BASE_CAIXA!G1453))</f>
        <v/>
      </c>
      <c r="J1456" s="26" t="str">
        <f>IF(A1456="","",BASE_CAIXA!G1453)</f>
        <v/>
      </c>
      <c r="K1456" s="26" t="str">
        <f>IF(A1456="","",BASE_CAIXA!I1453)</f>
        <v/>
      </c>
      <c r="L1456" s="26" t="str">
        <f>IF(A1456="","",BASE_CAIXA!J1453)</f>
        <v/>
      </c>
      <c r="M1456" s="26" t="str">
        <f>IF(A1456="","",BASE_CAIXA!AM1453)</f>
        <v/>
      </c>
      <c r="N1456" s="26" t="str">
        <f t="shared" ca="1" si="66"/>
        <v/>
      </c>
      <c r="O1456" s="26" t="str">
        <f>IFERROR(INDEX(EXTRATO_IMPORTADO!$A$5:$A$404,MATCH(B1456,EXTRATO_IMPORTADO!$I$5:$I$404,0)),"")</f>
        <v/>
      </c>
      <c r="P1456" s="26" t="str">
        <f>IFERROR(INDEX(EXTRATO_IMPORTADO!$F$5:$F$404,MATCH(B1456,EXTRATO_IMPORTADO!$I$5:$I$404,0)),"")</f>
        <v/>
      </c>
      <c r="Q1456" s="26" t="str">
        <f>IFERROR(INDEX(EXTRATO_IMPORTADO!$B$5:$B$404,MATCH(B1456,EXTRATO_IMPORTADO!$I$5:$I$404,0)),"")</f>
        <v/>
      </c>
      <c r="R1456" s="26" t="str">
        <f>IFERROR(MATCH(B1456,EXTRATO_IMPORTADO!$I$5:$I$404,0),"")</f>
        <v/>
      </c>
      <c r="S1456" s="26" t="str">
        <f t="shared" si="67"/>
        <v/>
      </c>
      <c r="T1456" s="26" t="str">
        <f t="shared" si="68"/>
        <v/>
      </c>
    </row>
    <row r="1457" spans="1:20" x14ac:dyDescent="0.3">
      <c r="A1457" s="26" t="str">
        <f>IF(BASE_CAIXA!A1454="","",BASE_CAIXA!A1454)</f>
        <v/>
      </c>
      <c r="B1457" s="26" t="str">
        <f>IF(A1457="","",BASE_CAIXA!AL1454)</f>
        <v/>
      </c>
      <c r="C1457" s="26" t="str">
        <f>IF(A1457="","",BASE_CAIXA!AJ1454)</f>
        <v/>
      </c>
      <c r="D1457" s="26" t="str">
        <f>IF(A1457="","",IF(BASE_CAIXA!C1454="Entrada","Crédito","Débito"))</f>
        <v/>
      </c>
      <c r="E1457" s="26" t="str">
        <f>IF(A1457="","",BASE_CAIXA!AA1454)</f>
        <v/>
      </c>
      <c r="F1457" s="26" t="str">
        <f>IF(A1457="","",BASE_CAIXA!N1454)</f>
        <v/>
      </c>
      <c r="G1457" s="26" t="str">
        <f>IF(A1457="","",BASE_CAIXA!O1454)</f>
        <v/>
      </c>
      <c r="H1457" s="26" t="str">
        <f>IF(A1457="","",BASE_CAIXA!P1454)</f>
        <v/>
      </c>
      <c r="I1457" s="26" t="str">
        <f>IF(A1457="","",IF(BASE_CAIXA!H1454&lt;&gt;"",BASE_CAIXA!H1454,BASE_CAIXA!G1454))</f>
        <v/>
      </c>
      <c r="J1457" s="26" t="str">
        <f>IF(A1457="","",BASE_CAIXA!G1454)</f>
        <v/>
      </c>
      <c r="K1457" s="26" t="str">
        <f>IF(A1457="","",BASE_CAIXA!I1454)</f>
        <v/>
      </c>
      <c r="L1457" s="26" t="str">
        <f>IF(A1457="","",BASE_CAIXA!J1454)</f>
        <v/>
      </c>
      <c r="M1457" s="26" t="str">
        <f>IF(A1457="","",BASE_CAIXA!AM1454)</f>
        <v/>
      </c>
      <c r="N1457" s="26" t="str">
        <f t="shared" ca="1" si="66"/>
        <v/>
      </c>
      <c r="O1457" s="26" t="str">
        <f>IFERROR(INDEX(EXTRATO_IMPORTADO!$A$5:$A$404,MATCH(B1457,EXTRATO_IMPORTADO!$I$5:$I$404,0)),"")</f>
        <v/>
      </c>
      <c r="P1457" s="26" t="str">
        <f>IFERROR(INDEX(EXTRATO_IMPORTADO!$F$5:$F$404,MATCH(B1457,EXTRATO_IMPORTADO!$I$5:$I$404,0)),"")</f>
        <v/>
      </c>
      <c r="Q1457" s="26" t="str">
        <f>IFERROR(INDEX(EXTRATO_IMPORTADO!$B$5:$B$404,MATCH(B1457,EXTRATO_IMPORTADO!$I$5:$I$404,0)),"")</f>
        <v/>
      </c>
      <c r="R1457" s="26" t="str">
        <f>IFERROR(MATCH(B1457,EXTRATO_IMPORTADO!$I$5:$I$404,0),"")</f>
        <v/>
      </c>
      <c r="S1457" s="26" t="str">
        <f t="shared" si="67"/>
        <v/>
      </c>
      <c r="T1457" s="26" t="str">
        <f t="shared" si="68"/>
        <v/>
      </c>
    </row>
    <row r="1458" spans="1:20" x14ac:dyDescent="0.3">
      <c r="A1458" s="26" t="str">
        <f>IF(BASE_CAIXA!A1455="","",BASE_CAIXA!A1455)</f>
        <v/>
      </c>
      <c r="B1458" s="26" t="str">
        <f>IF(A1458="","",BASE_CAIXA!AL1455)</f>
        <v/>
      </c>
      <c r="C1458" s="26" t="str">
        <f>IF(A1458="","",BASE_CAIXA!AJ1455)</f>
        <v/>
      </c>
      <c r="D1458" s="26" t="str">
        <f>IF(A1458="","",IF(BASE_CAIXA!C1455="Entrada","Crédito","Débito"))</f>
        <v/>
      </c>
      <c r="E1458" s="26" t="str">
        <f>IF(A1458="","",BASE_CAIXA!AA1455)</f>
        <v/>
      </c>
      <c r="F1458" s="26" t="str">
        <f>IF(A1458="","",BASE_CAIXA!N1455)</f>
        <v/>
      </c>
      <c r="G1458" s="26" t="str">
        <f>IF(A1458="","",BASE_CAIXA!O1455)</f>
        <v/>
      </c>
      <c r="H1458" s="26" t="str">
        <f>IF(A1458="","",BASE_CAIXA!P1455)</f>
        <v/>
      </c>
      <c r="I1458" s="26" t="str">
        <f>IF(A1458="","",IF(BASE_CAIXA!H1455&lt;&gt;"",BASE_CAIXA!H1455,BASE_CAIXA!G1455))</f>
        <v/>
      </c>
      <c r="J1458" s="26" t="str">
        <f>IF(A1458="","",BASE_CAIXA!G1455)</f>
        <v/>
      </c>
      <c r="K1458" s="26" t="str">
        <f>IF(A1458="","",BASE_CAIXA!I1455)</f>
        <v/>
      </c>
      <c r="L1458" s="26" t="str">
        <f>IF(A1458="","",BASE_CAIXA!J1455)</f>
        <v/>
      </c>
      <c r="M1458" s="26" t="str">
        <f>IF(A1458="","",BASE_CAIXA!AM1455)</f>
        <v/>
      </c>
      <c r="N1458" s="26" t="str">
        <f t="shared" ca="1" si="66"/>
        <v/>
      </c>
      <c r="O1458" s="26" t="str">
        <f>IFERROR(INDEX(EXTRATO_IMPORTADO!$A$5:$A$404,MATCH(B1458,EXTRATO_IMPORTADO!$I$5:$I$404,0)),"")</f>
        <v/>
      </c>
      <c r="P1458" s="26" t="str">
        <f>IFERROR(INDEX(EXTRATO_IMPORTADO!$F$5:$F$404,MATCH(B1458,EXTRATO_IMPORTADO!$I$5:$I$404,0)),"")</f>
        <v/>
      </c>
      <c r="Q1458" s="26" t="str">
        <f>IFERROR(INDEX(EXTRATO_IMPORTADO!$B$5:$B$404,MATCH(B1458,EXTRATO_IMPORTADO!$I$5:$I$404,0)),"")</f>
        <v/>
      </c>
      <c r="R1458" s="26" t="str">
        <f>IFERROR(MATCH(B1458,EXTRATO_IMPORTADO!$I$5:$I$404,0),"")</f>
        <v/>
      </c>
      <c r="S1458" s="26" t="str">
        <f t="shared" si="67"/>
        <v/>
      </c>
      <c r="T1458" s="26" t="str">
        <f t="shared" si="68"/>
        <v/>
      </c>
    </row>
    <row r="1459" spans="1:20" x14ac:dyDescent="0.3">
      <c r="A1459" s="26" t="str">
        <f>IF(BASE_CAIXA!A1456="","",BASE_CAIXA!A1456)</f>
        <v/>
      </c>
      <c r="B1459" s="26" t="str">
        <f>IF(A1459="","",BASE_CAIXA!AL1456)</f>
        <v/>
      </c>
      <c r="C1459" s="26" t="str">
        <f>IF(A1459="","",BASE_CAIXA!AJ1456)</f>
        <v/>
      </c>
      <c r="D1459" s="26" t="str">
        <f>IF(A1459="","",IF(BASE_CAIXA!C1456="Entrada","Crédito","Débito"))</f>
        <v/>
      </c>
      <c r="E1459" s="26" t="str">
        <f>IF(A1459="","",BASE_CAIXA!AA1456)</f>
        <v/>
      </c>
      <c r="F1459" s="26" t="str">
        <f>IF(A1459="","",BASE_CAIXA!N1456)</f>
        <v/>
      </c>
      <c r="G1459" s="26" t="str">
        <f>IF(A1459="","",BASE_CAIXA!O1456)</f>
        <v/>
      </c>
      <c r="H1459" s="26" t="str">
        <f>IF(A1459="","",BASE_CAIXA!P1456)</f>
        <v/>
      </c>
      <c r="I1459" s="26" t="str">
        <f>IF(A1459="","",IF(BASE_CAIXA!H1456&lt;&gt;"",BASE_CAIXA!H1456,BASE_CAIXA!G1456))</f>
        <v/>
      </c>
      <c r="J1459" s="26" t="str">
        <f>IF(A1459="","",BASE_CAIXA!G1456)</f>
        <v/>
      </c>
      <c r="K1459" s="26" t="str">
        <f>IF(A1459="","",BASE_CAIXA!I1456)</f>
        <v/>
      </c>
      <c r="L1459" s="26" t="str">
        <f>IF(A1459="","",BASE_CAIXA!J1456)</f>
        <v/>
      </c>
      <c r="M1459" s="26" t="str">
        <f>IF(A1459="","",BASE_CAIXA!AM1456)</f>
        <v/>
      </c>
      <c r="N1459" s="26" t="str">
        <f t="shared" ca="1" si="66"/>
        <v/>
      </c>
      <c r="O1459" s="26" t="str">
        <f>IFERROR(INDEX(EXTRATO_IMPORTADO!$A$5:$A$404,MATCH(B1459,EXTRATO_IMPORTADO!$I$5:$I$404,0)),"")</f>
        <v/>
      </c>
      <c r="P1459" s="26" t="str">
        <f>IFERROR(INDEX(EXTRATO_IMPORTADO!$F$5:$F$404,MATCH(B1459,EXTRATO_IMPORTADO!$I$5:$I$404,0)),"")</f>
        <v/>
      </c>
      <c r="Q1459" s="26" t="str">
        <f>IFERROR(INDEX(EXTRATO_IMPORTADO!$B$5:$B$404,MATCH(B1459,EXTRATO_IMPORTADO!$I$5:$I$404,0)),"")</f>
        <v/>
      </c>
      <c r="R1459" s="26" t="str">
        <f>IFERROR(MATCH(B1459,EXTRATO_IMPORTADO!$I$5:$I$404,0),"")</f>
        <v/>
      </c>
      <c r="S1459" s="26" t="str">
        <f t="shared" si="67"/>
        <v/>
      </c>
      <c r="T1459" s="26" t="str">
        <f t="shared" si="68"/>
        <v/>
      </c>
    </row>
    <row r="1460" spans="1:20" x14ac:dyDescent="0.3">
      <c r="A1460" s="26" t="str">
        <f>IF(BASE_CAIXA!A1457="","",BASE_CAIXA!A1457)</f>
        <v/>
      </c>
      <c r="B1460" s="26" t="str">
        <f>IF(A1460="","",BASE_CAIXA!AL1457)</f>
        <v/>
      </c>
      <c r="C1460" s="26" t="str">
        <f>IF(A1460="","",BASE_CAIXA!AJ1457)</f>
        <v/>
      </c>
      <c r="D1460" s="26" t="str">
        <f>IF(A1460="","",IF(BASE_CAIXA!C1457="Entrada","Crédito","Débito"))</f>
        <v/>
      </c>
      <c r="E1460" s="26" t="str">
        <f>IF(A1460="","",BASE_CAIXA!AA1457)</f>
        <v/>
      </c>
      <c r="F1460" s="26" t="str">
        <f>IF(A1460="","",BASE_CAIXA!N1457)</f>
        <v/>
      </c>
      <c r="G1460" s="26" t="str">
        <f>IF(A1460="","",BASE_CAIXA!O1457)</f>
        <v/>
      </c>
      <c r="H1460" s="26" t="str">
        <f>IF(A1460="","",BASE_CAIXA!P1457)</f>
        <v/>
      </c>
      <c r="I1460" s="26" t="str">
        <f>IF(A1460="","",IF(BASE_CAIXA!H1457&lt;&gt;"",BASE_CAIXA!H1457,BASE_CAIXA!G1457))</f>
        <v/>
      </c>
      <c r="J1460" s="26" t="str">
        <f>IF(A1460="","",BASE_CAIXA!G1457)</f>
        <v/>
      </c>
      <c r="K1460" s="26" t="str">
        <f>IF(A1460="","",BASE_CAIXA!I1457)</f>
        <v/>
      </c>
      <c r="L1460" s="26" t="str">
        <f>IF(A1460="","",BASE_CAIXA!J1457)</f>
        <v/>
      </c>
      <c r="M1460" s="26" t="str">
        <f>IF(A1460="","",BASE_CAIXA!AM1457)</f>
        <v/>
      </c>
      <c r="N1460" s="26" t="str">
        <f t="shared" ca="1" si="66"/>
        <v/>
      </c>
      <c r="O1460" s="26" t="str">
        <f>IFERROR(INDEX(EXTRATO_IMPORTADO!$A$5:$A$404,MATCH(B1460,EXTRATO_IMPORTADO!$I$5:$I$404,0)),"")</f>
        <v/>
      </c>
      <c r="P1460" s="26" t="str">
        <f>IFERROR(INDEX(EXTRATO_IMPORTADO!$F$5:$F$404,MATCH(B1460,EXTRATO_IMPORTADO!$I$5:$I$404,0)),"")</f>
        <v/>
      </c>
      <c r="Q1460" s="26" t="str">
        <f>IFERROR(INDEX(EXTRATO_IMPORTADO!$B$5:$B$404,MATCH(B1460,EXTRATO_IMPORTADO!$I$5:$I$404,0)),"")</f>
        <v/>
      </c>
      <c r="R1460" s="26" t="str">
        <f>IFERROR(MATCH(B1460,EXTRATO_IMPORTADO!$I$5:$I$404,0),"")</f>
        <v/>
      </c>
      <c r="S1460" s="26" t="str">
        <f t="shared" si="67"/>
        <v/>
      </c>
      <c r="T1460" s="26" t="str">
        <f t="shared" si="68"/>
        <v/>
      </c>
    </row>
    <row r="1461" spans="1:20" x14ac:dyDescent="0.3">
      <c r="A1461" s="26" t="str">
        <f>IF(BASE_CAIXA!A1458="","",BASE_CAIXA!A1458)</f>
        <v/>
      </c>
      <c r="B1461" s="26" t="str">
        <f>IF(A1461="","",BASE_CAIXA!AL1458)</f>
        <v/>
      </c>
      <c r="C1461" s="26" t="str">
        <f>IF(A1461="","",BASE_CAIXA!AJ1458)</f>
        <v/>
      </c>
      <c r="D1461" s="26" t="str">
        <f>IF(A1461="","",IF(BASE_CAIXA!C1458="Entrada","Crédito","Débito"))</f>
        <v/>
      </c>
      <c r="E1461" s="26" t="str">
        <f>IF(A1461="","",BASE_CAIXA!AA1458)</f>
        <v/>
      </c>
      <c r="F1461" s="26" t="str">
        <f>IF(A1461="","",BASE_CAIXA!N1458)</f>
        <v/>
      </c>
      <c r="G1461" s="26" t="str">
        <f>IF(A1461="","",BASE_CAIXA!O1458)</f>
        <v/>
      </c>
      <c r="H1461" s="26" t="str">
        <f>IF(A1461="","",BASE_CAIXA!P1458)</f>
        <v/>
      </c>
      <c r="I1461" s="26" t="str">
        <f>IF(A1461="","",IF(BASE_CAIXA!H1458&lt;&gt;"",BASE_CAIXA!H1458,BASE_CAIXA!G1458))</f>
        <v/>
      </c>
      <c r="J1461" s="26" t="str">
        <f>IF(A1461="","",BASE_CAIXA!G1458)</f>
        <v/>
      </c>
      <c r="K1461" s="26" t="str">
        <f>IF(A1461="","",BASE_CAIXA!I1458)</f>
        <v/>
      </c>
      <c r="L1461" s="26" t="str">
        <f>IF(A1461="","",BASE_CAIXA!J1458)</f>
        <v/>
      </c>
      <c r="M1461" s="26" t="str">
        <f>IF(A1461="","",BASE_CAIXA!AM1458)</f>
        <v/>
      </c>
      <c r="N1461" s="26" t="str">
        <f t="shared" ca="1" si="66"/>
        <v/>
      </c>
      <c r="O1461" s="26" t="str">
        <f>IFERROR(INDEX(EXTRATO_IMPORTADO!$A$5:$A$404,MATCH(B1461,EXTRATO_IMPORTADO!$I$5:$I$404,0)),"")</f>
        <v/>
      </c>
      <c r="P1461" s="26" t="str">
        <f>IFERROR(INDEX(EXTRATO_IMPORTADO!$F$5:$F$404,MATCH(B1461,EXTRATO_IMPORTADO!$I$5:$I$404,0)),"")</f>
        <v/>
      </c>
      <c r="Q1461" s="26" t="str">
        <f>IFERROR(INDEX(EXTRATO_IMPORTADO!$B$5:$B$404,MATCH(B1461,EXTRATO_IMPORTADO!$I$5:$I$404,0)),"")</f>
        <v/>
      </c>
      <c r="R1461" s="26" t="str">
        <f>IFERROR(MATCH(B1461,EXTRATO_IMPORTADO!$I$5:$I$404,0),"")</f>
        <v/>
      </c>
      <c r="S1461" s="26" t="str">
        <f t="shared" si="67"/>
        <v/>
      </c>
      <c r="T1461" s="26" t="str">
        <f t="shared" si="68"/>
        <v/>
      </c>
    </row>
    <row r="1462" spans="1:20" x14ac:dyDescent="0.3">
      <c r="A1462" s="26" t="str">
        <f>IF(BASE_CAIXA!A1459="","",BASE_CAIXA!A1459)</f>
        <v/>
      </c>
      <c r="B1462" s="26" t="str">
        <f>IF(A1462="","",BASE_CAIXA!AL1459)</f>
        <v/>
      </c>
      <c r="C1462" s="26" t="str">
        <f>IF(A1462="","",BASE_CAIXA!AJ1459)</f>
        <v/>
      </c>
      <c r="D1462" s="26" t="str">
        <f>IF(A1462="","",IF(BASE_CAIXA!C1459="Entrada","Crédito","Débito"))</f>
        <v/>
      </c>
      <c r="E1462" s="26" t="str">
        <f>IF(A1462="","",BASE_CAIXA!AA1459)</f>
        <v/>
      </c>
      <c r="F1462" s="26" t="str">
        <f>IF(A1462="","",BASE_CAIXA!N1459)</f>
        <v/>
      </c>
      <c r="G1462" s="26" t="str">
        <f>IF(A1462="","",BASE_CAIXA!O1459)</f>
        <v/>
      </c>
      <c r="H1462" s="26" t="str">
        <f>IF(A1462="","",BASE_CAIXA!P1459)</f>
        <v/>
      </c>
      <c r="I1462" s="26" t="str">
        <f>IF(A1462="","",IF(BASE_CAIXA!H1459&lt;&gt;"",BASE_CAIXA!H1459,BASE_CAIXA!G1459))</f>
        <v/>
      </c>
      <c r="J1462" s="26" t="str">
        <f>IF(A1462="","",BASE_CAIXA!G1459)</f>
        <v/>
      </c>
      <c r="K1462" s="26" t="str">
        <f>IF(A1462="","",BASE_CAIXA!I1459)</f>
        <v/>
      </c>
      <c r="L1462" s="26" t="str">
        <f>IF(A1462="","",BASE_CAIXA!J1459)</f>
        <v/>
      </c>
      <c r="M1462" s="26" t="str">
        <f>IF(A1462="","",BASE_CAIXA!AM1459)</f>
        <v/>
      </c>
      <c r="N1462" s="26" t="str">
        <f t="shared" ca="1" si="66"/>
        <v/>
      </c>
      <c r="O1462" s="26" t="str">
        <f>IFERROR(INDEX(EXTRATO_IMPORTADO!$A$5:$A$404,MATCH(B1462,EXTRATO_IMPORTADO!$I$5:$I$404,0)),"")</f>
        <v/>
      </c>
      <c r="P1462" s="26" t="str">
        <f>IFERROR(INDEX(EXTRATO_IMPORTADO!$F$5:$F$404,MATCH(B1462,EXTRATO_IMPORTADO!$I$5:$I$404,0)),"")</f>
        <v/>
      </c>
      <c r="Q1462" s="26" t="str">
        <f>IFERROR(INDEX(EXTRATO_IMPORTADO!$B$5:$B$404,MATCH(B1462,EXTRATO_IMPORTADO!$I$5:$I$404,0)),"")</f>
        <v/>
      </c>
      <c r="R1462" s="26" t="str">
        <f>IFERROR(MATCH(B1462,EXTRATO_IMPORTADO!$I$5:$I$404,0),"")</f>
        <v/>
      </c>
      <c r="S1462" s="26" t="str">
        <f t="shared" si="67"/>
        <v/>
      </c>
      <c r="T1462" s="26" t="str">
        <f t="shared" si="68"/>
        <v/>
      </c>
    </row>
    <row r="1463" spans="1:20" x14ac:dyDescent="0.3">
      <c r="A1463" s="26" t="str">
        <f>IF(BASE_CAIXA!A1460="","",BASE_CAIXA!A1460)</f>
        <v/>
      </c>
      <c r="B1463" s="26" t="str">
        <f>IF(A1463="","",BASE_CAIXA!AL1460)</f>
        <v/>
      </c>
      <c r="C1463" s="26" t="str">
        <f>IF(A1463="","",BASE_CAIXA!AJ1460)</f>
        <v/>
      </c>
      <c r="D1463" s="26" t="str">
        <f>IF(A1463="","",IF(BASE_CAIXA!C1460="Entrada","Crédito","Débito"))</f>
        <v/>
      </c>
      <c r="E1463" s="26" t="str">
        <f>IF(A1463="","",BASE_CAIXA!AA1460)</f>
        <v/>
      </c>
      <c r="F1463" s="26" t="str">
        <f>IF(A1463="","",BASE_CAIXA!N1460)</f>
        <v/>
      </c>
      <c r="G1463" s="26" t="str">
        <f>IF(A1463="","",BASE_CAIXA!O1460)</f>
        <v/>
      </c>
      <c r="H1463" s="26" t="str">
        <f>IF(A1463="","",BASE_CAIXA!P1460)</f>
        <v/>
      </c>
      <c r="I1463" s="26" t="str">
        <f>IF(A1463="","",IF(BASE_CAIXA!H1460&lt;&gt;"",BASE_CAIXA!H1460,BASE_CAIXA!G1460))</f>
        <v/>
      </c>
      <c r="J1463" s="26" t="str">
        <f>IF(A1463="","",BASE_CAIXA!G1460)</f>
        <v/>
      </c>
      <c r="K1463" s="26" t="str">
        <f>IF(A1463="","",BASE_CAIXA!I1460)</f>
        <v/>
      </c>
      <c r="L1463" s="26" t="str">
        <f>IF(A1463="","",BASE_CAIXA!J1460)</f>
        <v/>
      </c>
      <c r="M1463" s="26" t="str">
        <f>IF(A1463="","",BASE_CAIXA!AM1460)</f>
        <v/>
      </c>
      <c r="N1463" s="26" t="str">
        <f t="shared" ca="1" si="66"/>
        <v/>
      </c>
      <c r="O1463" s="26" t="str">
        <f>IFERROR(INDEX(EXTRATO_IMPORTADO!$A$5:$A$404,MATCH(B1463,EXTRATO_IMPORTADO!$I$5:$I$404,0)),"")</f>
        <v/>
      </c>
      <c r="P1463" s="26" t="str">
        <f>IFERROR(INDEX(EXTRATO_IMPORTADO!$F$5:$F$404,MATCH(B1463,EXTRATO_IMPORTADO!$I$5:$I$404,0)),"")</f>
        <v/>
      </c>
      <c r="Q1463" s="26" t="str">
        <f>IFERROR(INDEX(EXTRATO_IMPORTADO!$B$5:$B$404,MATCH(B1463,EXTRATO_IMPORTADO!$I$5:$I$404,0)),"")</f>
        <v/>
      </c>
      <c r="R1463" s="26" t="str">
        <f>IFERROR(MATCH(B1463,EXTRATO_IMPORTADO!$I$5:$I$404,0),"")</f>
        <v/>
      </c>
      <c r="S1463" s="26" t="str">
        <f t="shared" si="67"/>
        <v/>
      </c>
      <c r="T1463" s="26" t="str">
        <f t="shared" si="68"/>
        <v/>
      </c>
    </row>
    <row r="1464" spans="1:20" x14ac:dyDescent="0.3">
      <c r="A1464" s="26" t="str">
        <f>IF(BASE_CAIXA!A1461="","",BASE_CAIXA!A1461)</f>
        <v/>
      </c>
      <c r="B1464" s="26" t="str">
        <f>IF(A1464="","",BASE_CAIXA!AL1461)</f>
        <v/>
      </c>
      <c r="C1464" s="26" t="str">
        <f>IF(A1464="","",BASE_CAIXA!AJ1461)</f>
        <v/>
      </c>
      <c r="D1464" s="26" t="str">
        <f>IF(A1464="","",IF(BASE_CAIXA!C1461="Entrada","Crédito","Débito"))</f>
        <v/>
      </c>
      <c r="E1464" s="26" t="str">
        <f>IF(A1464="","",BASE_CAIXA!AA1461)</f>
        <v/>
      </c>
      <c r="F1464" s="26" t="str">
        <f>IF(A1464="","",BASE_CAIXA!N1461)</f>
        <v/>
      </c>
      <c r="G1464" s="26" t="str">
        <f>IF(A1464="","",BASE_CAIXA!O1461)</f>
        <v/>
      </c>
      <c r="H1464" s="26" t="str">
        <f>IF(A1464="","",BASE_CAIXA!P1461)</f>
        <v/>
      </c>
      <c r="I1464" s="26" t="str">
        <f>IF(A1464="","",IF(BASE_CAIXA!H1461&lt;&gt;"",BASE_CAIXA!H1461,BASE_CAIXA!G1461))</f>
        <v/>
      </c>
      <c r="J1464" s="26" t="str">
        <f>IF(A1464="","",BASE_CAIXA!G1461)</f>
        <v/>
      </c>
      <c r="K1464" s="26" t="str">
        <f>IF(A1464="","",BASE_CAIXA!I1461)</f>
        <v/>
      </c>
      <c r="L1464" s="26" t="str">
        <f>IF(A1464="","",BASE_CAIXA!J1461)</f>
        <v/>
      </c>
      <c r="M1464" s="26" t="str">
        <f>IF(A1464="","",BASE_CAIXA!AM1461)</f>
        <v/>
      </c>
      <c r="N1464" s="26" t="str">
        <f t="shared" ca="1" si="66"/>
        <v/>
      </c>
      <c r="O1464" s="26" t="str">
        <f>IFERROR(INDEX(EXTRATO_IMPORTADO!$A$5:$A$404,MATCH(B1464,EXTRATO_IMPORTADO!$I$5:$I$404,0)),"")</f>
        <v/>
      </c>
      <c r="P1464" s="26" t="str">
        <f>IFERROR(INDEX(EXTRATO_IMPORTADO!$F$5:$F$404,MATCH(B1464,EXTRATO_IMPORTADO!$I$5:$I$404,0)),"")</f>
        <v/>
      </c>
      <c r="Q1464" s="26" t="str">
        <f>IFERROR(INDEX(EXTRATO_IMPORTADO!$B$5:$B$404,MATCH(B1464,EXTRATO_IMPORTADO!$I$5:$I$404,0)),"")</f>
        <v/>
      </c>
      <c r="R1464" s="26" t="str">
        <f>IFERROR(MATCH(B1464,EXTRATO_IMPORTADO!$I$5:$I$404,0),"")</f>
        <v/>
      </c>
      <c r="S1464" s="26" t="str">
        <f t="shared" si="67"/>
        <v/>
      </c>
      <c r="T1464" s="26" t="str">
        <f t="shared" si="68"/>
        <v/>
      </c>
    </row>
    <row r="1465" spans="1:20" x14ac:dyDescent="0.3">
      <c r="A1465" s="26" t="str">
        <f>IF(BASE_CAIXA!A1462="","",BASE_CAIXA!A1462)</f>
        <v/>
      </c>
      <c r="B1465" s="26" t="str">
        <f>IF(A1465="","",BASE_CAIXA!AL1462)</f>
        <v/>
      </c>
      <c r="C1465" s="26" t="str">
        <f>IF(A1465="","",BASE_CAIXA!AJ1462)</f>
        <v/>
      </c>
      <c r="D1465" s="26" t="str">
        <f>IF(A1465="","",IF(BASE_CAIXA!C1462="Entrada","Crédito","Débito"))</f>
        <v/>
      </c>
      <c r="E1465" s="26" t="str">
        <f>IF(A1465="","",BASE_CAIXA!AA1462)</f>
        <v/>
      </c>
      <c r="F1465" s="26" t="str">
        <f>IF(A1465="","",BASE_CAIXA!N1462)</f>
        <v/>
      </c>
      <c r="G1465" s="26" t="str">
        <f>IF(A1465="","",BASE_CAIXA!O1462)</f>
        <v/>
      </c>
      <c r="H1465" s="26" t="str">
        <f>IF(A1465="","",BASE_CAIXA!P1462)</f>
        <v/>
      </c>
      <c r="I1465" s="26" t="str">
        <f>IF(A1465="","",IF(BASE_CAIXA!H1462&lt;&gt;"",BASE_CAIXA!H1462,BASE_CAIXA!G1462))</f>
        <v/>
      </c>
      <c r="J1465" s="26" t="str">
        <f>IF(A1465="","",BASE_CAIXA!G1462)</f>
        <v/>
      </c>
      <c r="K1465" s="26" t="str">
        <f>IF(A1465="","",BASE_CAIXA!I1462)</f>
        <v/>
      </c>
      <c r="L1465" s="26" t="str">
        <f>IF(A1465="","",BASE_CAIXA!J1462)</f>
        <v/>
      </c>
      <c r="M1465" s="26" t="str">
        <f>IF(A1465="","",BASE_CAIXA!AM1462)</f>
        <v/>
      </c>
      <c r="N1465" s="26" t="str">
        <f t="shared" ca="1" si="66"/>
        <v/>
      </c>
      <c r="O1465" s="26" t="str">
        <f>IFERROR(INDEX(EXTRATO_IMPORTADO!$A$5:$A$404,MATCH(B1465,EXTRATO_IMPORTADO!$I$5:$I$404,0)),"")</f>
        <v/>
      </c>
      <c r="P1465" s="26" t="str">
        <f>IFERROR(INDEX(EXTRATO_IMPORTADO!$F$5:$F$404,MATCH(B1465,EXTRATO_IMPORTADO!$I$5:$I$404,0)),"")</f>
        <v/>
      </c>
      <c r="Q1465" s="26" t="str">
        <f>IFERROR(INDEX(EXTRATO_IMPORTADO!$B$5:$B$404,MATCH(B1465,EXTRATO_IMPORTADO!$I$5:$I$404,0)),"")</f>
        <v/>
      </c>
      <c r="R1465" s="26" t="str">
        <f>IFERROR(MATCH(B1465,EXTRATO_IMPORTADO!$I$5:$I$404,0),"")</f>
        <v/>
      </c>
      <c r="S1465" s="26" t="str">
        <f t="shared" si="67"/>
        <v/>
      </c>
      <c r="T1465" s="26" t="str">
        <f t="shared" si="68"/>
        <v/>
      </c>
    </row>
    <row r="1466" spans="1:20" x14ac:dyDescent="0.3">
      <c r="A1466" s="26" t="str">
        <f>IF(BASE_CAIXA!A1463="","",BASE_CAIXA!A1463)</f>
        <v/>
      </c>
      <c r="B1466" s="26" t="str">
        <f>IF(A1466="","",BASE_CAIXA!AL1463)</f>
        <v/>
      </c>
      <c r="C1466" s="26" t="str">
        <f>IF(A1466="","",BASE_CAIXA!AJ1463)</f>
        <v/>
      </c>
      <c r="D1466" s="26" t="str">
        <f>IF(A1466="","",IF(BASE_CAIXA!C1463="Entrada","Crédito","Débito"))</f>
        <v/>
      </c>
      <c r="E1466" s="26" t="str">
        <f>IF(A1466="","",BASE_CAIXA!AA1463)</f>
        <v/>
      </c>
      <c r="F1466" s="26" t="str">
        <f>IF(A1466="","",BASE_CAIXA!N1463)</f>
        <v/>
      </c>
      <c r="G1466" s="26" t="str">
        <f>IF(A1466="","",BASE_CAIXA!O1463)</f>
        <v/>
      </c>
      <c r="H1466" s="26" t="str">
        <f>IF(A1466="","",BASE_CAIXA!P1463)</f>
        <v/>
      </c>
      <c r="I1466" s="26" t="str">
        <f>IF(A1466="","",IF(BASE_CAIXA!H1463&lt;&gt;"",BASE_CAIXA!H1463,BASE_CAIXA!G1463))</f>
        <v/>
      </c>
      <c r="J1466" s="26" t="str">
        <f>IF(A1466="","",BASE_CAIXA!G1463)</f>
        <v/>
      </c>
      <c r="K1466" s="26" t="str">
        <f>IF(A1466="","",BASE_CAIXA!I1463)</f>
        <v/>
      </c>
      <c r="L1466" s="26" t="str">
        <f>IF(A1466="","",BASE_CAIXA!J1463)</f>
        <v/>
      </c>
      <c r="M1466" s="26" t="str">
        <f>IF(A1466="","",BASE_CAIXA!AM1463)</f>
        <v/>
      </c>
      <c r="N1466" s="26" t="str">
        <f t="shared" ca="1" si="66"/>
        <v/>
      </c>
      <c r="O1466" s="26" t="str">
        <f>IFERROR(INDEX(EXTRATO_IMPORTADO!$A$5:$A$404,MATCH(B1466,EXTRATO_IMPORTADO!$I$5:$I$404,0)),"")</f>
        <v/>
      </c>
      <c r="P1466" s="26" t="str">
        <f>IFERROR(INDEX(EXTRATO_IMPORTADO!$F$5:$F$404,MATCH(B1466,EXTRATO_IMPORTADO!$I$5:$I$404,0)),"")</f>
        <v/>
      </c>
      <c r="Q1466" s="26" t="str">
        <f>IFERROR(INDEX(EXTRATO_IMPORTADO!$B$5:$B$404,MATCH(B1466,EXTRATO_IMPORTADO!$I$5:$I$404,0)),"")</f>
        <v/>
      </c>
      <c r="R1466" s="26" t="str">
        <f>IFERROR(MATCH(B1466,EXTRATO_IMPORTADO!$I$5:$I$404,0),"")</f>
        <v/>
      </c>
      <c r="S1466" s="26" t="str">
        <f t="shared" si="67"/>
        <v/>
      </c>
      <c r="T1466" s="26" t="str">
        <f t="shared" si="68"/>
        <v/>
      </c>
    </row>
    <row r="1467" spans="1:20" x14ac:dyDescent="0.3">
      <c r="A1467" s="26" t="str">
        <f>IF(BASE_CAIXA!A1464="","",BASE_CAIXA!A1464)</f>
        <v/>
      </c>
      <c r="B1467" s="26" t="str">
        <f>IF(A1467="","",BASE_CAIXA!AL1464)</f>
        <v/>
      </c>
      <c r="C1467" s="26" t="str">
        <f>IF(A1467="","",BASE_CAIXA!AJ1464)</f>
        <v/>
      </c>
      <c r="D1467" s="26" t="str">
        <f>IF(A1467="","",IF(BASE_CAIXA!C1464="Entrada","Crédito","Débito"))</f>
        <v/>
      </c>
      <c r="E1467" s="26" t="str">
        <f>IF(A1467="","",BASE_CAIXA!AA1464)</f>
        <v/>
      </c>
      <c r="F1467" s="26" t="str">
        <f>IF(A1467="","",BASE_CAIXA!N1464)</f>
        <v/>
      </c>
      <c r="G1467" s="26" t="str">
        <f>IF(A1467="","",BASE_CAIXA!O1464)</f>
        <v/>
      </c>
      <c r="H1467" s="26" t="str">
        <f>IF(A1467="","",BASE_CAIXA!P1464)</f>
        <v/>
      </c>
      <c r="I1467" s="26" t="str">
        <f>IF(A1467="","",IF(BASE_CAIXA!H1464&lt;&gt;"",BASE_CAIXA!H1464,BASE_CAIXA!G1464))</f>
        <v/>
      </c>
      <c r="J1467" s="26" t="str">
        <f>IF(A1467="","",BASE_CAIXA!G1464)</f>
        <v/>
      </c>
      <c r="K1467" s="26" t="str">
        <f>IF(A1467="","",BASE_CAIXA!I1464)</f>
        <v/>
      </c>
      <c r="L1467" s="26" t="str">
        <f>IF(A1467="","",BASE_CAIXA!J1464)</f>
        <v/>
      </c>
      <c r="M1467" s="26" t="str">
        <f>IF(A1467="","",BASE_CAIXA!AM1464)</f>
        <v/>
      </c>
      <c r="N1467" s="26" t="str">
        <f t="shared" ca="1" si="66"/>
        <v/>
      </c>
      <c r="O1467" s="26" t="str">
        <f>IFERROR(INDEX(EXTRATO_IMPORTADO!$A$5:$A$404,MATCH(B1467,EXTRATO_IMPORTADO!$I$5:$I$404,0)),"")</f>
        <v/>
      </c>
      <c r="P1467" s="26" t="str">
        <f>IFERROR(INDEX(EXTRATO_IMPORTADO!$F$5:$F$404,MATCH(B1467,EXTRATO_IMPORTADO!$I$5:$I$404,0)),"")</f>
        <v/>
      </c>
      <c r="Q1467" s="26" t="str">
        <f>IFERROR(INDEX(EXTRATO_IMPORTADO!$B$5:$B$404,MATCH(B1467,EXTRATO_IMPORTADO!$I$5:$I$404,0)),"")</f>
        <v/>
      </c>
      <c r="R1467" s="26" t="str">
        <f>IFERROR(MATCH(B1467,EXTRATO_IMPORTADO!$I$5:$I$404,0),"")</f>
        <v/>
      </c>
      <c r="S1467" s="26" t="str">
        <f t="shared" si="67"/>
        <v/>
      </c>
      <c r="T1467" s="26" t="str">
        <f t="shared" si="68"/>
        <v/>
      </c>
    </row>
    <row r="1468" spans="1:20" x14ac:dyDescent="0.3">
      <c r="A1468" s="26" t="str">
        <f>IF(BASE_CAIXA!A1465="","",BASE_CAIXA!A1465)</f>
        <v/>
      </c>
      <c r="B1468" s="26" t="str">
        <f>IF(A1468="","",BASE_CAIXA!AL1465)</f>
        <v/>
      </c>
      <c r="C1468" s="26" t="str">
        <f>IF(A1468="","",BASE_CAIXA!AJ1465)</f>
        <v/>
      </c>
      <c r="D1468" s="26" t="str">
        <f>IF(A1468="","",IF(BASE_CAIXA!C1465="Entrada","Crédito","Débito"))</f>
        <v/>
      </c>
      <c r="E1468" s="26" t="str">
        <f>IF(A1468="","",BASE_CAIXA!AA1465)</f>
        <v/>
      </c>
      <c r="F1468" s="26" t="str">
        <f>IF(A1468="","",BASE_CAIXA!N1465)</f>
        <v/>
      </c>
      <c r="G1468" s="26" t="str">
        <f>IF(A1468="","",BASE_CAIXA!O1465)</f>
        <v/>
      </c>
      <c r="H1468" s="26" t="str">
        <f>IF(A1468="","",BASE_CAIXA!P1465)</f>
        <v/>
      </c>
      <c r="I1468" s="26" t="str">
        <f>IF(A1468="","",IF(BASE_CAIXA!H1465&lt;&gt;"",BASE_CAIXA!H1465,BASE_CAIXA!G1465))</f>
        <v/>
      </c>
      <c r="J1468" s="26" t="str">
        <f>IF(A1468="","",BASE_CAIXA!G1465)</f>
        <v/>
      </c>
      <c r="K1468" s="26" t="str">
        <f>IF(A1468="","",BASE_CAIXA!I1465)</f>
        <v/>
      </c>
      <c r="L1468" s="26" t="str">
        <f>IF(A1468="","",BASE_CAIXA!J1465)</f>
        <v/>
      </c>
      <c r="M1468" s="26" t="str">
        <f>IF(A1468="","",BASE_CAIXA!AM1465)</f>
        <v/>
      </c>
      <c r="N1468" s="26" t="str">
        <f t="shared" ca="1" si="66"/>
        <v/>
      </c>
      <c r="O1468" s="26" t="str">
        <f>IFERROR(INDEX(EXTRATO_IMPORTADO!$A$5:$A$404,MATCH(B1468,EXTRATO_IMPORTADO!$I$5:$I$404,0)),"")</f>
        <v/>
      </c>
      <c r="P1468" s="26" t="str">
        <f>IFERROR(INDEX(EXTRATO_IMPORTADO!$F$5:$F$404,MATCH(B1468,EXTRATO_IMPORTADO!$I$5:$I$404,0)),"")</f>
        <v/>
      </c>
      <c r="Q1468" s="26" t="str">
        <f>IFERROR(INDEX(EXTRATO_IMPORTADO!$B$5:$B$404,MATCH(B1468,EXTRATO_IMPORTADO!$I$5:$I$404,0)),"")</f>
        <v/>
      </c>
      <c r="R1468" s="26" t="str">
        <f>IFERROR(MATCH(B1468,EXTRATO_IMPORTADO!$I$5:$I$404,0),"")</f>
        <v/>
      </c>
      <c r="S1468" s="26" t="str">
        <f t="shared" si="67"/>
        <v/>
      </c>
      <c r="T1468" s="26" t="str">
        <f t="shared" si="68"/>
        <v/>
      </c>
    </row>
    <row r="1469" spans="1:20" x14ac:dyDescent="0.3">
      <c r="A1469" s="26" t="str">
        <f>IF(BASE_CAIXA!A1466="","",BASE_CAIXA!A1466)</f>
        <v/>
      </c>
      <c r="B1469" s="26" t="str">
        <f>IF(A1469="","",BASE_CAIXA!AL1466)</f>
        <v/>
      </c>
      <c r="C1469" s="26" t="str">
        <f>IF(A1469="","",BASE_CAIXA!AJ1466)</f>
        <v/>
      </c>
      <c r="D1469" s="26" t="str">
        <f>IF(A1469="","",IF(BASE_CAIXA!C1466="Entrada","Crédito","Débito"))</f>
        <v/>
      </c>
      <c r="E1469" s="26" t="str">
        <f>IF(A1469="","",BASE_CAIXA!AA1466)</f>
        <v/>
      </c>
      <c r="F1469" s="26" t="str">
        <f>IF(A1469="","",BASE_CAIXA!N1466)</f>
        <v/>
      </c>
      <c r="G1469" s="26" t="str">
        <f>IF(A1469="","",BASE_CAIXA!O1466)</f>
        <v/>
      </c>
      <c r="H1469" s="26" t="str">
        <f>IF(A1469="","",BASE_CAIXA!P1466)</f>
        <v/>
      </c>
      <c r="I1469" s="26" t="str">
        <f>IF(A1469="","",IF(BASE_CAIXA!H1466&lt;&gt;"",BASE_CAIXA!H1466,BASE_CAIXA!G1466))</f>
        <v/>
      </c>
      <c r="J1469" s="26" t="str">
        <f>IF(A1469="","",BASE_CAIXA!G1466)</f>
        <v/>
      </c>
      <c r="K1469" s="26" t="str">
        <f>IF(A1469="","",BASE_CAIXA!I1466)</f>
        <v/>
      </c>
      <c r="L1469" s="26" t="str">
        <f>IF(A1469="","",BASE_CAIXA!J1466)</f>
        <v/>
      </c>
      <c r="M1469" s="26" t="str">
        <f>IF(A1469="","",BASE_CAIXA!AM1466)</f>
        <v/>
      </c>
      <c r="N1469" s="26" t="str">
        <f t="shared" ca="1" si="66"/>
        <v/>
      </c>
      <c r="O1469" s="26" t="str">
        <f>IFERROR(INDEX(EXTRATO_IMPORTADO!$A$5:$A$404,MATCH(B1469,EXTRATO_IMPORTADO!$I$5:$I$404,0)),"")</f>
        <v/>
      </c>
      <c r="P1469" s="26" t="str">
        <f>IFERROR(INDEX(EXTRATO_IMPORTADO!$F$5:$F$404,MATCH(B1469,EXTRATO_IMPORTADO!$I$5:$I$404,0)),"")</f>
        <v/>
      </c>
      <c r="Q1469" s="26" t="str">
        <f>IFERROR(INDEX(EXTRATO_IMPORTADO!$B$5:$B$404,MATCH(B1469,EXTRATO_IMPORTADO!$I$5:$I$404,0)),"")</f>
        <v/>
      </c>
      <c r="R1469" s="26" t="str">
        <f>IFERROR(MATCH(B1469,EXTRATO_IMPORTADO!$I$5:$I$404,0),"")</f>
        <v/>
      </c>
      <c r="S1469" s="26" t="str">
        <f t="shared" si="67"/>
        <v/>
      </c>
      <c r="T1469" s="26" t="str">
        <f t="shared" si="68"/>
        <v/>
      </c>
    </row>
    <row r="1470" spans="1:20" x14ac:dyDescent="0.3">
      <c r="A1470" s="26" t="str">
        <f>IF(BASE_CAIXA!A1467="","",BASE_CAIXA!A1467)</f>
        <v/>
      </c>
      <c r="B1470" s="26" t="str">
        <f>IF(A1470="","",BASE_CAIXA!AL1467)</f>
        <v/>
      </c>
      <c r="C1470" s="26" t="str">
        <f>IF(A1470="","",BASE_CAIXA!AJ1467)</f>
        <v/>
      </c>
      <c r="D1470" s="26" t="str">
        <f>IF(A1470="","",IF(BASE_CAIXA!C1467="Entrada","Crédito","Débito"))</f>
        <v/>
      </c>
      <c r="E1470" s="26" t="str">
        <f>IF(A1470="","",BASE_CAIXA!AA1467)</f>
        <v/>
      </c>
      <c r="F1470" s="26" t="str">
        <f>IF(A1470="","",BASE_CAIXA!N1467)</f>
        <v/>
      </c>
      <c r="G1470" s="26" t="str">
        <f>IF(A1470="","",BASE_CAIXA!O1467)</f>
        <v/>
      </c>
      <c r="H1470" s="26" t="str">
        <f>IF(A1470="","",BASE_CAIXA!P1467)</f>
        <v/>
      </c>
      <c r="I1470" s="26" t="str">
        <f>IF(A1470="","",IF(BASE_CAIXA!H1467&lt;&gt;"",BASE_CAIXA!H1467,BASE_CAIXA!G1467))</f>
        <v/>
      </c>
      <c r="J1470" s="26" t="str">
        <f>IF(A1470="","",BASE_CAIXA!G1467)</f>
        <v/>
      </c>
      <c r="K1470" s="26" t="str">
        <f>IF(A1470="","",BASE_CAIXA!I1467)</f>
        <v/>
      </c>
      <c r="L1470" s="26" t="str">
        <f>IF(A1470="","",BASE_CAIXA!J1467)</f>
        <v/>
      </c>
      <c r="M1470" s="26" t="str">
        <f>IF(A1470="","",BASE_CAIXA!AM1467)</f>
        <v/>
      </c>
      <c r="N1470" s="26" t="str">
        <f t="shared" ca="1" si="66"/>
        <v/>
      </c>
      <c r="O1470" s="26" t="str">
        <f>IFERROR(INDEX(EXTRATO_IMPORTADO!$A$5:$A$404,MATCH(B1470,EXTRATO_IMPORTADO!$I$5:$I$404,0)),"")</f>
        <v/>
      </c>
      <c r="P1470" s="26" t="str">
        <f>IFERROR(INDEX(EXTRATO_IMPORTADO!$F$5:$F$404,MATCH(B1470,EXTRATO_IMPORTADO!$I$5:$I$404,0)),"")</f>
        <v/>
      </c>
      <c r="Q1470" s="26" t="str">
        <f>IFERROR(INDEX(EXTRATO_IMPORTADO!$B$5:$B$404,MATCH(B1470,EXTRATO_IMPORTADO!$I$5:$I$404,0)),"")</f>
        <v/>
      </c>
      <c r="R1470" s="26" t="str">
        <f>IFERROR(MATCH(B1470,EXTRATO_IMPORTADO!$I$5:$I$404,0),"")</f>
        <v/>
      </c>
      <c r="S1470" s="26" t="str">
        <f t="shared" si="67"/>
        <v/>
      </c>
      <c r="T1470" s="26" t="str">
        <f t="shared" si="68"/>
        <v/>
      </c>
    </row>
    <row r="1471" spans="1:20" x14ac:dyDescent="0.3">
      <c r="A1471" s="26" t="str">
        <f>IF(BASE_CAIXA!A1468="","",BASE_CAIXA!A1468)</f>
        <v/>
      </c>
      <c r="B1471" s="26" t="str">
        <f>IF(A1471="","",BASE_CAIXA!AL1468)</f>
        <v/>
      </c>
      <c r="C1471" s="26" t="str">
        <f>IF(A1471="","",BASE_CAIXA!AJ1468)</f>
        <v/>
      </c>
      <c r="D1471" s="26" t="str">
        <f>IF(A1471="","",IF(BASE_CAIXA!C1468="Entrada","Crédito","Débito"))</f>
        <v/>
      </c>
      <c r="E1471" s="26" t="str">
        <f>IF(A1471="","",BASE_CAIXA!AA1468)</f>
        <v/>
      </c>
      <c r="F1471" s="26" t="str">
        <f>IF(A1471="","",BASE_CAIXA!N1468)</f>
        <v/>
      </c>
      <c r="G1471" s="26" t="str">
        <f>IF(A1471="","",BASE_CAIXA!O1468)</f>
        <v/>
      </c>
      <c r="H1471" s="26" t="str">
        <f>IF(A1471="","",BASE_CAIXA!P1468)</f>
        <v/>
      </c>
      <c r="I1471" s="26" t="str">
        <f>IF(A1471="","",IF(BASE_CAIXA!H1468&lt;&gt;"",BASE_CAIXA!H1468,BASE_CAIXA!G1468))</f>
        <v/>
      </c>
      <c r="J1471" s="26" t="str">
        <f>IF(A1471="","",BASE_CAIXA!G1468)</f>
        <v/>
      </c>
      <c r="K1471" s="26" t="str">
        <f>IF(A1471="","",BASE_CAIXA!I1468)</f>
        <v/>
      </c>
      <c r="L1471" s="26" t="str">
        <f>IF(A1471="","",BASE_CAIXA!J1468)</f>
        <v/>
      </c>
      <c r="M1471" s="26" t="str">
        <f>IF(A1471="","",BASE_CAIXA!AM1468)</f>
        <v/>
      </c>
      <c r="N1471" s="26" t="str">
        <f t="shared" ca="1" si="66"/>
        <v/>
      </c>
      <c r="O1471" s="26" t="str">
        <f>IFERROR(INDEX(EXTRATO_IMPORTADO!$A$5:$A$404,MATCH(B1471,EXTRATO_IMPORTADO!$I$5:$I$404,0)),"")</f>
        <v/>
      </c>
      <c r="P1471" s="26" t="str">
        <f>IFERROR(INDEX(EXTRATO_IMPORTADO!$F$5:$F$404,MATCH(B1471,EXTRATO_IMPORTADO!$I$5:$I$404,0)),"")</f>
        <v/>
      </c>
      <c r="Q1471" s="26" t="str">
        <f>IFERROR(INDEX(EXTRATO_IMPORTADO!$B$5:$B$404,MATCH(B1471,EXTRATO_IMPORTADO!$I$5:$I$404,0)),"")</f>
        <v/>
      </c>
      <c r="R1471" s="26" t="str">
        <f>IFERROR(MATCH(B1471,EXTRATO_IMPORTADO!$I$5:$I$404,0),"")</f>
        <v/>
      </c>
      <c r="S1471" s="26" t="str">
        <f t="shared" si="67"/>
        <v/>
      </c>
      <c r="T1471" s="26" t="str">
        <f t="shared" si="68"/>
        <v/>
      </c>
    </row>
    <row r="1472" spans="1:20" x14ac:dyDescent="0.3">
      <c r="A1472" s="26" t="str">
        <f>IF(BASE_CAIXA!A1469="","",BASE_CAIXA!A1469)</f>
        <v/>
      </c>
      <c r="B1472" s="26" t="str">
        <f>IF(A1472="","",BASE_CAIXA!AL1469)</f>
        <v/>
      </c>
      <c r="C1472" s="26" t="str">
        <f>IF(A1472="","",BASE_CAIXA!AJ1469)</f>
        <v/>
      </c>
      <c r="D1472" s="26" t="str">
        <f>IF(A1472="","",IF(BASE_CAIXA!C1469="Entrada","Crédito","Débito"))</f>
        <v/>
      </c>
      <c r="E1472" s="26" t="str">
        <f>IF(A1472="","",BASE_CAIXA!AA1469)</f>
        <v/>
      </c>
      <c r="F1472" s="26" t="str">
        <f>IF(A1472="","",BASE_CAIXA!N1469)</f>
        <v/>
      </c>
      <c r="G1472" s="26" t="str">
        <f>IF(A1472="","",BASE_CAIXA!O1469)</f>
        <v/>
      </c>
      <c r="H1472" s="26" t="str">
        <f>IF(A1472="","",BASE_CAIXA!P1469)</f>
        <v/>
      </c>
      <c r="I1472" s="26" t="str">
        <f>IF(A1472="","",IF(BASE_CAIXA!H1469&lt;&gt;"",BASE_CAIXA!H1469,BASE_CAIXA!G1469))</f>
        <v/>
      </c>
      <c r="J1472" s="26" t="str">
        <f>IF(A1472="","",BASE_CAIXA!G1469)</f>
        <v/>
      </c>
      <c r="K1472" s="26" t="str">
        <f>IF(A1472="","",BASE_CAIXA!I1469)</f>
        <v/>
      </c>
      <c r="L1472" s="26" t="str">
        <f>IF(A1472="","",BASE_CAIXA!J1469)</f>
        <v/>
      </c>
      <c r="M1472" s="26" t="str">
        <f>IF(A1472="","",BASE_CAIXA!AM1469)</f>
        <v/>
      </c>
      <c r="N1472" s="26" t="str">
        <f t="shared" ca="1" si="66"/>
        <v/>
      </c>
      <c r="O1472" s="26" t="str">
        <f>IFERROR(INDEX(EXTRATO_IMPORTADO!$A$5:$A$404,MATCH(B1472,EXTRATO_IMPORTADO!$I$5:$I$404,0)),"")</f>
        <v/>
      </c>
      <c r="P1472" s="26" t="str">
        <f>IFERROR(INDEX(EXTRATO_IMPORTADO!$F$5:$F$404,MATCH(B1472,EXTRATO_IMPORTADO!$I$5:$I$404,0)),"")</f>
        <v/>
      </c>
      <c r="Q1472" s="26" t="str">
        <f>IFERROR(INDEX(EXTRATO_IMPORTADO!$B$5:$B$404,MATCH(B1472,EXTRATO_IMPORTADO!$I$5:$I$404,0)),"")</f>
        <v/>
      </c>
      <c r="R1472" s="26" t="str">
        <f>IFERROR(MATCH(B1472,EXTRATO_IMPORTADO!$I$5:$I$404,0),"")</f>
        <v/>
      </c>
      <c r="S1472" s="26" t="str">
        <f t="shared" si="67"/>
        <v/>
      </c>
      <c r="T1472" s="26" t="str">
        <f t="shared" si="68"/>
        <v/>
      </c>
    </row>
    <row r="1473" spans="1:20" x14ac:dyDescent="0.3">
      <c r="A1473" s="26" t="str">
        <f>IF(BASE_CAIXA!A1470="","",BASE_CAIXA!A1470)</f>
        <v/>
      </c>
      <c r="B1473" s="26" t="str">
        <f>IF(A1473="","",BASE_CAIXA!AL1470)</f>
        <v/>
      </c>
      <c r="C1473" s="26" t="str">
        <f>IF(A1473="","",BASE_CAIXA!AJ1470)</f>
        <v/>
      </c>
      <c r="D1473" s="26" t="str">
        <f>IF(A1473="","",IF(BASE_CAIXA!C1470="Entrada","Crédito","Débito"))</f>
        <v/>
      </c>
      <c r="E1473" s="26" t="str">
        <f>IF(A1473="","",BASE_CAIXA!AA1470)</f>
        <v/>
      </c>
      <c r="F1473" s="26" t="str">
        <f>IF(A1473="","",BASE_CAIXA!N1470)</f>
        <v/>
      </c>
      <c r="G1473" s="26" t="str">
        <f>IF(A1473="","",BASE_CAIXA!O1470)</f>
        <v/>
      </c>
      <c r="H1473" s="26" t="str">
        <f>IF(A1473="","",BASE_CAIXA!P1470)</f>
        <v/>
      </c>
      <c r="I1473" s="26" t="str">
        <f>IF(A1473="","",IF(BASE_CAIXA!H1470&lt;&gt;"",BASE_CAIXA!H1470,BASE_CAIXA!G1470))</f>
        <v/>
      </c>
      <c r="J1473" s="26" t="str">
        <f>IF(A1473="","",BASE_CAIXA!G1470)</f>
        <v/>
      </c>
      <c r="K1473" s="26" t="str">
        <f>IF(A1473="","",BASE_CAIXA!I1470)</f>
        <v/>
      </c>
      <c r="L1473" s="26" t="str">
        <f>IF(A1473="","",BASE_CAIXA!J1470)</f>
        <v/>
      </c>
      <c r="M1473" s="26" t="str">
        <f>IF(A1473="","",BASE_CAIXA!AM1470)</f>
        <v/>
      </c>
      <c r="N1473" s="26" t="str">
        <f t="shared" ca="1" si="66"/>
        <v/>
      </c>
      <c r="O1473" s="26" t="str">
        <f>IFERROR(INDEX(EXTRATO_IMPORTADO!$A$5:$A$404,MATCH(B1473,EXTRATO_IMPORTADO!$I$5:$I$404,0)),"")</f>
        <v/>
      </c>
      <c r="P1473" s="26" t="str">
        <f>IFERROR(INDEX(EXTRATO_IMPORTADO!$F$5:$F$404,MATCH(B1473,EXTRATO_IMPORTADO!$I$5:$I$404,0)),"")</f>
        <v/>
      </c>
      <c r="Q1473" s="26" t="str">
        <f>IFERROR(INDEX(EXTRATO_IMPORTADO!$B$5:$B$404,MATCH(B1473,EXTRATO_IMPORTADO!$I$5:$I$404,0)),"")</f>
        <v/>
      </c>
      <c r="R1473" s="26" t="str">
        <f>IFERROR(MATCH(B1473,EXTRATO_IMPORTADO!$I$5:$I$404,0),"")</f>
        <v/>
      </c>
      <c r="S1473" s="26" t="str">
        <f t="shared" si="67"/>
        <v/>
      </c>
      <c r="T1473" s="26" t="str">
        <f t="shared" si="68"/>
        <v/>
      </c>
    </row>
    <row r="1474" spans="1:20" x14ac:dyDescent="0.3">
      <c r="A1474" s="26" t="str">
        <f>IF(BASE_CAIXA!A1471="","",BASE_CAIXA!A1471)</f>
        <v/>
      </c>
      <c r="B1474" s="26" t="str">
        <f>IF(A1474="","",BASE_CAIXA!AL1471)</f>
        <v/>
      </c>
      <c r="C1474" s="26" t="str">
        <f>IF(A1474="","",BASE_CAIXA!AJ1471)</f>
        <v/>
      </c>
      <c r="D1474" s="26" t="str">
        <f>IF(A1474="","",IF(BASE_CAIXA!C1471="Entrada","Crédito","Débito"))</f>
        <v/>
      </c>
      <c r="E1474" s="26" t="str">
        <f>IF(A1474="","",BASE_CAIXA!AA1471)</f>
        <v/>
      </c>
      <c r="F1474" s="26" t="str">
        <f>IF(A1474="","",BASE_CAIXA!N1471)</f>
        <v/>
      </c>
      <c r="G1474" s="26" t="str">
        <f>IF(A1474="","",BASE_CAIXA!O1471)</f>
        <v/>
      </c>
      <c r="H1474" s="26" t="str">
        <f>IF(A1474="","",BASE_CAIXA!P1471)</f>
        <v/>
      </c>
      <c r="I1474" s="26" t="str">
        <f>IF(A1474="","",IF(BASE_CAIXA!H1471&lt;&gt;"",BASE_CAIXA!H1471,BASE_CAIXA!G1471))</f>
        <v/>
      </c>
      <c r="J1474" s="26" t="str">
        <f>IF(A1474="","",BASE_CAIXA!G1471)</f>
        <v/>
      </c>
      <c r="K1474" s="26" t="str">
        <f>IF(A1474="","",BASE_CAIXA!I1471)</f>
        <v/>
      </c>
      <c r="L1474" s="26" t="str">
        <f>IF(A1474="","",BASE_CAIXA!J1471)</f>
        <v/>
      </c>
      <c r="M1474" s="26" t="str">
        <f>IF(A1474="","",BASE_CAIXA!AM1471)</f>
        <v/>
      </c>
      <c r="N1474" s="26" t="str">
        <f t="shared" ca="1" si="66"/>
        <v/>
      </c>
      <c r="O1474" s="26" t="str">
        <f>IFERROR(INDEX(EXTRATO_IMPORTADO!$A$5:$A$404,MATCH(B1474,EXTRATO_IMPORTADO!$I$5:$I$404,0)),"")</f>
        <v/>
      </c>
      <c r="P1474" s="26" t="str">
        <f>IFERROR(INDEX(EXTRATO_IMPORTADO!$F$5:$F$404,MATCH(B1474,EXTRATO_IMPORTADO!$I$5:$I$404,0)),"")</f>
        <v/>
      </c>
      <c r="Q1474" s="26" t="str">
        <f>IFERROR(INDEX(EXTRATO_IMPORTADO!$B$5:$B$404,MATCH(B1474,EXTRATO_IMPORTADO!$I$5:$I$404,0)),"")</f>
        <v/>
      </c>
      <c r="R1474" s="26" t="str">
        <f>IFERROR(MATCH(B1474,EXTRATO_IMPORTADO!$I$5:$I$404,0),"")</f>
        <v/>
      </c>
      <c r="S1474" s="26" t="str">
        <f t="shared" si="67"/>
        <v/>
      </c>
      <c r="T1474" s="26" t="str">
        <f t="shared" si="68"/>
        <v/>
      </c>
    </row>
    <row r="1475" spans="1:20" x14ac:dyDescent="0.3">
      <c r="A1475" s="26" t="str">
        <f>IF(BASE_CAIXA!A1472="","",BASE_CAIXA!A1472)</f>
        <v/>
      </c>
      <c r="B1475" s="26" t="str">
        <f>IF(A1475="","",BASE_CAIXA!AL1472)</f>
        <v/>
      </c>
      <c r="C1475" s="26" t="str">
        <f>IF(A1475="","",BASE_CAIXA!AJ1472)</f>
        <v/>
      </c>
      <c r="D1475" s="26" t="str">
        <f>IF(A1475="","",IF(BASE_CAIXA!C1472="Entrada","Crédito","Débito"))</f>
        <v/>
      </c>
      <c r="E1475" s="26" t="str">
        <f>IF(A1475="","",BASE_CAIXA!AA1472)</f>
        <v/>
      </c>
      <c r="F1475" s="26" t="str">
        <f>IF(A1475="","",BASE_CAIXA!N1472)</f>
        <v/>
      </c>
      <c r="G1475" s="26" t="str">
        <f>IF(A1475="","",BASE_CAIXA!O1472)</f>
        <v/>
      </c>
      <c r="H1475" s="26" t="str">
        <f>IF(A1475="","",BASE_CAIXA!P1472)</f>
        <v/>
      </c>
      <c r="I1475" s="26" t="str">
        <f>IF(A1475="","",IF(BASE_CAIXA!H1472&lt;&gt;"",BASE_CAIXA!H1472,BASE_CAIXA!G1472))</f>
        <v/>
      </c>
      <c r="J1475" s="26" t="str">
        <f>IF(A1475="","",BASE_CAIXA!G1472)</f>
        <v/>
      </c>
      <c r="K1475" s="26" t="str">
        <f>IF(A1475="","",BASE_CAIXA!I1472)</f>
        <v/>
      </c>
      <c r="L1475" s="26" t="str">
        <f>IF(A1475="","",BASE_CAIXA!J1472)</f>
        <v/>
      </c>
      <c r="M1475" s="26" t="str">
        <f>IF(A1475="","",BASE_CAIXA!AM1472)</f>
        <v/>
      </c>
      <c r="N1475" s="26" t="str">
        <f t="shared" ca="1" si="66"/>
        <v/>
      </c>
      <c r="O1475" s="26" t="str">
        <f>IFERROR(INDEX(EXTRATO_IMPORTADO!$A$5:$A$404,MATCH(B1475,EXTRATO_IMPORTADO!$I$5:$I$404,0)),"")</f>
        <v/>
      </c>
      <c r="P1475" s="26" t="str">
        <f>IFERROR(INDEX(EXTRATO_IMPORTADO!$F$5:$F$404,MATCH(B1475,EXTRATO_IMPORTADO!$I$5:$I$404,0)),"")</f>
        <v/>
      </c>
      <c r="Q1475" s="26" t="str">
        <f>IFERROR(INDEX(EXTRATO_IMPORTADO!$B$5:$B$404,MATCH(B1475,EXTRATO_IMPORTADO!$I$5:$I$404,0)),"")</f>
        <v/>
      </c>
      <c r="R1475" s="26" t="str">
        <f>IFERROR(MATCH(B1475,EXTRATO_IMPORTADO!$I$5:$I$404,0),"")</f>
        <v/>
      </c>
      <c r="S1475" s="26" t="str">
        <f t="shared" si="67"/>
        <v/>
      </c>
      <c r="T1475" s="26" t="str">
        <f t="shared" si="68"/>
        <v/>
      </c>
    </row>
    <row r="1476" spans="1:20" x14ac:dyDescent="0.3">
      <c r="A1476" s="26" t="str">
        <f>IF(BASE_CAIXA!A1473="","",BASE_CAIXA!A1473)</f>
        <v/>
      </c>
      <c r="B1476" s="26" t="str">
        <f>IF(A1476="","",BASE_CAIXA!AL1473)</f>
        <v/>
      </c>
      <c r="C1476" s="26" t="str">
        <f>IF(A1476="","",BASE_CAIXA!AJ1473)</f>
        <v/>
      </c>
      <c r="D1476" s="26" t="str">
        <f>IF(A1476="","",IF(BASE_CAIXA!C1473="Entrada","Crédito","Débito"))</f>
        <v/>
      </c>
      <c r="E1476" s="26" t="str">
        <f>IF(A1476="","",BASE_CAIXA!AA1473)</f>
        <v/>
      </c>
      <c r="F1476" s="26" t="str">
        <f>IF(A1476="","",BASE_CAIXA!N1473)</f>
        <v/>
      </c>
      <c r="G1476" s="26" t="str">
        <f>IF(A1476="","",BASE_CAIXA!O1473)</f>
        <v/>
      </c>
      <c r="H1476" s="26" t="str">
        <f>IF(A1476="","",BASE_CAIXA!P1473)</f>
        <v/>
      </c>
      <c r="I1476" s="26" t="str">
        <f>IF(A1476="","",IF(BASE_CAIXA!H1473&lt;&gt;"",BASE_CAIXA!H1473,BASE_CAIXA!G1473))</f>
        <v/>
      </c>
      <c r="J1476" s="26" t="str">
        <f>IF(A1476="","",BASE_CAIXA!G1473)</f>
        <v/>
      </c>
      <c r="K1476" s="26" t="str">
        <f>IF(A1476="","",BASE_CAIXA!I1473)</f>
        <v/>
      </c>
      <c r="L1476" s="26" t="str">
        <f>IF(A1476="","",BASE_CAIXA!J1473)</f>
        <v/>
      </c>
      <c r="M1476" s="26" t="str">
        <f>IF(A1476="","",BASE_CAIXA!AM1473)</f>
        <v/>
      </c>
      <c r="N1476" s="26" t="str">
        <f t="shared" ca="1" si="66"/>
        <v/>
      </c>
      <c r="O1476" s="26" t="str">
        <f>IFERROR(INDEX(EXTRATO_IMPORTADO!$A$5:$A$404,MATCH(B1476,EXTRATO_IMPORTADO!$I$5:$I$404,0)),"")</f>
        <v/>
      </c>
      <c r="P1476" s="26" t="str">
        <f>IFERROR(INDEX(EXTRATO_IMPORTADO!$F$5:$F$404,MATCH(B1476,EXTRATO_IMPORTADO!$I$5:$I$404,0)),"")</f>
        <v/>
      </c>
      <c r="Q1476" s="26" t="str">
        <f>IFERROR(INDEX(EXTRATO_IMPORTADO!$B$5:$B$404,MATCH(B1476,EXTRATO_IMPORTADO!$I$5:$I$404,0)),"")</f>
        <v/>
      </c>
      <c r="R1476" s="26" t="str">
        <f>IFERROR(MATCH(B1476,EXTRATO_IMPORTADO!$I$5:$I$404,0),"")</f>
        <v/>
      </c>
      <c r="S1476" s="26" t="str">
        <f t="shared" si="67"/>
        <v/>
      </c>
      <c r="T1476" s="26" t="str">
        <f t="shared" si="68"/>
        <v/>
      </c>
    </row>
    <row r="1477" spans="1:20" x14ac:dyDescent="0.3">
      <c r="A1477" s="26" t="str">
        <f>IF(BASE_CAIXA!A1474="","",BASE_CAIXA!A1474)</f>
        <v/>
      </c>
      <c r="B1477" s="26" t="str">
        <f>IF(A1477="","",BASE_CAIXA!AL1474)</f>
        <v/>
      </c>
      <c r="C1477" s="26" t="str">
        <f>IF(A1477="","",BASE_CAIXA!AJ1474)</f>
        <v/>
      </c>
      <c r="D1477" s="26" t="str">
        <f>IF(A1477="","",IF(BASE_CAIXA!C1474="Entrada","Crédito","Débito"))</f>
        <v/>
      </c>
      <c r="E1477" s="26" t="str">
        <f>IF(A1477="","",BASE_CAIXA!AA1474)</f>
        <v/>
      </c>
      <c r="F1477" s="26" t="str">
        <f>IF(A1477="","",BASE_CAIXA!N1474)</f>
        <v/>
      </c>
      <c r="G1477" s="26" t="str">
        <f>IF(A1477="","",BASE_CAIXA!O1474)</f>
        <v/>
      </c>
      <c r="H1477" s="26" t="str">
        <f>IF(A1477="","",BASE_CAIXA!P1474)</f>
        <v/>
      </c>
      <c r="I1477" s="26" t="str">
        <f>IF(A1477="","",IF(BASE_CAIXA!H1474&lt;&gt;"",BASE_CAIXA!H1474,BASE_CAIXA!G1474))</f>
        <v/>
      </c>
      <c r="J1477" s="26" t="str">
        <f>IF(A1477="","",BASE_CAIXA!G1474)</f>
        <v/>
      </c>
      <c r="K1477" s="26" t="str">
        <f>IF(A1477="","",BASE_CAIXA!I1474)</f>
        <v/>
      </c>
      <c r="L1477" s="26" t="str">
        <f>IF(A1477="","",BASE_CAIXA!J1474)</f>
        <v/>
      </c>
      <c r="M1477" s="26" t="str">
        <f>IF(A1477="","",BASE_CAIXA!AM1474)</f>
        <v/>
      </c>
      <c r="N1477" s="26" t="str">
        <f t="shared" ref="N1477:N1540" ca="1" si="69">IF(A1477="","",IF(R1477&lt;&gt;"",IF(AND(ABS(S1477)&lt;=0.01,ABS(T1477)&lt;=3),"Conciliado","Divergente"),IF(TODAY()&gt;C1477,"Pendente vencido","Previsto")))</f>
        <v/>
      </c>
      <c r="O1477" s="26" t="str">
        <f>IFERROR(INDEX(EXTRATO_IMPORTADO!$A$5:$A$404,MATCH(B1477,EXTRATO_IMPORTADO!$I$5:$I$404,0)),"")</f>
        <v/>
      </c>
      <c r="P1477" s="26" t="str">
        <f>IFERROR(INDEX(EXTRATO_IMPORTADO!$F$5:$F$404,MATCH(B1477,EXTRATO_IMPORTADO!$I$5:$I$404,0)),"")</f>
        <v/>
      </c>
      <c r="Q1477" s="26" t="str">
        <f>IFERROR(INDEX(EXTRATO_IMPORTADO!$B$5:$B$404,MATCH(B1477,EXTRATO_IMPORTADO!$I$5:$I$404,0)),"")</f>
        <v/>
      </c>
      <c r="R1477" s="26" t="str">
        <f>IFERROR(MATCH(B1477,EXTRATO_IMPORTADO!$I$5:$I$404,0),"")</f>
        <v/>
      </c>
      <c r="S1477" s="26" t="str">
        <f t="shared" ref="S1477:S1540" si="70">IF(OR(A1477="",P1477=""),"",P1477-E1477)</f>
        <v/>
      </c>
      <c r="T1477" s="26" t="str">
        <f t="shared" ref="T1477:T1540" si="71">IF(OR(A1477="",O1477=""),"",O1477-C1477)</f>
        <v/>
      </c>
    </row>
    <row r="1478" spans="1:20" x14ac:dyDescent="0.3">
      <c r="A1478" s="26" t="str">
        <f>IF(BASE_CAIXA!A1475="","",BASE_CAIXA!A1475)</f>
        <v/>
      </c>
      <c r="B1478" s="26" t="str">
        <f>IF(A1478="","",BASE_CAIXA!AL1475)</f>
        <v/>
      </c>
      <c r="C1478" s="26" t="str">
        <f>IF(A1478="","",BASE_CAIXA!AJ1475)</f>
        <v/>
      </c>
      <c r="D1478" s="26" t="str">
        <f>IF(A1478="","",IF(BASE_CAIXA!C1475="Entrada","Crédito","Débito"))</f>
        <v/>
      </c>
      <c r="E1478" s="26" t="str">
        <f>IF(A1478="","",BASE_CAIXA!AA1475)</f>
        <v/>
      </c>
      <c r="F1478" s="26" t="str">
        <f>IF(A1478="","",BASE_CAIXA!N1475)</f>
        <v/>
      </c>
      <c r="G1478" s="26" t="str">
        <f>IF(A1478="","",BASE_CAIXA!O1475)</f>
        <v/>
      </c>
      <c r="H1478" s="26" t="str">
        <f>IF(A1478="","",BASE_CAIXA!P1475)</f>
        <v/>
      </c>
      <c r="I1478" s="26" t="str">
        <f>IF(A1478="","",IF(BASE_CAIXA!H1475&lt;&gt;"",BASE_CAIXA!H1475,BASE_CAIXA!G1475))</f>
        <v/>
      </c>
      <c r="J1478" s="26" t="str">
        <f>IF(A1478="","",BASE_CAIXA!G1475)</f>
        <v/>
      </c>
      <c r="K1478" s="26" t="str">
        <f>IF(A1478="","",BASE_CAIXA!I1475)</f>
        <v/>
      </c>
      <c r="L1478" s="26" t="str">
        <f>IF(A1478="","",BASE_CAIXA!J1475)</f>
        <v/>
      </c>
      <c r="M1478" s="26" t="str">
        <f>IF(A1478="","",BASE_CAIXA!AM1475)</f>
        <v/>
      </c>
      <c r="N1478" s="26" t="str">
        <f t="shared" ca="1" si="69"/>
        <v/>
      </c>
      <c r="O1478" s="26" t="str">
        <f>IFERROR(INDEX(EXTRATO_IMPORTADO!$A$5:$A$404,MATCH(B1478,EXTRATO_IMPORTADO!$I$5:$I$404,0)),"")</f>
        <v/>
      </c>
      <c r="P1478" s="26" t="str">
        <f>IFERROR(INDEX(EXTRATO_IMPORTADO!$F$5:$F$404,MATCH(B1478,EXTRATO_IMPORTADO!$I$5:$I$404,0)),"")</f>
        <v/>
      </c>
      <c r="Q1478" s="26" t="str">
        <f>IFERROR(INDEX(EXTRATO_IMPORTADO!$B$5:$B$404,MATCH(B1478,EXTRATO_IMPORTADO!$I$5:$I$404,0)),"")</f>
        <v/>
      </c>
      <c r="R1478" s="26" t="str">
        <f>IFERROR(MATCH(B1478,EXTRATO_IMPORTADO!$I$5:$I$404,0),"")</f>
        <v/>
      </c>
      <c r="S1478" s="26" t="str">
        <f t="shared" si="70"/>
        <v/>
      </c>
      <c r="T1478" s="26" t="str">
        <f t="shared" si="71"/>
        <v/>
      </c>
    </row>
    <row r="1479" spans="1:20" x14ac:dyDescent="0.3">
      <c r="A1479" s="26" t="str">
        <f>IF(BASE_CAIXA!A1476="","",BASE_CAIXA!A1476)</f>
        <v/>
      </c>
      <c r="B1479" s="26" t="str">
        <f>IF(A1479="","",BASE_CAIXA!AL1476)</f>
        <v/>
      </c>
      <c r="C1479" s="26" t="str">
        <f>IF(A1479="","",BASE_CAIXA!AJ1476)</f>
        <v/>
      </c>
      <c r="D1479" s="26" t="str">
        <f>IF(A1479="","",IF(BASE_CAIXA!C1476="Entrada","Crédito","Débito"))</f>
        <v/>
      </c>
      <c r="E1479" s="26" t="str">
        <f>IF(A1479="","",BASE_CAIXA!AA1476)</f>
        <v/>
      </c>
      <c r="F1479" s="26" t="str">
        <f>IF(A1479="","",BASE_CAIXA!N1476)</f>
        <v/>
      </c>
      <c r="G1479" s="26" t="str">
        <f>IF(A1479="","",BASE_CAIXA!O1476)</f>
        <v/>
      </c>
      <c r="H1479" s="26" t="str">
        <f>IF(A1479="","",BASE_CAIXA!P1476)</f>
        <v/>
      </c>
      <c r="I1479" s="26" t="str">
        <f>IF(A1479="","",IF(BASE_CAIXA!H1476&lt;&gt;"",BASE_CAIXA!H1476,BASE_CAIXA!G1476))</f>
        <v/>
      </c>
      <c r="J1479" s="26" t="str">
        <f>IF(A1479="","",BASE_CAIXA!G1476)</f>
        <v/>
      </c>
      <c r="K1479" s="26" t="str">
        <f>IF(A1479="","",BASE_CAIXA!I1476)</f>
        <v/>
      </c>
      <c r="L1479" s="26" t="str">
        <f>IF(A1479="","",BASE_CAIXA!J1476)</f>
        <v/>
      </c>
      <c r="M1479" s="26" t="str">
        <f>IF(A1479="","",BASE_CAIXA!AM1476)</f>
        <v/>
      </c>
      <c r="N1479" s="26" t="str">
        <f t="shared" ca="1" si="69"/>
        <v/>
      </c>
      <c r="O1479" s="26" t="str">
        <f>IFERROR(INDEX(EXTRATO_IMPORTADO!$A$5:$A$404,MATCH(B1479,EXTRATO_IMPORTADO!$I$5:$I$404,0)),"")</f>
        <v/>
      </c>
      <c r="P1479" s="26" t="str">
        <f>IFERROR(INDEX(EXTRATO_IMPORTADO!$F$5:$F$404,MATCH(B1479,EXTRATO_IMPORTADO!$I$5:$I$404,0)),"")</f>
        <v/>
      </c>
      <c r="Q1479" s="26" t="str">
        <f>IFERROR(INDEX(EXTRATO_IMPORTADO!$B$5:$B$404,MATCH(B1479,EXTRATO_IMPORTADO!$I$5:$I$404,0)),"")</f>
        <v/>
      </c>
      <c r="R1479" s="26" t="str">
        <f>IFERROR(MATCH(B1479,EXTRATO_IMPORTADO!$I$5:$I$404,0),"")</f>
        <v/>
      </c>
      <c r="S1479" s="26" t="str">
        <f t="shared" si="70"/>
        <v/>
      </c>
      <c r="T1479" s="26" t="str">
        <f t="shared" si="71"/>
        <v/>
      </c>
    </row>
    <row r="1480" spans="1:20" x14ac:dyDescent="0.3">
      <c r="A1480" s="26" t="str">
        <f>IF(BASE_CAIXA!A1477="","",BASE_CAIXA!A1477)</f>
        <v/>
      </c>
      <c r="B1480" s="26" t="str">
        <f>IF(A1480="","",BASE_CAIXA!AL1477)</f>
        <v/>
      </c>
      <c r="C1480" s="26" t="str">
        <f>IF(A1480="","",BASE_CAIXA!AJ1477)</f>
        <v/>
      </c>
      <c r="D1480" s="26" t="str">
        <f>IF(A1480="","",IF(BASE_CAIXA!C1477="Entrada","Crédito","Débito"))</f>
        <v/>
      </c>
      <c r="E1480" s="26" t="str">
        <f>IF(A1480="","",BASE_CAIXA!AA1477)</f>
        <v/>
      </c>
      <c r="F1480" s="26" t="str">
        <f>IF(A1480="","",BASE_CAIXA!N1477)</f>
        <v/>
      </c>
      <c r="G1480" s="26" t="str">
        <f>IF(A1480="","",BASE_CAIXA!O1477)</f>
        <v/>
      </c>
      <c r="H1480" s="26" t="str">
        <f>IF(A1480="","",BASE_CAIXA!P1477)</f>
        <v/>
      </c>
      <c r="I1480" s="26" t="str">
        <f>IF(A1480="","",IF(BASE_CAIXA!H1477&lt;&gt;"",BASE_CAIXA!H1477,BASE_CAIXA!G1477))</f>
        <v/>
      </c>
      <c r="J1480" s="26" t="str">
        <f>IF(A1480="","",BASE_CAIXA!G1477)</f>
        <v/>
      </c>
      <c r="K1480" s="26" t="str">
        <f>IF(A1480="","",BASE_CAIXA!I1477)</f>
        <v/>
      </c>
      <c r="L1480" s="26" t="str">
        <f>IF(A1480="","",BASE_CAIXA!J1477)</f>
        <v/>
      </c>
      <c r="M1480" s="26" t="str">
        <f>IF(A1480="","",BASE_CAIXA!AM1477)</f>
        <v/>
      </c>
      <c r="N1480" s="26" t="str">
        <f t="shared" ca="1" si="69"/>
        <v/>
      </c>
      <c r="O1480" s="26" t="str">
        <f>IFERROR(INDEX(EXTRATO_IMPORTADO!$A$5:$A$404,MATCH(B1480,EXTRATO_IMPORTADO!$I$5:$I$404,0)),"")</f>
        <v/>
      </c>
      <c r="P1480" s="26" t="str">
        <f>IFERROR(INDEX(EXTRATO_IMPORTADO!$F$5:$F$404,MATCH(B1480,EXTRATO_IMPORTADO!$I$5:$I$404,0)),"")</f>
        <v/>
      </c>
      <c r="Q1480" s="26" t="str">
        <f>IFERROR(INDEX(EXTRATO_IMPORTADO!$B$5:$B$404,MATCH(B1480,EXTRATO_IMPORTADO!$I$5:$I$404,0)),"")</f>
        <v/>
      </c>
      <c r="R1480" s="26" t="str">
        <f>IFERROR(MATCH(B1480,EXTRATO_IMPORTADO!$I$5:$I$404,0),"")</f>
        <v/>
      </c>
      <c r="S1480" s="26" t="str">
        <f t="shared" si="70"/>
        <v/>
      </c>
      <c r="T1480" s="26" t="str">
        <f t="shared" si="71"/>
        <v/>
      </c>
    </row>
    <row r="1481" spans="1:20" x14ac:dyDescent="0.3">
      <c r="A1481" s="26" t="str">
        <f>IF(BASE_CAIXA!A1478="","",BASE_CAIXA!A1478)</f>
        <v/>
      </c>
      <c r="B1481" s="26" t="str">
        <f>IF(A1481="","",BASE_CAIXA!AL1478)</f>
        <v/>
      </c>
      <c r="C1481" s="26" t="str">
        <f>IF(A1481="","",BASE_CAIXA!AJ1478)</f>
        <v/>
      </c>
      <c r="D1481" s="26" t="str">
        <f>IF(A1481="","",IF(BASE_CAIXA!C1478="Entrada","Crédito","Débito"))</f>
        <v/>
      </c>
      <c r="E1481" s="26" t="str">
        <f>IF(A1481="","",BASE_CAIXA!AA1478)</f>
        <v/>
      </c>
      <c r="F1481" s="26" t="str">
        <f>IF(A1481="","",BASE_CAIXA!N1478)</f>
        <v/>
      </c>
      <c r="G1481" s="26" t="str">
        <f>IF(A1481="","",BASE_CAIXA!O1478)</f>
        <v/>
      </c>
      <c r="H1481" s="26" t="str">
        <f>IF(A1481="","",BASE_CAIXA!P1478)</f>
        <v/>
      </c>
      <c r="I1481" s="26" t="str">
        <f>IF(A1481="","",IF(BASE_CAIXA!H1478&lt;&gt;"",BASE_CAIXA!H1478,BASE_CAIXA!G1478))</f>
        <v/>
      </c>
      <c r="J1481" s="26" t="str">
        <f>IF(A1481="","",BASE_CAIXA!G1478)</f>
        <v/>
      </c>
      <c r="K1481" s="26" t="str">
        <f>IF(A1481="","",BASE_CAIXA!I1478)</f>
        <v/>
      </c>
      <c r="L1481" s="26" t="str">
        <f>IF(A1481="","",BASE_CAIXA!J1478)</f>
        <v/>
      </c>
      <c r="M1481" s="26" t="str">
        <f>IF(A1481="","",BASE_CAIXA!AM1478)</f>
        <v/>
      </c>
      <c r="N1481" s="26" t="str">
        <f t="shared" ca="1" si="69"/>
        <v/>
      </c>
      <c r="O1481" s="26" t="str">
        <f>IFERROR(INDEX(EXTRATO_IMPORTADO!$A$5:$A$404,MATCH(B1481,EXTRATO_IMPORTADO!$I$5:$I$404,0)),"")</f>
        <v/>
      </c>
      <c r="P1481" s="26" t="str">
        <f>IFERROR(INDEX(EXTRATO_IMPORTADO!$F$5:$F$404,MATCH(B1481,EXTRATO_IMPORTADO!$I$5:$I$404,0)),"")</f>
        <v/>
      </c>
      <c r="Q1481" s="26" t="str">
        <f>IFERROR(INDEX(EXTRATO_IMPORTADO!$B$5:$B$404,MATCH(B1481,EXTRATO_IMPORTADO!$I$5:$I$404,0)),"")</f>
        <v/>
      </c>
      <c r="R1481" s="26" t="str">
        <f>IFERROR(MATCH(B1481,EXTRATO_IMPORTADO!$I$5:$I$404,0),"")</f>
        <v/>
      </c>
      <c r="S1481" s="26" t="str">
        <f t="shared" si="70"/>
        <v/>
      </c>
      <c r="T1481" s="26" t="str">
        <f t="shared" si="71"/>
        <v/>
      </c>
    </row>
    <row r="1482" spans="1:20" x14ac:dyDescent="0.3">
      <c r="A1482" s="26" t="str">
        <f>IF(BASE_CAIXA!A1479="","",BASE_CAIXA!A1479)</f>
        <v/>
      </c>
      <c r="B1482" s="26" t="str">
        <f>IF(A1482="","",BASE_CAIXA!AL1479)</f>
        <v/>
      </c>
      <c r="C1482" s="26" t="str">
        <f>IF(A1482="","",BASE_CAIXA!AJ1479)</f>
        <v/>
      </c>
      <c r="D1482" s="26" t="str">
        <f>IF(A1482="","",IF(BASE_CAIXA!C1479="Entrada","Crédito","Débito"))</f>
        <v/>
      </c>
      <c r="E1482" s="26" t="str">
        <f>IF(A1482="","",BASE_CAIXA!AA1479)</f>
        <v/>
      </c>
      <c r="F1482" s="26" t="str">
        <f>IF(A1482="","",BASE_CAIXA!N1479)</f>
        <v/>
      </c>
      <c r="G1482" s="26" t="str">
        <f>IF(A1482="","",BASE_CAIXA!O1479)</f>
        <v/>
      </c>
      <c r="H1482" s="26" t="str">
        <f>IF(A1482="","",BASE_CAIXA!P1479)</f>
        <v/>
      </c>
      <c r="I1482" s="26" t="str">
        <f>IF(A1482="","",IF(BASE_CAIXA!H1479&lt;&gt;"",BASE_CAIXA!H1479,BASE_CAIXA!G1479))</f>
        <v/>
      </c>
      <c r="J1482" s="26" t="str">
        <f>IF(A1482="","",BASE_CAIXA!G1479)</f>
        <v/>
      </c>
      <c r="K1482" s="26" t="str">
        <f>IF(A1482="","",BASE_CAIXA!I1479)</f>
        <v/>
      </c>
      <c r="L1482" s="26" t="str">
        <f>IF(A1482="","",BASE_CAIXA!J1479)</f>
        <v/>
      </c>
      <c r="M1482" s="26" t="str">
        <f>IF(A1482="","",BASE_CAIXA!AM1479)</f>
        <v/>
      </c>
      <c r="N1482" s="26" t="str">
        <f t="shared" ca="1" si="69"/>
        <v/>
      </c>
      <c r="O1482" s="26" t="str">
        <f>IFERROR(INDEX(EXTRATO_IMPORTADO!$A$5:$A$404,MATCH(B1482,EXTRATO_IMPORTADO!$I$5:$I$404,0)),"")</f>
        <v/>
      </c>
      <c r="P1482" s="26" t="str">
        <f>IFERROR(INDEX(EXTRATO_IMPORTADO!$F$5:$F$404,MATCH(B1482,EXTRATO_IMPORTADO!$I$5:$I$404,0)),"")</f>
        <v/>
      </c>
      <c r="Q1482" s="26" t="str">
        <f>IFERROR(INDEX(EXTRATO_IMPORTADO!$B$5:$B$404,MATCH(B1482,EXTRATO_IMPORTADO!$I$5:$I$404,0)),"")</f>
        <v/>
      </c>
      <c r="R1482" s="26" t="str">
        <f>IFERROR(MATCH(B1482,EXTRATO_IMPORTADO!$I$5:$I$404,0),"")</f>
        <v/>
      </c>
      <c r="S1482" s="26" t="str">
        <f t="shared" si="70"/>
        <v/>
      </c>
      <c r="T1482" s="26" t="str">
        <f t="shared" si="71"/>
        <v/>
      </c>
    </row>
    <row r="1483" spans="1:20" x14ac:dyDescent="0.3">
      <c r="A1483" s="26" t="str">
        <f>IF(BASE_CAIXA!A1480="","",BASE_CAIXA!A1480)</f>
        <v/>
      </c>
      <c r="B1483" s="26" t="str">
        <f>IF(A1483="","",BASE_CAIXA!AL1480)</f>
        <v/>
      </c>
      <c r="C1483" s="26" t="str">
        <f>IF(A1483="","",BASE_CAIXA!AJ1480)</f>
        <v/>
      </c>
      <c r="D1483" s="26" t="str">
        <f>IF(A1483="","",IF(BASE_CAIXA!C1480="Entrada","Crédito","Débito"))</f>
        <v/>
      </c>
      <c r="E1483" s="26" t="str">
        <f>IF(A1483="","",BASE_CAIXA!AA1480)</f>
        <v/>
      </c>
      <c r="F1483" s="26" t="str">
        <f>IF(A1483="","",BASE_CAIXA!N1480)</f>
        <v/>
      </c>
      <c r="G1483" s="26" t="str">
        <f>IF(A1483="","",BASE_CAIXA!O1480)</f>
        <v/>
      </c>
      <c r="H1483" s="26" t="str">
        <f>IF(A1483="","",BASE_CAIXA!P1480)</f>
        <v/>
      </c>
      <c r="I1483" s="26" t="str">
        <f>IF(A1483="","",IF(BASE_CAIXA!H1480&lt;&gt;"",BASE_CAIXA!H1480,BASE_CAIXA!G1480))</f>
        <v/>
      </c>
      <c r="J1483" s="26" t="str">
        <f>IF(A1483="","",BASE_CAIXA!G1480)</f>
        <v/>
      </c>
      <c r="K1483" s="26" t="str">
        <f>IF(A1483="","",BASE_CAIXA!I1480)</f>
        <v/>
      </c>
      <c r="L1483" s="26" t="str">
        <f>IF(A1483="","",BASE_CAIXA!J1480)</f>
        <v/>
      </c>
      <c r="M1483" s="26" t="str">
        <f>IF(A1483="","",BASE_CAIXA!AM1480)</f>
        <v/>
      </c>
      <c r="N1483" s="26" t="str">
        <f t="shared" ca="1" si="69"/>
        <v/>
      </c>
      <c r="O1483" s="26" t="str">
        <f>IFERROR(INDEX(EXTRATO_IMPORTADO!$A$5:$A$404,MATCH(B1483,EXTRATO_IMPORTADO!$I$5:$I$404,0)),"")</f>
        <v/>
      </c>
      <c r="P1483" s="26" t="str">
        <f>IFERROR(INDEX(EXTRATO_IMPORTADO!$F$5:$F$404,MATCH(B1483,EXTRATO_IMPORTADO!$I$5:$I$404,0)),"")</f>
        <v/>
      </c>
      <c r="Q1483" s="26" t="str">
        <f>IFERROR(INDEX(EXTRATO_IMPORTADO!$B$5:$B$404,MATCH(B1483,EXTRATO_IMPORTADO!$I$5:$I$404,0)),"")</f>
        <v/>
      </c>
      <c r="R1483" s="26" t="str">
        <f>IFERROR(MATCH(B1483,EXTRATO_IMPORTADO!$I$5:$I$404,0),"")</f>
        <v/>
      </c>
      <c r="S1483" s="26" t="str">
        <f t="shared" si="70"/>
        <v/>
      </c>
      <c r="T1483" s="26" t="str">
        <f t="shared" si="71"/>
        <v/>
      </c>
    </row>
    <row r="1484" spans="1:20" x14ac:dyDescent="0.3">
      <c r="A1484" s="26" t="str">
        <f>IF(BASE_CAIXA!A1481="","",BASE_CAIXA!A1481)</f>
        <v/>
      </c>
      <c r="B1484" s="26" t="str">
        <f>IF(A1484="","",BASE_CAIXA!AL1481)</f>
        <v/>
      </c>
      <c r="C1484" s="26" t="str">
        <f>IF(A1484="","",BASE_CAIXA!AJ1481)</f>
        <v/>
      </c>
      <c r="D1484" s="26" t="str">
        <f>IF(A1484="","",IF(BASE_CAIXA!C1481="Entrada","Crédito","Débito"))</f>
        <v/>
      </c>
      <c r="E1484" s="26" t="str">
        <f>IF(A1484="","",BASE_CAIXA!AA1481)</f>
        <v/>
      </c>
      <c r="F1484" s="26" t="str">
        <f>IF(A1484="","",BASE_CAIXA!N1481)</f>
        <v/>
      </c>
      <c r="G1484" s="26" t="str">
        <f>IF(A1484="","",BASE_CAIXA!O1481)</f>
        <v/>
      </c>
      <c r="H1484" s="26" t="str">
        <f>IF(A1484="","",BASE_CAIXA!P1481)</f>
        <v/>
      </c>
      <c r="I1484" s="26" t="str">
        <f>IF(A1484="","",IF(BASE_CAIXA!H1481&lt;&gt;"",BASE_CAIXA!H1481,BASE_CAIXA!G1481))</f>
        <v/>
      </c>
      <c r="J1484" s="26" t="str">
        <f>IF(A1484="","",BASE_CAIXA!G1481)</f>
        <v/>
      </c>
      <c r="K1484" s="26" t="str">
        <f>IF(A1484="","",BASE_CAIXA!I1481)</f>
        <v/>
      </c>
      <c r="L1484" s="26" t="str">
        <f>IF(A1484="","",BASE_CAIXA!J1481)</f>
        <v/>
      </c>
      <c r="M1484" s="26" t="str">
        <f>IF(A1484="","",BASE_CAIXA!AM1481)</f>
        <v/>
      </c>
      <c r="N1484" s="26" t="str">
        <f t="shared" ca="1" si="69"/>
        <v/>
      </c>
      <c r="O1484" s="26" t="str">
        <f>IFERROR(INDEX(EXTRATO_IMPORTADO!$A$5:$A$404,MATCH(B1484,EXTRATO_IMPORTADO!$I$5:$I$404,0)),"")</f>
        <v/>
      </c>
      <c r="P1484" s="26" t="str">
        <f>IFERROR(INDEX(EXTRATO_IMPORTADO!$F$5:$F$404,MATCH(B1484,EXTRATO_IMPORTADO!$I$5:$I$404,0)),"")</f>
        <v/>
      </c>
      <c r="Q1484" s="26" t="str">
        <f>IFERROR(INDEX(EXTRATO_IMPORTADO!$B$5:$B$404,MATCH(B1484,EXTRATO_IMPORTADO!$I$5:$I$404,0)),"")</f>
        <v/>
      </c>
      <c r="R1484" s="26" t="str">
        <f>IFERROR(MATCH(B1484,EXTRATO_IMPORTADO!$I$5:$I$404,0),"")</f>
        <v/>
      </c>
      <c r="S1484" s="26" t="str">
        <f t="shared" si="70"/>
        <v/>
      </c>
      <c r="T1484" s="26" t="str">
        <f t="shared" si="71"/>
        <v/>
      </c>
    </row>
    <row r="1485" spans="1:20" x14ac:dyDescent="0.3">
      <c r="A1485" s="26" t="str">
        <f>IF(BASE_CAIXA!A1482="","",BASE_CAIXA!A1482)</f>
        <v/>
      </c>
      <c r="B1485" s="26" t="str">
        <f>IF(A1485="","",BASE_CAIXA!AL1482)</f>
        <v/>
      </c>
      <c r="C1485" s="26" t="str">
        <f>IF(A1485="","",BASE_CAIXA!AJ1482)</f>
        <v/>
      </c>
      <c r="D1485" s="26" t="str">
        <f>IF(A1485="","",IF(BASE_CAIXA!C1482="Entrada","Crédito","Débito"))</f>
        <v/>
      </c>
      <c r="E1485" s="26" t="str">
        <f>IF(A1485="","",BASE_CAIXA!AA1482)</f>
        <v/>
      </c>
      <c r="F1485" s="26" t="str">
        <f>IF(A1485="","",BASE_CAIXA!N1482)</f>
        <v/>
      </c>
      <c r="G1485" s="26" t="str">
        <f>IF(A1485="","",BASE_CAIXA!O1482)</f>
        <v/>
      </c>
      <c r="H1485" s="26" t="str">
        <f>IF(A1485="","",BASE_CAIXA!P1482)</f>
        <v/>
      </c>
      <c r="I1485" s="26" t="str">
        <f>IF(A1485="","",IF(BASE_CAIXA!H1482&lt;&gt;"",BASE_CAIXA!H1482,BASE_CAIXA!G1482))</f>
        <v/>
      </c>
      <c r="J1485" s="26" t="str">
        <f>IF(A1485="","",BASE_CAIXA!G1482)</f>
        <v/>
      </c>
      <c r="K1485" s="26" t="str">
        <f>IF(A1485="","",BASE_CAIXA!I1482)</f>
        <v/>
      </c>
      <c r="L1485" s="26" t="str">
        <f>IF(A1485="","",BASE_CAIXA!J1482)</f>
        <v/>
      </c>
      <c r="M1485" s="26" t="str">
        <f>IF(A1485="","",BASE_CAIXA!AM1482)</f>
        <v/>
      </c>
      <c r="N1485" s="26" t="str">
        <f t="shared" ca="1" si="69"/>
        <v/>
      </c>
      <c r="O1485" s="26" t="str">
        <f>IFERROR(INDEX(EXTRATO_IMPORTADO!$A$5:$A$404,MATCH(B1485,EXTRATO_IMPORTADO!$I$5:$I$404,0)),"")</f>
        <v/>
      </c>
      <c r="P1485" s="26" t="str">
        <f>IFERROR(INDEX(EXTRATO_IMPORTADO!$F$5:$F$404,MATCH(B1485,EXTRATO_IMPORTADO!$I$5:$I$404,0)),"")</f>
        <v/>
      </c>
      <c r="Q1485" s="26" t="str">
        <f>IFERROR(INDEX(EXTRATO_IMPORTADO!$B$5:$B$404,MATCH(B1485,EXTRATO_IMPORTADO!$I$5:$I$404,0)),"")</f>
        <v/>
      </c>
      <c r="R1485" s="26" t="str">
        <f>IFERROR(MATCH(B1485,EXTRATO_IMPORTADO!$I$5:$I$404,0),"")</f>
        <v/>
      </c>
      <c r="S1485" s="26" t="str">
        <f t="shared" si="70"/>
        <v/>
      </c>
      <c r="T1485" s="26" t="str">
        <f t="shared" si="71"/>
        <v/>
      </c>
    </row>
    <row r="1486" spans="1:20" x14ac:dyDescent="0.3">
      <c r="A1486" s="26" t="str">
        <f>IF(BASE_CAIXA!A1483="","",BASE_CAIXA!A1483)</f>
        <v/>
      </c>
      <c r="B1486" s="26" t="str">
        <f>IF(A1486="","",BASE_CAIXA!AL1483)</f>
        <v/>
      </c>
      <c r="C1486" s="26" t="str">
        <f>IF(A1486="","",BASE_CAIXA!AJ1483)</f>
        <v/>
      </c>
      <c r="D1486" s="26" t="str">
        <f>IF(A1486="","",IF(BASE_CAIXA!C1483="Entrada","Crédito","Débito"))</f>
        <v/>
      </c>
      <c r="E1486" s="26" t="str">
        <f>IF(A1486="","",BASE_CAIXA!AA1483)</f>
        <v/>
      </c>
      <c r="F1486" s="26" t="str">
        <f>IF(A1486="","",BASE_CAIXA!N1483)</f>
        <v/>
      </c>
      <c r="G1486" s="26" t="str">
        <f>IF(A1486="","",BASE_CAIXA!O1483)</f>
        <v/>
      </c>
      <c r="H1486" s="26" t="str">
        <f>IF(A1486="","",BASE_CAIXA!P1483)</f>
        <v/>
      </c>
      <c r="I1486" s="26" t="str">
        <f>IF(A1486="","",IF(BASE_CAIXA!H1483&lt;&gt;"",BASE_CAIXA!H1483,BASE_CAIXA!G1483))</f>
        <v/>
      </c>
      <c r="J1486" s="26" t="str">
        <f>IF(A1486="","",BASE_CAIXA!G1483)</f>
        <v/>
      </c>
      <c r="K1486" s="26" t="str">
        <f>IF(A1486="","",BASE_CAIXA!I1483)</f>
        <v/>
      </c>
      <c r="L1486" s="26" t="str">
        <f>IF(A1486="","",BASE_CAIXA!J1483)</f>
        <v/>
      </c>
      <c r="M1486" s="26" t="str">
        <f>IF(A1486="","",BASE_CAIXA!AM1483)</f>
        <v/>
      </c>
      <c r="N1486" s="26" t="str">
        <f t="shared" ca="1" si="69"/>
        <v/>
      </c>
      <c r="O1486" s="26" t="str">
        <f>IFERROR(INDEX(EXTRATO_IMPORTADO!$A$5:$A$404,MATCH(B1486,EXTRATO_IMPORTADO!$I$5:$I$404,0)),"")</f>
        <v/>
      </c>
      <c r="P1486" s="26" t="str">
        <f>IFERROR(INDEX(EXTRATO_IMPORTADO!$F$5:$F$404,MATCH(B1486,EXTRATO_IMPORTADO!$I$5:$I$404,0)),"")</f>
        <v/>
      </c>
      <c r="Q1486" s="26" t="str">
        <f>IFERROR(INDEX(EXTRATO_IMPORTADO!$B$5:$B$404,MATCH(B1486,EXTRATO_IMPORTADO!$I$5:$I$404,0)),"")</f>
        <v/>
      </c>
      <c r="R1486" s="26" t="str">
        <f>IFERROR(MATCH(B1486,EXTRATO_IMPORTADO!$I$5:$I$404,0),"")</f>
        <v/>
      </c>
      <c r="S1486" s="26" t="str">
        <f t="shared" si="70"/>
        <v/>
      </c>
      <c r="T1486" s="26" t="str">
        <f t="shared" si="71"/>
        <v/>
      </c>
    </row>
    <row r="1487" spans="1:20" x14ac:dyDescent="0.3">
      <c r="A1487" s="26" t="str">
        <f>IF(BASE_CAIXA!A1484="","",BASE_CAIXA!A1484)</f>
        <v/>
      </c>
      <c r="B1487" s="26" t="str">
        <f>IF(A1487="","",BASE_CAIXA!AL1484)</f>
        <v/>
      </c>
      <c r="C1487" s="26" t="str">
        <f>IF(A1487="","",BASE_CAIXA!AJ1484)</f>
        <v/>
      </c>
      <c r="D1487" s="26" t="str">
        <f>IF(A1487="","",IF(BASE_CAIXA!C1484="Entrada","Crédito","Débito"))</f>
        <v/>
      </c>
      <c r="E1487" s="26" t="str">
        <f>IF(A1487="","",BASE_CAIXA!AA1484)</f>
        <v/>
      </c>
      <c r="F1487" s="26" t="str">
        <f>IF(A1487="","",BASE_CAIXA!N1484)</f>
        <v/>
      </c>
      <c r="G1487" s="26" t="str">
        <f>IF(A1487="","",BASE_CAIXA!O1484)</f>
        <v/>
      </c>
      <c r="H1487" s="26" t="str">
        <f>IF(A1487="","",BASE_CAIXA!P1484)</f>
        <v/>
      </c>
      <c r="I1487" s="26" t="str">
        <f>IF(A1487="","",IF(BASE_CAIXA!H1484&lt;&gt;"",BASE_CAIXA!H1484,BASE_CAIXA!G1484))</f>
        <v/>
      </c>
      <c r="J1487" s="26" t="str">
        <f>IF(A1487="","",BASE_CAIXA!G1484)</f>
        <v/>
      </c>
      <c r="K1487" s="26" t="str">
        <f>IF(A1487="","",BASE_CAIXA!I1484)</f>
        <v/>
      </c>
      <c r="L1487" s="26" t="str">
        <f>IF(A1487="","",BASE_CAIXA!J1484)</f>
        <v/>
      </c>
      <c r="M1487" s="26" t="str">
        <f>IF(A1487="","",BASE_CAIXA!AM1484)</f>
        <v/>
      </c>
      <c r="N1487" s="26" t="str">
        <f t="shared" ca="1" si="69"/>
        <v/>
      </c>
      <c r="O1487" s="26" t="str">
        <f>IFERROR(INDEX(EXTRATO_IMPORTADO!$A$5:$A$404,MATCH(B1487,EXTRATO_IMPORTADO!$I$5:$I$404,0)),"")</f>
        <v/>
      </c>
      <c r="P1487" s="26" t="str">
        <f>IFERROR(INDEX(EXTRATO_IMPORTADO!$F$5:$F$404,MATCH(B1487,EXTRATO_IMPORTADO!$I$5:$I$404,0)),"")</f>
        <v/>
      </c>
      <c r="Q1487" s="26" t="str">
        <f>IFERROR(INDEX(EXTRATO_IMPORTADO!$B$5:$B$404,MATCH(B1487,EXTRATO_IMPORTADO!$I$5:$I$404,0)),"")</f>
        <v/>
      </c>
      <c r="R1487" s="26" t="str">
        <f>IFERROR(MATCH(B1487,EXTRATO_IMPORTADO!$I$5:$I$404,0),"")</f>
        <v/>
      </c>
      <c r="S1487" s="26" t="str">
        <f t="shared" si="70"/>
        <v/>
      </c>
      <c r="T1487" s="26" t="str">
        <f t="shared" si="71"/>
        <v/>
      </c>
    </row>
    <row r="1488" spans="1:20" x14ac:dyDescent="0.3">
      <c r="A1488" s="26" t="str">
        <f>IF(BASE_CAIXA!A1485="","",BASE_CAIXA!A1485)</f>
        <v/>
      </c>
      <c r="B1488" s="26" t="str">
        <f>IF(A1488="","",BASE_CAIXA!AL1485)</f>
        <v/>
      </c>
      <c r="C1488" s="26" t="str">
        <f>IF(A1488="","",BASE_CAIXA!AJ1485)</f>
        <v/>
      </c>
      <c r="D1488" s="26" t="str">
        <f>IF(A1488="","",IF(BASE_CAIXA!C1485="Entrada","Crédito","Débito"))</f>
        <v/>
      </c>
      <c r="E1488" s="26" t="str">
        <f>IF(A1488="","",BASE_CAIXA!AA1485)</f>
        <v/>
      </c>
      <c r="F1488" s="26" t="str">
        <f>IF(A1488="","",BASE_CAIXA!N1485)</f>
        <v/>
      </c>
      <c r="G1488" s="26" t="str">
        <f>IF(A1488="","",BASE_CAIXA!O1485)</f>
        <v/>
      </c>
      <c r="H1488" s="26" t="str">
        <f>IF(A1488="","",BASE_CAIXA!P1485)</f>
        <v/>
      </c>
      <c r="I1488" s="26" t="str">
        <f>IF(A1488="","",IF(BASE_CAIXA!H1485&lt;&gt;"",BASE_CAIXA!H1485,BASE_CAIXA!G1485))</f>
        <v/>
      </c>
      <c r="J1488" s="26" t="str">
        <f>IF(A1488="","",BASE_CAIXA!G1485)</f>
        <v/>
      </c>
      <c r="K1488" s="26" t="str">
        <f>IF(A1488="","",BASE_CAIXA!I1485)</f>
        <v/>
      </c>
      <c r="L1488" s="26" t="str">
        <f>IF(A1488="","",BASE_CAIXA!J1485)</f>
        <v/>
      </c>
      <c r="M1488" s="26" t="str">
        <f>IF(A1488="","",BASE_CAIXA!AM1485)</f>
        <v/>
      </c>
      <c r="N1488" s="26" t="str">
        <f t="shared" ca="1" si="69"/>
        <v/>
      </c>
      <c r="O1488" s="26" t="str">
        <f>IFERROR(INDEX(EXTRATO_IMPORTADO!$A$5:$A$404,MATCH(B1488,EXTRATO_IMPORTADO!$I$5:$I$404,0)),"")</f>
        <v/>
      </c>
      <c r="P1488" s="26" t="str">
        <f>IFERROR(INDEX(EXTRATO_IMPORTADO!$F$5:$F$404,MATCH(B1488,EXTRATO_IMPORTADO!$I$5:$I$404,0)),"")</f>
        <v/>
      </c>
      <c r="Q1488" s="26" t="str">
        <f>IFERROR(INDEX(EXTRATO_IMPORTADO!$B$5:$B$404,MATCH(B1488,EXTRATO_IMPORTADO!$I$5:$I$404,0)),"")</f>
        <v/>
      </c>
      <c r="R1488" s="26" t="str">
        <f>IFERROR(MATCH(B1488,EXTRATO_IMPORTADO!$I$5:$I$404,0),"")</f>
        <v/>
      </c>
      <c r="S1488" s="26" t="str">
        <f t="shared" si="70"/>
        <v/>
      </c>
      <c r="T1488" s="26" t="str">
        <f t="shared" si="71"/>
        <v/>
      </c>
    </row>
    <row r="1489" spans="1:20" x14ac:dyDescent="0.3">
      <c r="A1489" s="26" t="str">
        <f>IF(BASE_CAIXA!A1486="","",BASE_CAIXA!A1486)</f>
        <v/>
      </c>
      <c r="B1489" s="26" t="str">
        <f>IF(A1489="","",BASE_CAIXA!AL1486)</f>
        <v/>
      </c>
      <c r="C1489" s="26" t="str">
        <f>IF(A1489="","",BASE_CAIXA!AJ1486)</f>
        <v/>
      </c>
      <c r="D1489" s="26" t="str">
        <f>IF(A1489="","",IF(BASE_CAIXA!C1486="Entrada","Crédito","Débito"))</f>
        <v/>
      </c>
      <c r="E1489" s="26" t="str">
        <f>IF(A1489="","",BASE_CAIXA!AA1486)</f>
        <v/>
      </c>
      <c r="F1489" s="26" t="str">
        <f>IF(A1489="","",BASE_CAIXA!N1486)</f>
        <v/>
      </c>
      <c r="G1489" s="26" t="str">
        <f>IF(A1489="","",BASE_CAIXA!O1486)</f>
        <v/>
      </c>
      <c r="H1489" s="26" t="str">
        <f>IF(A1489="","",BASE_CAIXA!P1486)</f>
        <v/>
      </c>
      <c r="I1489" s="26" t="str">
        <f>IF(A1489="","",IF(BASE_CAIXA!H1486&lt;&gt;"",BASE_CAIXA!H1486,BASE_CAIXA!G1486))</f>
        <v/>
      </c>
      <c r="J1489" s="26" t="str">
        <f>IF(A1489="","",BASE_CAIXA!G1486)</f>
        <v/>
      </c>
      <c r="K1489" s="26" t="str">
        <f>IF(A1489="","",BASE_CAIXA!I1486)</f>
        <v/>
      </c>
      <c r="L1489" s="26" t="str">
        <f>IF(A1489="","",BASE_CAIXA!J1486)</f>
        <v/>
      </c>
      <c r="M1489" s="26" t="str">
        <f>IF(A1489="","",BASE_CAIXA!AM1486)</f>
        <v/>
      </c>
      <c r="N1489" s="26" t="str">
        <f t="shared" ca="1" si="69"/>
        <v/>
      </c>
      <c r="O1489" s="26" t="str">
        <f>IFERROR(INDEX(EXTRATO_IMPORTADO!$A$5:$A$404,MATCH(B1489,EXTRATO_IMPORTADO!$I$5:$I$404,0)),"")</f>
        <v/>
      </c>
      <c r="P1489" s="26" t="str">
        <f>IFERROR(INDEX(EXTRATO_IMPORTADO!$F$5:$F$404,MATCH(B1489,EXTRATO_IMPORTADO!$I$5:$I$404,0)),"")</f>
        <v/>
      </c>
      <c r="Q1489" s="26" t="str">
        <f>IFERROR(INDEX(EXTRATO_IMPORTADO!$B$5:$B$404,MATCH(B1489,EXTRATO_IMPORTADO!$I$5:$I$404,0)),"")</f>
        <v/>
      </c>
      <c r="R1489" s="26" t="str">
        <f>IFERROR(MATCH(B1489,EXTRATO_IMPORTADO!$I$5:$I$404,0),"")</f>
        <v/>
      </c>
      <c r="S1489" s="26" t="str">
        <f t="shared" si="70"/>
        <v/>
      </c>
      <c r="T1489" s="26" t="str">
        <f t="shared" si="71"/>
        <v/>
      </c>
    </row>
    <row r="1490" spans="1:20" x14ac:dyDescent="0.3">
      <c r="A1490" s="26" t="str">
        <f>IF(BASE_CAIXA!A1487="","",BASE_CAIXA!A1487)</f>
        <v/>
      </c>
      <c r="B1490" s="26" t="str">
        <f>IF(A1490="","",BASE_CAIXA!AL1487)</f>
        <v/>
      </c>
      <c r="C1490" s="26" t="str">
        <f>IF(A1490="","",BASE_CAIXA!AJ1487)</f>
        <v/>
      </c>
      <c r="D1490" s="26" t="str">
        <f>IF(A1490="","",IF(BASE_CAIXA!C1487="Entrada","Crédito","Débito"))</f>
        <v/>
      </c>
      <c r="E1490" s="26" t="str">
        <f>IF(A1490="","",BASE_CAIXA!AA1487)</f>
        <v/>
      </c>
      <c r="F1490" s="26" t="str">
        <f>IF(A1490="","",BASE_CAIXA!N1487)</f>
        <v/>
      </c>
      <c r="G1490" s="26" t="str">
        <f>IF(A1490="","",BASE_CAIXA!O1487)</f>
        <v/>
      </c>
      <c r="H1490" s="26" t="str">
        <f>IF(A1490="","",BASE_CAIXA!P1487)</f>
        <v/>
      </c>
      <c r="I1490" s="26" t="str">
        <f>IF(A1490="","",IF(BASE_CAIXA!H1487&lt;&gt;"",BASE_CAIXA!H1487,BASE_CAIXA!G1487))</f>
        <v/>
      </c>
      <c r="J1490" s="26" t="str">
        <f>IF(A1490="","",BASE_CAIXA!G1487)</f>
        <v/>
      </c>
      <c r="K1490" s="26" t="str">
        <f>IF(A1490="","",BASE_CAIXA!I1487)</f>
        <v/>
      </c>
      <c r="L1490" s="26" t="str">
        <f>IF(A1490="","",BASE_CAIXA!J1487)</f>
        <v/>
      </c>
      <c r="M1490" s="26" t="str">
        <f>IF(A1490="","",BASE_CAIXA!AM1487)</f>
        <v/>
      </c>
      <c r="N1490" s="26" t="str">
        <f t="shared" ca="1" si="69"/>
        <v/>
      </c>
      <c r="O1490" s="26" t="str">
        <f>IFERROR(INDEX(EXTRATO_IMPORTADO!$A$5:$A$404,MATCH(B1490,EXTRATO_IMPORTADO!$I$5:$I$404,0)),"")</f>
        <v/>
      </c>
      <c r="P1490" s="26" t="str">
        <f>IFERROR(INDEX(EXTRATO_IMPORTADO!$F$5:$F$404,MATCH(B1490,EXTRATO_IMPORTADO!$I$5:$I$404,0)),"")</f>
        <v/>
      </c>
      <c r="Q1490" s="26" t="str">
        <f>IFERROR(INDEX(EXTRATO_IMPORTADO!$B$5:$B$404,MATCH(B1490,EXTRATO_IMPORTADO!$I$5:$I$404,0)),"")</f>
        <v/>
      </c>
      <c r="R1490" s="26" t="str">
        <f>IFERROR(MATCH(B1490,EXTRATO_IMPORTADO!$I$5:$I$404,0),"")</f>
        <v/>
      </c>
      <c r="S1490" s="26" t="str">
        <f t="shared" si="70"/>
        <v/>
      </c>
      <c r="T1490" s="26" t="str">
        <f t="shared" si="71"/>
        <v/>
      </c>
    </row>
    <row r="1491" spans="1:20" x14ac:dyDescent="0.3">
      <c r="A1491" s="26" t="str">
        <f>IF(BASE_CAIXA!A1488="","",BASE_CAIXA!A1488)</f>
        <v/>
      </c>
      <c r="B1491" s="26" t="str">
        <f>IF(A1491="","",BASE_CAIXA!AL1488)</f>
        <v/>
      </c>
      <c r="C1491" s="26" t="str">
        <f>IF(A1491="","",BASE_CAIXA!AJ1488)</f>
        <v/>
      </c>
      <c r="D1491" s="26" t="str">
        <f>IF(A1491="","",IF(BASE_CAIXA!C1488="Entrada","Crédito","Débito"))</f>
        <v/>
      </c>
      <c r="E1491" s="26" t="str">
        <f>IF(A1491="","",BASE_CAIXA!AA1488)</f>
        <v/>
      </c>
      <c r="F1491" s="26" t="str">
        <f>IF(A1491="","",BASE_CAIXA!N1488)</f>
        <v/>
      </c>
      <c r="G1491" s="26" t="str">
        <f>IF(A1491="","",BASE_CAIXA!O1488)</f>
        <v/>
      </c>
      <c r="H1491" s="26" t="str">
        <f>IF(A1491="","",BASE_CAIXA!P1488)</f>
        <v/>
      </c>
      <c r="I1491" s="26" t="str">
        <f>IF(A1491="","",IF(BASE_CAIXA!H1488&lt;&gt;"",BASE_CAIXA!H1488,BASE_CAIXA!G1488))</f>
        <v/>
      </c>
      <c r="J1491" s="26" t="str">
        <f>IF(A1491="","",BASE_CAIXA!G1488)</f>
        <v/>
      </c>
      <c r="K1491" s="26" t="str">
        <f>IF(A1491="","",BASE_CAIXA!I1488)</f>
        <v/>
      </c>
      <c r="L1491" s="26" t="str">
        <f>IF(A1491="","",BASE_CAIXA!J1488)</f>
        <v/>
      </c>
      <c r="M1491" s="26" t="str">
        <f>IF(A1491="","",BASE_CAIXA!AM1488)</f>
        <v/>
      </c>
      <c r="N1491" s="26" t="str">
        <f t="shared" ca="1" si="69"/>
        <v/>
      </c>
      <c r="O1491" s="26" t="str">
        <f>IFERROR(INDEX(EXTRATO_IMPORTADO!$A$5:$A$404,MATCH(B1491,EXTRATO_IMPORTADO!$I$5:$I$404,0)),"")</f>
        <v/>
      </c>
      <c r="P1491" s="26" t="str">
        <f>IFERROR(INDEX(EXTRATO_IMPORTADO!$F$5:$F$404,MATCH(B1491,EXTRATO_IMPORTADO!$I$5:$I$404,0)),"")</f>
        <v/>
      </c>
      <c r="Q1491" s="26" t="str">
        <f>IFERROR(INDEX(EXTRATO_IMPORTADO!$B$5:$B$404,MATCH(B1491,EXTRATO_IMPORTADO!$I$5:$I$404,0)),"")</f>
        <v/>
      </c>
      <c r="R1491" s="26" t="str">
        <f>IFERROR(MATCH(B1491,EXTRATO_IMPORTADO!$I$5:$I$404,0),"")</f>
        <v/>
      </c>
      <c r="S1491" s="26" t="str">
        <f t="shared" si="70"/>
        <v/>
      </c>
      <c r="T1491" s="26" t="str">
        <f t="shared" si="71"/>
        <v/>
      </c>
    </row>
    <row r="1492" spans="1:20" x14ac:dyDescent="0.3">
      <c r="A1492" s="26" t="str">
        <f>IF(BASE_CAIXA!A1489="","",BASE_CAIXA!A1489)</f>
        <v/>
      </c>
      <c r="B1492" s="26" t="str">
        <f>IF(A1492="","",BASE_CAIXA!AL1489)</f>
        <v/>
      </c>
      <c r="C1492" s="26" t="str">
        <f>IF(A1492="","",BASE_CAIXA!AJ1489)</f>
        <v/>
      </c>
      <c r="D1492" s="26" t="str">
        <f>IF(A1492="","",IF(BASE_CAIXA!C1489="Entrada","Crédito","Débito"))</f>
        <v/>
      </c>
      <c r="E1492" s="26" t="str">
        <f>IF(A1492="","",BASE_CAIXA!AA1489)</f>
        <v/>
      </c>
      <c r="F1492" s="26" t="str">
        <f>IF(A1492="","",BASE_CAIXA!N1489)</f>
        <v/>
      </c>
      <c r="G1492" s="26" t="str">
        <f>IF(A1492="","",BASE_CAIXA!O1489)</f>
        <v/>
      </c>
      <c r="H1492" s="26" t="str">
        <f>IF(A1492="","",BASE_CAIXA!P1489)</f>
        <v/>
      </c>
      <c r="I1492" s="26" t="str">
        <f>IF(A1492="","",IF(BASE_CAIXA!H1489&lt;&gt;"",BASE_CAIXA!H1489,BASE_CAIXA!G1489))</f>
        <v/>
      </c>
      <c r="J1492" s="26" t="str">
        <f>IF(A1492="","",BASE_CAIXA!G1489)</f>
        <v/>
      </c>
      <c r="K1492" s="26" t="str">
        <f>IF(A1492="","",BASE_CAIXA!I1489)</f>
        <v/>
      </c>
      <c r="L1492" s="26" t="str">
        <f>IF(A1492="","",BASE_CAIXA!J1489)</f>
        <v/>
      </c>
      <c r="M1492" s="26" t="str">
        <f>IF(A1492="","",BASE_CAIXA!AM1489)</f>
        <v/>
      </c>
      <c r="N1492" s="26" t="str">
        <f t="shared" ca="1" si="69"/>
        <v/>
      </c>
      <c r="O1492" s="26" t="str">
        <f>IFERROR(INDEX(EXTRATO_IMPORTADO!$A$5:$A$404,MATCH(B1492,EXTRATO_IMPORTADO!$I$5:$I$404,0)),"")</f>
        <v/>
      </c>
      <c r="P1492" s="26" t="str">
        <f>IFERROR(INDEX(EXTRATO_IMPORTADO!$F$5:$F$404,MATCH(B1492,EXTRATO_IMPORTADO!$I$5:$I$404,0)),"")</f>
        <v/>
      </c>
      <c r="Q1492" s="26" t="str">
        <f>IFERROR(INDEX(EXTRATO_IMPORTADO!$B$5:$B$404,MATCH(B1492,EXTRATO_IMPORTADO!$I$5:$I$404,0)),"")</f>
        <v/>
      </c>
      <c r="R1492" s="26" t="str">
        <f>IFERROR(MATCH(B1492,EXTRATO_IMPORTADO!$I$5:$I$404,0),"")</f>
        <v/>
      </c>
      <c r="S1492" s="26" t="str">
        <f t="shared" si="70"/>
        <v/>
      </c>
      <c r="T1492" s="26" t="str">
        <f t="shared" si="71"/>
        <v/>
      </c>
    </row>
    <row r="1493" spans="1:20" x14ac:dyDescent="0.3">
      <c r="A1493" s="26" t="str">
        <f>IF(BASE_CAIXA!A1490="","",BASE_CAIXA!A1490)</f>
        <v/>
      </c>
      <c r="B1493" s="26" t="str">
        <f>IF(A1493="","",BASE_CAIXA!AL1490)</f>
        <v/>
      </c>
      <c r="C1493" s="26" t="str">
        <f>IF(A1493="","",BASE_CAIXA!AJ1490)</f>
        <v/>
      </c>
      <c r="D1493" s="26" t="str">
        <f>IF(A1493="","",IF(BASE_CAIXA!C1490="Entrada","Crédito","Débito"))</f>
        <v/>
      </c>
      <c r="E1493" s="26" t="str">
        <f>IF(A1493="","",BASE_CAIXA!AA1490)</f>
        <v/>
      </c>
      <c r="F1493" s="26" t="str">
        <f>IF(A1493="","",BASE_CAIXA!N1490)</f>
        <v/>
      </c>
      <c r="G1493" s="26" t="str">
        <f>IF(A1493="","",BASE_CAIXA!O1490)</f>
        <v/>
      </c>
      <c r="H1493" s="26" t="str">
        <f>IF(A1493="","",BASE_CAIXA!P1490)</f>
        <v/>
      </c>
      <c r="I1493" s="26" t="str">
        <f>IF(A1493="","",IF(BASE_CAIXA!H1490&lt;&gt;"",BASE_CAIXA!H1490,BASE_CAIXA!G1490))</f>
        <v/>
      </c>
      <c r="J1493" s="26" t="str">
        <f>IF(A1493="","",BASE_CAIXA!G1490)</f>
        <v/>
      </c>
      <c r="K1493" s="26" t="str">
        <f>IF(A1493="","",BASE_CAIXA!I1490)</f>
        <v/>
      </c>
      <c r="L1493" s="26" t="str">
        <f>IF(A1493="","",BASE_CAIXA!J1490)</f>
        <v/>
      </c>
      <c r="M1493" s="26" t="str">
        <f>IF(A1493="","",BASE_CAIXA!AM1490)</f>
        <v/>
      </c>
      <c r="N1493" s="26" t="str">
        <f t="shared" ca="1" si="69"/>
        <v/>
      </c>
      <c r="O1493" s="26" t="str">
        <f>IFERROR(INDEX(EXTRATO_IMPORTADO!$A$5:$A$404,MATCH(B1493,EXTRATO_IMPORTADO!$I$5:$I$404,0)),"")</f>
        <v/>
      </c>
      <c r="P1493" s="26" t="str">
        <f>IFERROR(INDEX(EXTRATO_IMPORTADO!$F$5:$F$404,MATCH(B1493,EXTRATO_IMPORTADO!$I$5:$I$404,0)),"")</f>
        <v/>
      </c>
      <c r="Q1493" s="26" t="str">
        <f>IFERROR(INDEX(EXTRATO_IMPORTADO!$B$5:$B$404,MATCH(B1493,EXTRATO_IMPORTADO!$I$5:$I$404,0)),"")</f>
        <v/>
      </c>
      <c r="R1493" s="26" t="str">
        <f>IFERROR(MATCH(B1493,EXTRATO_IMPORTADO!$I$5:$I$404,0),"")</f>
        <v/>
      </c>
      <c r="S1493" s="26" t="str">
        <f t="shared" si="70"/>
        <v/>
      </c>
      <c r="T1493" s="26" t="str">
        <f t="shared" si="71"/>
        <v/>
      </c>
    </row>
    <row r="1494" spans="1:20" x14ac:dyDescent="0.3">
      <c r="A1494" s="26" t="str">
        <f>IF(BASE_CAIXA!A1491="","",BASE_CAIXA!A1491)</f>
        <v/>
      </c>
      <c r="B1494" s="26" t="str">
        <f>IF(A1494="","",BASE_CAIXA!AL1491)</f>
        <v/>
      </c>
      <c r="C1494" s="26" t="str">
        <f>IF(A1494="","",BASE_CAIXA!AJ1491)</f>
        <v/>
      </c>
      <c r="D1494" s="26" t="str">
        <f>IF(A1494="","",IF(BASE_CAIXA!C1491="Entrada","Crédito","Débito"))</f>
        <v/>
      </c>
      <c r="E1494" s="26" t="str">
        <f>IF(A1494="","",BASE_CAIXA!AA1491)</f>
        <v/>
      </c>
      <c r="F1494" s="26" t="str">
        <f>IF(A1494="","",BASE_CAIXA!N1491)</f>
        <v/>
      </c>
      <c r="G1494" s="26" t="str">
        <f>IF(A1494="","",BASE_CAIXA!O1491)</f>
        <v/>
      </c>
      <c r="H1494" s="26" t="str">
        <f>IF(A1494="","",BASE_CAIXA!P1491)</f>
        <v/>
      </c>
      <c r="I1494" s="26" t="str">
        <f>IF(A1494="","",IF(BASE_CAIXA!H1491&lt;&gt;"",BASE_CAIXA!H1491,BASE_CAIXA!G1491))</f>
        <v/>
      </c>
      <c r="J1494" s="26" t="str">
        <f>IF(A1494="","",BASE_CAIXA!G1491)</f>
        <v/>
      </c>
      <c r="K1494" s="26" t="str">
        <f>IF(A1494="","",BASE_CAIXA!I1491)</f>
        <v/>
      </c>
      <c r="L1494" s="26" t="str">
        <f>IF(A1494="","",BASE_CAIXA!J1491)</f>
        <v/>
      </c>
      <c r="M1494" s="26" t="str">
        <f>IF(A1494="","",BASE_CAIXA!AM1491)</f>
        <v/>
      </c>
      <c r="N1494" s="26" t="str">
        <f t="shared" ca="1" si="69"/>
        <v/>
      </c>
      <c r="O1494" s="26" t="str">
        <f>IFERROR(INDEX(EXTRATO_IMPORTADO!$A$5:$A$404,MATCH(B1494,EXTRATO_IMPORTADO!$I$5:$I$404,0)),"")</f>
        <v/>
      </c>
      <c r="P1494" s="26" t="str">
        <f>IFERROR(INDEX(EXTRATO_IMPORTADO!$F$5:$F$404,MATCH(B1494,EXTRATO_IMPORTADO!$I$5:$I$404,0)),"")</f>
        <v/>
      </c>
      <c r="Q1494" s="26" t="str">
        <f>IFERROR(INDEX(EXTRATO_IMPORTADO!$B$5:$B$404,MATCH(B1494,EXTRATO_IMPORTADO!$I$5:$I$404,0)),"")</f>
        <v/>
      </c>
      <c r="R1494" s="26" t="str">
        <f>IFERROR(MATCH(B1494,EXTRATO_IMPORTADO!$I$5:$I$404,0),"")</f>
        <v/>
      </c>
      <c r="S1494" s="26" t="str">
        <f t="shared" si="70"/>
        <v/>
      </c>
      <c r="T1494" s="26" t="str">
        <f t="shared" si="71"/>
        <v/>
      </c>
    </row>
    <row r="1495" spans="1:20" x14ac:dyDescent="0.3">
      <c r="A1495" s="26" t="str">
        <f>IF(BASE_CAIXA!A1492="","",BASE_CAIXA!A1492)</f>
        <v/>
      </c>
      <c r="B1495" s="26" t="str">
        <f>IF(A1495="","",BASE_CAIXA!AL1492)</f>
        <v/>
      </c>
      <c r="C1495" s="26" t="str">
        <f>IF(A1495="","",BASE_CAIXA!AJ1492)</f>
        <v/>
      </c>
      <c r="D1495" s="26" t="str">
        <f>IF(A1495="","",IF(BASE_CAIXA!C1492="Entrada","Crédito","Débito"))</f>
        <v/>
      </c>
      <c r="E1495" s="26" t="str">
        <f>IF(A1495="","",BASE_CAIXA!AA1492)</f>
        <v/>
      </c>
      <c r="F1495" s="26" t="str">
        <f>IF(A1495="","",BASE_CAIXA!N1492)</f>
        <v/>
      </c>
      <c r="G1495" s="26" t="str">
        <f>IF(A1495="","",BASE_CAIXA!O1492)</f>
        <v/>
      </c>
      <c r="H1495" s="26" t="str">
        <f>IF(A1495="","",BASE_CAIXA!P1492)</f>
        <v/>
      </c>
      <c r="I1495" s="26" t="str">
        <f>IF(A1495="","",IF(BASE_CAIXA!H1492&lt;&gt;"",BASE_CAIXA!H1492,BASE_CAIXA!G1492))</f>
        <v/>
      </c>
      <c r="J1495" s="26" t="str">
        <f>IF(A1495="","",BASE_CAIXA!G1492)</f>
        <v/>
      </c>
      <c r="K1495" s="26" t="str">
        <f>IF(A1495="","",BASE_CAIXA!I1492)</f>
        <v/>
      </c>
      <c r="L1495" s="26" t="str">
        <f>IF(A1495="","",BASE_CAIXA!J1492)</f>
        <v/>
      </c>
      <c r="M1495" s="26" t="str">
        <f>IF(A1495="","",BASE_CAIXA!AM1492)</f>
        <v/>
      </c>
      <c r="N1495" s="26" t="str">
        <f t="shared" ca="1" si="69"/>
        <v/>
      </c>
      <c r="O1495" s="26" t="str">
        <f>IFERROR(INDEX(EXTRATO_IMPORTADO!$A$5:$A$404,MATCH(B1495,EXTRATO_IMPORTADO!$I$5:$I$404,0)),"")</f>
        <v/>
      </c>
      <c r="P1495" s="26" t="str">
        <f>IFERROR(INDEX(EXTRATO_IMPORTADO!$F$5:$F$404,MATCH(B1495,EXTRATO_IMPORTADO!$I$5:$I$404,0)),"")</f>
        <v/>
      </c>
      <c r="Q1495" s="26" t="str">
        <f>IFERROR(INDEX(EXTRATO_IMPORTADO!$B$5:$B$404,MATCH(B1495,EXTRATO_IMPORTADO!$I$5:$I$404,0)),"")</f>
        <v/>
      </c>
      <c r="R1495" s="26" t="str">
        <f>IFERROR(MATCH(B1495,EXTRATO_IMPORTADO!$I$5:$I$404,0),"")</f>
        <v/>
      </c>
      <c r="S1495" s="26" t="str">
        <f t="shared" si="70"/>
        <v/>
      </c>
      <c r="T1495" s="26" t="str">
        <f t="shared" si="71"/>
        <v/>
      </c>
    </row>
    <row r="1496" spans="1:20" x14ac:dyDescent="0.3">
      <c r="A1496" s="26" t="str">
        <f>IF(BASE_CAIXA!A1493="","",BASE_CAIXA!A1493)</f>
        <v/>
      </c>
      <c r="B1496" s="26" t="str">
        <f>IF(A1496="","",BASE_CAIXA!AL1493)</f>
        <v/>
      </c>
      <c r="C1496" s="26" t="str">
        <f>IF(A1496="","",BASE_CAIXA!AJ1493)</f>
        <v/>
      </c>
      <c r="D1496" s="26" t="str">
        <f>IF(A1496="","",IF(BASE_CAIXA!C1493="Entrada","Crédito","Débito"))</f>
        <v/>
      </c>
      <c r="E1496" s="26" t="str">
        <f>IF(A1496="","",BASE_CAIXA!AA1493)</f>
        <v/>
      </c>
      <c r="F1496" s="26" t="str">
        <f>IF(A1496="","",BASE_CAIXA!N1493)</f>
        <v/>
      </c>
      <c r="G1496" s="26" t="str">
        <f>IF(A1496="","",BASE_CAIXA!O1493)</f>
        <v/>
      </c>
      <c r="H1496" s="26" t="str">
        <f>IF(A1496="","",BASE_CAIXA!P1493)</f>
        <v/>
      </c>
      <c r="I1496" s="26" t="str">
        <f>IF(A1496="","",IF(BASE_CAIXA!H1493&lt;&gt;"",BASE_CAIXA!H1493,BASE_CAIXA!G1493))</f>
        <v/>
      </c>
      <c r="J1496" s="26" t="str">
        <f>IF(A1496="","",BASE_CAIXA!G1493)</f>
        <v/>
      </c>
      <c r="K1496" s="26" t="str">
        <f>IF(A1496="","",BASE_CAIXA!I1493)</f>
        <v/>
      </c>
      <c r="L1496" s="26" t="str">
        <f>IF(A1496="","",BASE_CAIXA!J1493)</f>
        <v/>
      </c>
      <c r="M1496" s="26" t="str">
        <f>IF(A1496="","",BASE_CAIXA!AM1493)</f>
        <v/>
      </c>
      <c r="N1496" s="26" t="str">
        <f t="shared" ca="1" si="69"/>
        <v/>
      </c>
      <c r="O1496" s="26" t="str">
        <f>IFERROR(INDEX(EXTRATO_IMPORTADO!$A$5:$A$404,MATCH(B1496,EXTRATO_IMPORTADO!$I$5:$I$404,0)),"")</f>
        <v/>
      </c>
      <c r="P1496" s="26" t="str">
        <f>IFERROR(INDEX(EXTRATO_IMPORTADO!$F$5:$F$404,MATCH(B1496,EXTRATO_IMPORTADO!$I$5:$I$404,0)),"")</f>
        <v/>
      </c>
      <c r="Q1496" s="26" t="str">
        <f>IFERROR(INDEX(EXTRATO_IMPORTADO!$B$5:$B$404,MATCH(B1496,EXTRATO_IMPORTADO!$I$5:$I$404,0)),"")</f>
        <v/>
      </c>
      <c r="R1496" s="26" t="str">
        <f>IFERROR(MATCH(B1496,EXTRATO_IMPORTADO!$I$5:$I$404,0),"")</f>
        <v/>
      </c>
      <c r="S1496" s="26" t="str">
        <f t="shared" si="70"/>
        <v/>
      </c>
      <c r="T1496" s="26" t="str">
        <f t="shared" si="71"/>
        <v/>
      </c>
    </row>
    <row r="1497" spans="1:20" x14ac:dyDescent="0.3">
      <c r="A1497" s="26" t="str">
        <f>IF(BASE_CAIXA!A1494="","",BASE_CAIXA!A1494)</f>
        <v/>
      </c>
      <c r="B1497" s="26" t="str">
        <f>IF(A1497="","",BASE_CAIXA!AL1494)</f>
        <v/>
      </c>
      <c r="C1497" s="26" t="str">
        <f>IF(A1497="","",BASE_CAIXA!AJ1494)</f>
        <v/>
      </c>
      <c r="D1497" s="26" t="str">
        <f>IF(A1497="","",IF(BASE_CAIXA!C1494="Entrada","Crédito","Débito"))</f>
        <v/>
      </c>
      <c r="E1497" s="26" t="str">
        <f>IF(A1497="","",BASE_CAIXA!AA1494)</f>
        <v/>
      </c>
      <c r="F1497" s="26" t="str">
        <f>IF(A1497="","",BASE_CAIXA!N1494)</f>
        <v/>
      </c>
      <c r="G1497" s="26" t="str">
        <f>IF(A1497="","",BASE_CAIXA!O1494)</f>
        <v/>
      </c>
      <c r="H1497" s="26" t="str">
        <f>IF(A1497="","",BASE_CAIXA!P1494)</f>
        <v/>
      </c>
      <c r="I1497" s="26" t="str">
        <f>IF(A1497="","",IF(BASE_CAIXA!H1494&lt;&gt;"",BASE_CAIXA!H1494,BASE_CAIXA!G1494))</f>
        <v/>
      </c>
      <c r="J1497" s="26" t="str">
        <f>IF(A1497="","",BASE_CAIXA!G1494)</f>
        <v/>
      </c>
      <c r="K1497" s="26" t="str">
        <f>IF(A1497="","",BASE_CAIXA!I1494)</f>
        <v/>
      </c>
      <c r="L1497" s="26" t="str">
        <f>IF(A1497="","",BASE_CAIXA!J1494)</f>
        <v/>
      </c>
      <c r="M1497" s="26" t="str">
        <f>IF(A1497="","",BASE_CAIXA!AM1494)</f>
        <v/>
      </c>
      <c r="N1497" s="26" t="str">
        <f t="shared" ca="1" si="69"/>
        <v/>
      </c>
      <c r="O1497" s="26" t="str">
        <f>IFERROR(INDEX(EXTRATO_IMPORTADO!$A$5:$A$404,MATCH(B1497,EXTRATO_IMPORTADO!$I$5:$I$404,0)),"")</f>
        <v/>
      </c>
      <c r="P1497" s="26" t="str">
        <f>IFERROR(INDEX(EXTRATO_IMPORTADO!$F$5:$F$404,MATCH(B1497,EXTRATO_IMPORTADO!$I$5:$I$404,0)),"")</f>
        <v/>
      </c>
      <c r="Q1497" s="26" t="str">
        <f>IFERROR(INDEX(EXTRATO_IMPORTADO!$B$5:$B$404,MATCH(B1497,EXTRATO_IMPORTADO!$I$5:$I$404,0)),"")</f>
        <v/>
      </c>
      <c r="R1497" s="26" t="str">
        <f>IFERROR(MATCH(B1497,EXTRATO_IMPORTADO!$I$5:$I$404,0),"")</f>
        <v/>
      </c>
      <c r="S1497" s="26" t="str">
        <f t="shared" si="70"/>
        <v/>
      </c>
      <c r="T1497" s="26" t="str">
        <f t="shared" si="71"/>
        <v/>
      </c>
    </row>
    <row r="1498" spans="1:20" x14ac:dyDescent="0.3">
      <c r="A1498" s="26" t="str">
        <f>IF(BASE_CAIXA!A1495="","",BASE_CAIXA!A1495)</f>
        <v/>
      </c>
      <c r="B1498" s="26" t="str">
        <f>IF(A1498="","",BASE_CAIXA!AL1495)</f>
        <v/>
      </c>
      <c r="C1498" s="26" t="str">
        <f>IF(A1498="","",BASE_CAIXA!AJ1495)</f>
        <v/>
      </c>
      <c r="D1498" s="26" t="str">
        <f>IF(A1498="","",IF(BASE_CAIXA!C1495="Entrada","Crédito","Débito"))</f>
        <v/>
      </c>
      <c r="E1498" s="26" t="str">
        <f>IF(A1498="","",BASE_CAIXA!AA1495)</f>
        <v/>
      </c>
      <c r="F1498" s="26" t="str">
        <f>IF(A1498="","",BASE_CAIXA!N1495)</f>
        <v/>
      </c>
      <c r="G1498" s="26" t="str">
        <f>IF(A1498="","",BASE_CAIXA!O1495)</f>
        <v/>
      </c>
      <c r="H1498" s="26" t="str">
        <f>IF(A1498="","",BASE_CAIXA!P1495)</f>
        <v/>
      </c>
      <c r="I1498" s="26" t="str">
        <f>IF(A1498="","",IF(BASE_CAIXA!H1495&lt;&gt;"",BASE_CAIXA!H1495,BASE_CAIXA!G1495))</f>
        <v/>
      </c>
      <c r="J1498" s="26" t="str">
        <f>IF(A1498="","",BASE_CAIXA!G1495)</f>
        <v/>
      </c>
      <c r="K1498" s="26" t="str">
        <f>IF(A1498="","",BASE_CAIXA!I1495)</f>
        <v/>
      </c>
      <c r="L1498" s="26" t="str">
        <f>IF(A1498="","",BASE_CAIXA!J1495)</f>
        <v/>
      </c>
      <c r="M1498" s="26" t="str">
        <f>IF(A1498="","",BASE_CAIXA!AM1495)</f>
        <v/>
      </c>
      <c r="N1498" s="26" t="str">
        <f t="shared" ca="1" si="69"/>
        <v/>
      </c>
      <c r="O1498" s="26" t="str">
        <f>IFERROR(INDEX(EXTRATO_IMPORTADO!$A$5:$A$404,MATCH(B1498,EXTRATO_IMPORTADO!$I$5:$I$404,0)),"")</f>
        <v/>
      </c>
      <c r="P1498" s="26" t="str">
        <f>IFERROR(INDEX(EXTRATO_IMPORTADO!$F$5:$F$404,MATCH(B1498,EXTRATO_IMPORTADO!$I$5:$I$404,0)),"")</f>
        <v/>
      </c>
      <c r="Q1498" s="26" t="str">
        <f>IFERROR(INDEX(EXTRATO_IMPORTADO!$B$5:$B$404,MATCH(B1498,EXTRATO_IMPORTADO!$I$5:$I$404,0)),"")</f>
        <v/>
      </c>
      <c r="R1498" s="26" t="str">
        <f>IFERROR(MATCH(B1498,EXTRATO_IMPORTADO!$I$5:$I$404,0),"")</f>
        <v/>
      </c>
      <c r="S1498" s="26" t="str">
        <f t="shared" si="70"/>
        <v/>
      </c>
      <c r="T1498" s="26" t="str">
        <f t="shared" si="71"/>
        <v/>
      </c>
    </row>
    <row r="1499" spans="1:20" x14ac:dyDescent="0.3">
      <c r="A1499" s="26" t="str">
        <f>IF(BASE_CAIXA!A1496="","",BASE_CAIXA!A1496)</f>
        <v/>
      </c>
      <c r="B1499" s="26" t="str">
        <f>IF(A1499="","",BASE_CAIXA!AL1496)</f>
        <v/>
      </c>
      <c r="C1499" s="26" t="str">
        <f>IF(A1499="","",BASE_CAIXA!AJ1496)</f>
        <v/>
      </c>
      <c r="D1499" s="26" t="str">
        <f>IF(A1499="","",IF(BASE_CAIXA!C1496="Entrada","Crédito","Débito"))</f>
        <v/>
      </c>
      <c r="E1499" s="26" t="str">
        <f>IF(A1499="","",BASE_CAIXA!AA1496)</f>
        <v/>
      </c>
      <c r="F1499" s="26" t="str">
        <f>IF(A1499="","",BASE_CAIXA!N1496)</f>
        <v/>
      </c>
      <c r="G1499" s="26" t="str">
        <f>IF(A1499="","",BASE_CAIXA!O1496)</f>
        <v/>
      </c>
      <c r="H1499" s="26" t="str">
        <f>IF(A1499="","",BASE_CAIXA!P1496)</f>
        <v/>
      </c>
      <c r="I1499" s="26" t="str">
        <f>IF(A1499="","",IF(BASE_CAIXA!H1496&lt;&gt;"",BASE_CAIXA!H1496,BASE_CAIXA!G1496))</f>
        <v/>
      </c>
      <c r="J1499" s="26" t="str">
        <f>IF(A1499="","",BASE_CAIXA!G1496)</f>
        <v/>
      </c>
      <c r="K1499" s="26" t="str">
        <f>IF(A1499="","",BASE_CAIXA!I1496)</f>
        <v/>
      </c>
      <c r="L1499" s="26" t="str">
        <f>IF(A1499="","",BASE_CAIXA!J1496)</f>
        <v/>
      </c>
      <c r="M1499" s="26" t="str">
        <f>IF(A1499="","",BASE_CAIXA!AM1496)</f>
        <v/>
      </c>
      <c r="N1499" s="26" t="str">
        <f t="shared" ca="1" si="69"/>
        <v/>
      </c>
      <c r="O1499" s="26" t="str">
        <f>IFERROR(INDEX(EXTRATO_IMPORTADO!$A$5:$A$404,MATCH(B1499,EXTRATO_IMPORTADO!$I$5:$I$404,0)),"")</f>
        <v/>
      </c>
      <c r="P1499" s="26" t="str">
        <f>IFERROR(INDEX(EXTRATO_IMPORTADO!$F$5:$F$404,MATCH(B1499,EXTRATO_IMPORTADO!$I$5:$I$404,0)),"")</f>
        <v/>
      </c>
      <c r="Q1499" s="26" t="str">
        <f>IFERROR(INDEX(EXTRATO_IMPORTADO!$B$5:$B$404,MATCH(B1499,EXTRATO_IMPORTADO!$I$5:$I$404,0)),"")</f>
        <v/>
      </c>
      <c r="R1499" s="26" t="str">
        <f>IFERROR(MATCH(B1499,EXTRATO_IMPORTADO!$I$5:$I$404,0),"")</f>
        <v/>
      </c>
      <c r="S1499" s="26" t="str">
        <f t="shared" si="70"/>
        <v/>
      </c>
      <c r="T1499" s="26" t="str">
        <f t="shared" si="71"/>
        <v/>
      </c>
    </row>
    <row r="1500" spans="1:20" x14ac:dyDescent="0.3">
      <c r="A1500" s="26" t="str">
        <f>IF(BASE_CAIXA!A1497="","",BASE_CAIXA!A1497)</f>
        <v/>
      </c>
      <c r="B1500" s="26" t="str">
        <f>IF(A1500="","",BASE_CAIXA!AL1497)</f>
        <v/>
      </c>
      <c r="C1500" s="26" t="str">
        <f>IF(A1500="","",BASE_CAIXA!AJ1497)</f>
        <v/>
      </c>
      <c r="D1500" s="26" t="str">
        <f>IF(A1500="","",IF(BASE_CAIXA!C1497="Entrada","Crédito","Débito"))</f>
        <v/>
      </c>
      <c r="E1500" s="26" t="str">
        <f>IF(A1500="","",BASE_CAIXA!AA1497)</f>
        <v/>
      </c>
      <c r="F1500" s="26" t="str">
        <f>IF(A1500="","",BASE_CAIXA!N1497)</f>
        <v/>
      </c>
      <c r="G1500" s="26" t="str">
        <f>IF(A1500="","",BASE_CAIXA!O1497)</f>
        <v/>
      </c>
      <c r="H1500" s="26" t="str">
        <f>IF(A1500="","",BASE_CAIXA!P1497)</f>
        <v/>
      </c>
      <c r="I1500" s="26" t="str">
        <f>IF(A1500="","",IF(BASE_CAIXA!H1497&lt;&gt;"",BASE_CAIXA!H1497,BASE_CAIXA!G1497))</f>
        <v/>
      </c>
      <c r="J1500" s="26" t="str">
        <f>IF(A1500="","",BASE_CAIXA!G1497)</f>
        <v/>
      </c>
      <c r="K1500" s="26" t="str">
        <f>IF(A1500="","",BASE_CAIXA!I1497)</f>
        <v/>
      </c>
      <c r="L1500" s="26" t="str">
        <f>IF(A1500="","",BASE_CAIXA!J1497)</f>
        <v/>
      </c>
      <c r="M1500" s="26" t="str">
        <f>IF(A1500="","",BASE_CAIXA!AM1497)</f>
        <v/>
      </c>
      <c r="N1500" s="26" t="str">
        <f t="shared" ca="1" si="69"/>
        <v/>
      </c>
      <c r="O1500" s="26" t="str">
        <f>IFERROR(INDEX(EXTRATO_IMPORTADO!$A$5:$A$404,MATCH(B1500,EXTRATO_IMPORTADO!$I$5:$I$404,0)),"")</f>
        <v/>
      </c>
      <c r="P1500" s="26" t="str">
        <f>IFERROR(INDEX(EXTRATO_IMPORTADO!$F$5:$F$404,MATCH(B1500,EXTRATO_IMPORTADO!$I$5:$I$404,0)),"")</f>
        <v/>
      </c>
      <c r="Q1500" s="26" t="str">
        <f>IFERROR(INDEX(EXTRATO_IMPORTADO!$B$5:$B$404,MATCH(B1500,EXTRATO_IMPORTADO!$I$5:$I$404,0)),"")</f>
        <v/>
      </c>
      <c r="R1500" s="26" t="str">
        <f>IFERROR(MATCH(B1500,EXTRATO_IMPORTADO!$I$5:$I$404,0),"")</f>
        <v/>
      </c>
      <c r="S1500" s="26" t="str">
        <f t="shared" si="70"/>
        <v/>
      </c>
      <c r="T1500" s="26" t="str">
        <f t="shared" si="71"/>
        <v/>
      </c>
    </row>
    <row r="1501" spans="1:20" x14ac:dyDescent="0.3">
      <c r="A1501" s="26" t="str">
        <f>IF(BASE_CAIXA!A1498="","",BASE_CAIXA!A1498)</f>
        <v/>
      </c>
      <c r="B1501" s="26" t="str">
        <f>IF(A1501="","",BASE_CAIXA!AL1498)</f>
        <v/>
      </c>
      <c r="C1501" s="26" t="str">
        <f>IF(A1501="","",BASE_CAIXA!AJ1498)</f>
        <v/>
      </c>
      <c r="D1501" s="26" t="str">
        <f>IF(A1501="","",IF(BASE_CAIXA!C1498="Entrada","Crédito","Débito"))</f>
        <v/>
      </c>
      <c r="E1501" s="26" t="str">
        <f>IF(A1501="","",BASE_CAIXA!AA1498)</f>
        <v/>
      </c>
      <c r="F1501" s="26" t="str">
        <f>IF(A1501="","",BASE_CAIXA!N1498)</f>
        <v/>
      </c>
      <c r="G1501" s="26" t="str">
        <f>IF(A1501="","",BASE_CAIXA!O1498)</f>
        <v/>
      </c>
      <c r="H1501" s="26" t="str">
        <f>IF(A1501="","",BASE_CAIXA!P1498)</f>
        <v/>
      </c>
      <c r="I1501" s="26" t="str">
        <f>IF(A1501="","",IF(BASE_CAIXA!H1498&lt;&gt;"",BASE_CAIXA!H1498,BASE_CAIXA!G1498))</f>
        <v/>
      </c>
      <c r="J1501" s="26" t="str">
        <f>IF(A1501="","",BASE_CAIXA!G1498)</f>
        <v/>
      </c>
      <c r="K1501" s="26" t="str">
        <f>IF(A1501="","",BASE_CAIXA!I1498)</f>
        <v/>
      </c>
      <c r="L1501" s="26" t="str">
        <f>IF(A1501="","",BASE_CAIXA!J1498)</f>
        <v/>
      </c>
      <c r="M1501" s="26" t="str">
        <f>IF(A1501="","",BASE_CAIXA!AM1498)</f>
        <v/>
      </c>
      <c r="N1501" s="26" t="str">
        <f t="shared" ca="1" si="69"/>
        <v/>
      </c>
      <c r="O1501" s="26" t="str">
        <f>IFERROR(INDEX(EXTRATO_IMPORTADO!$A$5:$A$404,MATCH(B1501,EXTRATO_IMPORTADO!$I$5:$I$404,0)),"")</f>
        <v/>
      </c>
      <c r="P1501" s="26" t="str">
        <f>IFERROR(INDEX(EXTRATO_IMPORTADO!$F$5:$F$404,MATCH(B1501,EXTRATO_IMPORTADO!$I$5:$I$404,0)),"")</f>
        <v/>
      </c>
      <c r="Q1501" s="26" t="str">
        <f>IFERROR(INDEX(EXTRATO_IMPORTADO!$B$5:$B$404,MATCH(B1501,EXTRATO_IMPORTADO!$I$5:$I$404,0)),"")</f>
        <v/>
      </c>
      <c r="R1501" s="26" t="str">
        <f>IFERROR(MATCH(B1501,EXTRATO_IMPORTADO!$I$5:$I$404,0),"")</f>
        <v/>
      </c>
      <c r="S1501" s="26" t="str">
        <f t="shared" si="70"/>
        <v/>
      </c>
      <c r="T1501" s="26" t="str">
        <f t="shared" si="71"/>
        <v/>
      </c>
    </row>
    <row r="1502" spans="1:20" x14ac:dyDescent="0.3">
      <c r="A1502" s="26" t="str">
        <f>IF(BASE_CAIXA!A1499="","",BASE_CAIXA!A1499)</f>
        <v/>
      </c>
      <c r="B1502" s="26" t="str">
        <f>IF(A1502="","",BASE_CAIXA!AL1499)</f>
        <v/>
      </c>
      <c r="C1502" s="26" t="str">
        <f>IF(A1502="","",BASE_CAIXA!AJ1499)</f>
        <v/>
      </c>
      <c r="D1502" s="26" t="str">
        <f>IF(A1502="","",IF(BASE_CAIXA!C1499="Entrada","Crédito","Débito"))</f>
        <v/>
      </c>
      <c r="E1502" s="26" t="str">
        <f>IF(A1502="","",BASE_CAIXA!AA1499)</f>
        <v/>
      </c>
      <c r="F1502" s="26" t="str">
        <f>IF(A1502="","",BASE_CAIXA!N1499)</f>
        <v/>
      </c>
      <c r="G1502" s="26" t="str">
        <f>IF(A1502="","",BASE_CAIXA!O1499)</f>
        <v/>
      </c>
      <c r="H1502" s="26" t="str">
        <f>IF(A1502="","",BASE_CAIXA!P1499)</f>
        <v/>
      </c>
      <c r="I1502" s="26" t="str">
        <f>IF(A1502="","",IF(BASE_CAIXA!H1499&lt;&gt;"",BASE_CAIXA!H1499,BASE_CAIXA!G1499))</f>
        <v/>
      </c>
      <c r="J1502" s="26" t="str">
        <f>IF(A1502="","",BASE_CAIXA!G1499)</f>
        <v/>
      </c>
      <c r="K1502" s="26" t="str">
        <f>IF(A1502="","",BASE_CAIXA!I1499)</f>
        <v/>
      </c>
      <c r="L1502" s="26" t="str">
        <f>IF(A1502="","",BASE_CAIXA!J1499)</f>
        <v/>
      </c>
      <c r="M1502" s="26" t="str">
        <f>IF(A1502="","",BASE_CAIXA!AM1499)</f>
        <v/>
      </c>
      <c r="N1502" s="26" t="str">
        <f t="shared" ca="1" si="69"/>
        <v/>
      </c>
      <c r="O1502" s="26" t="str">
        <f>IFERROR(INDEX(EXTRATO_IMPORTADO!$A$5:$A$404,MATCH(B1502,EXTRATO_IMPORTADO!$I$5:$I$404,0)),"")</f>
        <v/>
      </c>
      <c r="P1502" s="26" t="str">
        <f>IFERROR(INDEX(EXTRATO_IMPORTADO!$F$5:$F$404,MATCH(B1502,EXTRATO_IMPORTADO!$I$5:$I$404,0)),"")</f>
        <v/>
      </c>
      <c r="Q1502" s="26" t="str">
        <f>IFERROR(INDEX(EXTRATO_IMPORTADO!$B$5:$B$404,MATCH(B1502,EXTRATO_IMPORTADO!$I$5:$I$404,0)),"")</f>
        <v/>
      </c>
      <c r="R1502" s="26" t="str">
        <f>IFERROR(MATCH(B1502,EXTRATO_IMPORTADO!$I$5:$I$404,0),"")</f>
        <v/>
      </c>
      <c r="S1502" s="26" t="str">
        <f t="shared" si="70"/>
        <v/>
      </c>
      <c r="T1502" s="26" t="str">
        <f t="shared" si="71"/>
        <v/>
      </c>
    </row>
    <row r="1503" spans="1:20" x14ac:dyDescent="0.3">
      <c r="A1503" s="26" t="str">
        <f>IF(BASE_CAIXA!A1500="","",BASE_CAIXA!A1500)</f>
        <v/>
      </c>
      <c r="B1503" s="26" t="str">
        <f>IF(A1503="","",BASE_CAIXA!AL1500)</f>
        <v/>
      </c>
      <c r="C1503" s="26" t="str">
        <f>IF(A1503="","",BASE_CAIXA!AJ1500)</f>
        <v/>
      </c>
      <c r="D1503" s="26" t="str">
        <f>IF(A1503="","",IF(BASE_CAIXA!C1500="Entrada","Crédito","Débito"))</f>
        <v/>
      </c>
      <c r="E1503" s="26" t="str">
        <f>IF(A1503="","",BASE_CAIXA!AA1500)</f>
        <v/>
      </c>
      <c r="F1503" s="26" t="str">
        <f>IF(A1503="","",BASE_CAIXA!N1500)</f>
        <v/>
      </c>
      <c r="G1503" s="26" t="str">
        <f>IF(A1503="","",BASE_CAIXA!O1500)</f>
        <v/>
      </c>
      <c r="H1503" s="26" t="str">
        <f>IF(A1503="","",BASE_CAIXA!P1500)</f>
        <v/>
      </c>
      <c r="I1503" s="26" t="str">
        <f>IF(A1503="","",IF(BASE_CAIXA!H1500&lt;&gt;"",BASE_CAIXA!H1500,BASE_CAIXA!G1500))</f>
        <v/>
      </c>
      <c r="J1503" s="26" t="str">
        <f>IF(A1503="","",BASE_CAIXA!G1500)</f>
        <v/>
      </c>
      <c r="K1503" s="26" t="str">
        <f>IF(A1503="","",BASE_CAIXA!I1500)</f>
        <v/>
      </c>
      <c r="L1503" s="26" t="str">
        <f>IF(A1503="","",BASE_CAIXA!J1500)</f>
        <v/>
      </c>
      <c r="M1503" s="26" t="str">
        <f>IF(A1503="","",BASE_CAIXA!AM1500)</f>
        <v/>
      </c>
      <c r="N1503" s="26" t="str">
        <f t="shared" ca="1" si="69"/>
        <v/>
      </c>
      <c r="O1503" s="26" t="str">
        <f>IFERROR(INDEX(EXTRATO_IMPORTADO!$A$5:$A$404,MATCH(B1503,EXTRATO_IMPORTADO!$I$5:$I$404,0)),"")</f>
        <v/>
      </c>
      <c r="P1503" s="26" t="str">
        <f>IFERROR(INDEX(EXTRATO_IMPORTADO!$F$5:$F$404,MATCH(B1503,EXTRATO_IMPORTADO!$I$5:$I$404,0)),"")</f>
        <v/>
      </c>
      <c r="Q1503" s="26" t="str">
        <f>IFERROR(INDEX(EXTRATO_IMPORTADO!$B$5:$B$404,MATCH(B1503,EXTRATO_IMPORTADO!$I$5:$I$404,0)),"")</f>
        <v/>
      </c>
      <c r="R1503" s="26" t="str">
        <f>IFERROR(MATCH(B1503,EXTRATO_IMPORTADO!$I$5:$I$404,0),"")</f>
        <v/>
      </c>
      <c r="S1503" s="26" t="str">
        <f t="shared" si="70"/>
        <v/>
      </c>
      <c r="T1503" s="26" t="str">
        <f t="shared" si="71"/>
        <v/>
      </c>
    </row>
    <row r="1504" spans="1:20" x14ac:dyDescent="0.3">
      <c r="A1504" s="26" t="str">
        <f>IF(BASE_CAIXA!A1501="","",BASE_CAIXA!A1501)</f>
        <v/>
      </c>
      <c r="B1504" s="26" t="str">
        <f>IF(A1504="","",BASE_CAIXA!AL1501)</f>
        <v/>
      </c>
      <c r="C1504" s="26" t="str">
        <f>IF(A1504="","",BASE_CAIXA!AJ1501)</f>
        <v/>
      </c>
      <c r="D1504" s="26" t="str">
        <f>IF(A1504="","",IF(BASE_CAIXA!C1501="Entrada","Crédito","Débito"))</f>
        <v/>
      </c>
      <c r="E1504" s="26" t="str">
        <f>IF(A1504="","",BASE_CAIXA!AA1501)</f>
        <v/>
      </c>
      <c r="F1504" s="26" t="str">
        <f>IF(A1504="","",BASE_CAIXA!N1501)</f>
        <v/>
      </c>
      <c r="G1504" s="26" t="str">
        <f>IF(A1504="","",BASE_CAIXA!O1501)</f>
        <v/>
      </c>
      <c r="H1504" s="26" t="str">
        <f>IF(A1504="","",BASE_CAIXA!P1501)</f>
        <v/>
      </c>
      <c r="I1504" s="26" t="str">
        <f>IF(A1504="","",IF(BASE_CAIXA!H1501&lt;&gt;"",BASE_CAIXA!H1501,BASE_CAIXA!G1501))</f>
        <v/>
      </c>
      <c r="J1504" s="26" t="str">
        <f>IF(A1504="","",BASE_CAIXA!G1501)</f>
        <v/>
      </c>
      <c r="K1504" s="26" t="str">
        <f>IF(A1504="","",BASE_CAIXA!I1501)</f>
        <v/>
      </c>
      <c r="L1504" s="26" t="str">
        <f>IF(A1504="","",BASE_CAIXA!J1501)</f>
        <v/>
      </c>
      <c r="M1504" s="26" t="str">
        <f>IF(A1504="","",BASE_CAIXA!AM1501)</f>
        <v/>
      </c>
      <c r="N1504" s="26" t="str">
        <f t="shared" ca="1" si="69"/>
        <v/>
      </c>
      <c r="O1504" s="26" t="str">
        <f>IFERROR(INDEX(EXTRATO_IMPORTADO!$A$5:$A$404,MATCH(B1504,EXTRATO_IMPORTADO!$I$5:$I$404,0)),"")</f>
        <v/>
      </c>
      <c r="P1504" s="26" t="str">
        <f>IFERROR(INDEX(EXTRATO_IMPORTADO!$F$5:$F$404,MATCH(B1504,EXTRATO_IMPORTADO!$I$5:$I$404,0)),"")</f>
        <v/>
      </c>
      <c r="Q1504" s="26" t="str">
        <f>IFERROR(INDEX(EXTRATO_IMPORTADO!$B$5:$B$404,MATCH(B1504,EXTRATO_IMPORTADO!$I$5:$I$404,0)),"")</f>
        <v/>
      </c>
      <c r="R1504" s="26" t="str">
        <f>IFERROR(MATCH(B1504,EXTRATO_IMPORTADO!$I$5:$I$404,0),"")</f>
        <v/>
      </c>
      <c r="S1504" s="26" t="str">
        <f t="shared" si="70"/>
        <v/>
      </c>
      <c r="T1504" s="26" t="str">
        <f t="shared" si="71"/>
        <v/>
      </c>
    </row>
    <row r="1505" spans="1:20" x14ac:dyDescent="0.3">
      <c r="A1505" s="26" t="str">
        <f>IF(BASE_CAIXA!A1502="","",BASE_CAIXA!A1502)</f>
        <v/>
      </c>
      <c r="B1505" s="26" t="str">
        <f>IF(A1505="","",BASE_CAIXA!AL1502)</f>
        <v/>
      </c>
      <c r="C1505" s="26" t="str">
        <f>IF(A1505="","",BASE_CAIXA!AJ1502)</f>
        <v/>
      </c>
      <c r="D1505" s="26" t="str">
        <f>IF(A1505="","",IF(BASE_CAIXA!C1502="Entrada","Crédito","Débito"))</f>
        <v/>
      </c>
      <c r="E1505" s="26" t="str">
        <f>IF(A1505="","",BASE_CAIXA!AA1502)</f>
        <v/>
      </c>
      <c r="F1505" s="26" t="str">
        <f>IF(A1505="","",BASE_CAIXA!N1502)</f>
        <v/>
      </c>
      <c r="G1505" s="26" t="str">
        <f>IF(A1505="","",BASE_CAIXA!O1502)</f>
        <v/>
      </c>
      <c r="H1505" s="26" t="str">
        <f>IF(A1505="","",BASE_CAIXA!P1502)</f>
        <v/>
      </c>
      <c r="I1505" s="26" t="str">
        <f>IF(A1505="","",IF(BASE_CAIXA!H1502&lt;&gt;"",BASE_CAIXA!H1502,BASE_CAIXA!G1502))</f>
        <v/>
      </c>
      <c r="J1505" s="26" t="str">
        <f>IF(A1505="","",BASE_CAIXA!G1502)</f>
        <v/>
      </c>
      <c r="K1505" s="26" t="str">
        <f>IF(A1505="","",BASE_CAIXA!I1502)</f>
        <v/>
      </c>
      <c r="L1505" s="26" t="str">
        <f>IF(A1505="","",BASE_CAIXA!J1502)</f>
        <v/>
      </c>
      <c r="M1505" s="26" t="str">
        <f>IF(A1505="","",BASE_CAIXA!AM1502)</f>
        <v/>
      </c>
      <c r="N1505" s="26" t="str">
        <f t="shared" ca="1" si="69"/>
        <v/>
      </c>
      <c r="O1505" s="26" t="str">
        <f>IFERROR(INDEX(EXTRATO_IMPORTADO!$A$5:$A$404,MATCH(B1505,EXTRATO_IMPORTADO!$I$5:$I$404,0)),"")</f>
        <v/>
      </c>
      <c r="P1505" s="26" t="str">
        <f>IFERROR(INDEX(EXTRATO_IMPORTADO!$F$5:$F$404,MATCH(B1505,EXTRATO_IMPORTADO!$I$5:$I$404,0)),"")</f>
        <v/>
      </c>
      <c r="Q1505" s="26" t="str">
        <f>IFERROR(INDEX(EXTRATO_IMPORTADO!$B$5:$B$404,MATCH(B1505,EXTRATO_IMPORTADO!$I$5:$I$404,0)),"")</f>
        <v/>
      </c>
      <c r="R1505" s="26" t="str">
        <f>IFERROR(MATCH(B1505,EXTRATO_IMPORTADO!$I$5:$I$404,0),"")</f>
        <v/>
      </c>
      <c r="S1505" s="26" t="str">
        <f t="shared" si="70"/>
        <v/>
      </c>
      <c r="T1505" s="26" t="str">
        <f t="shared" si="71"/>
        <v/>
      </c>
    </row>
    <row r="1506" spans="1:20" x14ac:dyDescent="0.3">
      <c r="A1506" s="26" t="str">
        <f>IF(BASE_CAIXA!A1503="","",BASE_CAIXA!A1503)</f>
        <v/>
      </c>
      <c r="B1506" s="26" t="str">
        <f>IF(A1506="","",BASE_CAIXA!AL1503)</f>
        <v/>
      </c>
      <c r="C1506" s="26" t="str">
        <f>IF(A1506="","",BASE_CAIXA!AJ1503)</f>
        <v/>
      </c>
      <c r="D1506" s="26" t="str">
        <f>IF(A1506="","",IF(BASE_CAIXA!C1503="Entrada","Crédito","Débito"))</f>
        <v/>
      </c>
      <c r="E1506" s="26" t="str">
        <f>IF(A1506="","",BASE_CAIXA!AA1503)</f>
        <v/>
      </c>
      <c r="F1506" s="26" t="str">
        <f>IF(A1506="","",BASE_CAIXA!N1503)</f>
        <v/>
      </c>
      <c r="G1506" s="26" t="str">
        <f>IF(A1506="","",BASE_CAIXA!O1503)</f>
        <v/>
      </c>
      <c r="H1506" s="26" t="str">
        <f>IF(A1506="","",BASE_CAIXA!P1503)</f>
        <v/>
      </c>
      <c r="I1506" s="26" t="str">
        <f>IF(A1506="","",IF(BASE_CAIXA!H1503&lt;&gt;"",BASE_CAIXA!H1503,BASE_CAIXA!G1503))</f>
        <v/>
      </c>
      <c r="J1506" s="26" t="str">
        <f>IF(A1506="","",BASE_CAIXA!G1503)</f>
        <v/>
      </c>
      <c r="K1506" s="26" t="str">
        <f>IF(A1506="","",BASE_CAIXA!I1503)</f>
        <v/>
      </c>
      <c r="L1506" s="26" t="str">
        <f>IF(A1506="","",BASE_CAIXA!J1503)</f>
        <v/>
      </c>
      <c r="M1506" s="26" t="str">
        <f>IF(A1506="","",BASE_CAIXA!AM1503)</f>
        <v/>
      </c>
      <c r="N1506" s="26" t="str">
        <f t="shared" ca="1" si="69"/>
        <v/>
      </c>
      <c r="O1506" s="26" t="str">
        <f>IFERROR(INDEX(EXTRATO_IMPORTADO!$A$5:$A$404,MATCH(B1506,EXTRATO_IMPORTADO!$I$5:$I$404,0)),"")</f>
        <v/>
      </c>
      <c r="P1506" s="26" t="str">
        <f>IFERROR(INDEX(EXTRATO_IMPORTADO!$F$5:$F$404,MATCH(B1506,EXTRATO_IMPORTADO!$I$5:$I$404,0)),"")</f>
        <v/>
      </c>
      <c r="Q1506" s="26" t="str">
        <f>IFERROR(INDEX(EXTRATO_IMPORTADO!$B$5:$B$404,MATCH(B1506,EXTRATO_IMPORTADO!$I$5:$I$404,0)),"")</f>
        <v/>
      </c>
      <c r="R1506" s="26" t="str">
        <f>IFERROR(MATCH(B1506,EXTRATO_IMPORTADO!$I$5:$I$404,0),"")</f>
        <v/>
      </c>
      <c r="S1506" s="26" t="str">
        <f t="shared" si="70"/>
        <v/>
      </c>
      <c r="T1506" s="26" t="str">
        <f t="shared" si="71"/>
        <v/>
      </c>
    </row>
    <row r="1507" spans="1:20" x14ac:dyDescent="0.3">
      <c r="A1507" s="26" t="str">
        <f>IF(BASE_CAIXA!A1504="","",BASE_CAIXA!A1504)</f>
        <v/>
      </c>
      <c r="B1507" s="26" t="str">
        <f>IF(A1507="","",BASE_CAIXA!AL1504)</f>
        <v/>
      </c>
      <c r="C1507" s="26" t="str">
        <f>IF(A1507="","",BASE_CAIXA!AJ1504)</f>
        <v/>
      </c>
      <c r="D1507" s="26" t="str">
        <f>IF(A1507="","",IF(BASE_CAIXA!C1504="Entrada","Crédito","Débito"))</f>
        <v/>
      </c>
      <c r="E1507" s="26" t="str">
        <f>IF(A1507="","",BASE_CAIXA!AA1504)</f>
        <v/>
      </c>
      <c r="F1507" s="26" t="str">
        <f>IF(A1507="","",BASE_CAIXA!N1504)</f>
        <v/>
      </c>
      <c r="G1507" s="26" t="str">
        <f>IF(A1507="","",BASE_CAIXA!O1504)</f>
        <v/>
      </c>
      <c r="H1507" s="26" t="str">
        <f>IF(A1507="","",BASE_CAIXA!P1504)</f>
        <v/>
      </c>
      <c r="I1507" s="26" t="str">
        <f>IF(A1507="","",IF(BASE_CAIXA!H1504&lt;&gt;"",BASE_CAIXA!H1504,BASE_CAIXA!G1504))</f>
        <v/>
      </c>
      <c r="J1507" s="26" t="str">
        <f>IF(A1507="","",BASE_CAIXA!G1504)</f>
        <v/>
      </c>
      <c r="K1507" s="26" t="str">
        <f>IF(A1507="","",BASE_CAIXA!I1504)</f>
        <v/>
      </c>
      <c r="L1507" s="26" t="str">
        <f>IF(A1507="","",BASE_CAIXA!J1504)</f>
        <v/>
      </c>
      <c r="M1507" s="26" t="str">
        <f>IF(A1507="","",BASE_CAIXA!AM1504)</f>
        <v/>
      </c>
      <c r="N1507" s="26" t="str">
        <f t="shared" ca="1" si="69"/>
        <v/>
      </c>
      <c r="O1507" s="26" t="str">
        <f>IFERROR(INDEX(EXTRATO_IMPORTADO!$A$5:$A$404,MATCH(B1507,EXTRATO_IMPORTADO!$I$5:$I$404,0)),"")</f>
        <v/>
      </c>
      <c r="P1507" s="26" t="str">
        <f>IFERROR(INDEX(EXTRATO_IMPORTADO!$F$5:$F$404,MATCH(B1507,EXTRATO_IMPORTADO!$I$5:$I$404,0)),"")</f>
        <v/>
      </c>
      <c r="Q1507" s="26" t="str">
        <f>IFERROR(INDEX(EXTRATO_IMPORTADO!$B$5:$B$404,MATCH(B1507,EXTRATO_IMPORTADO!$I$5:$I$404,0)),"")</f>
        <v/>
      </c>
      <c r="R1507" s="26" t="str">
        <f>IFERROR(MATCH(B1507,EXTRATO_IMPORTADO!$I$5:$I$404,0),"")</f>
        <v/>
      </c>
      <c r="S1507" s="26" t="str">
        <f t="shared" si="70"/>
        <v/>
      </c>
      <c r="T1507" s="26" t="str">
        <f t="shared" si="71"/>
        <v/>
      </c>
    </row>
    <row r="1508" spans="1:20" x14ac:dyDescent="0.3">
      <c r="A1508" s="26" t="str">
        <f>IF(BASE_CAIXA!A1505="","",BASE_CAIXA!A1505)</f>
        <v/>
      </c>
      <c r="B1508" s="26" t="str">
        <f>IF(A1508="","",BASE_CAIXA!AL1505)</f>
        <v/>
      </c>
      <c r="C1508" s="26" t="str">
        <f>IF(A1508="","",BASE_CAIXA!AJ1505)</f>
        <v/>
      </c>
      <c r="D1508" s="26" t="str">
        <f>IF(A1508="","",IF(BASE_CAIXA!C1505="Entrada","Crédito","Débito"))</f>
        <v/>
      </c>
      <c r="E1508" s="26" t="str">
        <f>IF(A1508="","",BASE_CAIXA!AA1505)</f>
        <v/>
      </c>
      <c r="F1508" s="26" t="str">
        <f>IF(A1508="","",BASE_CAIXA!N1505)</f>
        <v/>
      </c>
      <c r="G1508" s="26" t="str">
        <f>IF(A1508="","",BASE_CAIXA!O1505)</f>
        <v/>
      </c>
      <c r="H1508" s="26" t="str">
        <f>IF(A1508="","",BASE_CAIXA!P1505)</f>
        <v/>
      </c>
      <c r="I1508" s="26" t="str">
        <f>IF(A1508="","",IF(BASE_CAIXA!H1505&lt;&gt;"",BASE_CAIXA!H1505,BASE_CAIXA!G1505))</f>
        <v/>
      </c>
      <c r="J1508" s="26" t="str">
        <f>IF(A1508="","",BASE_CAIXA!G1505)</f>
        <v/>
      </c>
      <c r="K1508" s="26" t="str">
        <f>IF(A1508="","",BASE_CAIXA!I1505)</f>
        <v/>
      </c>
      <c r="L1508" s="26" t="str">
        <f>IF(A1508="","",BASE_CAIXA!J1505)</f>
        <v/>
      </c>
      <c r="M1508" s="26" t="str">
        <f>IF(A1508="","",BASE_CAIXA!AM1505)</f>
        <v/>
      </c>
      <c r="N1508" s="26" t="str">
        <f t="shared" ca="1" si="69"/>
        <v/>
      </c>
      <c r="O1508" s="26" t="str">
        <f>IFERROR(INDEX(EXTRATO_IMPORTADO!$A$5:$A$404,MATCH(B1508,EXTRATO_IMPORTADO!$I$5:$I$404,0)),"")</f>
        <v/>
      </c>
      <c r="P1508" s="26" t="str">
        <f>IFERROR(INDEX(EXTRATO_IMPORTADO!$F$5:$F$404,MATCH(B1508,EXTRATO_IMPORTADO!$I$5:$I$404,0)),"")</f>
        <v/>
      </c>
      <c r="Q1508" s="26" t="str">
        <f>IFERROR(INDEX(EXTRATO_IMPORTADO!$B$5:$B$404,MATCH(B1508,EXTRATO_IMPORTADO!$I$5:$I$404,0)),"")</f>
        <v/>
      </c>
      <c r="R1508" s="26" t="str">
        <f>IFERROR(MATCH(B1508,EXTRATO_IMPORTADO!$I$5:$I$404,0),"")</f>
        <v/>
      </c>
      <c r="S1508" s="26" t="str">
        <f t="shared" si="70"/>
        <v/>
      </c>
      <c r="T1508" s="26" t="str">
        <f t="shared" si="71"/>
        <v/>
      </c>
    </row>
    <row r="1509" spans="1:20" x14ac:dyDescent="0.3">
      <c r="A1509" s="26" t="str">
        <f>IF(BASE_CAIXA!A1506="","",BASE_CAIXA!A1506)</f>
        <v/>
      </c>
      <c r="B1509" s="26" t="str">
        <f>IF(A1509="","",BASE_CAIXA!AL1506)</f>
        <v/>
      </c>
      <c r="C1509" s="26" t="str">
        <f>IF(A1509="","",BASE_CAIXA!AJ1506)</f>
        <v/>
      </c>
      <c r="D1509" s="26" t="str">
        <f>IF(A1509="","",IF(BASE_CAIXA!C1506="Entrada","Crédito","Débito"))</f>
        <v/>
      </c>
      <c r="E1509" s="26" t="str">
        <f>IF(A1509="","",BASE_CAIXA!AA1506)</f>
        <v/>
      </c>
      <c r="F1509" s="26" t="str">
        <f>IF(A1509="","",BASE_CAIXA!N1506)</f>
        <v/>
      </c>
      <c r="G1509" s="26" t="str">
        <f>IF(A1509="","",BASE_CAIXA!O1506)</f>
        <v/>
      </c>
      <c r="H1509" s="26" t="str">
        <f>IF(A1509="","",BASE_CAIXA!P1506)</f>
        <v/>
      </c>
      <c r="I1509" s="26" t="str">
        <f>IF(A1509="","",IF(BASE_CAIXA!H1506&lt;&gt;"",BASE_CAIXA!H1506,BASE_CAIXA!G1506))</f>
        <v/>
      </c>
      <c r="J1509" s="26" t="str">
        <f>IF(A1509="","",BASE_CAIXA!G1506)</f>
        <v/>
      </c>
      <c r="K1509" s="26" t="str">
        <f>IF(A1509="","",BASE_CAIXA!I1506)</f>
        <v/>
      </c>
      <c r="L1509" s="26" t="str">
        <f>IF(A1509="","",BASE_CAIXA!J1506)</f>
        <v/>
      </c>
      <c r="M1509" s="26" t="str">
        <f>IF(A1509="","",BASE_CAIXA!AM1506)</f>
        <v/>
      </c>
      <c r="N1509" s="26" t="str">
        <f t="shared" ca="1" si="69"/>
        <v/>
      </c>
      <c r="O1509" s="26" t="str">
        <f>IFERROR(INDEX(EXTRATO_IMPORTADO!$A$5:$A$404,MATCH(B1509,EXTRATO_IMPORTADO!$I$5:$I$404,0)),"")</f>
        <v/>
      </c>
      <c r="P1509" s="26" t="str">
        <f>IFERROR(INDEX(EXTRATO_IMPORTADO!$F$5:$F$404,MATCH(B1509,EXTRATO_IMPORTADO!$I$5:$I$404,0)),"")</f>
        <v/>
      </c>
      <c r="Q1509" s="26" t="str">
        <f>IFERROR(INDEX(EXTRATO_IMPORTADO!$B$5:$B$404,MATCH(B1509,EXTRATO_IMPORTADO!$I$5:$I$404,0)),"")</f>
        <v/>
      </c>
      <c r="R1509" s="26" t="str">
        <f>IFERROR(MATCH(B1509,EXTRATO_IMPORTADO!$I$5:$I$404,0),"")</f>
        <v/>
      </c>
      <c r="S1509" s="26" t="str">
        <f t="shared" si="70"/>
        <v/>
      </c>
      <c r="T1509" s="26" t="str">
        <f t="shared" si="71"/>
        <v/>
      </c>
    </row>
    <row r="1510" spans="1:20" x14ac:dyDescent="0.3">
      <c r="A1510" s="26" t="str">
        <f>IF(BASE_CAIXA!A1507="","",BASE_CAIXA!A1507)</f>
        <v/>
      </c>
      <c r="B1510" s="26" t="str">
        <f>IF(A1510="","",BASE_CAIXA!AL1507)</f>
        <v/>
      </c>
      <c r="C1510" s="26" t="str">
        <f>IF(A1510="","",BASE_CAIXA!AJ1507)</f>
        <v/>
      </c>
      <c r="D1510" s="26" t="str">
        <f>IF(A1510="","",IF(BASE_CAIXA!C1507="Entrada","Crédito","Débito"))</f>
        <v/>
      </c>
      <c r="E1510" s="26" t="str">
        <f>IF(A1510="","",BASE_CAIXA!AA1507)</f>
        <v/>
      </c>
      <c r="F1510" s="26" t="str">
        <f>IF(A1510="","",BASE_CAIXA!N1507)</f>
        <v/>
      </c>
      <c r="G1510" s="26" t="str">
        <f>IF(A1510="","",BASE_CAIXA!O1507)</f>
        <v/>
      </c>
      <c r="H1510" s="26" t="str">
        <f>IF(A1510="","",BASE_CAIXA!P1507)</f>
        <v/>
      </c>
      <c r="I1510" s="26" t="str">
        <f>IF(A1510="","",IF(BASE_CAIXA!H1507&lt;&gt;"",BASE_CAIXA!H1507,BASE_CAIXA!G1507))</f>
        <v/>
      </c>
      <c r="J1510" s="26" t="str">
        <f>IF(A1510="","",BASE_CAIXA!G1507)</f>
        <v/>
      </c>
      <c r="K1510" s="26" t="str">
        <f>IF(A1510="","",BASE_CAIXA!I1507)</f>
        <v/>
      </c>
      <c r="L1510" s="26" t="str">
        <f>IF(A1510="","",BASE_CAIXA!J1507)</f>
        <v/>
      </c>
      <c r="M1510" s="26" t="str">
        <f>IF(A1510="","",BASE_CAIXA!AM1507)</f>
        <v/>
      </c>
      <c r="N1510" s="26" t="str">
        <f t="shared" ca="1" si="69"/>
        <v/>
      </c>
      <c r="O1510" s="26" t="str">
        <f>IFERROR(INDEX(EXTRATO_IMPORTADO!$A$5:$A$404,MATCH(B1510,EXTRATO_IMPORTADO!$I$5:$I$404,0)),"")</f>
        <v/>
      </c>
      <c r="P1510" s="26" t="str">
        <f>IFERROR(INDEX(EXTRATO_IMPORTADO!$F$5:$F$404,MATCH(B1510,EXTRATO_IMPORTADO!$I$5:$I$404,0)),"")</f>
        <v/>
      </c>
      <c r="Q1510" s="26" t="str">
        <f>IFERROR(INDEX(EXTRATO_IMPORTADO!$B$5:$B$404,MATCH(B1510,EXTRATO_IMPORTADO!$I$5:$I$404,0)),"")</f>
        <v/>
      </c>
      <c r="R1510" s="26" t="str">
        <f>IFERROR(MATCH(B1510,EXTRATO_IMPORTADO!$I$5:$I$404,0),"")</f>
        <v/>
      </c>
      <c r="S1510" s="26" t="str">
        <f t="shared" si="70"/>
        <v/>
      </c>
      <c r="T1510" s="26" t="str">
        <f t="shared" si="71"/>
        <v/>
      </c>
    </row>
    <row r="1511" spans="1:20" x14ac:dyDescent="0.3">
      <c r="A1511" s="26" t="str">
        <f>IF(BASE_CAIXA!A1508="","",BASE_CAIXA!A1508)</f>
        <v/>
      </c>
      <c r="B1511" s="26" t="str">
        <f>IF(A1511="","",BASE_CAIXA!AL1508)</f>
        <v/>
      </c>
      <c r="C1511" s="26" t="str">
        <f>IF(A1511="","",BASE_CAIXA!AJ1508)</f>
        <v/>
      </c>
      <c r="D1511" s="26" t="str">
        <f>IF(A1511="","",IF(BASE_CAIXA!C1508="Entrada","Crédito","Débito"))</f>
        <v/>
      </c>
      <c r="E1511" s="26" t="str">
        <f>IF(A1511="","",BASE_CAIXA!AA1508)</f>
        <v/>
      </c>
      <c r="F1511" s="26" t="str">
        <f>IF(A1511="","",BASE_CAIXA!N1508)</f>
        <v/>
      </c>
      <c r="G1511" s="26" t="str">
        <f>IF(A1511="","",BASE_CAIXA!O1508)</f>
        <v/>
      </c>
      <c r="H1511" s="26" t="str">
        <f>IF(A1511="","",BASE_CAIXA!P1508)</f>
        <v/>
      </c>
      <c r="I1511" s="26" t="str">
        <f>IF(A1511="","",IF(BASE_CAIXA!H1508&lt;&gt;"",BASE_CAIXA!H1508,BASE_CAIXA!G1508))</f>
        <v/>
      </c>
      <c r="J1511" s="26" t="str">
        <f>IF(A1511="","",BASE_CAIXA!G1508)</f>
        <v/>
      </c>
      <c r="K1511" s="26" t="str">
        <f>IF(A1511="","",BASE_CAIXA!I1508)</f>
        <v/>
      </c>
      <c r="L1511" s="26" t="str">
        <f>IF(A1511="","",BASE_CAIXA!J1508)</f>
        <v/>
      </c>
      <c r="M1511" s="26" t="str">
        <f>IF(A1511="","",BASE_CAIXA!AM1508)</f>
        <v/>
      </c>
      <c r="N1511" s="26" t="str">
        <f t="shared" ca="1" si="69"/>
        <v/>
      </c>
      <c r="O1511" s="26" t="str">
        <f>IFERROR(INDEX(EXTRATO_IMPORTADO!$A$5:$A$404,MATCH(B1511,EXTRATO_IMPORTADO!$I$5:$I$404,0)),"")</f>
        <v/>
      </c>
      <c r="P1511" s="26" t="str">
        <f>IFERROR(INDEX(EXTRATO_IMPORTADO!$F$5:$F$404,MATCH(B1511,EXTRATO_IMPORTADO!$I$5:$I$404,0)),"")</f>
        <v/>
      </c>
      <c r="Q1511" s="26" t="str">
        <f>IFERROR(INDEX(EXTRATO_IMPORTADO!$B$5:$B$404,MATCH(B1511,EXTRATO_IMPORTADO!$I$5:$I$404,0)),"")</f>
        <v/>
      </c>
      <c r="R1511" s="26" t="str">
        <f>IFERROR(MATCH(B1511,EXTRATO_IMPORTADO!$I$5:$I$404,0),"")</f>
        <v/>
      </c>
      <c r="S1511" s="26" t="str">
        <f t="shared" si="70"/>
        <v/>
      </c>
      <c r="T1511" s="26" t="str">
        <f t="shared" si="71"/>
        <v/>
      </c>
    </row>
    <row r="1512" spans="1:20" x14ac:dyDescent="0.3">
      <c r="A1512" s="26" t="str">
        <f>IF(BASE_CAIXA!A1509="","",BASE_CAIXA!A1509)</f>
        <v/>
      </c>
      <c r="B1512" s="26" t="str">
        <f>IF(A1512="","",BASE_CAIXA!AL1509)</f>
        <v/>
      </c>
      <c r="C1512" s="26" t="str">
        <f>IF(A1512="","",BASE_CAIXA!AJ1509)</f>
        <v/>
      </c>
      <c r="D1512" s="26" t="str">
        <f>IF(A1512="","",IF(BASE_CAIXA!C1509="Entrada","Crédito","Débito"))</f>
        <v/>
      </c>
      <c r="E1512" s="26" t="str">
        <f>IF(A1512="","",BASE_CAIXA!AA1509)</f>
        <v/>
      </c>
      <c r="F1512" s="26" t="str">
        <f>IF(A1512="","",BASE_CAIXA!N1509)</f>
        <v/>
      </c>
      <c r="G1512" s="26" t="str">
        <f>IF(A1512="","",BASE_CAIXA!O1509)</f>
        <v/>
      </c>
      <c r="H1512" s="26" t="str">
        <f>IF(A1512="","",BASE_CAIXA!P1509)</f>
        <v/>
      </c>
      <c r="I1512" s="26" t="str">
        <f>IF(A1512="","",IF(BASE_CAIXA!H1509&lt;&gt;"",BASE_CAIXA!H1509,BASE_CAIXA!G1509))</f>
        <v/>
      </c>
      <c r="J1512" s="26" t="str">
        <f>IF(A1512="","",BASE_CAIXA!G1509)</f>
        <v/>
      </c>
      <c r="K1512" s="26" t="str">
        <f>IF(A1512="","",BASE_CAIXA!I1509)</f>
        <v/>
      </c>
      <c r="L1512" s="26" t="str">
        <f>IF(A1512="","",BASE_CAIXA!J1509)</f>
        <v/>
      </c>
      <c r="M1512" s="26" t="str">
        <f>IF(A1512="","",BASE_CAIXA!AM1509)</f>
        <v/>
      </c>
      <c r="N1512" s="26" t="str">
        <f t="shared" ca="1" si="69"/>
        <v/>
      </c>
      <c r="O1512" s="26" t="str">
        <f>IFERROR(INDEX(EXTRATO_IMPORTADO!$A$5:$A$404,MATCH(B1512,EXTRATO_IMPORTADO!$I$5:$I$404,0)),"")</f>
        <v/>
      </c>
      <c r="P1512" s="26" t="str">
        <f>IFERROR(INDEX(EXTRATO_IMPORTADO!$F$5:$F$404,MATCH(B1512,EXTRATO_IMPORTADO!$I$5:$I$404,0)),"")</f>
        <v/>
      </c>
      <c r="Q1512" s="26" t="str">
        <f>IFERROR(INDEX(EXTRATO_IMPORTADO!$B$5:$B$404,MATCH(B1512,EXTRATO_IMPORTADO!$I$5:$I$404,0)),"")</f>
        <v/>
      </c>
      <c r="R1512" s="26" t="str">
        <f>IFERROR(MATCH(B1512,EXTRATO_IMPORTADO!$I$5:$I$404,0),"")</f>
        <v/>
      </c>
      <c r="S1512" s="26" t="str">
        <f t="shared" si="70"/>
        <v/>
      </c>
      <c r="T1512" s="26" t="str">
        <f t="shared" si="71"/>
        <v/>
      </c>
    </row>
    <row r="1513" spans="1:20" x14ac:dyDescent="0.3">
      <c r="A1513" s="26" t="str">
        <f>IF(BASE_CAIXA!A1510="","",BASE_CAIXA!A1510)</f>
        <v/>
      </c>
      <c r="B1513" s="26" t="str">
        <f>IF(A1513="","",BASE_CAIXA!AL1510)</f>
        <v/>
      </c>
      <c r="C1513" s="26" t="str">
        <f>IF(A1513="","",BASE_CAIXA!AJ1510)</f>
        <v/>
      </c>
      <c r="D1513" s="26" t="str">
        <f>IF(A1513="","",IF(BASE_CAIXA!C1510="Entrada","Crédito","Débito"))</f>
        <v/>
      </c>
      <c r="E1513" s="26" t="str">
        <f>IF(A1513="","",BASE_CAIXA!AA1510)</f>
        <v/>
      </c>
      <c r="F1513" s="26" t="str">
        <f>IF(A1513="","",BASE_CAIXA!N1510)</f>
        <v/>
      </c>
      <c r="G1513" s="26" t="str">
        <f>IF(A1513="","",BASE_CAIXA!O1510)</f>
        <v/>
      </c>
      <c r="H1513" s="26" t="str">
        <f>IF(A1513="","",BASE_CAIXA!P1510)</f>
        <v/>
      </c>
      <c r="I1513" s="26" t="str">
        <f>IF(A1513="","",IF(BASE_CAIXA!H1510&lt;&gt;"",BASE_CAIXA!H1510,BASE_CAIXA!G1510))</f>
        <v/>
      </c>
      <c r="J1513" s="26" t="str">
        <f>IF(A1513="","",BASE_CAIXA!G1510)</f>
        <v/>
      </c>
      <c r="K1513" s="26" t="str">
        <f>IF(A1513="","",BASE_CAIXA!I1510)</f>
        <v/>
      </c>
      <c r="L1513" s="26" t="str">
        <f>IF(A1513="","",BASE_CAIXA!J1510)</f>
        <v/>
      </c>
      <c r="M1513" s="26" t="str">
        <f>IF(A1513="","",BASE_CAIXA!AM1510)</f>
        <v/>
      </c>
      <c r="N1513" s="26" t="str">
        <f t="shared" ca="1" si="69"/>
        <v/>
      </c>
      <c r="O1513" s="26" t="str">
        <f>IFERROR(INDEX(EXTRATO_IMPORTADO!$A$5:$A$404,MATCH(B1513,EXTRATO_IMPORTADO!$I$5:$I$404,0)),"")</f>
        <v/>
      </c>
      <c r="P1513" s="26" t="str">
        <f>IFERROR(INDEX(EXTRATO_IMPORTADO!$F$5:$F$404,MATCH(B1513,EXTRATO_IMPORTADO!$I$5:$I$404,0)),"")</f>
        <v/>
      </c>
      <c r="Q1513" s="26" t="str">
        <f>IFERROR(INDEX(EXTRATO_IMPORTADO!$B$5:$B$404,MATCH(B1513,EXTRATO_IMPORTADO!$I$5:$I$404,0)),"")</f>
        <v/>
      </c>
      <c r="R1513" s="26" t="str">
        <f>IFERROR(MATCH(B1513,EXTRATO_IMPORTADO!$I$5:$I$404,0),"")</f>
        <v/>
      </c>
      <c r="S1513" s="26" t="str">
        <f t="shared" si="70"/>
        <v/>
      </c>
      <c r="T1513" s="26" t="str">
        <f t="shared" si="71"/>
        <v/>
      </c>
    </row>
    <row r="1514" spans="1:20" x14ac:dyDescent="0.3">
      <c r="A1514" s="26" t="str">
        <f>IF(BASE_CAIXA!A1511="","",BASE_CAIXA!A1511)</f>
        <v/>
      </c>
      <c r="B1514" s="26" t="str">
        <f>IF(A1514="","",BASE_CAIXA!AL1511)</f>
        <v/>
      </c>
      <c r="C1514" s="26" t="str">
        <f>IF(A1514="","",BASE_CAIXA!AJ1511)</f>
        <v/>
      </c>
      <c r="D1514" s="26" t="str">
        <f>IF(A1514="","",IF(BASE_CAIXA!C1511="Entrada","Crédito","Débito"))</f>
        <v/>
      </c>
      <c r="E1514" s="26" t="str">
        <f>IF(A1514="","",BASE_CAIXA!AA1511)</f>
        <v/>
      </c>
      <c r="F1514" s="26" t="str">
        <f>IF(A1514="","",BASE_CAIXA!N1511)</f>
        <v/>
      </c>
      <c r="G1514" s="26" t="str">
        <f>IF(A1514="","",BASE_CAIXA!O1511)</f>
        <v/>
      </c>
      <c r="H1514" s="26" t="str">
        <f>IF(A1514="","",BASE_CAIXA!P1511)</f>
        <v/>
      </c>
      <c r="I1514" s="26" t="str">
        <f>IF(A1514="","",IF(BASE_CAIXA!H1511&lt;&gt;"",BASE_CAIXA!H1511,BASE_CAIXA!G1511))</f>
        <v/>
      </c>
      <c r="J1514" s="26" t="str">
        <f>IF(A1514="","",BASE_CAIXA!G1511)</f>
        <v/>
      </c>
      <c r="K1514" s="26" t="str">
        <f>IF(A1514="","",BASE_CAIXA!I1511)</f>
        <v/>
      </c>
      <c r="L1514" s="26" t="str">
        <f>IF(A1514="","",BASE_CAIXA!J1511)</f>
        <v/>
      </c>
      <c r="M1514" s="26" t="str">
        <f>IF(A1514="","",BASE_CAIXA!AM1511)</f>
        <v/>
      </c>
      <c r="N1514" s="26" t="str">
        <f t="shared" ca="1" si="69"/>
        <v/>
      </c>
      <c r="O1514" s="26" t="str">
        <f>IFERROR(INDEX(EXTRATO_IMPORTADO!$A$5:$A$404,MATCH(B1514,EXTRATO_IMPORTADO!$I$5:$I$404,0)),"")</f>
        <v/>
      </c>
      <c r="P1514" s="26" t="str">
        <f>IFERROR(INDEX(EXTRATO_IMPORTADO!$F$5:$F$404,MATCH(B1514,EXTRATO_IMPORTADO!$I$5:$I$404,0)),"")</f>
        <v/>
      </c>
      <c r="Q1514" s="26" t="str">
        <f>IFERROR(INDEX(EXTRATO_IMPORTADO!$B$5:$B$404,MATCH(B1514,EXTRATO_IMPORTADO!$I$5:$I$404,0)),"")</f>
        <v/>
      </c>
      <c r="R1514" s="26" t="str">
        <f>IFERROR(MATCH(B1514,EXTRATO_IMPORTADO!$I$5:$I$404,0),"")</f>
        <v/>
      </c>
      <c r="S1514" s="26" t="str">
        <f t="shared" si="70"/>
        <v/>
      </c>
      <c r="T1514" s="26" t="str">
        <f t="shared" si="71"/>
        <v/>
      </c>
    </row>
    <row r="1515" spans="1:20" x14ac:dyDescent="0.3">
      <c r="A1515" s="26" t="str">
        <f>IF(BASE_CAIXA!A1512="","",BASE_CAIXA!A1512)</f>
        <v/>
      </c>
      <c r="B1515" s="26" t="str">
        <f>IF(A1515="","",BASE_CAIXA!AL1512)</f>
        <v/>
      </c>
      <c r="C1515" s="26" t="str">
        <f>IF(A1515="","",BASE_CAIXA!AJ1512)</f>
        <v/>
      </c>
      <c r="D1515" s="26" t="str">
        <f>IF(A1515="","",IF(BASE_CAIXA!C1512="Entrada","Crédito","Débito"))</f>
        <v/>
      </c>
      <c r="E1515" s="26" t="str">
        <f>IF(A1515="","",BASE_CAIXA!AA1512)</f>
        <v/>
      </c>
      <c r="F1515" s="26" t="str">
        <f>IF(A1515="","",BASE_CAIXA!N1512)</f>
        <v/>
      </c>
      <c r="G1515" s="26" t="str">
        <f>IF(A1515="","",BASE_CAIXA!O1512)</f>
        <v/>
      </c>
      <c r="H1515" s="26" t="str">
        <f>IF(A1515="","",BASE_CAIXA!P1512)</f>
        <v/>
      </c>
      <c r="I1515" s="26" t="str">
        <f>IF(A1515="","",IF(BASE_CAIXA!H1512&lt;&gt;"",BASE_CAIXA!H1512,BASE_CAIXA!G1512))</f>
        <v/>
      </c>
      <c r="J1515" s="26" t="str">
        <f>IF(A1515="","",BASE_CAIXA!G1512)</f>
        <v/>
      </c>
      <c r="K1515" s="26" t="str">
        <f>IF(A1515="","",BASE_CAIXA!I1512)</f>
        <v/>
      </c>
      <c r="L1515" s="26" t="str">
        <f>IF(A1515="","",BASE_CAIXA!J1512)</f>
        <v/>
      </c>
      <c r="M1515" s="26" t="str">
        <f>IF(A1515="","",BASE_CAIXA!AM1512)</f>
        <v/>
      </c>
      <c r="N1515" s="26" t="str">
        <f t="shared" ca="1" si="69"/>
        <v/>
      </c>
      <c r="O1515" s="26" t="str">
        <f>IFERROR(INDEX(EXTRATO_IMPORTADO!$A$5:$A$404,MATCH(B1515,EXTRATO_IMPORTADO!$I$5:$I$404,0)),"")</f>
        <v/>
      </c>
      <c r="P1515" s="26" t="str">
        <f>IFERROR(INDEX(EXTRATO_IMPORTADO!$F$5:$F$404,MATCH(B1515,EXTRATO_IMPORTADO!$I$5:$I$404,0)),"")</f>
        <v/>
      </c>
      <c r="Q1515" s="26" t="str">
        <f>IFERROR(INDEX(EXTRATO_IMPORTADO!$B$5:$B$404,MATCH(B1515,EXTRATO_IMPORTADO!$I$5:$I$404,0)),"")</f>
        <v/>
      </c>
      <c r="R1515" s="26" t="str">
        <f>IFERROR(MATCH(B1515,EXTRATO_IMPORTADO!$I$5:$I$404,0),"")</f>
        <v/>
      </c>
      <c r="S1515" s="26" t="str">
        <f t="shared" si="70"/>
        <v/>
      </c>
      <c r="T1515" s="26" t="str">
        <f t="shared" si="71"/>
        <v/>
      </c>
    </row>
    <row r="1516" spans="1:20" x14ac:dyDescent="0.3">
      <c r="A1516" s="26" t="str">
        <f>IF(BASE_CAIXA!A1513="","",BASE_CAIXA!A1513)</f>
        <v/>
      </c>
      <c r="B1516" s="26" t="str">
        <f>IF(A1516="","",BASE_CAIXA!AL1513)</f>
        <v/>
      </c>
      <c r="C1516" s="26" t="str">
        <f>IF(A1516="","",BASE_CAIXA!AJ1513)</f>
        <v/>
      </c>
      <c r="D1516" s="26" t="str">
        <f>IF(A1516="","",IF(BASE_CAIXA!C1513="Entrada","Crédito","Débito"))</f>
        <v/>
      </c>
      <c r="E1516" s="26" t="str">
        <f>IF(A1516="","",BASE_CAIXA!AA1513)</f>
        <v/>
      </c>
      <c r="F1516" s="26" t="str">
        <f>IF(A1516="","",BASE_CAIXA!N1513)</f>
        <v/>
      </c>
      <c r="G1516" s="26" t="str">
        <f>IF(A1516="","",BASE_CAIXA!O1513)</f>
        <v/>
      </c>
      <c r="H1516" s="26" t="str">
        <f>IF(A1516="","",BASE_CAIXA!P1513)</f>
        <v/>
      </c>
      <c r="I1516" s="26" t="str">
        <f>IF(A1516="","",IF(BASE_CAIXA!H1513&lt;&gt;"",BASE_CAIXA!H1513,BASE_CAIXA!G1513))</f>
        <v/>
      </c>
      <c r="J1516" s="26" t="str">
        <f>IF(A1516="","",BASE_CAIXA!G1513)</f>
        <v/>
      </c>
      <c r="K1516" s="26" t="str">
        <f>IF(A1516="","",BASE_CAIXA!I1513)</f>
        <v/>
      </c>
      <c r="L1516" s="26" t="str">
        <f>IF(A1516="","",BASE_CAIXA!J1513)</f>
        <v/>
      </c>
      <c r="M1516" s="26" t="str">
        <f>IF(A1516="","",BASE_CAIXA!AM1513)</f>
        <v/>
      </c>
      <c r="N1516" s="26" t="str">
        <f t="shared" ca="1" si="69"/>
        <v/>
      </c>
      <c r="O1516" s="26" t="str">
        <f>IFERROR(INDEX(EXTRATO_IMPORTADO!$A$5:$A$404,MATCH(B1516,EXTRATO_IMPORTADO!$I$5:$I$404,0)),"")</f>
        <v/>
      </c>
      <c r="P1516" s="26" t="str">
        <f>IFERROR(INDEX(EXTRATO_IMPORTADO!$F$5:$F$404,MATCH(B1516,EXTRATO_IMPORTADO!$I$5:$I$404,0)),"")</f>
        <v/>
      </c>
      <c r="Q1516" s="26" t="str">
        <f>IFERROR(INDEX(EXTRATO_IMPORTADO!$B$5:$B$404,MATCH(B1516,EXTRATO_IMPORTADO!$I$5:$I$404,0)),"")</f>
        <v/>
      </c>
      <c r="R1516" s="26" t="str">
        <f>IFERROR(MATCH(B1516,EXTRATO_IMPORTADO!$I$5:$I$404,0),"")</f>
        <v/>
      </c>
      <c r="S1516" s="26" t="str">
        <f t="shared" si="70"/>
        <v/>
      </c>
      <c r="T1516" s="26" t="str">
        <f t="shared" si="71"/>
        <v/>
      </c>
    </row>
    <row r="1517" spans="1:20" x14ac:dyDescent="0.3">
      <c r="A1517" s="26" t="str">
        <f>IF(BASE_CAIXA!A1514="","",BASE_CAIXA!A1514)</f>
        <v/>
      </c>
      <c r="B1517" s="26" t="str">
        <f>IF(A1517="","",BASE_CAIXA!AL1514)</f>
        <v/>
      </c>
      <c r="C1517" s="26" t="str">
        <f>IF(A1517="","",BASE_CAIXA!AJ1514)</f>
        <v/>
      </c>
      <c r="D1517" s="26" t="str">
        <f>IF(A1517="","",IF(BASE_CAIXA!C1514="Entrada","Crédito","Débito"))</f>
        <v/>
      </c>
      <c r="E1517" s="26" t="str">
        <f>IF(A1517="","",BASE_CAIXA!AA1514)</f>
        <v/>
      </c>
      <c r="F1517" s="26" t="str">
        <f>IF(A1517="","",BASE_CAIXA!N1514)</f>
        <v/>
      </c>
      <c r="G1517" s="26" t="str">
        <f>IF(A1517="","",BASE_CAIXA!O1514)</f>
        <v/>
      </c>
      <c r="H1517" s="26" t="str">
        <f>IF(A1517="","",BASE_CAIXA!P1514)</f>
        <v/>
      </c>
      <c r="I1517" s="26" t="str">
        <f>IF(A1517="","",IF(BASE_CAIXA!H1514&lt;&gt;"",BASE_CAIXA!H1514,BASE_CAIXA!G1514))</f>
        <v/>
      </c>
      <c r="J1517" s="26" t="str">
        <f>IF(A1517="","",BASE_CAIXA!G1514)</f>
        <v/>
      </c>
      <c r="K1517" s="26" t="str">
        <f>IF(A1517="","",BASE_CAIXA!I1514)</f>
        <v/>
      </c>
      <c r="L1517" s="26" t="str">
        <f>IF(A1517="","",BASE_CAIXA!J1514)</f>
        <v/>
      </c>
      <c r="M1517" s="26" t="str">
        <f>IF(A1517="","",BASE_CAIXA!AM1514)</f>
        <v/>
      </c>
      <c r="N1517" s="26" t="str">
        <f t="shared" ca="1" si="69"/>
        <v/>
      </c>
      <c r="O1517" s="26" t="str">
        <f>IFERROR(INDEX(EXTRATO_IMPORTADO!$A$5:$A$404,MATCH(B1517,EXTRATO_IMPORTADO!$I$5:$I$404,0)),"")</f>
        <v/>
      </c>
      <c r="P1517" s="26" t="str">
        <f>IFERROR(INDEX(EXTRATO_IMPORTADO!$F$5:$F$404,MATCH(B1517,EXTRATO_IMPORTADO!$I$5:$I$404,0)),"")</f>
        <v/>
      </c>
      <c r="Q1517" s="26" t="str">
        <f>IFERROR(INDEX(EXTRATO_IMPORTADO!$B$5:$B$404,MATCH(B1517,EXTRATO_IMPORTADO!$I$5:$I$404,0)),"")</f>
        <v/>
      </c>
      <c r="R1517" s="26" t="str">
        <f>IFERROR(MATCH(B1517,EXTRATO_IMPORTADO!$I$5:$I$404,0),"")</f>
        <v/>
      </c>
      <c r="S1517" s="26" t="str">
        <f t="shared" si="70"/>
        <v/>
      </c>
      <c r="T1517" s="26" t="str">
        <f t="shared" si="71"/>
        <v/>
      </c>
    </row>
    <row r="1518" spans="1:20" x14ac:dyDescent="0.3">
      <c r="A1518" s="26" t="str">
        <f>IF(BASE_CAIXA!A1515="","",BASE_CAIXA!A1515)</f>
        <v/>
      </c>
      <c r="B1518" s="26" t="str">
        <f>IF(A1518="","",BASE_CAIXA!AL1515)</f>
        <v/>
      </c>
      <c r="C1518" s="26" t="str">
        <f>IF(A1518="","",BASE_CAIXA!AJ1515)</f>
        <v/>
      </c>
      <c r="D1518" s="26" t="str">
        <f>IF(A1518="","",IF(BASE_CAIXA!C1515="Entrada","Crédito","Débito"))</f>
        <v/>
      </c>
      <c r="E1518" s="26" t="str">
        <f>IF(A1518="","",BASE_CAIXA!AA1515)</f>
        <v/>
      </c>
      <c r="F1518" s="26" t="str">
        <f>IF(A1518="","",BASE_CAIXA!N1515)</f>
        <v/>
      </c>
      <c r="G1518" s="26" t="str">
        <f>IF(A1518="","",BASE_CAIXA!O1515)</f>
        <v/>
      </c>
      <c r="H1518" s="26" t="str">
        <f>IF(A1518="","",BASE_CAIXA!P1515)</f>
        <v/>
      </c>
      <c r="I1518" s="26" t="str">
        <f>IF(A1518="","",IF(BASE_CAIXA!H1515&lt;&gt;"",BASE_CAIXA!H1515,BASE_CAIXA!G1515))</f>
        <v/>
      </c>
      <c r="J1518" s="26" t="str">
        <f>IF(A1518="","",BASE_CAIXA!G1515)</f>
        <v/>
      </c>
      <c r="K1518" s="26" t="str">
        <f>IF(A1518="","",BASE_CAIXA!I1515)</f>
        <v/>
      </c>
      <c r="L1518" s="26" t="str">
        <f>IF(A1518="","",BASE_CAIXA!J1515)</f>
        <v/>
      </c>
      <c r="M1518" s="26" t="str">
        <f>IF(A1518="","",BASE_CAIXA!AM1515)</f>
        <v/>
      </c>
      <c r="N1518" s="26" t="str">
        <f t="shared" ca="1" si="69"/>
        <v/>
      </c>
      <c r="O1518" s="26" t="str">
        <f>IFERROR(INDEX(EXTRATO_IMPORTADO!$A$5:$A$404,MATCH(B1518,EXTRATO_IMPORTADO!$I$5:$I$404,0)),"")</f>
        <v/>
      </c>
      <c r="P1518" s="26" t="str">
        <f>IFERROR(INDEX(EXTRATO_IMPORTADO!$F$5:$F$404,MATCH(B1518,EXTRATO_IMPORTADO!$I$5:$I$404,0)),"")</f>
        <v/>
      </c>
      <c r="Q1518" s="26" t="str">
        <f>IFERROR(INDEX(EXTRATO_IMPORTADO!$B$5:$B$404,MATCH(B1518,EXTRATO_IMPORTADO!$I$5:$I$404,0)),"")</f>
        <v/>
      </c>
      <c r="R1518" s="26" t="str">
        <f>IFERROR(MATCH(B1518,EXTRATO_IMPORTADO!$I$5:$I$404,0),"")</f>
        <v/>
      </c>
      <c r="S1518" s="26" t="str">
        <f t="shared" si="70"/>
        <v/>
      </c>
      <c r="T1518" s="26" t="str">
        <f t="shared" si="71"/>
        <v/>
      </c>
    </row>
    <row r="1519" spans="1:20" x14ac:dyDescent="0.3">
      <c r="A1519" s="26" t="str">
        <f>IF(BASE_CAIXA!A1516="","",BASE_CAIXA!A1516)</f>
        <v/>
      </c>
      <c r="B1519" s="26" t="str">
        <f>IF(A1519="","",BASE_CAIXA!AL1516)</f>
        <v/>
      </c>
      <c r="C1519" s="26" t="str">
        <f>IF(A1519="","",BASE_CAIXA!AJ1516)</f>
        <v/>
      </c>
      <c r="D1519" s="26" t="str">
        <f>IF(A1519="","",IF(BASE_CAIXA!C1516="Entrada","Crédito","Débito"))</f>
        <v/>
      </c>
      <c r="E1519" s="26" t="str">
        <f>IF(A1519="","",BASE_CAIXA!AA1516)</f>
        <v/>
      </c>
      <c r="F1519" s="26" t="str">
        <f>IF(A1519="","",BASE_CAIXA!N1516)</f>
        <v/>
      </c>
      <c r="G1519" s="26" t="str">
        <f>IF(A1519="","",BASE_CAIXA!O1516)</f>
        <v/>
      </c>
      <c r="H1519" s="26" t="str">
        <f>IF(A1519="","",BASE_CAIXA!P1516)</f>
        <v/>
      </c>
      <c r="I1519" s="26" t="str">
        <f>IF(A1519="","",IF(BASE_CAIXA!H1516&lt;&gt;"",BASE_CAIXA!H1516,BASE_CAIXA!G1516))</f>
        <v/>
      </c>
      <c r="J1519" s="26" t="str">
        <f>IF(A1519="","",BASE_CAIXA!G1516)</f>
        <v/>
      </c>
      <c r="K1519" s="26" t="str">
        <f>IF(A1519="","",BASE_CAIXA!I1516)</f>
        <v/>
      </c>
      <c r="L1519" s="26" t="str">
        <f>IF(A1519="","",BASE_CAIXA!J1516)</f>
        <v/>
      </c>
      <c r="M1519" s="26" t="str">
        <f>IF(A1519="","",BASE_CAIXA!AM1516)</f>
        <v/>
      </c>
      <c r="N1519" s="26" t="str">
        <f t="shared" ca="1" si="69"/>
        <v/>
      </c>
      <c r="O1519" s="26" t="str">
        <f>IFERROR(INDEX(EXTRATO_IMPORTADO!$A$5:$A$404,MATCH(B1519,EXTRATO_IMPORTADO!$I$5:$I$404,0)),"")</f>
        <v/>
      </c>
      <c r="P1519" s="26" t="str">
        <f>IFERROR(INDEX(EXTRATO_IMPORTADO!$F$5:$F$404,MATCH(B1519,EXTRATO_IMPORTADO!$I$5:$I$404,0)),"")</f>
        <v/>
      </c>
      <c r="Q1519" s="26" t="str">
        <f>IFERROR(INDEX(EXTRATO_IMPORTADO!$B$5:$B$404,MATCH(B1519,EXTRATO_IMPORTADO!$I$5:$I$404,0)),"")</f>
        <v/>
      </c>
      <c r="R1519" s="26" t="str">
        <f>IFERROR(MATCH(B1519,EXTRATO_IMPORTADO!$I$5:$I$404,0),"")</f>
        <v/>
      </c>
      <c r="S1519" s="26" t="str">
        <f t="shared" si="70"/>
        <v/>
      </c>
      <c r="T1519" s="26" t="str">
        <f t="shared" si="71"/>
        <v/>
      </c>
    </row>
    <row r="1520" spans="1:20" x14ac:dyDescent="0.3">
      <c r="A1520" s="26" t="str">
        <f>IF(BASE_CAIXA!A1517="","",BASE_CAIXA!A1517)</f>
        <v/>
      </c>
      <c r="B1520" s="26" t="str">
        <f>IF(A1520="","",BASE_CAIXA!AL1517)</f>
        <v/>
      </c>
      <c r="C1520" s="26" t="str">
        <f>IF(A1520="","",BASE_CAIXA!AJ1517)</f>
        <v/>
      </c>
      <c r="D1520" s="26" t="str">
        <f>IF(A1520="","",IF(BASE_CAIXA!C1517="Entrada","Crédito","Débito"))</f>
        <v/>
      </c>
      <c r="E1520" s="26" t="str">
        <f>IF(A1520="","",BASE_CAIXA!AA1517)</f>
        <v/>
      </c>
      <c r="F1520" s="26" t="str">
        <f>IF(A1520="","",BASE_CAIXA!N1517)</f>
        <v/>
      </c>
      <c r="G1520" s="26" t="str">
        <f>IF(A1520="","",BASE_CAIXA!O1517)</f>
        <v/>
      </c>
      <c r="H1520" s="26" t="str">
        <f>IF(A1520="","",BASE_CAIXA!P1517)</f>
        <v/>
      </c>
      <c r="I1520" s="26" t="str">
        <f>IF(A1520="","",IF(BASE_CAIXA!H1517&lt;&gt;"",BASE_CAIXA!H1517,BASE_CAIXA!G1517))</f>
        <v/>
      </c>
      <c r="J1520" s="26" t="str">
        <f>IF(A1520="","",BASE_CAIXA!G1517)</f>
        <v/>
      </c>
      <c r="K1520" s="26" t="str">
        <f>IF(A1520="","",BASE_CAIXA!I1517)</f>
        <v/>
      </c>
      <c r="L1520" s="26" t="str">
        <f>IF(A1520="","",BASE_CAIXA!J1517)</f>
        <v/>
      </c>
      <c r="M1520" s="26" t="str">
        <f>IF(A1520="","",BASE_CAIXA!AM1517)</f>
        <v/>
      </c>
      <c r="N1520" s="26" t="str">
        <f t="shared" ca="1" si="69"/>
        <v/>
      </c>
      <c r="O1520" s="26" t="str">
        <f>IFERROR(INDEX(EXTRATO_IMPORTADO!$A$5:$A$404,MATCH(B1520,EXTRATO_IMPORTADO!$I$5:$I$404,0)),"")</f>
        <v/>
      </c>
      <c r="P1520" s="26" t="str">
        <f>IFERROR(INDEX(EXTRATO_IMPORTADO!$F$5:$F$404,MATCH(B1520,EXTRATO_IMPORTADO!$I$5:$I$404,0)),"")</f>
        <v/>
      </c>
      <c r="Q1520" s="26" t="str">
        <f>IFERROR(INDEX(EXTRATO_IMPORTADO!$B$5:$B$404,MATCH(B1520,EXTRATO_IMPORTADO!$I$5:$I$404,0)),"")</f>
        <v/>
      </c>
      <c r="R1520" s="26" t="str">
        <f>IFERROR(MATCH(B1520,EXTRATO_IMPORTADO!$I$5:$I$404,0),"")</f>
        <v/>
      </c>
      <c r="S1520" s="26" t="str">
        <f t="shared" si="70"/>
        <v/>
      </c>
      <c r="T1520" s="26" t="str">
        <f t="shared" si="71"/>
        <v/>
      </c>
    </row>
    <row r="1521" spans="1:20" x14ac:dyDescent="0.3">
      <c r="A1521" s="26" t="str">
        <f>IF(BASE_CAIXA!A1518="","",BASE_CAIXA!A1518)</f>
        <v/>
      </c>
      <c r="B1521" s="26" t="str">
        <f>IF(A1521="","",BASE_CAIXA!AL1518)</f>
        <v/>
      </c>
      <c r="C1521" s="26" t="str">
        <f>IF(A1521="","",BASE_CAIXA!AJ1518)</f>
        <v/>
      </c>
      <c r="D1521" s="26" t="str">
        <f>IF(A1521="","",IF(BASE_CAIXA!C1518="Entrada","Crédito","Débito"))</f>
        <v/>
      </c>
      <c r="E1521" s="26" t="str">
        <f>IF(A1521="","",BASE_CAIXA!AA1518)</f>
        <v/>
      </c>
      <c r="F1521" s="26" t="str">
        <f>IF(A1521="","",BASE_CAIXA!N1518)</f>
        <v/>
      </c>
      <c r="G1521" s="26" t="str">
        <f>IF(A1521="","",BASE_CAIXA!O1518)</f>
        <v/>
      </c>
      <c r="H1521" s="26" t="str">
        <f>IF(A1521="","",BASE_CAIXA!P1518)</f>
        <v/>
      </c>
      <c r="I1521" s="26" t="str">
        <f>IF(A1521="","",IF(BASE_CAIXA!H1518&lt;&gt;"",BASE_CAIXA!H1518,BASE_CAIXA!G1518))</f>
        <v/>
      </c>
      <c r="J1521" s="26" t="str">
        <f>IF(A1521="","",BASE_CAIXA!G1518)</f>
        <v/>
      </c>
      <c r="K1521" s="26" t="str">
        <f>IF(A1521="","",BASE_CAIXA!I1518)</f>
        <v/>
      </c>
      <c r="L1521" s="26" t="str">
        <f>IF(A1521="","",BASE_CAIXA!J1518)</f>
        <v/>
      </c>
      <c r="M1521" s="26" t="str">
        <f>IF(A1521="","",BASE_CAIXA!AM1518)</f>
        <v/>
      </c>
      <c r="N1521" s="26" t="str">
        <f t="shared" ca="1" si="69"/>
        <v/>
      </c>
      <c r="O1521" s="26" t="str">
        <f>IFERROR(INDEX(EXTRATO_IMPORTADO!$A$5:$A$404,MATCH(B1521,EXTRATO_IMPORTADO!$I$5:$I$404,0)),"")</f>
        <v/>
      </c>
      <c r="P1521" s="26" t="str">
        <f>IFERROR(INDEX(EXTRATO_IMPORTADO!$F$5:$F$404,MATCH(B1521,EXTRATO_IMPORTADO!$I$5:$I$404,0)),"")</f>
        <v/>
      </c>
      <c r="Q1521" s="26" t="str">
        <f>IFERROR(INDEX(EXTRATO_IMPORTADO!$B$5:$B$404,MATCH(B1521,EXTRATO_IMPORTADO!$I$5:$I$404,0)),"")</f>
        <v/>
      </c>
      <c r="R1521" s="26" t="str">
        <f>IFERROR(MATCH(B1521,EXTRATO_IMPORTADO!$I$5:$I$404,0),"")</f>
        <v/>
      </c>
      <c r="S1521" s="26" t="str">
        <f t="shared" si="70"/>
        <v/>
      </c>
      <c r="T1521" s="26" t="str">
        <f t="shared" si="71"/>
        <v/>
      </c>
    </row>
    <row r="1522" spans="1:20" x14ac:dyDescent="0.3">
      <c r="A1522" s="26" t="str">
        <f>IF(BASE_CAIXA!A1519="","",BASE_CAIXA!A1519)</f>
        <v/>
      </c>
      <c r="B1522" s="26" t="str">
        <f>IF(A1522="","",BASE_CAIXA!AL1519)</f>
        <v/>
      </c>
      <c r="C1522" s="26" t="str">
        <f>IF(A1522="","",BASE_CAIXA!AJ1519)</f>
        <v/>
      </c>
      <c r="D1522" s="26" t="str">
        <f>IF(A1522="","",IF(BASE_CAIXA!C1519="Entrada","Crédito","Débito"))</f>
        <v/>
      </c>
      <c r="E1522" s="26" t="str">
        <f>IF(A1522="","",BASE_CAIXA!AA1519)</f>
        <v/>
      </c>
      <c r="F1522" s="26" t="str">
        <f>IF(A1522="","",BASE_CAIXA!N1519)</f>
        <v/>
      </c>
      <c r="G1522" s="26" t="str">
        <f>IF(A1522="","",BASE_CAIXA!O1519)</f>
        <v/>
      </c>
      <c r="H1522" s="26" t="str">
        <f>IF(A1522="","",BASE_CAIXA!P1519)</f>
        <v/>
      </c>
      <c r="I1522" s="26" t="str">
        <f>IF(A1522="","",IF(BASE_CAIXA!H1519&lt;&gt;"",BASE_CAIXA!H1519,BASE_CAIXA!G1519))</f>
        <v/>
      </c>
      <c r="J1522" s="26" t="str">
        <f>IF(A1522="","",BASE_CAIXA!G1519)</f>
        <v/>
      </c>
      <c r="K1522" s="26" t="str">
        <f>IF(A1522="","",BASE_CAIXA!I1519)</f>
        <v/>
      </c>
      <c r="L1522" s="26" t="str">
        <f>IF(A1522="","",BASE_CAIXA!J1519)</f>
        <v/>
      </c>
      <c r="M1522" s="26" t="str">
        <f>IF(A1522="","",BASE_CAIXA!AM1519)</f>
        <v/>
      </c>
      <c r="N1522" s="26" t="str">
        <f t="shared" ca="1" si="69"/>
        <v/>
      </c>
      <c r="O1522" s="26" t="str">
        <f>IFERROR(INDEX(EXTRATO_IMPORTADO!$A$5:$A$404,MATCH(B1522,EXTRATO_IMPORTADO!$I$5:$I$404,0)),"")</f>
        <v/>
      </c>
      <c r="P1522" s="26" t="str">
        <f>IFERROR(INDEX(EXTRATO_IMPORTADO!$F$5:$F$404,MATCH(B1522,EXTRATO_IMPORTADO!$I$5:$I$404,0)),"")</f>
        <v/>
      </c>
      <c r="Q1522" s="26" t="str">
        <f>IFERROR(INDEX(EXTRATO_IMPORTADO!$B$5:$B$404,MATCH(B1522,EXTRATO_IMPORTADO!$I$5:$I$404,0)),"")</f>
        <v/>
      </c>
      <c r="R1522" s="26" t="str">
        <f>IFERROR(MATCH(B1522,EXTRATO_IMPORTADO!$I$5:$I$404,0),"")</f>
        <v/>
      </c>
      <c r="S1522" s="26" t="str">
        <f t="shared" si="70"/>
        <v/>
      </c>
      <c r="T1522" s="26" t="str">
        <f t="shared" si="71"/>
        <v/>
      </c>
    </row>
    <row r="1523" spans="1:20" x14ac:dyDescent="0.3">
      <c r="A1523" s="26" t="str">
        <f>IF(BASE_CAIXA!A1520="","",BASE_CAIXA!A1520)</f>
        <v/>
      </c>
      <c r="B1523" s="26" t="str">
        <f>IF(A1523="","",BASE_CAIXA!AL1520)</f>
        <v/>
      </c>
      <c r="C1523" s="26" t="str">
        <f>IF(A1523="","",BASE_CAIXA!AJ1520)</f>
        <v/>
      </c>
      <c r="D1523" s="26" t="str">
        <f>IF(A1523="","",IF(BASE_CAIXA!C1520="Entrada","Crédito","Débito"))</f>
        <v/>
      </c>
      <c r="E1523" s="26" t="str">
        <f>IF(A1523="","",BASE_CAIXA!AA1520)</f>
        <v/>
      </c>
      <c r="F1523" s="26" t="str">
        <f>IF(A1523="","",BASE_CAIXA!N1520)</f>
        <v/>
      </c>
      <c r="G1523" s="26" t="str">
        <f>IF(A1523="","",BASE_CAIXA!O1520)</f>
        <v/>
      </c>
      <c r="H1523" s="26" t="str">
        <f>IF(A1523="","",BASE_CAIXA!P1520)</f>
        <v/>
      </c>
      <c r="I1523" s="26" t="str">
        <f>IF(A1523="","",IF(BASE_CAIXA!H1520&lt;&gt;"",BASE_CAIXA!H1520,BASE_CAIXA!G1520))</f>
        <v/>
      </c>
      <c r="J1523" s="26" t="str">
        <f>IF(A1523="","",BASE_CAIXA!G1520)</f>
        <v/>
      </c>
      <c r="K1523" s="26" t="str">
        <f>IF(A1523="","",BASE_CAIXA!I1520)</f>
        <v/>
      </c>
      <c r="L1523" s="26" t="str">
        <f>IF(A1523="","",BASE_CAIXA!J1520)</f>
        <v/>
      </c>
      <c r="M1523" s="26" t="str">
        <f>IF(A1523="","",BASE_CAIXA!AM1520)</f>
        <v/>
      </c>
      <c r="N1523" s="26" t="str">
        <f t="shared" ca="1" si="69"/>
        <v/>
      </c>
      <c r="O1523" s="26" t="str">
        <f>IFERROR(INDEX(EXTRATO_IMPORTADO!$A$5:$A$404,MATCH(B1523,EXTRATO_IMPORTADO!$I$5:$I$404,0)),"")</f>
        <v/>
      </c>
      <c r="P1523" s="26" t="str">
        <f>IFERROR(INDEX(EXTRATO_IMPORTADO!$F$5:$F$404,MATCH(B1523,EXTRATO_IMPORTADO!$I$5:$I$404,0)),"")</f>
        <v/>
      </c>
      <c r="Q1523" s="26" t="str">
        <f>IFERROR(INDEX(EXTRATO_IMPORTADO!$B$5:$B$404,MATCH(B1523,EXTRATO_IMPORTADO!$I$5:$I$404,0)),"")</f>
        <v/>
      </c>
      <c r="R1523" s="26" t="str">
        <f>IFERROR(MATCH(B1523,EXTRATO_IMPORTADO!$I$5:$I$404,0),"")</f>
        <v/>
      </c>
      <c r="S1523" s="26" t="str">
        <f t="shared" si="70"/>
        <v/>
      </c>
      <c r="T1523" s="26" t="str">
        <f t="shared" si="71"/>
        <v/>
      </c>
    </row>
    <row r="1524" spans="1:20" x14ac:dyDescent="0.3">
      <c r="A1524" s="26" t="str">
        <f>IF(BASE_CAIXA!A1521="","",BASE_CAIXA!A1521)</f>
        <v/>
      </c>
      <c r="B1524" s="26" t="str">
        <f>IF(A1524="","",BASE_CAIXA!AL1521)</f>
        <v/>
      </c>
      <c r="C1524" s="26" t="str">
        <f>IF(A1524="","",BASE_CAIXA!AJ1521)</f>
        <v/>
      </c>
      <c r="D1524" s="26" t="str">
        <f>IF(A1524="","",IF(BASE_CAIXA!C1521="Entrada","Crédito","Débito"))</f>
        <v/>
      </c>
      <c r="E1524" s="26" t="str">
        <f>IF(A1524="","",BASE_CAIXA!AA1521)</f>
        <v/>
      </c>
      <c r="F1524" s="26" t="str">
        <f>IF(A1524="","",BASE_CAIXA!N1521)</f>
        <v/>
      </c>
      <c r="G1524" s="26" t="str">
        <f>IF(A1524="","",BASE_CAIXA!O1521)</f>
        <v/>
      </c>
      <c r="H1524" s="26" t="str">
        <f>IF(A1524="","",BASE_CAIXA!P1521)</f>
        <v/>
      </c>
      <c r="I1524" s="26" t="str">
        <f>IF(A1524="","",IF(BASE_CAIXA!H1521&lt;&gt;"",BASE_CAIXA!H1521,BASE_CAIXA!G1521))</f>
        <v/>
      </c>
      <c r="J1524" s="26" t="str">
        <f>IF(A1524="","",BASE_CAIXA!G1521)</f>
        <v/>
      </c>
      <c r="K1524" s="26" t="str">
        <f>IF(A1524="","",BASE_CAIXA!I1521)</f>
        <v/>
      </c>
      <c r="L1524" s="26" t="str">
        <f>IF(A1524="","",BASE_CAIXA!J1521)</f>
        <v/>
      </c>
      <c r="M1524" s="26" t="str">
        <f>IF(A1524="","",BASE_CAIXA!AM1521)</f>
        <v/>
      </c>
      <c r="N1524" s="26" t="str">
        <f t="shared" ca="1" si="69"/>
        <v/>
      </c>
      <c r="O1524" s="26" t="str">
        <f>IFERROR(INDEX(EXTRATO_IMPORTADO!$A$5:$A$404,MATCH(B1524,EXTRATO_IMPORTADO!$I$5:$I$404,0)),"")</f>
        <v/>
      </c>
      <c r="P1524" s="26" t="str">
        <f>IFERROR(INDEX(EXTRATO_IMPORTADO!$F$5:$F$404,MATCH(B1524,EXTRATO_IMPORTADO!$I$5:$I$404,0)),"")</f>
        <v/>
      </c>
      <c r="Q1524" s="26" t="str">
        <f>IFERROR(INDEX(EXTRATO_IMPORTADO!$B$5:$B$404,MATCH(B1524,EXTRATO_IMPORTADO!$I$5:$I$404,0)),"")</f>
        <v/>
      </c>
      <c r="R1524" s="26" t="str">
        <f>IFERROR(MATCH(B1524,EXTRATO_IMPORTADO!$I$5:$I$404,0),"")</f>
        <v/>
      </c>
      <c r="S1524" s="26" t="str">
        <f t="shared" si="70"/>
        <v/>
      </c>
      <c r="T1524" s="26" t="str">
        <f t="shared" si="71"/>
        <v/>
      </c>
    </row>
    <row r="1525" spans="1:20" x14ac:dyDescent="0.3">
      <c r="A1525" s="26" t="str">
        <f>IF(BASE_CAIXA!A1522="","",BASE_CAIXA!A1522)</f>
        <v/>
      </c>
      <c r="B1525" s="26" t="str">
        <f>IF(A1525="","",BASE_CAIXA!AL1522)</f>
        <v/>
      </c>
      <c r="C1525" s="26" t="str">
        <f>IF(A1525="","",BASE_CAIXA!AJ1522)</f>
        <v/>
      </c>
      <c r="D1525" s="26" t="str">
        <f>IF(A1525="","",IF(BASE_CAIXA!C1522="Entrada","Crédito","Débito"))</f>
        <v/>
      </c>
      <c r="E1525" s="26" t="str">
        <f>IF(A1525="","",BASE_CAIXA!AA1522)</f>
        <v/>
      </c>
      <c r="F1525" s="26" t="str">
        <f>IF(A1525="","",BASE_CAIXA!N1522)</f>
        <v/>
      </c>
      <c r="G1525" s="26" t="str">
        <f>IF(A1525="","",BASE_CAIXA!O1522)</f>
        <v/>
      </c>
      <c r="H1525" s="26" t="str">
        <f>IF(A1525="","",BASE_CAIXA!P1522)</f>
        <v/>
      </c>
      <c r="I1525" s="26" t="str">
        <f>IF(A1525="","",IF(BASE_CAIXA!H1522&lt;&gt;"",BASE_CAIXA!H1522,BASE_CAIXA!G1522))</f>
        <v/>
      </c>
      <c r="J1525" s="26" t="str">
        <f>IF(A1525="","",BASE_CAIXA!G1522)</f>
        <v/>
      </c>
      <c r="K1525" s="26" t="str">
        <f>IF(A1525="","",BASE_CAIXA!I1522)</f>
        <v/>
      </c>
      <c r="L1525" s="26" t="str">
        <f>IF(A1525="","",BASE_CAIXA!J1522)</f>
        <v/>
      </c>
      <c r="M1525" s="26" t="str">
        <f>IF(A1525="","",BASE_CAIXA!AM1522)</f>
        <v/>
      </c>
      <c r="N1525" s="26" t="str">
        <f t="shared" ca="1" si="69"/>
        <v/>
      </c>
      <c r="O1525" s="26" t="str">
        <f>IFERROR(INDEX(EXTRATO_IMPORTADO!$A$5:$A$404,MATCH(B1525,EXTRATO_IMPORTADO!$I$5:$I$404,0)),"")</f>
        <v/>
      </c>
      <c r="P1525" s="26" t="str">
        <f>IFERROR(INDEX(EXTRATO_IMPORTADO!$F$5:$F$404,MATCH(B1525,EXTRATO_IMPORTADO!$I$5:$I$404,0)),"")</f>
        <v/>
      </c>
      <c r="Q1525" s="26" t="str">
        <f>IFERROR(INDEX(EXTRATO_IMPORTADO!$B$5:$B$404,MATCH(B1525,EXTRATO_IMPORTADO!$I$5:$I$404,0)),"")</f>
        <v/>
      </c>
      <c r="R1525" s="26" t="str">
        <f>IFERROR(MATCH(B1525,EXTRATO_IMPORTADO!$I$5:$I$404,0),"")</f>
        <v/>
      </c>
      <c r="S1525" s="26" t="str">
        <f t="shared" si="70"/>
        <v/>
      </c>
      <c r="T1525" s="26" t="str">
        <f t="shared" si="71"/>
        <v/>
      </c>
    </row>
    <row r="1526" spans="1:20" x14ac:dyDescent="0.3">
      <c r="A1526" s="26" t="str">
        <f>IF(BASE_CAIXA!A1523="","",BASE_CAIXA!A1523)</f>
        <v/>
      </c>
      <c r="B1526" s="26" t="str">
        <f>IF(A1526="","",BASE_CAIXA!AL1523)</f>
        <v/>
      </c>
      <c r="C1526" s="26" t="str">
        <f>IF(A1526="","",BASE_CAIXA!AJ1523)</f>
        <v/>
      </c>
      <c r="D1526" s="26" t="str">
        <f>IF(A1526="","",IF(BASE_CAIXA!C1523="Entrada","Crédito","Débito"))</f>
        <v/>
      </c>
      <c r="E1526" s="26" t="str">
        <f>IF(A1526="","",BASE_CAIXA!AA1523)</f>
        <v/>
      </c>
      <c r="F1526" s="26" t="str">
        <f>IF(A1526="","",BASE_CAIXA!N1523)</f>
        <v/>
      </c>
      <c r="G1526" s="26" t="str">
        <f>IF(A1526="","",BASE_CAIXA!O1523)</f>
        <v/>
      </c>
      <c r="H1526" s="26" t="str">
        <f>IF(A1526="","",BASE_CAIXA!P1523)</f>
        <v/>
      </c>
      <c r="I1526" s="26" t="str">
        <f>IF(A1526="","",IF(BASE_CAIXA!H1523&lt;&gt;"",BASE_CAIXA!H1523,BASE_CAIXA!G1523))</f>
        <v/>
      </c>
      <c r="J1526" s="26" t="str">
        <f>IF(A1526="","",BASE_CAIXA!G1523)</f>
        <v/>
      </c>
      <c r="K1526" s="26" t="str">
        <f>IF(A1526="","",BASE_CAIXA!I1523)</f>
        <v/>
      </c>
      <c r="L1526" s="26" t="str">
        <f>IF(A1526="","",BASE_CAIXA!J1523)</f>
        <v/>
      </c>
      <c r="M1526" s="26" t="str">
        <f>IF(A1526="","",BASE_CAIXA!AM1523)</f>
        <v/>
      </c>
      <c r="N1526" s="26" t="str">
        <f t="shared" ca="1" si="69"/>
        <v/>
      </c>
      <c r="O1526" s="26" t="str">
        <f>IFERROR(INDEX(EXTRATO_IMPORTADO!$A$5:$A$404,MATCH(B1526,EXTRATO_IMPORTADO!$I$5:$I$404,0)),"")</f>
        <v/>
      </c>
      <c r="P1526" s="26" t="str">
        <f>IFERROR(INDEX(EXTRATO_IMPORTADO!$F$5:$F$404,MATCH(B1526,EXTRATO_IMPORTADO!$I$5:$I$404,0)),"")</f>
        <v/>
      </c>
      <c r="Q1526" s="26" t="str">
        <f>IFERROR(INDEX(EXTRATO_IMPORTADO!$B$5:$B$404,MATCH(B1526,EXTRATO_IMPORTADO!$I$5:$I$404,0)),"")</f>
        <v/>
      </c>
      <c r="R1526" s="26" t="str">
        <f>IFERROR(MATCH(B1526,EXTRATO_IMPORTADO!$I$5:$I$404,0),"")</f>
        <v/>
      </c>
      <c r="S1526" s="26" t="str">
        <f t="shared" si="70"/>
        <v/>
      </c>
      <c r="T1526" s="26" t="str">
        <f t="shared" si="71"/>
        <v/>
      </c>
    </row>
    <row r="1527" spans="1:20" x14ac:dyDescent="0.3">
      <c r="A1527" s="26" t="str">
        <f>IF(BASE_CAIXA!A1524="","",BASE_CAIXA!A1524)</f>
        <v/>
      </c>
      <c r="B1527" s="26" t="str">
        <f>IF(A1527="","",BASE_CAIXA!AL1524)</f>
        <v/>
      </c>
      <c r="C1527" s="26" t="str">
        <f>IF(A1527="","",BASE_CAIXA!AJ1524)</f>
        <v/>
      </c>
      <c r="D1527" s="26" t="str">
        <f>IF(A1527="","",IF(BASE_CAIXA!C1524="Entrada","Crédito","Débito"))</f>
        <v/>
      </c>
      <c r="E1527" s="26" t="str">
        <f>IF(A1527="","",BASE_CAIXA!AA1524)</f>
        <v/>
      </c>
      <c r="F1527" s="26" t="str">
        <f>IF(A1527="","",BASE_CAIXA!N1524)</f>
        <v/>
      </c>
      <c r="G1527" s="26" t="str">
        <f>IF(A1527="","",BASE_CAIXA!O1524)</f>
        <v/>
      </c>
      <c r="H1527" s="26" t="str">
        <f>IF(A1527="","",BASE_CAIXA!P1524)</f>
        <v/>
      </c>
      <c r="I1527" s="26" t="str">
        <f>IF(A1527="","",IF(BASE_CAIXA!H1524&lt;&gt;"",BASE_CAIXA!H1524,BASE_CAIXA!G1524))</f>
        <v/>
      </c>
      <c r="J1527" s="26" t="str">
        <f>IF(A1527="","",BASE_CAIXA!G1524)</f>
        <v/>
      </c>
      <c r="K1527" s="26" t="str">
        <f>IF(A1527="","",BASE_CAIXA!I1524)</f>
        <v/>
      </c>
      <c r="L1527" s="26" t="str">
        <f>IF(A1527="","",BASE_CAIXA!J1524)</f>
        <v/>
      </c>
      <c r="M1527" s="26" t="str">
        <f>IF(A1527="","",BASE_CAIXA!AM1524)</f>
        <v/>
      </c>
      <c r="N1527" s="26" t="str">
        <f t="shared" ca="1" si="69"/>
        <v/>
      </c>
      <c r="O1527" s="26" t="str">
        <f>IFERROR(INDEX(EXTRATO_IMPORTADO!$A$5:$A$404,MATCH(B1527,EXTRATO_IMPORTADO!$I$5:$I$404,0)),"")</f>
        <v/>
      </c>
      <c r="P1527" s="26" t="str">
        <f>IFERROR(INDEX(EXTRATO_IMPORTADO!$F$5:$F$404,MATCH(B1527,EXTRATO_IMPORTADO!$I$5:$I$404,0)),"")</f>
        <v/>
      </c>
      <c r="Q1527" s="26" t="str">
        <f>IFERROR(INDEX(EXTRATO_IMPORTADO!$B$5:$B$404,MATCH(B1527,EXTRATO_IMPORTADO!$I$5:$I$404,0)),"")</f>
        <v/>
      </c>
      <c r="R1527" s="26" t="str">
        <f>IFERROR(MATCH(B1527,EXTRATO_IMPORTADO!$I$5:$I$404,0),"")</f>
        <v/>
      </c>
      <c r="S1527" s="26" t="str">
        <f t="shared" si="70"/>
        <v/>
      </c>
      <c r="T1527" s="26" t="str">
        <f t="shared" si="71"/>
        <v/>
      </c>
    </row>
    <row r="1528" spans="1:20" x14ac:dyDescent="0.3">
      <c r="A1528" s="26" t="str">
        <f>IF(BASE_CAIXA!A1525="","",BASE_CAIXA!A1525)</f>
        <v/>
      </c>
      <c r="B1528" s="26" t="str">
        <f>IF(A1528="","",BASE_CAIXA!AL1525)</f>
        <v/>
      </c>
      <c r="C1528" s="26" t="str">
        <f>IF(A1528="","",BASE_CAIXA!AJ1525)</f>
        <v/>
      </c>
      <c r="D1528" s="26" t="str">
        <f>IF(A1528="","",IF(BASE_CAIXA!C1525="Entrada","Crédito","Débito"))</f>
        <v/>
      </c>
      <c r="E1528" s="26" t="str">
        <f>IF(A1528="","",BASE_CAIXA!AA1525)</f>
        <v/>
      </c>
      <c r="F1528" s="26" t="str">
        <f>IF(A1528="","",BASE_CAIXA!N1525)</f>
        <v/>
      </c>
      <c r="G1528" s="26" t="str">
        <f>IF(A1528="","",BASE_CAIXA!O1525)</f>
        <v/>
      </c>
      <c r="H1528" s="26" t="str">
        <f>IF(A1528="","",BASE_CAIXA!P1525)</f>
        <v/>
      </c>
      <c r="I1528" s="26" t="str">
        <f>IF(A1528="","",IF(BASE_CAIXA!H1525&lt;&gt;"",BASE_CAIXA!H1525,BASE_CAIXA!G1525))</f>
        <v/>
      </c>
      <c r="J1528" s="26" t="str">
        <f>IF(A1528="","",BASE_CAIXA!G1525)</f>
        <v/>
      </c>
      <c r="K1528" s="26" t="str">
        <f>IF(A1528="","",BASE_CAIXA!I1525)</f>
        <v/>
      </c>
      <c r="L1528" s="26" t="str">
        <f>IF(A1528="","",BASE_CAIXA!J1525)</f>
        <v/>
      </c>
      <c r="M1528" s="26" t="str">
        <f>IF(A1528="","",BASE_CAIXA!AM1525)</f>
        <v/>
      </c>
      <c r="N1528" s="26" t="str">
        <f t="shared" ca="1" si="69"/>
        <v/>
      </c>
      <c r="O1528" s="26" t="str">
        <f>IFERROR(INDEX(EXTRATO_IMPORTADO!$A$5:$A$404,MATCH(B1528,EXTRATO_IMPORTADO!$I$5:$I$404,0)),"")</f>
        <v/>
      </c>
      <c r="P1528" s="26" t="str">
        <f>IFERROR(INDEX(EXTRATO_IMPORTADO!$F$5:$F$404,MATCH(B1528,EXTRATO_IMPORTADO!$I$5:$I$404,0)),"")</f>
        <v/>
      </c>
      <c r="Q1528" s="26" t="str">
        <f>IFERROR(INDEX(EXTRATO_IMPORTADO!$B$5:$B$404,MATCH(B1528,EXTRATO_IMPORTADO!$I$5:$I$404,0)),"")</f>
        <v/>
      </c>
      <c r="R1528" s="26" t="str">
        <f>IFERROR(MATCH(B1528,EXTRATO_IMPORTADO!$I$5:$I$404,0),"")</f>
        <v/>
      </c>
      <c r="S1528" s="26" t="str">
        <f t="shared" si="70"/>
        <v/>
      </c>
      <c r="T1528" s="26" t="str">
        <f t="shared" si="71"/>
        <v/>
      </c>
    </row>
    <row r="1529" spans="1:20" x14ac:dyDescent="0.3">
      <c r="A1529" s="26" t="str">
        <f>IF(BASE_CAIXA!A1526="","",BASE_CAIXA!A1526)</f>
        <v/>
      </c>
      <c r="B1529" s="26" t="str">
        <f>IF(A1529="","",BASE_CAIXA!AL1526)</f>
        <v/>
      </c>
      <c r="C1529" s="26" t="str">
        <f>IF(A1529="","",BASE_CAIXA!AJ1526)</f>
        <v/>
      </c>
      <c r="D1529" s="26" t="str">
        <f>IF(A1529="","",IF(BASE_CAIXA!C1526="Entrada","Crédito","Débito"))</f>
        <v/>
      </c>
      <c r="E1529" s="26" t="str">
        <f>IF(A1529="","",BASE_CAIXA!AA1526)</f>
        <v/>
      </c>
      <c r="F1529" s="26" t="str">
        <f>IF(A1529="","",BASE_CAIXA!N1526)</f>
        <v/>
      </c>
      <c r="G1529" s="26" t="str">
        <f>IF(A1529="","",BASE_CAIXA!O1526)</f>
        <v/>
      </c>
      <c r="H1529" s="26" t="str">
        <f>IF(A1529="","",BASE_CAIXA!P1526)</f>
        <v/>
      </c>
      <c r="I1529" s="26" t="str">
        <f>IF(A1529="","",IF(BASE_CAIXA!H1526&lt;&gt;"",BASE_CAIXA!H1526,BASE_CAIXA!G1526))</f>
        <v/>
      </c>
      <c r="J1529" s="26" t="str">
        <f>IF(A1529="","",BASE_CAIXA!G1526)</f>
        <v/>
      </c>
      <c r="K1529" s="26" t="str">
        <f>IF(A1529="","",BASE_CAIXA!I1526)</f>
        <v/>
      </c>
      <c r="L1529" s="26" t="str">
        <f>IF(A1529="","",BASE_CAIXA!J1526)</f>
        <v/>
      </c>
      <c r="M1529" s="26" t="str">
        <f>IF(A1529="","",BASE_CAIXA!AM1526)</f>
        <v/>
      </c>
      <c r="N1529" s="26" t="str">
        <f t="shared" ca="1" si="69"/>
        <v/>
      </c>
      <c r="O1529" s="26" t="str">
        <f>IFERROR(INDEX(EXTRATO_IMPORTADO!$A$5:$A$404,MATCH(B1529,EXTRATO_IMPORTADO!$I$5:$I$404,0)),"")</f>
        <v/>
      </c>
      <c r="P1529" s="26" t="str">
        <f>IFERROR(INDEX(EXTRATO_IMPORTADO!$F$5:$F$404,MATCH(B1529,EXTRATO_IMPORTADO!$I$5:$I$404,0)),"")</f>
        <v/>
      </c>
      <c r="Q1529" s="26" t="str">
        <f>IFERROR(INDEX(EXTRATO_IMPORTADO!$B$5:$B$404,MATCH(B1529,EXTRATO_IMPORTADO!$I$5:$I$404,0)),"")</f>
        <v/>
      </c>
      <c r="R1529" s="26" t="str">
        <f>IFERROR(MATCH(B1529,EXTRATO_IMPORTADO!$I$5:$I$404,0),"")</f>
        <v/>
      </c>
      <c r="S1529" s="26" t="str">
        <f t="shared" si="70"/>
        <v/>
      </c>
      <c r="T1529" s="26" t="str">
        <f t="shared" si="71"/>
        <v/>
      </c>
    </row>
    <row r="1530" spans="1:20" x14ac:dyDescent="0.3">
      <c r="A1530" s="26" t="str">
        <f>IF(BASE_CAIXA!A1527="","",BASE_CAIXA!A1527)</f>
        <v/>
      </c>
      <c r="B1530" s="26" t="str">
        <f>IF(A1530="","",BASE_CAIXA!AL1527)</f>
        <v/>
      </c>
      <c r="C1530" s="26" t="str">
        <f>IF(A1530="","",BASE_CAIXA!AJ1527)</f>
        <v/>
      </c>
      <c r="D1530" s="26" t="str">
        <f>IF(A1530="","",IF(BASE_CAIXA!C1527="Entrada","Crédito","Débito"))</f>
        <v/>
      </c>
      <c r="E1530" s="26" t="str">
        <f>IF(A1530="","",BASE_CAIXA!AA1527)</f>
        <v/>
      </c>
      <c r="F1530" s="26" t="str">
        <f>IF(A1530="","",BASE_CAIXA!N1527)</f>
        <v/>
      </c>
      <c r="G1530" s="26" t="str">
        <f>IF(A1530="","",BASE_CAIXA!O1527)</f>
        <v/>
      </c>
      <c r="H1530" s="26" t="str">
        <f>IF(A1530="","",BASE_CAIXA!P1527)</f>
        <v/>
      </c>
      <c r="I1530" s="26" t="str">
        <f>IF(A1530="","",IF(BASE_CAIXA!H1527&lt;&gt;"",BASE_CAIXA!H1527,BASE_CAIXA!G1527))</f>
        <v/>
      </c>
      <c r="J1530" s="26" t="str">
        <f>IF(A1530="","",BASE_CAIXA!G1527)</f>
        <v/>
      </c>
      <c r="K1530" s="26" t="str">
        <f>IF(A1530="","",BASE_CAIXA!I1527)</f>
        <v/>
      </c>
      <c r="L1530" s="26" t="str">
        <f>IF(A1530="","",BASE_CAIXA!J1527)</f>
        <v/>
      </c>
      <c r="M1530" s="26" t="str">
        <f>IF(A1530="","",BASE_CAIXA!AM1527)</f>
        <v/>
      </c>
      <c r="N1530" s="26" t="str">
        <f t="shared" ca="1" si="69"/>
        <v/>
      </c>
      <c r="O1530" s="26" t="str">
        <f>IFERROR(INDEX(EXTRATO_IMPORTADO!$A$5:$A$404,MATCH(B1530,EXTRATO_IMPORTADO!$I$5:$I$404,0)),"")</f>
        <v/>
      </c>
      <c r="P1530" s="26" t="str">
        <f>IFERROR(INDEX(EXTRATO_IMPORTADO!$F$5:$F$404,MATCH(B1530,EXTRATO_IMPORTADO!$I$5:$I$404,0)),"")</f>
        <v/>
      </c>
      <c r="Q1530" s="26" t="str">
        <f>IFERROR(INDEX(EXTRATO_IMPORTADO!$B$5:$B$404,MATCH(B1530,EXTRATO_IMPORTADO!$I$5:$I$404,0)),"")</f>
        <v/>
      </c>
      <c r="R1530" s="26" t="str">
        <f>IFERROR(MATCH(B1530,EXTRATO_IMPORTADO!$I$5:$I$404,0),"")</f>
        <v/>
      </c>
      <c r="S1530" s="26" t="str">
        <f t="shared" si="70"/>
        <v/>
      </c>
      <c r="T1530" s="26" t="str">
        <f t="shared" si="71"/>
        <v/>
      </c>
    </row>
    <row r="1531" spans="1:20" x14ac:dyDescent="0.3">
      <c r="A1531" s="26" t="str">
        <f>IF(BASE_CAIXA!A1528="","",BASE_CAIXA!A1528)</f>
        <v/>
      </c>
      <c r="B1531" s="26" t="str">
        <f>IF(A1531="","",BASE_CAIXA!AL1528)</f>
        <v/>
      </c>
      <c r="C1531" s="26" t="str">
        <f>IF(A1531="","",BASE_CAIXA!AJ1528)</f>
        <v/>
      </c>
      <c r="D1531" s="26" t="str">
        <f>IF(A1531="","",IF(BASE_CAIXA!C1528="Entrada","Crédito","Débito"))</f>
        <v/>
      </c>
      <c r="E1531" s="26" t="str">
        <f>IF(A1531="","",BASE_CAIXA!AA1528)</f>
        <v/>
      </c>
      <c r="F1531" s="26" t="str">
        <f>IF(A1531="","",BASE_CAIXA!N1528)</f>
        <v/>
      </c>
      <c r="G1531" s="26" t="str">
        <f>IF(A1531="","",BASE_CAIXA!O1528)</f>
        <v/>
      </c>
      <c r="H1531" s="26" t="str">
        <f>IF(A1531="","",BASE_CAIXA!P1528)</f>
        <v/>
      </c>
      <c r="I1531" s="26" t="str">
        <f>IF(A1531="","",IF(BASE_CAIXA!H1528&lt;&gt;"",BASE_CAIXA!H1528,BASE_CAIXA!G1528))</f>
        <v/>
      </c>
      <c r="J1531" s="26" t="str">
        <f>IF(A1531="","",BASE_CAIXA!G1528)</f>
        <v/>
      </c>
      <c r="K1531" s="26" t="str">
        <f>IF(A1531="","",BASE_CAIXA!I1528)</f>
        <v/>
      </c>
      <c r="L1531" s="26" t="str">
        <f>IF(A1531="","",BASE_CAIXA!J1528)</f>
        <v/>
      </c>
      <c r="M1531" s="26" t="str">
        <f>IF(A1531="","",BASE_CAIXA!AM1528)</f>
        <v/>
      </c>
      <c r="N1531" s="26" t="str">
        <f t="shared" ca="1" si="69"/>
        <v/>
      </c>
      <c r="O1531" s="26" t="str">
        <f>IFERROR(INDEX(EXTRATO_IMPORTADO!$A$5:$A$404,MATCH(B1531,EXTRATO_IMPORTADO!$I$5:$I$404,0)),"")</f>
        <v/>
      </c>
      <c r="P1531" s="26" t="str">
        <f>IFERROR(INDEX(EXTRATO_IMPORTADO!$F$5:$F$404,MATCH(B1531,EXTRATO_IMPORTADO!$I$5:$I$404,0)),"")</f>
        <v/>
      </c>
      <c r="Q1531" s="26" t="str">
        <f>IFERROR(INDEX(EXTRATO_IMPORTADO!$B$5:$B$404,MATCH(B1531,EXTRATO_IMPORTADO!$I$5:$I$404,0)),"")</f>
        <v/>
      </c>
      <c r="R1531" s="26" t="str">
        <f>IFERROR(MATCH(B1531,EXTRATO_IMPORTADO!$I$5:$I$404,0),"")</f>
        <v/>
      </c>
      <c r="S1531" s="26" t="str">
        <f t="shared" si="70"/>
        <v/>
      </c>
      <c r="T1531" s="26" t="str">
        <f t="shared" si="71"/>
        <v/>
      </c>
    </row>
    <row r="1532" spans="1:20" x14ac:dyDescent="0.3">
      <c r="A1532" s="26" t="str">
        <f>IF(BASE_CAIXA!A1529="","",BASE_CAIXA!A1529)</f>
        <v/>
      </c>
      <c r="B1532" s="26" t="str">
        <f>IF(A1532="","",BASE_CAIXA!AL1529)</f>
        <v/>
      </c>
      <c r="C1532" s="26" t="str">
        <f>IF(A1532="","",BASE_CAIXA!AJ1529)</f>
        <v/>
      </c>
      <c r="D1532" s="26" t="str">
        <f>IF(A1532="","",IF(BASE_CAIXA!C1529="Entrada","Crédito","Débito"))</f>
        <v/>
      </c>
      <c r="E1532" s="26" t="str">
        <f>IF(A1532="","",BASE_CAIXA!AA1529)</f>
        <v/>
      </c>
      <c r="F1532" s="26" t="str">
        <f>IF(A1532="","",BASE_CAIXA!N1529)</f>
        <v/>
      </c>
      <c r="G1532" s="26" t="str">
        <f>IF(A1532="","",BASE_CAIXA!O1529)</f>
        <v/>
      </c>
      <c r="H1532" s="26" t="str">
        <f>IF(A1532="","",BASE_CAIXA!P1529)</f>
        <v/>
      </c>
      <c r="I1532" s="26" t="str">
        <f>IF(A1532="","",IF(BASE_CAIXA!H1529&lt;&gt;"",BASE_CAIXA!H1529,BASE_CAIXA!G1529))</f>
        <v/>
      </c>
      <c r="J1532" s="26" t="str">
        <f>IF(A1532="","",BASE_CAIXA!G1529)</f>
        <v/>
      </c>
      <c r="K1532" s="26" t="str">
        <f>IF(A1532="","",BASE_CAIXA!I1529)</f>
        <v/>
      </c>
      <c r="L1532" s="26" t="str">
        <f>IF(A1532="","",BASE_CAIXA!J1529)</f>
        <v/>
      </c>
      <c r="M1532" s="26" t="str">
        <f>IF(A1532="","",BASE_CAIXA!AM1529)</f>
        <v/>
      </c>
      <c r="N1532" s="26" t="str">
        <f t="shared" ca="1" si="69"/>
        <v/>
      </c>
      <c r="O1532" s="26" t="str">
        <f>IFERROR(INDEX(EXTRATO_IMPORTADO!$A$5:$A$404,MATCH(B1532,EXTRATO_IMPORTADO!$I$5:$I$404,0)),"")</f>
        <v/>
      </c>
      <c r="P1532" s="26" t="str">
        <f>IFERROR(INDEX(EXTRATO_IMPORTADO!$F$5:$F$404,MATCH(B1532,EXTRATO_IMPORTADO!$I$5:$I$404,0)),"")</f>
        <v/>
      </c>
      <c r="Q1532" s="26" t="str">
        <f>IFERROR(INDEX(EXTRATO_IMPORTADO!$B$5:$B$404,MATCH(B1532,EXTRATO_IMPORTADO!$I$5:$I$404,0)),"")</f>
        <v/>
      </c>
      <c r="R1532" s="26" t="str">
        <f>IFERROR(MATCH(B1532,EXTRATO_IMPORTADO!$I$5:$I$404,0),"")</f>
        <v/>
      </c>
      <c r="S1532" s="26" t="str">
        <f t="shared" si="70"/>
        <v/>
      </c>
      <c r="T1532" s="26" t="str">
        <f t="shared" si="71"/>
        <v/>
      </c>
    </row>
    <row r="1533" spans="1:20" x14ac:dyDescent="0.3">
      <c r="A1533" s="26" t="str">
        <f>IF(BASE_CAIXA!A1530="","",BASE_CAIXA!A1530)</f>
        <v/>
      </c>
      <c r="B1533" s="26" t="str">
        <f>IF(A1533="","",BASE_CAIXA!AL1530)</f>
        <v/>
      </c>
      <c r="C1533" s="26" t="str">
        <f>IF(A1533="","",BASE_CAIXA!AJ1530)</f>
        <v/>
      </c>
      <c r="D1533" s="26" t="str">
        <f>IF(A1533="","",IF(BASE_CAIXA!C1530="Entrada","Crédito","Débito"))</f>
        <v/>
      </c>
      <c r="E1533" s="26" t="str">
        <f>IF(A1533="","",BASE_CAIXA!AA1530)</f>
        <v/>
      </c>
      <c r="F1533" s="26" t="str">
        <f>IF(A1533="","",BASE_CAIXA!N1530)</f>
        <v/>
      </c>
      <c r="G1533" s="26" t="str">
        <f>IF(A1533="","",BASE_CAIXA!O1530)</f>
        <v/>
      </c>
      <c r="H1533" s="26" t="str">
        <f>IF(A1533="","",BASE_CAIXA!P1530)</f>
        <v/>
      </c>
      <c r="I1533" s="26" t="str">
        <f>IF(A1533="","",IF(BASE_CAIXA!H1530&lt;&gt;"",BASE_CAIXA!H1530,BASE_CAIXA!G1530))</f>
        <v/>
      </c>
      <c r="J1533" s="26" t="str">
        <f>IF(A1533="","",BASE_CAIXA!G1530)</f>
        <v/>
      </c>
      <c r="K1533" s="26" t="str">
        <f>IF(A1533="","",BASE_CAIXA!I1530)</f>
        <v/>
      </c>
      <c r="L1533" s="26" t="str">
        <f>IF(A1533="","",BASE_CAIXA!J1530)</f>
        <v/>
      </c>
      <c r="M1533" s="26" t="str">
        <f>IF(A1533="","",BASE_CAIXA!AM1530)</f>
        <v/>
      </c>
      <c r="N1533" s="26" t="str">
        <f t="shared" ca="1" si="69"/>
        <v/>
      </c>
      <c r="O1533" s="26" t="str">
        <f>IFERROR(INDEX(EXTRATO_IMPORTADO!$A$5:$A$404,MATCH(B1533,EXTRATO_IMPORTADO!$I$5:$I$404,0)),"")</f>
        <v/>
      </c>
      <c r="P1533" s="26" t="str">
        <f>IFERROR(INDEX(EXTRATO_IMPORTADO!$F$5:$F$404,MATCH(B1533,EXTRATO_IMPORTADO!$I$5:$I$404,0)),"")</f>
        <v/>
      </c>
      <c r="Q1533" s="26" t="str">
        <f>IFERROR(INDEX(EXTRATO_IMPORTADO!$B$5:$B$404,MATCH(B1533,EXTRATO_IMPORTADO!$I$5:$I$404,0)),"")</f>
        <v/>
      </c>
      <c r="R1533" s="26" t="str">
        <f>IFERROR(MATCH(B1533,EXTRATO_IMPORTADO!$I$5:$I$404,0),"")</f>
        <v/>
      </c>
      <c r="S1533" s="26" t="str">
        <f t="shared" si="70"/>
        <v/>
      </c>
      <c r="T1533" s="26" t="str">
        <f t="shared" si="71"/>
        <v/>
      </c>
    </row>
    <row r="1534" spans="1:20" x14ac:dyDescent="0.3">
      <c r="A1534" s="26" t="str">
        <f>IF(BASE_CAIXA!A1531="","",BASE_CAIXA!A1531)</f>
        <v/>
      </c>
      <c r="B1534" s="26" t="str">
        <f>IF(A1534="","",BASE_CAIXA!AL1531)</f>
        <v/>
      </c>
      <c r="C1534" s="26" t="str">
        <f>IF(A1534="","",BASE_CAIXA!AJ1531)</f>
        <v/>
      </c>
      <c r="D1534" s="26" t="str">
        <f>IF(A1534="","",IF(BASE_CAIXA!C1531="Entrada","Crédito","Débito"))</f>
        <v/>
      </c>
      <c r="E1534" s="26" t="str">
        <f>IF(A1534="","",BASE_CAIXA!AA1531)</f>
        <v/>
      </c>
      <c r="F1534" s="26" t="str">
        <f>IF(A1534="","",BASE_CAIXA!N1531)</f>
        <v/>
      </c>
      <c r="G1534" s="26" t="str">
        <f>IF(A1534="","",BASE_CAIXA!O1531)</f>
        <v/>
      </c>
      <c r="H1534" s="26" t="str">
        <f>IF(A1534="","",BASE_CAIXA!P1531)</f>
        <v/>
      </c>
      <c r="I1534" s="26" t="str">
        <f>IF(A1534="","",IF(BASE_CAIXA!H1531&lt;&gt;"",BASE_CAIXA!H1531,BASE_CAIXA!G1531))</f>
        <v/>
      </c>
      <c r="J1534" s="26" t="str">
        <f>IF(A1534="","",BASE_CAIXA!G1531)</f>
        <v/>
      </c>
      <c r="K1534" s="26" t="str">
        <f>IF(A1534="","",BASE_CAIXA!I1531)</f>
        <v/>
      </c>
      <c r="L1534" s="26" t="str">
        <f>IF(A1534="","",BASE_CAIXA!J1531)</f>
        <v/>
      </c>
      <c r="M1534" s="26" t="str">
        <f>IF(A1534="","",BASE_CAIXA!AM1531)</f>
        <v/>
      </c>
      <c r="N1534" s="26" t="str">
        <f t="shared" ca="1" si="69"/>
        <v/>
      </c>
      <c r="O1534" s="26" t="str">
        <f>IFERROR(INDEX(EXTRATO_IMPORTADO!$A$5:$A$404,MATCH(B1534,EXTRATO_IMPORTADO!$I$5:$I$404,0)),"")</f>
        <v/>
      </c>
      <c r="P1534" s="26" t="str">
        <f>IFERROR(INDEX(EXTRATO_IMPORTADO!$F$5:$F$404,MATCH(B1534,EXTRATO_IMPORTADO!$I$5:$I$404,0)),"")</f>
        <v/>
      </c>
      <c r="Q1534" s="26" t="str">
        <f>IFERROR(INDEX(EXTRATO_IMPORTADO!$B$5:$B$404,MATCH(B1534,EXTRATO_IMPORTADO!$I$5:$I$404,0)),"")</f>
        <v/>
      </c>
      <c r="R1534" s="26" t="str">
        <f>IFERROR(MATCH(B1534,EXTRATO_IMPORTADO!$I$5:$I$404,0),"")</f>
        <v/>
      </c>
      <c r="S1534" s="26" t="str">
        <f t="shared" si="70"/>
        <v/>
      </c>
      <c r="T1534" s="26" t="str">
        <f t="shared" si="71"/>
        <v/>
      </c>
    </row>
    <row r="1535" spans="1:20" x14ac:dyDescent="0.3">
      <c r="A1535" s="26" t="str">
        <f>IF(BASE_CAIXA!A1532="","",BASE_CAIXA!A1532)</f>
        <v/>
      </c>
      <c r="B1535" s="26" t="str">
        <f>IF(A1535="","",BASE_CAIXA!AL1532)</f>
        <v/>
      </c>
      <c r="C1535" s="26" t="str">
        <f>IF(A1535="","",BASE_CAIXA!AJ1532)</f>
        <v/>
      </c>
      <c r="D1535" s="26" t="str">
        <f>IF(A1535="","",IF(BASE_CAIXA!C1532="Entrada","Crédito","Débito"))</f>
        <v/>
      </c>
      <c r="E1535" s="26" t="str">
        <f>IF(A1535="","",BASE_CAIXA!AA1532)</f>
        <v/>
      </c>
      <c r="F1535" s="26" t="str">
        <f>IF(A1535="","",BASE_CAIXA!N1532)</f>
        <v/>
      </c>
      <c r="G1535" s="26" t="str">
        <f>IF(A1535="","",BASE_CAIXA!O1532)</f>
        <v/>
      </c>
      <c r="H1535" s="26" t="str">
        <f>IF(A1535="","",BASE_CAIXA!P1532)</f>
        <v/>
      </c>
      <c r="I1535" s="26" t="str">
        <f>IF(A1535="","",IF(BASE_CAIXA!H1532&lt;&gt;"",BASE_CAIXA!H1532,BASE_CAIXA!G1532))</f>
        <v/>
      </c>
      <c r="J1535" s="26" t="str">
        <f>IF(A1535="","",BASE_CAIXA!G1532)</f>
        <v/>
      </c>
      <c r="K1535" s="26" t="str">
        <f>IF(A1535="","",BASE_CAIXA!I1532)</f>
        <v/>
      </c>
      <c r="L1535" s="26" t="str">
        <f>IF(A1535="","",BASE_CAIXA!J1532)</f>
        <v/>
      </c>
      <c r="M1535" s="26" t="str">
        <f>IF(A1535="","",BASE_CAIXA!AM1532)</f>
        <v/>
      </c>
      <c r="N1535" s="26" t="str">
        <f t="shared" ca="1" si="69"/>
        <v/>
      </c>
      <c r="O1535" s="26" t="str">
        <f>IFERROR(INDEX(EXTRATO_IMPORTADO!$A$5:$A$404,MATCH(B1535,EXTRATO_IMPORTADO!$I$5:$I$404,0)),"")</f>
        <v/>
      </c>
      <c r="P1535" s="26" t="str">
        <f>IFERROR(INDEX(EXTRATO_IMPORTADO!$F$5:$F$404,MATCH(B1535,EXTRATO_IMPORTADO!$I$5:$I$404,0)),"")</f>
        <v/>
      </c>
      <c r="Q1535" s="26" t="str">
        <f>IFERROR(INDEX(EXTRATO_IMPORTADO!$B$5:$B$404,MATCH(B1535,EXTRATO_IMPORTADO!$I$5:$I$404,0)),"")</f>
        <v/>
      </c>
      <c r="R1535" s="26" t="str">
        <f>IFERROR(MATCH(B1535,EXTRATO_IMPORTADO!$I$5:$I$404,0),"")</f>
        <v/>
      </c>
      <c r="S1535" s="26" t="str">
        <f t="shared" si="70"/>
        <v/>
      </c>
      <c r="T1535" s="26" t="str">
        <f t="shared" si="71"/>
        <v/>
      </c>
    </row>
    <row r="1536" spans="1:20" x14ac:dyDescent="0.3">
      <c r="A1536" s="26" t="str">
        <f>IF(BASE_CAIXA!A1533="","",BASE_CAIXA!A1533)</f>
        <v/>
      </c>
      <c r="B1536" s="26" t="str">
        <f>IF(A1536="","",BASE_CAIXA!AL1533)</f>
        <v/>
      </c>
      <c r="C1536" s="26" t="str">
        <f>IF(A1536="","",BASE_CAIXA!AJ1533)</f>
        <v/>
      </c>
      <c r="D1536" s="26" t="str">
        <f>IF(A1536="","",IF(BASE_CAIXA!C1533="Entrada","Crédito","Débito"))</f>
        <v/>
      </c>
      <c r="E1536" s="26" t="str">
        <f>IF(A1536="","",BASE_CAIXA!AA1533)</f>
        <v/>
      </c>
      <c r="F1536" s="26" t="str">
        <f>IF(A1536="","",BASE_CAIXA!N1533)</f>
        <v/>
      </c>
      <c r="G1536" s="26" t="str">
        <f>IF(A1536="","",BASE_CAIXA!O1533)</f>
        <v/>
      </c>
      <c r="H1536" s="26" t="str">
        <f>IF(A1536="","",BASE_CAIXA!P1533)</f>
        <v/>
      </c>
      <c r="I1536" s="26" t="str">
        <f>IF(A1536="","",IF(BASE_CAIXA!H1533&lt;&gt;"",BASE_CAIXA!H1533,BASE_CAIXA!G1533))</f>
        <v/>
      </c>
      <c r="J1536" s="26" t="str">
        <f>IF(A1536="","",BASE_CAIXA!G1533)</f>
        <v/>
      </c>
      <c r="K1536" s="26" t="str">
        <f>IF(A1536="","",BASE_CAIXA!I1533)</f>
        <v/>
      </c>
      <c r="L1536" s="26" t="str">
        <f>IF(A1536="","",BASE_CAIXA!J1533)</f>
        <v/>
      </c>
      <c r="M1536" s="26" t="str">
        <f>IF(A1536="","",BASE_CAIXA!AM1533)</f>
        <v/>
      </c>
      <c r="N1536" s="26" t="str">
        <f t="shared" ca="1" si="69"/>
        <v/>
      </c>
      <c r="O1536" s="26" t="str">
        <f>IFERROR(INDEX(EXTRATO_IMPORTADO!$A$5:$A$404,MATCH(B1536,EXTRATO_IMPORTADO!$I$5:$I$404,0)),"")</f>
        <v/>
      </c>
      <c r="P1536" s="26" t="str">
        <f>IFERROR(INDEX(EXTRATO_IMPORTADO!$F$5:$F$404,MATCH(B1536,EXTRATO_IMPORTADO!$I$5:$I$404,0)),"")</f>
        <v/>
      </c>
      <c r="Q1536" s="26" t="str">
        <f>IFERROR(INDEX(EXTRATO_IMPORTADO!$B$5:$B$404,MATCH(B1536,EXTRATO_IMPORTADO!$I$5:$I$404,0)),"")</f>
        <v/>
      </c>
      <c r="R1536" s="26" t="str">
        <f>IFERROR(MATCH(B1536,EXTRATO_IMPORTADO!$I$5:$I$404,0),"")</f>
        <v/>
      </c>
      <c r="S1536" s="26" t="str">
        <f t="shared" si="70"/>
        <v/>
      </c>
      <c r="T1536" s="26" t="str">
        <f t="shared" si="71"/>
        <v/>
      </c>
    </row>
    <row r="1537" spans="1:20" x14ac:dyDescent="0.3">
      <c r="A1537" s="26" t="str">
        <f>IF(BASE_CAIXA!A1534="","",BASE_CAIXA!A1534)</f>
        <v/>
      </c>
      <c r="B1537" s="26" t="str">
        <f>IF(A1537="","",BASE_CAIXA!AL1534)</f>
        <v/>
      </c>
      <c r="C1537" s="26" t="str">
        <f>IF(A1537="","",BASE_CAIXA!AJ1534)</f>
        <v/>
      </c>
      <c r="D1537" s="26" t="str">
        <f>IF(A1537="","",IF(BASE_CAIXA!C1534="Entrada","Crédito","Débito"))</f>
        <v/>
      </c>
      <c r="E1537" s="26" t="str">
        <f>IF(A1537="","",BASE_CAIXA!AA1534)</f>
        <v/>
      </c>
      <c r="F1537" s="26" t="str">
        <f>IF(A1537="","",BASE_CAIXA!N1534)</f>
        <v/>
      </c>
      <c r="G1537" s="26" t="str">
        <f>IF(A1537="","",BASE_CAIXA!O1534)</f>
        <v/>
      </c>
      <c r="H1537" s="26" t="str">
        <f>IF(A1537="","",BASE_CAIXA!P1534)</f>
        <v/>
      </c>
      <c r="I1537" s="26" t="str">
        <f>IF(A1537="","",IF(BASE_CAIXA!H1534&lt;&gt;"",BASE_CAIXA!H1534,BASE_CAIXA!G1534))</f>
        <v/>
      </c>
      <c r="J1537" s="26" t="str">
        <f>IF(A1537="","",BASE_CAIXA!G1534)</f>
        <v/>
      </c>
      <c r="K1537" s="26" t="str">
        <f>IF(A1537="","",BASE_CAIXA!I1534)</f>
        <v/>
      </c>
      <c r="L1537" s="26" t="str">
        <f>IF(A1537="","",BASE_CAIXA!J1534)</f>
        <v/>
      </c>
      <c r="M1537" s="26" t="str">
        <f>IF(A1537="","",BASE_CAIXA!AM1534)</f>
        <v/>
      </c>
      <c r="N1537" s="26" t="str">
        <f t="shared" ca="1" si="69"/>
        <v/>
      </c>
      <c r="O1537" s="26" t="str">
        <f>IFERROR(INDEX(EXTRATO_IMPORTADO!$A$5:$A$404,MATCH(B1537,EXTRATO_IMPORTADO!$I$5:$I$404,0)),"")</f>
        <v/>
      </c>
      <c r="P1537" s="26" t="str">
        <f>IFERROR(INDEX(EXTRATO_IMPORTADO!$F$5:$F$404,MATCH(B1537,EXTRATO_IMPORTADO!$I$5:$I$404,0)),"")</f>
        <v/>
      </c>
      <c r="Q1537" s="26" t="str">
        <f>IFERROR(INDEX(EXTRATO_IMPORTADO!$B$5:$B$404,MATCH(B1537,EXTRATO_IMPORTADO!$I$5:$I$404,0)),"")</f>
        <v/>
      </c>
      <c r="R1537" s="26" t="str">
        <f>IFERROR(MATCH(B1537,EXTRATO_IMPORTADO!$I$5:$I$404,0),"")</f>
        <v/>
      </c>
      <c r="S1537" s="26" t="str">
        <f t="shared" si="70"/>
        <v/>
      </c>
      <c r="T1537" s="26" t="str">
        <f t="shared" si="71"/>
        <v/>
      </c>
    </row>
    <row r="1538" spans="1:20" x14ac:dyDescent="0.3">
      <c r="A1538" s="26" t="str">
        <f>IF(BASE_CAIXA!A1535="","",BASE_CAIXA!A1535)</f>
        <v/>
      </c>
      <c r="B1538" s="26" t="str">
        <f>IF(A1538="","",BASE_CAIXA!AL1535)</f>
        <v/>
      </c>
      <c r="C1538" s="26" t="str">
        <f>IF(A1538="","",BASE_CAIXA!AJ1535)</f>
        <v/>
      </c>
      <c r="D1538" s="26" t="str">
        <f>IF(A1538="","",IF(BASE_CAIXA!C1535="Entrada","Crédito","Débito"))</f>
        <v/>
      </c>
      <c r="E1538" s="26" t="str">
        <f>IF(A1538="","",BASE_CAIXA!AA1535)</f>
        <v/>
      </c>
      <c r="F1538" s="26" t="str">
        <f>IF(A1538="","",BASE_CAIXA!N1535)</f>
        <v/>
      </c>
      <c r="G1538" s="26" t="str">
        <f>IF(A1538="","",BASE_CAIXA!O1535)</f>
        <v/>
      </c>
      <c r="H1538" s="26" t="str">
        <f>IF(A1538="","",BASE_CAIXA!P1535)</f>
        <v/>
      </c>
      <c r="I1538" s="26" t="str">
        <f>IF(A1538="","",IF(BASE_CAIXA!H1535&lt;&gt;"",BASE_CAIXA!H1535,BASE_CAIXA!G1535))</f>
        <v/>
      </c>
      <c r="J1538" s="26" t="str">
        <f>IF(A1538="","",BASE_CAIXA!G1535)</f>
        <v/>
      </c>
      <c r="K1538" s="26" t="str">
        <f>IF(A1538="","",BASE_CAIXA!I1535)</f>
        <v/>
      </c>
      <c r="L1538" s="26" t="str">
        <f>IF(A1538="","",BASE_CAIXA!J1535)</f>
        <v/>
      </c>
      <c r="M1538" s="26" t="str">
        <f>IF(A1538="","",BASE_CAIXA!AM1535)</f>
        <v/>
      </c>
      <c r="N1538" s="26" t="str">
        <f t="shared" ca="1" si="69"/>
        <v/>
      </c>
      <c r="O1538" s="26" t="str">
        <f>IFERROR(INDEX(EXTRATO_IMPORTADO!$A$5:$A$404,MATCH(B1538,EXTRATO_IMPORTADO!$I$5:$I$404,0)),"")</f>
        <v/>
      </c>
      <c r="P1538" s="26" t="str">
        <f>IFERROR(INDEX(EXTRATO_IMPORTADO!$F$5:$F$404,MATCH(B1538,EXTRATO_IMPORTADO!$I$5:$I$404,0)),"")</f>
        <v/>
      </c>
      <c r="Q1538" s="26" t="str">
        <f>IFERROR(INDEX(EXTRATO_IMPORTADO!$B$5:$B$404,MATCH(B1538,EXTRATO_IMPORTADO!$I$5:$I$404,0)),"")</f>
        <v/>
      </c>
      <c r="R1538" s="26" t="str">
        <f>IFERROR(MATCH(B1538,EXTRATO_IMPORTADO!$I$5:$I$404,0),"")</f>
        <v/>
      </c>
      <c r="S1538" s="26" t="str">
        <f t="shared" si="70"/>
        <v/>
      </c>
      <c r="T1538" s="26" t="str">
        <f t="shared" si="71"/>
        <v/>
      </c>
    </row>
    <row r="1539" spans="1:20" x14ac:dyDescent="0.3">
      <c r="A1539" s="26" t="str">
        <f>IF(BASE_CAIXA!A1536="","",BASE_CAIXA!A1536)</f>
        <v/>
      </c>
      <c r="B1539" s="26" t="str">
        <f>IF(A1539="","",BASE_CAIXA!AL1536)</f>
        <v/>
      </c>
      <c r="C1539" s="26" t="str">
        <f>IF(A1539="","",BASE_CAIXA!AJ1536)</f>
        <v/>
      </c>
      <c r="D1539" s="26" t="str">
        <f>IF(A1539="","",IF(BASE_CAIXA!C1536="Entrada","Crédito","Débito"))</f>
        <v/>
      </c>
      <c r="E1539" s="26" t="str">
        <f>IF(A1539="","",BASE_CAIXA!AA1536)</f>
        <v/>
      </c>
      <c r="F1539" s="26" t="str">
        <f>IF(A1539="","",BASE_CAIXA!N1536)</f>
        <v/>
      </c>
      <c r="G1539" s="26" t="str">
        <f>IF(A1539="","",BASE_CAIXA!O1536)</f>
        <v/>
      </c>
      <c r="H1539" s="26" t="str">
        <f>IF(A1539="","",BASE_CAIXA!P1536)</f>
        <v/>
      </c>
      <c r="I1539" s="26" t="str">
        <f>IF(A1539="","",IF(BASE_CAIXA!H1536&lt;&gt;"",BASE_CAIXA!H1536,BASE_CAIXA!G1536))</f>
        <v/>
      </c>
      <c r="J1539" s="26" t="str">
        <f>IF(A1539="","",BASE_CAIXA!G1536)</f>
        <v/>
      </c>
      <c r="K1539" s="26" t="str">
        <f>IF(A1539="","",BASE_CAIXA!I1536)</f>
        <v/>
      </c>
      <c r="L1539" s="26" t="str">
        <f>IF(A1539="","",BASE_CAIXA!J1536)</f>
        <v/>
      </c>
      <c r="M1539" s="26" t="str">
        <f>IF(A1539="","",BASE_CAIXA!AM1536)</f>
        <v/>
      </c>
      <c r="N1539" s="26" t="str">
        <f t="shared" ca="1" si="69"/>
        <v/>
      </c>
      <c r="O1539" s="26" t="str">
        <f>IFERROR(INDEX(EXTRATO_IMPORTADO!$A$5:$A$404,MATCH(B1539,EXTRATO_IMPORTADO!$I$5:$I$404,0)),"")</f>
        <v/>
      </c>
      <c r="P1539" s="26" t="str">
        <f>IFERROR(INDEX(EXTRATO_IMPORTADO!$F$5:$F$404,MATCH(B1539,EXTRATO_IMPORTADO!$I$5:$I$404,0)),"")</f>
        <v/>
      </c>
      <c r="Q1539" s="26" t="str">
        <f>IFERROR(INDEX(EXTRATO_IMPORTADO!$B$5:$B$404,MATCH(B1539,EXTRATO_IMPORTADO!$I$5:$I$404,0)),"")</f>
        <v/>
      </c>
      <c r="R1539" s="26" t="str">
        <f>IFERROR(MATCH(B1539,EXTRATO_IMPORTADO!$I$5:$I$404,0),"")</f>
        <v/>
      </c>
      <c r="S1539" s="26" t="str">
        <f t="shared" si="70"/>
        <v/>
      </c>
      <c r="T1539" s="26" t="str">
        <f t="shared" si="71"/>
        <v/>
      </c>
    </row>
    <row r="1540" spans="1:20" x14ac:dyDescent="0.3">
      <c r="A1540" s="26" t="str">
        <f>IF(BASE_CAIXA!A1537="","",BASE_CAIXA!A1537)</f>
        <v/>
      </c>
      <c r="B1540" s="26" t="str">
        <f>IF(A1540="","",BASE_CAIXA!AL1537)</f>
        <v/>
      </c>
      <c r="C1540" s="26" t="str">
        <f>IF(A1540="","",BASE_CAIXA!AJ1537)</f>
        <v/>
      </c>
      <c r="D1540" s="26" t="str">
        <f>IF(A1540="","",IF(BASE_CAIXA!C1537="Entrada","Crédito","Débito"))</f>
        <v/>
      </c>
      <c r="E1540" s="26" t="str">
        <f>IF(A1540="","",BASE_CAIXA!AA1537)</f>
        <v/>
      </c>
      <c r="F1540" s="26" t="str">
        <f>IF(A1540="","",BASE_CAIXA!N1537)</f>
        <v/>
      </c>
      <c r="G1540" s="26" t="str">
        <f>IF(A1540="","",BASE_CAIXA!O1537)</f>
        <v/>
      </c>
      <c r="H1540" s="26" t="str">
        <f>IF(A1540="","",BASE_CAIXA!P1537)</f>
        <v/>
      </c>
      <c r="I1540" s="26" t="str">
        <f>IF(A1540="","",IF(BASE_CAIXA!H1537&lt;&gt;"",BASE_CAIXA!H1537,BASE_CAIXA!G1537))</f>
        <v/>
      </c>
      <c r="J1540" s="26" t="str">
        <f>IF(A1540="","",BASE_CAIXA!G1537)</f>
        <v/>
      </c>
      <c r="K1540" s="26" t="str">
        <f>IF(A1540="","",BASE_CAIXA!I1537)</f>
        <v/>
      </c>
      <c r="L1540" s="26" t="str">
        <f>IF(A1540="","",BASE_CAIXA!J1537)</f>
        <v/>
      </c>
      <c r="M1540" s="26" t="str">
        <f>IF(A1540="","",BASE_CAIXA!AM1537)</f>
        <v/>
      </c>
      <c r="N1540" s="26" t="str">
        <f t="shared" ca="1" si="69"/>
        <v/>
      </c>
      <c r="O1540" s="26" t="str">
        <f>IFERROR(INDEX(EXTRATO_IMPORTADO!$A$5:$A$404,MATCH(B1540,EXTRATO_IMPORTADO!$I$5:$I$404,0)),"")</f>
        <v/>
      </c>
      <c r="P1540" s="26" t="str">
        <f>IFERROR(INDEX(EXTRATO_IMPORTADO!$F$5:$F$404,MATCH(B1540,EXTRATO_IMPORTADO!$I$5:$I$404,0)),"")</f>
        <v/>
      </c>
      <c r="Q1540" s="26" t="str">
        <f>IFERROR(INDEX(EXTRATO_IMPORTADO!$B$5:$B$404,MATCH(B1540,EXTRATO_IMPORTADO!$I$5:$I$404,0)),"")</f>
        <v/>
      </c>
      <c r="R1540" s="26" t="str">
        <f>IFERROR(MATCH(B1540,EXTRATO_IMPORTADO!$I$5:$I$404,0),"")</f>
        <v/>
      </c>
      <c r="S1540" s="26" t="str">
        <f t="shared" si="70"/>
        <v/>
      </c>
      <c r="T1540" s="26" t="str">
        <f t="shared" si="71"/>
        <v/>
      </c>
    </row>
    <row r="1541" spans="1:20" x14ac:dyDescent="0.3">
      <c r="A1541" s="26" t="str">
        <f>IF(BASE_CAIXA!A1538="","",BASE_CAIXA!A1538)</f>
        <v/>
      </c>
      <c r="B1541" s="26" t="str">
        <f>IF(A1541="","",BASE_CAIXA!AL1538)</f>
        <v/>
      </c>
      <c r="C1541" s="26" t="str">
        <f>IF(A1541="","",BASE_CAIXA!AJ1538)</f>
        <v/>
      </c>
      <c r="D1541" s="26" t="str">
        <f>IF(A1541="","",IF(BASE_CAIXA!C1538="Entrada","Crédito","Débito"))</f>
        <v/>
      </c>
      <c r="E1541" s="26" t="str">
        <f>IF(A1541="","",BASE_CAIXA!AA1538)</f>
        <v/>
      </c>
      <c r="F1541" s="26" t="str">
        <f>IF(A1541="","",BASE_CAIXA!N1538)</f>
        <v/>
      </c>
      <c r="G1541" s="26" t="str">
        <f>IF(A1541="","",BASE_CAIXA!O1538)</f>
        <v/>
      </c>
      <c r="H1541" s="26" t="str">
        <f>IF(A1541="","",BASE_CAIXA!P1538)</f>
        <v/>
      </c>
      <c r="I1541" s="26" t="str">
        <f>IF(A1541="","",IF(BASE_CAIXA!H1538&lt;&gt;"",BASE_CAIXA!H1538,BASE_CAIXA!G1538))</f>
        <v/>
      </c>
      <c r="J1541" s="26" t="str">
        <f>IF(A1541="","",BASE_CAIXA!G1538)</f>
        <v/>
      </c>
      <c r="K1541" s="26" t="str">
        <f>IF(A1541="","",BASE_CAIXA!I1538)</f>
        <v/>
      </c>
      <c r="L1541" s="26" t="str">
        <f>IF(A1541="","",BASE_CAIXA!J1538)</f>
        <v/>
      </c>
      <c r="M1541" s="26" t="str">
        <f>IF(A1541="","",BASE_CAIXA!AM1538)</f>
        <v/>
      </c>
      <c r="N1541" s="26" t="str">
        <f t="shared" ref="N1541:N1604" ca="1" si="72">IF(A1541="","",IF(R1541&lt;&gt;"",IF(AND(ABS(S1541)&lt;=0.01,ABS(T1541)&lt;=3),"Conciliado","Divergente"),IF(TODAY()&gt;C1541,"Pendente vencido","Previsto")))</f>
        <v/>
      </c>
      <c r="O1541" s="26" t="str">
        <f>IFERROR(INDEX(EXTRATO_IMPORTADO!$A$5:$A$404,MATCH(B1541,EXTRATO_IMPORTADO!$I$5:$I$404,0)),"")</f>
        <v/>
      </c>
      <c r="P1541" s="26" t="str">
        <f>IFERROR(INDEX(EXTRATO_IMPORTADO!$F$5:$F$404,MATCH(B1541,EXTRATO_IMPORTADO!$I$5:$I$404,0)),"")</f>
        <v/>
      </c>
      <c r="Q1541" s="26" t="str">
        <f>IFERROR(INDEX(EXTRATO_IMPORTADO!$B$5:$B$404,MATCH(B1541,EXTRATO_IMPORTADO!$I$5:$I$404,0)),"")</f>
        <v/>
      </c>
      <c r="R1541" s="26" t="str">
        <f>IFERROR(MATCH(B1541,EXTRATO_IMPORTADO!$I$5:$I$404,0),"")</f>
        <v/>
      </c>
      <c r="S1541" s="26" t="str">
        <f t="shared" ref="S1541:S1604" si="73">IF(OR(A1541="",P1541=""),"",P1541-E1541)</f>
        <v/>
      </c>
      <c r="T1541" s="26" t="str">
        <f t="shared" ref="T1541:T1604" si="74">IF(OR(A1541="",O1541=""),"",O1541-C1541)</f>
        <v/>
      </c>
    </row>
    <row r="1542" spans="1:20" x14ac:dyDescent="0.3">
      <c r="A1542" s="26" t="str">
        <f>IF(BASE_CAIXA!A1539="","",BASE_CAIXA!A1539)</f>
        <v/>
      </c>
      <c r="B1542" s="26" t="str">
        <f>IF(A1542="","",BASE_CAIXA!AL1539)</f>
        <v/>
      </c>
      <c r="C1542" s="26" t="str">
        <f>IF(A1542="","",BASE_CAIXA!AJ1539)</f>
        <v/>
      </c>
      <c r="D1542" s="26" t="str">
        <f>IF(A1542="","",IF(BASE_CAIXA!C1539="Entrada","Crédito","Débito"))</f>
        <v/>
      </c>
      <c r="E1542" s="26" t="str">
        <f>IF(A1542="","",BASE_CAIXA!AA1539)</f>
        <v/>
      </c>
      <c r="F1542" s="26" t="str">
        <f>IF(A1542="","",BASE_CAIXA!N1539)</f>
        <v/>
      </c>
      <c r="G1542" s="26" t="str">
        <f>IF(A1542="","",BASE_CAIXA!O1539)</f>
        <v/>
      </c>
      <c r="H1542" s="26" t="str">
        <f>IF(A1542="","",BASE_CAIXA!P1539)</f>
        <v/>
      </c>
      <c r="I1542" s="26" t="str">
        <f>IF(A1542="","",IF(BASE_CAIXA!H1539&lt;&gt;"",BASE_CAIXA!H1539,BASE_CAIXA!G1539))</f>
        <v/>
      </c>
      <c r="J1542" s="26" t="str">
        <f>IF(A1542="","",BASE_CAIXA!G1539)</f>
        <v/>
      </c>
      <c r="K1542" s="26" t="str">
        <f>IF(A1542="","",BASE_CAIXA!I1539)</f>
        <v/>
      </c>
      <c r="L1542" s="26" t="str">
        <f>IF(A1542="","",BASE_CAIXA!J1539)</f>
        <v/>
      </c>
      <c r="M1542" s="26" t="str">
        <f>IF(A1542="","",BASE_CAIXA!AM1539)</f>
        <v/>
      </c>
      <c r="N1542" s="26" t="str">
        <f t="shared" ca="1" si="72"/>
        <v/>
      </c>
      <c r="O1542" s="26" t="str">
        <f>IFERROR(INDEX(EXTRATO_IMPORTADO!$A$5:$A$404,MATCH(B1542,EXTRATO_IMPORTADO!$I$5:$I$404,0)),"")</f>
        <v/>
      </c>
      <c r="P1542" s="26" t="str">
        <f>IFERROR(INDEX(EXTRATO_IMPORTADO!$F$5:$F$404,MATCH(B1542,EXTRATO_IMPORTADO!$I$5:$I$404,0)),"")</f>
        <v/>
      </c>
      <c r="Q1542" s="26" t="str">
        <f>IFERROR(INDEX(EXTRATO_IMPORTADO!$B$5:$B$404,MATCH(B1542,EXTRATO_IMPORTADO!$I$5:$I$404,0)),"")</f>
        <v/>
      </c>
      <c r="R1542" s="26" t="str">
        <f>IFERROR(MATCH(B1542,EXTRATO_IMPORTADO!$I$5:$I$404,0),"")</f>
        <v/>
      </c>
      <c r="S1542" s="26" t="str">
        <f t="shared" si="73"/>
        <v/>
      </c>
      <c r="T1542" s="26" t="str">
        <f t="shared" si="74"/>
        <v/>
      </c>
    </row>
    <row r="1543" spans="1:20" x14ac:dyDescent="0.3">
      <c r="A1543" s="26" t="str">
        <f>IF(BASE_CAIXA!A1540="","",BASE_CAIXA!A1540)</f>
        <v/>
      </c>
      <c r="B1543" s="26" t="str">
        <f>IF(A1543="","",BASE_CAIXA!AL1540)</f>
        <v/>
      </c>
      <c r="C1543" s="26" t="str">
        <f>IF(A1543="","",BASE_CAIXA!AJ1540)</f>
        <v/>
      </c>
      <c r="D1543" s="26" t="str">
        <f>IF(A1543="","",IF(BASE_CAIXA!C1540="Entrada","Crédito","Débito"))</f>
        <v/>
      </c>
      <c r="E1543" s="26" t="str">
        <f>IF(A1543="","",BASE_CAIXA!AA1540)</f>
        <v/>
      </c>
      <c r="F1543" s="26" t="str">
        <f>IF(A1543="","",BASE_CAIXA!N1540)</f>
        <v/>
      </c>
      <c r="G1543" s="26" t="str">
        <f>IF(A1543="","",BASE_CAIXA!O1540)</f>
        <v/>
      </c>
      <c r="H1543" s="26" t="str">
        <f>IF(A1543="","",BASE_CAIXA!P1540)</f>
        <v/>
      </c>
      <c r="I1543" s="26" t="str">
        <f>IF(A1543="","",IF(BASE_CAIXA!H1540&lt;&gt;"",BASE_CAIXA!H1540,BASE_CAIXA!G1540))</f>
        <v/>
      </c>
      <c r="J1543" s="26" t="str">
        <f>IF(A1543="","",BASE_CAIXA!G1540)</f>
        <v/>
      </c>
      <c r="K1543" s="26" t="str">
        <f>IF(A1543="","",BASE_CAIXA!I1540)</f>
        <v/>
      </c>
      <c r="L1543" s="26" t="str">
        <f>IF(A1543="","",BASE_CAIXA!J1540)</f>
        <v/>
      </c>
      <c r="M1543" s="26" t="str">
        <f>IF(A1543="","",BASE_CAIXA!AM1540)</f>
        <v/>
      </c>
      <c r="N1543" s="26" t="str">
        <f t="shared" ca="1" si="72"/>
        <v/>
      </c>
      <c r="O1543" s="26" t="str">
        <f>IFERROR(INDEX(EXTRATO_IMPORTADO!$A$5:$A$404,MATCH(B1543,EXTRATO_IMPORTADO!$I$5:$I$404,0)),"")</f>
        <v/>
      </c>
      <c r="P1543" s="26" t="str">
        <f>IFERROR(INDEX(EXTRATO_IMPORTADO!$F$5:$F$404,MATCH(B1543,EXTRATO_IMPORTADO!$I$5:$I$404,0)),"")</f>
        <v/>
      </c>
      <c r="Q1543" s="26" t="str">
        <f>IFERROR(INDEX(EXTRATO_IMPORTADO!$B$5:$B$404,MATCH(B1543,EXTRATO_IMPORTADO!$I$5:$I$404,0)),"")</f>
        <v/>
      </c>
      <c r="R1543" s="26" t="str">
        <f>IFERROR(MATCH(B1543,EXTRATO_IMPORTADO!$I$5:$I$404,0),"")</f>
        <v/>
      </c>
      <c r="S1543" s="26" t="str">
        <f t="shared" si="73"/>
        <v/>
      </c>
      <c r="T1543" s="26" t="str">
        <f t="shared" si="74"/>
        <v/>
      </c>
    </row>
    <row r="1544" spans="1:20" x14ac:dyDescent="0.3">
      <c r="A1544" s="26" t="str">
        <f>IF(BASE_CAIXA!A1541="","",BASE_CAIXA!A1541)</f>
        <v/>
      </c>
      <c r="B1544" s="26" t="str">
        <f>IF(A1544="","",BASE_CAIXA!AL1541)</f>
        <v/>
      </c>
      <c r="C1544" s="26" t="str">
        <f>IF(A1544="","",BASE_CAIXA!AJ1541)</f>
        <v/>
      </c>
      <c r="D1544" s="26" t="str">
        <f>IF(A1544="","",IF(BASE_CAIXA!C1541="Entrada","Crédito","Débito"))</f>
        <v/>
      </c>
      <c r="E1544" s="26" t="str">
        <f>IF(A1544="","",BASE_CAIXA!AA1541)</f>
        <v/>
      </c>
      <c r="F1544" s="26" t="str">
        <f>IF(A1544="","",BASE_CAIXA!N1541)</f>
        <v/>
      </c>
      <c r="G1544" s="26" t="str">
        <f>IF(A1544="","",BASE_CAIXA!O1541)</f>
        <v/>
      </c>
      <c r="H1544" s="26" t="str">
        <f>IF(A1544="","",BASE_CAIXA!P1541)</f>
        <v/>
      </c>
      <c r="I1544" s="26" t="str">
        <f>IF(A1544="","",IF(BASE_CAIXA!H1541&lt;&gt;"",BASE_CAIXA!H1541,BASE_CAIXA!G1541))</f>
        <v/>
      </c>
      <c r="J1544" s="26" t="str">
        <f>IF(A1544="","",BASE_CAIXA!G1541)</f>
        <v/>
      </c>
      <c r="K1544" s="26" t="str">
        <f>IF(A1544="","",BASE_CAIXA!I1541)</f>
        <v/>
      </c>
      <c r="L1544" s="26" t="str">
        <f>IF(A1544="","",BASE_CAIXA!J1541)</f>
        <v/>
      </c>
      <c r="M1544" s="26" t="str">
        <f>IF(A1544="","",BASE_CAIXA!AM1541)</f>
        <v/>
      </c>
      <c r="N1544" s="26" t="str">
        <f t="shared" ca="1" si="72"/>
        <v/>
      </c>
      <c r="O1544" s="26" t="str">
        <f>IFERROR(INDEX(EXTRATO_IMPORTADO!$A$5:$A$404,MATCH(B1544,EXTRATO_IMPORTADO!$I$5:$I$404,0)),"")</f>
        <v/>
      </c>
      <c r="P1544" s="26" t="str">
        <f>IFERROR(INDEX(EXTRATO_IMPORTADO!$F$5:$F$404,MATCH(B1544,EXTRATO_IMPORTADO!$I$5:$I$404,0)),"")</f>
        <v/>
      </c>
      <c r="Q1544" s="26" t="str">
        <f>IFERROR(INDEX(EXTRATO_IMPORTADO!$B$5:$B$404,MATCH(B1544,EXTRATO_IMPORTADO!$I$5:$I$404,0)),"")</f>
        <v/>
      </c>
      <c r="R1544" s="26" t="str">
        <f>IFERROR(MATCH(B1544,EXTRATO_IMPORTADO!$I$5:$I$404,0),"")</f>
        <v/>
      </c>
      <c r="S1544" s="26" t="str">
        <f t="shared" si="73"/>
        <v/>
      </c>
      <c r="T1544" s="26" t="str">
        <f t="shared" si="74"/>
        <v/>
      </c>
    </row>
    <row r="1545" spans="1:20" x14ac:dyDescent="0.3">
      <c r="A1545" s="26" t="str">
        <f>IF(BASE_CAIXA!A1542="","",BASE_CAIXA!A1542)</f>
        <v/>
      </c>
      <c r="B1545" s="26" t="str">
        <f>IF(A1545="","",BASE_CAIXA!AL1542)</f>
        <v/>
      </c>
      <c r="C1545" s="26" t="str">
        <f>IF(A1545="","",BASE_CAIXA!AJ1542)</f>
        <v/>
      </c>
      <c r="D1545" s="26" t="str">
        <f>IF(A1545="","",IF(BASE_CAIXA!C1542="Entrada","Crédito","Débito"))</f>
        <v/>
      </c>
      <c r="E1545" s="26" t="str">
        <f>IF(A1545="","",BASE_CAIXA!AA1542)</f>
        <v/>
      </c>
      <c r="F1545" s="26" t="str">
        <f>IF(A1545="","",BASE_CAIXA!N1542)</f>
        <v/>
      </c>
      <c r="G1545" s="26" t="str">
        <f>IF(A1545="","",BASE_CAIXA!O1542)</f>
        <v/>
      </c>
      <c r="H1545" s="26" t="str">
        <f>IF(A1545="","",BASE_CAIXA!P1542)</f>
        <v/>
      </c>
      <c r="I1545" s="26" t="str">
        <f>IF(A1545="","",IF(BASE_CAIXA!H1542&lt;&gt;"",BASE_CAIXA!H1542,BASE_CAIXA!G1542))</f>
        <v/>
      </c>
      <c r="J1545" s="26" t="str">
        <f>IF(A1545="","",BASE_CAIXA!G1542)</f>
        <v/>
      </c>
      <c r="K1545" s="26" t="str">
        <f>IF(A1545="","",BASE_CAIXA!I1542)</f>
        <v/>
      </c>
      <c r="L1545" s="26" t="str">
        <f>IF(A1545="","",BASE_CAIXA!J1542)</f>
        <v/>
      </c>
      <c r="M1545" s="26" t="str">
        <f>IF(A1545="","",BASE_CAIXA!AM1542)</f>
        <v/>
      </c>
      <c r="N1545" s="26" t="str">
        <f t="shared" ca="1" si="72"/>
        <v/>
      </c>
      <c r="O1545" s="26" t="str">
        <f>IFERROR(INDEX(EXTRATO_IMPORTADO!$A$5:$A$404,MATCH(B1545,EXTRATO_IMPORTADO!$I$5:$I$404,0)),"")</f>
        <v/>
      </c>
      <c r="P1545" s="26" t="str">
        <f>IFERROR(INDEX(EXTRATO_IMPORTADO!$F$5:$F$404,MATCH(B1545,EXTRATO_IMPORTADO!$I$5:$I$404,0)),"")</f>
        <v/>
      </c>
      <c r="Q1545" s="26" t="str">
        <f>IFERROR(INDEX(EXTRATO_IMPORTADO!$B$5:$B$404,MATCH(B1545,EXTRATO_IMPORTADO!$I$5:$I$404,0)),"")</f>
        <v/>
      </c>
      <c r="R1545" s="26" t="str">
        <f>IFERROR(MATCH(B1545,EXTRATO_IMPORTADO!$I$5:$I$404,0),"")</f>
        <v/>
      </c>
      <c r="S1545" s="26" t="str">
        <f t="shared" si="73"/>
        <v/>
      </c>
      <c r="T1545" s="26" t="str">
        <f t="shared" si="74"/>
        <v/>
      </c>
    </row>
    <row r="1546" spans="1:20" x14ac:dyDescent="0.3">
      <c r="A1546" s="26" t="str">
        <f>IF(BASE_CAIXA!A1543="","",BASE_CAIXA!A1543)</f>
        <v/>
      </c>
      <c r="B1546" s="26" t="str">
        <f>IF(A1546="","",BASE_CAIXA!AL1543)</f>
        <v/>
      </c>
      <c r="C1546" s="26" t="str">
        <f>IF(A1546="","",BASE_CAIXA!AJ1543)</f>
        <v/>
      </c>
      <c r="D1546" s="26" t="str">
        <f>IF(A1546="","",IF(BASE_CAIXA!C1543="Entrada","Crédito","Débito"))</f>
        <v/>
      </c>
      <c r="E1546" s="26" t="str">
        <f>IF(A1546="","",BASE_CAIXA!AA1543)</f>
        <v/>
      </c>
      <c r="F1546" s="26" t="str">
        <f>IF(A1546="","",BASE_CAIXA!N1543)</f>
        <v/>
      </c>
      <c r="G1546" s="26" t="str">
        <f>IF(A1546="","",BASE_CAIXA!O1543)</f>
        <v/>
      </c>
      <c r="H1546" s="26" t="str">
        <f>IF(A1546="","",BASE_CAIXA!P1543)</f>
        <v/>
      </c>
      <c r="I1546" s="26" t="str">
        <f>IF(A1546="","",IF(BASE_CAIXA!H1543&lt;&gt;"",BASE_CAIXA!H1543,BASE_CAIXA!G1543))</f>
        <v/>
      </c>
      <c r="J1546" s="26" t="str">
        <f>IF(A1546="","",BASE_CAIXA!G1543)</f>
        <v/>
      </c>
      <c r="K1546" s="26" t="str">
        <f>IF(A1546="","",BASE_CAIXA!I1543)</f>
        <v/>
      </c>
      <c r="L1546" s="26" t="str">
        <f>IF(A1546="","",BASE_CAIXA!J1543)</f>
        <v/>
      </c>
      <c r="M1546" s="26" t="str">
        <f>IF(A1546="","",BASE_CAIXA!AM1543)</f>
        <v/>
      </c>
      <c r="N1546" s="26" t="str">
        <f t="shared" ca="1" si="72"/>
        <v/>
      </c>
      <c r="O1546" s="26" t="str">
        <f>IFERROR(INDEX(EXTRATO_IMPORTADO!$A$5:$A$404,MATCH(B1546,EXTRATO_IMPORTADO!$I$5:$I$404,0)),"")</f>
        <v/>
      </c>
      <c r="P1546" s="26" t="str">
        <f>IFERROR(INDEX(EXTRATO_IMPORTADO!$F$5:$F$404,MATCH(B1546,EXTRATO_IMPORTADO!$I$5:$I$404,0)),"")</f>
        <v/>
      </c>
      <c r="Q1546" s="26" t="str">
        <f>IFERROR(INDEX(EXTRATO_IMPORTADO!$B$5:$B$404,MATCH(B1546,EXTRATO_IMPORTADO!$I$5:$I$404,0)),"")</f>
        <v/>
      </c>
      <c r="R1546" s="26" t="str">
        <f>IFERROR(MATCH(B1546,EXTRATO_IMPORTADO!$I$5:$I$404,0),"")</f>
        <v/>
      </c>
      <c r="S1546" s="26" t="str">
        <f t="shared" si="73"/>
        <v/>
      </c>
      <c r="T1546" s="26" t="str">
        <f t="shared" si="74"/>
        <v/>
      </c>
    </row>
    <row r="1547" spans="1:20" x14ac:dyDescent="0.3">
      <c r="A1547" s="26" t="str">
        <f>IF(BASE_CAIXA!A1544="","",BASE_CAIXA!A1544)</f>
        <v/>
      </c>
      <c r="B1547" s="26" t="str">
        <f>IF(A1547="","",BASE_CAIXA!AL1544)</f>
        <v/>
      </c>
      <c r="C1547" s="26" t="str">
        <f>IF(A1547="","",BASE_CAIXA!AJ1544)</f>
        <v/>
      </c>
      <c r="D1547" s="26" t="str">
        <f>IF(A1547="","",IF(BASE_CAIXA!C1544="Entrada","Crédito","Débito"))</f>
        <v/>
      </c>
      <c r="E1547" s="26" t="str">
        <f>IF(A1547="","",BASE_CAIXA!AA1544)</f>
        <v/>
      </c>
      <c r="F1547" s="26" t="str">
        <f>IF(A1547="","",BASE_CAIXA!N1544)</f>
        <v/>
      </c>
      <c r="G1547" s="26" t="str">
        <f>IF(A1547="","",BASE_CAIXA!O1544)</f>
        <v/>
      </c>
      <c r="H1547" s="26" t="str">
        <f>IF(A1547="","",BASE_CAIXA!P1544)</f>
        <v/>
      </c>
      <c r="I1547" s="26" t="str">
        <f>IF(A1547="","",IF(BASE_CAIXA!H1544&lt;&gt;"",BASE_CAIXA!H1544,BASE_CAIXA!G1544))</f>
        <v/>
      </c>
      <c r="J1547" s="26" t="str">
        <f>IF(A1547="","",BASE_CAIXA!G1544)</f>
        <v/>
      </c>
      <c r="K1547" s="26" t="str">
        <f>IF(A1547="","",BASE_CAIXA!I1544)</f>
        <v/>
      </c>
      <c r="L1547" s="26" t="str">
        <f>IF(A1547="","",BASE_CAIXA!J1544)</f>
        <v/>
      </c>
      <c r="M1547" s="26" t="str">
        <f>IF(A1547="","",BASE_CAIXA!AM1544)</f>
        <v/>
      </c>
      <c r="N1547" s="26" t="str">
        <f t="shared" ca="1" si="72"/>
        <v/>
      </c>
      <c r="O1547" s="26" t="str">
        <f>IFERROR(INDEX(EXTRATO_IMPORTADO!$A$5:$A$404,MATCH(B1547,EXTRATO_IMPORTADO!$I$5:$I$404,0)),"")</f>
        <v/>
      </c>
      <c r="P1547" s="26" t="str">
        <f>IFERROR(INDEX(EXTRATO_IMPORTADO!$F$5:$F$404,MATCH(B1547,EXTRATO_IMPORTADO!$I$5:$I$404,0)),"")</f>
        <v/>
      </c>
      <c r="Q1547" s="26" t="str">
        <f>IFERROR(INDEX(EXTRATO_IMPORTADO!$B$5:$B$404,MATCH(B1547,EXTRATO_IMPORTADO!$I$5:$I$404,0)),"")</f>
        <v/>
      </c>
      <c r="R1547" s="26" t="str">
        <f>IFERROR(MATCH(B1547,EXTRATO_IMPORTADO!$I$5:$I$404,0),"")</f>
        <v/>
      </c>
      <c r="S1547" s="26" t="str">
        <f t="shared" si="73"/>
        <v/>
      </c>
      <c r="T1547" s="26" t="str">
        <f t="shared" si="74"/>
        <v/>
      </c>
    </row>
    <row r="1548" spans="1:20" x14ac:dyDescent="0.3">
      <c r="A1548" s="26" t="str">
        <f>IF(BASE_CAIXA!A1545="","",BASE_CAIXA!A1545)</f>
        <v/>
      </c>
      <c r="B1548" s="26" t="str">
        <f>IF(A1548="","",BASE_CAIXA!AL1545)</f>
        <v/>
      </c>
      <c r="C1548" s="26" t="str">
        <f>IF(A1548="","",BASE_CAIXA!AJ1545)</f>
        <v/>
      </c>
      <c r="D1548" s="26" t="str">
        <f>IF(A1548="","",IF(BASE_CAIXA!C1545="Entrada","Crédito","Débito"))</f>
        <v/>
      </c>
      <c r="E1548" s="26" t="str">
        <f>IF(A1548="","",BASE_CAIXA!AA1545)</f>
        <v/>
      </c>
      <c r="F1548" s="26" t="str">
        <f>IF(A1548="","",BASE_CAIXA!N1545)</f>
        <v/>
      </c>
      <c r="G1548" s="26" t="str">
        <f>IF(A1548="","",BASE_CAIXA!O1545)</f>
        <v/>
      </c>
      <c r="H1548" s="26" t="str">
        <f>IF(A1548="","",BASE_CAIXA!P1545)</f>
        <v/>
      </c>
      <c r="I1548" s="26" t="str">
        <f>IF(A1548="","",IF(BASE_CAIXA!H1545&lt;&gt;"",BASE_CAIXA!H1545,BASE_CAIXA!G1545))</f>
        <v/>
      </c>
      <c r="J1548" s="26" t="str">
        <f>IF(A1548="","",BASE_CAIXA!G1545)</f>
        <v/>
      </c>
      <c r="K1548" s="26" t="str">
        <f>IF(A1548="","",BASE_CAIXA!I1545)</f>
        <v/>
      </c>
      <c r="L1548" s="26" t="str">
        <f>IF(A1548="","",BASE_CAIXA!J1545)</f>
        <v/>
      </c>
      <c r="M1548" s="26" t="str">
        <f>IF(A1548="","",BASE_CAIXA!AM1545)</f>
        <v/>
      </c>
      <c r="N1548" s="26" t="str">
        <f t="shared" ca="1" si="72"/>
        <v/>
      </c>
      <c r="O1548" s="26" t="str">
        <f>IFERROR(INDEX(EXTRATO_IMPORTADO!$A$5:$A$404,MATCH(B1548,EXTRATO_IMPORTADO!$I$5:$I$404,0)),"")</f>
        <v/>
      </c>
      <c r="P1548" s="26" t="str">
        <f>IFERROR(INDEX(EXTRATO_IMPORTADO!$F$5:$F$404,MATCH(B1548,EXTRATO_IMPORTADO!$I$5:$I$404,0)),"")</f>
        <v/>
      </c>
      <c r="Q1548" s="26" t="str">
        <f>IFERROR(INDEX(EXTRATO_IMPORTADO!$B$5:$B$404,MATCH(B1548,EXTRATO_IMPORTADO!$I$5:$I$404,0)),"")</f>
        <v/>
      </c>
      <c r="R1548" s="26" t="str">
        <f>IFERROR(MATCH(B1548,EXTRATO_IMPORTADO!$I$5:$I$404,0),"")</f>
        <v/>
      </c>
      <c r="S1548" s="26" t="str">
        <f t="shared" si="73"/>
        <v/>
      </c>
      <c r="T1548" s="26" t="str">
        <f t="shared" si="74"/>
        <v/>
      </c>
    </row>
    <row r="1549" spans="1:20" x14ac:dyDescent="0.3">
      <c r="A1549" s="26" t="str">
        <f>IF(BASE_CAIXA!A1546="","",BASE_CAIXA!A1546)</f>
        <v/>
      </c>
      <c r="B1549" s="26" t="str">
        <f>IF(A1549="","",BASE_CAIXA!AL1546)</f>
        <v/>
      </c>
      <c r="C1549" s="26" t="str">
        <f>IF(A1549="","",BASE_CAIXA!AJ1546)</f>
        <v/>
      </c>
      <c r="D1549" s="26" t="str">
        <f>IF(A1549="","",IF(BASE_CAIXA!C1546="Entrada","Crédito","Débito"))</f>
        <v/>
      </c>
      <c r="E1549" s="26" t="str">
        <f>IF(A1549="","",BASE_CAIXA!AA1546)</f>
        <v/>
      </c>
      <c r="F1549" s="26" t="str">
        <f>IF(A1549="","",BASE_CAIXA!N1546)</f>
        <v/>
      </c>
      <c r="G1549" s="26" t="str">
        <f>IF(A1549="","",BASE_CAIXA!O1546)</f>
        <v/>
      </c>
      <c r="H1549" s="26" t="str">
        <f>IF(A1549="","",BASE_CAIXA!P1546)</f>
        <v/>
      </c>
      <c r="I1549" s="26" t="str">
        <f>IF(A1549="","",IF(BASE_CAIXA!H1546&lt;&gt;"",BASE_CAIXA!H1546,BASE_CAIXA!G1546))</f>
        <v/>
      </c>
      <c r="J1549" s="26" t="str">
        <f>IF(A1549="","",BASE_CAIXA!G1546)</f>
        <v/>
      </c>
      <c r="K1549" s="26" t="str">
        <f>IF(A1549="","",BASE_CAIXA!I1546)</f>
        <v/>
      </c>
      <c r="L1549" s="26" t="str">
        <f>IF(A1549="","",BASE_CAIXA!J1546)</f>
        <v/>
      </c>
      <c r="M1549" s="26" t="str">
        <f>IF(A1549="","",BASE_CAIXA!AM1546)</f>
        <v/>
      </c>
      <c r="N1549" s="26" t="str">
        <f t="shared" ca="1" si="72"/>
        <v/>
      </c>
      <c r="O1549" s="26" t="str">
        <f>IFERROR(INDEX(EXTRATO_IMPORTADO!$A$5:$A$404,MATCH(B1549,EXTRATO_IMPORTADO!$I$5:$I$404,0)),"")</f>
        <v/>
      </c>
      <c r="P1549" s="26" t="str">
        <f>IFERROR(INDEX(EXTRATO_IMPORTADO!$F$5:$F$404,MATCH(B1549,EXTRATO_IMPORTADO!$I$5:$I$404,0)),"")</f>
        <v/>
      </c>
      <c r="Q1549" s="26" t="str">
        <f>IFERROR(INDEX(EXTRATO_IMPORTADO!$B$5:$B$404,MATCH(B1549,EXTRATO_IMPORTADO!$I$5:$I$404,0)),"")</f>
        <v/>
      </c>
      <c r="R1549" s="26" t="str">
        <f>IFERROR(MATCH(B1549,EXTRATO_IMPORTADO!$I$5:$I$404,0),"")</f>
        <v/>
      </c>
      <c r="S1549" s="26" t="str">
        <f t="shared" si="73"/>
        <v/>
      </c>
      <c r="T1549" s="26" t="str">
        <f t="shared" si="74"/>
        <v/>
      </c>
    </row>
    <row r="1550" spans="1:20" x14ac:dyDescent="0.3">
      <c r="A1550" s="26" t="str">
        <f>IF(BASE_CAIXA!A1547="","",BASE_CAIXA!A1547)</f>
        <v/>
      </c>
      <c r="B1550" s="26" t="str">
        <f>IF(A1550="","",BASE_CAIXA!AL1547)</f>
        <v/>
      </c>
      <c r="C1550" s="26" t="str">
        <f>IF(A1550="","",BASE_CAIXA!AJ1547)</f>
        <v/>
      </c>
      <c r="D1550" s="26" t="str">
        <f>IF(A1550="","",IF(BASE_CAIXA!C1547="Entrada","Crédito","Débito"))</f>
        <v/>
      </c>
      <c r="E1550" s="26" t="str">
        <f>IF(A1550="","",BASE_CAIXA!AA1547)</f>
        <v/>
      </c>
      <c r="F1550" s="26" t="str">
        <f>IF(A1550="","",BASE_CAIXA!N1547)</f>
        <v/>
      </c>
      <c r="G1550" s="26" t="str">
        <f>IF(A1550="","",BASE_CAIXA!O1547)</f>
        <v/>
      </c>
      <c r="H1550" s="26" t="str">
        <f>IF(A1550="","",BASE_CAIXA!P1547)</f>
        <v/>
      </c>
      <c r="I1550" s="26" t="str">
        <f>IF(A1550="","",IF(BASE_CAIXA!H1547&lt;&gt;"",BASE_CAIXA!H1547,BASE_CAIXA!G1547))</f>
        <v/>
      </c>
      <c r="J1550" s="26" t="str">
        <f>IF(A1550="","",BASE_CAIXA!G1547)</f>
        <v/>
      </c>
      <c r="K1550" s="26" t="str">
        <f>IF(A1550="","",BASE_CAIXA!I1547)</f>
        <v/>
      </c>
      <c r="L1550" s="26" t="str">
        <f>IF(A1550="","",BASE_CAIXA!J1547)</f>
        <v/>
      </c>
      <c r="M1550" s="26" t="str">
        <f>IF(A1550="","",BASE_CAIXA!AM1547)</f>
        <v/>
      </c>
      <c r="N1550" s="26" t="str">
        <f t="shared" ca="1" si="72"/>
        <v/>
      </c>
      <c r="O1550" s="26" t="str">
        <f>IFERROR(INDEX(EXTRATO_IMPORTADO!$A$5:$A$404,MATCH(B1550,EXTRATO_IMPORTADO!$I$5:$I$404,0)),"")</f>
        <v/>
      </c>
      <c r="P1550" s="26" t="str">
        <f>IFERROR(INDEX(EXTRATO_IMPORTADO!$F$5:$F$404,MATCH(B1550,EXTRATO_IMPORTADO!$I$5:$I$404,0)),"")</f>
        <v/>
      </c>
      <c r="Q1550" s="26" t="str">
        <f>IFERROR(INDEX(EXTRATO_IMPORTADO!$B$5:$B$404,MATCH(B1550,EXTRATO_IMPORTADO!$I$5:$I$404,0)),"")</f>
        <v/>
      </c>
      <c r="R1550" s="26" t="str">
        <f>IFERROR(MATCH(B1550,EXTRATO_IMPORTADO!$I$5:$I$404,0),"")</f>
        <v/>
      </c>
      <c r="S1550" s="26" t="str">
        <f t="shared" si="73"/>
        <v/>
      </c>
      <c r="T1550" s="26" t="str">
        <f t="shared" si="74"/>
        <v/>
      </c>
    </row>
    <row r="1551" spans="1:20" x14ac:dyDescent="0.3">
      <c r="A1551" s="26" t="str">
        <f>IF(BASE_CAIXA!A1548="","",BASE_CAIXA!A1548)</f>
        <v/>
      </c>
      <c r="B1551" s="26" t="str">
        <f>IF(A1551="","",BASE_CAIXA!AL1548)</f>
        <v/>
      </c>
      <c r="C1551" s="26" t="str">
        <f>IF(A1551="","",BASE_CAIXA!AJ1548)</f>
        <v/>
      </c>
      <c r="D1551" s="26" t="str">
        <f>IF(A1551="","",IF(BASE_CAIXA!C1548="Entrada","Crédito","Débito"))</f>
        <v/>
      </c>
      <c r="E1551" s="26" t="str">
        <f>IF(A1551="","",BASE_CAIXA!AA1548)</f>
        <v/>
      </c>
      <c r="F1551" s="26" t="str">
        <f>IF(A1551="","",BASE_CAIXA!N1548)</f>
        <v/>
      </c>
      <c r="G1551" s="26" t="str">
        <f>IF(A1551="","",BASE_CAIXA!O1548)</f>
        <v/>
      </c>
      <c r="H1551" s="26" t="str">
        <f>IF(A1551="","",BASE_CAIXA!P1548)</f>
        <v/>
      </c>
      <c r="I1551" s="26" t="str">
        <f>IF(A1551="","",IF(BASE_CAIXA!H1548&lt;&gt;"",BASE_CAIXA!H1548,BASE_CAIXA!G1548))</f>
        <v/>
      </c>
      <c r="J1551" s="26" t="str">
        <f>IF(A1551="","",BASE_CAIXA!G1548)</f>
        <v/>
      </c>
      <c r="K1551" s="26" t="str">
        <f>IF(A1551="","",BASE_CAIXA!I1548)</f>
        <v/>
      </c>
      <c r="L1551" s="26" t="str">
        <f>IF(A1551="","",BASE_CAIXA!J1548)</f>
        <v/>
      </c>
      <c r="M1551" s="26" t="str">
        <f>IF(A1551="","",BASE_CAIXA!AM1548)</f>
        <v/>
      </c>
      <c r="N1551" s="26" t="str">
        <f t="shared" ca="1" si="72"/>
        <v/>
      </c>
      <c r="O1551" s="26" t="str">
        <f>IFERROR(INDEX(EXTRATO_IMPORTADO!$A$5:$A$404,MATCH(B1551,EXTRATO_IMPORTADO!$I$5:$I$404,0)),"")</f>
        <v/>
      </c>
      <c r="P1551" s="26" t="str">
        <f>IFERROR(INDEX(EXTRATO_IMPORTADO!$F$5:$F$404,MATCH(B1551,EXTRATO_IMPORTADO!$I$5:$I$404,0)),"")</f>
        <v/>
      </c>
      <c r="Q1551" s="26" t="str">
        <f>IFERROR(INDEX(EXTRATO_IMPORTADO!$B$5:$B$404,MATCH(B1551,EXTRATO_IMPORTADO!$I$5:$I$404,0)),"")</f>
        <v/>
      </c>
      <c r="R1551" s="26" t="str">
        <f>IFERROR(MATCH(B1551,EXTRATO_IMPORTADO!$I$5:$I$404,0),"")</f>
        <v/>
      </c>
      <c r="S1551" s="26" t="str">
        <f t="shared" si="73"/>
        <v/>
      </c>
      <c r="T1551" s="26" t="str">
        <f t="shared" si="74"/>
        <v/>
      </c>
    </row>
    <row r="1552" spans="1:20" x14ac:dyDescent="0.3">
      <c r="A1552" s="26" t="str">
        <f>IF(BASE_CAIXA!A1549="","",BASE_CAIXA!A1549)</f>
        <v/>
      </c>
      <c r="B1552" s="26" t="str">
        <f>IF(A1552="","",BASE_CAIXA!AL1549)</f>
        <v/>
      </c>
      <c r="C1552" s="26" t="str">
        <f>IF(A1552="","",BASE_CAIXA!AJ1549)</f>
        <v/>
      </c>
      <c r="D1552" s="26" t="str">
        <f>IF(A1552="","",IF(BASE_CAIXA!C1549="Entrada","Crédito","Débito"))</f>
        <v/>
      </c>
      <c r="E1552" s="26" t="str">
        <f>IF(A1552="","",BASE_CAIXA!AA1549)</f>
        <v/>
      </c>
      <c r="F1552" s="26" t="str">
        <f>IF(A1552="","",BASE_CAIXA!N1549)</f>
        <v/>
      </c>
      <c r="G1552" s="26" t="str">
        <f>IF(A1552="","",BASE_CAIXA!O1549)</f>
        <v/>
      </c>
      <c r="H1552" s="26" t="str">
        <f>IF(A1552="","",BASE_CAIXA!P1549)</f>
        <v/>
      </c>
      <c r="I1552" s="26" t="str">
        <f>IF(A1552="","",IF(BASE_CAIXA!H1549&lt;&gt;"",BASE_CAIXA!H1549,BASE_CAIXA!G1549))</f>
        <v/>
      </c>
      <c r="J1552" s="26" t="str">
        <f>IF(A1552="","",BASE_CAIXA!G1549)</f>
        <v/>
      </c>
      <c r="K1552" s="26" t="str">
        <f>IF(A1552="","",BASE_CAIXA!I1549)</f>
        <v/>
      </c>
      <c r="L1552" s="26" t="str">
        <f>IF(A1552="","",BASE_CAIXA!J1549)</f>
        <v/>
      </c>
      <c r="M1552" s="26" t="str">
        <f>IF(A1552="","",BASE_CAIXA!AM1549)</f>
        <v/>
      </c>
      <c r="N1552" s="26" t="str">
        <f t="shared" ca="1" si="72"/>
        <v/>
      </c>
      <c r="O1552" s="26" t="str">
        <f>IFERROR(INDEX(EXTRATO_IMPORTADO!$A$5:$A$404,MATCH(B1552,EXTRATO_IMPORTADO!$I$5:$I$404,0)),"")</f>
        <v/>
      </c>
      <c r="P1552" s="26" t="str">
        <f>IFERROR(INDEX(EXTRATO_IMPORTADO!$F$5:$F$404,MATCH(B1552,EXTRATO_IMPORTADO!$I$5:$I$404,0)),"")</f>
        <v/>
      </c>
      <c r="Q1552" s="26" t="str">
        <f>IFERROR(INDEX(EXTRATO_IMPORTADO!$B$5:$B$404,MATCH(B1552,EXTRATO_IMPORTADO!$I$5:$I$404,0)),"")</f>
        <v/>
      </c>
      <c r="R1552" s="26" t="str">
        <f>IFERROR(MATCH(B1552,EXTRATO_IMPORTADO!$I$5:$I$404,0),"")</f>
        <v/>
      </c>
      <c r="S1552" s="26" t="str">
        <f t="shared" si="73"/>
        <v/>
      </c>
      <c r="T1552" s="26" t="str">
        <f t="shared" si="74"/>
        <v/>
      </c>
    </row>
    <row r="1553" spans="1:20" x14ac:dyDescent="0.3">
      <c r="A1553" s="26" t="str">
        <f>IF(BASE_CAIXA!A1550="","",BASE_CAIXA!A1550)</f>
        <v/>
      </c>
      <c r="B1553" s="26" t="str">
        <f>IF(A1553="","",BASE_CAIXA!AL1550)</f>
        <v/>
      </c>
      <c r="C1553" s="26" t="str">
        <f>IF(A1553="","",BASE_CAIXA!AJ1550)</f>
        <v/>
      </c>
      <c r="D1553" s="26" t="str">
        <f>IF(A1553="","",IF(BASE_CAIXA!C1550="Entrada","Crédito","Débito"))</f>
        <v/>
      </c>
      <c r="E1553" s="26" t="str">
        <f>IF(A1553="","",BASE_CAIXA!AA1550)</f>
        <v/>
      </c>
      <c r="F1553" s="26" t="str">
        <f>IF(A1553="","",BASE_CAIXA!N1550)</f>
        <v/>
      </c>
      <c r="G1553" s="26" t="str">
        <f>IF(A1553="","",BASE_CAIXA!O1550)</f>
        <v/>
      </c>
      <c r="H1553" s="26" t="str">
        <f>IF(A1553="","",BASE_CAIXA!P1550)</f>
        <v/>
      </c>
      <c r="I1553" s="26" t="str">
        <f>IF(A1553="","",IF(BASE_CAIXA!H1550&lt;&gt;"",BASE_CAIXA!H1550,BASE_CAIXA!G1550))</f>
        <v/>
      </c>
      <c r="J1553" s="26" t="str">
        <f>IF(A1553="","",BASE_CAIXA!G1550)</f>
        <v/>
      </c>
      <c r="K1553" s="26" t="str">
        <f>IF(A1553="","",BASE_CAIXA!I1550)</f>
        <v/>
      </c>
      <c r="L1553" s="26" t="str">
        <f>IF(A1553="","",BASE_CAIXA!J1550)</f>
        <v/>
      </c>
      <c r="M1553" s="26" t="str">
        <f>IF(A1553="","",BASE_CAIXA!AM1550)</f>
        <v/>
      </c>
      <c r="N1553" s="26" t="str">
        <f t="shared" ca="1" si="72"/>
        <v/>
      </c>
      <c r="O1553" s="26" t="str">
        <f>IFERROR(INDEX(EXTRATO_IMPORTADO!$A$5:$A$404,MATCH(B1553,EXTRATO_IMPORTADO!$I$5:$I$404,0)),"")</f>
        <v/>
      </c>
      <c r="P1553" s="26" t="str">
        <f>IFERROR(INDEX(EXTRATO_IMPORTADO!$F$5:$F$404,MATCH(B1553,EXTRATO_IMPORTADO!$I$5:$I$404,0)),"")</f>
        <v/>
      </c>
      <c r="Q1553" s="26" t="str">
        <f>IFERROR(INDEX(EXTRATO_IMPORTADO!$B$5:$B$404,MATCH(B1553,EXTRATO_IMPORTADO!$I$5:$I$404,0)),"")</f>
        <v/>
      </c>
      <c r="R1553" s="26" t="str">
        <f>IFERROR(MATCH(B1553,EXTRATO_IMPORTADO!$I$5:$I$404,0),"")</f>
        <v/>
      </c>
      <c r="S1553" s="26" t="str">
        <f t="shared" si="73"/>
        <v/>
      </c>
      <c r="T1553" s="26" t="str">
        <f t="shared" si="74"/>
        <v/>
      </c>
    </row>
    <row r="1554" spans="1:20" x14ac:dyDescent="0.3">
      <c r="A1554" s="26" t="str">
        <f>IF(BASE_CAIXA!A1551="","",BASE_CAIXA!A1551)</f>
        <v/>
      </c>
      <c r="B1554" s="26" t="str">
        <f>IF(A1554="","",BASE_CAIXA!AL1551)</f>
        <v/>
      </c>
      <c r="C1554" s="26" t="str">
        <f>IF(A1554="","",BASE_CAIXA!AJ1551)</f>
        <v/>
      </c>
      <c r="D1554" s="26" t="str">
        <f>IF(A1554="","",IF(BASE_CAIXA!C1551="Entrada","Crédito","Débito"))</f>
        <v/>
      </c>
      <c r="E1554" s="26" t="str">
        <f>IF(A1554="","",BASE_CAIXA!AA1551)</f>
        <v/>
      </c>
      <c r="F1554" s="26" t="str">
        <f>IF(A1554="","",BASE_CAIXA!N1551)</f>
        <v/>
      </c>
      <c r="G1554" s="26" t="str">
        <f>IF(A1554="","",BASE_CAIXA!O1551)</f>
        <v/>
      </c>
      <c r="H1554" s="26" t="str">
        <f>IF(A1554="","",BASE_CAIXA!P1551)</f>
        <v/>
      </c>
      <c r="I1554" s="26" t="str">
        <f>IF(A1554="","",IF(BASE_CAIXA!H1551&lt;&gt;"",BASE_CAIXA!H1551,BASE_CAIXA!G1551))</f>
        <v/>
      </c>
      <c r="J1554" s="26" t="str">
        <f>IF(A1554="","",BASE_CAIXA!G1551)</f>
        <v/>
      </c>
      <c r="K1554" s="26" t="str">
        <f>IF(A1554="","",BASE_CAIXA!I1551)</f>
        <v/>
      </c>
      <c r="L1554" s="26" t="str">
        <f>IF(A1554="","",BASE_CAIXA!J1551)</f>
        <v/>
      </c>
      <c r="M1554" s="26" t="str">
        <f>IF(A1554="","",BASE_CAIXA!AM1551)</f>
        <v/>
      </c>
      <c r="N1554" s="26" t="str">
        <f t="shared" ca="1" si="72"/>
        <v/>
      </c>
      <c r="O1554" s="26" t="str">
        <f>IFERROR(INDEX(EXTRATO_IMPORTADO!$A$5:$A$404,MATCH(B1554,EXTRATO_IMPORTADO!$I$5:$I$404,0)),"")</f>
        <v/>
      </c>
      <c r="P1554" s="26" t="str">
        <f>IFERROR(INDEX(EXTRATO_IMPORTADO!$F$5:$F$404,MATCH(B1554,EXTRATO_IMPORTADO!$I$5:$I$404,0)),"")</f>
        <v/>
      </c>
      <c r="Q1554" s="26" t="str">
        <f>IFERROR(INDEX(EXTRATO_IMPORTADO!$B$5:$B$404,MATCH(B1554,EXTRATO_IMPORTADO!$I$5:$I$404,0)),"")</f>
        <v/>
      </c>
      <c r="R1554" s="26" t="str">
        <f>IFERROR(MATCH(B1554,EXTRATO_IMPORTADO!$I$5:$I$404,0),"")</f>
        <v/>
      </c>
      <c r="S1554" s="26" t="str">
        <f t="shared" si="73"/>
        <v/>
      </c>
      <c r="T1554" s="26" t="str">
        <f t="shared" si="74"/>
        <v/>
      </c>
    </row>
    <row r="1555" spans="1:20" x14ac:dyDescent="0.3">
      <c r="A1555" s="26" t="str">
        <f>IF(BASE_CAIXA!A1552="","",BASE_CAIXA!A1552)</f>
        <v/>
      </c>
      <c r="B1555" s="26" t="str">
        <f>IF(A1555="","",BASE_CAIXA!AL1552)</f>
        <v/>
      </c>
      <c r="C1555" s="26" t="str">
        <f>IF(A1555="","",BASE_CAIXA!AJ1552)</f>
        <v/>
      </c>
      <c r="D1555" s="26" t="str">
        <f>IF(A1555="","",IF(BASE_CAIXA!C1552="Entrada","Crédito","Débito"))</f>
        <v/>
      </c>
      <c r="E1555" s="26" t="str">
        <f>IF(A1555="","",BASE_CAIXA!AA1552)</f>
        <v/>
      </c>
      <c r="F1555" s="26" t="str">
        <f>IF(A1555="","",BASE_CAIXA!N1552)</f>
        <v/>
      </c>
      <c r="G1555" s="26" t="str">
        <f>IF(A1555="","",BASE_CAIXA!O1552)</f>
        <v/>
      </c>
      <c r="H1555" s="26" t="str">
        <f>IF(A1555="","",BASE_CAIXA!P1552)</f>
        <v/>
      </c>
      <c r="I1555" s="26" t="str">
        <f>IF(A1555="","",IF(BASE_CAIXA!H1552&lt;&gt;"",BASE_CAIXA!H1552,BASE_CAIXA!G1552))</f>
        <v/>
      </c>
      <c r="J1555" s="26" t="str">
        <f>IF(A1555="","",BASE_CAIXA!G1552)</f>
        <v/>
      </c>
      <c r="K1555" s="26" t="str">
        <f>IF(A1555="","",BASE_CAIXA!I1552)</f>
        <v/>
      </c>
      <c r="L1555" s="26" t="str">
        <f>IF(A1555="","",BASE_CAIXA!J1552)</f>
        <v/>
      </c>
      <c r="M1555" s="26" t="str">
        <f>IF(A1555="","",BASE_CAIXA!AM1552)</f>
        <v/>
      </c>
      <c r="N1555" s="26" t="str">
        <f t="shared" ca="1" si="72"/>
        <v/>
      </c>
      <c r="O1555" s="26" t="str">
        <f>IFERROR(INDEX(EXTRATO_IMPORTADO!$A$5:$A$404,MATCH(B1555,EXTRATO_IMPORTADO!$I$5:$I$404,0)),"")</f>
        <v/>
      </c>
      <c r="P1555" s="26" t="str">
        <f>IFERROR(INDEX(EXTRATO_IMPORTADO!$F$5:$F$404,MATCH(B1555,EXTRATO_IMPORTADO!$I$5:$I$404,0)),"")</f>
        <v/>
      </c>
      <c r="Q1555" s="26" t="str">
        <f>IFERROR(INDEX(EXTRATO_IMPORTADO!$B$5:$B$404,MATCH(B1555,EXTRATO_IMPORTADO!$I$5:$I$404,0)),"")</f>
        <v/>
      </c>
      <c r="R1555" s="26" t="str">
        <f>IFERROR(MATCH(B1555,EXTRATO_IMPORTADO!$I$5:$I$404,0),"")</f>
        <v/>
      </c>
      <c r="S1555" s="26" t="str">
        <f t="shared" si="73"/>
        <v/>
      </c>
      <c r="T1555" s="26" t="str">
        <f t="shared" si="74"/>
        <v/>
      </c>
    </row>
    <row r="1556" spans="1:20" x14ac:dyDescent="0.3">
      <c r="A1556" s="26" t="str">
        <f>IF(BASE_CAIXA!A1553="","",BASE_CAIXA!A1553)</f>
        <v/>
      </c>
      <c r="B1556" s="26" t="str">
        <f>IF(A1556="","",BASE_CAIXA!AL1553)</f>
        <v/>
      </c>
      <c r="C1556" s="26" t="str">
        <f>IF(A1556="","",BASE_CAIXA!AJ1553)</f>
        <v/>
      </c>
      <c r="D1556" s="26" t="str">
        <f>IF(A1556="","",IF(BASE_CAIXA!C1553="Entrada","Crédito","Débito"))</f>
        <v/>
      </c>
      <c r="E1556" s="26" t="str">
        <f>IF(A1556="","",BASE_CAIXA!AA1553)</f>
        <v/>
      </c>
      <c r="F1556" s="26" t="str">
        <f>IF(A1556="","",BASE_CAIXA!N1553)</f>
        <v/>
      </c>
      <c r="G1556" s="26" t="str">
        <f>IF(A1556="","",BASE_CAIXA!O1553)</f>
        <v/>
      </c>
      <c r="H1556" s="26" t="str">
        <f>IF(A1556="","",BASE_CAIXA!P1553)</f>
        <v/>
      </c>
      <c r="I1556" s="26" t="str">
        <f>IF(A1556="","",IF(BASE_CAIXA!H1553&lt;&gt;"",BASE_CAIXA!H1553,BASE_CAIXA!G1553))</f>
        <v/>
      </c>
      <c r="J1556" s="26" t="str">
        <f>IF(A1556="","",BASE_CAIXA!G1553)</f>
        <v/>
      </c>
      <c r="K1556" s="26" t="str">
        <f>IF(A1556="","",BASE_CAIXA!I1553)</f>
        <v/>
      </c>
      <c r="L1556" s="26" t="str">
        <f>IF(A1556="","",BASE_CAIXA!J1553)</f>
        <v/>
      </c>
      <c r="M1556" s="26" t="str">
        <f>IF(A1556="","",BASE_CAIXA!AM1553)</f>
        <v/>
      </c>
      <c r="N1556" s="26" t="str">
        <f t="shared" ca="1" si="72"/>
        <v/>
      </c>
      <c r="O1556" s="26" t="str">
        <f>IFERROR(INDEX(EXTRATO_IMPORTADO!$A$5:$A$404,MATCH(B1556,EXTRATO_IMPORTADO!$I$5:$I$404,0)),"")</f>
        <v/>
      </c>
      <c r="P1556" s="26" t="str">
        <f>IFERROR(INDEX(EXTRATO_IMPORTADO!$F$5:$F$404,MATCH(B1556,EXTRATO_IMPORTADO!$I$5:$I$404,0)),"")</f>
        <v/>
      </c>
      <c r="Q1556" s="26" t="str">
        <f>IFERROR(INDEX(EXTRATO_IMPORTADO!$B$5:$B$404,MATCH(B1556,EXTRATO_IMPORTADO!$I$5:$I$404,0)),"")</f>
        <v/>
      </c>
      <c r="R1556" s="26" t="str">
        <f>IFERROR(MATCH(B1556,EXTRATO_IMPORTADO!$I$5:$I$404,0),"")</f>
        <v/>
      </c>
      <c r="S1556" s="26" t="str">
        <f t="shared" si="73"/>
        <v/>
      </c>
      <c r="T1556" s="26" t="str">
        <f t="shared" si="74"/>
        <v/>
      </c>
    </row>
    <row r="1557" spans="1:20" x14ac:dyDescent="0.3">
      <c r="A1557" s="26" t="str">
        <f>IF(BASE_CAIXA!A1554="","",BASE_CAIXA!A1554)</f>
        <v/>
      </c>
      <c r="B1557" s="26" t="str">
        <f>IF(A1557="","",BASE_CAIXA!AL1554)</f>
        <v/>
      </c>
      <c r="C1557" s="26" t="str">
        <f>IF(A1557="","",BASE_CAIXA!AJ1554)</f>
        <v/>
      </c>
      <c r="D1557" s="26" t="str">
        <f>IF(A1557="","",IF(BASE_CAIXA!C1554="Entrada","Crédito","Débito"))</f>
        <v/>
      </c>
      <c r="E1557" s="26" t="str">
        <f>IF(A1557="","",BASE_CAIXA!AA1554)</f>
        <v/>
      </c>
      <c r="F1557" s="26" t="str">
        <f>IF(A1557="","",BASE_CAIXA!N1554)</f>
        <v/>
      </c>
      <c r="G1557" s="26" t="str">
        <f>IF(A1557="","",BASE_CAIXA!O1554)</f>
        <v/>
      </c>
      <c r="H1557" s="26" t="str">
        <f>IF(A1557="","",BASE_CAIXA!P1554)</f>
        <v/>
      </c>
      <c r="I1557" s="26" t="str">
        <f>IF(A1557="","",IF(BASE_CAIXA!H1554&lt;&gt;"",BASE_CAIXA!H1554,BASE_CAIXA!G1554))</f>
        <v/>
      </c>
      <c r="J1557" s="26" t="str">
        <f>IF(A1557="","",BASE_CAIXA!G1554)</f>
        <v/>
      </c>
      <c r="K1557" s="26" t="str">
        <f>IF(A1557="","",BASE_CAIXA!I1554)</f>
        <v/>
      </c>
      <c r="L1557" s="26" t="str">
        <f>IF(A1557="","",BASE_CAIXA!J1554)</f>
        <v/>
      </c>
      <c r="M1557" s="26" t="str">
        <f>IF(A1557="","",BASE_CAIXA!AM1554)</f>
        <v/>
      </c>
      <c r="N1557" s="26" t="str">
        <f t="shared" ca="1" si="72"/>
        <v/>
      </c>
      <c r="O1557" s="26" t="str">
        <f>IFERROR(INDEX(EXTRATO_IMPORTADO!$A$5:$A$404,MATCH(B1557,EXTRATO_IMPORTADO!$I$5:$I$404,0)),"")</f>
        <v/>
      </c>
      <c r="P1557" s="26" t="str">
        <f>IFERROR(INDEX(EXTRATO_IMPORTADO!$F$5:$F$404,MATCH(B1557,EXTRATO_IMPORTADO!$I$5:$I$404,0)),"")</f>
        <v/>
      </c>
      <c r="Q1557" s="26" t="str">
        <f>IFERROR(INDEX(EXTRATO_IMPORTADO!$B$5:$B$404,MATCH(B1557,EXTRATO_IMPORTADO!$I$5:$I$404,0)),"")</f>
        <v/>
      </c>
      <c r="R1557" s="26" t="str">
        <f>IFERROR(MATCH(B1557,EXTRATO_IMPORTADO!$I$5:$I$404,0),"")</f>
        <v/>
      </c>
      <c r="S1557" s="26" t="str">
        <f t="shared" si="73"/>
        <v/>
      </c>
      <c r="T1557" s="26" t="str">
        <f t="shared" si="74"/>
        <v/>
      </c>
    </row>
    <row r="1558" spans="1:20" x14ac:dyDescent="0.3">
      <c r="A1558" s="26" t="str">
        <f>IF(BASE_CAIXA!A1555="","",BASE_CAIXA!A1555)</f>
        <v/>
      </c>
      <c r="B1558" s="26" t="str">
        <f>IF(A1558="","",BASE_CAIXA!AL1555)</f>
        <v/>
      </c>
      <c r="C1558" s="26" t="str">
        <f>IF(A1558="","",BASE_CAIXA!AJ1555)</f>
        <v/>
      </c>
      <c r="D1558" s="26" t="str">
        <f>IF(A1558="","",IF(BASE_CAIXA!C1555="Entrada","Crédito","Débito"))</f>
        <v/>
      </c>
      <c r="E1558" s="26" t="str">
        <f>IF(A1558="","",BASE_CAIXA!AA1555)</f>
        <v/>
      </c>
      <c r="F1558" s="26" t="str">
        <f>IF(A1558="","",BASE_CAIXA!N1555)</f>
        <v/>
      </c>
      <c r="G1558" s="26" t="str">
        <f>IF(A1558="","",BASE_CAIXA!O1555)</f>
        <v/>
      </c>
      <c r="H1558" s="26" t="str">
        <f>IF(A1558="","",BASE_CAIXA!P1555)</f>
        <v/>
      </c>
      <c r="I1558" s="26" t="str">
        <f>IF(A1558="","",IF(BASE_CAIXA!H1555&lt;&gt;"",BASE_CAIXA!H1555,BASE_CAIXA!G1555))</f>
        <v/>
      </c>
      <c r="J1558" s="26" t="str">
        <f>IF(A1558="","",BASE_CAIXA!G1555)</f>
        <v/>
      </c>
      <c r="K1558" s="26" t="str">
        <f>IF(A1558="","",BASE_CAIXA!I1555)</f>
        <v/>
      </c>
      <c r="L1558" s="26" t="str">
        <f>IF(A1558="","",BASE_CAIXA!J1555)</f>
        <v/>
      </c>
      <c r="M1558" s="26" t="str">
        <f>IF(A1558="","",BASE_CAIXA!AM1555)</f>
        <v/>
      </c>
      <c r="N1558" s="26" t="str">
        <f t="shared" ca="1" si="72"/>
        <v/>
      </c>
      <c r="O1558" s="26" t="str">
        <f>IFERROR(INDEX(EXTRATO_IMPORTADO!$A$5:$A$404,MATCH(B1558,EXTRATO_IMPORTADO!$I$5:$I$404,0)),"")</f>
        <v/>
      </c>
      <c r="P1558" s="26" t="str">
        <f>IFERROR(INDEX(EXTRATO_IMPORTADO!$F$5:$F$404,MATCH(B1558,EXTRATO_IMPORTADO!$I$5:$I$404,0)),"")</f>
        <v/>
      </c>
      <c r="Q1558" s="26" t="str">
        <f>IFERROR(INDEX(EXTRATO_IMPORTADO!$B$5:$B$404,MATCH(B1558,EXTRATO_IMPORTADO!$I$5:$I$404,0)),"")</f>
        <v/>
      </c>
      <c r="R1558" s="26" t="str">
        <f>IFERROR(MATCH(B1558,EXTRATO_IMPORTADO!$I$5:$I$404,0),"")</f>
        <v/>
      </c>
      <c r="S1558" s="26" t="str">
        <f t="shared" si="73"/>
        <v/>
      </c>
      <c r="T1558" s="26" t="str">
        <f t="shared" si="74"/>
        <v/>
      </c>
    </row>
    <row r="1559" spans="1:20" x14ac:dyDescent="0.3">
      <c r="A1559" s="26" t="str">
        <f>IF(BASE_CAIXA!A1556="","",BASE_CAIXA!A1556)</f>
        <v/>
      </c>
      <c r="B1559" s="26" t="str">
        <f>IF(A1559="","",BASE_CAIXA!AL1556)</f>
        <v/>
      </c>
      <c r="C1559" s="26" t="str">
        <f>IF(A1559="","",BASE_CAIXA!AJ1556)</f>
        <v/>
      </c>
      <c r="D1559" s="26" t="str">
        <f>IF(A1559="","",IF(BASE_CAIXA!C1556="Entrada","Crédito","Débito"))</f>
        <v/>
      </c>
      <c r="E1559" s="26" t="str">
        <f>IF(A1559="","",BASE_CAIXA!AA1556)</f>
        <v/>
      </c>
      <c r="F1559" s="26" t="str">
        <f>IF(A1559="","",BASE_CAIXA!N1556)</f>
        <v/>
      </c>
      <c r="G1559" s="26" t="str">
        <f>IF(A1559="","",BASE_CAIXA!O1556)</f>
        <v/>
      </c>
      <c r="H1559" s="26" t="str">
        <f>IF(A1559="","",BASE_CAIXA!P1556)</f>
        <v/>
      </c>
      <c r="I1559" s="26" t="str">
        <f>IF(A1559="","",IF(BASE_CAIXA!H1556&lt;&gt;"",BASE_CAIXA!H1556,BASE_CAIXA!G1556))</f>
        <v/>
      </c>
      <c r="J1559" s="26" t="str">
        <f>IF(A1559="","",BASE_CAIXA!G1556)</f>
        <v/>
      </c>
      <c r="K1559" s="26" t="str">
        <f>IF(A1559="","",BASE_CAIXA!I1556)</f>
        <v/>
      </c>
      <c r="L1559" s="26" t="str">
        <f>IF(A1559="","",BASE_CAIXA!J1556)</f>
        <v/>
      </c>
      <c r="M1559" s="26" t="str">
        <f>IF(A1559="","",BASE_CAIXA!AM1556)</f>
        <v/>
      </c>
      <c r="N1559" s="26" t="str">
        <f t="shared" ca="1" si="72"/>
        <v/>
      </c>
      <c r="O1559" s="26" t="str">
        <f>IFERROR(INDEX(EXTRATO_IMPORTADO!$A$5:$A$404,MATCH(B1559,EXTRATO_IMPORTADO!$I$5:$I$404,0)),"")</f>
        <v/>
      </c>
      <c r="P1559" s="26" t="str">
        <f>IFERROR(INDEX(EXTRATO_IMPORTADO!$F$5:$F$404,MATCH(B1559,EXTRATO_IMPORTADO!$I$5:$I$404,0)),"")</f>
        <v/>
      </c>
      <c r="Q1559" s="26" t="str">
        <f>IFERROR(INDEX(EXTRATO_IMPORTADO!$B$5:$B$404,MATCH(B1559,EXTRATO_IMPORTADO!$I$5:$I$404,0)),"")</f>
        <v/>
      </c>
      <c r="R1559" s="26" t="str">
        <f>IFERROR(MATCH(B1559,EXTRATO_IMPORTADO!$I$5:$I$404,0),"")</f>
        <v/>
      </c>
      <c r="S1559" s="26" t="str">
        <f t="shared" si="73"/>
        <v/>
      </c>
      <c r="T1559" s="26" t="str">
        <f t="shared" si="74"/>
        <v/>
      </c>
    </row>
    <row r="1560" spans="1:20" x14ac:dyDescent="0.3">
      <c r="A1560" s="26" t="str">
        <f>IF(BASE_CAIXA!A1557="","",BASE_CAIXA!A1557)</f>
        <v/>
      </c>
      <c r="B1560" s="26" t="str">
        <f>IF(A1560="","",BASE_CAIXA!AL1557)</f>
        <v/>
      </c>
      <c r="C1560" s="26" t="str">
        <f>IF(A1560="","",BASE_CAIXA!AJ1557)</f>
        <v/>
      </c>
      <c r="D1560" s="26" t="str">
        <f>IF(A1560="","",IF(BASE_CAIXA!C1557="Entrada","Crédito","Débito"))</f>
        <v/>
      </c>
      <c r="E1560" s="26" t="str">
        <f>IF(A1560="","",BASE_CAIXA!AA1557)</f>
        <v/>
      </c>
      <c r="F1560" s="26" t="str">
        <f>IF(A1560="","",BASE_CAIXA!N1557)</f>
        <v/>
      </c>
      <c r="G1560" s="26" t="str">
        <f>IF(A1560="","",BASE_CAIXA!O1557)</f>
        <v/>
      </c>
      <c r="H1560" s="26" t="str">
        <f>IF(A1560="","",BASE_CAIXA!P1557)</f>
        <v/>
      </c>
      <c r="I1560" s="26" t="str">
        <f>IF(A1560="","",IF(BASE_CAIXA!H1557&lt;&gt;"",BASE_CAIXA!H1557,BASE_CAIXA!G1557))</f>
        <v/>
      </c>
      <c r="J1560" s="26" t="str">
        <f>IF(A1560="","",BASE_CAIXA!G1557)</f>
        <v/>
      </c>
      <c r="K1560" s="26" t="str">
        <f>IF(A1560="","",BASE_CAIXA!I1557)</f>
        <v/>
      </c>
      <c r="L1560" s="26" t="str">
        <f>IF(A1560="","",BASE_CAIXA!J1557)</f>
        <v/>
      </c>
      <c r="M1560" s="26" t="str">
        <f>IF(A1560="","",BASE_CAIXA!AM1557)</f>
        <v/>
      </c>
      <c r="N1560" s="26" t="str">
        <f t="shared" ca="1" si="72"/>
        <v/>
      </c>
      <c r="O1560" s="26" t="str">
        <f>IFERROR(INDEX(EXTRATO_IMPORTADO!$A$5:$A$404,MATCH(B1560,EXTRATO_IMPORTADO!$I$5:$I$404,0)),"")</f>
        <v/>
      </c>
      <c r="P1560" s="26" t="str">
        <f>IFERROR(INDEX(EXTRATO_IMPORTADO!$F$5:$F$404,MATCH(B1560,EXTRATO_IMPORTADO!$I$5:$I$404,0)),"")</f>
        <v/>
      </c>
      <c r="Q1560" s="26" t="str">
        <f>IFERROR(INDEX(EXTRATO_IMPORTADO!$B$5:$B$404,MATCH(B1560,EXTRATO_IMPORTADO!$I$5:$I$404,0)),"")</f>
        <v/>
      </c>
      <c r="R1560" s="26" t="str">
        <f>IFERROR(MATCH(B1560,EXTRATO_IMPORTADO!$I$5:$I$404,0),"")</f>
        <v/>
      </c>
      <c r="S1560" s="26" t="str">
        <f t="shared" si="73"/>
        <v/>
      </c>
      <c r="T1560" s="26" t="str">
        <f t="shared" si="74"/>
        <v/>
      </c>
    </row>
    <row r="1561" spans="1:20" x14ac:dyDescent="0.3">
      <c r="A1561" s="26" t="str">
        <f>IF(BASE_CAIXA!A1558="","",BASE_CAIXA!A1558)</f>
        <v/>
      </c>
      <c r="B1561" s="26" t="str">
        <f>IF(A1561="","",BASE_CAIXA!AL1558)</f>
        <v/>
      </c>
      <c r="C1561" s="26" t="str">
        <f>IF(A1561="","",BASE_CAIXA!AJ1558)</f>
        <v/>
      </c>
      <c r="D1561" s="26" t="str">
        <f>IF(A1561="","",IF(BASE_CAIXA!C1558="Entrada","Crédito","Débito"))</f>
        <v/>
      </c>
      <c r="E1561" s="26" t="str">
        <f>IF(A1561="","",BASE_CAIXA!AA1558)</f>
        <v/>
      </c>
      <c r="F1561" s="26" t="str">
        <f>IF(A1561="","",BASE_CAIXA!N1558)</f>
        <v/>
      </c>
      <c r="G1561" s="26" t="str">
        <f>IF(A1561="","",BASE_CAIXA!O1558)</f>
        <v/>
      </c>
      <c r="H1561" s="26" t="str">
        <f>IF(A1561="","",BASE_CAIXA!P1558)</f>
        <v/>
      </c>
      <c r="I1561" s="26" t="str">
        <f>IF(A1561="","",IF(BASE_CAIXA!H1558&lt;&gt;"",BASE_CAIXA!H1558,BASE_CAIXA!G1558))</f>
        <v/>
      </c>
      <c r="J1561" s="26" t="str">
        <f>IF(A1561="","",BASE_CAIXA!G1558)</f>
        <v/>
      </c>
      <c r="K1561" s="26" t="str">
        <f>IF(A1561="","",BASE_CAIXA!I1558)</f>
        <v/>
      </c>
      <c r="L1561" s="26" t="str">
        <f>IF(A1561="","",BASE_CAIXA!J1558)</f>
        <v/>
      </c>
      <c r="M1561" s="26" t="str">
        <f>IF(A1561="","",BASE_CAIXA!AM1558)</f>
        <v/>
      </c>
      <c r="N1561" s="26" t="str">
        <f t="shared" ca="1" si="72"/>
        <v/>
      </c>
      <c r="O1561" s="26" t="str">
        <f>IFERROR(INDEX(EXTRATO_IMPORTADO!$A$5:$A$404,MATCH(B1561,EXTRATO_IMPORTADO!$I$5:$I$404,0)),"")</f>
        <v/>
      </c>
      <c r="P1561" s="26" t="str">
        <f>IFERROR(INDEX(EXTRATO_IMPORTADO!$F$5:$F$404,MATCH(B1561,EXTRATO_IMPORTADO!$I$5:$I$404,0)),"")</f>
        <v/>
      </c>
      <c r="Q1561" s="26" t="str">
        <f>IFERROR(INDEX(EXTRATO_IMPORTADO!$B$5:$B$404,MATCH(B1561,EXTRATO_IMPORTADO!$I$5:$I$404,0)),"")</f>
        <v/>
      </c>
      <c r="R1561" s="26" t="str">
        <f>IFERROR(MATCH(B1561,EXTRATO_IMPORTADO!$I$5:$I$404,0),"")</f>
        <v/>
      </c>
      <c r="S1561" s="26" t="str">
        <f t="shared" si="73"/>
        <v/>
      </c>
      <c r="T1561" s="26" t="str">
        <f t="shared" si="74"/>
        <v/>
      </c>
    </row>
    <row r="1562" spans="1:20" x14ac:dyDescent="0.3">
      <c r="A1562" s="26" t="str">
        <f>IF(BASE_CAIXA!A1559="","",BASE_CAIXA!A1559)</f>
        <v/>
      </c>
      <c r="B1562" s="26" t="str">
        <f>IF(A1562="","",BASE_CAIXA!AL1559)</f>
        <v/>
      </c>
      <c r="C1562" s="26" t="str">
        <f>IF(A1562="","",BASE_CAIXA!AJ1559)</f>
        <v/>
      </c>
      <c r="D1562" s="26" t="str">
        <f>IF(A1562="","",IF(BASE_CAIXA!C1559="Entrada","Crédito","Débito"))</f>
        <v/>
      </c>
      <c r="E1562" s="26" t="str">
        <f>IF(A1562="","",BASE_CAIXA!AA1559)</f>
        <v/>
      </c>
      <c r="F1562" s="26" t="str">
        <f>IF(A1562="","",BASE_CAIXA!N1559)</f>
        <v/>
      </c>
      <c r="G1562" s="26" t="str">
        <f>IF(A1562="","",BASE_CAIXA!O1559)</f>
        <v/>
      </c>
      <c r="H1562" s="26" t="str">
        <f>IF(A1562="","",BASE_CAIXA!P1559)</f>
        <v/>
      </c>
      <c r="I1562" s="26" t="str">
        <f>IF(A1562="","",IF(BASE_CAIXA!H1559&lt;&gt;"",BASE_CAIXA!H1559,BASE_CAIXA!G1559))</f>
        <v/>
      </c>
      <c r="J1562" s="26" t="str">
        <f>IF(A1562="","",BASE_CAIXA!G1559)</f>
        <v/>
      </c>
      <c r="K1562" s="26" t="str">
        <f>IF(A1562="","",BASE_CAIXA!I1559)</f>
        <v/>
      </c>
      <c r="L1562" s="26" t="str">
        <f>IF(A1562="","",BASE_CAIXA!J1559)</f>
        <v/>
      </c>
      <c r="M1562" s="26" t="str">
        <f>IF(A1562="","",BASE_CAIXA!AM1559)</f>
        <v/>
      </c>
      <c r="N1562" s="26" t="str">
        <f t="shared" ca="1" si="72"/>
        <v/>
      </c>
      <c r="O1562" s="26" t="str">
        <f>IFERROR(INDEX(EXTRATO_IMPORTADO!$A$5:$A$404,MATCH(B1562,EXTRATO_IMPORTADO!$I$5:$I$404,0)),"")</f>
        <v/>
      </c>
      <c r="P1562" s="26" t="str">
        <f>IFERROR(INDEX(EXTRATO_IMPORTADO!$F$5:$F$404,MATCH(B1562,EXTRATO_IMPORTADO!$I$5:$I$404,0)),"")</f>
        <v/>
      </c>
      <c r="Q1562" s="26" t="str">
        <f>IFERROR(INDEX(EXTRATO_IMPORTADO!$B$5:$B$404,MATCH(B1562,EXTRATO_IMPORTADO!$I$5:$I$404,0)),"")</f>
        <v/>
      </c>
      <c r="R1562" s="26" t="str">
        <f>IFERROR(MATCH(B1562,EXTRATO_IMPORTADO!$I$5:$I$404,0),"")</f>
        <v/>
      </c>
      <c r="S1562" s="26" t="str">
        <f t="shared" si="73"/>
        <v/>
      </c>
      <c r="T1562" s="26" t="str">
        <f t="shared" si="74"/>
        <v/>
      </c>
    </row>
    <row r="1563" spans="1:20" x14ac:dyDescent="0.3">
      <c r="A1563" s="26" t="str">
        <f>IF(BASE_CAIXA!A1560="","",BASE_CAIXA!A1560)</f>
        <v/>
      </c>
      <c r="B1563" s="26" t="str">
        <f>IF(A1563="","",BASE_CAIXA!AL1560)</f>
        <v/>
      </c>
      <c r="C1563" s="26" t="str">
        <f>IF(A1563="","",BASE_CAIXA!AJ1560)</f>
        <v/>
      </c>
      <c r="D1563" s="26" t="str">
        <f>IF(A1563="","",IF(BASE_CAIXA!C1560="Entrada","Crédito","Débito"))</f>
        <v/>
      </c>
      <c r="E1563" s="26" t="str">
        <f>IF(A1563="","",BASE_CAIXA!AA1560)</f>
        <v/>
      </c>
      <c r="F1563" s="26" t="str">
        <f>IF(A1563="","",BASE_CAIXA!N1560)</f>
        <v/>
      </c>
      <c r="G1563" s="26" t="str">
        <f>IF(A1563="","",BASE_CAIXA!O1560)</f>
        <v/>
      </c>
      <c r="H1563" s="26" t="str">
        <f>IF(A1563="","",BASE_CAIXA!P1560)</f>
        <v/>
      </c>
      <c r="I1563" s="26" t="str">
        <f>IF(A1563="","",IF(BASE_CAIXA!H1560&lt;&gt;"",BASE_CAIXA!H1560,BASE_CAIXA!G1560))</f>
        <v/>
      </c>
      <c r="J1563" s="26" t="str">
        <f>IF(A1563="","",BASE_CAIXA!G1560)</f>
        <v/>
      </c>
      <c r="K1563" s="26" t="str">
        <f>IF(A1563="","",BASE_CAIXA!I1560)</f>
        <v/>
      </c>
      <c r="L1563" s="26" t="str">
        <f>IF(A1563="","",BASE_CAIXA!J1560)</f>
        <v/>
      </c>
      <c r="M1563" s="26" t="str">
        <f>IF(A1563="","",BASE_CAIXA!AM1560)</f>
        <v/>
      </c>
      <c r="N1563" s="26" t="str">
        <f t="shared" ca="1" si="72"/>
        <v/>
      </c>
      <c r="O1563" s="26" t="str">
        <f>IFERROR(INDEX(EXTRATO_IMPORTADO!$A$5:$A$404,MATCH(B1563,EXTRATO_IMPORTADO!$I$5:$I$404,0)),"")</f>
        <v/>
      </c>
      <c r="P1563" s="26" t="str">
        <f>IFERROR(INDEX(EXTRATO_IMPORTADO!$F$5:$F$404,MATCH(B1563,EXTRATO_IMPORTADO!$I$5:$I$404,0)),"")</f>
        <v/>
      </c>
      <c r="Q1563" s="26" t="str">
        <f>IFERROR(INDEX(EXTRATO_IMPORTADO!$B$5:$B$404,MATCH(B1563,EXTRATO_IMPORTADO!$I$5:$I$404,0)),"")</f>
        <v/>
      </c>
      <c r="R1563" s="26" t="str">
        <f>IFERROR(MATCH(B1563,EXTRATO_IMPORTADO!$I$5:$I$404,0),"")</f>
        <v/>
      </c>
      <c r="S1563" s="26" t="str">
        <f t="shared" si="73"/>
        <v/>
      </c>
      <c r="T1563" s="26" t="str">
        <f t="shared" si="74"/>
        <v/>
      </c>
    </row>
    <row r="1564" spans="1:20" x14ac:dyDescent="0.3">
      <c r="A1564" s="26" t="str">
        <f>IF(BASE_CAIXA!A1561="","",BASE_CAIXA!A1561)</f>
        <v/>
      </c>
      <c r="B1564" s="26" t="str">
        <f>IF(A1564="","",BASE_CAIXA!AL1561)</f>
        <v/>
      </c>
      <c r="C1564" s="26" t="str">
        <f>IF(A1564="","",BASE_CAIXA!AJ1561)</f>
        <v/>
      </c>
      <c r="D1564" s="26" t="str">
        <f>IF(A1564="","",IF(BASE_CAIXA!C1561="Entrada","Crédito","Débito"))</f>
        <v/>
      </c>
      <c r="E1564" s="26" t="str">
        <f>IF(A1564="","",BASE_CAIXA!AA1561)</f>
        <v/>
      </c>
      <c r="F1564" s="26" t="str">
        <f>IF(A1564="","",BASE_CAIXA!N1561)</f>
        <v/>
      </c>
      <c r="G1564" s="26" t="str">
        <f>IF(A1564="","",BASE_CAIXA!O1561)</f>
        <v/>
      </c>
      <c r="H1564" s="26" t="str">
        <f>IF(A1564="","",BASE_CAIXA!P1561)</f>
        <v/>
      </c>
      <c r="I1564" s="26" t="str">
        <f>IF(A1564="","",IF(BASE_CAIXA!H1561&lt;&gt;"",BASE_CAIXA!H1561,BASE_CAIXA!G1561))</f>
        <v/>
      </c>
      <c r="J1564" s="26" t="str">
        <f>IF(A1564="","",BASE_CAIXA!G1561)</f>
        <v/>
      </c>
      <c r="K1564" s="26" t="str">
        <f>IF(A1564="","",BASE_CAIXA!I1561)</f>
        <v/>
      </c>
      <c r="L1564" s="26" t="str">
        <f>IF(A1564="","",BASE_CAIXA!J1561)</f>
        <v/>
      </c>
      <c r="M1564" s="26" t="str">
        <f>IF(A1564="","",BASE_CAIXA!AM1561)</f>
        <v/>
      </c>
      <c r="N1564" s="26" t="str">
        <f t="shared" ca="1" si="72"/>
        <v/>
      </c>
      <c r="O1564" s="26" t="str">
        <f>IFERROR(INDEX(EXTRATO_IMPORTADO!$A$5:$A$404,MATCH(B1564,EXTRATO_IMPORTADO!$I$5:$I$404,0)),"")</f>
        <v/>
      </c>
      <c r="P1564" s="26" t="str">
        <f>IFERROR(INDEX(EXTRATO_IMPORTADO!$F$5:$F$404,MATCH(B1564,EXTRATO_IMPORTADO!$I$5:$I$404,0)),"")</f>
        <v/>
      </c>
      <c r="Q1564" s="26" t="str">
        <f>IFERROR(INDEX(EXTRATO_IMPORTADO!$B$5:$B$404,MATCH(B1564,EXTRATO_IMPORTADO!$I$5:$I$404,0)),"")</f>
        <v/>
      </c>
      <c r="R1564" s="26" t="str">
        <f>IFERROR(MATCH(B1564,EXTRATO_IMPORTADO!$I$5:$I$404,0),"")</f>
        <v/>
      </c>
      <c r="S1564" s="26" t="str">
        <f t="shared" si="73"/>
        <v/>
      </c>
      <c r="T1564" s="26" t="str">
        <f t="shared" si="74"/>
        <v/>
      </c>
    </row>
    <row r="1565" spans="1:20" x14ac:dyDescent="0.3">
      <c r="A1565" s="26" t="str">
        <f>IF(BASE_CAIXA!A1562="","",BASE_CAIXA!A1562)</f>
        <v/>
      </c>
      <c r="B1565" s="26" t="str">
        <f>IF(A1565="","",BASE_CAIXA!AL1562)</f>
        <v/>
      </c>
      <c r="C1565" s="26" t="str">
        <f>IF(A1565="","",BASE_CAIXA!AJ1562)</f>
        <v/>
      </c>
      <c r="D1565" s="26" t="str">
        <f>IF(A1565="","",IF(BASE_CAIXA!C1562="Entrada","Crédito","Débito"))</f>
        <v/>
      </c>
      <c r="E1565" s="26" t="str">
        <f>IF(A1565="","",BASE_CAIXA!AA1562)</f>
        <v/>
      </c>
      <c r="F1565" s="26" t="str">
        <f>IF(A1565="","",BASE_CAIXA!N1562)</f>
        <v/>
      </c>
      <c r="G1565" s="26" t="str">
        <f>IF(A1565="","",BASE_CAIXA!O1562)</f>
        <v/>
      </c>
      <c r="H1565" s="26" t="str">
        <f>IF(A1565="","",BASE_CAIXA!P1562)</f>
        <v/>
      </c>
      <c r="I1565" s="26" t="str">
        <f>IF(A1565="","",IF(BASE_CAIXA!H1562&lt;&gt;"",BASE_CAIXA!H1562,BASE_CAIXA!G1562))</f>
        <v/>
      </c>
      <c r="J1565" s="26" t="str">
        <f>IF(A1565="","",BASE_CAIXA!G1562)</f>
        <v/>
      </c>
      <c r="K1565" s="26" t="str">
        <f>IF(A1565="","",BASE_CAIXA!I1562)</f>
        <v/>
      </c>
      <c r="L1565" s="26" t="str">
        <f>IF(A1565="","",BASE_CAIXA!J1562)</f>
        <v/>
      </c>
      <c r="M1565" s="26" t="str">
        <f>IF(A1565="","",BASE_CAIXA!AM1562)</f>
        <v/>
      </c>
      <c r="N1565" s="26" t="str">
        <f t="shared" ca="1" si="72"/>
        <v/>
      </c>
      <c r="O1565" s="26" t="str">
        <f>IFERROR(INDEX(EXTRATO_IMPORTADO!$A$5:$A$404,MATCH(B1565,EXTRATO_IMPORTADO!$I$5:$I$404,0)),"")</f>
        <v/>
      </c>
      <c r="P1565" s="26" t="str">
        <f>IFERROR(INDEX(EXTRATO_IMPORTADO!$F$5:$F$404,MATCH(B1565,EXTRATO_IMPORTADO!$I$5:$I$404,0)),"")</f>
        <v/>
      </c>
      <c r="Q1565" s="26" t="str">
        <f>IFERROR(INDEX(EXTRATO_IMPORTADO!$B$5:$B$404,MATCH(B1565,EXTRATO_IMPORTADO!$I$5:$I$404,0)),"")</f>
        <v/>
      </c>
      <c r="R1565" s="26" t="str">
        <f>IFERROR(MATCH(B1565,EXTRATO_IMPORTADO!$I$5:$I$404,0),"")</f>
        <v/>
      </c>
      <c r="S1565" s="26" t="str">
        <f t="shared" si="73"/>
        <v/>
      </c>
      <c r="T1565" s="26" t="str">
        <f t="shared" si="74"/>
        <v/>
      </c>
    </row>
    <row r="1566" spans="1:20" x14ac:dyDescent="0.3">
      <c r="A1566" s="26" t="str">
        <f>IF(BASE_CAIXA!A1563="","",BASE_CAIXA!A1563)</f>
        <v/>
      </c>
      <c r="B1566" s="26" t="str">
        <f>IF(A1566="","",BASE_CAIXA!AL1563)</f>
        <v/>
      </c>
      <c r="C1566" s="26" t="str">
        <f>IF(A1566="","",BASE_CAIXA!AJ1563)</f>
        <v/>
      </c>
      <c r="D1566" s="26" t="str">
        <f>IF(A1566="","",IF(BASE_CAIXA!C1563="Entrada","Crédito","Débito"))</f>
        <v/>
      </c>
      <c r="E1566" s="26" t="str">
        <f>IF(A1566="","",BASE_CAIXA!AA1563)</f>
        <v/>
      </c>
      <c r="F1566" s="26" t="str">
        <f>IF(A1566="","",BASE_CAIXA!N1563)</f>
        <v/>
      </c>
      <c r="G1566" s="26" t="str">
        <f>IF(A1566="","",BASE_CAIXA!O1563)</f>
        <v/>
      </c>
      <c r="H1566" s="26" t="str">
        <f>IF(A1566="","",BASE_CAIXA!P1563)</f>
        <v/>
      </c>
      <c r="I1566" s="26" t="str">
        <f>IF(A1566="","",IF(BASE_CAIXA!H1563&lt;&gt;"",BASE_CAIXA!H1563,BASE_CAIXA!G1563))</f>
        <v/>
      </c>
      <c r="J1566" s="26" t="str">
        <f>IF(A1566="","",BASE_CAIXA!G1563)</f>
        <v/>
      </c>
      <c r="K1566" s="26" t="str">
        <f>IF(A1566="","",BASE_CAIXA!I1563)</f>
        <v/>
      </c>
      <c r="L1566" s="26" t="str">
        <f>IF(A1566="","",BASE_CAIXA!J1563)</f>
        <v/>
      </c>
      <c r="M1566" s="26" t="str">
        <f>IF(A1566="","",BASE_CAIXA!AM1563)</f>
        <v/>
      </c>
      <c r="N1566" s="26" t="str">
        <f t="shared" ca="1" si="72"/>
        <v/>
      </c>
      <c r="O1566" s="26" t="str">
        <f>IFERROR(INDEX(EXTRATO_IMPORTADO!$A$5:$A$404,MATCH(B1566,EXTRATO_IMPORTADO!$I$5:$I$404,0)),"")</f>
        <v/>
      </c>
      <c r="P1566" s="26" t="str">
        <f>IFERROR(INDEX(EXTRATO_IMPORTADO!$F$5:$F$404,MATCH(B1566,EXTRATO_IMPORTADO!$I$5:$I$404,0)),"")</f>
        <v/>
      </c>
      <c r="Q1566" s="26" t="str">
        <f>IFERROR(INDEX(EXTRATO_IMPORTADO!$B$5:$B$404,MATCH(B1566,EXTRATO_IMPORTADO!$I$5:$I$404,0)),"")</f>
        <v/>
      </c>
      <c r="R1566" s="26" t="str">
        <f>IFERROR(MATCH(B1566,EXTRATO_IMPORTADO!$I$5:$I$404,0),"")</f>
        <v/>
      </c>
      <c r="S1566" s="26" t="str">
        <f t="shared" si="73"/>
        <v/>
      </c>
      <c r="T1566" s="26" t="str">
        <f t="shared" si="74"/>
        <v/>
      </c>
    </row>
    <row r="1567" spans="1:20" x14ac:dyDescent="0.3">
      <c r="A1567" s="26" t="str">
        <f>IF(BASE_CAIXA!A1564="","",BASE_CAIXA!A1564)</f>
        <v/>
      </c>
      <c r="B1567" s="26" t="str">
        <f>IF(A1567="","",BASE_CAIXA!AL1564)</f>
        <v/>
      </c>
      <c r="C1567" s="26" t="str">
        <f>IF(A1567="","",BASE_CAIXA!AJ1564)</f>
        <v/>
      </c>
      <c r="D1567" s="26" t="str">
        <f>IF(A1567="","",IF(BASE_CAIXA!C1564="Entrada","Crédito","Débito"))</f>
        <v/>
      </c>
      <c r="E1567" s="26" t="str">
        <f>IF(A1567="","",BASE_CAIXA!AA1564)</f>
        <v/>
      </c>
      <c r="F1567" s="26" t="str">
        <f>IF(A1567="","",BASE_CAIXA!N1564)</f>
        <v/>
      </c>
      <c r="G1567" s="26" t="str">
        <f>IF(A1567="","",BASE_CAIXA!O1564)</f>
        <v/>
      </c>
      <c r="H1567" s="26" t="str">
        <f>IF(A1567="","",BASE_CAIXA!P1564)</f>
        <v/>
      </c>
      <c r="I1567" s="26" t="str">
        <f>IF(A1567="","",IF(BASE_CAIXA!H1564&lt;&gt;"",BASE_CAIXA!H1564,BASE_CAIXA!G1564))</f>
        <v/>
      </c>
      <c r="J1567" s="26" t="str">
        <f>IF(A1567="","",BASE_CAIXA!G1564)</f>
        <v/>
      </c>
      <c r="K1567" s="26" t="str">
        <f>IF(A1567="","",BASE_CAIXA!I1564)</f>
        <v/>
      </c>
      <c r="L1567" s="26" t="str">
        <f>IF(A1567="","",BASE_CAIXA!J1564)</f>
        <v/>
      </c>
      <c r="M1567" s="26" t="str">
        <f>IF(A1567="","",BASE_CAIXA!AM1564)</f>
        <v/>
      </c>
      <c r="N1567" s="26" t="str">
        <f t="shared" ca="1" si="72"/>
        <v/>
      </c>
      <c r="O1567" s="26" t="str">
        <f>IFERROR(INDEX(EXTRATO_IMPORTADO!$A$5:$A$404,MATCH(B1567,EXTRATO_IMPORTADO!$I$5:$I$404,0)),"")</f>
        <v/>
      </c>
      <c r="P1567" s="26" t="str">
        <f>IFERROR(INDEX(EXTRATO_IMPORTADO!$F$5:$F$404,MATCH(B1567,EXTRATO_IMPORTADO!$I$5:$I$404,0)),"")</f>
        <v/>
      </c>
      <c r="Q1567" s="26" t="str">
        <f>IFERROR(INDEX(EXTRATO_IMPORTADO!$B$5:$B$404,MATCH(B1567,EXTRATO_IMPORTADO!$I$5:$I$404,0)),"")</f>
        <v/>
      </c>
      <c r="R1567" s="26" t="str">
        <f>IFERROR(MATCH(B1567,EXTRATO_IMPORTADO!$I$5:$I$404,0),"")</f>
        <v/>
      </c>
      <c r="S1567" s="26" t="str">
        <f t="shared" si="73"/>
        <v/>
      </c>
      <c r="T1567" s="26" t="str">
        <f t="shared" si="74"/>
        <v/>
      </c>
    </row>
    <row r="1568" spans="1:20" x14ac:dyDescent="0.3">
      <c r="A1568" s="26" t="str">
        <f>IF(BASE_CAIXA!A1565="","",BASE_CAIXA!A1565)</f>
        <v/>
      </c>
      <c r="B1568" s="26" t="str">
        <f>IF(A1568="","",BASE_CAIXA!AL1565)</f>
        <v/>
      </c>
      <c r="C1568" s="26" t="str">
        <f>IF(A1568="","",BASE_CAIXA!AJ1565)</f>
        <v/>
      </c>
      <c r="D1568" s="26" t="str">
        <f>IF(A1568="","",IF(BASE_CAIXA!C1565="Entrada","Crédito","Débito"))</f>
        <v/>
      </c>
      <c r="E1568" s="26" t="str">
        <f>IF(A1568="","",BASE_CAIXA!AA1565)</f>
        <v/>
      </c>
      <c r="F1568" s="26" t="str">
        <f>IF(A1568="","",BASE_CAIXA!N1565)</f>
        <v/>
      </c>
      <c r="G1568" s="26" t="str">
        <f>IF(A1568="","",BASE_CAIXA!O1565)</f>
        <v/>
      </c>
      <c r="H1568" s="26" t="str">
        <f>IF(A1568="","",BASE_CAIXA!P1565)</f>
        <v/>
      </c>
      <c r="I1568" s="26" t="str">
        <f>IF(A1568="","",IF(BASE_CAIXA!H1565&lt;&gt;"",BASE_CAIXA!H1565,BASE_CAIXA!G1565))</f>
        <v/>
      </c>
      <c r="J1568" s="26" t="str">
        <f>IF(A1568="","",BASE_CAIXA!G1565)</f>
        <v/>
      </c>
      <c r="K1568" s="26" t="str">
        <f>IF(A1568="","",BASE_CAIXA!I1565)</f>
        <v/>
      </c>
      <c r="L1568" s="26" t="str">
        <f>IF(A1568="","",BASE_CAIXA!J1565)</f>
        <v/>
      </c>
      <c r="M1568" s="26" t="str">
        <f>IF(A1568="","",BASE_CAIXA!AM1565)</f>
        <v/>
      </c>
      <c r="N1568" s="26" t="str">
        <f t="shared" ca="1" si="72"/>
        <v/>
      </c>
      <c r="O1568" s="26" t="str">
        <f>IFERROR(INDEX(EXTRATO_IMPORTADO!$A$5:$A$404,MATCH(B1568,EXTRATO_IMPORTADO!$I$5:$I$404,0)),"")</f>
        <v/>
      </c>
      <c r="P1568" s="26" t="str">
        <f>IFERROR(INDEX(EXTRATO_IMPORTADO!$F$5:$F$404,MATCH(B1568,EXTRATO_IMPORTADO!$I$5:$I$404,0)),"")</f>
        <v/>
      </c>
      <c r="Q1568" s="26" t="str">
        <f>IFERROR(INDEX(EXTRATO_IMPORTADO!$B$5:$B$404,MATCH(B1568,EXTRATO_IMPORTADO!$I$5:$I$404,0)),"")</f>
        <v/>
      </c>
      <c r="R1568" s="26" t="str">
        <f>IFERROR(MATCH(B1568,EXTRATO_IMPORTADO!$I$5:$I$404,0),"")</f>
        <v/>
      </c>
      <c r="S1568" s="26" t="str">
        <f t="shared" si="73"/>
        <v/>
      </c>
      <c r="T1568" s="26" t="str">
        <f t="shared" si="74"/>
        <v/>
      </c>
    </row>
    <row r="1569" spans="1:20" x14ac:dyDescent="0.3">
      <c r="A1569" s="26" t="str">
        <f>IF(BASE_CAIXA!A1566="","",BASE_CAIXA!A1566)</f>
        <v/>
      </c>
      <c r="B1569" s="26" t="str">
        <f>IF(A1569="","",BASE_CAIXA!AL1566)</f>
        <v/>
      </c>
      <c r="C1569" s="26" t="str">
        <f>IF(A1569="","",BASE_CAIXA!AJ1566)</f>
        <v/>
      </c>
      <c r="D1569" s="26" t="str">
        <f>IF(A1569="","",IF(BASE_CAIXA!C1566="Entrada","Crédito","Débito"))</f>
        <v/>
      </c>
      <c r="E1569" s="26" t="str">
        <f>IF(A1569="","",BASE_CAIXA!AA1566)</f>
        <v/>
      </c>
      <c r="F1569" s="26" t="str">
        <f>IF(A1569="","",BASE_CAIXA!N1566)</f>
        <v/>
      </c>
      <c r="G1569" s="26" t="str">
        <f>IF(A1569="","",BASE_CAIXA!O1566)</f>
        <v/>
      </c>
      <c r="H1569" s="26" t="str">
        <f>IF(A1569="","",BASE_CAIXA!P1566)</f>
        <v/>
      </c>
      <c r="I1569" s="26" t="str">
        <f>IF(A1569="","",IF(BASE_CAIXA!H1566&lt;&gt;"",BASE_CAIXA!H1566,BASE_CAIXA!G1566))</f>
        <v/>
      </c>
      <c r="J1569" s="26" t="str">
        <f>IF(A1569="","",BASE_CAIXA!G1566)</f>
        <v/>
      </c>
      <c r="K1569" s="26" t="str">
        <f>IF(A1569="","",BASE_CAIXA!I1566)</f>
        <v/>
      </c>
      <c r="L1569" s="26" t="str">
        <f>IF(A1569="","",BASE_CAIXA!J1566)</f>
        <v/>
      </c>
      <c r="M1569" s="26" t="str">
        <f>IF(A1569="","",BASE_CAIXA!AM1566)</f>
        <v/>
      </c>
      <c r="N1569" s="26" t="str">
        <f t="shared" ca="1" si="72"/>
        <v/>
      </c>
      <c r="O1569" s="26" t="str">
        <f>IFERROR(INDEX(EXTRATO_IMPORTADO!$A$5:$A$404,MATCH(B1569,EXTRATO_IMPORTADO!$I$5:$I$404,0)),"")</f>
        <v/>
      </c>
      <c r="P1569" s="26" t="str">
        <f>IFERROR(INDEX(EXTRATO_IMPORTADO!$F$5:$F$404,MATCH(B1569,EXTRATO_IMPORTADO!$I$5:$I$404,0)),"")</f>
        <v/>
      </c>
      <c r="Q1569" s="26" t="str">
        <f>IFERROR(INDEX(EXTRATO_IMPORTADO!$B$5:$B$404,MATCH(B1569,EXTRATO_IMPORTADO!$I$5:$I$404,0)),"")</f>
        <v/>
      </c>
      <c r="R1569" s="26" t="str">
        <f>IFERROR(MATCH(B1569,EXTRATO_IMPORTADO!$I$5:$I$404,0),"")</f>
        <v/>
      </c>
      <c r="S1569" s="26" t="str">
        <f t="shared" si="73"/>
        <v/>
      </c>
      <c r="T1569" s="26" t="str">
        <f t="shared" si="74"/>
        <v/>
      </c>
    </row>
    <row r="1570" spans="1:20" x14ac:dyDescent="0.3">
      <c r="A1570" s="26" t="str">
        <f>IF(BASE_CAIXA!A1567="","",BASE_CAIXA!A1567)</f>
        <v/>
      </c>
      <c r="B1570" s="26" t="str">
        <f>IF(A1570="","",BASE_CAIXA!AL1567)</f>
        <v/>
      </c>
      <c r="C1570" s="26" t="str">
        <f>IF(A1570="","",BASE_CAIXA!AJ1567)</f>
        <v/>
      </c>
      <c r="D1570" s="26" t="str">
        <f>IF(A1570="","",IF(BASE_CAIXA!C1567="Entrada","Crédito","Débito"))</f>
        <v/>
      </c>
      <c r="E1570" s="26" t="str">
        <f>IF(A1570="","",BASE_CAIXA!AA1567)</f>
        <v/>
      </c>
      <c r="F1570" s="26" t="str">
        <f>IF(A1570="","",BASE_CAIXA!N1567)</f>
        <v/>
      </c>
      <c r="G1570" s="26" t="str">
        <f>IF(A1570="","",BASE_CAIXA!O1567)</f>
        <v/>
      </c>
      <c r="H1570" s="26" t="str">
        <f>IF(A1570="","",BASE_CAIXA!P1567)</f>
        <v/>
      </c>
      <c r="I1570" s="26" t="str">
        <f>IF(A1570="","",IF(BASE_CAIXA!H1567&lt;&gt;"",BASE_CAIXA!H1567,BASE_CAIXA!G1567))</f>
        <v/>
      </c>
      <c r="J1570" s="26" t="str">
        <f>IF(A1570="","",BASE_CAIXA!G1567)</f>
        <v/>
      </c>
      <c r="K1570" s="26" t="str">
        <f>IF(A1570="","",BASE_CAIXA!I1567)</f>
        <v/>
      </c>
      <c r="L1570" s="26" t="str">
        <f>IF(A1570="","",BASE_CAIXA!J1567)</f>
        <v/>
      </c>
      <c r="M1570" s="26" t="str">
        <f>IF(A1570="","",BASE_CAIXA!AM1567)</f>
        <v/>
      </c>
      <c r="N1570" s="26" t="str">
        <f t="shared" ca="1" si="72"/>
        <v/>
      </c>
      <c r="O1570" s="26" t="str">
        <f>IFERROR(INDEX(EXTRATO_IMPORTADO!$A$5:$A$404,MATCH(B1570,EXTRATO_IMPORTADO!$I$5:$I$404,0)),"")</f>
        <v/>
      </c>
      <c r="P1570" s="26" t="str">
        <f>IFERROR(INDEX(EXTRATO_IMPORTADO!$F$5:$F$404,MATCH(B1570,EXTRATO_IMPORTADO!$I$5:$I$404,0)),"")</f>
        <v/>
      </c>
      <c r="Q1570" s="26" t="str">
        <f>IFERROR(INDEX(EXTRATO_IMPORTADO!$B$5:$B$404,MATCH(B1570,EXTRATO_IMPORTADO!$I$5:$I$404,0)),"")</f>
        <v/>
      </c>
      <c r="R1570" s="26" t="str">
        <f>IFERROR(MATCH(B1570,EXTRATO_IMPORTADO!$I$5:$I$404,0),"")</f>
        <v/>
      </c>
      <c r="S1570" s="26" t="str">
        <f t="shared" si="73"/>
        <v/>
      </c>
      <c r="T1570" s="26" t="str">
        <f t="shared" si="74"/>
        <v/>
      </c>
    </row>
    <row r="1571" spans="1:20" x14ac:dyDescent="0.3">
      <c r="A1571" s="26" t="str">
        <f>IF(BASE_CAIXA!A1568="","",BASE_CAIXA!A1568)</f>
        <v/>
      </c>
      <c r="B1571" s="26" t="str">
        <f>IF(A1571="","",BASE_CAIXA!AL1568)</f>
        <v/>
      </c>
      <c r="C1571" s="26" t="str">
        <f>IF(A1571="","",BASE_CAIXA!AJ1568)</f>
        <v/>
      </c>
      <c r="D1571" s="26" t="str">
        <f>IF(A1571="","",IF(BASE_CAIXA!C1568="Entrada","Crédito","Débito"))</f>
        <v/>
      </c>
      <c r="E1571" s="26" t="str">
        <f>IF(A1571="","",BASE_CAIXA!AA1568)</f>
        <v/>
      </c>
      <c r="F1571" s="26" t="str">
        <f>IF(A1571="","",BASE_CAIXA!N1568)</f>
        <v/>
      </c>
      <c r="G1571" s="26" t="str">
        <f>IF(A1571="","",BASE_CAIXA!O1568)</f>
        <v/>
      </c>
      <c r="H1571" s="26" t="str">
        <f>IF(A1571="","",BASE_CAIXA!P1568)</f>
        <v/>
      </c>
      <c r="I1571" s="26" t="str">
        <f>IF(A1571="","",IF(BASE_CAIXA!H1568&lt;&gt;"",BASE_CAIXA!H1568,BASE_CAIXA!G1568))</f>
        <v/>
      </c>
      <c r="J1571" s="26" t="str">
        <f>IF(A1571="","",BASE_CAIXA!G1568)</f>
        <v/>
      </c>
      <c r="K1571" s="26" t="str">
        <f>IF(A1571="","",BASE_CAIXA!I1568)</f>
        <v/>
      </c>
      <c r="L1571" s="26" t="str">
        <f>IF(A1571="","",BASE_CAIXA!J1568)</f>
        <v/>
      </c>
      <c r="M1571" s="26" t="str">
        <f>IF(A1571="","",BASE_CAIXA!AM1568)</f>
        <v/>
      </c>
      <c r="N1571" s="26" t="str">
        <f t="shared" ca="1" si="72"/>
        <v/>
      </c>
      <c r="O1571" s="26" t="str">
        <f>IFERROR(INDEX(EXTRATO_IMPORTADO!$A$5:$A$404,MATCH(B1571,EXTRATO_IMPORTADO!$I$5:$I$404,0)),"")</f>
        <v/>
      </c>
      <c r="P1571" s="26" t="str">
        <f>IFERROR(INDEX(EXTRATO_IMPORTADO!$F$5:$F$404,MATCH(B1571,EXTRATO_IMPORTADO!$I$5:$I$404,0)),"")</f>
        <v/>
      </c>
      <c r="Q1571" s="26" t="str">
        <f>IFERROR(INDEX(EXTRATO_IMPORTADO!$B$5:$B$404,MATCH(B1571,EXTRATO_IMPORTADO!$I$5:$I$404,0)),"")</f>
        <v/>
      </c>
      <c r="R1571" s="26" t="str">
        <f>IFERROR(MATCH(B1571,EXTRATO_IMPORTADO!$I$5:$I$404,0),"")</f>
        <v/>
      </c>
      <c r="S1571" s="26" t="str">
        <f t="shared" si="73"/>
        <v/>
      </c>
      <c r="T1571" s="26" t="str">
        <f t="shared" si="74"/>
        <v/>
      </c>
    </row>
    <row r="1572" spans="1:20" x14ac:dyDescent="0.3">
      <c r="A1572" s="26" t="str">
        <f>IF(BASE_CAIXA!A1569="","",BASE_CAIXA!A1569)</f>
        <v/>
      </c>
      <c r="B1572" s="26" t="str">
        <f>IF(A1572="","",BASE_CAIXA!AL1569)</f>
        <v/>
      </c>
      <c r="C1572" s="26" t="str">
        <f>IF(A1572="","",BASE_CAIXA!AJ1569)</f>
        <v/>
      </c>
      <c r="D1572" s="26" t="str">
        <f>IF(A1572="","",IF(BASE_CAIXA!C1569="Entrada","Crédito","Débito"))</f>
        <v/>
      </c>
      <c r="E1572" s="26" t="str">
        <f>IF(A1572="","",BASE_CAIXA!AA1569)</f>
        <v/>
      </c>
      <c r="F1572" s="26" t="str">
        <f>IF(A1572="","",BASE_CAIXA!N1569)</f>
        <v/>
      </c>
      <c r="G1572" s="26" t="str">
        <f>IF(A1572="","",BASE_CAIXA!O1569)</f>
        <v/>
      </c>
      <c r="H1572" s="26" t="str">
        <f>IF(A1572="","",BASE_CAIXA!P1569)</f>
        <v/>
      </c>
      <c r="I1572" s="26" t="str">
        <f>IF(A1572="","",IF(BASE_CAIXA!H1569&lt;&gt;"",BASE_CAIXA!H1569,BASE_CAIXA!G1569))</f>
        <v/>
      </c>
      <c r="J1572" s="26" t="str">
        <f>IF(A1572="","",BASE_CAIXA!G1569)</f>
        <v/>
      </c>
      <c r="K1572" s="26" t="str">
        <f>IF(A1572="","",BASE_CAIXA!I1569)</f>
        <v/>
      </c>
      <c r="L1572" s="26" t="str">
        <f>IF(A1572="","",BASE_CAIXA!J1569)</f>
        <v/>
      </c>
      <c r="M1572" s="26" t="str">
        <f>IF(A1572="","",BASE_CAIXA!AM1569)</f>
        <v/>
      </c>
      <c r="N1572" s="26" t="str">
        <f t="shared" ca="1" si="72"/>
        <v/>
      </c>
      <c r="O1572" s="26" t="str">
        <f>IFERROR(INDEX(EXTRATO_IMPORTADO!$A$5:$A$404,MATCH(B1572,EXTRATO_IMPORTADO!$I$5:$I$404,0)),"")</f>
        <v/>
      </c>
      <c r="P1572" s="26" t="str">
        <f>IFERROR(INDEX(EXTRATO_IMPORTADO!$F$5:$F$404,MATCH(B1572,EXTRATO_IMPORTADO!$I$5:$I$404,0)),"")</f>
        <v/>
      </c>
      <c r="Q1572" s="26" t="str">
        <f>IFERROR(INDEX(EXTRATO_IMPORTADO!$B$5:$B$404,MATCH(B1572,EXTRATO_IMPORTADO!$I$5:$I$404,0)),"")</f>
        <v/>
      </c>
      <c r="R1572" s="26" t="str">
        <f>IFERROR(MATCH(B1572,EXTRATO_IMPORTADO!$I$5:$I$404,0),"")</f>
        <v/>
      </c>
      <c r="S1572" s="26" t="str">
        <f t="shared" si="73"/>
        <v/>
      </c>
      <c r="T1572" s="26" t="str">
        <f t="shared" si="74"/>
        <v/>
      </c>
    </row>
    <row r="1573" spans="1:20" x14ac:dyDescent="0.3">
      <c r="A1573" s="26" t="str">
        <f>IF(BASE_CAIXA!A1570="","",BASE_CAIXA!A1570)</f>
        <v/>
      </c>
      <c r="B1573" s="26" t="str">
        <f>IF(A1573="","",BASE_CAIXA!AL1570)</f>
        <v/>
      </c>
      <c r="C1573" s="26" t="str">
        <f>IF(A1573="","",BASE_CAIXA!AJ1570)</f>
        <v/>
      </c>
      <c r="D1573" s="26" t="str">
        <f>IF(A1573="","",IF(BASE_CAIXA!C1570="Entrada","Crédito","Débito"))</f>
        <v/>
      </c>
      <c r="E1573" s="26" t="str">
        <f>IF(A1573="","",BASE_CAIXA!AA1570)</f>
        <v/>
      </c>
      <c r="F1573" s="26" t="str">
        <f>IF(A1573="","",BASE_CAIXA!N1570)</f>
        <v/>
      </c>
      <c r="G1573" s="26" t="str">
        <f>IF(A1573="","",BASE_CAIXA!O1570)</f>
        <v/>
      </c>
      <c r="H1573" s="26" t="str">
        <f>IF(A1573="","",BASE_CAIXA!P1570)</f>
        <v/>
      </c>
      <c r="I1573" s="26" t="str">
        <f>IF(A1573="","",IF(BASE_CAIXA!H1570&lt;&gt;"",BASE_CAIXA!H1570,BASE_CAIXA!G1570))</f>
        <v/>
      </c>
      <c r="J1573" s="26" t="str">
        <f>IF(A1573="","",BASE_CAIXA!G1570)</f>
        <v/>
      </c>
      <c r="K1573" s="26" t="str">
        <f>IF(A1573="","",BASE_CAIXA!I1570)</f>
        <v/>
      </c>
      <c r="L1573" s="26" t="str">
        <f>IF(A1573="","",BASE_CAIXA!J1570)</f>
        <v/>
      </c>
      <c r="M1573" s="26" t="str">
        <f>IF(A1573="","",BASE_CAIXA!AM1570)</f>
        <v/>
      </c>
      <c r="N1573" s="26" t="str">
        <f t="shared" ca="1" si="72"/>
        <v/>
      </c>
      <c r="O1573" s="26" t="str">
        <f>IFERROR(INDEX(EXTRATO_IMPORTADO!$A$5:$A$404,MATCH(B1573,EXTRATO_IMPORTADO!$I$5:$I$404,0)),"")</f>
        <v/>
      </c>
      <c r="P1573" s="26" t="str">
        <f>IFERROR(INDEX(EXTRATO_IMPORTADO!$F$5:$F$404,MATCH(B1573,EXTRATO_IMPORTADO!$I$5:$I$404,0)),"")</f>
        <v/>
      </c>
      <c r="Q1573" s="26" t="str">
        <f>IFERROR(INDEX(EXTRATO_IMPORTADO!$B$5:$B$404,MATCH(B1573,EXTRATO_IMPORTADO!$I$5:$I$404,0)),"")</f>
        <v/>
      </c>
      <c r="R1573" s="26" t="str">
        <f>IFERROR(MATCH(B1573,EXTRATO_IMPORTADO!$I$5:$I$404,0),"")</f>
        <v/>
      </c>
      <c r="S1573" s="26" t="str">
        <f t="shared" si="73"/>
        <v/>
      </c>
      <c r="T1573" s="26" t="str">
        <f t="shared" si="74"/>
        <v/>
      </c>
    </row>
    <row r="1574" spans="1:20" x14ac:dyDescent="0.3">
      <c r="A1574" s="26" t="str">
        <f>IF(BASE_CAIXA!A1571="","",BASE_CAIXA!A1571)</f>
        <v/>
      </c>
      <c r="B1574" s="26" t="str">
        <f>IF(A1574="","",BASE_CAIXA!AL1571)</f>
        <v/>
      </c>
      <c r="C1574" s="26" t="str">
        <f>IF(A1574="","",BASE_CAIXA!AJ1571)</f>
        <v/>
      </c>
      <c r="D1574" s="26" t="str">
        <f>IF(A1574="","",IF(BASE_CAIXA!C1571="Entrada","Crédito","Débito"))</f>
        <v/>
      </c>
      <c r="E1574" s="26" t="str">
        <f>IF(A1574="","",BASE_CAIXA!AA1571)</f>
        <v/>
      </c>
      <c r="F1574" s="26" t="str">
        <f>IF(A1574="","",BASE_CAIXA!N1571)</f>
        <v/>
      </c>
      <c r="G1574" s="26" t="str">
        <f>IF(A1574="","",BASE_CAIXA!O1571)</f>
        <v/>
      </c>
      <c r="H1574" s="26" t="str">
        <f>IF(A1574="","",BASE_CAIXA!P1571)</f>
        <v/>
      </c>
      <c r="I1574" s="26" t="str">
        <f>IF(A1574="","",IF(BASE_CAIXA!H1571&lt;&gt;"",BASE_CAIXA!H1571,BASE_CAIXA!G1571))</f>
        <v/>
      </c>
      <c r="J1574" s="26" t="str">
        <f>IF(A1574="","",BASE_CAIXA!G1571)</f>
        <v/>
      </c>
      <c r="K1574" s="26" t="str">
        <f>IF(A1574="","",BASE_CAIXA!I1571)</f>
        <v/>
      </c>
      <c r="L1574" s="26" t="str">
        <f>IF(A1574="","",BASE_CAIXA!J1571)</f>
        <v/>
      </c>
      <c r="M1574" s="26" t="str">
        <f>IF(A1574="","",BASE_CAIXA!AM1571)</f>
        <v/>
      </c>
      <c r="N1574" s="26" t="str">
        <f t="shared" ca="1" si="72"/>
        <v/>
      </c>
      <c r="O1574" s="26" t="str">
        <f>IFERROR(INDEX(EXTRATO_IMPORTADO!$A$5:$A$404,MATCH(B1574,EXTRATO_IMPORTADO!$I$5:$I$404,0)),"")</f>
        <v/>
      </c>
      <c r="P1574" s="26" t="str">
        <f>IFERROR(INDEX(EXTRATO_IMPORTADO!$F$5:$F$404,MATCH(B1574,EXTRATO_IMPORTADO!$I$5:$I$404,0)),"")</f>
        <v/>
      </c>
      <c r="Q1574" s="26" t="str">
        <f>IFERROR(INDEX(EXTRATO_IMPORTADO!$B$5:$B$404,MATCH(B1574,EXTRATO_IMPORTADO!$I$5:$I$404,0)),"")</f>
        <v/>
      </c>
      <c r="R1574" s="26" t="str">
        <f>IFERROR(MATCH(B1574,EXTRATO_IMPORTADO!$I$5:$I$404,0),"")</f>
        <v/>
      </c>
      <c r="S1574" s="26" t="str">
        <f t="shared" si="73"/>
        <v/>
      </c>
      <c r="T1574" s="26" t="str">
        <f t="shared" si="74"/>
        <v/>
      </c>
    </row>
    <row r="1575" spans="1:20" x14ac:dyDescent="0.3">
      <c r="A1575" s="26" t="str">
        <f>IF(BASE_CAIXA!A1572="","",BASE_CAIXA!A1572)</f>
        <v/>
      </c>
      <c r="B1575" s="26" t="str">
        <f>IF(A1575="","",BASE_CAIXA!AL1572)</f>
        <v/>
      </c>
      <c r="C1575" s="26" t="str">
        <f>IF(A1575="","",BASE_CAIXA!AJ1572)</f>
        <v/>
      </c>
      <c r="D1575" s="26" t="str">
        <f>IF(A1575="","",IF(BASE_CAIXA!C1572="Entrada","Crédito","Débito"))</f>
        <v/>
      </c>
      <c r="E1575" s="26" t="str">
        <f>IF(A1575="","",BASE_CAIXA!AA1572)</f>
        <v/>
      </c>
      <c r="F1575" s="26" t="str">
        <f>IF(A1575="","",BASE_CAIXA!N1572)</f>
        <v/>
      </c>
      <c r="G1575" s="26" t="str">
        <f>IF(A1575="","",BASE_CAIXA!O1572)</f>
        <v/>
      </c>
      <c r="H1575" s="26" t="str">
        <f>IF(A1575="","",BASE_CAIXA!P1572)</f>
        <v/>
      </c>
      <c r="I1575" s="26" t="str">
        <f>IF(A1575="","",IF(BASE_CAIXA!H1572&lt;&gt;"",BASE_CAIXA!H1572,BASE_CAIXA!G1572))</f>
        <v/>
      </c>
      <c r="J1575" s="26" t="str">
        <f>IF(A1575="","",BASE_CAIXA!G1572)</f>
        <v/>
      </c>
      <c r="K1575" s="26" t="str">
        <f>IF(A1575="","",BASE_CAIXA!I1572)</f>
        <v/>
      </c>
      <c r="L1575" s="26" t="str">
        <f>IF(A1575="","",BASE_CAIXA!J1572)</f>
        <v/>
      </c>
      <c r="M1575" s="26" t="str">
        <f>IF(A1575="","",BASE_CAIXA!AM1572)</f>
        <v/>
      </c>
      <c r="N1575" s="26" t="str">
        <f t="shared" ca="1" si="72"/>
        <v/>
      </c>
      <c r="O1575" s="26" t="str">
        <f>IFERROR(INDEX(EXTRATO_IMPORTADO!$A$5:$A$404,MATCH(B1575,EXTRATO_IMPORTADO!$I$5:$I$404,0)),"")</f>
        <v/>
      </c>
      <c r="P1575" s="26" t="str">
        <f>IFERROR(INDEX(EXTRATO_IMPORTADO!$F$5:$F$404,MATCH(B1575,EXTRATO_IMPORTADO!$I$5:$I$404,0)),"")</f>
        <v/>
      </c>
      <c r="Q1575" s="26" t="str">
        <f>IFERROR(INDEX(EXTRATO_IMPORTADO!$B$5:$B$404,MATCH(B1575,EXTRATO_IMPORTADO!$I$5:$I$404,0)),"")</f>
        <v/>
      </c>
      <c r="R1575" s="26" t="str">
        <f>IFERROR(MATCH(B1575,EXTRATO_IMPORTADO!$I$5:$I$404,0),"")</f>
        <v/>
      </c>
      <c r="S1575" s="26" t="str">
        <f t="shared" si="73"/>
        <v/>
      </c>
      <c r="T1575" s="26" t="str">
        <f t="shared" si="74"/>
        <v/>
      </c>
    </row>
    <row r="1576" spans="1:20" x14ac:dyDescent="0.3">
      <c r="A1576" s="26" t="str">
        <f>IF(BASE_CAIXA!A1573="","",BASE_CAIXA!A1573)</f>
        <v/>
      </c>
      <c r="B1576" s="26" t="str">
        <f>IF(A1576="","",BASE_CAIXA!AL1573)</f>
        <v/>
      </c>
      <c r="C1576" s="26" t="str">
        <f>IF(A1576="","",BASE_CAIXA!AJ1573)</f>
        <v/>
      </c>
      <c r="D1576" s="26" t="str">
        <f>IF(A1576="","",IF(BASE_CAIXA!C1573="Entrada","Crédito","Débito"))</f>
        <v/>
      </c>
      <c r="E1576" s="26" t="str">
        <f>IF(A1576="","",BASE_CAIXA!AA1573)</f>
        <v/>
      </c>
      <c r="F1576" s="26" t="str">
        <f>IF(A1576="","",BASE_CAIXA!N1573)</f>
        <v/>
      </c>
      <c r="G1576" s="26" t="str">
        <f>IF(A1576="","",BASE_CAIXA!O1573)</f>
        <v/>
      </c>
      <c r="H1576" s="26" t="str">
        <f>IF(A1576="","",BASE_CAIXA!P1573)</f>
        <v/>
      </c>
      <c r="I1576" s="26" t="str">
        <f>IF(A1576="","",IF(BASE_CAIXA!H1573&lt;&gt;"",BASE_CAIXA!H1573,BASE_CAIXA!G1573))</f>
        <v/>
      </c>
      <c r="J1576" s="26" t="str">
        <f>IF(A1576="","",BASE_CAIXA!G1573)</f>
        <v/>
      </c>
      <c r="K1576" s="26" t="str">
        <f>IF(A1576="","",BASE_CAIXA!I1573)</f>
        <v/>
      </c>
      <c r="L1576" s="26" t="str">
        <f>IF(A1576="","",BASE_CAIXA!J1573)</f>
        <v/>
      </c>
      <c r="M1576" s="26" t="str">
        <f>IF(A1576="","",BASE_CAIXA!AM1573)</f>
        <v/>
      </c>
      <c r="N1576" s="26" t="str">
        <f t="shared" ca="1" si="72"/>
        <v/>
      </c>
      <c r="O1576" s="26" t="str">
        <f>IFERROR(INDEX(EXTRATO_IMPORTADO!$A$5:$A$404,MATCH(B1576,EXTRATO_IMPORTADO!$I$5:$I$404,0)),"")</f>
        <v/>
      </c>
      <c r="P1576" s="26" t="str">
        <f>IFERROR(INDEX(EXTRATO_IMPORTADO!$F$5:$F$404,MATCH(B1576,EXTRATO_IMPORTADO!$I$5:$I$404,0)),"")</f>
        <v/>
      </c>
      <c r="Q1576" s="26" t="str">
        <f>IFERROR(INDEX(EXTRATO_IMPORTADO!$B$5:$B$404,MATCH(B1576,EXTRATO_IMPORTADO!$I$5:$I$404,0)),"")</f>
        <v/>
      </c>
      <c r="R1576" s="26" t="str">
        <f>IFERROR(MATCH(B1576,EXTRATO_IMPORTADO!$I$5:$I$404,0),"")</f>
        <v/>
      </c>
      <c r="S1576" s="26" t="str">
        <f t="shared" si="73"/>
        <v/>
      </c>
      <c r="T1576" s="26" t="str">
        <f t="shared" si="74"/>
        <v/>
      </c>
    </row>
    <row r="1577" spans="1:20" x14ac:dyDescent="0.3">
      <c r="A1577" s="26" t="str">
        <f>IF(BASE_CAIXA!A1574="","",BASE_CAIXA!A1574)</f>
        <v/>
      </c>
      <c r="B1577" s="26" t="str">
        <f>IF(A1577="","",BASE_CAIXA!AL1574)</f>
        <v/>
      </c>
      <c r="C1577" s="26" t="str">
        <f>IF(A1577="","",BASE_CAIXA!AJ1574)</f>
        <v/>
      </c>
      <c r="D1577" s="26" t="str">
        <f>IF(A1577="","",IF(BASE_CAIXA!C1574="Entrada","Crédito","Débito"))</f>
        <v/>
      </c>
      <c r="E1577" s="26" t="str">
        <f>IF(A1577="","",BASE_CAIXA!AA1574)</f>
        <v/>
      </c>
      <c r="F1577" s="26" t="str">
        <f>IF(A1577="","",BASE_CAIXA!N1574)</f>
        <v/>
      </c>
      <c r="G1577" s="26" t="str">
        <f>IF(A1577="","",BASE_CAIXA!O1574)</f>
        <v/>
      </c>
      <c r="H1577" s="26" t="str">
        <f>IF(A1577="","",BASE_CAIXA!P1574)</f>
        <v/>
      </c>
      <c r="I1577" s="26" t="str">
        <f>IF(A1577="","",IF(BASE_CAIXA!H1574&lt;&gt;"",BASE_CAIXA!H1574,BASE_CAIXA!G1574))</f>
        <v/>
      </c>
      <c r="J1577" s="26" t="str">
        <f>IF(A1577="","",BASE_CAIXA!G1574)</f>
        <v/>
      </c>
      <c r="K1577" s="26" t="str">
        <f>IF(A1577="","",BASE_CAIXA!I1574)</f>
        <v/>
      </c>
      <c r="L1577" s="26" t="str">
        <f>IF(A1577="","",BASE_CAIXA!J1574)</f>
        <v/>
      </c>
      <c r="M1577" s="26" t="str">
        <f>IF(A1577="","",BASE_CAIXA!AM1574)</f>
        <v/>
      </c>
      <c r="N1577" s="26" t="str">
        <f t="shared" ca="1" si="72"/>
        <v/>
      </c>
      <c r="O1577" s="26" t="str">
        <f>IFERROR(INDEX(EXTRATO_IMPORTADO!$A$5:$A$404,MATCH(B1577,EXTRATO_IMPORTADO!$I$5:$I$404,0)),"")</f>
        <v/>
      </c>
      <c r="P1577" s="26" t="str">
        <f>IFERROR(INDEX(EXTRATO_IMPORTADO!$F$5:$F$404,MATCH(B1577,EXTRATO_IMPORTADO!$I$5:$I$404,0)),"")</f>
        <v/>
      </c>
      <c r="Q1577" s="26" t="str">
        <f>IFERROR(INDEX(EXTRATO_IMPORTADO!$B$5:$B$404,MATCH(B1577,EXTRATO_IMPORTADO!$I$5:$I$404,0)),"")</f>
        <v/>
      </c>
      <c r="R1577" s="26" t="str">
        <f>IFERROR(MATCH(B1577,EXTRATO_IMPORTADO!$I$5:$I$404,0),"")</f>
        <v/>
      </c>
      <c r="S1577" s="26" t="str">
        <f t="shared" si="73"/>
        <v/>
      </c>
      <c r="T1577" s="26" t="str">
        <f t="shared" si="74"/>
        <v/>
      </c>
    </row>
    <row r="1578" spans="1:20" x14ac:dyDescent="0.3">
      <c r="A1578" s="26" t="str">
        <f>IF(BASE_CAIXA!A1575="","",BASE_CAIXA!A1575)</f>
        <v/>
      </c>
      <c r="B1578" s="26" t="str">
        <f>IF(A1578="","",BASE_CAIXA!AL1575)</f>
        <v/>
      </c>
      <c r="C1578" s="26" t="str">
        <f>IF(A1578="","",BASE_CAIXA!AJ1575)</f>
        <v/>
      </c>
      <c r="D1578" s="26" t="str">
        <f>IF(A1578="","",IF(BASE_CAIXA!C1575="Entrada","Crédito","Débito"))</f>
        <v/>
      </c>
      <c r="E1578" s="26" t="str">
        <f>IF(A1578="","",BASE_CAIXA!AA1575)</f>
        <v/>
      </c>
      <c r="F1578" s="26" t="str">
        <f>IF(A1578="","",BASE_CAIXA!N1575)</f>
        <v/>
      </c>
      <c r="G1578" s="26" t="str">
        <f>IF(A1578="","",BASE_CAIXA!O1575)</f>
        <v/>
      </c>
      <c r="H1578" s="26" t="str">
        <f>IF(A1578="","",BASE_CAIXA!P1575)</f>
        <v/>
      </c>
      <c r="I1578" s="26" t="str">
        <f>IF(A1578="","",IF(BASE_CAIXA!H1575&lt;&gt;"",BASE_CAIXA!H1575,BASE_CAIXA!G1575))</f>
        <v/>
      </c>
      <c r="J1578" s="26" t="str">
        <f>IF(A1578="","",BASE_CAIXA!G1575)</f>
        <v/>
      </c>
      <c r="K1578" s="26" t="str">
        <f>IF(A1578="","",BASE_CAIXA!I1575)</f>
        <v/>
      </c>
      <c r="L1578" s="26" t="str">
        <f>IF(A1578="","",BASE_CAIXA!J1575)</f>
        <v/>
      </c>
      <c r="M1578" s="26" t="str">
        <f>IF(A1578="","",BASE_CAIXA!AM1575)</f>
        <v/>
      </c>
      <c r="N1578" s="26" t="str">
        <f t="shared" ca="1" si="72"/>
        <v/>
      </c>
      <c r="O1578" s="26" t="str">
        <f>IFERROR(INDEX(EXTRATO_IMPORTADO!$A$5:$A$404,MATCH(B1578,EXTRATO_IMPORTADO!$I$5:$I$404,0)),"")</f>
        <v/>
      </c>
      <c r="P1578" s="26" t="str">
        <f>IFERROR(INDEX(EXTRATO_IMPORTADO!$F$5:$F$404,MATCH(B1578,EXTRATO_IMPORTADO!$I$5:$I$404,0)),"")</f>
        <v/>
      </c>
      <c r="Q1578" s="26" t="str">
        <f>IFERROR(INDEX(EXTRATO_IMPORTADO!$B$5:$B$404,MATCH(B1578,EXTRATO_IMPORTADO!$I$5:$I$404,0)),"")</f>
        <v/>
      </c>
      <c r="R1578" s="26" t="str">
        <f>IFERROR(MATCH(B1578,EXTRATO_IMPORTADO!$I$5:$I$404,0),"")</f>
        <v/>
      </c>
      <c r="S1578" s="26" t="str">
        <f t="shared" si="73"/>
        <v/>
      </c>
      <c r="T1578" s="26" t="str">
        <f t="shared" si="74"/>
        <v/>
      </c>
    </row>
    <row r="1579" spans="1:20" x14ac:dyDescent="0.3">
      <c r="A1579" s="26" t="str">
        <f>IF(BASE_CAIXA!A1576="","",BASE_CAIXA!A1576)</f>
        <v/>
      </c>
      <c r="B1579" s="26" t="str">
        <f>IF(A1579="","",BASE_CAIXA!AL1576)</f>
        <v/>
      </c>
      <c r="C1579" s="26" t="str">
        <f>IF(A1579="","",BASE_CAIXA!AJ1576)</f>
        <v/>
      </c>
      <c r="D1579" s="26" t="str">
        <f>IF(A1579="","",IF(BASE_CAIXA!C1576="Entrada","Crédito","Débito"))</f>
        <v/>
      </c>
      <c r="E1579" s="26" t="str">
        <f>IF(A1579="","",BASE_CAIXA!AA1576)</f>
        <v/>
      </c>
      <c r="F1579" s="26" t="str">
        <f>IF(A1579="","",BASE_CAIXA!N1576)</f>
        <v/>
      </c>
      <c r="G1579" s="26" t="str">
        <f>IF(A1579="","",BASE_CAIXA!O1576)</f>
        <v/>
      </c>
      <c r="H1579" s="26" t="str">
        <f>IF(A1579="","",BASE_CAIXA!P1576)</f>
        <v/>
      </c>
      <c r="I1579" s="26" t="str">
        <f>IF(A1579="","",IF(BASE_CAIXA!H1576&lt;&gt;"",BASE_CAIXA!H1576,BASE_CAIXA!G1576))</f>
        <v/>
      </c>
      <c r="J1579" s="26" t="str">
        <f>IF(A1579="","",BASE_CAIXA!G1576)</f>
        <v/>
      </c>
      <c r="K1579" s="26" t="str">
        <f>IF(A1579="","",BASE_CAIXA!I1576)</f>
        <v/>
      </c>
      <c r="L1579" s="26" t="str">
        <f>IF(A1579="","",BASE_CAIXA!J1576)</f>
        <v/>
      </c>
      <c r="M1579" s="26" t="str">
        <f>IF(A1579="","",BASE_CAIXA!AM1576)</f>
        <v/>
      </c>
      <c r="N1579" s="26" t="str">
        <f t="shared" ca="1" si="72"/>
        <v/>
      </c>
      <c r="O1579" s="26" t="str">
        <f>IFERROR(INDEX(EXTRATO_IMPORTADO!$A$5:$A$404,MATCH(B1579,EXTRATO_IMPORTADO!$I$5:$I$404,0)),"")</f>
        <v/>
      </c>
      <c r="P1579" s="26" t="str">
        <f>IFERROR(INDEX(EXTRATO_IMPORTADO!$F$5:$F$404,MATCH(B1579,EXTRATO_IMPORTADO!$I$5:$I$404,0)),"")</f>
        <v/>
      </c>
      <c r="Q1579" s="26" t="str">
        <f>IFERROR(INDEX(EXTRATO_IMPORTADO!$B$5:$B$404,MATCH(B1579,EXTRATO_IMPORTADO!$I$5:$I$404,0)),"")</f>
        <v/>
      </c>
      <c r="R1579" s="26" t="str">
        <f>IFERROR(MATCH(B1579,EXTRATO_IMPORTADO!$I$5:$I$404,0),"")</f>
        <v/>
      </c>
      <c r="S1579" s="26" t="str">
        <f t="shared" si="73"/>
        <v/>
      </c>
      <c r="T1579" s="26" t="str">
        <f t="shared" si="74"/>
        <v/>
      </c>
    </row>
    <row r="1580" spans="1:20" x14ac:dyDescent="0.3">
      <c r="A1580" s="26" t="str">
        <f>IF(BASE_CAIXA!A1577="","",BASE_CAIXA!A1577)</f>
        <v/>
      </c>
      <c r="B1580" s="26" t="str">
        <f>IF(A1580="","",BASE_CAIXA!AL1577)</f>
        <v/>
      </c>
      <c r="C1580" s="26" t="str">
        <f>IF(A1580="","",BASE_CAIXA!AJ1577)</f>
        <v/>
      </c>
      <c r="D1580" s="26" t="str">
        <f>IF(A1580="","",IF(BASE_CAIXA!C1577="Entrada","Crédito","Débito"))</f>
        <v/>
      </c>
      <c r="E1580" s="26" t="str">
        <f>IF(A1580="","",BASE_CAIXA!AA1577)</f>
        <v/>
      </c>
      <c r="F1580" s="26" t="str">
        <f>IF(A1580="","",BASE_CAIXA!N1577)</f>
        <v/>
      </c>
      <c r="G1580" s="26" t="str">
        <f>IF(A1580="","",BASE_CAIXA!O1577)</f>
        <v/>
      </c>
      <c r="H1580" s="26" t="str">
        <f>IF(A1580="","",BASE_CAIXA!P1577)</f>
        <v/>
      </c>
      <c r="I1580" s="26" t="str">
        <f>IF(A1580="","",IF(BASE_CAIXA!H1577&lt;&gt;"",BASE_CAIXA!H1577,BASE_CAIXA!G1577))</f>
        <v/>
      </c>
      <c r="J1580" s="26" t="str">
        <f>IF(A1580="","",BASE_CAIXA!G1577)</f>
        <v/>
      </c>
      <c r="K1580" s="26" t="str">
        <f>IF(A1580="","",BASE_CAIXA!I1577)</f>
        <v/>
      </c>
      <c r="L1580" s="26" t="str">
        <f>IF(A1580="","",BASE_CAIXA!J1577)</f>
        <v/>
      </c>
      <c r="M1580" s="26" t="str">
        <f>IF(A1580="","",BASE_CAIXA!AM1577)</f>
        <v/>
      </c>
      <c r="N1580" s="26" t="str">
        <f t="shared" ca="1" si="72"/>
        <v/>
      </c>
      <c r="O1580" s="26" t="str">
        <f>IFERROR(INDEX(EXTRATO_IMPORTADO!$A$5:$A$404,MATCH(B1580,EXTRATO_IMPORTADO!$I$5:$I$404,0)),"")</f>
        <v/>
      </c>
      <c r="P1580" s="26" t="str">
        <f>IFERROR(INDEX(EXTRATO_IMPORTADO!$F$5:$F$404,MATCH(B1580,EXTRATO_IMPORTADO!$I$5:$I$404,0)),"")</f>
        <v/>
      </c>
      <c r="Q1580" s="26" t="str">
        <f>IFERROR(INDEX(EXTRATO_IMPORTADO!$B$5:$B$404,MATCH(B1580,EXTRATO_IMPORTADO!$I$5:$I$404,0)),"")</f>
        <v/>
      </c>
      <c r="R1580" s="26" t="str">
        <f>IFERROR(MATCH(B1580,EXTRATO_IMPORTADO!$I$5:$I$404,0),"")</f>
        <v/>
      </c>
      <c r="S1580" s="26" t="str">
        <f t="shared" si="73"/>
        <v/>
      </c>
      <c r="T1580" s="26" t="str">
        <f t="shared" si="74"/>
        <v/>
      </c>
    </row>
    <row r="1581" spans="1:20" x14ac:dyDescent="0.3">
      <c r="A1581" s="26" t="str">
        <f>IF(BASE_CAIXA!A1578="","",BASE_CAIXA!A1578)</f>
        <v/>
      </c>
      <c r="B1581" s="26" t="str">
        <f>IF(A1581="","",BASE_CAIXA!AL1578)</f>
        <v/>
      </c>
      <c r="C1581" s="26" t="str">
        <f>IF(A1581="","",BASE_CAIXA!AJ1578)</f>
        <v/>
      </c>
      <c r="D1581" s="26" t="str">
        <f>IF(A1581="","",IF(BASE_CAIXA!C1578="Entrada","Crédito","Débito"))</f>
        <v/>
      </c>
      <c r="E1581" s="26" t="str">
        <f>IF(A1581="","",BASE_CAIXA!AA1578)</f>
        <v/>
      </c>
      <c r="F1581" s="26" t="str">
        <f>IF(A1581="","",BASE_CAIXA!N1578)</f>
        <v/>
      </c>
      <c r="G1581" s="26" t="str">
        <f>IF(A1581="","",BASE_CAIXA!O1578)</f>
        <v/>
      </c>
      <c r="H1581" s="26" t="str">
        <f>IF(A1581="","",BASE_CAIXA!P1578)</f>
        <v/>
      </c>
      <c r="I1581" s="26" t="str">
        <f>IF(A1581="","",IF(BASE_CAIXA!H1578&lt;&gt;"",BASE_CAIXA!H1578,BASE_CAIXA!G1578))</f>
        <v/>
      </c>
      <c r="J1581" s="26" t="str">
        <f>IF(A1581="","",BASE_CAIXA!G1578)</f>
        <v/>
      </c>
      <c r="K1581" s="26" t="str">
        <f>IF(A1581="","",BASE_CAIXA!I1578)</f>
        <v/>
      </c>
      <c r="L1581" s="26" t="str">
        <f>IF(A1581="","",BASE_CAIXA!J1578)</f>
        <v/>
      </c>
      <c r="M1581" s="26" t="str">
        <f>IF(A1581="","",BASE_CAIXA!AM1578)</f>
        <v/>
      </c>
      <c r="N1581" s="26" t="str">
        <f t="shared" ca="1" si="72"/>
        <v/>
      </c>
      <c r="O1581" s="26" t="str">
        <f>IFERROR(INDEX(EXTRATO_IMPORTADO!$A$5:$A$404,MATCH(B1581,EXTRATO_IMPORTADO!$I$5:$I$404,0)),"")</f>
        <v/>
      </c>
      <c r="P1581" s="26" t="str">
        <f>IFERROR(INDEX(EXTRATO_IMPORTADO!$F$5:$F$404,MATCH(B1581,EXTRATO_IMPORTADO!$I$5:$I$404,0)),"")</f>
        <v/>
      </c>
      <c r="Q1581" s="26" t="str">
        <f>IFERROR(INDEX(EXTRATO_IMPORTADO!$B$5:$B$404,MATCH(B1581,EXTRATO_IMPORTADO!$I$5:$I$404,0)),"")</f>
        <v/>
      </c>
      <c r="R1581" s="26" t="str">
        <f>IFERROR(MATCH(B1581,EXTRATO_IMPORTADO!$I$5:$I$404,0),"")</f>
        <v/>
      </c>
      <c r="S1581" s="26" t="str">
        <f t="shared" si="73"/>
        <v/>
      </c>
      <c r="T1581" s="26" t="str">
        <f t="shared" si="74"/>
        <v/>
      </c>
    </row>
    <row r="1582" spans="1:20" x14ac:dyDescent="0.3">
      <c r="A1582" s="26" t="str">
        <f>IF(BASE_CAIXA!A1579="","",BASE_CAIXA!A1579)</f>
        <v/>
      </c>
      <c r="B1582" s="26" t="str">
        <f>IF(A1582="","",BASE_CAIXA!AL1579)</f>
        <v/>
      </c>
      <c r="C1582" s="26" t="str">
        <f>IF(A1582="","",BASE_CAIXA!AJ1579)</f>
        <v/>
      </c>
      <c r="D1582" s="26" t="str">
        <f>IF(A1582="","",IF(BASE_CAIXA!C1579="Entrada","Crédito","Débito"))</f>
        <v/>
      </c>
      <c r="E1582" s="26" t="str">
        <f>IF(A1582="","",BASE_CAIXA!AA1579)</f>
        <v/>
      </c>
      <c r="F1582" s="26" t="str">
        <f>IF(A1582="","",BASE_CAIXA!N1579)</f>
        <v/>
      </c>
      <c r="G1582" s="26" t="str">
        <f>IF(A1582="","",BASE_CAIXA!O1579)</f>
        <v/>
      </c>
      <c r="H1582" s="26" t="str">
        <f>IF(A1582="","",BASE_CAIXA!P1579)</f>
        <v/>
      </c>
      <c r="I1582" s="26" t="str">
        <f>IF(A1582="","",IF(BASE_CAIXA!H1579&lt;&gt;"",BASE_CAIXA!H1579,BASE_CAIXA!G1579))</f>
        <v/>
      </c>
      <c r="J1582" s="26" t="str">
        <f>IF(A1582="","",BASE_CAIXA!G1579)</f>
        <v/>
      </c>
      <c r="K1582" s="26" t="str">
        <f>IF(A1582="","",BASE_CAIXA!I1579)</f>
        <v/>
      </c>
      <c r="L1582" s="26" t="str">
        <f>IF(A1582="","",BASE_CAIXA!J1579)</f>
        <v/>
      </c>
      <c r="M1582" s="26" t="str">
        <f>IF(A1582="","",BASE_CAIXA!AM1579)</f>
        <v/>
      </c>
      <c r="N1582" s="26" t="str">
        <f t="shared" ca="1" si="72"/>
        <v/>
      </c>
      <c r="O1582" s="26" t="str">
        <f>IFERROR(INDEX(EXTRATO_IMPORTADO!$A$5:$A$404,MATCH(B1582,EXTRATO_IMPORTADO!$I$5:$I$404,0)),"")</f>
        <v/>
      </c>
      <c r="P1582" s="26" t="str">
        <f>IFERROR(INDEX(EXTRATO_IMPORTADO!$F$5:$F$404,MATCH(B1582,EXTRATO_IMPORTADO!$I$5:$I$404,0)),"")</f>
        <v/>
      </c>
      <c r="Q1582" s="26" t="str">
        <f>IFERROR(INDEX(EXTRATO_IMPORTADO!$B$5:$B$404,MATCH(B1582,EXTRATO_IMPORTADO!$I$5:$I$404,0)),"")</f>
        <v/>
      </c>
      <c r="R1582" s="26" t="str">
        <f>IFERROR(MATCH(B1582,EXTRATO_IMPORTADO!$I$5:$I$404,0),"")</f>
        <v/>
      </c>
      <c r="S1582" s="26" t="str">
        <f t="shared" si="73"/>
        <v/>
      </c>
      <c r="T1582" s="26" t="str">
        <f t="shared" si="74"/>
        <v/>
      </c>
    </row>
    <row r="1583" spans="1:20" x14ac:dyDescent="0.3">
      <c r="A1583" s="26" t="str">
        <f>IF(BASE_CAIXA!A1580="","",BASE_CAIXA!A1580)</f>
        <v/>
      </c>
      <c r="B1583" s="26" t="str">
        <f>IF(A1583="","",BASE_CAIXA!AL1580)</f>
        <v/>
      </c>
      <c r="C1583" s="26" t="str">
        <f>IF(A1583="","",BASE_CAIXA!AJ1580)</f>
        <v/>
      </c>
      <c r="D1583" s="26" t="str">
        <f>IF(A1583="","",IF(BASE_CAIXA!C1580="Entrada","Crédito","Débito"))</f>
        <v/>
      </c>
      <c r="E1583" s="26" t="str">
        <f>IF(A1583="","",BASE_CAIXA!AA1580)</f>
        <v/>
      </c>
      <c r="F1583" s="26" t="str">
        <f>IF(A1583="","",BASE_CAIXA!N1580)</f>
        <v/>
      </c>
      <c r="G1583" s="26" t="str">
        <f>IF(A1583="","",BASE_CAIXA!O1580)</f>
        <v/>
      </c>
      <c r="H1583" s="26" t="str">
        <f>IF(A1583="","",BASE_CAIXA!P1580)</f>
        <v/>
      </c>
      <c r="I1583" s="26" t="str">
        <f>IF(A1583="","",IF(BASE_CAIXA!H1580&lt;&gt;"",BASE_CAIXA!H1580,BASE_CAIXA!G1580))</f>
        <v/>
      </c>
      <c r="J1583" s="26" t="str">
        <f>IF(A1583="","",BASE_CAIXA!G1580)</f>
        <v/>
      </c>
      <c r="K1583" s="26" t="str">
        <f>IF(A1583="","",BASE_CAIXA!I1580)</f>
        <v/>
      </c>
      <c r="L1583" s="26" t="str">
        <f>IF(A1583="","",BASE_CAIXA!J1580)</f>
        <v/>
      </c>
      <c r="M1583" s="26" t="str">
        <f>IF(A1583="","",BASE_CAIXA!AM1580)</f>
        <v/>
      </c>
      <c r="N1583" s="26" t="str">
        <f t="shared" ca="1" si="72"/>
        <v/>
      </c>
      <c r="O1583" s="26" t="str">
        <f>IFERROR(INDEX(EXTRATO_IMPORTADO!$A$5:$A$404,MATCH(B1583,EXTRATO_IMPORTADO!$I$5:$I$404,0)),"")</f>
        <v/>
      </c>
      <c r="P1583" s="26" t="str">
        <f>IFERROR(INDEX(EXTRATO_IMPORTADO!$F$5:$F$404,MATCH(B1583,EXTRATO_IMPORTADO!$I$5:$I$404,0)),"")</f>
        <v/>
      </c>
      <c r="Q1583" s="26" t="str">
        <f>IFERROR(INDEX(EXTRATO_IMPORTADO!$B$5:$B$404,MATCH(B1583,EXTRATO_IMPORTADO!$I$5:$I$404,0)),"")</f>
        <v/>
      </c>
      <c r="R1583" s="26" t="str">
        <f>IFERROR(MATCH(B1583,EXTRATO_IMPORTADO!$I$5:$I$404,0),"")</f>
        <v/>
      </c>
      <c r="S1583" s="26" t="str">
        <f t="shared" si="73"/>
        <v/>
      </c>
      <c r="T1583" s="26" t="str">
        <f t="shared" si="74"/>
        <v/>
      </c>
    </row>
    <row r="1584" spans="1:20" x14ac:dyDescent="0.3">
      <c r="A1584" s="26" t="str">
        <f>IF(BASE_CAIXA!A1581="","",BASE_CAIXA!A1581)</f>
        <v/>
      </c>
      <c r="B1584" s="26" t="str">
        <f>IF(A1584="","",BASE_CAIXA!AL1581)</f>
        <v/>
      </c>
      <c r="C1584" s="26" t="str">
        <f>IF(A1584="","",BASE_CAIXA!AJ1581)</f>
        <v/>
      </c>
      <c r="D1584" s="26" t="str">
        <f>IF(A1584="","",IF(BASE_CAIXA!C1581="Entrada","Crédito","Débito"))</f>
        <v/>
      </c>
      <c r="E1584" s="26" t="str">
        <f>IF(A1584="","",BASE_CAIXA!AA1581)</f>
        <v/>
      </c>
      <c r="F1584" s="26" t="str">
        <f>IF(A1584="","",BASE_CAIXA!N1581)</f>
        <v/>
      </c>
      <c r="G1584" s="26" t="str">
        <f>IF(A1584="","",BASE_CAIXA!O1581)</f>
        <v/>
      </c>
      <c r="H1584" s="26" t="str">
        <f>IF(A1584="","",BASE_CAIXA!P1581)</f>
        <v/>
      </c>
      <c r="I1584" s="26" t="str">
        <f>IF(A1584="","",IF(BASE_CAIXA!H1581&lt;&gt;"",BASE_CAIXA!H1581,BASE_CAIXA!G1581))</f>
        <v/>
      </c>
      <c r="J1584" s="26" t="str">
        <f>IF(A1584="","",BASE_CAIXA!G1581)</f>
        <v/>
      </c>
      <c r="K1584" s="26" t="str">
        <f>IF(A1584="","",BASE_CAIXA!I1581)</f>
        <v/>
      </c>
      <c r="L1584" s="26" t="str">
        <f>IF(A1584="","",BASE_CAIXA!J1581)</f>
        <v/>
      </c>
      <c r="M1584" s="26" t="str">
        <f>IF(A1584="","",BASE_CAIXA!AM1581)</f>
        <v/>
      </c>
      <c r="N1584" s="26" t="str">
        <f t="shared" ca="1" si="72"/>
        <v/>
      </c>
      <c r="O1584" s="26" t="str">
        <f>IFERROR(INDEX(EXTRATO_IMPORTADO!$A$5:$A$404,MATCH(B1584,EXTRATO_IMPORTADO!$I$5:$I$404,0)),"")</f>
        <v/>
      </c>
      <c r="P1584" s="26" t="str">
        <f>IFERROR(INDEX(EXTRATO_IMPORTADO!$F$5:$F$404,MATCH(B1584,EXTRATO_IMPORTADO!$I$5:$I$404,0)),"")</f>
        <v/>
      </c>
      <c r="Q1584" s="26" t="str">
        <f>IFERROR(INDEX(EXTRATO_IMPORTADO!$B$5:$B$404,MATCH(B1584,EXTRATO_IMPORTADO!$I$5:$I$404,0)),"")</f>
        <v/>
      </c>
      <c r="R1584" s="26" t="str">
        <f>IFERROR(MATCH(B1584,EXTRATO_IMPORTADO!$I$5:$I$404,0),"")</f>
        <v/>
      </c>
      <c r="S1584" s="26" t="str">
        <f t="shared" si="73"/>
        <v/>
      </c>
      <c r="T1584" s="26" t="str">
        <f t="shared" si="74"/>
        <v/>
      </c>
    </row>
    <row r="1585" spans="1:20" x14ac:dyDescent="0.3">
      <c r="A1585" s="26" t="str">
        <f>IF(BASE_CAIXA!A1582="","",BASE_CAIXA!A1582)</f>
        <v/>
      </c>
      <c r="B1585" s="26" t="str">
        <f>IF(A1585="","",BASE_CAIXA!AL1582)</f>
        <v/>
      </c>
      <c r="C1585" s="26" t="str">
        <f>IF(A1585="","",BASE_CAIXA!AJ1582)</f>
        <v/>
      </c>
      <c r="D1585" s="26" t="str">
        <f>IF(A1585="","",IF(BASE_CAIXA!C1582="Entrada","Crédito","Débito"))</f>
        <v/>
      </c>
      <c r="E1585" s="26" t="str">
        <f>IF(A1585="","",BASE_CAIXA!AA1582)</f>
        <v/>
      </c>
      <c r="F1585" s="26" t="str">
        <f>IF(A1585="","",BASE_CAIXA!N1582)</f>
        <v/>
      </c>
      <c r="G1585" s="26" t="str">
        <f>IF(A1585="","",BASE_CAIXA!O1582)</f>
        <v/>
      </c>
      <c r="H1585" s="26" t="str">
        <f>IF(A1585="","",BASE_CAIXA!P1582)</f>
        <v/>
      </c>
      <c r="I1585" s="26" t="str">
        <f>IF(A1585="","",IF(BASE_CAIXA!H1582&lt;&gt;"",BASE_CAIXA!H1582,BASE_CAIXA!G1582))</f>
        <v/>
      </c>
      <c r="J1585" s="26" t="str">
        <f>IF(A1585="","",BASE_CAIXA!G1582)</f>
        <v/>
      </c>
      <c r="K1585" s="26" t="str">
        <f>IF(A1585="","",BASE_CAIXA!I1582)</f>
        <v/>
      </c>
      <c r="L1585" s="26" t="str">
        <f>IF(A1585="","",BASE_CAIXA!J1582)</f>
        <v/>
      </c>
      <c r="M1585" s="26" t="str">
        <f>IF(A1585="","",BASE_CAIXA!AM1582)</f>
        <v/>
      </c>
      <c r="N1585" s="26" t="str">
        <f t="shared" ca="1" si="72"/>
        <v/>
      </c>
      <c r="O1585" s="26" t="str">
        <f>IFERROR(INDEX(EXTRATO_IMPORTADO!$A$5:$A$404,MATCH(B1585,EXTRATO_IMPORTADO!$I$5:$I$404,0)),"")</f>
        <v/>
      </c>
      <c r="P1585" s="26" t="str">
        <f>IFERROR(INDEX(EXTRATO_IMPORTADO!$F$5:$F$404,MATCH(B1585,EXTRATO_IMPORTADO!$I$5:$I$404,0)),"")</f>
        <v/>
      </c>
      <c r="Q1585" s="26" t="str">
        <f>IFERROR(INDEX(EXTRATO_IMPORTADO!$B$5:$B$404,MATCH(B1585,EXTRATO_IMPORTADO!$I$5:$I$404,0)),"")</f>
        <v/>
      </c>
      <c r="R1585" s="26" t="str">
        <f>IFERROR(MATCH(B1585,EXTRATO_IMPORTADO!$I$5:$I$404,0),"")</f>
        <v/>
      </c>
      <c r="S1585" s="26" t="str">
        <f t="shared" si="73"/>
        <v/>
      </c>
      <c r="T1585" s="26" t="str">
        <f t="shared" si="74"/>
        <v/>
      </c>
    </row>
    <row r="1586" spans="1:20" x14ac:dyDescent="0.3">
      <c r="A1586" s="26" t="str">
        <f>IF(BASE_CAIXA!A1583="","",BASE_CAIXA!A1583)</f>
        <v/>
      </c>
      <c r="B1586" s="26" t="str">
        <f>IF(A1586="","",BASE_CAIXA!AL1583)</f>
        <v/>
      </c>
      <c r="C1586" s="26" t="str">
        <f>IF(A1586="","",BASE_CAIXA!AJ1583)</f>
        <v/>
      </c>
      <c r="D1586" s="26" t="str">
        <f>IF(A1586="","",IF(BASE_CAIXA!C1583="Entrada","Crédito","Débito"))</f>
        <v/>
      </c>
      <c r="E1586" s="26" t="str">
        <f>IF(A1586="","",BASE_CAIXA!AA1583)</f>
        <v/>
      </c>
      <c r="F1586" s="26" t="str">
        <f>IF(A1586="","",BASE_CAIXA!N1583)</f>
        <v/>
      </c>
      <c r="G1586" s="26" t="str">
        <f>IF(A1586="","",BASE_CAIXA!O1583)</f>
        <v/>
      </c>
      <c r="H1586" s="26" t="str">
        <f>IF(A1586="","",BASE_CAIXA!P1583)</f>
        <v/>
      </c>
      <c r="I1586" s="26" t="str">
        <f>IF(A1586="","",IF(BASE_CAIXA!H1583&lt;&gt;"",BASE_CAIXA!H1583,BASE_CAIXA!G1583))</f>
        <v/>
      </c>
      <c r="J1586" s="26" t="str">
        <f>IF(A1586="","",BASE_CAIXA!G1583)</f>
        <v/>
      </c>
      <c r="K1586" s="26" t="str">
        <f>IF(A1586="","",BASE_CAIXA!I1583)</f>
        <v/>
      </c>
      <c r="L1586" s="26" t="str">
        <f>IF(A1586="","",BASE_CAIXA!J1583)</f>
        <v/>
      </c>
      <c r="M1586" s="26" t="str">
        <f>IF(A1586="","",BASE_CAIXA!AM1583)</f>
        <v/>
      </c>
      <c r="N1586" s="26" t="str">
        <f t="shared" ca="1" si="72"/>
        <v/>
      </c>
      <c r="O1586" s="26" t="str">
        <f>IFERROR(INDEX(EXTRATO_IMPORTADO!$A$5:$A$404,MATCH(B1586,EXTRATO_IMPORTADO!$I$5:$I$404,0)),"")</f>
        <v/>
      </c>
      <c r="P1586" s="26" t="str">
        <f>IFERROR(INDEX(EXTRATO_IMPORTADO!$F$5:$F$404,MATCH(B1586,EXTRATO_IMPORTADO!$I$5:$I$404,0)),"")</f>
        <v/>
      </c>
      <c r="Q1586" s="26" t="str">
        <f>IFERROR(INDEX(EXTRATO_IMPORTADO!$B$5:$B$404,MATCH(B1586,EXTRATO_IMPORTADO!$I$5:$I$404,0)),"")</f>
        <v/>
      </c>
      <c r="R1586" s="26" t="str">
        <f>IFERROR(MATCH(B1586,EXTRATO_IMPORTADO!$I$5:$I$404,0),"")</f>
        <v/>
      </c>
      <c r="S1586" s="26" t="str">
        <f t="shared" si="73"/>
        <v/>
      </c>
      <c r="T1586" s="26" t="str">
        <f t="shared" si="74"/>
        <v/>
      </c>
    </row>
    <row r="1587" spans="1:20" x14ac:dyDescent="0.3">
      <c r="A1587" s="26" t="str">
        <f>IF(BASE_CAIXA!A1584="","",BASE_CAIXA!A1584)</f>
        <v/>
      </c>
      <c r="B1587" s="26" t="str">
        <f>IF(A1587="","",BASE_CAIXA!AL1584)</f>
        <v/>
      </c>
      <c r="C1587" s="26" t="str">
        <f>IF(A1587="","",BASE_CAIXA!AJ1584)</f>
        <v/>
      </c>
      <c r="D1587" s="26" t="str">
        <f>IF(A1587="","",IF(BASE_CAIXA!C1584="Entrada","Crédito","Débito"))</f>
        <v/>
      </c>
      <c r="E1587" s="26" t="str">
        <f>IF(A1587="","",BASE_CAIXA!AA1584)</f>
        <v/>
      </c>
      <c r="F1587" s="26" t="str">
        <f>IF(A1587="","",BASE_CAIXA!N1584)</f>
        <v/>
      </c>
      <c r="G1587" s="26" t="str">
        <f>IF(A1587="","",BASE_CAIXA!O1584)</f>
        <v/>
      </c>
      <c r="H1587" s="26" t="str">
        <f>IF(A1587="","",BASE_CAIXA!P1584)</f>
        <v/>
      </c>
      <c r="I1587" s="26" t="str">
        <f>IF(A1587="","",IF(BASE_CAIXA!H1584&lt;&gt;"",BASE_CAIXA!H1584,BASE_CAIXA!G1584))</f>
        <v/>
      </c>
      <c r="J1587" s="26" t="str">
        <f>IF(A1587="","",BASE_CAIXA!G1584)</f>
        <v/>
      </c>
      <c r="K1587" s="26" t="str">
        <f>IF(A1587="","",BASE_CAIXA!I1584)</f>
        <v/>
      </c>
      <c r="L1587" s="26" t="str">
        <f>IF(A1587="","",BASE_CAIXA!J1584)</f>
        <v/>
      </c>
      <c r="M1587" s="26" t="str">
        <f>IF(A1587="","",BASE_CAIXA!AM1584)</f>
        <v/>
      </c>
      <c r="N1587" s="26" t="str">
        <f t="shared" ca="1" si="72"/>
        <v/>
      </c>
      <c r="O1587" s="26" t="str">
        <f>IFERROR(INDEX(EXTRATO_IMPORTADO!$A$5:$A$404,MATCH(B1587,EXTRATO_IMPORTADO!$I$5:$I$404,0)),"")</f>
        <v/>
      </c>
      <c r="P1587" s="26" t="str">
        <f>IFERROR(INDEX(EXTRATO_IMPORTADO!$F$5:$F$404,MATCH(B1587,EXTRATO_IMPORTADO!$I$5:$I$404,0)),"")</f>
        <v/>
      </c>
      <c r="Q1587" s="26" t="str">
        <f>IFERROR(INDEX(EXTRATO_IMPORTADO!$B$5:$B$404,MATCH(B1587,EXTRATO_IMPORTADO!$I$5:$I$404,0)),"")</f>
        <v/>
      </c>
      <c r="R1587" s="26" t="str">
        <f>IFERROR(MATCH(B1587,EXTRATO_IMPORTADO!$I$5:$I$404,0),"")</f>
        <v/>
      </c>
      <c r="S1587" s="26" t="str">
        <f t="shared" si="73"/>
        <v/>
      </c>
      <c r="T1587" s="26" t="str">
        <f t="shared" si="74"/>
        <v/>
      </c>
    </row>
    <row r="1588" spans="1:20" x14ac:dyDescent="0.3">
      <c r="A1588" s="26" t="str">
        <f>IF(BASE_CAIXA!A1585="","",BASE_CAIXA!A1585)</f>
        <v/>
      </c>
      <c r="B1588" s="26" t="str">
        <f>IF(A1588="","",BASE_CAIXA!AL1585)</f>
        <v/>
      </c>
      <c r="C1588" s="26" t="str">
        <f>IF(A1588="","",BASE_CAIXA!AJ1585)</f>
        <v/>
      </c>
      <c r="D1588" s="26" t="str">
        <f>IF(A1588="","",IF(BASE_CAIXA!C1585="Entrada","Crédito","Débito"))</f>
        <v/>
      </c>
      <c r="E1588" s="26" t="str">
        <f>IF(A1588="","",BASE_CAIXA!AA1585)</f>
        <v/>
      </c>
      <c r="F1588" s="26" t="str">
        <f>IF(A1588="","",BASE_CAIXA!N1585)</f>
        <v/>
      </c>
      <c r="G1588" s="26" t="str">
        <f>IF(A1588="","",BASE_CAIXA!O1585)</f>
        <v/>
      </c>
      <c r="H1588" s="26" t="str">
        <f>IF(A1588="","",BASE_CAIXA!P1585)</f>
        <v/>
      </c>
      <c r="I1588" s="26" t="str">
        <f>IF(A1588="","",IF(BASE_CAIXA!H1585&lt;&gt;"",BASE_CAIXA!H1585,BASE_CAIXA!G1585))</f>
        <v/>
      </c>
      <c r="J1588" s="26" t="str">
        <f>IF(A1588="","",BASE_CAIXA!G1585)</f>
        <v/>
      </c>
      <c r="K1588" s="26" t="str">
        <f>IF(A1588="","",BASE_CAIXA!I1585)</f>
        <v/>
      </c>
      <c r="L1588" s="26" t="str">
        <f>IF(A1588="","",BASE_CAIXA!J1585)</f>
        <v/>
      </c>
      <c r="M1588" s="26" t="str">
        <f>IF(A1588="","",BASE_CAIXA!AM1585)</f>
        <v/>
      </c>
      <c r="N1588" s="26" t="str">
        <f t="shared" ca="1" si="72"/>
        <v/>
      </c>
      <c r="O1588" s="26" t="str">
        <f>IFERROR(INDEX(EXTRATO_IMPORTADO!$A$5:$A$404,MATCH(B1588,EXTRATO_IMPORTADO!$I$5:$I$404,0)),"")</f>
        <v/>
      </c>
      <c r="P1588" s="26" t="str">
        <f>IFERROR(INDEX(EXTRATO_IMPORTADO!$F$5:$F$404,MATCH(B1588,EXTRATO_IMPORTADO!$I$5:$I$404,0)),"")</f>
        <v/>
      </c>
      <c r="Q1588" s="26" t="str">
        <f>IFERROR(INDEX(EXTRATO_IMPORTADO!$B$5:$B$404,MATCH(B1588,EXTRATO_IMPORTADO!$I$5:$I$404,0)),"")</f>
        <v/>
      </c>
      <c r="R1588" s="26" t="str">
        <f>IFERROR(MATCH(B1588,EXTRATO_IMPORTADO!$I$5:$I$404,0),"")</f>
        <v/>
      </c>
      <c r="S1588" s="26" t="str">
        <f t="shared" si="73"/>
        <v/>
      </c>
      <c r="T1588" s="26" t="str">
        <f t="shared" si="74"/>
        <v/>
      </c>
    </row>
    <row r="1589" spans="1:20" x14ac:dyDescent="0.3">
      <c r="A1589" s="26" t="str">
        <f>IF(BASE_CAIXA!A1586="","",BASE_CAIXA!A1586)</f>
        <v/>
      </c>
      <c r="B1589" s="26" t="str">
        <f>IF(A1589="","",BASE_CAIXA!AL1586)</f>
        <v/>
      </c>
      <c r="C1589" s="26" t="str">
        <f>IF(A1589="","",BASE_CAIXA!AJ1586)</f>
        <v/>
      </c>
      <c r="D1589" s="26" t="str">
        <f>IF(A1589="","",IF(BASE_CAIXA!C1586="Entrada","Crédito","Débito"))</f>
        <v/>
      </c>
      <c r="E1589" s="26" t="str">
        <f>IF(A1589="","",BASE_CAIXA!AA1586)</f>
        <v/>
      </c>
      <c r="F1589" s="26" t="str">
        <f>IF(A1589="","",BASE_CAIXA!N1586)</f>
        <v/>
      </c>
      <c r="G1589" s="26" t="str">
        <f>IF(A1589="","",BASE_CAIXA!O1586)</f>
        <v/>
      </c>
      <c r="H1589" s="26" t="str">
        <f>IF(A1589="","",BASE_CAIXA!P1586)</f>
        <v/>
      </c>
      <c r="I1589" s="26" t="str">
        <f>IF(A1589="","",IF(BASE_CAIXA!H1586&lt;&gt;"",BASE_CAIXA!H1586,BASE_CAIXA!G1586))</f>
        <v/>
      </c>
      <c r="J1589" s="26" t="str">
        <f>IF(A1589="","",BASE_CAIXA!G1586)</f>
        <v/>
      </c>
      <c r="K1589" s="26" t="str">
        <f>IF(A1589="","",BASE_CAIXA!I1586)</f>
        <v/>
      </c>
      <c r="L1589" s="26" t="str">
        <f>IF(A1589="","",BASE_CAIXA!J1586)</f>
        <v/>
      </c>
      <c r="M1589" s="26" t="str">
        <f>IF(A1589="","",BASE_CAIXA!AM1586)</f>
        <v/>
      </c>
      <c r="N1589" s="26" t="str">
        <f t="shared" ca="1" si="72"/>
        <v/>
      </c>
      <c r="O1589" s="26" t="str">
        <f>IFERROR(INDEX(EXTRATO_IMPORTADO!$A$5:$A$404,MATCH(B1589,EXTRATO_IMPORTADO!$I$5:$I$404,0)),"")</f>
        <v/>
      </c>
      <c r="P1589" s="26" t="str">
        <f>IFERROR(INDEX(EXTRATO_IMPORTADO!$F$5:$F$404,MATCH(B1589,EXTRATO_IMPORTADO!$I$5:$I$404,0)),"")</f>
        <v/>
      </c>
      <c r="Q1589" s="26" t="str">
        <f>IFERROR(INDEX(EXTRATO_IMPORTADO!$B$5:$B$404,MATCH(B1589,EXTRATO_IMPORTADO!$I$5:$I$404,0)),"")</f>
        <v/>
      </c>
      <c r="R1589" s="26" t="str">
        <f>IFERROR(MATCH(B1589,EXTRATO_IMPORTADO!$I$5:$I$404,0),"")</f>
        <v/>
      </c>
      <c r="S1589" s="26" t="str">
        <f t="shared" si="73"/>
        <v/>
      </c>
      <c r="T1589" s="26" t="str">
        <f t="shared" si="74"/>
        <v/>
      </c>
    </row>
    <row r="1590" spans="1:20" x14ac:dyDescent="0.3">
      <c r="A1590" s="26" t="str">
        <f>IF(BASE_CAIXA!A1587="","",BASE_CAIXA!A1587)</f>
        <v/>
      </c>
      <c r="B1590" s="26" t="str">
        <f>IF(A1590="","",BASE_CAIXA!AL1587)</f>
        <v/>
      </c>
      <c r="C1590" s="26" t="str">
        <f>IF(A1590="","",BASE_CAIXA!AJ1587)</f>
        <v/>
      </c>
      <c r="D1590" s="26" t="str">
        <f>IF(A1590="","",IF(BASE_CAIXA!C1587="Entrada","Crédito","Débito"))</f>
        <v/>
      </c>
      <c r="E1590" s="26" t="str">
        <f>IF(A1590="","",BASE_CAIXA!AA1587)</f>
        <v/>
      </c>
      <c r="F1590" s="26" t="str">
        <f>IF(A1590="","",BASE_CAIXA!N1587)</f>
        <v/>
      </c>
      <c r="G1590" s="26" t="str">
        <f>IF(A1590="","",BASE_CAIXA!O1587)</f>
        <v/>
      </c>
      <c r="H1590" s="26" t="str">
        <f>IF(A1590="","",BASE_CAIXA!P1587)</f>
        <v/>
      </c>
      <c r="I1590" s="26" t="str">
        <f>IF(A1590="","",IF(BASE_CAIXA!H1587&lt;&gt;"",BASE_CAIXA!H1587,BASE_CAIXA!G1587))</f>
        <v/>
      </c>
      <c r="J1590" s="26" t="str">
        <f>IF(A1590="","",BASE_CAIXA!G1587)</f>
        <v/>
      </c>
      <c r="K1590" s="26" t="str">
        <f>IF(A1590="","",BASE_CAIXA!I1587)</f>
        <v/>
      </c>
      <c r="L1590" s="26" t="str">
        <f>IF(A1590="","",BASE_CAIXA!J1587)</f>
        <v/>
      </c>
      <c r="M1590" s="26" t="str">
        <f>IF(A1590="","",BASE_CAIXA!AM1587)</f>
        <v/>
      </c>
      <c r="N1590" s="26" t="str">
        <f t="shared" ca="1" si="72"/>
        <v/>
      </c>
      <c r="O1590" s="26" t="str">
        <f>IFERROR(INDEX(EXTRATO_IMPORTADO!$A$5:$A$404,MATCH(B1590,EXTRATO_IMPORTADO!$I$5:$I$404,0)),"")</f>
        <v/>
      </c>
      <c r="P1590" s="26" t="str">
        <f>IFERROR(INDEX(EXTRATO_IMPORTADO!$F$5:$F$404,MATCH(B1590,EXTRATO_IMPORTADO!$I$5:$I$404,0)),"")</f>
        <v/>
      </c>
      <c r="Q1590" s="26" t="str">
        <f>IFERROR(INDEX(EXTRATO_IMPORTADO!$B$5:$B$404,MATCH(B1590,EXTRATO_IMPORTADO!$I$5:$I$404,0)),"")</f>
        <v/>
      </c>
      <c r="R1590" s="26" t="str">
        <f>IFERROR(MATCH(B1590,EXTRATO_IMPORTADO!$I$5:$I$404,0),"")</f>
        <v/>
      </c>
      <c r="S1590" s="26" t="str">
        <f t="shared" si="73"/>
        <v/>
      </c>
      <c r="T1590" s="26" t="str">
        <f t="shared" si="74"/>
        <v/>
      </c>
    </row>
    <row r="1591" spans="1:20" x14ac:dyDescent="0.3">
      <c r="A1591" s="26" t="str">
        <f>IF(BASE_CAIXA!A1588="","",BASE_CAIXA!A1588)</f>
        <v/>
      </c>
      <c r="B1591" s="26" t="str">
        <f>IF(A1591="","",BASE_CAIXA!AL1588)</f>
        <v/>
      </c>
      <c r="C1591" s="26" t="str">
        <f>IF(A1591="","",BASE_CAIXA!AJ1588)</f>
        <v/>
      </c>
      <c r="D1591" s="26" t="str">
        <f>IF(A1591="","",IF(BASE_CAIXA!C1588="Entrada","Crédito","Débito"))</f>
        <v/>
      </c>
      <c r="E1591" s="26" t="str">
        <f>IF(A1591="","",BASE_CAIXA!AA1588)</f>
        <v/>
      </c>
      <c r="F1591" s="26" t="str">
        <f>IF(A1591="","",BASE_CAIXA!N1588)</f>
        <v/>
      </c>
      <c r="G1591" s="26" t="str">
        <f>IF(A1591="","",BASE_CAIXA!O1588)</f>
        <v/>
      </c>
      <c r="H1591" s="26" t="str">
        <f>IF(A1591="","",BASE_CAIXA!P1588)</f>
        <v/>
      </c>
      <c r="I1591" s="26" t="str">
        <f>IF(A1591="","",IF(BASE_CAIXA!H1588&lt;&gt;"",BASE_CAIXA!H1588,BASE_CAIXA!G1588))</f>
        <v/>
      </c>
      <c r="J1591" s="26" t="str">
        <f>IF(A1591="","",BASE_CAIXA!G1588)</f>
        <v/>
      </c>
      <c r="K1591" s="26" t="str">
        <f>IF(A1591="","",BASE_CAIXA!I1588)</f>
        <v/>
      </c>
      <c r="L1591" s="26" t="str">
        <f>IF(A1591="","",BASE_CAIXA!J1588)</f>
        <v/>
      </c>
      <c r="M1591" s="26" t="str">
        <f>IF(A1591="","",BASE_CAIXA!AM1588)</f>
        <v/>
      </c>
      <c r="N1591" s="26" t="str">
        <f t="shared" ca="1" si="72"/>
        <v/>
      </c>
      <c r="O1591" s="26" t="str">
        <f>IFERROR(INDEX(EXTRATO_IMPORTADO!$A$5:$A$404,MATCH(B1591,EXTRATO_IMPORTADO!$I$5:$I$404,0)),"")</f>
        <v/>
      </c>
      <c r="P1591" s="26" t="str">
        <f>IFERROR(INDEX(EXTRATO_IMPORTADO!$F$5:$F$404,MATCH(B1591,EXTRATO_IMPORTADO!$I$5:$I$404,0)),"")</f>
        <v/>
      </c>
      <c r="Q1591" s="26" t="str">
        <f>IFERROR(INDEX(EXTRATO_IMPORTADO!$B$5:$B$404,MATCH(B1591,EXTRATO_IMPORTADO!$I$5:$I$404,0)),"")</f>
        <v/>
      </c>
      <c r="R1591" s="26" t="str">
        <f>IFERROR(MATCH(B1591,EXTRATO_IMPORTADO!$I$5:$I$404,0),"")</f>
        <v/>
      </c>
      <c r="S1591" s="26" t="str">
        <f t="shared" si="73"/>
        <v/>
      </c>
      <c r="T1591" s="26" t="str">
        <f t="shared" si="74"/>
        <v/>
      </c>
    </row>
    <row r="1592" spans="1:20" x14ac:dyDescent="0.3">
      <c r="A1592" s="26" t="str">
        <f>IF(BASE_CAIXA!A1589="","",BASE_CAIXA!A1589)</f>
        <v/>
      </c>
      <c r="B1592" s="26" t="str">
        <f>IF(A1592="","",BASE_CAIXA!AL1589)</f>
        <v/>
      </c>
      <c r="C1592" s="26" t="str">
        <f>IF(A1592="","",BASE_CAIXA!AJ1589)</f>
        <v/>
      </c>
      <c r="D1592" s="26" t="str">
        <f>IF(A1592="","",IF(BASE_CAIXA!C1589="Entrada","Crédito","Débito"))</f>
        <v/>
      </c>
      <c r="E1592" s="26" t="str">
        <f>IF(A1592="","",BASE_CAIXA!AA1589)</f>
        <v/>
      </c>
      <c r="F1592" s="26" t="str">
        <f>IF(A1592="","",BASE_CAIXA!N1589)</f>
        <v/>
      </c>
      <c r="G1592" s="26" t="str">
        <f>IF(A1592="","",BASE_CAIXA!O1589)</f>
        <v/>
      </c>
      <c r="H1592" s="26" t="str">
        <f>IF(A1592="","",BASE_CAIXA!P1589)</f>
        <v/>
      </c>
      <c r="I1592" s="26" t="str">
        <f>IF(A1592="","",IF(BASE_CAIXA!H1589&lt;&gt;"",BASE_CAIXA!H1589,BASE_CAIXA!G1589))</f>
        <v/>
      </c>
      <c r="J1592" s="26" t="str">
        <f>IF(A1592="","",BASE_CAIXA!G1589)</f>
        <v/>
      </c>
      <c r="K1592" s="26" t="str">
        <f>IF(A1592="","",BASE_CAIXA!I1589)</f>
        <v/>
      </c>
      <c r="L1592" s="26" t="str">
        <f>IF(A1592="","",BASE_CAIXA!J1589)</f>
        <v/>
      </c>
      <c r="M1592" s="26" t="str">
        <f>IF(A1592="","",BASE_CAIXA!AM1589)</f>
        <v/>
      </c>
      <c r="N1592" s="26" t="str">
        <f t="shared" ca="1" si="72"/>
        <v/>
      </c>
      <c r="O1592" s="26" t="str">
        <f>IFERROR(INDEX(EXTRATO_IMPORTADO!$A$5:$A$404,MATCH(B1592,EXTRATO_IMPORTADO!$I$5:$I$404,0)),"")</f>
        <v/>
      </c>
      <c r="P1592" s="26" t="str">
        <f>IFERROR(INDEX(EXTRATO_IMPORTADO!$F$5:$F$404,MATCH(B1592,EXTRATO_IMPORTADO!$I$5:$I$404,0)),"")</f>
        <v/>
      </c>
      <c r="Q1592" s="26" t="str">
        <f>IFERROR(INDEX(EXTRATO_IMPORTADO!$B$5:$B$404,MATCH(B1592,EXTRATO_IMPORTADO!$I$5:$I$404,0)),"")</f>
        <v/>
      </c>
      <c r="R1592" s="26" t="str">
        <f>IFERROR(MATCH(B1592,EXTRATO_IMPORTADO!$I$5:$I$404,0),"")</f>
        <v/>
      </c>
      <c r="S1592" s="26" t="str">
        <f t="shared" si="73"/>
        <v/>
      </c>
      <c r="T1592" s="26" t="str">
        <f t="shared" si="74"/>
        <v/>
      </c>
    </row>
    <row r="1593" spans="1:20" x14ac:dyDescent="0.3">
      <c r="A1593" s="26" t="str">
        <f>IF(BASE_CAIXA!A1590="","",BASE_CAIXA!A1590)</f>
        <v/>
      </c>
      <c r="B1593" s="26" t="str">
        <f>IF(A1593="","",BASE_CAIXA!AL1590)</f>
        <v/>
      </c>
      <c r="C1593" s="26" t="str">
        <f>IF(A1593="","",BASE_CAIXA!AJ1590)</f>
        <v/>
      </c>
      <c r="D1593" s="26" t="str">
        <f>IF(A1593="","",IF(BASE_CAIXA!C1590="Entrada","Crédito","Débito"))</f>
        <v/>
      </c>
      <c r="E1593" s="26" t="str">
        <f>IF(A1593="","",BASE_CAIXA!AA1590)</f>
        <v/>
      </c>
      <c r="F1593" s="26" t="str">
        <f>IF(A1593="","",BASE_CAIXA!N1590)</f>
        <v/>
      </c>
      <c r="G1593" s="26" t="str">
        <f>IF(A1593="","",BASE_CAIXA!O1590)</f>
        <v/>
      </c>
      <c r="H1593" s="26" t="str">
        <f>IF(A1593="","",BASE_CAIXA!P1590)</f>
        <v/>
      </c>
      <c r="I1593" s="26" t="str">
        <f>IF(A1593="","",IF(BASE_CAIXA!H1590&lt;&gt;"",BASE_CAIXA!H1590,BASE_CAIXA!G1590))</f>
        <v/>
      </c>
      <c r="J1593" s="26" t="str">
        <f>IF(A1593="","",BASE_CAIXA!G1590)</f>
        <v/>
      </c>
      <c r="K1593" s="26" t="str">
        <f>IF(A1593="","",BASE_CAIXA!I1590)</f>
        <v/>
      </c>
      <c r="L1593" s="26" t="str">
        <f>IF(A1593="","",BASE_CAIXA!J1590)</f>
        <v/>
      </c>
      <c r="M1593" s="26" t="str">
        <f>IF(A1593="","",BASE_CAIXA!AM1590)</f>
        <v/>
      </c>
      <c r="N1593" s="26" t="str">
        <f t="shared" ca="1" si="72"/>
        <v/>
      </c>
      <c r="O1593" s="26" t="str">
        <f>IFERROR(INDEX(EXTRATO_IMPORTADO!$A$5:$A$404,MATCH(B1593,EXTRATO_IMPORTADO!$I$5:$I$404,0)),"")</f>
        <v/>
      </c>
      <c r="P1593" s="26" t="str">
        <f>IFERROR(INDEX(EXTRATO_IMPORTADO!$F$5:$F$404,MATCH(B1593,EXTRATO_IMPORTADO!$I$5:$I$404,0)),"")</f>
        <v/>
      </c>
      <c r="Q1593" s="26" t="str">
        <f>IFERROR(INDEX(EXTRATO_IMPORTADO!$B$5:$B$404,MATCH(B1593,EXTRATO_IMPORTADO!$I$5:$I$404,0)),"")</f>
        <v/>
      </c>
      <c r="R1593" s="26" t="str">
        <f>IFERROR(MATCH(B1593,EXTRATO_IMPORTADO!$I$5:$I$404,0),"")</f>
        <v/>
      </c>
      <c r="S1593" s="26" t="str">
        <f t="shared" si="73"/>
        <v/>
      </c>
      <c r="T1593" s="26" t="str">
        <f t="shared" si="74"/>
        <v/>
      </c>
    </row>
    <row r="1594" spans="1:20" x14ac:dyDescent="0.3">
      <c r="A1594" s="26" t="str">
        <f>IF(BASE_CAIXA!A1591="","",BASE_CAIXA!A1591)</f>
        <v/>
      </c>
      <c r="B1594" s="26" t="str">
        <f>IF(A1594="","",BASE_CAIXA!AL1591)</f>
        <v/>
      </c>
      <c r="C1594" s="26" t="str">
        <f>IF(A1594="","",BASE_CAIXA!AJ1591)</f>
        <v/>
      </c>
      <c r="D1594" s="26" t="str">
        <f>IF(A1594="","",IF(BASE_CAIXA!C1591="Entrada","Crédito","Débito"))</f>
        <v/>
      </c>
      <c r="E1594" s="26" t="str">
        <f>IF(A1594="","",BASE_CAIXA!AA1591)</f>
        <v/>
      </c>
      <c r="F1594" s="26" t="str">
        <f>IF(A1594="","",BASE_CAIXA!N1591)</f>
        <v/>
      </c>
      <c r="G1594" s="26" t="str">
        <f>IF(A1594="","",BASE_CAIXA!O1591)</f>
        <v/>
      </c>
      <c r="H1594" s="26" t="str">
        <f>IF(A1594="","",BASE_CAIXA!P1591)</f>
        <v/>
      </c>
      <c r="I1594" s="26" t="str">
        <f>IF(A1594="","",IF(BASE_CAIXA!H1591&lt;&gt;"",BASE_CAIXA!H1591,BASE_CAIXA!G1591))</f>
        <v/>
      </c>
      <c r="J1594" s="26" t="str">
        <f>IF(A1594="","",BASE_CAIXA!G1591)</f>
        <v/>
      </c>
      <c r="K1594" s="26" t="str">
        <f>IF(A1594="","",BASE_CAIXA!I1591)</f>
        <v/>
      </c>
      <c r="L1594" s="26" t="str">
        <f>IF(A1594="","",BASE_CAIXA!J1591)</f>
        <v/>
      </c>
      <c r="M1594" s="26" t="str">
        <f>IF(A1594="","",BASE_CAIXA!AM1591)</f>
        <v/>
      </c>
      <c r="N1594" s="26" t="str">
        <f t="shared" ca="1" si="72"/>
        <v/>
      </c>
      <c r="O1594" s="26" t="str">
        <f>IFERROR(INDEX(EXTRATO_IMPORTADO!$A$5:$A$404,MATCH(B1594,EXTRATO_IMPORTADO!$I$5:$I$404,0)),"")</f>
        <v/>
      </c>
      <c r="P1594" s="26" t="str">
        <f>IFERROR(INDEX(EXTRATO_IMPORTADO!$F$5:$F$404,MATCH(B1594,EXTRATO_IMPORTADO!$I$5:$I$404,0)),"")</f>
        <v/>
      </c>
      <c r="Q1594" s="26" t="str">
        <f>IFERROR(INDEX(EXTRATO_IMPORTADO!$B$5:$B$404,MATCH(B1594,EXTRATO_IMPORTADO!$I$5:$I$404,0)),"")</f>
        <v/>
      </c>
      <c r="R1594" s="26" t="str">
        <f>IFERROR(MATCH(B1594,EXTRATO_IMPORTADO!$I$5:$I$404,0),"")</f>
        <v/>
      </c>
      <c r="S1594" s="26" t="str">
        <f t="shared" si="73"/>
        <v/>
      </c>
      <c r="T1594" s="26" t="str">
        <f t="shared" si="74"/>
        <v/>
      </c>
    </row>
    <row r="1595" spans="1:20" x14ac:dyDescent="0.3">
      <c r="A1595" s="26" t="str">
        <f>IF(BASE_CAIXA!A1592="","",BASE_CAIXA!A1592)</f>
        <v/>
      </c>
      <c r="B1595" s="26" t="str">
        <f>IF(A1595="","",BASE_CAIXA!AL1592)</f>
        <v/>
      </c>
      <c r="C1595" s="26" t="str">
        <f>IF(A1595="","",BASE_CAIXA!AJ1592)</f>
        <v/>
      </c>
      <c r="D1595" s="26" t="str">
        <f>IF(A1595="","",IF(BASE_CAIXA!C1592="Entrada","Crédito","Débito"))</f>
        <v/>
      </c>
      <c r="E1595" s="26" t="str">
        <f>IF(A1595="","",BASE_CAIXA!AA1592)</f>
        <v/>
      </c>
      <c r="F1595" s="26" t="str">
        <f>IF(A1595="","",BASE_CAIXA!N1592)</f>
        <v/>
      </c>
      <c r="G1595" s="26" t="str">
        <f>IF(A1595="","",BASE_CAIXA!O1592)</f>
        <v/>
      </c>
      <c r="H1595" s="26" t="str">
        <f>IF(A1595="","",BASE_CAIXA!P1592)</f>
        <v/>
      </c>
      <c r="I1595" s="26" t="str">
        <f>IF(A1595="","",IF(BASE_CAIXA!H1592&lt;&gt;"",BASE_CAIXA!H1592,BASE_CAIXA!G1592))</f>
        <v/>
      </c>
      <c r="J1595" s="26" t="str">
        <f>IF(A1595="","",BASE_CAIXA!G1592)</f>
        <v/>
      </c>
      <c r="K1595" s="26" t="str">
        <f>IF(A1595="","",BASE_CAIXA!I1592)</f>
        <v/>
      </c>
      <c r="L1595" s="26" t="str">
        <f>IF(A1595="","",BASE_CAIXA!J1592)</f>
        <v/>
      </c>
      <c r="M1595" s="26" t="str">
        <f>IF(A1595="","",BASE_CAIXA!AM1592)</f>
        <v/>
      </c>
      <c r="N1595" s="26" t="str">
        <f t="shared" ca="1" si="72"/>
        <v/>
      </c>
      <c r="O1595" s="26" t="str">
        <f>IFERROR(INDEX(EXTRATO_IMPORTADO!$A$5:$A$404,MATCH(B1595,EXTRATO_IMPORTADO!$I$5:$I$404,0)),"")</f>
        <v/>
      </c>
      <c r="P1595" s="26" t="str">
        <f>IFERROR(INDEX(EXTRATO_IMPORTADO!$F$5:$F$404,MATCH(B1595,EXTRATO_IMPORTADO!$I$5:$I$404,0)),"")</f>
        <v/>
      </c>
      <c r="Q1595" s="26" t="str">
        <f>IFERROR(INDEX(EXTRATO_IMPORTADO!$B$5:$B$404,MATCH(B1595,EXTRATO_IMPORTADO!$I$5:$I$404,0)),"")</f>
        <v/>
      </c>
      <c r="R1595" s="26" t="str">
        <f>IFERROR(MATCH(B1595,EXTRATO_IMPORTADO!$I$5:$I$404,0),"")</f>
        <v/>
      </c>
      <c r="S1595" s="26" t="str">
        <f t="shared" si="73"/>
        <v/>
      </c>
      <c r="T1595" s="26" t="str">
        <f t="shared" si="74"/>
        <v/>
      </c>
    </row>
    <row r="1596" spans="1:20" x14ac:dyDescent="0.3">
      <c r="A1596" s="26" t="str">
        <f>IF(BASE_CAIXA!A1593="","",BASE_CAIXA!A1593)</f>
        <v/>
      </c>
      <c r="B1596" s="26" t="str">
        <f>IF(A1596="","",BASE_CAIXA!AL1593)</f>
        <v/>
      </c>
      <c r="C1596" s="26" t="str">
        <f>IF(A1596="","",BASE_CAIXA!AJ1593)</f>
        <v/>
      </c>
      <c r="D1596" s="26" t="str">
        <f>IF(A1596="","",IF(BASE_CAIXA!C1593="Entrada","Crédito","Débito"))</f>
        <v/>
      </c>
      <c r="E1596" s="26" t="str">
        <f>IF(A1596="","",BASE_CAIXA!AA1593)</f>
        <v/>
      </c>
      <c r="F1596" s="26" t="str">
        <f>IF(A1596="","",BASE_CAIXA!N1593)</f>
        <v/>
      </c>
      <c r="G1596" s="26" t="str">
        <f>IF(A1596="","",BASE_CAIXA!O1593)</f>
        <v/>
      </c>
      <c r="H1596" s="26" t="str">
        <f>IF(A1596="","",BASE_CAIXA!P1593)</f>
        <v/>
      </c>
      <c r="I1596" s="26" t="str">
        <f>IF(A1596="","",IF(BASE_CAIXA!H1593&lt;&gt;"",BASE_CAIXA!H1593,BASE_CAIXA!G1593))</f>
        <v/>
      </c>
      <c r="J1596" s="26" t="str">
        <f>IF(A1596="","",BASE_CAIXA!G1593)</f>
        <v/>
      </c>
      <c r="K1596" s="26" t="str">
        <f>IF(A1596="","",BASE_CAIXA!I1593)</f>
        <v/>
      </c>
      <c r="L1596" s="26" t="str">
        <f>IF(A1596="","",BASE_CAIXA!J1593)</f>
        <v/>
      </c>
      <c r="M1596" s="26" t="str">
        <f>IF(A1596="","",BASE_CAIXA!AM1593)</f>
        <v/>
      </c>
      <c r="N1596" s="26" t="str">
        <f t="shared" ca="1" si="72"/>
        <v/>
      </c>
      <c r="O1596" s="26" t="str">
        <f>IFERROR(INDEX(EXTRATO_IMPORTADO!$A$5:$A$404,MATCH(B1596,EXTRATO_IMPORTADO!$I$5:$I$404,0)),"")</f>
        <v/>
      </c>
      <c r="P1596" s="26" t="str">
        <f>IFERROR(INDEX(EXTRATO_IMPORTADO!$F$5:$F$404,MATCH(B1596,EXTRATO_IMPORTADO!$I$5:$I$404,0)),"")</f>
        <v/>
      </c>
      <c r="Q1596" s="26" t="str">
        <f>IFERROR(INDEX(EXTRATO_IMPORTADO!$B$5:$B$404,MATCH(B1596,EXTRATO_IMPORTADO!$I$5:$I$404,0)),"")</f>
        <v/>
      </c>
      <c r="R1596" s="26" t="str">
        <f>IFERROR(MATCH(B1596,EXTRATO_IMPORTADO!$I$5:$I$404,0),"")</f>
        <v/>
      </c>
      <c r="S1596" s="26" t="str">
        <f t="shared" si="73"/>
        <v/>
      </c>
      <c r="T1596" s="26" t="str">
        <f t="shared" si="74"/>
        <v/>
      </c>
    </row>
    <row r="1597" spans="1:20" x14ac:dyDescent="0.3">
      <c r="A1597" s="26" t="str">
        <f>IF(BASE_CAIXA!A1594="","",BASE_CAIXA!A1594)</f>
        <v/>
      </c>
      <c r="B1597" s="26" t="str">
        <f>IF(A1597="","",BASE_CAIXA!AL1594)</f>
        <v/>
      </c>
      <c r="C1597" s="26" t="str">
        <f>IF(A1597="","",BASE_CAIXA!AJ1594)</f>
        <v/>
      </c>
      <c r="D1597" s="26" t="str">
        <f>IF(A1597="","",IF(BASE_CAIXA!C1594="Entrada","Crédito","Débito"))</f>
        <v/>
      </c>
      <c r="E1597" s="26" t="str">
        <f>IF(A1597="","",BASE_CAIXA!AA1594)</f>
        <v/>
      </c>
      <c r="F1597" s="26" t="str">
        <f>IF(A1597="","",BASE_CAIXA!N1594)</f>
        <v/>
      </c>
      <c r="G1597" s="26" t="str">
        <f>IF(A1597="","",BASE_CAIXA!O1594)</f>
        <v/>
      </c>
      <c r="H1597" s="26" t="str">
        <f>IF(A1597="","",BASE_CAIXA!P1594)</f>
        <v/>
      </c>
      <c r="I1597" s="26" t="str">
        <f>IF(A1597="","",IF(BASE_CAIXA!H1594&lt;&gt;"",BASE_CAIXA!H1594,BASE_CAIXA!G1594))</f>
        <v/>
      </c>
      <c r="J1597" s="26" t="str">
        <f>IF(A1597="","",BASE_CAIXA!G1594)</f>
        <v/>
      </c>
      <c r="K1597" s="26" t="str">
        <f>IF(A1597="","",BASE_CAIXA!I1594)</f>
        <v/>
      </c>
      <c r="L1597" s="26" t="str">
        <f>IF(A1597="","",BASE_CAIXA!J1594)</f>
        <v/>
      </c>
      <c r="M1597" s="26" t="str">
        <f>IF(A1597="","",BASE_CAIXA!AM1594)</f>
        <v/>
      </c>
      <c r="N1597" s="26" t="str">
        <f t="shared" ca="1" si="72"/>
        <v/>
      </c>
      <c r="O1597" s="26" t="str">
        <f>IFERROR(INDEX(EXTRATO_IMPORTADO!$A$5:$A$404,MATCH(B1597,EXTRATO_IMPORTADO!$I$5:$I$404,0)),"")</f>
        <v/>
      </c>
      <c r="P1597" s="26" t="str">
        <f>IFERROR(INDEX(EXTRATO_IMPORTADO!$F$5:$F$404,MATCH(B1597,EXTRATO_IMPORTADO!$I$5:$I$404,0)),"")</f>
        <v/>
      </c>
      <c r="Q1597" s="26" t="str">
        <f>IFERROR(INDEX(EXTRATO_IMPORTADO!$B$5:$B$404,MATCH(B1597,EXTRATO_IMPORTADO!$I$5:$I$404,0)),"")</f>
        <v/>
      </c>
      <c r="R1597" s="26" t="str">
        <f>IFERROR(MATCH(B1597,EXTRATO_IMPORTADO!$I$5:$I$404,0),"")</f>
        <v/>
      </c>
      <c r="S1597" s="26" t="str">
        <f t="shared" si="73"/>
        <v/>
      </c>
      <c r="T1597" s="26" t="str">
        <f t="shared" si="74"/>
        <v/>
      </c>
    </row>
    <row r="1598" spans="1:20" x14ac:dyDescent="0.3">
      <c r="A1598" s="26" t="str">
        <f>IF(BASE_CAIXA!A1595="","",BASE_CAIXA!A1595)</f>
        <v/>
      </c>
      <c r="B1598" s="26" t="str">
        <f>IF(A1598="","",BASE_CAIXA!AL1595)</f>
        <v/>
      </c>
      <c r="C1598" s="26" t="str">
        <f>IF(A1598="","",BASE_CAIXA!AJ1595)</f>
        <v/>
      </c>
      <c r="D1598" s="26" t="str">
        <f>IF(A1598="","",IF(BASE_CAIXA!C1595="Entrada","Crédito","Débito"))</f>
        <v/>
      </c>
      <c r="E1598" s="26" t="str">
        <f>IF(A1598="","",BASE_CAIXA!AA1595)</f>
        <v/>
      </c>
      <c r="F1598" s="26" t="str">
        <f>IF(A1598="","",BASE_CAIXA!N1595)</f>
        <v/>
      </c>
      <c r="G1598" s="26" t="str">
        <f>IF(A1598="","",BASE_CAIXA!O1595)</f>
        <v/>
      </c>
      <c r="H1598" s="26" t="str">
        <f>IF(A1598="","",BASE_CAIXA!P1595)</f>
        <v/>
      </c>
      <c r="I1598" s="26" t="str">
        <f>IF(A1598="","",IF(BASE_CAIXA!H1595&lt;&gt;"",BASE_CAIXA!H1595,BASE_CAIXA!G1595))</f>
        <v/>
      </c>
      <c r="J1598" s="26" t="str">
        <f>IF(A1598="","",BASE_CAIXA!G1595)</f>
        <v/>
      </c>
      <c r="K1598" s="26" t="str">
        <f>IF(A1598="","",BASE_CAIXA!I1595)</f>
        <v/>
      </c>
      <c r="L1598" s="26" t="str">
        <f>IF(A1598="","",BASE_CAIXA!J1595)</f>
        <v/>
      </c>
      <c r="M1598" s="26" t="str">
        <f>IF(A1598="","",BASE_CAIXA!AM1595)</f>
        <v/>
      </c>
      <c r="N1598" s="26" t="str">
        <f t="shared" ca="1" si="72"/>
        <v/>
      </c>
      <c r="O1598" s="26" t="str">
        <f>IFERROR(INDEX(EXTRATO_IMPORTADO!$A$5:$A$404,MATCH(B1598,EXTRATO_IMPORTADO!$I$5:$I$404,0)),"")</f>
        <v/>
      </c>
      <c r="P1598" s="26" t="str">
        <f>IFERROR(INDEX(EXTRATO_IMPORTADO!$F$5:$F$404,MATCH(B1598,EXTRATO_IMPORTADO!$I$5:$I$404,0)),"")</f>
        <v/>
      </c>
      <c r="Q1598" s="26" t="str">
        <f>IFERROR(INDEX(EXTRATO_IMPORTADO!$B$5:$B$404,MATCH(B1598,EXTRATO_IMPORTADO!$I$5:$I$404,0)),"")</f>
        <v/>
      </c>
      <c r="R1598" s="26" t="str">
        <f>IFERROR(MATCH(B1598,EXTRATO_IMPORTADO!$I$5:$I$404,0),"")</f>
        <v/>
      </c>
      <c r="S1598" s="26" t="str">
        <f t="shared" si="73"/>
        <v/>
      </c>
      <c r="T1598" s="26" t="str">
        <f t="shared" si="74"/>
        <v/>
      </c>
    </row>
    <row r="1599" spans="1:20" x14ac:dyDescent="0.3">
      <c r="A1599" s="26" t="str">
        <f>IF(BASE_CAIXA!A1596="","",BASE_CAIXA!A1596)</f>
        <v/>
      </c>
      <c r="B1599" s="26" t="str">
        <f>IF(A1599="","",BASE_CAIXA!AL1596)</f>
        <v/>
      </c>
      <c r="C1599" s="26" t="str">
        <f>IF(A1599="","",BASE_CAIXA!AJ1596)</f>
        <v/>
      </c>
      <c r="D1599" s="26" t="str">
        <f>IF(A1599="","",IF(BASE_CAIXA!C1596="Entrada","Crédito","Débito"))</f>
        <v/>
      </c>
      <c r="E1599" s="26" t="str">
        <f>IF(A1599="","",BASE_CAIXA!AA1596)</f>
        <v/>
      </c>
      <c r="F1599" s="26" t="str">
        <f>IF(A1599="","",BASE_CAIXA!N1596)</f>
        <v/>
      </c>
      <c r="G1599" s="26" t="str">
        <f>IF(A1599="","",BASE_CAIXA!O1596)</f>
        <v/>
      </c>
      <c r="H1599" s="26" t="str">
        <f>IF(A1599="","",BASE_CAIXA!P1596)</f>
        <v/>
      </c>
      <c r="I1599" s="26" t="str">
        <f>IF(A1599="","",IF(BASE_CAIXA!H1596&lt;&gt;"",BASE_CAIXA!H1596,BASE_CAIXA!G1596))</f>
        <v/>
      </c>
      <c r="J1599" s="26" t="str">
        <f>IF(A1599="","",BASE_CAIXA!G1596)</f>
        <v/>
      </c>
      <c r="K1599" s="26" t="str">
        <f>IF(A1599="","",BASE_CAIXA!I1596)</f>
        <v/>
      </c>
      <c r="L1599" s="26" t="str">
        <f>IF(A1599="","",BASE_CAIXA!J1596)</f>
        <v/>
      </c>
      <c r="M1599" s="26" t="str">
        <f>IF(A1599="","",BASE_CAIXA!AM1596)</f>
        <v/>
      </c>
      <c r="N1599" s="26" t="str">
        <f t="shared" ca="1" si="72"/>
        <v/>
      </c>
      <c r="O1599" s="26" t="str">
        <f>IFERROR(INDEX(EXTRATO_IMPORTADO!$A$5:$A$404,MATCH(B1599,EXTRATO_IMPORTADO!$I$5:$I$404,0)),"")</f>
        <v/>
      </c>
      <c r="P1599" s="26" t="str">
        <f>IFERROR(INDEX(EXTRATO_IMPORTADO!$F$5:$F$404,MATCH(B1599,EXTRATO_IMPORTADO!$I$5:$I$404,0)),"")</f>
        <v/>
      </c>
      <c r="Q1599" s="26" t="str">
        <f>IFERROR(INDEX(EXTRATO_IMPORTADO!$B$5:$B$404,MATCH(B1599,EXTRATO_IMPORTADO!$I$5:$I$404,0)),"")</f>
        <v/>
      </c>
      <c r="R1599" s="26" t="str">
        <f>IFERROR(MATCH(B1599,EXTRATO_IMPORTADO!$I$5:$I$404,0),"")</f>
        <v/>
      </c>
      <c r="S1599" s="26" t="str">
        <f t="shared" si="73"/>
        <v/>
      </c>
      <c r="T1599" s="26" t="str">
        <f t="shared" si="74"/>
        <v/>
      </c>
    </row>
    <row r="1600" spans="1:20" x14ac:dyDescent="0.3">
      <c r="A1600" s="26" t="str">
        <f>IF(BASE_CAIXA!A1597="","",BASE_CAIXA!A1597)</f>
        <v/>
      </c>
      <c r="B1600" s="26" t="str">
        <f>IF(A1600="","",BASE_CAIXA!AL1597)</f>
        <v/>
      </c>
      <c r="C1600" s="26" t="str">
        <f>IF(A1600="","",BASE_CAIXA!AJ1597)</f>
        <v/>
      </c>
      <c r="D1600" s="26" t="str">
        <f>IF(A1600="","",IF(BASE_CAIXA!C1597="Entrada","Crédito","Débito"))</f>
        <v/>
      </c>
      <c r="E1600" s="26" t="str">
        <f>IF(A1600="","",BASE_CAIXA!AA1597)</f>
        <v/>
      </c>
      <c r="F1600" s="26" t="str">
        <f>IF(A1600="","",BASE_CAIXA!N1597)</f>
        <v/>
      </c>
      <c r="G1600" s="26" t="str">
        <f>IF(A1600="","",BASE_CAIXA!O1597)</f>
        <v/>
      </c>
      <c r="H1600" s="26" t="str">
        <f>IF(A1600="","",BASE_CAIXA!P1597)</f>
        <v/>
      </c>
      <c r="I1600" s="26" t="str">
        <f>IF(A1600="","",IF(BASE_CAIXA!H1597&lt;&gt;"",BASE_CAIXA!H1597,BASE_CAIXA!G1597))</f>
        <v/>
      </c>
      <c r="J1600" s="26" t="str">
        <f>IF(A1600="","",BASE_CAIXA!G1597)</f>
        <v/>
      </c>
      <c r="K1600" s="26" t="str">
        <f>IF(A1600="","",BASE_CAIXA!I1597)</f>
        <v/>
      </c>
      <c r="L1600" s="26" t="str">
        <f>IF(A1600="","",BASE_CAIXA!J1597)</f>
        <v/>
      </c>
      <c r="M1600" s="26" t="str">
        <f>IF(A1600="","",BASE_CAIXA!AM1597)</f>
        <v/>
      </c>
      <c r="N1600" s="26" t="str">
        <f t="shared" ca="1" si="72"/>
        <v/>
      </c>
      <c r="O1600" s="26" t="str">
        <f>IFERROR(INDEX(EXTRATO_IMPORTADO!$A$5:$A$404,MATCH(B1600,EXTRATO_IMPORTADO!$I$5:$I$404,0)),"")</f>
        <v/>
      </c>
      <c r="P1600" s="26" t="str">
        <f>IFERROR(INDEX(EXTRATO_IMPORTADO!$F$5:$F$404,MATCH(B1600,EXTRATO_IMPORTADO!$I$5:$I$404,0)),"")</f>
        <v/>
      </c>
      <c r="Q1600" s="26" t="str">
        <f>IFERROR(INDEX(EXTRATO_IMPORTADO!$B$5:$B$404,MATCH(B1600,EXTRATO_IMPORTADO!$I$5:$I$404,0)),"")</f>
        <v/>
      </c>
      <c r="R1600" s="26" t="str">
        <f>IFERROR(MATCH(B1600,EXTRATO_IMPORTADO!$I$5:$I$404,0),"")</f>
        <v/>
      </c>
      <c r="S1600" s="26" t="str">
        <f t="shared" si="73"/>
        <v/>
      </c>
      <c r="T1600" s="26" t="str">
        <f t="shared" si="74"/>
        <v/>
      </c>
    </row>
    <row r="1601" spans="1:20" x14ac:dyDescent="0.3">
      <c r="A1601" s="26" t="str">
        <f>IF(BASE_CAIXA!A1598="","",BASE_CAIXA!A1598)</f>
        <v/>
      </c>
      <c r="B1601" s="26" t="str">
        <f>IF(A1601="","",BASE_CAIXA!AL1598)</f>
        <v/>
      </c>
      <c r="C1601" s="26" t="str">
        <f>IF(A1601="","",BASE_CAIXA!AJ1598)</f>
        <v/>
      </c>
      <c r="D1601" s="26" t="str">
        <f>IF(A1601="","",IF(BASE_CAIXA!C1598="Entrada","Crédito","Débito"))</f>
        <v/>
      </c>
      <c r="E1601" s="26" t="str">
        <f>IF(A1601="","",BASE_CAIXA!AA1598)</f>
        <v/>
      </c>
      <c r="F1601" s="26" t="str">
        <f>IF(A1601="","",BASE_CAIXA!N1598)</f>
        <v/>
      </c>
      <c r="G1601" s="26" t="str">
        <f>IF(A1601="","",BASE_CAIXA!O1598)</f>
        <v/>
      </c>
      <c r="H1601" s="26" t="str">
        <f>IF(A1601="","",BASE_CAIXA!P1598)</f>
        <v/>
      </c>
      <c r="I1601" s="26" t="str">
        <f>IF(A1601="","",IF(BASE_CAIXA!H1598&lt;&gt;"",BASE_CAIXA!H1598,BASE_CAIXA!G1598))</f>
        <v/>
      </c>
      <c r="J1601" s="26" t="str">
        <f>IF(A1601="","",BASE_CAIXA!G1598)</f>
        <v/>
      </c>
      <c r="K1601" s="26" t="str">
        <f>IF(A1601="","",BASE_CAIXA!I1598)</f>
        <v/>
      </c>
      <c r="L1601" s="26" t="str">
        <f>IF(A1601="","",BASE_CAIXA!J1598)</f>
        <v/>
      </c>
      <c r="M1601" s="26" t="str">
        <f>IF(A1601="","",BASE_CAIXA!AM1598)</f>
        <v/>
      </c>
      <c r="N1601" s="26" t="str">
        <f t="shared" ca="1" si="72"/>
        <v/>
      </c>
      <c r="O1601" s="26" t="str">
        <f>IFERROR(INDEX(EXTRATO_IMPORTADO!$A$5:$A$404,MATCH(B1601,EXTRATO_IMPORTADO!$I$5:$I$404,0)),"")</f>
        <v/>
      </c>
      <c r="P1601" s="26" t="str">
        <f>IFERROR(INDEX(EXTRATO_IMPORTADO!$F$5:$F$404,MATCH(B1601,EXTRATO_IMPORTADO!$I$5:$I$404,0)),"")</f>
        <v/>
      </c>
      <c r="Q1601" s="26" t="str">
        <f>IFERROR(INDEX(EXTRATO_IMPORTADO!$B$5:$B$404,MATCH(B1601,EXTRATO_IMPORTADO!$I$5:$I$404,0)),"")</f>
        <v/>
      </c>
      <c r="R1601" s="26" t="str">
        <f>IFERROR(MATCH(B1601,EXTRATO_IMPORTADO!$I$5:$I$404,0),"")</f>
        <v/>
      </c>
      <c r="S1601" s="26" t="str">
        <f t="shared" si="73"/>
        <v/>
      </c>
      <c r="T1601" s="26" t="str">
        <f t="shared" si="74"/>
        <v/>
      </c>
    </row>
    <row r="1602" spans="1:20" x14ac:dyDescent="0.3">
      <c r="A1602" s="26" t="str">
        <f>IF(BASE_CAIXA!A1599="","",BASE_CAIXA!A1599)</f>
        <v/>
      </c>
      <c r="B1602" s="26" t="str">
        <f>IF(A1602="","",BASE_CAIXA!AL1599)</f>
        <v/>
      </c>
      <c r="C1602" s="26" t="str">
        <f>IF(A1602="","",BASE_CAIXA!AJ1599)</f>
        <v/>
      </c>
      <c r="D1602" s="26" t="str">
        <f>IF(A1602="","",IF(BASE_CAIXA!C1599="Entrada","Crédito","Débito"))</f>
        <v/>
      </c>
      <c r="E1602" s="26" t="str">
        <f>IF(A1602="","",BASE_CAIXA!AA1599)</f>
        <v/>
      </c>
      <c r="F1602" s="26" t="str">
        <f>IF(A1602="","",BASE_CAIXA!N1599)</f>
        <v/>
      </c>
      <c r="G1602" s="26" t="str">
        <f>IF(A1602="","",BASE_CAIXA!O1599)</f>
        <v/>
      </c>
      <c r="H1602" s="26" t="str">
        <f>IF(A1602="","",BASE_CAIXA!P1599)</f>
        <v/>
      </c>
      <c r="I1602" s="26" t="str">
        <f>IF(A1602="","",IF(BASE_CAIXA!H1599&lt;&gt;"",BASE_CAIXA!H1599,BASE_CAIXA!G1599))</f>
        <v/>
      </c>
      <c r="J1602" s="26" t="str">
        <f>IF(A1602="","",BASE_CAIXA!G1599)</f>
        <v/>
      </c>
      <c r="K1602" s="26" t="str">
        <f>IF(A1602="","",BASE_CAIXA!I1599)</f>
        <v/>
      </c>
      <c r="L1602" s="26" t="str">
        <f>IF(A1602="","",BASE_CAIXA!J1599)</f>
        <v/>
      </c>
      <c r="M1602" s="26" t="str">
        <f>IF(A1602="","",BASE_CAIXA!AM1599)</f>
        <v/>
      </c>
      <c r="N1602" s="26" t="str">
        <f t="shared" ca="1" si="72"/>
        <v/>
      </c>
      <c r="O1602" s="26" t="str">
        <f>IFERROR(INDEX(EXTRATO_IMPORTADO!$A$5:$A$404,MATCH(B1602,EXTRATO_IMPORTADO!$I$5:$I$404,0)),"")</f>
        <v/>
      </c>
      <c r="P1602" s="26" t="str">
        <f>IFERROR(INDEX(EXTRATO_IMPORTADO!$F$5:$F$404,MATCH(B1602,EXTRATO_IMPORTADO!$I$5:$I$404,0)),"")</f>
        <v/>
      </c>
      <c r="Q1602" s="26" t="str">
        <f>IFERROR(INDEX(EXTRATO_IMPORTADO!$B$5:$B$404,MATCH(B1602,EXTRATO_IMPORTADO!$I$5:$I$404,0)),"")</f>
        <v/>
      </c>
      <c r="R1602" s="26" t="str">
        <f>IFERROR(MATCH(B1602,EXTRATO_IMPORTADO!$I$5:$I$404,0),"")</f>
        <v/>
      </c>
      <c r="S1602" s="26" t="str">
        <f t="shared" si="73"/>
        <v/>
      </c>
      <c r="T1602" s="26" t="str">
        <f t="shared" si="74"/>
        <v/>
      </c>
    </row>
    <row r="1603" spans="1:20" x14ac:dyDescent="0.3">
      <c r="A1603" s="26" t="str">
        <f>IF(BASE_CAIXA!A1600="","",BASE_CAIXA!A1600)</f>
        <v/>
      </c>
      <c r="B1603" s="26" t="str">
        <f>IF(A1603="","",BASE_CAIXA!AL1600)</f>
        <v/>
      </c>
      <c r="C1603" s="26" t="str">
        <f>IF(A1603="","",BASE_CAIXA!AJ1600)</f>
        <v/>
      </c>
      <c r="D1603" s="26" t="str">
        <f>IF(A1603="","",IF(BASE_CAIXA!C1600="Entrada","Crédito","Débito"))</f>
        <v/>
      </c>
      <c r="E1603" s="26" t="str">
        <f>IF(A1603="","",BASE_CAIXA!AA1600)</f>
        <v/>
      </c>
      <c r="F1603" s="26" t="str">
        <f>IF(A1603="","",BASE_CAIXA!N1600)</f>
        <v/>
      </c>
      <c r="G1603" s="26" t="str">
        <f>IF(A1603="","",BASE_CAIXA!O1600)</f>
        <v/>
      </c>
      <c r="H1603" s="26" t="str">
        <f>IF(A1603="","",BASE_CAIXA!P1600)</f>
        <v/>
      </c>
      <c r="I1603" s="26" t="str">
        <f>IF(A1603="","",IF(BASE_CAIXA!H1600&lt;&gt;"",BASE_CAIXA!H1600,BASE_CAIXA!G1600))</f>
        <v/>
      </c>
      <c r="J1603" s="26" t="str">
        <f>IF(A1603="","",BASE_CAIXA!G1600)</f>
        <v/>
      </c>
      <c r="K1603" s="26" t="str">
        <f>IF(A1603="","",BASE_CAIXA!I1600)</f>
        <v/>
      </c>
      <c r="L1603" s="26" t="str">
        <f>IF(A1603="","",BASE_CAIXA!J1600)</f>
        <v/>
      </c>
      <c r="M1603" s="26" t="str">
        <f>IF(A1603="","",BASE_CAIXA!AM1600)</f>
        <v/>
      </c>
      <c r="N1603" s="26" t="str">
        <f t="shared" ca="1" si="72"/>
        <v/>
      </c>
      <c r="O1603" s="26" t="str">
        <f>IFERROR(INDEX(EXTRATO_IMPORTADO!$A$5:$A$404,MATCH(B1603,EXTRATO_IMPORTADO!$I$5:$I$404,0)),"")</f>
        <v/>
      </c>
      <c r="P1603" s="26" t="str">
        <f>IFERROR(INDEX(EXTRATO_IMPORTADO!$F$5:$F$404,MATCH(B1603,EXTRATO_IMPORTADO!$I$5:$I$404,0)),"")</f>
        <v/>
      </c>
      <c r="Q1603" s="26" t="str">
        <f>IFERROR(INDEX(EXTRATO_IMPORTADO!$B$5:$B$404,MATCH(B1603,EXTRATO_IMPORTADO!$I$5:$I$404,0)),"")</f>
        <v/>
      </c>
      <c r="R1603" s="26" t="str">
        <f>IFERROR(MATCH(B1603,EXTRATO_IMPORTADO!$I$5:$I$404,0),"")</f>
        <v/>
      </c>
      <c r="S1603" s="26" t="str">
        <f t="shared" si="73"/>
        <v/>
      </c>
      <c r="T1603" s="26" t="str">
        <f t="shared" si="74"/>
        <v/>
      </c>
    </row>
    <row r="1604" spans="1:20" x14ac:dyDescent="0.3">
      <c r="A1604" s="26" t="str">
        <f>IF(BASE_CAIXA!A1601="","",BASE_CAIXA!A1601)</f>
        <v/>
      </c>
      <c r="B1604" s="26" t="str">
        <f>IF(A1604="","",BASE_CAIXA!AL1601)</f>
        <v/>
      </c>
      <c r="C1604" s="26" t="str">
        <f>IF(A1604="","",BASE_CAIXA!AJ1601)</f>
        <v/>
      </c>
      <c r="D1604" s="26" t="str">
        <f>IF(A1604="","",IF(BASE_CAIXA!C1601="Entrada","Crédito","Débito"))</f>
        <v/>
      </c>
      <c r="E1604" s="26" t="str">
        <f>IF(A1604="","",BASE_CAIXA!AA1601)</f>
        <v/>
      </c>
      <c r="F1604" s="26" t="str">
        <f>IF(A1604="","",BASE_CAIXA!N1601)</f>
        <v/>
      </c>
      <c r="G1604" s="26" t="str">
        <f>IF(A1604="","",BASE_CAIXA!O1601)</f>
        <v/>
      </c>
      <c r="H1604" s="26" t="str">
        <f>IF(A1604="","",BASE_CAIXA!P1601)</f>
        <v/>
      </c>
      <c r="I1604" s="26" t="str">
        <f>IF(A1604="","",IF(BASE_CAIXA!H1601&lt;&gt;"",BASE_CAIXA!H1601,BASE_CAIXA!G1601))</f>
        <v/>
      </c>
      <c r="J1604" s="26" t="str">
        <f>IF(A1604="","",BASE_CAIXA!G1601)</f>
        <v/>
      </c>
      <c r="K1604" s="26" t="str">
        <f>IF(A1604="","",BASE_CAIXA!I1601)</f>
        <v/>
      </c>
      <c r="L1604" s="26" t="str">
        <f>IF(A1604="","",BASE_CAIXA!J1601)</f>
        <v/>
      </c>
      <c r="M1604" s="26" t="str">
        <f>IF(A1604="","",BASE_CAIXA!AM1601)</f>
        <v/>
      </c>
      <c r="N1604" s="26" t="str">
        <f t="shared" ca="1" si="72"/>
        <v/>
      </c>
      <c r="O1604" s="26" t="str">
        <f>IFERROR(INDEX(EXTRATO_IMPORTADO!$A$5:$A$404,MATCH(B1604,EXTRATO_IMPORTADO!$I$5:$I$404,0)),"")</f>
        <v/>
      </c>
      <c r="P1604" s="26" t="str">
        <f>IFERROR(INDEX(EXTRATO_IMPORTADO!$F$5:$F$404,MATCH(B1604,EXTRATO_IMPORTADO!$I$5:$I$404,0)),"")</f>
        <v/>
      </c>
      <c r="Q1604" s="26" t="str">
        <f>IFERROR(INDEX(EXTRATO_IMPORTADO!$B$5:$B$404,MATCH(B1604,EXTRATO_IMPORTADO!$I$5:$I$404,0)),"")</f>
        <v/>
      </c>
      <c r="R1604" s="26" t="str">
        <f>IFERROR(MATCH(B1604,EXTRATO_IMPORTADO!$I$5:$I$404,0),"")</f>
        <v/>
      </c>
      <c r="S1604" s="26" t="str">
        <f t="shared" si="73"/>
        <v/>
      </c>
      <c r="T1604" s="26" t="str">
        <f t="shared" si="74"/>
        <v/>
      </c>
    </row>
    <row r="1605" spans="1:20" x14ac:dyDescent="0.3">
      <c r="A1605" s="26" t="str">
        <f>IF(BASE_CAIXA!A1602="","",BASE_CAIXA!A1602)</f>
        <v/>
      </c>
      <c r="B1605" s="26" t="str">
        <f>IF(A1605="","",BASE_CAIXA!AL1602)</f>
        <v/>
      </c>
      <c r="C1605" s="26" t="str">
        <f>IF(A1605="","",BASE_CAIXA!AJ1602)</f>
        <v/>
      </c>
      <c r="D1605" s="26" t="str">
        <f>IF(A1605="","",IF(BASE_CAIXA!C1602="Entrada","Crédito","Débito"))</f>
        <v/>
      </c>
      <c r="E1605" s="26" t="str">
        <f>IF(A1605="","",BASE_CAIXA!AA1602)</f>
        <v/>
      </c>
      <c r="F1605" s="26" t="str">
        <f>IF(A1605="","",BASE_CAIXA!N1602)</f>
        <v/>
      </c>
      <c r="G1605" s="26" t="str">
        <f>IF(A1605="","",BASE_CAIXA!O1602)</f>
        <v/>
      </c>
      <c r="H1605" s="26" t="str">
        <f>IF(A1605="","",BASE_CAIXA!P1602)</f>
        <v/>
      </c>
      <c r="I1605" s="26" t="str">
        <f>IF(A1605="","",IF(BASE_CAIXA!H1602&lt;&gt;"",BASE_CAIXA!H1602,BASE_CAIXA!G1602))</f>
        <v/>
      </c>
      <c r="J1605" s="26" t="str">
        <f>IF(A1605="","",BASE_CAIXA!G1602)</f>
        <v/>
      </c>
      <c r="K1605" s="26" t="str">
        <f>IF(A1605="","",BASE_CAIXA!I1602)</f>
        <v/>
      </c>
      <c r="L1605" s="26" t="str">
        <f>IF(A1605="","",BASE_CAIXA!J1602)</f>
        <v/>
      </c>
      <c r="M1605" s="26" t="str">
        <f>IF(A1605="","",BASE_CAIXA!AM1602)</f>
        <v/>
      </c>
      <c r="N1605" s="26" t="str">
        <f t="shared" ref="N1605:N1668" ca="1" si="75">IF(A1605="","",IF(R1605&lt;&gt;"",IF(AND(ABS(S1605)&lt;=0.01,ABS(T1605)&lt;=3),"Conciliado","Divergente"),IF(TODAY()&gt;C1605,"Pendente vencido","Previsto")))</f>
        <v/>
      </c>
      <c r="O1605" s="26" t="str">
        <f>IFERROR(INDEX(EXTRATO_IMPORTADO!$A$5:$A$404,MATCH(B1605,EXTRATO_IMPORTADO!$I$5:$I$404,0)),"")</f>
        <v/>
      </c>
      <c r="P1605" s="26" t="str">
        <f>IFERROR(INDEX(EXTRATO_IMPORTADO!$F$5:$F$404,MATCH(B1605,EXTRATO_IMPORTADO!$I$5:$I$404,0)),"")</f>
        <v/>
      </c>
      <c r="Q1605" s="26" t="str">
        <f>IFERROR(INDEX(EXTRATO_IMPORTADO!$B$5:$B$404,MATCH(B1605,EXTRATO_IMPORTADO!$I$5:$I$404,0)),"")</f>
        <v/>
      </c>
      <c r="R1605" s="26" t="str">
        <f>IFERROR(MATCH(B1605,EXTRATO_IMPORTADO!$I$5:$I$404,0),"")</f>
        <v/>
      </c>
      <c r="S1605" s="26" t="str">
        <f t="shared" ref="S1605:S1668" si="76">IF(OR(A1605="",P1605=""),"",P1605-E1605)</f>
        <v/>
      </c>
      <c r="T1605" s="26" t="str">
        <f t="shared" ref="T1605:T1668" si="77">IF(OR(A1605="",O1605=""),"",O1605-C1605)</f>
        <v/>
      </c>
    </row>
    <row r="1606" spans="1:20" x14ac:dyDescent="0.3">
      <c r="A1606" s="26" t="str">
        <f>IF(BASE_CAIXA!A1603="","",BASE_CAIXA!A1603)</f>
        <v/>
      </c>
      <c r="B1606" s="26" t="str">
        <f>IF(A1606="","",BASE_CAIXA!AL1603)</f>
        <v/>
      </c>
      <c r="C1606" s="26" t="str">
        <f>IF(A1606="","",BASE_CAIXA!AJ1603)</f>
        <v/>
      </c>
      <c r="D1606" s="26" t="str">
        <f>IF(A1606="","",IF(BASE_CAIXA!C1603="Entrada","Crédito","Débito"))</f>
        <v/>
      </c>
      <c r="E1606" s="26" t="str">
        <f>IF(A1606="","",BASE_CAIXA!AA1603)</f>
        <v/>
      </c>
      <c r="F1606" s="26" t="str">
        <f>IF(A1606="","",BASE_CAIXA!N1603)</f>
        <v/>
      </c>
      <c r="G1606" s="26" t="str">
        <f>IF(A1606="","",BASE_CAIXA!O1603)</f>
        <v/>
      </c>
      <c r="H1606" s="26" t="str">
        <f>IF(A1606="","",BASE_CAIXA!P1603)</f>
        <v/>
      </c>
      <c r="I1606" s="26" t="str">
        <f>IF(A1606="","",IF(BASE_CAIXA!H1603&lt;&gt;"",BASE_CAIXA!H1603,BASE_CAIXA!G1603))</f>
        <v/>
      </c>
      <c r="J1606" s="26" t="str">
        <f>IF(A1606="","",BASE_CAIXA!G1603)</f>
        <v/>
      </c>
      <c r="K1606" s="26" t="str">
        <f>IF(A1606="","",BASE_CAIXA!I1603)</f>
        <v/>
      </c>
      <c r="L1606" s="26" t="str">
        <f>IF(A1606="","",BASE_CAIXA!J1603)</f>
        <v/>
      </c>
      <c r="M1606" s="26" t="str">
        <f>IF(A1606="","",BASE_CAIXA!AM1603)</f>
        <v/>
      </c>
      <c r="N1606" s="26" t="str">
        <f t="shared" ca="1" si="75"/>
        <v/>
      </c>
      <c r="O1606" s="26" t="str">
        <f>IFERROR(INDEX(EXTRATO_IMPORTADO!$A$5:$A$404,MATCH(B1606,EXTRATO_IMPORTADO!$I$5:$I$404,0)),"")</f>
        <v/>
      </c>
      <c r="P1606" s="26" t="str">
        <f>IFERROR(INDEX(EXTRATO_IMPORTADO!$F$5:$F$404,MATCH(B1606,EXTRATO_IMPORTADO!$I$5:$I$404,0)),"")</f>
        <v/>
      </c>
      <c r="Q1606" s="26" t="str">
        <f>IFERROR(INDEX(EXTRATO_IMPORTADO!$B$5:$B$404,MATCH(B1606,EXTRATO_IMPORTADO!$I$5:$I$404,0)),"")</f>
        <v/>
      </c>
      <c r="R1606" s="26" t="str">
        <f>IFERROR(MATCH(B1606,EXTRATO_IMPORTADO!$I$5:$I$404,0),"")</f>
        <v/>
      </c>
      <c r="S1606" s="26" t="str">
        <f t="shared" si="76"/>
        <v/>
      </c>
      <c r="T1606" s="26" t="str">
        <f t="shared" si="77"/>
        <v/>
      </c>
    </row>
    <row r="1607" spans="1:20" x14ac:dyDescent="0.3">
      <c r="A1607" s="26" t="str">
        <f>IF(BASE_CAIXA!A1604="","",BASE_CAIXA!A1604)</f>
        <v/>
      </c>
      <c r="B1607" s="26" t="str">
        <f>IF(A1607="","",BASE_CAIXA!AL1604)</f>
        <v/>
      </c>
      <c r="C1607" s="26" t="str">
        <f>IF(A1607="","",BASE_CAIXA!AJ1604)</f>
        <v/>
      </c>
      <c r="D1607" s="26" t="str">
        <f>IF(A1607="","",IF(BASE_CAIXA!C1604="Entrada","Crédito","Débito"))</f>
        <v/>
      </c>
      <c r="E1607" s="26" t="str">
        <f>IF(A1607="","",BASE_CAIXA!AA1604)</f>
        <v/>
      </c>
      <c r="F1607" s="26" t="str">
        <f>IF(A1607="","",BASE_CAIXA!N1604)</f>
        <v/>
      </c>
      <c r="G1607" s="26" t="str">
        <f>IF(A1607="","",BASE_CAIXA!O1604)</f>
        <v/>
      </c>
      <c r="H1607" s="26" t="str">
        <f>IF(A1607="","",BASE_CAIXA!P1604)</f>
        <v/>
      </c>
      <c r="I1607" s="26" t="str">
        <f>IF(A1607="","",IF(BASE_CAIXA!H1604&lt;&gt;"",BASE_CAIXA!H1604,BASE_CAIXA!G1604))</f>
        <v/>
      </c>
      <c r="J1607" s="26" t="str">
        <f>IF(A1607="","",BASE_CAIXA!G1604)</f>
        <v/>
      </c>
      <c r="K1607" s="26" t="str">
        <f>IF(A1607="","",BASE_CAIXA!I1604)</f>
        <v/>
      </c>
      <c r="L1607" s="26" t="str">
        <f>IF(A1607="","",BASE_CAIXA!J1604)</f>
        <v/>
      </c>
      <c r="M1607" s="26" t="str">
        <f>IF(A1607="","",BASE_CAIXA!AM1604)</f>
        <v/>
      </c>
      <c r="N1607" s="26" t="str">
        <f t="shared" ca="1" si="75"/>
        <v/>
      </c>
      <c r="O1607" s="26" t="str">
        <f>IFERROR(INDEX(EXTRATO_IMPORTADO!$A$5:$A$404,MATCH(B1607,EXTRATO_IMPORTADO!$I$5:$I$404,0)),"")</f>
        <v/>
      </c>
      <c r="P1607" s="26" t="str">
        <f>IFERROR(INDEX(EXTRATO_IMPORTADO!$F$5:$F$404,MATCH(B1607,EXTRATO_IMPORTADO!$I$5:$I$404,0)),"")</f>
        <v/>
      </c>
      <c r="Q1607" s="26" t="str">
        <f>IFERROR(INDEX(EXTRATO_IMPORTADO!$B$5:$B$404,MATCH(B1607,EXTRATO_IMPORTADO!$I$5:$I$404,0)),"")</f>
        <v/>
      </c>
      <c r="R1607" s="26" t="str">
        <f>IFERROR(MATCH(B1607,EXTRATO_IMPORTADO!$I$5:$I$404,0),"")</f>
        <v/>
      </c>
      <c r="S1607" s="26" t="str">
        <f t="shared" si="76"/>
        <v/>
      </c>
      <c r="T1607" s="26" t="str">
        <f t="shared" si="77"/>
        <v/>
      </c>
    </row>
    <row r="1608" spans="1:20" x14ac:dyDescent="0.3">
      <c r="A1608" s="26" t="str">
        <f>IF(BASE_CAIXA!A1605="","",BASE_CAIXA!A1605)</f>
        <v/>
      </c>
      <c r="B1608" s="26" t="str">
        <f>IF(A1608="","",BASE_CAIXA!AL1605)</f>
        <v/>
      </c>
      <c r="C1608" s="26" t="str">
        <f>IF(A1608="","",BASE_CAIXA!AJ1605)</f>
        <v/>
      </c>
      <c r="D1608" s="26" t="str">
        <f>IF(A1608="","",IF(BASE_CAIXA!C1605="Entrada","Crédito","Débito"))</f>
        <v/>
      </c>
      <c r="E1608" s="26" t="str">
        <f>IF(A1608="","",BASE_CAIXA!AA1605)</f>
        <v/>
      </c>
      <c r="F1608" s="26" t="str">
        <f>IF(A1608="","",BASE_CAIXA!N1605)</f>
        <v/>
      </c>
      <c r="G1608" s="26" t="str">
        <f>IF(A1608="","",BASE_CAIXA!O1605)</f>
        <v/>
      </c>
      <c r="H1608" s="26" t="str">
        <f>IF(A1608="","",BASE_CAIXA!P1605)</f>
        <v/>
      </c>
      <c r="I1608" s="26" t="str">
        <f>IF(A1608="","",IF(BASE_CAIXA!H1605&lt;&gt;"",BASE_CAIXA!H1605,BASE_CAIXA!G1605))</f>
        <v/>
      </c>
      <c r="J1608" s="26" t="str">
        <f>IF(A1608="","",BASE_CAIXA!G1605)</f>
        <v/>
      </c>
      <c r="K1608" s="26" t="str">
        <f>IF(A1608="","",BASE_CAIXA!I1605)</f>
        <v/>
      </c>
      <c r="L1608" s="26" t="str">
        <f>IF(A1608="","",BASE_CAIXA!J1605)</f>
        <v/>
      </c>
      <c r="M1608" s="26" t="str">
        <f>IF(A1608="","",BASE_CAIXA!AM1605)</f>
        <v/>
      </c>
      <c r="N1608" s="26" t="str">
        <f t="shared" ca="1" si="75"/>
        <v/>
      </c>
      <c r="O1608" s="26" t="str">
        <f>IFERROR(INDEX(EXTRATO_IMPORTADO!$A$5:$A$404,MATCH(B1608,EXTRATO_IMPORTADO!$I$5:$I$404,0)),"")</f>
        <v/>
      </c>
      <c r="P1608" s="26" t="str">
        <f>IFERROR(INDEX(EXTRATO_IMPORTADO!$F$5:$F$404,MATCH(B1608,EXTRATO_IMPORTADO!$I$5:$I$404,0)),"")</f>
        <v/>
      </c>
      <c r="Q1608" s="26" t="str">
        <f>IFERROR(INDEX(EXTRATO_IMPORTADO!$B$5:$B$404,MATCH(B1608,EXTRATO_IMPORTADO!$I$5:$I$404,0)),"")</f>
        <v/>
      </c>
      <c r="R1608" s="26" t="str">
        <f>IFERROR(MATCH(B1608,EXTRATO_IMPORTADO!$I$5:$I$404,0),"")</f>
        <v/>
      </c>
      <c r="S1608" s="26" t="str">
        <f t="shared" si="76"/>
        <v/>
      </c>
      <c r="T1608" s="26" t="str">
        <f t="shared" si="77"/>
        <v/>
      </c>
    </row>
    <row r="1609" spans="1:20" x14ac:dyDescent="0.3">
      <c r="A1609" s="26" t="str">
        <f>IF(BASE_CAIXA!A1606="","",BASE_CAIXA!A1606)</f>
        <v/>
      </c>
      <c r="B1609" s="26" t="str">
        <f>IF(A1609="","",BASE_CAIXA!AL1606)</f>
        <v/>
      </c>
      <c r="C1609" s="26" t="str">
        <f>IF(A1609="","",BASE_CAIXA!AJ1606)</f>
        <v/>
      </c>
      <c r="D1609" s="26" t="str">
        <f>IF(A1609="","",IF(BASE_CAIXA!C1606="Entrada","Crédito","Débito"))</f>
        <v/>
      </c>
      <c r="E1609" s="26" t="str">
        <f>IF(A1609="","",BASE_CAIXA!AA1606)</f>
        <v/>
      </c>
      <c r="F1609" s="26" t="str">
        <f>IF(A1609="","",BASE_CAIXA!N1606)</f>
        <v/>
      </c>
      <c r="G1609" s="26" t="str">
        <f>IF(A1609="","",BASE_CAIXA!O1606)</f>
        <v/>
      </c>
      <c r="H1609" s="26" t="str">
        <f>IF(A1609="","",BASE_CAIXA!P1606)</f>
        <v/>
      </c>
      <c r="I1609" s="26" t="str">
        <f>IF(A1609="","",IF(BASE_CAIXA!H1606&lt;&gt;"",BASE_CAIXA!H1606,BASE_CAIXA!G1606))</f>
        <v/>
      </c>
      <c r="J1609" s="26" t="str">
        <f>IF(A1609="","",BASE_CAIXA!G1606)</f>
        <v/>
      </c>
      <c r="K1609" s="26" t="str">
        <f>IF(A1609="","",BASE_CAIXA!I1606)</f>
        <v/>
      </c>
      <c r="L1609" s="26" t="str">
        <f>IF(A1609="","",BASE_CAIXA!J1606)</f>
        <v/>
      </c>
      <c r="M1609" s="26" t="str">
        <f>IF(A1609="","",BASE_CAIXA!AM1606)</f>
        <v/>
      </c>
      <c r="N1609" s="26" t="str">
        <f t="shared" ca="1" si="75"/>
        <v/>
      </c>
      <c r="O1609" s="26" t="str">
        <f>IFERROR(INDEX(EXTRATO_IMPORTADO!$A$5:$A$404,MATCH(B1609,EXTRATO_IMPORTADO!$I$5:$I$404,0)),"")</f>
        <v/>
      </c>
      <c r="P1609" s="26" t="str">
        <f>IFERROR(INDEX(EXTRATO_IMPORTADO!$F$5:$F$404,MATCH(B1609,EXTRATO_IMPORTADO!$I$5:$I$404,0)),"")</f>
        <v/>
      </c>
      <c r="Q1609" s="26" t="str">
        <f>IFERROR(INDEX(EXTRATO_IMPORTADO!$B$5:$B$404,MATCH(B1609,EXTRATO_IMPORTADO!$I$5:$I$404,0)),"")</f>
        <v/>
      </c>
      <c r="R1609" s="26" t="str">
        <f>IFERROR(MATCH(B1609,EXTRATO_IMPORTADO!$I$5:$I$404,0),"")</f>
        <v/>
      </c>
      <c r="S1609" s="26" t="str">
        <f t="shared" si="76"/>
        <v/>
      </c>
      <c r="T1609" s="26" t="str">
        <f t="shared" si="77"/>
        <v/>
      </c>
    </row>
    <row r="1610" spans="1:20" x14ac:dyDescent="0.3">
      <c r="A1610" s="26" t="str">
        <f>IF(BASE_CAIXA!A1607="","",BASE_CAIXA!A1607)</f>
        <v/>
      </c>
      <c r="B1610" s="26" t="str">
        <f>IF(A1610="","",BASE_CAIXA!AL1607)</f>
        <v/>
      </c>
      <c r="C1610" s="26" t="str">
        <f>IF(A1610="","",BASE_CAIXA!AJ1607)</f>
        <v/>
      </c>
      <c r="D1610" s="26" t="str">
        <f>IF(A1610="","",IF(BASE_CAIXA!C1607="Entrada","Crédito","Débito"))</f>
        <v/>
      </c>
      <c r="E1610" s="26" t="str">
        <f>IF(A1610="","",BASE_CAIXA!AA1607)</f>
        <v/>
      </c>
      <c r="F1610" s="26" t="str">
        <f>IF(A1610="","",BASE_CAIXA!N1607)</f>
        <v/>
      </c>
      <c r="G1610" s="26" t="str">
        <f>IF(A1610="","",BASE_CAIXA!O1607)</f>
        <v/>
      </c>
      <c r="H1610" s="26" t="str">
        <f>IF(A1610="","",BASE_CAIXA!P1607)</f>
        <v/>
      </c>
      <c r="I1610" s="26" t="str">
        <f>IF(A1610="","",IF(BASE_CAIXA!H1607&lt;&gt;"",BASE_CAIXA!H1607,BASE_CAIXA!G1607))</f>
        <v/>
      </c>
      <c r="J1610" s="26" t="str">
        <f>IF(A1610="","",BASE_CAIXA!G1607)</f>
        <v/>
      </c>
      <c r="K1610" s="26" t="str">
        <f>IF(A1610="","",BASE_CAIXA!I1607)</f>
        <v/>
      </c>
      <c r="L1610" s="26" t="str">
        <f>IF(A1610="","",BASE_CAIXA!J1607)</f>
        <v/>
      </c>
      <c r="M1610" s="26" t="str">
        <f>IF(A1610="","",BASE_CAIXA!AM1607)</f>
        <v/>
      </c>
      <c r="N1610" s="26" t="str">
        <f t="shared" ca="1" si="75"/>
        <v/>
      </c>
      <c r="O1610" s="26" t="str">
        <f>IFERROR(INDEX(EXTRATO_IMPORTADO!$A$5:$A$404,MATCH(B1610,EXTRATO_IMPORTADO!$I$5:$I$404,0)),"")</f>
        <v/>
      </c>
      <c r="P1610" s="26" t="str">
        <f>IFERROR(INDEX(EXTRATO_IMPORTADO!$F$5:$F$404,MATCH(B1610,EXTRATO_IMPORTADO!$I$5:$I$404,0)),"")</f>
        <v/>
      </c>
      <c r="Q1610" s="26" t="str">
        <f>IFERROR(INDEX(EXTRATO_IMPORTADO!$B$5:$B$404,MATCH(B1610,EXTRATO_IMPORTADO!$I$5:$I$404,0)),"")</f>
        <v/>
      </c>
      <c r="R1610" s="26" t="str">
        <f>IFERROR(MATCH(B1610,EXTRATO_IMPORTADO!$I$5:$I$404,0),"")</f>
        <v/>
      </c>
      <c r="S1610" s="26" t="str">
        <f t="shared" si="76"/>
        <v/>
      </c>
      <c r="T1610" s="26" t="str">
        <f t="shared" si="77"/>
        <v/>
      </c>
    </row>
    <row r="1611" spans="1:20" x14ac:dyDescent="0.3">
      <c r="A1611" s="26" t="str">
        <f>IF(BASE_CAIXA!A1608="","",BASE_CAIXA!A1608)</f>
        <v/>
      </c>
      <c r="B1611" s="26" t="str">
        <f>IF(A1611="","",BASE_CAIXA!AL1608)</f>
        <v/>
      </c>
      <c r="C1611" s="26" t="str">
        <f>IF(A1611="","",BASE_CAIXA!AJ1608)</f>
        <v/>
      </c>
      <c r="D1611" s="26" t="str">
        <f>IF(A1611="","",IF(BASE_CAIXA!C1608="Entrada","Crédito","Débito"))</f>
        <v/>
      </c>
      <c r="E1611" s="26" t="str">
        <f>IF(A1611="","",BASE_CAIXA!AA1608)</f>
        <v/>
      </c>
      <c r="F1611" s="26" t="str">
        <f>IF(A1611="","",BASE_CAIXA!N1608)</f>
        <v/>
      </c>
      <c r="G1611" s="26" t="str">
        <f>IF(A1611="","",BASE_CAIXA!O1608)</f>
        <v/>
      </c>
      <c r="H1611" s="26" t="str">
        <f>IF(A1611="","",BASE_CAIXA!P1608)</f>
        <v/>
      </c>
      <c r="I1611" s="26" t="str">
        <f>IF(A1611="","",IF(BASE_CAIXA!H1608&lt;&gt;"",BASE_CAIXA!H1608,BASE_CAIXA!G1608))</f>
        <v/>
      </c>
      <c r="J1611" s="26" t="str">
        <f>IF(A1611="","",BASE_CAIXA!G1608)</f>
        <v/>
      </c>
      <c r="K1611" s="26" t="str">
        <f>IF(A1611="","",BASE_CAIXA!I1608)</f>
        <v/>
      </c>
      <c r="L1611" s="26" t="str">
        <f>IF(A1611="","",BASE_CAIXA!J1608)</f>
        <v/>
      </c>
      <c r="M1611" s="26" t="str">
        <f>IF(A1611="","",BASE_CAIXA!AM1608)</f>
        <v/>
      </c>
      <c r="N1611" s="26" t="str">
        <f t="shared" ca="1" si="75"/>
        <v/>
      </c>
      <c r="O1611" s="26" t="str">
        <f>IFERROR(INDEX(EXTRATO_IMPORTADO!$A$5:$A$404,MATCH(B1611,EXTRATO_IMPORTADO!$I$5:$I$404,0)),"")</f>
        <v/>
      </c>
      <c r="P1611" s="26" t="str">
        <f>IFERROR(INDEX(EXTRATO_IMPORTADO!$F$5:$F$404,MATCH(B1611,EXTRATO_IMPORTADO!$I$5:$I$404,0)),"")</f>
        <v/>
      </c>
      <c r="Q1611" s="26" t="str">
        <f>IFERROR(INDEX(EXTRATO_IMPORTADO!$B$5:$B$404,MATCH(B1611,EXTRATO_IMPORTADO!$I$5:$I$404,0)),"")</f>
        <v/>
      </c>
      <c r="R1611" s="26" t="str">
        <f>IFERROR(MATCH(B1611,EXTRATO_IMPORTADO!$I$5:$I$404,0),"")</f>
        <v/>
      </c>
      <c r="S1611" s="26" t="str">
        <f t="shared" si="76"/>
        <v/>
      </c>
      <c r="T1611" s="26" t="str">
        <f t="shared" si="77"/>
        <v/>
      </c>
    </row>
    <row r="1612" spans="1:20" x14ac:dyDescent="0.3">
      <c r="A1612" s="26" t="str">
        <f>IF(BASE_CAIXA!A1609="","",BASE_CAIXA!A1609)</f>
        <v/>
      </c>
      <c r="B1612" s="26" t="str">
        <f>IF(A1612="","",BASE_CAIXA!AL1609)</f>
        <v/>
      </c>
      <c r="C1612" s="26" t="str">
        <f>IF(A1612="","",BASE_CAIXA!AJ1609)</f>
        <v/>
      </c>
      <c r="D1612" s="26" t="str">
        <f>IF(A1612="","",IF(BASE_CAIXA!C1609="Entrada","Crédito","Débito"))</f>
        <v/>
      </c>
      <c r="E1612" s="26" t="str">
        <f>IF(A1612="","",BASE_CAIXA!AA1609)</f>
        <v/>
      </c>
      <c r="F1612" s="26" t="str">
        <f>IF(A1612="","",BASE_CAIXA!N1609)</f>
        <v/>
      </c>
      <c r="G1612" s="26" t="str">
        <f>IF(A1612="","",BASE_CAIXA!O1609)</f>
        <v/>
      </c>
      <c r="H1612" s="26" t="str">
        <f>IF(A1612="","",BASE_CAIXA!P1609)</f>
        <v/>
      </c>
      <c r="I1612" s="26" t="str">
        <f>IF(A1612="","",IF(BASE_CAIXA!H1609&lt;&gt;"",BASE_CAIXA!H1609,BASE_CAIXA!G1609))</f>
        <v/>
      </c>
      <c r="J1612" s="26" t="str">
        <f>IF(A1612="","",BASE_CAIXA!G1609)</f>
        <v/>
      </c>
      <c r="K1612" s="26" t="str">
        <f>IF(A1612="","",BASE_CAIXA!I1609)</f>
        <v/>
      </c>
      <c r="L1612" s="26" t="str">
        <f>IF(A1612="","",BASE_CAIXA!J1609)</f>
        <v/>
      </c>
      <c r="M1612" s="26" t="str">
        <f>IF(A1612="","",BASE_CAIXA!AM1609)</f>
        <v/>
      </c>
      <c r="N1612" s="26" t="str">
        <f t="shared" ca="1" si="75"/>
        <v/>
      </c>
      <c r="O1612" s="26" t="str">
        <f>IFERROR(INDEX(EXTRATO_IMPORTADO!$A$5:$A$404,MATCH(B1612,EXTRATO_IMPORTADO!$I$5:$I$404,0)),"")</f>
        <v/>
      </c>
      <c r="P1612" s="26" t="str">
        <f>IFERROR(INDEX(EXTRATO_IMPORTADO!$F$5:$F$404,MATCH(B1612,EXTRATO_IMPORTADO!$I$5:$I$404,0)),"")</f>
        <v/>
      </c>
      <c r="Q1612" s="26" t="str">
        <f>IFERROR(INDEX(EXTRATO_IMPORTADO!$B$5:$B$404,MATCH(B1612,EXTRATO_IMPORTADO!$I$5:$I$404,0)),"")</f>
        <v/>
      </c>
      <c r="R1612" s="26" t="str">
        <f>IFERROR(MATCH(B1612,EXTRATO_IMPORTADO!$I$5:$I$404,0),"")</f>
        <v/>
      </c>
      <c r="S1612" s="26" t="str">
        <f t="shared" si="76"/>
        <v/>
      </c>
      <c r="T1612" s="26" t="str">
        <f t="shared" si="77"/>
        <v/>
      </c>
    </row>
    <row r="1613" spans="1:20" x14ac:dyDescent="0.3">
      <c r="A1613" s="26" t="str">
        <f>IF(BASE_CAIXA!A1610="","",BASE_CAIXA!A1610)</f>
        <v/>
      </c>
      <c r="B1613" s="26" t="str">
        <f>IF(A1613="","",BASE_CAIXA!AL1610)</f>
        <v/>
      </c>
      <c r="C1613" s="26" t="str">
        <f>IF(A1613="","",BASE_CAIXA!AJ1610)</f>
        <v/>
      </c>
      <c r="D1613" s="26" t="str">
        <f>IF(A1613="","",IF(BASE_CAIXA!C1610="Entrada","Crédito","Débito"))</f>
        <v/>
      </c>
      <c r="E1613" s="26" t="str">
        <f>IF(A1613="","",BASE_CAIXA!AA1610)</f>
        <v/>
      </c>
      <c r="F1613" s="26" t="str">
        <f>IF(A1613="","",BASE_CAIXA!N1610)</f>
        <v/>
      </c>
      <c r="G1613" s="26" t="str">
        <f>IF(A1613="","",BASE_CAIXA!O1610)</f>
        <v/>
      </c>
      <c r="H1613" s="26" t="str">
        <f>IF(A1613="","",BASE_CAIXA!P1610)</f>
        <v/>
      </c>
      <c r="I1613" s="26" t="str">
        <f>IF(A1613="","",IF(BASE_CAIXA!H1610&lt;&gt;"",BASE_CAIXA!H1610,BASE_CAIXA!G1610))</f>
        <v/>
      </c>
      <c r="J1613" s="26" t="str">
        <f>IF(A1613="","",BASE_CAIXA!G1610)</f>
        <v/>
      </c>
      <c r="K1613" s="26" t="str">
        <f>IF(A1613="","",BASE_CAIXA!I1610)</f>
        <v/>
      </c>
      <c r="L1613" s="26" t="str">
        <f>IF(A1613="","",BASE_CAIXA!J1610)</f>
        <v/>
      </c>
      <c r="M1613" s="26" t="str">
        <f>IF(A1613="","",BASE_CAIXA!AM1610)</f>
        <v/>
      </c>
      <c r="N1613" s="26" t="str">
        <f t="shared" ca="1" si="75"/>
        <v/>
      </c>
      <c r="O1613" s="26" t="str">
        <f>IFERROR(INDEX(EXTRATO_IMPORTADO!$A$5:$A$404,MATCH(B1613,EXTRATO_IMPORTADO!$I$5:$I$404,0)),"")</f>
        <v/>
      </c>
      <c r="P1613" s="26" t="str">
        <f>IFERROR(INDEX(EXTRATO_IMPORTADO!$F$5:$F$404,MATCH(B1613,EXTRATO_IMPORTADO!$I$5:$I$404,0)),"")</f>
        <v/>
      </c>
      <c r="Q1613" s="26" t="str">
        <f>IFERROR(INDEX(EXTRATO_IMPORTADO!$B$5:$B$404,MATCH(B1613,EXTRATO_IMPORTADO!$I$5:$I$404,0)),"")</f>
        <v/>
      </c>
      <c r="R1613" s="26" t="str">
        <f>IFERROR(MATCH(B1613,EXTRATO_IMPORTADO!$I$5:$I$404,0),"")</f>
        <v/>
      </c>
      <c r="S1613" s="26" t="str">
        <f t="shared" si="76"/>
        <v/>
      </c>
      <c r="T1613" s="26" t="str">
        <f t="shared" si="77"/>
        <v/>
      </c>
    </row>
    <row r="1614" spans="1:20" x14ac:dyDescent="0.3">
      <c r="A1614" s="26" t="str">
        <f>IF(BASE_CAIXA!A1611="","",BASE_CAIXA!A1611)</f>
        <v/>
      </c>
      <c r="B1614" s="26" t="str">
        <f>IF(A1614="","",BASE_CAIXA!AL1611)</f>
        <v/>
      </c>
      <c r="C1614" s="26" t="str">
        <f>IF(A1614="","",BASE_CAIXA!AJ1611)</f>
        <v/>
      </c>
      <c r="D1614" s="26" t="str">
        <f>IF(A1614="","",IF(BASE_CAIXA!C1611="Entrada","Crédito","Débito"))</f>
        <v/>
      </c>
      <c r="E1614" s="26" t="str">
        <f>IF(A1614="","",BASE_CAIXA!AA1611)</f>
        <v/>
      </c>
      <c r="F1614" s="26" t="str">
        <f>IF(A1614="","",BASE_CAIXA!N1611)</f>
        <v/>
      </c>
      <c r="G1614" s="26" t="str">
        <f>IF(A1614="","",BASE_CAIXA!O1611)</f>
        <v/>
      </c>
      <c r="H1614" s="26" t="str">
        <f>IF(A1614="","",BASE_CAIXA!P1611)</f>
        <v/>
      </c>
      <c r="I1614" s="26" t="str">
        <f>IF(A1614="","",IF(BASE_CAIXA!H1611&lt;&gt;"",BASE_CAIXA!H1611,BASE_CAIXA!G1611))</f>
        <v/>
      </c>
      <c r="J1614" s="26" t="str">
        <f>IF(A1614="","",BASE_CAIXA!G1611)</f>
        <v/>
      </c>
      <c r="K1614" s="26" t="str">
        <f>IF(A1614="","",BASE_CAIXA!I1611)</f>
        <v/>
      </c>
      <c r="L1614" s="26" t="str">
        <f>IF(A1614="","",BASE_CAIXA!J1611)</f>
        <v/>
      </c>
      <c r="M1614" s="26" t="str">
        <f>IF(A1614="","",BASE_CAIXA!AM1611)</f>
        <v/>
      </c>
      <c r="N1614" s="26" t="str">
        <f t="shared" ca="1" si="75"/>
        <v/>
      </c>
      <c r="O1614" s="26" t="str">
        <f>IFERROR(INDEX(EXTRATO_IMPORTADO!$A$5:$A$404,MATCH(B1614,EXTRATO_IMPORTADO!$I$5:$I$404,0)),"")</f>
        <v/>
      </c>
      <c r="P1614" s="26" t="str">
        <f>IFERROR(INDEX(EXTRATO_IMPORTADO!$F$5:$F$404,MATCH(B1614,EXTRATO_IMPORTADO!$I$5:$I$404,0)),"")</f>
        <v/>
      </c>
      <c r="Q1614" s="26" t="str">
        <f>IFERROR(INDEX(EXTRATO_IMPORTADO!$B$5:$B$404,MATCH(B1614,EXTRATO_IMPORTADO!$I$5:$I$404,0)),"")</f>
        <v/>
      </c>
      <c r="R1614" s="26" t="str">
        <f>IFERROR(MATCH(B1614,EXTRATO_IMPORTADO!$I$5:$I$404,0),"")</f>
        <v/>
      </c>
      <c r="S1614" s="26" t="str">
        <f t="shared" si="76"/>
        <v/>
      </c>
      <c r="T1614" s="26" t="str">
        <f t="shared" si="77"/>
        <v/>
      </c>
    </row>
    <row r="1615" spans="1:20" x14ac:dyDescent="0.3">
      <c r="A1615" s="26" t="str">
        <f>IF(BASE_CAIXA!A1612="","",BASE_CAIXA!A1612)</f>
        <v/>
      </c>
      <c r="B1615" s="26" t="str">
        <f>IF(A1615="","",BASE_CAIXA!AL1612)</f>
        <v/>
      </c>
      <c r="C1615" s="26" t="str">
        <f>IF(A1615="","",BASE_CAIXA!AJ1612)</f>
        <v/>
      </c>
      <c r="D1615" s="26" t="str">
        <f>IF(A1615="","",IF(BASE_CAIXA!C1612="Entrada","Crédito","Débito"))</f>
        <v/>
      </c>
      <c r="E1615" s="26" t="str">
        <f>IF(A1615="","",BASE_CAIXA!AA1612)</f>
        <v/>
      </c>
      <c r="F1615" s="26" t="str">
        <f>IF(A1615="","",BASE_CAIXA!N1612)</f>
        <v/>
      </c>
      <c r="G1615" s="26" t="str">
        <f>IF(A1615="","",BASE_CAIXA!O1612)</f>
        <v/>
      </c>
      <c r="H1615" s="26" t="str">
        <f>IF(A1615="","",BASE_CAIXA!P1612)</f>
        <v/>
      </c>
      <c r="I1615" s="26" t="str">
        <f>IF(A1615="","",IF(BASE_CAIXA!H1612&lt;&gt;"",BASE_CAIXA!H1612,BASE_CAIXA!G1612))</f>
        <v/>
      </c>
      <c r="J1615" s="26" t="str">
        <f>IF(A1615="","",BASE_CAIXA!G1612)</f>
        <v/>
      </c>
      <c r="K1615" s="26" t="str">
        <f>IF(A1615="","",BASE_CAIXA!I1612)</f>
        <v/>
      </c>
      <c r="L1615" s="26" t="str">
        <f>IF(A1615="","",BASE_CAIXA!J1612)</f>
        <v/>
      </c>
      <c r="M1615" s="26" t="str">
        <f>IF(A1615="","",BASE_CAIXA!AM1612)</f>
        <v/>
      </c>
      <c r="N1615" s="26" t="str">
        <f t="shared" ca="1" si="75"/>
        <v/>
      </c>
      <c r="O1615" s="26" t="str">
        <f>IFERROR(INDEX(EXTRATO_IMPORTADO!$A$5:$A$404,MATCH(B1615,EXTRATO_IMPORTADO!$I$5:$I$404,0)),"")</f>
        <v/>
      </c>
      <c r="P1615" s="26" t="str">
        <f>IFERROR(INDEX(EXTRATO_IMPORTADO!$F$5:$F$404,MATCH(B1615,EXTRATO_IMPORTADO!$I$5:$I$404,0)),"")</f>
        <v/>
      </c>
      <c r="Q1615" s="26" t="str">
        <f>IFERROR(INDEX(EXTRATO_IMPORTADO!$B$5:$B$404,MATCH(B1615,EXTRATO_IMPORTADO!$I$5:$I$404,0)),"")</f>
        <v/>
      </c>
      <c r="R1615" s="26" t="str">
        <f>IFERROR(MATCH(B1615,EXTRATO_IMPORTADO!$I$5:$I$404,0),"")</f>
        <v/>
      </c>
      <c r="S1615" s="26" t="str">
        <f t="shared" si="76"/>
        <v/>
      </c>
      <c r="T1615" s="26" t="str">
        <f t="shared" si="77"/>
        <v/>
      </c>
    </row>
    <row r="1616" spans="1:20" x14ac:dyDescent="0.3">
      <c r="A1616" s="26" t="str">
        <f>IF(BASE_CAIXA!A1613="","",BASE_CAIXA!A1613)</f>
        <v/>
      </c>
      <c r="B1616" s="26" t="str">
        <f>IF(A1616="","",BASE_CAIXA!AL1613)</f>
        <v/>
      </c>
      <c r="C1616" s="26" t="str">
        <f>IF(A1616="","",BASE_CAIXA!AJ1613)</f>
        <v/>
      </c>
      <c r="D1616" s="26" t="str">
        <f>IF(A1616="","",IF(BASE_CAIXA!C1613="Entrada","Crédito","Débito"))</f>
        <v/>
      </c>
      <c r="E1616" s="26" t="str">
        <f>IF(A1616="","",BASE_CAIXA!AA1613)</f>
        <v/>
      </c>
      <c r="F1616" s="26" t="str">
        <f>IF(A1616="","",BASE_CAIXA!N1613)</f>
        <v/>
      </c>
      <c r="G1616" s="26" t="str">
        <f>IF(A1616="","",BASE_CAIXA!O1613)</f>
        <v/>
      </c>
      <c r="H1616" s="26" t="str">
        <f>IF(A1616="","",BASE_CAIXA!P1613)</f>
        <v/>
      </c>
      <c r="I1616" s="26" t="str">
        <f>IF(A1616="","",IF(BASE_CAIXA!H1613&lt;&gt;"",BASE_CAIXA!H1613,BASE_CAIXA!G1613))</f>
        <v/>
      </c>
      <c r="J1616" s="26" t="str">
        <f>IF(A1616="","",BASE_CAIXA!G1613)</f>
        <v/>
      </c>
      <c r="K1616" s="26" t="str">
        <f>IF(A1616="","",BASE_CAIXA!I1613)</f>
        <v/>
      </c>
      <c r="L1616" s="26" t="str">
        <f>IF(A1616="","",BASE_CAIXA!J1613)</f>
        <v/>
      </c>
      <c r="M1616" s="26" t="str">
        <f>IF(A1616="","",BASE_CAIXA!AM1613)</f>
        <v/>
      </c>
      <c r="N1616" s="26" t="str">
        <f t="shared" ca="1" si="75"/>
        <v/>
      </c>
      <c r="O1616" s="26" t="str">
        <f>IFERROR(INDEX(EXTRATO_IMPORTADO!$A$5:$A$404,MATCH(B1616,EXTRATO_IMPORTADO!$I$5:$I$404,0)),"")</f>
        <v/>
      </c>
      <c r="P1616" s="26" t="str">
        <f>IFERROR(INDEX(EXTRATO_IMPORTADO!$F$5:$F$404,MATCH(B1616,EXTRATO_IMPORTADO!$I$5:$I$404,0)),"")</f>
        <v/>
      </c>
      <c r="Q1616" s="26" t="str">
        <f>IFERROR(INDEX(EXTRATO_IMPORTADO!$B$5:$B$404,MATCH(B1616,EXTRATO_IMPORTADO!$I$5:$I$404,0)),"")</f>
        <v/>
      </c>
      <c r="R1616" s="26" t="str">
        <f>IFERROR(MATCH(B1616,EXTRATO_IMPORTADO!$I$5:$I$404,0),"")</f>
        <v/>
      </c>
      <c r="S1616" s="26" t="str">
        <f t="shared" si="76"/>
        <v/>
      </c>
      <c r="T1616" s="26" t="str">
        <f t="shared" si="77"/>
        <v/>
      </c>
    </row>
    <row r="1617" spans="1:20" x14ac:dyDescent="0.3">
      <c r="A1617" s="26" t="str">
        <f>IF(BASE_CAIXA!A1614="","",BASE_CAIXA!A1614)</f>
        <v/>
      </c>
      <c r="B1617" s="26" t="str">
        <f>IF(A1617="","",BASE_CAIXA!AL1614)</f>
        <v/>
      </c>
      <c r="C1617" s="26" t="str">
        <f>IF(A1617="","",BASE_CAIXA!AJ1614)</f>
        <v/>
      </c>
      <c r="D1617" s="26" t="str">
        <f>IF(A1617="","",IF(BASE_CAIXA!C1614="Entrada","Crédito","Débito"))</f>
        <v/>
      </c>
      <c r="E1617" s="26" t="str">
        <f>IF(A1617="","",BASE_CAIXA!AA1614)</f>
        <v/>
      </c>
      <c r="F1617" s="26" t="str">
        <f>IF(A1617="","",BASE_CAIXA!N1614)</f>
        <v/>
      </c>
      <c r="G1617" s="26" t="str">
        <f>IF(A1617="","",BASE_CAIXA!O1614)</f>
        <v/>
      </c>
      <c r="H1617" s="26" t="str">
        <f>IF(A1617="","",BASE_CAIXA!P1614)</f>
        <v/>
      </c>
      <c r="I1617" s="26" t="str">
        <f>IF(A1617="","",IF(BASE_CAIXA!H1614&lt;&gt;"",BASE_CAIXA!H1614,BASE_CAIXA!G1614))</f>
        <v/>
      </c>
      <c r="J1617" s="26" t="str">
        <f>IF(A1617="","",BASE_CAIXA!G1614)</f>
        <v/>
      </c>
      <c r="K1617" s="26" t="str">
        <f>IF(A1617="","",BASE_CAIXA!I1614)</f>
        <v/>
      </c>
      <c r="L1617" s="26" t="str">
        <f>IF(A1617="","",BASE_CAIXA!J1614)</f>
        <v/>
      </c>
      <c r="M1617" s="26" t="str">
        <f>IF(A1617="","",BASE_CAIXA!AM1614)</f>
        <v/>
      </c>
      <c r="N1617" s="26" t="str">
        <f t="shared" ca="1" si="75"/>
        <v/>
      </c>
      <c r="O1617" s="26" t="str">
        <f>IFERROR(INDEX(EXTRATO_IMPORTADO!$A$5:$A$404,MATCH(B1617,EXTRATO_IMPORTADO!$I$5:$I$404,0)),"")</f>
        <v/>
      </c>
      <c r="P1617" s="26" t="str">
        <f>IFERROR(INDEX(EXTRATO_IMPORTADO!$F$5:$F$404,MATCH(B1617,EXTRATO_IMPORTADO!$I$5:$I$404,0)),"")</f>
        <v/>
      </c>
      <c r="Q1617" s="26" t="str">
        <f>IFERROR(INDEX(EXTRATO_IMPORTADO!$B$5:$B$404,MATCH(B1617,EXTRATO_IMPORTADO!$I$5:$I$404,0)),"")</f>
        <v/>
      </c>
      <c r="R1617" s="26" t="str">
        <f>IFERROR(MATCH(B1617,EXTRATO_IMPORTADO!$I$5:$I$404,0),"")</f>
        <v/>
      </c>
      <c r="S1617" s="26" t="str">
        <f t="shared" si="76"/>
        <v/>
      </c>
      <c r="T1617" s="26" t="str">
        <f t="shared" si="77"/>
        <v/>
      </c>
    </row>
    <row r="1618" spans="1:20" x14ac:dyDescent="0.3">
      <c r="A1618" s="26" t="str">
        <f>IF(BASE_CAIXA!A1615="","",BASE_CAIXA!A1615)</f>
        <v/>
      </c>
      <c r="B1618" s="26" t="str">
        <f>IF(A1618="","",BASE_CAIXA!AL1615)</f>
        <v/>
      </c>
      <c r="C1618" s="26" t="str">
        <f>IF(A1618="","",BASE_CAIXA!AJ1615)</f>
        <v/>
      </c>
      <c r="D1618" s="26" t="str">
        <f>IF(A1618="","",IF(BASE_CAIXA!C1615="Entrada","Crédito","Débito"))</f>
        <v/>
      </c>
      <c r="E1618" s="26" t="str">
        <f>IF(A1618="","",BASE_CAIXA!AA1615)</f>
        <v/>
      </c>
      <c r="F1618" s="26" t="str">
        <f>IF(A1618="","",BASE_CAIXA!N1615)</f>
        <v/>
      </c>
      <c r="G1618" s="26" t="str">
        <f>IF(A1618="","",BASE_CAIXA!O1615)</f>
        <v/>
      </c>
      <c r="H1618" s="26" t="str">
        <f>IF(A1618="","",BASE_CAIXA!P1615)</f>
        <v/>
      </c>
      <c r="I1618" s="26" t="str">
        <f>IF(A1618="","",IF(BASE_CAIXA!H1615&lt;&gt;"",BASE_CAIXA!H1615,BASE_CAIXA!G1615))</f>
        <v/>
      </c>
      <c r="J1618" s="26" t="str">
        <f>IF(A1618="","",BASE_CAIXA!G1615)</f>
        <v/>
      </c>
      <c r="K1618" s="26" t="str">
        <f>IF(A1618="","",BASE_CAIXA!I1615)</f>
        <v/>
      </c>
      <c r="L1618" s="26" t="str">
        <f>IF(A1618="","",BASE_CAIXA!J1615)</f>
        <v/>
      </c>
      <c r="M1618" s="26" t="str">
        <f>IF(A1618="","",BASE_CAIXA!AM1615)</f>
        <v/>
      </c>
      <c r="N1618" s="26" t="str">
        <f t="shared" ca="1" si="75"/>
        <v/>
      </c>
      <c r="O1618" s="26" t="str">
        <f>IFERROR(INDEX(EXTRATO_IMPORTADO!$A$5:$A$404,MATCH(B1618,EXTRATO_IMPORTADO!$I$5:$I$404,0)),"")</f>
        <v/>
      </c>
      <c r="P1618" s="26" t="str">
        <f>IFERROR(INDEX(EXTRATO_IMPORTADO!$F$5:$F$404,MATCH(B1618,EXTRATO_IMPORTADO!$I$5:$I$404,0)),"")</f>
        <v/>
      </c>
      <c r="Q1618" s="26" t="str">
        <f>IFERROR(INDEX(EXTRATO_IMPORTADO!$B$5:$B$404,MATCH(B1618,EXTRATO_IMPORTADO!$I$5:$I$404,0)),"")</f>
        <v/>
      </c>
      <c r="R1618" s="26" t="str">
        <f>IFERROR(MATCH(B1618,EXTRATO_IMPORTADO!$I$5:$I$404,0),"")</f>
        <v/>
      </c>
      <c r="S1618" s="26" t="str">
        <f t="shared" si="76"/>
        <v/>
      </c>
      <c r="T1618" s="26" t="str">
        <f t="shared" si="77"/>
        <v/>
      </c>
    </row>
    <row r="1619" spans="1:20" x14ac:dyDescent="0.3">
      <c r="A1619" s="26" t="str">
        <f>IF(BASE_CAIXA!A1616="","",BASE_CAIXA!A1616)</f>
        <v/>
      </c>
      <c r="B1619" s="26" t="str">
        <f>IF(A1619="","",BASE_CAIXA!AL1616)</f>
        <v/>
      </c>
      <c r="C1619" s="26" t="str">
        <f>IF(A1619="","",BASE_CAIXA!AJ1616)</f>
        <v/>
      </c>
      <c r="D1619" s="26" t="str">
        <f>IF(A1619="","",IF(BASE_CAIXA!C1616="Entrada","Crédito","Débito"))</f>
        <v/>
      </c>
      <c r="E1619" s="26" t="str">
        <f>IF(A1619="","",BASE_CAIXA!AA1616)</f>
        <v/>
      </c>
      <c r="F1619" s="26" t="str">
        <f>IF(A1619="","",BASE_CAIXA!N1616)</f>
        <v/>
      </c>
      <c r="G1619" s="26" t="str">
        <f>IF(A1619="","",BASE_CAIXA!O1616)</f>
        <v/>
      </c>
      <c r="H1619" s="26" t="str">
        <f>IF(A1619="","",BASE_CAIXA!P1616)</f>
        <v/>
      </c>
      <c r="I1619" s="26" t="str">
        <f>IF(A1619="","",IF(BASE_CAIXA!H1616&lt;&gt;"",BASE_CAIXA!H1616,BASE_CAIXA!G1616))</f>
        <v/>
      </c>
      <c r="J1619" s="26" t="str">
        <f>IF(A1619="","",BASE_CAIXA!G1616)</f>
        <v/>
      </c>
      <c r="K1619" s="26" t="str">
        <f>IF(A1619="","",BASE_CAIXA!I1616)</f>
        <v/>
      </c>
      <c r="L1619" s="26" t="str">
        <f>IF(A1619="","",BASE_CAIXA!J1616)</f>
        <v/>
      </c>
      <c r="M1619" s="26" t="str">
        <f>IF(A1619="","",BASE_CAIXA!AM1616)</f>
        <v/>
      </c>
      <c r="N1619" s="26" t="str">
        <f t="shared" ca="1" si="75"/>
        <v/>
      </c>
      <c r="O1619" s="26" t="str">
        <f>IFERROR(INDEX(EXTRATO_IMPORTADO!$A$5:$A$404,MATCH(B1619,EXTRATO_IMPORTADO!$I$5:$I$404,0)),"")</f>
        <v/>
      </c>
      <c r="P1619" s="26" t="str">
        <f>IFERROR(INDEX(EXTRATO_IMPORTADO!$F$5:$F$404,MATCH(B1619,EXTRATO_IMPORTADO!$I$5:$I$404,0)),"")</f>
        <v/>
      </c>
      <c r="Q1619" s="26" t="str">
        <f>IFERROR(INDEX(EXTRATO_IMPORTADO!$B$5:$B$404,MATCH(B1619,EXTRATO_IMPORTADO!$I$5:$I$404,0)),"")</f>
        <v/>
      </c>
      <c r="R1619" s="26" t="str">
        <f>IFERROR(MATCH(B1619,EXTRATO_IMPORTADO!$I$5:$I$404,0),"")</f>
        <v/>
      </c>
      <c r="S1619" s="26" t="str">
        <f t="shared" si="76"/>
        <v/>
      </c>
      <c r="T1619" s="26" t="str">
        <f t="shared" si="77"/>
        <v/>
      </c>
    </row>
    <row r="1620" spans="1:20" x14ac:dyDescent="0.3">
      <c r="A1620" s="26" t="str">
        <f>IF(BASE_CAIXA!A1617="","",BASE_CAIXA!A1617)</f>
        <v/>
      </c>
      <c r="B1620" s="26" t="str">
        <f>IF(A1620="","",BASE_CAIXA!AL1617)</f>
        <v/>
      </c>
      <c r="C1620" s="26" t="str">
        <f>IF(A1620="","",BASE_CAIXA!AJ1617)</f>
        <v/>
      </c>
      <c r="D1620" s="26" t="str">
        <f>IF(A1620="","",IF(BASE_CAIXA!C1617="Entrada","Crédito","Débito"))</f>
        <v/>
      </c>
      <c r="E1620" s="26" t="str">
        <f>IF(A1620="","",BASE_CAIXA!AA1617)</f>
        <v/>
      </c>
      <c r="F1620" s="26" t="str">
        <f>IF(A1620="","",BASE_CAIXA!N1617)</f>
        <v/>
      </c>
      <c r="G1620" s="26" t="str">
        <f>IF(A1620="","",BASE_CAIXA!O1617)</f>
        <v/>
      </c>
      <c r="H1620" s="26" t="str">
        <f>IF(A1620="","",BASE_CAIXA!P1617)</f>
        <v/>
      </c>
      <c r="I1620" s="26" t="str">
        <f>IF(A1620="","",IF(BASE_CAIXA!H1617&lt;&gt;"",BASE_CAIXA!H1617,BASE_CAIXA!G1617))</f>
        <v/>
      </c>
      <c r="J1620" s="26" t="str">
        <f>IF(A1620="","",BASE_CAIXA!G1617)</f>
        <v/>
      </c>
      <c r="K1620" s="26" t="str">
        <f>IF(A1620="","",BASE_CAIXA!I1617)</f>
        <v/>
      </c>
      <c r="L1620" s="26" t="str">
        <f>IF(A1620="","",BASE_CAIXA!J1617)</f>
        <v/>
      </c>
      <c r="M1620" s="26" t="str">
        <f>IF(A1620="","",BASE_CAIXA!AM1617)</f>
        <v/>
      </c>
      <c r="N1620" s="26" t="str">
        <f t="shared" ca="1" si="75"/>
        <v/>
      </c>
      <c r="O1620" s="26" t="str">
        <f>IFERROR(INDEX(EXTRATO_IMPORTADO!$A$5:$A$404,MATCH(B1620,EXTRATO_IMPORTADO!$I$5:$I$404,0)),"")</f>
        <v/>
      </c>
      <c r="P1620" s="26" t="str">
        <f>IFERROR(INDEX(EXTRATO_IMPORTADO!$F$5:$F$404,MATCH(B1620,EXTRATO_IMPORTADO!$I$5:$I$404,0)),"")</f>
        <v/>
      </c>
      <c r="Q1620" s="26" t="str">
        <f>IFERROR(INDEX(EXTRATO_IMPORTADO!$B$5:$B$404,MATCH(B1620,EXTRATO_IMPORTADO!$I$5:$I$404,0)),"")</f>
        <v/>
      </c>
      <c r="R1620" s="26" t="str">
        <f>IFERROR(MATCH(B1620,EXTRATO_IMPORTADO!$I$5:$I$404,0),"")</f>
        <v/>
      </c>
      <c r="S1620" s="26" t="str">
        <f t="shared" si="76"/>
        <v/>
      </c>
      <c r="T1620" s="26" t="str">
        <f t="shared" si="77"/>
        <v/>
      </c>
    </row>
    <row r="1621" spans="1:20" x14ac:dyDescent="0.3">
      <c r="A1621" s="26" t="str">
        <f>IF(BASE_CAIXA!A1618="","",BASE_CAIXA!A1618)</f>
        <v/>
      </c>
      <c r="B1621" s="26" t="str">
        <f>IF(A1621="","",BASE_CAIXA!AL1618)</f>
        <v/>
      </c>
      <c r="C1621" s="26" t="str">
        <f>IF(A1621="","",BASE_CAIXA!AJ1618)</f>
        <v/>
      </c>
      <c r="D1621" s="26" t="str">
        <f>IF(A1621="","",IF(BASE_CAIXA!C1618="Entrada","Crédito","Débito"))</f>
        <v/>
      </c>
      <c r="E1621" s="26" t="str">
        <f>IF(A1621="","",BASE_CAIXA!AA1618)</f>
        <v/>
      </c>
      <c r="F1621" s="26" t="str">
        <f>IF(A1621="","",BASE_CAIXA!N1618)</f>
        <v/>
      </c>
      <c r="G1621" s="26" t="str">
        <f>IF(A1621="","",BASE_CAIXA!O1618)</f>
        <v/>
      </c>
      <c r="H1621" s="26" t="str">
        <f>IF(A1621="","",BASE_CAIXA!P1618)</f>
        <v/>
      </c>
      <c r="I1621" s="26" t="str">
        <f>IF(A1621="","",IF(BASE_CAIXA!H1618&lt;&gt;"",BASE_CAIXA!H1618,BASE_CAIXA!G1618))</f>
        <v/>
      </c>
      <c r="J1621" s="26" t="str">
        <f>IF(A1621="","",BASE_CAIXA!G1618)</f>
        <v/>
      </c>
      <c r="K1621" s="26" t="str">
        <f>IF(A1621="","",BASE_CAIXA!I1618)</f>
        <v/>
      </c>
      <c r="L1621" s="26" t="str">
        <f>IF(A1621="","",BASE_CAIXA!J1618)</f>
        <v/>
      </c>
      <c r="M1621" s="26" t="str">
        <f>IF(A1621="","",BASE_CAIXA!AM1618)</f>
        <v/>
      </c>
      <c r="N1621" s="26" t="str">
        <f t="shared" ca="1" si="75"/>
        <v/>
      </c>
      <c r="O1621" s="26" t="str">
        <f>IFERROR(INDEX(EXTRATO_IMPORTADO!$A$5:$A$404,MATCH(B1621,EXTRATO_IMPORTADO!$I$5:$I$404,0)),"")</f>
        <v/>
      </c>
      <c r="P1621" s="26" t="str">
        <f>IFERROR(INDEX(EXTRATO_IMPORTADO!$F$5:$F$404,MATCH(B1621,EXTRATO_IMPORTADO!$I$5:$I$404,0)),"")</f>
        <v/>
      </c>
      <c r="Q1621" s="26" t="str">
        <f>IFERROR(INDEX(EXTRATO_IMPORTADO!$B$5:$B$404,MATCH(B1621,EXTRATO_IMPORTADO!$I$5:$I$404,0)),"")</f>
        <v/>
      </c>
      <c r="R1621" s="26" t="str">
        <f>IFERROR(MATCH(B1621,EXTRATO_IMPORTADO!$I$5:$I$404,0),"")</f>
        <v/>
      </c>
      <c r="S1621" s="26" t="str">
        <f t="shared" si="76"/>
        <v/>
      </c>
      <c r="T1621" s="26" t="str">
        <f t="shared" si="77"/>
        <v/>
      </c>
    </row>
    <row r="1622" spans="1:20" x14ac:dyDescent="0.3">
      <c r="A1622" s="26" t="str">
        <f>IF(BASE_CAIXA!A1619="","",BASE_CAIXA!A1619)</f>
        <v/>
      </c>
      <c r="B1622" s="26" t="str">
        <f>IF(A1622="","",BASE_CAIXA!AL1619)</f>
        <v/>
      </c>
      <c r="C1622" s="26" t="str">
        <f>IF(A1622="","",BASE_CAIXA!AJ1619)</f>
        <v/>
      </c>
      <c r="D1622" s="26" t="str">
        <f>IF(A1622="","",IF(BASE_CAIXA!C1619="Entrada","Crédito","Débito"))</f>
        <v/>
      </c>
      <c r="E1622" s="26" t="str">
        <f>IF(A1622="","",BASE_CAIXA!AA1619)</f>
        <v/>
      </c>
      <c r="F1622" s="26" t="str">
        <f>IF(A1622="","",BASE_CAIXA!N1619)</f>
        <v/>
      </c>
      <c r="G1622" s="26" t="str">
        <f>IF(A1622="","",BASE_CAIXA!O1619)</f>
        <v/>
      </c>
      <c r="H1622" s="26" t="str">
        <f>IF(A1622="","",BASE_CAIXA!P1619)</f>
        <v/>
      </c>
      <c r="I1622" s="26" t="str">
        <f>IF(A1622="","",IF(BASE_CAIXA!H1619&lt;&gt;"",BASE_CAIXA!H1619,BASE_CAIXA!G1619))</f>
        <v/>
      </c>
      <c r="J1622" s="26" t="str">
        <f>IF(A1622="","",BASE_CAIXA!G1619)</f>
        <v/>
      </c>
      <c r="K1622" s="26" t="str">
        <f>IF(A1622="","",BASE_CAIXA!I1619)</f>
        <v/>
      </c>
      <c r="L1622" s="26" t="str">
        <f>IF(A1622="","",BASE_CAIXA!J1619)</f>
        <v/>
      </c>
      <c r="M1622" s="26" t="str">
        <f>IF(A1622="","",BASE_CAIXA!AM1619)</f>
        <v/>
      </c>
      <c r="N1622" s="26" t="str">
        <f t="shared" ca="1" si="75"/>
        <v/>
      </c>
      <c r="O1622" s="26" t="str">
        <f>IFERROR(INDEX(EXTRATO_IMPORTADO!$A$5:$A$404,MATCH(B1622,EXTRATO_IMPORTADO!$I$5:$I$404,0)),"")</f>
        <v/>
      </c>
      <c r="P1622" s="26" t="str">
        <f>IFERROR(INDEX(EXTRATO_IMPORTADO!$F$5:$F$404,MATCH(B1622,EXTRATO_IMPORTADO!$I$5:$I$404,0)),"")</f>
        <v/>
      </c>
      <c r="Q1622" s="26" t="str">
        <f>IFERROR(INDEX(EXTRATO_IMPORTADO!$B$5:$B$404,MATCH(B1622,EXTRATO_IMPORTADO!$I$5:$I$404,0)),"")</f>
        <v/>
      </c>
      <c r="R1622" s="26" t="str">
        <f>IFERROR(MATCH(B1622,EXTRATO_IMPORTADO!$I$5:$I$404,0),"")</f>
        <v/>
      </c>
      <c r="S1622" s="26" t="str">
        <f t="shared" si="76"/>
        <v/>
      </c>
      <c r="T1622" s="26" t="str">
        <f t="shared" si="77"/>
        <v/>
      </c>
    </row>
    <row r="1623" spans="1:20" x14ac:dyDescent="0.3">
      <c r="A1623" s="26" t="str">
        <f>IF(BASE_CAIXA!A1620="","",BASE_CAIXA!A1620)</f>
        <v/>
      </c>
      <c r="B1623" s="26" t="str">
        <f>IF(A1623="","",BASE_CAIXA!AL1620)</f>
        <v/>
      </c>
      <c r="C1623" s="26" t="str">
        <f>IF(A1623="","",BASE_CAIXA!AJ1620)</f>
        <v/>
      </c>
      <c r="D1623" s="26" t="str">
        <f>IF(A1623="","",IF(BASE_CAIXA!C1620="Entrada","Crédito","Débito"))</f>
        <v/>
      </c>
      <c r="E1623" s="26" t="str">
        <f>IF(A1623="","",BASE_CAIXA!AA1620)</f>
        <v/>
      </c>
      <c r="F1623" s="26" t="str">
        <f>IF(A1623="","",BASE_CAIXA!N1620)</f>
        <v/>
      </c>
      <c r="G1623" s="26" t="str">
        <f>IF(A1623="","",BASE_CAIXA!O1620)</f>
        <v/>
      </c>
      <c r="H1623" s="26" t="str">
        <f>IF(A1623="","",BASE_CAIXA!P1620)</f>
        <v/>
      </c>
      <c r="I1623" s="26" t="str">
        <f>IF(A1623="","",IF(BASE_CAIXA!H1620&lt;&gt;"",BASE_CAIXA!H1620,BASE_CAIXA!G1620))</f>
        <v/>
      </c>
      <c r="J1623" s="26" t="str">
        <f>IF(A1623="","",BASE_CAIXA!G1620)</f>
        <v/>
      </c>
      <c r="K1623" s="26" t="str">
        <f>IF(A1623="","",BASE_CAIXA!I1620)</f>
        <v/>
      </c>
      <c r="L1623" s="26" t="str">
        <f>IF(A1623="","",BASE_CAIXA!J1620)</f>
        <v/>
      </c>
      <c r="M1623" s="26" t="str">
        <f>IF(A1623="","",BASE_CAIXA!AM1620)</f>
        <v/>
      </c>
      <c r="N1623" s="26" t="str">
        <f t="shared" ca="1" si="75"/>
        <v/>
      </c>
      <c r="O1623" s="26" t="str">
        <f>IFERROR(INDEX(EXTRATO_IMPORTADO!$A$5:$A$404,MATCH(B1623,EXTRATO_IMPORTADO!$I$5:$I$404,0)),"")</f>
        <v/>
      </c>
      <c r="P1623" s="26" t="str">
        <f>IFERROR(INDEX(EXTRATO_IMPORTADO!$F$5:$F$404,MATCH(B1623,EXTRATO_IMPORTADO!$I$5:$I$404,0)),"")</f>
        <v/>
      </c>
      <c r="Q1623" s="26" t="str">
        <f>IFERROR(INDEX(EXTRATO_IMPORTADO!$B$5:$B$404,MATCH(B1623,EXTRATO_IMPORTADO!$I$5:$I$404,0)),"")</f>
        <v/>
      </c>
      <c r="R1623" s="26" t="str">
        <f>IFERROR(MATCH(B1623,EXTRATO_IMPORTADO!$I$5:$I$404,0),"")</f>
        <v/>
      </c>
      <c r="S1623" s="26" t="str">
        <f t="shared" si="76"/>
        <v/>
      </c>
      <c r="T1623" s="26" t="str">
        <f t="shared" si="77"/>
        <v/>
      </c>
    </row>
    <row r="1624" spans="1:20" x14ac:dyDescent="0.3">
      <c r="A1624" s="26" t="str">
        <f>IF(BASE_CAIXA!A1621="","",BASE_CAIXA!A1621)</f>
        <v/>
      </c>
      <c r="B1624" s="26" t="str">
        <f>IF(A1624="","",BASE_CAIXA!AL1621)</f>
        <v/>
      </c>
      <c r="C1624" s="26" t="str">
        <f>IF(A1624="","",BASE_CAIXA!AJ1621)</f>
        <v/>
      </c>
      <c r="D1624" s="26" t="str">
        <f>IF(A1624="","",IF(BASE_CAIXA!C1621="Entrada","Crédito","Débito"))</f>
        <v/>
      </c>
      <c r="E1624" s="26" t="str">
        <f>IF(A1624="","",BASE_CAIXA!AA1621)</f>
        <v/>
      </c>
      <c r="F1624" s="26" t="str">
        <f>IF(A1624="","",BASE_CAIXA!N1621)</f>
        <v/>
      </c>
      <c r="G1624" s="26" t="str">
        <f>IF(A1624="","",BASE_CAIXA!O1621)</f>
        <v/>
      </c>
      <c r="H1624" s="26" t="str">
        <f>IF(A1624="","",BASE_CAIXA!P1621)</f>
        <v/>
      </c>
      <c r="I1624" s="26" t="str">
        <f>IF(A1624="","",IF(BASE_CAIXA!H1621&lt;&gt;"",BASE_CAIXA!H1621,BASE_CAIXA!G1621))</f>
        <v/>
      </c>
      <c r="J1624" s="26" t="str">
        <f>IF(A1624="","",BASE_CAIXA!G1621)</f>
        <v/>
      </c>
      <c r="K1624" s="26" t="str">
        <f>IF(A1624="","",BASE_CAIXA!I1621)</f>
        <v/>
      </c>
      <c r="L1624" s="26" t="str">
        <f>IF(A1624="","",BASE_CAIXA!J1621)</f>
        <v/>
      </c>
      <c r="M1624" s="26" t="str">
        <f>IF(A1624="","",BASE_CAIXA!AM1621)</f>
        <v/>
      </c>
      <c r="N1624" s="26" t="str">
        <f t="shared" ca="1" si="75"/>
        <v/>
      </c>
      <c r="O1624" s="26" t="str">
        <f>IFERROR(INDEX(EXTRATO_IMPORTADO!$A$5:$A$404,MATCH(B1624,EXTRATO_IMPORTADO!$I$5:$I$404,0)),"")</f>
        <v/>
      </c>
      <c r="P1624" s="26" t="str">
        <f>IFERROR(INDEX(EXTRATO_IMPORTADO!$F$5:$F$404,MATCH(B1624,EXTRATO_IMPORTADO!$I$5:$I$404,0)),"")</f>
        <v/>
      </c>
      <c r="Q1624" s="26" t="str">
        <f>IFERROR(INDEX(EXTRATO_IMPORTADO!$B$5:$B$404,MATCH(B1624,EXTRATO_IMPORTADO!$I$5:$I$404,0)),"")</f>
        <v/>
      </c>
      <c r="R1624" s="26" t="str">
        <f>IFERROR(MATCH(B1624,EXTRATO_IMPORTADO!$I$5:$I$404,0),"")</f>
        <v/>
      </c>
      <c r="S1624" s="26" t="str">
        <f t="shared" si="76"/>
        <v/>
      </c>
      <c r="T1624" s="26" t="str">
        <f t="shared" si="77"/>
        <v/>
      </c>
    </row>
    <row r="1625" spans="1:20" x14ac:dyDescent="0.3">
      <c r="A1625" s="26" t="str">
        <f>IF(BASE_CAIXA!A1622="","",BASE_CAIXA!A1622)</f>
        <v/>
      </c>
      <c r="B1625" s="26" t="str">
        <f>IF(A1625="","",BASE_CAIXA!AL1622)</f>
        <v/>
      </c>
      <c r="C1625" s="26" t="str">
        <f>IF(A1625="","",BASE_CAIXA!AJ1622)</f>
        <v/>
      </c>
      <c r="D1625" s="26" t="str">
        <f>IF(A1625="","",IF(BASE_CAIXA!C1622="Entrada","Crédito","Débito"))</f>
        <v/>
      </c>
      <c r="E1625" s="26" t="str">
        <f>IF(A1625="","",BASE_CAIXA!AA1622)</f>
        <v/>
      </c>
      <c r="F1625" s="26" t="str">
        <f>IF(A1625="","",BASE_CAIXA!N1622)</f>
        <v/>
      </c>
      <c r="G1625" s="26" t="str">
        <f>IF(A1625="","",BASE_CAIXA!O1622)</f>
        <v/>
      </c>
      <c r="H1625" s="26" t="str">
        <f>IF(A1625="","",BASE_CAIXA!P1622)</f>
        <v/>
      </c>
      <c r="I1625" s="26" t="str">
        <f>IF(A1625="","",IF(BASE_CAIXA!H1622&lt;&gt;"",BASE_CAIXA!H1622,BASE_CAIXA!G1622))</f>
        <v/>
      </c>
      <c r="J1625" s="26" t="str">
        <f>IF(A1625="","",BASE_CAIXA!G1622)</f>
        <v/>
      </c>
      <c r="K1625" s="26" t="str">
        <f>IF(A1625="","",BASE_CAIXA!I1622)</f>
        <v/>
      </c>
      <c r="L1625" s="26" t="str">
        <f>IF(A1625="","",BASE_CAIXA!J1622)</f>
        <v/>
      </c>
      <c r="M1625" s="26" t="str">
        <f>IF(A1625="","",BASE_CAIXA!AM1622)</f>
        <v/>
      </c>
      <c r="N1625" s="26" t="str">
        <f t="shared" ca="1" si="75"/>
        <v/>
      </c>
      <c r="O1625" s="26" t="str">
        <f>IFERROR(INDEX(EXTRATO_IMPORTADO!$A$5:$A$404,MATCH(B1625,EXTRATO_IMPORTADO!$I$5:$I$404,0)),"")</f>
        <v/>
      </c>
      <c r="P1625" s="26" t="str">
        <f>IFERROR(INDEX(EXTRATO_IMPORTADO!$F$5:$F$404,MATCH(B1625,EXTRATO_IMPORTADO!$I$5:$I$404,0)),"")</f>
        <v/>
      </c>
      <c r="Q1625" s="26" t="str">
        <f>IFERROR(INDEX(EXTRATO_IMPORTADO!$B$5:$B$404,MATCH(B1625,EXTRATO_IMPORTADO!$I$5:$I$404,0)),"")</f>
        <v/>
      </c>
      <c r="R1625" s="26" t="str">
        <f>IFERROR(MATCH(B1625,EXTRATO_IMPORTADO!$I$5:$I$404,0),"")</f>
        <v/>
      </c>
      <c r="S1625" s="26" t="str">
        <f t="shared" si="76"/>
        <v/>
      </c>
      <c r="T1625" s="26" t="str">
        <f t="shared" si="77"/>
        <v/>
      </c>
    </row>
    <row r="1626" spans="1:20" x14ac:dyDescent="0.3">
      <c r="A1626" s="26" t="str">
        <f>IF(BASE_CAIXA!A1623="","",BASE_CAIXA!A1623)</f>
        <v/>
      </c>
      <c r="B1626" s="26" t="str">
        <f>IF(A1626="","",BASE_CAIXA!AL1623)</f>
        <v/>
      </c>
      <c r="C1626" s="26" t="str">
        <f>IF(A1626="","",BASE_CAIXA!AJ1623)</f>
        <v/>
      </c>
      <c r="D1626" s="26" t="str">
        <f>IF(A1626="","",IF(BASE_CAIXA!C1623="Entrada","Crédito","Débito"))</f>
        <v/>
      </c>
      <c r="E1626" s="26" t="str">
        <f>IF(A1626="","",BASE_CAIXA!AA1623)</f>
        <v/>
      </c>
      <c r="F1626" s="26" t="str">
        <f>IF(A1626="","",BASE_CAIXA!N1623)</f>
        <v/>
      </c>
      <c r="G1626" s="26" t="str">
        <f>IF(A1626="","",BASE_CAIXA!O1623)</f>
        <v/>
      </c>
      <c r="H1626" s="26" t="str">
        <f>IF(A1626="","",BASE_CAIXA!P1623)</f>
        <v/>
      </c>
      <c r="I1626" s="26" t="str">
        <f>IF(A1626="","",IF(BASE_CAIXA!H1623&lt;&gt;"",BASE_CAIXA!H1623,BASE_CAIXA!G1623))</f>
        <v/>
      </c>
      <c r="J1626" s="26" t="str">
        <f>IF(A1626="","",BASE_CAIXA!G1623)</f>
        <v/>
      </c>
      <c r="K1626" s="26" t="str">
        <f>IF(A1626="","",BASE_CAIXA!I1623)</f>
        <v/>
      </c>
      <c r="L1626" s="26" t="str">
        <f>IF(A1626="","",BASE_CAIXA!J1623)</f>
        <v/>
      </c>
      <c r="M1626" s="26" t="str">
        <f>IF(A1626="","",BASE_CAIXA!AM1623)</f>
        <v/>
      </c>
      <c r="N1626" s="26" t="str">
        <f t="shared" ca="1" si="75"/>
        <v/>
      </c>
      <c r="O1626" s="26" t="str">
        <f>IFERROR(INDEX(EXTRATO_IMPORTADO!$A$5:$A$404,MATCH(B1626,EXTRATO_IMPORTADO!$I$5:$I$404,0)),"")</f>
        <v/>
      </c>
      <c r="P1626" s="26" t="str">
        <f>IFERROR(INDEX(EXTRATO_IMPORTADO!$F$5:$F$404,MATCH(B1626,EXTRATO_IMPORTADO!$I$5:$I$404,0)),"")</f>
        <v/>
      </c>
      <c r="Q1626" s="26" t="str">
        <f>IFERROR(INDEX(EXTRATO_IMPORTADO!$B$5:$B$404,MATCH(B1626,EXTRATO_IMPORTADO!$I$5:$I$404,0)),"")</f>
        <v/>
      </c>
      <c r="R1626" s="26" t="str">
        <f>IFERROR(MATCH(B1626,EXTRATO_IMPORTADO!$I$5:$I$404,0),"")</f>
        <v/>
      </c>
      <c r="S1626" s="26" t="str">
        <f t="shared" si="76"/>
        <v/>
      </c>
      <c r="T1626" s="26" t="str">
        <f t="shared" si="77"/>
        <v/>
      </c>
    </row>
    <row r="1627" spans="1:20" x14ac:dyDescent="0.3">
      <c r="A1627" s="26" t="str">
        <f>IF(BASE_CAIXA!A1624="","",BASE_CAIXA!A1624)</f>
        <v/>
      </c>
      <c r="B1627" s="26" t="str">
        <f>IF(A1627="","",BASE_CAIXA!AL1624)</f>
        <v/>
      </c>
      <c r="C1627" s="26" t="str">
        <f>IF(A1627="","",BASE_CAIXA!AJ1624)</f>
        <v/>
      </c>
      <c r="D1627" s="26" t="str">
        <f>IF(A1627="","",IF(BASE_CAIXA!C1624="Entrada","Crédito","Débito"))</f>
        <v/>
      </c>
      <c r="E1627" s="26" t="str">
        <f>IF(A1627="","",BASE_CAIXA!AA1624)</f>
        <v/>
      </c>
      <c r="F1627" s="26" t="str">
        <f>IF(A1627="","",BASE_CAIXA!N1624)</f>
        <v/>
      </c>
      <c r="G1627" s="26" t="str">
        <f>IF(A1627="","",BASE_CAIXA!O1624)</f>
        <v/>
      </c>
      <c r="H1627" s="26" t="str">
        <f>IF(A1627="","",BASE_CAIXA!P1624)</f>
        <v/>
      </c>
      <c r="I1627" s="26" t="str">
        <f>IF(A1627="","",IF(BASE_CAIXA!H1624&lt;&gt;"",BASE_CAIXA!H1624,BASE_CAIXA!G1624))</f>
        <v/>
      </c>
      <c r="J1627" s="26" t="str">
        <f>IF(A1627="","",BASE_CAIXA!G1624)</f>
        <v/>
      </c>
      <c r="K1627" s="26" t="str">
        <f>IF(A1627="","",BASE_CAIXA!I1624)</f>
        <v/>
      </c>
      <c r="L1627" s="26" t="str">
        <f>IF(A1627="","",BASE_CAIXA!J1624)</f>
        <v/>
      </c>
      <c r="M1627" s="26" t="str">
        <f>IF(A1627="","",BASE_CAIXA!AM1624)</f>
        <v/>
      </c>
      <c r="N1627" s="26" t="str">
        <f t="shared" ca="1" si="75"/>
        <v/>
      </c>
      <c r="O1627" s="26" t="str">
        <f>IFERROR(INDEX(EXTRATO_IMPORTADO!$A$5:$A$404,MATCH(B1627,EXTRATO_IMPORTADO!$I$5:$I$404,0)),"")</f>
        <v/>
      </c>
      <c r="P1627" s="26" t="str">
        <f>IFERROR(INDEX(EXTRATO_IMPORTADO!$F$5:$F$404,MATCH(B1627,EXTRATO_IMPORTADO!$I$5:$I$404,0)),"")</f>
        <v/>
      </c>
      <c r="Q1627" s="26" t="str">
        <f>IFERROR(INDEX(EXTRATO_IMPORTADO!$B$5:$B$404,MATCH(B1627,EXTRATO_IMPORTADO!$I$5:$I$404,0)),"")</f>
        <v/>
      </c>
      <c r="R1627" s="26" t="str">
        <f>IFERROR(MATCH(B1627,EXTRATO_IMPORTADO!$I$5:$I$404,0),"")</f>
        <v/>
      </c>
      <c r="S1627" s="26" t="str">
        <f t="shared" si="76"/>
        <v/>
      </c>
      <c r="T1627" s="26" t="str">
        <f t="shared" si="77"/>
        <v/>
      </c>
    </row>
    <row r="1628" spans="1:20" x14ac:dyDescent="0.3">
      <c r="A1628" s="26" t="str">
        <f>IF(BASE_CAIXA!A1625="","",BASE_CAIXA!A1625)</f>
        <v/>
      </c>
      <c r="B1628" s="26" t="str">
        <f>IF(A1628="","",BASE_CAIXA!AL1625)</f>
        <v/>
      </c>
      <c r="C1628" s="26" t="str">
        <f>IF(A1628="","",BASE_CAIXA!AJ1625)</f>
        <v/>
      </c>
      <c r="D1628" s="26" t="str">
        <f>IF(A1628="","",IF(BASE_CAIXA!C1625="Entrada","Crédito","Débito"))</f>
        <v/>
      </c>
      <c r="E1628" s="26" t="str">
        <f>IF(A1628="","",BASE_CAIXA!AA1625)</f>
        <v/>
      </c>
      <c r="F1628" s="26" t="str">
        <f>IF(A1628="","",BASE_CAIXA!N1625)</f>
        <v/>
      </c>
      <c r="G1628" s="26" t="str">
        <f>IF(A1628="","",BASE_CAIXA!O1625)</f>
        <v/>
      </c>
      <c r="H1628" s="26" t="str">
        <f>IF(A1628="","",BASE_CAIXA!P1625)</f>
        <v/>
      </c>
      <c r="I1628" s="26" t="str">
        <f>IF(A1628="","",IF(BASE_CAIXA!H1625&lt;&gt;"",BASE_CAIXA!H1625,BASE_CAIXA!G1625))</f>
        <v/>
      </c>
      <c r="J1628" s="26" t="str">
        <f>IF(A1628="","",BASE_CAIXA!G1625)</f>
        <v/>
      </c>
      <c r="K1628" s="26" t="str">
        <f>IF(A1628="","",BASE_CAIXA!I1625)</f>
        <v/>
      </c>
      <c r="L1628" s="26" t="str">
        <f>IF(A1628="","",BASE_CAIXA!J1625)</f>
        <v/>
      </c>
      <c r="M1628" s="26" t="str">
        <f>IF(A1628="","",BASE_CAIXA!AM1625)</f>
        <v/>
      </c>
      <c r="N1628" s="26" t="str">
        <f t="shared" ca="1" si="75"/>
        <v/>
      </c>
      <c r="O1628" s="26" t="str">
        <f>IFERROR(INDEX(EXTRATO_IMPORTADO!$A$5:$A$404,MATCH(B1628,EXTRATO_IMPORTADO!$I$5:$I$404,0)),"")</f>
        <v/>
      </c>
      <c r="P1628" s="26" t="str">
        <f>IFERROR(INDEX(EXTRATO_IMPORTADO!$F$5:$F$404,MATCH(B1628,EXTRATO_IMPORTADO!$I$5:$I$404,0)),"")</f>
        <v/>
      </c>
      <c r="Q1628" s="26" t="str">
        <f>IFERROR(INDEX(EXTRATO_IMPORTADO!$B$5:$B$404,MATCH(B1628,EXTRATO_IMPORTADO!$I$5:$I$404,0)),"")</f>
        <v/>
      </c>
      <c r="R1628" s="26" t="str">
        <f>IFERROR(MATCH(B1628,EXTRATO_IMPORTADO!$I$5:$I$404,0),"")</f>
        <v/>
      </c>
      <c r="S1628" s="26" t="str">
        <f t="shared" si="76"/>
        <v/>
      </c>
      <c r="T1628" s="26" t="str">
        <f t="shared" si="77"/>
        <v/>
      </c>
    </row>
    <row r="1629" spans="1:20" x14ac:dyDescent="0.3">
      <c r="A1629" s="26" t="str">
        <f>IF(BASE_CAIXA!A1626="","",BASE_CAIXA!A1626)</f>
        <v/>
      </c>
      <c r="B1629" s="26" t="str">
        <f>IF(A1629="","",BASE_CAIXA!AL1626)</f>
        <v/>
      </c>
      <c r="C1629" s="26" t="str">
        <f>IF(A1629="","",BASE_CAIXA!AJ1626)</f>
        <v/>
      </c>
      <c r="D1629" s="26" t="str">
        <f>IF(A1629="","",IF(BASE_CAIXA!C1626="Entrada","Crédito","Débito"))</f>
        <v/>
      </c>
      <c r="E1629" s="26" t="str">
        <f>IF(A1629="","",BASE_CAIXA!AA1626)</f>
        <v/>
      </c>
      <c r="F1629" s="26" t="str">
        <f>IF(A1629="","",BASE_CAIXA!N1626)</f>
        <v/>
      </c>
      <c r="G1629" s="26" t="str">
        <f>IF(A1629="","",BASE_CAIXA!O1626)</f>
        <v/>
      </c>
      <c r="H1629" s="26" t="str">
        <f>IF(A1629="","",BASE_CAIXA!P1626)</f>
        <v/>
      </c>
      <c r="I1629" s="26" t="str">
        <f>IF(A1629="","",IF(BASE_CAIXA!H1626&lt;&gt;"",BASE_CAIXA!H1626,BASE_CAIXA!G1626))</f>
        <v/>
      </c>
      <c r="J1629" s="26" t="str">
        <f>IF(A1629="","",BASE_CAIXA!G1626)</f>
        <v/>
      </c>
      <c r="K1629" s="26" t="str">
        <f>IF(A1629="","",BASE_CAIXA!I1626)</f>
        <v/>
      </c>
      <c r="L1629" s="26" t="str">
        <f>IF(A1629="","",BASE_CAIXA!J1626)</f>
        <v/>
      </c>
      <c r="M1629" s="26" t="str">
        <f>IF(A1629="","",BASE_CAIXA!AM1626)</f>
        <v/>
      </c>
      <c r="N1629" s="26" t="str">
        <f t="shared" ca="1" si="75"/>
        <v/>
      </c>
      <c r="O1629" s="26" t="str">
        <f>IFERROR(INDEX(EXTRATO_IMPORTADO!$A$5:$A$404,MATCH(B1629,EXTRATO_IMPORTADO!$I$5:$I$404,0)),"")</f>
        <v/>
      </c>
      <c r="P1629" s="26" t="str">
        <f>IFERROR(INDEX(EXTRATO_IMPORTADO!$F$5:$F$404,MATCH(B1629,EXTRATO_IMPORTADO!$I$5:$I$404,0)),"")</f>
        <v/>
      </c>
      <c r="Q1629" s="26" t="str">
        <f>IFERROR(INDEX(EXTRATO_IMPORTADO!$B$5:$B$404,MATCH(B1629,EXTRATO_IMPORTADO!$I$5:$I$404,0)),"")</f>
        <v/>
      </c>
      <c r="R1629" s="26" t="str">
        <f>IFERROR(MATCH(B1629,EXTRATO_IMPORTADO!$I$5:$I$404,0),"")</f>
        <v/>
      </c>
      <c r="S1629" s="26" t="str">
        <f t="shared" si="76"/>
        <v/>
      </c>
      <c r="T1629" s="26" t="str">
        <f t="shared" si="77"/>
        <v/>
      </c>
    </row>
    <row r="1630" spans="1:20" x14ac:dyDescent="0.3">
      <c r="A1630" s="26" t="str">
        <f>IF(BASE_CAIXA!A1627="","",BASE_CAIXA!A1627)</f>
        <v/>
      </c>
      <c r="B1630" s="26" t="str">
        <f>IF(A1630="","",BASE_CAIXA!AL1627)</f>
        <v/>
      </c>
      <c r="C1630" s="26" t="str">
        <f>IF(A1630="","",BASE_CAIXA!AJ1627)</f>
        <v/>
      </c>
      <c r="D1630" s="26" t="str">
        <f>IF(A1630="","",IF(BASE_CAIXA!C1627="Entrada","Crédito","Débito"))</f>
        <v/>
      </c>
      <c r="E1630" s="26" t="str">
        <f>IF(A1630="","",BASE_CAIXA!AA1627)</f>
        <v/>
      </c>
      <c r="F1630" s="26" t="str">
        <f>IF(A1630="","",BASE_CAIXA!N1627)</f>
        <v/>
      </c>
      <c r="G1630" s="26" t="str">
        <f>IF(A1630="","",BASE_CAIXA!O1627)</f>
        <v/>
      </c>
      <c r="H1630" s="26" t="str">
        <f>IF(A1630="","",BASE_CAIXA!P1627)</f>
        <v/>
      </c>
      <c r="I1630" s="26" t="str">
        <f>IF(A1630="","",IF(BASE_CAIXA!H1627&lt;&gt;"",BASE_CAIXA!H1627,BASE_CAIXA!G1627))</f>
        <v/>
      </c>
      <c r="J1630" s="26" t="str">
        <f>IF(A1630="","",BASE_CAIXA!G1627)</f>
        <v/>
      </c>
      <c r="K1630" s="26" t="str">
        <f>IF(A1630="","",BASE_CAIXA!I1627)</f>
        <v/>
      </c>
      <c r="L1630" s="26" t="str">
        <f>IF(A1630="","",BASE_CAIXA!J1627)</f>
        <v/>
      </c>
      <c r="M1630" s="26" t="str">
        <f>IF(A1630="","",BASE_CAIXA!AM1627)</f>
        <v/>
      </c>
      <c r="N1630" s="26" t="str">
        <f t="shared" ca="1" si="75"/>
        <v/>
      </c>
      <c r="O1630" s="26" t="str">
        <f>IFERROR(INDEX(EXTRATO_IMPORTADO!$A$5:$A$404,MATCH(B1630,EXTRATO_IMPORTADO!$I$5:$I$404,0)),"")</f>
        <v/>
      </c>
      <c r="P1630" s="26" t="str">
        <f>IFERROR(INDEX(EXTRATO_IMPORTADO!$F$5:$F$404,MATCH(B1630,EXTRATO_IMPORTADO!$I$5:$I$404,0)),"")</f>
        <v/>
      </c>
      <c r="Q1630" s="26" t="str">
        <f>IFERROR(INDEX(EXTRATO_IMPORTADO!$B$5:$B$404,MATCH(B1630,EXTRATO_IMPORTADO!$I$5:$I$404,0)),"")</f>
        <v/>
      </c>
      <c r="R1630" s="26" t="str">
        <f>IFERROR(MATCH(B1630,EXTRATO_IMPORTADO!$I$5:$I$404,0),"")</f>
        <v/>
      </c>
      <c r="S1630" s="26" t="str">
        <f t="shared" si="76"/>
        <v/>
      </c>
      <c r="T1630" s="26" t="str">
        <f t="shared" si="77"/>
        <v/>
      </c>
    </row>
    <row r="1631" spans="1:20" x14ac:dyDescent="0.3">
      <c r="A1631" s="26" t="str">
        <f>IF(BASE_CAIXA!A1628="","",BASE_CAIXA!A1628)</f>
        <v/>
      </c>
      <c r="B1631" s="26" t="str">
        <f>IF(A1631="","",BASE_CAIXA!AL1628)</f>
        <v/>
      </c>
      <c r="C1631" s="26" t="str">
        <f>IF(A1631="","",BASE_CAIXA!AJ1628)</f>
        <v/>
      </c>
      <c r="D1631" s="26" t="str">
        <f>IF(A1631="","",IF(BASE_CAIXA!C1628="Entrada","Crédito","Débito"))</f>
        <v/>
      </c>
      <c r="E1631" s="26" t="str">
        <f>IF(A1631="","",BASE_CAIXA!AA1628)</f>
        <v/>
      </c>
      <c r="F1631" s="26" t="str">
        <f>IF(A1631="","",BASE_CAIXA!N1628)</f>
        <v/>
      </c>
      <c r="G1631" s="26" t="str">
        <f>IF(A1631="","",BASE_CAIXA!O1628)</f>
        <v/>
      </c>
      <c r="H1631" s="26" t="str">
        <f>IF(A1631="","",BASE_CAIXA!P1628)</f>
        <v/>
      </c>
      <c r="I1631" s="26" t="str">
        <f>IF(A1631="","",IF(BASE_CAIXA!H1628&lt;&gt;"",BASE_CAIXA!H1628,BASE_CAIXA!G1628))</f>
        <v/>
      </c>
      <c r="J1631" s="26" t="str">
        <f>IF(A1631="","",BASE_CAIXA!G1628)</f>
        <v/>
      </c>
      <c r="K1631" s="26" t="str">
        <f>IF(A1631="","",BASE_CAIXA!I1628)</f>
        <v/>
      </c>
      <c r="L1631" s="26" t="str">
        <f>IF(A1631="","",BASE_CAIXA!J1628)</f>
        <v/>
      </c>
      <c r="M1631" s="26" t="str">
        <f>IF(A1631="","",BASE_CAIXA!AM1628)</f>
        <v/>
      </c>
      <c r="N1631" s="26" t="str">
        <f t="shared" ca="1" si="75"/>
        <v/>
      </c>
      <c r="O1631" s="26" t="str">
        <f>IFERROR(INDEX(EXTRATO_IMPORTADO!$A$5:$A$404,MATCH(B1631,EXTRATO_IMPORTADO!$I$5:$I$404,0)),"")</f>
        <v/>
      </c>
      <c r="P1631" s="26" t="str">
        <f>IFERROR(INDEX(EXTRATO_IMPORTADO!$F$5:$F$404,MATCH(B1631,EXTRATO_IMPORTADO!$I$5:$I$404,0)),"")</f>
        <v/>
      </c>
      <c r="Q1631" s="26" t="str">
        <f>IFERROR(INDEX(EXTRATO_IMPORTADO!$B$5:$B$404,MATCH(B1631,EXTRATO_IMPORTADO!$I$5:$I$404,0)),"")</f>
        <v/>
      </c>
      <c r="R1631" s="26" t="str">
        <f>IFERROR(MATCH(B1631,EXTRATO_IMPORTADO!$I$5:$I$404,0),"")</f>
        <v/>
      </c>
      <c r="S1631" s="26" t="str">
        <f t="shared" si="76"/>
        <v/>
      </c>
      <c r="T1631" s="26" t="str">
        <f t="shared" si="77"/>
        <v/>
      </c>
    </row>
    <row r="1632" spans="1:20" x14ac:dyDescent="0.3">
      <c r="A1632" s="26" t="str">
        <f>IF(BASE_CAIXA!A1629="","",BASE_CAIXA!A1629)</f>
        <v/>
      </c>
      <c r="B1632" s="26" t="str">
        <f>IF(A1632="","",BASE_CAIXA!AL1629)</f>
        <v/>
      </c>
      <c r="C1632" s="26" t="str">
        <f>IF(A1632="","",BASE_CAIXA!AJ1629)</f>
        <v/>
      </c>
      <c r="D1632" s="26" t="str">
        <f>IF(A1632="","",IF(BASE_CAIXA!C1629="Entrada","Crédito","Débito"))</f>
        <v/>
      </c>
      <c r="E1632" s="26" t="str">
        <f>IF(A1632="","",BASE_CAIXA!AA1629)</f>
        <v/>
      </c>
      <c r="F1632" s="26" t="str">
        <f>IF(A1632="","",BASE_CAIXA!N1629)</f>
        <v/>
      </c>
      <c r="G1632" s="26" t="str">
        <f>IF(A1632="","",BASE_CAIXA!O1629)</f>
        <v/>
      </c>
      <c r="H1632" s="26" t="str">
        <f>IF(A1632="","",BASE_CAIXA!P1629)</f>
        <v/>
      </c>
      <c r="I1632" s="26" t="str">
        <f>IF(A1632="","",IF(BASE_CAIXA!H1629&lt;&gt;"",BASE_CAIXA!H1629,BASE_CAIXA!G1629))</f>
        <v/>
      </c>
      <c r="J1632" s="26" t="str">
        <f>IF(A1632="","",BASE_CAIXA!G1629)</f>
        <v/>
      </c>
      <c r="K1632" s="26" t="str">
        <f>IF(A1632="","",BASE_CAIXA!I1629)</f>
        <v/>
      </c>
      <c r="L1632" s="26" t="str">
        <f>IF(A1632="","",BASE_CAIXA!J1629)</f>
        <v/>
      </c>
      <c r="M1632" s="26" t="str">
        <f>IF(A1632="","",BASE_CAIXA!AM1629)</f>
        <v/>
      </c>
      <c r="N1632" s="26" t="str">
        <f t="shared" ca="1" si="75"/>
        <v/>
      </c>
      <c r="O1632" s="26" t="str">
        <f>IFERROR(INDEX(EXTRATO_IMPORTADO!$A$5:$A$404,MATCH(B1632,EXTRATO_IMPORTADO!$I$5:$I$404,0)),"")</f>
        <v/>
      </c>
      <c r="P1632" s="26" t="str">
        <f>IFERROR(INDEX(EXTRATO_IMPORTADO!$F$5:$F$404,MATCH(B1632,EXTRATO_IMPORTADO!$I$5:$I$404,0)),"")</f>
        <v/>
      </c>
      <c r="Q1632" s="26" t="str">
        <f>IFERROR(INDEX(EXTRATO_IMPORTADO!$B$5:$B$404,MATCH(B1632,EXTRATO_IMPORTADO!$I$5:$I$404,0)),"")</f>
        <v/>
      </c>
      <c r="R1632" s="26" t="str">
        <f>IFERROR(MATCH(B1632,EXTRATO_IMPORTADO!$I$5:$I$404,0),"")</f>
        <v/>
      </c>
      <c r="S1632" s="26" t="str">
        <f t="shared" si="76"/>
        <v/>
      </c>
      <c r="T1632" s="26" t="str">
        <f t="shared" si="77"/>
        <v/>
      </c>
    </row>
    <row r="1633" spans="1:20" x14ac:dyDescent="0.3">
      <c r="A1633" s="26" t="str">
        <f>IF(BASE_CAIXA!A1630="","",BASE_CAIXA!A1630)</f>
        <v/>
      </c>
      <c r="B1633" s="26" t="str">
        <f>IF(A1633="","",BASE_CAIXA!AL1630)</f>
        <v/>
      </c>
      <c r="C1633" s="26" t="str">
        <f>IF(A1633="","",BASE_CAIXA!AJ1630)</f>
        <v/>
      </c>
      <c r="D1633" s="26" t="str">
        <f>IF(A1633="","",IF(BASE_CAIXA!C1630="Entrada","Crédito","Débito"))</f>
        <v/>
      </c>
      <c r="E1633" s="26" t="str">
        <f>IF(A1633="","",BASE_CAIXA!AA1630)</f>
        <v/>
      </c>
      <c r="F1633" s="26" t="str">
        <f>IF(A1633="","",BASE_CAIXA!N1630)</f>
        <v/>
      </c>
      <c r="G1633" s="26" t="str">
        <f>IF(A1633="","",BASE_CAIXA!O1630)</f>
        <v/>
      </c>
      <c r="H1633" s="26" t="str">
        <f>IF(A1633="","",BASE_CAIXA!P1630)</f>
        <v/>
      </c>
      <c r="I1633" s="26" t="str">
        <f>IF(A1633="","",IF(BASE_CAIXA!H1630&lt;&gt;"",BASE_CAIXA!H1630,BASE_CAIXA!G1630))</f>
        <v/>
      </c>
      <c r="J1633" s="26" t="str">
        <f>IF(A1633="","",BASE_CAIXA!G1630)</f>
        <v/>
      </c>
      <c r="K1633" s="26" t="str">
        <f>IF(A1633="","",BASE_CAIXA!I1630)</f>
        <v/>
      </c>
      <c r="L1633" s="26" t="str">
        <f>IF(A1633="","",BASE_CAIXA!J1630)</f>
        <v/>
      </c>
      <c r="M1633" s="26" t="str">
        <f>IF(A1633="","",BASE_CAIXA!AM1630)</f>
        <v/>
      </c>
      <c r="N1633" s="26" t="str">
        <f t="shared" ca="1" si="75"/>
        <v/>
      </c>
      <c r="O1633" s="26" t="str">
        <f>IFERROR(INDEX(EXTRATO_IMPORTADO!$A$5:$A$404,MATCH(B1633,EXTRATO_IMPORTADO!$I$5:$I$404,0)),"")</f>
        <v/>
      </c>
      <c r="P1633" s="26" t="str">
        <f>IFERROR(INDEX(EXTRATO_IMPORTADO!$F$5:$F$404,MATCH(B1633,EXTRATO_IMPORTADO!$I$5:$I$404,0)),"")</f>
        <v/>
      </c>
      <c r="Q1633" s="26" t="str">
        <f>IFERROR(INDEX(EXTRATO_IMPORTADO!$B$5:$B$404,MATCH(B1633,EXTRATO_IMPORTADO!$I$5:$I$404,0)),"")</f>
        <v/>
      </c>
      <c r="R1633" s="26" t="str">
        <f>IFERROR(MATCH(B1633,EXTRATO_IMPORTADO!$I$5:$I$404,0),"")</f>
        <v/>
      </c>
      <c r="S1633" s="26" t="str">
        <f t="shared" si="76"/>
        <v/>
      </c>
      <c r="T1633" s="26" t="str">
        <f t="shared" si="77"/>
        <v/>
      </c>
    </row>
    <row r="1634" spans="1:20" x14ac:dyDescent="0.3">
      <c r="A1634" s="26" t="str">
        <f>IF(BASE_CAIXA!A1631="","",BASE_CAIXA!A1631)</f>
        <v/>
      </c>
      <c r="B1634" s="26" t="str">
        <f>IF(A1634="","",BASE_CAIXA!AL1631)</f>
        <v/>
      </c>
      <c r="C1634" s="26" t="str">
        <f>IF(A1634="","",BASE_CAIXA!AJ1631)</f>
        <v/>
      </c>
      <c r="D1634" s="26" t="str">
        <f>IF(A1634="","",IF(BASE_CAIXA!C1631="Entrada","Crédito","Débito"))</f>
        <v/>
      </c>
      <c r="E1634" s="26" t="str">
        <f>IF(A1634="","",BASE_CAIXA!AA1631)</f>
        <v/>
      </c>
      <c r="F1634" s="26" t="str">
        <f>IF(A1634="","",BASE_CAIXA!N1631)</f>
        <v/>
      </c>
      <c r="G1634" s="26" t="str">
        <f>IF(A1634="","",BASE_CAIXA!O1631)</f>
        <v/>
      </c>
      <c r="H1634" s="26" t="str">
        <f>IF(A1634="","",BASE_CAIXA!P1631)</f>
        <v/>
      </c>
      <c r="I1634" s="26" t="str">
        <f>IF(A1634="","",IF(BASE_CAIXA!H1631&lt;&gt;"",BASE_CAIXA!H1631,BASE_CAIXA!G1631))</f>
        <v/>
      </c>
      <c r="J1634" s="26" t="str">
        <f>IF(A1634="","",BASE_CAIXA!G1631)</f>
        <v/>
      </c>
      <c r="K1634" s="26" t="str">
        <f>IF(A1634="","",BASE_CAIXA!I1631)</f>
        <v/>
      </c>
      <c r="L1634" s="26" t="str">
        <f>IF(A1634="","",BASE_CAIXA!J1631)</f>
        <v/>
      </c>
      <c r="M1634" s="26" t="str">
        <f>IF(A1634="","",BASE_CAIXA!AM1631)</f>
        <v/>
      </c>
      <c r="N1634" s="26" t="str">
        <f t="shared" ca="1" si="75"/>
        <v/>
      </c>
      <c r="O1634" s="26" t="str">
        <f>IFERROR(INDEX(EXTRATO_IMPORTADO!$A$5:$A$404,MATCH(B1634,EXTRATO_IMPORTADO!$I$5:$I$404,0)),"")</f>
        <v/>
      </c>
      <c r="P1634" s="26" t="str">
        <f>IFERROR(INDEX(EXTRATO_IMPORTADO!$F$5:$F$404,MATCH(B1634,EXTRATO_IMPORTADO!$I$5:$I$404,0)),"")</f>
        <v/>
      </c>
      <c r="Q1634" s="26" t="str">
        <f>IFERROR(INDEX(EXTRATO_IMPORTADO!$B$5:$B$404,MATCH(B1634,EXTRATO_IMPORTADO!$I$5:$I$404,0)),"")</f>
        <v/>
      </c>
      <c r="R1634" s="26" t="str">
        <f>IFERROR(MATCH(B1634,EXTRATO_IMPORTADO!$I$5:$I$404,0),"")</f>
        <v/>
      </c>
      <c r="S1634" s="26" t="str">
        <f t="shared" si="76"/>
        <v/>
      </c>
      <c r="T1634" s="26" t="str">
        <f t="shared" si="77"/>
        <v/>
      </c>
    </row>
    <row r="1635" spans="1:20" x14ac:dyDescent="0.3">
      <c r="A1635" s="26" t="str">
        <f>IF(BASE_CAIXA!A1632="","",BASE_CAIXA!A1632)</f>
        <v/>
      </c>
      <c r="B1635" s="26" t="str">
        <f>IF(A1635="","",BASE_CAIXA!AL1632)</f>
        <v/>
      </c>
      <c r="C1635" s="26" t="str">
        <f>IF(A1635="","",BASE_CAIXA!AJ1632)</f>
        <v/>
      </c>
      <c r="D1635" s="26" t="str">
        <f>IF(A1635="","",IF(BASE_CAIXA!C1632="Entrada","Crédito","Débito"))</f>
        <v/>
      </c>
      <c r="E1635" s="26" t="str">
        <f>IF(A1635="","",BASE_CAIXA!AA1632)</f>
        <v/>
      </c>
      <c r="F1635" s="26" t="str">
        <f>IF(A1635="","",BASE_CAIXA!N1632)</f>
        <v/>
      </c>
      <c r="G1635" s="26" t="str">
        <f>IF(A1635="","",BASE_CAIXA!O1632)</f>
        <v/>
      </c>
      <c r="H1635" s="26" t="str">
        <f>IF(A1635="","",BASE_CAIXA!P1632)</f>
        <v/>
      </c>
      <c r="I1635" s="26" t="str">
        <f>IF(A1635="","",IF(BASE_CAIXA!H1632&lt;&gt;"",BASE_CAIXA!H1632,BASE_CAIXA!G1632))</f>
        <v/>
      </c>
      <c r="J1635" s="26" t="str">
        <f>IF(A1635="","",BASE_CAIXA!G1632)</f>
        <v/>
      </c>
      <c r="K1635" s="26" t="str">
        <f>IF(A1635="","",BASE_CAIXA!I1632)</f>
        <v/>
      </c>
      <c r="L1635" s="26" t="str">
        <f>IF(A1635="","",BASE_CAIXA!J1632)</f>
        <v/>
      </c>
      <c r="M1635" s="26" t="str">
        <f>IF(A1635="","",BASE_CAIXA!AM1632)</f>
        <v/>
      </c>
      <c r="N1635" s="26" t="str">
        <f t="shared" ca="1" si="75"/>
        <v/>
      </c>
      <c r="O1635" s="26" t="str">
        <f>IFERROR(INDEX(EXTRATO_IMPORTADO!$A$5:$A$404,MATCH(B1635,EXTRATO_IMPORTADO!$I$5:$I$404,0)),"")</f>
        <v/>
      </c>
      <c r="P1635" s="26" t="str">
        <f>IFERROR(INDEX(EXTRATO_IMPORTADO!$F$5:$F$404,MATCH(B1635,EXTRATO_IMPORTADO!$I$5:$I$404,0)),"")</f>
        <v/>
      </c>
      <c r="Q1635" s="26" t="str">
        <f>IFERROR(INDEX(EXTRATO_IMPORTADO!$B$5:$B$404,MATCH(B1635,EXTRATO_IMPORTADO!$I$5:$I$404,0)),"")</f>
        <v/>
      </c>
      <c r="R1635" s="26" t="str">
        <f>IFERROR(MATCH(B1635,EXTRATO_IMPORTADO!$I$5:$I$404,0),"")</f>
        <v/>
      </c>
      <c r="S1635" s="26" t="str">
        <f t="shared" si="76"/>
        <v/>
      </c>
      <c r="T1635" s="26" t="str">
        <f t="shared" si="77"/>
        <v/>
      </c>
    </row>
    <row r="1636" spans="1:20" x14ac:dyDescent="0.3">
      <c r="A1636" s="26" t="str">
        <f>IF(BASE_CAIXA!A1633="","",BASE_CAIXA!A1633)</f>
        <v/>
      </c>
      <c r="B1636" s="26" t="str">
        <f>IF(A1636="","",BASE_CAIXA!AL1633)</f>
        <v/>
      </c>
      <c r="C1636" s="26" t="str">
        <f>IF(A1636="","",BASE_CAIXA!AJ1633)</f>
        <v/>
      </c>
      <c r="D1636" s="26" t="str">
        <f>IF(A1636="","",IF(BASE_CAIXA!C1633="Entrada","Crédito","Débito"))</f>
        <v/>
      </c>
      <c r="E1636" s="26" t="str">
        <f>IF(A1636="","",BASE_CAIXA!AA1633)</f>
        <v/>
      </c>
      <c r="F1636" s="26" t="str">
        <f>IF(A1636="","",BASE_CAIXA!N1633)</f>
        <v/>
      </c>
      <c r="G1636" s="26" t="str">
        <f>IF(A1636="","",BASE_CAIXA!O1633)</f>
        <v/>
      </c>
      <c r="H1636" s="26" t="str">
        <f>IF(A1636="","",BASE_CAIXA!P1633)</f>
        <v/>
      </c>
      <c r="I1636" s="26" t="str">
        <f>IF(A1636="","",IF(BASE_CAIXA!H1633&lt;&gt;"",BASE_CAIXA!H1633,BASE_CAIXA!G1633))</f>
        <v/>
      </c>
      <c r="J1636" s="26" t="str">
        <f>IF(A1636="","",BASE_CAIXA!G1633)</f>
        <v/>
      </c>
      <c r="K1636" s="26" t="str">
        <f>IF(A1636="","",BASE_CAIXA!I1633)</f>
        <v/>
      </c>
      <c r="L1636" s="26" t="str">
        <f>IF(A1636="","",BASE_CAIXA!J1633)</f>
        <v/>
      </c>
      <c r="M1636" s="26" t="str">
        <f>IF(A1636="","",BASE_CAIXA!AM1633)</f>
        <v/>
      </c>
      <c r="N1636" s="26" t="str">
        <f t="shared" ca="1" si="75"/>
        <v/>
      </c>
      <c r="O1636" s="26" t="str">
        <f>IFERROR(INDEX(EXTRATO_IMPORTADO!$A$5:$A$404,MATCH(B1636,EXTRATO_IMPORTADO!$I$5:$I$404,0)),"")</f>
        <v/>
      </c>
      <c r="P1636" s="26" t="str">
        <f>IFERROR(INDEX(EXTRATO_IMPORTADO!$F$5:$F$404,MATCH(B1636,EXTRATO_IMPORTADO!$I$5:$I$404,0)),"")</f>
        <v/>
      </c>
      <c r="Q1636" s="26" t="str">
        <f>IFERROR(INDEX(EXTRATO_IMPORTADO!$B$5:$B$404,MATCH(B1636,EXTRATO_IMPORTADO!$I$5:$I$404,0)),"")</f>
        <v/>
      </c>
      <c r="R1636" s="26" t="str">
        <f>IFERROR(MATCH(B1636,EXTRATO_IMPORTADO!$I$5:$I$404,0),"")</f>
        <v/>
      </c>
      <c r="S1636" s="26" t="str">
        <f t="shared" si="76"/>
        <v/>
      </c>
      <c r="T1636" s="26" t="str">
        <f t="shared" si="77"/>
        <v/>
      </c>
    </row>
    <row r="1637" spans="1:20" x14ac:dyDescent="0.3">
      <c r="A1637" s="26" t="str">
        <f>IF(BASE_CAIXA!A1634="","",BASE_CAIXA!A1634)</f>
        <v/>
      </c>
      <c r="B1637" s="26" t="str">
        <f>IF(A1637="","",BASE_CAIXA!AL1634)</f>
        <v/>
      </c>
      <c r="C1637" s="26" t="str">
        <f>IF(A1637="","",BASE_CAIXA!AJ1634)</f>
        <v/>
      </c>
      <c r="D1637" s="26" t="str">
        <f>IF(A1637="","",IF(BASE_CAIXA!C1634="Entrada","Crédito","Débito"))</f>
        <v/>
      </c>
      <c r="E1637" s="26" t="str">
        <f>IF(A1637="","",BASE_CAIXA!AA1634)</f>
        <v/>
      </c>
      <c r="F1637" s="26" t="str">
        <f>IF(A1637="","",BASE_CAIXA!N1634)</f>
        <v/>
      </c>
      <c r="G1637" s="26" t="str">
        <f>IF(A1637="","",BASE_CAIXA!O1634)</f>
        <v/>
      </c>
      <c r="H1637" s="26" t="str">
        <f>IF(A1637="","",BASE_CAIXA!P1634)</f>
        <v/>
      </c>
      <c r="I1637" s="26" t="str">
        <f>IF(A1637="","",IF(BASE_CAIXA!H1634&lt;&gt;"",BASE_CAIXA!H1634,BASE_CAIXA!G1634))</f>
        <v/>
      </c>
      <c r="J1637" s="26" t="str">
        <f>IF(A1637="","",BASE_CAIXA!G1634)</f>
        <v/>
      </c>
      <c r="K1637" s="26" t="str">
        <f>IF(A1637="","",BASE_CAIXA!I1634)</f>
        <v/>
      </c>
      <c r="L1637" s="26" t="str">
        <f>IF(A1637="","",BASE_CAIXA!J1634)</f>
        <v/>
      </c>
      <c r="M1637" s="26" t="str">
        <f>IF(A1637="","",BASE_CAIXA!AM1634)</f>
        <v/>
      </c>
      <c r="N1637" s="26" t="str">
        <f t="shared" ca="1" si="75"/>
        <v/>
      </c>
      <c r="O1637" s="26" t="str">
        <f>IFERROR(INDEX(EXTRATO_IMPORTADO!$A$5:$A$404,MATCH(B1637,EXTRATO_IMPORTADO!$I$5:$I$404,0)),"")</f>
        <v/>
      </c>
      <c r="P1637" s="26" t="str">
        <f>IFERROR(INDEX(EXTRATO_IMPORTADO!$F$5:$F$404,MATCH(B1637,EXTRATO_IMPORTADO!$I$5:$I$404,0)),"")</f>
        <v/>
      </c>
      <c r="Q1637" s="26" t="str">
        <f>IFERROR(INDEX(EXTRATO_IMPORTADO!$B$5:$B$404,MATCH(B1637,EXTRATO_IMPORTADO!$I$5:$I$404,0)),"")</f>
        <v/>
      </c>
      <c r="R1637" s="26" t="str">
        <f>IFERROR(MATCH(B1637,EXTRATO_IMPORTADO!$I$5:$I$404,0),"")</f>
        <v/>
      </c>
      <c r="S1637" s="26" t="str">
        <f t="shared" si="76"/>
        <v/>
      </c>
      <c r="T1637" s="26" t="str">
        <f t="shared" si="77"/>
        <v/>
      </c>
    </row>
    <row r="1638" spans="1:20" x14ac:dyDescent="0.3">
      <c r="A1638" s="26" t="str">
        <f>IF(BASE_CAIXA!A1635="","",BASE_CAIXA!A1635)</f>
        <v/>
      </c>
      <c r="B1638" s="26" t="str">
        <f>IF(A1638="","",BASE_CAIXA!AL1635)</f>
        <v/>
      </c>
      <c r="C1638" s="26" t="str">
        <f>IF(A1638="","",BASE_CAIXA!AJ1635)</f>
        <v/>
      </c>
      <c r="D1638" s="26" t="str">
        <f>IF(A1638="","",IF(BASE_CAIXA!C1635="Entrada","Crédito","Débito"))</f>
        <v/>
      </c>
      <c r="E1638" s="26" t="str">
        <f>IF(A1638="","",BASE_CAIXA!AA1635)</f>
        <v/>
      </c>
      <c r="F1638" s="26" t="str">
        <f>IF(A1638="","",BASE_CAIXA!N1635)</f>
        <v/>
      </c>
      <c r="G1638" s="26" t="str">
        <f>IF(A1638="","",BASE_CAIXA!O1635)</f>
        <v/>
      </c>
      <c r="H1638" s="26" t="str">
        <f>IF(A1638="","",BASE_CAIXA!P1635)</f>
        <v/>
      </c>
      <c r="I1638" s="26" t="str">
        <f>IF(A1638="","",IF(BASE_CAIXA!H1635&lt;&gt;"",BASE_CAIXA!H1635,BASE_CAIXA!G1635))</f>
        <v/>
      </c>
      <c r="J1638" s="26" t="str">
        <f>IF(A1638="","",BASE_CAIXA!G1635)</f>
        <v/>
      </c>
      <c r="K1638" s="26" t="str">
        <f>IF(A1638="","",BASE_CAIXA!I1635)</f>
        <v/>
      </c>
      <c r="L1638" s="26" t="str">
        <f>IF(A1638="","",BASE_CAIXA!J1635)</f>
        <v/>
      </c>
      <c r="M1638" s="26" t="str">
        <f>IF(A1638="","",BASE_CAIXA!AM1635)</f>
        <v/>
      </c>
      <c r="N1638" s="26" t="str">
        <f t="shared" ca="1" si="75"/>
        <v/>
      </c>
      <c r="O1638" s="26" t="str">
        <f>IFERROR(INDEX(EXTRATO_IMPORTADO!$A$5:$A$404,MATCH(B1638,EXTRATO_IMPORTADO!$I$5:$I$404,0)),"")</f>
        <v/>
      </c>
      <c r="P1638" s="26" t="str">
        <f>IFERROR(INDEX(EXTRATO_IMPORTADO!$F$5:$F$404,MATCH(B1638,EXTRATO_IMPORTADO!$I$5:$I$404,0)),"")</f>
        <v/>
      </c>
      <c r="Q1638" s="26" t="str">
        <f>IFERROR(INDEX(EXTRATO_IMPORTADO!$B$5:$B$404,MATCH(B1638,EXTRATO_IMPORTADO!$I$5:$I$404,0)),"")</f>
        <v/>
      </c>
      <c r="R1638" s="26" t="str">
        <f>IFERROR(MATCH(B1638,EXTRATO_IMPORTADO!$I$5:$I$404,0),"")</f>
        <v/>
      </c>
      <c r="S1638" s="26" t="str">
        <f t="shared" si="76"/>
        <v/>
      </c>
      <c r="T1638" s="26" t="str">
        <f t="shared" si="77"/>
        <v/>
      </c>
    </row>
    <row r="1639" spans="1:20" x14ac:dyDescent="0.3">
      <c r="A1639" s="26" t="str">
        <f>IF(BASE_CAIXA!A1636="","",BASE_CAIXA!A1636)</f>
        <v/>
      </c>
      <c r="B1639" s="26" t="str">
        <f>IF(A1639="","",BASE_CAIXA!AL1636)</f>
        <v/>
      </c>
      <c r="C1639" s="26" t="str">
        <f>IF(A1639="","",BASE_CAIXA!AJ1636)</f>
        <v/>
      </c>
      <c r="D1639" s="26" t="str">
        <f>IF(A1639="","",IF(BASE_CAIXA!C1636="Entrada","Crédito","Débito"))</f>
        <v/>
      </c>
      <c r="E1639" s="26" t="str">
        <f>IF(A1639="","",BASE_CAIXA!AA1636)</f>
        <v/>
      </c>
      <c r="F1639" s="26" t="str">
        <f>IF(A1639="","",BASE_CAIXA!N1636)</f>
        <v/>
      </c>
      <c r="G1639" s="26" t="str">
        <f>IF(A1639="","",BASE_CAIXA!O1636)</f>
        <v/>
      </c>
      <c r="H1639" s="26" t="str">
        <f>IF(A1639="","",BASE_CAIXA!P1636)</f>
        <v/>
      </c>
      <c r="I1639" s="26" t="str">
        <f>IF(A1639="","",IF(BASE_CAIXA!H1636&lt;&gt;"",BASE_CAIXA!H1636,BASE_CAIXA!G1636))</f>
        <v/>
      </c>
      <c r="J1639" s="26" t="str">
        <f>IF(A1639="","",BASE_CAIXA!G1636)</f>
        <v/>
      </c>
      <c r="K1639" s="26" t="str">
        <f>IF(A1639="","",BASE_CAIXA!I1636)</f>
        <v/>
      </c>
      <c r="L1639" s="26" t="str">
        <f>IF(A1639="","",BASE_CAIXA!J1636)</f>
        <v/>
      </c>
      <c r="M1639" s="26" t="str">
        <f>IF(A1639="","",BASE_CAIXA!AM1636)</f>
        <v/>
      </c>
      <c r="N1639" s="26" t="str">
        <f t="shared" ca="1" si="75"/>
        <v/>
      </c>
      <c r="O1639" s="26" t="str">
        <f>IFERROR(INDEX(EXTRATO_IMPORTADO!$A$5:$A$404,MATCH(B1639,EXTRATO_IMPORTADO!$I$5:$I$404,0)),"")</f>
        <v/>
      </c>
      <c r="P1639" s="26" t="str">
        <f>IFERROR(INDEX(EXTRATO_IMPORTADO!$F$5:$F$404,MATCH(B1639,EXTRATO_IMPORTADO!$I$5:$I$404,0)),"")</f>
        <v/>
      </c>
      <c r="Q1639" s="26" t="str">
        <f>IFERROR(INDEX(EXTRATO_IMPORTADO!$B$5:$B$404,MATCH(B1639,EXTRATO_IMPORTADO!$I$5:$I$404,0)),"")</f>
        <v/>
      </c>
      <c r="R1639" s="26" t="str">
        <f>IFERROR(MATCH(B1639,EXTRATO_IMPORTADO!$I$5:$I$404,0),"")</f>
        <v/>
      </c>
      <c r="S1639" s="26" t="str">
        <f t="shared" si="76"/>
        <v/>
      </c>
      <c r="T1639" s="26" t="str">
        <f t="shared" si="77"/>
        <v/>
      </c>
    </row>
    <row r="1640" spans="1:20" x14ac:dyDescent="0.3">
      <c r="A1640" s="26" t="str">
        <f>IF(BASE_CAIXA!A1637="","",BASE_CAIXA!A1637)</f>
        <v/>
      </c>
      <c r="B1640" s="26" t="str">
        <f>IF(A1640="","",BASE_CAIXA!AL1637)</f>
        <v/>
      </c>
      <c r="C1640" s="26" t="str">
        <f>IF(A1640="","",BASE_CAIXA!AJ1637)</f>
        <v/>
      </c>
      <c r="D1640" s="26" t="str">
        <f>IF(A1640="","",IF(BASE_CAIXA!C1637="Entrada","Crédito","Débito"))</f>
        <v/>
      </c>
      <c r="E1640" s="26" t="str">
        <f>IF(A1640="","",BASE_CAIXA!AA1637)</f>
        <v/>
      </c>
      <c r="F1640" s="26" t="str">
        <f>IF(A1640="","",BASE_CAIXA!N1637)</f>
        <v/>
      </c>
      <c r="G1640" s="26" t="str">
        <f>IF(A1640="","",BASE_CAIXA!O1637)</f>
        <v/>
      </c>
      <c r="H1640" s="26" t="str">
        <f>IF(A1640="","",BASE_CAIXA!P1637)</f>
        <v/>
      </c>
      <c r="I1640" s="26" t="str">
        <f>IF(A1640="","",IF(BASE_CAIXA!H1637&lt;&gt;"",BASE_CAIXA!H1637,BASE_CAIXA!G1637))</f>
        <v/>
      </c>
      <c r="J1640" s="26" t="str">
        <f>IF(A1640="","",BASE_CAIXA!G1637)</f>
        <v/>
      </c>
      <c r="K1640" s="26" t="str">
        <f>IF(A1640="","",BASE_CAIXA!I1637)</f>
        <v/>
      </c>
      <c r="L1640" s="26" t="str">
        <f>IF(A1640="","",BASE_CAIXA!J1637)</f>
        <v/>
      </c>
      <c r="M1640" s="26" t="str">
        <f>IF(A1640="","",BASE_CAIXA!AM1637)</f>
        <v/>
      </c>
      <c r="N1640" s="26" t="str">
        <f t="shared" ca="1" si="75"/>
        <v/>
      </c>
      <c r="O1640" s="26" t="str">
        <f>IFERROR(INDEX(EXTRATO_IMPORTADO!$A$5:$A$404,MATCH(B1640,EXTRATO_IMPORTADO!$I$5:$I$404,0)),"")</f>
        <v/>
      </c>
      <c r="P1640" s="26" t="str">
        <f>IFERROR(INDEX(EXTRATO_IMPORTADO!$F$5:$F$404,MATCH(B1640,EXTRATO_IMPORTADO!$I$5:$I$404,0)),"")</f>
        <v/>
      </c>
      <c r="Q1640" s="26" t="str">
        <f>IFERROR(INDEX(EXTRATO_IMPORTADO!$B$5:$B$404,MATCH(B1640,EXTRATO_IMPORTADO!$I$5:$I$404,0)),"")</f>
        <v/>
      </c>
      <c r="R1640" s="26" t="str">
        <f>IFERROR(MATCH(B1640,EXTRATO_IMPORTADO!$I$5:$I$404,0),"")</f>
        <v/>
      </c>
      <c r="S1640" s="26" t="str">
        <f t="shared" si="76"/>
        <v/>
      </c>
      <c r="T1640" s="26" t="str">
        <f t="shared" si="77"/>
        <v/>
      </c>
    </row>
    <row r="1641" spans="1:20" x14ac:dyDescent="0.3">
      <c r="A1641" s="26" t="str">
        <f>IF(BASE_CAIXA!A1638="","",BASE_CAIXA!A1638)</f>
        <v/>
      </c>
      <c r="B1641" s="26" t="str">
        <f>IF(A1641="","",BASE_CAIXA!AL1638)</f>
        <v/>
      </c>
      <c r="C1641" s="26" t="str">
        <f>IF(A1641="","",BASE_CAIXA!AJ1638)</f>
        <v/>
      </c>
      <c r="D1641" s="26" t="str">
        <f>IF(A1641="","",IF(BASE_CAIXA!C1638="Entrada","Crédito","Débito"))</f>
        <v/>
      </c>
      <c r="E1641" s="26" t="str">
        <f>IF(A1641="","",BASE_CAIXA!AA1638)</f>
        <v/>
      </c>
      <c r="F1641" s="26" t="str">
        <f>IF(A1641="","",BASE_CAIXA!N1638)</f>
        <v/>
      </c>
      <c r="G1641" s="26" t="str">
        <f>IF(A1641="","",BASE_CAIXA!O1638)</f>
        <v/>
      </c>
      <c r="H1641" s="26" t="str">
        <f>IF(A1641="","",BASE_CAIXA!P1638)</f>
        <v/>
      </c>
      <c r="I1641" s="26" t="str">
        <f>IF(A1641="","",IF(BASE_CAIXA!H1638&lt;&gt;"",BASE_CAIXA!H1638,BASE_CAIXA!G1638))</f>
        <v/>
      </c>
      <c r="J1641" s="26" t="str">
        <f>IF(A1641="","",BASE_CAIXA!G1638)</f>
        <v/>
      </c>
      <c r="K1641" s="26" t="str">
        <f>IF(A1641="","",BASE_CAIXA!I1638)</f>
        <v/>
      </c>
      <c r="L1641" s="26" t="str">
        <f>IF(A1641="","",BASE_CAIXA!J1638)</f>
        <v/>
      </c>
      <c r="M1641" s="26" t="str">
        <f>IF(A1641="","",BASE_CAIXA!AM1638)</f>
        <v/>
      </c>
      <c r="N1641" s="26" t="str">
        <f t="shared" ca="1" si="75"/>
        <v/>
      </c>
      <c r="O1641" s="26" t="str">
        <f>IFERROR(INDEX(EXTRATO_IMPORTADO!$A$5:$A$404,MATCH(B1641,EXTRATO_IMPORTADO!$I$5:$I$404,0)),"")</f>
        <v/>
      </c>
      <c r="P1641" s="26" t="str">
        <f>IFERROR(INDEX(EXTRATO_IMPORTADO!$F$5:$F$404,MATCH(B1641,EXTRATO_IMPORTADO!$I$5:$I$404,0)),"")</f>
        <v/>
      </c>
      <c r="Q1641" s="26" t="str">
        <f>IFERROR(INDEX(EXTRATO_IMPORTADO!$B$5:$B$404,MATCH(B1641,EXTRATO_IMPORTADO!$I$5:$I$404,0)),"")</f>
        <v/>
      </c>
      <c r="R1641" s="26" t="str">
        <f>IFERROR(MATCH(B1641,EXTRATO_IMPORTADO!$I$5:$I$404,0),"")</f>
        <v/>
      </c>
      <c r="S1641" s="26" t="str">
        <f t="shared" si="76"/>
        <v/>
      </c>
      <c r="T1641" s="26" t="str">
        <f t="shared" si="77"/>
        <v/>
      </c>
    </row>
    <row r="1642" spans="1:20" x14ac:dyDescent="0.3">
      <c r="A1642" s="26" t="str">
        <f>IF(BASE_CAIXA!A1639="","",BASE_CAIXA!A1639)</f>
        <v/>
      </c>
      <c r="B1642" s="26" t="str">
        <f>IF(A1642="","",BASE_CAIXA!AL1639)</f>
        <v/>
      </c>
      <c r="C1642" s="26" t="str">
        <f>IF(A1642="","",BASE_CAIXA!AJ1639)</f>
        <v/>
      </c>
      <c r="D1642" s="26" t="str">
        <f>IF(A1642="","",IF(BASE_CAIXA!C1639="Entrada","Crédito","Débito"))</f>
        <v/>
      </c>
      <c r="E1642" s="26" t="str">
        <f>IF(A1642="","",BASE_CAIXA!AA1639)</f>
        <v/>
      </c>
      <c r="F1642" s="26" t="str">
        <f>IF(A1642="","",BASE_CAIXA!N1639)</f>
        <v/>
      </c>
      <c r="G1642" s="26" t="str">
        <f>IF(A1642="","",BASE_CAIXA!O1639)</f>
        <v/>
      </c>
      <c r="H1642" s="26" t="str">
        <f>IF(A1642="","",BASE_CAIXA!P1639)</f>
        <v/>
      </c>
      <c r="I1642" s="26" t="str">
        <f>IF(A1642="","",IF(BASE_CAIXA!H1639&lt;&gt;"",BASE_CAIXA!H1639,BASE_CAIXA!G1639))</f>
        <v/>
      </c>
      <c r="J1642" s="26" t="str">
        <f>IF(A1642="","",BASE_CAIXA!G1639)</f>
        <v/>
      </c>
      <c r="K1642" s="26" t="str">
        <f>IF(A1642="","",BASE_CAIXA!I1639)</f>
        <v/>
      </c>
      <c r="L1642" s="26" t="str">
        <f>IF(A1642="","",BASE_CAIXA!J1639)</f>
        <v/>
      </c>
      <c r="M1642" s="26" t="str">
        <f>IF(A1642="","",BASE_CAIXA!AM1639)</f>
        <v/>
      </c>
      <c r="N1642" s="26" t="str">
        <f t="shared" ca="1" si="75"/>
        <v/>
      </c>
      <c r="O1642" s="26" t="str">
        <f>IFERROR(INDEX(EXTRATO_IMPORTADO!$A$5:$A$404,MATCH(B1642,EXTRATO_IMPORTADO!$I$5:$I$404,0)),"")</f>
        <v/>
      </c>
      <c r="P1642" s="26" t="str">
        <f>IFERROR(INDEX(EXTRATO_IMPORTADO!$F$5:$F$404,MATCH(B1642,EXTRATO_IMPORTADO!$I$5:$I$404,0)),"")</f>
        <v/>
      </c>
      <c r="Q1642" s="26" t="str">
        <f>IFERROR(INDEX(EXTRATO_IMPORTADO!$B$5:$B$404,MATCH(B1642,EXTRATO_IMPORTADO!$I$5:$I$404,0)),"")</f>
        <v/>
      </c>
      <c r="R1642" s="26" t="str">
        <f>IFERROR(MATCH(B1642,EXTRATO_IMPORTADO!$I$5:$I$404,0),"")</f>
        <v/>
      </c>
      <c r="S1642" s="26" t="str">
        <f t="shared" si="76"/>
        <v/>
      </c>
      <c r="T1642" s="26" t="str">
        <f t="shared" si="77"/>
        <v/>
      </c>
    </row>
    <row r="1643" spans="1:20" x14ac:dyDescent="0.3">
      <c r="A1643" s="26" t="str">
        <f>IF(BASE_CAIXA!A1640="","",BASE_CAIXA!A1640)</f>
        <v/>
      </c>
      <c r="B1643" s="26" t="str">
        <f>IF(A1643="","",BASE_CAIXA!AL1640)</f>
        <v/>
      </c>
      <c r="C1643" s="26" t="str">
        <f>IF(A1643="","",BASE_CAIXA!AJ1640)</f>
        <v/>
      </c>
      <c r="D1643" s="26" t="str">
        <f>IF(A1643="","",IF(BASE_CAIXA!C1640="Entrada","Crédito","Débito"))</f>
        <v/>
      </c>
      <c r="E1643" s="26" t="str">
        <f>IF(A1643="","",BASE_CAIXA!AA1640)</f>
        <v/>
      </c>
      <c r="F1643" s="26" t="str">
        <f>IF(A1643="","",BASE_CAIXA!N1640)</f>
        <v/>
      </c>
      <c r="G1643" s="26" t="str">
        <f>IF(A1643="","",BASE_CAIXA!O1640)</f>
        <v/>
      </c>
      <c r="H1643" s="26" t="str">
        <f>IF(A1643="","",BASE_CAIXA!P1640)</f>
        <v/>
      </c>
      <c r="I1643" s="26" t="str">
        <f>IF(A1643="","",IF(BASE_CAIXA!H1640&lt;&gt;"",BASE_CAIXA!H1640,BASE_CAIXA!G1640))</f>
        <v/>
      </c>
      <c r="J1643" s="26" t="str">
        <f>IF(A1643="","",BASE_CAIXA!G1640)</f>
        <v/>
      </c>
      <c r="K1643" s="26" t="str">
        <f>IF(A1643="","",BASE_CAIXA!I1640)</f>
        <v/>
      </c>
      <c r="L1643" s="26" t="str">
        <f>IF(A1643="","",BASE_CAIXA!J1640)</f>
        <v/>
      </c>
      <c r="M1643" s="26" t="str">
        <f>IF(A1643="","",BASE_CAIXA!AM1640)</f>
        <v/>
      </c>
      <c r="N1643" s="26" t="str">
        <f t="shared" ca="1" si="75"/>
        <v/>
      </c>
      <c r="O1643" s="26" t="str">
        <f>IFERROR(INDEX(EXTRATO_IMPORTADO!$A$5:$A$404,MATCH(B1643,EXTRATO_IMPORTADO!$I$5:$I$404,0)),"")</f>
        <v/>
      </c>
      <c r="P1643" s="26" t="str">
        <f>IFERROR(INDEX(EXTRATO_IMPORTADO!$F$5:$F$404,MATCH(B1643,EXTRATO_IMPORTADO!$I$5:$I$404,0)),"")</f>
        <v/>
      </c>
      <c r="Q1643" s="26" t="str">
        <f>IFERROR(INDEX(EXTRATO_IMPORTADO!$B$5:$B$404,MATCH(B1643,EXTRATO_IMPORTADO!$I$5:$I$404,0)),"")</f>
        <v/>
      </c>
      <c r="R1643" s="26" t="str">
        <f>IFERROR(MATCH(B1643,EXTRATO_IMPORTADO!$I$5:$I$404,0),"")</f>
        <v/>
      </c>
      <c r="S1643" s="26" t="str">
        <f t="shared" si="76"/>
        <v/>
      </c>
      <c r="T1643" s="26" t="str">
        <f t="shared" si="77"/>
        <v/>
      </c>
    </row>
    <row r="1644" spans="1:20" x14ac:dyDescent="0.3">
      <c r="A1644" s="26" t="str">
        <f>IF(BASE_CAIXA!A1641="","",BASE_CAIXA!A1641)</f>
        <v/>
      </c>
      <c r="B1644" s="26" t="str">
        <f>IF(A1644="","",BASE_CAIXA!AL1641)</f>
        <v/>
      </c>
      <c r="C1644" s="26" t="str">
        <f>IF(A1644="","",BASE_CAIXA!AJ1641)</f>
        <v/>
      </c>
      <c r="D1644" s="26" t="str">
        <f>IF(A1644="","",IF(BASE_CAIXA!C1641="Entrada","Crédito","Débito"))</f>
        <v/>
      </c>
      <c r="E1644" s="26" t="str">
        <f>IF(A1644="","",BASE_CAIXA!AA1641)</f>
        <v/>
      </c>
      <c r="F1644" s="26" t="str">
        <f>IF(A1644="","",BASE_CAIXA!N1641)</f>
        <v/>
      </c>
      <c r="G1644" s="26" t="str">
        <f>IF(A1644="","",BASE_CAIXA!O1641)</f>
        <v/>
      </c>
      <c r="H1644" s="26" t="str">
        <f>IF(A1644="","",BASE_CAIXA!P1641)</f>
        <v/>
      </c>
      <c r="I1644" s="26" t="str">
        <f>IF(A1644="","",IF(BASE_CAIXA!H1641&lt;&gt;"",BASE_CAIXA!H1641,BASE_CAIXA!G1641))</f>
        <v/>
      </c>
      <c r="J1644" s="26" t="str">
        <f>IF(A1644="","",BASE_CAIXA!G1641)</f>
        <v/>
      </c>
      <c r="K1644" s="26" t="str">
        <f>IF(A1644="","",BASE_CAIXA!I1641)</f>
        <v/>
      </c>
      <c r="L1644" s="26" t="str">
        <f>IF(A1644="","",BASE_CAIXA!J1641)</f>
        <v/>
      </c>
      <c r="M1644" s="26" t="str">
        <f>IF(A1644="","",BASE_CAIXA!AM1641)</f>
        <v/>
      </c>
      <c r="N1644" s="26" t="str">
        <f t="shared" ca="1" si="75"/>
        <v/>
      </c>
      <c r="O1644" s="26" t="str">
        <f>IFERROR(INDEX(EXTRATO_IMPORTADO!$A$5:$A$404,MATCH(B1644,EXTRATO_IMPORTADO!$I$5:$I$404,0)),"")</f>
        <v/>
      </c>
      <c r="P1644" s="26" t="str">
        <f>IFERROR(INDEX(EXTRATO_IMPORTADO!$F$5:$F$404,MATCH(B1644,EXTRATO_IMPORTADO!$I$5:$I$404,0)),"")</f>
        <v/>
      </c>
      <c r="Q1644" s="26" t="str">
        <f>IFERROR(INDEX(EXTRATO_IMPORTADO!$B$5:$B$404,MATCH(B1644,EXTRATO_IMPORTADO!$I$5:$I$404,0)),"")</f>
        <v/>
      </c>
      <c r="R1644" s="26" t="str">
        <f>IFERROR(MATCH(B1644,EXTRATO_IMPORTADO!$I$5:$I$404,0),"")</f>
        <v/>
      </c>
      <c r="S1644" s="26" t="str">
        <f t="shared" si="76"/>
        <v/>
      </c>
      <c r="T1644" s="26" t="str">
        <f t="shared" si="77"/>
        <v/>
      </c>
    </row>
    <row r="1645" spans="1:20" x14ac:dyDescent="0.3">
      <c r="A1645" s="26" t="str">
        <f>IF(BASE_CAIXA!A1642="","",BASE_CAIXA!A1642)</f>
        <v/>
      </c>
      <c r="B1645" s="26" t="str">
        <f>IF(A1645="","",BASE_CAIXA!AL1642)</f>
        <v/>
      </c>
      <c r="C1645" s="26" t="str">
        <f>IF(A1645="","",BASE_CAIXA!AJ1642)</f>
        <v/>
      </c>
      <c r="D1645" s="26" t="str">
        <f>IF(A1645="","",IF(BASE_CAIXA!C1642="Entrada","Crédito","Débito"))</f>
        <v/>
      </c>
      <c r="E1645" s="26" t="str">
        <f>IF(A1645="","",BASE_CAIXA!AA1642)</f>
        <v/>
      </c>
      <c r="F1645" s="26" t="str">
        <f>IF(A1645="","",BASE_CAIXA!N1642)</f>
        <v/>
      </c>
      <c r="G1645" s="26" t="str">
        <f>IF(A1645="","",BASE_CAIXA!O1642)</f>
        <v/>
      </c>
      <c r="H1645" s="26" t="str">
        <f>IF(A1645="","",BASE_CAIXA!P1642)</f>
        <v/>
      </c>
      <c r="I1645" s="26" t="str">
        <f>IF(A1645="","",IF(BASE_CAIXA!H1642&lt;&gt;"",BASE_CAIXA!H1642,BASE_CAIXA!G1642))</f>
        <v/>
      </c>
      <c r="J1645" s="26" t="str">
        <f>IF(A1645="","",BASE_CAIXA!G1642)</f>
        <v/>
      </c>
      <c r="K1645" s="26" t="str">
        <f>IF(A1645="","",BASE_CAIXA!I1642)</f>
        <v/>
      </c>
      <c r="L1645" s="26" t="str">
        <f>IF(A1645="","",BASE_CAIXA!J1642)</f>
        <v/>
      </c>
      <c r="M1645" s="26" t="str">
        <f>IF(A1645="","",BASE_CAIXA!AM1642)</f>
        <v/>
      </c>
      <c r="N1645" s="26" t="str">
        <f t="shared" ca="1" si="75"/>
        <v/>
      </c>
      <c r="O1645" s="26" t="str">
        <f>IFERROR(INDEX(EXTRATO_IMPORTADO!$A$5:$A$404,MATCH(B1645,EXTRATO_IMPORTADO!$I$5:$I$404,0)),"")</f>
        <v/>
      </c>
      <c r="P1645" s="26" t="str">
        <f>IFERROR(INDEX(EXTRATO_IMPORTADO!$F$5:$F$404,MATCH(B1645,EXTRATO_IMPORTADO!$I$5:$I$404,0)),"")</f>
        <v/>
      </c>
      <c r="Q1645" s="26" t="str">
        <f>IFERROR(INDEX(EXTRATO_IMPORTADO!$B$5:$B$404,MATCH(B1645,EXTRATO_IMPORTADO!$I$5:$I$404,0)),"")</f>
        <v/>
      </c>
      <c r="R1645" s="26" t="str">
        <f>IFERROR(MATCH(B1645,EXTRATO_IMPORTADO!$I$5:$I$404,0),"")</f>
        <v/>
      </c>
      <c r="S1645" s="26" t="str">
        <f t="shared" si="76"/>
        <v/>
      </c>
      <c r="T1645" s="26" t="str">
        <f t="shared" si="77"/>
        <v/>
      </c>
    </row>
    <row r="1646" spans="1:20" x14ac:dyDescent="0.3">
      <c r="A1646" s="26" t="str">
        <f>IF(BASE_CAIXA!A1643="","",BASE_CAIXA!A1643)</f>
        <v/>
      </c>
      <c r="B1646" s="26" t="str">
        <f>IF(A1646="","",BASE_CAIXA!AL1643)</f>
        <v/>
      </c>
      <c r="C1646" s="26" t="str">
        <f>IF(A1646="","",BASE_CAIXA!AJ1643)</f>
        <v/>
      </c>
      <c r="D1646" s="26" t="str">
        <f>IF(A1646="","",IF(BASE_CAIXA!C1643="Entrada","Crédito","Débito"))</f>
        <v/>
      </c>
      <c r="E1646" s="26" t="str">
        <f>IF(A1646="","",BASE_CAIXA!AA1643)</f>
        <v/>
      </c>
      <c r="F1646" s="26" t="str">
        <f>IF(A1646="","",BASE_CAIXA!N1643)</f>
        <v/>
      </c>
      <c r="G1646" s="26" t="str">
        <f>IF(A1646="","",BASE_CAIXA!O1643)</f>
        <v/>
      </c>
      <c r="H1646" s="26" t="str">
        <f>IF(A1646="","",BASE_CAIXA!P1643)</f>
        <v/>
      </c>
      <c r="I1646" s="26" t="str">
        <f>IF(A1646="","",IF(BASE_CAIXA!H1643&lt;&gt;"",BASE_CAIXA!H1643,BASE_CAIXA!G1643))</f>
        <v/>
      </c>
      <c r="J1646" s="26" t="str">
        <f>IF(A1646="","",BASE_CAIXA!G1643)</f>
        <v/>
      </c>
      <c r="K1646" s="26" t="str">
        <f>IF(A1646="","",BASE_CAIXA!I1643)</f>
        <v/>
      </c>
      <c r="L1646" s="26" t="str">
        <f>IF(A1646="","",BASE_CAIXA!J1643)</f>
        <v/>
      </c>
      <c r="M1646" s="26" t="str">
        <f>IF(A1646="","",BASE_CAIXA!AM1643)</f>
        <v/>
      </c>
      <c r="N1646" s="26" t="str">
        <f t="shared" ca="1" si="75"/>
        <v/>
      </c>
      <c r="O1646" s="26" t="str">
        <f>IFERROR(INDEX(EXTRATO_IMPORTADO!$A$5:$A$404,MATCH(B1646,EXTRATO_IMPORTADO!$I$5:$I$404,0)),"")</f>
        <v/>
      </c>
      <c r="P1646" s="26" t="str">
        <f>IFERROR(INDEX(EXTRATO_IMPORTADO!$F$5:$F$404,MATCH(B1646,EXTRATO_IMPORTADO!$I$5:$I$404,0)),"")</f>
        <v/>
      </c>
      <c r="Q1646" s="26" t="str">
        <f>IFERROR(INDEX(EXTRATO_IMPORTADO!$B$5:$B$404,MATCH(B1646,EXTRATO_IMPORTADO!$I$5:$I$404,0)),"")</f>
        <v/>
      </c>
      <c r="R1646" s="26" t="str">
        <f>IFERROR(MATCH(B1646,EXTRATO_IMPORTADO!$I$5:$I$404,0),"")</f>
        <v/>
      </c>
      <c r="S1646" s="26" t="str">
        <f t="shared" si="76"/>
        <v/>
      </c>
      <c r="T1646" s="26" t="str">
        <f t="shared" si="77"/>
        <v/>
      </c>
    </row>
    <row r="1647" spans="1:20" x14ac:dyDescent="0.3">
      <c r="A1647" s="26" t="str">
        <f>IF(BASE_CAIXA!A1644="","",BASE_CAIXA!A1644)</f>
        <v/>
      </c>
      <c r="B1647" s="26" t="str">
        <f>IF(A1647="","",BASE_CAIXA!AL1644)</f>
        <v/>
      </c>
      <c r="C1647" s="26" t="str">
        <f>IF(A1647="","",BASE_CAIXA!AJ1644)</f>
        <v/>
      </c>
      <c r="D1647" s="26" t="str">
        <f>IF(A1647="","",IF(BASE_CAIXA!C1644="Entrada","Crédito","Débito"))</f>
        <v/>
      </c>
      <c r="E1647" s="26" t="str">
        <f>IF(A1647="","",BASE_CAIXA!AA1644)</f>
        <v/>
      </c>
      <c r="F1647" s="26" t="str">
        <f>IF(A1647="","",BASE_CAIXA!N1644)</f>
        <v/>
      </c>
      <c r="G1647" s="26" t="str">
        <f>IF(A1647="","",BASE_CAIXA!O1644)</f>
        <v/>
      </c>
      <c r="H1647" s="26" t="str">
        <f>IF(A1647="","",BASE_CAIXA!P1644)</f>
        <v/>
      </c>
      <c r="I1647" s="26" t="str">
        <f>IF(A1647="","",IF(BASE_CAIXA!H1644&lt;&gt;"",BASE_CAIXA!H1644,BASE_CAIXA!G1644))</f>
        <v/>
      </c>
      <c r="J1647" s="26" t="str">
        <f>IF(A1647="","",BASE_CAIXA!G1644)</f>
        <v/>
      </c>
      <c r="K1647" s="26" t="str">
        <f>IF(A1647="","",BASE_CAIXA!I1644)</f>
        <v/>
      </c>
      <c r="L1647" s="26" t="str">
        <f>IF(A1647="","",BASE_CAIXA!J1644)</f>
        <v/>
      </c>
      <c r="M1647" s="26" t="str">
        <f>IF(A1647="","",BASE_CAIXA!AM1644)</f>
        <v/>
      </c>
      <c r="N1647" s="26" t="str">
        <f t="shared" ca="1" si="75"/>
        <v/>
      </c>
      <c r="O1647" s="26" t="str">
        <f>IFERROR(INDEX(EXTRATO_IMPORTADO!$A$5:$A$404,MATCH(B1647,EXTRATO_IMPORTADO!$I$5:$I$404,0)),"")</f>
        <v/>
      </c>
      <c r="P1647" s="26" t="str">
        <f>IFERROR(INDEX(EXTRATO_IMPORTADO!$F$5:$F$404,MATCH(B1647,EXTRATO_IMPORTADO!$I$5:$I$404,0)),"")</f>
        <v/>
      </c>
      <c r="Q1647" s="26" t="str">
        <f>IFERROR(INDEX(EXTRATO_IMPORTADO!$B$5:$B$404,MATCH(B1647,EXTRATO_IMPORTADO!$I$5:$I$404,0)),"")</f>
        <v/>
      </c>
      <c r="R1647" s="26" t="str">
        <f>IFERROR(MATCH(B1647,EXTRATO_IMPORTADO!$I$5:$I$404,0),"")</f>
        <v/>
      </c>
      <c r="S1647" s="26" t="str">
        <f t="shared" si="76"/>
        <v/>
      </c>
      <c r="T1647" s="26" t="str">
        <f t="shared" si="77"/>
        <v/>
      </c>
    </row>
    <row r="1648" spans="1:20" x14ac:dyDescent="0.3">
      <c r="A1648" s="26" t="str">
        <f>IF(BASE_CAIXA!A1645="","",BASE_CAIXA!A1645)</f>
        <v/>
      </c>
      <c r="B1648" s="26" t="str">
        <f>IF(A1648="","",BASE_CAIXA!AL1645)</f>
        <v/>
      </c>
      <c r="C1648" s="26" t="str">
        <f>IF(A1648="","",BASE_CAIXA!AJ1645)</f>
        <v/>
      </c>
      <c r="D1648" s="26" t="str">
        <f>IF(A1648="","",IF(BASE_CAIXA!C1645="Entrada","Crédito","Débito"))</f>
        <v/>
      </c>
      <c r="E1648" s="26" t="str">
        <f>IF(A1648="","",BASE_CAIXA!AA1645)</f>
        <v/>
      </c>
      <c r="F1648" s="26" t="str">
        <f>IF(A1648="","",BASE_CAIXA!N1645)</f>
        <v/>
      </c>
      <c r="G1648" s="26" t="str">
        <f>IF(A1648="","",BASE_CAIXA!O1645)</f>
        <v/>
      </c>
      <c r="H1648" s="26" t="str">
        <f>IF(A1648="","",BASE_CAIXA!P1645)</f>
        <v/>
      </c>
      <c r="I1648" s="26" t="str">
        <f>IF(A1648="","",IF(BASE_CAIXA!H1645&lt;&gt;"",BASE_CAIXA!H1645,BASE_CAIXA!G1645))</f>
        <v/>
      </c>
      <c r="J1648" s="26" t="str">
        <f>IF(A1648="","",BASE_CAIXA!G1645)</f>
        <v/>
      </c>
      <c r="K1648" s="26" t="str">
        <f>IF(A1648="","",BASE_CAIXA!I1645)</f>
        <v/>
      </c>
      <c r="L1648" s="26" t="str">
        <f>IF(A1648="","",BASE_CAIXA!J1645)</f>
        <v/>
      </c>
      <c r="M1648" s="26" t="str">
        <f>IF(A1648="","",BASE_CAIXA!AM1645)</f>
        <v/>
      </c>
      <c r="N1648" s="26" t="str">
        <f t="shared" ca="1" si="75"/>
        <v/>
      </c>
      <c r="O1648" s="26" t="str">
        <f>IFERROR(INDEX(EXTRATO_IMPORTADO!$A$5:$A$404,MATCH(B1648,EXTRATO_IMPORTADO!$I$5:$I$404,0)),"")</f>
        <v/>
      </c>
      <c r="P1648" s="26" t="str">
        <f>IFERROR(INDEX(EXTRATO_IMPORTADO!$F$5:$F$404,MATCH(B1648,EXTRATO_IMPORTADO!$I$5:$I$404,0)),"")</f>
        <v/>
      </c>
      <c r="Q1648" s="26" t="str">
        <f>IFERROR(INDEX(EXTRATO_IMPORTADO!$B$5:$B$404,MATCH(B1648,EXTRATO_IMPORTADO!$I$5:$I$404,0)),"")</f>
        <v/>
      </c>
      <c r="R1648" s="26" t="str">
        <f>IFERROR(MATCH(B1648,EXTRATO_IMPORTADO!$I$5:$I$404,0),"")</f>
        <v/>
      </c>
      <c r="S1648" s="26" t="str">
        <f t="shared" si="76"/>
        <v/>
      </c>
      <c r="T1648" s="26" t="str">
        <f t="shared" si="77"/>
        <v/>
      </c>
    </row>
    <row r="1649" spans="1:20" x14ac:dyDescent="0.3">
      <c r="A1649" s="26" t="str">
        <f>IF(BASE_CAIXA!A1646="","",BASE_CAIXA!A1646)</f>
        <v/>
      </c>
      <c r="B1649" s="26" t="str">
        <f>IF(A1649="","",BASE_CAIXA!AL1646)</f>
        <v/>
      </c>
      <c r="C1649" s="26" t="str">
        <f>IF(A1649="","",BASE_CAIXA!AJ1646)</f>
        <v/>
      </c>
      <c r="D1649" s="26" t="str">
        <f>IF(A1649="","",IF(BASE_CAIXA!C1646="Entrada","Crédito","Débito"))</f>
        <v/>
      </c>
      <c r="E1649" s="26" t="str">
        <f>IF(A1649="","",BASE_CAIXA!AA1646)</f>
        <v/>
      </c>
      <c r="F1649" s="26" t="str">
        <f>IF(A1649="","",BASE_CAIXA!N1646)</f>
        <v/>
      </c>
      <c r="G1649" s="26" t="str">
        <f>IF(A1649="","",BASE_CAIXA!O1646)</f>
        <v/>
      </c>
      <c r="H1649" s="26" t="str">
        <f>IF(A1649="","",BASE_CAIXA!P1646)</f>
        <v/>
      </c>
      <c r="I1649" s="26" t="str">
        <f>IF(A1649="","",IF(BASE_CAIXA!H1646&lt;&gt;"",BASE_CAIXA!H1646,BASE_CAIXA!G1646))</f>
        <v/>
      </c>
      <c r="J1649" s="26" t="str">
        <f>IF(A1649="","",BASE_CAIXA!G1646)</f>
        <v/>
      </c>
      <c r="K1649" s="26" t="str">
        <f>IF(A1649="","",BASE_CAIXA!I1646)</f>
        <v/>
      </c>
      <c r="L1649" s="26" t="str">
        <f>IF(A1649="","",BASE_CAIXA!J1646)</f>
        <v/>
      </c>
      <c r="M1649" s="26" t="str">
        <f>IF(A1649="","",BASE_CAIXA!AM1646)</f>
        <v/>
      </c>
      <c r="N1649" s="26" t="str">
        <f t="shared" ca="1" si="75"/>
        <v/>
      </c>
      <c r="O1649" s="26" t="str">
        <f>IFERROR(INDEX(EXTRATO_IMPORTADO!$A$5:$A$404,MATCH(B1649,EXTRATO_IMPORTADO!$I$5:$I$404,0)),"")</f>
        <v/>
      </c>
      <c r="P1649" s="26" t="str">
        <f>IFERROR(INDEX(EXTRATO_IMPORTADO!$F$5:$F$404,MATCH(B1649,EXTRATO_IMPORTADO!$I$5:$I$404,0)),"")</f>
        <v/>
      </c>
      <c r="Q1649" s="26" t="str">
        <f>IFERROR(INDEX(EXTRATO_IMPORTADO!$B$5:$B$404,MATCH(B1649,EXTRATO_IMPORTADO!$I$5:$I$404,0)),"")</f>
        <v/>
      </c>
      <c r="R1649" s="26" t="str">
        <f>IFERROR(MATCH(B1649,EXTRATO_IMPORTADO!$I$5:$I$404,0),"")</f>
        <v/>
      </c>
      <c r="S1649" s="26" t="str">
        <f t="shared" si="76"/>
        <v/>
      </c>
      <c r="T1649" s="26" t="str">
        <f t="shared" si="77"/>
        <v/>
      </c>
    </row>
    <row r="1650" spans="1:20" x14ac:dyDescent="0.3">
      <c r="A1650" s="26" t="str">
        <f>IF(BASE_CAIXA!A1647="","",BASE_CAIXA!A1647)</f>
        <v/>
      </c>
      <c r="B1650" s="26" t="str">
        <f>IF(A1650="","",BASE_CAIXA!AL1647)</f>
        <v/>
      </c>
      <c r="C1650" s="26" t="str">
        <f>IF(A1650="","",BASE_CAIXA!AJ1647)</f>
        <v/>
      </c>
      <c r="D1650" s="26" t="str">
        <f>IF(A1650="","",IF(BASE_CAIXA!C1647="Entrada","Crédito","Débito"))</f>
        <v/>
      </c>
      <c r="E1650" s="26" t="str">
        <f>IF(A1650="","",BASE_CAIXA!AA1647)</f>
        <v/>
      </c>
      <c r="F1650" s="26" t="str">
        <f>IF(A1650="","",BASE_CAIXA!N1647)</f>
        <v/>
      </c>
      <c r="G1650" s="26" t="str">
        <f>IF(A1650="","",BASE_CAIXA!O1647)</f>
        <v/>
      </c>
      <c r="H1650" s="26" t="str">
        <f>IF(A1650="","",BASE_CAIXA!P1647)</f>
        <v/>
      </c>
      <c r="I1650" s="26" t="str">
        <f>IF(A1650="","",IF(BASE_CAIXA!H1647&lt;&gt;"",BASE_CAIXA!H1647,BASE_CAIXA!G1647))</f>
        <v/>
      </c>
      <c r="J1650" s="26" t="str">
        <f>IF(A1650="","",BASE_CAIXA!G1647)</f>
        <v/>
      </c>
      <c r="K1650" s="26" t="str">
        <f>IF(A1650="","",BASE_CAIXA!I1647)</f>
        <v/>
      </c>
      <c r="L1650" s="26" t="str">
        <f>IF(A1650="","",BASE_CAIXA!J1647)</f>
        <v/>
      </c>
      <c r="M1650" s="26" t="str">
        <f>IF(A1650="","",BASE_CAIXA!AM1647)</f>
        <v/>
      </c>
      <c r="N1650" s="26" t="str">
        <f t="shared" ca="1" si="75"/>
        <v/>
      </c>
      <c r="O1650" s="26" t="str">
        <f>IFERROR(INDEX(EXTRATO_IMPORTADO!$A$5:$A$404,MATCH(B1650,EXTRATO_IMPORTADO!$I$5:$I$404,0)),"")</f>
        <v/>
      </c>
      <c r="P1650" s="26" t="str">
        <f>IFERROR(INDEX(EXTRATO_IMPORTADO!$F$5:$F$404,MATCH(B1650,EXTRATO_IMPORTADO!$I$5:$I$404,0)),"")</f>
        <v/>
      </c>
      <c r="Q1650" s="26" t="str">
        <f>IFERROR(INDEX(EXTRATO_IMPORTADO!$B$5:$B$404,MATCH(B1650,EXTRATO_IMPORTADO!$I$5:$I$404,0)),"")</f>
        <v/>
      </c>
      <c r="R1650" s="26" t="str">
        <f>IFERROR(MATCH(B1650,EXTRATO_IMPORTADO!$I$5:$I$404,0),"")</f>
        <v/>
      </c>
      <c r="S1650" s="26" t="str">
        <f t="shared" si="76"/>
        <v/>
      </c>
      <c r="T1650" s="26" t="str">
        <f t="shared" si="77"/>
        <v/>
      </c>
    </row>
    <row r="1651" spans="1:20" x14ac:dyDescent="0.3">
      <c r="A1651" s="26" t="str">
        <f>IF(BASE_CAIXA!A1648="","",BASE_CAIXA!A1648)</f>
        <v/>
      </c>
      <c r="B1651" s="26" t="str">
        <f>IF(A1651="","",BASE_CAIXA!AL1648)</f>
        <v/>
      </c>
      <c r="C1651" s="26" t="str">
        <f>IF(A1651="","",BASE_CAIXA!AJ1648)</f>
        <v/>
      </c>
      <c r="D1651" s="26" t="str">
        <f>IF(A1651="","",IF(BASE_CAIXA!C1648="Entrada","Crédito","Débito"))</f>
        <v/>
      </c>
      <c r="E1651" s="26" t="str">
        <f>IF(A1651="","",BASE_CAIXA!AA1648)</f>
        <v/>
      </c>
      <c r="F1651" s="26" t="str">
        <f>IF(A1651="","",BASE_CAIXA!N1648)</f>
        <v/>
      </c>
      <c r="G1651" s="26" t="str">
        <f>IF(A1651="","",BASE_CAIXA!O1648)</f>
        <v/>
      </c>
      <c r="H1651" s="26" t="str">
        <f>IF(A1651="","",BASE_CAIXA!P1648)</f>
        <v/>
      </c>
      <c r="I1651" s="26" t="str">
        <f>IF(A1651="","",IF(BASE_CAIXA!H1648&lt;&gt;"",BASE_CAIXA!H1648,BASE_CAIXA!G1648))</f>
        <v/>
      </c>
      <c r="J1651" s="26" t="str">
        <f>IF(A1651="","",BASE_CAIXA!G1648)</f>
        <v/>
      </c>
      <c r="K1651" s="26" t="str">
        <f>IF(A1651="","",BASE_CAIXA!I1648)</f>
        <v/>
      </c>
      <c r="L1651" s="26" t="str">
        <f>IF(A1651="","",BASE_CAIXA!J1648)</f>
        <v/>
      </c>
      <c r="M1651" s="26" t="str">
        <f>IF(A1651="","",BASE_CAIXA!AM1648)</f>
        <v/>
      </c>
      <c r="N1651" s="26" t="str">
        <f t="shared" ca="1" si="75"/>
        <v/>
      </c>
      <c r="O1651" s="26" t="str">
        <f>IFERROR(INDEX(EXTRATO_IMPORTADO!$A$5:$A$404,MATCH(B1651,EXTRATO_IMPORTADO!$I$5:$I$404,0)),"")</f>
        <v/>
      </c>
      <c r="P1651" s="26" t="str">
        <f>IFERROR(INDEX(EXTRATO_IMPORTADO!$F$5:$F$404,MATCH(B1651,EXTRATO_IMPORTADO!$I$5:$I$404,0)),"")</f>
        <v/>
      </c>
      <c r="Q1651" s="26" t="str">
        <f>IFERROR(INDEX(EXTRATO_IMPORTADO!$B$5:$B$404,MATCH(B1651,EXTRATO_IMPORTADO!$I$5:$I$404,0)),"")</f>
        <v/>
      </c>
      <c r="R1651" s="26" t="str">
        <f>IFERROR(MATCH(B1651,EXTRATO_IMPORTADO!$I$5:$I$404,0),"")</f>
        <v/>
      </c>
      <c r="S1651" s="26" t="str">
        <f t="shared" si="76"/>
        <v/>
      </c>
      <c r="T1651" s="26" t="str">
        <f t="shared" si="77"/>
        <v/>
      </c>
    </row>
    <row r="1652" spans="1:20" x14ac:dyDescent="0.3">
      <c r="A1652" s="26" t="str">
        <f>IF(BASE_CAIXA!A1649="","",BASE_CAIXA!A1649)</f>
        <v/>
      </c>
      <c r="B1652" s="26" t="str">
        <f>IF(A1652="","",BASE_CAIXA!AL1649)</f>
        <v/>
      </c>
      <c r="C1652" s="26" t="str">
        <f>IF(A1652="","",BASE_CAIXA!AJ1649)</f>
        <v/>
      </c>
      <c r="D1652" s="26" t="str">
        <f>IF(A1652="","",IF(BASE_CAIXA!C1649="Entrada","Crédito","Débito"))</f>
        <v/>
      </c>
      <c r="E1652" s="26" t="str">
        <f>IF(A1652="","",BASE_CAIXA!AA1649)</f>
        <v/>
      </c>
      <c r="F1652" s="26" t="str">
        <f>IF(A1652="","",BASE_CAIXA!N1649)</f>
        <v/>
      </c>
      <c r="G1652" s="26" t="str">
        <f>IF(A1652="","",BASE_CAIXA!O1649)</f>
        <v/>
      </c>
      <c r="H1652" s="26" t="str">
        <f>IF(A1652="","",BASE_CAIXA!P1649)</f>
        <v/>
      </c>
      <c r="I1652" s="26" t="str">
        <f>IF(A1652="","",IF(BASE_CAIXA!H1649&lt;&gt;"",BASE_CAIXA!H1649,BASE_CAIXA!G1649))</f>
        <v/>
      </c>
      <c r="J1652" s="26" t="str">
        <f>IF(A1652="","",BASE_CAIXA!G1649)</f>
        <v/>
      </c>
      <c r="K1652" s="26" t="str">
        <f>IF(A1652="","",BASE_CAIXA!I1649)</f>
        <v/>
      </c>
      <c r="L1652" s="26" t="str">
        <f>IF(A1652="","",BASE_CAIXA!J1649)</f>
        <v/>
      </c>
      <c r="M1652" s="26" t="str">
        <f>IF(A1652="","",BASE_CAIXA!AM1649)</f>
        <v/>
      </c>
      <c r="N1652" s="26" t="str">
        <f t="shared" ca="1" si="75"/>
        <v/>
      </c>
      <c r="O1652" s="26" t="str">
        <f>IFERROR(INDEX(EXTRATO_IMPORTADO!$A$5:$A$404,MATCH(B1652,EXTRATO_IMPORTADO!$I$5:$I$404,0)),"")</f>
        <v/>
      </c>
      <c r="P1652" s="26" t="str">
        <f>IFERROR(INDEX(EXTRATO_IMPORTADO!$F$5:$F$404,MATCH(B1652,EXTRATO_IMPORTADO!$I$5:$I$404,0)),"")</f>
        <v/>
      </c>
      <c r="Q1652" s="26" t="str">
        <f>IFERROR(INDEX(EXTRATO_IMPORTADO!$B$5:$B$404,MATCH(B1652,EXTRATO_IMPORTADO!$I$5:$I$404,0)),"")</f>
        <v/>
      </c>
      <c r="R1652" s="26" t="str">
        <f>IFERROR(MATCH(B1652,EXTRATO_IMPORTADO!$I$5:$I$404,0),"")</f>
        <v/>
      </c>
      <c r="S1652" s="26" t="str">
        <f t="shared" si="76"/>
        <v/>
      </c>
      <c r="T1652" s="26" t="str">
        <f t="shared" si="77"/>
        <v/>
      </c>
    </row>
    <row r="1653" spans="1:20" x14ac:dyDescent="0.3">
      <c r="A1653" s="26" t="str">
        <f>IF(BASE_CAIXA!A1650="","",BASE_CAIXA!A1650)</f>
        <v/>
      </c>
      <c r="B1653" s="26" t="str">
        <f>IF(A1653="","",BASE_CAIXA!AL1650)</f>
        <v/>
      </c>
      <c r="C1653" s="26" t="str">
        <f>IF(A1653="","",BASE_CAIXA!AJ1650)</f>
        <v/>
      </c>
      <c r="D1653" s="26" t="str">
        <f>IF(A1653="","",IF(BASE_CAIXA!C1650="Entrada","Crédito","Débito"))</f>
        <v/>
      </c>
      <c r="E1653" s="26" t="str">
        <f>IF(A1653="","",BASE_CAIXA!AA1650)</f>
        <v/>
      </c>
      <c r="F1653" s="26" t="str">
        <f>IF(A1653="","",BASE_CAIXA!N1650)</f>
        <v/>
      </c>
      <c r="G1653" s="26" t="str">
        <f>IF(A1653="","",BASE_CAIXA!O1650)</f>
        <v/>
      </c>
      <c r="H1653" s="26" t="str">
        <f>IF(A1653="","",BASE_CAIXA!P1650)</f>
        <v/>
      </c>
      <c r="I1653" s="26" t="str">
        <f>IF(A1653="","",IF(BASE_CAIXA!H1650&lt;&gt;"",BASE_CAIXA!H1650,BASE_CAIXA!G1650))</f>
        <v/>
      </c>
      <c r="J1653" s="26" t="str">
        <f>IF(A1653="","",BASE_CAIXA!G1650)</f>
        <v/>
      </c>
      <c r="K1653" s="26" t="str">
        <f>IF(A1653="","",BASE_CAIXA!I1650)</f>
        <v/>
      </c>
      <c r="L1653" s="26" t="str">
        <f>IF(A1653="","",BASE_CAIXA!J1650)</f>
        <v/>
      </c>
      <c r="M1653" s="26" t="str">
        <f>IF(A1653="","",BASE_CAIXA!AM1650)</f>
        <v/>
      </c>
      <c r="N1653" s="26" t="str">
        <f t="shared" ca="1" si="75"/>
        <v/>
      </c>
      <c r="O1653" s="26" t="str">
        <f>IFERROR(INDEX(EXTRATO_IMPORTADO!$A$5:$A$404,MATCH(B1653,EXTRATO_IMPORTADO!$I$5:$I$404,0)),"")</f>
        <v/>
      </c>
      <c r="P1653" s="26" t="str">
        <f>IFERROR(INDEX(EXTRATO_IMPORTADO!$F$5:$F$404,MATCH(B1653,EXTRATO_IMPORTADO!$I$5:$I$404,0)),"")</f>
        <v/>
      </c>
      <c r="Q1653" s="26" t="str">
        <f>IFERROR(INDEX(EXTRATO_IMPORTADO!$B$5:$B$404,MATCH(B1653,EXTRATO_IMPORTADO!$I$5:$I$404,0)),"")</f>
        <v/>
      </c>
      <c r="R1653" s="26" t="str">
        <f>IFERROR(MATCH(B1653,EXTRATO_IMPORTADO!$I$5:$I$404,0),"")</f>
        <v/>
      </c>
      <c r="S1653" s="26" t="str">
        <f t="shared" si="76"/>
        <v/>
      </c>
      <c r="T1653" s="26" t="str">
        <f t="shared" si="77"/>
        <v/>
      </c>
    </row>
    <row r="1654" spans="1:20" x14ac:dyDescent="0.3">
      <c r="A1654" s="26" t="str">
        <f>IF(BASE_CAIXA!A1651="","",BASE_CAIXA!A1651)</f>
        <v/>
      </c>
      <c r="B1654" s="26" t="str">
        <f>IF(A1654="","",BASE_CAIXA!AL1651)</f>
        <v/>
      </c>
      <c r="C1654" s="26" t="str">
        <f>IF(A1654="","",BASE_CAIXA!AJ1651)</f>
        <v/>
      </c>
      <c r="D1654" s="26" t="str">
        <f>IF(A1654="","",IF(BASE_CAIXA!C1651="Entrada","Crédito","Débito"))</f>
        <v/>
      </c>
      <c r="E1654" s="26" t="str">
        <f>IF(A1654="","",BASE_CAIXA!AA1651)</f>
        <v/>
      </c>
      <c r="F1654" s="26" t="str">
        <f>IF(A1654="","",BASE_CAIXA!N1651)</f>
        <v/>
      </c>
      <c r="G1654" s="26" t="str">
        <f>IF(A1654="","",BASE_CAIXA!O1651)</f>
        <v/>
      </c>
      <c r="H1654" s="26" t="str">
        <f>IF(A1654="","",BASE_CAIXA!P1651)</f>
        <v/>
      </c>
      <c r="I1654" s="26" t="str">
        <f>IF(A1654="","",IF(BASE_CAIXA!H1651&lt;&gt;"",BASE_CAIXA!H1651,BASE_CAIXA!G1651))</f>
        <v/>
      </c>
      <c r="J1654" s="26" t="str">
        <f>IF(A1654="","",BASE_CAIXA!G1651)</f>
        <v/>
      </c>
      <c r="K1654" s="26" t="str">
        <f>IF(A1654="","",BASE_CAIXA!I1651)</f>
        <v/>
      </c>
      <c r="L1654" s="26" t="str">
        <f>IF(A1654="","",BASE_CAIXA!J1651)</f>
        <v/>
      </c>
      <c r="M1654" s="26" t="str">
        <f>IF(A1654="","",BASE_CAIXA!AM1651)</f>
        <v/>
      </c>
      <c r="N1654" s="26" t="str">
        <f t="shared" ca="1" si="75"/>
        <v/>
      </c>
      <c r="O1654" s="26" t="str">
        <f>IFERROR(INDEX(EXTRATO_IMPORTADO!$A$5:$A$404,MATCH(B1654,EXTRATO_IMPORTADO!$I$5:$I$404,0)),"")</f>
        <v/>
      </c>
      <c r="P1654" s="26" t="str">
        <f>IFERROR(INDEX(EXTRATO_IMPORTADO!$F$5:$F$404,MATCH(B1654,EXTRATO_IMPORTADO!$I$5:$I$404,0)),"")</f>
        <v/>
      </c>
      <c r="Q1654" s="26" t="str">
        <f>IFERROR(INDEX(EXTRATO_IMPORTADO!$B$5:$B$404,MATCH(B1654,EXTRATO_IMPORTADO!$I$5:$I$404,0)),"")</f>
        <v/>
      </c>
      <c r="R1654" s="26" t="str">
        <f>IFERROR(MATCH(B1654,EXTRATO_IMPORTADO!$I$5:$I$404,0),"")</f>
        <v/>
      </c>
      <c r="S1654" s="26" t="str">
        <f t="shared" si="76"/>
        <v/>
      </c>
      <c r="T1654" s="26" t="str">
        <f t="shared" si="77"/>
        <v/>
      </c>
    </row>
    <row r="1655" spans="1:20" x14ac:dyDescent="0.3">
      <c r="A1655" s="26" t="str">
        <f>IF(BASE_CAIXA!A1652="","",BASE_CAIXA!A1652)</f>
        <v/>
      </c>
      <c r="B1655" s="26" t="str">
        <f>IF(A1655="","",BASE_CAIXA!AL1652)</f>
        <v/>
      </c>
      <c r="C1655" s="26" t="str">
        <f>IF(A1655="","",BASE_CAIXA!AJ1652)</f>
        <v/>
      </c>
      <c r="D1655" s="26" t="str">
        <f>IF(A1655="","",IF(BASE_CAIXA!C1652="Entrada","Crédito","Débito"))</f>
        <v/>
      </c>
      <c r="E1655" s="26" t="str">
        <f>IF(A1655="","",BASE_CAIXA!AA1652)</f>
        <v/>
      </c>
      <c r="F1655" s="26" t="str">
        <f>IF(A1655="","",BASE_CAIXA!N1652)</f>
        <v/>
      </c>
      <c r="G1655" s="26" t="str">
        <f>IF(A1655="","",BASE_CAIXA!O1652)</f>
        <v/>
      </c>
      <c r="H1655" s="26" t="str">
        <f>IF(A1655="","",BASE_CAIXA!P1652)</f>
        <v/>
      </c>
      <c r="I1655" s="26" t="str">
        <f>IF(A1655="","",IF(BASE_CAIXA!H1652&lt;&gt;"",BASE_CAIXA!H1652,BASE_CAIXA!G1652))</f>
        <v/>
      </c>
      <c r="J1655" s="26" t="str">
        <f>IF(A1655="","",BASE_CAIXA!G1652)</f>
        <v/>
      </c>
      <c r="K1655" s="26" t="str">
        <f>IF(A1655="","",BASE_CAIXA!I1652)</f>
        <v/>
      </c>
      <c r="L1655" s="26" t="str">
        <f>IF(A1655="","",BASE_CAIXA!J1652)</f>
        <v/>
      </c>
      <c r="M1655" s="26" t="str">
        <f>IF(A1655="","",BASE_CAIXA!AM1652)</f>
        <v/>
      </c>
      <c r="N1655" s="26" t="str">
        <f t="shared" ca="1" si="75"/>
        <v/>
      </c>
      <c r="O1655" s="26" t="str">
        <f>IFERROR(INDEX(EXTRATO_IMPORTADO!$A$5:$A$404,MATCH(B1655,EXTRATO_IMPORTADO!$I$5:$I$404,0)),"")</f>
        <v/>
      </c>
      <c r="P1655" s="26" t="str">
        <f>IFERROR(INDEX(EXTRATO_IMPORTADO!$F$5:$F$404,MATCH(B1655,EXTRATO_IMPORTADO!$I$5:$I$404,0)),"")</f>
        <v/>
      </c>
      <c r="Q1655" s="26" t="str">
        <f>IFERROR(INDEX(EXTRATO_IMPORTADO!$B$5:$B$404,MATCH(B1655,EXTRATO_IMPORTADO!$I$5:$I$404,0)),"")</f>
        <v/>
      </c>
      <c r="R1655" s="26" t="str">
        <f>IFERROR(MATCH(B1655,EXTRATO_IMPORTADO!$I$5:$I$404,0),"")</f>
        <v/>
      </c>
      <c r="S1655" s="26" t="str">
        <f t="shared" si="76"/>
        <v/>
      </c>
      <c r="T1655" s="26" t="str">
        <f t="shared" si="77"/>
        <v/>
      </c>
    </row>
    <row r="1656" spans="1:20" x14ac:dyDescent="0.3">
      <c r="A1656" s="26" t="str">
        <f>IF(BASE_CAIXA!A1653="","",BASE_CAIXA!A1653)</f>
        <v/>
      </c>
      <c r="B1656" s="26" t="str">
        <f>IF(A1656="","",BASE_CAIXA!AL1653)</f>
        <v/>
      </c>
      <c r="C1656" s="26" t="str">
        <f>IF(A1656="","",BASE_CAIXA!AJ1653)</f>
        <v/>
      </c>
      <c r="D1656" s="26" t="str">
        <f>IF(A1656="","",IF(BASE_CAIXA!C1653="Entrada","Crédito","Débito"))</f>
        <v/>
      </c>
      <c r="E1656" s="26" t="str">
        <f>IF(A1656="","",BASE_CAIXA!AA1653)</f>
        <v/>
      </c>
      <c r="F1656" s="26" t="str">
        <f>IF(A1656="","",BASE_CAIXA!N1653)</f>
        <v/>
      </c>
      <c r="G1656" s="26" t="str">
        <f>IF(A1656="","",BASE_CAIXA!O1653)</f>
        <v/>
      </c>
      <c r="H1656" s="26" t="str">
        <f>IF(A1656="","",BASE_CAIXA!P1653)</f>
        <v/>
      </c>
      <c r="I1656" s="26" t="str">
        <f>IF(A1656="","",IF(BASE_CAIXA!H1653&lt;&gt;"",BASE_CAIXA!H1653,BASE_CAIXA!G1653))</f>
        <v/>
      </c>
      <c r="J1656" s="26" t="str">
        <f>IF(A1656="","",BASE_CAIXA!G1653)</f>
        <v/>
      </c>
      <c r="K1656" s="26" t="str">
        <f>IF(A1656="","",BASE_CAIXA!I1653)</f>
        <v/>
      </c>
      <c r="L1656" s="26" t="str">
        <f>IF(A1656="","",BASE_CAIXA!J1653)</f>
        <v/>
      </c>
      <c r="M1656" s="26" t="str">
        <f>IF(A1656="","",BASE_CAIXA!AM1653)</f>
        <v/>
      </c>
      <c r="N1656" s="26" t="str">
        <f t="shared" ca="1" si="75"/>
        <v/>
      </c>
      <c r="O1656" s="26" t="str">
        <f>IFERROR(INDEX(EXTRATO_IMPORTADO!$A$5:$A$404,MATCH(B1656,EXTRATO_IMPORTADO!$I$5:$I$404,0)),"")</f>
        <v/>
      </c>
      <c r="P1656" s="26" t="str">
        <f>IFERROR(INDEX(EXTRATO_IMPORTADO!$F$5:$F$404,MATCH(B1656,EXTRATO_IMPORTADO!$I$5:$I$404,0)),"")</f>
        <v/>
      </c>
      <c r="Q1656" s="26" t="str">
        <f>IFERROR(INDEX(EXTRATO_IMPORTADO!$B$5:$B$404,MATCH(B1656,EXTRATO_IMPORTADO!$I$5:$I$404,0)),"")</f>
        <v/>
      </c>
      <c r="R1656" s="26" t="str">
        <f>IFERROR(MATCH(B1656,EXTRATO_IMPORTADO!$I$5:$I$404,0),"")</f>
        <v/>
      </c>
      <c r="S1656" s="26" t="str">
        <f t="shared" si="76"/>
        <v/>
      </c>
      <c r="T1656" s="26" t="str">
        <f t="shared" si="77"/>
        <v/>
      </c>
    </row>
    <row r="1657" spans="1:20" x14ac:dyDescent="0.3">
      <c r="A1657" s="26" t="str">
        <f>IF(BASE_CAIXA!A1654="","",BASE_CAIXA!A1654)</f>
        <v/>
      </c>
      <c r="B1657" s="26" t="str">
        <f>IF(A1657="","",BASE_CAIXA!AL1654)</f>
        <v/>
      </c>
      <c r="C1657" s="26" t="str">
        <f>IF(A1657="","",BASE_CAIXA!AJ1654)</f>
        <v/>
      </c>
      <c r="D1657" s="26" t="str">
        <f>IF(A1657="","",IF(BASE_CAIXA!C1654="Entrada","Crédito","Débito"))</f>
        <v/>
      </c>
      <c r="E1657" s="26" t="str">
        <f>IF(A1657="","",BASE_CAIXA!AA1654)</f>
        <v/>
      </c>
      <c r="F1657" s="26" t="str">
        <f>IF(A1657="","",BASE_CAIXA!N1654)</f>
        <v/>
      </c>
      <c r="G1657" s="26" t="str">
        <f>IF(A1657="","",BASE_CAIXA!O1654)</f>
        <v/>
      </c>
      <c r="H1657" s="26" t="str">
        <f>IF(A1657="","",BASE_CAIXA!P1654)</f>
        <v/>
      </c>
      <c r="I1657" s="26" t="str">
        <f>IF(A1657="","",IF(BASE_CAIXA!H1654&lt;&gt;"",BASE_CAIXA!H1654,BASE_CAIXA!G1654))</f>
        <v/>
      </c>
      <c r="J1657" s="26" t="str">
        <f>IF(A1657="","",BASE_CAIXA!G1654)</f>
        <v/>
      </c>
      <c r="K1657" s="26" t="str">
        <f>IF(A1657="","",BASE_CAIXA!I1654)</f>
        <v/>
      </c>
      <c r="L1657" s="26" t="str">
        <f>IF(A1657="","",BASE_CAIXA!J1654)</f>
        <v/>
      </c>
      <c r="M1657" s="26" t="str">
        <f>IF(A1657="","",BASE_CAIXA!AM1654)</f>
        <v/>
      </c>
      <c r="N1657" s="26" t="str">
        <f t="shared" ca="1" si="75"/>
        <v/>
      </c>
      <c r="O1657" s="26" t="str">
        <f>IFERROR(INDEX(EXTRATO_IMPORTADO!$A$5:$A$404,MATCH(B1657,EXTRATO_IMPORTADO!$I$5:$I$404,0)),"")</f>
        <v/>
      </c>
      <c r="P1657" s="26" t="str">
        <f>IFERROR(INDEX(EXTRATO_IMPORTADO!$F$5:$F$404,MATCH(B1657,EXTRATO_IMPORTADO!$I$5:$I$404,0)),"")</f>
        <v/>
      </c>
      <c r="Q1657" s="26" t="str">
        <f>IFERROR(INDEX(EXTRATO_IMPORTADO!$B$5:$B$404,MATCH(B1657,EXTRATO_IMPORTADO!$I$5:$I$404,0)),"")</f>
        <v/>
      </c>
      <c r="R1657" s="26" t="str">
        <f>IFERROR(MATCH(B1657,EXTRATO_IMPORTADO!$I$5:$I$404,0),"")</f>
        <v/>
      </c>
      <c r="S1657" s="26" t="str">
        <f t="shared" si="76"/>
        <v/>
      </c>
      <c r="T1657" s="26" t="str">
        <f t="shared" si="77"/>
        <v/>
      </c>
    </row>
    <row r="1658" spans="1:20" x14ac:dyDescent="0.3">
      <c r="A1658" s="26" t="str">
        <f>IF(BASE_CAIXA!A1655="","",BASE_CAIXA!A1655)</f>
        <v/>
      </c>
      <c r="B1658" s="26" t="str">
        <f>IF(A1658="","",BASE_CAIXA!AL1655)</f>
        <v/>
      </c>
      <c r="C1658" s="26" t="str">
        <f>IF(A1658="","",BASE_CAIXA!AJ1655)</f>
        <v/>
      </c>
      <c r="D1658" s="26" t="str">
        <f>IF(A1658="","",IF(BASE_CAIXA!C1655="Entrada","Crédito","Débito"))</f>
        <v/>
      </c>
      <c r="E1658" s="26" t="str">
        <f>IF(A1658="","",BASE_CAIXA!AA1655)</f>
        <v/>
      </c>
      <c r="F1658" s="26" t="str">
        <f>IF(A1658="","",BASE_CAIXA!N1655)</f>
        <v/>
      </c>
      <c r="G1658" s="26" t="str">
        <f>IF(A1658="","",BASE_CAIXA!O1655)</f>
        <v/>
      </c>
      <c r="H1658" s="26" t="str">
        <f>IF(A1658="","",BASE_CAIXA!P1655)</f>
        <v/>
      </c>
      <c r="I1658" s="26" t="str">
        <f>IF(A1658="","",IF(BASE_CAIXA!H1655&lt;&gt;"",BASE_CAIXA!H1655,BASE_CAIXA!G1655))</f>
        <v/>
      </c>
      <c r="J1658" s="26" t="str">
        <f>IF(A1658="","",BASE_CAIXA!G1655)</f>
        <v/>
      </c>
      <c r="K1658" s="26" t="str">
        <f>IF(A1658="","",BASE_CAIXA!I1655)</f>
        <v/>
      </c>
      <c r="L1658" s="26" t="str">
        <f>IF(A1658="","",BASE_CAIXA!J1655)</f>
        <v/>
      </c>
      <c r="M1658" s="26" t="str">
        <f>IF(A1658="","",BASE_CAIXA!AM1655)</f>
        <v/>
      </c>
      <c r="N1658" s="26" t="str">
        <f t="shared" ca="1" si="75"/>
        <v/>
      </c>
      <c r="O1658" s="26" t="str">
        <f>IFERROR(INDEX(EXTRATO_IMPORTADO!$A$5:$A$404,MATCH(B1658,EXTRATO_IMPORTADO!$I$5:$I$404,0)),"")</f>
        <v/>
      </c>
      <c r="P1658" s="26" t="str">
        <f>IFERROR(INDEX(EXTRATO_IMPORTADO!$F$5:$F$404,MATCH(B1658,EXTRATO_IMPORTADO!$I$5:$I$404,0)),"")</f>
        <v/>
      </c>
      <c r="Q1658" s="26" t="str">
        <f>IFERROR(INDEX(EXTRATO_IMPORTADO!$B$5:$B$404,MATCH(B1658,EXTRATO_IMPORTADO!$I$5:$I$404,0)),"")</f>
        <v/>
      </c>
      <c r="R1658" s="26" t="str">
        <f>IFERROR(MATCH(B1658,EXTRATO_IMPORTADO!$I$5:$I$404,0),"")</f>
        <v/>
      </c>
      <c r="S1658" s="26" t="str">
        <f t="shared" si="76"/>
        <v/>
      </c>
      <c r="T1658" s="26" t="str">
        <f t="shared" si="77"/>
        <v/>
      </c>
    </row>
    <row r="1659" spans="1:20" x14ac:dyDescent="0.3">
      <c r="A1659" s="26" t="str">
        <f>IF(BASE_CAIXA!A1656="","",BASE_CAIXA!A1656)</f>
        <v/>
      </c>
      <c r="B1659" s="26" t="str">
        <f>IF(A1659="","",BASE_CAIXA!AL1656)</f>
        <v/>
      </c>
      <c r="C1659" s="26" t="str">
        <f>IF(A1659="","",BASE_CAIXA!AJ1656)</f>
        <v/>
      </c>
      <c r="D1659" s="26" t="str">
        <f>IF(A1659="","",IF(BASE_CAIXA!C1656="Entrada","Crédito","Débito"))</f>
        <v/>
      </c>
      <c r="E1659" s="26" t="str">
        <f>IF(A1659="","",BASE_CAIXA!AA1656)</f>
        <v/>
      </c>
      <c r="F1659" s="26" t="str">
        <f>IF(A1659="","",BASE_CAIXA!N1656)</f>
        <v/>
      </c>
      <c r="G1659" s="26" t="str">
        <f>IF(A1659="","",BASE_CAIXA!O1656)</f>
        <v/>
      </c>
      <c r="H1659" s="26" t="str">
        <f>IF(A1659="","",BASE_CAIXA!P1656)</f>
        <v/>
      </c>
      <c r="I1659" s="26" t="str">
        <f>IF(A1659="","",IF(BASE_CAIXA!H1656&lt;&gt;"",BASE_CAIXA!H1656,BASE_CAIXA!G1656))</f>
        <v/>
      </c>
      <c r="J1659" s="26" t="str">
        <f>IF(A1659="","",BASE_CAIXA!G1656)</f>
        <v/>
      </c>
      <c r="K1659" s="26" t="str">
        <f>IF(A1659="","",BASE_CAIXA!I1656)</f>
        <v/>
      </c>
      <c r="L1659" s="26" t="str">
        <f>IF(A1659="","",BASE_CAIXA!J1656)</f>
        <v/>
      </c>
      <c r="M1659" s="26" t="str">
        <f>IF(A1659="","",BASE_CAIXA!AM1656)</f>
        <v/>
      </c>
      <c r="N1659" s="26" t="str">
        <f t="shared" ca="1" si="75"/>
        <v/>
      </c>
      <c r="O1659" s="26" t="str">
        <f>IFERROR(INDEX(EXTRATO_IMPORTADO!$A$5:$A$404,MATCH(B1659,EXTRATO_IMPORTADO!$I$5:$I$404,0)),"")</f>
        <v/>
      </c>
      <c r="P1659" s="26" t="str">
        <f>IFERROR(INDEX(EXTRATO_IMPORTADO!$F$5:$F$404,MATCH(B1659,EXTRATO_IMPORTADO!$I$5:$I$404,0)),"")</f>
        <v/>
      </c>
      <c r="Q1659" s="26" t="str">
        <f>IFERROR(INDEX(EXTRATO_IMPORTADO!$B$5:$B$404,MATCH(B1659,EXTRATO_IMPORTADO!$I$5:$I$404,0)),"")</f>
        <v/>
      </c>
      <c r="R1659" s="26" t="str">
        <f>IFERROR(MATCH(B1659,EXTRATO_IMPORTADO!$I$5:$I$404,0),"")</f>
        <v/>
      </c>
      <c r="S1659" s="26" t="str">
        <f t="shared" si="76"/>
        <v/>
      </c>
      <c r="T1659" s="26" t="str">
        <f t="shared" si="77"/>
        <v/>
      </c>
    </row>
    <row r="1660" spans="1:20" x14ac:dyDescent="0.3">
      <c r="A1660" s="26" t="str">
        <f>IF(BASE_CAIXA!A1657="","",BASE_CAIXA!A1657)</f>
        <v/>
      </c>
      <c r="B1660" s="26" t="str">
        <f>IF(A1660="","",BASE_CAIXA!AL1657)</f>
        <v/>
      </c>
      <c r="C1660" s="26" t="str">
        <f>IF(A1660="","",BASE_CAIXA!AJ1657)</f>
        <v/>
      </c>
      <c r="D1660" s="26" t="str">
        <f>IF(A1660="","",IF(BASE_CAIXA!C1657="Entrada","Crédito","Débito"))</f>
        <v/>
      </c>
      <c r="E1660" s="26" t="str">
        <f>IF(A1660="","",BASE_CAIXA!AA1657)</f>
        <v/>
      </c>
      <c r="F1660" s="26" t="str">
        <f>IF(A1660="","",BASE_CAIXA!N1657)</f>
        <v/>
      </c>
      <c r="G1660" s="26" t="str">
        <f>IF(A1660="","",BASE_CAIXA!O1657)</f>
        <v/>
      </c>
      <c r="H1660" s="26" t="str">
        <f>IF(A1660="","",BASE_CAIXA!P1657)</f>
        <v/>
      </c>
      <c r="I1660" s="26" t="str">
        <f>IF(A1660="","",IF(BASE_CAIXA!H1657&lt;&gt;"",BASE_CAIXA!H1657,BASE_CAIXA!G1657))</f>
        <v/>
      </c>
      <c r="J1660" s="26" t="str">
        <f>IF(A1660="","",BASE_CAIXA!G1657)</f>
        <v/>
      </c>
      <c r="K1660" s="26" t="str">
        <f>IF(A1660="","",BASE_CAIXA!I1657)</f>
        <v/>
      </c>
      <c r="L1660" s="26" t="str">
        <f>IF(A1660="","",BASE_CAIXA!J1657)</f>
        <v/>
      </c>
      <c r="M1660" s="26" t="str">
        <f>IF(A1660="","",BASE_CAIXA!AM1657)</f>
        <v/>
      </c>
      <c r="N1660" s="26" t="str">
        <f t="shared" ca="1" si="75"/>
        <v/>
      </c>
      <c r="O1660" s="26" t="str">
        <f>IFERROR(INDEX(EXTRATO_IMPORTADO!$A$5:$A$404,MATCH(B1660,EXTRATO_IMPORTADO!$I$5:$I$404,0)),"")</f>
        <v/>
      </c>
      <c r="P1660" s="26" t="str">
        <f>IFERROR(INDEX(EXTRATO_IMPORTADO!$F$5:$F$404,MATCH(B1660,EXTRATO_IMPORTADO!$I$5:$I$404,0)),"")</f>
        <v/>
      </c>
      <c r="Q1660" s="26" t="str">
        <f>IFERROR(INDEX(EXTRATO_IMPORTADO!$B$5:$B$404,MATCH(B1660,EXTRATO_IMPORTADO!$I$5:$I$404,0)),"")</f>
        <v/>
      </c>
      <c r="R1660" s="26" t="str">
        <f>IFERROR(MATCH(B1660,EXTRATO_IMPORTADO!$I$5:$I$404,0),"")</f>
        <v/>
      </c>
      <c r="S1660" s="26" t="str">
        <f t="shared" si="76"/>
        <v/>
      </c>
      <c r="T1660" s="26" t="str">
        <f t="shared" si="77"/>
        <v/>
      </c>
    </row>
    <row r="1661" spans="1:20" x14ac:dyDescent="0.3">
      <c r="A1661" s="26" t="str">
        <f>IF(BASE_CAIXA!A1658="","",BASE_CAIXA!A1658)</f>
        <v/>
      </c>
      <c r="B1661" s="26" t="str">
        <f>IF(A1661="","",BASE_CAIXA!AL1658)</f>
        <v/>
      </c>
      <c r="C1661" s="26" t="str">
        <f>IF(A1661="","",BASE_CAIXA!AJ1658)</f>
        <v/>
      </c>
      <c r="D1661" s="26" t="str">
        <f>IF(A1661="","",IF(BASE_CAIXA!C1658="Entrada","Crédito","Débito"))</f>
        <v/>
      </c>
      <c r="E1661" s="26" t="str">
        <f>IF(A1661="","",BASE_CAIXA!AA1658)</f>
        <v/>
      </c>
      <c r="F1661" s="26" t="str">
        <f>IF(A1661="","",BASE_CAIXA!N1658)</f>
        <v/>
      </c>
      <c r="G1661" s="26" t="str">
        <f>IF(A1661="","",BASE_CAIXA!O1658)</f>
        <v/>
      </c>
      <c r="H1661" s="26" t="str">
        <f>IF(A1661="","",BASE_CAIXA!P1658)</f>
        <v/>
      </c>
      <c r="I1661" s="26" t="str">
        <f>IF(A1661="","",IF(BASE_CAIXA!H1658&lt;&gt;"",BASE_CAIXA!H1658,BASE_CAIXA!G1658))</f>
        <v/>
      </c>
      <c r="J1661" s="26" t="str">
        <f>IF(A1661="","",BASE_CAIXA!G1658)</f>
        <v/>
      </c>
      <c r="K1661" s="26" t="str">
        <f>IF(A1661="","",BASE_CAIXA!I1658)</f>
        <v/>
      </c>
      <c r="L1661" s="26" t="str">
        <f>IF(A1661="","",BASE_CAIXA!J1658)</f>
        <v/>
      </c>
      <c r="M1661" s="26" t="str">
        <f>IF(A1661="","",BASE_CAIXA!AM1658)</f>
        <v/>
      </c>
      <c r="N1661" s="26" t="str">
        <f t="shared" ca="1" si="75"/>
        <v/>
      </c>
      <c r="O1661" s="26" t="str">
        <f>IFERROR(INDEX(EXTRATO_IMPORTADO!$A$5:$A$404,MATCH(B1661,EXTRATO_IMPORTADO!$I$5:$I$404,0)),"")</f>
        <v/>
      </c>
      <c r="P1661" s="26" t="str">
        <f>IFERROR(INDEX(EXTRATO_IMPORTADO!$F$5:$F$404,MATCH(B1661,EXTRATO_IMPORTADO!$I$5:$I$404,0)),"")</f>
        <v/>
      </c>
      <c r="Q1661" s="26" t="str">
        <f>IFERROR(INDEX(EXTRATO_IMPORTADO!$B$5:$B$404,MATCH(B1661,EXTRATO_IMPORTADO!$I$5:$I$404,0)),"")</f>
        <v/>
      </c>
      <c r="R1661" s="26" t="str">
        <f>IFERROR(MATCH(B1661,EXTRATO_IMPORTADO!$I$5:$I$404,0),"")</f>
        <v/>
      </c>
      <c r="S1661" s="26" t="str">
        <f t="shared" si="76"/>
        <v/>
      </c>
      <c r="T1661" s="26" t="str">
        <f t="shared" si="77"/>
        <v/>
      </c>
    </row>
    <row r="1662" spans="1:20" x14ac:dyDescent="0.3">
      <c r="A1662" s="26" t="str">
        <f>IF(BASE_CAIXA!A1659="","",BASE_CAIXA!A1659)</f>
        <v/>
      </c>
      <c r="B1662" s="26" t="str">
        <f>IF(A1662="","",BASE_CAIXA!AL1659)</f>
        <v/>
      </c>
      <c r="C1662" s="26" t="str">
        <f>IF(A1662="","",BASE_CAIXA!AJ1659)</f>
        <v/>
      </c>
      <c r="D1662" s="26" t="str">
        <f>IF(A1662="","",IF(BASE_CAIXA!C1659="Entrada","Crédito","Débito"))</f>
        <v/>
      </c>
      <c r="E1662" s="26" t="str">
        <f>IF(A1662="","",BASE_CAIXA!AA1659)</f>
        <v/>
      </c>
      <c r="F1662" s="26" t="str">
        <f>IF(A1662="","",BASE_CAIXA!N1659)</f>
        <v/>
      </c>
      <c r="G1662" s="26" t="str">
        <f>IF(A1662="","",BASE_CAIXA!O1659)</f>
        <v/>
      </c>
      <c r="H1662" s="26" t="str">
        <f>IF(A1662="","",BASE_CAIXA!P1659)</f>
        <v/>
      </c>
      <c r="I1662" s="26" t="str">
        <f>IF(A1662="","",IF(BASE_CAIXA!H1659&lt;&gt;"",BASE_CAIXA!H1659,BASE_CAIXA!G1659))</f>
        <v/>
      </c>
      <c r="J1662" s="26" t="str">
        <f>IF(A1662="","",BASE_CAIXA!G1659)</f>
        <v/>
      </c>
      <c r="K1662" s="26" t="str">
        <f>IF(A1662="","",BASE_CAIXA!I1659)</f>
        <v/>
      </c>
      <c r="L1662" s="26" t="str">
        <f>IF(A1662="","",BASE_CAIXA!J1659)</f>
        <v/>
      </c>
      <c r="M1662" s="26" t="str">
        <f>IF(A1662="","",BASE_CAIXA!AM1659)</f>
        <v/>
      </c>
      <c r="N1662" s="26" t="str">
        <f t="shared" ca="1" si="75"/>
        <v/>
      </c>
      <c r="O1662" s="26" t="str">
        <f>IFERROR(INDEX(EXTRATO_IMPORTADO!$A$5:$A$404,MATCH(B1662,EXTRATO_IMPORTADO!$I$5:$I$404,0)),"")</f>
        <v/>
      </c>
      <c r="P1662" s="26" t="str">
        <f>IFERROR(INDEX(EXTRATO_IMPORTADO!$F$5:$F$404,MATCH(B1662,EXTRATO_IMPORTADO!$I$5:$I$404,0)),"")</f>
        <v/>
      </c>
      <c r="Q1662" s="26" t="str">
        <f>IFERROR(INDEX(EXTRATO_IMPORTADO!$B$5:$B$404,MATCH(B1662,EXTRATO_IMPORTADO!$I$5:$I$404,0)),"")</f>
        <v/>
      </c>
      <c r="R1662" s="26" t="str">
        <f>IFERROR(MATCH(B1662,EXTRATO_IMPORTADO!$I$5:$I$404,0),"")</f>
        <v/>
      </c>
      <c r="S1662" s="26" t="str">
        <f t="shared" si="76"/>
        <v/>
      </c>
      <c r="T1662" s="26" t="str">
        <f t="shared" si="77"/>
        <v/>
      </c>
    </row>
    <row r="1663" spans="1:20" x14ac:dyDescent="0.3">
      <c r="A1663" s="26" t="str">
        <f>IF(BASE_CAIXA!A1660="","",BASE_CAIXA!A1660)</f>
        <v/>
      </c>
      <c r="B1663" s="26" t="str">
        <f>IF(A1663="","",BASE_CAIXA!AL1660)</f>
        <v/>
      </c>
      <c r="C1663" s="26" t="str">
        <f>IF(A1663="","",BASE_CAIXA!AJ1660)</f>
        <v/>
      </c>
      <c r="D1663" s="26" t="str">
        <f>IF(A1663="","",IF(BASE_CAIXA!C1660="Entrada","Crédito","Débito"))</f>
        <v/>
      </c>
      <c r="E1663" s="26" t="str">
        <f>IF(A1663="","",BASE_CAIXA!AA1660)</f>
        <v/>
      </c>
      <c r="F1663" s="26" t="str">
        <f>IF(A1663="","",BASE_CAIXA!N1660)</f>
        <v/>
      </c>
      <c r="G1663" s="26" t="str">
        <f>IF(A1663="","",BASE_CAIXA!O1660)</f>
        <v/>
      </c>
      <c r="H1663" s="26" t="str">
        <f>IF(A1663="","",BASE_CAIXA!P1660)</f>
        <v/>
      </c>
      <c r="I1663" s="26" t="str">
        <f>IF(A1663="","",IF(BASE_CAIXA!H1660&lt;&gt;"",BASE_CAIXA!H1660,BASE_CAIXA!G1660))</f>
        <v/>
      </c>
      <c r="J1663" s="26" t="str">
        <f>IF(A1663="","",BASE_CAIXA!G1660)</f>
        <v/>
      </c>
      <c r="K1663" s="26" t="str">
        <f>IF(A1663="","",BASE_CAIXA!I1660)</f>
        <v/>
      </c>
      <c r="L1663" s="26" t="str">
        <f>IF(A1663="","",BASE_CAIXA!J1660)</f>
        <v/>
      </c>
      <c r="M1663" s="26" t="str">
        <f>IF(A1663="","",BASE_CAIXA!AM1660)</f>
        <v/>
      </c>
      <c r="N1663" s="26" t="str">
        <f t="shared" ca="1" si="75"/>
        <v/>
      </c>
      <c r="O1663" s="26" t="str">
        <f>IFERROR(INDEX(EXTRATO_IMPORTADO!$A$5:$A$404,MATCH(B1663,EXTRATO_IMPORTADO!$I$5:$I$404,0)),"")</f>
        <v/>
      </c>
      <c r="P1663" s="26" t="str">
        <f>IFERROR(INDEX(EXTRATO_IMPORTADO!$F$5:$F$404,MATCH(B1663,EXTRATO_IMPORTADO!$I$5:$I$404,0)),"")</f>
        <v/>
      </c>
      <c r="Q1663" s="26" t="str">
        <f>IFERROR(INDEX(EXTRATO_IMPORTADO!$B$5:$B$404,MATCH(B1663,EXTRATO_IMPORTADO!$I$5:$I$404,0)),"")</f>
        <v/>
      </c>
      <c r="R1663" s="26" t="str">
        <f>IFERROR(MATCH(B1663,EXTRATO_IMPORTADO!$I$5:$I$404,0),"")</f>
        <v/>
      </c>
      <c r="S1663" s="26" t="str">
        <f t="shared" si="76"/>
        <v/>
      </c>
      <c r="T1663" s="26" t="str">
        <f t="shared" si="77"/>
        <v/>
      </c>
    </row>
    <row r="1664" spans="1:20" x14ac:dyDescent="0.3">
      <c r="A1664" s="26" t="str">
        <f>IF(BASE_CAIXA!A1661="","",BASE_CAIXA!A1661)</f>
        <v/>
      </c>
      <c r="B1664" s="26" t="str">
        <f>IF(A1664="","",BASE_CAIXA!AL1661)</f>
        <v/>
      </c>
      <c r="C1664" s="26" t="str">
        <f>IF(A1664="","",BASE_CAIXA!AJ1661)</f>
        <v/>
      </c>
      <c r="D1664" s="26" t="str">
        <f>IF(A1664="","",IF(BASE_CAIXA!C1661="Entrada","Crédito","Débito"))</f>
        <v/>
      </c>
      <c r="E1664" s="26" t="str">
        <f>IF(A1664="","",BASE_CAIXA!AA1661)</f>
        <v/>
      </c>
      <c r="F1664" s="26" t="str">
        <f>IF(A1664="","",BASE_CAIXA!N1661)</f>
        <v/>
      </c>
      <c r="G1664" s="26" t="str">
        <f>IF(A1664="","",BASE_CAIXA!O1661)</f>
        <v/>
      </c>
      <c r="H1664" s="26" t="str">
        <f>IF(A1664="","",BASE_CAIXA!P1661)</f>
        <v/>
      </c>
      <c r="I1664" s="26" t="str">
        <f>IF(A1664="","",IF(BASE_CAIXA!H1661&lt;&gt;"",BASE_CAIXA!H1661,BASE_CAIXA!G1661))</f>
        <v/>
      </c>
      <c r="J1664" s="26" t="str">
        <f>IF(A1664="","",BASE_CAIXA!G1661)</f>
        <v/>
      </c>
      <c r="K1664" s="26" t="str">
        <f>IF(A1664="","",BASE_CAIXA!I1661)</f>
        <v/>
      </c>
      <c r="L1664" s="26" t="str">
        <f>IF(A1664="","",BASE_CAIXA!J1661)</f>
        <v/>
      </c>
      <c r="M1664" s="26" t="str">
        <f>IF(A1664="","",BASE_CAIXA!AM1661)</f>
        <v/>
      </c>
      <c r="N1664" s="26" t="str">
        <f t="shared" ca="1" si="75"/>
        <v/>
      </c>
      <c r="O1664" s="26" t="str">
        <f>IFERROR(INDEX(EXTRATO_IMPORTADO!$A$5:$A$404,MATCH(B1664,EXTRATO_IMPORTADO!$I$5:$I$404,0)),"")</f>
        <v/>
      </c>
      <c r="P1664" s="26" t="str">
        <f>IFERROR(INDEX(EXTRATO_IMPORTADO!$F$5:$F$404,MATCH(B1664,EXTRATO_IMPORTADO!$I$5:$I$404,0)),"")</f>
        <v/>
      </c>
      <c r="Q1664" s="26" t="str">
        <f>IFERROR(INDEX(EXTRATO_IMPORTADO!$B$5:$B$404,MATCH(B1664,EXTRATO_IMPORTADO!$I$5:$I$404,0)),"")</f>
        <v/>
      </c>
      <c r="R1664" s="26" t="str">
        <f>IFERROR(MATCH(B1664,EXTRATO_IMPORTADO!$I$5:$I$404,0),"")</f>
        <v/>
      </c>
      <c r="S1664" s="26" t="str">
        <f t="shared" si="76"/>
        <v/>
      </c>
      <c r="T1664" s="26" t="str">
        <f t="shared" si="77"/>
        <v/>
      </c>
    </row>
    <row r="1665" spans="1:20" x14ac:dyDescent="0.3">
      <c r="A1665" s="26" t="str">
        <f>IF(BASE_CAIXA!A1662="","",BASE_CAIXA!A1662)</f>
        <v/>
      </c>
      <c r="B1665" s="26" t="str">
        <f>IF(A1665="","",BASE_CAIXA!AL1662)</f>
        <v/>
      </c>
      <c r="C1665" s="26" t="str">
        <f>IF(A1665="","",BASE_CAIXA!AJ1662)</f>
        <v/>
      </c>
      <c r="D1665" s="26" t="str">
        <f>IF(A1665="","",IF(BASE_CAIXA!C1662="Entrada","Crédito","Débito"))</f>
        <v/>
      </c>
      <c r="E1665" s="26" t="str">
        <f>IF(A1665="","",BASE_CAIXA!AA1662)</f>
        <v/>
      </c>
      <c r="F1665" s="26" t="str">
        <f>IF(A1665="","",BASE_CAIXA!N1662)</f>
        <v/>
      </c>
      <c r="G1665" s="26" t="str">
        <f>IF(A1665="","",BASE_CAIXA!O1662)</f>
        <v/>
      </c>
      <c r="H1665" s="26" t="str">
        <f>IF(A1665="","",BASE_CAIXA!P1662)</f>
        <v/>
      </c>
      <c r="I1665" s="26" t="str">
        <f>IF(A1665="","",IF(BASE_CAIXA!H1662&lt;&gt;"",BASE_CAIXA!H1662,BASE_CAIXA!G1662))</f>
        <v/>
      </c>
      <c r="J1665" s="26" t="str">
        <f>IF(A1665="","",BASE_CAIXA!G1662)</f>
        <v/>
      </c>
      <c r="K1665" s="26" t="str">
        <f>IF(A1665="","",BASE_CAIXA!I1662)</f>
        <v/>
      </c>
      <c r="L1665" s="26" t="str">
        <f>IF(A1665="","",BASE_CAIXA!J1662)</f>
        <v/>
      </c>
      <c r="M1665" s="26" t="str">
        <f>IF(A1665="","",BASE_CAIXA!AM1662)</f>
        <v/>
      </c>
      <c r="N1665" s="26" t="str">
        <f t="shared" ca="1" si="75"/>
        <v/>
      </c>
      <c r="O1665" s="26" t="str">
        <f>IFERROR(INDEX(EXTRATO_IMPORTADO!$A$5:$A$404,MATCH(B1665,EXTRATO_IMPORTADO!$I$5:$I$404,0)),"")</f>
        <v/>
      </c>
      <c r="P1665" s="26" t="str">
        <f>IFERROR(INDEX(EXTRATO_IMPORTADO!$F$5:$F$404,MATCH(B1665,EXTRATO_IMPORTADO!$I$5:$I$404,0)),"")</f>
        <v/>
      </c>
      <c r="Q1665" s="26" t="str">
        <f>IFERROR(INDEX(EXTRATO_IMPORTADO!$B$5:$B$404,MATCH(B1665,EXTRATO_IMPORTADO!$I$5:$I$404,0)),"")</f>
        <v/>
      </c>
      <c r="R1665" s="26" t="str">
        <f>IFERROR(MATCH(B1665,EXTRATO_IMPORTADO!$I$5:$I$404,0),"")</f>
        <v/>
      </c>
      <c r="S1665" s="26" t="str">
        <f t="shared" si="76"/>
        <v/>
      </c>
      <c r="T1665" s="26" t="str">
        <f t="shared" si="77"/>
        <v/>
      </c>
    </row>
    <row r="1666" spans="1:20" x14ac:dyDescent="0.3">
      <c r="A1666" s="26" t="str">
        <f>IF(BASE_CAIXA!A1663="","",BASE_CAIXA!A1663)</f>
        <v/>
      </c>
      <c r="B1666" s="26" t="str">
        <f>IF(A1666="","",BASE_CAIXA!AL1663)</f>
        <v/>
      </c>
      <c r="C1666" s="26" t="str">
        <f>IF(A1666="","",BASE_CAIXA!AJ1663)</f>
        <v/>
      </c>
      <c r="D1666" s="26" t="str">
        <f>IF(A1666="","",IF(BASE_CAIXA!C1663="Entrada","Crédito","Débito"))</f>
        <v/>
      </c>
      <c r="E1666" s="26" t="str">
        <f>IF(A1666="","",BASE_CAIXA!AA1663)</f>
        <v/>
      </c>
      <c r="F1666" s="26" t="str">
        <f>IF(A1666="","",BASE_CAIXA!N1663)</f>
        <v/>
      </c>
      <c r="G1666" s="26" t="str">
        <f>IF(A1666="","",BASE_CAIXA!O1663)</f>
        <v/>
      </c>
      <c r="H1666" s="26" t="str">
        <f>IF(A1666="","",BASE_CAIXA!P1663)</f>
        <v/>
      </c>
      <c r="I1666" s="26" t="str">
        <f>IF(A1666="","",IF(BASE_CAIXA!H1663&lt;&gt;"",BASE_CAIXA!H1663,BASE_CAIXA!G1663))</f>
        <v/>
      </c>
      <c r="J1666" s="26" t="str">
        <f>IF(A1666="","",BASE_CAIXA!G1663)</f>
        <v/>
      </c>
      <c r="K1666" s="26" t="str">
        <f>IF(A1666="","",BASE_CAIXA!I1663)</f>
        <v/>
      </c>
      <c r="L1666" s="26" t="str">
        <f>IF(A1666="","",BASE_CAIXA!J1663)</f>
        <v/>
      </c>
      <c r="M1666" s="26" t="str">
        <f>IF(A1666="","",BASE_CAIXA!AM1663)</f>
        <v/>
      </c>
      <c r="N1666" s="26" t="str">
        <f t="shared" ca="1" si="75"/>
        <v/>
      </c>
      <c r="O1666" s="26" t="str">
        <f>IFERROR(INDEX(EXTRATO_IMPORTADO!$A$5:$A$404,MATCH(B1666,EXTRATO_IMPORTADO!$I$5:$I$404,0)),"")</f>
        <v/>
      </c>
      <c r="P1666" s="26" t="str">
        <f>IFERROR(INDEX(EXTRATO_IMPORTADO!$F$5:$F$404,MATCH(B1666,EXTRATO_IMPORTADO!$I$5:$I$404,0)),"")</f>
        <v/>
      </c>
      <c r="Q1666" s="26" t="str">
        <f>IFERROR(INDEX(EXTRATO_IMPORTADO!$B$5:$B$404,MATCH(B1666,EXTRATO_IMPORTADO!$I$5:$I$404,0)),"")</f>
        <v/>
      </c>
      <c r="R1666" s="26" t="str">
        <f>IFERROR(MATCH(B1666,EXTRATO_IMPORTADO!$I$5:$I$404,0),"")</f>
        <v/>
      </c>
      <c r="S1666" s="26" t="str">
        <f t="shared" si="76"/>
        <v/>
      </c>
      <c r="T1666" s="26" t="str">
        <f t="shared" si="77"/>
        <v/>
      </c>
    </row>
    <row r="1667" spans="1:20" x14ac:dyDescent="0.3">
      <c r="A1667" s="26" t="str">
        <f>IF(BASE_CAIXA!A1664="","",BASE_CAIXA!A1664)</f>
        <v/>
      </c>
      <c r="B1667" s="26" t="str">
        <f>IF(A1667="","",BASE_CAIXA!AL1664)</f>
        <v/>
      </c>
      <c r="C1667" s="26" t="str">
        <f>IF(A1667="","",BASE_CAIXA!AJ1664)</f>
        <v/>
      </c>
      <c r="D1667" s="26" t="str">
        <f>IF(A1667="","",IF(BASE_CAIXA!C1664="Entrada","Crédito","Débito"))</f>
        <v/>
      </c>
      <c r="E1667" s="26" t="str">
        <f>IF(A1667="","",BASE_CAIXA!AA1664)</f>
        <v/>
      </c>
      <c r="F1667" s="26" t="str">
        <f>IF(A1667="","",BASE_CAIXA!N1664)</f>
        <v/>
      </c>
      <c r="G1667" s="26" t="str">
        <f>IF(A1667="","",BASE_CAIXA!O1664)</f>
        <v/>
      </c>
      <c r="H1667" s="26" t="str">
        <f>IF(A1667="","",BASE_CAIXA!P1664)</f>
        <v/>
      </c>
      <c r="I1667" s="26" t="str">
        <f>IF(A1667="","",IF(BASE_CAIXA!H1664&lt;&gt;"",BASE_CAIXA!H1664,BASE_CAIXA!G1664))</f>
        <v/>
      </c>
      <c r="J1667" s="26" t="str">
        <f>IF(A1667="","",BASE_CAIXA!G1664)</f>
        <v/>
      </c>
      <c r="K1667" s="26" t="str">
        <f>IF(A1667="","",BASE_CAIXA!I1664)</f>
        <v/>
      </c>
      <c r="L1667" s="26" t="str">
        <f>IF(A1667="","",BASE_CAIXA!J1664)</f>
        <v/>
      </c>
      <c r="M1667" s="26" t="str">
        <f>IF(A1667="","",BASE_CAIXA!AM1664)</f>
        <v/>
      </c>
      <c r="N1667" s="26" t="str">
        <f t="shared" ca="1" si="75"/>
        <v/>
      </c>
      <c r="O1667" s="26" t="str">
        <f>IFERROR(INDEX(EXTRATO_IMPORTADO!$A$5:$A$404,MATCH(B1667,EXTRATO_IMPORTADO!$I$5:$I$404,0)),"")</f>
        <v/>
      </c>
      <c r="P1667" s="26" t="str">
        <f>IFERROR(INDEX(EXTRATO_IMPORTADO!$F$5:$F$404,MATCH(B1667,EXTRATO_IMPORTADO!$I$5:$I$404,0)),"")</f>
        <v/>
      </c>
      <c r="Q1667" s="26" t="str">
        <f>IFERROR(INDEX(EXTRATO_IMPORTADO!$B$5:$B$404,MATCH(B1667,EXTRATO_IMPORTADO!$I$5:$I$404,0)),"")</f>
        <v/>
      </c>
      <c r="R1667" s="26" t="str">
        <f>IFERROR(MATCH(B1667,EXTRATO_IMPORTADO!$I$5:$I$404,0),"")</f>
        <v/>
      </c>
      <c r="S1667" s="26" t="str">
        <f t="shared" si="76"/>
        <v/>
      </c>
      <c r="T1667" s="26" t="str">
        <f t="shared" si="77"/>
        <v/>
      </c>
    </row>
    <row r="1668" spans="1:20" x14ac:dyDescent="0.3">
      <c r="A1668" s="26" t="str">
        <f>IF(BASE_CAIXA!A1665="","",BASE_CAIXA!A1665)</f>
        <v/>
      </c>
      <c r="B1668" s="26" t="str">
        <f>IF(A1668="","",BASE_CAIXA!AL1665)</f>
        <v/>
      </c>
      <c r="C1668" s="26" t="str">
        <f>IF(A1668="","",BASE_CAIXA!AJ1665)</f>
        <v/>
      </c>
      <c r="D1668" s="26" t="str">
        <f>IF(A1668="","",IF(BASE_CAIXA!C1665="Entrada","Crédito","Débito"))</f>
        <v/>
      </c>
      <c r="E1668" s="26" t="str">
        <f>IF(A1668="","",BASE_CAIXA!AA1665)</f>
        <v/>
      </c>
      <c r="F1668" s="26" t="str">
        <f>IF(A1668="","",BASE_CAIXA!N1665)</f>
        <v/>
      </c>
      <c r="G1668" s="26" t="str">
        <f>IF(A1668="","",BASE_CAIXA!O1665)</f>
        <v/>
      </c>
      <c r="H1668" s="26" t="str">
        <f>IF(A1668="","",BASE_CAIXA!P1665)</f>
        <v/>
      </c>
      <c r="I1668" s="26" t="str">
        <f>IF(A1668="","",IF(BASE_CAIXA!H1665&lt;&gt;"",BASE_CAIXA!H1665,BASE_CAIXA!G1665))</f>
        <v/>
      </c>
      <c r="J1668" s="26" t="str">
        <f>IF(A1668="","",BASE_CAIXA!G1665)</f>
        <v/>
      </c>
      <c r="K1668" s="26" t="str">
        <f>IF(A1668="","",BASE_CAIXA!I1665)</f>
        <v/>
      </c>
      <c r="L1668" s="26" t="str">
        <f>IF(A1668="","",BASE_CAIXA!J1665)</f>
        <v/>
      </c>
      <c r="M1668" s="26" t="str">
        <f>IF(A1668="","",BASE_CAIXA!AM1665)</f>
        <v/>
      </c>
      <c r="N1668" s="26" t="str">
        <f t="shared" ca="1" si="75"/>
        <v/>
      </c>
      <c r="O1668" s="26" t="str">
        <f>IFERROR(INDEX(EXTRATO_IMPORTADO!$A$5:$A$404,MATCH(B1668,EXTRATO_IMPORTADO!$I$5:$I$404,0)),"")</f>
        <v/>
      </c>
      <c r="P1668" s="26" t="str">
        <f>IFERROR(INDEX(EXTRATO_IMPORTADO!$F$5:$F$404,MATCH(B1668,EXTRATO_IMPORTADO!$I$5:$I$404,0)),"")</f>
        <v/>
      </c>
      <c r="Q1668" s="26" t="str">
        <f>IFERROR(INDEX(EXTRATO_IMPORTADO!$B$5:$B$404,MATCH(B1668,EXTRATO_IMPORTADO!$I$5:$I$404,0)),"")</f>
        <v/>
      </c>
      <c r="R1668" s="26" t="str">
        <f>IFERROR(MATCH(B1668,EXTRATO_IMPORTADO!$I$5:$I$404,0),"")</f>
        <v/>
      </c>
      <c r="S1668" s="26" t="str">
        <f t="shared" si="76"/>
        <v/>
      </c>
      <c r="T1668" s="26" t="str">
        <f t="shared" si="77"/>
        <v/>
      </c>
    </row>
    <row r="1669" spans="1:20" x14ac:dyDescent="0.3">
      <c r="A1669" s="26" t="str">
        <f>IF(BASE_CAIXA!A1666="","",BASE_CAIXA!A1666)</f>
        <v/>
      </c>
      <c r="B1669" s="26" t="str">
        <f>IF(A1669="","",BASE_CAIXA!AL1666)</f>
        <v/>
      </c>
      <c r="C1669" s="26" t="str">
        <f>IF(A1669="","",BASE_CAIXA!AJ1666)</f>
        <v/>
      </c>
      <c r="D1669" s="26" t="str">
        <f>IF(A1669="","",IF(BASE_CAIXA!C1666="Entrada","Crédito","Débito"))</f>
        <v/>
      </c>
      <c r="E1669" s="26" t="str">
        <f>IF(A1669="","",BASE_CAIXA!AA1666)</f>
        <v/>
      </c>
      <c r="F1669" s="26" t="str">
        <f>IF(A1669="","",BASE_CAIXA!N1666)</f>
        <v/>
      </c>
      <c r="G1669" s="26" t="str">
        <f>IF(A1669="","",BASE_CAIXA!O1666)</f>
        <v/>
      </c>
      <c r="H1669" s="26" t="str">
        <f>IF(A1669="","",BASE_CAIXA!P1666)</f>
        <v/>
      </c>
      <c r="I1669" s="26" t="str">
        <f>IF(A1669="","",IF(BASE_CAIXA!H1666&lt;&gt;"",BASE_CAIXA!H1666,BASE_CAIXA!G1666))</f>
        <v/>
      </c>
      <c r="J1669" s="26" t="str">
        <f>IF(A1669="","",BASE_CAIXA!G1666)</f>
        <v/>
      </c>
      <c r="K1669" s="26" t="str">
        <f>IF(A1669="","",BASE_CAIXA!I1666)</f>
        <v/>
      </c>
      <c r="L1669" s="26" t="str">
        <f>IF(A1669="","",BASE_CAIXA!J1666)</f>
        <v/>
      </c>
      <c r="M1669" s="26" t="str">
        <f>IF(A1669="","",BASE_CAIXA!AM1666)</f>
        <v/>
      </c>
      <c r="N1669" s="26" t="str">
        <f t="shared" ref="N1669:N1732" ca="1" si="78">IF(A1669="","",IF(R1669&lt;&gt;"",IF(AND(ABS(S1669)&lt;=0.01,ABS(T1669)&lt;=3),"Conciliado","Divergente"),IF(TODAY()&gt;C1669,"Pendente vencido","Previsto")))</f>
        <v/>
      </c>
      <c r="O1669" s="26" t="str">
        <f>IFERROR(INDEX(EXTRATO_IMPORTADO!$A$5:$A$404,MATCH(B1669,EXTRATO_IMPORTADO!$I$5:$I$404,0)),"")</f>
        <v/>
      </c>
      <c r="P1669" s="26" t="str">
        <f>IFERROR(INDEX(EXTRATO_IMPORTADO!$F$5:$F$404,MATCH(B1669,EXTRATO_IMPORTADO!$I$5:$I$404,0)),"")</f>
        <v/>
      </c>
      <c r="Q1669" s="26" t="str">
        <f>IFERROR(INDEX(EXTRATO_IMPORTADO!$B$5:$B$404,MATCH(B1669,EXTRATO_IMPORTADO!$I$5:$I$404,0)),"")</f>
        <v/>
      </c>
      <c r="R1669" s="26" t="str">
        <f>IFERROR(MATCH(B1669,EXTRATO_IMPORTADO!$I$5:$I$404,0),"")</f>
        <v/>
      </c>
      <c r="S1669" s="26" t="str">
        <f t="shared" ref="S1669:S1732" si="79">IF(OR(A1669="",P1669=""),"",P1669-E1669)</f>
        <v/>
      </c>
      <c r="T1669" s="26" t="str">
        <f t="shared" ref="T1669:T1732" si="80">IF(OR(A1669="",O1669=""),"",O1669-C1669)</f>
        <v/>
      </c>
    </row>
    <row r="1670" spans="1:20" x14ac:dyDescent="0.3">
      <c r="A1670" s="26" t="str">
        <f>IF(BASE_CAIXA!A1667="","",BASE_CAIXA!A1667)</f>
        <v/>
      </c>
      <c r="B1670" s="26" t="str">
        <f>IF(A1670="","",BASE_CAIXA!AL1667)</f>
        <v/>
      </c>
      <c r="C1670" s="26" t="str">
        <f>IF(A1670="","",BASE_CAIXA!AJ1667)</f>
        <v/>
      </c>
      <c r="D1670" s="26" t="str">
        <f>IF(A1670="","",IF(BASE_CAIXA!C1667="Entrada","Crédito","Débito"))</f>
        <v/>
      </c>
      <c r="E1670" s="26" t="str">
        <f>IF(A1670="","",BASE_CAIXA!AA1667)</f>
        <v/>
      </c>
      <c r="F1670" s="26" t="str">
        <f>IF(A1670="","",BASE_CAIXA!N1667)</f>
        <v/>
      </c>
      <c r="G1670" s="26" t="str">
        <f>IF(A1670="","",BASE_CAIXA!O1667)</f>
        <v/>
      </c>
      <c r="H1670" s="26" t="str">
        <f>IF(A1670="","",BASE_CAIXA!P1667)</f>
        <v/>
      </c>
      <c r="I1670" s="26" t="str">
        <f>IF(A1670="","",IF(BASE_CAIXA!H1667&lt;&gt;"",BASE_CAIXA!H1667,BASE_CAIXA!G1667))</f>
        <v/>
      </c>
      <c r="J1670" s="26" t="str">
        <f>IF(A1670="","",BASE_CAIXA!G1667)</f>
        <v/>
      </c>
      <c r="K1670" s="26" t="str">
        <f>IF(A1670="","",BASE_CAIXA!I1667)</f>
        <v/>
      </c>
      <c r="L1670" s="26" t="str">
        <f>IF(A1670="","",BASE_CAIXA!J1667)</f>
        <v/>
      </c>
      <c r="M1670" s="26" t="str">
        <f>IF(A1670="","",BASE_CAIXA!AM1667)</f>
        <v/>
      </c>
      <c r="N1670" s="26" t="str">
        <f t="shared" ca="1" si="78"/>
        <v/>
      </c>
      <c r="O1670" s="26" t="str">
        <f>IFERROR(INDEX(EXTRATO_IMPORTADO!$A$5:$A$404,MATCH(B1670,EXTRATO_IMPORTADO!$I$5:$I$404,0)),"")</f>
        <v/>
      </c>
      <c r="P1670" s="26" t="str">
        <f>IFERROR(INDEX(EXTRATO_IMPORTADO!$F$5:$F$404,MATCH(B1670,EXTRATO_IMPORTADO!$I$5:$I$404,0)),"")</f>
        <v/>
      </c>
      <c r="Q1670" s="26" t="str">
        <f>IFERROR(INDEX(EXTRATO_IMPORTADO!$B$5:$B$404,MATCH(B1670,EXTRATO_IMPORTADO!$I$5:$I$404,0)),"")</f>
        <v/>
      </c>
      <c r="R1670" s="26" t="str">
        <f>IFERROR(MATCH(B1670,EXTRATO_IMPORTADO!$I$5:$I$404,0),"")</f>
        <v/>
      </c>
      <c r="S1670" s="26" t="str">
        <f t="shared" si="79"/>
        <v/>
      </c>
      <c r="T1670" s="26" t="str">
        <f t="shared" si="80"/>
        <v/>
      </c>
    </row>
    <row r="1671" spans="1:20" x14ac:dyDescent="0.3">
      <c r="A1671" s="26" t="str">
        <f>IF(BASE_CAIXA!A1668="","",BASE_CAIXA!A1668)</f>
        <v/>
      </c>
      <c r="B1671" s="26" t="str">
        <f>IF(A1671="","",BASE_CAIXA!AL1668)</f>
        <v/>
      </c>
      <c r="C1671" s="26" t="str">
        <f>IF(A1671="","",BASE_CAIXA!AJ1668)</f>
        <v/>
      </c>
      <c r="D1671" s="26" t="str">
        <f>IF(A1671="","",IF(BASE_CAIXA!C1668="Entrada","Crédito","Débito"))</f>
        <v/>
      </c>
      <c r="E1671" s="26" t="str">
        <f>IF(A1671="","",BASE_CAIXA!AA1668)</f>
        <v/>
      </c>
      <c r="F1671" s="26" t="str">
        <f>IF(A1671="","",BASE_CAIXA!N1668)</f>
        <v/>
      </c>
      <c r="G1671" s="26" t="str">
        <f>IF(A1671="","",BASE_CAIXA!O1668)</f>
        <v/>
      </c>
      <c r="H1671" s="26" t="str">
        <f>IF(A1671="","",BASE_CAIXA!P1668)</f>
        <v/>
      </c>
      <c r="I1671" s="26" t="str">
        <f>IF(A1671="","",IF(BASE_CAIXA!H1668&lt;&gt;"",BASE_CAIXA!H1668,BASE_CAIXA!G1668))</f>
        <v/>
      </c>
      <c r="J1671" s="26" t="str">
        <f>IF(A1671="","",BASE_CAIXA!G1668)</f>
        <v/>
      </c>
      <c r="K1671" s="26" t="str">
        <f>IF(A1671="","",BASE_CAIXA!I1668)</f>
        <v/>
      </c>
      <c r="L1671" s="26" t="str">
        <f>IF(A1671="","",BASE_CAIXA!J1668)</f>
        <v/>
      </c>
      <c r="M1671" s="26" t="str">
        <f>IF(A1671="","",BASE_CAIXA!AM1668)</f>
        <v/>
      </c>
      <c r="N1671" s="26" t="str">
        <f t="shared" ca="1" si="78"/>
        <v/>
      </c>
      <c r="O1671" s="26" t="str">
        <f>IFERROR(INDEX(EXTRATO_IMPORTADO!$A$5:$A$404,MATCH(B1671,EXTRATO_IMPORTADO!$I$5:$I$404,0)),"")</f>
        <v/>
      </c>
      <c r="P1671" s="26" t="str">
        <f>IFERROR(INDEX(EXTRATO_IMPORTADO!$F$5:$F$404,MATCH(B1671,EXTRATO_IMPORTADO!$I$5:$I$404,0)),"")</f>
        <v/>
      </c>
      <c r="Q1671" s="26" t="str">
        <f>IFERROR(INDEX(EXTRATO_IMPORTADO!$B$5:$B$404,MATCH(B1671,EXTRATO_IMPORTADO!$I$5:$I$404,0)),"")</f>
        <v/>
      </c>
      <c r="R1671" s="26" t="str">
        <f>IFERROR(MATCH(B1671,EXTRATO_IMPORTADO!$I$5:$I$404,0),"")</f>
        <v/>
      </c>
      <c r="S1671" s="26" t="str">
        <f t="shared" si="79"/>
        <v/>
      </c>
      <c r="T1671" s="26" t="str">
        <f t="shared" si="80"/>
        <v/>
      </c>
    </row>
    <row r="1672" spans="1:20" x14ac:dyDescent="0.3">
      <c r="A1672" s="26" t="str">
        <f>IF(BASE_CAIXA!A1669="","",BASE_CAIXA!A1669)</f>
        <v/>
      </c>
      <c r="B1672" s="26" t="str">
        <f>IF(A1672="","",BASE_CAIXA!AL1669)</f>
        <v/>
      </c>
      <c r="C1672" s="26" t="str">
        <f>IF(A1672="","",BASE_CAIXA!AJ1669)</f>
        <v/>
      </c>
      <c r="D1672" s="26" t="str">
        <f>IF(A1672="","",IF(BASE_CAIXA!C1669="Entrada","Crédito","Débito"))</f>
        <v/>
      </c>
      <c r="E1672" s="26" t="str">
        <f>IF(A1672="","",BASE_CAIXA!AA1669)</f>
        <v/>
      </c>
      <c r="F1672" s="26" t="str">
        <f>IF(A1672="","",BASE_CAIXA!N1669)</f>
        <v/>
      </c>
      <c r="G1672" s="26" t="str">
        <f>IF(A1672="","",BASE_CAIXA!O1669)</f>
        <v/>
      </c>
      <c r="H1672" s="26" t="str">
        <f>IF(A1672="","",BASE_CAIXA!P1669)</f>
        <v/>
      </c>
      <c r="I1672" s="26" t="str">
        <f>IF(A1672="","",IF(BASE_CAIXA!H1669&lt;&gt;"",BASE_CAIXA!H1669,BASE_CAIXA!G1669))</f>
        <v/>
      </c>
      <c r="J1672" s="26" t="str">
        <f>IF(A1672="","",BASE_CAIXA!G1669)</f>
        <v/>
      </c>
      <c r="K1672" s="26" t="str">
        <f>IF(A1672="","",BASE_CAIXA!I1669)</f>
        <v/>
      </c>
      <c r="L1672" s="26" t="str">
        <f>IF(A1672="","",BASE_CAIXA!J1669)</f>
        <v/>
      </c>
      <c r="M1672" s="26" t="str">
        <f>IF(A1672="","",BASE_CAIXA!AM1669)</f>
        <v/>
      </c>
      <c r="N1672" s="26" t="str">
        <f t="shared" ca="1" si="78"/>
        <v/>
      </c>
      <c r="O1672" s="26" t="str">
        <f>IFERROR(INDEX(EXTRATO_IMPORTADO!$A$5:$A$404,MATCH(B1672,EXTRATO_IMPORTADO!$I$5:$I$404,0)),"")</f>
        <v/>
      </c>
      <c r="P1672" s="26" t="str">
        <f>IFERROR(INDEX(EXTRATO_IMPORTADO!$F$5:$F$404,MATCH(B1672,EXTRATO_IMPORTADO!$I$5:$I$404,0)),"")</f>
        <v/>
      </c>
      <c r="Q1672" s="26" t="str">
        <f>IFERROR(INDEX(EXTRATO_IMPORTADO!$B$5:$B$404,MATCH(B1672,EXTRATO_IMPORTADO!$I$5:$I$404,0)),"")</f>
        <v/>
      </c>
      <c r="R1672" s="26" t="str">
        <f>IFERROR(MATCH(B1672,EXTRATO_IMPORTADO!$I$5:$I$404,0),"")</f>
        <v/>
      </c>
      <c r="S1672" s="26" t="str">
        <f t="shared" si="79"/>
        <v/>
      </c>
      <c r="T1672" s="26" t="str">
        <f t="shared" si="80"/>
        <v/>
      </c>
    </row>
    <row r="1673" spans="1:20" x14ac:dyDescent="0.3">
      <c r="A1673" s="26" t="str">
        <f>IF(BASE_CAIXA!A1670="","",BASE_CAIXA!A1670)</f>
        <v/>
      </c>
      <c r="B1673" s="26" t="str">
        <f>IF(A1673="","",BASE_CAIXA!AL1670)</f>
        <v/>
      </c>
      <c r="C1673" s="26" t="str">
        <f>IF(A1673="","",BASE_CAIXA!AJ1670)</f>
        <v/>
      </c>
      <c r="D1673" s="26" t="str">
        <f>IF(A1673="","",IF(BASE_CAIXA!C1670="Entrada","Crédito","Débito"))</f>
        <v/>
      </c>
      <c r="E1673" s="26" t="str">
        <f>IF(A1673="","",BASE_CAIXA!AA1670)</f>
        <v/>
      </c>
      <c r="F1673" s="26" t="str">
        <f>IF(A1673="","",BASE_CAIXA!N1670)</f>
        <v/>
      </c>
      <c r="G1673" s="26" t="str">
        <f>IF(A1673="","",BASE_CAIXA!O1670)</f>
        <v/>
      </c>
      <c r="H1673" s="26" t="str">
        <f>IF(A1673="","",BASE_CAIXA!P1670)</f>
        <v/>
      </c>
      <c r="I1673" s="26" t="str">
        <f>IF(A1673="","",IF(BASE_CAIXA!H1670&lt;&gt;"",BASE_CAIXA!H1670,BASE_CAIXA!G1670))</f>
        <v/>
      </c>
      <c r="J1673" s="26" t="str">
        <f>IF(A1673="","",BASE_CAIXA!G1670)</f>
        <v/>
      </c>
      <c r="K1673" s="26" t="str">
        <f>IF(A1673="","",BASE_CAIXA!I1670)</f>
        <v/>
      </c>
      <c r="L1673" s="26" t="str">
        <f>IF(A1673="","",BASE_CAIXA!J1670)</f>
        <v/>
      </c>
      <c r="M1673" s="26" t="str">
        <f>IF(A1673="","",BASE_CAIXA!AM1670)</f>
        <v/>
      </c>
      <c r="N1673" s="26" t="str">
        <f t="shared" ca="1" si="78"/>
        <v/>
      </c>
      <c r="O1673" s="26" t="str">
        <f>IFERROR(INDEX(EXTRATO_IMPORTADO!$A$5:$A$404,MATCH(B1673,EXTRATO_IMPORTADO!$I$5:$I$404,0)),"")</f>
        <v/>
      </c>
      <c r="P1673" s="26" t="str">
        <f>IFERROR(INDEX(EXTRATO_IMPORTADO!$F$5:$F$404,MATCH(B1673,EXTRATO_IMPORTADO!$I$5:$I$404,0)),"")</f>
        <v/>
      </c>
      <c r="Q1673" s="26" t="str">
        <f>IFERROR(INDEX(EXTRATO_IMPORTADO!$B$5:$B$404,MATCH(B1673,EXTRATO_IMPORTADO!$I$5:$I$404,0)),"")</f>
        <v/>
      </c>
      <c r="R1673" s="26" t="str">
        <f>IFERROR(MATCH(B1673,EXTRATO_IMPORTADO!$I$5:$I$404,0),"")</f>
        <v/>
      </c>
      <c r="S1673" s="26" t="str">
        <f t="shared" si="79"/>
        <v/>
      </c>
      <c r="T1673" s="26" t="str">
        <f t="shared" si="80"/>
        <v/>
      </c>
    </row>
    <row r="1674" spans="1:20" x14ac:dyDescent="0.3">
      <c r="A1674" s="26" t="str">
        <f>IF(BASE_CAIXA!A1671="","",BASE_CAIXA!A1671)</f>
        <v/>
      </c>
      <c r="B1674" s="26" t="str">
        <f>IF(A1674="","",BASE_CAIXA!AL1671)</f>
        <v/>
      </c>
      <c r="C1674" s="26" t="str">
        <f>IF(A1674="","",BASE_CAIXA!AJ1671)</f>
        <v/>
      </c>
      <c r="D1674" s="26" t="str">
        <f>IF(A1674="","",IF(BASE_CAIXA!C1671="Entrada","Crédito","Débito"))</f>
        <v/>
      </c>
      <c r="E1674" s="26" t="str">
        <f>IF(A1674="","",BASE_CAIXA!AA1671)</f>
        <v/>
      </c>
      <c r="F1674" s="26" t="str">
        <f>IF(A1674="","",BASE_CAIXA!N1671)</f>
        <v/>
      </c>
      <c r="G1674" s="26" t="str">
        <f>IF(A1674="","",BASE_CAIXA!O1671)</f>
        <v/>
      </c>
      <c r="H1674" s="26" t="str">
        <f>IF(A1674="","",BASE_CAIXA!P1671)</f>
        <v/>
      </c>
      <c r="I1674" s="26" t="str">
        <f>IF(A1674="","",IF(BASE_CAIXA!H1671&lt;&gt;"",BASE_CAIXA!H1671,BASE_CAIXA!G1671))</f>
        <v/>
      </c>
      <c r="J1674" s="26" t="str">
        <f>IF(A1674="","",BASE_CAIXA!G1671)</f>
        <v/>
      </c>
      <c r="K1674" s="26" t="str">
        <f>IF(A1674="","",BASE_CAIXA!I1671)</f>
        <v/>
      </c>
      <c r="L1674" s="26" t="str">
        <f>IF(A1674="","",BASE_CAIXA!J1671)</f>
        <v/>
      </c>
      <c r="M1674" s="26" t="str">
        <f>IF(A1674="","",BASE_CAIXA!AM1671)</f>
        <v/>
      </c>
      <c r="N1674" s="26" t="str">
        <f t="shared" ca="1" si="78"/>
        <v/>
      </c>
      <c r="O1674" s="26" t="str">
        <f>IFERROR(INDEX(EXTRATO_IMPORTADO!$A$5:$A$404,MATCH(B1674,EXTRATO_IMPORTADO!$I$5:$I$404,0)),"")</f>
        <v/>
      </c>
      <c r="P1674" s="26" t="str">
        <f>IFERROR(INDEX(EXTRATO_IMPORTADO!$F$5:$F$404,MATCH(B1674,EXTRATO_IMPORTADO!$I$5:$I$404,0)),"")</f>
        <v/>
      </c>
      <c r="Q1674" s="26" t="str">
        <f>IFERROR(INDEX(EXTRATO_IMPORTADO!$B$5:$B$404,MATCH(B1674,EXTRATO_IMPORTADO!$I$5:$I$404,0)),"")</f>
        <v/>
      </c>
      <c r="R1674" s="26" t="str">
        <f>IFERROR(MATCH(B1674,EXTRATO_IMPORTADO!$I$5:$I$404,0),"")</f>
        <v/>
      </c>
      <c r="S1674" s="26" t="str">
        <f t="shared" si="79"/>
        <v/>
      </c>
      <c r="T1674" s="26" t="str">
        <f t="shared" si="80"/>
        <v/>
      </c>
    </row>
    <row r="1675" spans="1:20" x14ac:dyDescent="0.3">
      <c r="A1675" s="26" t="str">
        <f>IF(BASE_CAIXA!A1672="","",BASE_CAIXA!A1672)</f>
        <v/>
      </c>
      <c r="B1675" s="26" t="str">
        <f>IF(A1675="","",BASE_CAIXA!AL1672)</f>
        <v/>
      </c>
      <c r="C1675" s="26" t="str">
        <f>IF(A1675="","",BASE_CAIXA!AJ1672)</f>
        <v/>
      </c>
      <c r="D1675" s="26" t="str">
        <f>IF(A1675="","",IF(BASE_CAIXA!C1672="Entrada","Crédito","Débito"))</f>
        <v/>
      </c>
      <c r="E1675" s="26" t="str">
        <f>IF(A1675="","",BASE_CAIXA!AA1672)</f>
        <v/>
      </c>
      <c r="F1675" s="26" t="str">
        <f>IF(A1675="","",BASE_CAIXA!N1672)</f>
        <v/>
      </c>
      <c r="G1675" s="26" t="str">
        <f>IF(A1675="","",BASE_CAIXA!O1672)</f>
        <v/>
      </c>
      <c r="H1675" s="26" t="str">
        <f>IF(A1675="","",BASE_CAIXA!P1672)</f>
        <v/>
      </c>
      <c r="I1675" s="26" t="str">
        <f>IF(A1675="","",IF(BASE_CAIXA!H1672&lt;&gt;"",BASE_CAIXA!H1672,BASE_CAIXA!G1672))</f>
        <v/>
      </c>
      <c r="J1675" s="26" t="str">
        <f>IF(A1675="","",BASE_CAIXA!G1672)</f>
        <v/>
      </c>
      <c r="K1675" s="26" t="str">
        <f>IF(A1675="","",BASE_CAIXA!I1672)</f>
        <v/>
      </c>
      <c r="L1675" s="26" t="str">
        <f>IF(A1675="","",BASE_CAIXA!J1672)</f>
        <v/>
      </c>
      <c r="M1675" s="26" t="str">
        <f>IF(A1675="","",BASE_CAIXA!AM1672)</f>
        <v/>
      </c>
      <c r="N1675" s="26" t="str">
        <f t="shared" ca="1" si="78"/>
        <v/>
      </c>
      <c r="O1675" s="26" t="str">
        <f>IFERROR(INDEX(EXTRATO_IMPORTADO!$A$5:$A$404,MATCH(B1675,EXTRATO_IMPORTADO!$I$5:$I$404,0)),"")</f>
        <v/>
      </c>
      <c r="P1675" s="26" t="str">
        <f>IFERROR(INDEX(EXTRATO_IMPORTADO!$F$5:$F$404,MATCH(B1675,EXTRATO_IMPORTADO!$I$5:$I$404,0)),"")</f>
        <v/>
      </c>
      <c r="Q1675" s="26" t="str">
        <f>IFERROR(INDEX(EXTRATO_IMPORTADO!$B$5:$B$404,MATCH(B1675,EXTRATO_IMPORTADO!$I$5:$I$404,0)),"")</f>
        <v/>
      </c>
      <c r="R1675" s="26" t="str">
        <f>IFERROR(MATCH(B1675,EXTRATO_IMPORTADO!$I$5:$I$404,0),"")</f>
        <v/>
      </c>
      <c r="S1675" s="26" t="str">
        <f t="shared" si="79"/>
        <v/>
      </c>
      <c r="T1675" s="26" t="str">
        <f t="shared" si="80"/>
        <v/>
      </c>
    </row>
    <row r="1676" spans="1:20" x14ac:dyDescent="0.3">
      <c r="A1676" s="26" t="str">
        <f>IF(BASE_CAIXA!A1673="","",BASE_CAIXA!A1673)</f>
        <v/>
      </c>
      <c r="B1676" s="26" t="str">
        <f>IF(A1676="","",BASE_CAIXA!AL1673)</f>
        <v/>
      </c>
      <c r="C1676" s="26" t="str">
        <f>IF(A1676="","",BASE_CAIXA!AJ1673)</f>
        <v/>
      </c>
      <c r="D1676" s="26" t="str">
        <f>IF(A1676="","",IF(BASE_CAIXA!C1673="Entrada","Crédito","Débito"))</f>
        <v/>
      </c>
      <c r="E1676" s="26" t="str">
        <f>IF(A1676="","",BASE_CAIXA!AA1673)</f>
        <v/>
      </c>
      <c r="F1676" s="26" t="str">
        <f>IF(A1676="","",BASE_CAIXA!N1673)</f>
        <v/>
      </c>
      <c r="G1676" s="26" t="str">
        <f>IF(A1676="","",BASE_CAIXA!O1673)</f>
        <v/>
      </c>
      <c r="H1676" s="26" t="str">
        <f>IF(A1676="","",BASE_CAIXA!P1673)</f>
        <v/>
      </c>
      <c r="I1676" s="26" t="str">
        <f>IF(A1676="","",IF(BASE_CAIXA!H1673&lt;&gt;"",BASE_CAIXA!H1673,BASE_CAIXA!G1673))</f>
        <v/>
      </c>
      <c r="J1676" s="26" t="str">
        <f>IF(A1676="","",BASE_CAIXA!G1673)</f>
        <v/>
      </c>
      <c r="K1676" s="26" t="str">
        <f>IF(A1676="","",BASE_CAIXA!I1673)</f>
        <v/>
      </c>
      <c r="L1676" s="26" t="str">
        <f>IF(A1676="","",BASE_CAIXA!J1673)</f>
        <v/>
      </c>
      <c r="M1676" s="26" t="str">
        <f>IF(A1676="","",BASE_CAIXA!AM1673)</f>
        <v/>
      </c>
      <c r="N1676" s="26" t="str">
        <f t="shared" ca="1" si="78"/>
        <v/>
      </c>
      <c r="O1676" s="26" t="str">
        <f>IFERROR(INDEX(EXTRATO_IMPORTADO!$A$5:$A$404,MATCH(B1676,EXTRATO_IMPORTADO!$I$5:$I$404,0)),"")</f>
        <v/>
      </c>
      <c r="P1676" s="26" t="str">
        <f>IFERROR(INDEX(EXTRATO_IMPORTADO!$F$5:$F$404,MATCH(B1676,EXTRATO_IMPORTADO!$I$5:$I$404,0)),"")</f>
        <v/>
      </c>
      <c r="Q1676" s="26" t="str">
        <f>IFERROR(INDEX(EXTRATO_IMPORTADO!$B$5:$B$404,MATCH(B1676,EXTRATO_IMPORTADO!$I$5:$I$404,0)),"")</f>
        <v/>
      </c>
      <c r="R1676" s="26" t="str">
        <f>IFERROR(MATCH(B1676,EXTRATO_IMPORTADO!$I$5:$I$404,0),"")</f>
        <v/>
      </c>
      <c r="S1676" s="26" t="str">
        <f t="shared" si="79"/>
        <v/>
      </c>
      <c r="T1676" s="26" t="str">
        <f t="shared" si="80"/>
        <v/>
      </c>
    </row>
    <row r="1677" spans="1:20" x14ac:dyDescent="0.3">
      <c r="A1677" s="26" t="str">
        <f>IF(BASE_CAIXA!A1674="","",BASE_CAIXA!A1674)</f>
        <v/>
      </c>
      <c r="B1677" s="26" t="str">
        <f>IF(A1677="","",BASE_CAIXA!AL1674)</f>
        <v/>
      </c>
      <c r="C1677" s="26" t="str">
        <f>IF(A1677="","",BASE_CAIXA!AJ1674)</f>
        <v/>
      </c>
      <c r="D1677" s="26" t="str">
        <f>IF(A1677="","",IF(BASE_CAIXA!C1674="Entrada","Crédito","Débito"))</f>
        <v/>
      </c>
      <c r="E1677" s="26" t="str">
        <f>IF(A1677="","",BASE_CAIXA!AA1674)</f>
        <v/>
      </c>
      <c r="F1677" s="26" t="str">
        <f>IF(A1677="","",BASE_CAIXA!N1674)</f>
        <v/>
      </c>
      <c r="G1677" s="26" t="str">
        <f>IF(A1677="","",BASE_CAIXA!O1674)</f>
        <v/>
      </c>
      <c r="H1677" s="26" t="str">
        <f>IF(A1677="","",BASE_CAIXA!P1674)</f>
        <v/>
      </c>
      <c r="I1677" s="26" t="str">
        <f>IF(A1677="","",IF(BASE_CAIXA!H1674&lt;&gt;"",BASE_CAIXA!H1674,BASE_CAIXA!G1674))</f>
        <v/>
      </c>
      <c r="J1677" s="26" t="str">
        <f>IF(A1677="","",BASE_CAIXA!G1674)</f>
        <v/>
      </c>
      <c r="K1677" s="26" t="str">
        <f>IF(A1677="","",BASE_CAIXA!I1674)</f>
        <v/>
      </c>
      <c r="L1677" s="26" t="str">
        <f>IF(A1677="","",BASE_CAIXA!J1674)</f>
        <v/>
      </c>
      <c r="M1677" s="26" t="str">
        <f>IF(A1677="","",BASE_CAIXA!AM1674)</f>
        <v/>
      </c>
      <c r="N1677" s="26" t="str">
        <f t="shared" ca="1" si="78"/>
        <v/>
      </c>
      <c r="O1677" s="26" t="str">
        <f>IFERROR(INDEX(EXTRATO_IMPORTADO!$A$5:$A$404,MATCH(B1677,EXTRATO_IMPORTADO!$I$5:$I$404,0)),"")</f>
        <v/>
      </c>
      <c r="P1677" s="26" t="str">
        <f>IFERROR(INDEX(EXTRATO_IMPORTADO!$F$5:$F$404,MATCH(B1677,EXTRATO_IMPORTADO!$I$5:$I$404,0)),"")</f>
        <v/>
      </c>
      <c r="Q1677" s="26" t="str">
        <f>IFERROR(INDEX(EXTRATO_IMPORTADO!$B$5:$B$404,MATCH(B1677,EXTRATO_IMPORTADO!$I$5:$I$404,0)),"")</f>
        <v/>
      </c>
      <c r="R1677" s="26" t="str">
        <f>IFERROR(MATCH(B1677,EXTRATO_IMPORTADO!$I$5:$I$404,0),"")</f>
        <v/>
      </c>
      <c r="S1677" s="26" t="str">
        <f t="shared" si="79"/>
        <v/>
      </c>
      <c r="T1677" s="26" t="str">
        <f t="shared" si="80"/>
        <v/>
      </c>
    </row>
    <row r="1678" spans="1:20" x14ac:dyDescent="0.3">
      <c r="A1678" s="26" t="str">
        <f>IF(BASE_CAIXA!A1675="","",BASE_CAIXA!A1675)</f>
        <v/>
      </c>
      <c r="B1678" s="26" t="str">
        <f>IF(A1678="","",BASE_CAIXA!AL1675)</f>
        <v/>
      </c>
      <c r="C1678" s="26" t="str">
        <f>IF(A1678="","",BASE_CAIXA!AJ1675)</f>
        <v/>
      </c>
      <c r="D1678" s="26" t="str">
        <f>IF(A1678="","",IF(BASE_CAIXA!C1675="Entrada","Crédito","Débito"))</f>
        <v/>
      </c>
      <c r="E1678" s="26" t="str">
        <f>IF(A1678="","",BASE_CAIXA!AA1675)</f>
        <v/>
      </c>
      <c r="F1678" s="26" t="str">
        <f>IF(A1678="","",BASE_CAIXA!N1675)</f>
        <v/>
      </c>
      <c r="G1678" s="26" t="str">
        <f>IF(A1678="","",BASE_CAIXA!O1675)</f>
        <v/>
      </c>
      <c r="H1678" s="26" t="str">
        <f>IF(A1678="","",BASE_CAIXA!P1675)</f>
        <v/>
      </c>
      <c r="I1678" s="26" t="str">
        <f>IF(A1678="","",IF(BASE_CAIXA!H1675&lt;&gt;"",BASE_CAIXA!H1675,BASE_CAIXA!G1675))</f>
        <v/>
      </c>
      <c r="J1678" s="26" t="str">
        <f>IF(A1678="","",BASE_CAIXA!G1675)</f>
        <v/>
      </c>
      <c r="K1678" s="26" t="str">
        <f>IF(A1678="","",BASE_CAIXA!I1675)</f>
        <v/>
      </c>
      <c r="L1678" s="26" t="str">
        <f>IF(A1678="","",BASE_CAIXA!J1675)</f>
        <v/>
      </c>
      <c r="M1678" s="26" t="str">
        <f>IF(A1678="","",BASE_CAIXA!AM1675)</f>
        <v/>
      </c>
      <c r="N1678" s="26" t="str">
        <f t="shared" ca="1" si="78"/>
        <v/>
      </c>
      <c r="O1678" s="26" t="str">
        <f>IFERROR(INDEX(EXTRATO_IMPORTADO!$A$5:$A$404,MATCH(B1678,EXTRATO_IMPORTADO!$I$5:$I$404,0)),"")</f>
        <v/>
      </c>
      <c r="P1678" s="26" t="str">
        <f>IFERROR(INDEX(EXTRATO_IMPORTADO!$F$5:$F$404,MATCH(B1678,EXTRATO_IMPORTADO!$I$5:$I$404,0)),"")</f>
        <v/>
      </c>
      <c r="Q1678" s="26" t="str">
        <f>IFERROR(INDEX(EXTRATO_IMPORTADO!$B$5:$B$404,MATCH(B1678,EXTRATO_IMPORTADO!$I$5:$I$404,0)),"")</f>
        <v/>
      </c>
      <c r="R1678" s="26" t="str">
        <f>IFERROR(MATCH(B1678,EXTRATO_IMPORTADO!$I$5:$I$404,0),"")</f>
        <v/>
      </c>
      <c r="S1678" s="26" t="str">
        <f t="shared" si="79"/>
        <v/>
      </c>
      <c r="T1678" s="26" t="str">
        <f t="shared" si="80"/>
        <v/>
      </c>
    </row>
    <row r="1679" spans="1:20" x14ac:dyDescent="0.3">
      <c r="A1679" s="26" t="str">
        <f>IF(BASE_CAIXA!A1676="","",BASE_CAIXA!A1676)</f>
        <v/>
      </c>
      <c r="B1679" s="26" t="str">
        <f>IF(A1679="","",BASE_CAIXA!AL1676)</f>
        <v/>
      </c>
      <c r="C1679" s="26" t="str">
        <f>IF(A1679="","",BASE_CAIXA!AJ1676)</f>
        <v/>
      </c>
      <c r="D1679" s="26" t="str">
        <f>IF(A1679="","",IF(BASE_CAIXA!C1676="Entrada","Crédito","Débito"))</f>
        <v/>
      </c>
      <c r="E1679" s="26" t="str">
        <f>IF(A1679="","",BASE_CAIXA!AA1676)</f>
        <v/>
      </c>
      <c r="F1679" s="26" t="str">
        <f>IF(A1679="","",BASE_CAIXA!N1676)</f>
        <v/>
      </c>
      <c r="G1679" s="26" t="str">
        <f>IF(A1679="","",BASE_CAIXA!O1676)</f>
        <v/>
      </c>
      <c r="H1679" s="26" t="str">
        <f>IF(A1679="","",BASE_CAIXA!P1676)</f>
        <v/>
      </c>
      <c r="I1679" s="26" t="str">
        <f>IF(A1679="","",IF(BASE_CAIXA!H1676&lt;&gt;"",BASE_CAIXA!H1676,BASE_CAIXA!G1676))</f>
        <v/>
      </c>
      <c r="J1679" s="26" t="str">
        <f>IF(A1679="","",BASE_CAIXA!G1676)</f>
        <v/>
      </c>
      <c r="K1679" s="26" t="str">
        <f>IF(A1679="","",BASE_CAIXA!I1676)</f>
        <v/>
      </c>
      <c r="L1679" s="26" t="str">
        <f>IF(A1679="","",BASE_CAIXA!J1676)</f>
        <v/>
      </c>
      <c r="M1679" s="26" t="str">
        <f>IF(A1679="","",BASE_CAIXA!AM1676)</f>
        <v/>
      </c>
      <c r="N1679" s="26" t="str">
        <f t="shared" ca="1" si="78"/>
        <v/>
      </c>
      <c r="O1679" s="26" t="str">
        <f>IFERROR(INDEX(EXTRATO_IMPORTADO!$A$5:$A$404,MATCH(B1679,EXTRATO_IMPORTADO!$I$5:$I$404,0)),"")</f>
        <v/>
      </c>
      <c r="P1679" s="26" t="str">
        <f>IFERROR(INDEX(EXTRATO_IMPORTADO!$F$5:$F$404,MATCH(B1679,EXTRATO_IMPORTADO!$I$5:$I$404,0)),"")</f>
        <v/>
      </c>
      <c r="Q1679" s="26" t="str">
        <f>IFERROR(INDEX(EXTRATO_IMPORTADO!$B$5:$B$404,MATCH(B1679,EXTRATO_IMPORTADO!$I$5:$I$404,0)),"")</f>
        <v/>
      </c>
      <c r="R1679" s="26" t="str">
        <f>IFERROR(MATCH(B1679,EXTRATO_IMPORTADO!$I$5:$I$404,0),"")</f>
        <v/>
      </c>
      <c r="S1679" s="26" t="str">
        <f t="shared" si="79"/>
        <v/>
      </c>
      <c r="T1679" s="26" t="str">
        <f t="shared" si="80"/>
        <v/>
      </c>
    </row>
    <row r="1680" spans="1:20" x14ac:dyDescent="0.3">
      <c r="A1680" s="26" t="str">
        <f>IF(BASE_CAIXA!A1677="","",BASE_CAIXA!A1677)</f>
        <v/>
      </c>
      <c r="B1680" s="26" t="str">
        <f>IF(A1680="","",BASE_CAIXA!AL1677)</f>
        <v/>
      </c>
      <c r="C1680" s="26" t="str">
        <f>IF(A1680="","",BASE_CAIXA!AJ1677)</f>
        <v/>
      </c>
      <c r="D1680" s="26" t="str">
        <f>IF(A1680="","",IF(BASE_CAIXA!C1677="Entrada","Crédito","Débito"))</f>
        <v/>
      </c>
      <c r="E1680" s="26" t="str">
        <f>IF(A1680="","",BASE_CAIXA!AA1677)</f>
        <v/>
      </c>
      <c r="F1680" s="26" t="str">
        <f>IF(A1680="","",BASE_CAIXA!N1677)</f>
        <v/>
      </c>
      <c r="G1680" s="26" t="str">
        <f>IF(A1680="","",BASE_CAIXA!O1677)</f>
        <v/>
      </c>
      <c r="H1680" s="26" t="str">
        <f>IF(A1680="","",BASE_CAIXA!P1677)</f>
        <v/>
      </c>
      <c r="I1680" s="26" t="str">
        <f>IF(A1680="","",IF(BASE_CAIXA!H1677&lt;&gt;"",BASE_CAIXA!H1677,BASE_CAIXA!G1677))</f>
        <v/>
      </c>
      <c r="J1680" s="26" t="str">
        <f>IF(A1680="","",BASE_CAIXA!G1677)</f>
        <v/>
      </c>
      <c r="K1680" s="26" t="str">
        <f>IF(A1680="","",BASE_CAIXA!I1677)</f>
        <v/>
      </c>
      <c r="L1680" s="26" t="str">
        <f>IF(A1680="","",BASE_CAIXA!J1677)</f>
        <v/>
      </c>
      <c r="M1680" s="26" t="str">
        <f>IF(A1680="","",BASE_CAIXA!AM1677)</f>
        <v/>
      </c>
      <c r="N1680" s="26" t="str">
        <f t="shared" ca="1" si="78"/>
        <v/>
      </c>
      <c r="O1680" s="26" t="str">
        <f>IFERROR(INDEX(EXTRATO_IMPORTADO!$A$5:$A$404,MATCH(B1680,EXTRATO_IMPORTADO!$I$5:$I$404,0)),"")</f>
        <v/>
      </c>
      <c r="P1680" s="26" t="str">
        <f>IFERROR(INDEX(EXTRATO_IMPORTADO!$F$5:$F$404,MATCH(B1680,EXTRATO_IMPORTADO!$I$5:$I$404,0)),"")</f>
        <v/>
      </c>
      <c r="Q1680" s="26" t="str">
        <f>IFERROR(INDEX(EXTRATO_IMPORTADO!$B$5:$B$404,MATCH(B1680,EXTRATO_IMPORTADO!$I$5:$I$404,0)),"")</f>
        <v/>
      </c>
      <c r="R1680" s="26" t="str">
        <f>IFERROR(MATCH(B1680,EXTRATO_IMPORTADO!$I$5:$I$404,0),"")</f>
        <v/>
      </c>
      <c r="S1680" s="26" t="str">
        <f t="shared" si="79"/>
        <v/>
      </c>
      <c r="T1680" s="26" t="str">
        <f t="shared" si="80"/>
        <v/>
      </c>
    </row>
    <row r="1681" spans="1:20" x14ac:dyDescent="0.3">
      <c r="A1681" s="26" t="str">
        <f>IF(BASE_CAIXA!A1678="","",BASE_CAIXA!A1678)</f>
        <v/>
      </c>
      <c r="B1681" s="26" t="str">
        <f>IF(A1681="","",BASE_CAIXA!AL1678)</f>
        <v/>
      </c>
      <c r="C1681" s="26" t="str">
        <f>IF(A1681="","",BASE_CAIXA!AJ1678)</f>
        <v/>
      </c>
      <c r="D1681" s="26" t="str">
        <f>IF(A1681="","",IF(BASE_CAIXA!C1678="Entrada","Crédito","Débito"))</f>
        <v/>
      </c>
      <c r="E1681" s="26" t="str">
        <f>IF(A1681="","",BASE_CAIXA!AA1678)</f>
        <v/>
      </c>
      <c r="F1681" s="26" t="str">
        <f>IF(A1681="","",BASE_CAIXA!N1678)</f>
        <v/>
      </c>
      <c r="G1681" s="26" t="str">
        <f>IF(A1681="","",BASE_CAIXA!O1678)</f>
        <v/>
      </c>
      <c r="H1681" s="26" t="str">
        <f>IF(A1681="","",BASE_CAIXA!P1678)</f>
        <v/>
      </c>
      <c r="I1681" s="26" t="str">
        <f>IF(A1681="","",IF(BASE_CAIXA!H1678&lt;&gt;"",BASE_CAIXA!H1678,BASE_CAIXA!G1678))</f>
        <v/>
      </c>
      <c r="J1681" s="26" t="str">
        <f>IF(A1681="","",BASE_CAIXA!G1678)</f>
        <v/>
      </c>
      <c r="K1681" s="26" t="str">
        <f>IF(A1681="","",BASE_CAIXA!I1678)</f>
        <v/>
      </c>
      <c r="L1681" s="26" t="str">
        <f>IF(A1681="","",BASE_CAIXA!J1678)</f>
        <v/>
      </c>
      <c r="M1681" s="26" t="str">
        <f>IF(A1681="","",BASE_CAIXA!AM1678)</f>
        <v/>
      </c>
      <c r="N1681" s="26" t="str">
        <f t="shared" ca="1" si="78"/>
        <v/>
      </c>
      <c r="O1681" s="26" t="str">
        <f>IFERROR(INDEX(EXTRATO_IMPORTADO!$A$5:$A$404,MATCH(B1681,EXTRATO_IMPORTADO!$I$5:$I$404,0)),"")</f>
        <v/>
      </c>
      <c r="P1681" s="26" t="str">
        <f>IFERROR(INDEX(EXTRATO_IMPORTADO!$F$5:$F$404,MATCH(B1681,EXTRATO_IMPORTADO!$I$5:$I$404,0)),"")</f>
        <v/>
      </c>
      <c r="Q1681" s="26" t="str">
        <f>IFERROR(INDEX(EXTRATO_IMPORTADO!$B$5:$B$404,MATCH(B1681,EXTRATO_IMPORTADO!$I$5:$I$404,0)),"")</f>
        <v/>
      </c>
      <c r="R1681" s="26" t="str">
        <f>IFERROR(MATCH(B1681,EXTRATO_IMPORTADO!$I$5:$I$404,0),"")</f>
        <v/>
      </c>
      <c r="S1681" s="26" t="str">
        <f t="shared" si="79"/>
        <v/>
      </c>
      <c r="T1681" s="26" t="str">
        <f t="shared" si="80"/>
        <v/>
      </c>
    </row>
    <row r="1682" spans="1:20" x14ac:dyDescent="0.3">
      <c r="A1682" s="26" t="str">
        <f>IF(BASE_CAIXA!A1679="","",BASE_CAIXA!A1679)</f>
        <v/>
      </c>
      <c r="B1682" s="26" t="str">
        <f>IF(A1682="","",BASE_CAIXA!AL1679)</f>
        <v/>
      </c>
      <c r="C1682" s="26" t="str">
        <f>IF(A1682="","",BASE_CAIXA!AJ1679)</f>
        <v/>
      </c>
      <c r="D1682" s="26" t="str">
        <f>IF(A1682="","",IF(BASE_CAIXA!C1679="Entrada","Crédito","Débito"))</f>
        <v/>
      </c>
      <c r="E1682" s="26" t="str">
        <f>IF(A1682="","",BASE_CAIXA!AA1679)</f>
        <v/>
      </c>
      <c r="F1682" s="26" t="str">
        <f>IF(A1682="","",BASE_CAIXA!N1679)</f>
        <v/>
      </c>
      <c r="G1682" s="26" t="str">
        <f>IF(A1682="","",BASE_CAIXA!O1679)</f>
        <v/>
      </c>
      <c r="H1682" s="26" t="str">
        <f>IF(A1682="","",BASE_CAIXA!P1679)</f>
        <v/>
      </c>
      <c r="I1682" s="26" t="str">
        <f>IF(A1682="","",IF(BASE_CAIXA!H1679&lt;&gt;"",BASE_CAIXA!H1679,BASE_CAIXA!G1679))</f>
        <v/>
      </c>
      <c r="J1682" s="26" t="str">
        <f>IF(A1682="","",BASE_CAIXA!G1679)</f>
        <v/>
      </c>
      <c r="K1682" s="26" t="str">
        <f>IF(A1682="","",BASE_CAIXA!I1679)</f>
        <v/>
      </c>
      <c r="L1682" s="26" t="str">
        <f>IF(A1682="","",BASE_CAIXA!J1679)</f>
        <v/>
      </c>
      <c r="M1682" s="26" t="str">
        <f>IF(A1682="","",BASE_CAIXA!AM1679)</f>
        <v/>
      </c>
      <c r="N1682" s="26" t="str">
        <f t="shared" ca="1" si="78"/>
        <v/>
      </c>
      <c r="O1682" s="26" t="str">
        <f>IFERROR(INDEX(EXTRATO_IMPORTADO!$A$5:$A$404,MATCH(B1682,EXTRATO_IMPORTADO!$I$5:$I$404,0)),"")</f>
        <v/>
      </c>
      <c r="P1682" s="26" t="str">
        <f>IFERROR(INDEX(EXTRATO_IMPORTADO!$F$5:$F$404,MATCH(B1682,EXTRATO_IMPORTADO!$I$5:$I$404,0)),"")</f>
        <v/>
      </c>
      <c r="Q1682" s="26" t="str">
        <f>IFERROR(INDEX(EXTRATO_IMPORTADO!$B$5:$B$404,MATCH(B1682,EXTRATO_IMPORTADO!$I$5:$I$404,0)),"")</f>
        <v/>
      </c>
      <c r="R1682" s="26" t="str">
        <f>IFERROR(MATCH(B1682,EXTRATO_IMPORTADO!$I$5:$I$404,0),"")</f>
        <v/>
      </c>
      <c r="S1682" s="26" t="str">
        <f t="shared" si="79"/>
        <v/>
      </c>
      <c r="T1682" s="26" t="str">
        <f t="shared" si="80"/>
        <v/>
      </c>
    </row>
    <row r="1683" spans="1:20" x14ac:dyDescent="0.3">
      <c r="A1683" s="26" t="str">
        <f>IF(BASE_CAIXA!A1680="","",BASE_CAIXA!A1680)</f>
        <v/>
      </c>
      <c r="B1683" s="26" t="str">
        <f>IF(A1683="","",BASE_CAIXA!AL1680)</f>
        <v/>
      </c>
      <c r="C1683" s="26" t="str">
        <f>IF(A1683="","",BASE_CAIXA!AJ1680)</f>
        <v/>
      </c>
      <c r="D1683" s="26" t="str">
        <f>IF(A1683="","",IF(BASE_CAIXA!C1680="Entrada","Crédito","Débito"))</f>
        <v/>
      </c>
      <c r="E1683" s="26" t="str">
        <f>IF(A1683="","",BASE_CAIXA!AA1680)</f>
        <v/>
      </c>
      <c r="F1683" s="26" t="str">
        <f>IF(A1683="","",BASE_CAIXA!N1680)</f>
        <v/>
      </c>
      <c r="G1683" s="26" t="str">
        <f>IF(A1683="","",BASE_CAIXA!O1680)</f>
        <v/>
      </c>
      <c r="H1683" s="26" t="str">
        <f>IF(A1683="","",BASE_CAIXA!P1680)</f>
        <v/>
      </c>
      <c r="I1683" s="26" t="str">
        <f>IF(A1683="","",IF(BASE_CAIXA!H1680&lt;&gt;"",BASE_CAIXA!H1680,BASE_CAIXA!G1680))</f>
        <v/>
      </c>
      <c r="J1683" s="26" t="str">
        <f>IF(A1683="","",BASE_CAIXA!G1680)</f>
        <v/>
      </c>
      <c r="K1683" s="26" t="str">
        <f>IF(A1683="","",BASE_CAIXA!I1680)</f>
        <v/>
      </c>
      <c r="L1683" s="26" t="str">
        <f>IF(A1683="","",BASE_CAIXA!J1680)</f>
        <v/>
      </c>
      <c r="M1683" s="26" t="str">
        <f>IF(A1683="","",BASE_CAIXA!AM1680)</f>
        <v/>
      </c>
      <c r="N1683" s="26" t="str">
        <f t="shared" ca="1" si="78"/>
        <v/>
      </c>
      <c r="O1683" s="26" t="str">
        <f>IFERROR(INDEX(EXTRATO_IMPORTADO!$A$5:$A$404,MATCH(B1683,EXTRATO_IMPORTADO!$I$5:$I$404,0)),"")</f>
        <v/>
      </c>
      <c r="P1683" s="26" t="str">
        <f>IFERROR(INDEX(EXTRATO_IMPORTADO!$F$5:$F$404,MATCH(B1683,EXTRATO_IMPORTADO!$I$5:$I$404,0)),"")</f>
        <v/>
      </c>
      <c r="Q1683" s="26" t="str">
        <f>IFERROR(INDEX(EXTRATO_IMPORTADO!$B$5:$B$404,MATCH(B1683,EXTRATO_IMPORTADO!$I$5:$I$404,0)),"")</f>
        <v/>
      </c>
      <c r="R1683" s="26" t="str">
        <f>IFERROR(MATCH(B1683,EXTRATO_IMPORTADO!$I$5:$I$404,0),"")</f>
        <v/>
      </c>
      <c r="S1683" s="26" t="str">
        <f t="shared" si="79"/>
        <v/>
      </c>
      <c r="T1683" s="26" t="str">
        <f t="shared" si="80"/>
        <v/>
      </c>
    </row>
    <row r="1684" spans="1:20" x14ac:dyDescent="0.3">
      <c r="A1684" s="26" t="str">
        <f>IF(BASE_CAIXA!A1681="","",BASE_CAIXA!A1681)</f>
        <v/>
      </c>
      <c r="B1684" s="26" t="str">
        <f>IF(A1684="","",BASE_CAIXA!AL1681)</f>
        <v/>
      </c>
      <c r="C1684" s="26" t="str">
        <f>IF(A1684="","",BASE_CAIXA!AJ1681)</f>
        <v/>
      </c>
      <c r="D1684" s="26" t="str">
        <f>IF(A1684="","",IF(BASE_CAIXA!C1681="Entrada","Crédito","Débito"))</f>
        <v/>
      </c>
      <c r="E1684" s="26" t="str">
        <f>IF(A1684="","",BASE_CAIXA!AA1681)</f>
        <v/>
      </c>
      <c r="F1684" s="26" t="str">
        <f>IF(A1684="","",BASE_CAIXA!N1681)</f>
        <v/>
      </c>
      <c r="G1684" s="26" t="str">
        <f>IF(A1684="","",BASE_CAIXA!O1681)</f>
        <v/>
      </c>
      <c r="H1684" s="26" t="str">
        <f>IF(A1684="","",BASE_CAIXA!P1681)</f>
        <v/>
      </c>
      <c r="I1684" s="26" t="str">
        <f>IF(A1684="","",IF(BASE_CAIXA!H1681&lt;&gt;"",BASE_CAIXA!H1681,BASE_CAIXA!G1681))</f>
        <v/>
      </c>
      <c r="J1684" s="26" t="str">
        <f>IF(A1684="","",BASE_CAIXA!G1681)</f>
        <v/>
      </c>
      <c r="K1684" s="26" t="str">
        <f>IF(A1684="","",BASE_CAIXA!I1681)</f>
        <v/>
      </c>
      <c r="L1684" s="26" t="str">
        <f>IF(A1684="","",BASE_CAIXA!J1681)</f>
        <v/>
      </c>
      <c r="M1684" s="26" t="str">
        <f>IF(A1684="","",BASE_CAIXA!AM1681)</f>
        <v/>
      </c>
      <c r="N1684" s="26" t="str">
        <f t="shared" ca="1" si="78"/>
        <v/>
      </c>
      <c r="O1684" s="26" t="str">
        <f>IFERROR(INDEX(EXTRATO_IMPORTADO!$A$5:$A$404,MATCH(B1684,EXTRATO_IMPORTADO!$I$5:$I$404,0)),"")</f>
        <v/>
      </c>
      <c r="P1684" s="26" t="str">
        <f>IFERROR(INDEX(EXTRATO_IMPORTADO!$F$5:$F$404,MATCH(B1684,EXTRATO_IMPORTADO!$I$5:$I$404,0)),"")</f>
        <v/>
      </c>
      <c r="Q1684" s="26" t="str">
        <f>IFERROR(INDEX(EXTRATO_IMPORTADO!$B$5:$B$404,MATCH(B1684,EXTRATO_IMPORTADO!$I$5:$I$404,0)),"")</f>
        <v/>
      </c>
      <c r="R1684" s="26" t="str">
        <f>IFERROR(MATCH(B1684,EXTRATO_IMPORTADO!$I$5:$I$404,0),"")</f>
        <v/>
      </c>
      <c r="S1684" s="26" t="str">
        <f t="shared" si="79"/>
        <v/>
      </c>
      <c r="T1684" s="26" t="str">
        <f t="shared" si="80"/>
        <v/>
      </c>
    </row>
    <row r="1685" spans="1:20" x14ac:dyDescent="0.3">
      <c r="A1685" s="26" t="str">
        <f>IF(BASE_CAIXA!A1682="","",BASE_CAIXA!A1682)</f>
        <v/>
      </c>
      <c r="B1685" s="26" t="str">
        <f>IF(A1685="","",BASE_CAIXA!AL1682)</f>
        <v/>
      </c>
      <c r="C1685" s="26" t="str">
        <f>IF(A1685="","",BASE_CAIXA!AJ1682)</f>
        <v/>
      </c>
      <c r="D1685" s="26" t="str">
        <f>IF(A1685="","",IF(BASE_CAIXA!C1682="Entrada","Crédito","Débito"))</f>
        <v/>
      </c>
      <c r="E1685" s="26" t="str">
        <f>IF(A1685="","",BASE_CAIXA!AA1682)</f>
        <v/>
      </c>
      <c r="F1685" s="26" t="str">
        <f>IF(A1685="","",BASE_CAIXA!N1682)</f>
        <v/>
      </c>
      <c r="G1685" s="26" t="str">
        <f>IF(A1685="","",BASE_CAIXA!O1682)</f>
        <v/>
      </c>
      <c r="H1685" s="26" t="str">
        <f>IF(A1685="","",BASE_CAIXA!P1682)</f>
        <v/>
      </c>
      <c r="I1685" s="26" t="str">
        <f>IF(A1685="","",IF(BASE_CAIXA!H1682&lt;&gt;"",BASE_CAIXA!H1682,BASE_CAIXA!G1682))</f>
        <v/>
      </c>
      <c r="J1685" s="26" t="str">
        <f>IF(A1685="","",BASE_CAIXA!G1682)</f>
        <v/>
      </c>
      <c r="K1685" s="26" t="str">
        <f>IF(A1685="","",BASE_CAIXA!I1682)</f>
        <v/>
      </c>
      <c r="L1685" s="26" t="str">
        <f>IF(A1685="","",BASE_CAIXA!J1682)</f>
        <v/>
      </c>
      <c r="M1685" s="26" t="str">
        <f>IF(A1685="","",BASE_CAIXA!AM1682)</f>
        <v/>
      </c>
      <c r="N1685" s="26" t="str">
        <f t="shared" ca="1" si="78"/>
        <v/>
      </c>
      <c r="O1685" s="26" t="str">
        <f>IFERROR(INDEX(EXTRATO_IMPORTADO!$A$5:$A$404,MATCH(B1685,EXTRATO_IMPORTADO!$I$5:$I$404,0)),"")</f>
        <v/>
      </c>
      <c r="P1685" s="26" t="str">
        <f>IFERROR(INDEX(EXTRATO_IMPORTADO!$F$5:$F$404,MATCH(B1685,EXTRATO_IMPORTADO!$I$5:$I$404,0)),"")</f>
        <v/>
      </c>
      <c r="Q1685" s="26" t="str">
        <f>IFERROR(INDEX(EXTRATO_IMPORTADO!$B$5:$B$404,MATCH(B1685,EXTRATO_IMPORTADO!$I$5:$I$404,0)),"")</f>
        <v/>
      </c>
      <c r="R1685" s="26" t="str">
        <f>IFERROR(MATCH(B1685,EXTRATO_IMPORTADO!$I$5:$I$404,0),"")</f>
        <v/>
      </c>
      <c r="S1685" s="26" t="str">
        <f t="shared" si="79"/>
        <v/>
      </c>
      <c r="T1685" s="26" t="str">
        <f t="shared" si="80"/>
        <v/>
      </c>
    </row>
    <row r="1686" spans="1:20" x14ac:dyDescent="0.3">
      <c r="A1686" s="26" t="str">
        <f>IF(BASE_CAIXA!A1683="","",BASE_CAIXA!A1683)</f>
        <v/>
      </c>
      <c r="B1686" s="26" t="str">
        <f>IF(A1686="","",BASE_CAIXA!AL1683)</f>
        <v/>
      </c>
      <c r="C1686" s="26" t="str">
        <f>IF(A1686="","",BASE_CAIXA!AJ1683)</f>
        <v/>
      </c>
      <c r="D1686" s="26" t="str">
        <f>IF(A1686="","",IF(BASE_CAIXA!C1683="Entrada","Crédito","Débito"))</f>
        <v/>
      </c>
      <c r="E1686" s="26" t="str">
        <f>IF(A1686="","",BASE_CAIXA!AA1683)</f>
        <v/>
      </c>
      <c r="F1686" s="26" t="str">
        <f>IF(A1686="","",BASE_CAIXA!N1683)</f>
        <v/>
      </c>
      <c r="G1686" s="26" t="str">
        <f>IF(A1686="","",BASE_CAIXA!O1683)</f>
        <v/>
      </c>
      <c r="H1686" s="26" t="str">
        <f>IF(A1686="","",BASE_CAIXA!P1683)</f>
        <v/>
      </c>
      <c r="I1686" s="26" t="str">
        <f>IF(A1686="","",IF(BASE_CAIXA!H1683&lt;&gt;"",BASE_CAIXA!H1683,BASE_CAIXA!G1683))</f>
        <v/>
      </c>
      <c r="J1686" s="26" t="str">
        <f>IF(A1686="","",BASE_CAIXA!G1683)</f>
        <v/>
      </c>
      <c r="K1686" s="26" t="str">
        <f>IF(A1686="","",BASE_CAIXA!I1683)</f>
        <v/>
      </c>
      <c r="L1686" s="26" t="str">
        <f>IF(A1686="","",BASE_CAIXA!J1683)</f>
        <v/>
      </c>
      <c r="M1686" s="26" t="str">
        <f>IF(A1686="","",BASE_CAIXA!AM1683)</f>
        <v/>
      </c>
      <c r="N1686" s="26" t="str">
        <f t="shared" ca="1" si="78"/>
        <v/>
      </c>
      <c r="O1686" s="26" t="str">
        <f>IFERROR(INDEX(EXTRATO_IMPORTADO!$A$5:$A$404,MATCH(B1686,EXTRATO_IMPORTADO!$I$5:$I$404,0)),"")</f>
        <v/>
      </c>
      <c r="P1686" s="26" t="str">
        <f>IFERROR(INDEX(EXTRATO_IMPORTADO!$F$5:$F$404,MATCH(B1686,EXTRATO_IMPORTADO!$I$5:$I$404,0)),"")</f>
        <v/>
      </c>
      <c r="Q1686" s="26" t="str">
        <f>IFERROR(INDEX(EXTRATO_IMPORTADO!$B$5:$B$404,MATCH(B1686,EXTRATO_IMPORTADO!$I$5:$I$404,0)),"")</f>
        <v/>
      </c>
      <c r="R1686" s="26" t="str">
        <f>IFERROR(MATCH(B1686,EXTRATO_IMPORTADO!$I$5:$I$404,0),"")</f>
        <v/>
      </c>
      <c r="S1686" s="26" t="str">
        <f t="shared" si="79"/>
        <v/>
      </c>
      <c r="T1686" s="26" t="str">
        <f t="shared" si="80"/>
        <v/>
      </c>
    </row>
    <row r="1687" spans="1:20" x14ac:dyDescent="0.3">
      <c r="A1687" s="26" t="str">
        <f>IF(BASE_CAIXA!A1684="","",BASE_CAIXA!A1684)</f>
        <v/>
      </c>
      <c r="B1687" s="26" t="str">
        <f>IF(A1687="","",BASE_CAIXA!AL1684)</f>
        <v/>
      </c>
      <c r="C1687" s="26" t="str">
        <f>IF(A1687="","",BASE_CAIXA!AJ1684)</f>
        <v/>
      </c>
      <c r="D1687" s="26" t="str">
        <f>IF(A1687="","",IF(BASE_CAIXA!C1684="Entrada","Crédito","Débito"))</f>
        <v/>
      </c>
      <c r="E1687" s="26" t="str">
        <f>IF(A1687="","",BASE_CAIXA!AA1684)</f>
        <v/>
      </c>
      <c r="F1687" s="26" t="str">
        <f>IF(A1687="","",BASE_CAIXA!N1684)</f>
        <v/>
      </c>
      <c r="G1687" s="26" t="str">
        <f>IF(A1687="","",BASE_CAIXA!O1684)</f>
        <v/>
      </c>
      <c r="H1687" s="26" t="str">
        <f>IF(A1687="","",BASE_CAIXA!P1684)</f>
        <v/>
      </c>
      <c r="I1687" s="26" t="str">
        <f>IF(A1687="","",IF(BASE_CAIXA!H1684&lt;&gt;"",BASE_CAIXA!H1684,BASE_CAIXA!G1684))</f>
        <v/>
      </c>
      <c r="J1687" s="26" t="str">
        <f>IF(A1687="","",BASE_CAIXA!G1684)</f>
        <v/>
      </c>
      <c r="K1687" s="26" t="str">
        <f>IF(A1687="","",BASE_CAIXA!I1684)</f>
        <v/>
      </c>
      <c r="L1687" s="26" t="str">
        <f>IF(A1687="","",BASE_CAIXA!J1684)</f>
        <v/>
      </c>
      <c r="M1687" s="26" t="str">
        <f>IF(A1687="","",BASE_CAIXA!AM1684)</f>
        <v/>
      </c>
      <c r="N1687" s="26" t="str">
        <f t="shared" ca="1" si="78"/>
        <v/>
      </c>
      <c r="O1687" s="26" t="str">
        <f>IFERROR(INDEX(EXTRATO_IMPORTADO!$A$5:$A$404,MATCH(B1687,EXTRATO_IMPORTADO!$I$5:$I$404,0)),"")</f>
        <v/>
      </c>
      <c r="P1687" s="26" t="str">
        <f>IFERROR(INDEX(EXTRATO_IMPORTADO!$F$5:$F$404,MATCH(B1687,EXTRATO_IMPORTADO!$I$5:$I$404,0)),"")</f>
        <v/>
      </c>
      <c r="Q1687" s="26" t="str">
        <f>IFERROR(INDEX(EXTRATO_IMPORTADO!$B$5:$B$404,MATCH(B1687,EXTRATO_IMPORTADO!$I$5:$I$404,0)),"")</f>
        <v/>
      </c>
      <c r="R1687" s="26" t="str">
        <f>IFERROR(MATCH(B1687,EXTRATO_IMPORTADO!$I$5:$I$404,0),"")</f>
        <v/>
      </c>
      <c r="S1687" s="26" t="str">
        <f t="shared" si="79"/>
        <v/>
      </c>
      <c r="T1687" s="26" t="str">
        <f t="shared" si="80"/>
        <v/>
      </c>
    </row>
    <row r="1688" spans="1:20" x14ac:dyDescent="0.3">
      <c r="A1688" s="26" t="str">
        <f>IF(BASE_CAIXA!A1685="","",BASE_CAIXA!A1685)</f>
        <v/>
      </c>
      <c r="B1688" s="26" t="str">
        <f>IF(A1688="","",BASE_CAIXA!AL1685)</f>
        <v/>
      </c>
      <c r="C1688" s="26" t="str">
        <f>IF(A1688="","",BASE_CAIXA!AJ1685)</f>
        <v/>
      </c>
      <c r="D1688" s="26" t="str">
        <f>IF(A1688="","",IF(BASE_CAIXA!C1685="Entrada","Crédito","Débito"))</f>
        <v/>
      </c>
      <c r="E1688" s="26" t="str">
        <f>IF(A1688="","",BASE_CAIXA!AA1685)</f>
        <v/>
      </c>
      <c r="F1688" s="26" t="str">
        <f>IF(A1688="","",BASE_CAIXA!N1685)</f>
        <v/>
      </c>
      <c r="G1688" s="26" t="str">
        <f>IF(A1688="","",BASE_CAIXA!O1685)</f>
        <v/>
      </c>
      <c r="H1688" s="26" t="str">
        <f>IF(A1688="","",BASE_CAIXA!P1685)</f>
        <v/>
      </c>
      <c r="I1688" s="26" t="str">
        <f>IF(A1688="","",IF(BASE_CAIXA!H1685&lt;&gt;"",BASE_CAIXA!H1685,BASE_CAIXA!G1685))</f>
        <v/>
      </c>
      <c r="J1688" s="26" t="str">
        <f>IF(A1688="","",BASE_CAIXA!G1685)</f>
        <v/>
      </c>
      <c r="K1688" s="26" t="str">
        <f>IF(A1688="","",BASE_CAIXA!I1685)</f>
        <v/>
      </c>
      <c r="L1688" s="26" t="str">
        <f>IF(A1688="","",BASE_CAIXA!J1685)</f>
        <v/>
      </c>
      <c r="M1688" s="26" t="str">
        <f>IF(A1688="","",BASE_CAIXA!AM1685)</f>
        <v/>
      </c>
      <c r="N1688" s="26" t="str">
        <f t="shared" ca="1" si="78"/>
        <v/>
      </c>
      <c r="O1688" s="26" t="str">
        <f>IFERROR(INDEX(EXTRATO_IMPORTADO!$A$5:$A$404,MATCH(B1688,EXTRATO_IMPORTADO!$I$5:$I$404,0)),"")</f>
        <v/>
      </c>
      <c r="P1688" s="26" t="str">
        <f>IFERROR(INDEX(EXTRATO_IMPORTADO!$F$5:$F$404,MATCH(B1688,EXTRATO_IMPORTADO!$I$5:$I$404,0)),"")</f>
        <v/>
      </c>
      <c r="Q1688" s="26" t="str">
        <f>IFERROR(INDEX(EXTRATO_IMPORTADO!$B$5:$B$404,MATCH(B1688,EXTRATO_IMPORTADO!$I$5:$I$404,0)),"")</f>
        <v/>
      </c>
      <c r="R1688" s="26" t="str">
        <f>IFERROR(MATCH(B1688,EXTRATO_IMPORTADO!$I$5:$I$404,0),"")</f>
        <v/>
      </c>
      <c r="S1688" s="26" t="str">
        <f t="shared" si="79"/>
        <v/>
      </c>
      <c r="T1688" s="26" t="str">
        <f t="shared" si="80"/>
        <v/>
      </c>
    </row>
    <row r="1689" spans="1:20" x14ac:dyDescent="0.3">
      <c r="A1689" s="26" t="str">
        <f>IF(BASE_CAIXA!A1686="","",BASE_CAIXA!A1686)</f>
        <v/>
      </c>
      <c r="B1689" s="26" t="str">
        <f>IF(A1689="","",BASE_CAIXA!AL1686)</f>
        <v/>
      </c>
      <c r="C1689" s="26" t="str">
        <f>IF(A1689="","",BASE_CAIXA!AJ1686)</f>
        <v/>
      </c>
      <c r="D1689" s="26" t="str">
        <f>IF(A1689="","",IF(BASE_CAIXA!C1686="Entrada","Crédito","Débito"))</f>
        <v/>
      </c>
      <c r="E1689" s="26" t="str">
        <f>IF(A1689="","",BASE_CAIXA!AA1686)</f>
        <v/>
      </c>
      <c r="F1689" s="26" t="str">
        <f>IF(A1689="","",BASE_CAIXA!N1686)</f>
        <v/>
      </c>
      <c r="G1689" s="26" t="str">
        <f>IF(A1689="","",BASE_CAIXA!O1686)</f>
        <v/>
      </c>
      <c r="H1689" s="26" t="str">
        <f>IF(A1689="","",BASE_CAIXA!P1686)</f>
        <v/>
      </c>
      <c r="I1689" s="26" t="str">
        <f>IF(A1689="","",IF(BASE_CAIXA!H1686&lt;&gt;"",BASE_CAIXA!H1686,BASE_CAIXA!G1686))</f>
        <v/>
      </c>
      <c r="J1689" s="26" t="str">
        <f>IF(A1689="","",BASE_CAIXA!G1686)</f>
        <v/>
      </c>
      <c r="K1689" s="26" t="str">
        <f>IF(A1689="","",BASE_CAIXA!I1686)</f>
        <v/>
      </c>
      <c r="L1689" s="26" t="str">
        <f>IF(A1689="","",BASE_CAIXA!J1686)</f>
        <v/>
      </c>
      <c r="M1689" s="26" t="str">
        <f>IF(A1689="","",BASE_CAIXA!AM1686)</f>
        <v/>
      </c>
      <c r="N1689" s="26" t="str">
        <f t="shared" ca="1" si="78"/>
        <v/>
      </c>
      <c r="O1689" s="26" t="str">
        <f>IFERROR(INDEX(EXTRATO_IMPORTADO!$A$5:$A$404,MATCH(B1689,EXTRATO_IMPORTADO!$I$5:$I$404,0)),"")</f>
        <v/>
      </c>
      <c r="P1689" s="26" t="str">
        <f>IFERROR(INDEX(EXTRATO_IMPORTADO!$F$5:$F$404,MATCH(B1689,EXTRATO_IMPORTADO!$I$5:$I$404,0)),"")</f>
        <v/>
      </c>
      <c r="Q1689" s="26" t="str">
        <f>IFERROR(INDEX(EXTRATO_IMPORTADO!$B$5:$B$404,MATCH(B1689,EXTRATO_IMPORTADO!$I$5:$I$404,0)),"")</f>
        <v/>
      </c>
      <c r="R1689" s="26" t="str">
        <f>IFERROR(MATCH(B1689,EXTRATO_IMPORTADO!$I$5:$I$404,0),"")</f>
        <v/>
      </c>
      <c r="S1689" s="26" t="str">
        <f t="shared" si="79"/>
        <v/>
      </c>
      <c r="T1689" s="26" t="str">
        <f t="shared" si="80"/>
        <v/>
      </c>
    </row>
    <row r="1690" spans="1:20" x14ac:dyDescent="0.3">
      <c r="A1690" s="26" t="str">
        <f>IF(BASE_CAIXA!A1687="","",BASE_CAIXA!A1687)</f>
        <v/>
      </c>
      <c r="B1690" s="26" t="str">
        <f>IF(A1690="","",BASE_CAIXA!AL1687)</f>
        <v/>
      </c>
      <c r="C1690" s="26" t="str">
        <f>IF(A1690="","",BASE_CAIXA!AJ1687)</f>
        <v/>
      </c>
      <c r="D1690" s="26" t="str">
        <f>IF(A1690="","",IF(BASE_CAIXA!C1687="Entrada","Crédito","Débito"))</f>
        <v/>
      </c>
      <c r="E1690" s="26" t="str">
        <f>IF(A1690="","",BASE_CAIXA!AA1687)</f>
        <v/>
      </c>
      <c r="F1690" s="26" t="str">
        <f>IF(A1690="","",BASE_CAIXA!N1687)</f>
        <v/>
      </c>
      <c r="G1690" s="26" t="str">
        <f>IF(A1690="","",BASE_CAIXA!O1687)</f>
        <v/>
      </c>
      <c r="H1690" s="26" t="str">
        <f>IF(A1690="","",BASE_CAIXA!P1687)</f>
        <v/>
      </c>
      <c r="I1690" s="26" t="str">
        <f>IF(A1690="","",IF(BASE_CAIXA!H1687&lt;&gt;"",BASE_CAIXA!H1687,BASE_CAIXA!G1687))</f>
        <v/>
      </c>
      <c r="J1690" s="26" t="str">
        <f>IF(A1690="","",BASE_CAIXA!G1687)</f>
        <v/>
      </c>
      <c r="K1690" s="26" t="str">
        <f>IF(A1690="","",BASE_CAIXA!I1687)</f>
        <v/>
      </c>
      <c r="L1690" s="26" t="str">
        <f>IF(A1690="","",BASE_CAIXA!J1687)</f>
        <v/>
      </c>
      <c r="M1690" s="26" t="str">
        <f>IF(A1690="","",BASE_CAIXA!AM1687)</f>
        <v/>
      </c>
      <c r="N1690" s="26" t="str">
        <f t="shared" ca="1" si="78"/>
        <v/>
      </c>
      <c r="O1690" s="26" t="str">
        <f>IFERROR(INDEX(EXTRATO_IMPORTADO!$A$5:$A$404,MATCH(B1690,EXTRATO_IMPORTADO!$I$5:$I$404,0)),"")</f>
        <v/>
      </c>
      <c r="P1690" s="26" t="str">
        <f>IFERROR(INDEX(EXTRATO_IMPORTADO!$F$5:$F$404,MATCH(B1690,EXTRATO_IMPORTADO!$I$5:$I$404,0)),"")</f>
        <v/>
      </c>
      <c r="Q1690" s="26" t="str">
        <f>IFERROR(INDEX(EXTRATO_IMPORTADO!$B$5:$B$404,MATCH(B1690,EXTRATO_IMPORTADO!$I$5:$I$404,0)),"")</f>
        <v/>
      </c>
      <c r="R1690" s="26" t="str">
        <f>IFERROR(MATCH(B1690,EXTRATO_IMPORTADO!$I$5:$I$404,0),"")</f>
        <v/>
      </c>
      <c r="S1690" s="26" t="str">
        <f t="shared" si="79"/>
        <v/>
      </c>
      <c r="T1690" s="26" t="str">
        <f t="shared" si="80"/>
        <v/>
      </c>
    </row>
    <row r="1691" spans="1:20" x14ac:dyDescent="0.3">
      <c r="A1691" s="26" t="str">
        <f>IF(BASE_CAIXA!A1688="","",BASE_CAIXA!A1688)</f>
        <v/>
      </c>
      <c r="B1691" s="26" t="str">
        <f>IF(A1691="","",BASE_CAIXA!AL1688)</f>
        <v/>
      </c>
      <c r="C1691" s="26" t="str">
        <f>IF(A1691="","",BASE_CAIXA!AJ1688)</f>
        <v/>
      </c>
      <c r="D1691" s="26" t="str">
        <f>IF(A1691="","",IF(BASE_CAIXA!C1688="Entrada","Crédito","Débito"))</f>
        <v/>
      </c>
      <c r="E1691" s="26" t="str">
        <f>IF(A1691="","",BASE_CAIXA!AA1688)</f>
        <v/>
      </c>
      <c r="F1691" s="26" t="str">
        <f>IF(A1691="","",BASE_CAIXA!N1688)</f>
        <v/>
      </c>
      <c r="G1691" s="26" t="str">
        <f>IF(A1691="","",BASE_CAIXA!O1688)</f>
        <v/>
      </c>
      <c r="H1691" s="26" t="str">
        <f>IF(A1691="","",BASE_CAIXA!P1688)</f>
        <v/>
      </c>
      <c r="I1691" s="26" t="str">
        <f>IF(A1691="","",IF(BASE_CAIXA!H1688&lt;&gt;"",BASE_CAIXA!H1688,BASE_CAIXA!G1688))</f>
        <v/>
      </c>
      <c r="J1691" s="26" t="str">
        <f>IF(A1691="","",BASE_CAIXA!G1688)</f>
        <v/>
      </c>
      <c r="K1691" s="26" t="str">
        <f>IF(A1691="","",BASE_CAIXA!I1688)</f>
        <v/>
      </c>
      <c r="L1691" s="26" t="str">
        <f>IF(A1691="","",BASE_CAIXA!J1688)</f>
        <v/>
      </c>
      <c r="M1691" s="26" t="str">
        <f>IF(A1691="","",BASE_CAIXA!AM1688)</f>
        <v/>
      </c>
      <c r="N1691" s="26" t="str">
        <f t="shared" ca="1" si="78"/>
        <v/>
      </c>
      <c r="O1691" s="26" t="str">
        <f>IFERROR(INDEX(EXTRATO_IMPORTADO!$A$5:$A$404,MATCH(B1691,EXTRATO_IMPORTADO!$I$5:$I$404,0)),"")</f>
        <v/>
      </c>
      <c r="P1691" s="26" t="str">
        <f>IFERROR(INDEX(EXTRATO_IMPORTADO!$F$5:$F$404,MATCH(B1691,EXTRATO_IMPORTADO!$I$5:$I$404,0)),"")</f>
        <v/>
      </c>
      <c r="Q1691" s="26" t="str">
        <f>IFERROR(INDEX(EXTRATO_IMPORTADO!$B$5:$B$404,MATCH(B1691,EXTRATO_IMPORTADO!$I$5:$I$404,0)),"")</f>
        <v/>
      </c>
      <c r="R1691" s="26" t="str">
        <f>IFERROR(MATCH(B1691,EXTRATO_IMPORTADO!$I$5:$I$404,0),"")</f>
        <v/>
      </c>
      <c r="S1691" s="26" t="str">
        <f t="shared" si="79"/>
        <v/>
      </c>
      <c r="T1691" s="26" t="str">
        <f t="shared" si="80"/>
        <v/>
      </c>
    </row>
    <row r="1692" spans="1:20" x14ac:dyDescent="0.3">
      <c r="A1692" s="26" t="str">
        <f>IF(BASE_CAIXA!A1689="","",BASE_CAIXA!A1689)</f>
        <v/>
      </c>
      <c r="B1692" s="26" t="str">
        <f>IF(A1692="","",BASE_CAIXA!AL1689)</f>
        <v/>
      </c>
      <c r="C1692" s="26" t="str">
        <f>IF(A1692="","",BASE_CAIXA!AJ1689)</f>
        <v/>
      </c>
      <c r="D1692" s="26" t="str">
        <f>IF(A1692="","",IF(BASE_CAIXA!C1689="Entrada","Crédito","Débito"))</f>
        <v/>
      </c>
      <c r="E1692" s="26" t="str">
        <f>IF(A1692="","",BASE_CAIXA!AA1689)</f>
        <v/>
      </c>
      <c r="F1692" s="26" t="str">
        <f>IF(A1692="","",BASE_CAIXA!N1689)</f>
        <v/>
      </c>
      <c r="G1692" s="26" t="str">
        <f>IF(A1692="","",BASE_CAIXA!O1689)</f>
        <v/>
      </c>
      <c r="H1692" s="26" t="str">
        <f>IF(A1692="","",BASE_CAIXA!P1689)</f>
        <v/>
      </c>
      <c r="I1692" s="26" t="str">
        <f>IF(A1692="","",IF(BASE_CAIXA!H1689&lt;&gt;"",BASE_CAIXA!H1689,BASE_CAIXA!G1689))</f>
        <v/>
      </c>
      <c r="J1692" s="26" t="str">
        <f>IF(A1692="","",BASE_CAIXA!G1689)</f>
        <v/>
      </c>
      <c r="K1692" s="26" t="str">
        <f>IF(A1692="","",BASE_CAIXA!I1689)</f>
        <v/>
      </c>
      <c r="L1692" s="26" t="str">
        <f>IF(A1692="","",BASE_CAIXA!J1689)</f>
        <v/>
      </c>
      <c r="M1692" s="26" t="str">
        <f>IF(A1692="","",BASE_CAIXA!AM1689)</f>
        <v/>
      </c>
      <c r="N1692" s="26" t="str">
        <f t="shared" ca="1" si="78"/>
        <v/>
      </c>
      <c r="O1692" s="26" t="str">
        <f>IFERROR(INDEX(EXTRATO_IMPORTADO!$A$5:$A$404,MATCH(B1692,EXTRATO_IMPORTADO!$I$5:$I$404,0)),"")</f>
        <v/>
      </c>
      <c r="P1692" s="26" t="str">
        <f>IFERROR(INDEX(EXTRATO_IMPORTADO!$F$5:$F$404,MATCH(B1692,EXTRATO_IMPORTADO!$I$5:$I$404,0)),"")</f>
        <v/>
      </c>
      <c r="Q1692" s="26" t="str">
        <f>IFERROR(INDEX(EXTRATO_IMPORTADO!$B$5:$B$404,MATCH(B1692,EXTRATO_IMPORTADO!$I$5:$I$404,0)),"")</f>
        <v/>
      </c>
      <c r="R1692" s="26" t="str">
        <f>IFERROR(MATCH(B1692,EXTRATO_IMPORTADO!$I$5:$I$404,0),"")</f>
        <v/>
      </c>
      <c r="S1692" s="26" t="str">
        <f t="shared" si="79"/>
        <v/>
      </c>
      <c r="T1692" s="26" t="str">
        <f t="shared" si="80"/>
        <v/>
      </c>
    </row>
    <row r="1693" spans="1:20" x14ac:dyDescent="0.3">
      <c r="A1693" s="26" t="str">
        <f>IF(BASE_CAIXA!A1690="","",BASE_CAIXA!A1690)</f>
        <v/>
      </c>
      <c r="B1693" s="26" t="str">
        <f>IF(A1693="","",BASE_CAIXA!AL1690)</f>
        <v/>
      </c>
      <c r="C1693" s="26" t="str">
        <f>IF(A1693="","",BASE_CAIXA!AJ1690)</f>
        <v/>
      </c>
      <c r="D1693" s="26" t="str">
        <f>IF(A1693="","",IF(BASE_CAIXA!C1690="Entrada","Crédito","Débito"))</f>
        <v/>
      </c>
      <c r="E1693" s="26" t="str">
        <f>IF(A1693="","",BASE_CAIXA!AA1690)</f>
        <v/>
      </c>
      <c r="F1693" s="26" t="str">
        <f>IF(A1693="","",BASE_CAIXA!N1690)</f>
        <v/>
      </c>
      <c r="G1693" s="26" t="str">
        <f>IF(A1693="","",BASE_CAIXA!O1690)</f>
        <v/>
      </c>
      <c r="H1693" s="26" t="str">
        <f>IF(A1693="","",BASE_CAIXA!P1690)</f>
        <v/>
      </c>
      <c r="I1693" s="26" t="str">
        <f>IF(A1693="","",IF(BASE_CAIXA!H1690&lt;&gt;"",BASE_CAIXA!H1690,BASE_CAIXA!G1690))</f>
        <v/>
      </c>
      <c r="J1693" s="26" t="str">
        <f>IF(A1693="","",BASE_CAIXA!G1690)</f>
        <v/>
      </c>
      <c r="K1693" s="26" t="str">
        <f>IF(A1693="","",BASE_CAIXA!I1690)</f>
        <v/>
      </c>
      <c r="L1693" s="26" t="str">
        <f>IF(A1693="","",BASE_CAIXA!J1690)</f>
        <v/>
      </c>
      <c r="M1693" s="26" t="str">
        <f>IF(A1693="","",BASE_CAIXA!AM1690)</f>
        <v/>
      </c>
      <c r="N1693" s="26" t="str">
        <f t="shared" ca="1" si="78"/>
        <v/>
      </c>
      <c r="O1693" s="26" t="str">
        <f>IFERROR(INDEX(EXTRATO_IMPORTADO!$A$5:$A$404,MATCH(B1693,EXTRATO_IMPORTADO!$I$5:$I$404,0)),"")</f>
        <v/>
      </c>
      <c r="P1693" s="26" t="str">
        <f>IFERROR(INDEX(EXTRATO_IMPORTADO!$F$5:$F$404,MATCH(B1693,EXTRATO_IMPORTADO!$I$5:$I$404,0)),"")</f>
        <v/>
      </c>
      <c r="Q1693" s="26" t="str">
        <f>IFERROR(INDEX(EXTRATO_IMPORTADO!$B$5:$B$404,MATCH(B1693,EXTRATO_IMPORTADO!$I$5:$I$404,0)),"")</f>
        <v/>
      </c>
      <c r="R1693" s="26" t="str">
        <f>IFERROR(MATCH(B1693,EXTRATO_IMPORTADO!$I$5:$I$404,0),"")</f>
        <v/>
      </c>
      <c r="S1693" s="26" t="str">
        <f t="shared" si="79"/>
        <v/>
      </c>
      <c r="T1693" s="26" t="str">
        <f t="shared" si="80"/>
        <v/>
      </c>
    </row>
    <row r="1694" spans="1:20" x14ac:dyDescent="0.3">
      <c r="A1694" s="26" t="str">
        <f>IF(BASE_CAIXA!A1691="","",BASE_CAIXA!A1691)</f>
        <v/>
      </c>
      <c r="B1694" s="26" t="str">
        <f>IF(A1694="","",BASE_CAIXA!AL1691)</f>
        <v/>
      </c>
      <c r="C1694" s="26" t="str">
        <f>IF(A1694="","",BASE_CAIXA!AJ1691)</f>
        <v/>
      </c>
      <c r="D1694" s="26" t="str">
        <f>IF(A1694="","",IF(BASE_CAIXA!C1691="Entrada","Crédito","Débito"))</f>
        <v/>
      </c>
      <c r="E1694" s="26" t="str">
        <f>IF(A1694="","",BASE_CAIXA!AA1691)</f>
        <v/>
      </c>
      <c r="F1694" s="26" t="str">
        <f>IF(A1694="","",BASE_CAIXA!N1691)</f>
        <v/>
      </c>
      <c r="G1694" s="26" t="str">
        <f>IF(A1694="","",BASE_CAIXA!O1691)</f>
        <v/>
      </c>
      <c r="H1694" s="26" t="str">
        <f>IF(A1694="","",BASE_CAIXA!P1691)</f>
        <v/>
      </c>
      <c r="I1694" s="26" t="str">
        <f>IF(A1694="","",IF(BASE_CAIXA!H1691&lt;&gt;"",BASE_CAIXA!H1691,BASE_CAIXA!G1691))</f>
        <v/>
      </c>
      <c r="J1694" s="26" t="str">
        <f>IF(A1694="","",BASE_CAIXA!G1691)</f>
        <v/>
      </c>
      <c r="K1694" s="26" t="str">
        <f>IF(A1694="","",BASE_CAIXA!I1691)</f>
        <v/>
      </c>
      <c r="L1694" s="26" t="str">
        <f>IF(A1694="","",BASE_CAIXA!J1691)</f>
        <v/>
      </c>
      <c r="M1694" s="26" t="str">
        <f>IF(A1694="","",BASE_CAIXA!AM1691)</f>
        <v/>
      </c>
      <c r="N1694" s="26" t="str">
        <f t="shared" ca="1" si="78"/>
        <v/>
      </c>
      <c r="O1694" s="26" t="str">
        <f>IFERROR(INDEX(EXTRATO_IMPORTADO!$A$5:$A$404,MATCH(B1694,EXTRATO_IMPORTADO!$I$5:$I$404,0)),"")</f>
        <v/>
      </c>
      <c r="P1694" s="26" t="str">
        <f>IFERROR(INDEX(EXTRATO_IMPORTADO!$F$5:$F$404,MATCH(B1694,EXTRATO_IMPORTADO!$I$5:$I$404,0)),"")</f>
        <v/>
      </c>
      <c r="Q1694" s="26" t="str">
        <f>IFERROR(INDEX(EXTRATO_IMPORTADO!$B$5:$B$404,MATCH(B1694,EXTRATO_IMPORTADO!$I$5:$I$404,0)),"")</f>
        <v/>
      </c>
      <c r="R1694" s="26" t="str">
        <f>IFERROR(MATCH(B1694,EXTRATO_IMPORTADO!$I$5:$I$404,0),"")</f>
        <v/>
      </c>
      <c r="S1694" s="26" t="str">
        <f t="shared" si="79"/>
        <v/>
      </c>
      <c r="T1694" s="26" t="str">
        <f t="shared" si="80"/>
        <v/>
      </c>
    </row>
    <row r="1695" spans="1:20" x14ac:dyDescent="0.3">
      <c r="A1695" s="26" t="str">
        <f>IF(BASE_CAIXA!A1692="","",BASE_CAIXA!A1692)</f>
        <v/>
      </c>
      <c r="B1695" s="26" t="str">
        <f>IF(A1695="","",BASE_CAIXA!AL1692)</f>
        <v/>
      </c>
      <c r="C1695" s="26" t="str">
        <f>IF(A1695="","",BASE_CAIXA!AJ1692)</f>
        <v/>
      </c>
      <c r="D1695" s="26" t="str">
        <f>IF(A1695="","",IF(BASE_CAIXA!C1692="Entrada","Crédito","Débito"))</f>
        <v/>
      </c>
      <c r="E1695" s="26" t="str">
        <f>IF(A1695="","",BASE_CAIXA!AA1692)</f>
        <v/>
      </c>
      <c r="F1695" s="26" t="str">
        <f>IF(A1695="","",BASE_CAIXA!N1692)</f>
        <v/>
      </c>
      <c r="G1695" s="26" t="str">
        <f>IF(A1695="","",BASE_CAIXA!O1692)</f>
        <v/>
      </c>
      <c r="H1695" s="26" t="str">
        <f>IF(A1695="","",BASE_CAIXA!P1692)</f>
        <v/>
      </c>
      <c r="I1695" s="26" t="str">
        <f>IF(A1695="","",IF(BASE_CAIXA!H1692&lt;&gt;"",BASE_CAIXA!H1692,BASE_CAIXA!G1692))</f>
        <v/>
      </c>
      <c r="J1695" s="26" t="str">
        <f>IF(A1695="","",BASE_CAIXA!G1692)</f>
        <v/>
      </c>
      <c r="K1695" s="26" t="str">
        <f>IF(A1695="","",BASE_CAIXA!I1692)</f>
        <v/>
      </c>
      <c r="L1695" s="26" t="str">
        <f>IF(A1695="","",BASE_CAIXA!J1692)</f>
        <v/>
      </c>
      <c r="M1695" s="26" t="str">
        <f>IF(A1695="","",BASE_CAIXA!AM1692)</f>
        <v/>
      </c>
      <c r="N1695" s="26" t="str">
        <f t="shared" ca="1" si="78"/>
        <v/>
      </c>
      <c r="O1695" s="26" t="str">
        <f>IFERROR(INDEX(EXTRATO_IMPORTADO!$A$5:$A$404,MATCH(B1695,EXTRATO_IMPORTADO!$I$5:$I$404,0)),"")</f>
        <v/>
      </c>
      <c r="P1695" s="26" t="str">
        <f>IFERROR(INDEX(EXTRATO_IMPORTADO!$F$5:$F$404,MATCH(B1695,EXTRATO_IMPORTADO!$I$5:$I$404,0)),"")</f>
        <v/>
      </c>
      <c r="Q1695" s="26" t="str">
        <f>IFERROR(INDEX(EXTRATO_IMPORTADO!$B$5:$B$404,MATCH(B1695,EXTRATO_IMPORTADO!$I$5:$I$404,0)),"")</f>
        <v/>
      </c>
      <c r="R1695" s="26" t="str">
        <f>IFERROR(MATCH(B1695,EXTRATO_IMPORTADO!$I$5:$I$404,0),"")</f>
        <v/>
      </c>
      <c r="S1695" s="26" t="str">
        <f t="shared" si="79"/>
        <v/>
      </c>
      <c r="T1695" s="26" t="str">
        <f t="shared" si="80"/>
        <v/>
      </c>
    </row>
    <row r="1696" spans="1:20" x14ac:dyDescent="0.3">
      <c r="A1696" s="26" t="str">
        <f>IF(BASE_CAIXA!A1693="","",BASE_CAIXA!A1693)</f>
        <v/>
      </c>
      <c r="B1696" s="26" t="str">
        <f>IF(A1696="","",BASE_CAIXA!AL1693)</f>
        <v/>
      </c>
      <c r="C1696" s="26" t="str">
        <f>IF(A1696="","",BASE_CAIXA!AJ1693)</f>
        <v/>
      </c>
      <c r="D1696" s="26" t="str">
        <f>IF(A1696="","",IF(BASE_CAIXA!C1693="Entrada","Crédito","Débito"))</f>
        <v/>
      </c>
      <c r="E1696" s="26" t="str">
        <f>IF(A1696="","",BASE_CAIXA!AA1693)</f>
        <v/>
      </c>
      <c r="F1696" s="26" t="str">
        <f>IF(A1696="","",BASE_CAIXA!N1693)</f>
        <v/>
      </c>
      <c r="G1696" s="26" t="str">
        <f>IF(A1696="","",BASE_CAIXA!O1693)</f>
        <v/>
      </c>
      <c r="H1696" s="26" t="str">
        <f>IF(A1696="","",BASE_CAIXA!P1693)</f>
        <v/>
      </c>
      <c r="I1696" s="26" t="str">
        <f>IF(A1696="","",IF(BASE_CAIXA!H1693&lt;&gt;"",BASE_CAIXA!H1693,BASE_CAIXA!G1693))</f>
        <v/>
      </c>
      <c r="J1696" s="26" t="str">
        <f>IF(A1696="","",BASE_CAIXA!G1693)</f>
        <v/>
      </c>
      <c r="K1696" s="26" t="str">
        <f>IF(A1696="","",BASE_CAIXA!I1693)</f>
        <v/>
      </c>
      <c r="L1696" s="26" t="str">
        <f>IF(A1696="","",BASE_CAIXA!J1693)</f>
        <v/>
      </c>
      <c r="M1696" s="26" t="str">
        <f>IF(A1696="","",BASE_CAIXA!AM1693)</f>
        <v/>
      </c>
      <c r="N1696" s="26" t="str">
        <f t="shared" ca="1" si="78"/>
        <v/>
      </c>
      <c r="O1696" s="26" t="str">
        <f>IFERROR(INDEX(EXTRATO_IMPORTADO!$A$5:$A$404,MATCH(B1696,EXTRATO_IMPORTADO!$I$5:$I$404,0)),"")</f>
        <v/>
      </c>
      <c r="P1696" s="26" t="str">
        <f>IFERROR(INDEX(EXTRATO_IMPORTADO!$F$5:$F$404,MATCH(B1696,EXTRATO_IMPORTADO!$I$5:$I$404,0)),"")</f>
        <v/>
      </c>
      <c r="Q1696" s="26" t="str">
        <f>IFERROR(INDEX(EXTRATO_IMPORTADO!$B$5:$B$404,MATCH(B1696,EXTRATO_IMPORTADO!$I$5:$I$404,0)),"")</f>
        <v/>
      </c>
      <c r="R1696" s="26" t="str">
        <f>IFERROR(MATCH(B1696,EXTRATO_IMPORTADO!$I$5:$I$404,0),"")</f>
        <v/>
      </c>
      <c r="S1696" s="26" t="str">
        <f t="shared" si="79"/>
        <v/>
      </c>
      <c r="T1696" s="26" t="str">
        <f t="shared" si="80"/>
        <v/>
      </c>
    </row>
    <row r="1697" spans="1:20" x14ac:dyDescent="0.3">
      <c r="A1697" s="26" t="str">
        <f>IF(BASE_CAIXA!A1694="","",BASE_CAIXA!A1694)</f>
        <v/>
      </c>
      <c r="B1697" s="26" t="str">
        <f>IF(A1697="","",BASE_CAIXA!AL1694)</f>
        <v/>
      </c>
      <c r="C1697" s="26" t="str">
        <f>IF(A1697="","",BASE_CAIXA!AJ1694)</f>
        <v/>
      </c>
      <c r="D1697" s="26" t="str">
        <f>IF(A1697="","",IF(BASE_CAIXA!C1694="Entrada","Crédito","Débito"))</f>
        <v/>
      </c>
      <c r="E1697" s="26" t="str">
        <f>IF(A1697="","",BASE_CAIXA!AA1694)</f>
        <v/>
      </c>
      <c r="F1697" s="26" t="str">
        <f>IF(A1697="","",BASE_CAIXA!N1694)</f>
        <v/>
      </c>
      <c r="G1697" s="26" t="str">
        <f>IF(A1697="","",BASE_CAIXA!O1694)</f>
        <v/>
      </c>
      <c r="H1697" s="26" t="str">
        <f>IF(A1697="","",BASE_CAIXA!P1694)</f>
        <v/>
      </c>
      <c r="I1697" s="26" t="str">
        <f>IF(A1697="","",IF(BASE_CAIXA!H1694&lt;&gt;"",BASE_CAIXA!H1694,BASE_CAIXA!G1694))</f>
        <v/>
      </c>
      <c r="J1697" s="26" t="str">
        <f>IF(A1697="","",BASE_CAIXA!G1694)</f>
        <v/>
      </c>
      <c r="K1697" s="26" t="str">
        <f>IF(A1697="","",BASE_CAIXA!I1694)</f>
        <v/>
      </c>
      <c r="L1697" s="26" t="str">
        <f>IF(A1697="","",BASE_CAIXA!J1694)</f>
        <v/>
      </c>
      <c r="M1697" s="26" t="str">
        <f>IF(A1697="","",BASE_CAIXA!AM1694)</f>
        <v/>
      </c>
      <c r="N1697" s="26" t="str">
        <f t="shared" ca="1" si="78"/>
        <v/>
      </c>
      <c r="O1697" s="26" t="str">
        <f>IFERROR(INDEX(EXTRATO_IMPORTADO!$A$5:$A$404,MATCH(B1697,EXTRATO_IMPORTADO!$I$5:$I$404,0)),"")</f>
        <v/>
      </c>
      <c r="P1697" s="26" t="str">
        <f>IFERROR(INDEX(EXTRATO_IMPORTADO!$F$5:$F$404,MATCH(B1697,EXTRATO_IMPORTADO!$I$5:$I$404,0)),"")</f>
        <v/>
      </c>
      <c r="Q1697" s="26" t="str">
        <f>IFERROR(INDEX(EXTRATO_IMPORTADO!$B$5:$B$404,MATCH(B1697,EXTRATO_IMPORTADO!$I$5:$I$404,0)),"")</f>
        <v/>
      </c>
      <c r="R1697" s="26" t="str">
        <f>IFERROR(MATCH(B1697,EXTRATO_IMPORTADO!$I$5:$I$404,0),"")</f>
        <v/>
      </c>
      <c r="S1697" s="26" t="str">
        <f t="shared" si="79"/>
        <v/>
      </c>
      <c r="T1697" s="26" t="str">
        <f t="shared" si="80"/>
        <v/>
      </c>
    </row>
    <row r="1698" spans="1:20" x14ac:dyDescent="0.3">
      <c r="A1698" s="26" t="str">
        <f>IF(BASE_CAIXA!A1695="","",BASE_CAIXA!A1695)</f>
        <v/>
      </c>
      <c r="B1698" s="26" t="str">
        <f>IF(A1698="","",BASE_CAIXA!AL1695)</f>
        <v/>
      </c>
      <c r="C1698" s="26" t="str">
        <f>IF(A1698="","",BASE_CAIXA!AJ1695)</f>
        <v/>
      </c>
      <c r="D1698" s="26" t="str">
        <f>IF(A1698="","",IF(BASE_CAIXA!C1695="Entrada","Crédito","Débito"))</f>
        <v/>
      </c>
      <c r="E1698" s="26" t="str">
        <f>IF(A1698="","",BASE_CAIXA!AA1695)</f>
        <v/>
      </c>
      <c r="F1698" s="26" t="str">
        <f>IF(A1698="","",BASE_CAIXA!N1695)</f>
        <v/>
      </c>
      <c r="G1698" s="26" t="str">
        <f>IF(A1698="","",BASE_CAIXA!O1695)</f>
        <v/>
      </c>
      <c r="H1698" s="26" t="str">
        <f>IF(A1698="","",BASE_CAIXA!P1695)</f>
        <v/>
      </c>
      <c r="I1698" s="26" t="str">
        <f>IF(A1698="","",IF(BASE_CAIXA!H1695&lt;&gt;"",BASE_CAIXA!H1695,BASE_CAIXA!G1695))</f>
        <v/>
      </c>
      <c r="J1698" s="26" t="str">
        <f>IF(A1698="","",BASE_CAIXA!G1695)</f>
        <v/>
      </c>
      <c r="K1698" s="26" t="str">
        <f>IF(A1698="","",BASE_CAIXA!I1695)</f>
        <v/>
      </c>
      <c r="L1698" s="26" t="str">
        <f>IF(A1698="","",BASE_CAIXA!J1695)</f>
        <v/>
      </c>
      <c r="M1698" s="26" t="str">
        <f>IF(A1698="","",BASE_CAIXA!AM1695)</f>
        <v/>
      </c>
      <c r="N1698" s="26" t="str">
        <f t="shared" ca="1" si="78"/>
        <v/>
      </c>
      <c r="O1698" s="26" t="str">
        <f>IFERROR(INDEX(EXTRATO_IMPORTADO!$A$5:$A$404,MATCH(B1698,EXTRATO_IMPORTADO!$I$5:$I$404,0)),"")</f>
        <v/>
      </c>
      <c r="P1698" s="26" t="str">
        <f>IFERROR(INDEX(EXTRATO_IMPORTADO!$F$5:$F$404,MATCH(B1698,EXTRATO_IMPORTADO!$I$5:$I$404,0)),"")</f>
        <v/>
      </c>
      <c r="Q1698" s="26" t="str">
        <f>IFERROR(INDEX(EXTRATO_IMPORTADO!$B$5:$B$404,MATCH(B1698,EXTRATO_IMPORTADO!$I$5:$I$404,0)),"")</f>
        <v/>
      </c>
      <c r="R1698" s="26" t="str">
        <f>IFERROR(MATCH(B1698,EXTRATO_IMPORTADO!$I$5:$I$404,0),"")</f>
        <v/>
      </c>
      <c r="S1698" s="26" t="str">
        <f t="shared" si="79"/>
        <v/>
      </c>
      <c r="T1698" s="26" t="str">
        <f t="shared" si="80"/>
        <v/>
      </c>
    </row>
    <row r="1699" spans="1:20" x14ac:dyDescent="0.3">
      <c r="A1699" s="26" t="str">
        <f>IF(BASE_CAIXA!A1696="","",BASE_CAIXA!A1696)</f>
        <v/>
      </c>
      <c r="B1699" s="26" t="str">
        <f>IF(A1699="","",BASE_CAIXA!AL1696)</f>
        <v/>
      </c>
      <c r="C1699" s="26" t="str">
        <f>IF(A1699="","",BASE_CAIXA!AJ1696)</f>
        <v/>
      </c>
      <c r="D1699" s="26" t="str">
        <f>IF(A1699="","",IF(BASE_CAIXA!C1696="Entrada","Crédito","Débito"))</f>
        <v/>
      </c>
      <c r="E1699" s="26" t="str">
        <f>IF(A1699="","",BASE_CAIXA!AA1696)</f>
        <v/>
      </c>
      <c r="F1699" s="26" t="str">
        <f>IF(A1699="","",BASE_CAIXA!N1696)</f>
        <v/>
      </c>
      <c r="G1699" s="26" t="str">
        <f>IF(A1699="","",BASE_CAIXA!O1696)</f>
        <v/>
      </c>
      <c r="H1699" s="26" t="str">
        <f>IF(A1699="","",BASE_CAIXA!P1696)</f>
        <v/>
      </c>
      <c r="I1699" s="26" t="str">
        <f>IF(A1699="","",IF(BASE_CAIXA!H1696&lt;&gt;"",BASE_CAIXA!H1696,BASE_CAIXA!G1696))</f>
        <v/>
      </c>
      <c r="J1699" s="26" t="str">
        <f>IF(A1699="","",BASE_CAIXA!G1696)</f>
        <v/>
      </c>
      <c r="K1699" s="26" t="str">
        <f>IF(A1699="","",BASE_CAIXA!I1696)</f>
        <v/>
      </c>
      <c r="L1699" s="26" t="str">
        <f>IF(A1699="","",BASE_CAIXA!J1696)</f>
        <v/>
      </c>
      <c r="M1699" s="26" t="str">
        <f>IF(A1699="","",BASE_CAIXA!AM1696)</f>
        <v/>
      </c>
      <c r="N1699" s="26" t="str">
        <f t="shared" ca="1" si="78"/>
        <v/>
      </c>
      <c r="O1699" s="26" t="str">
        <f>IFERROR(INDEX(EXTRATO_IMPORTADO!$A$5:$A$404,MATCH(B1699,EXTRATO_IMPORTADO!$I$5:$I$404,0)),"")</f>
        <v/>
      </c>
      <c r="P1699" s="26" t="str">
        <f>IFERROR(INDEX(EXTRATO_IMPORTADO!$F$5:$F$404,MATCH(B1699,EXTRATO_IMPORTADO!$I$5:$I$404,0)),"")</f>
        <v/>
      </c>
      <c r="Q1699" s="26" t="str">
        <f>IFERROR(INDEX(EXTRATO_IMPORTADO!$B$5:$B$404,MATCH(B1699,EXTRATO_IMPORTADO!$I$5:$I$404,0)),"")</f>
        <v/>
      </c>
      <c r="R1699" s="26" t="str">
        <f>IFERROR(MATCH(B1699,EXTRATO_IMPORTADO!$I$5:$I$404,0),"")</f>
        <v/>
      </c>
      <c r="S1699" s="26" t="str">
        <f t="shared" si="79"/>
        <v/>
      </c>
      <c r="T1699" s="26" t="str">
        <f t="shared" si="80"/>
        <v/>
      </c>
    </row>
    <row r="1700" spans="1:20" x14ac:dyDescent="0.3">
      <c r="A1700" s="26" t="str">
        <f>IF(BASE_CAIXA!A1697="","",BASE_CAIXA!A1697)</f>
        <v/>
      </c>
      <c r="B1700" s="26" t="str">
        <f>IF(A1700="","",BASE_CAIXA!AL1697)</f>
        <v/>
      </c>
      <c r="C1700" s="26" t="str">
        <f>IF(A1700="","",BASE_CAIXA!AJ1697)</f>
        <v/>
      </c>
      <c r="D1700" s="26" t="str">
        <f>IF(A1700="","",IF(BASE_CAIXA!C1697="Entrada","Crédito","Débito"))</f>
        <v/>
      </c>
      <c r="E1700" s="26" t="str">
        <f>IF(A1700="","",BASE_CAIXA!AA1697)</f>
        <v/>
      </c>
      <c r="F1700" s="26" t="str">
        <f>IF(A1700="","",BASE_CAIXA!N1697)</f>
        <v/>
      </c>
      <c r="G1700" s="26" t="str">
        <f>IF(A1700="","",BASE_CAIXA!O1697)</f>
        <v/>
      </c>
      <c r="H1700" s="26" t="str">
        <f>IF(A1700="","",BASE_CAIXA!P1697)</f>
        <v/>
      </c>
      <c r="I1700" s="26" t="str">
        <f>IF(A1700="","",IF(BASE_CAIXA!H1697&lt;&gt;"",BASE_CAIXA!H1697,BASE_CAIXA!G1697))</f>
        <v/>
      </c>
      <c r="J1700" s="26" t="str">
        <f>IF(A1700="","",BASE_CAIXA!G1697)</f>
        <v/>
      </c>
      <c r="K1700" s="26" t="str">
        <f>IF(A1700="","",BASE_CAIXA!I1697)</f>
        <v/>
      </c>
      <c r="L1700" s="26" t="str">
        <f>IF(A1700="","",BASE_CAIXA!J1697)</f>
        <v/>
      </c>
      <c r="M1700" s="26" t="str">
        <f>IF(A1700="","",BASE_CAIXA!AM1697)</f>
        <v/>
      </c>
      <c r="N1700" s="26" t="str">
        <f t="shared" ca="1" si="78"/>
        <v/>
      </c>
      <c r="O1700" s="26" t="str">
        <f>IFERROR(INDEX(EXTRATO_IMPORTADO!$A$5:$A$404,MATCH(B1700,EXTRATO_IMPORTADO!$I$5:$I$404,0)),"")</f>
        <v/>
      </c>
      <c r="P1700" s="26" t="str">
        <f>IFERROR(INDEX(EXTRATO_IMPORTADO!$F$5:$F$404,MATCH(B1700,EXTRATO_IMPORTADO!$I$5:$I$404,0)),"")</f>
        <v/>
      </c>
      <c r="Q1700" s="26" t="str">
        <f>IFERROR(INDEX(EXTRATO_IMPORTADO!$B$5:$B$404,MATCH(B1700,EXTRATO_IMPORTADO!$I$5:$I$404,0)),"")</f>
        <v/>
      </c>
      <c r="R1700" s="26" t="str">
        <f>IFERROR(MATCH(B1700,EXTRATO_IMPORTADO!$I$5:$I$404,0),"")</f>
        <v/>
      </c>
      <c r="S1700" s="26" t="str">
        <f t="shared" si="79"/>
        <v/>
      </c>
      <c r="T1700" s="26" t="str">
        <f t="shared" si="80"/>
        <v/>
      </c>
    </row>
    <row r="1701" spans="1:20" x14ac:dyDescent="0.3">
      <c r="A1701" s="26" t="str">
        <f>IF(BASE_CAIXA!A1698="","",BASE_CAIXA!A1698)</f>
        <v/>
      </c>
      <c r="B1701" s="26" t="str">
        <f>IF(A1701="","",BASE_CAIXA!AL1698)</f>
        <v/>
      </c>
      <c r="C1701" s="26" t="str">
        <f>IF(A1701="","",BASE_CAIXA!AJ1698)</f>
        <v/>
      </c>
      <c r="D1701" s="26" t="str">
        <f>IF(A1701="","",IF(BASE_CAIXA!C1698="Entrada","Crédito","Débito"))</f>
        <v/>
      </c>
      <c r="E1701" s="26" t="str">
        <f>IF(A1701="","",BASE_CAIXA!AA1698)</f>
        <v/>
      </c>
      <c r="F1701" s="26" t="str">
        <f>IF(A1701="","",BASE_CAIXA!N1698)</f>
        <v/>
      </c>
      <c r="G1701" s="26" t="str">
        <f>IF(A1701="","",BASE_CAIXA!O1698)</f>
        <v/>
      </c>
      <c r="H1701" s="26" t="str">
        <f>IF(A1701="","",BASE_CAIXA!P1698)</f>
        <v/>
      </c>
      <c r="I1701" s="26" t="str">
        <f>IF(A1701="","",IF(BASE_CAIXA!H1698&lt;&gt;"",BASE_CAIXA!H1698,BASE_CAIXA!G1698))</f>
        <v/>
      </c>
      <c r="J1701" s="26" t="str">
        <f>IF(A1701="","",BASE_CAIXA!G1698)</f>
        <v/>
      </c>
      <c r="K1701" s="26" t="str">
        <f>IF(A1701="","",BASE_CAIXA!I1698)</f>
        <v/>
      </c>
      <c r="L1701" s="26" t="str">
        <f>IF(A1701="","",BASE_CAIXA!J1698)</f>
        <v/>
      </c>
      <c r="M1701" s="26" t="str">
        <f>IF(A1701="","",BASE_CAIXA!AM1698)</f>
        <v/>
      </c>
      <c r="N1701" s="26" t="str">
        <f t="shared" ca="1" si="78"/>
        <v/>
      </c>
      <c r="O1701" s="26" t="str">
        <f>IFERROR(INDEX(EXTRATO_IMPORTADO!$A$5:$A$404,MATCH(B1701,EXTRATO_IMPORTADO!$I$5:$I$404,0)),"")</f>
        <v/>
      </c>
      <c r="P1701" s="26" t="str">
        <f>IFERROR(INDEX(EXTRATO_IMPORTADO!$F$5:$F$404,MATCH(B1701,EXTRATO_IMPORTADO!$I$5:$I$404,0)),"")</f>
        <v/>
      </c>
      <c r="Q1701" s="26" t="str">
        <f>IFERROR(INDEX(EXTRATO_IMPORTADO!$B$5:$B$404,MATCH(B1701,EXTRATO_IMPORTADO!$I$5:$I$404,0)),"")</f>
        <v/>
      </c>
      <c r="R1701" s="26" t="str">
        <f>IFERROR(MATCH(B1701,EXTRATO_IMPORTADO!$I$5:$I$404,0),"")</f>
        <v/>
      </c>
      <c r="S1701" s="26" t="str">
        <f t="shared" si="79"/>
        <v/>
      </c>
      <c r="T1701" s="26" t="str">
        <f t="shared" si="80"/>
        <v/>
      </c>
    </row>
    <row r="1702" spans="1:20" x14ac:dyDescent="0.3">
      <c r="A1702" s="26" t="str">
        <f>IF(BASE_CAIXA!A1699="","",BASE_CAIXA!A1699)</f>
        <v/>
      </c>
      <c r="B1702" s="26" t="str">
        <f>IF(A1702="","",BASE_CAIXA!AL1699)</f>
        <v/>
      </c>
      <c r="C1702" s="26" t="str">
        <f>IF(A1702="","",BASE_CAIXA!AJ1699)</f>
        <v/>
      </c>
      <c r="D1702" s="26" t="str">
        <f>IF(A1702="","",IF(BASE_CAIXA!C1699="Entrada","Crédito","Débito"))</f>
        <v/>
      </c>
      <c r="E1702" s="26" t="str">
        <f>IF(A1702="","",BASE_CAIXA!AA1699)</f>
        <v/>
      </c>
      <c r="F1702" s="26" t="str">
        <f>IF(A1702="","",BASE_CAIXA!N1699)</f>
        <v/>
      </c>
      <c r="G1702" s="26" t="str">
        <f>IF(A1702="","",BASE_CAIXA!O1699)</f>
        <v/>
      </c>
      <c r="H1702" s="26" t="str">
        <f>IF(A1702="","",BASE_CAIXA!P1699)</f>
        <v/>
      </c>
      <c r="I1702" s="26" t="str">
        <f>IF(A1702="","",IF(BASE_CAIXA!H1699&lt;&gt;"",BASE_CAIXA!H1699,BASE_CAIXA!G1699))</f>
        <v/>
      </c>
      <c r="J1702" s="26" t="str">
        <f>IF(A1702="","",BASE_CAIXA!G1699)</f>
        <v/>
      </c>
      <c r="K1702" s="26" t="str">
        <f>IF(A1702="","",BASE_CAIXA!I1699)</f>
        <v/>
      </c>
      <c r="L1702" s="26" t="str">
        <f>IF(A1702="","",BASE_CAIXA!J1699)</f>
        <v/>
      </c>
      <c r="M1702" s="26" t="str">
        <f>IF(A1702="","",BASE_CAIXA!AM1699)</f>
        <v/>
      </c>
      <c r="N1702" s="26" t="str">
        <f t="shared" ca="1" si="78"/>
        <v/>
      </c>
      <c r="O1702" s="26" t="str">
        <f>IFERROR(INDEX(EXTRATO_IMPORTADO!$A$5:$A$404,MATCH(B1702,EXTRATO_IMPORTADO!$I$5:$I$404,0)),"")</f>
        <v/>
      </c>
      <c r="P1702" s="26" t="str">
        <f>IFERROR(INDEX(EXTRATO_IMPORTADO!$F$5:$F$404,MATCH(B1702,EXTRATO_IMPORTADO!$I$5:$I$404,0)),"")</f>
        <v/>
      </c>
      <c r="Q1702" s="26" t="str">
        <f>IFERROR(INDEX(EXTRATO_IMPORTADO!$B$5:$B$404,MATCH(B1702,EXTRATO_IMPORTADO!$I$5:$I$404,0)),"")</f>
        <v/>
      </c>
      <c r="R1702" s="26" t="str">
        <f>IFERROR(MATCH(B1702,EXTRATO_IMPORTADO!$I$5:$I$404,0),"")</f>
        <v/>
      </c>
      <c r="S1702" s="26" t="str">
        <f t="shared" si="79"/>
        <v/>
      </c>
      <c r="T1702" s="26" t="str">
        <f t="shared" si="80"/>
        <v/>
      </c>
    </row>
    <row r="1703" spans="1:20" x14ac:dyDescent="0.3">
      <c r="A1703" s="26" t="str">
        <f>IF(BASE_CAIXA!A1700="","",BASE_CAIXA!A1700)</f>
        <v/>
      </c>
      <c r="B1703" s="26" t="str">
        <f>IF(A1703="","",BASE_CAIXA!AL1700)</f>
        <v/>
      </c>
      <c r="C1703" s="26" t="str">
        <f>IF(A1703="","",BASE_CAIXA!AJ1700)</f>
        <v/>
      </c>
      <c r="D1703" s="26" t="str">
        <f>IF(A1703="","",IF(BASE_CAIXA!C1700="Entrada","Crédito","Débito"))</f>
        <v/>
      </c>
      <c r="E1703" s="26" t="str">
        <f>IF(A1703="","",BASE_CAIXA!AA1700)</f>
        <v/>
      </c>
      <c r="F1703" s="26" t="str">
        <f>IF(A1703="","",BASE_CAIXA!N1700)</f>
        <v/>
      </c>
      <c r="G1703" s="26" t="str">
        <f>IF(A1703="","",BASE_CAIXA!O1700)</f>
        <v/>
      </c>
      <c r="H1703" s="26" t="str">
        <f>IF(A1703="","",BASE_CAIXA!P1700)</f>
        <v/>
      </c>
      <c r="I1703" s="26" t="str">
        <f>IF(A1703="","",IF(BASE_CAIXA!H1700&lt;&gt;"",BASE_CAIXA!H1700,BASE_CAIXA!G1700))</f>
        <v/>
      </c>
      <c r="J1703" s="26" t="str">
        <f>IF(A1703="","",BASE_CAIXA!G1700)</f>
        <v/>
      </c>
      <c r="K1703" s="26" t="str">
        <f>IF(A1703="","",BASE_CAIXA!I1700)</f>
        <v/>
      </c>
      <c r="L1703" s="26" t="str">
        <f>IF(A1703="","",BASE_CAIXA!J1700)</f>
        <v/>
      </c>
      <c r="M1703" s="26" t="str">
        <f>IF(A1703="","",BASE_CAIXA!AM1700)</f>
        <v/>
      </c>
      <c r="N1703" s="26" t="str">
        <f t="shared" ca="1" si="78"/>
        <v/>
      </c>
      <c r="O1703" s="26" t="str">
        <f>IFERROR(INDEX(EXTRATO_IMPORTADO!$A$5:$A$404,MATCH(B1703,EXTRATO_IMPORTADO!$I$5:$I$404,0)),"")</f>
        <v/>
      </c>
      <c r="P1703" s="26" t="str">
        <f>IFERROR(INDEX(EXTRATO_IMPORTADO!$F$5:$F$404,MATCH(B1703,EXTRATO_IMPORTADO!$I$5:$I$404,0)),"")</f>
        <v/>
      </c>
      <c r="Q1703" s="26" t="str">
        <f>IFERROR(INDEX(EXTRATO_IMPORTADO!$B$5:$B$404,MATCH(B1703,EXTRATO_IMPORTADO!$I$5:$I$404,0)),"")</f>
        <v/>
      </c>
      <c r="R1703" s="26" t="str">
        <f>IFERROR(MATCH(B1703,EXTRATO_IMPORTADO!$I$5:$I$404,0),"")</f>
        <v/>
      </c>
      <c r="S1703" s="26" t="str">
        <f t="shared" si="79"/>
        <v/>
      </c>
      <c r="T1703" s="26" t="str">
        <f t="shared" si="80"/>
        <v/>
      </c>
    </row>
    <row r="1704" spans="1:20" x14ac:dyDescent="0.3">
      <c r="A1704" s="26" t="str">
        <f>IF(BASE_CAIXA!A1701="","",BASE_CAIXA!A1701)</f>
        <v/>
      </c>
      <c r="B1704" s="26" t="str">
        <f>IF(A1704="","",BASE_CAIXA!AL1701)</f>
        <v/>
      </c>
      <c r="C1704" s="26" t="str">
        <f>IF(A1704="","",BASE_CAIXA!AJ1701)</f>
        <v/>
      </c>
      <c r="D1704" s="26" t="str">
        <f>IF(A1704="","",IF(BASE_CAIXA!C1701="Entrada","Crédito","Débito"))</f>
        <v/>
      </c>
      <c r="E1704" s="26" t="str">
        <f>IF(A1704="","",BASE_CAIXA!AA1701)</f>
        <v/>
      </c>
      <c r="F1704" s="26" t="str">
        <f>IF(A1704="","",BASE_CAIXA!N1701)</f>
        <v/>
      </c>
      <c r="G1704" s="26" t="str">
        <f>IF(A1704="","",BASE_CAIXA!O1701)</f>
        <v/>
      </c>
      <c r="H1704" s="26" t="str">
        <f>IF(A1704="","",BASE_CAIXA!P1701)</f>
        <v/>
      </c>
      <c r="I1704" s="26" t="str">
        <f>IF(A1704="","",IF(BASE_CAIXA!H1701&lt;&gt;"",BASE_CAIXA!H1701,BASE_CAIXA!G1701))</f>
        <v/>
      </c>
      <c r="J1704" s="26" t="str">
        <f>IF(A1704="","",BASE_CAIXA!G1701)</f>
        <v/>
      </c>
      <c r="K1704" s="26" t="str">
        <f>IF(A1704="","",BASE_CAIXA!I1701)</f>
        <v/>
      </c>
      <c r="L1704" s="26" t="str">
        <f>IF(A1704="","",BASE_CAIXA!J1701)</f>
        <v/>
      </c>
      <c r="M1704" s="26" t="str">
        <f>IF(A1704="","",BASE_CAIXA!AM1701)</f>
        <v/>
      </c>
      <c r="N1704" s="26" t="str">
        <f t="shared" ca="1" si="78"/>
        <v/>
      </c>
      <c r="O1704" s="26" t="str">
        <f>IFERROR(INDEX(EXTRATO_IMPORTADO!$A$5:$A$404,MATCH(B1704,EXTRATO_IMPORTADO!$I$5:$I$404,0)),"")</f>
        <v/>
      </c>
      <c r="P1704" s="26" t="str">
        <f>IFERROR(INDEX(EXTRATO_IMPORTADO!$F$5:$F$404,MATCH(B1704,EXTRATO_IMPORTADO!$I$5:$I$404,0)),"")</f>
        <v/>
      </c>
      <c r="Q1704" s="26" t="str">
        <f>IFERROR(INDEX(EXTRATO_IMPORTADO!$B$5:$B$404,MATCH(B1704,EXTRATO_IMPORTADO!$I$5:$I$404,0)),"")</f>
        <v/>
      </c>
      <c r="R1704" s="26" t="str">
        <f>IFERROR(MATCH(B1704,EXTRATO_IMPORTADO!$I$5:$I$404,0),"")</f>
        <v/>
      </c>
      <c r="S1704" s="26" t="str">
        <f t="shared" si="79"/>
        <v/>
      </c>
      <c r="T1704" s="26" t="str">
        <f t="shared" si="80"/>
        <v/>
      </c>
    </row>
    <row r="1705" spans="1:20" x14ac:dyDescent="0.3">
      <c r="A1705" s="26" t="str">
        <f>IF(BASE_CAIXA!A1702="","",BASE_CAIXA!A1702)</f>
        <v/>
      </c>
      <c r="B1705" s="26" t="str">
        <f>IF(A1705="","",BASE_CAIXA!AL1702)</f>
        <v/>
      </c>
      <c r="C1705" s="26" t="str">
        <f>IF(A1705="","",BASE_CAIXA!AJ1702)</f>
        <v/>
      </c>
      <c r="D1705" s="26" t="str">
        <f>IF(A1705="","",IF(BASE_CAIXA!C1702="Entrada","Crédito","Débito"))</f>
        <v/>
      </c>
      <c r="E1705" s="26" t="str">
        <f>IF(A1705="","",BASE_CAIXA!AA1702)</f>
        <v/>
      </c>
      <c r="F1705" s="26" t="str">
        <f>IF(A1705="","",BASE_CAIXA!N1702)</f>
        <v/>
      </c>
      <c r="G1705" s="26" t="str">
        <f>IF(A1705="","",BASE_CAIXA!O1702)</f>
        <v/>
      </c>
      <c r="H1705" s="26" t="str">
        <f>IF(A1705="","",BASE_CAIXA!P1702)</f>
        <v/>
      </c>
      <c r="I1705" s="26" t="str">
        <f>IF(A1705="","",IF(BASE_CAIXA!H1702&lt;&gt;"",BASE_CAIXA!H1702,BASE_CAIXA!G1702))</f>
        <v/>
      </c>
      <c r="J1705" s="26" t="str">
        <f>IF(A1705="","",BASE_CAIXA!G1702)</f>
        <v/>
      </c>
      <c r="K1705" s="26" t="str">
        <f>IF(A1705="","",BASE_CAIXA!I1702)</f>
        <v/>
      </c>
      <c r="L1705" s="26" t="str">
        <f>IF(A1705="","",BASE_CAIXA!J1702)</f>
        <v/>
      </c>
      <c r="M1705" s="26" t="str">
        <f>IF(A1705="","",BASE_CAIXA!AM1702)</f>
        <v/>
      </c>
      <c r="N1705" s="26" t="str">
        <f t="shared" ca="1" si="78"/>
        <v/>
      </c>
      <c r="O1705" s="26" t="str">
        <f>IFERROR(INDEX(EXTRATO_IMPORTADO!$A$5:$A$404,MATCH(B1705,EXTRATO_IMPORTADO!$I$5:$I$404,0)),"")</f>
        <v/>
      </c>
      <c r="P1705" s="26" t="str">
        <f>IFERROR(INDEX(EXTRATO_IMPORTADO!$F$5:$F$404,MATCH(B1705,EXTRATO_IMPORTADO!$I$5:$I$404,0)),"")</f>
        <v/>
      </c>
      <c r="Q1705" s="26" t="str">
        <f>IFERROR(INDEX(EXTRATO_IMPORTADO!$B$5:$B$404,MATCH(B1705,EXTRATO_IMPORTADO!$I$5:$I$404,0)),"")</f>
        <v/>
      </c>
      <c r="R1705" s="26" t="str">
        <f>IFERROR(MATCH(B1705,EXTRATO_IMPORTADO!$I$5:$I$404,0),"")</f>
        <v/>
      </c>
      <c r="S1705" s="26" t="str">
        <f t="shared" si="79"/>
        <v/>
      </c>
      <c r="T1705" s="26" t="str">
        <f t="shared" si="80"/>
        <v/>
      </c>
    </row>
    <row r="1706" spans="1:20" x14ac:dyDescent="0.3">
      <c r="A1706" s="26" t="str">
        <f>IF(BASE_CAIXA!A1703="","",BASE_CAIXA!A1703)</f>
        <v/>
      </c>
      <c r="B1706" s="26" t="str">
        <f>IF(A1706="","",BASE_CAIXA!AL1703)</f>
        <v/>
      </c>
      <c r="C1706" s="26" t="str">
        <f>IF(A1706="","",BASE_CAIXA!AJ1703)</f>
        <v/>
      </c>
      <c r="D1706" s="26" t="str">
        <f>IF(A1706="","",IF(BASE_CAIXA!C1703="Entrada","Crédito","Débito"))</f>
        <v/>
      </c>
      <c r="E1706" s="26" t="str">
        <f>IF(A1706="","",BASE_CAIXA!AA1703)</f>
        <v/>
      </c>
      <c r="F1706" s="26" t="str">
        <f>IF(A1706="","",BASE_CAIXA!N1703)</f>
        <v/>
      </c>
      <c r="G1706" s="26" t="str">
        <f>IF(A1706="","",BASE_CAIXA!O1703)</f>
        <v/>
      </c>
      <c r="H1706" s="26" t="str">
        <f>IF(A1706="","",BASE_CAIXA!P1703)</f>
        <v/>
      </c>
      <c r="I1706" s="26" t="str">
        <f>IF(A1706="","",IF(BASE_CAIXA!H1703&lt;&gt;"",BASE_CAIXA!H1703,BASE_CAIXA!G1703))</f>
        <v/>
      </c>
      <c r="J1706" s="26" t="str">
        <f>IF(A1706="","",BASE_CAIXA!G1703)</f>
        <v/>
      </c>
      <c r="K1706" s="26" t="str">
        <f>IF(A1706="","",BASE_CAIXA!I1703)</f>
        <v/>
      </c>
      <c r="L1706" s="26" t="str">
        <f>IF(A1706="","",BASE_CAIXA!J1703)</f>
        <v/>
      </c>
      <c r="M1706" s="26" t="str">
        <f>IF(A1706="","",BASE_CAIXA!AM1703)</f>
        <v/>
      </c>
      <c r="N1706" s="26" t="str">
        <f t="shared" ca="1" si="78"/>
        <v/>
      </c>
      <c r="O1706" s="26" t="str">
        <f>IFERROR(INDEX(EXTRATO_IMPORTADO!$A$5:$A$404,MATCH(B1706,EXTRATO_IMPORTADO!$I$5:$I$404,0)),"")</f>
        <v/>
      </c>
      <c r="P1706" s="26" t="str">
        <f>IFERROR(INDEX(EXTRATO_IMPORTADO!$F$5:$F$404,MATCH(B1706,EXTRATO_IMPORTADO!$I$5:$I$404,0)),"")</f>
        <v/>
      </c>
      <c r="Q1706" s="26" t="str">
        <f>IFERROR(INDEX(EXTRATO_IMPORTADO!$B$5:$B$404,MATCH(B1706,EXTRATO_IMPORTADO!$I$5:$I$404,0)),"")</f>
        <v/>
      </c>
      <c r="R1706" s="26" t="str">
        <f>IFERROR(MATCH(B1706,EXTRATO_IMPORTADO!$I$5:$I$404,0),"")</f>
        <v/>
      </c>
      <c r="S1706" s="26" t="str">
        <f t="shared" si="79"/>
        <v/>
      </c>
      <c r="T1706" s="26" t="str">
        <f t="shared" si="80"/>
        <v/>
      </c>
    </row>
    <row r="1707" spans="1:20" x14ac:dyDescent="0.3">
      <c r="A1707" s="26" t="str">
        <f>IF(BASE_CAIXA!A1704="","",BASE_CAIXA!A1704)</f>
        <v/>
      </c>
      <c r="B1707" s="26" t="str">
        <f>IF(A1707="","",BASE_CAIXA!AL1704)</f>
        <v/>
      </c>
      <c r="C1707" s="26" t="str">
        <f>IF(A1707="","",BASE_CAIXA!AJ1704)</f>
        <v/>
      </c>
      <c r="D1707" s="26" t="str">
        <f>IF(A1707="","",IF(BASE_CAIXA!C1704="Entrada","Crédito","Débito"))</f>
        <v/>
      </c>
      <c r="E1707" s="26" t="str">
        <f>IF(A1707="","",BASE_CAIXA!AA1704)</f>
        <v/>
      </c>
      <c r="F1707" s="26" t="str">
        <f>IF(A1707="","",BASE_CAIXA!N1704)</f>
        <v/>
      </c>
      <c r="G1707" s="26" t="str">
        <f>IF(A1707="","",BASE_CAIXA!O1704)</f>
        <v/>
      </c>
      <c r="H1707" s="26" t="str">
        <f>IF(A1707="","",BASE_CAIXA!P1704)</f>
        <v/>
      </c>
      <c r="I1707" s="26" t="str">
        <f>IF(A1707="","",IF(BASE_CAIXA!H1704&lt;&gt;"",BASE_CAIXA!H1704,BASE_CAIXA!G1704))</f>
        <v/>
      </c>
      <c r="J1707" s="26" t="str">
        <f>IF(A1707="","",BASE_CAIXA!G1704)</f>
        <v/>
      </c>
      <c r="K1707" s="26" t="str">
        <f>IF(A1707="","",BASE_CAIXA!I1704)</f>
        <v/>
      </c>
      <c r="L1707" s="26" t="str">
        <f>IF(A1707="","",BASE_CAIXA!J1704)</f>
        <v/>
      </c>
      <c r="M1707" s="26" t="str">
        <f>IF(A1707="","",BASE_CAIXA!AM1704)</f>
        <v/>
      </c>
      <c r="N1707" s="26" t="str">
        <f t="shared" ca="1" si="78"/>
        <v/>
      </c>
      <c r="O1707" s="26" t="str">
        <f>IFERROR(INDEX(EXTRATO_IMPORTADO!$A$5:$A$404,MATCH(B1707,EXTRATO_IMPORTADO!$I$5:$I$404,0)),"")</f>
        <v/>
      </c>
      <c r="P1707" s="26" t="str">
        <f>IFERROR(INDEX(EXTRATO_IMPORTADO!$F$5:$F$404,MATCH(B1707,EXTRATO_IMPORTADO!$I$5:$I$404,0)),"")</f>
        <v/>
      </c>
      <c r="Q1707" s="26" t="str">
        <f>IFERROR(INDEX(EXTRATO_IMPORTADO!$B$5:$B$404,MATCH(B1707,EXTRATO_IMPORTADO!$I$5:$I$404,0)),"")</f>
        <v/>
      </c>
      <c r="R1707" s="26" t="str">
        <f>IFERROR(MATCH(B1707,EXTRATO_IMPORTADO!$I$5:$I$404,0),"")</f>
        <v/>
      </c>
      <c r="S1707" s="26" t="str">
        <f t="shared" si="79"/>
        <v/>
      </c>
      <c r="T1707" s="26" t="str">
        <f t="shared" si="80"/>
        <v/>
      </c>
    </row>
    <row r="1708" spans="1:20" x14ac:dyDescent="0.3">
      <c r="A1708" s="26" t="str">
        <f>IF(BASE_CAIXA!A1705="","",BASE_CAIXA!A1705)</f>
        <v/>
      </c>
      <c r="B1708" s="26" t="str">
        <f>IF(A1708="","",BASE_CAIXA!AL1705)</f>
        <v/>
      </c>
      <c r="C1708" s="26" t="str">
        <f>IF(A1708="","",BASE_CAIXA!AJ1705)</f>
        <v/>
      </c>
      <c r="D1708" s="26" t="str">
        <f>IF(A1708="","",IF(BASE_CAIXA!C1705="Entrada","Crédito","Débito"))</f>
        <v/>
      </c>
      <c r="E1708" s="26" t="str">
        <f>IF(A1708="","",BASE_CAIXA!AA1705)</f>
        <v/>
      </c>
      <c r="F1708" s="26" t="str">
        <f>IF(A1708="","",BASE_CAIXA!N1705)</f>
        <v/>
      </c>
      <c r="G1708" s="26" t="str">
        <f>IF(A1708="","",BASE_CAIXA!O1705)</f>
        <v/>
      </c>
      <c r="H1708" s="26" t="str">
        <f>IF(A1708="","",BASE_CAIXA!P1705)</f>
        <v/>
      </c>
      <c r="I1708" s="26" t="str">
        <f>IF(A1708="","",IF(BASE_CAIXA!H1705&lt;&gt;"",BASE_CAIXA!H1705,BASE_CAIXA!G1705))</f>
        <v/>
      </c>
      <c r="J1708" s="26" t="str">
        <f>IF(A1708="","",BASE_CAIXA!G1705)</f>
        <v/>
      </c>
      <c r="K1708" s="26" t="str">
        <f>IF(A1708="","",BASE_CAIXA!I1705)</f>
        <v/>
      </c>
      <c r="L1708" s="26" t="str">
        <f>IF(A1708="","",BASE_CAIXA!J1705)</f>
        <v/>
      </c>
      <c r="M1708" s="26" t="str">
        <f>IF(A1708="","",BASE_CAIXA!AM1705)</f>
        <v/>
      </c>
      <c r="N1708" s="26" t="str">
        <f t="shared" ca="1" si="78"/>
        <v/>
      </c>
      <c r="O1708" s="26" t="str">
        <f>IFERROR(INDEX(EXTRATO_IMPORTADO!$A$5:$A$404,MATCH(B1708,EXTRATO_IMPORTADO!$I$5:$I$404,0)),"")</f>
        <v/>
      </c>
      <c r="P1708" s="26" t="str">
        <f>IFERROR(INDEX(EXTRATO_IMPORTADO!$F$5:$F$404,MATCH(B1708,EXTRATO_IMPORTADO!$I$5:$I$404,0)),"")</f>
        <v/>
      </c>
      <c r="Q1708" s="26" t="str">
        <f>IFERROR(INDEX(EXTRATO_IMPORTADO!$B$5:$B$404,MATCH(B1708,EXTRATO_IMPORTADO!$I$5:$I$404,0)),"")</f>
        <v/>
      </c>
      <c r="R1708" s="26" t="str">
        <f>IFERROR(MATCH(B1708,EXTRATO_IMPORTADO!$I$5:$I$404,0),"")</f>
        <v/>
      </c>
      <c r="S1708" s="26" t="str">
        <f t="shared" si="79"/>
        <v/>
      </c>
      <c r="T1708" s="26" t="str">
        <f t="shared" si="80"/>
        <v/>
      </c>
    </row>
    <row r="1709" spans="1:20" x14ac:dyDescent="0.3">
      <c r="A1709" s="26" t="str">
        <f>IF(BASE_CAIXA!A1706="","",BASE_CAIXA!A1706)</f>
        <v/>
      </c>
      <c r="B1709" s="26" t="str">
        <f>IF(A1709="","",BASE_CAIXA!AL1706)</f>
        <v/>
      </c>
      <c r="C1709" s="26" t="str">
        <f>IF(A1709="","",BASE_CAIXA!AJ1706)</f>
        <v/>
      </c>
      <c r="D1709" s="26" t="str">
        <f>IF(A1709="","",IF(BASE_CAIXA!C1706="Entrada","Crédito","Débito"))</f>
        <v/>
      </c>
      <c r="E1709" s="26" t="str">
        <f>IF(A1709="","",BASE_CAIXA!AA1706)</f>
        <v/>
      </c>
      <c r="F1709" s="26" t="str">
        <f>IF(A1709="","",BASE_CAIXA!N1706)</f>
        <v/>
      </c>
      <c r="G1709" s="26" t="str">
        <f>IF(A1709="","",BASE_CAIXA!O1706)</f>
        <v/>
      </c>
      <c r="H1709" s="26" t="str">
        <f>IF(A1709="","",BASE_CAIXA!P1706)</f>
        <v/>
      </c>
      <c r="I1709" s="26" t="str">
        <f>IF(A1709="","",IF(BASE_CAIXA!H1706&lt;&gt;"",BASE_CAIXA!H1706,BASE_CAIXA!G1706))</f>
        <v/>
      </c>
      <c r="J1709" s="26" t="str">
        <f>IF(A1709="","",BASE_CAIXA!G1706)</f>
        <v/>
      </c>
      <c r="K1709" s="26" t="str">
        <f>IF(A1709="","",BASE_CAIXA!I1706)</f>
        <v/>
      </c>
      <c r="L1709" s="26" t="str">
        <f>IF(A1709="","",BASE_CAIXA!J1706)</f>
        <v/>
      </c>
      <c r="M1709" s="26" t="str">
        <f>IF(A1709="","",BASE_CAIXA!AM1706)</f>
        <v/>
      </c>
      <c r="N1709" s="26" t="str">
        <f t="shared" ca="1" si="78"/>
        <v/>
      </c>
      <c r="O1709" s="26" t="str">
        <f>IFERROR(INDEX(EXTRATO_IMPORTADO!$A$5:$A$404,MATCH(B1709,EXTRATO_IMPORTADO!$I$5:$I$404,0)),"")</f>
        <v/>
      </c>
      <c r="P1709" s="26" t="str">
        <f>IFERROR(INDEX(EXTRATO_IMPORTADO!$F$5:$F$404,MATCH(B1709,EXTRATO_IMPORTADO!$I$5:$I$404,0)),"")</f>
        <v/>
      </c>
      <c r="Q1709" s="26" t="str">
        <f>IFERROR(INDEX(EXTRATO_IMPORTADO!$B$5:$B$404,MATCH(B1709,EXTRATO_IMPORTADO!$I$5:$I$404,0)),"")</f>
        <v/>
      </c>
      <c r="R1709" s="26" t="str">
        <f>IFERROR(MATCH(B1709,EXTRATO_IMPORTADO!$I$5:$I$404,0),"")</f>
        <v/>
      </c>
      <c r="S1709" s="26" t="str">
        <f t="shared" si="79"/>
        <v/>
      </c>
      <c r="T1709" s="26" t="str">
        <f t="shared" si="80"/>
        <v/>
      </c>
    </row>
    <row r="1710" spans="1:20" x14ac:dyDescent="0.3">
      <c r="A1710" s="26" t="str">
        <f>IF(BASE_CAIXA!A1707="","",BASE_CAIXA!A1707)</f>
        <v/>
      </c>
      <c r="B1710" s="26" t="str">
        <f>IF(A1710="","",BASE_CAIXA!AL1707)</f>
        <v/>
      </c>
      <c r="C1710" s="26" t="str">
        <f>IF(A1710="","",BASE_CAIXA!AJ1707)</f>
        <v/>
      </c>
      <c r="D1710" s="26" t="str">
        <f>IF(A1710="","",IF(BASE_CAIXA!C1707="Entrada","Crédito","Débito"))</f>
        <v/>
      </c>
      <c r="E1710" s="26" t="str">
        <f>IF(A1710="","",BASE_CAIXA!AA1707)</f>
        <v/>
      </c>
      <c r="F1710" s="26" t="str">
        <f>IF(A1710="","",BASE_CAIXA!N1707)</f>
        <v/>
      </c>
      <c r="G1710" s="26" t="str">
        <f>IF(A1710="","",BASE_CAIXA!O1707)</f>
        <v/>
      </c>
      <c r="H1710" s="26" t="str">
        <f>IF(A1710="","",BASE_CAIXA!P1707)</f>
        <v/>
      </c>
      <c r="I1710" s="26" t="str">
        <f>IF(A1710="","",IF(BASE_CAIXA!H1707&lt;&gt;"",BASE_CAIXA!H1707,BASE_CAIXA!G1707))</f>
        <v/>
      </c>
      <c r="J1710" s="26" t="str">
        <f>IF(A1710="","",BASE_CAIXA!G1707)</f>
        <v/>
      </c>
      <c r="K1710" s="26" t="str">
        <f>IF(A1710="","",BASE_CAIXA!I1707)</f>
        <v/>
      </c>
      <c r="L1710" s="26" t="str">
        <f>IF(A1710="","",BASE_CAIXA!J1707)</f>
        <v/>
      </c>
      <c r="M1710" s="26" t="str">
        <f>IF(A1710="","",BASE_CAIXA!AM1707)</f>
        <v/>
      </c>
      <c r="N1710" s="26" t="str">
        <f t="shared" ca="1" si="78"/>
        <v/>
      </c>
      <c r="O1710" s="26" t="str">
        <f>IFERROR(INDEX(EXTRATO_IMPORTADO!$A$5:$A$404,MATCH(B1710,EXTRATO_IMPORTADO!$I$5:$I$404,0)),"")</f>
        <v/>
      </c>
      <c r="P1710" s="26" t="str">
        <f>IFERROR(INDEX(EXTRATO_IMPORTADO!$F$5:$F$404,MATCH(B1710,EXTRATO_IMPORTADO!$I$5:$I$404,0)),"")</f>
        <v/>
      </c>
      <c r="Q1710" s="26" t="str">
        <f>IFERROR(INDEX(EXTRATO_IMPORTADO!$B$5:$B$404,MATCH(B1710,EXTRATO_IMPORTADO!$I$5:$I$404,0)),"")</f>
        <v/>
      </c>
      <c r="R1710" s="26" t="str">
        <f>IFERROR(MATCH(B1710,EXTRATO_IMPORTADO!$I$5:$I$404,0),"")</f>
        <v/>
      </c>
      <c r="S1710" s="26" t="str">
        <f t="shared" si="79"/>
        <v/>
      </c>
      <c r="T1710" s="26" t="str">
        <f t="shared" si="80"/>
        <v/>
      </c>
    </row>
    <row r="1711" spans="1:20" x14ac:dyDescent="0.3">
      <c r="A1711" s="26" t="str">
        <f>IF(BASE_CAIXA!A1708="","",BASE_CAIXA!A1708)</f>
        <v/>
      </c>
      <c r="B1711" s="26" t="str">
        <f>IF(A1711="","",BASE_CAIXA!AL1708)</f>
        <v/>
      </c>
      <c r="C1711" s="26" t="str">
        <f>IF(A1711="","",BASE_CAIXA!AJ1708)</f>
        <v/>
      </c>
      <c r="D1711" s="26" t="str">
        <f>IF(A1711="","",IF(BASE_CAIXA!C1708="Entrada","Crédito","Débito"))</f>
        <v/>
      </c>
      <c r="E1711" s="26" t="str">
        <f>IF(A1711="","",BASE_CAIXA!AA1708)</f>
        <v/>
      </c>
      <c r="F1711" s="26" t="str">
        <f>IF(A1711="","",BASE_CAIXA!N1708)</f>
        <v/>
      </c>
      <c r="G1711" s="26" t="str">
        <f>IF(A1711="","",BASE_CAIXA!O1708)</f>
        <v/>
      </c>
      <c r="H1711" s="26" t="str">
        <f>IF(A1711="","",BASE_CAIXA!P1708)</f>
        <v/>
      </c>
      <c r="I1711" s="26" t="str">
        <f>IF(A1711="","",IF(BASE_CAIXA!H1708&lt;&gt;"",BASE_CAIXA!H1708,BASE_CAIXA!G1708))</f>
        <v/>
      </c>
      <c r="J1711" s="26" t="str">
        <f>IF(A1711="","",BASE_CAIXA!G1708)</f>
        <v/>
      </c>
      <c r="K1711" s="26" t="str">
        <f>IF(A1711="","",BASE_CAIXA!I1708)</f>
        <v/>
      </c>
      <c r="L1711" s="26" t="str">
        <f>IF(A1711="","",BASE_CAIXA!J1708)</f>
        <v/>
      </c>
      <c r="M1711" s="26" t="str">
        <f>IF(A1711="","",BASE_CAIXA!AM1708)</f>
        <v/>
      </c>
      <c r="N1711" s="26" t="str">
        <f t="shared" ca="1" si="78"/>
        <v/>
      </c>
      <c r="O1711" s="26" t="str">
        <f>IFERROR(INDEX(EXTRATO_IMPORTADO!$A$5:$A$404,MATCH(B1711,EXTRATO_IMPORTADO!$I$5:$I$404,0)),"")</f>
        <v/>
      </c>
      <c r="P1711" s="26" t="str">
        <f>IFERROR(INDEX(EXTRATO_IMPORTADO!$F$5:$F$404,MATCH(B1711,EXTRATO_IMPORTADO!$I$5:$I$404,0)),"")</f>
        <v/>
      </c>
      <c r="Q1711" s="26" t="str">
        <f>IFERROR(INDEX(EXTRATO_IMPORTADO!$B$5:$B$404,MATCH(B1711,EXTRATO_IMPORTADO!$I$5:$I$404,0)),"")</f>
        <v/>
      </c>
      <c r="R1711" s="26" t="str">
        <f>IFERROR(MATCH(B1711,EXTRATO_IMPORTADO!$I$5:$I$404,0),"")</f>
        <v/>
      </c>
      <c r="S1711" s="26" t="str">
        <f t="shared" si="79"/>
        <v/>
      </c>
      <c r="T1711" s="26" t="str">
        <f t="shared" si="80"/>
        <v/>
      </c>
    </row>
    <row r="1712" spans="1:20" x14ac:dyDescent="0.3">
      <c r="A1712" s="26" t="str">
        <f>IF(BASE_CAIXA!A1709="","",BASE_CAIXA!A1709)</f>
        <v/>
      </c>
      <c r="B1712" s="26" t="str">
        <f>IF(A1712="","",BASE_CAIXA!AL1709)</f>
        <v/>
      </c>
      <c r="C1712" s="26" t="str">
        <f>IF(A1712="","",BASE_CAIXA!AJ1709)</f>
        <v/>
      </c>
      <c r="D1712" s="26" t="str">
        <f>IF(A1712="","",IF(BASE_CAIXA!C1709="Entrada","Crédito","Débito"))</f>
        <v/>
      </c>
      <c r="E1712" s="26" t="str">
        <f>IF(A1712="","",BASE_CAIXA!AA1709)</f>
        <v/>
      </c>
      <c r="F1712" s="26" t="str">
        <f>IF(A1712="","",BASE_CAIXA!N1709)</f>
        <v/>
      </c>
      <c r="G1712" s="26" t="str">
        <f>IF(A1712="","",BASE_CAIXA!O1709)</f>
        <v/>
      </c>
      <c r="H1712" s="26" t="str">
        <f>IF(A1712="","",BASE_CAIXA!P1709)</f>
        <v/>
      </c>
      <c r="I1712" s="26" t="str">
        <f>IF(A1712="","",IF(BASE_CAIXA!H1709&lt;&gt;"",BASE_CAIXA!H1709,BASE_CAIXA!G1709))</f>
        <v/>
      </c>
      <c r="J1712" s="26" t="str">
        <f>IF(A1712="","",BASE_CAIXA!G1709)</f>
        <v/>
      </c>
      <c r="K1712" s="26" t="str">
        <f>IF(A1712="","",BASE_CAIXA!I1709)</f>
        <v/>
      </c>
      <c r="L1712" s="26" t="str">
        <f>IF(A1712="","",BASE_CAIXA!J1709)</f>
        <v/>
      </c>
      <c r="M1712" s="26" t="str">
        <f>IF(A1712="","",BASE_CAIXA!AM1709)</f>
        <v/>
      </c>
      <c r="N1712" s="26" t="str">
        <f t="shared" ca="1" si="78"/>
        <v/>
      </c>
      <c r="O1712" s="26" t="str">
        <f>IFERROR(INDEX(EXTRATO_IMPORTADO!$A$5:$A$404,MATCH(B1712,EXTRATO_IMPORTADO!$I$5:$I$404,0)),"")</f>
        <v/>
      </c>
      <c r="P1712" s="26" t="str">
        <f>IFERROR(INDEX(EXTRATO_IMPORTADO!$F$5:$F$404,MATCH(B1712,EXTRATO_IMPORTADO!$I$5:$I$404,0)),"")</f>
        <v/>
      </c>
      <c r="Q1712" s="26" t="str">
        <f>IFERROR(INDEX(EXTRATO_IMPORTADO!$B$5:$B$404,MATCH(B1712,EXTRATO_IMPORTADO!$I$5:$I$404,0)),"")</f>
        <v/>
      </c>
      <c r="R1712" s="26" t="str">
        <f>IFERROR(MATCH(B1712,EXTRATO_IMPORTADO!$I$5:$I$404,0),"")</f>
        <v/>
      </c>
      <c r="S1712" s="26" t="str">
        <f t="shared" si="79"/>
        <v/>
      </c>
      <c r="T1712" s="26" t="str">
        <f t="shared" si="80"/>
        <v/>
      </c>
    </row>
    <row r="1713" spans="1:20" x14ac:dyDescent="0.3">
      <c r="A1713" s="26" t="str">
        <f>IF(BASE_CAIXA!A1710="","",BASE_CAIXA!A1710)</f>
        <v/>
      </c>
      <c r="B1713" s="26" t="str">
        <f>IF(A1713="","",BASE_CAIXA!AL1710)</f>
        <v/>
      </c>
      <c r="C1713" s="26" t="str">
        <f>IF(A1713="","",BASE_CAIXA!AJ1710)</f>
        <v/>
      </c>
      <c r="D1713" s="26" t="str">
        <f>IF(A1713="","",IF(BASE_CAIXA!C1710="Entrada","Crédito","Débito"))</f>
        <v/>
      </c>
      <c r="E1713" s="26" t="str">
        <f>IF(A1713="","",BASE_CAIXA!AA1710)</f>
        <v/>
      </c>
      <c r="F1713" s="26" t="str">
        <f>IF(A1713="","",BASE_CAIXA!N1710)</f>
        <v/>
      </c>
      <c r="G1713" s="26" t="str">
        <f>IF(A1713="","",BASE_CAIXA!O1710)</f>
        <v/>
      </c>
      <c r="H1713" s="26" t="str">
        <f>IF(A1713="","",BASE_CAIXA!P1710)</f>
        <v/>
      </c>
      <c r="I1713" s="26" t="str">
        <f>IF(A1713="","",IF(BASE_CAIXA!H1710&lt;&gt;"",BASE_CAIXA!H1710,BASE_CAIXA!G1710))</f>
        <v/>
      </c>
      <c r="J1713" s="26" t="str">
        <f>IF(A1713="","",BASE_CAIXA!G1710)</f>
        <v/>
      </c>
      <c r="K1713" s="26" t="str">
        <f>IF(A1713="","",BASE_CAIXA!I1710)</f>
        <v/>
      </c>
      <c r="L1713" s="26" t="str">
        <f>IF(A1713="","",BASE_CAIXA!J1710)</f>
        <v/>
      </c>
      <c r="M1713" s="26" t="str">
        <f>IF(A1713="","",BASE_CAIXA!AM1710)</f>
        <v/>
      </c>
      <c r="N1713" s="26" t="str">
        <f t="shared" ca="1" si="78"/>
        <v/>
      </c>
      <c r="O1713" s="26" t="str">
        <f>IFERROR(INDEX(EXTRATO_IMPORTADO!$A$5:$A$404,MATCH(B1713,EXTRATO_IMPORTADO!$I$5:$I$404,0)),"")</f>
        <v/>
      </c>
      <c r="P1713" s="26" t="str">
        <f>IFERROR(INDEX(EXTRATO_IMPORTADO!$F$5:$F$404,MATCH(B1713,EXTRATO_IMPORTADO!$I$5:$I$404,0)),"")</f>
        <v/>
      </c>
      <c r="Q1713" s="26" t="str">
        <f>IFERROR(INDEX(EXTRATO_IMPORTADO!$B$5:$B$404,MATCH(B1713,EXTRATO_IMPORTADO!$I$5:$I$404,0)),"")</f>
        <v/>
      </c>
      <c r="R1713" s="26" t="str">
        <f>IFERROR(MATCH(B1713,EXTRATO_IMPORTADO!$I$5:$I$404,0),"")</f>
        <v/>
      </c>
      <c r="S1713" s="26" t="str">
        <f t="shared" si="79"/>
        <v/>
      </c>
      <c r="T1713" s="26" t="str">
        <f t="shared" si="80"/>
        <v/>
      </c>
    </row>
    <row r="1714" spans="1:20" x14ac:dyDescent="0.3">
      <c r="A1714" s="26" t="str">
        <f>IF(BASE_CAIXA!A1711="","",BASE_CAIXA!A1711)</f>
        <v/>
      </c>
      <c r="B1714" s="26" t="str">
        <f>IF(A1714="","",BASE_CAIXA!AL1711)</f>
        <v/>
      </c>
      <c r="C1714" s="26" t="str">
        <f>IF(A1714="","",BASE_CAIXA!AJ1711)</f>
        <v/>
      </c>
      <c r="D1714" s="26" t="str">
        <f>IF(A1714="","",IF(BASE_CAIXA!C1711="Entrada","Crédito","Débito"))</f>
        <v/>
      </c>
      <c r="E1714" s="26" t="str">
        <f>IF(A1714="","",BASE_CAIXA!AA1711)</f>
        <v/>
      </c>
      <c r="F1714" s="26" t="str">
        <f>IF(A1714="","",BASE_CAIXA!N1711)</f>
        <v/>
      </c>
      <c r="G1714" s="26" t="str">
        <f>IF(A1714="","",BASE_CAIXA!O1711)</f>
        <v/>
      </c>
      <c r="H1714" s="26" t="str">
        <f>IF(A1714="","",BASE_CAIXA!P1711)</f>
        <v/>
      </c>
      <c r="I1714" s="26" t="str">
        <f>IF(A1714="","",IF(BASE_CAIXA!H1711&lt;&gt;"",BASE_CAIXA!H1711,BASE_CAIXA!G1711))</f>
        <v/>
      </c>
      <c r="J1714" s="26" t="str">
        <f>IF(A1714="","",BASE_CAIXA!G1711)</f>
        <v/>
      </c>
      <c r="K1714" s="26" t="str">
        <f>IF(A1714="","",BASE_CAIXA!I1711)</f>
        <v/>
      </c>
      <c r="L1714" s="26" t="str">
        <f>IF(A1714="","",BASE_CAIXA!J1711)</f>
        <v/>
      </c>
      <c r="M1714" s="26" t="str">
        <f>IF(A1714="","",BASE_CAIXA!AM1711)</f>
        <v/>
      </c>
      <c r="N1714" s="26" t="str">
        <f t="shared" ca="1" si="78"/>
        <v/>
      </c>
      <c r="O1714" s="26" t="str">
        <f>IFERROR(INDEX(EXTRATO_IMPORTADO!$A$5:$A$404,MATCH(B1714,EXTRATO_IMPORTADO!$I$5:$I$404,0)),"")</f>
        <v/>
      </c>
      <c r="P1714" s="26" t="str">
        <f>IFERROR(INDEX(EXTRATO_IMPORTADO!$F$5:$F$404,MATCH(B1714,EXTRATO_IMPORTADO!$I$5:$I$404,0)),"")</f>
        <v/>
      </c>
      <c r="Q1714" s="26" t="str">
        <f>IFERROR(INDEX(EXTRATO_IMPORTADO!$B$5:$B$404,MATCH(B1714,EXTRATO_IMPORTADO!$I$5:$I$404,0)),"")</f>
        <v/>
      </c>
      <c r="R1714" s="26" t="str">
        <f>IFERROR(MATCH(B1714,EXTRATO_IMPORTADO!$I$5:$I$404,0),"")</f>
        <v/>
      </c>
      <c r="S1714" s="26" t="str">
        <f t="shared" si="79"/>
        <v/>
      </c>
      <c r="T1714" s="26" t="str">
        <f t="shared" si="80"/>
        <v/>
      </c>
    </row>
    <row r="1715" spans="1:20" x14ac:dyDescent="0.3">
      <c r="A1715" s="26" t="str">
        <f>IF(BASE_CAIXA!A1712="","",BASE_CAIXA!A1712)</f>
        <v/>
      </c>
      <c r="B1715" s="26" t="str">
        <f>IF(A1715="","",BASE_CAIXA!AL1712)</f>
        <v/>
      </c>
      <c r="C1715" s="26" t="str">
        <f>IF(A1715="","",BASE_CAIXA!AJ1712)</f>
        <v/>
      </c>
      <c r="D1715" s="26" t="str">
        <f>IF(A1715="","",IF(BASE_CAIXA!C1712="Entrada","Crédito","Débito"))</f>
        <v/>
      </c>
      <c r="E1715" s="26" t="str">
        <f>IF(A1715="","",BASE_CAIXA!AA1712)</f>
        <v/>
      </c>
      <c r="F1715" s="26" t="str">
        <f>IF(A1715="","",BASE_CAIXA!N1712)</f>
        <v/>
      </c>
      <c r="G1715" s="26" t="str">
        <f>IF(A1715="","",BASE_CAIXA!O1712)</f>
        <v/>
      </c>
      <c r="H1715" s="26" t="str">
        <f>IF(A1715="","",BASE_CAIXA!P1712)</f>
        <v/>
      </c>
      <c r="I1715" s="26" t="str">
        <f>IF(A1715="","",IF(BASE_CAIXA!H1712&lt;&gt;"",BASE_CAIXA!H1712,BASE_CAIXA!G1712))</f>
        <v/>
      </c>
      <c r="J1715" s="26" t="str">
        <f>IF(A1715="","",BASE_CAIXA!G1712)</f>
        <v/>
      </c>
      <c r="K1715" s="26" t="str">
        <f>IF(A1715="","",BASE_CAIXA!I1712)</f>
        <v/>
      </c>
      <c r="L1715" s="26" t="str">
        <f>IF(A1715="","",BASE_CAIXA!J1712)</f>
        <v/>
      </c>
      <c r="M1715" s="26" t="str">
        <f>IF(A1715="","",BASE_CAIXA!AM1712)</f>
        <v/>
      </c>
      <c r="N1715" s="26" t="str">
        <f t="shared" ca="1" si="78"/>
        <v/>
      </c>
      <c r="O1715" s="26" t="str">
        <f>IFERROR(INDEX(EXTRATO_IMPORTADO!$A$5:$A$404,MATCH(B1715,EXTRATO_IMPORTADO!$I$5:$I$404,0)),"")</f>
        <v/>
      </c>
      <c r="P1715" s="26" t="str">
        <f>IFERROR(INDEX(EXTRATO_IMPORTADO!$F$5:$F$404,MATCH(B1715,EXTRATO_IMPORTADO!$I$5:$I$404,0)),"")</f>
        <v/>
      </c>
      <c r="Q1715" s="26" t="str">
        <f>IFERROR(INDEX(EXTRATO_IMPORTADO!$B$5:$B$404,MATCH(B1715,EXTRATO_IMPORTADO!$I$5:$I$404,0)),"")</f>
        <v/>
      </c>
      <c r="R1715" s="26" t="str">
        <f>IFERROR(MATCH(B1715,EXTRATO_IMPORTADO!$I$5:$I$404,0),"")</f>
        <v/>
      </c>
      <c r="S1715" s="26" t="str">
        <f t="shared" si="79"/>
        <v/>
      </c>
      <c r="T1715" s="26" t="str">
        <f t="shared" si="80"/>
        <v/>
      </c>
    </row>
    <row r="1716" spans="1:20" x14ac:dyDescent="0.3">
      <c r="A1716" s="26" t="str">
        <f>IF(BASE_CAIXA!A1713="","",BASE_CAIXA!A1713)</f>
        <v/>
      </c>
      <c r="B1716" s="26" t="str">
        <f>IF(A1716="","",BASE_CAIXA!AL1713)</f>
        <v/>
      </c>
      <c r="C1716" s="26" t="str">
        <f>IF(A1716="","",BASE_CAIXA!AJ1713)</f>
        <v/>
      </c>
      <c r="D1716" s="26" t="str">
        <f>IF(A1716="","",IF(BASE_CAIXA!C1713="Entrada","Crédito","Débito"))</f>
        <v/>
      </c>
      <c r="E1716" s="26" t="str">
        <f>IF(A1716="","",BASE_CAIXA!AA1713)</f>
        <v/>
      </c>
      <c r="F1716" s="26" t="str">
        <f>IF(A1716="","",BASE_CAIXA!N1713)</f>
        <v/>
      </c>
      <c r="G1716" s="26" t="str">
        <f>IF(A1716="","",BASE_CAIXA!O1713)</f>
        <v/>
      </c>
      <c r="H1716" s="26" t="str">
        <f>IF(A1716="","",BASE_CAIXA!P1713)</f>
        <v/>
      </c>
      <c r="I1716" s="26" t="str">
        <f>IF(A1716="","",IF(BASE_CAIXA!H1713&lt;&gt;"",BASE_CAIXA!H1713,BASE_CAIXA!G1713))</f>
        <v/>
      </c>
      <c r="J1716" s="26" t="str">
        <f>IF(A1716="","",BASE_CAIXA!G1713)</f>
        <v/>
      </c>
      <c r="K1716" s="26" t="str">
        <f>IF(A1716="","",BASE_CAIXA!I1713)</f>
        <v/>
      </c>
      <c r="L1716" s="26" t="str">
        <f>IF(A1716="","",BASE_CAIXA!J1713)</f>
        <v/>
      </c>
      <c r="M1716" s="26" t="str">
        <f>IF(A1716="","",BASE_CAIXA!AM1713)</f>
        <v/>
      </c>
      <c r="N1716" s="26" t="str">
        <f t="shared" ca="1" si="78"/>
        <v/>
      </c>
      <c r="O1716" s="26" t="str">
        <f>IFERROR(INDEX(EXTRATO_IMPORTADO!$A$5:$A$404,MATCH(B1716,EXTRATO_IMPORTADO!$I$5:$I$404,0)),"")</f>
        <v/>
      </c>
      <c r="P1716" s="26" t="str">
        <f>IFERROR(INDEX(EXTRATO_IMPORTADO!$F$5:$F$404,MATCH(B1716,EXTRATO_IMPORTADO!$I$5:$I$404,0)),"")</f>
        <v/>
      </c>
      <c r="Q1716" s="26" t="str">
        <f>IFERROR(INDEX(EXTRATO_IMPORTADO!$B$5:$B$404,MATCH(B1716,EXTRATO_IMPORTADO!$I$5:$I$404,0)),"")</f>
        <v/>
      </c>
      <c r="R1716" s="26" t="str">
        <f>IFERROR(MATCH(B1716,EXTRATO_IMPORTADO!$I$5:$I$404,0),"")</f>
        <v/>
      </c>
      <c r="S1716" s="26" t="str">
        <f t="shared" si="79"/>
        <v/>
      </c>
      <c r="T1716" s="26" t="str">
        <f t="shared" si="80"/>
        <v/>
      </c>
    </row>
    <row r="1717" spans="1:20" x14ac:dyDescent="0.3">
      <c r="A1717" s="26" t="str">
        <f>IF(BASE_CAIXA!A1714="","",BASE_CAIXA!A1714)</f>
        <v/>
      </c>
      <c r="B1717" s="26" t="str">
        <f>IF(A1717="","",BASE_CAIXA!AL1714)</f>
        <v/>
      </c>
      <c r="C1717" s="26" t="str">
        <f>IF(A1717="","",BASE_CAIXA!AJ1714)</f>
        <v/>
      </c>
      <c r="D1717" s="26" t="str">
        <f>IF(A1717="","",IF(BASE_CAIXA!C1714="Entrada","Crédito","Débito"))</f>
        <v/>
      </c>
      <c r="E1717" s="26" t="str">
        <f>IF(A1717="","",BASE_CAIXA!AA1714)</f>
        <v/>
      </c>
      <c r="F1717" s="26" t="str">
        <f>IF(A1717="","",BASE_CAIXA!N1714)</f>
        <v/>
      </c>
      <c r="G1717" s="26" t="str">
        <f>IF(A1717="","",BASE_CAIXA!O1714)</f>
        <v/>
      </c>
      <c r="H1717" s="26" t="str">
        <f>IF(A1717="","",BASE_CAIXA!P1714)</f>
        <v/>
      </c>
      <c r="I1717" s="26" t="str">
        <f>IF(A1717="","",IF(BASE_CAIXA!H1714&lt;&gt;"",BASE_CAIXA!H1714,BASE_CAIXA!G1714))</f>
        <v/>
      </c>
      <c r="J1717" s="26" t="str">
        <f>IF(A1717="","",BASE_CAIXA!G1714)</f>
        <v/>
      </c>
      <c r="K1717" s="26" t="str">
        <f>IF(A1717="","",BASE_CAIXA!I1714)</f>
        <v/>
      </c>
      <c r="L1717" s="26" t="str">
        <f>IF(A1717="","",BASE_CAIXA!J1714)</f>
        <v/>
      </c>
      <c r="M1717" s="26" t="str">
        <f>IF(A1717="","",BASE_CAIXA!AM1714)</f>
        <v/>
      </c>
      <c r="N1717" s="26" t="str">
        <f t="shared" ca="1" si="78"/>
        <v/>
      </c>
      <c r="O1717" s="26" t="str">
        <f>IFERROR(INDEX(EXTRATO_IMPORTADO!$A$5:$A$404,MATCH(B1717,EXTRATO_IMPORTADO!$I$5:$I$404,0)),"")</f>
        <v/>
      </c>
      <c r="P1717" s="26" t="str">
        <f>IFERROR(INDEX(EXTRATO_IMPORTADO!$F$5:$F$404,MATCH(B1717,EXTRATO_IMPORTADO!$I$5:$I$404,0)),"")</f>
        <v/>
      </c>
      <c r="Q1717" s="26" t="str">
        <f>IFERROR(INDEX(EXTRATO_IMPORTADO!$B$5:$B$404,MATCH(B1717,EXTRATO_IMPORTADO!$I$5:$I$404,0)),"")</f>
        <v/>
      </c>
      <c r="R1717" s="26" t="str">
        <f>IFERROR(MATCH(B1717,EXTRATO_IMPORTADO!$I$5:$I$404,0),"")</f>
        <v/>
      </c>
      <c r="S1717" s="26" t="str">
        <f t="shared" si="79"/>
        <v/>
      </c>
      <c r="T1717" s="26" t="str">
        <f t="shared" si="80"/>
        <v/>
      </c>
    </row>
    <row r="1718" spans="1:20" x14ac:dyDescent="0.3">
      <c r="A1718" s="26" t="str">
        <f>IF(BASE_CAIXA!A1715="","",BASE_CAIXA!A1715)</f>
        <v/>
      </c>
      <c r="B1718" s="26" t="str">
        <f>IF(A1718="","",BASE_CAIXA!AL1715)</f>
        <v/>
      </c>
      <c r="C1718" s="26" t="str">
        <f>IF(A1718="","",BASE_CAIXA!AJ1715)</f>
        <v/>
      </c>
      <c r="D1718" s="26" t="str">
        <f>IF(A1718="","",IF(BASE_CAIXA!C1715="Entrada","Crédito","Débito"))</f>
        <v/>
      </c>
      <c r="E1718" s="26" t="str">
        <f>IF(A1718="","",BASE_CAIXA!AA1715)</f>
        <v/>
      </c>
      <c r="F1718" s="26" t="str">
        <f>IF(A1718="","",BASE_CAIXA!N1715)</f>
        <v/>
      </c>
      <c r="G1718" s="26" t="str">
        <f>IF(A1718="","",BASE_CAIXA!O1715)</f>
        <v/>
      </c>
      <c r="H1718" s="26" t="str">
        <f>IF(A1718="","",BASE_CAIXA!P1715)</f>
        <v/>
      </c>
      <c r="I1718" s="26" t="str">
        <f>IF(A1718="","",IF(BASE_CAIXA!H1715&lt;&gt;"",BASE_CAIXA!H1715,BASE_CAIXA!G1715))</f>
        <v/>
      </c>
      <c r="J1718" s="26" t="str">
        <f>IF(A1718="","",BASE_CAIXA!G1715)</f>
        <v/>
      </c>
      <c r="K1718" s="26" t="str">
        <f>IF(A1718="","",BASE_CAIXA!I1715)</f>
        <v/>
      </c>
      <c r="L1718" s="26" t="str">
        <f>IF(A1718="","",BASE_CAIXA!J1715)</f>
        <v/>
      </c>
      <c r="M1718" s="26" t="str">
        <f>IF(A1718="","",BASE_CAIXA!AM1715)</f>
        <v/>
      </c>
      <c r="N1718" s="26" t="str">
        <f t="shared" ca="1" si="78"/>
        <v/>
      </c>
      <c r="O1718" s="26" t="str">
        <f>IFERROR(INDEX(EXTRATO_IMPORTADO!$A$5:$A$404,MATCH(B1718,EXTRATO_IMPORTADO!$I$5:$I$404,0)),"")</f>
        <v/>
      </c>
      <c r="P1718" s="26" t="str">
        <f>IFERROR(INDEX(EXTRATO_IMPORTADO!$F$5:$F$404,MATCH(B1718,EXTRATO_IMPORTADO!$I$5:$I$404,0)),"")</f>
        <v/>
      </c>
      <c r="Q1718" s="26" t="str">
        <f>IFERROR(INDEX(EXTRATO_IMPORTADO!$B$5:$B$404,MATCH(B1718,EXTRATO_IMPORTADO!$I$5:$I$404,0)),"")</f>
        <v/>
      </c>
      <c r="R1718" s="26" t="str">
        <f>IFERROR(MATCH(B1718,EXTRATO_IMPORTADO!$I$5:$I$404,0),"")</f>
        <v/>
      </c>
      <c r="S1718" s="26" t="str">
        <f t="shared" si="79"/>
        <v/>
      </c>
      <c r="T1718" s="26" t="str">
        <f t="shared" si="80"/>
        <v/>
      </c>
    </row>
    <row r="1719" spans="1:20" x14ac:dyDescent="0.3">
      <c r="A1719" s="26" t="str">
        <f>IF(BASE_CAIXA!A1716="","",BASE_CAIXA!A1716)</f>
        <v/>
      </c>
      <c r="B1719" s="26" t="str">
        <f>IF(A1719="","",BASE_CAIXA!AL1716)</f>
        <v/>
      </c>
      <c r="C1719" s="26" t="str">
        <f>IF(A1719="","",BASE_CAIXA!AJ1716)</f>
        <v/>
      </c>
      <c r="D1719" s="26" t="str">
        <f>IF(A1719="","",IF(BASE_CAIXA!C1716="Entrada","Crédito","Débito"))</f>
        <v/>
      </c>
      <c r="E1719" s="26" t="str">
        <f>IF(A1719="","",BASE_CAIXA!AA1716)</f>
        <v/>
      </c>
      <c r="F1719" s="26" t="str">
        <f>IF(A1719="","",BASE_CAIXA!N1716)</f>
        <v/>
      </c>
      <c r="G1719" s="26" t="str">
        <f>IF(A1719="","",BASE_CAIXA!O1716)</f>
        <v/>
      </c>
      <c r="H1719" s="26" t="str">
        <f>IF(A1719="","",BASE_CAIXA!P1716)</f>
        <v/>
      </c>
      <c r="I1719" s="26" t="str">
        <f>IF(A1719="","",IF(BASE_CAIXA!H1716&lt;&gt;"",BASE_CAIXA!H1716,BASE_CAIXA!G1716))</f>
        <v/>
      </c>
      <c r="J1719" s="26" t="str">
        <f>IF(A1719="","",BASE_CAIXA!G1716)</f>
        <v/>
      </c>
      <c r="K1719" s="26" t="str">
        <f>IF(A1719="","",BASE_CAIXA!I1716)</f>
        <v/>
      </c>
      <c r="L1719" s="26" t="str">
        <f>IF(A1719="","",BASE_CAIXA!J1716)</f>
        <v/>
      </c>
      <c r="M1719" s="26" t="str">
        <f>IF(A1719="","",BASE_CAIXA!AM1716)</f>
        <v/>
      </c>
      <c r="N1719" s="26" t="str">
        <f t="shared" ca="1" si="78"/>
        <v/>
      </c>
      <c r="O1719" s="26" t="str">
        <f>IFERROR(INDEX(EXTRATO_IMPORTADO!$A$5:$A$404,MATCH(B1719,EXTRATO_IMPORTADO!$I$5:$I$404,0)),"")</f>
        <v/>
      </c>
      <c r="P1719" s="26" t="str">
        <f>IFERROR(INDEX(EXTRATO_IMPORTADO!$F$5:$F$404,MATCH(B1719,EXTRATO_IMPORTADO!$I$5:$I$404,0)),"")</f>
        <v/>
      </c>
      <c r="Q1719" s="26" t="str">
        <f>IFERROR(INDEX(EXTRATO_IMPORTADO!$B$5:$B$404,MATCH(B1719,EXTRATO_IMPORTADO!$I$5:$I$404,0)),"")</f>
        <v/>
      </c>
      <c r="R1719" s="26" t="str">
        <f>IFERROR(MATCH(B1719,EXTRATO_IMPORTADO!$I$5:$I$404,0),"")</f>
        <v/>
      </c>
      <c r="S1719" s="26" t="str">
        <f t="shared" si="79"/>
        <v/>
      </c>
      <c r="T1719" s="26" t="str">
        <f t="shared" si="80"/>
        <v/>
      </c>
    </row>
    <row r="1720" spans="1:20" x14ac:dyDescent="0.3">
      <c r="A1720" s="26" t="str">
        <f>IF(BASE_CAIXA!A1717="","",BASE_CAIXA!A1717)</f>
        <v/>
      </c>
      <c r="B1720" s="26" t="str">
        <f>IF(A1720="","",BASE_CAIXA!AL1717)</f>
        <v/>
      </c>
      <c r="C1720" s="26" t="str">
        <f>IF(A1720="","",BASE_CAIXA!AJ1717)</f>
        <v/>
      </c>
      <c r="D1720" s="26" t="str">
        <f>IF(A1720="","",IF(BASE_CAIXA!C1717="Entrada","Crédito","Débito"))</f>
        <v/>
      </c>
      <c r="E1720" s="26" t="str">
        <f>IF(A1720="","",BASE_CAIXA!AA1717)</f>
        <v/>
      </c>
      <c r="F1720" s="26" t="str">
        <f>IF(A1720="","",BASE_CAIXA!N1717)</f>
        <v/>
      </c>
      <c r="G1720" s="26" t="str">
        <f>IF(A1720="","",BASE_CAIXA!O1717)</f>
        <v/>
      </c>
      <c r="H1720" s="26" t="str">
        <f>IF(A1720="","",BASE_CAIXA!P1717)</f>
        <v/>
      </c>
      <c r="I1720" s="26" t="str">
        <f>IF(A1720="","",IF(BASE_CAIXA!H1717&lt;&gt;"",BASE_CAIXA!H1717,BASE_CAIXA!G1717))</f>
        <v/>
      </c>
      <c r="J1720" s="26" t="str">
        <f>IF(A1720="","",BASE_CAIXA!G1717)</f>
        <v/>
      </c>
      <c r="K1720" s="26" t="str">
        <f>IF(A1720="","",BASE_CAIXA!I1717)</f>
        <v/>
      </c>
      <c r="L1720" s="26" t="str">
        <f>IF(A1720="","",BASE_CAIXA!J1717)</f>
        <v/>
      </c>
      <c r="M1720" s="26" t="str">
        <f>IF(A1720="","",BASE_CAIXA!AM1717)</f>
        <v/>
      </c>
      <c r="N1720" s="26" t="str">
        <f t="shared" ca="1" si="78"/>
        <v/>
      </c>
      <c r="O1720" s="26" t="str">
        <f>IFERROR(INDEX(EXTRATO_IMPORTADO!$A$5:$A$404,MATCH(B1720,EXTRATO_IMPORTADO!$I$5:$I$404,0)),"")</f>
        <v/>
      </c>
      <c r="P1720" s="26" t="str">
        <f>IFERROR(INDEX(EXTRATO_IMPORTADO!$F$5:$F$404,MATCH(B1720,EXTRATO_IMPORTADO!$I$5:$I$404,0)),"")</f>
        <v/>
      </c>
      <c r="Q1720" s="26" t="str">
        <f>IFERROR(INDEX(EXTRATO_IMPORTADO!$B$5:$B$404,MATCH(B1720,EXTRATO_IMPORTADO!$I$5:$I$404,0)),"")</f>
        <v/>
      </c>
      <c r="R1720" s="26" t="str">
        <f>IFERROR(MATCH(B1720,EXTRATO_IMPORTADO!$I$5:$I$404,0),"")</f>
        <v/>
      </c>
      <c r="S1720" s="26" t="str">
        <f t="shared" si="79"/>
        <v/>
      </c>
      <c r="T1720" s="26" t="str">
        <f t="shared" si="80"/>
        <v/>
      </c>
    </row>
    <row r="1721" spans="1:20" x14ac:dyDescent="0.3">
      <c r="A1721" s="26" t="str">
        <f>IF(BASE_CAIXA!A1718="","",BASE_CAIXA!A1718)</f>
        <v/>
      </c>
      <c r="B1721" s="26" t="str">
        <f>IF(A1721="","",BASE_CAIXA!AL1718)</f>
        <v/>
      </c>
      <c r="C1721" s="26" t="str">
        <f>IF(A1721="","",BASE_CAIXA!AJ1718)</f>
        <v/>
      </c>
      <c r="D1721" s="26" t="str">
        <f>IF(A1721="","",IF(BASE_CAIXA!C1718="Entrada","Crédito","Débito"))</f>
        <v/>
      </c>
      <c r="E1721" s="26" t="str">
        <f>IF(A1721="","",BASE_CAIXA!AA1718)</f>
        <v/>
      </c>
      <c r="F1721" s="26" t="str">
        <f>IF(A1721="","",BASE_CAIXA!N1718)</f>
        <v/>
      </c>
      <c r="G1721" s="26" t="str">
        <f>IF(A1721="","",BASE_CAIXA!O1718)</f>
        <v/>
      </c>
      <c r="H1721" s="26" t="str">
        <f>IF(A1721="","",BASE_CAIXA!P1718)</f>
        <v/>
      </c>
      <c r="I1721" s="26" t="str">
        <f>IF(A1721="","",IF(BASE_CAIXA!H1718&lt;&gt;"",BASE_CAIXA!H1718,BASE_CAIXA!G1718))</f>
        <v/>
      </c>
      <c r="J1721" s="26" t="str">
        <f>IF(A1721="","",BASE_CAIXA!G1718)</f>
        <v/>
      </c>
      <c r="K1721" s="26" t="str">
        <f>IF(A1721="","",BASE_CAIXA!I1718)</f>
        <v/>
      </c>
      <c r="L1721" s="26" t="str">
        <f>IF(A1721="","",BASE_CAIXA!J1718)</f>
        <v/>
      </c>
      <c r="M1721" s="26" t="str">
        <f>IF(A1721="","",BASE_CAIXA!AM1718)</f>
        <v/>
      </c>
      <c r="N1721" s="26" t="str">
        <f t="shared" ca="1" si="78"/>
        <v/>
      </c>
      <c r="O1721" s="26" t="str">
        <f>IFERROR(INDEX(EXTRATO_IMPORTADO!$A$5:$A$404,MATCH(B1721,EXTRATO_IMPORTADO!$I$5:$I$404,0)),"")</f>
        <v/>
      </c>
      <c r="P1721" s="26" t="str">
        <f>IFERROR(INDEX(EXTRATO_IMPORTADO!$F$5:$F$404,MATCH(B1721,EXTRATO_IMPORTADO!$I$5:$I$404,0)),"")</f>
        <v/>
      </c>
      <c r="Q1721" s="26" t="str">
        <f>IFERROR(INDEX(EXTRATO_IMPORTADO!$B$5:$B$404,MATCH(B1721,EXTRATO_IMPORTADO!$I$5:$I$404,0)),"")</f>
        <v/>
      </c>
      <c r="R1721" s="26" t="str">
        <f>IFERROR(MATCH(B1721,EXTRATO_IMPORTADO!$I$5:$I$404,0),"")</f>
        <v/>
      </c>
      <c r="S1721" s="26" t="str">
        <f t="shared" si="79"/>
        <v/>
      </c>
      <c r="T1721" s="26" t="str">
        <f t="shared" si="80"/>
        <v/>
      </c>
    </row>
    <row r="1722" spans="1:20" x14ac:dyDescent="0.3">
      <c r="A1722" s="26" t="str">
        <f>IF(BASE_CAIXA!A1719="","",BASE_CAIXA!A1719)</f>
        <v/>
      </c>
      <c r="B1722" s="26" t="str">
        <f>IF(A1722="","",BASE_CAIXA!AL1719)</f>
        <v/>
      </c>
      <c r="C1722" s="26" t="str">
        <f>IF(A1722="","",BASE_CAIXA!AJ1719)</f>
        <v/>
      </c>
      <c r="D1722" s="26" t="str">
        <f>IF(A1722="","",IF(BASE_CAIXA!C1719="Entrada","Crédito","Débito"))</f>
        <v/>
      </c>
      <c r="E1722" s="26" t="str">
        <f>IF(A1722="","",BASE_CAIXA!AA1719)</f>
        <v/>
      </c>
      <c r="F1722" s="26" t="str">
        <f>IF(A1722="","",BASE_CAIXA!N1719)</f>
        <v/>
      </c>
      <c r="G1722" s="26" t="str">
        <f>IF(A1722="","",BASE_CAIXA!O1719)</f>
        <v/>
      </c>
      <c r="H1722" s="26" t="str">
        <f>IF(A1722="","",BASE_CAIXA!P1719)</f>
        <v/>
      </c>
      <c r="I1722" s="26" t="str">
        <f>IF(A1722="","",IF(BASE_CAIXA!H1719&lt;&gt;"",BASE_CAIXA!H1719,BASE_CAIXA!G1719))</f>
        <v/>
      </c>
      <c r="J1722" s="26" t="str">
        <f>IF(A1722="","",BASE_CAIXA!G1719)</f>
        <v/>
      </c>
      <c r="K1722" s="26" t="str">
        <f>IF(A1722="","",BASE_CAIXA!I1719)</f>
        <v/>
      </c>
      <c r="L1722" s="26" t="str">
        <f>IF(A1722="","",BASE_CAIXA!J1719)</f>
        <v/>
      </c>
      <c r="M1722" s="26" t="str">
        <f>IF(A1722="","",BASE_CAIXA!AM1719)</f>
        <v/>
      </c>
      <c r="N1722" s="26" t="str">
        <f t="shared" ca="1" si="78"/>
        <v/>
      </c>
      <c r="O1722" s="26" t="str">
        <f>IFERROR(INDEX(EXTRATO_IMPORTADO!$A$5:$A$404,MATCH(B1722,EXTRATO_IMPORTADO!$I$5:$I$404,0)),"")</f>
        <v/>
      </c>
      <c r="P1722" s="26" t="str">
        <f>IFERROR(INDEX(EXTRATO_IMPORTADO!$F$5:$F$404,MATCH(B1722,EXTRATO_IMPORTADO!$I$5:$I$404,0)),"")</f>
        <v/>
      </c>
      <c r="Q1722" s="26" t="str">
        <f>IFERROR(INDEX(EXTRATO_IMPORTADO!$B$5:$B$404,MATCH(B1722,EXTRATO_IMPORTADO!$I$5:$I$404,0)),"")</f>
        <v/>
      </c>
      <c r="R1722" s="26" t="str">
        <f>IFERROR(MATCH(B1722,EXTRATO_IMPORTADO!$I$5:$I$404,0),"")</f>
        <v/>
      </c>
      <c r="S1722" s="26" t="str">
        <f t="shared" si="79"/>
        <v/>
      </c>
      <c r="T1722" s="26" t="str">
        <f t="shared" si="80"/>
        <v/>
      </c>
    </row>
    <row r="1723" spans="1:20" x14ac:dyDescent="0.3">
      <c r="A1723" s="26" t="str">
        <f>IF(BASE_CAIXA!A1720="","",BASE_CAIXA!A1720)</f>
        <v/>
      </c>
      <c r="B1723" s="26" t="str">
        <f>IF(A1723="","",BASE_CAIXA!AL1720)</f>
        <v/>
      </c>
      <c r="C1723" s="26" t="str">
        <f>IF(A1723="","",BASE_CAIXA!AJ1720)</f>
        <v/>
      </c>
      <c r="D1723" s="26" t="str">
        <f>IF(A1723="","",IF(BASE_CAIXA!C1720="Entrada","Crédito","Débito"))</f>
        <v/>
      </c>
      <c r="E1723" s="26" t="str">
        <f>IF(A1723="","",BASE_CAIXA!AA1720)</f>
        <v/>
      </c>
      <c r="F1723" s="26" t="str">
        <f>IF(A1723="","",BASE_CAIXA!N1720)</f>
        <v/>
      </c>
      <c r="G1723" s="26" t="str">
        <f>IF(A1723="","",BASE_CAIXA!O1720)</f>
        <v/>
      </c>
      <c r="H1723" s="26" t="str">
        <f>IF(A1723="","",BASE_CAIXA!P1720)</f>
        <v/>
      </c>
      <c r="I1723" s="26" t="str">
        <f>IF(A1723="","",IF(BASE_CAIXA!H1720&lt;&gt;"",BASE_CAIXA!H1720,BASE_CAIXA!G1720))</f>
        <v/>
      </c>
      <c r="J1723" s="26" t="str">
        <f>IF(A1723="","",BASE_CAIXA!G1720)</f>
        <v/>
      </c>
      <c r="K1723" s="26" t="str">
        <f>IF(A1723="","",BASE_CAIXA!I1720)</f>
        <v/>
      </c>
      <c r="L1723" s="26" t="str">
        <f>IF(A1723="","",BASE_CAIXA!J1720)</f>
        <v/>
      </c>
      <c r="M1723" s="26" t="str">
        <f>IF(A1723="","",BASE_CAIXA!AM1720)</f>
        <v/>
      </c>
      <c r="N1723" s="26" t="str">
        <f t="shared" ca="1" si="78"/>
        <v/>
      </c>
      <c r="O1723" s="26" t="str">
        <f>IFERROR(INDEX(EXTRATO_IMPORTADO!$A$5:$A$404,MATCH(B1723,EXTRATO_IMPORTADO!$I$5:$I$404,0)),"")</f>
        <v/>
      </c>
      <c r="P1723" s="26" t="str">
        <f>IFERROR(INDEX(EXTRATO_IMPORTADO!$F$5:$F$404,MATCH(B1723,EXTRATO_IMPORTADO!$I$5:$I$404,0)),"")</f>
        <v/>
      </c>
      <c r="Q1723" s="26" t="str">
        <f>IFERROR(INDEX(EXTRATO_IMPORTADO!$B$5:$B$404,MATCH(B1723,EXTRATO_IMPORTADO!$I$5:$I$404,0)),"")</f>
        <v/>
      </c>
      <c r="R1723" s="26" t="str">
        <f>IFERROR(MATCH(B1723,EXTRATO_IMPORTADO!$I$5:$I$404,0),"")</f>
        <v/>
      </c>
      <c r="S1723" s="26" t="str">
        <f t="shared" si="79"/>
        <v/>
      </c>
      <c r="T1723" s="26" t="str">
        <f t="shared" si="80"/>
        <v/>
      </c>
    </row>
    <row r="1724" spans="1:20" x14ac:dyDescent="0.3">
      <c r="A1724" s="26" t="str">
        <f>IF(BASE_CAIXA!A1721="","",BASE_CAIXA!A1721)</f>
        <v/>
      </c>
      <c r="B1724" s="26" t="str">
        <f>IF(A1724="","",BASE_CAIXA!AL1721)</f>
        <v/>
      </c>
      <c r="C1724" s="26" t="str">
        <f>IF(A1724="","",BASE_CAIXA!AJ1721)</f>
        <v/>
      </c>
      <c r="D1724" s="26" t="str">
        <f>IF(A1724="","",IF(BASE_CAIXA!C1721="Entrada","Crédito","Débito"))</f>
        <v/>
      </c>
      <c r="E1724" s="26" t="str">
        <f>IF(A1724="","",BASE_CAIXA!AA1721)</f>
        <v/>
      </c>
      <c r="F1724" s="26" t="str">
        <f>IF(A1724="","",BASE_CAIXA!N1721)</f>
        <v/>
      </c>
      <c r="G1724" s="26" t="str">
        <f>IF(A1724="","",BASE_CAIXA!O1721)</f>
        <v/>
      </c>
      <c r="H1724" s="26" t="str">
        <f>IF(A1724="","",BASE_CAIXA!P1721)</f>
        <v/>
      </c>
      <c r="I1724" s="26" t="str">
        <f>IF(A1724="","",IF(BASE_CAIXA!H1721&lt;&gt;"",BASE_CAIXA!H1721,BASE_CAIXA!G1721))</f>
        <v/>
      </c>
      <c r="J1724" s="26" t="str">
        <f>IF(A1724="","",BASE_CAIXA!G1721)</f>
        <v/>
      </c>
      <c r="K1724" s="26" t="str">
        <f>IF(A1724="","",BASE_CAIXA!I1721)</f>
        <v/>
      </c>
      <c r="L1724" s="26" t="str">
        <f>IF(A1724="","",BASE_CAIXA!J1721)</f>
        <v/>
      </c>
      <c r="M1724" s="26" t="str">
        <f>IF(A1724="","",BASE_CAIXA!AM1721)</f>
        <v/>
      </c>
      <c r="N1724" s="26" t="str">
        <f t="shared" ca="1" si="78"/>
        <v/>
      </c>
      <c r="O1724" s="26" t="str">
        <f>IFERROR(INDEX(EXTRATO_IMPORTADO!$A$5:$A$404,MATCH(B1724,EXTRATO_IMPORTADO!$I$5:$I$404,0)),"")</f>
        <v/>
      </c>
      <c r="P1724" s="26" t="str">
        <f>IFERROR(INDEX(EXTRATO_IMPORTADO!$F$5:$F$404,MATCH(B1724,EXTRATO_IMPORTADO!$I$5:$I$404,0)),"")</f>
        <v/>
      </c>
      <c r="Q1724" s="26" t="str">
        <f>IFERROR(INDEX(EXTRATO_IMPORTADO!$B$5:$B$404,MATCH(B1724,EXTRATO_IMPORTADO!$I$5:$I$404,0)),"")</f>
        <v/>
      </c>
      <c r="R1724" s="26" t="str">
        <f>IFERROR(MATCH(B1724,EXTRATO_IMPORTADO!$I$5:$I$404,0),"")</f>
        <v/>
      </c>
      <c r="S1724" s="26" t="str">
        <f t="shared" si="79"/>
        <v/>
      </c>
      <c r="T1724" s="26" t="str">
        <f t="shared" si="80"/>
        <v/>
      </c>
    </row>
    <row r="1725" spans="1:20" x14ac:dyDescent="0.3">
      <c r="A1725" s="26" t="str">
        <f>IF(BASE_CAIXA!A1722="","",BASE_CAIXA!A1722)</f>
        <v/>
      </c>
      <c r="B1725" s="26" t="str">
        <f>IF(A1725="","",BASE_CAIXA!AL1722)</f>
        <v/>
      </c>
      <c r="C1725" s="26" t="str">
        <f>IF(A1725="","",BASE_CAIXA!AJ1722)</f>
        <v/>
      </c>
      <c r="D1725" s="26" t="str">
        <f>IF(A1725="","",IF(BASE_CAIXA!C1722="Entrada","Crédito","Débito"))</f>
        <v/>
      </c>
      <c r="E1725" s="26" t="str">
        <f>IF(A1725="","",BASE_CAIXA!AA1722)</f>
        <v/>
      </c>
      <c r="F1725" s="26" t="str">
        <f>IF(A1725="","",BASE_CAIXA!N1722)</f>
        <v/>
      </c>
      <c r="G1725" s="26" t="str">
        <f>IF(A1725="","",BASE_CAIXA!O1722)</f>
        <v/>
      </c>
      <c r="H1725" s="26" t="str">
        <f>IF(A1725="","",BASE_CAIXA!P1722)</f>
        <v/>
      </c>
      <c r="I1725" s="26" t="str">
        <f>IF(A1725="","",IF(BASE_CAIXA!H1722&lt;&gt;"",BASE_CAIXA!H1722,BASE_CAIXA!G1722))</f>
        <v/>
      </c>
      <c r="J1725" s="26" t="str">
        <f>IF(A1725="","",BASE_CAIXA!G1722)</f>
        <v/>
      </c>
      <c r="K1725" s="26" t="str">
        <f>IF(A1725="","",BASE_CAIXA!I1722)</f>
        <v/>
      </c>
      <c r="L1725" s="26" t="str">
        <f>IF(A1725="","",BASE_CAIXA!J1722)</f>
        <v/>
      </c>
      <c r="M1725" s="26" t="str">
        <f>IF(A1725="","",BASE_CAIXA!AM1722)</f>
        <v/>
      </c>
      <c r="N1725" s="26" t="str">
        <f t="shared" ca="1" si="78"/>
        <v/>
      </c>
      <c r="O1725" s="26" t="str">
        <f>IFERROR(INDEX(EXTRATO_IMPORTADO!$A$5:$A$404,MATCH(B1725,EXTRATO_IMPORTADO!$I$5:$I$404,0)),"")</f>
        <v/>
      </c>
      <c r="P1725" s="26" t="str">
        <f>IFERROR(INDEX(EXTRATO_IMPORTADO!$F$5:$F$404,MATCH(B1725,EXTRATO_IMPORTADO!$I$5:$I$404,0)),"")</f>
        <v/>
      </c>
      <c r="Q1725" s="26" t="str">
        <f>IFERROR(INDEX(EXTRATO_IMPORTADO!$B$5:$B$404,MATCH(B1725,EXTRATO_IMPORTADO!$I$5:$I$404,0)),"")</f>
        <v/>
      </c>
      <c r="R1725" s="26" t="str">
        <f>IFERROR(MATCH(B1725,EXTRATO_IMPORTADO!$I$5:$I$404,0),"")</f>
        <v/>
      </c>
      <c r="S1725" s="26" t="str">
        <f t="shared" si="79"/>
        <v/>
      </c>
      <c r="T1725" s="26" t="str">
        <f t="shared" si="80"/>
        <v/>
      </c>
    </row>
    <row r="1726" spans="1:20" x14ac:dyDescent="0.3">
      <c r="A1726" s="26" t="str">
        <f>IF(BASE_CAIXA!A1723="","",BASE_CAIXA!A1723)</f>
        <v/>
      </c>
      <c r="B1726" s="26" t="str">
        <f>IF(A1726="","",BASE_CAIXA!AL1723)</f>
        <v/>
      </c>
      <c r="C1726" s="26" t="str">
        <f>IF(A1726="","",BASE_CAIXA!AJ1723)</f>
        <v/>
      </c>
      <c r="D1726" s="26" t="str">
        <f>IF(A1726="","",IF(BASE_CAIXA!C1723="Entrada","Crédito","Débito"))</f>
        <v/>
      </c>
      <c r="E1726" s="26" t="str">
        <f>IF(A1726="","",BASE_CAIXA!AA1723)</f>
        <v/>
      </c>
      <c r="F1726" s="26" t="str">
        <f>IF(A1726="","",BASE_CAIXA!N1723)</f>
        <v/>
      </c>
      <c r="G1726" s="26" t="str">
        <f>IF(A1726="","",BASE_CAIXA!O1723)</f>
        <v/>
      </c>
      <c r="H1726" s="26" t="str">
        <f>IF(A1726="","",BASE_CAIXA!P1723)</f>
        <v/>
      </c>
      <c r="I1726" s="26" t="str">
        <f>IF(A1726="","",IF(BASE_CAIXA!H1723&lt;&gt;"",BASE_CAIXA!H1723,BASE_CAIXA!G1723))</f>
        <v/>
      </c>
      <c r="J1726" s="26" t="str">
        <f>IF(A1726="","",BASE_CAIXA!G1723)</f>
        <v/>
      </c>
      <c r="K1726" s="26" t="str">
        <f>IF(A1726="","",BASE_CAIXA!I1723)</f>
        <v/>
      </c>
      <c r="L1726" s="26" t="str">
        <f>IF(A1726="","",BASE_CAIXA!J1723)</f>
        <v/>
      </c>
      <c r="M1726" s="26" t="str">
        <f>IF(A1726="","",BASE_CAIXA!AM1723)</f>
        <v/>
      </c>
      <c r="N1726" s="26" t="str">
        <f t="shared" ca="1" si="78"/>
        <v/>
      </c>
      <c r="O1726" s="26" t="str">
        <f>IFERROR(INDEX(EXTRATO_IMPORTADO!$A$5:$A$404,MATCH(B1726,EXTRATO_IMPORTADO!$I$5:$I$404,0)),"")</f>
        <v/>
      </c>
      <c r="P1726" s="26" t="str">
        <f>IFERROR(INDEX(EXTRATO_IMPORTADO!$F$5:$F$404,MATCH(B1726,EXTRATO_IMPORTADO!$I$5:$I$404,0)),"")</f>
        <v/>
      </c>
      <c r="Q1726" s="26" t="str">
        <f>IFERROR(INDEX(EXTRATO_IMPORTADO!$B$5:$B$404,MATCH(B1726,EXTRATO_IMPORTADO!$I$5:$I$404,0)),"")</f>
        <v/>
      </c>
      <c r="R1726" s="26" t="str">
        <f>IFERROR(MATCH(B1726,EXTRATO_IMPORTADO!$I$5:$I$404,0),"")</f>
        <v/>
      </c>
      <c r="S1726" s="26" t="str">
        <f t="shared" si="79"/>
        <v/>
      </c>
      <c r="T1726" s="26" t="str">
        <f t="shared" si="80"/>
        <v/>
      </c>
    </row>
    <row r="1727" spans="1:20" x14ac:dyDescent="0.3">
      <c r="A1727" s="26" t="str">
        <f>IF(BASE_CAIXA!A1724="","",BASE_CAIXA!A1724)</f>
        <v/>
      </c>
      <c r="B1727" s="26" t="str">
        <f>IF(A1727="","",BASE_CAIXA!AL1724)</f>
        <v/>
      </c>
      <c r="C1727" s="26" t="str">
        <f>IF(A1727="","",BASE_CAIXA!AJ1724)</f>
        <v/>
      </c>
      <c r="D1727" s="26" t="str">
        <f>IF(A1727="","",IF(BASE_CAIXA!C1724="Entrada","Crédito","Débito"))</f>
        <v/>
      </c>
      <c r="E1727" s="26" t="str">
        <f>IF(A1727="","",BASE_CAIXA!AA1724)</f>
        <v/>
      </c>
      <c r="F1727" s="26" t="str">
        <f>IF(A1727="","",BASE_CAIXA!N1724)</f>
        <v/>
      </c>
      <c r="G1727" s="26" t="str">
        <f>IF(A1727="","",BASE_CAIXA!O1724)</f>
        <v/>
      </c>
      <c r="H1727" s="26" t="str">
        <f>IF(A1727="","",BASE_CAIXA!P1724)</f>
        <v/>
      </c>
      <c r="I1727" s="26" t="str">
        <f>IF(A1727="","",IF(BASE_CAIXA!H1724&lt;&gt;"",BASE_CAIXA!H1724,BASE_CAIXA!G1724))</f>
        <v/>
      </c>
      <c r="J1727" s="26" t="str">
        <f>IF(A1727="","",BASE_CAIXA!G1724)</f>
        <v/>
      </c>
      <c r="K1727" s="26" t="str">
        <f>IF(A1727="","",BASE_CAIXA!I1724)</f>
        <v/>
      </c>
      <c r="L1727" s="26" t="str">
        <f>IF(A1727="","",BASE_CAIXA!J1724)</f>
        <v/>
      </c>
      <c r="M1727" s="26" t="str">
        <f>IF(A1727="","",BASE_CAIXA!AM1724)</f>
        <v/>
      </c>
      <c r="N1727" s="26" t="str">
        <f t="shared" ca="1" si="78"/>
        <v/>
      </c>
      <c r="O1727" s="26" t="str">
        <f>IFERROR(INDEX(EXTRATO_IMPORTADO!$A$5:$A$404,MATCH(B1727,EXTRATO_IMPORTADO!$I$5:$I$404,0)),"")</f>
        <v/>
      </c>
      <c r="P1727" s="26" t="str">
        <f>IFERROR(INDEX(EXTRATO_IMPORTADO!$F$5:$F$404,MATCH(B1727,EXTRATO_IMPORTADO!$I$5:$I$404,0)),"")</f>
        <v/>
      </c>
      <c r="Q1727" s="26" t="str">
        <f>IFERROR(INDEX(EXTRATO_IMPORTADO!$B$5:$B$404,MATCH(B1727,EXTRATO_IMPORTADO!$I$5:$I$404,0)),"")</f>
        <v/>
      </c>
      <c r="R1727" s="26" t="str">
        <f>IFERROR(MATCH(B1727,EXTRATO_IMPORTADO!$I$5:$I$404,0),"")</f>
        <v/>
      </c>
      <c r="S1727" s="26" t="str">
        <f t="shared" si="79"/>
        <v/>
      </c>
      <c r="T1727" s="26" t="str">
        <f t="shared" si="80"/>
        <v/>
      </c>
    </row>
    <row r="1728" spans="1:20" x14ac:dyDescent="0.3">
      <c r="A1728" s="26" t="str">
        <f>IF(BASE_CAIXA!A1725="","",BASE_CAIXA!A1725)</f>
        <v/>
      </c>
      <c r="B1728" s="26" t="str">
        <f>IF(A1728="","",BASE_CAIXA!AL1725)</f>
        <v/>
      </c>
      <c r="C1728" s="26" t="str">
        <f>IF(A1728="","",BASE_CAIXA!AJ1725)</f>
        <v/>
      </c>
      <c r="D1728" s="26" t="str">
        <f>IF(A1728="","",IF(BASE_CAIXA!C1725="Entrada","Crédito","Débito"))</f>
        <v/>
      </c>
      <c r="E1728" s="26" t="str">
        <f>IF(A1728="","",BASE_CAIXA!AA1725)</f>
        <v/>
      </c>
      <c r="F1728" s="26" t="str">
        <f>IF(A1728="","",BASE_CAIXA!N1725)</f>
        <v/>
      </c>
      <c r="G1728" s="26" t="str">
        <f>IF(A1728="","",BASE_CAIXA!O1725)</f>
        <v/>
      </c>
      <c r="H1728" s="26" t="str">
        <f>IF(A1728="","",BASE_CAIXA!P1725)</f>
        <v/>
      </c>
      <c r="I1728" s="26" t="str">
        <f>IF(A1728="","",IF(BASE_CAIXA!H1725&lt;&gt;"",BASE_CAIXA!H1725,BASE_CAIXA!G1725))</f>
        <v/>
      </c>
      <c r="J1728" s="26" t="str">
        <f>IF(A1728="","",BASE_CAIXA!G1725)</f>
        <v/>
      </c>
      <c r="K1728" s="26" t="str">
        <f>IF(A1728="","",BASE_CAIXA!I1725)</f>
        <v/>
      </c>
      <c r="L1728" s="26" t="str">
        <f>IF(A1728="","",BASE_CAIXA!J1725)</f>
        <v/>
      </c>
      <c r="M1728" s="26" t="str">
        <f>IF(A1728="","",BASE_CAIXA!AM1725)</f>
        <v/>
      </c>
      <c r="N1728" s="26" t="str">
        <f t="shared" ca="1" si="78"/>
        <v/>
      </c>
      <c r="O1728" s="26" t="str">
        <f>IFERROR(INDEX(EXTRATO_IMPORTADO!$A$5:$A$404,MATCH(B1728,EXTRATO_IMPORTADO!$I$5:$I$404,0)),"")</f>
        <v/>
      </c>
      <c r="P1728" s="26" t="str">
        <f>IFERROR(INDEX(EXTRATO_IMPORTADO!$F$5:$F$404,MATCH(B1728,EXTRATO_IMPORTADO!$I$5:$I$404,0)),"")</f>
        <v/>
      </c>
      <c r="Q1728" s="26" t="str">
        <f>IFERROR(INDEX(EXTRATO_IMPORTADO!$B$5:$B$404,MATCH(B1728,EXTRATO_IMPORTADO!$I$5:$I$404,0)),"")</f>
        <v/>
      </c>
      <c r="R1728" s="26" t="str">
        <f>IFERROR(MATCH(B1728,EXTRATO_IMPORTADO!$I$5:$I$404,0),"")</f>
        <v/>
      </c>
      <c r="S1728" s="26" t="str">
        <f t="shared" si="79"/>
        <v/>
      </c>
      <c r="T1728" s="26" t="str">
        <f t="shared" si="80"/>
        <v/>
      </c>
    </row>
    <row r="1729" spans="1:20" x14ac:dyDescent="0.3">
      <c r="A1729" s="26" t="str">
        <f>IF(BASE_CAIXA!A1726="","",BASE_CAIXA!A1726)</f>
        <v/>
      </c>
      <c r="B1729" s="26" t="str">
        <f>IF(A1729="","",BASE_CAIXA!AL1726)</f>
        <v/>
      </c>
      <c r="C1729" s="26" t="str">
        <f>IF(A1729="","",BASE_CAIXA!AJ1726)</f>
        <v/>
      </c>
      <c r="D1729" s="26" t="str">
        <f>IF(A1729="","",IF(BASE_CAIXA!C1726="Entrada","Crédito","Débito"))</f>
        <v/>
      </c>
      <c r="E1729" s="26" t="str">
        <f>IF(A1729="","",BASE_CAIXA!AA1726)</f>
        <v/>
      </c>
      <c r="F1729" s="26" t="str">
        <f>IF(A1729="","",BASE_CAIXA!N1726)</f>
        <v/>
      </c>
      <c r="G1729" s="26" t="str">
        <f>IF(A1729="","",BASE_CAIXA!O1726)</f>
        <v/>
      </c>
      <c r="H1729" s="26" t="str">
        <f>IF(A1729="","",BASE_CAIXA!P1726)</f>
        <v/>
      </c>
      <c r="I1729" s="26" t="str">
        <f>IF(A1729="","",IF(BASE_CAIXA!H1726&lt;&gt;"",BASE_CAIXA!H1726,BASE_CAIXA!G1726))</f>
        <v/>
      </c>
      <c r="J1729" s="26" t="str">
        <f>IF(A1729="","",BASE_CAIXA!G1726)</f>
        <v/>
      </c>
      <c r="K1729" s="26" t="str">
        <f>IF(A1729="","",BASE_CAIXA!I1726)</f>
        <v/>
      </c>
      <c r="L1729" s="26" t="str">
        <f>IF(A1729="","",BASE_CAIXA!J1726)</f>
        <v/>
      </c>
      <c r="M1729" s="26" t="str">
        <f>IF(A1729="","",BASE_CAIXA!AM1726)</f>
        <v/>
      </c>
      <c r="N1729" s="26" t="str">
        <f t="shared" ca="1" si="78"/>
        <v/>
      </c>
      <c r="O1729" s="26" t="str">
        <f>IFERROR(INDEX(EXTRATO_IMPORTADO!$A$5:$A$404,MATCH(B1729,EXTRATO_IMPORTADO!$I$5:$I$404,0)),"")</f>
        <v/>
      </c>
      <c r="P1729" s="26" t="str">
        <f>IFERROR(INDEX(EXTRATO_IMPORTADO!$F$5:$F$404,MATCH(B1729,EXTRATO_IMPORTADO!$I$5:$I$404,0)),"")</f>
        <v/>
      </c>
      <c r="Q1729" s="26" t="str">
        <f>IFERROR(INDEX(EXTRATO_IMPORTADO!$B$5:$B$404,MATCH(B1729,EXTRATO_IMPORTADO!$I$5:$I$404,0)),"")</f>
        <v/>
      </c>
      <c r="R1729" s="26" t="str">
        <f>IFERROR(MATCH(B1729,EXTRATO_IMPORTADO!$I$5:$I$404,0),"")</f>
        <v/>
      </c>
      <c r="S1729" s="26" t="str">
        <f t="shared" si="79"/>
        <v/>
      </c>
      <c r="T1729" s="26" t="str">
        <f t="shared" si="80"/>
        <v/>
      </c>
    </row>
    <row r="1730" spans="1:20" x14ac:dyDescent="0.3">
      <c r="A1730" s="26" t="str">
        <f>IF(BASE_CAIXA!A1727="","",BASE_CAIXA!A1727)</f>
        <v/>
      </c>
      <c r="B1730" s="26" t="str">
        <f>IF(A1730="","",BASE_CAIXA!AL1727)</f>
        <v/>
      </c>
      <c r="C1730" s="26" t="str">
        <f>IF(A1730="","",BASE_CAIXA!AJ1727)</f>
        <v/>
      </c>
      <c r="D1730" s="26" t="str">
        <f>IF(A1730="","",IF(BASE_CAIXA!C1727="Entrada","Crédito","Débito"))</f>
        <v/>
      </c>
      <c r="E1730" s="26" t="str">
        <f>IF(A1730="","",BASE_CAIXA!AA1727)</f>
        <v/>
      </c>
      <c r="F1730" s="26" t="str">
        <f>IF(A1730="","",BASE_CAIXA!N1727)</f>
        <v/>
      </c>
      <c r="G1730" s="26" t="str">
        <f>IF(A1730="","",BASE_CAIXA!O1727)</f>
        <v/>
      </c>
      <c r="H1730" s="26" t="str">
        <f>IF(A1730="","",BASE_CAIXA!P1727)</f>
        <v/>
      </c>
      <c r="I1730" s="26" t="str">
        <f>IF(A1730="","",IF(BASE_CAIXA!H1727&lt;&gt;"",BASE_CAIXA!H1727,BASE_CAIXA!G1727))</f>
        <v/>
      </c>
      <c r="J1730" s="26" t="str">
        <f>IF(A1730="","",BASE_CAIXA!G1727)</f>
        <v/>
      </c>
      <c r="K1730" s="26" t="str">
        <f>IF(A1730="","",BASE_CAIXA!I1727)</f>
        <v/>
      </c>
      <c r="L1730" s="26" t="str">
        <f>IF(A1730="","",BASE_CAIXA!J1727)</f>
        <v/>
      </c>
      <c r="M1730" s="26" t="str">
        <f>IF(A1730="","",BASE_CAIXA!AM1727)</f>
        <v/>
      </c>
      <c r="N1730" s="26" t="str">
        <f t="shared" ca="1" si="78"/>
        <v/>
      </c>
      <c r="O1730" s="26" t="str">
        <f>IFERROR(INDEX(EXTRATO_IMPORTADO!$A$5:$A$404,MATCH(B1730,EXTRATO_IMPORTADO!$I$5:$I$404,0)),"")</f>
        <v/>
      </c>
      <c r="P1730" s="26" t="str">
        <f>IFERROR(INDEX(EXTRATO_IMPORTADO!$F$5:$F$404,MATCH(B1730,EXTRATO_IMPORTADO!$I$5:$I$404,0)),"")</f>
        <v/>
      </c>
      <c r="Q1730" s="26" t="str">
        <f>IFERROR(INDEX(EXTRATO_IMPORTADO!$B$5:$B$404,MATCH(B1730,EXTRATO_IMPORTADO!$I$5:$I$404,0)),"")</f>
        <v/>
      </c>
      <c r="R1730" s="26" t="str">
        <f>IFERROR(MATCH(B1730,EXTRATO_IMPORTADO!$I$5:$I$404,0),"")</f>
        <v/>
      </c>
      <c r="S1730" s="26" t="str">
        <f t="shared" si="79"/>
        <v/>
      </c>
      <c r="T1730" s="26" t="str">
        <f t="shared" si="80"/>
        <v/>
      </c>
    </row>
    <row r="1731" spans="1:20" x14ac:dyDescent="0.3">
      <c r="A1731" s="26" t="str">
        <f>IF(BASE_CAIXA!A1728="","",BASE_CAIXA!A1728)</f>
        <v/>
      </c>
      <c r="B1731" s="26" t="str">
        <f>IF(A1731="","",BASE_CAIXA!AL1728)</f>
        <v/>
      </c>
      <c r="C1731" s="26" t="str">
        <f>IF(A1731="","",BASE_CAIXA!AJ1728)</f>
        <v/>
      </c>
      <c r="D1731" s="26" t="str">
        <f>IF(A1731="","",IF(BASE_CAIXA!C1728="Entrada","Crédito","Débito"))</f>
        <v/>
      </c>
      <c r="E1731" s="26" t="str">
        <f>IF(A1731="","",BASE_CAIXA!AA1728)</f>
        <v/>
      </c>
      <c r="F1731" s="26" t="str">
        <f>IF(A1731="","",BASE_CAIXA!N1728)</f>
        <v/>
      </c>
      <c r="G1731" s="26" t="str">
        <f>IF(A1731="","",BASE_CAIXA!O1728)</f>
        <v/>
      </c>
      <c r="H1731" s="26" t="str">
        <f>IF(A1731="","",BASE_CAIXA!P1728)</f>
        <v/>
      </c>
      <c r="I1731" s="26" t="str">
        <f>IF(A1731="","",IF(BASE_CAIXA!H1728&lt;&gt;"",BASE_CAIXA!H1728,BASE_CAIXA!G1728))</f>
        <v/>
      </c>
      <c r="J1731" s="26" t="str">
        <f>IF(A1731="","",BASE_CAIXA!G1728)</f>
        <v/>
      </c>
      <c r="K1731" s="26" t="str">
        <f>IF(A1731="","",BASE_CAIXA!I1728)</f>
        <v/>
      </c>
      <c r="L1731" s="26" t="str">
        <f>IF(A1731="","",BASE_CAIXA!J1728)</f>
        <v/>
      </c>
      <c r="M1731" s="26" t="str">
        <f>IF(A1731="","",BASE_CAIXA!AM1728)</f>
        <v/>
      </c>
      <c r="N1731" s="26" t="str">
        <f t="shared" ca="1" si="78"/>
        <v/>
      </c>
      <c r="O1731" s="26" t="str">
        <f>IFERROR(INDEX(EXTRATO_IMPORTADO!$A$5:$A$404,MATCH(B1731,EXTRATO_IMPORTADO!$I$5:$I$404,0)),"")</f>
        <v/>
      </c>
      <c r="P1731" s="26" t="str">
        <f>IFERROR(INDEX(EXTRATO_IMPORTADO!$F$5:$F$404,MATCH(B1731,EXTRATO_IMPORTADO!$I$5:$I$404,0)),"")</f>
        <v/>
      </c>
      <c r="Q1731" s="26" t="str">
        <f>IFERROR(INDEX(EXTRATO_IMPORTADO!$B$5:$B$404,MATCH(B1731,EXTRATO_IMPORTADO!$I$5:$I$404,0)),"")</f>
        <v/>
      </c>
      <c r="R1731" s="26" t="str">
        <f>IFERROR(MATCH(B1731,EXTRATO_IMPORTADO!$I$5:$I$404,0),"")</f>
        <v/>
      </c>
      <c r="S1731" s="26" t="str">
        <f t="shared" si="79"/>
        <v/>
      </c>
      <c r="T1731" s="26" t="str">
        <f t="shared" si="80"/>
        <v/>
      </c>
    </row>
    <row r="1732" spans="1:20" x14ac:dyDescent="0.3">
      <c r="A1732" s="26" t="str">
        <f>IF(BASE_CAIXA!A1729="","",BASE_CAIXA!A1729)</f>
        <v/>
      </c>
      <c r="B1732" s="26" t="str">
        <f>IF(A1732="","",BASE_CAIXA!AL1729)</f>
        <v/>
      </c>
      <c r="C1732" s="26" t="str">
        <f>IF(A1732="","",BASE_CAIXA!AJ1729)</f>
        <v/>
      </c>
      <c r="D1732" s="26" t="str">
        <f>IF(A1732="","",IF(BASE_CAIXA!C1729="Entrada","Crédito","Débito"))</f>
        <v/>
      </c>
      <c r="E1732" s="26" t="str">
        <f>IF(A1732="","",BASE_CAIXA!AA1729)</f>
        <v/>
      </c>
      <c r="F1732" s="26" t="str">
        <f>IF(A1732="","",BASE_CAIXA!N1729)</f>
        <v/>
      </c>
      <c r="G1732" s="26" t="str">
        <f>IF(A1732="","",BASE_CAIXA!O1729)</f>
        <v/>
      </c>
      <c r="H1732" s="26" t="str">
        <f>IF(A1732="","",BASE_CAIXA!P1729)</f>
        <v/>
      </c>
      <c r="I1732" s="26" t="str">
        <f>IF(A1732="","",IF(BASE_CAIXA!H1729&lt;&gt;"",BASE_CAIXA!H1729,BASE_CAIXA!G1729))</f>
        <v/>
      </c>
      <c r="J1732" s="26" t="str">
        <f>IF(A1732="","",BASE_CAIXA!G1729)</f>
        <v/>
      </c>
      <c r="K1732" s="26" t="str">
        <f>IF(A1732="","",BASE_CAIXA!I1729)</f>
        <v/>
      </c>
      <c r="L1732" s="26" t="str">
        <f>IF(A1732="","",BASE_CAIXA!J1729)</f>
        <v/>
      </c>
      <c r="M1732" s="26" t="str">
        <f>IF(A1732="","",BASE_CAIXA!AM1729)</f>
        <v/>
      </c>
      <c r="N1732" s="26" t="str">
        <f t="shared" ca="1" si="78"/>
        <v/>
      </c>
      <c r="O1732" s="26" t="str">
        <f>IFERROR(INDEX(EXTRATO_IMPORTADO!$A$5:$A$404,MATCH(B1732,EXTRATO_IMPORTADO!$I$5:$I$404,0)),"")</f>
        <v/>
      </c>
      <c r="P1732" s="26" t="str">
        <f>IFERROR(INDEX(EXTRATO_IMPORTADO!$F$5:$F$404,MATCH(B1732,EXTRATO_IMPORTADO!$I$5:$I$404,0)),"")</f>
        <v/>
      </c>
      <c r="Q1732" s="26" t="str">
        <f>IFERROR(INDEX(EXTRATO_IMPORTADO!$B$5:$B$404,MATCH(B1732,EXTRATO_IMPORTADO!$I$5:$I$404,0)),"")</f>
        <v/>
      </c>
      <c r="R1732" s="26" t="str">
        <f>IFERROR(MATCH(B1732,EXTRATO_IMPORTADO!$I$5:$I$404,0),"")</f>
        <v/>
      </c>
      <c r="S1732" s="26" t="str">
        <f t="shared" si="79"/>
        <v/>
      </c>
      <c r="T1732" s="26" t="str">
        <f t="shared" si="80"/>
        <v/>
      </c>
    </row>
    <row r="1733" spans="1:20" x14ac:dyDescent="0.3">
      <c r="A1733" s="26" t="str">
        <f>IF(BASE_CAIXA!A1730="","",BASE_CAIXA!A1730)</f>
        <v/>
      </c>
      <c r="B1733" s="26" t="str">
        <f>IF(A1733="","",BASE_CAIXA!AL1730)</f>
        <v/>
      </c>
      <c r="C1733" s="26" t="str">
        <f>IF(A1733="","",BASE_CAIXA!AJ1730)</f>
        <v/>
      </c>
      <c r="D1733" s="26" t="str">
        <f>IF(A1733="","",IF(BASE_CAIXA!C1730="Entrada","Crédito","Débito"))</f>
        <v/>
      </c>
      <c r="E1733" s="26" t="str">
        <f>IF(A1733="","",BASE_CAIXA!AA1730)</f>
        <v/>
      </c>
      <c r="F1733" s="26" t="str">
        <f>IF(A1733="","",BASE_CAIXA!N1730)</f>
        <v/>
      </c>
      <c r="G1733" s="26" t="str">
        <f>IF(A1733="","",BASE_CAIXA!O1730)</f>
        <v/>
      </c>
      <c r="H1733" s="26" t="str">
        <f>IF(A1733="","",BASE_CAIXA!P1730)</f>
        <v/>
      </c>
      <c r="I1733" s="26" t="str">
        <f>IF(A1733="","",IF(BASE_CAIXA!H1730&lt;&gt;"",BASE_CAIXA!H1730,BASE_CAIXA!G1730))</f>
        <v/>
      </c>
      <c r="J1733" s="26" t="str">
        <f>IF(A1733="","",BASE_CAIXA!G1730)</f>
        <v/>
      </c>
      <c r="K1733" s="26" t="str">
        <f>IF(A1733="","",BASE_CAIXA!I1730)</f>
        <v/>
      </c>
      <c r="L1733" s="26" t="str">
        <f>IF(A1733="","",BASE_CAIXA!J1730)</f>
        <v/>
      </c>
      <c r="M1733" s="26" t="str">
        <f>IF(A1733="","",BASE_CAIXA!AM1730)</f>
        <v/>
      </c>
      <c r="N1733" s="26" t="str">
        <f t="shared" ref="N1733:N1796" ca="1" si="81">IF(A1733="","",IF(R1733&lt;&gt;"",IF(AND(ABS(S1733)&lt;=0.01,ABS(T1733)&lt;=3),"Conciliado","Divergente"),IF(TODAY()&gt;C1733,"Pendente vencido","Previsto")))</f>
        <v/>
      </c>
      <c r="O1733" s="26" t="str">
        <f>IFERROR(INDEX(EXTRATO_IMPORTADO!$A$5:$A$404,MATCH(B1733,EXTRATO_IMPORTADO!$I$5:$I$404,0)),"")</f>
        <v/>
      </c>
      <c r="P1733" s="26" t="str">
        <f>IFERROR(INDEX(EXTRATO_IMPORTADO!$F$5:$F$404,MATCH(B1733,EXTRATO_IMPORTADO!$I$5:$I$404,0)),"")</f>
        <v/>
      </c>
      <c r="Q1733" s="26" t="str">
        <f>IFERROR(INDEX(EXTRATO_IMPORTADO!$B$5:$B$404,MATCH(B1733,EXTRATO_IMPORTADO!$I$5:$I$404,0)),"")</f>
        <v/>
      </c>
      <c r="R1733" s="26" t="str">
        <f>IFERROR(MATCH(B1733,EXTRATO_IMPORTADO!$I$5:$I$404,0),"")</f>
        <v/>
      </c>
      <c r="S1733" s="26" t="str">
        <f t="shared" ref="S1733:S1796" si="82">IF(OR(A1733="",P1733=""),"",P1733-E1733)</f>
        <v/>
      </c>
      <c r="T1733" s="26" t="str">
        <f t="shared" ref="T1733:T1796" si="83">IF(OR(A1733="",O1733=""),"",O1733-C1733)</f>
        <v/>
      </c>
    </row>
    <row r="1734" spans="1:20" x14ac:dyDescent="0.3">
      <c r="A1734" s="26" t="str">
        <f>IF(BASE_CAIXA!A1731="","",BASE_CAIXA!A1731)</f>
        <v/>
      </c>
      <c r="B1734" s="26" t="str">
        <f>IF(A1734="","",BASE_CAIXA!AL1731)</f>
        <v/>
      </c>
      <c r="C1734" s="26" t="str">
        <f>IF(A1734="","",BASE_CAIXA!AJ1731)</f>
        <v/>
      </c>
      <c r="D1734" s="26" t="str">
        <f>IF(A1734="","",IF(BASE_CAIXA!C1731="Entrada","Crédito","Débito"))</f>
        <v/>
      </c>
      <c r="E1734" s="26" t="str">
        <f>IF(A1734="","",BASE_CAIXA!AA1731)</f>
        <v/>
      </c>
      <c r="F1734" s="26" t="str">
        <f>IF(A1734="","",BASE_CAIXA!N1731)</f>
        <v/>
      </c>
      <c r="G1734" s="26" t="str">
        <f>IF(A1734="","",BASE_CAIXA!O1731)</f>
        <v/>
      </c>
      <c r="H1734" s="26" t="str">
        <f>IF(A1734="","",BASE_CAIXA!P1731)</f>
        <v/>
      </c>
      <c r="I1734" s="26" t="str">
        <f>IF(A1734="","",IF(BASE_CAIXA!H1731&lt;&gt;"",BASE_CAIXA!H1731,BASE_CAIXA!G1731))</f>
        <v/>
      </c>
      <c r="J1734" s="26" t="str">
        <f>IF(A1734="","",BASE_CAIXA!G1731)</f>
        <v/>
      </c>
      <c r="K1734" s="26" t="str">
        <f>IF(A1734="","",BASE_CAIXA!I1731)</f>
        <v/>
      </c>
      <c r="L1734" s="26" t="str">
        <f>IF(A1734="","",BASE_CAIXA!J1731)</f>
        <v/>
      </c>
      <c r="M1734" s="26" t="str">
        <f>IF(A1734="","",BASE_CAIXA!AM1731)</f>
        <v/>
      </c>
      <c r="N1734" s="26" t="str">
        <f t="shared" ca="1" si="81"/>
        <v/>
      </c>
      <c r="O1734" s="26" t="str">
        <f>IFERROR(INDEX(EXTRATO_IMPORTADO!$A$5:$A$404,MATCH(B1734,EXTRATO_IMPORTADO!$I$5:$I$404,0)),"")</f>
        <v/>
      </c>
      <c r="P1734" s="26" t="str">
        <f>IFERROR(INDEX(EXTRATO_IMPORTADO!$F$5:$F$404,MATCH(B1734,EXTRATO_IMPORTADO!$I$5:$I$404,0)),"")</f>
        <v/>
      </c>
      <c r="Q1734" s="26" t="str">
        <f>IFERROR(INDEX(EXTRATO_IMPORTADO!$B$5:$B$404,MATCH(B1734,EXTRATO_IMPORTADO!$I$5:$I$404,0)),"")</f>
        <v/>
      </c>
      <c r="R1734" s="26" t="str">
        <f>IFERROR(MATCH(B1734,EXTRATO_IMPORTADO!$I$5:$I$404,0),"")</f>
        <v/>
      </c>
      <c r="S1734" s="26" t="str">
        <f t="shared" si="82"/>
        <v/>
      </c>
      <c r="T1734" s="26" t="str">
        <f t="shared" si="83"/>
        <v/>
      </c>
    </row>
    <row r="1735" spans="1:20" x14ac:dyDescent="0.3">
      <c r="A1735" s="26" t="str">
        <f>IF(BASE_CAIXA!A1732="","",BASE_CAIXA!A1732)</f>
        <v/>
      </c>
      <c r="B1735" s="26" t="str">
        <f>IF(A1735="","",BASE_CAIXA!AL1732)</f>
        <v/>
      </c>
      <c r="C1735" s="26" t="str">
        <f>IF(A1735="","",BASE_CAIXA!AJ1732)</f>
        <v/>
      </c>
      <c r="D1735" s="26" t="str">
        <f>IF(A1735="","",IF(BASE_CAIXA!C1732="Entrada","Crédito","Débito"))</f>
        <v/>
      </c>
      <c r="E1735" s="26" t="str">
        <f>IF(A1735="","",BASE_CAIXA!AA1732)</f>
        <v/>
      </c>
      <c r="F1735" s="26" t="str">
        <f>IF(A1735="","",BASE_CAIXA!N1732)</f>
        <v/>
      </c>
      <c r="G1735" s="26" t="str">
        <f>IF(A1735="","",BASE_CAIXA!O1732)</f>
        <v/>
      </c>
      <c r="H1735" s="26" t="str">
        <f>IF(A1735="","",BASE_CAIXA!P1732)</f>
        <v/>
      </c>
      <c r="I1735" s="26" t="str">
        <f>IF(A1735="","",IF(BASE_CAIXA!H1732&lt;&gt;"",BASE_CAIXA!H1732,BASE_CAIXA!G1732))</f>
        <v/>
      </c>
      <c r="J1735" s="26" t="str">
        <f>IF(A1735="","",BASE_CAIXA!G1732)</f>
        <v/>
      </c>
      <c r="K1735" s="26" t="str">
        <f>IF(A1735="","",BASE_CAIXA!I1732)</f>
        <v/>
      </c>
      <c r="L1735" s="26" t="str">
        <f>IF(A1735="","",BASE_CAIXA!J1732)</f>
        <v/>
      </c>
      <c r="M1735" s="26" t="str">
        <f>IF(A1735="","",BASE_CAIXA!AM1732)</f>
        <v/>
      </c>
      <c r="N1735" s="26" t="str">
        <f t="shared" ca="1" si="81"/>
        <v/>
      </c>
      <c r="O1735" s="26" t="str">
        <f>IFERROR(INDEX(EXTRATO_IMPORTADO!$A$5:$A$404,MATCH(B1735,EXTRATO_IMPORTADO!$I$5:$I$404,0)),"")</f>
        <v/>
      </c>
      <c r="P1735" s="26" t="str">
        <f>IFERROR(INDEX(EXTRATO_IMPORTADO!$F$5:$F$404,MATCH(B1735,EXTRATO_IMPORTADO!$I$5:$I$404,0)),"")</f>
        <v/>
      </c>
      <c r="Q1735" s="26" t="str">
        <f>IFERROR(INDEX(EXTRATO_IMPORTADO!$B$5:$B$404,MATCH(B1735,EXTRATO_IMPORTADO!$I$5:$I$404,0)),"")</f>
        <v/>
      </c>
      <c r="R1735" s="26" t="str">
        <f>IFERROR(MATCH(B1735,EXTRATO_IMPORTADO!$I$5:$I$404,0),"")</f>
        <v/>
      </c>
      <c r="S1735" s="26" t="str">
        <f t="shared" si="82"/>
        <v/>
      </c>
      <c r="T1735" s="26" t="str">
        <f t="shared" si="83"/>
        <v/>
      </c>
    </row>
    <row r="1736" spans="1:20" x14ac:dyDescent="0.3">
      <c r="A1736" s="26" t="str">
        <f>IF(BASE_CAIXA!A1733="","",BASE_CAIXA!A1733)</f>
        <v/>
      </c>
      <c r="B1736" s="26" t="str">
        <f>IF(A1736="","",BASE_CAIXA!AL1733)</f>
        <v/>
      </c>
      <c r="C1736" s="26" t="str">
        <f>IF(A1736="","",BASE_CAIXA!AJ1733)</f>
        <v/>
      </c>
      <c r="D1736" s="26" t="str">
        <f>IF(A1736="","",IF(BASE_CAIXA!C1733="Entrada","Crédito","Débito"))</f>
        <v/>
      </c>
      <c r="E1736" s="26" t="str">
        <f>IF(A1736="","",BASE_CAIXA!AA1733)</f>
        <v/>
      </c>
      <c r="F1736" s="26" t="str">
        <f>IF(A1736="","",BASE_CAIXA!N1733)</f>
        <v/>
      </c>
      <c r="G1736" s="26" t="str">
        <f>IF(A1736="","",BASE_CAIXA!O1733)</f>
        <v/>
      </c>
      <c r="H1736" s="26" t="str">
        <f>IF(A1736="","",BASE_CAIXA!P1733)</f>
        <v/>
      </c>
      <c r="I1736" s="26" t="str">
        <f>IF(A1736="","",IF(BASE_CAIXA!H1733&lt;&gt;"",BASE_CAIXA!H1733,BASE_CAIXA!G1733))</f>
        <v/>
      </c>
      <c r="J1736" s="26" t="str">
        <f>IF(A1736="","",BASE_CAIXA!G1733)</f>
        <v/>
      </c>
      <c r="K1736" s="26" t="str">
        <f>IF(A1736="","",BASE_CAIXA!I1733)</f>
        <v/>
      </c>
      <c r="L1736" s="26" t="str">
        <f>IF(A1736="","",BASE_CAIXA!J1733)</f>
        <v/>
      </c>
      <c r="M1736" s="26" t="str">
        <f>IF(A1736="","",BASE_CAIXA!AM1733)</f>
        <v/>
      </c>
      <c r="N1736" s="26" t="str">
        <f t="shared" ca="1" si="81"/>
        <v/>
      </c>
      <c r="O1736" s="26" t="str">
        <f>IFERROR(INDEX(EXTRATO_IMPORTADO!$A$5:$A$404,MATCH(B1736,EXTRATO_IMPORTADO!$I$5:$I$404,0)),"")</f>
        <v/>
      </c>
      <c r="P1736" s="26" t="str">
        <f>IFERROR(INDEX(EXTRATO_IMPORTADO!$F$5:$F$404,MATCH(B1736,EXTRATO_IMPORTADO!$I$5:$I$404,0)),"")</f>
        <v/>
      </c>
      <c r="Q1736" s="26" t="str">
        <f>IFERROR(INDEX(EXTRATO_IMPORTADO!$B$5:$B$404,MATCH(B1736,EXTRATO_IMPORTADO!$I$5:$I$404,0)),"")</f>
        <v/>
      </c>
      <c r="R1736" s="26" t="str">
        <f>IFERROR(MATCH(B1736,EXTRATO_IMPORTADO!$I$5:$I$404,0),"")</f>
        <v/>
      </c>
      <c r="S1736" s="26" t="str">
        <f t="shared" si="82"/>
        <v/>
      </c>
      <c r="T1736" s="26" t="str">
        <f t="shared" si="83"/>
        <v/>
      </c>
    </row>
    <row r="1737" spans="1:20" x14ac:dyDescent="0.3">
      <c r="A1737" s="26" t="str">
        <f>IF(BASE_CAIXA!A1734="","",BASE_CAIXA!A1734)</f>
        <v/>
      </c>
      <c r="B1737" s="26" t="str">
        <f>IF(A1737="","",BASE_CAIXA!AL1734)</f>
        <v/>
      </c>
      <c r="C1737" s="26" t="str">
        <f>IF(A1737="","",BASE_CAIXA!AJ1734)</f>
        <v/>
      </c>
      <c r="D1737" s="26" t="str">
        <f>IF(A1737="","",IF(BASE_CAIXA!C1734="Entrada","Crédito","Débito"))</f>
        <v/>
      </c>
      <c r="E1737" s="26" t="str">
        <f>IF(A1737="","",BASE_CAIXA!AA1734)</f>
        <v/>
      </c>
      <c r="F1737" s="26" t="str">
        <f>IF(A1737="","",BASE_CAIXA!N1734)</f>
        <v/>
      </c>
      <c r="G1737" s="26" t="str">
        <f>IF(A1737="","",BASE_CAIXA!O1734)</f>
        <v/>
      </c>
      <c r="H1737" s="26" t="str">
        <f>IF(A1737="","",BASE_CAIXA!P1734)</f>
        <v/>
      </c>
      <c r="I1737" s="26" t="str">
        <f>IF(A1737="","",IF(BASE_CAIXA!H1734&lt;&gt;"",BASE_CAIXA!H1734,BASE_CAIXA!G1734))</f>
        <v/>
      </c>
      <c r="J1737" s="26" t="str">
        <f>IF(A1737="","",BASE_CAIXA!G1734)</f>
        <v/>
      </c>
      <c r="K1737" s="26" t="str">
        <f>IF(A1737="","",BASE_CAIXA!I1734)</f>
        <v/>
      </c>
      <c r="L1737" s="26" t="str">
        <f>IF(A1737="","",BASE_CAIXA!J1734)</f>
        <v/>
      </c>
      <c r="M1737" s="26" t="str">
        <f>IF(A1737="","",BASE_CAIXA!AM1734)</f>
        <v/>
      </c>
      <c r="N1737" s="26" t="str">
        <f t="shared" ca="1" si="81"/>
        <v/>
      </c>
      <c r="O1737" s="26" t="str">
        <f>IFERROR(INDEX(EXTRATO_IMPORTADO!$A$5:$A$404,MATCH(B1737,EXTRATO_IMPORTADO!$I$5:$I$404,0)),"")</f>
        <v/>
      </c>
      <c r="P1737" s="26" t="str">
        <f>IFERROR(INDEX(EXTRATO_IMPORTADO!$F$5:$F$404,MATCH(B1737,EXTRATO_IMPORTADO!$I$5:$I$404,0)),"")</f>
        <v/>
      </c>
      <c r="Q1737" s="26" t="str">
        <f>IFERROR(INDEX(EXTRATO_IMPORTADO!$B$5:$B$404,MATCH(B1737,EXTRATO_IMPORTADO!$I$5:$I$404,0)),"")</f>
        <v/>
      </c>
      <c r="R1737" s="26" t="str">
        <f>IFERROR(MATCH(B1737,EXTRATO_IMPORTADO!$I$5:$I$404,0),"")</f>
        <v/>
      </c>
      <c r="S1737" s="26" t="str">
        <f t="shared" si="82"/>
        <v/>
      </c>
      <c r="T1737" s="26" t="str">
        <f t="shared" si="83"/>
        <v/>
      </c>
    </row>
    <row r="1738" spans="1:20" x14ac:dyDescent="0.3">
      <c r="A1738" s="26" t="str">
        <f>IF(BASE_CAIXA!A1735="","",BASE_CAIXA!A1735)</f>
        <v/>
      </c>
      <c r="B1738" s="26" t="str">
        <f>IF(A1738="","",BASE_CAIXA!AL1735)</f>
        <v/>
      </c>
      <c r="C1738" s="26" t="str">
        <f>IF(A1738="","",BASE_CAIXA!AJ1735)</f>
        <v/>
      </c>
      <c r="D1738" s="26" t="str">
        <f>IF(A1738="","",IF(BASE_CAIXA!C1735="Entrada","Crédito","Débito"))</f>
        <v/>
      </c>
      <c r="E1738" s="26" t="str">
        <f>IF(A1738="","",BASE_CAIXA!AA1735)</f>
        <v/>
      </c>
      <c r="F1738" s="26" t="str">
        <f>IF(A1738="","",BASE_CAIXA!N1735)</f>
        <v/>
      </c>
      <c r="G1738" s="26" t="str">
        <f>IF(A1738="","",BASE_CAIXA!O1735)</f>
        <v/>
      </c>
      <c r="H1738" s="26" t="str">
        <f>IF(A1738="","",BASE_CAIXA!P1735)</f>
        <v/>
      </c>
      <c r="I1738" s="26" t="str">
        <f>IF(A1738="","",IF(BASE_CAIXA!H1735&lt;&gt;"",BASE_CAIXA!H1735,BASE_CAIXA!G1735))</f>
        <v/>
      </c>
      <c r="J1738" s="26" t="str">
        <f>IF(A1738="","",BASE_CAIXA!G1735)</f>
        <v/>
      </c>
      <c r="K1738" s="26" t="str">
        <f>IF(A1738="","",BASE_CAIXA!I1735)</f>
        <v/>
      </c>
      <c r="L1738" s="26" t="str">
        <f>IF(A1738="","",BASE_CAIXA!J1735)</f>
        <v/>
      </c>
      <c r="M1738" s="26" t="str">
        <f>IF(A1738="","",BASE_CAIXA!AM1735)</f>
        <v/>
      </c>
      <c r="N1738" s="26" t="str">
        <f t="shared" ca="1" si="81"/>
        <v/>
      </c>
      <c r="O1738" s="26" t="str">
        <f>IFERROR(INDEX(EXTRATO_IMPORTADO!$A$5:$A$404,MATCH(B1738,EXTRATO_IMPORTADO!$I$5:$I$404,0)),"")</f>
        <v/>
      </c>
      <c r="P1738" s="26" t="str">
        <f>IFERROR(INDEX(EXTRATO_IMPORTADO!$F$5:$F$404,MATCH(B1738,EXTRATO_IMPORTADO!$I$5:$I$404,0)),"")</f>
        <v/>
      </c>
      <c r="Q1738" s="26" t="str">
        <f>IFERROR(INDEX(EXTRATO_IMPORTADO!$B$5:$B$404,MATCH(B1738,EXTRATO_IMPORTADO!$I$5:$I$404,0)),"")</f>
        <v/>
      </c>
      <c r="R1738" s="26" t="str">
        <f>IFERROR(MATCH(B1738,EXTRATO_IMPORTADO!$I$5:$I$404,0),"")</f>
        <v/>
      </c>
      <c r="S1738" s="26" t="str">
        <f t="shared" si="82"/>
        <v/>
      </c>
      <c r="T1738" s="26" t="str">
        <f t="shared" si="83"/>
        <v/>
      </c>
    </row>
    <row r="1739" spans="1:20" x14ac:dyDescent="0.3">
      <c r="A1739" s="26" t="str">
        <f>IF(BASE_CAIXA!A1736="","",BASE_CAIXA!A1736)</f>
        <v/>
      </c>
      <c r="B1739" s="26" t="str">
        <f>IF(A1739="","",BASE_CAIXA!AL1736)</f>
        <v/>
      </c>
      <c r="C1739" s="26" t="str">
        <f>IF(A1739="","",BASE_CAIXA!AJ1736)</f>
        <v/>
      </c>
      <c r="D1739" s="26" t="str">
        <f>IF(A1739="","",IF(BASE_CAIXA!C1736="Entrada","Crédito","Débito"))</f>
        <v/>
      </c>
      <c r="E1739" s="26" t="str">
        <f>IF(A1739="","",BASE_CAIXA!AA1736)</f>
        <v/>
      </c>
      <c r="F1739" s="26" t="str">
        <f>IF(A1739="","",BASE_CAIXA!N1736)</f>
        <v/>
      </c>
      <c r="G1739" s="26" t="str">
        <f>IF(A1739="","",BASE_CAIXA!O1736)</f>
        <v/>
      </c>
      <c r="H1739" s="26" t="str">
        <f>IF(A1739="","",BASE_CAIXA!P1736)</f>
        <v/>
      </c>
      <c r="I1739" s="26" t="str">
        <f>IF(A1739="","",IF(BASE_CAIXA!H1736&lt;&gt;"",BASE_CAIXA!H1736,BASE_CAIXA!G1736))</f>
        <v/>
      </c>
      <c r="J1739" s="26" t="str">
        <f>IF(A1739="","",BASE_CAIXA!G1736)</f>
        <v/>
      </c>
      <c r="K1739" s="26" t="str">
        <f>IF(A1739="","",BASE_CAIXA!I1736)</f>
        <v/>
      </c>
      <c r="L1739" s="26" t="str">
        <f>IF(A1739="","",BASE_CAIXA!J1736)</f>
        <v/>
      </c>
      <c r="M1739" s="26" t="str">
        <f>IF(A1739="","",BASE_CAIXA!AM1736)</f>
        <v/>
      </c>
      <c r="N1739" s="26" t="str">
        <f t="shared" ca="1" si="81"/>
        <v/>
      </c>
      <c r="O1739" s="26" t="str">
        <f>IFERROR(INDEX(EXTRATO_IMPORTADO!$A$5:$A$404,MATCH(B1739,EXTRATO_IMPORTADO!$I$5:$I$404,0)),"")</f>
        <v/>
      </c>
      <c r="P1739" s="26" t="str">
        <f>IFERROR(INDEX(EXTRATO_IMPORTADO!$F$5:$F$404,MATCH(B1739,EXTRATO_IMPORTADO!$I$5:$I$404,0)),"")</f>
        <v/>
      </c>
      <c r="Q1739" s="26" t="str">
        <f>IFERROR(INDEX(EXTRATO_IMPORTADO!$B$5:$B$404,MATCH(B1739,EXTRATO_IMPORTADO!$I$5:$I$404,0)),"")</f>
        <v/>
      </c>
      <c r="R1739" s="26" t="str">
        <f>IFERROR(MATCH(B1739,EXTRATO_IMPORTADO!$I$5:$I$404,0),"")</f>
        <v/>
      </c>
      <c r="S1739" s="26" t="str">
        <f t="shared" si="82"/>
        <v/>
      </c>
      <c r="T1739" s="26" t="str">
        <f t="shared" si="83"/>
        <v/>
      </c>
    </row>
    <row r="1740" spans="1:20" x14ac:dyDescent="0.3">
      <c r="A1740" s="26" t="str">
        <f>IF(BASE_CAIXA!A1737="","",BASE_CAIXA!A1737)</f>
        <v/>
      </c>
      <c r="B1740" s="26" t="str">
        <f>IF(A1740="","",BASE_CAIXA!AL1737)</f>
        <v/>
      </c>
      <c r="C1740" s="26" t="str">
        <f>IF(A1740="","",BASE_CAIXA!AJ1737)</f>
        <v/>
      </c>
      <c r="D1740" s="26" t="str">
        <f>IF(A1740="","",IF(BASE_CAIXA!C1737="Entrada","Crédito","Débito"))</f>
        <v/>
      </c>
      <c r="E1740" s="26" t="str">
        <f>IF(A1740="","",BASE_CAIXA!AA1737)</f>
        <v/>
      </c>
      <c r="F1740" s="26" t="str">
        <f>IF(A1740="","",BASE_CAIXA!N1737)</f>
        <v/>
      </c>
      <c r="G1740" s="26" t="str">
        <f>IF(A1740="","",BASE_CAIXA!O1737)</f>
        <v/>
      </c>
      <c r="H1740" s="26" t="str">
        <f>IF(A1740="","",BASE_CAIXA!P1737)</f>
        <v/>
      </c>
      <c r="I1740" s="26" t="str">
        <f>IF(A1740="","",IF(BASE_CAIXA!H1737&lt;&gt;"",BASE_CAIXA!H1737,BASE_CAIXA!G1737))</f>
        <v/>
      </c>
      <c r="J1740" s="26" t="str">
        <f>IF(A1740="","",BASE_CAIXA!G1737)</f>
        <v/>
      </c>
      <c r="K1740" s="26" t="str">
        <f>IF(A1740="","",BASE_CAIXA!I1737)</f>
        <v/>
      </c>
      <c r="L1740" s="26" t="str">
        <f>IF(A1740="","",BASE_CAIXA!J1737)</f>
        <v/>
      </c>
      <c r="M1740" s="26" t="str">
        <f>IF(A1740="","",BASE_CAIXA!AM1737)</f>
        <v/>
      </c>
      <c r="N1740" s="26" t="str">
        <f t="shared" ca="1" si="81"/>
        <v/>
      </c>
      <c r="O1740" s="26" t="str">
        <f>IFERROR(INDEX(EXTRATO_IMPORTADO!$A$5:$A$404,MATCH(B1740,EXTRATO_IMPORTADO!$I$5:$I$404,0)),"")</f>
        <v/>
      </c>
      <c r="P1740" s="26" t="str">
        <f>IFERROR(INDEX(EXTRATO_IMPORTADO!$F$5:$F$404,MATCH(B1740,EXTRATO_IMPORTADO!$I$5:$I$404,0)),"")</f>
        <v/>
      </c>
      <c r="Q1740" s="26" t="str">
        <f>IFERROR(INDEX(EXTRATO_IMPORTADO!$B$5:$B$404,MATCH(B1740,EXTRATO_IMPORTADO!$I$5:$I$404,0)),"")</f>
        <v/>
      </c>
      <c r="R1740" s="26" t="str">
        <f>IFERROR(MATCH(B1740,EXTRATO_IMPORTADO!$I$5:$I$404,0),"")</f>
        <v/>
      </c>
      <c r="S1740" s="26" t="str">
        <f t="shared" si="82"/>
        <v/>
      </c>
      <c r="T1740" s="26" t="str">
        <f t="shared" si="83"/>
        <v/>
      </c>
    </row>
    <row r="1741" spans="1:20" x14ac:dyDescent="0.3">
      <c r="A1741" s="26" t="str">
        <f>IF(BASE_CAIXA!A1738="","",BASE_CAIXA!A1738)</f>
        <v/>
      </c>
      <c r="B1741" s="26" t="str">
        <f>IF(A1741="","",BASE_CAIXA!AL1738)</f>
        <v/>
      </c>
      <c r="C1741" s="26" t="str">
        <f>IF(A1741="","",BASE_CAIXA!AJ1738)</f>
        <v/>
      </c>
      <c r="D1741" s="26" t="str">
        <f>IF(A1741="","",IF(BASE_CAIXA!C1738="Entrada","Crédito","Débito"))</f>
        <v/>
      </c>
      <c r="E1741" s="26" t="str">
        <f>IF(A1741="","",BASE_CAIXA!AA1738)</f>
        <v/>
      </c>
      <c r="F1741" s="26" t="str">
        <f>IF(A1741="","",BASE_CAIXA!N1738)</f>
        <v/>
      </c>
      <c r="G1741" s="26" t="str">
        <f>IF(A1741="","",BASE_CAIXA!O1738)</f>
        <v/>
      </c>
      <c r="H1741" s="26" t="str">
        <f>IF(A1741="","",BASE_CAIXA!P1738)</f>
        <v/>
      </c>
      <c r="I1741" s="26" t="str">
        <f>IF(A1741="","",IF(BASE_CAIXA!H1738&lt;&gt;"",BASE_CAIXA!H1738,BASE_CAIXA!G1738))</f>
        <v/>
      </c>
      <c r="J1741" s="26" t="str">
        <f>IF(A1741="","",BASE_CAIXA!G1738)</f>
        <v/>
      </c>
      <c r="K1741" s="26" t="str">
        <f>IF(A1741="","",BASE_CAIXA!I1738)</f>
        <v/>
      </c>
      <c r="L1741" s="26" t="str">
        <f>IF(A1741="","",BASE_CAIXA!J1738)</f>
        <v/>
      </c>
      <c r="M1741" s="26" t="str">
        <f>IF(A1741="","",BASE_CAIXA!AM1738)</f>
        <v/>
      </c>
      <c r="N1741" s="26" t="str">
        <f t="shared" ca="1" si="81"/>
        <v/>
      </c>
      <c r="O1741" s="26" t="str">
        <f>IFERROR(INDEX(EXTRATO_IMPORTADO!$A$5:$A$404,MATCH(B1741,EXTRATO_IMPORTADO!$I$5:$I$404,0)),"")</f>
        <v/>
      </c>
      <c r="P1741" s="26" t="str">
        <f>IFERROR(INDEX(EXTRATO_IMPORTADO!$F$5:$F$404,MATCH(B1741,EXTRATO_IMPORTADO!$I$5:$I$404,0)),"")</f>
        <v/>
      </c>
      <c r="Q1741" s="26" t="str">
        <f>IFERROR(INDEX(EXTRATO_IMPORTADO!$B$5:$B$404,MATCH(B1741,EXTRATO_IMPORTADO!$I$5:$I$404,0)),"")</f>
        <v/>
      </c>
      <c r="R1741" s="26" t="str">
        <f>IFERROR(MATCH(B1741,EXTRATO_IMPORTADO!$I$5:$I$404,0),"")</f>
        <v/>
      </c>
      <c r="S1741" s="26" t="str">
        <f t="shared" si="82"/>
        <v/>
      </c>
      <c r="T1741" s="26" t="str">
        <f t="shared" si="83"/>
        <v/>
      </c>
    </row>
    <row r="1742" spans="1:20" x14ac:dyDescent="0.3">
      <c r="A1742" s="26" t="str">
        <f>IF(BASE_CAIXA!A1739="","",BASE_CAIXA!A1739)</f>
        <v/>
      </c>
      <c r="B1742" s="26" t="str">
        <f>IF(A1742="","",BASE_CAIXA!AL1739)</f>
        <v/>
      </c>
      <c r="C1742" s="26" t="str">
        <f>IF(A1742="","",BASE_CAIXA!AJ1739)</f>
        <v/>
      </c>
      <c r="D1742" s="26" t="str">
        <f>IF(A1742="","",IF(BASE_CAIXA!C1739="Entrada","Crédito","Débito"))</f>
        <v/>
      </c>
      <c r="E1742" s="26" t="str">
        <f>IF(A1742="","",BASE_CAIXA!AA1739)</f>
        <v/>
      </c>
      <c r="F1742" s="26" t="str">
        <f>IF(A1742="","",BASE_CAIXA!N1739)</f>
        <v/>
      </c>
      <c r="G1742" s="26" t="str">
        <f>IF(A1742="","",BASE_CAIXA!O1739)</f>
        <v/>
      </c>
      <c r="H1742" s="26" t="str">
        <f>IF(A1742="","",BASE_CAIXA!P1739)</f>
        <v/>
      </c>
      <c r="I1742" s="26" t="str">
        <f>IF(A1742="","",IF(BASE_CAIXA!H1739&lt;&gt;"",BASE_CAIXA!H1739,BASE_CAIXA!G1739))</f>
        <v/>
      </c>
      <c r="J1742" s="26" t="str">
        <f>IF(A1742="","",BASE_CAIXA!G1739)</f>
        <v/>
      </c>
      <c r="K1742" s="26" t="str">
        <f>IF(A1742="","",BASE_CAIXA!I1739)</f>
        <v/>
      </c>
      <c r="L1742" s="26" t="str">
        <f>IF(A1742="","",BASE_CAIXA!J1739)</f>
        <v/>
      </c>
      <c r="M1742" s="26" t="str">
        <f>IF(A1742="","",BASE_CAIXA!AM1739)</f>
        <v/>
      </c>
      <c r="N1742" s="26" t="str">
        <f t="shared" ca="1" si="81"/>
        <v/>
      </c>
      <c r="O1742" s="26" t="str">
        <f>IFERROR(INDEX(EXTRATO_IMPORTADO!$A$5:$A$404,MATCH(B1742,EXTRATO_IMPORTADO!$I$5:$I$404,0)),"")</f>
        <v/>
      </c>
      <c r="P1742" s="26" t="str">
        <f>IFERROR(INDEX(EXTRATO_IMPORTADO!$F$5:$F$404,MATCH(B1742,EXTRATO_IMPORTADO!$I$5:$I$404,0)),"")</f>
        <v/>
      </c>
      <c r="Q1742" s="26" t="str">
        <f>IFERROR(INDEX(EXTRATO_IMPORTADO!$B$5:$B$404,MATCH(B1742,EXTRATO_IMPORTADO!$I$5:$I$404,0)),"")</f>
        <v/>
      </c>
      <c r="R1742" s="26" t="str">
        <f>IFERROR(MATCH(B1742,EXTRATO_IMPORTADO!$I$5:$I$404,0),"")</f>
        <v/>
      </c>
      <c r="S1742" s="26" t="str">
        <f t="shared" si="82"/>
        <v/>
      </c>
      <c r="T1742" s="26" t="str">
        <f t="shared" si="83"/>
        <v/>
      </c>
    </row>
    <row r="1743" spans="1:20" x14ac:dyDescent="0.3">
      <c r="A1743" s="26" t="str">
        <f>IF(BASE_CAIXA!A1740="","",BASE_CAIXA!A1740)</f>
        <v/>
      </c>
      <c r="B1743" s="26" t="str">
        <f>IF(A1743="","",BASE_CAIXA!AL1740)</f>
        <v/>
      </c>
      <c r="C1743" s="26" t="str">
        <f>IF(A1743="","",BASE_CAIXA!AJ1740)</f>
        <v/>
      </c>
      <c r="D1743" s="26" t="str">
        <f>IF(A1743="","",IF(BASE_CAIXA!C1740="Entrada","Crédito","Débito"))</f>
        <v/>
      </c>
      <c r="E1743" s="26" t="str">
        <f>IF(A1743="","",BASE_CAIXA!AA1740)</f>
        <v/>
      </c>
      <c r="F1743" s="26" t="str">
        <f>IF(A1743="","",BASE_CAIXA!N1740)</f>
        <v/>
      </c>
      <c r="G1743" s="26" t="str">
        <f>IF(A1743="","",BASE_CAIXA!O1740)</f>
        <v/>
      </c>
      <c r="H1743" s="26" t="str">
        <f>IF(A1743="","",BASE_CAIXA!P1740)</f>
        <v/>
      </c>
      <c r="I1743" s="26" t="str">
        <f>IF(A1743="","",IF(BASE_CAIXA!H1740&lt;&gt;"",BASE_CAIXA!H1740,BASE_CAIXA!G1740))</f>
        <v/>
      </c>
      <c r="J1743" s="26" t="str">
        <f>IF(A1743="","",BASE_CAIXA!G1740)</f>
        <v/>
      </c>
      <c r="K1743" s="26" t="str">
        <f>IF(A1743="","",BASE_CAIXA!I1740)</f>
        <v/>
      </c>
      <c r="L1743" s="26" t="str">
        <f>IF(A1743="","",BASE_CAIXA!J1740)</f>
        <v/>
      </c>
      <c r="M1743" s="26" t="str">
        <f>IF(A1743="","",BASE_CAIXA!AM1740)</f>
        <v/>
      </c>
      <c r="N1743" s="26" t="str">
        <f t="shared" ca="1" si="81"/>
        <v/>
      </c>
      <c r="O1743" s="26" t="str">
        <f>IFERROR(INDEX(EXTRATO_IMPORTADO!$A$5:$A$404,MATCH(B1743,EXTRATO_IMPORTADO!$I$5:$I$404,0)),"")</f>
        <v/>
      </c>
      <c r="P1743" s="26" t="str">
        <f>IFERROR(INDEX(EXTRATO_IMPORTADO!$F$5:$F$404,MATCH(B1743,EXTRATO_IMPORTADO!$I$5:$I$404,0)),"")</f>
        <v/>
      </c>
      <c r="Q1743" s="26" t="str">
        <f>IFERROR(INDEX(EXTRATO_IMPORTADO!$B$5:$B$404,MATCH(B1743,EXTRATO_IMPORTADO!$I$5:$I$404,0)),"")</f>
        <v/>
      </c>
      <c r="R1743" s="26" t="str">
        <f>IFERROR(MATCH(B1743,EXTRATO_IMPORTADO!$I$5:$I$404,0),"")</f>
        <v/>
      </c>
      <c r="S1743" s="26" t="str">
        <f t="shared" si="82"/>
        <v/>
      </c>
      <c r="T1743" s="26" t="str">
        <f t="shared" si="83"/>
        <v/>
      </c>
    </row>
    <row r="1744" spans="1:20" x14ac:dyDescent="0.3">
      <c r="A1744" s="26" t="str">
        <f>IF(BASE_CAIXA!A1741="","",BASE_CAIXA!A1741)</f>
        <v/>
      </c>
      <c r="B1744" s="26" t="str">
        <f>IF(A1744="","",BASE_CAIXA!AL1741)</f>
        <v/>
      </c>
      <c r="C1744" s="26" t="str">
        <f>IF(A1744="","",BASE_CAIXA!AJ1741)</f>
        <v/>
      </c>
      <c r="D1744" s="26" t="str">
        <f>IF(A1744="","",IF(BASE_CAIXA!C1741="Entrada","Crédito","Débito"))</f>
        <v/>
      </c>
      <c r="E1744" s="26" t="str">
        <f>IF(A1744="","",BASE_CAIXA!AA1741)</f>
        <v/>
      </c>
      <c r="F1744" s="26" t="str">
        <f>IF(A1744="","",BASE_CAIXA!N1741)</f>
        <v/>
      </c>
      <c r="G1744" s="26" t="str">
        <f>IF(A1744="","",BASE_CAIXA!O1741)</f>
        <v/>
      </c>
      <c r="H1744" s="26" t="str">
        <f>IF(A1744="","",BASE_CAIXA!P1741)</f>
        <v/>
      </c>
      <c r="I1744" s="26" t="str">
        <f>IF(A1744="","",IF(BASE_CAIXA!H1741&lt;&gt;"",BASE_CAIXA!H1741,BASE_CAIXA!G1741))</f>
        <v/>
      </c>
      <c r="J1744" s="26" t="str">
        <f>IF(A1744="","",BASE_CAIXA!G1741)</f>
        <v/>
      </c>
      <c r="K1744" s="26" t="str">
        <f>IF(A1744="","",BASE_CAIXA!I1741)</f>
        <v/>
      </c>
      <c r="L1744" s="26" t="str">
        <f>IF(A1744="","",BASE_CAIXA!J1741)</f>
        <v/>
      </c>
      <c r="M1744" s="26" t="str">
        <f>IF(A1744="","",BASE_CAIXA!AM1741)</f>
        <v/>
      </c>
      <c r="N1744" s="26" t="str">
        <f t="shared" ca="1" si="81"/>
        <v/>
      </c>
      <c r="O1744" s="26" t="str">
        <f>IFERROR(INDEX(EXTRATO_IMPORTADO!$A$5:$A$404,MATCH(B1744,EXTRATO_IMPORTADO!$I$5:$I$404,0)),"")</f>
        <v/>
      </c>
      <c r="P1744" s="26" t="str">
        <f>IFERROR(INDEX(EXTRATO_IMPORTADO!$F$5:$F$404,MATCH(B1744,EXTRATO_IMPORTADO!$I$5:$I$404,0)),"")</f>
        <v/>
      </c>
      <c r="Q1744" s="26" t="str">
        <f>IFERROR(INDEX(EXTRATO_IMPORTADO!$B$5:$B$404,MATCH(B1744,EXTRATO_IMPORTADO!$I$5:$I$404,0)),"")</f>
        <v/>
      </c>
      <c r="R1744" s="26" t="str">
        <f>IFERROR(MATCH(B1744,EXTRATO_IMPORTADO!$I$5:$I$404,0),"")</f>
        <v/>
      </c>
      <c r="S1744" s="26" t="str">
        <f t="shared" si="82"/>
        <v/>
      </c>
      <c r="T1744" s="26" t="str">
        <f t="shared" si="83"/>
        <v/>
      </c>
    </row>
    <row r="1745" spans="1:20" x14ac:dyDescent="0.3">
      <c r="A1745" s="26" t="str">
        <f>IF(BASE_CAIXA!A1742="","",BASE_CAIXA!A1742)</f>
        <v/>
      </c>
      <c r="B1745" s="26" t="str">
        <f>IF(A1745="","",BASE_CAIXA!AL1742)</f>
        <v/>
      </c>
      <c r="C1745" s="26" t="str">
        <f>IF(A1745="","",BASE_CAIXA!AJ1742)</f>
        <v/>
      </c>
      <c r="D1745" s="26" t="str">
        <f>IF(A1745="","",IF(BASE_CAIXA!C1742="Entrada","Crédito","Débito"))</f>
        <v/>
      </c>
      <c r="E1745" s="26" t="str">
        <f>IF(A1745="","",BASE_CAIXA!AA1742)</f>
        <v/>
      </c>
      <c r="F1745" s="26" t="str">
        <f>IF(A1745="","",BASE_CAIXA!N1742)</f>
        <v/>
      </c>
      <c r="G1745" s="26" t="str">
        <f>IF(A1745="","",BASE_CAIXA!O1742)</f>
        <v/>
      </c>
      <c r="H1745" s="26" t="str">
        <f>IF(A1745="","",BASE_CAIXA!P1742)</f>
        <v/>
      </c>
      <c r="I1745" s="26" t="str">
        <f>IF(A1745="","",IF(BASE_CAIXA!H1742&lt;&gt;"",BASE_CAIXA!H1742,BASE_CAIXA!G1742))</f>
        <v/>
      </c>
      <c r="J1745" s="26" t="str">
        <f>IF(A1745="","",BASE_CAIXA!G1742)</f>
        <v/>
      </c>
      <c r="K1745" s="26" t="str">
        <f>IF(A1745="","",BASE_CAIXA!I1742)</f>
        <v/>
      </c>
      <c r="L1745" s="26" t="str">
        <f>IF(A1745="","",BASE_CAIXA!J1742)</f>
        <v/>
      </c>
      <c r="M1745" s="26" t="str">
        <f>IF(A1745="","",BASE_CAIXA!AM1742)</f>
        <v/>
      </c>
      <c r="N1745" s="26" t="str">
        <f t="shared" ca="1" si="81"/>
        <v/>
      </c>
      <c r="O1745" s="26" t="str">
        <f>IFERROR(INDEX(EXTRATO_IMPORTADO!$A$5:$A$404,MATCH(B1745,EXTRATO_IMPORTADO!$I$5:$I$404,0)),"")</f>
        <v/>
      </c>
      <c r="P1745" s="26" t="str">
        <f>IFERROR(INDEX(EXTRATO_IMPORTADO!$F$5:$F$404,MATCH(B1745,EXTRATO_IMPORTADO!$I$5:$I$404,0)),"")</f>
        <v/>
      </c>
      <c r="Q1745" s="26" t="str">
        <f>IFERROR(INDEX(EXTRATO_IMPORTADO!$B$5:$B$404,MATCH(B1745,EXTRATO_IMPORTADO!$I$5:$I$404,0)),"")</f>
        <v/>
      </c>
      <c r="R1745" s="26" t="str">
        <f>IFERROR(MATCH(B1745,EXTRATO_IMPORTADO!$I$5:$I$404,0),"")</f>
        <v/>
      </c>
      <c r="S1745" s="26" t="str">
        <f t="shared" si="82"/>
        <v/>
      </c>
      <c r="T1745" s="26" t="str">
        <f t="shared" si="83"/>
        <v/>
      </c>
    </row>
    <row r="1746" spans="1:20" x14ac:dyDescent="0.3">
      <c r="A1746" s="26" t="str">
        <f>IF(BASE_CAIXA!A1743="","",BASE_CAIXA!A1743)</f>
        <v/>
      </c>
      <c r="B1746" s="26" t="str">
        <f>IF(A1746="","",BASE_CAIXA!AL1743)</f>
        <v/>
      </c>
      <c r="C1746" s="26" t="str">
        <f>IF(A1746="","",BASE_CAIXA!AJ1743)</f>
        <v/>
      </c>
      <c r="D1746" s="26" t="str">
        <f>IF(A1746="","",IF(BASE_CAIXA!C1743="Entrada","Crédito","Débito"))</f>
        <v/>
      </c>
      <c r="E1746" s="26" t="str">
        <f>IF(A1746="","",BASE_CAIXA!AA1743)</f>
        <v/>
      </c>
      <c r="F1746" s="26" t="str">
        <f>IF(A1746="","",BASE_CAIXA!N1743)</f>
        <v/>
      </c>
      <c r="G1746" s="26" t="str">
        <f>IF(A1746="","",BASE_CAIXA!O1743)</f>
        <v/>
      </c>
      <c r="H1746" s="26" t="str">
        <f>IF(A1746="","",BASE_CAIXA!P1743)</f>
        <v/>
      </c>
      <c r="I1746" s="26" t="str">
        <f>IF(A1746="","",IF(BASE_CAIXA!H1743&lt;&gt;"",BASE_CAIXA!H1743,BASE_CAIXA!G1743))</f>
        <v/>
      </c>
      <c r="J1746" s="26" t="str">
        <f>IF(A1746="","",BASE_CAIXA!G1743)</f>
        <v/>
      </c>
      <c r="K1746" s="26" t="str">
        <f>IF(A1746="","",BASE_CAIXA!I1743)</f>
        <v/>
      </c>
      <c r="L1746" s="26" t="str">
        <f>IF(A1746="","",BASE_CAIXA!J1743)</f>
        <v/>
      </c>
      <c r="M1746" s="26" t="str">
        <f>IF(A1746="","",BASE_CAIXA!AM1743)</f>
        <v/>
      </c>
      <c r="N1746" s="26" t="str">
        <f t="shared" ca="1" si="81"/>
        <v/>
      </c>
      <c r="O1746" s="26" t="str">
        <f>IFERROR(INDEX(EXTRATO_IMPORTADO!$A$5:$A$404,MATCH(B1746,EXTRATO_IMPORTADO!$I$5:$I$404,0)),"")</f>
        <v/>
      </c>
      <c r="P1746" s="26" t="str">
        <f>IFERROR(INDEX(EXTRATO_IMPORTADO!$F$5:$F$404,MATCH(B1746,EXTRATO_IMPORTADO!$I$5:$I$404,0)),"")</f>
        <v/>
      </c>
      <c r="Q1746" s="26" t="str">
        <f>IFERROR(INDEX(EXTRATO_IMPORTADO!$B$5:$B$404,MATCH(B1746,EXTRATO_IMPORTADO!$I$5:$I$404,0)),"")</f>
        <v/>
      </c>
      <c r="R1746" s="26" t="str">
        <f>IFERROR(MATCH(B1746,EXTRATO_IMPORTADO!$I$5:$I$404,0),"")</f>
        <v/>
      </c>
      <c r="S1746" s="26" t="str">
        <f t="shared" si="82"/>
        <v/>
      </c>
      <c r="T1746" s="26" t="str">
        <f t="shared" si="83"/>
        <v/>
      </c>
    </row>
    <row r="1747" spans="1:20" x14ac:dyDescent="0.3">
      <c r="A1747" s="26" t="str">
        <f>IF(BASE_CAIXA!A1744="","",BASE_CAIXA!A1744)</f>
        <v/>
      </c>
      <c r="B1747" s="26" t="str">
        <f>IF(A1747="","",BASE_CAIXA!AL1744)</f>
        <v/>
      </c>
      <c r="C1747" s="26" t="str">
        <f>IF(A1747="","",BASE_CAIXA!AJ1744)</f>
        <v/>
      </c>
      <c r="D1747" s="26" t="str">
        <f>IF(A1747="","",IF(BASE_CAIXA!C1744="Entrada","Crédito","Débito"))</f>
        <v/>
      </c>
      <c r="E1747" s="26" t="str">
        <f>IF(A1747="","",BASE_CAIXA!AA1744)</f>
        <v/>
      </c>
      <c r="F1747" s="26" t="str">
        <f>IF(A1747="","",BASE_CAIXA!N1744)</f>
        <v/>
      </c>
      <c r="G1747" s="26" t="str">
        <f>IF(A1747="","",BASE_CAIXA!O1744)</f>
        <v/>
      </c>
      <c r="H1747" s="26" t="str">
        <f>IF(A1747="","",BASE_CAIXA!P1744)</f>
        <v/>
      </c>
      <c r="I1747" s="26" t="str">
        <f>IF(A1747="","",IF(BASE_CAIXA!H1744&lt;&gt;"",BASE_CAIXA!H1744,BASE_CAIXA!G1744))</f>
        <v/>
      </c>
      <c r="J1747" s="26" t="str">
        <f>IF(A1747="","",BASE_CAIXA!G1744)</f>
        <v/>
      </c>
      <c r="K1747" s="26" t="str">
        <f>IF(A1747="","",BASE_CAIXA!I1744)</f>
        <v/>
      </c>
      <c r="L1747" s="26" t="str">
        <f>IF(A1747="","",BASE_CAIXA!J1744)</f>
        <v/>
      </c>
      <c r="M1747" s="26" t="str">
        <f>IF(A1747="","",BASE_CAIXA!AM1744)</f>
        <v/>
      </c>
      <c r="N1747" s="26" t="str">
        <f t="shared" ca="1" si="81"/>
        <v/>
      </c>
      <c r="O1747" s="26" t="str">
        <f>IFERROR(INDEX(EXTRATO_IMPORTADO!$A$5:$A$404,MATCH(B1747,EXTRATO_IMPORTADO!$I$5:$I$404,0)),"")</f>
        <v/>
      </c>
      <c r="P1747" s="26" t="str">
        <f>IFERROR(INDEX(EXTRATO_IMPORTADO!$F$5:$F$404,MATCH(B1747,EXTRATO_IMPORTADO!$I$5:$I$404,0)),"")</f>
        <v/>
      </c>
      <c r="Q1747" s="26" t="str">
        <f>IFERROR(INDEX(EXTRATO_IMPORTADO!$B$5:$B$404,MATCH(B1747,EXTRATO_IMPORTADO!$I$5:$I$404,0)),"")</f>
        <v/>
      </c>
      <c r="R1747" s="26" t="str">
        <f>IFERROR(MATCH(B1747,EXTRATO_IMPORTADO!$I$5:$I$404,0),"")</f>
        <v/>
      </c>
      <c r="S1747" s="26" t="str">
        <f t="shared" si="82"/>
        <v/>
      </c>
      <c r="T1747" s="26" t="str">
        <f t="shared" si="83"/>
        <v/>
      </c>
    </row>
    <row r="1748" spans="1:20" x14ac:dyDescent="0.3">
      <c r="A1748" s="26" t="str">
        <f>IF(BASE_CAIXA!A1745="","",BASE_CAIXA!A1745)</f>
        <v/>
      </c>
      <c r="B1748" s="26" t="str">
        <f>IF(A1748="","",BASE_CAIXA!AL1745)</f>
        <v/>
      </c>
      <c r="C1748" s="26" t="str">
        <f>IF(A1748="","",BASE_CAIXA!AJ1745)</f>
        <v/>
      </c>
      <c r="D1748" s="26" t="str">
        <f>IF(A1748="","",IF(BASE_CAIXA!C1745="Entrada","Crédito","Débito"))</f>
        <v/>
      </c>
      <c r="E1748" s="26" t="str">
        <f>IF(A1748="","",BASE_CAIXA!AA1745)</f>
        <v/>
      </c>
      <c r="F1748" s="26" t="str">
        <f>IF(A1748="","",BASE_CAIXA!N1745)</f>
        <v/>
      </c>
      <c r="G1748" s="26" t="str">
        <f>IF(A1748="","",BASE_CAIXA!O1745)</f>
        <v/>
      </c>
      <c r="H1748" s="26" t="str">
        <f>IF(A1748="","",BASE_CAIXA!P1745)</f>
        <v/>
      </c>
      <c r="I1748" s="26" t="str">
        <f>IF(A1748="","",IF(BASE_CAIXA!H1745&lt;&gt;"",BASE_CAIXA!H1745,BASE_CAIXA!G1745))</f>
        <v/>
      </c>
      <c r="J1748" s="26" t="str">
        <f>IF(A1748="","",BASE_CAIXA!G1745)</f>
        <v/>
      </c>
      <c r="K1748" s="26" t="str">
        <f>IF(A1748="","",BASE_CAIXA!I1745)</f>
        <v/>
      </c>
      <c r="L1748" s="26" t="str">
        <f>IF(A1748="","",BASE_CAIXA!J1745)</f>
        <v/>
      </c>
      <c r="M1748" s="26" t="str">
        <f>IF(A1748="","",BASE_CAIXA!AM1745)</f>
        <v/>
      </c>
      <c r="N1748" s="26" t="str">
        <f t="shared" ca="1" si="81"/>
        <v/>
      </c>
      <c r="O1748" s="26" t="str">
        <f>IFERROR(INDEX(EXTRATO_IMPORTADO!$A$5:$A$404,MATCH(B1748,EXTRATO_IMPORTADO!$I$5:$I$404,0)),"")</f>
        <v/>
      </c>
      <c r="P1748" s="26" t="str">
        <f>IFERROR(INDEX(EXTRATO_IMPORTADO!$F$5:$F$404,MATCH(B1748,EXTRATO_IMPORTADO!$I$5:$I$404,0)),"")</f>
        <v/>
      </c>
      <c r="Q1748" s="26" t="str">
        <f>IFERROR(INDEX(EXTRATO_IMPORTADO!$B$5:$B$404,MATCH(B1748,EXTRATO_IMPORTADO!$I$5:$I$404,0)),"")</f>
        <v/>
      </c>
      <c r="R1748" s="26" t="str">
        <f>IFERROR(MATCH(B1748,EXTRATO_IMPORTADO!$I$5:$I$404,0),"")</f>
        <v/>
      </c>
      <c r="S1748" s="26" t="str">
        <f t="shared" si="82"/>
        <v/>
      </c>
      <c r="T1748" s="26" t="str">
        <f t="shared" si="83"/>
        <v/>
      </c>
    </row>
    <row r="1749" spans="1:20" x14ac:dyDescent="0.3">
      <c r="A1749" s="26" t="str">
        <f>IF(BASE_CAIXA!A1746="","",BASE_CAIXA!A1746)</f>
        <v/>
      </c>
      <c r="B1749" s="26" t="str">
        <f>IF(A1749="","",BASE_CAIXA!AL1746)</f>
        <v/>
      </c>
      <c r="C1749" s="26" t="str">
        <f>IF(A1749="","",BASE_CAIXA!AJ1746)</f>
        <v/>
      </c>
      <c r="D1749" s="26" t="str">
        <f>IF(A1749="","",IF(BASE_CAIXA!C1746="Entrada","Crédito","Débito"))</f>
        <v/>
      </c>
      <c r="E1749" s="26" t="str">
        <f>IF(A1749="","",BASE_CAIXA!AA1746)</f>
        <v/>
      </c>
      <c r="F1749" s="26" t="str">
        <f>IF(A1749="","",BASE_CAIXA!N1746)</f>
        <v/>
      </c>
      <c r="G1749" s="26" t="str">
        <f>IF(A1749="","",BASE_CAIXA!O1746)</f>
        <v/>
      </c>
      <c r="H1749" s="26" t="str">
        <f>IF(A1749="","",BASE_CAIXA!P1746)</f>
        <v/>
      </c>
      <c r="I1749" s="26" t="str">
        <f>IF(A1749="","",IF(BASE_CAIXA!H1746&lt;&gt;"",BASE_CAIXA!H1746,BASE_CAIXA!G1746))</f>
        <v/>
      </c>
      <c r="J1749" s="26" t="str">
        <f>IF(A1749="","",BASE_CAIXA!G1746)</f>
        <v/>
      </c>
      <c r="K1749" s="26" t="str">
        <f>IF(A1749="","",BASE_CAIXA!I1746)</f>
        <v/>
      </c>
      <c r="L1749" s="26" t="str">
        <f>IF(A1749="","",BASE_CAIXA!J1746)</f>
        <v/>
      </c>
      <c r="M1749" s="26" t="str">
        <f>IF(A1749="","",BASE_CAIXA!AM1746)</f>
        <v/>
      </c>
      <c r="N1749" s="26" t="str">
        <f t="shared" ca="1" si="81"/>
        <v/>
      </c>
      <c r="O1749" s="26" t="str">
        <f>IFERROR(INDEX(EXTRATO_IMPORTADO!$A$5:$A$404,MATCH(B1749,EXTRATO_IMPORTADO!$I$5:$I$404,0)),"")</f>
        <v/>
      </c>
      <c r="P1749" s="26" t="str">
        <f>IFERROR(INDEX(EXTRATO_IMPORTADO!$F$5:$F$404,MATCH(B1749,EXTRATO_IMPORTADO!$I$5:$I$404,0)),"")</f>
        <v/>
      </c>
      <c r="Q1749" s="26" t="str">
        <f>IFERROR(INDEX(EXTRATO_IMPORTADO!$B$5:$B$404,MATCH(B1749,EXTRATO_IMPORTADO!$I$5:$I$404,0)),"")</f>
        <v/>
      </c>
      <c r="R1749" s="26" t="str">
        <f>IFERROR(MATCH(B1749,EXTRATO_IMPORTADO!$I$5:$I$404,0),"")</f>
        <v/>
      </c>
      <c r="S1749" s="26" t="str">
        <f t="shared" si="82"/>
        <v/>
      </c>
      <c r="T1749" s="26" t="str">
        <f t="shared" si="83"/>
        <v/>
      </c>
    </row>
    <row r="1750" spans="1:20" x14ac:dyDescent="0.3">
      <c r="A1750" s="26" t="str">
        <f>IF(BASE_CAIXA!A1747="","",BASE_CAIXA!A1747)</f>
        <v/>
      </c>
      <c r="B1750" s="26" t="str">
        <f>IF(A1750="","",BASE_CAIXA!AL1747)</f>
        <v/>
      </c>
      <c r="C1750" s="26" t="str">
        <f>IF(A1750="","",BASE_CAIXA!AJ1747)</f>
        <v/>
      </c>
      <c r="D1750" s="26" t="str">
        <f>IF(A1750="","",IF(BASE_CAIXA!C1747="Entrada","Crédito","Débito"))</f>
        <v/>
      </c>
      <c r="E1750" s="26" t="str">
        <f>IF(A1750="","",BASE_CAIXA!AA1747)</f>
        <v/>
      </c>
      <c r="F1750" s="26" t="str">
        <f>IF(A1750="","",BASE_CAIXA!N1747)</f>
        <v/>
      </c>
      <c r="G1750" s="26" t="str">
        <f>IF(A1750="","",BASE_CAIXA!O1747)</f>
        <v/>
      </c>
      <c r="H1750" s="26" t="str">
        <f>IF(A1750="","",BASE_CAIXA!P1747)</f>
        <v/>
      </c>
      <c r="I1750" s="26" t="str">
        <f>IF(A1750="","",IF(BASE_CAIXA!H1747&lt;&gt;"",BASE_CAIXA!H1747,BASE_CAIXA!G1747))</f>
        <v/>
      </c>
      <c r="J1750" s="26" t="str">
        <f>IF(A1750="","",BASE_CAIXA!G1747)</f>
        <v/>
      </c>
      <c r="K1750" s="26" t="str">
        <f>IF(A1750="","",BASE_CAIXA!I1747)</f>
        <v/>
      </c>
      <c r="L1750" s="26" t="str">
        <f>IF(A1750="","",BASE_CAIXA!J1747)</f>
        <v/>
      </c>
      <c r="M1750" s="26" t="str">
        <f>IF(A1750="","",BASE_CAIXA!AM1747)</f>
        <v/>
      </c>
      <c r="N1750" s="26" t="str">
        <f t="shared" ca="1" si="81"/>
        <v/>
      </c>
      <c r="O1750" s="26" t="str">
        <f>IFERROR(INDEX(EXTRATO_IMPORTADO!$A$5:$A$404,MATCH(B1750,EXTRATO_IMPORTADO!$I$5:$I$404,0)),"")</f>
        <v/>
      </c>
      <c r="P1750" s="26" t="str">
        <f>IFERROR(INDEX(EXTRATO_IMPORTADO!$F$5:$F$404,MATCH(B1750,EXTRATO_IMPORTADO!$I$5:$I$404,0)),"")</f>
        <v/>
      </c>
      <c r="Q1750" s="26" t="str">
        <f>IFERROR(INDEX(EXTRATO_IMPORTADO!$B$5:$B$404,MATCH(B1750,EXTRATO_IMPORTADO!$I$5:$I$404,0)),"")</f>
        <v/>
      </c>
      <c r="R1750" s="26" t="str">
        <f>IFERROR(MATCH(B1750,EXTRATO_IMPORTADO!$I$5:$I$404,0),"")</f>
        <v/>
      </c>
      <c r="S1750" s="26" t="str">
        <f t="shared" si="82"/>
        <v/>
      </c>
      <c r="T1750" s="26" t="str">
        <f t="shared" si="83"/>
        <v/>
      </c>
    </row>
    <row r="1751" spans="1:20" x14ac:dyDescent="0.3">
      <c r="A1751" s="26" t="str">
        <f>IF(BASE_CAIXA!A1748="","",BASE_CAIXA!A1748)</f>
        <v/>
      </c>
      <c r="B1751" s="26" t="str">
        <f>IF(A1751="","",BASE_CAIXA!AL1748)</f>
        <v/>
      </c>
      <c r="C1751" s="26" t="str">
        <f>IF(A1751="","",BASE_CAIXA!AJ1748)</f>
        <v/>
      </c>
      <c r="D1751" s="26" t="str">
        <f>IF(A1751="","",IF(BASE_CAIXA!C1748="Entrada","Crédito","Débito"))</f>
        <v/>
      </c>
      <c r="E1751" s="26" t="str">
        <f>IF(A1751="","",BASE_CAIXA!AA1748)</f>
        <v/>
      </c>
      <c r="F1751" s="26" t="str">
        <f>IF(A1751="","",BASE_CAIXA!N1748)</f>
        <v/>
      </c>
      <c r="G1751" s="26" t="str">
        <f>IF(A1751="","",BASE_CAIXA!O1748)</f>
        <v/>
      </c>
      <c r="H1751" s="26" t="str">
        <f>IF(A1751="","",BASE_CAIXA!P1748)</f>
        <v/>
      </c>
      <c r="I1751" s="26" t="str">
        <f>IF(A1751="","",IF(BASE_CAIXA!H1748&lt;&gt;"",BASE_CAIXA!H1748,BASE_CAIXA!G1748))</f>
        <v/>
      </c>
      <c r="J1751" s="26" t="str">
        <f>IF(A1751="","",BASE_CAIXA!G1748)</f>
        <v/>
      </c>
      <c r="K1751" s="26" t="str">
        <f>IF(A1751="","",BASE_CAIXA!I1748)</f>
        <v/>
      </c>
      <c r="L1751" s="26" t="str">
        <f>IF(A1751="","",BASE_CAIXA!J1748)</f>
        <v/>
      </c>
      <c r="M1751" s="26" t="str">
        <f>IF(A1751="","",BASE_CAIXA!AM1748)</f>
        <v/>
      </c>
      <c r="N1751" s="26" t="str">
        <f t="shared" ca="1" si="81"/>
        <v/>
      </c>
      <c r="O1751" s="26" t="str">
        <f>IFERROR(INDEX(EXTRATO_IMPORTADO!$A$5:$A$404,MATCH(B1751,EXTRATO_IMPORTADO!$I$5:$I$404,0)),"")</f>
        <v/>
      </c>
      <c r="P1751" s="26" t="str">
        <f>IFERROR(INDEX(EXTRATO_IMPORTADO!$F$5:$F$404,MATCH(B1751,EXTRATO_IMPORTADO!$I$5:$I$404,0)),"")</f>
        <v/>
      </c>
      <c r="Q1751" s="26" t="str">
        <f>IFERROR(INDEX(EXTRATO_IMPORTADO!$B$5:$B$404,MATCH(B1751,EXTRATO_IMPORTADO!$I$5:$I$404,0)),"")</f>
        <v/>
      </c>
      <c r="R1751" s="26" t="str">
        <f>IFERROR(MATCH(B1751,EXTRATO_IMPORTADO!$I$5:$I$404,0),"")</f>
        <v/>
      </c>
      <c r="S1751" s="26" t="str">
        <f t="shared" si="82"/>
        <v/>
      </c>
      <c r="T1751" s="26" t="str">
        <f t="shared" si="83"/>
        <v/>
      </c>
    </row>
    <row r="1752" spans="1:20" x14ac:dyDescent="0.3">
      <c r="A1752" s="26" t="str">
        <f>IF(BASE_CAIXA!A1749="","",BASE_CAIXA!A1749)</f>
        <v/>
      </c>
      <c r="B1752" s="26" t="str">
        <f>IF(A1752="","",BASE_CAIXA!AL1749)</f>
        <v/>
      </c>
      <c r="C1752" s="26" t="str">
        <f>IF(A1752="","",BASE_CAIXA!AJ1749)</f>
        <v/>
      </c>
      <c r="D1752" s="26" t="str">
        <f>IF(A1752="","",IF(BASE_CAIXA!C1749="Entrada","Crédito","Débito"))</f>
        <v/>
      </c>
      <c r="E1752" s="26" t="str">
        <f>IF(A1752="","",BASE_CAIXA!AA1749)</f>
        <v/>
      </c>
      <c r="F1752" s="26" t="str">
        <f>IF(A1752="","",BASE_CAIXA!N1749)</f>
        <v/>
      </c>
      <c r="G1752" s="26" t="str">
        <f>IF(A1752="","",BASE_CAIXA!O1749)</f>
        <v/>
      </c>
      <c r="H1752" s="26" t="str">
        <f>IF(A1752="","",BASE_CAIXA!P1749)</f>
        <v/>
      </c>
      <c r="I1752" s="26" t="str">
        <f>IF(A1752="","",IF(BASE_CAIXA!H1749&lt;&gt;"",BASE_CAIXA!H1749,BASE_CAIXA!G1749))</f>
        <v/>
      </c>
      <c r="J1752" s="26" t="str">
        <f>IF(A1752="","",BASE_CAIXA!G1749)</f>
        <v/>
      </c>
      <c r="K1752" s="26" t="str">
        <f>IF(A1752="","",BASE_CAIXA!I1749)</f>
        <v/>
      </c>
      <c r="L1752" s="26" t="str">
        <f>IF(A1752="","",BASE_CAIXA!J1749)</f>
        <v/>
      </c>
      <c r="M1752" s="26" t="str">
        <f>IF(A1752="","",BASE_CAIXA!AM1749)</f>
        <v/>
      </c>
      <c r="N1752" s="26" t="str">
        <f t="shared" ca="1" si="81"/>
        <v/>
      </c>
      <c r="O1752" s="26" t="str">
        <f>IFERROR(INDEX(EXTRATO_IMPORTADO!$A$5:$A$404,MATCH(B1752,EXTRATO_IMPORTADO!$I$5:$I$404,0)),"")</f>
        <v/>
      </c>
      <c r="P1752" s="26" t="str">
        <f>IFERROR(INDEX(EXTRATO_IMPORTADO!$F$5:$F$404,MATCH(B1752,EXTRATO_IMPORTADO!$I$5:$I$404,0)),"")</f>
        <v/>
      </c>
      <c r="Q1752" s="26" t="str">
        <f>IFERROR(INDEX(EXTRATO_IMPORTADO!$B$5:$B$404,MATCH(B1752,EXTRATO_IMPORTADO!$I$5:$I$404,0)),"")</f>
        <v/>
      </c>
      <c r="R1752" s="26" t="str">
        <f>IFERROR(MATCH(B1752,EXTRATO_IMPORTADO!$I$5:$I$404,0),"")</f>
        <v/>
      </c>
      <c r="S1752" s="26" t="str">
        <f t="shared" si="82"/>
        <v/>
      </c>
      <c r="T1752" s="26" t="str">
        <f t="shared" si="83"/>
        <v/>
      </c>
    </row>
    <row r="1753" spans="1:20" x14ac:dyDescent="0.3">
      <c r="A1753" s="26" t="str">
        <f>IF(BASE_CAIXA!A1750="","",BASE_CAIXA!A1750)</f>
        <v/>
      </c>
      <c r="B1753" s="26" t="str">
        <f>IF(A1753="","",BASE_CAIXA!AL1750)</f>
        <v/>
      </c>
      <c r="C1753" s="26" t="str">
        <f>IF(A1753="","",BASE_CAIXA!AJ1750)</f>
        <v/>
      </c>
      <c r="D1753" s="26" t="str">
        <f>IF(A1753="","",IF(BASE_CAIXA!C1750="Entrada","Crédito","Débito"))</f>
        <v/>
      </c>
      <c r="E1753" s="26" t="str">
        <f>IF(A1753="","",BASE_CAIXA!AA1750)</f>
        <v/>
      </c>
      <c r="F1753" s="26" t="str">
        <f>IF(A1753="","",BASE_CAIXA!N1750)</f>
        <v/>
      </c>
      <c r="G1753" s="26" t="str">
        <f>IF(A1753="","",BASE_CAIXA!O1750)</f>
        <v/>
      </c>
      <c r="H1753" s="26" t="str">
        <f>IF(A1753="","",BASE_CAIXA!P1750)</f>
        <v/>
      </c>
      <c r="I1753" s="26" t="str">
        <f>IF(A1753="","",IF(BASE_CAIXA!H1750&lt;&gt;"",BASE_CAIXA!H1750,BASE_CAIXA!G1750))</f>
        <v/>
      </c>
      <c r="J1753" s="26" t="str">
        <f>IF(A1753="","",BASE_CAIXA!G1750)</f>
        <v/>
      </c>
      <c r="K1753" s="26" t="str">
        <f>IF(A1753="","",BASE_CAIXA!I1750)</f>
        <v/>
      </c>
      <c r="L1753" s="26" t="str">
        <f>IF(A1753="","",BASE_CAIXA!J1750)</f>
        <v/>
      </c>
      <c r="M1753" s="26" t="str">
        <f>IF(A1753="","",BASE_CAIXA!AM1750)</f>
        <v/>
      </c>
      <c r="N1753" s="26" t="str">
        <f t="shared" ca="1" si="81"/>
        <v/>
      </c>
      <c r="O1753" s="26" t="str">
        <f>IFERROR(INDEX(EXTRATO_IMPORTADO!$A$5:$A$404,MATCH(B1753,EXTRATO_IMPORTADO!$I$5:$I$404,0)),"")</f>
        <v/>
      </c>
      <c r="P1753" s="26" t="str">
        <f>IFERROR(INDEX(EXTRATO_IMPORTADO!$F$5:$F$404,MATCH(B1753,EXTRATO_IMPORTADO!$I$5:$I$404,0)),"")</f>
        <v/>
      </c>
      <c r="Q1753" s="26" t="str">
        <f>IFERROR(INDEX(EXTRATO_IMPORTADO!$B$5:$B$404,MATCH(B1753,EXTRATO_IMPORTADO!$I$5:$I$404,0)),"")</f>
        <v/>
      </c>
      <c r="R1753" s="26" t="str">
        <f>IFERROR(MATCH(B1753,EXTRATO_IMPORTADO!$I$5:$I$404,0),"")</f>
        <v/>
      </c>
      <c r="S1753" s="26" t="str">
        <f t="shared" si="82"/>
        <v/>
      </c>
      <c r="T1753" s="26" t="str">
        <f t="shared" si="83"/>
        <v/>
      </c>
    </row>
    <row r="1754" spans="1:20" x14ac:dyDescent="0.3">
      <c r="A1754" s="26" t="str">
        <f>IF(BASE_CAIXA!A1751="","",BASE_CAIXA!A1751)</f>
        <v/>
      </c>
      <c r="B1754" s="26" t="str">
        <f>IF(A1754="","",BASE_CAIXA!AL1751)</f>
        <v/>
      </c>
      <c r="C1754" s="26" t="str">
        <f>IF(A1754="","",BASE_CAIXA!AJ1751)</f>
        <v/>
      </c>
      <c r="D1754" s="26" t="str">
        <f>IF(A1754="","",IF(BASE_CAIXA!C1751="Entrada","Crédito","Débito"))</f>
        <v/>
      </c>
      <c r="E1754" s="26" t="str">
        <f>IF(A1754="","",BASE_CAIXA!AA1751)</f>
        <v/>
      </c>
      <c r="F1754" s="26" t="str">
        <f>IF(A1754="","",BASE_CAIXA!N1751)</f>
        <v/>
      </c>
      <c r="G1754" s="26" t="str">
        <f>IF(A1754="","",BASE_CAIXA!O1751)</f>
        <v/>
      </c>
      <c r="H1754" s="26" t="str">
        <f>IF(A1754="","",BASE_CAIXA!P1751)</f>
        <v/>
      </c>
      <c r="I1754" s="26" t="str">
        <f>IF(A1754="","",IF(BASE_CAIXA!H1751&lt;&gt;"",BASE_CAIXA!H1751,BASE_CAIXA!G1751))</f>
        <v/>
      </c>
      <c r="J1754" s="26" t="str">
        <f>IF(A1754="","",BASE_CAIXA!G1751)</f>
        <v/>
      </c>
      <c r="K1754" s="26" t="str">
        <f>IF(A1754="","",BASE_CAIXA!I1751)</f>
        <v/>
      </c>
      <c r="L1754" s="26" t="str">
        <f>IF(A1754="","",BASE_CAIXA!J1751)</f>
        <v/>
      </c>
      <c r="M1754" s="26" t="str">
        <f>IF(A1754="","",BASE_CAIXA!AM1751)</f>
        <v/>
      </c>
      <c r="N1754" s="26" t="str">
        <f t="shared" ca="1" si="81"/>
        <v/>
      </c>
      <c r="O1754" s="26" t="str">
        <f>IFERROR(INDEX(EXTRATO_IMPORTADO!$A$5:$A$404,MATCH(B1754,EXTRATO_IMPORTADO!$I$5:$I$404,0)),"")</f>
        <v/>
      </c>
      <c r="P1754" s="26" t="str">
        <f>IFERROR(INDEX(EXTRATO_IMPORTADO!$F$5:$F$404,MATCH(B1754,EXTRATO_IMPORTADO!$I$5:$I$404,0)),"")</f>
        <v/>
      </c>
      <c r="Q1754" s="26" t="str">
        <f>IFERROR(INDEX(EXTRATO_IMPORTADO!$B$5:$B$404,MATCH(B1754,EXTRATO_IMPORTADO!$I$5:$I$404,0)),"")</f>
        <v/>
      </c>
      <c r="R1754" s="26" t="str">
        <f>IFERROR(MATCH(B1754,EXTRATO_IMPORTADO!$I$5:$I$404,0),"")</f>
        <v/>
      </c>
      <c r="S1754" s="26" t="str">
        <f t="shared" si="82"/>
        <v/>
      </c>
      <c r="T1754" s="26" t="str">
        <f t="shared" si="83"/>
        <v/>
      </c>
    </row>
    <row r="1755" spans="1:20" x14ac:dyDescent="0.3">
      <c r="A1755" s="26" t="str">
        <f>IF(BASE_CAIXA!A1752="","",BASE_CAIXA!A1752)</f>
        <v/>
      </c>
      <c r="B1755" s="26" t="str">
        <f>IF(A1755="","",BASE_CAIXA!AL1752)</f>
        <v/>
      </c>
      <c r="C1755" s="26" t="str">
        <f>IF(A1755="","",BASE_CAIXA!AJ1752)</f>
        <v/>
      </c>
      <c r="D1755" s="26" t="str">
        <f>IF(A1755="","",IF(BASE_CAIXA!C1752="Entrada","Crédito","Débito"))</f>
        <v/>
      </c>
      <c r="E1755" s="26" t="str">
        <f>IF(A1755="","",BASE_CAIXA!AA1752)</f>
        <v/>
      </c>
      <c r="F1755" s="26" t="str">
        <f>IF(A1755="","",BASE_CAIXA!N1752)</f>
        <v/>
      </c>
      <c r="G1755" s="26" t="str">
        <f>IF(A1755="","",BASE_CAIXA!O1752)</f>
        <v/>
      </c>
      <c r="H1755" s="26" t="str">
        <f>IF(A1755="","",BASE_CAIXA!P1752)</f>
        <v/>
      </c>
      <c r="I1755" s="26" t="str">
        <f>IF(A1755="","",IF(BASE_CAIXA!H1752&lt;&gt;"",BASE_CAIXA!H1752,BASE_CAIXA!G1752))</f>
        <v/>
      </c>
      <c r="J1755" s="26" t="str">
        <f>IF(A1755="","",BASE_CAIXA!G1752)</f>
        <v/>
      </c>
      <c r="K1755" s="26" t="str">
        <f>IF(A1755="","",BASE_CAIXA!I1752)</f>
        <v/>
      </c>
      <c r="L1755" s="26" t="str">
        <f>IF(A1755="","",BASE_CAIXA!J1752)</f>
        <v/>
      </c>
      <c r="M1755" s="26" t="str">
        <f>IF(A1755="","",BASE_CAIXA!AM1752)</f>
        <v/>
      </c>
      <c r="N1755" s="26" t="str">
        <f t="shared" ca="1" si="81"/>
        <v/>
      </c>
      <c r="O1755" s="26" t="str">
        <f>IFERROR(INDEX(EXTRATO_IMPORTADO!$A$5:$A$404,MATCH(B1755,EXTRATO_IMPORTADO!$I$5:$I$404,0)),"")</f>
        <v/>
      </c>
      <c r="P1755" s="26" t="str">
        <f>IFERROR(INDEX(EXTRATO_IMPORTADO!$F$5:$F$404,MATCH(B1755,EXTRATO_IMPORTADO!$I$5:$I$404,0)),"")</f>
        <v/>
      </c>
      <c r="Q1755" s="26" t="str">
        <f>IFERROR(INDEX(EXTRATO_IMPORTADO!$B$5:$B$404,MATCH(B1755,EXTRATO_IMPORTADO!$I$5:$I$404,0)),"")</f>
        <v/>
      </c>
      <c r="R1755" s="26" t="str">
        <f>IFERROR(MATCH(B1755,EXTRATO_IMPORTADO!$I$5:$I$404,0),"")</f>
        <v/>
      </c>
      <c r="S1755" s="26" t="str">
        <f t="shared" si="82"/>
        <v/>
      </c>
      <c r="T1755" s="26" t="str">
        <f t="shared" si="83"/>
        <v/>
      </c>
    </row>
    <row r="1756" spans="1:20" x14ac:dyDescent="0.3">
      <c r="A1756" s="26" t="str">
        <f>IF(BASE_CAIXA!A1753="","",BASE_CAIXA!A1753)</f>
        <v/>
      </c>
      <c r="B1756" s="26" t="str">
        <f>IF(A1756="","",BASE_CAIXA!AL1753)</f>
        <v/>
      </c>
      <c r="C1756" s="26" t="str">
        <f>IF(A1756="","",BASE_CAIXA!AJ1753)</f>
        <v/>
      </c>
      <c r="D1756" s="26" t="str">
        <f>IF(A1756="","",IF(BASE_CAIXA!C1753="Entrada","Crédito","Débito"))</f>
        <v/>
      </c>
      <c r="E1756" s="26" t="str">
        <f>IF(A1756="","",BASE_CAIXA!AA1753)</f>
        <v/>
      </c>
      <c r="F1756" s="26" t="str">
        <f>IF(A1756="","",BASE_CAIXA!N1753)</f>
        <v/>
      </c>
      <c r="G1756" s="26" t="str">
        <f>IF(A1756="","",BASE_CAIXA!O1753)</f>
        <v/>
      </c>
      <c r="H1756" s="26" t="str">
        <f>IF(A1756="","",BASE_CAIXA!P1753)</f>
        <v/>
      </c>
      <c r="I1756" s="26" t="str">
        <f>IF(A1756="","",IF(BASE_CAIXA!H1753&lt;&gt;"",BASE_CAIXA!H1753,BASE_CAIXA!G1753))</f>
        <v/>
      </c>
      <c r="J1756" s="26" t="str">
        <f>IF(A1756="","",BASE_CAIXA!G1753)</f>
        <v/>
      </c>
      <c r="K1756" s="26" t="str">
        <f>IF(A1756="","",BASE_CAIXA!I1753)</f>
        <v/>
      </c>
      <c r="L1756" s="26" t="str">
        <f>IF(A1756="","",BASE_CAIXA!J1753)</f>
        <v/>
      </c>
      <c r="M1756" s="26" t="str">
        <f>IF(A1756="","",BASE_CAIXA!AM1753)</f>
        <v/>
      </c>
      <c r="N1756" s="26" t="str">
        <f t="shared" ca="1" si="81"/>
        <v/>
      </c>
      <c r="O1756" s="26" t="str">
        <f>IFERROR(INDEX(EXTRATO_IMPORTADO!$A$5:$A$404,MATCH(B1756,EXTRATO_IMPORTADO!$I$5:$I$404,0)),"")</f>
        <v/>
      </c>
      <c r="P1756" s="26" t="str">
        <f>IFERROR(INDEX(EXTRATO_IMPORTADO!$F$5:$F$404,MATCH(B1756,EXTRATO_IMPORTADO!$I$5:$I$404,0)),"")</f>
        <v/>
      </c>
      <c r="Q1756" s="26" t="str">
        <f>IFERROR(INDEX(EXTRATO_IMPORTADO!$B$5:$B$404,MATCH(B1756,EXTRATO_IMPORTADO!$I$5:$I$404,0)),"")</f>
        <v/>
      </c>
      <c r="R1756" s="26" t="str">
        <f>IFERROR(MATCH(B1756,EXTRATO_IMPORTADO!$I$5:$I$404,0),"")</f>
        <v/>
      </c>
      <c r="S1756" s="26" t="str">
        <f t="shared" si="82"/>
        <v/>
      </c>
      <c r="T1756" s="26" t="str">
        <f t="shared" si="83"/>
        <v/>
      </c>
    </row>
    <row r="1757" spans="1:20" x14ac:dyDescent="0.3">
      <c r="A1757" s="26" t="str">
        <f>IF(BASE_CAIXA!A1754="","",BASE_CAIXA!A1754)</f>
        <v/>
      </c>
      <c r="B1757" s="26" t="str">
        <f>IF(A1757="","",BASE_CAIXA!AL1754)</f>
        <v/>
      </c>
      <c r="C1757" s="26" t="str">
        <f>IF(A1757="","",BASE_CAIXA!AJ1754)</f>
        <v/>
      </c>
      <c r="D1757" s="26" t="str">
        <f>IF(A1757="","",IF(BASE_CAIXA!C1754="Entrada","Crédito","Débito"))</f>
        <v/>
      </c>
      <c r="E1757" s="26" t="str">
        <f>IF(A1757="","",BASE_CAIXA!AA1754)</f>
        <v/>
      </c>
      <c r="F1757" s="26" t="str">
        <f>IF(A1757="","",BASE_CAIXA!N1754)</f>
        <v/>
      </c>
      <c r="G1757" s="26" t="str">
        <f>IF(A1757="","",BASE_CAIXA!O1754)</f>
        <v/>
      </c>
      <c r="H1757" s="26" t="str">
        <f>IF(A1757="","",BASE_CAIXA!P1754)</f>
        <v/>
      </c>
      <c r="I1757" s="26" t="str">
        <f>IF(A1757="","",IF(BASE_CAIXA!H1754&lt;&gt;"",BASE_CAIXA!H1754,BASE_CAIXA!G1754))</f>
        <v/>
      </c>
      <c r="J1757" s="26" t="str">
        <f>IF(A1757="","",BASE_CAIXA!G1754)</f>
        <v/>
      </c>
      <c r="K1757" s="26" t="str">
        <f>IF(A1757="","",BASE_CAIXA!I1754)</f>
        <v/>
      </c>
      <c r="L1757" s="26" t="str">
        <f>IF(A1757="","",BASE_CAIXA!J1754)</f>
        <v/>
      </c>
      <c r="M1757" s="26" t="str">
        <f>IF(A1757="","",BASE_CAIXA!AM1754)</f>
        <v/>
      </c>
      <c r="N1757" s="26" t="str">
        <f t="shared" ca="1" si="81"/>
        <v/>
      </c>
      <c r="O1757" s="26" t="str">
        <f>IFERROR(INDEX(EXTRATO_IMPORTADO!$A$5:$A$404,MATCH(B1757,EXTRATO_IMPORTADO!$I$5:$I$404,0)),"")</f>
        <v/>
      </c>
      <c r="P1757" s="26" t="str">
        <f>IFERROR(INDEX(EXTRATO_IMPORTADO!$F$5:$F$404,MATCH(B1757,EXTRATO_IMPORTADO!$I$5:$I$404,0)),"")</f>
        <v/>
      </c>
      <c r="Q1757" s="26" t="str">
        <f>IFERROR(INDEX(EXTRATO_IMPORTADO!$B$5:$B$404,MATCH(B1757,EXTRATO_IMPORTADO!$I$5:$I$404,0)),"")</f>
        <v/>
      </c>
      <c r="R1757" s="26" t="str">
        <f>IFERROR(MATCH(B1757,EXTRATO_IMPORTADO!$I$5:$I$404,0),"")</f>
        <v/>
      </c>
      <c r="S1757" s="26" t="str">
        <f t="shared" si="82"/>
        <v/>
      </c>
      <c r="T1757" s="26" t="str">
        <f t="shared" si="83"/>
        <v/>
      </c>
    </row>
    <row r="1758" spans="1:20" x14ac:dyDescent="0.3">
      <c r="A1758" s="26" t="str">
        <f>IF(BASE_CAIXA!A1755="","",BASE_CAIXA!A1755)</f>
        <v/>
      </c>
      <c r="B1758" s="26" t="str">
        <f>IF(A1758="","",BASE_CAIXA!AL1755)</f>
        <v/>
      </c>
      <c r="C1758" s="26" t="str">
        <f>IF(A1758="","",BASE_CAIXA!AJ1755)</f>
        <v/>
      </c>
      <c r="D1758" s="26" t="str">
        <f>IF(A1758="","",IF(BASE_CAIXA!C1755="Entrada","Crédito","Débito"))</f>
        <v/>
      </c>
      <c r="E1758" s="26" t="str">
        <f>IF(A1758="","",BASE_CAIXA!AA1755)</f>
        <v/>
      </c>
      <c r="F1758" s="26" t="str">
        <f>IF(A1758="","",BASE_CAIXA!N1755)</f>
        <v/>
      </c>
      <c r="G1758" s="26" t="str">
        <f>IF(A1758="","",BASE_CAIXA!O1755)</f>
        <v/>
      </c>
      <c r="H1758" s="26" t="str">
        <f>IF(A1758="","",BASE_CAIXA!P1755)</f>
        <v/>
      </c>
      <c r="I1758" s="26" t="str">
        <f>IF(A1758="","",IF(BASE_CAIXA!H1755&lt;&gt;"",BASE_CAIXA!H1755,BASE_CAIXA!G1755))</f>
        <v/>
      </c>
      <c r="J1758" s="26" t="str">
        <f>IF(A1758="","",BASE_CAIXA!G1755)</f>
        <v/>
      </c>
      <c r="K1758" s="26" t="str">
        <f>IF(A1758="","",BASE_CAIXA!I1755)</f>
        <v/>
      </c>
      <c r="L1758" s="26" t="str">
        <f>IF(A1758="","",BASE_CAIXA!J1755)</f>
        <v/>
      </c>
      <c r="M1758" s="26" t="str">
        <f>IF(A1758="","",BASE_CAIXA!AM1755)</f>
        <v/>
      </c>
      <c r="N1758" s="26" t="str">
        <f t="shared" ca="1" si="81"/>
        <v/>
      </c>
      <c r="O1758" s="26" t="str">
        <f>IFERROR(INDEX(EXTRATO_IMPORTADO!$A$5:$A$404,MATCH(B1758,EXTRATO_IMPORTADO!$I$5:$I$404,0)),"")</f>
        <v/>
      </c>
      <c r="P1758" s="26" t="str">
        <f>IFERROR(INDEX(EXTRATO_IMPORTADO!$F$5:$F$404,MATCH(B1758,EXTRATO_IMPORTADO!$I$5:$I$404,0)),"")</f>
        <v/>
      </c>
      <c r="Q1758" s="26" t="str">
        <f>IFERROR(INDEX(EXTRATO_IMPORTADO!$B$5:$B$404,MATCH(B1758,EXTRATO_IMPORTADO!$I$5:$I$404,0)),"")</f>
        <v/>
      </c>
      <c r="R1758" s="26" t="str">
        <f>IFERROR(MATCH(B1758,EXTRATO_IMPORTADO!$I$5:$I$404,0),"")</f>
        <v/>
      </c>
      <c r="S1758" s="26" t="str">
        <f t="shared" si="82"/>
        <v/>
      </c>
      <c r="T1758" s="26" t="str">
        <f t="shared" si="83"/>
        <v/>
      </c>
    </row>
    <row r="1759" spans="1:20" x14ac:dyDescent="0.3">
      <c r="A1759" s="26" t="str">
        <f>IF(BASE_CAIXA!A1756="","",BASE_CAIXA!A1756)</f>
        <v/>
      </c>
      <c r="B1759" s="26" t="str">
        <f>IF(A1759="","",BASE_CAIXA!AL1756)</f>
        <v/>
      </c>
      <c r="C1759" s="26" t="str">
        <f>IF(A1759="","",BASE_CAIXA!AJ1756)</f>
        <v/>
      </c>
      <c r="D1759" s="26" t="str">
        <f>IF(A1759="","",IF(BASE_CAIXA!C1756="Entrada","Crédito","Débito"))</f>
        <v/>
      </c>
      <c r="E1759" s="26" t="str">
        <f>IF(A1759="","",BASE_CAIXA!AA1756)</f>
        <v/>
      </c>
      <c r="F1759" s="26" t="str">
        <f>IF(A1759="","",BASE_CAIXA!N1756)</f>
        <v/>
      </c>
      <c r="G1759" s="26" t="str">
        <f>IF(A1759="","",BASE_CAIXA!O1756)</f>
        <v/>
      </c>
      <c r="H1759" s="26" t="str">
        <f>IF(A1759="","",BASE_CAIXA!P1756)</f>
        <v/>
      </c>
      <c r="I1759" s="26" t="str">
        <f>IF(A1759="","",IF(BASE_CAIXA!H1756&lt;&gt;"",BASE_CAIXA!H1756,BASE_CAIXA!G1756))</f>
        <v/>
      </c>
      <c r="J1759" s="26" t="str">
        <f>IF(A1759="","",BASE_CAIXA!G1756)</f>
        <v/>
      </c>
      <c r="K1759" s="26" t="str">
        <f>IF(A1759="","",BASE_CAIXA!I1756)</f>
        <v/>
      </c>
      <c r="L1759" s="26" t="str">
        <f>IF(A1759="","",BASE_CAIXA!J1756)</f>
        <v/>
      </c>
      <c r="M1759" s="26" t="str">
        <f>IF(A1759="","",BASE_CAIXA!AM1756)</f>
        <v/>
      </c>
      <c r="N1759" s="26" t="str">
        <f t="shared" ca="1" si="81"/>
        <v/>
      </c>
      <c r="O1759" s="26" t="str">
        <f>IFERROR(INDEX(EXTRATO_IMPORTADO!$A$5:$A$404,MATCH(B1759,EXTRATO_IMPORTADO!$I$5:$I$404,0)),"")</f>
        <v/>
      </c>
      <c r="P1759" s="26" t="str">
        <f>IFERROR(INDEX(EXTRATO_IMPORTADO!$F$5:$F$404,MATCH(B1759,EXTRATO_IMPORTADO!$I$5:$I$404,0)),"")</f>
        <v/>
      </c>
      <c r="Q1759" s="26" t="str">
        <f>IFERROR(INDEX(EXTRATO_IMPORTADO!$B$5:$B$404,MATCH(B1759,EXTRATO_IMPORTADO!$I$5:$I$404,0)),"")</f>
        <v/>
      </c>
      <c r="R1759" s="26" t="str">
        <f>IFERROR(MATCH(B1759,EXTRATO_IMPORTADO!$I$5:$I$404,0),"")</f>
        <v/>
      </c>
      <c r="S1759" s="26" t="str">
        <f t="shared" si="82"/>
        <v/>
      </c>
      <c r="T1759" s="26" t="str">
        <f t="shared" si="83"/>
        <v/>
      </c>
    </row>
    <row r="1760" spans="1:20" x14ac:dyDescent="0.3">
      <c r="A1760" s="26" t="str">
        <f>IF(BASE_CAIXA!A1757="","",BASE_CAIXA!A1757)</f>
        <v/>
      </c>
      <c r="B1760" s="26" t="str">
        <f>IF(A1760="","",BASE_CAIXA!AL1757)</f>
        <v/>
      </c>
      <c r="C1760" s="26" t="str">
        <f>IF(A1760="","",BASE_CAIXA!AJ1757)</f>
        <v/>
      </c>
      <c r="D1760" s="26" t="str">
        <f>IF(A1760="","",IF(BASE_CAIXA!C1757="Entrada","Crédito","Débito"))</f>
        <v/>
      </c>
      <c r="E1760" s="26" t="str">
        <f>IF(A1760="","",BASE_CAIXA!AA1757)</f>
        <v/>
      </c>
      <c r="F1760" s="26" t="str">
        <f>IF(A1760="","",BASE_CAIXA!N1757)</f>
        <v/>
      </c>
      <c r="G1760" s="26" t="str">
        <f>IF(A1760="","",BASE_CAIXA!O1757)</f>
        <v/>
      </c>
      <c r="H1760" s="26" t="str">
        <f>IF(A1760="","",BASE_CAIXA!P1757)</f>
        <v/>
      </c>
      <c r="I1760" s="26" t="str">
        <f>IF(A1760="","",IF(BASE_CAIXA!H1757&lt;&gt;"",BASE_CAIXA!H1757,BASE_CAIXA!G1757))</f>
        <v/>
      </c>
      <c r="J1760" s="26" t="str">
        <f>IF(A1760="","",BASE_CAIXA!G1757)</f>
        <v/>
      </c>
      <c r="K1760" s="26" t="str">
        <f>IF(A1760="","",BASE_CAIXA!I1757)</f>
        <v/>
      </c>
      <c r="L1760" s="26" t="str">
        <f>IF(A1760="","",BASE_CAIXA!J1757)</f>
        <v/>
      </c>
      <c r="M1760" s="26" t="str">
        <f>IF(A1760="","",BASE_CAIXA!AM1757)</f>
        <v/>
      </c>
      <c r="N1760" s="26" t="str">
        <f t="shared" ca="1" si="81"/>
        <v/>
      </c>
      <c r="O1760" s="26" t="str">
        <f>IFERROR(INDEX(EXTRATO_IMPORTADO!$A$5:$A$404,MATCH(B1760,EXTRATO_IMPORTADO!$I$5:$I$404,0)),"")</f>
        <v/>
      </c>
      <c r="P1760" s="26" t="str">
        <f>IFERROR(INDEX(EXTRATO_IMPORTADO!$F$5:$F$404,MATCH(B1760,EXTRATO_IMPORTADO!$I$5:$I$404,0)),"")</f>
        <v/>
      </c>
      <c r="Q1760" s="26" t="str">
        <f>IFERROR(INDEX(EXTRATO_IMPORTADO!$B$5:$B$404,MATCH(B1760,EXTRATO_IMPORTADO!$I$5:$I$404,0)),"")</f>
        <v/>
      </c>
      <c r="R1760" s="26" t="str">
        <f>IFERROR(MATCH(B1760,EXTRATO_IMPORTADO!$I$5:$I$404,0),"")</f>
        <v/>
      </c>
      <c r="S1760" s="26" t="str">
        <f t="shared" si="82"/>
        <v/>
      </c>
      <c r="T1760" s="26" t="str">
        <f t="shared" si="83"/>
        <v/>
      </c>
    </row>
    <row r="1761" spans="1:20" x14ac:dyDescent="0.3">
      <c r="A1761" s="26" t="str">
        <f>IF(BASE_CAIXA!A1758="","",BASE_CAIXA!A1758)</f>
        <v/>
      </c>
      <c r="B1761" s="26" t="str">
        <f>IF(A1761="","",BASE_CAIXA!AL1758)</f>
        <v/>
      </c>
      <c r="C1761" s="26" t="str">
        <f>IF(A1761="","",BASE_CAIXA!AJ1758)</f>
        <v/>
      </c>
      <c r="D1761" s="26" t="str">
        <f>IF(A1761="","",IF(BASE_CAIXA!C1758="Entrada","Crédito","Débito"))</f>
        <v/>
      </c>
      <c r="E1761" s="26" t="str">
        <f>IF(A1761="","",BASE_CAIXA!AA1758)</f>
        <v/>
      </c>
      <c r="F1761" s="26" t="str">
        <f>IF(A1761="","",BASE_CAIXA!N1758)</f>
        <v/>
      </c>
      <c r="G1761" s="26" t="str">
        <f>IF(A1761="","",BASE_CAIXA!O1758)</f>
        <v/>
      </c>
      <c r="H1761" s="26" t="str">
        <f>IF(A1761="","",BASE_CAIXA!P1758)</f>
        <v/>
      </c>
      <c r="I1761" s="26" t="str">
        <f>IF(A1761="","",IF(BASE_CAIXA!H1758&lt;&gt;"",BASE_CAIXA!H1758,BASE_CAIXA!G1758))</f>
        <v/>
      </c>
      <c r="J1761" s="26" t="str">
        <f>IF(A1761="","",BASE_CAIXA!G1758)</f>
        <v/>
      </c>
      <c r="K1761" s="26" t="str">
        <f>IF(A1761="","",BASE_CAIXA!I1758)</f>
        <v/>
      </c>
      <c r="L1761" s="26" t="str">
        <f>IF(A1761="","",BASE_CAIXA!J1758)</f>
        <v/>
      </c>
      <c r="M1761" s="26" t="str">
        <f>IF(A1761="","",BASE_CAIXA!AM1758)</f>
        <v/>
      </c>
      <c r="N1761" s="26" t="str">
        <f t="shared" ca="1" si="81"/>
        <v/>
      </c>
      <c r="O1761" s="26" t="str">
        <f>IFERROR(INDEX(EXTRATO_IMPORTADO!$A$5:$A$404,MATCH(B1761,EXTRATO_IMPORTADO!$I$5:$I$404,0)),"")</f>
        <v/>
      </c>
      <c r="P1761" s="26" t="str">
        <f>IFERROR(INDEX(EXTRATO_IMPORTADO!$F$5:$F$404,MATCH(B1761,EXTRATO_IMPORTADO!$I$5:$I$404,0)),"")</f>
        <v/>
      </c>
      <c r="Q1761" s="26" t="str">
        <f>IFERROR(INDEX(EXTRATO_IMPORTADO!$B$5:$B$404,MATCH(B1761,EXTRATO_IMPORTADO!$I$5:$I$404,0)),"")</f>
        <v/>
      </c>
      <c r="R1761" s="26" t="str">
        <f>IFERROR(MATCH(B1761,EXTRATO_IMPORTADO!$I$5:$I$404,0),"")</f>
        <v/>
      </c>
      <c r="S1761" s="26" t="str">
        <f t="shared" si="82"/>
        <v/>
      </c>
      <c r="T1761" s="26" t="str">
        <f t="shared" si="83"/>
        <v/>
      </c>
    </row>
    <row r="1762" spans="1:20" x14ac:dyDescent="0.3">
      <c r="A1762" s="26" t="str">
        <f>IF(BASE_CAIXA!A1759="","",BASE_CAIXA!A1759)</f>
        <v/>
      </c>
      <c r="B1762" s="26" t="str">
        <f>IF(A1762="","",BASE_CAIXA!AL1759)</f>
        <v/>
      </c>
      <c r="C1762" s="26" t="str">
        <f>IF(A1762="","",BASE_CAIXA!AJ1759)</f>
        <v/>
      </c>
      <c r="D1762" s="26" t="str">
        <f>IF(A1762="","",IF(BASE_CAIXA!C1759="Entrada","Crédito","Débito"))</f>
        <v/>
      </c>
      <c r="E1762" s="26" t="str">
        <f>IF(A1762="","",BASE_CAIXA!AA1759)</f>
        <v/>
      </c>
      <c r="F1762" s="26" t="str">
        <f>IF(A1762="","",BASE_CAIXA!N1759)</f>
        <v/>
      </c>
      <c r="G1762" s="26" t="str">
        <f>IF(A1762="","",BASE_CAIXA!O1759)</f>
        <v/>
      </c>
      <c r="H1762" s="26" t="str">
        <f>IF(A1762="","",BASE_CAIXA!P1759)</f>
        <v/>
      </c>
      <c r="I1762" s="26" t="str">
        <f>IF(A1762="","",IF(BASE_CAIXA!H1759&lt;&gt;"",BASE_CAIXA!H1759,BASE_CAIXA!G1759))</f>
        <v/>
      </c>
      <c r="J1762" s="26" t="str">
        <f>IF(A1762="","",BASE_CAIXA!G1759)</f>
        <v/>
      </c>
      <c r="K1762" s="26" t="str">
        <f>IF(A1762="","",BASE_CAIXA!I1759)</f>
        <v/>
      </c>
      <c r="L1762" s="26" t="str">
        <f>IF(A1762="","",BASE_CAIXA!J1759)</f>
        <v/>
      </c>
      <c r="M1762" s="26" t="str">
        <f>IF(A1762="","",BASE_CAIXA!AM1759)</f>
        <v/>
      </c>
      <c r="N1762" s="26" t="str">
        <f t="shared" ca="1" si="81"/>
        <v/>
      </c>
      <c r="O1762" s="26" t="str">
        <f>IFERROR(INDEX(EXTRATO_IMPORTADO!$A$5:$A$404,MATCH(B1762,EXTRATO_IMPORTADO!$I$5:$I$404,0)),"")</f>
        <v/>
      </c>
      <c r="P1762" s="26" t="str">
        <f>IFERROR(INDEX(EXTRATO_IMPORTADO!$F$5:$F$404,MATCH(B1762,EXTRATO_IMPORTADO!$I$5:$I$404,0)),"")</f>
        <v/>
      </c>
      <c r="Q1762" s="26" t="str">
        <f>IFERROR(INDEX(EXTRATO_IMPORTADO!$B$5:$B$404,MATCH(B1762,EXTRATO_IMPORTADO!$I$5:$I$404,0)),"")</f>
        <v/>
      </c>
      <c r="R1762" s="26" t="str">
        <f>IFERROR(MATCH(B1762,EXTRATO_IMPORTADO!$I$5:$I$404,0),"")</f>
        <v/>
      </c>
      <c r="S1762" s="26" t="str">
        <f t="shared" si="82"/>
        <v/>
      </c>
      <c r="T1762" s="26" t="str">
        <f t="shared" si="83"/>
        <v/>
      </c>
    </row>
    <row r="1763" spans="1:20" x14ac:dyDescent="0.3">
      <c r="A1763" s="26" t="str">
        <f>IF(BASE_CAIXA!A1760="","",BASE_CAIXA!A1760)</f>
        <v/>
      </c>
      <c r="B1763" s="26" t="str">
        <f>IF(A1763="","",BASE_CAIXA!AL1760)</f>
        <v/>
      </c>
      <c r="C1763" s="26" t="str">
        <f>IF(A1763="","",BASE_CAIXA!AJ1760)</f>
        <v/>
      </c>
      <c r="D1763" s="26" t="str">
        <f>IF(A1763="","",IF(BASE_CAIXA!C1760="Entrada","Crédito","Débito"))</f>
        <v/>
      </c>
      <c r="E1763" s="26" t="str">
        <f>IF(A1763="","",BASE_CAIXA!AA1760)</f>
        <v/>
      </c>
      <c r="F1763" s="26" t="str">
        <f>IF(A1763="","",BASE_CAIXA!N1760)</f>
        <v/>
      </c>
      <c r="G1763" s="26" t="str">
        <f>IF(A1763="","",BASE_CAIXA!O1760)</f>
        <v/>
      </c>
      <c r="H1763" s="26" t="str">
        <f>IF(A1763="","",BASE_CAIXA!P1760)</f>
        <v/>
      </c>
      <c r="I1763" s="26" t="str">
        <f>IF(A1763="","",IF(BASE_CAIXA!H1760&lt;&gt;"",BASE_CAIXA!H1760,BASE_CAIXA!G1760))</f>
        <v/>
      </c>
      <c r="J1763" s="26" t="str">
        <f>IF(A1763="","",BASE_CAIXA!G1760)</f>
        <v/>
      </c>
      <c r="K1763" s="26" t="str">
        <f>IF(A1763="","",BASE_CAIXA!I1760)</f>
        <v/>
      </c>
      <c r="L1763" s="26" t="str">
        <f>IF(A1763="","",BASE_CAIXA!J1760)</f>
        <v/>
      </c>
      <c r="M1763" s="26" t="str">
        <f>IF(A1763="","",BASE_CAIXA!AM1760)</f>
        <v/>
      </c>
      <c r="N1763" s="26" t="str">
        <f t="shared" ca="1" si="81"/>
        <v/>
      </c>
      <c r="O1763" s="26" t="str">
        <f>IFERROR(INDEX(EXTRATO_IMPORTADO!$A$5:$A$404,MATCH(B1763,EXTRATO_IMPORTADO!$I$5:$I$404,0)),"")</f>
        <v/>
      </c>
      <c r="P1763" s="26" t="str">
        <f>IFERROR(INDEX(EXTRATO_IMPORTADO!$F$5:$F$404,MATCH(B1763,EXTRATO_IMPORTADO!$I$5:$I$404,0)),"")</f>
        <v/>
      </c>
      <c r="Q1763" s="26" t="str">
        <f>IFERROR(INDEX(EXTRATO_IMPORTADO!$B$5:$B$404,MATCH(B1763,EXTRATO_IMPORTADO!$I$5:$I$404,0)),"")</f>
        <v/>
      </c>
      <c r="R1763" s="26" t="str">
        <f>IFERROR(MATCH(B1763,EXTRATO_IMPORTADO!$I$5:$I$404,0),"")</f>
        <v/>
      </c>
      <c r="S1763" s="26" t="str">
        <f t="shared" si="82"/>
        <v/>
      </c>
      <c r="T1763" s="26" t="str">
        <f t="shared" si="83"/>
        <v/>
      </c>
    </row>
    <row r="1764" spans="1:20" x14ac:dyDescent="0.3">
      <c r="A1764" s="26" t="str">
        <f>IF(BASE_CAIXA!A1761="","",BASE_CAIXA!A1761)</f>
        <v/>
      </c>
      <c r="B1764" s="26" t="str">
        <f>IF(A1764="","",BASE_CAIXA!AL1761)</f>
        <v/>
      </c>
      <c r="C1764" s="26" t="str">
        <f>IF(A1764="","",BASE_CAIXA!AJ1761)</f>
        <v/>
      </c>
      <c r="D1764" s="26" t="str">
        <f>IF(A1764="","",IF(BASE_CAIXA!C1761="Entrada","Crédito","Débito"))</f>
        <v/>
      </c>
      <c r="E1764" s="26" t="str">
        <f>IF(A1764="","",BASE_CAIXA!AA1761)</f>
        <v/>
      </c>
      <c r="F1764" s="26" t="str">
        <f>IF(A1764="","",BASE_CAIXA!N1761)</f>
        <v/>
      </c>
      <c r="G1764" s="26" t="str">
        <f>IF(A1764="","",BASE_CAIXA!O1761)</f>
        <v/>
      </c>
      <c r="H1764" s="26" t="str">
        <f>IF(A1764="","",BASE_CAIXA!P1761)</f>
        <v/>
      </c>
      <c r="I1764" s="26" t="str">
        <f>IF(A1764="","",IF(BASE_CAIXA!H1761&lt;&gt;"",BASE_CAIXA!H1761,BASE_CAIXA!G1761))</f>
        <v/>
      </c>
      <c r="J1764" s="26" t="str">
        <f>IF(A1764="","",BASE_CAIXA!G1761)</f>
        <v/>
      </c>
      <c r="K1764" s="26" t="str">
        <f>IF(A1764="","",BASE_CAIXA!I1761)</f>
        <v/>
      </c>
      <c r="L1764" s="26" t="str">
        <f>IF(A1764="","",BASE_CAIXA!J1761)</f>
        <v/>
      </c>
      <c r="M1764" s="26" t="str">
        <f>IF(A1764="","",BASE_CAIXA!AM1761)</f>
        <v/>
      </c>
      <c r="N1764" s="26" t="str">
        <f t="shared" ca="1" si="81"/>
        <v/>
      </c>
      <c r="O1764" s="26" t="str">
        <f>IFERROR(INDEX(EXTRATO_IMPORTADO!$A$5:$A$404,MATCH(B1764,EXTRATO_IMPORTADO!$I$5:$I$404,0)),"")</f>
        <v/>
      </c>
      <c r="P1764" s="26" t="str">
        <f>IFERROR(INDEX(EXTRATO_IMPORTADO!$F$5:$F$404,MATCH(B1764,EXTRATO_IMPORTADO!$I$5:$I$404,0)),"")</f>
        <v/>
      </c>
      <c r="Q1764" s="26" t="str">
        <f>IFERROR(INDEX(EXTRATO_IMPORTADO!$B$5:$B$404,MATCH(B1764,EXTRATO_IMPORTADO!$I$5:$I$404,0)),"")</f>
        <v/>
      </c>
      <c r="R1764" s="26" t="str">
        <f>IFERROR(MATCH(B1764,EXTRATO_IMPORTADO!$I$5:$I$404,0),"")</f>
        <v/>
      </c>
      <c r="S1764" s="26" t="str">
        <f t="shared" si="82"/>
        <v/>
      </c>
      <c r="T1764" s="26" t="str">
        <f t="shared" si="83"/>
        <v/>
      </c>
    </row>
    <row r="1765" spans="1:20" x14ac:dyDescent="0.3">
      <c r="A1765" s="26" t="str">
        <f>IF(BASE_CAIXA!A1762="","",BASE_CAIXA!A1762)</f>
        <v/>
      </c>
      <c r="B1765" s="26" t="str">
        <f>IF(A1765="","",BASE_CAIXA!AL1762)</f>
        <v/>
      </c>
      <c r="C1765" s="26" t="str">
        <f>IF(A1765="","",BASE_CAIXA!AJ1762)</f>
        <v/>
      </c>
      <c r="D1765" s="26" t="str">
        <f>IF(A1765="","",IF(BASE_CAIXA!C1762="Entrada","Crédito","Débito"))</f>
        <v/>
      </c>
      <c r="E1765" s="26" t="str">
        <f>IF(A1765="","",BASE_CAIXA!AA1762)</f>
        <v/>
      </c>
      <c r="F1765" s="26" t="str">
        <f>IF(A1765="","",BASE_CAIXA!N1762)</f>
        <v/>
      </c>
      <c r="G1765" s="26" t="str">
        <f>IF(A1765="","",BASE_CAIXA!O1762)</f>
        <v/>
      </c>
      <c r="H1765" s="26" t="str">
        <f>IF(A1765="","",BASE_CAIXA!P1762)</f>
        <v/>
      </c>
      <c r="I1765" s="26" t="str">
        <f>IF(A1765="","",IF(BASE_CAIXA!H1762&lt;&gt;"",BASE_CAIXA!H1762,BASE_CAIXA!G1762))</f>
        <v/>
      </c>
      <c r="J1765" s="26" t="str">
        <f>IF(A1765="","",BASE_CAIXA!G1762)</f>
        <v/>
      </c>
      <c r="K1765" s="26" t="str">
        <f>IF(A1765="","",BASE_CAIXA!I1762)</f>
        <v/>
      </c>
      <c r="L1765" s="26" t="str">
        <f>IF(A1765="","",BASE_CAIXA!J1762)</f>
        <v/>
      </c>
      <c r="M1765" s="26" t="str">
        <f>IF(A1765="","",BASE_CAIXA!AM1762)</f>
        <v/>
      </c>
      <c r="N1765" s="26" t="str">
        <f t="shared" ca="1" si="81"/>
        <v/>
      </c>
      <c r="O1765" s="26" t="str">
        <f>IFERROR(INDEX(EXTRATO_IMPORTADO!$A$5:$A$404,MATCH(B1765,EXTRATO_IMPORTADO!$I$5:$I$404,0)),"")</f>
        <v/>
      </c>
      <c r="P1765" s="26" t="str">
        <f>IFERROR(INDEX(EXTRATO_IMPORTADO!$F$5:$F$404,MATCH(B1765,EXTRATO_IMPORTADO!$I$5:$I$404,0)),"")</f>
        <v/>
      </c>
      <c r="Q1765" s="26" t="str">
        <f>IFERROR(INDEX(EXTRATO_IMPORTADO!$B$5:$B$404,MATCH(B1765,EXTRATO_IMPORTADO!$I$5:$I$404,0)),"")</f>
        <v/>
      </c>
      <c r="R1765" s="26" t="str">
        <f>IFERROR(MATCH(B1765,EXTRATO_IMPORTADO!$I$5:$I$404,0),"")</f>
        <v/>
      </c>
      <c r="S1765" s="26" t="str">
        <f t="shared" si="82"/>
        <v/>
      </c>
      <c r="T1765" s="26" t="str">
        <f t="shared" si="83"/>
        <v/>
      </c>
    </row>
    <row r="1766" spans="1:20" x14ac:dyDescent="0.3">
      <c r="A1766" s="26" t="str">
        <f>IF(BASE_CAIXA!A1763="","",BASE_CAIXA!A1763)</f>
        <v/>
      </c>
      <c r="B1766" s="26" t="str">
        <f>IF(A1766="","",BASE_CAIXA!AL1763)</f>
        <v/>
      </c>
      <c r="C1766" s="26" t="str">
        <f>IF(A1766="","",BASE_CAIXA!AJ1763)</f>
        <v/>
      </c>
      <c r="D1766" s="26" t="str">
        <f>IF(A1766="","",IF(BASE_CAIXA!C1763="Entrada","Crédito","Débito"))</f>
        <v/>
      </c>
      <c r="E1766" s="26" t="str">
        <f>IF(A1766="","",BASE_CAIXA!AA1763)</f>
        <v/>
      </c>
      <c r="F1766" s="26" t="str">
        <f>IF(A1766="","",BASE_CAIXA!N1763)</f>
        <v/>
      </c>
      <c r="G1766" s="26" t="str">
        <f>IF(A1766="","",BASE_CAIXA!O1763)</f>
        <v/>
      </c>
      <c r="H1766" s="26" t="str">
        <f>IF(A1766="","",BASE_CAIXA!P1763)</f>
        <v/>
      </c>
      <c r="I1766" s="26" t="str">
        <f>IF(A1766="","",IF(BASE_CAIXA!H1763&lt;&gt;"",BASE_CAIXA!H1763,BASE_CAIXA!G1763))</f>
        <v/>
      </c>
      <c r="J1766" s="26" t="str">
        <f>IF(A1766="","",BASE_CAIXA!G1763)</f>
        <v/>
      </c>
      <c r="K1766" s="26" t="str">
        <f>IF(A1766="","",BASE_CAIXA!I1763)</f>
        <v/>
      </c>
      <c r="L1766" s="26" t="str">
        <f>IF(A1766="","",BASE_CAIXA!J1763)</f>
        <v/>
      </c>
      <c r="M1766" s="26" t="str">
        <f>IF(A1766="","",BASE_CAIXA!AM1763)</f>
        <v/>
      </c>
      <c r="N1766" s="26" t="str">
        <f t="shared" ca="1" si="81"/>
        <v/>
      </c>
      <c r="O1766" s="26" t="str">
        <f>IFERROR(INDEX(EXTRATO_IMPORTADO!$A$5:$A$404,MATCH(B1766,EXTRATO_IMPORTADO!$I$5:$I$404,0)),"")</f>
        <v/>
      </c>
      <c r="P1766" s="26" t="str">
        <f>IFERROR(INDEX(EXTRATO_IMPORTADO!$F$5:$F$404,MATCH(B1766,EXTRATO_IMPORTADO!$I$5:$I$404,0)),"")</f>
        <v/>
      </c>
      <c r="Q1766" s="26" t="str">
        <f>IFERROR(INDEX(EXTRATO_IMPORTADO!$B$5:$B$404,MATCH(B1766,EXTRATO_IMPORTADO!$I$5:$I$404,0)),"")</f>
        <v/>
      </c>
      <c r="R1766" s="26" t="str">
        <f>IFERROR(MATCH(B1766,EXTRATO_IMPORTADO!$I$5:$I$404,0),"")</f>
        <v/>
      </c>
      <c r="S1766" s="26" t="str">
        <f t="shared" si="82"/>
        <v/>
      </c>
      <c r="T1766" s="26" t="str">
        <f t="shared" si="83"/>
        <v/>
      </c>
    </row>
    <row r="1767" spans="1:20" x14ac:dyDescent="0.3">
      <c r="A1767" s="26" t="str">
        <f>IF(BASE_CAIXA!A1764="","",BASE_CAIXA!A1764)</f>
        <v/>
      </c>
      <c r="B1767" s="26" t="str">
        <f>IF(A1767="","",BASE_CAIXA!AL1764)</f>
        <v/>
      </c>
      <c r="C1767" s="26" t="str">
        <f>IF(A1767="","",BASE_CAIXA!AJ1764)</f>
        <v/>
      </c>
      <c r="D1767" s="26" t="str">
        <f>IF(A1767="","",IF(BASE_CAIXA!C1764="Entrada","Crédito","Débito"))</f>
        <v/>
      </c>
      <c r="E1767" s="26" t="str">
        <f>IF(A1767="","",BASE_CAIXA!AA1764)</f>
        <v/>
      </c>
      <c r="F1767" s="26" t="str">
        <f>IF(A1767="","",BASE_CAIXA!N1764)</f>
        <v/>
      </c>
      <c r="G1767" s="26" t="str">
        <f>IF(A1767="","",BASE_CAIXA!O1764)</f>
        <v/>
      </c>
      <c r="H1767" s="26" t="str">
        <f>IF(A1767="","",BASE_CAIXA!P1764)</f>
        <v/>
      </c>
      <c r="I1767" s="26" t="str">
        <f>IF(A1767="","",IF(BASE_CAIXA!H1764&lt;&gt;"",BASE_CAIXA!H1764,BASE_CAIXA!G1764))</f>
        <v/>
      </c>
      <c r="J1767" s="26" t="str">
        <f>IF(A1767="","",BASE_CAIXA!G1764)</f>
        <v/>
      </c>
      <c r="K1767" s="26" t="str">
        <f>IF(A1767="","",BASE_CAIXA!I1764)</f>
        <v/>
      </c>
      <c r="L1767" s="26" t="str">
        <f>IF(A1767="","",BASE_CAIXA!J1764)</f>
        <v/>
      </c>
      <c r="M1767" s="26" t="str">
        <f>IF(A1767="","",BASE_CAIXA!AM1764)</f>
        <v/>
      </c>
      <c r="N1767" s="26" t="str">
        <f t="shared" ca="1" si="81"/>
        <v/>
      </c>
      <c r="O1767" s="26" t="str">
        <f>IFERROR(INDEX(EXTRATO_IMPORTADO!$A$5:$A$404,MATCH(B1767,EXTRATO_IMPORTADO!$I$5:$I$404,0)),"")</f>
        <v/>
      </c>
      <c r="P1767" s="26" t="str">
        <f>IFERROR(INDEX(EXTRATO_IMPORTADO!$F$5:$F$404,MATCH(B1767,EXTRATO_IMPORTADO!$I$5:$I$404,0)),"")</f>
        <v/>
      </c>
      <c r="Q1767" s="26" t="str">
        <f>IFERROR(INDEX(EXTRATO_IMPORTADO!$B$5:$B$404,MATCH(B1767,EXTRATO_IMPORTADO!$I$5:$I$404,0)),"")</f>
        <v/>
      </c>
      <c r="R1767" s="26" t="str">
        <f>IFERROR(MATCH(B1767,EXTRATO_IMPORTADO!$I$5:$I$404,0),"")</f>
        <v/>
      </c>
      <c r="S1767" s="26" t="str">
        <f t="shared" si="82"/>
        <v/>
      </c>
      <c r="T1767" s="26" t="str">
        <f t="shared" si="83"/>
        <v/>
      </c>
    </row>
    <row r="1768" spans="1:20" x14ac:dyDescent="0.3">
      <c r="A1768" s="26" t="str">
        <f>IF(BASE_CAIXA!A1765="","",BASE_CAIXA!A1765)</f>
        <v/>
      </c>
      <c r="B1768" s="26" t="str">
        <f>IF(A1768="","",BASE_CAIXA!AL1765)</f>
        <v/>
      </c>
      <c r="C1768" s="26" t="str">
        <f>IF(A1768="","",BASE_CAIXA!AJ1765)</f>
        <v/>
      </c>
      <c r="D1768" s="26" t="str">
        <f>IF(A1768="","",IF(BASE_CAIXA!C1765="Entrada","Crédito","Débito"))</f>
        <v/>
      </c>
      <c r="E1768" s="26" t="str">
        <f>IF(A1768="","",BASE_CAIXA!AA1765)</f>
        <v/>
      </c>
      <c r="F1768" s="26" t="str">
        <f>IF(A1768="","",BASE_CAIXA!N1765)</f>
        <v/>
      </c>
      <c r="G1768" s="26" t="str">
        <f>IF(A1768="","",BASE_CAIXA!O1765)</f>
        <v/>
      </c>
      <c r="H1768" s="26" t="str">
        <f>IF(A1768="","",BASE_CAIXA!P1765)</f>
        <v/>
      </c>
      <c r="I1768" s="26" t="str">
        <f>IF(A1768="","",IF(BASE_CAIXA!H1765&lt;&gt;"",BASE_CAIXA!H1765,BASE_CAIXA!G1765))</f>
        <v/>
      </c>
      <c r="J1768" s="26" t="str">
        <f>IF(A1768="","",BASE_CAIXA!G1765)</f>
        <v/>
      </c>
      <c r="K1768" s="26" t="str">
        <f>IF(A1768="","",BASE_CAIXA!I1765)</f>
        <v/>
      </c>
      <c r="L1768" s="26" t="str">
        <f>IF(A1768="","",BASE_CAIXA!J1765)</f>
        <v/>
      </c>
      <c r="M1768" s="26" t="str">
        <f>IF(A1768="","",BASE_CAIXA!AM1765)</f>
        <v/>
      </c>
      <c r="N1768" s="26" t="str">
        <f t="shared" ca="1" si="81"/>
        <v/>
      </c>
      <c r="O1768" s="26" t="str">
        <f>IFERROR(INDEX(EXTRATO_IMPORTADO!$A$5:$A$404,MATCH(B1768,EXTRATO_IMPORTADO!$I$5:$I$404,0)),"")</f>
        <v/>
      </c>
      <c r="P1768" s="26" t="str">
        <f>IFERROR(INDEX(EXTRATO_IMPORTADO!$F$5:$F$404,MATCH(B1768,EXTRATO_IMPORTADO!$I$5:$I$404,0)),"")</f>
        <v/>
      </c>
      <c r="Q1768" s="26" t="str">
        <f>IFERROR(INDEX(EXTRATO_IMPORTADO!$B$5:$B$404,MATCH(B1768,EXTRATO_IMPORTADO!$I$5:$I$404,0)),"")</f>
        <v/>
      </c>
      <c r="R1768" s="26" t="str">
        <f>IFERROR(MATCH(B1768,EXTRATO_IMPORTADO!$I$5:$I$404,0),"")</f>
        <v/>
      </c>
      <c r="S1768" s="26" t="str">
        <f t="shared" si="82"/>
        <v/>
      </c>
      <c r="T1768" s="26" t="str">
        <f t="shared" si="83"/>
        <v/>
      </c>
    </row>
    <row r="1769" spans="1:20" x14ac:dyDescent="0.3">
      <c r="A1769" s="26" t="str">
        <f>IF(BASE_CAIXA!A1766="","",BASE_CAIXA!A1766)</f>
        <v/>
      </c>
      <c r="B1769" s="26" t="str">
        <f>IF(A1769="","",BASE_CAIXA!AL1766)</f>
        <v/>
      </c>
      <c r="C1769" s="26" t="str">
        <f>IF(A1769="","",BASE_CAIXA!AJ1766)</f>
        <v/>
      </c>
      <c r="D1769" s="26" t="str">
        <f>IF(A1769="","",IF(BASE_CAIXA!C1766="Entrada","Crédito","Débito"))</f>
        <v/>
      </c>
      <c r="E1769" s="26" t="str">
        <f>IF(A1769="","",BASE_CAIXA!AA1766)</f>
        <v/>
      </c>
      <c r="F1769" s="26" t="str">
        <f>IF(A1769="","",BASE_CAIXA!N1766)</f>
        <v/>
      </c>
      <c r="G1769" s="26" t="str">
        <f>IF(A1769="","",BASE_CAIXA!O1766)</f>
        <v/>
      </c>
      <c r="H1769" s="26" t="str">
        <f>IF(A1769="","",BASE_CAIXA!P1766)</f>
        <v/>
      </c>
      <c r="I1769" s="26" t="str">
        <f>IF(A1769="","",IF(BASE_CAIXA!H1766&lt;&gt;"",BASE_CAIXA!H1766,BASE_CAIXA!G1766))</f>
        <v/>
      </c>
      <c r="J1769" s="26" t="str">
        <f>IF(A1769="","",BASE_CAIXA!G1766)</f>
        <v/>
      </c>
      <c r="K1769" s="26" t="str">
        <f>IF(A1769="","",BASE_CAIXA!I1766)</f>
        <v/>
      </c>
      <c r="L1769" s="26" t="str">
        <f>IF(A1769="","",BASE_CAIXA!J1766)</f>
        <v/>
      </c>
      <c r="M1769" s="26" t="str">
        <f>IF(A1769="","",BASE_CAIXA!AM1766)</f>
        <v/>
      </c>
      <c r="N1769" s="26" t="str">
        <f t="shared" ca="1" si="81"/>
        <v/>
      </c>
      <c r="O1769" s="26" t="str">
        <f>IFERROR(INDEX(EXTRATO_IMPORTADO!$A$5:$A$404,MATCH(B1769,EXTRATO_IMPORTADO!$I$5:$I$404,0)),"")</f>
        <v/>
      </c>
      <c r="P1769" s="26" t="str">
        <f>IFERROR(INDEX(EXTRATO_IMPORTADO!$F$5:$F$404,MATCH(B1769,EXTRATO_IMPORTADO!$I$5:$I$404,0)),"")</f>
        <v/>
      </c>
      <c r="Q1769" s="26" t="str">
        <f>IFERROR(INDEX(EXTRATO_IMPORTADO!$B$5:$B$404,MATCH(B1769,EXTRATO_IMPORTADO!$I$5:$I$404,0)),"")</f>
        <v/>
      </c>
      <c r="R1769" s="26" t="str">
        <f>IFERROR(MATCH(B1769,EXTRATO_IMPORTADO!$I$5:$I$404,0),"")</f>
        <v/>
      </c>
      <c r="S1769" s="26" t="str">
        <f t="shared" si="82"/>
        <v/>
      </c>
      <c r="T1769" s="26" t="str">
        <f t="shared" si="83"/>
        <v/>
      </c>
    </row>
    <row r="1770" spans="1:20" x14ac:dyDescent="0.3">
      <c r="A1770" s="26" t="str">
        <f>IF(BASE_CAIXA!A1767="","",BASE_CAIXA!A1767)</f>
        <v/>
      </c>
      <c r="B1770" s="26" t="str">
        <f>IF(A1770="","",BASE_CAIXA!AL1767)</f>
        <v/>
      </c>
      <c r="C1770" s="26" t="str">
        <f>IF(A1770="","",BASE_CAIXA!AJ1767)</f>
        <v/>
      </c>
      <c r="D1770" s="26" t="str">
        <f>IF(A1770="","",IF(BASE_CAIXA!C1767="Entrada","Crédito","Débito"))</f>
        <v/>
      </c>
      <c r="E1770" s="26" t="str">
        <f>IF(A1770="","",BASE_CAIXA!AA1767)</f>
        <v/>
      </c>
      <c r="F1770" s="26" t="str">
        <f>IF(A1770="","",BASE_CAIXA!N1767)</f>
        <v/>
      </c>
      <c r="G1770" s="26" t="str">
        <f>IF(A1770="","",BASE_CAIXA!O1767)</f>
        <v/>
      </c>
      <c r="H1770" s="26" t="str">
        <f>IF(A1770="","",BASE_CAIXA!P1767)</f>
        <v/>
      </c>
      <c r="I1770" s="26" t="str">
        <f>IF(A1770="","",IF(BASE_CAIXA!H1767&lt;&gt;"",BASE_CAIXA!H1767,BASE_CAIXA!G1767))</f>
        <v/>
      </c>
      <c r="J1770" s="26" t="str">
        <f>IF(A1770="","",BASE_CAIXA!G1767)</f>
        <v/>
      </c>
      <c r="K1770" s="26" t="str">
        <f>IF(A1770="","",BASE_CAIXA!I1767)</f>
        <v/>
      </c>
      <c r="L1770" s="26" t="str">
        <f>IF(A1770="","",BASE_CAIXA!J1767)</f>
        <v/>
      </c>
      <c r="M1770" s="26" t="str">
        <f>IF(A1770="","",BASE_CAIXA!AM1767)</f>
        <v/>
      </c>
      <c r="N1770" s="26" t="str">
        <f t="shared" ca="1" si="81"/>
        <v/>
      </c>
      <c r="O1770" s="26" t="str">
        <f>IFERROR(INDEX(EXTRATO_IMPORTADO!$A$5:$A$404,MATCH(B1770,EXTRATO_IMPORTADO!$I$5:$I$404,0)),"")</f>
        <v/>
      </c>
      <c r="P1770" s="26" t="str">
        <f>IFERROR(INDEX(EXTRATO_IMPORTADO!$F$5:$F$404,MATCH(B1770,EXTRATO_IMPORTADO!$I$5:$I$404,0)),"")</f>
        <v/>
      </c>
      <c r="Q1770" s="26" t="str">
        <f>IFERROR(INDEX(EXTRATO_IMPORTADO!$B$5:$B$404,MATCH(B1770,EXTRATO_IMPORTADO!$I$5:$I$404,0)),"")</f>
        <v/>
      </c>
      <c r="R1770" s="26" t="str">
        <f>IFERROR(MATCH(B1770,EXTRATO_IMPORTADO!$I$5:$I$404,0),"")</f>
        <v/>
      </c>
      <c r="S1770" s="26" t="str">
        <f t="shared" si="82"/>
        <v/>
      </c>
      <c r="T1770" s="26" t="str">
        <f t="shared" si="83"/>
        <v/>
      </c>
    </row>
    <row r="1771" spans="1:20" x14ac:dyDescent="0.3">
      <c r="A1771" s="26" t="str">
        <f>IF(BASE_CAIXA!A1768="","",BASE_CAIXA!A1768)</f>
        <v/>
      </c>
      <c r="B1771" s="26" t="str">
        <f>IF(A1771="","",BASE_CAIXA!AL1768)</f>
        <v/>
      </c>
      <c r="C1771" s="26" t="str">
        <f>IF(A1771="","",BASE_CAIXA!AJ1768)</f>
        <v/>
      </c>
      <c r="D1771" s="26" t="str">
        <f>IF(A1771="","",IF(BASE_CAIXA!C1768="Entrada","Crédito","Débito"))</f>
        <v/>
      </c>
      <c r="E1771" s="26" t="str">
        <f>IF(A1771="","",BASE_CAIXA!AA1768)</f>
        <v/>
      </c>
      <c r="F1771" s="26" t="str">
        <f>IF(A1771="","",BASE_CAIXA!N1768)</f>
        <v/>
      </c>
      <c r="G1771" s="26" t="str">
        <f>IF(A1771="","",BASE_CAIXA!O1768)</f>
        <v/>
      </c>
      <c r="H1771" s="26" t="str">
        <f>IF(A1771="","",BASE_CAIXA!P1768)</f>
        <v/>
      </c>
      <c r="I1771" s="26" t="str">
        <f>IF(A1771="","",IF(BASE_CAIXA!H1768&lt;&gt;"",BASE_CAIXA!H1768,BASE_CAIXA!G1768))</f>
        <v/>
      </c>
      <c r="J1771" s="26" t="str">
        <f>IF(A1771="","",BASE_CAIXA!G1768)</f>
        <v/>
      </c>
      <c r="K1771" s="26" t="str">
        <f>IF(A1771="","",BASE_CAIXA!I1768)</f>
        <v/>
      </c>
      <c r="L1771" s="26" t="str">
        <f>IF(A1771="","",BASE_CAIXA!J1768)</f>
        <v/>
      </c>
      <c r="M1771" s="26" t="str">
        <f>IF(A1771="","",BASE_CAIXA!AM1768)</f>
        <v/>
      </c>
      <c r="N1771" s="26" t="str">
        <f t="shared" ca="1" si="81"/>
        <v/>
      </c>
      <c r="O1771" s="26" t="str">
        <f>IFERROR(INDEX(EXTRATO_IMPORTADO!$A$5:$A$404,MATCH(B1771,EXTRATO_IMPORTADO!$I$5:$I$404,0)),"")</f>
        <v/>
      </c>
      <c r="P1771" s="26" t="str">
        <f>IFERROR(INDEX(EXTRATO_IMPORTADO!$F$5:$F$404,MATCH(B1771,EXTRATO_IMPORTADO!$I$5:$I$404,0)),"")</f>
        <v/>
      </c>
      <c r="Q1771" s="26" t="str">
        <f>IFERROR(INDEX(EXTRATO_IMPORTADO!$B$5:$B$404,MATCH(B1771,EXTRATO_IMPORTADO!$I$5:$I$404,0)),"")</f>
        <v/>
      </c>
      <c r="R1771" s="26" t="str">
        <f>IFERROR(MATCH(B1771,EXTRATO_IMPORTADO!$I$5:$I$404,0),"")</f>
        <v/>
      </c>
      <c r="S1771" s="26" t="str">
        <f t="shared" si="82"/>
        <v/>
      </c>
      <c r="T1771" s="26" t="str">
        <f t="shared" si="83"/>
        <v/>
      </c>
    </row>
    <row r="1772" spans="1:20" x14ac:dyDescent="0.3">
      <c r="A1772" s="26" t="str">
        <f>IF(BASE_CAIXA!A1769="","",BASE_CAIXA!A1769)</f>
        <v/>
      </c>
      <c r="B1772" s="26" t="str">
        <f>IF(A1772="","",BASE_CAIXA!AL1769)</f>
        <v/>
      </c>
      <c r="C1772" s="26" t="str">
        <f>IF(A1772="","",BASE_CAIXA!AJ1769)</f>
        <v/>
      </c>
      <c r="D1772" s="26" t="str">
        <f>IF(A1772="","",IF(BASE_CAIXA!C1769="Entrada","Crédito","Débito"))</f>
        <v/>
      </c>
      <c r="E1772" s="26" t="str">
        <f>IF(A1772="","",BASE_CAIXA!AA1769)</f>
        <v/>
      </c>
      <c r="F1772" s="26" t="str">
        <f>IF(A1772="","",BASE_CAIXA!N1769)</f>
        <v/>
      </c>
      <c r="G1772" s="26" t="str">
        <f>IF(A1772="","",BASE_CAIXA!O1769)</f>
        <v/>
      </c>
      <c r="H1772" s="26" t="str">
        <f>IF(A1772="","",BASE_CAIXA!P1769)</f>
        <v/>
      </c>
      <c r="I1772" s="26" t="str">
        <f>IF(A1772="","",IF(BASE_CAIXA!H1769&lt;&gt;"",BASE_CAIXA!H1769,BASE_CAIXA!G1769))</f>
        <v/>
      </c>
      <c r="J1772" s="26" t="str">
        <f>IF(A1772="","",BASE_CAIXA!G1769)</f>
        <v/>
      </c>
      <c r="K1772" s="26" t="str">
        <f>IF(A1772="","",BASE_CAIXA!I1769)</f>
        <v/>
      </c>
      <c r="L1772" s="26" t="str">
        <f>IF(A1772="","",BASE_CAIXA!J1769)</f>
        <v/>
      </c>
      <c r="M1772" s="26" t="str">
        <f>IF(A1772="","",BASE_CAIXA!AM1769)</f>
        <v/>
      </c>
      <c r="N1772" s="26" t="str">
        <f t="shared" ca="1" si="81"/>
        <v/>
      </c>
      <c r="O1772" s="26" t="str">
        <f>IFERROR(INDEX(EXTRATO_IMPORTADO!$A$5:$A$404,MATCH(B1772,EXTRATO_IMPORTADO!$I$5:$I$404,0)),"")</f>
        <v/>
      </c>
      <c r="P1772" s="26" t="str">
        <f>IFERROR(INDEX(EXTRATO_IMPORTADO!$F$5:$F$404,MATCH(B1772,EXTRATO_IMPORTADO!$I$5:$I$404,0)),"")</f>
        <v/>
      </c>
      <c r="Q1772" s="26" t="str">
        <f>IFERROR(INDEX(EXTRATO_IMPORTADO!$B$5:$B$404,MATCH(B1772,EXTRATO_IMPORTADO!$I$5:$I$404,0)),"")</f>
        <v/>
      </c>
      <c r="R1772" s="26" t="str">
        <f>IFERROR(MATCH(B1772,EXTRATO_IMPORTADO!$I$5:$I$404,0),"")</f>
        <v/>
      </c>
      <c r="S1772" s="26" t="str">
        <f t="shared" si="82"/>
        <v/>
      </c>
      <c r="T1772" s="26" t="str">
        <f t="shared" si="83"/>
        <v/>
      </c>
    </row>
    <row r="1773" spans="1:20" x14ac:dyDescent="0.3">
      <c r="A1773" s="26" t="str">
        <f>IF(BASE_CAIXA!A1770="","",BASE_CAIXA!A1770)</f>
        <v/>
      </c>
      <c r="B1773" s="26" t="str">
        <f>IF(A1773="","",BASE_CAIXA!AL1770)</f>
        <v/>
      </c>
      <c r="C1773" s="26" t="str">
        <f>IF(A1773="","",BASE_CAIXA!AJ1770)</f>
        <v/>
      </c>
      <c r="D1773" s="26" t="str">
        <f>IF(A1773="","",IF(BASE_CAIXA!C1770="Entrada","Crédito","Débito"))</f>
        <v/>
      </c>
      <c r="E1773" s="26" t="str">
        <f>IF(A1773="","",BASE_CAIXA!AA1770)</f>
        <v/>
      </c>
      <c r="F1773" s="26" t="str">
        <f>IF(A1773="","",BASE_CAIXA!N1770)</f>
        <v/>
      </c>
      <c r="G1773" s="26" t="str">
        <f>IF(A1773="","",BASE_CAIXA!O1770)</f>
        <v/>
      </c>
      <c r="H1773" s="26" t="str">
        <f>IF(A1773="","",BASE_CAIXA!P1770)</f>
        <v/>
      </c>
      <c r="I1773" s="26" t="str">
        <f>IF(A1773="","",IF(BASE_CAIXA!H1770&lt;&gt;"",BASE_CAIXA!H1770,BASE_CAIXA!G1770))</f>
        <v/>
      </c>
      <c r="J1773" s="26" t="str">
        <f>IF(A1773="","",BASE_CAIXA!G1770)</f>
        <v/>
      </c>
      <c r="K1773" s="26" t="str">
        <f>IF(A1773="","",BASE_CAIXA!I1770)</f>
        <v/>
      </c>
      <c r="L1773" s="26" t="str">
        <f>IF(A1773="","",BASE_CAIXA!J1770)</f>
        <v/>
      </c>
      <c r="M1773" s="26" t="str">
        <f>IF(A1773="","",BASE_CAIXA!AM1770)</f>
        <v/>
      </c>
      <c r="N1773" s="26" t="str">
        <f t="shared" ca="1" si="81"/>
        <v/>
      </c>
      <c r="O1773" s="26" t="str">
        <f>IFERROR(INDEX(EXTRATO_IMPORTADO!$A$5:$A$404,MATCH(B1773,EXTRATO_IMPORTADO!$I$5:$I$404,0)),"")</f>
        <v/>
      </c>
      <c r="P1773" s="26" t="str">
        <f>IFERROR(INDEX(EXTRATO_IMPORTADO!$F$5:$F$404,MATCH(B1773,EXTRATO_IMPORTADO!$I$5:$I$404,0)),"")</f>
        <v/>
      </c>
      <c r="Q1773" s="26" t="str">
        <f>IFERROR(INDEX(EXTRATO_IMPORTADO!$B$5:$B$404,MATCH(B1773,EXTRATO_IMPORTADO!$I$5:$I$404,0)),"")</f>
        <v/>
      </c>
      <c r="R1773" s="26" t="str">
        <f>IFERROR(MATCH(B1773,EXTRATO_IMPORTADO!$I$5:$I$404,0),"")</f>
        <v/>
      </c>
      <c r="S1773" s="26" t="str">
        <f t="shared" si="82"/>
        <v/>
      </c>
      <c r="T1773" s="26" t="str">
        <f t="shared" si="83"/>
        <v/>
      </c>
    </row>
    <row r="1774" spans="1:20" x14ac:dyDescent="0.3">
      <c r="A1774" s="26" t="str">
        <f>IF(BASE_CAIXA!A1771="","",BASE_CAIXA!A1771)</f>
        <v/>
      </c>
      <c r="B1774" s="26" t="str">
        <f>IF(A1774="","",BASE_CAIXA!AL1771)</f>
        <v/>
      </c>
      <c r="C1774" s="26" t="str">
        <f>IF(A1774="","",BASE_CAIXA!AJ1771)</f>
        <v/>
      </c>
      <c r="D1774" s="26" t="str">
        <f>IF(A1774="","",IF(BASE_CAIXA!C1771="Entrada","Crédito","Débito"))</f>
        <v/>
      </c>
      <c r="E1774" s="26" t="str">
        <f>IF(A1774="","",BASE_CAIXA!AA1771)</f>
        <v/>
      </c>
      <c r="F1774" s="26" t="str">
        <f>IF(A1774="","",BASE_CAIXA!N1771)</f>
        <v/>
      </c>
      <c r="G1774" s="26" t="str">
        <f>IF(A1774="","",BASE_CAIXA!O1771)</f>
        <v/>
      </c>
      <c r="H1774" s="26" t="str">
        <f>IF(A1774="","",BASE_CAIXA!P1771)</f>
        <v/>
      </c>
      <c r="I1774" s="26" t="str">
        <f>IF(A1774="","",IF(BASE_CAIXA!H1771&lt;&gt;"",BASE_CAIXA!H1771,BASE_CAIXA!G1771))</f>
        <v/>
      </c>
      <c r="J1774" s="26" t="str">
        <f>IF(A1774="","",BASE_CAIXA!G1771)</f>
        <v/>
      </c>
      <c r="K1774" s="26" t="str">
        <f>IF(A1774="","",BASE_CAIXA!I1771)</f>
        <v/>
      </c>
      <c r="L1774" s="26" t="str">
        <f>IF(A1774="","",BASE_CAIXA!J1771)</f>
        <v/>
      </c>
      <c r="M1774" s="26" t="str">
        <f>IF(A1774="","",BASE_CAIXA!AM1771)</f>
        <v/>
      </c>
      <c r="N1774" s="26" t="str">
        <f t="shared" ca="1" si="81"/>
        <v/>
      </c>
      <c r="O1774" s="26" t="str">
        <f>IFERROR(INDEX(EXTRATO_IMPORTADO!$A$5:$A$404,MATCH(B1774,EXTRATO_IMPORTADO!$I$5:$I$404,0)),"")</f>
        <v/>
      </c>
      <c r="P1774" s="26" t="str">
        <f>IFERROR(INDEX(EXTRATO_IMPORTADO!$F$5:$F$404,MATCH(B1774,EXTRATO_IMPORTADO!$I$5:$I$404,0)),"")</f>
        <v/>
      </c>
      <c r="Q1774" s="26" t="str">
        <f>IFERROR(INDEX(EXTRATO_IMPORTADO!$B$5:$B$404,MATCH(B1774,EXTRATO_IMPORTADO!$I$5:$I$404,0)),"")</f>
        <v/>
      </c>
      <c r="R1774" s="26" t="str">
        <f>IFERROR(MATCH(B1774,EXTRATO_IMPORTADO!$I$5:$I$404,0),"")</f>
        <v/>
      </c>
      <c r="S1774" s="26" t="str">
        <f t="shared" si="82"/>
        <v/>
      </c>
      <c r="T1774" s="26" t="str">
        <f t="shared" si="83"/>
        <v/>
      </c>
    </row>
    <row r="1775" spans="1:20" x14ac:dyDescent="0.3">
      <c r="A1775" s="26" t="str">
        <f>IF(BASE_CAIXA!A1772="","",BASE_CAIXA!A1772)</f>
        <v/>
      </c>
      <c r="B1775" s="26" t="str">
        <f>IF(A1775="","",BASE_CAIXA!AL1772)</f>
        <v/>
      </c>
      <c r="C1775" s="26" t="str">
        <f>IF(A1775="","",BASE_CAIXA!AJ1772)</f>
        <v/>
      </c>
      <c r="D1775" s="26" t="str">
        <f>IF(A1775="","",IF(BASE_CAIXA!C1772="Entrada","Crédito","Débito"))</f>
        <v/>
      </c>
      <c r="E1775" s="26" t="str">
        <f>IF(A1775="","",BASE_CAIXA!AA1772)</f>
        <v/>
      </c>
      <c r="F1775" s="26" t="str">
        <f>IF(A1775="","",BASE_CAIXA!N1772)</f>
        <v/>
      </c>
      <c r="G1775" s="26" t="str">
        <f>IF(A1775="","",BASE_CAIXA!O1772)</f>
        <v/>
      </c>
      <c r="H1775" s="26" t="str">
        <f>IF(A1775="","",BASE_CAIXA!P1772)</f>
        <v/>
      </c>
      <c r="I1775" s="26" t="str">
        <f>IF(A1775="","",IF(BASE_CAIXA!H1772&lt;&gt;"",BASE_CAIXA!H1772,BASE_CAIXA!G1772))</f>
        <v/>
      </c>
      <c r="J1775" s="26" t="str">
        <f>IF(A1775="","",BASE_CAIXA!G1772)</f>
        <v/>
      </c>
      <c r="K1775" s="26" t="str">
        <f>IF(A1775="","",BASE_CAIXA!I1772)</f>
        <v/>
      </c>
      <c r="L1775" s="26" t="str">
        <f>IF(A1775="","",BASE_CAIXA!J1772)</f>
        <v/>
      </c>
      <c r="M1775" s="26" t="str">
        <f>IF(A1775="","",BASE_CAIXA!AM1772)</f>
        <v/>
      </c>
      <c r="N1775" s="26" t="str">
        <f t="shared" ca="1" si="81"/>
        <v/>
      </c>
      <c r="O1775" s="26" t="str">
        <f>IFERROR(INDEX(EXTRATO_IMPORTADO!$A$5:$A$404,MATCH(B1775,EXTRATO_IMPORTADO!$I$5:$I$404,0)),"")</f>
        <v/>
      </c>
      <c r="P1775" s="26" t="str">
        <f>IFERROR(INDEX(EXTRATO_IMPORTADO!$F$5:$F$404,MATCH(B1775,EXTRATO_IMPORTADO!$I$5:$I$404,0)),"")</f>
        <v/>
      </c>
      <c r="Q1775" s="26" t="str">
        <f>IFERROR(INDEX(EXTRATO_IMPORTADO!$B$5:$B$404,MATCH(B1775,EXTRATO_IMPORTADO!$I$5:$I$404,0)),"")</f>
        <v/>
      </c>
      <c r="R1775" s="26" t="str">
        <f>IFERROR(MATCH(B1775,EXTRATO_IMPORTADO!$I$5:$I$404,0),"")</f>
        <v/>
      </c>
      <c r="S1775" s="26" t="str">
        <f t="shared" si="82"/>
        <v/>
      </c>
      <c r="T1775" s="26" t="str">
        <f t="shared" si="83"/>
        <v/>
      </c>
    </row>
    <row r="1776" spans="1:20" x14ac:dyDescent="0.3">
      <c r="A1776" s="26" t="str">
        <f>IF(BASE_CAIXA!A1773="","",BASE_CAIXA!A1773)</f>
        <v/>
      </c>
      <c r="B1776" s="26" t="str">
        <f>IF(A1776="","",BASE_CAIXA!AL1773)</f>
        <v/>
      </c>
      <c r="C1776" s="26" t="str">
        <f>IF(A1776="","",BASE_CAIXA!AJ1773)</f>
        <v/>
      </c>
      <c r="D1776" s="26" t="str">
        <f>IF(A1776="","",IF(BASE_CAIXA!C1773="Entrada","Crédito","Débito"))</f>
        <v/>
      </c>
      <c r="E1776" s="26" t="str">
        <f>IF(A1776="","",BASE_CAIXA!AA1773)</f>
        <v/>
      </c>
      <c r="F1776" s="26" t="str">
        <f>IF(A1776="","",BASE_CAIXA!N1773)</f>
        <v/>
      </c>
      <c r="G1776" s="26" t="str">
        <f>IF(A1776="","",BASE_CAIXA!O1773)</f>
        <v/>
      </c>
      <c r="H1776" s="26" t="str">
        <f>IF(A1776="","",BASE_CAIXA!P1773)</f>
        <v/>
      </c>
      <c r="I1776" s="26" t="str">
        <f>IF(A1776="","",IF(BASE_CAIXA!H1773&lt;&gt;"",BASE_CAIXA!H1773,BASE_CAIXA!G1773))</f>
        <v/>
      </c>
      <c r="J1776" s="26" t="str">
        <f>IF(A1776="","",BASE_CAIXA!G1773)</f>
        <v/>
      </c>
      <c r="K1776" s="26" t="str">
        <f>IF(A1776="","",BASE_CAIXA!I1773)</f>
        <v/>
      </c>
      <c r="L1776" s="26" t="str">
        <f>IF(A1776="","",BASE_CAIXA!J1773)</f>
        <v/>
      </c>
      <c r="M1776" s="26" t="str">
        <f>IF(A1776="","",BASE_CAIXA!AM1773)</f>
        <v/>
      </c>
      <c r="N1776" s="26" t="str">
        <f t="shared" ca="1" si="81"/>
        <v/>
      </c>
      <c r="O1776" s="26" t="str">
        <f>IFERROR(INDEX(EXTRATO_IMPORTADO!$A$5:$A$404,MATCH(B1776,EXTRATO_IMPORTADO!$I$5:$I$404,0)),"")</f>
        <v/>
      </c>
      <c r="P1776" s="26" t="str">
        <f>IFERROR(INDEX(EXTRATO_IMPORTADO!$F$5:$F$404,MATCH(B1776,EXTRATO_IMPORTADO!$I$5:$I$404,0)),"")</f>
        <v/>
      </c>
      <c r="Q1776" s="26" t="str">
        <f>IFERROR(INDEX(EXTRATO_IMPORTADO!$B$5:$B$404,MATCH(B1776,EXTRATO_IMPORTADO!$I$5:$I$404,0)),"")</f>
        <v/>
      </c>
      <c r="R1776" s="26" t="str">
        <f>IFERROR(MATCH(B1776,EXTRATO_IMPORTADO!$I$5:$I$404,0),"")</f>
        <v/>
      </c>
      <c r="S1776" s="26" t="str">
        <f t="shared" si="82"/>
        <v/>
      </c>
      <c r="T1776" s="26" t="str">
        <f t="shared" si="83"/>
        <v/>
      </c>
    </row>
    <row r="1777" spans="1:20" x14ac:dyDescent="0.3">
      <c r="A1777" s="26" t="str">
        <f>IF(BASE_CAIXA!A1774="","",BASE_CAIXA!A1774)</f>
        <v/>
      </c>
      <c r="B1777" s="26" t="str">
        <f>IF(A1777="","",BASE_CAIXA!AL1774)</f>
        <v/>
      </c>
      <c r="C1777" s="26" t="str">
        <f>IF(A1777="","",BASE_CAIXA!AJ1774)</f>
        <v/>
      </c>
      <c r="D1777" s="26" t="str">
        <f>IF(A1777="","",IF(BASE_CAIXA!C1774="Entrada","Crédito","Débito"))</f>
        <v/>
      </c>
      <c r="E1777" s="26" t="str">
        <f>IF(A1777="","",BASE_CAIXA!AA1774)</f>
        <v/>
      </c>
      <c r="F1777" s="26" t="str">
        <f>IF(A1777="","",BASE_CAIXA!N1774)</f>
        <v/>
      </c>
      <c r="G1777" s="26" t="str">
        <f>IF(A1777="","",BASE_CAIXA!O1774)</f>
        <v/>
      </c>
      <c r="H1777" s="26" t="str">
        <f>IF(A1777="","",BASE_CAIXA!P1774)</f>
        <v/>
      </c>
      <c r="I1777" s="26" t="str">
        <f>IF(A1777="","",IF(BASE_CAIXA!H1774&lt;&gt;"",BASE_CAIXA!H1774,BASE_CAIXA!G1774))</f>
        <v/>
      </c>
      <c r="J1777" s="26" t="str">
        <f>IF(A1777="","",BASE_CAIXA!G1774)</f>
        <v/>
      </c>
      <c r="K1777" s="26" t="str">
        <f>IF(A1777="","",BASE_CAIXA!I1774)</f>
        <v/>
      </c>
      <c r="L1777" s="26" t="str">
        <f>IF(A1777="","",BASE_CAIXA!J1774)</f>
        <v/>
      </c>
      <c r="M1777" s="26" t="str">
        <f>IF(A1777="","",BASE_CAIXA!AM1774)</f>
        <v/>
      </c>
      <c r="N1777" s="26" t="str">
        <f t="shared" ca="1" si="81"/>
        <v/>
      </c>
      <c r="O1777" s="26" t="str">
        <f>IFERROR(INDEX(EXTRATO_IMPORTADO!$A$5:$A$404,MATCH(B1777,EXTRATO_IMPORTADO!$I$5:$I$404,0)),"")</f>
        <v/>
      </c>
      <c r="P1777" s="26" t="str">
        <f>IFERROR(INDEX(EXTRATO_IMPORTADO!$F$5:$F$404,MATCH(B1777,EXTRATO_IMPORTADO!$I$5:$I$404,0)),"")</f>
        <v/>
      </c>
      <c r="Q1777" s="26" t="str">
        <f>IFERROR(INDEX(EXTRATO_IMPORTADO!$B$5:$B$404,MATCH(B1777,EXTRATO_IMPORTADO!$I$5:$I$404,0)),"")</f>
        <v/>
      </c>
      <c r="R1777" s="26" t="str">
        <f>IFERROR(MATCH(B1777,EXTRATO_IMPORTADO!$I$5:$I$404,0),"")</f>
        <v/>
      </c>
      <c r="S1777" s="26" t="str">
        <f t="shared" si="82"/>
        <v/>
      </c>
      <c r="T1777" s="26" t="str">
        <f t="shared" si="83"/>
        <v/>
      </c>
    </row>
    <row r="1778" spans="1:20" x14ac:dyDescent="0.3">
      <c r="A1778" s="26" t="str">
        <f>IF(BASE_CAIXA!A1775="","",BASE_CAIXA!A1775)</f>
        <v/>
      </c>
      <c r="B1778" s="26" t="str">
        <f>IF(A1778="","",BASE_CAIXA!AL1775)</f>
        <v/>
      </c>
      <c r="C1778" s="26" t="str">
        <f>IF(A1778="","",BASE_CAIXA!AJ1775)</f>
        <v/>
      </c>
      <c r="D1778" s="26" t="str">
        <f>IF(A1778="","",IF(BASE_CAIXA!C1775="Entrada","Crédito","Débito"))</f>
        <v/>
      </c>
      <c r="E1778" s="26" t="str">
        <f>IF(A1778="","",BASE_CAIXA!AA1775)</f>
        <v/>
      </c>
      <c r="F1778" s="26" t="str">
        <f>IF(A1778="","",BASE_CAIXA!N1775)</f>
        <v/>
      </c>
      <c r="G1778" s="26" t="str">
        <f>IF(A1778="","",BASE_CAIXA!O1775)</f>
        <v/>
      </c>
      <c r="H1778" s="26" t="str">
        <f>IF(A1778="","",BASE_CAIXA!P1775)</f>
        <v/>
      </c>
      <c r="I1778" s="26" t="str">
        <f>IF(A1778="","",IF(BASE_CAIXA!H1775&lt;&gt;"",BASE_CAIXA!H1775,BASE_CAIXA!G1775))</f>
        <v/>
      </c>
      <c r="J1778" s="26" t="str">
        <f>IF(A1778="","",BASE_CAIXA!G1775)</f>
        <v/>
      </c>
      <c r="K1778" s="26" t="str">
        <f>IF(A1778="","",BASE_CAIXA!I1775)</f>
        <v/>
      </c>
      <c r="L1778" s="26" t="str">
        <f>IF(A1778="","",BASE_CAIXA!J1775)</f>
        <v/>
      </c>
      <c r="M1778" s="26" t="str">
        <f>IF(A1778="","",BASE_CAIXA!AM1775)</f>
        <v/>
      </c>
      <c r="N1778" s="26" t="str">
        <f t="shared" ca="1" si="81"/>
        <v/>
      </c>
      <c r="O1778" s="26" t="str">
        <f>IFERROR(INDEX(EXTRATO_IMPORTADO!$A$5:$A$404,MATCH(B1778,EXTRATO_IMPORTADO!$I$5:$I$404,0)),"")</f>
        <v/>
      </c>
      <c r="P1778" s="26" t="str">
        <f>IFERROR(INDEX(EXTRATO_IMPORTADO!$F$5:$F$404,MATCH(B1778,EXTRATO_IMPORTADO!$I$5:$I$404,0)),"")</f>
        <v/>
      </c>
      <c r="Q1778" s="26" t="str">
        <f>IFERROR(INDEX(EXTRATO_IMPORTADO!$B$5:$B$404,MATCH(B1778,EXTRATO_IMPORTADO!$I$5:$I$404,0)),"")</f>
        <v/>
      </c>
      <c r="R1778" s="26" t="str">
        <f>IFERROR(MATCH(B1778,EXTRATO_IMPORTADO!$I$5:$I$404,0),"")</f>
        <v/>
      </c>
      <c r="S1778" s="26" t="str">
        <f t="shared" si="82"/>
        <v/>
      </c>
      <c r="T1778" s="26" t="str">
        <f t="shared" si="83"/>
        <v/>
      </c>
    </row>
    <row r="1779" spans="1:20" x14ac:dyDescent="0.3">
      <c r="A1779" s="26" t="str">
        <f>IF(BASE_CAIXA!A1776="","",BASE_CAIXA!A1776)</f>
        <v/>
      </c>
      <c r="B1779" s="26" t="str">
        <f>IF(A1779="","",BASE_CAIXA!AL1776)</f>
        <v/>
      </c>
      <c r="C1779" s="26" t="str">
        <f>IF(A1779="","",BASE_CAIXA!AJ1776)</f>
        <v/>
      </c>
      <c r="D1779" s="26" t="str">
        <f>IF(A1779="","",IF(BASE_CAIXA!C1776="Entrada","Crédito","Débito"))</f>
        <v/>
      </c>
      <c r="E1779" s="26" t="str">
        <f>IF(A1779="","",BASE_CAIXA!AA1776)</f>
        <v/>
      </c>
      <c r="F1779" s="26" t="str">
        <f>IF(A1779="","",BASE_CAIXA!N1776)</f>
        <v/>
      </c>
      <c r="G1779" s="26" t="str">
        <f>IF(A1779="","",BASE_CAIXA!O1776)</f>
        <v/>
      </c>
      <c r="H1779" s="26" t="str">
        <f>IF(A1779="","",BASE_CAIXA!P1776)</f>
        <v/>
      </c>
      <c r="I1779" s="26" t="str">
        <f>IF(A1779="","",IF(BASE_CAIXA!H1776&lt;&gt;"",BASE_CAIXA!H1776,BASE_CAIXA!G1776))</f>
        <v/>
      </c>
      <c r="J1779" s="26" t="str">
        <f>IF(A1779="","",BASE_CAIXA!G1776)</f>
        <v/>
      </c>
      <c r="K1779" s="26" t="str">
        <f>IF(A1779="","",BASE_CAIXA!I1776)</f>
        <v/>
      </c>
      <c r="L1779" s="26" t="str">
        <f>IF(A1779="","",BASE_CAIXA!J1776)</f>
        <v/>
      </c>
      <c r="M1779" s="26" t="str">
        <f>IF(A1779="","",BASE_CAIXA!AM1776)</f>
        <v/>
      </c>
      <c r="N1779" s="26" t="str">
        <f t="shared" ca="1" si="81"/>
        <v/>
      </c>
      <c r="O1779" s="26" t="str">
        <f>IFERROR(INDEX(EXTRATO_IMPORTADO!$A$5:$A$404,MATCH(B1779,EXTRATO_IMPORTADO!$I$5:$I$404,0)),"")</f>
        <v/>
      </c>
      <c r="P1779" s="26" t="str">
        <f>IFERROR(INDEX(EXTRATO_IMPORTADO!$F$5:$F$404,MATCH(B1779,EXTRATO_IMPORTADO!$I$5:$I$404,0)),"")</f>
        <v/>
      </c>
      <c r="Q1779" s="26" t="str">
        <f>IFERROR(INDEX(EXTRATO_IMPORTADO!$B$5:$B$404,MATCH(B1779,EXTRATO_IMPORTADO!$I$5:$I$404,0)),"")</f>
        <v/>
      </c>
      <c r="R1779" s="26" t="str">
        <f>IFERROR(MATCH(B1779,EXTRATO_IMPORTADO!$I$5:$I$404,0),"")</f>
        <v/>
      </c>
      <c r="S1779" s="26" t="str">
        <f t="shared" si="82"/>
        <v/>
      </c>
      <c r="T1779" s="26" t="str">
        <f t="shared" si="83"/>
        <v/>
      </c>
    </row>
    <row r="1780" spans="1:20" x14ac:dyDescent="0.3">
      <c r="A1780" s="26" t="str">
        <f>IF(BASE_CAIXA!A1777="","",BASE_CAIXA!A1777)</f>
        <v/>
      </c>
      <c r="B1780" s="26" t="str">
        <f>IF(A1780="","",BASE_CAIXA!AL1777)</f>
        <v/>
      </c>
      <c r="C1780" s="26" t="str">
        <f>IF(A1780="","",BASE_CAIXA!AJ1777)</f>
        <v/>
      </c>
      <c r="D1780" s="26" t="str">
        <f>IF(A1780="","",IF(BASE_CAIXA!C1777="Entrada","Crédito","Débito"))</f>
        <v/>
      </c>
      <c r="E1780" s="26" t="str">
        <f>IF(A1780="","",BASE_CAIXA!AA1777)</f>
        <v/>
      </c>
      <c r="F1780" s="26" t="str">
        <f>IF(A1780="","",BASE_CAIXA!N1777)</f>
        <v/>
      </c>
      <c r="G1780" s="26" t="str">
        <f>IF(A1780="","",BASE_CAIXA!O1777)</f>
        <v/>
      </c>
      <c r="H1780" s="26" t="str">
        <f>IF(A1780="","",BASE_CAIXA!P1777)</f>
        <v/>
      </c>
      <c r="I1780" s="26" t="str">
        <f>IF(A1780="","",IF(BASE_CAIXA!H1777&lt;&gt;"",BASE_CAIXA!H1777,BASE_CAIXA!G1777))</f>
        <v/>
      </c>
      <c r="J1780" s="26" t="str">
        <f>IF(A1780="","",BASE_CAIXA!G1777)</f>
        <v/>
      </c>
      <c r="K1780" s="26" t="str">
        <f>IF(A1780="","",BASE_CAIXA!I1777)</f>
        <v/>
      </c>
      <c r="L1780" s="26" t="str">
        <f>IF(A1780="","",BASE_CAIXA!J1777)</f>
        <v/>
      </c>
      <c r="M1780" s="26" t="str">
        <f>IF(A1780="","",BASE_CAIXA!AM1777)</f>
        <v/>
      </c>
      <c r="N1780" s="26" t="str">
        <f t="shared" ca="1" si="81"/>
        <v/>
      </c>
      <c r="O1780" s="26" t="str">
        <f>IFERROR(INDEX(EXTRATO_IMPORTADO!$A$5:$A$404,MATCH(B1780,EXTRATO_IMPORTADO!$I$5:$I$404,0)),"")</f>
        <v/>
      </c>
      <c r="P1780" s="26" t="str">
        <f>IFERROR(INDEX(EXTRATO_IMPORTADO!$F$5:$F$404,MATCH(B1780,EXTRATO_IMPORTADO!$I$5:$I$404,0)),"")</f>
        <v/>
      </c>
      <c r="Q1780" s="26" t="str">
        <f>IFERROR(INDEX(EXTRATO_IMPORTADO!$B$5:$B$404,MATCH(B1780,EXTRATO_IMPORTADO!$I$5:$I$404,0)),"")</f>
        <v/>
      </c>
      <c r="R1780" s="26" t="str">
        <f>IFERROR(MATCH(B1780,EXTRATO_IMPORTADO!$I$5:$I$404,0),"")</f>
        <v/>
      </c>
      <c r="S1780" s="26" t="str">
        <f t="shared" si="82"/>
        <v/>
      </c>
      <c r="T1780" s="26" t="str">
        <f t="shared" si="83"/>
        <v/>
      </c>
    </row>
    <row r="1781" spans="1:20" x14ac:dyDescent="0.3">
      <c r="A1781" s="26" t="str">
        <f>IF(BASE_CAIXA!A1778="","",BASE_CAIXA!A1778)</f>
        <v/>
      </c>
      <c r="B1781" s="26" t="str">
        <f>IF(A1781="","",BASE_CAIXA!AL1778)</f>
        <v/>
      </c>
      <c r="C1781" s="26" t="str">
        <f>IF(A1781="","",BASE_CAIXA!AJ1778)</f>
        <v/>
      </c>
      <c r="D1781" s="26" t="str">
        <f>IF(A1781="","",IF(BASE_CAIXA!C1778="Entrada","Crédito","Débito"))</f>
        <v/>
      </c>
      <c r="E1781" s="26" t="str">
        <f>IF(A1781="","",BASE_CAIXA!AA1778)</f>
        <v/>
      </c>
      <c r="F1781" s="26" t="str">
        <f>IF(A1781="","",BASE_CAIXA!N1778)</f>
        <v/>
      </c>
      <c r="G1781" s="26" t="str">
        <f>IF(A1781="","",BASE_CAIXA!O1778)</f>
        <v/>
      </c>
      <c r="H1781" s="26" t="str">
        <f>IF(A1781="","",BASE_CAIXA!P1778)</f>
        <v/>
      </c>
      <c r="I1781" s="26" t="str">
        <f>IF(A1781="","",IF(BASE_CAIXA!H1778&lt;&gt;"",BASE_CAIXA!H1778,BASE_CAIXA!G1778))</f>
        <v/>
      </c>
      <c r="J1781" s="26" t="str">
        <f>IF(A1781="","",BASE_CAIXA!G1778)</f>
        <v/>
      </c>
      <c r="K1781" s="26" t="str">
        <f>IF(A1781="","",BASE_CAIXA!I1778)</f>
        <v/>
      </c>
      <c r="L1781" s="26" t="str">
        <f>IF(A1781="","",BASE_CAIXA!J1778)</f>
        <v/>
      </c>
      <c r="M1781" s="26" t="str">
        <f>IF(A1781="","",BASE_CAIXA!AM1778)</f>
        <v/>
      </c>
      <c r="N1781" s="26" t="str">
        <f t="shared" ca="1" si="81"/>
        <v/>
      </c>
      <c r="O1781" s="26" t="str">
        <f>IFERROR(INDEX(EXTRATO_IMPORTADO!$A$5:$A$404,MATCH(B1781,EXTRATO_IMPORTADO!$I$5:$I$404,0)),"")</f>
        <v/>
      </c>
      <c r="P1781" s="26" t="str">
        <f>IFERROR(INDEX(EXTRATO_IMPORTADO!$F$5:$F$404,MATCH(B1781,EXTRATO_IMPORTADO!$I$5:$I$404,0)),"")</f>
        <v/>
      </c>
      <c r="Q1781" s="26" t="str">
        <f>IFERROR(INDEX(EXTRATO_IMPORTADO!$B$5:$B$404,MATCH(B1781,EXTRATO_IMPORTADO!$I$5:$I$404,0)),"")</f>
        <v/>
      </c>
      <c r="R1781" s="26" t="str">
        <f>IFERROR(MATCH(B1781,EXTRATO_IMPORTADO!$I$5:$I$404,0),"")</f>
        <v/>
      </c>
      <c r="S1781" s="26" t="str">
        <f t="shared" si="82"/>
        <v/>
      </c>
      <c r="T1781" s="26" t="str">
        <f t="shared" si="83"/>
        <v/>
      </c>
    </row>
    <row r="1782" spans="1:20" x14ac:dyDescent="0.3">
      <c r="A1782" s="26" t="str">
        <f>IF(BASE_CAIXA!A1779="","",BASE_CAIXA!A1779)</f>
        <v/>
      </c>
      <c r="B1782" s="26" t="str">
        <f>IF(A1782="","",BASE_CAIXA!AL1779)</f>
        <v/>
      </c>
      <c r="C1782" s="26" t="str">
        <f>IF(A1782="","",BASE_CAIXA!AJ1779)</f>
        <v/>
      </c>
      <c r="D1782" s="26" t="str">
        <f>IF(A1782="","",IF(BASE_CAIXA!C1779="Entrada","Crédito","Débito"))</f>
        <v/>
      </c>
      <c r="E1782" s="26" t="str">
        <f>IF(A1782="","",BASE_CAIXA!AA1779)</f>
        <v/>
      </c>
      <c r="F1782" s="26" t="str">
        <f>IF(A1782="","",BASE_CAIXA!N1779)</f>
        <v/>
      </c>
      <c r="G1782" s="26" t="str">
        <f>IF(A1782="","",BASE_CAIXA!O1779)</f>
        <v/>
      </c>
      <c r="H1782" s="26" t="str">
        <f>IF(A1782="","",BASE_CAIXA!P1779)</f>
        <v/>
      </c>
      <c r="I1782" s="26" t="str">
        <f>IF(A1782="","",IF(BASE_CAIXA!H1779&lt;&gt;"",BASE_CAIXA!H1779,BASE_CAIXA!G1779))</f>
        <v/>
      </c>
      <c r="J1782" s="26" t="str">
        <f>IF(A1782="","",BASE_CAIXA!G1779)</f>
        <v/>
      </c>
      <c r="K1782" s="26" t="str">
        <f>IF(A1782="","",BASE_CAIXA!I1779)</f>
        <v/>
      </c>
      <c r="L1782" s="26" t="str">
        <f>IF(A1782="","",BASE_CAIXA!J1779)</f>
        <v/>
      </c>
      <c r="M1782" s="26" t="str">
        <f>IF(A1782="","",BASE_CAIXA!AM1779)</f>
        <v/>
      </c>
      <c r="N1782" s="26" t="str">
        <f t="shared" ca="1" si="81"/>
        <v/>
      </c>
      <c r="O1782" s="26" t="str">
        <f>IFERROR(INDEX(EXTRATO_IMPORTADO!$A$5:$A$404,MATCH(B1782,EXTRATO_IMPORTADO!$I$5:$I$404,0)),"")</f>
        <v/>
      </c>
      <c r="P1782" s="26" t="str">
        <f>IFERROR(INDEX(EXTRATO_IMPORTADO!$F$5:$F$404,MATCH(B1782,EXTRATO_IMPORTADO!$I$5:$I$404,0)),"")</f>
        <v/>
      </c>
      <c r="Q1782" s="26" t="str">
        <f>IFERROR(INDEX(EXTRATO_IMPORTADO!$B$5:$B$404,MATCH(B1782,EXTRATO_IMPORTADO!$I$5:$I$404,0)),"")</f>
        <v/>
      </c>
      <c r="R1782" s="26" t="str">
        <f>IFERROR(MATCH(B1782,EXTRATO_IMPORTADO!$I$5:$I$404,0),"")</f>
        <v/>
      </c>
      <c r="S1782" s="26" t="str">
        <f t="shared" si="82"/>
        <v/>
      </c>
      <c r="T1782" s="26" t="str">
        <f t="shared" si="83"/>
        <v/>
      </c>
    </row>
    <row r="1783" spans="1:20" x14ac:dyDescent="0.3">
      <c r="A1783" s="26" t="str">
        <f>IF(BASE_CAIXA!A1780="","",BASE_CAIXA!A1780)</f>
        <v/>
      </c>
      <c r="B1783" s="26" t="str">
        <f>IF(A1783="","",BASE_CAIXA!AL1780)</f>
        <v/>
      </c>
      <c r="C1783" s="26" t="str">
        <f>IF(A1783="","",BASE_CAIXA!AJ1780)</f>
        <v/>
      </c>
      <c r="D1783" s="26" t="str">
        <f>IF(A1783="","",IF(BASE_CAIXA!C1780="Entrada","Crédito","Débito"))</f>
        <v/>
      </c>
      <c r="E1783" s="26" t="str">
        <f>IF(A1783="","",BASE_CAIXA!AA1780)</f>
        <v/>
      </c>
      <c r="F1783" s="26" t="str">
        <f>IF(A1783="","",BASE_CAIXA!N1780)</f>
        <v/>
      </c>
      <c r="G1783" s="26" t="str">
        <f>IF(A1783="","",BASE_CAIXA!O1780)</f>
        <v/>
      </c>
      <c r="H1783" s="26" t="str">
        <f>IF(A1783="","",BASE_CAIXA!P1780)</f>
        <v/>
      </c>
      <c r="I1783" s="26" t="str">
        <f>IF(A1783="","",IF(BASE_CAIXA!H1780&lt;&gt;"",BASE_CAIXA!H1780,BASE_CAIXA!G1780))</f>
        <v/>
      </c>
      <c r="J1783" s="26" t="str">
        <f>IF(A1783="","",BASE_CAIXA!G1780)</f>
        <v/>
      </c>
      <c r="K1783" s="26" t="str">
        <f>IF(A1783="","",BASE_CAIXA!I1780)</f>
        <v/>
      </c>
      <c r="L1783" s="26" t="str">
        <f>IF(A1783="","",BASE_CAIXA!J1780)</f>
        <v/>
      </c>
      <c r="M1783" s="26" t="str">
        <f>IF(A1783="","",BASE_CAIXA!AM1780)</f>
        <v/>
      </c>
      <c r="N1783" s="26" t="str">
        <f t="shared" ca="1" si="81"/>
        <v/>
      </c>
      <c r="O1783" s="26" t="str">
        <f>IFERROR(INDEX(EXTRATO_IMPORTADO!$A$5:$A$404,MATCH(B1783,EXTRATO_IMPORTADO!$I$5:$I$404,0)),"")</f>
        <v/>
      </c>
      <c r="P1783" s="26" t="str">
        <f>IFERROR(INDEX(EXTRATO_IMPORTADO!$F$5:$F$404,MATCH(B1783,EXTRATO_IMPORTADO!$I$5:$I$404,0)),"")</f>
        <v/>
      </c>
      <c r="Q1783" s="26" t="str">
        <f>IFERROR(INDEX(EXTRATO_IMPORTADO!$B$5:$B$404,MATCH(B1783,EXTRATO_IMPORTADO!$I$5:$I$404,0)),"")</f>
        <v/>
      </c>
      <c r="R1783" s="26" t="str">
        <f>IFERROR(MATCH(B1783,EXTRATO_IMPORTADO!$I$5:$I$404,0),"")</f>
        <v/>
      </c>
      <c r="S1783" s="26" t="str">
        <f t="shared" si="82"/>
        <v/>
      </c>
      <c r="T1783" s="26" t="str">
        <f t="shared" si="83"/>
        <v/>
      </c>
    </row>
    <row r="1784" spans="1:20" x14ac:dyDescent="0.3">
      <c r="A1784" s="26" t="str">
        <f>IF(BASE_CAIXA!A1781="","",BASE_CAIXA!A1781)</f>
        <v/>
      </c>
      <c r="B1784" s="26" t="str">
        <f>IF(A1784="","",BASE_CAIXA!AL1781)</f>
        <v/>
      </c>
      <c r="C1784" s="26" t="str">
        <f>IF(A1784="","",BASE_CAIXA!AJ1781)</f>
        <v/>
      </c>
      <c r="D1784" s="26" t="str">
        <f>IF(A1784="","",IF(BASE_CAIXA!C1781="Entrada","Crédito","Débito"))</f>
        <v/>
      </c>
      <c r="E1784" s="26" t="str">
        <f>IF(A1784="","",BASE_CAIXA!AA1781)</f>
        <v/>
      </c>
      <c r="F1784" s="26" t="str">
        <f>IF(A1784="","",BASE_CAIXA!N1781)</f>
        <v/>
      </c>
      <c r="G1784" s="26" t="str">
        <f>IF(A1784="","",BASE_CAIXA!O1781)</f>
        <v/>
      </c>
      <c r="H1784" s="26" t="str">
        <f>IF(A1784="","",BASE_CAIXA!P1781)</f>
        <v/>
      </c>
      <c r="I1784" s="26" t="str">
        <f>IF(A1784="","",IF(BASE_CAIXA!H1781&lt;&gt;"",BASE_CAIXA!H1781,BASE_CAIXA!G1781))</f>
        <v/>
      </c>
      <c r="J1784" s="26" t="str">
        <f>IF(A1784="","",BASE_CAIXA!G1781)</f>
        <v/>
      </c>
      <c r="K1784" s="26" t="str">
        <f>IF(A1784="","",BASE_CAIXA!I1781)</f>
        <v/>
      </c>
      <c r="L1784" s="26" t="str">
        <f>IF(A1784="","",BASE_CAIXA!J1781)</f>
        <v/>
      </c>
      <c r="M1784" s="26" t="str">
        <f>IF(A1784="","",BASE_CAIXA!AM1781)</f>
        <v/>
      </c>
      <c r="N1784" s="26" t="str">
        <f t="shared" ca="1" si="81"/>
        <v/>
      </c>
      <c r="O1784" s="26" t="str">
        <f>IFERROR(INDEX(EXTRATO_IMPORTADO!$A$5:$A$404,MATCH(B1784,EXTRATO_IMPORTADO!$I$5:$I$404,0)),"")</f>
        <v/>
      </c>
      <c r="P1784" s="26" t="str">
        <f>IFERROR(INDEX(EXTRATO_IMPORTADO!$F$5:$F$404,MATCH(B1784,EXTRATO_IMPORTADO!$I$5:$I$404,0)),"")</f>
        <v/>
      </c>
      <c r="Q1784" s="26" t="str">
        <f>IFERROR(INDEX(EXTRATO_IMPORTADO!$B$5:$B$404,MATCH(B1784,EXTRATO_IMPORTADO!$I$5:$I$404,0)),"")</f>
        <v/>
      </c>
      <c r="R1784" s="26" t="str">
        <f>IFERROR(MATCH(B1784,EXTRATO_IMPORTADO!$I$5:$I$404,0),"")</f>
        <v/>
      </c>
      <c r="S1784" s="26" t="str">
        <f t="shared" si="82"/>
        <v/>
      </c>
      <c r="T1784" s="26" t="str">
        <f t="shared" si="83"/>
        <v/>
      </c>
    </row>
    <row r="1785" spans="1:20" x14ac:dyDescent="0.3">
      <c r="A1785" s="26" t="str">
        <f>IF(BASE_CAIXA!A1782="","",BASE_CAIXA!A1782)</f>
        <v/>
      </c>
      <c r="B1785" s="26" t="str">
        <f>IF(A1785="","",BASE_CAIXA!AL1782)</f>
        <v/>
      </c>
      <c r="C1785" s="26" t="str">
        <f>IF(A1785="","",BASE_CAIXA!AJ1782)</f>
        <v/>
      </c>
      <c r="D1785" s="26" t="str">
        <f>IF(A1785="","",IF(BASE_CAIXA!C1782="Entrada","Crédito","Débito"))</f>
        <v/>
      </c>
      <c r="E1785" s="26" t="str">
        <f>IF(A1785="","",BASE_CAIXA!AA1782)</f>
        <v/>
      </c>
      <c r="F1785" s="26" t="str">
        <f>IF(A1785="","",BASE_CAIXA!N1782)</f>
        <v/>
      </c>
      <c r="G1785" s="26" t="str">
        <f>IF(A1785="","",BASE_CAIXA!O1782)</f>
        <v/>
      </c>
      <c r="H1785" s="26" t="str">
        <f>IF(A1785="","",BASE_CAIXA!P1782)</f>
        <v/>
      </c>
      <c r="I1785" s="26" t="str">
        <f>IF(A1785="","",IF(BASE_CAIXA!H1782&lt;&gt;"",BASE_CAIXA!H1782,BASE_CAIXA!G1782))</f>
        <v/>
      </c>
      <c r="J1785" s="26" t="str">
        <f>IF(A1785="","",BASE_CAIXA!G1782)</f>
        <v/>
      </c>
      <c r="K1785" s="26" t="str">
        <f>IF(A1785="","",BASE_CAIXA!I1782)</f>
        <v/>
      </c>
      <c r="L1785" s="26" t="str">
        <f>IF(A1785="","",BASE_CAIXA!J1782)</f>
        <v/>
      </c>
      <c r="M1785" s="26" t="str">
        <f>IF(A1785="","",BASE_CAIXA!AM1782)</f>
        <v/>
      </c>
      <c r="N1785" s="26" t="str">
        <f t="shared" ca="1" si="81"/>
        <v/>
      </c>
      <c r="O1785" s="26" t="str">
        <f>IFERROR(INDEX(EXTRATO_IMPORTADO!$A$5:$A$404,MATCH(B1785,EXTRATO_IMPORTADO!$I$5:$I$404,0)),"")</f>
        <v/>
      </c>
      <c r="P1785" s="26" t="str">
        <f>IFERROR(INDEX(EXTRATO_IMPORTADO!$F$5:$F$404,MATCH(B1785,EXTRATO_IMPORTADO!$I$5:$I$404,0)),"")</f>
        <v/>
      </c>
      <c r="Q1785" s="26" t="str">
        <f>IFERROR(INDEX(EXTRATO_IMPORTADO!$B$5:$B$404,MATCH(B1785,EXTRATO_IMPORTADO!$I$5:$I$404,0)),"")</f>
        <v/>
      </c>
      <c r="R1785" s="26" t="str">
        <f>IFERROR(MATCH(B1785,EXTRATO_IMPORTADO!$I$5:$I$404,0),"")</f>
        <v/>
      </c>
      <c r="S1785" s="26" t="str">
        <f t="shared" si="82"/>
        <v/>
      </c>
      <c r="T1785" s="26" t="str">
        <f t="shared" si="83"/>
        <v/>
      </c>
    </row>
    <row r="1786" spans="1:20" x14ac:dyDescent="0.3">
      <c r="A1786" s="26" t="str">
        <f>IF(BASE_CAIXA!A1783="","",BASE_CAIXA!A1783)</f>
        <v/>
      </c>
      <c r="B1786" s="26" t="str">
        <f>IF(A1786="","",BASE_CAIXA!AL1783)</f>
        <v/>
      </c>
      <c r="C1786" s="26" t="str">
        <f>IF(A1786="","",BASE_CAIXA!AJ1783)</f>
        <v/>
      </c>
      <c r="D1786" s="26" t="str">
        <f>IF(A1786="","",IF(BASE_CAIXA!C1783="Entrada","Crédito","Débito"))</f>
        <v/>
      </c>
      <c r="E1786" s="26" t="str">
        <f>IF(A1786="","",BASE_CAIXA!AA1783)</f>
        <v/>
      </c>
      <c r="F1786" s="26" t="str">
        <f>IF(A1786="","",BASE_CAIXA!N1783)</f>
        <v/>
      </c>
      <c r="G1786" s="26" t="str">
        <f>IF(A1786="","",BASE_CAIXA!O1783)</f>
        <v/>
      </c>
      <c r="H1786" s="26" t="str">
        <f>IF(A1786="","",BASE_CAIXA!P1783)</f>
        <v/>
      </c>
      <c r="I1786" s="26" t="str">
        <f>IF(A1786="","",IF(BASE_CAIXA!H1783&lt;&gt;"",BASE_CAIXA!H1783,BASE_CAIXA!G1783))</f>
        <v/>
      </c>
      <c r="J1786" s="26" t="str">
        <f>IF(A1786="","",BASE_CAIXA!G1783)</f>
        <v/>
      </c>
      <c r="K1786" s="26" t="str">
        <f>IF(A1786="","",BASE_CAIXA!I1783)</f>
        <v/>
      </c>
      <c r="L1786" s="26" t="str">
        <f>IF(A1786="","",BASE_CAIXA!J1783)</f>
        <v/>
      </c>
      <c r="M1786" s="26" t="str">
        <f>IF(A1786="","",BASE_CAIXA!AM1783)</f>
        <v/>
      </c>
      <c r="N1786" s="26" t="str">
        <f t="shared" ca="1" si="81"/>
        <v/>
      </c>
      <c r="O1786" s="26" t="str">
        <f>IFERROR(INDEX(EXTRATO_IMPORTADO!$A$5:$A$404,MATCH(B1786,EXTRATO_IMPORTADO!$I$5:$I$404,0)),"")</f>
        <v/>
      </c>
      <c r="P1786" s="26" t="str">
        <f>IFERROR(INDEX(EXTRATO_IMPORTADO!$F$5:$F$404,MATCH(B1786,EXTRATO_IMPORTADO!$I$5:$I$404,0)),"")</f>
        <v/>
      </c>
      <c r="Q1786" s="26" t="str">
        <f>IFERROR(INDEX(EXTRATO_IMPORTADO!$B$5:$B$404,MATCH(B1786,EXTRATO_IMPORTADO!$I$5:$I$404,0)),"")</f>
        <v/>
      </c>
      <c r="R1786" s="26" t="str">
        <f>IFERROR(MATCH(B1786,EXTRATO_IMPORTADO!$I$5:$I$404,0),"")</f>
        <v/>
      </c>
      <c r="S1786" s="26" t="str">
        <f t="shared" si="82"/>
        <v/>
      </c>
      <c r="T1786" s="26" t="str">
        <f t="shared" si="83"/>
        <v/>
      </c>
    </row>
    <row r="1787" spans="1:20" x14ac:dyDescent="0.3">
      <c r="A1787" s="26" t="str">
        <f>IF(BASE_CAIXA!A1784="","",BASE_CAIXA!A1784)</f>
        <v/>
      </c>
      <c r="B1787" s="26" t="str">
        <f>IF(A1787="","",BASE_CAIXA!AL1784)</f>
        <v/>
      </c>
      <c r="C1787" s="26" t="str">
        <f>IF(A1787="","",BASE_CAIXA!AJ1784)</f>
        <v/>
      </c>
      <c r="D1787" s="26" t="str">
        <f>IF(A1787="","",IF(BASE_CAIXA!C1784="Entrada","Crédito","Débito"))</f>
        <v/>
      </c>
      <c r="E1787" s="26" t="str">
        <f>IF(A1787="","",BASE_CAIXA!AA1784)</f>
        <v/>
      </c>
      <c r="F1787" s="26" t="str">
        <f>IF(A1787="","",BASE_CAIXA!N1784)</f>
        <v/>
      </c>
      <c r="G1787" s="26" t="str">
        <f>IF(A1787="","",BASE_CAIXA!O1784)</f>
        <v/>
      </c>
      <c r="H1787" s="26" t="str">
        <f>IF(A1787="","",BASE_CAIXA!P1784)</f>
        <v/>
      </c>
      <c r="I1787" s="26" t="str">
        <f>IF(A1787="","",IF(BASE_CAIXA!H1784&lt;&gt;"",BASE_CAIXA!H1784,BASE_CAIXA!G1784))</f>
        <v/>
      </c>
      <c r="J1787" s="26" t="str">
        <f>IF(A1787="","",BASE_CAIXA!G1784)</f>
        <v/>
      </c>
      <c r="K1787" s="26" t="str">
        <f>IF(A1787="","",BASE_CAIXA!I1784)</f>
        <v/>
      </c>
      <c r="L1787" s="26" t="str">
        <f>IF(A1787="","",BASE_CAIXA!J1784)</f>
        <v/>
      </c>
      <c r="M1787" s="26" t="str">
        <f>IF(A1787="","",BASE_CAIXA!AM1784)</f>
        <v/>
      </c>
      <c r="N1787" s="26" t="str">
        <f t="shared" ca="1" si="81"/>
        <v/>
      </c>
      <c r="O1787" s="26" t="str">
        <f>IFERROR(INDEX(EXTRATO_IMPORTADO!$A$5:$A$404,MATCH(B1787,EXTRATO_IMPORTADO!$I$5:$I$404,0)),"")</f>
        <v/>
      </c>
      <c r="P1787" s="26" t="str">
        <f>IFERROR(INDEX(EXTRATO_IMPORTADO!$F$5:$F$404,MATCH(B1787,EXTRATO_IMPORTADO!$I$5:$I$404,0)),"")</f>
        <v/>
      </c>
      <c r="Q1787" s="26" t="str">
        <f>IFERROR(INDEX(EXTRATO_IMPORTADO!$B$5:$B$404,MATCH(B1787,EXTRATO_IMPORTADO!$I$5:$I$404,0)),"")</f>
        <v/>
      </c>
      <c r="R1787" s="26" t="str">
        <f>IFERROR(MATCH(B1787,EXTRATO_IMPORTADO!$I$5:$I$404,0),"")</f>
        <v/>
      </c>
      <c r="S1787" s="26" t="str">
        <f t="shared" si="82"/>
        <v/>
      </c>
      <c r="T1787" s="26" t="str">
        <f t="shared" si="83"/>
        <v/>
      </c>
    </row>
    <row r="1788" spans="1:20" x14ac:dyDescent="0.3">
      <c r="A1788" s="26" t="str">
        <f>IF(BASE_CAIXA!A1785="","",BASE_CAIXA!A1785)</f>
        <v/>
      </c>
      <c r="B1788" s="26" t="str">
        <f>IF(A1788="","",BASE_CAIXA!AL1785)</f>
        <v/>
      </c>
      <c r="C1788" s="26" t="str">
        <f>IF(A1788="","",BASE_CAIXA!AJ1785)</f>
        <v/>
      </c>
      <c r="D1788" s="26" t="str">
        <f>IF(A1788="","",IF(BASE_CAIXA!C1785="Entrada","Crédito","Débito"))</f>
        <v/>
      </c>
      <c r="E1788" s="26" t="str">
        <f>IF(A1788="","",BASE_CAIXA!AA1785)</f>
        <v/>
      </c>
      <c r="F1788" s="26" t="str">
        <f>IF(A1788="","",BASE_CAIXA!N1785)</f>
        <v/>
      </c>
      <c r="G1788" s="26" t="str">
        <f>IF(A1788="","",BASE_CAIXA!O1785)</f>
        <v/>
      </c>
      <c r="H1788" s="26" t="str">
        <f>IF(A1788="","",BASE_CAIXA!P1785)</f>
        <v/>
      </c>
      <c r="I1788" s="26" t="str">
        <f>IF(A1788="","",IF(BASE_CAIXA!H1785&lt;&gt;"",BASE_CAIXA!H1785,BASE_CAIXA!G1785))</f>
        <v/>
      </c>
      <c r="J1788" s="26" t="str">
        <f>IF(A1788="","",BASE_CAIXA!G1785)</f>
        <v/>
      </c>
      <c r="K1788" s="26" t="str">
        <f>IF(A1788="","",BASE_CAIXA!I1785)</f>
        <v/>
      </c>
      <c r="L1788" s="26" t="str">
        <f>IF(A1788="","",BASE_CAIXA!J1785)</f>
        <v/>
      </c>
      <c r="M1788" s="26" t="str">
        <f>IF(A1788="","",BASE_CAIXA!AM1785)</f>
        <v/>
      </c>
      <c r="N1788" s="26" t="str">
        <f t="shared" ca="1" si="81"/>
        <v/>
      </c>
      <c r="O1788" s="26" t="str">
        <f>IFERROR(INDEX(EXTRATO_IMPORTADO!$A$5:$A$404,MATCH(B1788,EXTRATO_IMPORTADO!$I$5:$I$404,0)),"")</f>
        <v/>
      </c>
      <c r="P1788" s="26" t="str">
        <f>IFERROR(INDEX(EXTRATO_IMPORTADO!$F$5:$F$404,MATCH(B1788,EXTRATO_IMPORTADO!$I$5:$I$404,0)),"")</f>
        <v/>
      </c>
      <c r="Q1788" s="26" t="str">
        <f>IFERROR(INDEX(EXTRATO_IMPORTADO!$B$5:$B$404,MATCH(B1788,EXTRATO_IMPORTADO!$I$5:$I$404,0)),"")</f>
        <v/>
      </c>
      <c r="R1788" s="26" t="str">
        <f>IFERROR(MATCH(B1788,EXTRATO_IMPORTADO!$I$5:$I$404,0),"")</f>
        <v/>
      </c>
      <c r="S1788" s="26" t="str">
        <f t="shared" si="82"/>
        <v/>
      </c>
      <c r="T1788" s="26" t="str">
        <f t="shared" si="83"/>
        <v/>
      </c>
    </row>
    <row r="1789" spans="1:20" x14ac:dyDescent="0.3">
      <c r="A1789" s="26" t="str">
        <f>IF(BASE_CAIXA!A1786="","",BASE_CAIXA!A1786)</f>
        <v/>
      </c>
      <c r="B1789" s="26" t="str">
        <f>IF(A1789="","",BASE_CAIXA!AL1786)</f>
        <v/>
      </c>
      <c r="C1789" s="26" t="str">
        <f>IF(A1789="","",BASE_CAIXA!AJ1786)</f>
        <v/>
      </c>
      <c r="D1789" s="26" t="str">
        <f>IF(A1789="","",IF(BASE_CAIXA!C1786="Entrada","Crédito","Débito"))</f>
        <v/>
      </c>
      <c r="E1789" s="26" t="str">
        <f>IF(A1789="","",BASE_CAIXA!AA1786)</f>
        <v/>
      </c>
      <c r="F1789" s="26" t="str">
        <f>IF(A1789="","",BASE_CAIXA!N1786)</f>
        <v/>
      </c>
      <c r="G1789" s="26" t="str">
        <f>IF(A1789="","",BASE_CAIXA!O1786)</f>
        <v/>
      </c>
      <c r="H1789" s="26" t="str">
        <f>IF(A1789="","",BASE_CAIXA!P1786)</f>
        <v/>
      </c>
      <c r="I1789" s="26" t="str">
        <f>IF(A1789="","",IF(BASE_CAIXA!H1786&lt;&gt;"",BASE_CAIXA!H1786,BASE_CAIXA!G1786))</f>
        <v/>
      </c>
      <c r="J1789" s="26" t="str">
        <f>IF(A1789="","",BASE_CAIXA!G1786)</f>
        <v/>
      </c>
      <c r="K1789" s="26" t="str">
        <f>IF(A1789="","",BASE_CAIXA!I1786)</f>
        <v/>
      </c>
      <c r="L1789" s="26" t="str">
        <f>IF(A1789="","",BASE_CAIXA!J1786)</f>
        <v/>
      </c>
      <c r="M1789" s="26" t="str">
        <f>IF(A1789="","",BASE_CAIXA!AM1786)</f>
        <v/>
      </c>
      <c r="N1789" s="26" t="str">
        <f t="shared" ca="1" si="81"/>
        <v/>
      </c>
      <c r="O1789" s="26" t="str">
        <f>IFERROR(INDEX(EXTRATO_IMPORTADO!$A$5:$A$404,MATCH(B1789,EXTRATO_IMPORTADO!$I$5:$I$404,0)),"")</f>
        <v/>
      </c>
      <c r="P1789" s="26" t="str">
        <f>IFERROR(INDEX(EXTRATO_IMPORTADO!$F$5:$F$404,MATCH(B1789,EXTRATO_IMPORTADO!$I$5:$I$404,0)),"")</f>
        <v/>
      </c>
      <c r="Q1789" s="26" t="str">
        <f>IFERROR(INDEX(EXTRATO_IMPORTADO!$B$5:$B$404,MATCH(B1789,EXTRATO_IMPORTADO!$I$5:$I$404,0)),"")</f>
        <v/>
      </c>
      <c r="R1789" s="26" t="str">
        <f>IFERROR(MATCH(B1789,EXTRATO_IMPORTADO!$I$5:$I$404,0),"")</f>
        <v/>
      </c>
      <c r="S1789" s="26" t="str">
        <f t="shared" si="82"/>
        <v/>
      </c>
      <c r="T1789" s="26" t="str">
        <f t="shared" si="83"/>
        <v/>
      </c>
    </row>
    <row r="1790" spans="1:20" x14ac:dyDescent="0.3">
      <c r="A1790" s="26" t="str">
        <f>IF(BASE_CAIXA!A1787="","",BASE_CAIXA!A1787)</f>
        <v/>
      </c>
      <c r="B1790" s="26" t="str">
        <f>IF(A1790="","",BASE_CAIXA!AL1787)</f>
        <v/>
      </c>
      <c r="C1790" s="26" t="str">
        <f>IF(A1790="","",BASE_CAIXA!AJ1787)</f>
        <v/>
      </c>
      <c r="D1790" s="26" t="str">
        <f>IF(A1790="","",IF(BASE_CAIXA!C1787="Entrada","Crédito","Débito"))</f>
        <v/>
      </c>
      <c r="E1790" s="26" t="str">
        <f>IF(A1790="","",BASE_CAIXA!AA1787)</f>
        <v/>
      </c>
      <c r="F1790" s="26" t="str">
        <f>IF(A1790="","",BASE_CAIXA!N1787)</f>
        <v/>
      </c>
      <c r="G1790" s="26" t="str">
        <f>IF(A1790="","",BASE_CAIXA!O1787)</f>
        <v/>
      </c>
      <c r="H1790" s="26" t="str">
        <f>IF(A1790="","",BASE_CAIXA!P1787)</f>
        <v/>
      </c>
      <c r="I1790" s="26" t="str">
        <f>IF(A1790="","",IF(BASE_CAIXA!H1787&lt;&gt;"",BASE_CAIXA!H1787,BASE_CAIXA!G1787))</f>
        <v/>
      </c>
      <c r="J1790" s="26" t="str">
        <f>IF(A1790="","",BASE_CAIXA!G1787)</f>
        <v/>
      </c>
      <c r="K1790" s="26" t="str">
        <f>IF(A1790="","",BASE_CAIXA!I1787)</f>
        <v/>
      </c>
      <c r="L1790" s="26" t="str">
        <f>IF(A1790="","",BASE_CAIXA!J1787)</f>
        <v/>
      </c>
      <c r="M1790" s="26" t="str">
        <f>IF(A1790="","",BASE_CAIXA!AM1787)</f>
        <v/>
      </c>
      <c r="N1790" s="26" t="str">
        <f t="shared" ca="1" si="81"/>
        <v/>
      </c>
      <c r="O1790" s="26" t="str">
        <f>IFERROR(INDEX(EXTRATO_IMPORTADO!$A$5:$A$404,MATCH(B1790,EXTRATO_IMPORTADO!$I$5:$I$404,0)),"")</f>
        <v/>
      </c>
      <c r="P1790" s="26" t="str">
        <f>IFERROR(INDEX(EXTRATO_IMPORTADO!$F$5:$F$404,MATCH(B1790,EXTRATO_IMPORTADO!$I$5:$I$404,0)),"")</f>
        <v/>
      </c>
      <c r="Q1790" s="26" t="str">
        <f>IFERROR(INDEX(EXTRATO_IMPORTADO!$B$5:$B$404,MATCH(B1790,EXTRATO_IMPORTADO!$I$5:$I$404,0)),"")</f>
        <v/>
      </c>
      <c r="R1790" s="26" t="str">
        <f>IFERROR(MATCH(B1790,EXTRATO_IMPORTADO!$I$5:$I$404,0),"")</f>
        <v/>
      </c>
      <c r="S1790" s="26" t="str">
        <f t="shared" si="82"/>
        <v/>
      </c>
      <c r="T1790" s="26" t="str">
        <f t="shared" si="83"/>
        <v/>
      </c>
    </row>
    <row r="1791" spans="1:20" x14ac:dyDescent="0.3">
      <c r="A1791" s="26" t="str">
        <f>IF(BASE_CAIXA!A1788="","",BASE_CAIXA!A1788)</f>
        <v/>
      </c>
      <c r="B1791" s="26" t="str">
        <f>IF(A1791="","",BASE_CAIXA!AL1788)</f>
        <v/>
      </c>
      <c r="C1791" s="26" t="str">
        <f>IF(A1791="","",BASE_CAIXA!AJ1788)</f>
        <v/>
      </c>
      <c r="D1791" s="26" t="str">
        <f>IF(A1791="","",IF(BASE_CAIXA!C1788="Entrada","Crédito","Débito"))</f>
        <v/>
      </c>
      <c r="E1791" s="26" t="str">
        <f>IF(A1791="","",BASE_CAIXA!AA1788)</f>
        <v/>
      </c>
      <c r="F1791" s="26" t="str">
        <f>IF(A1791="","",BASE_CAIXA!N1788)</f>
        <v/>
      </c>
      <c r="G1791" s="26" t="str">
        <f>IF(A1791="","",BASE_CAIXA!O1788)</f>
        <v/>
      </c>
      <c r="H1791" s="26" t="str">
        <f>IF(A1791="","",BASE_CAIXA!P1788)</f>
        <v/>
      </c>
      <c r="I1791" s="26" t="str">
        <f>IF(A1791="","",IF(BASE_CAIXA!H1788&lt;&gt;"",BASE_CAIXA!H1788,BASE_CAIXA!G1788))</f>
        <v/>
      </c>
      <c r="J1791" s="26" t="str">
        <f>IF(A1791="","",BASE_CAIXA!G1788)</f>
        <v/>
      </c>
      <c r="K1791" s="26" t="str">
        <f>IF(A1791="","",BASE_CAIXA!I1788)</f>
        <v/>
      </c>
      <c r="L1791" s="26" t="str">
        <f>IF(A1791="","",BASE_CAIXA!J1788)</f>
        <v/>
      </c>
      <c r="M1791" s="26" t="str">
        <f>IF(A1791="","",BASE_CAIXA!AM1788)</f>
        <v/>
      </c>
      <c r="N1791" s="26" t="str">
        <f t="shared" ca="1" si="81"/>
        <v/>
      </c>
      <c r="O1791" s="26" t="str">
        <f>IFERROR(INDEX(EXTRATO_IMPORTADO!$A$5:$A$404,MATCH(B1791,EXTRATO_IMPORTADO!$I$5:$I$404,0)),"")</f>
        <v/>
      </c>
      <c r="P1791" s="26" t="str">
        <f>IFERROR(INDEX(EXTRATO_IMPORTADO!$F$5:$F$404,MATCH(B1791,EXTRATO_IMPORTADO!$I$5:$I$404,0)),"")</f>
        <v/>
      </c>
      <c r="Q1791" s="26" t="str">
        <f>IFERROR(INDEX(EXTRATO_IMPORTADO!$B$5:$B$404,MATCH(B1791,EXTRATO_IMPORTADO!$I$5:$I$404,0)),"")</f>
        <v/>
      </c>
      <c r="R1791" s="26" t="str">
        <f>IFERROR(MATCH(B1791,EXTRATO_IMPORTADO!$I$5:$I$404,0),"")</f>
        <v/>
      </c>
      <c r="S1791" s="26" t="str">
        <f t="shared" si="82"/>
        <v/>
      </c>
      <c r="T1791" s="26" t="str">
        <f t="shared" si="83"/>
        <v/>
      </c>
    </row>
    <row r="1792" spans="1:20" x14ac:dyDescent="0.3">
      <c r="A1792" s="26" t="str">
        <f>IF(BASE_CAIXA!A1789="","",BASE_CAIXA!A1789)</f>
        <v/>
      </c>
      <c r="B1792" s="26" t="str">
        <f>IF(A1792="","",BASE_CAIXA!AL1789)</f>
        <v/>
      </c>
      <c r="C1792" s="26" t="str">
        <f>IF(A1792="","",BASE_CAIXA!AJ1789)</f>
        <v/>
      </c>
      <c r="D1792" s="26" t="str">
        <f>IF(A1792="","",IF(BASE_CAIXA!C1789="Entrada","Crédito","Débito"))</f>
        <v/>
      </c>
      <c r="E1792" s="26" t="str">
        <f>IF(A1792="","",BASE_CAIXA!AA1789)</f>
        <v/>
      </c>
      <c r="F1792" s="26" t="str">
        <f>IF(A1792="","",BASE_CAIXA!N1789)</f>
        <v/>
      </c>
      <c r="G1792" s="26" t="str">
        <f>IF(A1792="","",BASE_CAIXA!O1789)</f>
        <v/>
      </c>
      <c r="H1792" s="26" t="str">
        <f>IF(A1792="","",BASE_CAIXA!P1789)</f>
        <v/>
      </c>
      <c r="I1792" s="26" t="str">
        <f>IF(A1792="","",IF(BASE_CAIXA!H1789&lt;&gt;"",BASE_CAIXA!H1789,BASE_CAIXA!G1789))</f>
        <v/>
      </c>
      <c r="J1792" s="26" t="str">
        <f>IF(A1792="","",BASE_CAIXA!G1789)</f>
        <v/>
      </c>
      <c r="K1792" s="26" t="str">
        <f>IF(A1792="","",BASE_CAIXA!I1789)</f>
        <v/>
      </c>
      <c r="L1792" s="26" t="str">
        <f>IF(A1792="","",BASE_CAIXA!J1789)</f>
        <v/>
      </c>
      <c r="M1792" s="26" t="str">
        <f>IF(A1792="","",BASE_CAIXA!AM1789)</f>
        <v/>
      </c>
      <c r="N1792" s="26" t="str">
        <f t="shared" ca="1" si="81"/>
        <v/>
      </c>
      <c r="O1792" s="26" t="str">
        <f>IFERROR(INDEX(EXTRATO_IMPORTADO!$A$5:$A$404,MATCH(B1792,EXTRATO_IMPORTADO!$I$5:$I$404,0)),"")</f>
        <v/>
      </c>
      <c r="P1792" s="26" t="str">
        <f>IFERROR(INDEX(EXTRATO_IMPORTADO!$F$5:$F$404,MATCH(B1792,EXTRATO_IMPORTADO!$I$5:$I$404,0)),"")</f>
        <v/>
      </c>
      <c r="Q1792" s="26" t="str">
        <f>IFERROR(INDEX(EXTRATO_IMPORTADO!$B$5:$B$404,MATCH(B1792,EXTRATO_IMPORTADO!$I$5:$I$404,0)),"")</f>
        <v/>
      </c>
      <c r="R1792" s="26" t="str">
        <f>IFERROR(MATCH(B1792,EXTRATO_IMPORTADO!$I$5:$I$404,0),"")</f>
        <v/>
      </c>
      <c r="S1792" s="26" t="str">
        <f t="shared" si="82"/>
        <v/>
      </c>
      <c r="T1792" s="26" t="str">
        <f t="shared" si="83"/>
        <v/>
      </c>
    </row>
    <row r="1793" spans="1:20" x14ac:dyDescent="0.3">
      <c r="A1793" s="26" t="str">
        <f>IF(BASE_CAIXA!A1790="","",BASE_CAIXA!A1790)</f>
        <v/>
      </c>
      <c r="B1793" s="26" t="str">
        <f>IF(A1793="","",BASE_CAIXA!AL1790)</f>
        <v/>
      </c>
      <c r="C1793" s="26" t="str">
        <f>IF(A1793="","",BASE_CAIXA!AJ1790)</f>
        <v/>
      </c>
      <c r="D1793" s="26" t="str">
        <f>IF(A1793="","",IF(BASE_CAIXA!C1790="Entrada","Crédito","Débito"))</f>
        <v/>
      </c>
      <c r="E1793" s="26" t="str">
        <f>IF(A1793="","",BASE_CAIXA!AA1790)</f>
        <v/>
      </c>
      <c r="F1793" s="26" t="str">
        <f>IF(A1793="","",BASE_CAIXA!N1790)</f>
        <v/>
      </c>
      <c r="G1793" s="26" t="str">
        <f>IF(A1793="","",BASE_CAIXA!O1790)</f>
        <v/>
      </c>
      <c r="H1793" s="26" t="str">
        <f>IF(A1793="","",BASE_CAIXA!P1790)</f>
        <v/>
      </c>
      <c r="I1793" s="26" t="str">
        <f>IF(A1793="","",IF(BASE_CAIXA!H1790&lt;&gt;"",BASE_CAIXA!H1790,BASE_CAIXA!G1790))</f>
        <v/>
      </c>
      <c r="J1793" s="26" t="str">
        <f>IF(A1793="","",BASE_CAIXA!G1790)</f>
        <v/>
      </c>
      <c r="K1793" s="26" t="str">
        <f>IF(A1793="","",BASE_CAIXA!I1790)</f>
        <v/>
      </c>
      <c r="L1793" s="26" t="str">
        <f>IF(A1793="","",BASE_CAIXA!J1790)</f>
        <v/>
      </c>
      <c r="M1793" s="26" t="str">
        <f>IF(A1793="","",BASE_CAIXA!AM1790)</f>
        <v/>
      </c>
      <c r="N1793" s="26" t="str">
        <f t="shared" ca="1" si="81"/>
        <v/>
      </c>
      <c r="O1793" s="26" t="str">
        <f>IFERROR(INDEX(EXTRATO_IMPORTADO!$A$5:$A$404,MATCH(B1793,EXTRATO_IMPORTADO!$I$5:$I$404,0)),"")</f>
        <v/>
      </c>
      <c r="P1793" s="26" t="str">
        <f>IFERROR(INDEX(EXTRATO_IMPORTADO!$F$5:$F$404,MATCH(B1793,EXTRATO_IMPORTADO!$I$5:$I$404,0)),"")</f>
        <v/>
      </c>
      <c r="Q1793" s="26" t="str">
        <f>IFERROR(INDEX(EXTRATO_IMPORTADO!$B$5:$B$404,MATCH(B1793,EXTRATO_IMPORTADO!$I$5:$I$404,0)),"")</f>
        <v/>
      </c>
      <c r="R1793" s="26" t="str">
        <f>IFERROR(MATCH(B1793,EXTRATO_IMPORTADO!$I$5:$I$404,0),"")</f>
        <v/>
      </c>
      <c r="S1793" s="26" t="str">
        <f t="shared" si="82"/>
        <v/>
      </c>
      <c r="T1793" s="26" t="str">
        <f t="shared" si="83"/>
        <v/>
      </c>
    </row>
    <row r="1794" spans="1:20" x14ac:dyDescent="0.3">
      <c r="A1794" s="26" t="str">
        <f>IF(BASE_CAIXA!A1791="","",BASE_CAIXA!A1791)</f>
        <v/>
      </c>
      <c r="B1794" s="26" t="str">
        <f>IF(A1794="","",BASE_CAIXA!AL1791)</f>
        <v/>
      </c>
      <c r="C1794" s="26" t="str">
        <f>IF(A1794="","",BASE_CAIXA!AJ1791)</f>
        <v/>
      </c>
      <c r="D1794" s="26" t="str">
        <f>IF(A1794="","",IF(BASE_CAIXA!C1791="Entrada","Crédito","Débito"))</f>
        <v/>
      </c>
      <c r="E1794" s="26" t="str">
        <f>IF(A1794="","",BASE_CAIXA!AA1791)</f>
        <v/>
      </c>
      <c r="F1794" s="26" t="str">
        <f>IF(A1794="","",BASE_CAIXA!N1791)</f>
        <v/>
      </c>
      <c r="G1794" s="26" t="str">
        <f>IF(A1794="","",BASE_CAIXA!O1791)</f>
        <v/>
      </c>
      <c r="H1794" s="26" t="str">
        <f>IF(A1794="","",BASE_CAIXA!P1791)</f>
        <v/>
      </c>
      <c r="I1794" s="26" t="str">
        <f>IF(A1794="","",IF(BASE_CAIXA!H1791&lt;&gt;"",BASE_CAIXA!H1791,BASE_CAIXA!G1791))</f>
        <v/>
      </c>
      <c r="J1794" s="26" t="str">
        <f>IF(A1794="","",BASE_CAIXA!G1791)</f>
        <v/>
      </c>
      <c r="K1794" s="26" t="str">
        <f>IF(A1794="","",BASE_CAIXA!I1791)</f>
        <v/>
      </c>
      <c r="L1794" s="26" t="str">
        <f>IF(A1794="","",BASE_CAIXA!J1791)</f>
        <v/>
      </c>
      <c r="M1794" s="26" t="str">
        <f>IF(A1794="","",BASE_CAIXA!AM1791)</f>
        <v/>
      </c>
      <c r="N1794" s="26" t="str">
        <f t="shared" ca="1" si="81"/>
        <v/>
      </c>
      <c r="O1794" s="26" t="str">
        <f>IFERROR(INDEX(EXTRATO_IMPORTADO!$A$5:$A$404,MATCH(B1794,EXTRATO_IMPORTADO!$I$5:$I$404,0)),"")</f>
        <v/>
      </c>
      <c r="P1794" s="26" t="str">
        <f>IFERROR(INDEX(EXTRATO_IMPORTADO!$F$5:$F$404,MATCH(B1794,EXTRATO_IMPORTADO!$I$5:$I$404,0)),"")</f>
        <v/>
      </c>
      <c r="Q1794" s="26" t="str">
        <f>IFERROR(INDEX(EXTRATO_IMPORTADO!$B$5:$B$404,MATCH(B1794,EXTRATO_IMPORTADO!$I$5:$I$404,0)),"")</f>
        <v/>
      </c>
      <c r="R1794" s="26" t="str">
        <f>IFERROR(MATCH(B1794,EXTRATO_IMPORTADO!$I$5:$I$404,0),"")</f>
        <v/>
      </c>
      <c r="S1794" s="26" t="str">
        <f t="shared" si="82"/>
        <v/>
      </c>
      <c r="T1794" s="26" t="str">
        <f t="shared" si="83"/>
        <v/>
      </c>
    </row>
    <row r="1795" spans="1:20" x14ac:dyDescent="0.3">
      <c r="A1795" s="26" t="str">
        <f>IF(BASE_CAIXA!A1792="","",BASE_CAIXA!A1792)</f>
        <v/>
      </c>
      <c r="B1795" s="26" t="str">
        <f>IF(A1795="","",BASE_CAIXA!AL1792)</f>
        <v/>
      </c>
      <c r="C1795" s="26" t="str">
        <f>IF(A1795="","",BASE_CAIXA!AJ1792)</f>
        <v/>
      </c>
      <c r="D1795" s="26" t="str">
        <f>IF(A1795="","",IF(BASE_CAIXA!C1792="Entrada","Crédito","Débito"))</f>
        <v/>
      </c>
      <c r="E1795" s="26" t="str">
        <f>IF(A1795="","",BASE_CAIXA!AA1792)</f>
        <v/>
      </c>
      <c r="F1795" s="26" t="str">
        <f>IF(A1795="","",BASE_CAIXA!N1792)</f>
        <v/>
      </c>
      <c r="G1795" s="26" t="str">
        <f>IF(A1795="","",BASE_CAIXA!O1792)</f>
        <v/>
      </c>
      <c r="H1795" s="26" t="str">
        <f>IF(A1795="","",BASE_CAIXA!P1792)</f>
        <v/>
      </c>
      <c r="I1795" s="26" t="str">
        <f>IF(A1795="","",IF(BASE_CAIXA!H1792&lt;&gt;"",BASE_CAIXA!H1792,BASE_CAIXA!G1792))</f>
        <v/>
      </c>
      <c r="J1795" s="26" t="str">
        <f>IF(A1795="","",BASE_CAIXA!G1792)</f>
        <v/>
      </c>
      <c r="K1795" s="26" t="str">
        <f>IF(A1795="","",BASE_CAIXA!I1792)</f>
        <v/>
      </c>
      <c r="L1795" s="26" t="str">
        <f>IF(A1795="","",BASE_CAIXA!J1792)</f>
        <v/>
      </c>
      <c r="M1795" s="26" t="str">
        <f>IF(A1795="","",BASE_CAIXA!AM1792)</f>
        <v/>
      </c>
      <c r="N1795" s="26" t="str">
        <f t="shared" ca="1" si="81"/>
        <v/>
      </c>
      <c r="O1795" s="26" t="str">
        <f>IFERROR(INDEX(EXTRATO_IMPORTADO!$A$5:$A$404,MATCH(B1795,EXTRATO_IMPORTADO!$I$5:$I$404,0)),"")</f>
        <v/>
      </c>
      <c r="P1795" s="26" t="str">
        <f>IFERROR(INDEX(EXTRATO_IMPORTADO!$F$5:$F$404,MATCH(B1795,EXTRATO_IMPORTADO!$I$5:$I$404,0)),"")</f>
        <v/>
      </c>
      <c r="Q1795" s="26" t="str">
        <f>IFERROR(INDEX(EXTRATO_IMPORTADO!$B$5:$B$404,MATCH(B1795,EXTRATO_IMPORTADO!$I$5:$I$404,0)),"")</f>
        <v/>
      </c>
      <c r="R1795" s="26" t="str">
        <f>IFERROR(MATCH(B1795,EXTRATO_IMPORTADO!$I$5:$I$404,0),"")</f>
        <v/>
      </c>
      <c r="S1795" s="26" t="str">
        <f t="shared" si="82"/>
        <v/>
      </c>
      <c r="T1795" s="26" t="str">
        <f t="shared" si="83"/>
        <v/>
      </c>
    </row>
    <row r="1796" spans="1:20" x14ac:dyDescent="0.3">
      <c r="A1796" s="26" t="str">
        <f>IF(BASE_CAIXA!A1793="","",BASE_CAIXA!A1793)</f>
        <v/>
      </c>
      <c r="B1796" s="26" t="str">
        <f>IF(A1796="","",BASE_CAIXA!AL1793)</f>
        <v/>
      </c>
      <c r="C1796" s="26" t="str">
        <f>IF(A1796="","",BASE_CAIXA!AJ1793)</f>
        <v/>
      </c>
      <c r="D1796" s="26" t="str">
        <f>IF(A1796="","",IF(BASE_CAIXA!C1793="Entrada","Crédito","Débito"))</f>
        <v/>
      </c>
      <c r="E1796" s="26" t="str">
        <f>IF(A1796="","",BASE_CAIXA!AA1793)</f>
        <v/>
      </c>
      <c r="F1796" s="26" t="str">
        <f>IF(A1796="","",BASE_CAIXA!N1793)</f>
        <v/>
      </c>
      <c r="G1796" s="26" t="str">
        <f>IF(A1796="","",BASE_CAIXA!O1793)</f>
        <v/>
      </c>
      <c r="H1796" s="26" t="str">
        <f>IF(A1796="","",BASE_CAIXA!P1793)</f>
        <v/>
      </c>
      <c r="I1796" s="26" t="str">
        <f>IF(A1796="","",IF(BASE_CAIXA!H1793&lt;&gt;"",BASE_CAIXA!H1793,BASE_CAIXA!G1793))</f>
        <v/>
      </c>
      <c r="J1796" s="26" t="str">
        <f>IF(A1796="","",BASE_CAIXA!G1793)</f>
        <v/>
      </c>
      <c r="K1796" s="26" t="str">
        <f>IF(A1796="","",BASE_CAIXA!I1793)</f>
        <v/>
      </c>
      <c r="L1796" s="26" t="str">
        <f>IF(A1796="","",BASE_CAIXA!J1793)</f>
        <v/>
      </c>
      <c r="M1796" s="26" t="str">
        <f>IF(A1796="","",BASE_CAIXA!AM1793)</f>
        <v/>
      </c>
      <c r="N1796" s="26" t="str">
        <f t="shared" ca="1" si="81"/>
        <v/>
      </c>
      <c r="O1796" s="26" t="str">
        <f>IFERROR(INDEX(EXTRATO_IMPORTADO!$A$5:$A$404,MATCH(B1796,EXTRATO_IMPORTADO!$I$5:$I$404,0)),"")</f>
        <v/>
      </c>
      <c r="P1796" s="26" t="str">
        <f>IFERROR(INDEX(EXTRATO_IMPORTADO!$F$5:$F$404,MATCH(B1796,EXTRATO_IMPORTADO!$I$5:$I$404,0)),"")</f>
        <v/>
      </c>
      <c r="Q1796" s="26" t="str">
        <f>IFERROR(INDEX(EXTRATO_IMPORTADO!$B$5:$B$404,MATCH(B1796,EXTRATO_IMPORTADO!$I$5:$I$404,0)),"")</f>
        <v/>
      </c>
      <c r="R1796" s="26" t="str">
        <f>IFERROR(MATCH(B1796,EXTRATO_IMPORTADO!$I$5:$I$404,0),"")</f>
        <v/>
      </c>
      <c r="S1796" s="26" t="str">
        <f t="shared" si="82"/>
        <v/>
      </c>
      <c r="T1796" s="26" t="str">
        <f t="shared" si="83"/>
        <v/>
      </c>
    </row>
    <row r="1797" spans="1:20" x14ac:dyDescent="0.3">
      <c r="A1797" s="26" t="str">
        <f>IF(BASE_CAIXA!A1794="","",BASE_CAIXA!A1794)</f>
        <v/>
      </c>
      <c r="B1797" s="26" t="str">
        <f>IF(A1797="","",BASE_CAIXA!AL1794)</f>
        <v/>
      </c>
      <c r="C1797" s="26" t="str">
        <f>IF(A1797="","",BASE_CAIXA!AJ1794)</f>
        <v/>
      </c>
      <c r="D1797" s="26" t="str">
        <f>IF(A1797="","",IF(BASE_CAIXA!C1794="Entrada","Crédito","Débito"))</f>
        <v/>
      </c>
      <c r="E1797" s="26" t="str">
        <f>IF(A1797="","",BASE_CAIXA!AA1794)</f>
        <v/>
      </c>
      <c r="F1797" s="26" t="str">
        <f>IF(A1797="","",BASE_CAIXA!N1794)</f>
        <v/>
      </c>
      <c r="G1797" s="26" t="str">
        <f>IF(A1797="","",BASE_CAIXA!O1794)</f>
        <v/>
      </c>
      <c r="H1797" s="26" t="str">
        <f>IF(A1797="","",BASE_CAIXA!P1794)</f>
        <v/>
      </c>
      <c r="I1797" s="26" t="str">
        <f>IF(A1797="","",IF(BASE_CAIXA!H1794&lt;&gt;"",BASE_CAIXA!H1794,BASE_CAIXA!G1794))</f>
        <v/>
      </c>
      <c r="J1797" s="26" t="str">
        <f>IF(A1797="","",BASE_CAIXA!G1794)</f>
        <v/>
      </c>
      <c r="K1797" s="26" t="str">
        <f>IF(A1797="","",BASE_CAIXA!I1794)</f>
        <v/>
      </c>
      <c r="L1797" s="26" t="str">
        <f>IF(A1797="","",BASE_CAIXA!J1794)</f>
        <v/>
      </c>
      <c r="M1797" s="26" t="str">
        <f>IF(A1797="","",BASE_CAIXA!AM1794)</f>
        <v/>
      </c>
      <c r="N1797" s="26" t="str">
        <f t="shared" ref="N1797:N1860" ca="1" si="84">IF(A1797="","",IF(R1797&lt;&gt;"",IF(AND(ABS(S1797)&lt;=0.01,ABS(T1797)&lt;=3),"Conciliado","Divergente"),IF(TODAY()&gt;C1797,"Pendente vencido","Previsto")))</f>
        <v/>
      </c>
      <c r="O1797" s="26" t="str">
        <f>IFERROR(INDEX(EXTRATO_IMPORTADO!$A$5:$A$404,MATCH(B1797,EXTRATO_IMPORTADO!$I$5:$I$404,0)),"")</f>
        <v/>
      </c>
      <c r="P1797" s="26" t="str">
        <f>IFERROR(INDEX(EXTRATO_IMPORTADO!$F$5:$F$404,MATCH(B1797,EXTRATO_IMPORTADO!$I$5:$I$404,0)),"")</f>
        <v/>
      </c>
      <c r="Q1797" s="26" t="str">
        <f>IFERROR(INDEX(EXTRATO_IMPORTADO!$B$5:$B$404,MATCH(B1797,EXTRATO_IMPORTADO!$I$5:$I$404,0)),"")</f>
        <v/>
      </c>
      <c r="R1797" s="26" t="str">
        <f>IFERROR(MATCH(B1797,EXTRATO_IMPORTADO!$I$5:$I$404,0),"")</f>
        <v/>
      </c>
      <c r="S1797" s="26" t="str">
        <f t="shared" ref="S1797:S1860" si="85">IF(OR(A1797="",P1797=""),"",P1797-E1797)</f>
        <v/>
      </c>
      <c r="T1797" s="26" t="str">
        <f t="shared" ref="T1797:T1860" si="86">IF(OR(A1797="",O1797=""),"",O1797-C1797)</f>
        <v/>
      </c>
    </row>
    <row r="1798" spans="1:20" x14ac:dyDescent="0.3">
      <c r="A1798" s="26" t="str">
        <f>IF(BASE_CAIXA!A1795="","",BASE_CAIXA!A1795)</f>
        <v/>
      </c>
      <c r="B1798" s="26" t="str">
        <f>IF(A1798="","",BASE_CAIXA!AL1795)</f>
        <v/>
      </c>
      <c r="C1798" s="26" t="str">
        <f>IF(A1798="","",BASE_CAIXA!AJ1795)</f>
        <v/>
      </c>
      <c r="D1798" s="26" t="str">
        <f>IF(A1798="","",IF(BASE_CAIXA!C1795="Entrada","Crédito","Débito"))</f>
        <v/>
      </c>
      <c r="E1798" s="26" t="str">
        <f>IF(A1798="","",BASE_CAIXA!AA1795)</f>
        <v/>
      </c>
      <c r="F1798" s="26" t="str">
        <f>IF(A1798="","",BASE_CAIXA!N1795)</f>
        <v/>
      </c>
      <c r="G1798" s="26" t="str">
        <f>IF(A1798="","",BASE_CAIXA!O1795)</f>
        <v/>
      </c>
      <c r="H1798" s="26" t="str">
        <f>IF(A1798="","",BASE_CAIXA!P1795)</f>
        <v/>
      </c>
      <c r="I1798" s="26" t="str">
        <f>IF(A1798="","",IF(BASE_CAIXA!H1795&lt;&gt;"",BASE_CAIXA!H1795,BASE_CAIXA!G1795))</f>
        <v/>
      </c>
      <c r="J1798" s="26" t="str">
        <f>IF(A1798="","",BASE_CAIXA!G1795)</f>
        <v/>
      </c>
      <c r="K1798" s="26" t="str">
        <f>IF(A1798="","",BASE_CAIXA!I1795)</f>
        <v/>
      </c>
      <c r="L1798" s="26" t="str">
        <f>IF(A1798="","",BASE_CAIXA!J1795)</f>
        <v/>
      </c>
      <c r="M1798" s="26" t="str">
        <f>IF(A1798="","",BASE_CAIXA!AM1795)</f>
        <v/>
      </c>
      <c r="N1798" s="26" t="str">
        <f t="shared" ca="1" si="84"/>
        <v/>
      </c>
      <c r="O1798" s="26" t="str">
        <f>IFERROR(INDEX(EXTRATO_IMPORTADO!$A$5:$A$404,MATCH(B1798,EXTRATO_IMPORTADO!$I$5:$I$404,0)),"")</f>
        <v/>
      </c>
      <c r="P1798" s="26" t="str">
        <f>IFERROR(INDEX(EXTRATO_IMPORTADO!$F$5:$F$404,MATCH(B1798,EXTRATO_IMPORTADO!$I$5:$I$404,0)),"")</f>
        <v/>
      </c>
      <c r="Q1798" s="26" t="str">
        <f>IFERROR(INDEX(EXTRATO_IMPORTADO!$B$5:$B$404,MATCH(B1798,EXTRATO_IMPORTADO!$I$5:$I$404,0)),"")</f>
        <v/>
      </c>
      <c r="R1798" s="26" t="str">
        <f>IFERROR(MATCH(B1798,EXTRATO_IMPORTADO!$I$5:$I$404,0),"")</f>
        <v/>
      </c>
      <c r="S1798" s="26" t="str">
        <f t="shared" si="85"/>
        <v/>
      </c>
      <c r="T1798" s="26" t="str">
        <f t="shared" si="86"/>
        <v/>
      </c>
    </row>
    <row r="1799" spans="1:20" x14ac:dyDescent="0.3">
      <c r="A1799" s="26" t="str">
        <f>IF(BASE_CAIXA!A1796="","",BASE_CAIXA!A1796)</f>
        <v/>
      </c>
      <c r="B1799" s="26" t="str">
        <f>IF(A1799="","",BASE_CAIXA!AL1796)</f>
        <v/>
      </c>
      <c r="C1799" s="26" t="str">
        <f>IF(A1799="","",BASE_CAIXA!AJ1796)</f>
        <v/>
      </c>
      <c r="D1799" s="26" t="str">
        <f>IF(A1799="","",IF(BASE_CAIXA!C1796="Entrada","Crédito","Débito"))</f>
        <v/>
      </c>
      <c r="E1799" s="26" t="str">
        <f>IF(A1799="","",BASE_CAIXA!AA1796)</f>
        <v/>
      </c>
      <c r="F1799" s="26" t="str">
        <f>IF(A1799="","",BASE_CAIXA!N1796)</f>
        <v/>
      </c>
      <c r="G1799" s="26" t="str">
        <f>IF(A1799="","",BASE_CAIXA!O1796)</f>
        <v/>
      </c>
      <c r="H1799" s="26" t="str">
        <f>IF(A1799="","",BASE_CAIXA!P1796)</f>
        <v/>
      </c>
      <c r="I1799" s="26" t="str">
        <f>IF(A1799="","",IF(BASE_CAIXA!H1796&lt;&gt;"",BASE_CAIXA!H1796,BASE_CAIXA!G1796))</f>
        <v/>
      </c>
      <c r="J1799" s="26" t="str">
        <f>IF(A1799="","",BASE_CAIXA!G1796)</f>
        <v/>
      </c>
      <c r="K1799" s="26" t="str">
        <f>IF(A1799="","",BASE_CAIXA!I1796)</f>
        <v/>
      </c>
      <c r="L1799" s="26" t="str">
        <f>IF(A1799="","",BASE_CAIXA!J1796)</f>
        <v/>
      </c>
      <c r="M1799" s="26" t="str">
        <f>IF(A1799="","",BASE_CAIXA!AM1796)</f>
        <v/>
      </c>
      <c r="N1799" s="26" t="str">
        <f t="shared" ca="1" si="84"/>
        <v/>
      </c>
      <c r="O1799" s="26" t="str">
        <f>IFERROR(INDEX(EXTRATO_IMPORTADO!$A$5:$A$404,MATCH(B1799,EXTRATO_IMPORTADO!$I$5:$I$404,0)),"")</f>
        <v/>
      </c>
      <c r="P1799" s="26" t="str">
        <f>IFERROR(INDEX(EXTRATO_IMPORTADO!$F$5:$F$404,MATCH(B1799,EXTRATO_IMPORTADO!$I$5:$I$404,0)),"")</f>
        <v/>
      </c>
      <c r="Q1799" s="26" t="str">
        <f>IFERROR(INDEX(EXTRATO_IMPORTADO!$B$5:$B$404,MATCH(B1799,EXTRATO_IMPORTADO!$I$5:$I$404,0)),"")</f>
        <v/>
      </c>
      <c r="R1799" s="26" t="str">
        <f>IFERROR(MATCH(B1799,EXTRATO_IMPORTADO!$I$5:$I$404,0),"")</f>
        <v/>
      </c>
      <c r="S1799" s="26" t="str">
        <f t="shared" si="85"/>
        <v/>
      </c>
      <c r="T1799" s="26" t="str">
        <f t="shared" si="86"/>
        <v/>
      </c>
    </row>
    <row r="1800" spans="1:20" x14ac:dyDescent="0.3">
      <c r="A1800" s="26" t="str">
        <f>IF(BASE_CAIXA!A1797="","",BASE_CAIXA!A1797)</f>
        <v/>
      </c>
      <c r="B1800" s="26" t="str">
        <f>IF(A1800="","",BASE_CAIXA!AL1797)</f>
        <v/>
      </c>
      <c r="C1800" s="26" t="str">
        <f>IF(A1800="","",BASE_CAIXA!AJ1797)</f>
        <v/>
      </c>
      <c r="D1800" s="26" t="str">
        <f>IF(A1800="","",IF(BASE_CAIXA!C1797="Entrada","Crédito","Débito"))</f>
        <v/>
      </c>
      <c r="E1800" s="26" t="str">
        <f>IF(A1800="","",BASE_CAIXA!AA1797)</f>
        <v/>
      </c>
      <c r="F1800" s="26" t="str">
        <f>IF(A1800="","",BASE_CAIXA!N1797)</f>
        <v/>
      </c>
      <c r="G1800" s="26" t="str">
        <f>IF(A1800="","",BASE_CAIXA!O1797)</f>
        <v/>
      </c>
      <c r="H1800" s="26" t="str">
        <f>IF(A1800="","",BASE_CAIXA!P1797)</f>
        <v/>
      </c>
      <c r="I1800" s="26" t="str">
        <f>IF(A1800="","",IF(BASE_CAIXA!H1797&lt;&gt;"",BASE_CAIXA!H1797,BASE_CAIXA!G1797))</f>
        <v/>
      </c>
      <c r="J1800" s="26" t="str">
        <f>IF(A1800="","",BASE_CAIXA!G1797)</f>
        <v/>
      </c>
      <c r="K1800" s="26" t="str">
        <f>IF(A1800="","",BASE_CAIXA!I1797)</f>
        <v/>
      </c>
      <c r="L1800" s="26" t="str">
        <f>IF(A1800="","",BASE_CAIXA!J1797)</f>
        <v/>
      </c>
      <c r="M1800" s="26" t="str">
        <f>IF(A1800="","",BASE_CAIXA!AM1797)</f>
        <v/>
      </c>
      <c r="N1800" s="26" t="str">
        <f t="shared" ca="1" si="84"/>
        <v/>
      </c>
      <c r="O1800" s="26" t="str">
        <f>IFERROR(INDEX(EXTRATO_IMPORTADO!$A$5:$A$404,MATCH(B1800,EXTRATO_IMPORTADO!$I$5:$I$404,0)),"")</f>
        <v/>
      </c>
      <c r="P1800" s="26" t="str">
        <f>IFERROR(INDEX(EXTRATO_IMPORTADO!$F$5:$F$404,MATCH(B1800,EXTRATO_IMPORTADO!$I$5:$I$404,0)),"")</f>
        <v/>
      </c>
      <c r="Q1800" s="26" t="str">
        <f>IFERROR(INDEX(EXTRATO_IMPORTADO!$B$5:$B$404,MATCH(B1800,EXTRATO_IMPORTADO!$I$5:$I$404,0)),"")</f>
        <v/>
      </c>
      <c r="R1800" s="26" t="str">
        <f>IFERROR(MATCH(B1800,EXTRATO_IMPORTADO!$I$5:$I$404,0),"")</f>
        <v/>
      </c>
      <c r="S1800" s="26" t="str">
        <f t="shared" si="85"/>
        <v/>
      </c>
      <c r="T1800" s="26" t="str">
        <f t="shared" si="86"/>
        <v/>
      </c>
    </row>
    <row r="1801" spans="1:20" x14ac:dyDescent="0.3">
      <c r="A1801" s="26" t="str">
        <f>IF(BASE_CAIXA!A1798="","",BASE_CAIXA!A1798)</f>
        <v/>
      </c>
      <c r="B1801" s="26" t="str">
        <f>IF(A1801="","",BASE_CAIXA!AL1798)</f>
        <v/>
      </c>
      <c r="C1801" s="26" t="str">
        <f>IF(A1801="","",BASE_CAIXA!AJ1798)</f>
        <v/>
      </c>
      <c r="D1801" s="26" t="str">
        <f>IF(A1801="","",IF(BASE_CAIXA!C1798="Entrada","Crédito","Débito"))</f>
        <v/>
      </c>
      <c r="E1801" s="26" t="str">
        <f>IF(A1801="","",BASE_CAIXA!AA1798)</f>
        <v/>
      </c>
      <c r="F1801" s="26" t="str">
        <f>IF(A1801="","",BASE_CAIXA!N1798)</f>
        <v/>
      </c>
      <c r="G1801" s="26" t="str">
        <f>IF(A1801="","",BASE_CAIXA!O1798)</f>
        <v/>
      </c>
      <c r="H1801" s="26" t="str">
        <f>IF(A1801="","",BASE_CAIXA!P1798)</f>
        <v/>
      </c>
      <c r="I1801" s="26" t="str">
        <f>IF(A1801="","",IF(BASE_CAIXA!H1798&lt;&gt;"",BASE_CAIXA!H1798,BASE_CAIXA!G1798))</f>
        <v/>
      </c>
      <c r="J1801" s="26" t="str">
        <f>IF(A1801="","",BASE_CAIXA!G1798)</f>
        <v/>
      </c>
      <c r="K1801" s="26" t="str">
        <f>IF(A1801="","",BASE_CAIXA!I1798)</f>
        <v/>
      </c>
      <c r="L1801" s="26" t="str">
        <f>IF(A1801="","",BASE_CAIXA!J1798)</f>
        <v/>
      </c>
      <c r="M1801" s="26" t="str">
        <f>IF(A1801="","",BASE_CAIXA!AM1798)</f>
        <v/>
      </c>
      <c r="N1801" s="26" t="str">
        <f t="shared" ca="1" si="84"/>
        <v/>
      </c>
      <c r="O1801" s="26" t="str">
        <f>IFERROR(INDEX(EXTRATO_IMPORTADO!$A$5:$A$404,MATCH(B1801,EXTRATO_IMPORTADO!$I$5:$I$404,0)),"")</f>
        <v/>
      </c>
      <c r="P1801" s="26" t="str">
        <f>IFERROR(INDEX(EXTRATO_IMPORTADO!$F$5:$F$404,MATCH(B1801,EXTRATO_IMPORTADO!$I$5:$I$404,0)),"")</f>
        <v/>
      </c>
      <c r="Q1801" s="26" t="str">
        <f>IFERROR(INDEX(EXTRATO_IMPORTADO!$B$5:$B$404,MATCH(B1801,EXTRATO_IMPORTADO!$I$5:$I$404,0)),"")</f>
        <v/>
      </c>
      <c r="R1801" s="26" t="str">
        <f>IFERROR(MATCH(B1801,EXTRATO_IMPORTADO!$I$5:$I$404,0),"")</f>
        <v/>
      </c>
      <c r="S1801" s="26" t="str">
        <f t="shared" si="85"/>
        <v/>
      </c>
      <c r="T1801" s="26" t="str">
        <f t="shared" si="86"/>
        <v/>
      </c>
    </row>
    <row r="1802" spans="1:20" x14ac:dyDescent="0.3">
      <c r="A1802" s="26" t="str">
        <f>IF(BASE_CAIXA!A1799="","",BASE_CAIXA!A1799)</f>
        <v/>
      </c>
      <c r="B1802" s="26" t="str">
        <f>IF(A1802="","",BASE_CAIXA!AL1799)</f>
        <v/>
      </c>
      <c r="C1802" s="26" t="str">
        <f>IF(A1802="","",BASE_CAIXA!AJ1799)</f>
        <v/>
      </c>
      <c r="D1802" s="26" t="str">
        <f>IF(A1802="","",IF(BASE_CAIXA!C1799="Entrada","Crédito","Débito"))</f>
        <v/>
      </c>
      <c r="E1802" s="26" t="str">
        <f>IF(A1802="","",BASE_CAIXA!AA1799)</f>
        <v/>
      </c>
      <c r="F1802" s="26" t="str">
        <f>IF(A1802="","",BASE_CAIXA!N1799)</f>
        <v/>
      </c>
      <c r="G1802" s="26" t="str">
        <f>IF(A1802="","",BASE_CAIXA!O1799)</f>
        <v/>
      </c>
      <c r="H1802" s="26" t="str">
        <f>IF(A1802="","",BASE_CAIXA!P1799)</f>
        <v/>
      </c>
      <c r="I1802" s="26" t="str">
        <f>IF(A1802="","",IF(BASE_CAIXA!H1799&lt;&gt;"",BASE_CAIXA!H1799,BASE_CAIXA!G1799))</f>
        <v/>
      </c>
      <c r="J1802" s="26" t="str">
        <f>IF(A1802="","",BASE_CAIXA!G1799)</f>
        <v/>
      </c>
      <c r="K1802" s="26" t="str">
        <f>IF(A1802="","",BASE_CAIXA!I1799)</f>
        <v/>
      </c>
      <c r="L1802" s="26" t="str">
        <f>IF(A1802="","",BASE_CAIXA!J1799)</f>
        <v/>
      </c>
      <c r="M1802" s="26" t="str">
        <f>IF(A1802="","",BASE_CAIXA!AM1799)</f>
        <v/>
      </c>
      <c r="N1802" s="26" t="str">
        <f t="shared" ca="1" si="84"/>
        <v/>
      </c>
      <c r="O1802" s="26" t="str">
        <f>IFERROR(INDEX(EXTRATO_IMPORTADO!$A$5:$A$404,MATCH(B1802,EXTRATO_IMPORTADO!$I$5:$I$404,0)),"")</f>
        <v/>
      </c>
      <c r="P1802" s="26" t="str">
        <f>IFERROR(INDEX(EXTRATO_IMPORTADO!$F$5:$F$404,MATCH(B1802,EXTRATO_IMPORTADO!$I$5:$I$404,0)),"")</f>
        <v/>
      </c>
      <c r="Q1802" s="26" t="str">
        <f>IFERROR(INDEX(EXTRATO_IMPORTADO!$B$5:$B$404,MATCH(B1802,EXTRATO_IMPORTADO!$I$5:$I$404,0)),"")</f>
        <v/>
      </c>
      <c r="R1802" s="26" t="str">
        <f>IFERROR(MATCH(B1802,EXTRATO_IMPORTADO!$I$5:$I$404,0),"")</f>
        <v/>
      </c>
      <c r="S1802" s="26" t="str">
        <f t="shared" si="85"/>
        <v/>
      </c>
      <c r="T1802" s="26" t="str">
        <f t="shared" si="86"/>
        <v/>
      </c>
    </row>
    <row r="1803" spans="1:20" x14ac:dyDescent="0.3">
      <c r="A1803" s="26" t="str">
        <f>IF(BASE_CAIXA!A1800="","",BASE_CAIXA!A1800)</f>
        <v/>
      </c>
      <c r="B1803" s="26" t="str">
        <f>IF(A1803="","",BASE_CAIXA!AL1800)</f>
        <v/>
      </c>
      <c r="C1803" s="26" t="str">
        <f>IF(A1803="","",BASE_CAIXA!AJ1800)</f>
        <v/>
      </c>
      <c r="D1803" s="26" t="str">
        <f>IF(A1803="","",IF(BASE_CAIXA!C1800="Entrada","Crédito","Débito"))</f>
        <v/>
      </c>
      <c r="E1803" s="26" t="str">
        <f>IF(A1803="","",BASE_CAIXA!AA1800)</f>
        <v/>
      </c>
      <c r="F1803" s="26" t="str">
        <f>IF(A1803="","",BASE_CAIXA!N1800)</f>
        <v/>
      </c>
      <c r="G1803" s="26" t="str">
        <f>IF(A1803="","",BASE_CAIXA!O1800)</f>
        <v/>
      </c>
      <c r="H1803" s="26" t="str">
        <f>IF(A1803="","",BASE_CAIXA!P1800)</f>
        <v/>
      </c>
      <c r="I1803" s="26" t="str">
        <f>IF(A1803="","",IF(BASE_CAIXA!H1800&lt;&gt;"",BASE_CAIXA!H1800,BASE_CAIXA!G1800))</f>
        <v/>
      </c>
      <c r="J1803" s="26" t="str">
        <f>IF(A1803="","",BASE_CAIXA!G1800)</f>
        <v/>
      </c>
      <c r="K1803" s="26" t="str">
        <f>IF(A1803="","",BASE_CAIXA!I1800)</f>
        <v/>
      </c>
      <c r="L1803" s="26" t="str">
        <f>IF(A1803="","",BASE_CAIXA!J1800)</f>
        <v/>
      </c>
      <c r="M1803" s="26" t="str">
        <f>IF(A1803="","",BASE_CAIXA!AM1800)</f>
        <v/>
      </c>
      <c r="N1803" s="26" t="str">
        <f t="shared" ca="1" si="84"/>
        <v/>
      </c>
      <c r="O1803" s="26" t="str">
        <f>IFERROR(INDEX(EXTRATO_IMPORTADO!$A$5:$A$404,MATCH(B1803,EXTRATO_IMPORTADO!$I$5:$I$404,0)),"")</f>
        <v/>
      </c>
      <c r="P1803" s="26" t="str">
        <f>IFERROR(INDEX(EXTRATO_IMPORTADO!$F$5:$F$404,MATCH(B1803,EXTRATO_IMPORTADO!$I$5:$I$404,0)),"")</f>
        <v/>
      </c>
      <c r="Q1803" s="26" t="str">
        <f>IFERROR(INDEX(EXTRATO_IMPORTADO!$B$5:$B$404,MATCH(B1803,EXTRATO_IMPORTADO!$I$5:$I$404,0)),"")</f>
        <v/>
      </c>
      <c r="R1803" s="26" t="str">
        <f>IFERROR(MATCH(B1803,EXTRATO_IMPORTADO!$I$5:$I$404,0),"")</f>
        <v/>
      </c>
      <c r="S1803" s="26" t="str">
        <f t="shared" si="85"/>
        <v/>
      </c>
      <c r="T1803" s="26" t="str">
        <f t="shared" si="86"/>
        <v/>
      </c>
    </row>
    <row r="1804" spans="1:20" x14ac:dyDescent="0.3">
      <c r="A1804" s="26" t="str">
        <f>IF(BASE_CAIXA!A1801="","",BASE_CAIXA!A1801)</f>
        <v/>
      </c>
      <c r="B1804" s="26" t="str">
        <f>IF(A1804="","",BASE_CAIXA!AL1801)</f>
        <v/>
      </c>
      <c r="C1804" s="26" t="str">
        <f>IF(A1804="","",BASE_CAIXA!AJ1801)</f>
        <v/>
      </c>
      <c r="D1804" s="26" t="str">
        <f>IF(A1804="","",IF(BASE_CAIXA!C1801="Entrada","Crédito","Débito"))</f>
        <v/>
      </c>
      <c r="E1804" s="26" t="str">
        <f>IF(A1804="","",BASE_CAIXA!AA1801)</f>
        <v/>
      </c>
      <c r="F1804" s="26" t="str">
        <f>IF(A1804="","",BASE_CAIXA!N1801)</f>
        <v/>
      </c>
      <c r="G1804" s="26" t="str">
        <f>IF(A1804="","",BASE_CAIXA!O1801)</f>
        <v/>
      </c>
      <c r="H1804" s="26" t="str">
        <f>IF(A1804="","",BASE_CAIXA!P1801)</f>
        <v/>
      </c>
      <c r="I1804" s="26" t="str">
        <f>IF(A1804="","",IF(BASE_CAIXA!H1801&lt;&gt;"",BASE_CAIXA!H1801,BASE_CAIXA!G1801))</f>
        <v/>
      </c>
      <c r="J1804" s="26" t="str">
        <f>IF(A1804="","",BASE_CAIXA!G1801)</f>
        <v/>
      </c>
      <c r="K1804" s="26" t="str">
        <f>IF(A1804="","",BASE_CAIXA!I1801)</f>
        <v/>
      </c>
      <c r="L1804" s="26" t="str">
        <f>IF(A1804="","",BASE_CAIXA!J1801)</f>
        <v/>
      </c>
      <c r="M1804" s="26" t="str">
        <f>IF(A1804="","",BASE_CAIXA!AM1801)</f>
        <v/>
      </c>
      <c r="N1804" s="26" t="str">
        <f t="shared" ca="1" si="84"/>
        <v/>
      </c>
      <c r="O1804" s="26" t="str">
        <f>IFERROR(INDEX(EXTRATO_IMPORTADO!$A$5:$A$404,MATCH(B1804,EXTRATO_IMPORTADO!$I$5:$I$404,0)),"")</f>
        <v/>
      </c>
      <c r="P1804" s="26" t="str">
        <f>IFERROR(INDEX(EXTRATO_IMPORTADO!$F$5:$F$404,MATCH(B1804,EXTRATO_IMPORTADO!$I$5:$I$404,0)),"")</f>
        <v/>
      </c>
      <c r="Q1804" s="26" t="str">
        <f>IFERROR(INDEX(EXTRATO_IMPORTADO!$B$5:$B$404,MATCH(B1804,EXTRATO_IMPORTADO!$I$5:$I$404,0)),"")</f>
        <v/>
      </c>
      <c r="R1804" s="26" t="str">
        <f>IFERROR(MATCH(B1804,EXTRATO_IMPORTADO!$I$5:$I$404,0),"")</f>
        <v/>
      </c>
      <c r="S1804" s="26" t="str">
        <f t="shared" si="85"/>
        <v/>
      </c>
      <c r="T1804" s="26" t="str">
        <f t="shared" si="86"/>
        <v/>
      </c>
    </row>
    <row r="1805" spans="1:20" x14ac:dyDescent="0.3">
      <c r="A1805" s="26" t="str">
        <f>IF(BASE_CAIXA!A1802="","",BASE_CAIXA!A1802)</f>
        <v/>
      </c>
      <c r="B1805" s="26" t="str">
        <f>IF(A1805="","",BASE_CAIXA!AL1802)</f>
        <v/>
      </c>
      <c r="C1805" s="26" t="str">
        <f>IF(A1805="","",BASE_CAIXA!AJ1802)</f>
        <v/>
      </c>
      <c r="D1805" s="26" t="str">
        <f>IF(A1805="","",IF(BASE_CAIXA!C1802="Entrada","Crédito","Débito"))</f>
        <v/>
      </c>
      <c r="E1805" s="26" t="str">
        <f>IF(A1805="","",BASE_CAIXA!AA1802)</f>
        <v/>
      </c>
      <c r="F1805" s="26" t="str">
        <f>IF(A1805="","",BASE_CAIXA!N1802)</f>
        <v/>
      </c>
      <c r="G1805" s="26" t="str">
        <f>IF(A1805="","",BASE_CAIXA!O1802)</f>
        <v/>
      </c>
      <c r="H1805" s="26" t="str">
        <f>IF(A1805="","",BASE_CAIXA!P1802)</f>
        <v/>
      </c>
      <c r="I1805" s="26" t="str">
        <f>IF(A1805="","",IF(BASE_CAIXA!H1802&lt;&gt;"",BASE_CAIXA!H1802,BASE_CAIXA!G1802))</f>
        <v/>
      </c>
      <c r="J1805" s="26" t="str">
        <f>IF(A1805="","",BASE_CAIXA!G1802)</f>
        <v/>
      </c>
      <c r="K1805" s="26" t="str">
        <f>IF(A1805="","",BASE_CAIXA!I1802)</f>
        <v/>
      </c>
      <c r="L1805" s="26" t="str">
        <f>IF(A1805="","",BASE_CAIXA!J1802)</f>
        <v/>
      </c>
      <c r="M1805" s="26" t="str">
        <f>IF(A1805="","",BASE_CAIXA!AM1802)</f>
        <v/>
      </c>
      <c r="N1805" s="26" t="str">
        <f t="shared" ca="1" si="84"/>
        <v/>
      </c>
      <c r="O1805" s="26" t="str">
        <f>IFERROR(INDEX(EXTRATO_IMPORTADO!$A$5:$A$404,MATCH(B1805,EXTRATO_IMPORTADO!$I$5:$I$404,0)),"")</f>
        <v/>
      </c>
      <c r="P1805" s="26" t="str">
        <f>IFERROR(INDEX(EXTRATO_IMPORTADO!$F$5:$F$404,MATCH(B1805,EXTRATO_IMPORTADO!$I$5:$I$404,0)),"")</f>
        <v/>
      </c>
      <c r="Q1805" s="26" t="str">
        <f>IFERROR(INDEX(EXTRATO_IMPORTADO!$B$5:$B$404,MATCH(B1805,EXTRATO_IMPORTADO!$I$5:$I$404,0)),"")</f>
        <v/>
      </c>
      <c r="R1805" s="26" t="str">
        <f>IFERROR(MATCH(B1805,EXTRATO_IMPORTADO!$I$5:$I$404,0),"")</f>
        <v/>
      </c>
      <c r="S1805" s="26" t="str">
        <f t="shared" si="85"/>
        <v/>
      </c>
      <c r="T1805" s="26" t="str">
        <f t="shared" si="86"/>
        <v/>
      </c>
    </row>
    <row r="1806" spans="1:20" x14ac:dyDescent="0.3">
      <c r="A1806" s="26" t="str">
        <f>IF(BASE_CAIXA!A1803="","",BASE_CAIXA!A1803)</f>
        <v/>
      </c>
      <c r="B1806" s="26" t="str">
        <f>IF(A1806="","",BASE_CAIXA!AL1803)</f>
        <v/>
      </c>
      <c r="C1806" s="26" t="str">
        <f>IF(A1806="","",BASE_CAIXA!AJ1803)</f>
        <v/>
      </c>
      <c r="D1806" s="26" t="str">
        <f>IF(A1806="","",IF(BASE_CAIXA!C1803="Entrada","Crédito","Débito"))</f>
        <v/>
      </c>
      <c r="E1806" s="26" t="str">
        <f>IF(A1806="","",BASE_CAIXA!AA1803)</f>
        <v/>
      </c>
      <c r="F1806" s="26" t="str">
        <f>IF(A1806="","",BASE_CAIXA!N1803)</f>
        <v/>
      </c>
      <c r="G1806" s="26" t="str">
        <f>IF(A1806="","",BASE_CAIXA!O1803)</f>
        <v/>
      </c>
      <c r="H1806" s="26" t="str">
        <f>IF(A1806="","",BASE_CAIXA!P1803)</f>
        <v/>
      </c>
      <c r="I1806" s="26" t="str">
        <f>IF(A1806="","",IF(BASE_CAIXA!H1803&lt;&gt;"",BASE_CAIXA!H1803,BASE_CAIXA!G1803))</f>
        <v/>
      </c>
      <c r="J1806" s="26" t="str">
        <f>IF(A1806="","",BASE_CAIXA!G1803)</f>
        <v/>
      </c>
      <c r="K1806" s="26" t="str">
        <f>IF(A1806="","",BASE_CAIXA!I1803)</f>
        <v/>
      </c>
      <c r="L1806" s="26" t="str">
        <f>IF(A1806="","",BASE_CAIXA!J1803)</f>
        <v/>
      </c>
      <c r="M1806" s="26" t="str">
        <f>IF(A1806="","",BASE_CAIXA!AM1803)</f>
        <v/>
      </c>
      <c r="N1806" s="26" t="str">
        <f t="shared" ca="1" si="84"/>
        <v/>
      </c>
      <c r="O1806" s="26" t="str">
        <f>IFERROR(INDEX(EXTRATO_IMPORTADO!$A$5:$A$404,MATCH(B1806,EXTRATO_IMPORTADO!$I$5:$I$404,0)),"")</f>
        <v/>
      </c>
      <c r="P1806" s="26" t="str">
        <f>IFERROR(INDEX(EXTRATO_IMPORTADO!$F$5:$F$404,MATCH(B1806,EXTRATO_IMPORTADO!$I$5:$I$404,0)),"")</f>
        <v/>
      </c>
      <c r="Q1806" s="26" t="str">
        <f>IFERROR(INDEX(EXTRATO_IMPORTADO!$B$5:$B$404,MATCH(B1806,EXTRATO_IMPORTADO!$I$5:$I$404,0)),"")</f>
        <v/>
      </c>
      <c r="R1806" s="26" t="str">
        <f>IFERROR(MATCH(B1806,EXTRATO_IMPORTADO!$I$5:$I$404,0),"")</f>
        <v/>
      </c>
      <c r="S1806" s="26" t="str">
        <f t="shared" si="85"/>
        <v/>
      </c>
      <c r="T1806" s="26" t="str">
        <f t="shared" si="86"/>
        <v/>
      </c>
    </row>
    <row r="1807" spans="1:20" x14ac:dyDescent="0.3">
      <c r="A1807" s="26" t="str">
        <f>IF(BASE_CAIXA!A1804="","",BASE_CAIXA!A1804)</f>
        <v/>
      </c>
      <c r="B1807" s="26" t="str">
        <f>IF(A1807="","",BASE_CAIXA!AL1804)</f>
        <v/>
      </c>
      <c r="C1807" s="26" t="str">
        <f>IF(A1807="","",BASE_CAIXA!AJ1804)</f>
        <v/>
      </c>
      <c r="D1807" s="26" t="str">
        <f>IF(A1807="","",IF(BASE_CAIXA!C1804="Entrada","Crédito","Débito"))</f>
        <v/>
      </c>
      <c r="E1807" s="26" t="str">
        <f>IF(A1807="","",BASE_CAIXA!AA1804)</f>
        <v/>
      </c>
      <c r="F1807" s="26" t="str">
        <f>IF(A1807="","",BASE_CAIXA!N1804)</f>
        <v/>
      </c>
      <c r="G1807" s="26" t="str">
        <f>IF(A1807="","",BASE_CAIXA!O1804)</f>
        <v/>
      </c>
      <c r="H1807" s="26" t="str">
        <f>IF(A1807="","",BASE_CAIXA!P1804)</f>
        <v/>
      </c>
      <c r="I1807" s="26" t="str">
        <f>IF(A1807="","",IF(BASE_CAIXA!H1804&lt;&gt;"",BASE_CAIXA!H1804,BASE_CAIXA!G1804))</f>
        <v/>
      </c>
      <c r="J1807" s="26" t="str">
        <f>IF(A1807="","",BASE_CAIXA!G1804)</f>
        <v/>
      </c>
      <c r="K1807" s="26" t="str">
        <f>IF(A1807="","",BASE_CAIXA!I1804)</f>
        <v/>
      </c>
      <c r="L1807" s="26" t="str">
        <f>IF(A1807="","",BASE_CAIXA!J1804)</f>
        <v/>
      </c>
      <c r="M1807" s="26" t="str">
        <f>IF(A1807="","",BASE_CAIXA!AM1804)</f>
        <v/>
      </c>
      <c r="N1807" s="26" t="str">
        <f t="shared" ca="1" si="84"/>
        <v/>
      </c>
      <c r="O1807" s="26" t="str">
        <f>IFERROR(INDEX(EXTRATO_IMPORTADO!$A$5:$A$404,MATCH(B1807,EXTRATO_IMPORTADO!$I$5:$I$404,0)),"")</f>
        <v/>
      </c>
      <c r="P1807" s="26" t="str">
        <f>IFERROR(INDEX(EXTRATO_IMPORTADO!$F$5:$F$404,MATCH(B1807,EXTRATO_IMPORTADO!$I$5:$I$404,0)),"")</f>
        <v/>
      </c>
      <c r="Q1807" s="26" t="str">
        <f>IFERROR(INDEX(EXTRATO_IMPORTADO!$B$5:$B$404,MATCH(B1807,EXTRATO_IMPORTADO!$I$5:$I$404,0)),"")</f>
        <v/>
      </c>
      <c r="R1807" s="26" t="str">
        <f>IFERROR(MATCH(B1807,EXTRATO_IMPORTADO!$I$5:$I$404,0),"")</f>
        <v/>
      </c>
      <c r="S1807" s="26" t="str">
        <f t="shared" si="85"/>
        <v/>
      </c>
      <c r="T1807" s="26" t="str">
        <f t="shared" si="86"/>
        <v/>
      </c>
    </row>
    <row r="1808" spans="1:20" x14ac:dyDescent="0.3">
      <c r="A1808" s="26" t="str">
        <f>IF(BASE_CAIXA!A1805="","",BASE_CAIXA!A1805)</f>
        <v/>
      </c>
      <c r="B1808" s="26" t="str">
        <f>IF(A1808="","",BASE_CAIXA!AL1805)</f>
        <v/>
      </c>
      <c r="C1808" s="26" t="str">
        <f>IF(A1808="","",BASE_CAIXA!AJ1805)</f>
        <v/>
      </c>
      <c r="D1808" s="26" t="str">
        <f>IF(A1808="","",IF(BASE_CAIXA!C1805="Entrada","Crédito","Débito"))</f>
        <v/>
      </c>
      <c r="E1808" s="26" t="str">
        <f>IF(A1808="","",BASE_CAIXA!AA1805)</f>
        <v/>
      </c>
      <c r="F1808" s="26" t="str">
        <f>IF(A1808="","",BASE_CAIXA!N1805)</f>
        <v/>
      </c>
      <c r="G1808" s="26" t="str">
        <f>IF(A1808="","",BASE_CAIXA!O1805)</f>
        <v/>
      </c>
      <c r="H1808" s="26" t="str">
        <f>IF(A1808="","",BASE_CAIXA!P1805)</f>
        <v/>
      </c>
      <c r="I1808" s="26" t="str">
        <f>IF(A1808="","",IF(BASE_CAIXA!H1805&lt;&gt;"",BASE_CAIXA!H1805,BASE_CAIXA!G1805))</f>
        <v/>
      </c>
      <c r="J1808" s="26" t="str">
        <f>IF(A1808="","",BASE_CAIXA!G1805)</f>
        <v/>
      </c>
      <c r="K1808" s="26" t="str">
        <f>IF(A1808="","",BASE_CAIXA!I1805)</f>
        <v/>
      </c>
      <c r="L1808" s="26" t="str">
        <f>IF(A1808="","",BASE_CAIXA!J1805)</f>
        <v/>
      </c>
      <c r="M1808" s="26" t="str">
        <f>IF(A1808="","",BASE_CAIXA!AM1805)</f>
        <v/>
      </c>
      <c r="N1808" s="26" t="str">
        <f t="shared" ca="1" si="84"/>
        <v/>
      </c>
      <c r="O1808" s="26" t="str">
        <f>IFERROR(INDEX(EXTRATO_IMPORTADO!$A$5:$A$404,MATCH(B1808,EXTRATO_IMPORTADO!$I$5:$I$404,0)),"")</f>
        <v/>
      </c>
      <c r="P1808" s="26" t="str">
        <f>IFERROR(INDEX(EXTRATO_IMPORTADO!$F$5:$F$404,MATCH(B1808,EXTRATO_IMPORTADO!$I$5:$I$404,0)),"")</f>
        <v/>
      </c>
      <c r="Q1808" s="26" t="str">
        <f>IFERROR(INDEX(EXTRATO_IMPORTADO!$B$5:$B$404,MATCH(B1808,EXTRATO_IMPORTADO!$I$5:$I$404,0)),"")</f>
        <v/>
      </c>
      <c r="R1808" s="26" t="str">
        <f>IFERROR(MATCH(B1808,EXTRATO_IMPORTADO!$I$5:$I$404,0),"")</f>
        <v/>
      </c>
      <c r="S1808" s="26" t="str">
        <f t="shared" si="85"/>
        <v/>
      </c>
      <c r="T1808" s="26" t="str">
        <f t="shared" si="86"/>
        <v/>
      </c>
    </row>
    <row r="1809" spans="1:20" x14ac:dyDescent="0.3">
      <c r="A1809" s="26" t="str">
        <f>IF(BASE_CAIXA!A1806="","",BASE_CAIXA!A1806)</f>
        <v/>
      </c>
      <c r="B1809" s="26" t="str">
        <f>IF(A1809="","",BASE_CAIXA!AL1806)</f>
        <v/>
      </c>
      <c r="C1809" s="26" t="str">
        <f>IF(A1809="","",BASE_CAIXA!AJ1806)</f>
        <v/>
      </c>
      <c r="D1809" s="26" t="str">
        <f>IF(A1809="","",IF(BASE_CAIXA!C1806="Entrada","Crédito","Débito"))</f>
        <v/>
      </c>
      <c r="E1809" s="26" t="str">
        <f>IF(A1809="","",BASE_CAIXA!AA1806)</f>
        <v/>
      </c>
      <c r="F1809" s="26" t="str">
        <f>IF(A1809="","",BASE_CAIXA!N1806)</f>
        <v/>
      </c>
      <c r="G1809" s="26" t="str">
        <f>IF(A1809="","",BASE_CAIXA!O1806)</f>
        <v/>
      </c>
      <c r="H1809" s="26" t="str">
        <f>IF(A1809="","",BASE_CAIXA!P1806)</f>
        <v/>
      </c>
      <c r="I1809" s="26" t="str">
        <f>IF(A1809="","",IF(BASE_CAIXA!H1806&lt;&gt;"",BASE_CAIXA!H1806,BASE_CAIXA!G1806))</f>
        <v/>
      </c>
      <c r="J1809" s="26" t="str">
        <f>IF(A1809="","",BASE_CAIXA!G1806)</f>
        <v/>
      </c>
      <c r="K1809" s="26" t="str">
        <f>IF(A1809="","",BASE_CAIXA!I1806)</f>
        <v/>
      </c>
      <c r="L1809" s="26" t="str">
        <f>IF(A1809="","",BASE_CAIXA!J1806)</f>
        <v/>
      </c>
      <c r="M1809" s="26" t="str">
        <f>IF(A1809="","",BASE_CAIXA!AM1806)</f>
        <v/>
      </c>
      <c r="N1809" s="26" t="str">
        <f t="shared" ca="1" si="84"/>
        <v/>
      </c>
      <c r="O1809" s="26" t="str">
        <f>IFERROR(INDEX(EXTRATO_IMPORTADO!$A$5:$A$404,MATCH(B1809,EXTRATO_IMPORTADO!$I$5:$I$404,0)),"")</f>
        <v/>
      </c>
      <c r="P1809" s="26" t="str">
        <f>IFERROR(INDEX(EXTRATO_IMPORTADO!$F$5:$F$404,MATCH(B1809,EXTRATO_IMPORTADO!$I$5:$I$404,0)),"")</f>
        <v/>
      </c>
      <c r="Q1809" s="26" t="str">
        <f>IFERROR(INDEX(EXTRATO_IMPORTADO!$B$5:$B$404,MATCH(B1809,EXTRATO_IMPORTADO!$I$5:$I$404,0)),"")</f>
        <v/>
      </c>
      <c r="R1809" s="26" t="str">
        <f>IFERROR(MATCH(B1809,EXTRATO_IMPORTADO!$I$5:$I$404,0),"")</f>
        <v/>
      </c>
      <c r="S1809" s="26" t="str">
        <f t="shared" si="85"/>
        <v/>
      </c>
      <c r="T1809" s="26" t="str">
        <f t="shared" si="86"/>
        <v/>
      </c>
    </row>
    <row r="1810" spans="1:20" x14ac:dyDescent="0.3">
      <c r="A1810" s="26" t="str">
        <f>IF(BASE_CAIXA!A1807="","",BASE_CAIXA!A1807)</f>
        <v/>
      </c>
      <c r="B1810" s="26" t="str">
        <f>IF(A1810="","",BASE_CAIXA!AL1807)</f>
        <v/>
      </c>
      <c r="C1810" s="26" t="str">
        <f>IF(A1810="","",BASE_CAIXA!AJ1807)</f>
        <v/>
      </c>
      <c r="D1810" s="26" t="str">
        <f>IF(A1810="","",IF(BASE_CAIXA!C1807="Entrada","Crédito","Débito"))</f>
        <v/>
      </c>
      <c r="E1810" s="26" t="str">
        <f>IF(A1810="","",BASE_CAIXA!AA1807)</f>
        <v/>
      </c>
      <c r="F1810" s="26" t="str">
        <f>IF(A1810="","",BASE_CAIXA!N1807)</f>
        <v/>
      </c>
      <c r="G1810" s="26" t="str">
        <f>IF(A1810="","",BASE_CAIXA!O1807)</f>
        <v/>
      </c>
      <c r="H1810" s="26" t="str">
        <f>IF(A1810="","",BASE_CAIXA!P1807)</f>
        <v/>
      </c>
      <c r="I1810" s="26" t="str">
        <f>IF(A1810="","",IF(BASE_CAIXA!H1807&lt;&gt;"",BASE_CAIXA!H1807,BASE_CAIXA!G1807))</f>
        <v/>
      </c>
      <c r="J1810" s="26" t="str">
        <f>IF(A1810="","",BASE_CAIXA!G1807)</f>
        <v/>
      </c>
      <c r="K1810" s="26" t="str">
        <f>IF(A1810="","",BASE_CAIXA!I1807)</f>
        <v/>
      </c>
      <c r="L1810" s="26" t="str">
        <f>IF(A1810="","",BASE_CAIXA!J1807)</f>
        <v/>
      </c>
      <c r="M1810" s="26" t="str">
        <f>IF(A1810="","",BASE_CAIXA!AM1807)</f>
        <v/>
      </c>
      <c r="N1810" s="26" t="str">
        <f t="shared" ca="1" si="84"/>
        <v/>
      </c>
      <c r="O1810" s="26" t="str">
        <f>IFERROR(INDEX(EXTRATO_IMPORTADO!$A$5:$A$404,MATCH(B1810,EXTRATO_IMPORTADO!$I$5:$I$404,0)),"")</f>
        <v/>
      </c>
      <c r="P1810" s="26" t="str">
        <f>IFERROR(INDEX(EXTRATO_IMPORTADO!$F$5:$F$404,MATCH(B1810,EXTRATO_IMPORTADO!$I$5:$I$404,0)),"")</f>
        <v/>
      </c>
      <c r="Q1810" s="26" t="str">
        <f>IFERROR(INDEX(EXTRATO_IMPORTADO!$B$5:$B$404,MATCH(B1810,EXTRATO_IMPORTADO!$I$5:$I$404,0)),"")</f>
        <v/>
      </c>
      <c r="R1810" s="26" t="str">
        <f>IFERROR(MATCH(B1810,EXTRATO_IMPORTADO!$I$5:$I$404,0),"")</f>
        <v/>
      </c>
      <c r="S1810" s="26" t="str">
        <f t="shared" si="85"/>
        <v/>
      </c>
      <c r="T1810" s="26" t="str">
        <f t="shared" si="86"/>
        <v/>
      </c>
    </row>
    <row r="1811" spans="1:20" x14ac:dyDescent="0.3">
      <c r="A1811" s="26" t="str">
        <f>IF(BASE_CAIXA!A1808="","",BASE_CAIXA!A1808)</f>
        <v/>
      </c>
      <c r="B1811" s="26" t="str">
        <f>IF(A1811="","",BASE_CAIXA!AL1808)</f>
        <v/>
      </c>
      <c r="C1811" s="26" t="str">
        <f>IF(A1811="","",BASE_CAIXA!AJ1808)</f>
        <v/>
      </c>
      <c r="D1811" s="26" t="str">
        <f>IF(A1811="","",IF(BASE_CAIXA!C1808="Entrada","Crédito","Débito"))</f>
        <v/>
      </c>
      <c r="E1811" s="26" t="str">
        <f>IF(A1811="","",BASE_CAIXA!AA1808)</f>
        <v/>
      </c>
      <c r="F1811" s="26" t="str">
        <f>IF(A1811="","",BASE_CAIXA!N1808)</f>
        <v/>
      </c>
      <c r="G1811" s="26" t="str">
        <f>IF(A1811="","",BASE_CAIXA!O1808)</f>
        <v/>
      </c>
      <c r="H1811" s="26" t="str">
        <f>IF(A1811="","",BASE_CAIXA!P1808)</f>
        <v/>
      </c>
      <c r="I1811" s="26" t="str">
        <f>IF(A1811="","",IF(BASE_CAIXA!H1808&lt;&gt;"",BASE_CAIXA!H1808,BASE_CAIXA!G1808))</f>
        <v/>
      </c>
      <c r="J1811" s="26" t="str">
        <f>IF(A1811="","",BASE_CAIXA!G1808)</f>
        <v/>
      </c>
      <c r="K1811" s="26" t="str">
        <f>IF(A1811="","",BASE_CAIXA!I1808)</f>
        <v/>
      </c>
      <c r="L1811" s="26" t="str">
        <f>IF(A1811="","",BASE_CAIXA!J1808)</f>
        <v/>
      </c>
      <c r="M1811" s="26" t="str">
        <f>IF(A1811="","",BASE_CAIXA!AM1808)</f>
        <v/>
      </c>
      <c r="N1811" s="26" t="str">
        <f t="shared" ca="1" si="84"/>
        <v/>
      </c>
      <c r="O1811" s="26" t="str">
        <f>IFERROR(INDEX(EXTRATO_IMPORTADO!$A$5:$A$404,MATCH(B1811,EXTRATO_IMPORTADO!$I$5:$I$404,0)),"")</f>
        <v/>
      </c>
      <c r="P1811" s="26" t="str">
        <f>IFERROR(INDEX(EXTRATO_IMPORTADO!$F$5:$F$404,MATCH(B1811,EXTRATO_IMPORTADO!$I$5:$I$404,0)),"")</f>
        <v/>
      </c>
      <c r="Q1811" s="26" t="str">
        <f>IFERROR(INDEX(EXTRATO_IMPORTADO!$B$5:$B$404,MATCH(B1811,EXTRATO_IMPORTADO!$I$5:$I$404,0)),"")</f>
        <v/>
      </c>
      <c r="R1811" s="26" t="str">
        <f>IFERROR(MATCH(B1811,EXTRATO_IMPORTADO!$I$5:$I$404,0),"")</f>
        <v/>
      </c>
      <c r="S1811" s="26" t="str">
        <f t="shared" si="85"/>
        <v/>
      </c>
      <c r="T1811" s="26" t="str">
        <f t="shared" si="86"/>
        <v/>
      </c>
    </row>
    <row r="1812" spans="1:20" x14ac:dyDescent="0.3">
      <c r="A1812" s="26" t="str">
        <f>IF(BASE_CAIXA!A1809="","",BASE_CAIXA!A1809)</f>
        <v/>
      </c>
      <c r="B1812" s="26" t="str">
        <f>IF(A1812="","",BASE_CAIXA!AL1809)</f>
        <v/>
      </c>
      <c r="C1812" s="26" t="str">
        <f>IF(A1812="","",BASE_CAIXA!AJ1809)</f>
        <v/>
      </c>
      <c r="D1812" s="26" t="str">
        <f>IF(A1812="","",IF(BASE_CAIXA!C1809="Entrada","Crédito","Débito"))</f>
        <v/>
      </c>
      <c r="E1812" s="26" t="str">
        <f>IF(A1812="","",BASE_CAIXA!AA1809)</f>
        <v/>
      </c>
      <c r="F1812" s="26" t="str">
        <f>IF(A1812="","",BASE_CAIXA!N1809)</f>
        <v/>
      </c>
      <c r="G1812" s="26" t="str">
        <f>IF(A1812="","",BASE_CAIXA!O1809)</f>
        <v/>
      </c>
      <c r="H1812" s="26" t="str">
        <f>IF(A1812="","",BASE_CAIXA!P1809)</f>
        <v/>
      </c>
      <c r="I1812" s="26" t="str">
        <f>IF(A1812="","",IF(BASE_CAIXA!H1809&lt;&gt;"",BASE_CAIXA!H1809,BASE_CAIXA!G1809))</f>
        <v/>
      </c>
      <c r="J1812" s="26" t="str">
        <f>IF(A1812="","",BASE_CAIXA!G1809)</f>
        <v/>
      </c>
      <c r="K1812" s="26" t="str">
        <f>IF(A1812="","",BASE_CAIXA!I1809)</f>
        <v/>
      </c>
      <c r="L1812" s="26" t="str">
        <f>IF(A1812="","",BASE_CAIXA!J1809)</f>
        <v/>
      </c>
      <c r="M1812" s="26" t="str">
        <f>IF(A1812="","",BASE_CAIXA!AM1809)</f>
        <v/>
      </c>
      <c r="N1812" s="26" t="str">
        <f t="shared" ca="1" si="84"/>
        <v/>
      </c>
      <c r="O1812" s="26" t="str">
        <f>IFERROR(INDEX(EXTRATO_IMPORTADO!$A$5:$A$404,MATCH(B1812,EXTRATO_IMPORTADO!$I$5:$I$404,0)),"")</f>
        <v/>
      </c>
      <c r="P1812" s="26" t="str">
        <f>IFERROR(INDEX(EXTRATO_IMPORTADO!$F$5:$F$404,MATCH(B1812,EXTRATO_IMPORTADO!$I$5:$I$404,0)),"")</f>
        <v/>
      </c>
      <c r="Q1812" s="26" t="str">
        <f>IFERROR(INDEX(EXTRATO_IMPORTADO!$B$5:$B$404,MATCH(B1812,EXTRATO_IMPORTADO!$I$5:$I$404,0)),"")</f>
        <v/>
      </c>
      <c r="R1812" s="26" t="str">
        <f>IFERROR(MATCH(B1812,EXTRATO_IMPORTADO!$I$5:$I$404,0),"")</f>
        <v/>
      </c>
      <c r="S1812" s="26" t="str">
        <f t="shared" si="85"/>
        <v/>
      </c>
      <c r="T1812" s="26" t="str">
        <f t="shared" si="86"/>
        <v/>
      </c>
    </row>
    <row r="1813" spans="1:20" x14ac:dyDescent="0.3">
      <c r="A1813" s="26" t="str">
        <f>IF(BASE_CAIXA!A1810="","",BASE_CAIXA!A1810)</f>
        <v/>
      </c>
      <c r="B1813" s="26" t="str">
        <f>IF(A1813="","",BASE_CAIXA!AL1810)</f>
        <v/>
      </c>
      <c r="C1813" s="26" t="str">
        <f>IF(A1813="","",BASE_CAIXA!AJ1810)</f>
        <v/>
      </c>
      <c r="D1813" s="26" t="str">
        <f>IF(A1813="","",IF(BASE_CAIXA!C1810="Entrada","Crédito","Débito"))</f>
        <v/>
      </c>
      <c r="E1813" s="26" t="str">
        <f>IF(A1813="","",BASE_CAIXA!AA1810)</f>
        <v/>
      </c>
      <c r="F1813" s="26" t="str">
        <f>IF(A1813="","",BASE_CAIXA!N1810)</f>
        <v/>
      </c>
      <c r="G1813" s="26" t="str">
        <f>IF(A1813="","",BASE_CAIXA!O1810)</f>
        <v/>
      </c>
      <c r="H1813" s="26" t="str">
        <f>IF(A1813="","",BASE_CAIXA!P1810)</f>
        <v/>
      </c>
      <c r="I1813" s="26" t="str">
        <f>IF(A1813="","",IF(BASE_CAIXA!H1810&lt;&gt;"",BASE_CAIXA!H1810,BASE_CAIXA!G1810))</f>
        <v/>
      </c>
      <c r="J1813" s="26" t="str">
        <f>IF(A1813="","",BASE_CAIXA!G1810)</f>
        <v/>
      </c>
      <c r="K1813" s="26" t="str">
        <f>IF(A1813="","",BASE_CAIXA!I1810)</f>
        <v/>
      </c>
      <c r="L1813" s="26" t="str">
        <f>IF(A1813="","",BASE_CAIXA!J1810)</f>
        <v/>
      </c>
      <c r="M1813" s="26" t="str">
        <f>IF(A1813="","",BASE_CAIXA!AM1810)</f>
        <v/>
      </c>
      <c r="N1813" s="26" t="str">
        <f t="shared" ca="1" si="84"/>
        <v/>
      </c>
      <c r="O1813" s="26" t="str">
        <f>IFERROR(INDEX(EXTRATO_IMPORTADO!$A$5:$A$404,MATCH(B1813,EXTRATO_IMPORTADO!$I$5:$I$404,0)),"")</f>
        <v/>
      </c>
      <c r="P1813" s="26" t="str">
        <f>IFERROR(INDEX(EXTRATO_IMPORTADO!$F$5:$F$404,MATCH(B1813,EXTRATO_IMPORTADO!$I$5:$I$404,0)),"")</f>
        <v/>
      </c>
      <c r="Q1813" s="26" t="str">
        <f>IFERROR(INDEX(EXTRATO_IMPORTADO!$B$5:$B$404,MATCH(B1813,EXTRATO_IMPORTADO!$I$5:$I$404,0)),"")</f>
        <v/>
      </c>
      <c r="R1813" s="26" t="str">
        <f>IFERROR(MATCH(B1813,EXTRATO_IMPORTADO!$I$5:$I$404,0),"")</f>
        <v/>
      </c>
      <c r="S1813" s="26" t="str">
        <f t="shared" si="85"/>
        <v/>
      </c>
      <c r="T1813" s="26" t="str">
        <f t="shared" si="86"/>
        <v/>
      </c>
    </row>
    <row r="1814" spans="1:20" x14ac:dyDescent="0.3">
      <c r="A1814" s="26" t="str">
        <f>IF(BASE_CAIXA!A1811="","",BASE_CAIXA!A1811)</f>
        <v/>
      </c>
      <c r="B1814" s="26" t="str">
        <f>IF(A1814="","",BASE_CAIXA!AL1811)</f>
        <v/>
      </c>
      <c r="C1814" s="26" t="str">
        <f>IF(A1814="","",BASE_CAIXA!AJ1811)</f>
        <v/>
      </c>
      <c r="D1814" s="26" t="str">
        <f>IF(A1814="","",IF(BASE_CAIXA!C1811="Entrada","Crédito","Débito"))</f>
        <v/>
      </c>
      <c r="E1814" s="26" t="str">
        <f>IF(A1814="","",BASE_CAIXA!AA1811)</f>
        <v/>
      </c>
      <c r="F1814" s="26" t="str">
        <f>IF(A1814="","",BASE_CAIXA!N1811)</f>
        <v/>
      </c>
      <c r="G1814" s="26" t="str">
        <f>IF(A1814="","",BASE_CAIXA!O1811)</f>
        <v/>
      </c>
      <c r="H1814" s="26" t="str">
        <f>IF(A1814="","",BASE_CAIXA!P1811)</f>
        <v/>
      </c>
      <c r="I1814" s="26" t="str">
        <f>IF(A1814="","",IF(BASE_CAIXA!H1811&lt;&gt;"",BASE_CAIXA!H1811,BASE_CAIXA!G1811))</f>
        <v/>
      </c>
      <c r="J1814" s="26" t="str">
        <f>IF(A1814="","",BASE_CAIXA!G1811)</f>
        <v/>
      </c>
      <c r="K1814" s="26" t="str">
        <f>IF(A1814="","",BASE_CAIXA!I1811)</f>
        <v/>
      </c>
      <c r="L1814" s="26" t="str">
        <f>IF(A1814="","",BASE_CAIXA!J1811)</f>
        <v/>
      </c>
      <c r="M1814" s="26" t="str">
        <f>IF(A1814="","",BASE_CAIXA!AM1811)</f>
        <v/>
      </c>
      <c r="N1814" s="26" t="str">
        <f t="shared" ca="1" si="84"/>
        <v/>
      </c>
      <c r="O1814" s="26" t="str">
        <f>IFERROR(INDEX(EXTRATO_IMPORTADO!$A$5:$A$404,MATCH(B1814,EXTRATO_IMPORTADO!$I$5:$I$404,0)),"")</f>
        <v/>
      </c>
      <c r="P1814" s="26" t="str">
        <f>IFERROR(INDEX(EXTRATO_IMPORTADO!$F$5:$F$404,MATCH(B1814,EXTRATO_IMPORTADO!$I$5:$I$404,0)),"")</f>
        <v/>
      </c>
      <c r="Q1814" s="26" t="str">
        <f>IFERROR(INDEX(EXTRATO_IMPORTADO!$B$5:$B$404,MATCH(B1814,EXTRATO_IMPORTADO!$I$5:$I$404,0)),"")</f>
        <v/>
      </c>
      <c r="R1814" s="26" t="str">
        <f>IFERROR(MATCH(B1814,EXTRATO_IMPORTADO!$I$5:$I$404,0),"")</f>
        <v/>
      </c>
      <c r="S1814" s="26" t="str">
        <f t="shared" si="85"/>
        <v/>
      </c>
      <c r="T1814" s="26" t="str">
        <f t="shared" si="86"/>
        <v/>
      </c>
    </row>
    <row r="1815" spans="1:20" x14ac:dyDescent="0.3">
      <c r="A1815" s="26" t="str">
        <f>IF(BASE_CAIXA!A1812="","",BASE_CAIXA!A1812)</f>
        <v/>
      </c>
      <c r="B1815" s="26" t="str">
        <f>IF(A1815="","",BASE_CAIXA!AL1812)</f>
        <v/>
      </c>
      <c r="C1815" s="26" t="str">
        <f>IF(A1815="","",BASE_CAIXA!AJ1812)</f>
        <v/>
      </c>
      <c r="D1815" s="26" t="str">
        <f>IF(A1815="","",IF(BASE_CAIXA!C1812="Entrada","Crédito","Débito"))</f>
        <v/>
      </c>
      <c r="E1815" s="26" t="str">
        <f>IF(A1815="","",BASE_CAIXA!AA1812)</f>
        <v/>
      </c>
      <c r="F1815" s="26" t="str">
        <f>IF(A1815="","",BASE_CAIXA!N1812)</f>
        <v/>
      </c>
      <c r="G1815" s="26" t="str">
        <f>IF(A1815="","",BASE_CAIXA!O1812)</f>
        <v/>
      </c>
      <c r="H1815" s="26" t="str">
        <f>IF(A1815="","",BASE_CAIXA!P1812)</f>
        <v/>
      </c>
      <c r="I1815" s="26" t="str">
        <f>IF(A1815="","",IF(BASE_CAIXA!H1812&lt;&gt;"",BASE_CAIXA!H1812,BASE_CAIXA!G1812))</f>
        <v/>
      </c>
      <c r="J1815" s="26" t="str">
        <f>IF(A1815="","",BASE_CAIXA!G1812)</f>
        <v/>
      </c>
      <c r="K1815" s="26" t="str">
        <f>IF(A1815="","",BASE_CAIXA!I1812)</f>
        <v/>
      </c>
      <c r="L1815" s="26" t="str">
        <f>IF(A1815="","",BASE_CAIXA!J1812)</f>
        <v/>
      </c>
      <c r="M1815" s="26" t="str">
        <f>IF(A1815="","",BASE_CAIXA!AM1812)</f>
        <v/>
      </c>
      <c r="N1815" s="26" t="str">
        <f t="shared" ca="1" si="84"/>
        <v/>
      </c>
      <c r="O1815" s="26" t="str">
        <f>IFERROR(INDEX(EXTRATO_IMPORTADO!$A$5:$A$404,MATCH(B1815,EXTRATO_IMPORTADO!$I$5:$I$404,0)),"")</f>
        <v/>
      </c>
      <c r="P1815" s="26" t="str">
        <f>IFERROR(INDEX(EXTRATO_IMPORTADO!$F$5:$F$404,MATCH(B1815,EXTRATO_IMPORTADO!$I$5:$I$404,0)),"")</f>
        <v/>
      </c>
      <c r="Q1815" s="26" t="str">
        <f>IFERROR(INDEX(EXTRATO_IMPORTADO!$B$5:$B$404,MATCH(B1815,EXTRATO_IMPORTADO!$I$5:$I$404,0)),"")</f>
        <v/>
      </c>
      <c r="R1815" s="26" t="str">
        <f>IFERROR(MATCH(B1815,EXTRATO_IMPORTADO!$I$5:$I$404,0),"")</f>
        <v/>
      </c>
      <c r="S1815" s="26" t="str">
        <f t="shared" si="85"/>
        <v/>
      </c>
      <c r="T1815" s="26" t="str">
        <f t="shared" si="86"/>
        <v/>
      </c>
    </row>
    <row r="1816" spans="1:20" x14ac:dyDescent="0.3">
      <c r="A1816" s="26" t="str">
        <f>IF(BASE_CAIXA!A1813="","",BASE_CAIXA!A1813)</f>
        <v/>
      </c>
      <c r="B1816" s="26" t="str">
        <f>IF(A1816="","",BASE_CAIXA!AL1813)</f>
        <v/>
      </c>
      <c r="C1816" s="26" t="str">
        <f>IF(A1816="","",BASE_CAIXA!AJ1813)</f>
        <v/>
      </c>
      <c r="D1816" s="26" t="str">
        <f>IF(A1816="","",IF(BASE_CAIXA!C1813="Entrada","Crédito","Débito"))</f>
        <v/>
      </c>
      <c r="E1816" s="26" t="str">
        <f>IF(A1816="","",BASE_CAIXA!AA1813)</f>
        <v/>
      </c>
      <c r="F1816" s="26" t="str">
        <f>IF(A1816="","",BASE_CAIXA!N1813)</f>
        <v/>
      </c>
      <c r="G1816" s="26" t="str">
        <f>IF(A1816="","",BASE_CAIXA!O1813)</f>
        <v/>
      </c>
      <c r="H1816" s="26" t="str">
        <f>IF(A1816="","",BASE_CAIXA!P1813)</f>
        <v/>
      </c>
      <c r="I1816" s="26" t="str">
        <f>IF(A1816="","",IF(BASE_CAIXA!H1813&lt;&gt;"",BASE_CAIXA!H1813,BASE_CAIXA!G1813))</f>
        <v/>
      </c>
      <c r="J1816" s="26" t="str">
        <f>IF(A1816="","",BASE_CAIXA!G1813)</f>
        <v/>
      </c>
      <c r="K1816" s="26" t="str">
        <f>IF(A1816="","",BASE_CAIXA!I1813)</f>
        <v/>
      </c>
      <c r="L1816" s="26" t="str">
        <f>IF(A1816="","",BASE_CAIXA!J1813)</f>
        <v/>
      </c>
      <c r="M1816" s="26" t="str">
        <f>IF(A1816="","",BASE_CAIXA!AM1813)</f>
        <v/>
      </c>
      <c r="N1816" s="26" t="str">
        <f t="shared" ca="1" si="84"/>
        <v/>
      </c>
      <c r="O1816" s="26" t="str">
        <f>IFERROR(INDEX(EXTRATO_IMPORTADO!$A$5:$A$404,MATCH(B1816,EXTRATO_IMPORTADO!$I$5:$I$404,0)),"")</f>
        <v/>
      </c>
      <c r="P1816" s="26" t="str">
        <f>IFERROR(INDEX(EXTRATO_IMPORTADO!$F$5:$F$404,MATCH(B1816,EXTRATO_IMPORTADO!$I$5:$I$404,0)),"")</f>
        <v/>
      </c>
      <c r="Q1816" s="26" t="str">
        <f>IFERROR(INDEX(EXTRATO_IMPORTADO!$B$5:$B$404,MATCH(B1816,EXTRATO_IMPORTADO!$I$5:$I$404,0)),"")</f>
        <v/>
      </c>
      <c r="R1816" s="26" t="str">
        <f>IFERROR(MATCH(B1816,EXTRATO_IMPORTADO!$I$5:$I$404,0),"")</f>
        <v/>
      </c>
      <c r="S1816" s="26" t="str">
        <f t="shared" si="85"/>
        <v/>
      </c>
      <c r="T1816" s="26" t="str">
        <f t="shared" si="86"/>
        <v/>
      </c>
    </row>
    <row r="1817" spans="1:20" x14ac:dyDescent="0.3">
      <c r="A1817" s="26" t="str">
        <f>IF(BASE_CAIXA!A1814="","",BASE_CAIXA!A1814)</f>
        <v/>
      </c>
      <c r="B1817" s="26" t="str">
        <f>IF(A1817="","",BASE_CAIXA!AL1814)</f>
        <v/>
      </c>
      <c r="C1817" s="26" t="str">
        <f>IF(A1817="","",BASE_CAIXA!AJ1814)</f>
        <v/>
      </c>
      <c r="D1817" s="26" t="str">
        <f>IF(A1817="","",IF(BASE_CAIXA!C1814="Entrada","Crédito","Débito"))</f>
        <v/>
      </c>
      <c r="E1817" s="26" t="str">
        <f>IF(A1817="","",BASE_CAIXA!AA1814)</f>
        <v/>
      </c>
      <c r="F1817" s="26" t="str">
        <f>IF(A1817="","",BASE_CAIXA!N1814)</f>
        <v/>
      </c>
      <c r="G1817" s="26" t="str">
        <f>IF(A1817="","",BASE_CAIXA!O1814)</f>
        <v/>
      </c>
      <c r="H1817" s="26" t="str">
        <f>IF(A1817="","",BASE_CAIXA!P1814)</f>
        <v/>
      </c>
      <c r="I1817" s="26" t="str">
        <f>IF(A1817="","",IF(BASE_CAIXA!H1814&lt;&gt;"",BASE_CAIXA!H1814,BASE_CAIXA!G1814))</f>
        <v/>
      </c>
      <c r="J1817" s="26" t="str">
        <f>IF(A1817="","",BASE_CAIXA!G1814)</f>
        <v/>
      </c>
      <c r="K1817" s="26" t="str">
        <f>IF(A1817="","",BASE_CAIXA!I1814)</f>
        <v/>
      </c>
      <c r="L1817" s="26" t="str">
        <f>IF(A1817="","",BASE_CAIXA!J1814)</f>
        <v/>
      </c>
      <c r="M1817" s="26" t="str">
        <f>IF(A1817="","",BASE_CAIXA!AM1814)</f>
        <v/>
      </c>
      <c r="N1817" s="26" t="str">
        <f t="shared" ca="1" si="84"/>
        <v/>
      </c>
      <c r="O1817" s="26" t="str">
        <f>IFERROR(INDEX(EXTRATO_IMPORTADO!$A$5:$A$404,MATCH(B1817,EXTRATO_IMPORTADO!$I$5:$I$404,0)),"")</f>
        <v/>
      </c>
      <c r="P1817" s="26" t="str">
        <f>IFERROR(INDEX(EXTRATO_IMPORTADO!$F$5:$F$404,MATCH(B1817,EXTRATO_IMPORTADO!$I$5:$I$404,0)),"")</f>
        <v/>
      </c>
      <c r="Q1817" s="26" t="str">
        <f>IFERROR(INDEX(EXTRATO_IMPORTADO!$B$5:$B$404,MATCH(B1817,EXTRATO_IMPORTADO!$I$5:$I$404,0)),"")</f>
        <v/>
      </c>
      <c r="R1817" s="26" t="str">
        <f>IFERROR(MATCH(B1817,EXTRATO_IMPORTADO!$I$5:$I$404,0),"")</f>
        <v/>
      </c>
      <c r="S1817" s="26" t="str">
        <f t="shared" si="85"/>
        <v/>
      </c>
      <c r="T1817" s="26" t="str">
        <f t="shared" si="86"/>
        <v/>
      </c>
    </row>
    <row r="1818" spans="1:20" x14ac:dyDescent="0.3">
      <c r="A1818" s="26" t="str">
        <f>IF(BASE_CAIXA!A1815="","",BASE_CAIXA!A1815)</f>
        <v/>
      </c>
      <c r="B1818" s="26" t="str">
        <f>IF(A1818="","",BASE_CAIXA!AL1815)</f>
        <v/>
      </c>
      <c r="C1818" s="26" t="str">
        <f>IF(A1818="","",BASE_CAIXA!AJ1815)</f>
        <v/>
      </c>
      <c r="D1818" s="26" t="str">
        <f>IF(A1818="","",IF(BASE_CAIXA!C1815="Entrada","Crédito","Débito"))</f>
        <v/>
      </c>
      <c r="E1818" s="26" t="str">
        <f>IF(A1818="","",BASE_CAIXA!AA1815)</f>
        <v/>
      </c>
      <c r="F1818" s="26" t="str">
        <f>IF(A1818="","",BASE_CAIXA!N1815)</f>
        <v/>
      </c>
      <c r="G1818" s="26" t="str">
        <f>IF(A1818="","",BASE_CAIXA!O1815)</f>
        <v/>
      </c>
      <c r="H1818" s="26" t="str">
        <f>IF(A1818="","",BASE_CAIXA!P1815)</f>
        <v/>
      </c>
      <c r="I1818" s="26" t="str">
        <f>IF(A1818="","",IF(BASE_CAIXA!H1815&lt;&gt;"",BASE_CAIXA!H1815,BASE_CAIXA!G1815))</f>
        <v/>
      </c>
      <c r="J1818" s="26" t="str">
        <f>IF(A1818="","",BASE_CAIXA!G1815)</f>
        <v/>
      </c>
      <c r="K1818" s="26" t="str">
        <f>IF(A1818="","",BASE_CAIXA!I1815)</f>
        <v/>
      </c>
      <c r="L1818" s="26" t="str">
        <f>IF(A1818="","",BASE_CAIXA!J1815)</f>
        <v/>
      </c>
      <c r="M1818" s="26" t="str">
        <f>IF(A1818="","",BASE_CAIXA!AM1815)</f>
        <v/>
      </c>
      <c r="N1818" s="26" t="str">
        <f t="shared" ca="1" si="84"/>
        <v/>
      </c>
      <c r="O1818" s="26" t="str">
        <f>IFERROR(INDEX(EXTRATO_IMPORTADO!$A$5:$A$404,MATCH(B1818,EXTRATO_IMPORTADO!$I$5:$I$404,0)),"")</f>
        <v/>
      </c>
      <c r="P1818" s="26" t="str">
        <f>IFERROR(INDEX(EXTRATO_IMPORTADO!$F$5:$F$404,MATCH(B1818,EXTRATO_IMPORTADO!$I$5:$I$404,0)),"")</f>
        <v/>
      </c>
      <c r="Q1818" s="26" t="str">
        <f>IFERROR(INDEX(EXTRATO_IMPORTADO!$B$5:$B$404,MATCH(B1818,EXTRATO_IMPORTADO!$I$5:$I$404,0)),"")</f>
        <v/>
      </c>
      <c r="R1818" s="26" t="str">
        <f>IFERROR(MATCH(B1818,EXTRATO_IMPORTADO!$I$5:$I$404,0),"")</f>
        <v/>
      </c>
      <c r="S1818" s="26" t="str">
        <f t="shared" si="85"/>
        <v/>
      </c>
      <c r="T1818" s="26" t="str">
        <f t="shared" si="86"/>
        <v/>
      </c>
    </row>
    <row r="1819" spans="1:20" x14ac:dyDescent="0.3">
      <c r="A1819" s="26" t="str">
        <f>IF(BASE_CAIXA!A1816="","",BASE_CAIXA!A1816)</f>
        <v/>
      </c>
      <c r="B1819" s="26" t="str">
        <f>IF(A1819="","",BASE_CAIXA!AL1816)</f>
        <v/>
      </c>
      <c r="C1819" s="26" t="str">
        <f>IF(A1819="","",BASE_CAIXA!AJ1816)</f>
        <v/>
      </c>
      <c r="D1819" s="26" t="str">
        <f>IF(A1819="","",IF(BASE_CAIXA!C1816="Entrada","Crédito","Débito"))</f>
        <v/>
      </c>
      <c r="E1819" s="26" t="str">
        <f>IF(A1819="","",BASE_CAIXA!AA1816)</f>
        <v/>
      </c>
      <c r="F1819" s="26" t="str">
        <f>IF(A1819="","",BASE_CAIXA!N1816)</f>
        <v/>
      </c>
      <c r="G1819" s="26" t="str">
        <f>IF(A1819="","",BASE_CAIXA!O1816)</f>
        <v/>
      </c>
      <c r="H1819" s="26" t="str">
        <f>IF(A1819="","",BASE_CAIXA!P1816)</f>
        <v/>
      </c>
      <c r="I1819" s="26" t="str">
        <f>IF(A1819="","",IF(BASE_CAIXA!H1816&lt;&gt;"",BASE_CAIXA!H1816,BASE_CAIXA!G1816))</f>
        <v/>
      </c>
      <c r="J1819" s="26" t="str">
        <f>IF(A1819="","",BASE_CAIXA!G1816)</f>
        <v/>
      </c>
      <c r="K1819" s="26" t="str">
        <f>IF(A1819="","",BASE_CAIXA!I1816)</f>
        <v/>
      </c>
      <c r="L1819" s="26" t="str">
        <f>IF(A1819="","",BASE_CAIXA!J1816)</f>
        <v/>
      </c>
      <c r="M1819" s="26" t="str">
        <f>IF(A1819="","",BASE_CAIXA!AM1816)</f>
        <v/>
      </c>
      <c r="N1819" s="26" t="str">
        <f t="shared" ca="1" si="84"/>
        <v/>
      </c>
      <c r="O1819" s="26" t="str">
        <f>IFERROR(INDEX(EXTRATO_IMPORTADO!$A$5:$A$404,MATCH(B1819,EXTRATO_IMPORTADO!$I$5:$I$404,0)),"")</f>
        <v/>
      </c>
      <c r="P1819" s="26" t="str">
        <f>IFERROR(INDEX(EXTRATO_IMPORTADO!$F$5:$F$404,MATCH(B1819,EXTRATO_IMPORTADO!$I$5:$I$404,0)),"")</f>
        <v/>
      </c>
      <c r="Q1819" s="26" t="str">
        <f>IFERROR(INDEX(EXTRATO_IMPORTADO!$B$5:$B$404,MATCH(B1819,EXTRATO_IMPORTADO!$I$5:$I$404,0)),"")</f>
        <v/>
      </c>
      <c r="R1819" s="26" t="str">
        <f>IFERROR(MATCH(B1819,EXTRATO_IMPORTADO!$I$5:$I$404,0),"")</f>
        <v/>
      </c>
      <c r="S1819" s="26" t="str">
        <f t="shared" si="85"/>
        <v/>
      </c>
      <c r="T1819" s="26" t="str">
        <f t="shared" si="86"/>
        <v/>
      </c>
    </row>
    <row r="1820" spans="1:20" x14ac:dyDescent="0.3">
      <c r="A1820" s="26" t="str">
        <f>IF(BASE_CAIXA!A1817="","",BASE_CAIXA!A1817)</f>
        <v/>
      </c>
      <c r="B1820" s="26" t="str">
        <f>IF(A1820="","",BASE_CAIXA!AL1817)</f>
        <v/>
      </c>
      <c r="C1820" s="26" t="str">
        <f>IF(A1820="","",BASE_CAIXA!AJ1817)</f>
        <v/>
      </c>
      <c r="D1820" s="26" t="str">
        <f>IF(A1820="","",IF(BASE_CAIXA!C1817="Entrada","Crédito","Débito"))</f>
        <v/>
      </c>
      <c r="E1820" s="26" t="str">
        <f>IF(A1820="","",BASE_CAIXA!AA1817)</f>
        <v/>
      </c>
      <c r="F1820" s="26" t="str">
        <f>IF(A1820="","",BASE_CAIXA!N1817)</f>
        <v/>
      </c>
      <c r="G1820" s="26" t="str">
        <f>IF(A1820="","",BASE_CAIXA!O1817)</f>
        <v/>
      </c>
      <c r="H1820" s="26" t="str">
        <f>IF(A1820="","",BASE_CAIXA!P1817)</f>
        <v/>
      </c>
      <c r="I1820" s="26" t="str">
        <f>IF(A1820="","",IF(BASE_CAIXA!H1817&lt;&gt;"",BASE_CAIXA!H1817,BASE_CAIXA!G1817))</f>
        <v/>
      </c>
      <c r="J1820" s="26" t="str">
        <f>IF(A1820="","",BASE_CAIXA!G1817)</f>
        <v/>
      </c>
      <c r="K1820" s="26" t="str">
        <f>IF(A1820="","",BASE_CAIXA!I1817)</f>
        <v/>
      </c>
      <c r="L1820" s="26" t="str">
        <f>IF(A1820="","",BASE_CAIXA!J1817)</f>
        <v/>
      </c>
      <c r="M1820" s="26" t="str">
        <f>IF(A1820="","",BASE_CAIXA!AM1817)</f>
        <v/>
      </c>
      <c r="N1820" s="26" t="str">
        <f t="shared" ca="1" si="84"/>
        <v/>
      </c>
      <c r="O1820" s="26" t="str">
        <f>IFERROR(INDEX(EXTRATO_IMPORTADO!$A$5:$A$404,MATCH(B1820,EXTRATO_IMPORTADO!$I$5:$I$404,0)),"")</f>
        <v/>
      </c>
      <c r="P1820" s="26" t="str">
        <f>IFERROR(INDEX(EXTRATO_IMPORTADO!$F$5:$F$404,MATCH(B1820,EXTRATO_IMPORTADO!$I$5:$I$404,0)),"")</f>
        <v/>
      </c>
      <c r="Q1820" s="26" t="str">
        <f>IFERROR(INDEX(EXTRATO_IMPORTADO!$B$5:$B$404,MATCH(B1820,EXTRATO_IMPORTADO!$I$5:$I$404,0)),"")</f>
        <v/>
      </c>
      <c r="R1820" s="26" t="str">
        <f>IFERROR(MATCH(B1820,EXTRATO_IMPORTADO!$I$5:$I$404,0),"")</f>
        <v/>
      </c>
      <c r="S1820" s="26" t="str">
        <f t="shared" si="85"/>
        <v/>
      </c>
      <c r="T1820" s="26" t="str">
        <f t="shared" si="86"/>
        <v/>
      </c>
    </row>
    <row r="1821" spans="1:20" x14ac:dyDescent="0.3">
      <c r="A1821" s="26" t="str">
        <f>IF(BASE_CAIXA!A1818="","",BASE_CAIXA!A1818)</f>
        <v/>
      </c>
      <c r="B1821" s="26" t="str">
        <f>IF(A1821="","",BASE_CAIXA!AL1818)</f>
        <v/>
      </c>
      <c r="C1821" s="26" t="str">
        <f>IF(A1821="","",BASE_CAIXA!AJ1818)</f>
        <v/>
      </c>
      <c r="D1821" s="26" t="str">
        <f>IF(A1821="","",IF(BASE_CAIXA!C1818="Entrada","Crédito","Débito"))</f>
        <v/>
      </c>
      <c r="E1821" s="26" t="str">
        <f>IF(A1821="","",BASE_CAIXA!AA1818)</f>
        <v/>
      </c>
      <c r="F1821" s="26" t="str">
        <f>IF(A1821="","",BASE_CAIXA!N1818)</f>
        <v/>
      </c>
      <c r="G1821" s="26" t="str">
        <f>IF(A1821="","",BASE_CAIXA!O1818)</f>
        <v/>
      </c>
      <c r="H1821" s="26" t="str">
        <f>IF(A1821="","",BASE_CAIXA!P1818)</f>
        <v/>
      </c>
      <c r="I1821" s="26" t="str">
        <f>IF(A1821="","",IF(BASE_CAIXA!H1818&lt;&gt;"",BASE_CAIXA!H1818,BASE_CAIXA!G1818))</f>
        <v/>
      </c>
      <c r="J1821" s="26" t="str">
        <f>IF(A1821="","",BASE_CAIXA!G1818)</f>
        <v/>
      </c>
      <c r="K1821" s="26" t="str">
        <f>IF(A1821="","",BASE_CAIXA!I1818)</f>
        <v/>
      </c>
      <c r="L1821" s="26" t="str">
        <f>IF(A1821="","",BASE_CAIXA!J1818)</f>
        <v/>
      </c>
      <c r="M1821" s="26" t="str">
        <f>IF(A1821="","",BASE_CAIXA!AM1818)</f>
        <v/>
      </c>
      <c r="N1821" s="26" t="str">
        <f t="shared" ca="1" si="84"/>
        <v/>
      </c>
      <c r="O1821" s="26" t="str">
        <f>IFERROR(INDEX(EXTRATO_IMPORTADO!$A$5:$A$404,MATCH(B1821,EXTRATO_IMPORTADO!$I$5:$I$404,0)),"")</f>
        <v/>
      </c>
      <c r="P1821" s="26" t="str">
        <f>IFERROR(INDEX(EXTRATO_IMPORTADO!$F$5:$F$404,MATCH(B1821,EXTRATO_IMPORTADO!$I$5:$I$404,0)),"")</f>
        <v/>
      </c>
      <c r="Q1821" s="26" t="str">
        <f>IFERROR(INDEX(EXTRATO_IMPORTADO!$B$5:$B$404,MATCH(B1821,EXTRATO_IMPORTADO!$I$5:$I$404,0)),"")</f>
        <v/>
      </c>
      <c r="R1821" s="26" t="str">
        <f>IFERROR(MATCH(B1821,EXTRATO_IMPORTADO!$I$5:$I$404,0),"")</f>
        <v/>
      </c>
      <c r="S1821" s="26" t="str">
        <f t="shared" si="85"/>
        <v/>
      </c>
      <c r="T1821" s="26" t="str">
        <f t="shared" si="86"/>
        <v/>
      </c>
    </row>
    <row r="1822" spans="1:20" x14ac:dyDescent="0.3">
      <c r="A1822" s="26" t="str">
        <f>IF(BASE_CAIXA!A1819="","",BASE_CAIXA!A1819)</f>
        <v/>
      </c>
      <c r="B1822" s="26" t="str">
        <f>IF(A1822="","",BASE_CAIXA!AL1819)</f>
        <v/>
      </c>
      <c r="C1822" s="26" t="str">
        <f>IF(A1822="","",BASE_CAIXA!AJ1819)</f>
        <v/>
      </c>
      <c r="D1822" s="26" t="str">
        <f>IF(A1822="","",IF(BASE_CAIXA!C1819="Entrada","Crédito","Débito"))</f>
        <v/>
      </c>
      <c r="E1822" s="26" t="str">
        <f>IF(A1822="","",BASE_CAIXA!AA1819)</f>
        <v/>
      </c>
      <c r="F1822" s="26" t="str">
        <f>IF(A1822="","",BASE_CAIXA!N1819)</f>
        <v/>
      </c>
      <c r="G1822" s="26" t="str">
        <f>IF(A1822="","",BASE_CAIXA!O1819)</f>
        <v/>
      </c>
      <c r="H1822" s="26" t="str">
        <f>IF(A1822="","",BASE_CAIXA!P1819)</f>
        <v/>
      </c>
      <c r="I1822" s="26" t="str">
        <f>IF(A1822="","",IF(BASE_CAIXA!H1819&lt;&gt;"",BASE_CAIXA!H1819,BASE_CAIXA!G1819))</f>
        <v/>
      </c>
      <c r="J1822" s="26" t="str">
        <f>IF(A1822="","",BASE_CAIXA!G1819)</f>
        <v/>
      </c>
      <c r="K1822" s="26" t="str">
        <f>IF(A1822="","",BASE_CAIXA!I1819)</f>
        <v/>
      </c>
      <c r="L1822" s="26" t="str">
        <f>IF(A1822="","",BASE_CAIXA!J1819)</f>
        <v/>
      </c>
      <c r="M1822" s="26" t="str">
        <f>IF(A1822="","",BASE_CAIXA!AM1819)</f>
        <v/>
      </c>
      <c r="N1822" s="26" t="str">
        <f t="shared" ca="1" si="84"/>
        <v/>
      </c>
      <c r="O1822" s="26" t="str">
        <f>IFERROR(INDEX(EXTRATO_IMPORTADO!$A$5:$A$404,MATCH(B1822,EXTRATO_IMPORTADO!$I$5:$I$404,0)),"")</f>
        <v/>
      </c>
      <c r="P1822" s="26" t="str">
        <f>IFERROR(INDEX(EXTRATO_IMPORTADO!$F$5:$F$404,MATCH(B1822,EXTRATO_IMPORTADO!$I$5:$I$404,0)),"")</f>
        <v/>
      </c>
      <c r="Q1822" s="26" t="str">
        <f>IFERROR(INDEX(EXTRATO_IMPORTADO!$B$5:$B$404,MATCH(B1822,EXTRATO_IMPORTADO!$I$5:$I$404,0)),"")</f>
        <v/>
      </c>
      <c r="R1822" s="26" t="str">
        <f>IFERROR(MATCH(B1822,EXTRATO_IMPORTADO!$I$5:$I$404,0),"")</f>
        <v/>
      </c>
      <c r="S1822" s="26" t="str">
        <f t="shared" si="85"/>
        <v/>
      </c>
      <c r="T1822" s="26" t="str">
        <f t="shared" si="86"/>
        <v/>
      </c>
    </row>
    <row r="1823" spans="1:20" x14ac:dyDescent="0.3">
      <c r="A1823" s="26" t="str">
        <f>IF(BASE_CAIXA!A1820="","",BASE_CAIXA!A1820)</f>
        <v/>
      </c>
      <c r="B1823" s="26" t="str">
        <f>IF(A1823="","",BASE_CAIXA!AL1820)</f>
        <v/>
      </c>
      <c r="C1823" s="26" t="str">
        <f>IF(A1823="","",BASE_CAIXA!AJ1820)</f>
        <v/>
      </c>
      <c r="D1823" s="26" t="str">
        <f>IF(A1823="","",IF(BASE_CAIXA!C1820="Entrada","Crédito","Débito"))</f>
        <v/>
      </c>
      <c r="E1823" s="26" t="str">
        <f>IF(A1823="","",BASE_CAIXA!AA1820)</f>
        <v/>
      </c>
      <c r="F1823" s="26" t="str">
        <f>IF(A1823="","",BASE_CAIXA!N1820)</f>
        <v/>
      </c>
      <c r="G1823" s="26" t="str">
        <f>IF(A1823="","",BASE_CAIXA!O1820)</f>
        <v/>
      </c>
      <c r="H1823" s="26" t="str">
        <f>IF(A1823="","",BASE_CAIXA!P1820)</f>
        <v/>
      </c>
      <c r="I1823" s="26" t="str">
        <f>IF(A1823="","",IF(BASE_CAIXA!H1820&lt;&gt;"",BASE_CAIXA!H1820,BASE_CAIXA!G1820))</f>
        <v/>
      </c>
      <c r="J1823" s="26" t="str">
        <f>IF(A1823="","",BASE_CAIXA!G1820)</f>
        <v/>
      </c>
      <c r="K1823" s="26" t="str">
        <f>IF(A1823="","",BASE_CAIXA!I1820)</f>
        <v/>
      </c>
      <c r="L1823" s="26" t="str">
        <f>IF(A1823="","",BASE_CAIXA!J1820)</f>
        <v/>
      </c>
      <c r="M1823" s="26" t="str">
        <f>IF(A1823="","",BASE_CAIXA!AM1820)</f>
        <v/>
      </c>
      <c r="N1823" s="26" t="str">
        <f t="shared" ca="1" si="84"/>
        <v/>
      </c>
      <c r="O1823" s="26" t="str">
        <f>IFERROR(INDEX(EXTRATO_IMPORTADO!$A$5:$A$404,MATCH(B1823,EXTRATO_IMPORTADO!$I$5:$I$404,0)),"")</f>
        <v/>
      </c>
      <c r="P1823" s="26" t="str">
        <f>IFERROR(INDEX(EXTRATO_IMPORTADO!$F$5:$F$404,MATCH(B1823,EXTRATO_IMPORTADO!$I$5:$I$404,0)),"")</f>
        <v/>
      </c>
      <c r="Q1823" s="26" t="str">
        <f>IFERROR(INDEX(EXTRATO_IMPORTADO!$B$5:$B$404,MATCH(B1823,EXTRATO_IMPORTADO!$I$5:$I$404,0)),"")</f>
        <v/>
      </c>
      <c r="R1823" s="26" t="str">
        <f>IFERROR(MATCH(B1823,EXTRATO_IMPORTADO!$I$5:$I$404,0),"")</f>
        <v/>
      </c>
      <c r="S1823" s="26" t="str">
        <f t="shared" si="85"/>
        <v/>
      </c>
      <c r="T1823" s="26" t="str">
        <f t="shared" si="86"/>
        <v/>
      </c>
    </row>
    <row r="1824" spans="1:20" x14ac:dyDescent="0.3">
      <c r="A1824" s="26" t="str">
        <f>IF(BASE_CAIXA!A1821="","",BASE_CAIXA!A1821)</f>
        <v/>
      </c>
      <c r="B1824" s="26" t="str">
        <f>IF(A1824="","",BASE_CAIXA!AL1821)</f>
        <v/>
      </c>
      <c r="C1824" s="26" t="str">
        <f>IF(A1824="","",BASE_CAIXA!AJ1821)</f>
        <v/>
      </c>
      <c r="D1824" s="26" t="str">
        <f>IF(A1824="","",IF(BASE_CAIXA!C1821="Entrada","Crédito","Débito"))</f>
        <v/>
      </c>
      <c r="E1824" s="26" t="str">
        <f>IF(A1824="","",BASE_CAIXA!AA1821)</f>
        <v/>
      </c>
      <c r="F1824" s="26" t="str">
        <f>IF(A1824="","",BASE_CAIXA!N1821)</f>
        <v/>
      </c>
      <c r="G1824" s="26" t="str">
        <f>IF(A1824="","",BASE_CAIXA!O1821)</f>
        <v/>
      </c>
      <c r="H1824" s="26" t="str">
        <f>IF(A1824="","",BASE_CAIXA!P1821)</f>
        <v/>
      </c>
      <c r="I1824" s="26" t="str">
        <f>IF(A1824="","",IF(BASE_CAIXA!H1821&lt;&gt;"",BASE_CAIXA!H1821,BASE_CAIXA!G1821))</f>
        <v/>
      </c>
      <c r="J1824" s="26" t="str">
        <f>IF(A1824="","",BASE_CAIXA!G1821)</f>
        <v/>
      </c>
      <c r="K1824" s="26" t="str">
        <f>IF(A1824="","",BASE_CAIXA!I1821)</f>
        <v/>
      </c>
      <c r="L1824" s="26" t="str">
        <f>IF(A1824="","",BASE_CAIXA!J1821)</f>
        <v/>
      </c>
      <c r="M1824" s="26" t="str">
        <f>IF(A1824="","",BASE_CAIXA!AM1821)</f>
        <v/>
      </c>
      <c r="N1824" s="26" t="str">
        <f t="shared" ca="1" si="84"/>
        <v/>
      </c>
      <c r="O1824" s="26" t="str">
        <f>IFERROR(INDEX(EXTRATO_IMPORTADO!$A$5:$A$404,MATCH(B1824,EXTRATO_IMPORTADO!$I$5:$I$404,0)),"")</f>
        <v/>
      </c>
      <c r="P1824" s="26" t="str">
        <f>IFERROR(INDEX(EXTRATO_IMPORTADO!$F$5:$F$404,MATCH(B1824,EXTRATO_IMPORTADO!$I$5:$I$404,0)),"")</f>
        <v/>
      </c>
      <c r="Q1824" s="26" t="str">
        <f>IFERROR(INDEX(EXTRATO_IMPORTADO!$B$5:$B$404,MATCH(B1824,EXTRATO_IMPORTADO!$I$5:$I$404,0)),"")</f>
        <v/>
      </c>
      <c r="R1824" s="26" t="str">
        <f>IFERROR(MATCH(B1824,EXTRATO_IMPORTADO!$I$5:$I$404,0),"")</f>
        <v/>
      </c>
      <c r="S1824" s="26" t="str">
        <f t="shared" si="85"/>
        <v/>
      </c>
      <c r="T1824" s="26" t="str">
        <f t="shared" si="86"/>
        <v/>
      </c>
    </row>
    <row r="1825" spans="1:20" x14ac:dyDescent="0.3">
      <c r="A1825" s="26" t="str">
        <f>IF(BASE_CAIXA!A1822="","",BASE_CAIXA!A1822)</f>
        <v/>
      </c>
      <c r="B1825" s="26" t="str">
        <f>IF(A1825="","",BASE_CAIXA!AL1822)</f>
        <v/>
      </c>
      <c r="C1825" s="26" t="str">
        <f>IF(A1825="","",BASE_CAIXA!AJ1822)</f>
        <v/>
      </c>
      <c r="D1825" s="26" t="str">
        <f>IF(A1825="","",IF(BASE_CAIXA!C1822="Entrada","Crédito","Débito"))</f>
        <v/>
      </c>
      <c r="E1825" s="26" t="str">
        <f>IF(A1825="","",BASE_CAIXA!AA1822)</f>
        <v/>
      </c>
      <c r="F1825" s="26" t="str">
        <f>IF(A1825="","",BASE_CAIXA!N1822)</f>
        <v/>
      </c>
      <c r="G1825" s="26" t="str">
        <f>IF(A1825="","",BASE_CAIXA!O1822)</f>
        <v/>
      </c>
      <c r="H1825" s="26" t="str">
        <f>IF(A1825="","",BASE_CAIXA!P1822)</f>
        <v/>
      </c>
      <c r="I1825" s="26" t="str">
        <f>IF(A1825="","",IF(BASE_CAIXA!H1822&lt;&gt;"",BASE_CAIXA!H1822,BASE_CAIXA!G1822))</f>
        <v/>
      </c>
      <c r="J1825" s="26" t="str">
        <f>IF(A1825="","",BASE_CAIXA!G1822)</f>
        <v/>
      </c>
      <c r="K1825" s="26" t="str">
        <f>IF(A1825="","",BASE_CAIXA!I1822)</f>
        <v/>
      </c>
      <c r="L1825" s="26" t="str">
        <f>IF(A1825="","",BASE_CAIXA!J1822)</f>
        <v/>
      </c>
      <c r="M1825" s="26" t="str">
        <f>IF(A1825="","",BASE_CAIXA!AM1822)</f>
        <v/>
      </c>
      <c r="N1825" s="26" t="str">
        <f t="shared" ca="1" si="84"/>
        <v/>
      </c>
      <c r="O1825" s="26" t="str">
        <f>IFERROR(INDEX(EXTRATO_IMPORTADO!$A$5:$A$404,MATCH(B1825,EXTRATO_IMPORTADO!$I$5:$I$404,0)),"")</f>
        <v/>
      </c>
      <c r="P1825" s="26" t="str">
        <f>IFERROR(INDEX(EXTRATO_IMPORTADO!$F$5:$F$404,MATCH(B1825,EXTRATO_IMPORTADO!$I$5:$I$404,0)),"")</f>
        <v/>
      </c>
      <c r="Q1825" s="26" t="str">
        <f>IFERROR(INDEX(EXTRATO_IMPORTADO!$B$5:$B$404,MATCH(B1825,EXTRATO_IMPORTADO!$I$5:$I$404,0)),"")</f>
        <v/>
      </c>
      <c r="R1825" s="26" t="str">
        <f>IFERROR(MATCH(B1825,EXTRATO_IMPORTADO!$I$5:$I$404,0),"")</f>
        <v/>
      </c>
      <c r="S1825" s="26" t="str">
        <f t="shared" si="85"/>
        <v/>
      </c>
      <c r="T1825" s="26" t="str">
        <f t="shared" si="86"/>
        <v/>
      </c>
    </row>
    <row r="1826" spans="1:20" x14ac:dyDescent="0.3">
      <c r="A1826" s="26" t="str">
        <f>IF(BASE_CAIXA!A1823="","",BASE_CAIXA!A1823)</f>
        <v/>
      </c>
      <c r="B1826" s="26" t="str">
        <f>IF(A1826="","",BASE_CAIXA!AL1823)</f>
        <v/>
      </c>
      <c r="C1826" s="26" t="str">
        <f>IF(A1826="","",BASE_CAIXA!AJ1823)</f>
        <v/>
      </c>
      <c r="D1826" s="26" t="str">
        <f>IF(A1826="","",IF(BASE_CAIXA!C1823="Entrada","Crédito","Débito"))</f>
        <v/>
      </c>
      <c r="E1826" s="26" t="str">
        <f>IF(A1826="","",BASE_CAIXA!AA1823)</f>
        <v/>
      </c>
      <c r="F1826" s="26" t="str">
        <f>IF(A1826="","",BASE_CAIXA!N1823)</f>
        <v/>
      </c>
      <c r="G1826" s="26" t="str">
        <f>IF(A1826="","",BASE_CAIXA!O1823)</f>
        <v/>
      </c>
      <c r="H1826" s="26" t="str">
        <f>IF(A1826="","",BASE_CAIXA!P1823)</f>
        <v/>
      </c>
      <c r="I1826" s="26" t="str">
        <f>IF(A1826="","",IF(BASE_CAIXA!H1823&lt;&gt;"",BASE_CAIXA!H1823,BASE_CAIXA!G1823))</f>
        <v/>
      </c>
      <c r="J1826" s="26" t="str">
        <f>IF(A1826="","",BASE_CAIXA!G1823)</f>
        <v/>
      </c>
      <c r="K1826" s="26" t="str">
        <f>IF(A1826="","",BASE_CAIXA!I1823)</f>
        <v/>
      </c>
      <c r="L1826" s="26" t="str">
        <f>IF(A1826="","",BASE_CAIXA!J1823)</f>
        <v/>
      </c>
      <c r="M1826" s="26" t="str">
        <f>IF(A1826="","",BASE_CAIXA!AM1823)</f>
        <v/>
      </c>
      <c r="N1826" s="26" t="str">
        <f t="shared" ca="1" si="84"/>
        <v/>
      </c>
      <c r="O1826" s="26" t="str">
        <f>IFERROR(INDEX(EXTRATO_IMPORTADO!$A$5:$A$404,MATCH(B1826,EXTRATO_IMPORTADO!$I$5:$I$404,0)),"")</f>
        <v/>
      </c>
      <c r="P1826" s="26" t="str">
        <f>IFERROR(INDEX(EXTRATO_IMPORTADO!$F$5:$F$404,MATCH(B1826,EXTRATO_IMPORTADO!$I$5:$I$404,0)),"")</f>
        <v/>
      </c>
      <c r="Q1826" s="26" t="str">
        <f>IFERROR(INDEX(EXTRATO_IMPORTADO!$B$5:$B$404,MATCH(B1826,EXTRATO_IMPORTADO!$I$5:$I$404,0)),"")</f>
        <v/>
      </c>
      <c r="R1826" s="26" t="str">
        <f>IFERROR(MATCH(B1826,EXTRATO_IMPORTADO!$I$5:$I$404,0),"")</f>
        <v/>
      </c>
      <c r="S1826" s="26" t="str">
        <f t="shared" si="85"/>
        <v/>
      </c>
      <c r="T1826" s="26" t="str">
        <f t="shared" si="86"/>
        <v/>
      </c>
    </row>
    <row r="1827" spans="1:20" x14ac:dyDescent="0.3">
      <c r="A1827" s="26" t="str">
        <f>IF(BASE_CAIXA!A1824="","",BASE_CAIXA!A1824)</f>
        <v/>
      </c>
      <c r="B1827" s="26" t="str">
        <f>IF(A1827="","",BASE_CAIXA!AL1824)</f>
        <v/>
      </c>
      <c r="C1827" s="26" t="str">
        <f>IF(A1827="","",BASE_CAIXA!AJ1824)</f>
        <v/>
      </c>
      <c r="D1827" s="26" t="str">
        <f>IF(A1827="","",IF(BASE_CAIXA!C1824="Entrada","Crédito","Débito"))</f>
        <v/>
      </c>
      <c r="E1827" s="26" t="str">
        <f>IF(A1827="","",BASE_CAIXA!AA1824)</f>
        <v/>
      </c>
      <c r="F1827" s="26" t="str">
        <f>IF(A1827="","",BASE_CAIXA!N1824)</f>
        <v/>
      </c>
      <c r="G1827" s="26" t="str">
        <f>IF(A1827="","",BASE_CAIXA!O1824)</f>
        <v/>
      </c>
      <c r="H1827" s="26" t="str">
        <f>IF(A1827="","",BASE_CAIXA!P1824)</f>
        <v/>
      </c>
      <c r="I1827" s="26" t="str">
        <f>IF(A1827="","",IF(BASE_CAIXA!H1824&lt;&gt;"",BASE_CAIXA!H1824,BASE_CAIXA!G1824))</f>
        <v/>
      </c>
      <c r="J1827" s="26" t="str">
        <f>IF(A1827="","",BASE_CAIXA!G1824)</f>
        <v/>
      </c>
      <c r="K1827" s="26" t="str">
        <f>IF(A1827="","",BASE_CAIXA!I1824)</f>
        <v/>
      </c>
      <c r="L1827" s="26" t="str">
        <f>IF(A1827="","",BASE_CAIXA!J1824)</f>
        <v/>
      </c>
      <c r="M1827" s="26" t="str">
        <f>IF(A1827="","",BASE_CAIXA!AM1824)</f>
        <v/>
      </c>
      <c r="N1827" s="26" t="str">
        <f t="shared" ca="1" si="84"/>
        <v/>
      </c>
      <c r="O1827" s="26" t="str">
        <f>IFERROR(INDEX(EXTRATO_IMPORTADO!$A$5:$A$404,MATCH(B1827,EXTRATO_IMPORTADO!$I$5:$I$404,0)),"")</f>
        <v/>
      </c>
      <c r="P1827" s="26" t="str">
        <f>IFERROR(INDEX(EXTRATO_IMPORTADO!$F$5:$F$404,MATCH(B1827,EXTRATO_IMPORTADO!$I$5:$I$404,0)),"")</f>
        <v/>
      </c>
      <c r="Q1827" s="26" t="str">
        <f>IFERROR(INDEX(EXTRATO_IMPORTADO!$B$5:$B$404,MATCH(B1827,EXTRATO_IMPORTADO!$I$5:$I$404,0)),"")</f>
        <v/>
      </c>
      <c r="R1827" s="26" t="str">
        <f>IFERROR(MATCH(B1827,EXTRATO_IMPORTADO!$I$5:$I$404,0),"")</f>
        <v/>
      </c>
      <c r="S1827" s="26" t="str">
        <f t="shared" si="85"/>
        <v/>
      </c>
      <c r="T1827" s="26" t="str">
        <f t="shared" si="86"/>
        <v/>
      </c>
    </row>
    <row r="1828" spans="1:20" x14ac:dyDescent="0.3">
      <c r="A1828" s="26" t="str">
        <f>IF(BASE_CAIXA!A1825="","",BASE_CAIXA!A1825)</f>
        <v/>
      </c>
      <c r="B1828" s="26" t="str">
        <f>IF(A1828="","",BASE_CAIXA!AL1825)</f>
        <v/>
      </c>
      <c r="C1828" s="26" t="str">
        <f>IF(A1828="","",BASE_CAIXA!AJ1825)</f>
        <v/>
      </c>
      <c r="D1828" s="26" t="str">
        <f>IF(A1828="","",IF(BASE_CAIXA!C1825="Entrada","Crédito","Débito"))</f>
        <v/>
      </c>
      <c r="E1828" s="26" t="str">
        <f>IF(A1828="","",BASE_CAIXA!AA1825)</f>
        <v/>
      </c>
      <c r="F1828" s="26" t="str">
        <f>IF(A1828="","",BASE_CAIXA!N1825)</f>
        <v/>
      </c>
      <c r="G1828" s="26" t="str">
        <f>IF(A1828="","",BASE_CAIXA!O1825)</f>
        <v/>
      </c>
      <c r="H1828" s="26" t="str">
        <f>IF(A1828="","",BASE_CAIXA!P1825)</f>
        <v/>
      </c>
      <c r="I1828" s="26" t="str">
        <f>IF(A1828="","",IF(BASE_CAIXA!H1825&lt;&gt;"",BASE_CAIXA!H1825,BASE_CAIXA!G1825))</f>
        <v/>
      </c>
      <c r="J1828" s="26" t="str">
        <f>IF(A1828="","",BASE_CAIXA!G1825)</f>
        <v/>
      </c>
      <c r="K1828" s="26" t="str">
        <f>IF(A1828="","",BASE_CAIXA!I1825)</f>
        <v/>
      </c>
      <c r="L1828" s="26" t="str">
        <f>IF(A1828="","",BASE_CAIXA!J1825)</f>
        <v/>
      </c>
      <c r="M1828" s="26" t="str">
        <f>IF(A1828="","",BASE_CAIXA!AM1825)</f>
        <v/>
      </c>
      <c r="N1828" s="26" t="str">
        <f t="shared" ca="1" si="84"/>
        <v/>
      </c>
      <c r="O1828" s="26" t="str">
        <f>IFERROR(INDEX(EXTRATO_IMPORTADO!$A$5:$A$404,MATCH(B1828,EXTRATO_IMPORTADO!$I$5:$I$404,0)),"")</f>
        <v/>
      </c>
      <c r="P1828" s="26" t="str">
        <f>IFERROR(INDEX(EXTRATO_IMPORTADO!$F$5:$F$404,MATCH(B1828,EXTRATO_IMPORTADO!$I$5:$I$404,0)),"")</f>
        <v/>
      </c>
      <c r="Q1828" s="26" t="str">
        <f>IFERROR(INDEX(EXTRATO_IMPORTADO!$B$5:$B$404,MATCH(B1828,EXTRATO_IMPORTADO!$I$5:$I$404,0)),"")</f>
        <v/>
      </c>
      <c r="R1828" s="26" t="str">
        <f>IFERROR(MATCH(B1828,EXTRATO_IMPORTADO!$I$5:$I$404,0),"")</f>
        <v/>
      </c>
      <c r="S1828" s="26" t="str">
        <f t="shared" si="85"/>
        <v/>
      </c>
      <c r="T1828" s="26" t="str">
        <f t="shared" si="86"/>
        <v/>
      </c>
    </row>
    <row r="1829" spans="1:20" x14ac:dyDescent="0.3">
      <c r="A1829" s="26" t="str">
        <f>IF(BASE_CAIXA!A1826="","",BASE_CAIXA!A1826)</f>
        <v/>
      </c>
      <c r="B1829" s="26" t="str">
        <f>IF(A1829="","",BASE_CAIXA!AL1826)</f>
        <v/>
      </c>
      <c r="C1829" s="26" t="str">
        <f>IF(A1829="","",BASE_CAIXA!AJ1826)</f>
        <v/>
      </c>
      <c r="D1829" s="26" t="str">
        <f>IF(A1829="","",IF(BASE_CAIXA!C1826="Entrada","Crédito","Débito"))</f>
        <v/>
      </c>
      <c r="E1829" s="26" t="str">
        <f>IF(A1829="","",BASE_CAIXA!AA1826)</f>
        <v/>
      </c>
      <c r="F1829" s="26" t="str">
        <f>IF(A1829="","",BASE_CAIXA!N1826)</f>
        <v/>
      </c>
      <c r="G1829" s="26" t="str">
        <f>IF(A1829="","",BASE_CAIXA!O1826)</f>
        <v/>
      </c>
      <c r="H1829" s="26" t="str">
        <f>IF(A1829="","",BASE_CAIXA!P1826)</f>
        <v/>
      </c>
      <c r="I1829" s="26" t="str">
        <f>IF(A1829="","",IF(BASE_CAIXA!H1826&lt;&gt;"",BASE_CAIXA!H1826,BASE_CAIXA!G1826))</f>
        <v/>
      </c>
      <c r="J1829" s="26" t="str">
        <f>IF(A1829="","",BASE_CAIXA!G1826)</f>
        <v/>
      </c>
      <c r="K1829" s="26" t="str">
        <f>IF(A1829="","",BASE_CAIXA!I1826)</f>
        <v/>
      </c>
      <c r="L1829" s="26" t="str">
        <f>IF(A1829="","",BASE_CAIXA!J1826)</f>
        <v/>
      </c>
      <c r="M1829" s="26" t="str">
        <f>IF(A1829="","",BASE_CAIXA!AM1826)</f>
        <v/>
      </c>
      <c r="N1829" s="26" t="str">
        <f t="shared" ca="1" si="84"/>
        <v/>
      </c>
      <c r="O1829" s="26" t="str">
        <f>IFERROR(INDEX(EXTRATO_IMPORTADO!$A$5:$A$404,MATCH(B1829,EXTRATO_IMPORTADO!$I$5:$I$404,0)),"")</f>
        <v/>
      </c>
      <c r="P1829" s="26" t="str">
        <f>IFERROR(INDEX(EXTRATO_IMPORTADO!$F$5:$F$404,MATCH(B1829,EXTRATO_IMPORTADO!$I$5:$I$404,0)),"")</f>
        <v/>
      </c>
      <c r="Q1829" s="26" t="str">
        <f>IFERROR(INDEX(EXTRATO_IMPORTADO!$B$5:$B$404,MATCH(B1829,EXTRATO_IMPORTADO!$I$5:$I$404,0)),"")</f>
        <v/>
      </c>
      <c r="R1829" s="26" t="str">
        <f>IFERROR(MATCH(B1829,EXTRATO_IMPORTADO!$I$5:$I$404,0),"")</f>
        <v/>
      </c>
      <c r="S1829" s="26" t="str">
        <f t="shared" si="85"/>
        <v/>
      </c>
      <c r="T1829" s="26" t="str">
        <f t="shared" si="86"/>
        <v/>
      </c>
    </row>
    <row r="1830" spans="1:20" x14ac:dyDescent="0.3">
      <c r="A1830" s="26" t="str">
        <f>IF(BASE_CAIXA!A1827="","",BASE_CAIXA!A1827)</f>
        <v/>
      </c>
      <c r="B1830" s="26" t="str">
        <f>IF(A1830="","",BASE_CAIXA!AL1827)</f>
        <v/>
      </c>
      <c r="C1830" s="26" t="str">
        <f>IF(A1830="","",BASE_CAIXA!AJ1827)</f>
        <v/>
      </c>
      <c r="D1830" s="26" t="str">
        <f>IF(A1830="","",IF(BASE_CAIXA!C1827="Entrada","Crédito","Débito"))</f>
        <v/>
      </c>
      <c r="E1830" s="26" t="str">
        <f>IF(A1830="","",BASE_CAIXA!AA1827)</f>
        <v/>
      </c>
      <c r="F1830" s="26" t="str">
        <f>IF(A1830="","",BASE_CAIXA!N1827)</f>
        <v/>
      </c>
      <c r="G1830" s="26" t="str">
        <f>IF(A1830="","",BASE_CAIXA!O1827)</f>
        <v/>
      </c>
      <c r="H1830" s="26" t="str">
        <f>IF(A1830="","",BASE_CAIXA!P1827)</f>
        <v/>
      </c>
      <c r="I1830" s="26" t="str">
        <f>IF(A1830="","",IF(BASE_CAIXA!H1827&lt;&gt;"",BASE_CAIXA!H1827,BASE_CAIXA!G1827))</f>
        <v/>
      </c>
      <c r="J1830" s="26" t="str">
        <f>IF(A1830="","",BASE_CAIXA!G1827)</f>
        <v/>
      </c>
      <c r="K1830" s="26" t="str">
        <f>IF(A1830="","",BASE_CAIXA!I1827)</f>
        <v/>
      </c>
      <c r="L1830" s="26" t="str">
        <f>IF(A1830="","",BASE_CAIXA!J1827)</f>
        <v/>
      </c>
      <c r="M1830" s="26" t="str">
        <f>IF(A1830="","",BASE_CAIXA!AM1827)</f>
        <v/>
      </c>
      <c r="N1830" s="26" t="str">
        <f t="shared" ca="1" si="84"/>
        <v/>
      </c>
      <c r="O1830" s="26" t="str">
        <f>IFERROR(INDEX(EXTRATO_IMPORTADO!$A$5:$A$404,MATCH(B1830,EXTRATO_IMPORTADO!$I$5:$I$404,0)),"")</f>
        <v/>
      </c>
      <c r="P1830" s="26" t="str">
        <f>IFERROR(INDEX(EXTRATO_IMPORTADO!$F$5:$F$404,MATCH(B1830,EXTRATO_IMPORTADO!$I$5:$I$404,0)),"")</f>
        <v/>
      </c>
      <c r="Q1830" s="26" t="str">
        <f>IFERROR(INDEX(EXTRATO_IMPORTADO!$B$5:$B$404,MATCH(B1830,EXTRATO_IMPORTADO!$I$5:$I$404,0)),"")</f>
        <v/>
      </c>
      <c r="R1830" s="26" t="str">
        <f>IFERROR(MATCH(B1830,EXTRATO_IMPORTADO!$I$5:$I$404,0),"")</f>
        <v/>
      </c>
      <c r="S1830" s="26" t="str">
        <f t="shared" si="85"/>
        <v/>
      </c>
      <c r="T1830" s="26" t="str">
        <f t="shared" si="86"/>
        <v/>
      </c>
    </row>
    <row r="1831" spans="1:20" x14ac:dyDescent="0.3">
      <c r="A1831" s="26" t="str">
        <f>IF(BASE_CAIXA!A1828="","",BASE_CAIXA!A1828)</f>
        <v/>
      </c>
      <c r="B1831" s="26" t="str">
        <f>IF(A1831="","",BASE_CAIXA!AL1828)</f>
        <v/>
      </c>
      <c r="C1831" s="26" t="str">
        <f>IF(A1831="","",BASE_CAIXA!AJ1828)</f>
        <v/>
      </c>
      <c r="D1831" s="26" t="str">
        <f>IF(A1831="","",IF(BASE_CAIXA!C1828="Entrada","Crédito","Débito"))</f>
        <v/>
      </c>
      <c r="E1831" s="26" t="str">
        <f>IF(A1831="","",BASE_CAIXA!AA1828)</f>
        <v/>
      </c>
      <c r="F1831" s="26" t="str">
        <f>IF(A1831="","",BASE_CAIXA!N1828)</f>
        <v/>
      </c>
      <c r="G1831" s="26" t="str">
        <f>IF(A1831="","",BASE_CAIXA!O1828)</f>
        <v/>
      </c>
      <c r="H1831" s="26" t="str">
        <f>IF(A1831="","",BASE_CAIXA!P1828)</f>
        <v/>
      </c>
      <c r="I1831" s="26" t="str">
        <f>IF(A1831="","",IF(BASE_CAIXA!H1828&lt;&gt;"",BASE_CAIXA!H1828,BASE_CAIXA!G1828))</f>
        <v/>
      </c>
      <c r="J1831" s="26" t="str">
        <f>IF(A1831="","",BASE_CAIXA!G1828)</f>
        <v/>
      </c>
      <c r="K1831" s="26" t="str">
        <f>IF(A1831="","",BASE_CAIXA!I1828)</f>
        <v/>
      </c>
      <c r="L1831" s="26" t="str">
        <f>IF(A1831="","",BASE_CAIXA!J1828)</f>
        <v/>
      </c>
      <c r="M1831" s="26" t="str">
        <f>IF(A1831="","",BASE_CAIXA!AM1828)</f>
        <v/>
      </c>
      <c r="N1831" s="26" t="str">
        <f t="shared" ca="1" si="84"/>
        <v/>
      </c>
      <c r="O1831" s="26" t="str">
        <f>IFERROR(INDEX(EXTRATO_IMPORTADO!$A$5:$A$404,MATCH(B1831,EXTRATO_IMPORTADO!$I$5:$I$404,0)),"")</f>
        <v/>
      </c>
      <c r="P1831" s="26" t="str">
        <f>IFERROR(INDEX(EXTRATO_IMPORTADO!$F$5:$F$404,MATCH(B1831,EXTRATO_IMPORTADO!$I$5:$I$404,0)),"")</f>
        <v/>
      </c>
      <c r="Q1831" s="26" t="str">
        <f>IFERROR(INDEX(EXTRATO_IMPORTADO!$B$5:$B$404,MATCH(B1831,EXTRATO_IMPORTADO!$I$5:$I$404,0)),"")</f>
        <v/>
      </c>
      <c r="R1831" s="26" t="str">
        <f>IFERROR(MATCH(B1831,EXTRATO_IMPORTADO!$I$5:$I$404,0),"")</f>
        <v/>
      </c>
      <c r="S1831" s="26" t="str">
        <f t="shared" si="85"/>
        <v/>
      </c>
      <c r="T1831" s="26" t="str">
        <f t="shared" si="86"/>
        <v/>
      </c>
    </row>
    <row r="1832" spans="1:20" x14ac:dyDescent="0.3">
      <c r="A1832" s="26" t="str">
        <f>IF(BASE_CAIXA!A1829="","",BASE_CAIXA!A1829)</f>
        <v/>
      </c>
      <c r="B1832" s="26" t="str">
        <f>IF(A1832="","",BASE_CAIXA!AL1829)</f>
        <v/>
      </c>
      <c r="C1832" s="26" t="str">
        <f>IF(A1832="","",BASE_CAIXA!AJ1829)</f>
        <v/>
      </c>
      <c r="D1832" s="26" t="str">
        <f>IF(A1832="","",IF(BASE_CAIXA!C1829="Entrada","Crédito","Débito"))</f>
        <v/>
      </c>
      <c r="E1832" s="26" t="str">
        <f>IF(A1832="","",BASE_CAIXA!AA1829)</f>
        <v/>
      </c>
      <c r="F1832" s="26" t="str">
        <f>IF(A1832="","",BASE_CAIXA!N1829)</f>
        <v/>
      </c>
      <c r="G1832" s="26" t="str">
        <f>IF(A1832="","",BASE_CAIXA!O1829)</f>
        <v/>
      </c>
      <c r="H1832" s="26" t="str">
        <f>IF(A1832="","",BASE_CAIXA!P1829)</f>
        <v/>
      </c>
      <c r="I1832" s="26" t="str">
        <f>IF(A1832="","",IF(BASE_CAIXA!H1829&lt;&gt;"",BASE_CAIXA!H1829,BASE_CAIXA!G1829))</f>
        <v/>
      </c>
      <c r="J1832" s="26" t="str">
        <f>IF(A1832="","",BASE_CAIXA!G1829)</f>
        <v/>
      </c>
      <c r="K1832" s="26" t="str">
        <f>IF(A1832="","",BASE_CAIXA!I1829)</f>
        <v/>
      </c>
      <c r="L1832" s="26" t="str">
        <f>IF(A1832="","",BASE_CAIXA!J1829)</f>
        <v/>
      </c>
      <c r="M1832" s="26" t="str">
        <f>IF(A1832="","",BASE_CAIXA!AM1829)</f>
        <v/>
      </c>
      <c r="N1832" s="26" t="str">
        <f t="shared" ca="1" si="84"/>
        <v/>
      </c>
      <c r="O1832" s="26" t="str">
        <f>IFERROR(INDEX(EXTRATO_IMPORTADO!$A$5:$A$404,MATCH(B1832,EXTRATO_IMPORTADO!$I$5:$I$404,0)),"")</f>
        <v/>
      </c>
      <c r="P1832" s="26" t="str">
        <f>IFERROR(INDEX(EXTRATO_IMPORTADO!$F$5:$F$404,MATCH(B1832,EXTRATO_IMPORTADO!$I$5:$I$404,0)),"")</f>
        <v/>
      </c>
      <c r="Q1832" s="26" t="str">
        <f>IFERROR(INDEX(EXTRATO_IMPORTADO!$B$5:$B$404,MATCH(B1832,EXTRATO_IMPORTADO!$I$5:$I$404,0)),"")</f>
        <v/>
      </c>
      <c r="R1832" s="26" t="str">
        <f>IFERROR(MATCH(B1832,EXTRATO_IMPORTADO!$I$5:$I$404,0),"")</f>
        <v/>
      </c>
      <c r="S1832" s="26" t="str">
        <f t="shared" si="85"/>
        <v/>
      </c>
      <c r="T1832" s="26" t="str">
        <f t="shared" si="86"/>
        <v/>
      </c>
    </row>
    <row r="1833" spans="1:20" x14ac:dyDescent="0.3">
      <c r="A1833" s="26" t="str">
        <f>IF(BASE_CAIXA!A1830="","",BASE_CAIXA!A1830)</f>
        <v/>
      </c>
      <c r="B1833" s="26" t="str">
        <f>IF(A1833="","",BASE_CAIXA!AL1830)</f>
        <v/>
      </c>
      <c r="C1833" s="26" t="str">
        <f>IF(A1833="","",BASE_CAIXA!AJ1830)</f>
        <v/>
      </c>
      <c r="D1833" s="26" t="str">
        <f>IF(A1833="","",IF(BASE_CAIXA!C1830="Entrada","Crédito","Débito"))</f>
        <v/>
      </c>
      <c r="E1833" s="26" t="str">
        <f>IF(A1833="","",BASE_CAIXA!AA1830)</f>
        <v/>
      </c>
      <c r="F1833" s="26" t="str">
        <f>IF(A1833="","",BASE_CAIXA!N1830)</f>
        <v/>
      </c>
      <c r="G1833" s="26" t="str">
        <f>IF(A1833="","",BASE_CAIXA!O1830)</f>
        <v/>
      </c>
      <c r="H1833" s="26" t="str">
        <f>IF(A1833="","",BASE_CAIXA!P1830)</f>
        <v/>
      </c>
      <c r="I1833" s="26" t="str">
        <f>IF(A1833="","",IF(BASE_CAIXA!H1830&lt;&gt;"",BASE_CAIXA!H1830,BASE_CAIXA!G1830))</f>
        <v/>
      </c>
      <c r="J1833" s="26" t="str">
        <f>IF(A1833="","",BASE_CAIXA!G1830)</f>
        <v/>
      </c>
      <c r="K1833" s="26" t="str">
        <f>IF(A1833="","",BASE_CAIXA!I1830)</f>
        <v/>
      </c>
      <c r="L1833" s="26" t="str">
        <f>IF(A1833="","",BASE_CAIXA!J1830)</f>
        <v/>
      </c>
      <c r="M1833" s="26" t="str">
        <f>IF(A1833="","",BASE_CAIXA!AM1830)</f>
        <v/>
      </c>
      <c r="N1833" s="26" t="str">
        <f t="shared" ca="1" si="84"/>
        <v/>
      </c>
      <c r="O1833" s="26" t="str">
        <f>IFERROR(INDEX(EXTRATO_IMPORTADO!$A$5:$A$404,MATCH(B1833,EXTRATO_IMPORTADO!$I$5:$I$404,0)),"")</f>
        <v/>
      </c>
      <c r="P1833" s="26" t="str">
        <f>IFERROR(INDEX(EXTRATO_IMPORTADO!$F$5:$F$404,MATCH(B1833,EXTRATO_IMPORTADO!$I$5:$I$404,0)),"")</f>
        <v/>
      </c>
      <c r="Q1833" s="26" t="str">
        <f>IFERROR(INDEX(EXTRATO_IMPORTADO!$B$5:$B$404,MATCH(B1833,EXTRATO_IMPORTADO!$I$5:$I$404,0)),"")</f>
        <v/>
      </c>
      <c r="R1833" s="26" t="str">
        <f>IFERROR(MATCH(B1833,EXTRATO_IMPORTADO!$I$5:$I$404,0),"")</f>
        <v/>
      </c>
      <c r="S1833" s="26" t="str">
        <f t="shared" si="85"/>
        <v/>
      </c>
      <c r="T1833" s="26" t="str">
        <f t="shared" si="86"/>
        <v/>
      </c>
    </row>
    <row r="1834" spans="1:20" x14ac:dyDescent="0.3">
      <c r="A1834" s="26" t="str">
        <f>IF(BASE_CAIXA!A1831="","",BASE_CAIXA!A1831)</f>
        <v/>
      </c>
      <c r="B1834" s="26" t="str">
        <f>IF(A1834="","",BASE_CAIXA!AL1831)</f>
        <v/>
      </c>
      <c r="C1834" s="26" t="str">
        <f>IF(A1834="","",BASE_CAIXA!AJ1831)</f>
        <v/>
      </c>
      <c r="D1834" s="26" t="str">
        <f>IF(A1834="","",IF(BASE_CAIXA!C1831="Entrada","Crédito","Débito"))</f>
        <v/>
      </c>
      <c r="E1834" s="26" t="str">
        <f>IF(A1834="","",BASE_CAIXA!AA1831)</f>
        <v/>
      </c>
      <c r="F1834" s="26" t="str">
        <f>IF(A1834="","",BASE_CAIXA!N1831)</f>
        <v/>
      </c>
      <c r="G1834" s="26" t="str">
        <f>IF(A1834="","",BASE_CAIXA!O1831)</f>
        <v/>
      </c>
      <c r="H1834" s="26" t="str">
        <f>IF(A1834="","",BASE_CAIXA!P1831)</f>
        <v/>
      </c>
      <c r="I1834" s="26" t="str">
        <f>IF(A1834="","",IF(BASE_CAIXA!H1831&lt;&gt;"",BASE_CAIXA!H1831,BASE_CAIXA!G1831))</f>
        <v/>
      </c>
      <c r="J1834" s="26" t="str">
        <f>IF(A1834="","",BASE_CAIXA!G1831)</f>
        <v/>
      </c>
      <c r="K1834" s="26" t="str">
        <f>IF(A1834="","",BASE_CAIXA!I1831)</f>
        <v/>
      </c>
      <c r="L1834" s="26" t="str">
        <f>IF(A1834="","",BASE_CAIXA!J1831)</f>
        <v/>
      </c>
      <c r="M1834" s="26" t="str">
        <f>IF(A1834="","",BASE_CAIXA!AM1831)</f>
        <v/>
      </c>
      <c r="N1834" s="26" t="str">
        <f t="shared" ca="1" si="84"/>
        <v/>
      </c>
      <c r="O1834" s="26" t="str">
        <f>IFERROR(INDEX(EXTRATO_IMPORTADO!$A$5:$A$404,MATCH(B1834,EXTRATO_IMPORTADO!$I$5:$I$404,0)),"")</f>
        <v/>
      </c>
      <c r="P1834" s="26" t="str">
        <f>IFERROR(INDEX(EXTRATO_IMPORTADO!$F$5:$F$404,MATCH(B1834,EXTRATO_IMPORTADO!$I$5:$I$404,0)),"")</f>
        <v/>
      </c>
      <c r="Q1834" s="26" t="str">
        <f>IFERROR(INDEX(EXTRATO_IMPORTADO!$B$5:$B$404,MATCH(B1834,EXTRATO_IMPORTADO!$I$5:$I$404,0)),"")</f>
        <v/>
      </c>
      <c r="R1834" s="26" t="str">
        <f>IFERROR(MATCH(B1834,EXTRATO_IMPORTADO!$I$5:$I$404,0),"")</f>
        <v/>
      </c>
      <c r="S1834" s="26" t="str">
        <f t="shared" si="85"/>
        <v/>
      </c>
      <c r="T1834" s="26" t="str">
        <f t="shared" si="86"/>
        <v/>
      </c>
    </row>
    <row r="1835" spans="1:20" x14ac:dyDescent="0.3">
      <c r="A1835" s="26" t="str">
        <f>IF(BASE_CAIXA!A1832="","",BASE_CAIXA!A1832)</f>
        <v/>
      </c>
      <c r="B1835" s="26" t="str">
        <f>IF(A1835="","",BASE_CAIXA!AL1832)</f>
        <v/>
      </c>
      <c r="C1835" s="26" t="str">
        <f>IF(A1835="","",BASE_CAIXA!AJ1832)</f>
        <v/>
      </c>
      <c r="D1835" s="26" t="str">
        <f>IF(A1835="","",IF(BASE_CAIXA!C1832="Entrada","Crédito","Débito"))</f>
        <v/>
      </c>
      <c r="E1835" s="26" t="str">
        <f>IF(A1835="","",BASE_CAIXA!AA1832)</f>
        <v/>
      </c>
      <c r="F1835" s="26" t="str">
        <f>IF(A1835="","",BASE_CAIXA!N1832)</f>
        <v/>
      </c>
      <c r="G1835" s="26" t="str">
        <f>IF(A1835="","",BASE_CAIXA!O1832)</f>
        <v/>
      </c>
      <c r="H1835" s="26" t="str">
        <f>IF(A1835="","",BASE_CAIXA!P1832)</f>
        <v/>
      </c>
      <c r="I1835" s="26" t="str">
        <f>IF(A1835="","",IF(BASE_CAIXA!H1832&lt;&gt;"",BASE_CAIXA!H1832,BASE_CAIXA!G1832))</f>
        <v/>
      </c>
      <c r="J1835" s="26" t="str">
        <f>IF(A1835="","",BASE_CAIXA!G1832)</f>
        <v/>
      </c>
      <c r="K1835" s="26" t="str">
        <f>IF(A1835="","",BASE_CAIXA!I1832)</f>
        <v/>
      </c>
      <c r="L1835" s="26" t="str">
        <f>IF(A1835="","",BASE_CAIXA!J1832)</f>
        <v/>
      </c>
      <c r="M1835" s="26" t="str">
        <f>IF(A1835="","",BASE_CAIXA!AM1832)</f>
        <v/>
      </c>
      <c r="N1835" s="26" t="str">
        <f t="shared" ca="1" si="84"/>
        <v/>
      </c>
      <c r="O1835" s="26" t="str">
        <f>IFERROR(INDEX(EXTRATO_IMPORTADO!$A$5:$A$404,MATCH(B1835,EXTRATO_IMPORTADO!$I$5:$I$404,0)),"")</f>
        <v/>
      </c>
      <c r="P1835" s="26" t="str">
        <f>IFERROR(INDEX(EXTRATO_IMPORTADO!$F$5:$F$404,MATCH(B1835,EXTRATO_IMPORTADO!$I$5:$I$404,0)),"")</f>
        <v/>
      </c>
      <c r="Q1835" s="26" t="str">
        <f>IFERROR(INDEX(EXTRATO_IMPORTADO!$B$5:$B$404,MATCH(B1835,EXTRATO_IMPORTADO!$I$5:$I$404,0)),"")</f>
        <v/>
      </c>
      <c r="R1835" s="26" t="str">
        <f>IFERROR(MATCH(B1835,EXTRATO_IMPORTADO!$I$5:$I$404,0),"")</f>
        <v/>
      </c>
      <c r="S1835" s="26" t="str">
        <f t="shared" si="85"/>
        <v/>
      </c>
      <c r="T1835" s="26" t="str">
        <f t="shared" si="86"/>
        <v/>
      </c>
    </row>
    <row r="1836" spans="1:20" x14ac:dyDescent="0.3">
      <c r="A1836" s="26" t="str">
        <f>IF(BASE_CAIXA!A1833="","",BASE_CAIXA!A1833)</f>
        <v/>
      </c>
      <c r="B1836" s="26" t="str">
        <f>IF(A1836="","",BASE_CAIXA!AL1833)</f>
        <v/>
      </c>
      <c r="C1836" s="26" t="str">
        <f>IF(A1836="","",BASE_CAIXA!AJ1833)</f>
        <v/>
      </c>
      <c r="D1836" s="26" t="str">
        <f>IF(A1836="","",IF(BASE_CAIXA!C1833="Entrada","Crédito","Débito"))</f>
        <v/>
      </c>
      <c r="E1836" s="26" t="str">
        <f>IF(A1836="","",BASE_CAIXA!AA1833)</f>
        <v/>
      </c>
      <c r="F1836" s="26" t="str">
        <f>IF(A1836="","",BASE_CAIXA!N1833)</f>
        <v/>
      </c>
      <c r="G1836" s="26" t="str">
        <f>IF(A1836="","",BASE_CAIXA!O1833)</f>
        <v/>
      </c>
      <c r="H1836" s="26" t="str">
        <f>IF(A1836="","",BASE_CAIXA!P1833)</f>
        <v/>
      </c>
      <c r="I1836" s="26" t="str">
        <f>IF(A1836="","",IF(BASE_CAIXA!H1833&lt;&gt;"",BASE_CAIXA!H1833,BASE_CAIXA!G1833))</f>
        <v/>
      </c>
      <c r="J1836" s="26" t="str">
        <f>IF(A1836="","",BASE_CAIXA!G1833)</f>
        <v/>
      </c>
      <c r="K1836" s="26" t="str">
        <f>IF(A1836="","",BASE_CAIXA!I1833)</f>
        <v/>
      </c>
      <c r="L1836" s="26" t="str">
        <f>IF(A1836="","",BASE_CAIXA!J1833)</f>
        <v/>
      </c>
      <c r="M1836" s="26" t="str">
        <f>IF(A1836="","",BASE_CAIXA!AM1833)</f>
        <v/>
      </c>
      <c r="N1836" s="26" t="str">
        <f t="shared" ca="1" si="84"/>
        <v/>
      </c>
      <c r="O1836" s="26" t="str">
        <f>IFERROR(INDEX(EXTRATO_IMPORTADO!$A$5:$A$404,MATCH(B1836,EXTRATO_IMPORTADO!$I$5:$I$404,0)),"")</f>
        <v/>
      </c>
      <c r="P1836" s="26" t="str">
        <f>IFERROR(INDEX(EXTRATO_IMPORTADO!$F$5:$F$404,MATCH(B1836,EXTRATO_IMPORTADO!$I$5:$I$404,0)),"")</f>
        <v/>
      </c>
      <c r="Q1836" s="26" t="str">
        <f>IFERROR(INDEX(EXTRATO_IMPORTADO!$B$5:$B$404,MATCH(B1836,EXTRATO_IMPORTADO!$I$5:$I$404,0)),"")</f>
        <v/>
      </c>
      <c r="R1836" s="26" t="str">
        <f>IFERROR(MATCH(B1836,EXTRATO_IMPORTADO!$I$5:$I$404,0),"")</f>
        <v/>
      </c>
      <c r="S1836" s="26" t="str">
        <f t="shared" si="85"/>
        <v/>
      </c>
      <c r="T1836" s="26" t="str">
        <f t="shared" si="86"/>
        <v/>
      </c>
    </row>
    <row r="1837" spans="1:20" x14ac:dyDescent="0.3">
      <c r="A1837" s="26" t="str">
        <f>IF(BASE_CAIXA!A1834="","",BASE_CAIXA!A1834)</f>
        <v/>
      </c>
      <c r="B1837" s="26" t="str">
        <f>IF(A1837="","",BASE_CAIXA!AL1834)</f>
        <v/>
      </c>
      <c r="C1837" s="26" t="str">
        <f>IF(A1837="","",BASE_CAIXA!AJ1834)</f>
        <v/>
      </c>
      <c r="D1837" s="26" t="str">
        <f>IF(A1837="","",IF(BASE_CAIXA!C1834="Entrada","Crédito","Débito"))</f>
        <v/>
      </c>
      <c r="E1837" s="26" t="str">
        <f>IF(A1837="","",BASE_CAIXA!AA1834)</f>
        <v/>
      </c>
      <c r="F1837" s="26" t="str">
        <f>IF(A1837="","",BASE_CAIXA!N1834)</f>
        <v/>
      </c>
      <c r="G1837" s="26" t="str">
        <f>IF(A1837="","",BASE_CAIXA!O1834)</f>
        <v/>
      </c>
      <c r="H1837" s="26" t="str">
        <f>IF(A1837="","",BASE_CAIXA!P1834)</f>
        <v/>
      </c>
      <c r="I1837" s="26" t="str">
        <f>IF(A1837="","",IF(BASE_CAIXA!H1834&lt;&gt;"",BASE_CAIXA!H1834,BASE_CAIXA!G1834))</f>
        <v/>
      </c>
      <c r="J1837" s="26" t="str">
        <f>IF(A1837="","",BASE_CAIXA!G1834)</f>
        <v/>
      </c>
      <c r="K1837" s="26" t="str">
        <f>IF(A1837="","",BASE_CAIXA!I1834)</f>
        <v/>
      </c>
      <c r="L1837" s="26" t="str">
        <f>IF(A1837="","",BASE_CAIXA!J1834)</f>
        <v/>
      </c>
      <c r="M1837" s="26" t="str">
        <f>IF(A1837="","",BASE_CAIXA!AM1834)</f>
        <v/>
      </c>
      <c r="N1837" s="26" t="str">
        <f t="shared" ca="1" si="84"/>
        <v/>
      </c>
      <c r="O1837" s="26" t="str">
        <f>IFERROR(INDEX(EXTRATO_IMPORTADO!$A$5:$A$404,MATCH(B1837,EXTRATO_IMPORTADO!$I$5:$I$404,0)),"")</f>
        <v/>
      </c>
      <c r="P1837" s="26" t="str">
        <f>IFERROR(INDEX(EXTRATO_IMPORTADO!$F$5:$F$404,MATCH(B1837,EXTRATO_IMPORTADO!$I$5:$I$404,0)),"")</f>
        <v/>
      </c>
      <c r="Q1837" s="26" t="str">
        <f>IFERROR(INDEX(EXTRATO_IMPORTADO!$B$5:$B$404,MATCH(B1837,EXTRATO_IMPORTADO!$I$5:$I$404,0)),"")</f>
        <v/>
      </c>
      <c r="R1837" s="26" t="str">
        <f>IFERROR(MATCH(B1837,EXTRATO_IMPORTADO!$I$5:$I$404,0),"")</f>
        <v/>
      </c>
      <c r="S1837" s="26" t="str">
        <f t="shared" si="85"/>
        <v/>
      </c>
      <c r="T1837" s="26" t="str">
        <f t="shared" si="86"/>
        <v/>
      </c>
    </row>
    <row r="1838" spans="1:20" x14ac:dyDescent="0.3">
      <c r="A1838" s="26" t="str">
        <f>IF(BASE_CAIXA!A1835="","",BASE_CAIXA!A1835)</f>
        <v/>
      </c>
      <c r="B1838" s="26" t="str">
        <f>IF(A1838="","",BASE_CAIXA!AL1835)</f>
        <v/>
      </c>
      <c r="C1838" s="26" t="str">
        <f>IF(A1838="","",BASE_CAIXA!AJ1835)</f>
        <v/>
      </c>
      <c r="D1838" s="26" t="str">
        <f>IF(A1838="","",IF(BASE_CAIXA!C1835="Entrada","Crédito","Débito"))</f>
        <v/>
      </c>
      <c r="E1838" s="26" t="str">
        <f>IF(A1838="","",BASE_CAIXA!AA1835)</f>
        <v/>
      </c>
      <c r="F1838" s="26" t="str">
        <f>IF(A1838="","",BASE_CAIXA!N1835)</f>
        <v/>
      </c>
      <c r="G1838" s="26" t="str">
        <f>IF(A1838="","",BASE_CAIXA!O1835)</f>
        <v/>
      </c>
      <c r="H1838" s="26" t="str">
        <f>IF(A1838="","",BASE_CAIXA!P1835)</f>
        <v/>
      </c>
      <c r="I1838" s="26" t="str">
        <f>IF(A1838="","",IF(BASE_CAIXA!H1835&lt;&gt;"",BASE_CAIXA!H1835,BASE_CAIXA!G1835))</f>
        <v/>
      </c>
      <c r="J1838" s="26" t="str">
        <f>IF(A1838="","",BASE_CAIXA!G1835)</f>
        <v/>
      </c>
      <c r="K1838" s="26" t="str">
        <f>IF(A1838="","",BASE_CAIXA!I1835)</f>
        <v/>
      </c>
      <c r="L1838" s="26" t="str">
        <f>IF(A1838="","",BASE_CAIXA!J1835)</f>
        <v/>
      </c>
      <c r="M1838" s="26" t="str">
        <f>IF(A1838="","",BASE_CAIXA!AM1835)</f>
        <v/>
      </c>
      <c r="N1838" s="26" t="str">
        <f t="shared" ca="1" si="84"/>
        <v/>
      </c>
      <c r="O1838" s="26" t="str">
        <f>IFERROR(INDEX(EXTRATO_IMPORTADO!$A$5:$A$404,MATCH(B1838,EXTRATO_IMPORTADO!$I$5:$I$404,0)),"")</f>
        <v/>
      </c>
      <c r="P1838" s="26" t="str">
        <f>IFERROR(INDEX(EXTRATO_IMPORTADO!$F$5:$F$404,MATCH(B1838,EXTRATO_IMPORTADO!$I$5:$I$404,0)),"")</f>
        <v/>
      </c>
      <c r="Q1838" s="26" t="str">
        <f>IFERROR(INDEX(EXTRATO_IMPORTADO!$B$5:$B$404,MATCH(B1838,EXTRATO_IMPORTADO!$I$5:$I$404,0)),"")</f>
        <v/>
      </c>
      <c r="R1838" s="26" t="str">
        <f>IFERROR(MATCH(B1838,EXTRATO_IMPORTADO!$I$5:$I$404,0),"")</f>
        <v/>
      </c>
      <c r="S1838" s="26" t="str">
        <f t="shared" si="85"/>
        <v/>
      </c>
      <c r="T1838" s="26" t="str">
        <f t="shared" si="86"/>
        <v/>
      </c>
    </row>
    <row r="1839" spans="1:20" x14ac:dyDescent="0.3">
      <c r="A1839" s="26" t="str">
        <f>IF(BASE_CAIXA!A1836="","",BASE_CAIXA!A1836)</f>
        <v/>
      </c>
      <c r="B1839" s="26" t="str">
        <f>IF(A1839="","",BASE_CAIXA!AL1836)</f>
        <v/>
      </c>
      <c r="C1839" s="26" t="str">
        <f>IF(A1839="","",BASE_CAIXA!AJ1836)</f>
        <v/>
      </c>
      <c r="D1839" s="26" t="str">
        <f>IF(A1839="","",IF(BASE_CAIXA!C1836="Entrada","Crédito","Débito"))</f>
        <v/>
      </c>
      <c r="E1839" s="26" t="str">
        <f>IF(A1839="","",BASE_CAIXA!AA1836)</f>
        <v/>
      </c>
      <c r="F1839" s="26" t="str">
        <f>IF(A1839="","",BASE_CAIXA!N1836)</f>
        <v/>
      </c>
      <c r="G1839" s="26" t="str">
        <f>IF(A1839="","",BASE_CAIXA!O1836)</f>
        <v/>
      </c>
      <c r="H1839" s="26" t="str">
        <f>IF(A1839="","",BASE_CAIXA!P1836)</f>
        <v/>
      </c>
      <c r="I1839" s="26" t="str">
        <f>IF(A1839="","",IF(BASE_CAIXA!H1836&lt;&gt;"",BASE_CAIXA!H1836,BASE_CAIXA!G1836))</f>
        <v/>
      </c>
      <c r="J1839" s="26" t="str">
        <f>IF(A1839="","",BASE_CAIXA!G1836)</f>
        <v/>
      </c>
      <c r="K1839" s="26" t="str">
        <f>IF(A1839="","",BASE_CAIXA!I1836)</f>
        <v/>
      </c>
      <c r="L1839" s="26" t="str">
        <f>IF(A1839="","",BASE_CAIXA!J1836)</f>
        <v/>
      </c>
      <c r="M1839" s="26" t="str">
        <f>IF(A1839="","",BASE_CAIXA!AM1836)</f>
        <v/>
      </c>
      <c r="N1839" s="26" t="str">
        <f t="shared" ca="1" si="84"/>
        <v/>
      </c>
      <c r="O1839" s="26" t="str">
        <f>IFERROR(INDEX(EXTRATO_IMPORTADO!$A$5:$A$404,MATCH(B1839,EXTRATO_IMPORTADO!$I$5:$I$404,0)),"")</f>
        <v/>
      </c>
      <c r="P1839" s="26" t="str">
        <f>IFERROR(INDEX(EXTRATO_IMPORTADO!$F$5:$F$404,MATCH(B1839,EXTRATO_IMPORTADO!$I$5:$I$404,0)),"")</f>
        <v/>
      </c>
      <c r="Q1839" s="26" t="str">
        <f>IFERROR(INDEX(EXTRATO_IMPORTADO!$B$5:$B$404,MATCH(B1839,EXTRATO_IMPORTADO!$I$5:$I$404,0)),"")</f>
        <v/>
      </c>
      <c r="R1839" s="26" t="str">
        <f>IFERROR(MATCH(B1839,EXTRATO_IMPORTADO!$I$5:$I$404,0),"")</f>
        <v/>
      </c>
      <c r="S1839" s="26" t="str">
        <f t="shared" si="85"/>
        <v/>
      </c>
      <c r="T1839" s="26" t="str">
        <f t="shared" si="86"/>
        <v/>
      </c>
    </row>
    <row r="1840" spans="1:20" x14ac:dyDescent="0.3">
      <c r="A1840" s="26" t="str">
        <f>IF(BASE_CAIXA!A1837="","",BASE_CAIXA!A1837)</f>
        <v/>
      </c>
      <c r="B1840" s="26" t="str">
        <f>IF(A1840="","",BASE_CAIXA!AL1837)</f>
        <v/>
      </c>
      <c r="C1840" s="26" t="str">
        <f>IF(A1840="","",BASE_CAIXA!AJ1837)</f>
        <v/>
      </c>
      <c r="D1840" s="26" t="str">
        <f>IF(A1840="","",IF(BASE_CAIXA!C1837="Entrada","Crédito","Débito"))</f>
        <v/>
      </c>
      <c r="E1840" s="26" t="str">
        <f>IF(A1840="","",BASE_CAIXA!AA1837)</f>
        <v/>
      </c>
      <c r="F1840" s="26" t="str">
        <f>IF(A1840="","",BASE_CAIXA!N1837)</f>
        <v/>
      </c>
      <c r="G1840" s="26" t="str">
        <f>IF(A1840="","",BASE_CAIXA!O1837)</f>
        <v/>
      </c>
      <c r="H1840" s="26" t="str">
        <f>IF(A1840="","",BASE_CAIXA!P1837)</f>
        <v/>
      </c>
      <c r="I1840" s="26" t="str">
        <f>IF(A1840="","",IF(BASE_CAIXA!H1837&lt;&gt;"",BASE_CAIXA!H1837,BASE_CAIXA!G1837))</f>
        <v/>
      </c>
      <c r="J1840" s="26" t="str">
        <f>IF(A1840="","",BASE_CAIXA!G1837)</f>
        <v/>
      </c>
      <c r="K1840" s="26" t="str">
        <f>IF(A1840="","",BASE_CAIXA!I1837)</f>
        <v/>
      </c>
      <c r="L1840" s="26" t="str">
        <f>IF(A1840="","",BASE_CAIXA!J1837)</f>
        <v/>
      </c>
      <c r="M1840" s="26" t="str">
        <f>IF(A1840="","",BASE_CAIXA!AM1837)</f>
        <v/>
      </c>
      <c r="N1840" s="26" t="str">
        <f t="shared" ca="1" si="84"/>
        <v/>
      </c>
      <c r="O1840" s="26" t="str">
        <f>IFERROR(INDEX(EXTRATO_IMPORTADO!$A$5:$A$404,MATCH(B1840,EXTRATO_IMPORTADO!$I$5:$I$404,0)),"")</f>
        <v/>
      </c>
      <c r="P1840" s="26" t="str">
        <f>IFERROR(INDEX(EXTRATO_IMPORTADO!$F$5:$F$404,MATCH(B1840,EXTRATO_IMPORTADO!$I$5:$I$404,0)),"")</f>
        <v/>
      </c>
      <c r="Q1840" s="26" t="str">
        <f>IFERROR(INDEX(EXTRATO_IMPORTADO!$B$5:$B$404,MATCH(B1840,EXTRATO_IMPORTADO!$I$5:$I$404,0)),"")</f>
        <v/>
      </c>
      <c r="R1840" s="26" t="str">
        <f>IFERROR(MATCH(B1840,EXTRATO_IMPORTADO!$I$5:$I$404,0),"")</f>
        <v/>
      </c>
      <c r="S1840" s="26" t="str">
        <f t="shared" si="85"/>
        <v/>
      </c>
      <c r="T1840" s="26" t="str">
        <f t="shared" si="86"/>
        <v/>
      </c>
    </row>
    <row r="1841" spans="1:20" x14ac:dyDescent="0.3">
      <c r="A1841" s="26" t="str">
        <f>IF(BASE_CAIXA!A1838="","",BASE_CAIXA!A1838)</f>
        <v/>
      </c>
      <c r="B1841" s="26" t="str">
        <f>IF(A1841="","",BASE_CAIXA!AL1838)</f>
        <v/>
      </c>
      <c r="C1841" s="26" t="str">
        <f>IF(A1841="","",BASE_CAIXA!AJ1838)</f>
        <v/>
      </c>
      <c r="D1841" s="26" t="str">
        <f>IF(A1841="","",IF(BASE_CAIXA!C1838="Entrada","Crédito","Débito"))</f>
        <v/>
      </c>
      <c r="E1841" s="26" t="str">
        <f>IF(A1841="","",BASE_CAIXA!AA1838)</f>
        <v/>
      </c>
      <c r="F1841" s="26" t="str">
        <f>IF(A1841="","",BASE_CAIXA!N1838)</f>
        <v/>
      </c>
      <c r="G1841" s="26" t="str">
        <f>IF(A1841="","",BASE_CAIXA!O1838)</f>
        <v/>
      </c>
      <c r="H1841" s="26" t="str">
        <f>IF(A1841="","",BASE_CAIXA!P1838)</f>
        <v/>
      </c>
      <c r="I1841" s="26" t="str">
        <f>IF(A1841="","",IF(BASE_CAIXA!H1838&lt;&gt;"",BASE_CAIXA!H1838,BASE_CAIXA!G1838))</f>
        <v/>
      </c>
      <c r="J1841" s="26" t="str">
        <f>IF(A1841="","",BASE_CAIXA!G1838)</f>
        <v/>
      </c>
      <c r="K1841" s="26" t="str">
        <f>IF(A1841="","",BASE_CAIXA!I1838)</f>
        <v/>
      </c>
      <c r="L1841" s="26" t="str">
        <f>IF(A1841="","",BASE_CAIXA!J1838)</f>
        <v/>
      </c>
      <c r="M1841" s="26" t="str">
        <f>IF(A1841="","",BASE_CAIXA!AM1838)</f>
        <v/>
      </c>
      <c r="N1841" s="26" t="str">
        <f t="shared" ca="1" si="84"/>
        <v/>
      </c>
      <c r="O1841" s="26" t="str">
        <f>IFERROR(INDEX(EXTRATO_IMPORTADO!$A$5:$A$404,MATCH(B1841,EXTRATO_IMPORTADO!$I$5:$I$404,0)),"")</f>
        <v/>
      </c>
      <c r="P1841" s="26" t="str">
        <f>IFERROR(INDEX(EXTRATO_IMPORTADO!$F$5:$F$404,MATCH(B1841,EXTRATO_IMPORTADO!$I$5:$I$404,0)),"")</f>
        <v/>
      </c>
      <c r="Q1841" s="26" t="str">
        <f>IFERROR(INDEX(EXTRATO_IMPORTADO!$B$5:$B$404,MATCH(B1841,EXTRATO_IMPORTADO!$I$5:$I$404,0)),"")</f>
        <v/>
      </c>
      <c r="R1841" s="26" t="str">
        <f>IFERROR(MATCH(B1841,EXTRATO_IMPORTADO!$I$5:$I$404,0),"")</f>
        <v/>
      </c>
      <c r="S1841" s="26" t="str">
        <f t="shared" si="85"/>
        <v/>
      </c>
      <c r="T1841" s="26" t="str">
        <f t="shared" si="86"/>
        <v/>
      </c>
    </row>
    <row r="1842" spans="1:20" x14ac:dyDescent="0.3">
      <c r="A1842" s="26" t="str">
        <f>IF(BASE_CAIXA!A1839="","",BASE_CAIXA!A1839)</f>
        <v/>
      </c>
      <c r="B1842" s="26" t="str">
        <f>IF(A1842="","",BASE_CAIXA!AL1839)</f>
        <v/>
      </c>
      <c r="C1842" s="26" t="str">
        <f>IF(A1842="","",BASE_CAIXA!AJ1839)</f>
        <v/>
      </c>
      <c r="D1842" s="26" t="str">
        <f>IF(A1842="","",IF(BASE_CAIXA!C1839="Entrada","Crédito","Débito"))</f>
        <v/>
      </c>
      <c r="E1842" s="26" t="str">
        <f>IF(A1842="","",BASE_CAIXA!AA1839)</f>
        <v/>
      </c>
      <c r="F1842" s="26" t="str">
        <f>IF(A1842="","",BASE_CAIXA!N1839)</f>
        <v/>
      </c>
      <c r="G1842" s="26" t="str">
        <f>IF(A1842="","",BASE_CAIXA!O1839)</f>
        <v/>
      </c>
      <c r="H1842" s="26" t="str">
        <f>IF(A1842="","",BASE_CAIXA!P1839)</f>
        <v/>
      </c>
      <c r="I1842" s="26" t="str">
        <f>IF(A1842="","",IF(BASE_CAIXA!H1839&lt;&gt;"",BASE_CAIXA!H1839,BASE_CAIXA!G1839))</f>
        <v/>
      </c>
      <c r="J1842" s="26" t="str">
        <f>IF(A1842="","",BASE_CAIXA!G1839)</f>
        <v/>
      </c>
      <c r="K1842" s="26" t="str">
        <f>IF(A1842="","",BASE_CAIXA!I1839)</f>
        <v/>
      </c>
      <c r="L1842" s="26" t="str">
        <f>IF(A1842="","",BASE_CAIXA!J1839)</f>
        <v/>
      </c>
      <c r="M1842" s="26" t="str">
        <f>IF(A1842="","",BASE_CAIXA!AM1839)</f>
        <v/>
      </c>
      <c r="N1842" s="26" t="str">
        <f t="shared" ca="1" si="84"/>
        <v/>
      </c>
      <c r="O1842" s="26" t="str">
        <f>IFERROR(INDEX(EXTRATO_IMPORTADO!$A$5:$A$404,MATCH(B1842,EXTRATO_IMPORTADO!$I$5:$I$404,0)),"")</f>
        <v/>
      </c>
      <c r="P1842" s="26" t="str">
        <f>IFERROR(INDEX(EXTRATO_IMPORTADO!$F$5:$F$404,MATCH(B1842,EXTRATO_IMPORTADO!$I$5:$I$404,0)),"")</f>
        <v/>
      </c>
      <c r="Q1842" s="26" t="str">
        <f>IFERROR(INDEX(EXTRATO_IMPORTADO!$B$5:$B$404,MATCH(B1842,EXTRATO_IMPORTADO!$I$5:$I$404,0)),"")</f>
        <v/>
      </c>
      <c r="R1842" s="26" t="str">
        <f>IFERROR(MATCH(B1842,EXTRATO_IMPORTADO!$I$5:$I$404,0),"")</f>
        <v/>
      </c>
      <c r="S1842" s="26" t="str">
        <f t="shared" si="85"/>
        <v/>
      </c>
      <c r="T1842" s="26" t="str">
        <f t="shared" si="86"/>
        <v/>
      </c>
    </row>
    <row r="1843" spans="1:20" x14ac:dyDescent="0.3">
      <c r="A1843" s="26" t="str">
        <f>IF(BASE_CAIXA!A1840="","",BASE_CAIXA!A1840)</f>
        <v/>
      </c>
      <c r="B1843" s="26" t="str">
        <f>IF(A1843="","",BASE_CAIXA!AL1840)</f>
        <v/>
      </c>
      <c r="C1843" s="26" t="str">
        <f>IF(A1843="","",BASE_CAIXA!AJ1840)</f>
        <v/>
      </c>
      <c r="D1843" s="26" t="str">
        <f>IF(A1843="","",IF(BASE_CAIXA!C1840="Entrada","Crédito","Débito"))</f>
        <v/>
      </c>
      <c r="E1843" s="26" t="str">
        <f>IF(A1843="","",BASE_CAIXA!AA1840)</f>
        <v/>
      </c>
      <c r="F1843" s="26" t="str">
        <f>IF(A1843="","",BASE_CAIXA!N1840)</f>
        <v/>
      </c>
      <c r="G1843" s="26" t="str">
        <f>IF(A1843="","",BASE_CAIXA!O1840)</f>
        <v/>
      </c>
      <c r="H1843" s="26" t="str">
        <f>IF(A1843="","",BASE_CAIXA!P1840)</f>
        <v/>
      </c>
      <c r="I1843" s="26" t="str">
        <f>IF(A1843="","",IF(BASE_CAIXA!H1840&lt;&gt;"",BASE_CAIXA!H1840,BASE_CAIXA!G1840))</f>
        <v/>
      </c>
      <c r="J1843" s="26" t="str">
        <f>IF(A1843="","",BASE_CAIXA!G1840)</f>
        <v/>
      </c>
      <c r="K1843" s="26" t="str">
        <f>IF(A1843="","",BASE_CAIXA!I1840)</f>
        <v/>
      </c>
      <c r="L1843" s="26" t="str">
        <f>IF(A1843="","",BASE_CAIXA!J1840)</f>
        <v/>
      </c>
      <c r="M1843" s="26" t="str">
        <f>IF(A1843="","",BASE_CAIXA!AM1840)</f>
        <v/>
      </c>
      <c r="N1843" s="26" t="str">
        <f t="shared" ca="1" si="84"/>
        <v/>
      </c>
      <c r="O1843" s="26" t="str">
        <f>IFERROR(INDEX(EXTRATO_IMPORTADO!$A$5:$A$404,MATCH(B1843,EXTRATO_IMPORTADO!$I$5:$I$404,0)),"")</f>
        <v/>
      </c>
      <c r="P1843" s="26" t="str">
        <f>IFERROR(INDEX(EXTRATO_IMPORTADO!$F$5:$F$404,MATCH(B1843,EXTRATO_IMPORTADO!$I$5:$I$404,0)),"")</f>
        <v/>
      </c>
      <c r="Q1843" s="26" t="str">
        <f>IFERROR(INDEX(EXTRATO_IMPORTADO!$B$5:$B$404,MATCH(B1843,EXTRATO_IMPORTADO!$I$5:$I$404,0)),"")</f>
        <v/>
      </c>
      <c r="R1843" s="26" t="str">
        <f>IFERROR(MATCH(B1843,EXTRATO_IMPORTADO!$I$5:$I$404,0),"")</f>
        <v/>
      </c>
      <c r="S1843" s="26" t="str">
        <f t="shared" si="85"/>
        <v/>
      </c>
      <c r="T1843" s="26" t="str">
        <f t="shared" si="86"/>
        <v/>
      </c>
    </row>
    <row r="1844" spans="1:20" x14ac:dyDescent="0.3">
      <c r="A1844" s="26" t="str">
        <f>IF(BASE_CAIXA!A1841="","",BASE_CAIXA!A1841)</f>
        <v/>
      </c>
      <c r="B1844" s="26" t="str">
        <f>IF(A1844="","",BASE_CAIXA!AL1841)</f>
        <v/>
      </c>
      <c r="C1844" s="26" t="str">
        <f>IF(A1844="","",BASE_CAIXA!AJ1841)</f>
        <v/>
      </c>
      <c r="D1844" s="26" t="str">
        <f>IF(A1844="","",IF(BASE_CAIXA!C1841="Entrada","Crédito","Débito"))</f>
        <v/>
      </c>
      <c r="E1844" s="26" t="str">
        <f>IF(A1844="","",BASE_CAIXA!AA1841)</f>
        <v/>
      </c>
      <c r="F1844" s="26" t="str">
        <f>IF(A1844="","",BASE_CAIXA!N1841)</f>
        <v/>
      </c>
      <c r="G1844" s="26" t="str">
        <f>IF(A1844="","",BASE_CAIXA!O1841)</f>
        <v/>
      </c>
      <c r="H1844" s="26" t="str">
        <f>IF(A1844="","",BASE_CAIXA!P1841)</f>
        <v/>
      </c>
      <c r="I1844" s="26" t="str">
        <f>IF(A1844="","",IF(BASE_CAIXA!H1841&lt;&gt;"",BASE_CAIXA!H1841,BASE_CAIXA!G1841))</f>
        <v/>
      </c>
      <c r="J1844" s="26" t="str">
        <f>IF(A1844="","",BASE_CAIXA!G1841)</f>
        <v/>
      </c>
      <c r="K1844" s="26" t="str">
        <f>IF(A1844="","",BASE_CAIXA!I1841)</f>
        <v/>
      </c>
      <c r="L1844" s="26" t="str">
        <f>IF(A1844="","",BASE_CAIXA!J1841)</f>
        <v/>
      </c>
      <c r="M1844" s="26" t="str">
        <f>IF(A1844="","",BASE_CAIXA!AM1841)</f>
        <v/>
      </c>
      <c r="N1844" s="26" t="str">
        <f t="shared" ca="1" si="84"/>
        <v/>
      </c>
      <c r="O1844" s="26" t="str">
        <f>IFERROR(INDEX(EXTRATO_IMPORTADO!$A$5:$A$404,MATCH(B1844,EXTRATO_IMPORTADO!$I$5:$I$404,0)),"")</f>
        <v/>
      </c>
      <c r="P1844" s="26" t="str">
        <f>IFERROR(INDEX(EXTRATO_IMPORTADO!$F$5:$F$404,MATCH(B1844,EXTRATO_IMPORTADO!$I$5:$I$404,0)),"")</f>
        <v/>
      </c>
      <c r="Q1844" s="26" t="str">
        <f>IFERROR(INDEX(EXTRATO_IMPORTADO!$B$5:$B$404,MATCH(B1844,EXTRATO_IMPORTADO!$I$5:$I$404,0)),"")</f>
        <v/>
      </c>
      <c r="R1844" s="26" t="str">
        <f>IFERROR(MATCH(B1844,EXTRATO_IMPORTADO!$I$5:$I$404,0),"")</f>
        <v/>
      </c>
      <c r="S1844" s="26" t="str">
        <f t="shared" si="85"/>
        <v/>
      </c>
      <c r="T1844" s="26" t="str">
        <f t="shared" si="86"/>
        <v/>
      </c>
    </row>
    <row r="1845" spans="1:20" x14ac:dyDescent="0.3">
      <c r="A1845" s="26" t="str">
        <f>IF(BASE_CAIXA!A1842="","",BASE_CAIXA!A1842)</f>
        <v/>
      </c>
      <c r="B1845" s="26" t="str">
        <f>IF(A1845="","",BASE_CAIXA!AL1842)</f>
        <v/>
      </c>
      <c r="C1845" s="26" t="str">
        <f>IF(A1845="","",BASE_CAIXA!AJ1842)</f>
        <v/>
      </c>
      <c r="D1845" s="26" t="str">
        <f>IF(A1845="","",IF(BASE_CAIXA!C1842="Entrada","Crédito","Débito"))</f>
        <v/>
      </c>
      <c r="E1845" s="26" t="str">
        <f>IF(A1845="","",BASE_CAIXA!AA1842)</f>
        <v/>
      </c>
      <c r="F1845" s="26" t="str">
        <f>IF(A1845="","",BASE_CAIXA!N1842)</f>
        <v/>
      </c>
      <c r="G1845" s="26" t="str">
        <f>IF(A1845="","",BASE_CAIXA!O1842)</f>
        <v/>
      </c>
      <c r="H1845" s="26" t="str">
        <f>IF(A1845="","",BASE_CAIXA!P1842)</f>
        <v/>
      </c>
      <c r="I1845" s="26" t="str">
        <f>IF(A1845="","",IF(BASE_CAIXA!H1842&lt;&gt;"",BASE_CAIXA!H1842,BASE_CAIXA!G1842))</f>
        <v/>
      </c>
      <c r="J1845" s="26" t="str">
        <f>IF(A1845="","",BASE_CAIXA!G1842)</f>
        <v/>
      </c>
      <c r="K1845" s="26" t="str">
        <f>IF(A1845="","",BASE_CAIXA!I1842)</f>
        <v/>
      </c>
      <c r="L1845" s="26" t="str">
        <f>IF(A1845="","",BASE_CAIXA!J1842)</f>
        <v/>
      </c>
      <c r="M1845" s="26" t="str">
        <f>IF(A1845="","",BASE_CAIXA!AM1842)</f>
        <v/>
      </c>
      <c r="N1845" s="26" t="str">
        <f t="shared" ca="1" si="84"/>
        <v/>
      </c>
      <c r="O1845" s="26" t="str">
        <f>IFERROR(INDEX(EXTRATO_IMPORTADO!$A$5:$A$404,MATCH(B1845,EXTRATO_IMPORTADO!$I$5:$I$404,0)),"")</f>
        <v/>
      </c>
      <c r="P1845" s="26" t="str">
        <f>IFERROR(INDEX(EXTRATO_IMPORTADO!$F$5:$F$404,MATCH(B1845,EXTRATO_IMPORTADO!$I$5:$I$404,0)),"")</f>
        <v/>
      </c>
      <c r="Q1845" s="26" t="str">
        <f>IFERROR(INDEX(EXTRATO_IMPORTADO!$B$5:$B$404,MATCH(B1845,EXTRATO_IMPORTADO!$I$5:$I$404,0)),"")</f>
        <v/>
      </c>
      <c r="R1845" s="26" t="str">
        <f>IFERROR(MATCH(B1845,EXTRATO_IMPORTADO!$I$5:$I$404,0),"")</f>
        <v/>
      </c>
      <c r="S1845" s="26" t="str">
        <f t="shared" si="85"/>
        <v/>
      </c>
      <c r="T1845" s="26" t="str">
        <f t="shared" si="86"/>
        <v/>
      </c>
    </row>
    <row r="1846" spans="1:20" x14ac:dyDescent="0.3">
      <c r="A1846" s="26" t="str">
        <f>IF(BASE_CAIXA!A1843="","",BASE_CAIXA!A1843)</f>
        <v/>
      </c>
      <c r="B1846" s="26" t="str">
        <f>IF(A1846="","",BASE_CAIXA!AL1843)</f>
        <v/>
      </c>
      <c r="C1846" s="26" t="str">
        <f>IF(A1846="","",BASE_CAIXA!AJ1843)</f>
        <v/>
      </c>
      <c r="D1846" s="26" t="str">
        <f>IF(A1846="","",IF(BASE_CAIXA!C1843="Entrada","Crédito","Débito"))</f>
        <v/>
      </c>
      <c r="E1846" s="26" t="str">
        <f>IF(A1846="","",BASE_CAIXA!AA1843)</f>
        <v/>
      </c>
      <c r="F1846" s="26" t="str">
        <f>IF(A1846="","",BASE_CAIXA!N1843)</f>
        <v/>
      </c>
      <c r="G1846" s="26" t="str">
        <f>IF(A1846="","",BASE_CAIXA!O1843)</f>
        <v/>
      </c>
      <c r="H1846" s="26" t="str">
        <f>IF(A1846="","",BASE_CAIXA!P1843)</f>
        <v/>
      </c>
      <c r="I1846" s="26" t="str">
        <f>IF(A1846="","",IF(BASE_CAIXA!H1843&lt;&gt;"",BASE_CAIXA!H1843,BASE_CAIXA!G1843))</f>
        <v/>
      </c>
      <c r="J1846" s="26" t="str">
        <f>IF(A1846="","",BASE_CAIXA!G1843)</f>
        <v/>
      </c>
      <c r="K1846" s="26" t="str">
        <f>IF(A1846="","",BASE_CAIXA!I1843)</f>
        <v/>
      </c>
      <c r="L1846" s="26" t="str">
        <f>IF(A1846="","",BASE_CAIXA!J1843)</f>
        <v/>
      </c>
      <c r="M1846" s="26" t="str">
        <f>IF(A1846="","",BASE_CAIXA!AM1843)</f>
        <v/>
      </c>
      <c r="N1846" s="26" t="str">
        <f t="shared" ca="1" si="84"/>
        <v/>
      </c>
      <c r="O1846" s="26" t="str">
        <f>IFERROR(INDEX(EXTRATO_IMPORTADO!$A$5:$A$404,MATCH(B1846,EXTRATO_IMPORTADO!$I$5:$I$404,0)),"")</f>
        <v/>
      </c>
      <c r="P1846" s="26" t="str">
        <f>IFERROR(INDEX(EXTRATO_IMPORTADO!$F$5:$F$404,MATCH(B1846,EXTRATO_IMPORTADO!$I$5:$I$404,0)),"")</f>
        <v/>
      </c>
      <c r="Q1846" s="26" t="str">
        <f>IFERROR(INDEX(EXTRATO_IMPORTADO!$B$5:$B$404,MATCH(B1846,EXTRATO_IMPORTADO!$I$5:$I$404,0)),"")</f>
        <v/>
      </c>
      <c r="R1846" s="26" t="str">
        <f>IFERROR(MATCH(B1846,EXTRATO_IMPORTADO!$I$5:$I$404,0),"")</f>
        <v/>
      </c>
      <c r="S1846" s="26" t="str">
        <f t="shared" si="85"/>
        <v/>
      </c>
      <c r="T1846" s="26" t="str">
        <f t="shared" si="86"/>
        <v/>
      </c>
    </row>
    <row r="1847" spans="1:20" x14ac:dyDescent="0.3">
      <c r="A1847" s="26" t="str">
        <f>IF(BASE_CAIXA!A1844="","",BASE_CAIXA!A1844)</f>
        <v/>
      </c>
      <c r="B1847" s="26" t="str">
        <f>IF(A1847="","",BASE_CAIXA!AL1844)</f>
        <v/>
      </c>
      <c r="C1847" s="26" t="str">
        <f>IF(A1847="","",BASE_CAIXA!AJ1844)</f>
        <v/>
      </c>
      <c r="D1847" s="26" t="str">
        <f>IF(A1847="","",IF(BASE_CAIXA!C1844="Entrada","Crédito","Débito"))</f>
        <v/>
      </c>
      <c r="E1847" s="26" t="str">
        <f>IF(A1847="","",BASE_CAIXA!AA1844)</f>
        <v/>
      </c>
      <c r="F1847" s="26" t="str">
        <f>IF(A1847="","",BASE_CAIXA!N1844)</f>
        <v/>
      </c>
      <c r="G1847" s="26" t="str">
        <f>IF(A1847="","",BASE_CAIXA!O1844)</f>
        <v/>
      </c>
      <c r="H1847" s="26" t="str">
        <f>IF(A1847="","",BASE_CAIXA!P1844)</f>
        <v/>
      </c>
      <c r="I1847" s="26" t="str">
        <f>IF(A1847="","",IF(BASE_CAIXA!H1844&lt;&gt;"",BASE_CAIXA!H1844,BASE_CAIXA!G1844))</f>
        <v/>
      </c>
      <c r="J1847" s="26" t="str">
        <f>IF(A1847="","",BASE_CAIXA!G1844)</f>
        <v/>
      </c>
      <c r="K1847" s="26" t="str">
        <f>IF(A1847="","",BASE_CAIXA!I1844)</f>
        <v/>
      </c>
      <c r="L1847" s="26" t="str">
        <f>IF(A1847="","",BASE_CAIXA!J1844)</f>
        <v/>
      </c>
      <c r="M1847" s="26" t="str">
        <f>IF(A1847="","",BASE_CAIXA!AM1844)</f>
        <v/>
      </c>
      <c r="N1847" s="26" t="str">
        <f t="shared" ca="1" si="84"/>
        <v/>
      </c>
      <c r="O1847" s="26" t="str">
        <f>IFERROR(INDEX(EXTRATO_IMPORTADO!$A$5:$A$404,MATCH(B1847,EXTRATO_IMPORTADO!$I$5:$I$404,0)),"")</f>
        <v/>
      </c>
      <c r="P1847" s="26" t="str">
        <f>IFERROR(INDEX(EXTRATO_IMPORTADO!$F$5:$F$404,MATCH(B1847,EXTRATO_IMPORTADO!$I$5:$I$404,0)),"")</f>
        <v/>
      </c>
      <c r="Q1847" s="26" t="str">
        <f>IFERROR(INDEX(EXTRATO_IMPORTADO!$B$5:$B$404,MATCH(B1847,EXTRATO_IMPORTADO!$I$5:$I$404,0)),"")</f>
        <v/>
      </c>
      <c r="R1847" s="26" t="str">
        <f>IFERROR(MATCH(B1847,EXTRATO_IMPORTADO!$I$5:$I$404,0),"")</f>
        <v/>
      </c>
      <c r="S1847" s="26" t="str">
        <f t="shared" si="85"/>
        <v/>
      </c>
      <c r="T1847" s="26" t="str">
        <f t="shared" si="86"/>
        <v/>
      </c>
    </row>
    <row r="1848" spans="1:20" x14ac:dyDescent="0.3">
      <c r="A1848" s="26" t="str">
        <f>IF(BASE_CAIXA!A1845="","",BASE_CAIXA!A1845)</f>
        <v/>
      </c>
      <c r="B1848" s="26" t="str">
        <f>IF(A1848="","",BASE_CAIXA!AL1845)</f>
        <v/>
      </c>
      <c r="C1848" s="26" t="str">
        <f>IF(A1848="","",BASE_CAIXA!AJ1845)</f>
        <v/>
      </c>
      <c r="D1848" s="26" t="str">
        <f>IF(A1848="","",IF(BASE_CAIXA!C1845="Entrada","Crédito","Débito"))</f>
        <v/>
      </c>
      <c r="E1848" s="26" t="str">
        <f>IF(A1848="","",BASE_CAIXA!AA1845)</f>
        <v/>
      </c>
      <c r="F1848" s="26" t="str">
        <f>IF(A1848="","",BASE_CAIXA!N1845)</f>
        <v/>
      </c>
      <c r="G1848" s="26" t="str">
        <f>IF(A1848="","",BASE_CAIXA!O1845)</f>
        <v/>
      </c>
      <c r="H1848" s="26" t="str">
        <f>IF(A1848="","",BASE_CAIXA!P1845)</f>
        <v/>
      </c>
      <c r="I1848" s="26" t="str">
        <f>IF(A1848="","",IF(BASE_CAIXA!H1845&lt;&gt;"",BASE_CAIXA!H1845,BASE_CAIXA!G1845))</f>
        <v/>
      </c>
      <c r="J1848" s="26" t="str">
        <f>IF(A1848="","",BASE_CAIXA!G1845)</f>
        <v/>
      </c>
      <c r="K1848" s="26" t="str">
        <f>IF(A1848="","",BASE_CAIXA!I1845)</f>
        <v/>
      </c>
      <c r="L1848" s="26" t="str">
        <f>IF(A1848="","",BASE_CAIXA!J1845)</f>
        <v/>
      </c>
      <c r="M1848" s="26" t="str">
        <f>IF(A1848="","",BASE_CAIXA!AM1845)</f>
        <v/>
      </c>
      <c r="N1848" s="26" t="str">
        <f t="shared" ca="1" si="84"/>
        <v/>
      </c>
      <c r="O1848" s="26" t="str">
        <f>IFERROR(INDEX(EXTRATO_IMPORTADO!$A$5:$A$404,MATCH(B1848,EXTRATO_IMPORTADO!$I$5:$I$404,0)),"")</f>
        <v/>
      </c>
      <c r="P1848" s="26" t="str">
        <f>IFERROR(INDEX(EXTRATO_IMPORTADO!$F$5:$F$404,MATCH(B1848,EXTRATO_IMPORTADO!$I$5:$I$404,0)),"")</f>
        <v/>
      </c>
      <c r="Q1848" s="26" t="str">
        <f>IFERROR(INDEX(EXTRATO_IMPORTADO!$B$5:$B$404,MATCH(B1848,EXTRATO_IMPORTADO!$I$5:$I$404,0)),"")</f>
        <v/>
      </c>
      <c r="R1848" s="26" t="str">
        <f>IFERROR(MATCH(B1848,EXTRATO_IMPORTADO!$I$5:$I$404,0),"")</f>
        <v/>
      </c>
      <c r="S1848" s="26" t="str">
        <f t="shared" si="85"/>
        <v/>
      </c>
      <c r="T1848" s="26" t="str">
        <f t="shared" si="86"/>
        <v/>
      </c>
    </row>
    <row r="1849" spans="1:20" x14ac:dyDescent="0.3">
      <c r="A1849" s="26" t="str">
        <f>IF(BASE_CAIXA!A1846="","",BASE_CAIXA!A1846)</f>
        <v/>
      </c>
      <c r="B1849" s="26" t="str">
        <f>IF(A1849="","",BASE_CAIXA!AL1846)</f>
        <v/>
      </c>
      <c r="C1849" s="26" t="str">
        <f>IF(A1849="","",BASE_CAIXA!AJ1846)</f>
        <v/>
      </c>
      <c r="D1849" s="26" t="str">
        <f>IF(A1849="","",IF(BASE_CAIXA!C1846="Entrada","Crédito","Débito"))</f>
        <v/>
      </c>
      <c r="E1849" s="26" t="str">
        <f>IF(A1849="","",BASE_CAIXA!AA1846)</f>
        <v/>
      </c>
      <c r="F1849" s="26" t="str">
        <f>IF(A1849="","",BASE_CAIXA!N1846)</f>
        <v/>
      </c>
      <c r="G1849" s="26" t="str">
        <f>IF(A1849="","",BASE_CAIXA!O1846)</f>
        <v/>
      </c>
      <c r="H1849" s="26" t="str">
        <f>IF(A1849="","",BASE_CAIXA!P1846)</f>
        <v/>
      </c>
      <c r="I1849" s="26" t="str">
        <f>IF(A1849="","",IF(BASE_CAIXA!H1846&lt;&gt;"",BASE_CAIXA!H1846,BASE_CAIXA!G1846))</f>
        <v/>
      </c>
      <c r="J1849" s="26" t="str">
        <f>IF(A1849="","",BASE_CAIXA!G1846)</f>
        <v/>
      </c>
      <c r="K1849" s="26" t="str">
        <f>IF(A1849="","",BASE_CAIXA!I1846)</f>
        <v/>
      </c>
      <c r="L1849" s="26" t="str">
        <f>IF(A1849="","",BASE_CAIXA!J1846)</f>
        <v/>
      </c>
      <c r="M1849" s="26" t="str">
        <f>IF(A1849="","",BASE_CAIXA!AM1846)</f>
        <v/>
      </c>
      <c r="N1849" s="26" t="str">
        <f t="shared" ca="1" si="84"/>
        <v/>
      </c>
      <c r="O1849" s="26" t="str">
        <f>IFERROR(INDEX(EXTRATO_IMPORTADO!$A$5:$A$404,MATCH(B1849,EXTRATO_IMPORTADO!$I$5:$I$404,0)),"")</f>
        <v/>
      </c>
      <c r="P1849" s="26" t="str">
        <f>IFERROR(INDEX(EXTRATO_IMPORTADO!$F$5:$F$404,MATCH(B1849,EXTRATO_IMPORTADO!$I$5:$I$404,0)),"")</f>
        <v/>
      </c>
      <c r="Q1849" s="26" t="str">
        <f>IFERROR(INDEX(EXTRATO_IMPORTADO!$B$5:$B$404,MATCH(B1849,EXTRATO_IMPORTADO!$I$5:$I$404,0)),"")</f>
        <v/>
      </c>
      <c r="R1849" s="26" t="str">
        <f>IFERROR(MATCH(B1849,EXTRATO_IMPORTADO!$I$5:$I$404,0),"")</f>
        <v/>
      </c>
      <c r="S1849" s="26" t="str">
        <f t="shared" si="85"/>
        <v/>
      </c>
      <c r="T1849" s="26" t="str">
        <f t="shared" si="86"/>
        <v/>
      </c>
    </row>
    <row r="1850" spans="1:20" x14ac:dyDescent="0.3">
      <c r="A1850" s="26" t="str">
        <f>IF(BASE_CAIXA!A1847="","",BASE_CAIXA!A1847)</f>
        <v/>
      </c>
      <c r="B1850" s="26" t="str">
        <f>IF(A1850="","",BASE_CAIXA!AL1847)</f>
        <v/>
      </c>
      <c r="C1850" s="26" t="str">
        <f>IF(A1850="","",BASE_CAIXA!AJ1847)</f>
        <v/>
      </c>
      <c r="D1850" s="26" t="str">
        <f>IF(A1850="","",IF(BASE_CAIXA!C1847="Entrada","Crédito","Débito"))</f>
        <v/>
      </c>
      <c r="E1850" s="26" t="str">
        <f>IF(A1850="","",BASE_CAIXA!AA1847)</f>
        <v/>
      </c>
      <c r="F1850" s="26" t="str">
        <f>IF(A1850="","",BASE_CAIXA!N1847)</f>
        <v/>
      </c>
      <c r="G1850" s="26" t="str">
        <f>IF(A1850="","",BASE_CAIXA!O1847)</f>
        <v/>
      </c>
      <c r="H1850" s="26" t="str">
        <f>IF(A1850="","",BASE_CAIXA!P1847)</f>
        <v/>
      </c>
      <c r="I1850" s="26" t="str">
        <f>IF(A1850="","",IF(BASE_CAIXA!H1847&lt;&gt;"",BASE_CAIXA!H1847,BASE_CAIXA!G1847))</f>
        <v/>
      </c>
      <c r="J1850" s="26" t="str">
        <f>IF(A1850="","",BASE_CAIXA!G1847)</f>
        <v/>
      </c>
      <c r="K1850" s="26" t="str">
        <f>IF(A1850="","",BASE_CAIXA!I1847)</f>
        <v/>
      </c>
      <c r="L1850" s="26" t="str">
        <f>IF(A1850="","",BASE_CAIXA!J1847)</f>
        <v/>
      </c>
      <c r="M1850" s="26" t="str">
        <f>IF(A1850="","",BASE_CAIXA!AM1847)</f>
        <v/>
      </c>
      <c r="N1850" s="26" t="str">
        <f t="shared" ca="1" si="84"/>
        <v/>
      </c>
      <c r="O1850" s="26" t="str">
        <f>IFERROR(INDEX(EXTRATO_IMPORTADO!$A$5:$A$404,MATCH(B1850,EXTRATO_IMPORTADO!$I$5:$I$404,0)),"")</f>
        <v/>
      </c>
      <c r="P1850" s="26" t="str">
        <f>IFERROR(INDEX(EXTRATO_IMPORTADO!$F$5:$F$404,MATCH(B1850,EXTRATO_IMPORTADO!$I$5:$I$404,0)),"")</f>
        <v/>
      </c>
      <c r="Q1850" s="26" t="str">
        <f>IFERROR(INDEX(EXTRATO_IMPORTADO!$B$5:$B$404,MATCH(B1850,EXTRATO_IMPORTADO!$I$5:$I$404,0)),"")</f>
        <v/>
      </c>
      <c r="R1850" s="26" t="str">
        <f>IFERROR(MATCH(B1850,EXTRATO_IMPORTADO!$I$5:$I$404,0),"")</f>
        <v/>
      </c>
      <c r="S1850" s="26" t="str">
        <f t="shared" si="85"/>
        <v/>
      </c>
      <c r="T1850" s="26" t="str">
        <f t="shared" si="86"/>
        <v/>
      </c>
    </row>
    <row r="1851" spans="1:20" x14ac:dyDescent="0.3">
      <c r="A1851" s="26" t="str">
        <f>IF(BASE_CAIXA!A1848="","",BASE_CAIXA!A1848)</f>
        <v/>
      </c>
      <c r="B1851" s="26" t="str">
        <f>IF(A1851="","",BASE_CAIXA!AL1848)</f>
        <v/>
      </c>
      <c r="C1851" s="26" t="str">
        <f>IF(A1851="","",BASE_CAIXA!AJ1848)</f>
        <v/>
      </c>
      <c r="D1851" s="26" t="str">
        <f>IF(A1851="","",IF(BASE_CAIXA!C1848="Entrada","Crédito","Débito"))</f>
        <v/>
      </c>
      <c r="E1851" s="26" t="str">
        <f>IF(A1851="","",BASE_CAIXA!AA1848)</f>
        <v/>
      </c>
      <c r="F1851" s="26" t="str">
        <f>IF(A1851="","",BASE_CAIXA!N1848)</f>
        <v/>
      </c>
      <c r="G1851" s="26" t="str">
        <f>IF(A1851="","",BASE_CAIXA!O1848)</f>
        <v/>
      </c>
      <c r="H1851" s="26" t="str">
        <f>IF(A1851="","",BASE_CAIXA!P1848)</f>
        <v/>
      </c>
      <c r="I1851" s="26" t="str">
        <f>IF(A1851="","",IF(BASE_CAIXA!H1848&lt;&gt;"",BASE_CAIXA!H1848,BASE_CAIXA!G1848))</f>
        <v/>
      </c>
      <c r="J1851" s="26" t="str">
        <f>IF(A1851="","",BASE_CAIXA!G1848)</f>
        <v/>
      </c>
      <c r="K1851" s="26" t="str">
        <f>IF(A1851="","",BASE_CAIXA!I1848)</f>
        <v/>
      </c>
      <c r="L1851" s="26" t="str">
        <f>IF(A1851="","",BASE_CAIXA!J1848)</f>
        <v/>
      </c>
      <c r="M1851" s="26" t="str">
        <f>IF(A1851="","",BASE_CAIXA!AM1848)</f>
        <v/>
      </c>
      <c r="N1851" s="26" t="str">
        <f t="shared" ca="1" si="84"/>
        <v/>
      </c>
      <c r="O1851" s="26" t="str">
        <f>IFERROR(INDEX(EXTRATO_IMPORTADO!$A$5:$A$404,MATCH(B1851,EXTRATO_IMPORTADO!$I$5:$I$404,0)),"")</f>
        <v/>
      </c>
      <c r="P1851" s="26" t="str">
        <f>IFERROR(INDEX(EXTRATO_IMPORTADO!$F$5:$F$404,MATCH(B1851,EXTRATO_IMPORTADO!$I$5:$I$404,0)),"")</f>
        <v/>
      </c>
      <c r="Q1851" s="26" t="str">
        <f>IFERROR(INDEX(EXTRATO_IMPORTADO!$B$5:$B$404,MATCH(B1851,EXTRATO_IMPORTADO!$I$5:$I$404,0)),"")</f>
        <v/>
      </c>
      <c r="R1851" s="26" t="str">
        <f>IFERROR(MATCH(B1851,EXTRATO_IMPORTADO!$I$5:$I$404,0),"")</f>
        <v/>
      </c>
      <c r="S1851" s="26" t="str">
        <f t="shared" si="85"/>
        <v/>
      </c>
      <c r="T1851" s="26" t="str">
        <f t="shared" si="86"/>
        <v/>
      </c>
    </row>
    <row r="1852" spans="1:20" x14ac:dyDescent="0.3">
      <c r="A1852" s="26" t="str">
        <f>IF(BASE_CAIXA!A1849="","",BASE_CAIXA!A1849)</f>
        <v/>
      </c>
      <c r="B1852" s="26" t="str">
        <f>IF(A1852="","",BASE_CAIXA!AL1849)</f>
        <v/>
      </c>
      <c r="C1852" s="26" t="str">
        <f>IF(A1852="","",BASE_CAIXA!AJ1849)</f>
        <v/>
      </c>
      <c r="D1852" s="26" t="str">
        <f>IF(A1852="","",IF(BASE_CAIXA!C1849="Entrada","Crédito","Débito"))</f>
        <v/>
      </c>
      <c r="E1852" s="26" t="str">
        <f>IF(A1852="","",BASE_CAIXA!AA1849)</f>
        <v/>
      </c>
      <c r="F1852" s="26" t="str">
        <f>IF(A1852="","",BASE_CAIXA!N1849)</f>
        <v/>
      </c>
      <c r="G1852" s="26" t="str">
        <f>IF(A1852="","",BASE_CAIXA!O1849)</f>
        <v/>
      </c>
      <c r="H1852" s="26" t="str">
        <f>IF(A1852="","",BASE_CAIXA!P1849)</f>
        <v/>
      </c>
      <c r="I1852" s="26" t="str">
        <f>IF(A1852="","",IF(BASE_CAIXA!H1849&lt;&gt;"",BASE_CAIXA!H1849,BASE_CAIXA!G1849))</f>
        <v/>
      </c>
      <c r="J1852" s="26" t="str">
        <f>IF(A1852="","",BASE_CAIXA!G1849)</f>
        <v/>
      </c>
      <c r="K1852" s="26" t="str">
        <f>IF(A1852="","",BASE_CAIXA!I1849)</f>
        <v/>
      </c>
      <c r="L1852" s="26" t="str">
        <f>IF(A1852="","",BASE_CAIXA!J1849)</f>
        <v/>
      </c>
      <c r="M1852" s="26" t="str">
        <f>IF(A1852="","",BASE_CAIXA!AM1849)</f>
        <v/>
      </c>
      <c r="N1852" s="26" t="str">
        <f t="shared" ca="1" si="84"/>
        <v/>
      </c>
      <c r="O1852" s="26" t="str">
        <f>IFERROR(INDEX(EXTRATO_IMPORTADO!$A$5:$A$404,MATCH(B1852,EXTRATO_IMPORTADO!$I$5:$I$404,0)),"")</f>
        <v/>
      </c>
      <c r="P1852" s="26" t="str">
        <f>IFERROR(INDEX(EXTRATO_IMPORTADO!$F$5:$F$404,MATCH(B1852,EXTRATO_IMPORTADO!$I$5:$I$404,0)),"")</f>
        <v/>
      </c>
      <c r="Q1852" s="26" t="str">
        <f>IFERROR(INDEX(EXTRATO_IMPORTADO!$B$5:$B$404,MATCH(B1852,EXTRATO_IMPORTADO!$I$5:$I$404,0)),"")</f>
        <v/>
      </c>
      <c r="R1852" s="26" t="str">
        <f>IFERROR(MATCH(B1852,EXTRATO_IMPORTADO!$I$5:$I$404,0),"")</f>
        <v/>
      </c>
      <c r="S1852" s="26" t="str">
        <f t="shared" si="85"/>
        <v/>
      </c>
      <c r="T1852" s="26" t="str">
        <f t="shared" si="86"/>
        <v/>
      </c>
    </row>
    <row r="1853" spans="1:20" x14ac:dyDescent="0.3">
      <c r="A1853" s="26" t="str">
        <f>IF(BASE_CAIXA!A1850="","",BASE_CAIXA!A1850)</f>
        <v/>
      </c>
      <c r="B1853" s="26" t="str">
        <f>IF(A1853="","",BASE_CAIXA!AL1850)</f>
        <v/>
      </c>
      <c r="C1853" s="26" t="str">
        <f>IF(A1853="","",BASE_CAIXA!AJ1850)</f>
        <v/>
      </c>
      <c r="D1853" s="26" t="str">
        <f>IF(A1853="","",IF(BASE_CAIXA!C1850="Entrada","Crédito","Débito"))</f>
        <v/>
      </c>
      <c r="E1853" s="26" t="str">
        <f>IF(A1853="","",BASE_CAIXA!AA1850)</f>
        <v/>
      </c>
      <c r="F1853" s="26" t="str">
        <f>IF(A1853="","",BASE_CAIXA!N1850)</f>
        <v/>
      </c>
      <c r="G1853" s="26" t="str">
        <f>IF(A1853="","",BASE_CAIXA!O1850)</f>
        <v/>
      </c>
      <c r="H1853" s="26" t="str">
        <f>IF(A1853="","",BASE_CAIXA!P1850)</f>
        <v/>
      </c>
      <c r="I1853" s="26" t="str">
        <f>IF(A1853="","",IF(BASE_CAIXA!H1850&lt;&gt;"",BASE_CAIXA!H1850,BASE_CAIXA!G1850))</f>
        <v/>
      </c>
      <c r="J1853" s="26" t="str">
        <f>IF(A1853="","",BASE_CAIXA!G1850)</f>
        <v/>
      </c>
      <c r="K1853" s="26" t="str">
        <f>IF(A1853="","",BASE_CAIXA!I1850)</f>
        <v/>
      </c>
      <c r="L1853" s="26" t="str">
        <f>IF(A1853="","",BASE_CAIXA!J1850)</f>
        <v/>
      </c>
      <c r="M1853" s="26" t="str">
        <f>IF(A1853="","",BASE_CAIXA!AM1850)</f>
        <v/>
      </c>
      <c r="N1853" s="26" t="str">
        <f t="shared" ca="1" si="84"/>
        <v/>
      </c>
      <c r="O1853" s="26" t="str">
        <f>IFERROR(INDEX(EXTRATO_IMPORTADO!$A$5:$A$404,MATCH(B1853,EXTRATO_IMPORTADO!$I$5:$I$404,0)),"")</f>
        <v/>
      </c>
      <c r="P1853" s="26" t="str">
        <f>IFERROR(INDEX(EXTRATO_IMPORTADO!$F$5:$F$404,MATCH(B1853,EXTRATO_IMPORTADO!$I$5:$I$404,0)),"")</f>
        <v/>
      </c>
      <c r="Q1853" s="26" t="str">
        <f>IFERROR(INDEX(EXTRATO_IMPORTADO!$B$5:$B$404,MATCH(B1853,EXTRATO_IMPORTADO!$I$5:$I$404,0)),"")</f>
        <v/>
      </c>
      <c r="R1853" s="26" t="str">
        <f>IFERROR(MATCH(B1853,EXTRATO_IMPORTADO!$I$5:$I$404,0),"")</f>
        <v/>
      </c>
      <c r="S1853" s="26" t="str">
        <f t="shared" si="85"/>
        <v/>
      </c>
      <c r="T1853" s="26" t="str">
        <f t="shared" si="86"/>
        <v/>
      </c>
    </row>
    <row r="1854" spans="1:20" x14ac:dyDescent="0.3">
      <c r="A1854" s="26" t="str">
        <f>IF(BASE_CAIXA!A1851="","",BASE_CAIXA!A1851)</f>
        <v/>
      </c>
      <c r="B1854" s="26" t="str">
        <f>IF(A1854="","",BASE_CAIXA!AL1851)</f>
        <v/>
      </c>
      <c r="C1854" s="26" t="str">
        <f>IF(A1854="","",BASE_CAIXA!AJ1851)</f>
        <v/>
      </c>
      <c r="D1854" s="26" t="str">
        <f>IF(A1854="","",IF(BASE_CAIXA!C1851="Entrada","Crédito","Débito"))</f>
        <v/>
      </c>
      <c r="E1854" s="26" t="str">
        <f>IF(A1854="","",BASE_CAIXA!AA1851)</f>
        <v/>
      </c>
      <c r="F1854" s="26" t="str">
        <f>IF(A1854="","",BASE_CAIXA!N1851)</f>
        <v/>
      </c>
      <c r="G1854" s="26" t="str">
        <f>IF(A1854="","",BASE_CAIXA!O1851)</f>
        <v/>
      </c>
      <c r="H1854" s="26" t="str">
        <f>IF(A1854="","",BASE_CAIXA!P1851)</f>
        <v/>
      </c>
      <c r="I1854" s="26" t="str">
        <f>IF(A1854="","",IF(BASE_CAIXA!H1851&lt;&gt;"",BASE_CAIXA!H1851,BASE_CAIXA!G1851))</f>
        <v/>
      </c>
      <c r="J1854" s="26" t="str">
        <f>IF(A1854="","",BASE_CAIXA!G1851)</f>
        <v/>
      </c>
      <c r="K1854" s="26" t="str">
        <f>IF(A1854="","",BASE_CAIXA!I1851)</f>
        <v/>
      </c>
      <c r="L1854" s="26" t="str">
        <f>IF(A1854="","",BASE_CAIXA!J1851)</f>
        <v/>
      </c>
      <c r="M1854" s="26" t="str">
        <f>IF(A1854="","",BASE_CAIXA!AM1851)</f>
        <v/>
      </c>
      <c r="N1854" s="26" t="str">
        <f t="shared" ca="1" si="84"/>
        <v/>
      </c>
      <c r="O1854" s="26" t="str">
        <f>IFERROR(INDEX(EXTRATO_IMPORTADO!$A$5:$A$404,MATCH(B1854,EXTRATO_IMPORTADO!$I$5:$I$404,0)),"")</f>
        <v/>
      </c>
      <c r="P1854" s="26" t="str">
        <f>IFERROR(INDEX(EXTRATO_IMPORTADO!$F$5:$F$404,MATCH(B1854,EXTRATO_IMPORTADO!$I$5:$I$404,0)),"")</f>
        <v/>
      </c>
      <c r="Q1854" s="26" t="str">
        <f>IFERROR(INDEX(EXTRATO_IMPORTADO!$B$5:$B$404,MATCH(B1854,EXTRATO_IMPORTADO!$I$5:$I$404,0)),"")</f>
        <v/>
      </c>
      <c r="R1854" s="26" t="str">
        <f>IFERROR(MATCH(B1854,EXTRATO_IMPORTADO!$I$5:$I$404,0),"")</f>
        <v/>
      </c>
      <c r="S1854" s="26" t="str">
        <f t="shared" si="85"/>
        <v/>
      </c>
      <c r="T1854" s="26" t="str">
        <f t="shared" si="86"/>
        <v/>
      </c>
    </row>
    <row r="1855" spans="1:20" x14ac:dyDescent="0.3">
      <c r="A1855" s="26" t="str">
        <f>IF(BASE_CAIXA!A1852="","",BASE_CAIXA!A1852)</f>
        <v/>
      </c>
      <c r="B1855" s="26" t="str">
        <f>IF(A1855="","",BASE_CAIXA!AL1852)</f>
        <v/>
      </c>
      <c r="C1855" s="26" t="str">
        <f>IF(A1855="","",BASE_CAIXA!AJ1852)</f>
        <v/>
      </c>
      <c r="D1855" s="26" t="str">
        <f>IF(A1855="","",IF(BASE_CAIXA!C1852="Entrada","Crédito","Débito"))</f>
        <v/>
      </c>
      <c r="E1855" s="26" t="str">
        <f>IF(A1855="","",BASE_CAIXA!AA1852)</f>
        <v/>
      </c>
      <c r="F1855" s="26" t="str">
        <f>IF(A1855="","",BASE_CAIXA!N1852)</f>
        <v/>
      </c>
      <c r="G1855" s="26" t="str">
        <f>IF(A1855="","",BASE_CAIXA!O1852)</f>
        <v/>
      </c>
      <c r="H1855" s="26" t="str">
        <f>IF(A1855="","",BASE_CAIXA!P1852)</f>
        <v/>
      </c>
      <c r="I1855" s="26" t="str">
        <f>IF(A1855="","",IF(BASE_CAIXA!H1852&lt;&gt;"",BASE_CAIXA!H1852,BASE_CAIXA!G1852))</f>
        <v/>
      </c>
      <c r="J1855" s="26" t="str">
        <f>IF(A1855="","",BASE_CAIXA!G1852)</f>
        <v/>
      </c>
      <c r="K1855" s="26" t="str">
        <f>IF(A1855="","",BASE_CAIXA!I1852)</f>
        <v/>
      </c>
      <c r="L1855" s="26" t="str">
        <f>IF(A1855="","",BASE_CAIXA!J1852)</f>
        <v/>
      </c>
      <c r="M1855" s="26" t="str">
        <f>IF(A1855="","",BASE_CAIXA!AM1852)</f>
        <v/>
      </c>
      <c r="N1855" s="26" t="str">
        <f t="shared" ca="1" si="84"/>
        <v/>
      </c>
      <c r="O1855" s="26" t="str">
        <f>IFERROR(INDEX(EXTRATO_IMPORTADO!$A$5:$A$404,MATCH(B1855,EXTRATO_IMPORTADO!$I$5:$I$404,0)),"")</f>
        <v/>
      </c>
      <c r="P1855" s="26" t="str">
        <f>IFERROR(INDEX(EXTRATO_IMPORTADO!$F$5:$F$404,MATCH(B1855,EXTRATO_IMPORTADO!$I$5:$I$404,0)),"")</f>
        <v/>
      </c>
      <c r="Q1855" s="26" t="str">
        <f>IFERROR(INDEX(EXTRATO_IMPORTADO!$B$5:$B$404,MATCH(B1855,EXTRATO_IMPORTADO!$I$5:$I$404,0)),"")</f>
        <v/>
      </c>
      <c r="R1855" s="26" t="str">
        <f>IFERROR(MATCH(B1855,EXTRATO_IMPORTADO!$I$5:$I$404,0),"")</f>
        <v/>
      </c>
      <c r="S1855" s="26" t="str">
        <f t="shared" si="85"/>
        <v/>
      </c>
      <c r="T1855" s="26" t="str">
        <f t="shared" si="86"/>
        <v/>
      </c>
    </row>
    <row r="1856" spans="1:20" x14ac:dyDescent="0.3">
      <c r="A1856" s="26" t="str">
        <f>IF(BASE_CAIXA!A1853="","",BASE_CAIXA!A1853)</f>
        <v/>
      </c>
      <c r="B1856" s="26" t="str">
        <f>IF(A1856="","",BASE_CAIXA!AL1853)</f>
        <v/>
      </c>
      <c r="C1856" s="26" t="str">
        <f>IF(A1856="","",BASE_CAIXA!AJ1853)</f>
        <v/>
      </c>
      <c r="D1856" s="26" t="str">
        <f>IF(A1856="","",IF(BASE_CAIXA!C1853="Entrada","Crédito","Débito"))</f>
        <v/>
      </c>
      <c r="E1856" s="26" t="str">
        <f>IF(A1856="","",BASE_CAIXA!AA1853)</f>
        <v/>
      </c>
      <c r="F1856" s="26" t="str">
        <f>IF(A1856="","",BASE_CAIXA!N1853)</f>
        <v/>
      </c>
      <c r="G1856" s="26" t="str">
        <f>IF(A1856="","",BASE_CAIXA!O1853)</f>
        <v/>
      </c>
      <c r="H1856" s="26" t="str">
        <f>IF(A1856="","",BASE_CAIXA!P1853)</f>
        <v/>
      </c>
      <c r="I1856" s="26" t="str">
        <f>IF(A1856="","",IF(BASE_CAIXA!H1853&lt;&gt;"",BASE_CAIXA!H1853,BASE_CAIXA!G1853))</f>
        <v/>
      </c>
      <c r="J1856" s="26" t="str">
        <f>IF(A1856="","",BASE_CAIXA!G1853)</f>
        <v/>
      </c>
      <c r="K1856" s="26" t="str">
        <f>IF(A1856="","",BASE_CAIXA!I1853)</f>
        <v/>
      </c>
      <c r="L1856" s="26" t="str">
        <f>IF(A1856="","",BASE_CAIXA!J1853)</f>
        <v/>
      </c>
      <c r="M1856" s="26" t="str">
        <f>IF(A1856="","",BASE_CAIXA!AM1853)</f>
        <v/>
      </c>
      <c r="N1856" s="26" t="str">
        <f t="shared" ca="1" si="84"/>
        <v/>
      </c>
      <c r="O1856" s="26" t="str">
        <f>IFERROR(INDEX(EXTRATO_IMPORTADO!$A$5:$A$404,MATCH(B1856,EXTRATO_IMPORTADO!$I$5:$I$404,0)),"")</f>
        <v/>
      </c>
      <c r="P1856" s="26" t="str">
        <f>IFERROR(INDEX(EXTRATO_IMPORTADO!$F$5:$F$404,MATCH(B1856,EXTRATO_IMPORTADO!$I$5:$I$404,0)),"")</f>
        <v/>
      </c>
      <c r="Q1856" s="26" t="str">
        <f>IFERROR(INDEX(EXTRATO_IMPORTADO!$B$5:$B$404,MATCH(B1856,EXTRATO_IMPORTADO!$I$5:$I$404,0)),"")</f>
        <v/>
      </c>
      <c r="R1856" s="26" t="str">
        <f>IFERROR(MATCH(B1856,EXTRATO_IMPORTADO!$I$5:$I$404,0),"")</f>
        <v/>
      </c>
      <c r="S1856" s="26" t="str">
        <f t="shared" si="85"/>
        <v/>
      </c>
      <c r="T1856" s="26" t="str">
        <f t="shared" si="86"/>
        <v/>
      </c>
    </row>
    <row r="1857" spans="1:20" x14ac:dyDescent="0.3">
      <c r="A1857" s="26" t="str">
        <f>IF(BASE_CAIXA!A1854="","",BASE_CAIXA!A1854)</f>
        <v/>
      </c>
      <c r="B1857" s="26" t="str">
        <f>IF(A1857="","",BASE_CAIXA!AL1854)</f>
        <v/>
      </c>
      <c r="C1857" s="26" t="str">
        <f>IF(A1857="","",BASE_CAIXA!AJ1854)</f>
        <v/>
      </c>
      <c r="D1857" s="26" t="str">
        <f>IF(A1857="","",IF(BASE_CAIXA!C1854="Entrada","Crédito","Débito"))</f>
        <v/>
      </c>
      <c r="E1857" s="26" t="str">
        <f>IF(A1857="","",BASE_CAIXA!AA1854)</f>
        <v/>
      </c>
      <c r="F1857" s="26" t="str">
        <f>IF(A1857="","",BASE_CAIXA!N1854)</f>
        <v/>
      </c>
      <c r="G1857" s="26" t="str">
        <f>IF(A1857="","",BASE_CAIXA!O1854)</f>
        <v/>
      </c>
      <c r="H1857" s="26" t="str">
        <f>IF(A1857="","",BASE_CAIXA!P1854)</f>
        <v/>
      </c>
      <c r="I1857" s="26" t="str">
        <f>IF(A1857="","",IF(BASE_CAIXA!H1854&lt;&gt;"",BASE_CAIXA!H1854,BASE_CAIXA!G1854))</f>
        <v/>
      </c>
      <c r="J1857" s="26" t="str">
        <f>IF(A1857="","",BASE_CAIXA!G1854)</f>
        <v/>
      </c>
      <c r="K1857" s="26" t="str">
        <f>IF(A1857="","",BASE_CAIXA!I1854)</f>
        <v/>
      </c>
      <c r="L1857" s="26" t="str">
        <f>IF(A1857="","",BASE_CAIXA!J1854)</f>
        <v/>
      </c>
      <c r="M1857" s="26" t="str">
        <f>IF(A1857="","",BASE_CAIXA!AM1854)</f>
        <v/>
      </c>
      <c r="N1857" s="26" t="str">
        <f t="shared" ca="1" si="84"/>
        <v/>
      </c>
      <c r="O1857" s="26" t="str">
        <f>IFERROR(INDEX(EXTRATO_IMPORTADO!$A$5:$A$404,MATCH(B1857,EXTRATO_IMPORTADO!$I$5:$I$404,0)),"")</f>
        <v/>
      </c>
      <c r="P1857" s="26" t="str">
        <f>IFERROR(INDEX(EXTRATO_IMPORTADO!$F$5:$F$404,MATCH(B1857,EXTRATO_IMPORTADO!$I$5:$I$404,0)),"")</f>
        <v/>
      </c>
      <c r="Q1857" s="26" t="str">
        <f>IFERROR(INDEX(EXTRATO_IMPORTADO!$B$5:$B$404,MATCH(B1857,EXTRATO_IMPORTADO!$I$5:$I$404,0)),"")</f>
        <v/>
      </c>
      <c r="R1857" s="26" t="str">
        <f>IFERROR(MATCH(B1857,EXTRATO_IMPORTADO!$I$5:$I$404,0),"")</f>
        <v/>
      </c>
      <c r="S1857" s="26" t="str">
        <f t="shared" si="85"/>
        <v/>
      </c>
      <c r="T1857" s="26" t="str">
        <f t="shared" si="86"/>
        <v/>
      </c>
    </row>
    <row r="1858" spans="1:20" x14ac:dyDescent="0.3">
      <c r="A1858" s="26" t="str">
        <f>IF(BASE_CAIXA!A1855="","",BASE_CAIXA!A1855)</f>
        <v/>
      </c>
      <c r="B1858" s="26" t="str">
        <f>IF(A1858="","",BASE_CAIXA!AL1855)</f>
        <v/>
      </c>
      <c r="C1858" s="26" t="str">
        <f>IF(A1858="","",BASE_CAIXA!AJ1855)</f>
        <v/>
      </c>
      <c r="D1858" s="26" t="str">
        <f>IF(A1858="","",IF(BASE_CAIXA!C1855="Entrada","Crédito","Débito"))</f>
        <v/>
      </c>
      <c r="E1858" s="26" t="str">
        <f>IF(A1858="","",BASE_CAIXA!AA1855)</f>
        <v/>
      </c>
      <c r="F1858" s="26" t="str">
        <f>IF(A1858="","",BASE_CAIXA!N1855)</f>
        <v/>
      </c>
      <c r="G1858" s="26" t="str">
        <f>IF(A1858="","",BASE_CAIXA!O1855)</f>
        <v/>
      </c>
      <c r="H1858" s="26" t="str">
        <f>IF(A1858="","",BASE_CAIXA!P1855)</f>
        <v/>
      </c>
      <c r="I1858" s="26" t="str">
        <f>IF(A1858="","",IF(BASE_CAIXA!H1855&lt;&gt;"",BASE_CAIXA!H1855,BASE_CAIXA!G1855))</f>
        <v/>
      </c>
      <c r="J1858" s="26" t="str">
        <f>IF(A1858="","",BASE_CAIXA!G1855)</f>
        <v/>
      </c>
      <c r="K1858" s="26" t="str">
        <f>IF(A1858="","",BASE_CAIXA!I1855)</f>
        <v/>
      </c>
      <c r="L1858" s="26" t="str">
        <f>IF(A1858="","",BASE_CAIXA!J1855)</f>
        <v/>
      </c>
      <c r="M1858" s="26" t="str">
        <f>IF(A1858="","",BASE_CAIXA!AM1855)</f>
        <v/>
      </c>
      <c r="N1858" s="26" t="str">
        <f t="shared" ca="1" si="84"/>
        <v/>
      </c>
      <c r="O1858" s="26" t="str">
        <f>IFERROR(INDEX(EXTRATO_IMPORTADO!$A$5:$A$404,MATCH(B1858,EXTRATO_IMPORTADO!$I$5:$I$404,0)),"")</f>
        <v/>
      </c>
      <c r="P1858" s="26" t="str">
        <f>IFERROR(INDEX(EXTRATO_IMPORTADO!$F$5:$F$404,MATCH(B1858,EXTRATO_IMPORTADO!$I$5:$I$404,0)),"")</f>
        <v/>
      </c>
      <c r="Q1858" s="26" t="str">
        <f>IFERROR(INDEX(EXTRATO_IMPORTADO!$B$5:$B$404,MATCH(B1858,EXTRATO_IMPORTADO!$I$5:$I$404,0)),"")</f>
        <v/>
      </c>
      <c r="R1858" s="26" t="str">
        <f>IFERROR(MATCH(B1858,EXTRATO_IMPORTADO!$I$5:$I$404,0),"")</f>
        <v/>
      </c>
      <c r="S1858" s="26" t="str">
        <f t="shared" si="85"/>
        <v/>
      </c>
      <c r="T1858" s="26" t="str">
        <f t="shared" si="86"/>
        <v/>
      </c>
    </row>
    <row r="1859" spans="1:20" x14ac:dyDescent="0.3">
      <c r="A1859" s="26" t="str">
        <f>IF(BASE_CAIXA!A1856="","",BASE_CAIXA!A1856)</f>
        <v/>
      </c>
      <c r="B1859" s="26" t="str">
        <f>IF(A1859="","",BASE_CAIXA!AL1856)</f>
        <v/>
      </c>
      <c r="C1859" s="26" t="str">
        <f>IF(A1859="","",BASE_CAIXA!AJ1856)</f>
        <v/>
      </c>
      <c r="D1859" s="26" t="str">
        <f>IF(A1859="","",IF(BASE_CAIXA!C1856="Entrada","Crédito","Débito"))</f>
        <v/>
      </c>
      <c r="E1859" s="26" t="str">
        <f>IF(A1859="","",BASE_CAIXA!AA1856)</f>
        <v/>
      </c>
      <c r="F1859" s="26" t="str">
        <f>IF(A1859="","",BASE_CAIXA!N1856)</f>
        <v/>
      </c>
      <c r="G1859" s="26" t="str">
        <f>IF(A1859="","",BASE_CAIXA!O1856)</f>
        <v/>
      </c>
      <c r="H1859" s="26" t="str">
        <f>IF(A1859="","",BASE_CAIXA!P1856)</f>
        <v/>
      </c>
      <c r="I1859" s="26" t="str">
        <f>IF(A1859="","",IF(BASE_CAIXA!H1856&lt;&gt;"",BASE_CAIXA!H1856,BASE_CAIXA!G1856))</f>
        <v/>
      </c>
      <c r="J1859" s="26" t="str">
        <f>IF(A1859="","",BASE_CAIXA!G1856)</f>
        <v/>
      </c>
      <c r="K1859" s="26" t="str">
        <f>IF(A1859="","",BASE_CAIXA!I1856)</f>
        <v/>
      </c>
      <c r="L1859" s="26" t="str">
        <f>IF(A1859="","",BASE_CAIXA!J1856)</f>
        <v/>
      </c>
      <c r="M1859" s="26" t="str">
        <f>IF(A1859="","",BASE_CAIXA!AM1856)</f>
        <v/>
      </c>
      <c r="N1859" s="26" t="str">
        <f t="shared" ca="1" si="84"/>
        <v/>
      </c>
      <c r="O1859" s="26" t="str">
        <f>IFERROR(INDEX(EXTRATO_IMPORTADO!$A$5:$A$404,MATCH(B1859,EXTRATO_IMPORTADO!$I$5:$I$404,0)),"")</f>
        <v/>
      </c>
      <c r="P1859" s="26" t="str">
        <f>IFERROR(INDEX(EXTRATO_IMPORTADO!$F$5:$F$404,MATCH(B1859,EXTRATO_IMPORTADO!$I$5:$I$404,0)),"")</f>
        <v/>
      </c>
      <c r="Q1859" s="26" t="str">
        <f>IFERROR(INDEX(EXTRATO_IMPORTADO!$B$5:$B$404,MATCH(B1859,EXTRATO_IMPORTADO!$I$5:$I$404,0)),"")</f>
        <v/>
      </c>
      <c r="R1859" s="26" t="str">
        <f>IFERROR(MATCH(B1859,EXTRATO_IMPORTADO!$I$5:$I$404,0),"")</f>
        <v/>
      </c>
      <c r="S1859" s="26" t="str">
        <f t="shared" si="85"/>
        <v/>
      </c>
      <c r="T1859" s="26" t="str">
        <f t="shared" si="86"/>
        <v/>
      </c>
    </row>
    <row r="1860" spans="1:20" x14ac:dyDescent="0.3">
      <c r="A1860" s="26" t="str">
        <f>IF(BASE_CAIXA!A1857="","",BASE_CAIXA!A1857)</f>
        <v/>
      </c>
      <c r="B1860" s="26" t="str">
        <f>IF(A1860="","",BASE_CAIXA!AL1857)</f>
        <v/>
      </c>
      <c r="C1860" s="26" t="str">
        <f>IF(A1860="","",BASE_CAIXA!AJ1857)</f>
        <v/>
      </c>
      <c r="D1860" s="26" t="str">
        <f>IF(A1860="","",IF(BASE_CAIXA!C1857="Entrada","Crédito","Débito"))</f>
        <v/>
      </c>
      <c r="E1860" s="26" t="str">
        <f>IF(A1860="","",BASE_CAIXA!AA1857)</f>
        <v/>
      </c>
      <c r="F1860" s="26" t="str">
        <f>IF(A1860="","",BASE_CAIXA!N1857)</f>
        <v/>
      </c>
      <c r="G1860" s="26" t="str">
        <f>IF(A1860="","",BASE_CAIXA!O1857)</f>
        <v/>
      </c>
      <c r="H1860" s="26" t="str">
        <f>IF(A1860="","",BASE_CAIXA!P1857)</f>
        <v/>
      </c>
      <c r="I1860" s="26" t="str">
        <f>IF(A1860="","",IF(BASE_CAIXA!H1857&lt;&gt;"",BASE_CAIXA!H1857,BASE_CAIXA!G1857))</f>
        <v/>
      </c>
      <c r="J1860" s="26" t="str">
        <f>IF(A1860="","",BASE_CAIXA!G1857)</f>
        <v/>
      </c>
      <c r="K1860" s="26" t="str">
        <f>IF(A1860="","",BASE_CAIXA!I1857)</f>
        <v/>
      </c>
      <c r="L1860" s="26" t="str">
        <f>IF(A1860="","",BASE_CAIXA!J1857)</f>
        <v/>
      </c>
      <c r="M1860" s="26" t="str">
        <f>IF(A1860="","",BASE_CAIXA!AM1857)</f>
        <v/>
      </c>
      <c r="N1860" s="26" t="str">
        <f t="shared" ca="1" si="84"/>
        <v/>
      </c>
      <c r="O1860" s="26" t="str">
        <f>IFERROR(INDEX(EXTRATO_IMPORTADO!$A$5:$A$404,MATCH(B1860,EXTRATO_IMPORTADO!$I$5:$I$404,0)),"")</f>
        <v/>
      </c>
      <c r="P1860" s="26" t="str">
        <f>IFERROR(INDEX(EXTRATO_IMPORTADO!$F$5:$F$404,MATCH(B1860,EXTRATO_IMPORTADO!$I$5:$I$404,0)),"")</f>
        <v/>
      </c>
      <c r="Q1860" s="26" t="str">
        <f>IFERROR(INDEX(EXTRATO_IMPORTADO!$B$5:$B$404,MATCH(B1860,EXTRATO_IMPORTADO!$I$5:$I$404,0)),"")</f>
        <v/>
      </c>
      <c r="R1860" s="26" t="str">
        <f>IFERROR(MATCH(B1860,EXTRATO_IMPORTADO!$I$5:$I$404,0),"")</f>
        <v/>
      </c>
      <c r="S1860" s="26" t="str">
        <f t="shared" si="85"/>
        <v/>
      </c>
      <c r="T1860" s="26" t="str">
        <f t="shared" si="86"/>
        <v/>
      </c>
    </row>
    <row r="1861" spans="1:20" x14ac:dyDescent="0.3">
      <c r="A1861" s="26" t="str">
        <f>IF(BASE_CAIXA!A1858="","",BASE_CAIXA!A1858)</f>
        <v/>
      </c>
      <c r="B1861" s="26" t="str">
        <f>IF(A1861="","",BASE_CAIXA!AL1858)</f>
        <v/>
      </c>
      <c r="C1861" s="26" t="str">
        <f>IF(A1861="","",BASE_CAIXA!AJ1858)</f>
        <v/>
      </c>
      <c r="D1861" s="26" t="str">
        <f>IF(A1861="","",IF(BASE_CAIXA!C1858="Entrada","Crédito","Débito"))</f>
        <v/>
      </c>
      <c r="E1861" s="26" t="str">
        <f>IF(A1861="","",BASE_CAIXA!AA1858)</f>
        <v/>
      </c>
      <c r="F1861" s="26" t="str">
        <f>IF(A1861="","",BASE_CAIXA!N1858)</f>
        <v/>
      </c>
      <c r="G1861" s="26" t="str">
        <f>IF(A1861="","",BASE_CAIXA!O1858)</f>
        <v/>
      </c>
      <c r="H1861" s="26" t="str">
        <f>IF(A1861="","",BASE_CAIXA!P1858)</f>
        <v/>
      </c>
      <c r="I1861" s="26" t="str">
        <f>IF(A1861="","",IF(BASE_CAIXA!H1858&lt;&gt;"",BASE_CAIXA!H1858,BASE_CAIXA!G1858))</f>
        <v/>
      </c>
      <c r="J1861" s="26" t="str">
        <f>IF(A1861="","",BASE_CAIXA!G1858)</f>
        <v/>
      </c>
      <c r="K1861" s="26" t="str">
        <f>IF(A1861="","",BASE_CAIXA!I1858)</f>
        <v/>
      </c>
      <c r="L1861" s="26" t="str">
        <f>IF(A1861="","",BASE_CAIXA!J1858)</f>
        <v/>
      </c>
      <c r="M1861" s="26" t="str">
        <f>IF(A1861="","",BASE_CAIXA!AM1858)</f>
        <v/>
      </c>
      <c r="N1861" s="26" t="str">
        <f t="shared" ref="N1861:N1924" ca="1" si="87">IF(A1861="","",IF(R1861&lt;&gt;"",IF(AND(ABS(S1861)&lt;=0.01,ABS(T1861)&lt;=3),"Conciliado","Divergente"),IF(TODAY()&gt;C1861,"Pendente vencido","Previsto")))</f>
        <v/>
      </c>
      <c r="O1861" s="26" t="str">
        <f>IFERROR(INDEX(EXTRATO_IMPORTADO!$A$5:$A$404,MATCH(B1861,EXTRATO_IMPORTADO!$I$5:$I$404,0)),"")</f>
        <v/>
      </c>
      <c r="P1861" s="26" t="str">
        <f>IFERROR(INDEX(EXTRATO_IMPORTADO!$F$5:$F$404,MATCH(B1861,EXTRATO_IMPORTADO!$I$5:$I$404,0)),"")</f>
        <v/>
      </c>
      <c r="Q1861" s="26" t="str">
        <f>IFERROR(INDEX(EXTRATO_IMPORTADO!$B$5:$B$404,MATCH(B1861,EXTRATO_IMPORTADO!$I$5:$I$404,0)),"")</f>
        <v/>
      </c>
      <c r="R1861" s="26" t="str">
        <f>IFERROR(MATCH(B1861,EXTRATO_IMPORTADO!$I$5:$I$404,0),"")</f>
        <v/>
      </c>
      <c r="S1861" s="26" t="str">
        <f t="shared" ref="S1861:S1924" si="88">IF(OR(A1861="",P1861=""),"",P1861-E1861)</f>
        <v/>
      </c>
      <c r="T1861" s="26" t="str">
        <f t="shared" ref="T1861:T1924" si="89">IF(OR(A1861="",O1861=""),"",O1861-C1861)</f>
        <v/>
      </c>
    </row>
    <row r="1862" spans="1:20" x14ac:dyDescent="0.3">
      <c r="A1862" s="26" t="str">
        <f>IF(BASE_CAIXA!A1859="","",BASE_CAIXA!A1859)</f>
        <v/>
      </c>
      <c r="B1862" s="26" t="str">
        <f>IF(A1862="","",BASE_CAIXA!AL1859)</f>
        <v/>
      </c>
      <c r="C1862" s="26" t="str">
        <f>IF(A1862="","",BASE_CAIXA!AJ1859)</f>
        <v/>
      </c>
      <c r="D1862" s="26" t="str">
        <f>IF(A1862="","",IF(BASE_CAIXA!C1859="Entrada","Crédito","Débito"))</f>
        <v/>
      </c>
      <c r="E1862" s="26" t="str">
        <f>IF(A1862="","",BASE_CAIXA!AA1859)</f>
        <v/>
      </c>
      <c r="F1862" s="26" t="str">
        <f>IF(A1862="","",BASE_CAIXA!N1859)</f>
        <v/>
      </c>
      <c r="G1862" s="26" t="str">
        <f>IF(A1862="","",BASE_CAIXA!O1859)</f>
        <v/>
      </c>
      <c r="H1862" s="26" t="str">
        <f>IF(A1862="","",BASE_CAIXA!P1859)</f>
        <v/>
      </c>
      <c r="I1862" s="26" t="str">
        <f>IF(A1862="","",IF(BASE_CAIXA!H1859&lt;&gt;"",BASE_CAIXA!H1859,BASE_CAIXA!G1859))</f>
        <v/>
      </c>
      <c r="J1862" s="26" t="str">
        <f>IF(A1862="","",BASE_CAIXA!G1859)</f>
        <v/>
      </c>
      <c r="K1862" s="26" t="str">
        <f>IF(A1862="","",BASE_CAIXA!I1859)</f>
        <v/>
      </c>
      <c r="L1862" s="26" t="str">
        <f>IF(A1862="","",BASE_CAIXA!J1859)</f>
        <v/>
      </c>
      <c r="M1862" s="26" t="str">
        <f>IF(A1862="","",BASE_CAIXA!AM1859)</f>
        <v/>
      </c>
      <c r="N1862" s="26" t="str">
        <f t="shared" ca="1" si="87"/>
        <v/>
      </c>
      <c r="O1862" s="26" t="str">
        <f>IFERROR(INDEX(EXTRATO_IMPORTADO!$A$5:$A$404,MATCH(B1862,EXTRATO_IMPORTADO!$I$5:$I$404,0)),"")</f>
        <v/>
      </c>
      <c r="P1862" s="26" t="str">
        <f>IFERROR(INDEX(EXTRATO_IMPORTADO!$F$5:$F$404,MATCH(B1862,EXTRATO_IMPORTADO!$I$5:$I$404,0)),"")</f>
        <v/>
      </c>
      <c r="Q1862" s="26" t="str">
        <f>IFERROR(INDEX(EXTRATO_IMPORTADO!$B$5:$B$404,MATCH(B1862,EXTRATO_IMPORTADO!$I$5:$I$404,0)),"")</f>
        <v/>
      </c>
      <c r="R1862" s="26" t="str">
        <f>IFERROR(MATCH(B1862,EXTRATO_IMPORTADO!$I$5:$I$404,0),"")</f>
        <v/>
      </c>
      <c r="S1862" s="26" t="str">
        <f t="shared" si="88"/>
        <v/>
      </c>
      <c r="T1862" s="26" t="str">
        <f t="shared" si="89"/>
        <v/>
      </c>
    </row>
    <row r="1863" spans="1:20" x14ac:dyDescent="0.3">
      <c r="A1863" s="26" t="str">
        <f>IF(BASE_CAIXA!A1860="","",BASE_CAIXA!A1860)</f>
        <v/>
      </c>
      <c r="B1863" s="26" t="str">
        <f>IF(A1863="","",BASE_CAIXA!AL1860)</f>
        <v/>
      </c>
      <c r="C1863" s="26" t="str">
        <f>IF(A1863="","",BASE_CAIXA!AJ1860)</f>
        <v/>
      </c>
      <c r="D1863" s="26" t="str">
        <f>IF(A1863="","",IF(BASE_CAIXA!C1860="Entrada","Crédito","Débito"))</f>
        <v/>
      </c>
      <c r="E1863" s="26" t="str">
        <f>IF(A1863="","",BASE_CAIXA!AA1860)</f>
        <v/>
      </c>
      <c r="F1863" s="26" t="str">
        <f>IF(A1863="","",BASE_CAIXA!N1860)</f>
        <v/>
      </c>
      <c r="G1863" s="26" t="str">
        <f>IF(A1863="","",BASE_CAIXA!O1860)</f>
        <v/>
      </c>
      <c r="H1863" s="26" t="str">
        <f>IF(A1863="","",BASE_CAIXA!P1860)</f>
        <v/>
      </c>
      <c r="I1863" s="26" t="str">
        <f>IF(A1863="","",IF(BASE_CAIXA!H1860&lt;&gt;"",BASE_CAIXA!H1860,BASE_CAIXA!G1860))</f>
        <v/>
      </c>
      <c r="J1863" s="26" t="str">
        <f>IF(A1863="","",BASE_CAIXA!G1860)</f>
        <v/>
      </c>
      <c r="K1863" s="26" t="str">
        <f>IF(A1863="","",BASE_CAIXA!I1860)</f>
        <v/>
      </c>
      <c r="L1863" s="26" t="str">
        <f>IF(A1863="","",BASE_CAIXA!J1860)</f>
        <v/>
      </c>
      <c r="M1863" s="26" t="str">
        <f>IF(A1863="","",BASE_CAIXA!AM1860)</f>
        <v/>
      </c>
      <c r="N1863" s="26" t="str">
        <f t="shared" ca="1" si="87"/>
        <v/>
      </c>
      <c r="O1863" s="26" t="str">
        <f>IFERROR(INDEX(EXTRATO_IMPORTADO!$A$5:$A$404,MATCH(B1863,EXTRATO_IMPORTADO!$I$5:$I$404,0)),"")</f>
        <v/>
      </c>
      <c r="P1863" s="26" t="str">
        <f>IFERROR(INDEX(EXTRATO_IMPORTADO!$F$5:$F$404,MATCH(B1863,EXTRATO_IMPORTADO!$I$5:$I$404,0)),"")</f>
        <v/>
      </c>
      <c r="Q1863" s="26" t="str">
        <f>IFERROR(INDEX(EXTRATO_IMPORTADO!$B$5:$B$404,MATCH(B1863,EXTRATO_IMPORTADO!$I$5:$I$404,0)),"")</f>
        <v/>
      </c>
      <c r="R1863" s="26" t="str">
        <f>IFERROR(MATCH(B1863,EXTRATO_IMPORTADO!$I$5:$I$404,0),"")</f>
        <v/>
      </c>
      <c r="S1863" s="26" t="str">
        <f t="shared" si="88"/>
        <v/>
      </c>
      <c r="T1863" s="26" t="str">
        <f t="shared" si="89"/>
        <v/>
      </c>
    </row>
    <row r="1864" spans="1:20" x14ac:dyDescent="0.3">
      <c r="A1864" s="26" t="str">
        <f>IF(BASE_CAIXA!A1861="","",BASE_CAIXA!A1861)</f>
        <v/>
      </c>
      <c r="B1864" s="26" t="str">
        <f>IF(A1864="","",BASE_CAIXA!AL1861)</f>
        <v/>
      </c>
      <c r="C1864" s="26" t="str">
        <f>IF(A1864="","",BASE_CAIXA!AJ1861)</f>
        <v/>
      </c>
      <c r="D1864" s="26" t="str">
        <f>IF(A1864="","",IF(BASE_CAIXA!C1861="Entrada","Crédito","Débito"))</f>
        <v/>
      </c>
      <c r="E1864" s="26" t="str">
        <f>IF(A1864="","",BASE_CAIXA!AA1861)</f>
        <v/>
      </c>
      <c r="F1864" s="26" t="str">
        <f>IF(A1864="","",BASE_CAIXA!N1861)</f>
        <v/>
      </c>
      <c r="G1864" s="26" t="str">
        <f>IF(A1864="","",BASE_CAIXA!O1861)</f>
        <v/>
      </c>
      <c r="H1864" s="26" t="str">
        <f>IF(A1864="","",BASE_CAIXA!P1861)</f>
        <v/>
      </c>
      <c r="I1864" s="26" t="str">
        <f>IF(A1864="","",IF(BASE_CAIXA!H1861&lt;&gt;"",BASE_CAIXA!H1861,BASE_CAIXA!G1861))</f>
        <v/>
      </c>
      <c r="J1864" s="26" t="str">
        <f>IF(A1864="","",BASE_CAIXA!G1861)</f>
        <v/>
      </c>
      <c r="K1864" s="26" t="str">
        <f>IF(A1864="","",BASE_CAIXA!I1861)</f>
        <v/>
      </c>
      <c r="L1864" s="26" t="str">
        <f>IF(A1864="","",BASE_CAIXA!J1861)</f>
        <v/>
      </c>
      <c r="M1864" s="26" t="str">
        <f>IF(A1864="","",BASE_CAIXA!AM1861)</f>
        <v/>
      </c>
      <c r="N1864" s="26" t="str">
        <f t="shared" ca="1" si="87"/>
        <v/>
      </c>
      <c r="O1864" s="26" t="str">
        <f>IFERROR(INDEX(EXTRATO_IMPORTADO!$A$5:$A$404,MATCH(B1864,EXTRATO_IMPORTADO!$I$5:$I$404,0)),"")</f>
        <v/>
      </c>
      <c r="P1864" s="26" t="str">
        <f>IFERROR(INDEX(EXTRATO_IMPORTADO!$F$5:$F$404,MATCH(B1864,EXTRATO_IMPORTADO!$I$5:$I$404,0)),"")</f>
        <v/>
      </c>
      <c r="Q1864" s="26" t="str">
        <f>IFERROR(INDEX(EXTRATO_IMPORTADO!$B$5:$B$404,MATCH(B1864,EXTRATO_IMPORTADO!$I$5:$I$404,0)),"")</f>
        <v/>
      </c>
      <c r="R1864" s="26" t="str">
        <f>IFERROR(MATCH(B1864,EXTRATO_IMPORTADO!$I$5:$I$404,0),"")</f>
        <v/>
      </c>
      <c r="S1864" s="26" t="str">
        <f t="shared" si="88"/>
        <v/>
      </c>
      <c r="T1864" s="26" t="str">
        <f t="shared" si="89"/>
        <v/>
      </c>
    </row>
    <row r="1865" spans="1:20" x14ac:dyDescent="0.3">
      <c r="A1865" s="26" t="str">
        <f>IF(BASE_CAIXA!A1862="","",BASE_CAIXA!A1862)</f>
        <v/>
      </c>
      <c r="B1865" s="26" t="str">
        <f>IF(A1865="","",BASE_CAIXA!AL1862)</f>
        <v/>
      </c>
      <c r="C1865" s="26" t="str">
        <f>IF(A1865="","",BASE_CAIXA!AJ1862)</f>
        <v/>
      </c>
      <c r="D1865" s="26" t="str">
        <f>IF(A1865="","",IF(BASE_CAIXA!C1862="Entrada","Crédito","Débito"))</f>
        <v/>
      </c>
      <c r="E1865" s="26" t="str">
        <f>IF(A1865="","",BASE_CAIXA!AA1862)</f>
        <v/>
      </c>
      <c r="F1865" s="26" t="str">
        <f>IF(A1865="","",BASE_CAIXA!N1862)</f>
        <v/>
      </c>
      <c r="G1865" s="26" t="str">
        <f>IF(A1865="","",BASE_CAIXA!O1862)</f>
        <v/>
      </c>
      <c r="H1865" s="26" t="str">
        <f>IF(A1865="","",BASE_CAIXA!P1862)</f>
        <v/>
      </c>
      <c r="I1865" s="26" t="str">
        <f>IF(A1865="","",IF(BASE_CAIXA!H1862&lt;&gt;"",BASE_CAIXA!H1862,BASE_CAIXA!G1862))</f>
        <v/>
      </c>
      <c r="J1865" s="26" t="str">
        <f>IF(A1865="","",BASE_CAIXA!G1862)</f>
        <v/>
      </c>
      <c r="K1865" s="26" t="str">
        <f>IF(A1865="","",BASE_CAIXA!I1862)</f>
        <v/>
      </c>
      <c r="L1865" s="26" t="str">
        <f>IF(A1865="","",BASE_CAIXA!J1862)</f>
        <v/>
      </c>
      <c r="M1865" s="26" t="str">
        <f>IF(A1865="","",BASE_CAIXA!AM1862)</f>
        <v/>
      </c>
      <c r="N1865" s="26" t="str">
        <f t="shared" ca="1" si="87"/>
        <v/>
      </c>
      <c r="O1865" s="26" t="str">
        <f>IFERROR(INDEX(EXTRATO_IMPORTADO!$A$5:$A$404,MATCH(B1865,EXTRATO_IMPORTADO!$I$5:$I$404,0)),"")</f>
        <v/>
      </c>
      <c r="P1865" s="26" t="str">
        <f>IFERROR(INDEX(EXTRATO_IMPORTADO!$F$5:$F$404,MATCH(B1865,EXTRATO_IMPORTADO!$I$5:$I$404,0)),"")</f>
        <v/>
      </c>
      <c r="Q1865" s="26" t="str">
        <f>IFERROR(INDEX(EXTRATO_IMPORTADO!$B$5:$B$404,MATCH(B1865,EXTRATO_IMPORTADO!$I$5:$I$404,0)),"")</f>
        <v/>
      </c>
      <c r="R1865" s="26" t="str">
        <f>IFERROR(MATCH(B1865,EXTRATO_IMPORTADO!$I$5:$I$404,0),"")</f>
        <v/>
      </c>
      <c r="S1865" s="26" t="str">
        <f t="shared" si="88"/>
        <v/>
      </c>
      <c r="T1865" s="26" t="str">
        <f t="shared" si="89"/>
        <v/>
      </c>
    </row>
    <row r="1866" spans="1:20" x14ac:dyDescent="0.3">
      <c r="A1866" s="26" t="str">
        <f>IF(BASE_CAIXA!A1863="","",BASE_CAIXA!A1863)</f>
        <v/>
      </c>
      <c r="B1866" s="26" t="str">
        <f>IF(A1866="","",BASE_CAIXA!AL1863)</f>
        <v/>
      </c>
      <c r="C1866" s="26" t="str">
        <f>IF(A1866="","",BASE_CAIXA!AJ1863)</f>
        <v/>
      </c>
      <c r="D1866" s="26" t="str">
        <f>IF(A1866="","",IF(BASE_CAIXA!C1863="Entrada","Crédito","Débito"))</f>
        <v/>
      </c>
      <c r="E1866" s="26" t="str">
        <f>IF(A1866="","",BASE_CAIXA!AA1863)</f>
        <v/>
      </c>
      <c r="F1866" s="26" t="str">
        <f>IF(A1866="","",BASE_CAIXA!N1863)</f>
        <v/>
      </c>
      <c r="G1866" s="26" t="str">
        <f>IF(A1866="","",BASE_CAIXA!O1863)</f>
        <v/>
      </c>
      <c r="H1866" s="26" t="str">
        <f>IF(A1866="","",BASE_CAIXA!P1863)</f>
        <v/>
      </c>
      <c r="I1866" s="26" t="str">
        <f>IF(A1866="","",IF(BASE_CAIXA!H1863&lt;&gt;"",BASE_CAIXA!H1863,BASE_CAIXA!G1863))</f>
        <v/>
      </c>
      <c r="J1866" s="26" t="str">
        <f>IF(A1866="","",BASE_CAIXA!G1863)</f>
        <v/>
      </c>
      <c r="K1866" s="26" t="str">
        <f>IF(A1866="","",BASE_CAIXA!I1863)</f>
        <v/>
      </c>
      <c r="L1866" s="26" t="str">
        <f>IF(A1866="","",BASE_CAIXA!J1863)</f>
        <v/>
      </c>
      <c r="M1866" s="26" t="str">
        <f>IF(A1866="","",BASE_CAIXA!AM1863)</f>
        <v/>
      </c>
      <c r="N1866" s="26" t="str">
        <f t="shared" ca="1" si="87"/>
        <v/>
      </c>
      <c r="O1866" s="26" t="str">
        <f>IFERROR(INDEX(EXTRATO_IMPORTADO!$A$5:$A$404,MATCH(B1866,EXTRATO_IMPORTADO!$I$5:$I$404,0)),"")</f>
        <v/>
      </c>
      <c r="P1866" s="26" t="str">
        <f>IFERROR(INDEX(EXTRATO_IMPORTADO!$F$5:$F$404,MATCH(B1866,EXTRATO_IMPORTADO!$I$5:$I$404,0)),"")</f>
        <v/>
      </c>
      <c r="Q1866" s="26" t="str">
        <f>IFERROR(INDEX(EXTRATO_IMPORTADO!$B$5:$B$404,MATCH(B1866,EXTRATO_IMPORTADO!$I$5:$I$404,0)),"")</f>
        <v/>
      </c>
      <c r="R1866" s="26" t="str">
        <f>IFERROR(MATCH(B1866,EXTRATO_IMPORTADO!$I$5:$I$404,0),"")</f>
        <v/>
      </c>
      <c r="S1866" s="26" t="str">
        <f t="shared" si="88"/>
        <v/>
      </c>
      <c r="T1866" s="26" t="str">
        <f t="shared" si="89"/>
        <v/>
      </c>
    </row>
    <row r="1867" spans="1:20" x14ac:dyDescent="0.3">
      <c r="A1867" s="26" t="str">
        <f>IF(BASE_CAIXA!A1864="","",BASE_CAIXA!A1864)</f>
        <v/>
      </c>
      <c r="B1867" s="26" t="str">
        <f>IF(A1867="","",BASE_CAIXA!AL1864)</f>
        <v/>
      </c>
      <c r="C1867" s="26" t="str">
        <f>IF(A1867="","",BASE_CAIXA!AJ1864)</f>
        <v/>
      </c>
      <c r="D1867" s="26" t="str">
        <f>IF(A1867="","",IF(BASE_CAIXA!C1864="Entrada","Crédito","Débito"))</f>
        <v/>
      </c>
      <c r="E1867" s="26" t="str">
        <f>IF(A1867="","",BASE_CAIXA!AA1864)</f>
        <v/>
      </c>
      <c r="F1867" s="26" t="str">
        <f>IF(A1867="","",BASE_CAIXA!N1864)</f>
        <v/>
      </c>
      <c r="G1867" s="26" t="str">
        <f>IF(A1867="","",BASE_CAIXA!O1864)</f>
        <v/>
      </c>
      <c r="H1867" s="26" t="str">
        <f>IF(A1867="","",BASE_CAIXA!P1864)</f>
        <v/>
      </c>
      <c r="I1867" s="26" t="str">
        <f>IF(A1867="","",IF(BASE_CAIXA!H1864&lt;&gt;"",BASE_CAIXA!H1864,BASE_CAIXA!G1864))</f>
        <v/>
      </c>
      <c r="J1867" s="26" t="str">
        <f>IF(A1867="","",BASE_CAIXA!G1864)</f>
        <v/>
      </c>
      <c r="K1867" s="26" t="str">
        <f>IF(A1867="","",BASE_CAIXA!I1864)</f>
        <v/>
      </c>
      <c r="L1867" s="26" t="str">
        <f>IF(A1867="","",BASE_CAIXA!J1864)</f>
        <v/>
      </c>
      <c r="M1867" s="26" t="str">
        <f>IF(A1867="","",BASE_CAIXA!AM1864)</f>
        <v/>
      </c>
      <c r="N1867" s="26" t="str">
        <f t="shared" ca="1" si="87"/>
        <v/>
      </c>
      <c r="O1867" s="26" t="str">
        <f>IFERROR(INDEX(EXTRATO_IMPORTADO!$A$5:$A$404,MATCH(B1867,EXTRATO_IMPORTADO!$I$5:$I$404,0)),"")</f>
        <v/>
      </c>
      <c r="P1867" s="26" t="str">
        <f>IFERROR(INDEX(EXTRATO_IMPORTADO!$F$5:$F$404,MATCH(B1867,EXTRATO_IMPORTADO!$I$5:$I$404,0)),"")</f>
        <v/>
      </c>
      <c r="Q1867" s="26" t="str">
        <f>IFERROR(INDEX(EXTRATO_IMPORTADO!$B$5:$B$404,MATCH(B1867,EXTRATO_IMPORTADO!$I$5:$I$404,0)),"")</f>
        <v/>
      </c>
      <c r="R1867" s="26" t="str">
        <f>IFERROR(MATCH(B1867,EXTRATO_IMPORTADO!$I$5:$I$404,0),"")</f>
        <v/>
      </c>
      <c r="S1867" s="26" t="str">
        <f t="shared" si="88"/>
        <v/>
      </c>
      <c r="T1867" s="26" t="str">
        <f t="shared" si="89"/>
        <v/>
      </c>
    </row>
    <row r="1868" spans="1:20" x14ac:dyDescent="0.3">
      <c r="A1868" s="26" t="str">
        <f>IF(BASE_CAIXA!A1865="","",BASE_CAIXA!A1865)</f>
        <v/>
      </c>
      <c r="B1868" s="26" t="str">
        <f>IF(A1868="","",BASE_CAIXA!AL1865)</f>
        <v/>
      </c>
      <c r="C1868" s="26" t="str">
        <f>IF(A1868="","",BASE_CAIXA!AJ1865)</f>
        <v/>
      </c>
      <c r="D1868" s="26" t="str">
        <f>IF(A1868="","",IF(BASE_CAIXA!C1865="Entrada","Crédito","Débito"))</f>
        <v/>
      </c>
      <c r="E1868" s="26" t="str">
        <f>IF(A1868="","",BASE_CAIXA!AA1865)</f>
        <v/>
      </c>
      <c r="F1868" s="26" t="str">
        <f>IF(A1868="","",BASE_CAIXA!N1865)</f>
        <v/>
      </c>
      <c r="G1868" s="26" t="str">
        <f>IF(A1868="","",BASE_CAIXA!O1865)</f>
        <v/>
      </c>
      <c r="H1868" s="26" t="str">
        <f>IF(A1868="","",BASE_CAIXA!P1865)</f>
        <v/>
      </c>
      <c r="I1868" s="26" t="str">
        <f>IF(A1868="","",IF(BASE_CAIXA!H1865&lt;&gt;"",BASE_CAIXA!H1865,BASE_CAIXA!G1865))</f>
        <v/>
      </c>
      <c r="J1868" s="26" t="str">
        <f>IF(A1868="","",BASE_CAIXA!G1865)</f>
        <v/>
      </c>
      <c r="K1868" s="26" t="str">
        <f>IF(A1868="","",BASE_CAIXA!I1865)</f>
        <v/>
      </c>
      <c r="L1868" s="26" t="str">
        <f>IF(A1868="","",BASE_CAIXA!J1865)</f>
        <v/>
      </c>
      <c r="M1868" s="26" t="str">
        <f>IF(A1868="","",BASE_CAIXA!AM1865)</f>
        <v/>
      </c>
      <c r="N1868" s="26" t="str">
        <f t="shared" ca="1" si="87"/>
        <v/>
      </c>
      <c r="O1868" s="26" t="str">
        <f>IFERROR(INDEX(EXTRATO_IMPORTADO!$A$5:$A$404,MATCH(B1868,EXTRATO_IMPORTADO!$I$5:$I$404,0)),"")</f>
        <v/>
      </c>
      <c r="P1868" s="26" t="str">
        <f>IFERROR(INDEX(EXTRATO_IMPORTADO!$F$5:$F$404,MATCH(B1868,EXTRATO_IMPORTADO!$I$5:$I$404,0)),"")</f>
        <v/>
      </c>
      <c r="Q1868" s="26" t="str">
        <f>IFERROR(INDEX(EXTRATO_IMPORTADO!$B$5:$B$404,MATCH(B1868,EXTRATO_IMPORTADO!$I$5:$I$404,0)),"")</f>
        <v/>
      </c>
      <c r="R1868" s="26" t="str">
        <f>IFERROR(MATCH(B1868,EXTRATO_IMPORTADO!$I$5:$I$404,0),"")</f>
        <v/>
      </c>
      <c r="S1868" s="26" t="str">
        <f t="shared" si="88"/>
        <v/>
      </c>
      <c r="T1868" s="26" t="str">
        <f t="shared" si="89"/>
        <v/>
      </c>
    </row>
    <row r="1869" spans="1:20" x14ac:dyDescent="0.3">
      <c r="A1869" s="26" t="str">
        <f>IF(BASE_CAIXA!A1866="","",BASE_CAIXA!A1866)</f>
        <v/>
      </c>
      <c r="B1869" s="26" t="str">
        <f>IF(A1869="","",BASE_CAIXA!AL1866)</f>
        <v/>
      </c>
      <c r="C1869" s="26" t="str">
        <f>IF(A1869="","",BASE_CAIXA!AJ1866)</f>
        <v/>
      </c>
      <c r="D1869" s="26" t="str">
        <f>IF(A1869="","",IF(BASE_CAIXA!C1866="Entrada","Crédito","Débito"))</f>
        <v/>
      </c>
      <c r="E1869" s="26" t="str">
        <f>IF(A1869="","",BASE_CAIXA!AA1866)</f>
        <v/>
      </c>
      <c r="F1869" s="26" t="str">
        <f>IF(A1869="","",BASE_CAIXA!N1866)</f>
        <v/>
      </c>
      <c r="G1869" s="26" t="str">
        <f>IF(A1869="","",BASE_CAIXA!O1866)</f>
        <v/>
      </c>
      <c r="H1869" s="26" t="str">
        <f>IF(A1869="","",BASE_CAIXA!P1866)</f>
        <v/>
      </c>
      <c r="I1869" s="26" t="str">
        <f>IF(A1869="","",IF(BASE_CAIXA!H1866&lt;&gt;"",BASE_CAIXA!H1866,BASE_CAIXA!G1866))</f>
        <v/>
      </c>
      <c r="J1869" s="26" t="str">
        <f>IF(A1869="","",BASE_CAIXA!G1866)</f>
        <v/>
      </c>
      <c r="K1869" s="26" t="str">
        <f>IF(A1869="","",BASE_CAIXA!I1866)</f>
        <v/>
      </c>
      <c r="L1869" s="26" t="str">
        <f>IF(A1869="","",BASE_CAIXA!J1866)</f>
        <v/>
      </c>
      <c r="M1869" s="26" t="str">
        <f>IF(A1869="","",BASE_CAIXA!AM1866)</f>
        <v/>
      </c>
      <c r="N1869" s="26" t="str">
        <f t="shared" ca="1" si="87"/>
        <v/>
      </c>
      <c r="O1869" s="26" t="str">
        <f>IFERROR(INDEX(EXTRATO_IMPORTADO!$A$5:$A$404,MATCH(B1869,EXTRATO_IMPORTADO!$I$5:$I$404,0)),"")</f>
        <v/>
      </c>
      <c r="P1869" s="26" t="str">
        <f>IFERROR(INDEX(EXTRATO_IMPORTADO!$F$5:$F$404,MATCH(B1869,EXTRATO_IMPORTADO!$I$5:$I$404,0)),"")</f>
        <v/>
      </c>
      <c r="Q1869" s="26" t="str">
        <f>IFERROR(INDEX(EXTRATO_IMPORTADO!$B$5:$B$404,MATCH(B1869,EXTRATO_IMPORTADO!$I$5:$I$404,0)),"")</f>
        <v/>
      </c>
      <c r="R1869" s="26" t="str">
        <f>IFERROR(MATCH(B1869,EXTRATO_IMPORTADO!$I$5:$I$404,0),"")</f>
        <v/>
      </c>
      <c r="S1869" s="26" t="str">
        <f t="shared" si="88"/>
        <v/>
      </c>
      <c r="T1869" s="26" t="str">
        <f t="shared" si="89"/>
        <v/>
      </c>
    </row>
    <row r="1870" spans="1:20" x14ac:dyDescent="0.3">
      <c r="A1870" s="26" t="str">
        <f>IF(BASE_CAIXA!A1867="","",BASE_CAIXA!A1867)</f>
        <v/>
      </c>
      <c r="B1870" s="26" t="str">
        <f>IF(A1870="","",BASE_CAIXA!AL1867)</f>
        <v/>
      </c>
      <c r="C1870" s="26" t="str">
        <f>IF(A1870="","",BASE_CAIXA!AJ1867)</f>
        <v/>
      </c>
      <c r="D1870" s="26" t="str">
        <f>IF(A1870="","",IF(BASE_CAIXA!C1867="Entrada","Crédito","Débito"))</f>
        <v/>
      </c>
      <c r="E1870" s="26" t="str">
        <f>IF(A1870="","",BASE_CAIXA!AA1867)</f>
        <v/>
      </c>
      <c r="F1870" s="26" t="str">
        <f>IF(A1870="","",BASE_CAIXA!N1867)</f>
        <v/>
      </c>
      <c r="G1870" s="26" t="str">
        <f>IF(A1870="","",BASE_CAIXA!O1867)</f>
        <v/>
      </c>
      <c r="H1870" s="26" t="str">
        <f>IF(A1870="","",BASE_CAIXA!P1867)</f>
        <v/>
      </c>
      <c r="I1870" s="26" t="str">
        <f>IF(A1870="","",IF(BASE_CAIXA!H1867&lt;&gt;"",BASE_CAIXA!H1867,BASE_CAIXA!G1867))</f>
        <v/>
      </c>
      <c r="J1870" s="26" t="str">
        <f>IF(A1870="","",BASE_CAIXA!G1867)</f>
        <v/>
      </c>
      <c r="K1870" s="26" t="str">
        <f>IF(A1870="","",BASE_CAIXA!I1867)</f>
        <v/>
      </c>
      <c r="L1870" s="26" t="str">
        <f>IF(A1870="","",BASE_CAIXA!J1867)</f>
        <v/>
      </c>
      <c r="M1870" s="26" t="str">
        <f>IF(A1870="","",BASE_CAIXA!AM1867)</f>
        <v/>
      </c>
      <c r="N1870" s="26" t="str">
        <f t="shared" ca="1" si="87"/>
        <v/>
      </c>
      <c r="O1870" s="26" t="str">
        <f>IFERROR(INDEX(EXTRATO_IMPORTADO!$A$5:$A$404,MATCH(B1870,EXTRATO_IMPORTADO!$I$5:$I$404,0)),"")</f>
        <v/>
      </c>
      <c r="P1870" s="26" t="str">
        <f>IFERROR(INDEX(EXTRATO_IMPORTADO!$F$5:$F$404,MATCH(B1870,EXTRATO_IMPORTADO!$I$5:$I$404,0)),"")</f>
        <v/>
      </c>
      <c r="Q1870" s="26" t="str">
        <f>IFERROR(INDEX(EXTRATO_IMPORTADO!$B$5:$B$404,MATCH(B1870,EXTRATO_IMPORTADO!$I$5:$I$404,0)),"")</f>
        <v/>
      </c>
      <c r="R1870" s="26" t="str">
        <f>IFERROR(MATCH(B1870,EXTRATO_IMPORTADO!$I$5:$I$404,0),"")</f>
        <v/>
      </c>
      <c r="S1870" s="26" t="str">
        <f t="shared" si="88"/>
        <v/>
      </c>
      <c r="T1870" s="26" t="str">
        <f t="shared" si="89"/>
        <v/>
      </c>
    </row>
    <row r="1871" spans="1:20" x14ac:dyDescent="0.3">
      <c r="A1871" s="26" t="str">
        <f>IF(BASE_CAIXA!A1868="","",BASE_CAIXA!A1868)</f>
        <v/>
      </c>
      <c r="B1871" s="26" t="str">
        <f>IF(A1871="","",BASE_CAIXA!AL1868)</f>
        <v/>
      </c>
      <c r="C1871" s="26" t="str">
        <f>IF(A1871="","",BASE_CAIXA!AJ1868)</f>
        <v/>
      </c>
      <c r="D1871" s="26" t="str">
        <f>IF(A1871="","",IF(BASE_CAIXA!C1868="Entrada","Crédito","Débito"))</f>
        <v/>
      </c>
      <c r="E1871" s="26" t="str">
        <f>IF(A1871="","",BASE_CAIXA!AA1868)</f>
        <v/>
      </c>
      <c r="F1871" s="26" t="str">
        <f>IF(A1871="","",BASE_CAIXA!N1868)</f>
        <v/>
      </c>
      <c r="G1871" s="26" t="str">
        <f>IF(A1871="","",BASE_CAIXA!O1868)</f>
        <v/>
      </c>
      <c r="H1871" s="26" t="str">
        <f>IF(A1871="","",BASE_CAIXA!P1868)</f>
        <v/>
      </c>
      <c r="I1871" s="26" t="str">
        <f>IF(A1871="","",IF(BASE_CAIXA!H1868&lt;&gt;"",BASE_CAIXA!H1868,BASE_CAIXA!G1868))</f>
        <v/>
      </c>
      <c r="J1871" s="26" t="str">
        <f>IF(A1871="","",BASE_CAIXA!G1868)</f>
        <v/>
      </c>
      <c r="K1871" s="26" t="str">
        <f>IF(A1871="","",BASE_CAIXA!I1868)</f>
        <v/>
      </c>
      <c r="L1871" s="26" t="str">
        <f>IF(A1871="","",BASE_CAIXA!J1868)</f>
        <v/>
      </c>
      <c r="M1871" s="26" t="str">
        <f>IF(A1871="","",BASE_CAIXA!AM1868)</f>
        <v/>
      </c>
      <c r="N1871" s="26" t="str">
        <f t="shared" ca="1" si="87"/>
        <v/>
      </c>
      <c r="O1871" s="26" t="str">
        <f>IFERROR(INDEX(EXTRATO_IMPORTADO!$A$5:$A$404,MATCH(B1871,EXTRATO_IMPORTADO!$I$5:$I$404,0)),"")</f>
        <v/>
      </c>
      <c r="P1871" s="26" t="str">
        <f>IFERROR(INDEX(EXTRATO_IMPORTADO!$F$5:$F$404,MATCH(B1871,EXTRATO_IMPORTADO!$I$5:$I$404,0)),"")</f>
        <v/>
      </c>
      <c r="Q1871" s="26" t="str">
        <f>IFERROR(INDEX(EXTRATO_IMPORTADO!$B$5:$B$404,MATCH(B1871,EXTRATO_IMPORTADO!$I$5:$I$404,0)),"")</f>
        <v/>
      </c>
      <c r="R1871" s="26" t="str">
        <f>IFERROR(MATCH(B1871,EXTRATO_IMPORTADO!$I$5:$I$404,0),"")</f>
        <v/>
      </c>
      <c r="S1871" s="26" t="str">
        <f t="shared" si="88"/>
        <v/>
      </c>
      <c r="T1871" s="26" t="str">
        <f t="shared" si="89"/>
        <v/>
      </c>
    </row>
    <row r="1872" spans="1:20" x14ac:dyDescent="0.3">
      <c r="A1872" s="26" t="str">
        <f>IF(BASE_CAIXA!A1869="","",BASE_CAIXA!A1869)</f>
        <v/>
      </c>
      <c r="B1872" s="26" t="str">
        <f>IF(A1872="","",BASE_CAIXA!AL1869)</f>
        <v/>
      </c>
      <c r="C1872" s="26" t="str">
        <f>IF(A1872="","",BASE_CAIXA!AJ1869)</f>
        <v/>
      </c>
      <c r="D1872" s="26" t="str">
        <f>IF(A1872="","",IF(BASE_CAIXA!C1869="Entrada","Crédito","Débito"))</f>
        <v/>
      </c>
      <c r="E1872" s="26" t="str">
        <f>IF(A1872="","",BASE_CAIXA!AA1869)</f>
        <v/>
      </c>
      <c r="F1872" s="26" t="str">
        <f>IF(A1872="","",BASE_CAIXA!N1869)</f>
        <v/>
      </c>
      <c r="G1872" s="26" t="str">
        <f>IF(A1872="","",BASE_CAIXA!O1869)</f>
        <v/>
      </c>
      <c r="H1872" s="26" t="str">
        <f>IF(A1872="","",BASE_CAIXA!P1869)</f>
        <v/>
      </c>
      <c r="I1872" s="26" t="str">
        <f>IF(A1872="","",IF(BASE_CAIXA!H1869&lt;&gt;"",BASE_CAIXA!H1869,BASE_CAIXA!G1869))</f>
        <v/>
      </c>
      <c r="J1872" s="26" t="str">
        <f>IF(A1872="","",BASE_CAIXA!G1869)</f>
        <v/>
      </c>
      <c r="K1872" s="26" t="str">
        <f>IF(A1872="","",BASE_CAIXA!I1869)</f>
        <v/>
      </c>
      <c r="L1872" s="26" t="str">
        <f>IF(A1872="","",BASE_CAIXA!J1869)</f>
        <v/>
      </c>
      <c r="M1872" s="26" t="str">
        <f>IF(A1872="","",BASE_CAIXA!AM1869)</f>
        <v/>
      </c>
      <c r="N1872" s="26" t="str">
        <f t="shared" ca="1" si="87"/>
        <v/>
      </c>
      <c r="O1872" s="26" t="str">
        <f>IFERROR(INDEX(EXTRATO_IMPORTADO!$A$5:$A$404,MATCH(B1872,EXTRATO_IMPORTADO!$I$5:$I$404,0)),"")</f>
        <v/>
      </c>
      <c r="P1872" s="26" t="str">
        <f>IFERROR(INDEX(EXTRATO_IMPORTADO!$F$5:$F$404,MATCH(B1872,EXTRATO_IMPORTADO!$I$5:$I$404,0)),"")</f>
        <v/>
      </c>
      <c r="Q1872" s="26" t="str">
        <f>IFERROR(INDEX(EXTRATO_IMPORTADO!$B$5:$B$404,MATCH(B1872,EXTRATO_IMPORTADO!$I$5:$I$404,0)),"")</f>
        <v/>
      </c>
      <c r="R1872" s="26" t="str">
        <f>IFERROR(MATCH(B1872,EXTRATO_IMPORTADO!$I$5:$I$404,0),"")</f>
        <v/>
      </c>
      <c r="S1872" s="26" t="str">
        <f t="shared" si="88"/>
        <v/>
      </c>
      <c r="T1872" s="26" t="str">
        <f t="shared" si="89"/>
        <v/>
      </c>
    </row>
    <row r="1873" spans="1:20" x14ac:dyDescent="0.3">
      <c r="A1873" s="26" t="str">
        <f>IF(BASE_CAIXA!A1870="","",BASE_CAIXA!A1870)</f>
        <v/>
      </c>
      <c r="B1873" s="26" t="str">
        <f>IF(A1873="","",BASE_CAIXA!AL1870)</f>
        <v/>
      </c>
      <c r="C1873" s="26" t="str">
        <f>IF(A1873="","",BASE_CAIXA!AJ1870)</f>
        <v/>
      </c>
      <c r="D1873" s="26" t="str">
        <f>IF(A1873="","",IF(BASE_CAIXA!C1870="Entrada","Crédito","Débito"))</f>
        <v/>
      </c>
      <c r="E1873" s="26" t="str">
        <f>IF(A1873="","",BASE_CAIXA!AA1870)</f>
        <v/>
      </c>
      <c r="F1873" s="26" t="str">
        <f>IF(A1873="","",BASE_CAIXA!N1870)</f>
        <v/>
      </c>
      <c r="G1873" s="26" t="str">
        <f>IF(A1873="","",BASE_CAIXA!O1870)</f>
        <v/>
      </c>
      <c r="H1873" s="26" t="str">
        <f>IF(A1873="","",BASE_CAIXA!P1870)</f>
        <v/>
      </c>
      <c r="I1873" s="26" t="str">
        <f>IF(A1873="","",IF(BASE_CAIXA!H1870&lt;&gt;"",BASE_CAIXA!H1870,BASE_CAIXA!G1870))</f>
        <v/>
      </c>
      <c r="J1873" s="26" t="str">
        <f>IF(A1873="","",BASE_CAIXA!G1870)</f>
        <v/>
      </c>
      <c r="K1873" s="26" t="str">
        <f>IF(A1873="","",BASE_CAIXA!I1870)</f>
        <v/>
      </c>
      <c r="L1873" s="26" t="str">
        <f>IF(A1873="","",BASE_CAIXA!J1870)</f>
        <v/>
      </c>
      <c r="M1873" s="26" t="str">
        <f>IF(A1873="","",BASE_CAIXA!AM1870)</f>
        <v/>
      </c>
      <c r="N1873" s="26" t="str">
        <f t="shared" ca="1" si="87"/>
        <v/>
      </c>
      <c r="O1873" s="26" t="str">
        <f>IFERROR(INDEX(EXTRATO_IMPORTADO!$A$5:$A$404,MATCH(B1873,EXTRATO_IMPORTADO!$I$5:$I$404,0)),"")</f>
        <v/>
      </c>
      <c r="P1873" s="26" t="str">
        <f>IFERROR(INDEX(EXTRATO_IMPORTADO!$F$5:$F$404,MATCH(B1873,EXTRATO_IMPORTADO!$I$5:$I$404,0)),"")</f>
        <v/>
      </c>
      <c r="Q1873" s="26" t="str">
        <f>IFERROR(INDEX(EXTRATO_IMPORTADO!$B$5:$B$404,MATCH(B1873,EXTRATO_IMPORTADO!$I$5:$I$404,0)),"")</f>
        <v/>
      </c>
      <c r="R1873" s="26" t="str">
        <f>IFERROR(MATCH(B1873,EXTRATO_IMPORTADO!$I$5:$I$404,0),"")</f>
        <v/>
      </c>
      <c r="S1873" s="26" t="str">
        <f t="shared" si="88"/>
        <v/>
      </c>
      <c r="T1873" s="26" t="str">
        <f t="shared" si="89"/>
        <v/>
      </c>
    </row>
    <row r="1874" spans="1:20" x14ac:dyDescent="0.3">
      <c r="A1874" s="26" t="str">
        <f>IF(BASE_CAIXA!A1871="","",BASE_CAIXA!A1871)</f>
        <v/>
      </c>
      <c r="B1874" s="26" t="str">
        <f>IF(A1874="","",BASE_CAIXA!AL1871)</f>
        <v/>
      </c>
      <c r="C1874" s="26" t="str">
        <f>IF(A1874="","",BASE_CAIXA!AJ1871)</f>
        <v/>
      </c>
      <c r="D1874" s="26" t="str">
        <f>IF(A1874="","",IF(BASE_CAIXA!C1871="Entrada","Crédito","Débito"))</f>
        <v/>
      </c>
      <c r="E1874" s="26" t="str">
        <f>IF(A1874="","",BASE_CAIXA!AA1871)</f>
        <v/>
      </c>
      <c r="F1874" s="26" t="str">
        <f>IF(A1874="","",BASE_CAIXA!N1871)</f>
        <v/>
      </c>
      <c r="G1874" s="26" t="str">
        <f>IF(A1874="","",BASE_CAIXA!O1871)</f>
        <v/>
      </c>
      <c r="H1874" s="26" t="str">
        <f>IF(A1874="","",BASE_CAIXA!P1871)</f>
        <v/>
      </c>
      <c r="I1874" s="26" t="str">
        <f>IF(A1874="","",IF(BASE_CAIXA!H1871&lt;&gt;"",BASE_CAIXA!H1871,BASE_CAIXA!G1871))</f>
        <v/>
      </c>
      <c r="J1874" s="26" t="str">
        <f>IF(A1874="","",BASE_CAIXA!G1871)</f>
        <v/>
      </c>
      <c r="K1874" s="26" t="str">
        <f>IF(A1874="","",BASE_CAIXA!I1871)</f>
        <v/>
      </c>
      <c r="L1874" s="26" t="str">
        <f>IF(A1874="","",BASE_CAIXA!J1871)</f>
        <v/>
      </c>
      <c r="M1874" s="26" t="str">
        <f>IF(A1874="","",BASE_CAIXA!AM1871)</f>
        <v/>
      </c>
      <c r="N1874" s="26" t="str">
        <f t="shared" ca="1" si="87"/>
        <v/>
      </c>
      <c r="O1874" s="26" t="str">
        <f>IFERROR(INDEX(EXTRATO_IMPORTADO!$A$5:$A$404,MATCH(B1874,EXTRATO_IMPORTADO!$I$5:$I$404,0)),"")</f>
        <v/>
      </c>
      <c r="P1874" s="26" t="str">
        <f>IFERROR(INDEX(EXTRATO_IMPORTADO!$F$5:$F$404,MATCH(B1874,EXTRATO_IMPORTADO!$I$5:$I$404,0)),"")</f>
        <v/>
      </c>
      <c r="Q1874" s="26" t="str">
        <f>IFERROR(INDEX(EXTRATO_IMPORTADO!$B$5:$B$404,MATCH(B1874,EXTRATO_IMPORTADO!$I$5:$I$404,0)),"")</f>
        <v/>
      </c>
      <c r="R1874" s="26" t="str">
        <f>IFERROR(MATCH(B1874,EXTRATO_IMPORTADO!$I$5:$I$404,0),"")</f>
        <v/>
      </c>
      <c r="S1874" s="26" t="str">
        <f t="shared" si="88"/>
        <v/>
      </c>
      <c r="T1874" s="26" t="str">
        <f t="shared" si="89"/>
        <v/>
      </c>
    </row>
    <row r="1875" spans="1:20" x14ac:dyDescent="0.3">
      <c r="A1875" s="26" t="str">
        <f>IF(BASE_CAIXA!A1872="","",BASE_CAIXA!A1872)</f>
        <v/>
      </c>
      <c r="B1875" s="26" t="str">
        <f>IF(A1875="","",BASE_CAIXA!AL1872)</f>
        <v/>
      </c>
      <c r="C1875" s="26" t="str">
        <f>IF(A1875="","",BASE_CAIXA!AJ1872)</f>
        <v/>
      </c>
      <c r="D1875" s="26" t="str">
        <f>IF(A1875="","",IF(BASE_CAIXA!C1872="Entrada","Crédito","Débito"))</f>
        <v/>
      </c>
      <c r="E1875" s="26" t="str">
        <f>IF(A1875="","",BASE_CAIXA!AA1872)</f>
        <v/>
      </c>
      <c r="F1875" s="26" t="str">
        <f>IF(A1875="","",BASE_CAIXA!N1872)</f>
        <v/>
      </c>
      <c r="G1875" s="26" t="str">
        <f>IF(A1875="","",BASE_CAIXA!O1872)</f>
        <v/>
      </c>
      <c r="H1875" s="26" t="str">
        <f>IF(A1875="","",BASE_CAIXA!P1872)</f>
        <v/>
      </c>
      <c r="I1875" s="26" t="str">
        <f>IF(A1875="","",IF(BASE_CAIXA!H1872&lt;&gt;"",BASE_CAIXA!H1872,BASE_CAIXA!G1872))</f>
        <v/>
      </c>
      <c r="J1875" s="26" t="str">
        <f>IF(A1875="","",BASE_CAIXA!G1872)</f>
        <v/>
      </c>
      <c r="K1875" s="26" t="str">
        <f>IF(A1875="","",BASE_CAIXA!I1872)</f>
        <v/>
      </c>
      <c r="L1875" s="26" t="str">
        <f>IF(A1875="","",BASE_CAIXA!J1872)</f>
        <v/>
      </c>
      <c r="M1875" s="26" t="str">
        <f>IF(A1875="","",BASE_CAIXA!AM1872)</f>
        <v/>
      </c>
      <c r="N1875" s="26" t="str">
        <f t="shared" ca="1" si="87"/>
        <v/>
      </c>
      <c r="O1875" s="26" t="str">
        <f>IFERROR(INDEX(EXTRATO_IMPORTADO!$A$5:$A$404,MATCH(B1875,EXTRATO_IMPORTADO!$I$5:$I$404,0)),"")</f>
        <v/>
      </c>
      <c r="P1875" s="26" t="str">
        <f>IFERROR(INDEX(EXTRATO_IMPORTADO!$F$5:$F$404,MATCH(B1875,EXTRATO_IMPORTADO!$I$5:$I$404,0)),"")</f>
        <v/>
      </c>
      <c r="Q1875" s="26" t="str">
        <f>IFERROR(INDEX(EXTRATO_IMPORTADO!$B$5:$B$404,MATCH(B1875,EXTRATO_IMPORTADO!$I$5:$I$404,0)),"")</f>
        <v/>
      </c>
      <c r="R1875" s="26" t="str">
        <f>IFERROR(MATCH(B1875,EXTRATO_IMPORTADO!$I$5:$I$404,0),"")</f>
        <v/>
      </c>
      <c r="S1875" s="26" t="str">
        <f t="shared" si="88"/>
        <v/>
      </c>
      <c r="T1875" s="26" t="str">
        <f t="shared" si="89"/>
        <v/>
      </c>
    </row>
    <row r="1876" spans="1:20" x14ac:dyDescent="0.3">
      <c r="A1876" s="26" t="str">
        <f>IF(BASE_CAIXA!A1873="","",BASE_CAIXA!A1873)</f>
        <v/>
      </c>
      <c r="B1876" s="26" t="str">
        <f>IF(A1876="","",BASE_CAIXA!AL1873)</f>
        <v/>
      </c>
      <c r="C1876" s="26" t="str">
        <f>IF(A1876="","",BASE_CAIXA!AJ1873)</f>
        <v/>
      </c>
      <c r="D1876" s="26" t="str">
        <f>IF(A1876="","",IF(BASE_CAIXA!C1873="Entrada","Crédito","Débito"))</f>
        <v/>
      </c>
      <c r="E1876" s="26" t="str">
        <f>IF(A1876="","",BASE_CAIXA!AA1873)</f>
        <v/>
      </c>
      <c r="F1876" s="26" t="str">
        <f>IF(A1876="","",BASE_CAIXA!N1873)</f>
        <v/>
      </c>
      <c r="G1876" s="26" t="str">
        <f>IF(A1876="","",BASE_CAIXA!O1873)</f>
        <v/>
      </c>
      <c r="H1876" s="26" t="str">
        <f>IF(A1876="","",BASE_CAIXA!P1873)</f>
        <v/>
      </c>
      <c r="I1876" s="26" t="str">
        <f>IF(A1876="","",IF(BASE_CAIXA!H1873&lt;&gt;"",BASE_CAIXA!H1873,BASE_CAIXA!G1873))</f>
        <v/>
      </c>
      <c r="J1876" s="26" t="str">
        <f>IF(A1876="","",BASE_CAIXA!G1873)</f>
        <v/>
      </c>
      <c r="K1876" s="26" t="str">
        <f>IF(A1876="","",BASE_CAIXA!I1873)</f>
        <v/>
      </c>
      <c r="L1876" s="26" t="str">
        <f>IF(A1876="","",BASE_CAIXA!J1873)</f>
        <v/>
      </c>
      <c r="M1876" s="26" t="str">
        <f>IF(A1876="","",BASE_CAIXA!AM1873)</f>
        <v/>
      </c>
      <c r="N1876" s="26" t="str">
        <f t="shared" ca="1" si="87"/>
        <v/>
      </c>
      <c r="O1876" s="26" t="str">
        <f>IFERROR(INDEX(EXTRATO_IMPORTADO!$A$5:$A$404,MATCH(B1876,EXTRATO_IMPORTADO!$I$5:$I$404,0)),"")</f>
        <v/>
      </c>
      <c r="P1876" s="26" t="str">
        <f>IFERROR(INDEX(EXTRATO_IMPORTADO!$F$5:$F$404,MATCH(B1876,EXTRATO_IMPORTADO!$I$5:$I$404,0)),"")</f>
        <v/>
      </c>
      <c r="Q1876" s="26" t="str">
        <f>IFERROR(INDEX(EXTRATO_IMPORTADO!$B$5:$B$404,MATCH(B1876,EXTRATO_IMPORTADO!$I$5:$I$404,0)),"")</f>
        <v/>
      </c>
      <c r="R1876" s="26" t="str">
        <f>IFERROR(MATCH(B1876,EXTRATO_IMPORTADO!$I$5:$I$404,0),"")</f>
        <v/>
      </c>
      <c r="S1876" s="26" t="str">
        <f t="shared" si="88"/>
        <v/>
      </c>
      <c r="T1876" s="26" t="str">
        <f t="shared" si="89"/>
        <v/>
      </c>
    </row>
    <row r="1877" spans="1:20" x14ac:dyDescent="0.3">
      <c r="A1877" s="26" t="str">
        <f>IF(BASE_CAIXA!A1874="","",BASE_CAIXA!A1874)</f>
        <v/>
      </c>
      <c r="B1877" s="26" t="str">
        <f>IF(A1877="","",BASE_CAIXA!AL1874)</f>
        <v/>
      </c>
      <c r="C1877" s="26" t="str">
        <f>IF(A1877="","",BASE_CAIXA!AJ1874)</f>
        <v/>
      </c>
      <c r="D1877" s="26" t="str">
        <f>IF(A1877="","",IF(BASE_CAIXA!C1874="Entrada","Crédito","Débito"))</f>
        <v/>
      </c>
      <c r="E1877" s="26" t="str">
        <f>IF(A1877="","",BASE_CAIXA!AA1874)</f>
        <v/>
      </c>
      <c r="F1877" s="26" t="str">
        <f>IF(A1877="","",BASE_CAIXA!N1874)</f>
        <v/>
      </c>
      <c r="G1877" s="26" t="str">
        <f>IF(A1877="","",BASE_CAIXA!O1874)</f>
        <v/>
      </c>
      <c r="H1877" s="26" t="str">
        <f>IF(A1877="","",BASE_CAIXA!P1874)</f>
        <v/>
      </c>
      <c r="I1877" s="26" t="str">
        <f>IF(A1877="","",IF(BASE_CAIXA!H1874&lt;&gt;"",BASE_CAIXA!H1874,BASE_CAIXA!G1874))</f>
        <v/>
      </c>
      <c r="J1877" s="26" t="str">
        <f>IF(A1877="","",BASE_CAIXA!G1874)</f>
        <v/>
      </c>
      <c r="K1877" s="26" t="str">
        <f>IF(A1877="","",BASE_CAIXA!I1874)</f>
        <v/>
      </c>
      <c r="L1877" s="26" t="str">
        <f>IF(A1877="","",BASE_CAIXA!J1874)</f>
        <v/>
      </c>
      <c r="M1877" s="26" t="str">
        <f>IF(A1877="","",BASE_CAIXA!AM1874)</f>
        <v/>
      </c>
      <c r="N1877" s="26" t="str">
        <f t="shared" ca="1" si="87"/>
        <v/>
      </c>
      <c r="O1877" s="26" t="str">
        <f>IFERROR(INDEX(EXTRATO_IMPORTADO!$A$5:$A$404,MATCH(B1877,EXTRATO_IMPORTADO!$I$5:$I$404,0)),"")</f>
        <v/>
      </c>
      <c r="P1877" s="26" t="str">
        <f>IFERROR(INDEX(EXTRATO_IMPORTADO!$F$5:$F$404,MATCH(B1877,EXTRATO_IMPORTADO!$I$5:$I$404,0)),"")</f>
        <v/>
      </c>
      <c r="Q1877" s="26" t="str">
        <f>IFERROR(INDEX(EXTRATO_IMPORTADO!$B$5:$B$404,MATCH(B1877,EXTRATO_IMPORTADO!$I$5:$I$404,0)),"")</f>
        <v/>
      </c>
      <c r="R1877" s="26" t="str">
        <f>IFERROR(MATCH(B1877,EXTRATO_IMPORTADO!$I$5:$I$404,0),"")</f>
        <v/>
      </c>
      <c r="S1877" s="26" t="str">
        <f t="shared" si="88"/>
        <v/>
      </c>
      <c r="T1877" s="26" t="str">
        <f t="shared" si="89"/>
        <v/>
      </c>
    </row>
    <row r="1878" spans="1:20" x14ac:dyDescent="0.3">
      <c r="A1878" s="26" t="str">
        <f>IF(BASE_CAIXA!A1875="","",BASE_CAIXA!A1875)</f>
        <v/>
      </c>
      <c r="B1878" s="26" t="str">
        <f>IF(A1878="","",BASE_CAIXA!AL1875)</f>
        <v/>
      </c>
      <c r="C1878" s="26" t="str">
        <f>IF(A1878="","",BASE_CAIXA!AJ1875)</f>
        <v/>
      </c>
      <c r="D1878" s="26" t="str">
        <f>IF(A1878="","",IF(BASE_CAIXA!C1875="Entrada","Crédito","Débito"))</f>
        <v/>
      </c>
      <c r="E1878" s="26" t="str">
        <f>IF(A1878="","",BASE_CAIXA!AA1875)</f>
        <v/>
      </c>
      <c r="F1878" s="26" t="str">
        <f>IF(A1878="","",BASE_CAIXA!N1875)</f>
        <v/>
      </c>
      <c r="G1878" s="26" t="str">
        <f>IF(A1878="","",BASE_CAIXA!O1875)</f>
        <v/>
      </c>
      <c r="H1878" s="26" t="str">
        <f>IF(A1878="","",BASE_CAIXA!P1875)</f>
        <v/>
      </c>
      <c r="I1878" s="26" t="str">
        <f>IF(A1878="","",IF(BASE_CAIXA!H1875&lt;&gt;"",BASE_CAIXA!H1875,BASE_CAIXA!G1875))</f>
        <v/>
      </c>
      <c r="J1878" s="26" t="str">
        <f>IF(A1878="","",BASE_CAIXA!G1875)</f>
        <v/>
      </c>
      <c r="K1878" s="26" t="str">
        <f>IF(A1878="","",BASE_CAIXA!I1875)</f>
        <v/>
      </c>
      <c r="L1878" s="26" t="str">
        <f>IF(A1878="","",BASE_CAIXA!J1875)</f>
        <v/>
      </c>
      <c r="M1878" s="26" t="str">
        <f>IF(A1878="","",BASE_CAIXA!AM1875)</f>
        <v/>
      </c>
      <c r="N1878" s="26" t="str">
        <f t="shared" ca="1" si="87"/>
        <v/>
      </c>
      <c r="O1878" s="26" t="str">
        <f>IFERROR(INDEX(EXTRATO_IMPORTADO!$A$5:$A$404,MATCH(B1878,EXTRATO_IMPORTADO!$I$5:$I$404,0)),"")</f>
        <v/>
      </c>
      <c r="P1878" s="26" t="str">
        <f>IFERROR(INDEX(EXTRATO_IMPORTADO!$F$5:$F$404,MATCH(B1878,EXTRATO_IMPORTADO!$I$5:$I$404,0)),"")</f>
        <v/>
      </c>
      <c r="Q1878" s="26" t="str">
        <f>IFERROR(INDEX(EXTRATO_IMPORTADO!$B$5:$B$404,MATCH(B1878,EXTRATO_IMPORTADO!$I$5:$I$404,0)),"")</f>
        <v/>
      </c>
      <c r="R1878" s="26" t="str">
        <f>IFERROR(MATCH(B1878,EXTRATO_IMPORTADO!$I$5:$I$404,0),"")</f>
        <v/>
      </c>
      <c r="S1878" s="26" t="str">
        <f t="shared" si="88"/>
        <v/>
      </c>
      <c r="T1878" s="26" t="str">
        <f t="shared" si="89"/>
        <v/>
      </c>
    </row>
    <row r="1879" spans="1:20" x14ac:dyDescent="0.3">
      <c r="A1879" s="26" t="str">
        <f>IF(BASE_CAIXA!A1876="","",BASE_CAIXA!A1876)</f>
        <v/>
      </c>
      <c r="B1879" s="26" t="str">
        <f>IF(A1879="","",BASE_CAIXA!AL1876)</f>
        <v/>
      </c>
      <c r="C1879" s="26" t="str">
        <f>IF(A1879="","",BASE_CAIXA!AJ1876)</f>
        <v/>
      </c>
      <c r="D1879" s="26" t="str">
        <f>IF(A1879="","",IF(BASE_CAIXA!C1876="Entrada","Crédito","Débito"))</f>
        <v/>
      </c>
      <c r="E1879" s="26" t="str">
        <f>IF(A1879="","",BASE_CAIXA!AA1876)</f>
        <v/>
      </c>
      <c r="F1879" s="26" t="str">
        <f>IF(A1879="","",BASE_CAIXA!N1876)</f>
        <v/>
      </c>
      <c r="G1879" s="26" t="str">
        <f>IF(A1879="","",BASE_CAIXA!O1876)</f>
        <v/>
      </c>
      <c r="H1879" s="26" t="str">
        <f>IF(A1879="","",BASE_CAIXA!P1876)</f>
        <v/>
      </c>
      <c r="I1879" s="26" t="str">
        <f>IF(A1879="","",IF(BASE_CAIXA!H1876&lt;&gt;"",BASE_CAIXA!H1876,BASE_CAIXA!G1876))</f>
        <v/>
      </c>
      <c r="J1879" s="26" t="str">
        <f>IF(A1879="","",BASE_CAIXA!G1876)</f>
        <v/>
      </c>
      <c r="K1879" s="26" t="str">
        <f>IF(A1879="","",BASE_CAIXA!I1876)</f>
        <v/>
      </c>
      <c r="L1879" s="26" t="str">
        <f>IF(A1879="","",BASE_CAIXA!J1876)</f>
        <v/>
      </c>
      <c r="M1879" s="26" t="str">
        <f>IF(A1879="","",BASE_CAIXA!AM1876)</f>
        <v/>
      </c>
      <c r="N1879" s="26" t="str">
        <f t="shared" ca="1" si="87"/>
        <v/>
      </c>
      <c r="O1879" s="26" t="str">
        <f>IFERROR(INDEX(EXTRATO_IMPORTADO!$A$5:$A$404,MATCH(B1879,EXTRATO_IMPORTADO!$I$5:$I$404,0)),"")</f>
        <v/>
      </c>
      <c r="P1879" s="26" t="str">
        <f>IFERROR(INDEX(EXTRATO_IMPORTADO!$F$5:$F$404,MATCH(B1879,EXTRATO_IMPORTADO!$I$5:$I$404,0)),"")</f>
        <v/>
      </c>
      <c r="Q1879" s="26" t="str">
        <f>IFERROR(INDEX(EXTRATO_IMPORTADO!$B$5:$B$404,MATCH(B1879,EXTRATO_IMPORTADO!$I$5:$I$404,0)),"")</f>
        <v/>
      </c>
      <c r="R1879" s="26" t="str">
        <f>IFERROR(MATCH(B1879,EXTRATO_IMPORTADO!$I$5:$I$404,0),"")</f>
        <v/>
      </c>
      <c r="S1879" s="26" t="str">
        <f t="shared" si="88"/>
        <v/>
      </c>
      <c r="T1879" s="26" t="str">
        <f t="shared" si="89"/>
        <v/>
      </c>
    </row>
    <row r="1880" spans="1:20" x14ac:dyDescent="0.3">
      <c r="A1880" s="26" t="str">
        <f>IF(BASE_CAIXA!A1877="","",BASE_CAIXA!A1877)</f>
        <v/>
      </c>
      <c r="B1880" s="26" t="str">
        <f>IF(A1880="","",BASE_CAIXA!AL1877)</f>
        <v/>
      </c>
      <c r="C1880" s="26" t="str">
        <f>IF(A1880="","",BASE_CAIXA!AJ1877)</f>
        <v/>
      </c>
      <c r="D1880" s="26" t="str">
        <f>IF(A1880="","",IF(BASE_CAIXA!C1877="Entrada","Crédito","Débito"))</f>
        <v/>
      </c>
      <c r="E1880" s="26" t="str">
        <f>IF(A1880="","",BASE_CAIXA!AA1877)</f>
        <v/>
      </c>
      <c r="F1880" s="26" t="str">
        <f>IF(A1880="","",BASE_CAIXA!N1877)</f>
        <v/>
      </c>
      <c r="G1880" s="26" t="str">
        <f>IF(A1880="","",BASE_CAIXA!O1877)</f>
        <v/>
      </c>
      <c r="H1880" s="26" t="str">
        <f>IF(A1880="","",BASE_CAIXA!P1877)</f>
        <v/>
      </c>
      <c r="I1880" s="26" t="str">
        <f>IF(A1880="","",IF(BASE_CAIXA!H1877&lt;&gt;"",BASE_CAIXA!H1877,BASE_CAIXA!G1877))</f>
        <v/>
      </c>
      <c r="J1880" s="26" t="str">
        <f>IF(A1880="","",BASE_CAIXA!G1877)</f>
        <v/>
      </c>
      <c r="K1880" s="26" t="str">
        <f>IF(A1880="","",BASE_CAIXA!I1877)</f>
        <v/>
      </c>
      <c r="L1880" s="26" t="str">
        <f>IF(A1880="","",BASE_CAIXA!J1877)</f>
        <v/>
      </c>
      <c r="M1880" s="26" t="str">
        <f>IF(A1880="","",BASE_CAIXA!AM1877)</f>
        <v/>
      </c>
      <c r="N1880" s="26" t="str">
        <f t="shared" ca="1" si="87"/>
        <v/>
      </c>
      <c r="O1880" s="26" t="str">
        <f>IFERROR(INDEX(EXTRATO_IMPORTADO!$A$5:$A$404,MATCH(B1880,EXTRATO_IMPORTADO!$I$5:$I$404,0)),"")</f>
        <v/>
      </c>
      <c r="P1880" s="26" t="str">
        <f>IFERROR(INDEX(EXTRATO_IMPORTADO!$F$5:$F$404,MATCH(B1880,EXTRATO_IMPORTADO!$I$5:$I$404,0)),"")</f>
        <v/>
      </c>
      <c r="Q1880" s="26" t="str">
        <f>IFERROR(INDEX(EXTRATO_IMPORTADO!$B$5:$B$404,MATCH(B1880,EXTRATO_IMPORTADO!$I$5:$I$404,0)),"")</f>
        <v/>
      </c>
      <c r="R1880" s="26" t="str">
        <f>IFERROR(MATCH(B1880,EXTRATO_IMPORTADO!$I$5:$I$404,0),"")</f>
        <v/>
      </c>
      <c r="S1880" s="26" t="str">
        <f t="shared" si="88"/>
        <v/>
      </c>
      <c r="T1880" s="26" t="str">
        <f t="shared" si="89"/>
        <v/>
      </c>
    </row>
    <row r="1881" spans="1:20" x14ac:dyDescent="0.3">
      <c r="A1881" s="26" t="str">
        <f>IF(BASE_CAIXA!A1878="","",BASE_CAIXA!A1878)</f>
        <v/>
      </c>
      <c r="B1881" s="26" t="str">
        <f>IF(A1881="","",BASE_CAIXA!AL1878)</f>
        <v/>
      </c>
      <c r="C1881" s="26" t="str">
        <f>IF(A1881="","",BASE_CAIXA!AJ1878)</f>
        <v/>
      </c>
      <c r="D1881" s="26" t="str">
        <f>IF(A1881="","",IF(BASE_CAIXA!C1878="Entrada","Crédito","Débito"))</f>
        <v/>
      </c>
      <c r="E1881" s="26" t="str">
        <f>IF(A1881="","",BASE_CAIXA!AA1878)</f>
        <v/>
      </c>
      <c r="F1881" s="26" t="str">
        <f>IF(A1881="","",BASE_CAIXA!N1878)</f>
        <v/>
      </c>
      <c r="G1881" s="26" t="str">
        <f>IF(A1881="","",BASE_CAIXA!O1878)</f>
        <v/>
      </c>
      <c r="H1881" s="26" t="str">
        <f>IF(A1881="","",BASE_CAIXA!P1878)</f>
        <v/>
      </c>
      <c r="I1881" s="26" t="str">
        <f>IF(A1881="","",IF(BASE_CAIXA!H1878&lt;&gt;"",BASE_CAIXA!H1878,BASE_CAIXA!G1878))</f>
        <v/>
      </c>
      <c r="J1881" s="26" t="str">
        <f>IF(A1881="","",BASE_CAIXA!G1878)</f>
        <v/>
      </c>
      <c r="K1881" s="26" t="str">
        <f>IF(A1881="","",BASE_CAIXA!I1878)</f>
        <v/>
      </c>
      <c r="L1881" s="26" t="str">
        <f>IF(A1881="","",BASE_CAIXA!J1878)</f>
        <v/>
      </c>
      <c r="M1881" s="26" t="str">
        <f>IF(A1881="","",BASE_CAIXA!AM1878)</f>
        <v/>
      </c>
      <c r="N1881" s="26" t="str">
        <f t="shared" ca="1" si="87"/>
        <v/>
      </c>
      <c r="O1881" s="26" t="str">
        <f>IFERROR(INDEX(EXTRATO_IMPORTADO!$A$5:$A$404,MATCH(B1881,EXTRATO_IMPORTADO!$I$5:$I$404,0)),"")</f>
        <v/>
      </c>
      <c r="P1881" s="26" t="str">
        <f>IFERROR(INDEX(EXTRATO_IMPORTADO!$F$5:$F$404,MATCH(B1881,EXTRATO_IMPORTADO!$I$5:$I$404,0)),"")</f>
        <v/>
      </c>
      <c r="Q1881" s="26" t="str">
        <f>IFERROR(INDEX(EXTRATO_IMPORTADO!$B$5:$B$404,MATCH(B1881,EXTRATO_IMPORTADO!$I$5:$I$404,0)),"")</f>
        <v/>
      </c>
      <c r="R1881" s="26" t="str">
        <f>IFERROR(MATCH(B1881,EXTRATO_IMPORTADO!$I$5:$I$404,0),"")</f>
        <v/>
      </c>
      <c r="S1881" s="26" t="str">
        <f t="shared" si="88"/>
        <v/>
      </c>
      <c r="T1881" s="26" t="str">
        <f t="shared" si="89"/>
        <v/>
      </c>
    </row>
    <row r="1882" spans="1:20" x14ac:dyDescent="0.3">
      <c r="A1882" s="26" t="str">
        <f>IF(BASE_CAIXA!A1879="","",BASE_CAIXA!A1879)</f>
        <v/>
      </c>
      <c r="B1882" s="26" t="str">
        <f>IF(A1882="","",BASE_CAIXA!AL1879)</f>
        <v/>
      </c>
      <c r="C1882" s="26" t="str">
        <f>IF(A1882="","",BASE_CAIXA!AJ1879)</f>
        <v/>
      </c>
      <c r="D1882" s="26" t="str">
        <f>IF(A1882="","",IF(BASE_CAIXA!C1879="Entrada","Crédito","Débito"))</f>
        <v/>
      </c>
      <c r="E1882" s="26" t="str">
        <f>IF(A1882="","",BASE_CAIXA!AA1879)</f>
        <v/>
      </c>
      <c r="F1882" s="26" t="str">
        <f>IF(A1882="","",BASE_CAIXA!N1879)</f>
        <v/>
      </c>
      <c r="G1882" s="26" t="str">
        <f>IF(A1882="","",BASE_CAIXA!O1879)</f>
        <v/>
      </c>
      <c r="H1882" s="26" t="str">
        <f>IF(A1882="","",BASE_CAIXA!P1879)</f>
        <v/>
      </c>
      <c r="I1882" s="26" t="str">
        <f>IF(A1882="","",IF(BASE_CAIXA!H1879&lt;&gt;"",BASE_CAIXA!H1879,BASE_CAIXA!G1879))</f>
        <v/>
      </c>
      <c r="J1882" s="26" t="str">
        <f>IF(A1882="","",BASE_CAIXA!G1879)</f>
        <v/>
      </c>
      <c r="K1882" s="26" t="str">
        <f>IF(A1882="","",BASE_CAIXA!I1879)</f>
        <v/>
      </c>
      <c r="L1882" s="26" t="str">
        <f>IF(A1882="","",BASE_CAIXA!J1879)</f>
        <v/>
      </c>
      <c r="M1882" s="26" t="str">
        <f>IF(A1882="","",BASE_CAIXA!AM1879)</f>
        <v/>
      </c>
      <c r="N1882" s="26" t="str">
        <f t="shared" ca="1" si="87"/>
        <v/>
      </c>
      <c r="O1882" s="26" t="str">
        <f>IFERROR(INDEX(EXTRATO_IMPORTADO!$A$5:$A$404,MATCH(B1882,EXTRATO_IMPORTADO!$I$5:$I$404,0)),"")</f>
        <v/>
      </c>
      <c r="P1882" s="26" t="str">
        <f>IFERROR(INDEX(EXTRATO_IMPORTADO!$F$5:$F$404,MATCH(B1882,EXTRATO_IMPORTADO!$I$5:$I$404,0)),"")</f>
        <v/>
      </c>
      <c r="Q1882" s="26" t="str">
        <f>IFERROR(INDEX(EXTRATO_IMPORTADO!$B$5:$B$404,MATCH(B1882,EXTRATO_IMPORTADO!$I$5:$I$404,0)),"")</f>
        <v/>
      </c>
      <c r="R1882" s="26" t="str">
        <f>IFERROR(MATCH(B1882,EXTRATO_IMPORTADO!$I$5:$I$404,0),"")</f>
        <v/>
      </c>
      <c r="S1882" s="26" t="str">
        <f t="shared" si="88"/>
        <v/>
      </c>
      <c r="T1882" s="26" t="str">
        <f t="shared" si="89"/>
        <v/>
      </c>
    </row>
    <row r="1883" spans="1:20" x14ac:dyDescent="0.3">
      <c r="A1883" s="26" t="str">
        <f>IF(BASE_CAIXA!A1880="","",BASE_CAIXA!A1880)</f>
        <v/>
      </c>
      <c r="B1883" s="26" t="str">
        <f>IF(A1883="","",BASE_CAIXA!AL1880)</f>
        <v/>
      </c>
      <c r="C1883" s="26" t="str">
        <f>IF(A1883="","",BASE_CAIXA!AJ1880)</f>
        <v/>
      </c>
      <c r="D1883" s="26" t="str">
        <f>IF(A1883="","",IF(BASE_CAIXA!C1880="Entrada","Crédito","Débito"))</f>
        <v/>
      </c>
      <c r="E1883" s="26" t="str">
        <f>IF(A1883="","",BASE_CAIXA!AA1880)</f>
        <v/>
      </c>
      <c r="F1883" s="26" t="str">
        <f>IF(A1883="","",BASE_CAIXA!N1880)</f>
        <v/>
      </c>
      <c r="G1883" s="26" t="str">
        <f>IF(A1883="","",BASE_CAIXA!O1880)</f>
        <v/>
      </c>
      <c r="H1883" s="26" t="str">
        <f>IF(A1883="","",BASE_CAIXA!P1880)</f>
        <v/>
      </c>
      <c r="I1883" s="26" t="str">
        <f>IF(A1883="","",IF(BASE_CAIXA!H1880&lt;&gt;"",BASE_CAIXA!H1880,BASE_CAIXA!G1880))</f>
        <v/>
      </c>
      <c r="J1883" s="26" t="str">
        <f>IF(A1883="","",BASE_CAIXA!G1880)</f>
        <v/>
      </c>
      <c r="K1883" s="26" t="str">
        <f>IF(A1883="","",BASE_CAIXA!I1880)</f>
        <v/>
      </c>
      <c r="L1883" s="26" t="str">
        <f>IF(A1883="","",BASE_CAIXA!J1880)</f>
        <v/>
      </c>
      <c r="M1883" s="26" t="str">
        <f>IF(A1883="","",BASE_CAIXA!AM1880)</f>
        <v/>
      </c>
      <c r="N1883" s="26" t="str">
        <f t="shared" ca="1" si="87"/>
        <v/>
      </c>
      <c r="O1883" s="26" t="str">
        <f>IFERROR(INDEX(EXTRATO_IMPORTADO!$A$5:$A$404,MATCH(B1883,EXTRATO_IMPORTADO!$I$5:$I$404,0)),"")</f>
        <v/>
      </c>
      <c r="P1883" s="26" t="str">
        <f>IFERROR(INDEX(EXTRATO_IMPORTADO!$F$5:$F$404,MATCH(B1883,EXTRATO_IMPORTADO!$I$5:$I$404,0)),"")</f>
        <v/>
      </c>
      <c r="Q1883" s="26" t="str">
        <f>IFERROR(INDEX(EXTRATO_IMPORTADO!$B$5:$B$404,MATCH(B1883,EXTRATO_IMPORTADO!$I$5:$I$404,0)),"")</f>
        <v/>
      </c>
      <c r="R1883" s="26" t="str">
        <f>IFERROR(MATCH(B1883,EXTRATO_IMPORTADO!$I$5:$I$404,0),"")</f>
        <v/>
      </c>
      <c r="S1883" s="26" t="str">
        <f t="shared" si="88"/>
        <v/>
      </c>
      <c r="T1883" s="26" t="str">
        <f t="shared" si="89"/>
        <v/>
      </c>
    </row>
    <row r="1884" spans="1:20" x14ac:dyDescent="0.3">
      <c r="A1884" s="26" t="str">
        <f>IF(BASE_CAIXA!A1881="","",BASE_CAIXA!A1881)</f>
        <v/>
      </c>
      <c r="B1884" s="26" t="str">
        <f>IF(A1884="","",BASE_CAIXA!AL1881)</f>
        <v/>
      </c>
      <c r="C1884" s="26" t="str">
        <f>IF(A1884="","",BASE_CAIXA!AJ1881)</f>
        <v/>
      </c>
      <c r="D1884" s="26" t="str">
        <f>IF(A1884="","",IF(BASE_CAIXA!C1881="Entrada","Crédito","Débito"))</f>
        <v/>
      </c>
      <c r="E1884" s="26" t="str">
        <f>IF(A1884="","",BASE_CAIXA!AA1881)</f>
        <v/>
      </c>
      <c r="F1884" s="26" t="str">
        <f>IF(A1884="","",BASE_CAIXA!N1881)</f>
        <v/>
      </c>
      <c r="G1884" s="26" t="str">
        <f>IF(A1884="","",BASE_CAIXA!O1881)</f>
        <v/>
      </c>
      <c r="H1884" s="26" t="str">
        <f>IF(A1884="","",BASE_CAIXA!P1881)</f>
        <v/>
      </c>
      <c r="I1884" s="26" t="str">
        <f>IF(A1884="","",IF(BASE_CAIXA!H1881&lt;&gt;"",BASE_CAIXA!H1881,BASE_CAIXA!G1881))</f>
        <v/>
      </c>
      <c r="J1884" s="26" t="str">
        <f>IF(A1884="","",BASE_CAIXA!G1881)</f>
        <v/>
      </c>
      <c r="K1884" s="26" t="str">
        <f>IF(A1884="","",BASE_CAIXA!I1881)</f>
        <v/>
      </c>
      <c r="L1884" s="26" t="str">
        <f>IF(A1884="","",BASE_CAIXA!J1881)</f>
        <v/>
      </c>
      <c r="M1884" s="26" t="str">
        <f>IF(A1884="","",BASE_CAIXA!AM1881)</f>
        <v/>
      </c>
      <c r="N1884" s="26" t="str">
        <f t="shared" ca="1" si="87"/>
        <v/>
      </c>
      <c r="O1884" s="26" t="str">
        <f>IFERROR(INDEX(EXTRATO_IMPORTADO!$A$5:$A$404,MATCH(B1884,EXTRATO_IMPORTADO!$I$5:$I$404,0)),"")</f>
        <v/>
      </c>
      <c r="P1884" s="26" t="str">
        <f>IFERROR(INDEX(EXTRATO_IMPORTADO!$F$5:$F$404,MATCH(B1884,EXTRATO_IMPORTADO!$I$5:$I$404,0)),"")</f>
        <v/>
      </c>
      <c r="Q1884" s="26" t="str">
        <f>IFERROR(INDEX(EXTRATO_IMPORTADO!$B$5:$B$404,MATCH(B1884,EXTRATO_IMPORTADO!$I$5:$I$404,0)),"")</f>
        <v/>
      </c>
      <c r="R1884" s="26" t="str">
        <f>IFERROR(MATCH(B1884,EXTRATO_IMPORTADO!$I$5:$I$404,0),"")</f>
        <v/>
      </c>
      <c r="S1884" s="26" t="str">
        <f t="shared" si="88"/>
        <v/>
      </c>
      <c r="T1884" s="26" t="str">
        <f t="shared" si="89"/>
        <v/>
      </c>
    </row>
    <row r="1885" spans="1:20" x14ac:dyDescent="0.3">
      <c r="A1885" s="26" t="str">
        <f>IF(BASE_CAIXA!A1882="","",BASE_CAIXA!A1882)</f>
        <v/>
      </c>
      <c r="B1885" s="26" t="str">
        <f>IF(A1885="","",BASE_CAIXA!AL1882)</f>
        <v/>
      </c>
      <c r="C1885" s="26" t="str">
        <f>IF(A1885="","",BASE_CAIXA!AJ1882)</f>
        <v/>
      </c>
      <c r="D1885" s="26" t="str">
        <f>IF(A1885="","",IF(BASE_CAIXA!C1882="Entrada","Crédito","Débito"))</f>
        <v/>
      </c>
      <c r="E1885" s="26" t="str">
        <f>IF(A1885="","",BASE_CAIXA!AA1882)</f>
        <v/>
      </c>
      <c r="F1885" s="26" t="str">
        <f>IF(A1885="","",BASE_CAIXA!N1882)</f>
        <v/>
      </c>
      <c r="G1885" s="26" t="str">
        <f>IF(A1885="","",BASE_CAIXA!O1882)</f>
        <v/>
      </c>
      <c r="H1885" s="26" t="str">
        <f>IF(A1885="","",BASE_CAIXA!P1882)</f>
        <v/>
      </c>
      <c r="I1885" s="26" t="str">
        <f>IF(A1885="","",IF(BASE_CAIXA!H1882&lt;&gt;"",BASE_CAIXA!H1882,BASE_CAIXA!G1882))</f>
        <v/>
      </c>
      <c r="J1885" s="26" t="str">
        <f>IF(A1885="","",BASE_CAIXA!G1882)</f>
        <v/>
      </c>
      <c r="K1885" s="26" t="str">
        <f>IF(A1885="","",BASE_CAIXA!I1882)</f>
        <v/>
      </c>
      <c r="L1885" s="26" t="str">
        <f>IF(A1885="","",BASE_CAIXA!J1882)</f>
        <v/>
      </c>
      <c r="M1885" s="26" t="str">
        <f>IF(A1885="","",BASE_CAIXA!AM1882)</f>
        <v/>
      </c>
      <c r="N1885" s="26" t="str">
        <f t="shared" ca="1" si="87"/>
        <v/>
      </c>
      <c r="O1885" s="26" t="str">
        <f>IFERROR(INDEX(EXTRATO_IMPORTADO!$A$5:$A$404,MATCH(B1885,EXTRATO_IMPORTADO!$I$5:$I$404,0)),"")</f>
        <v/>
      </c>
      <c r="P1885" s="26" t="str">
        <f>IFERROR(INDEX(EXTRATO_IMPORTADO!$F$5:$F$404,MATCH(B1885,EXTRATO_IMPORTADO!$I$5:$I$404,0)),"")</f>
        <v/>
      </c>
      <c r="Q1885" s="26" t="str">
        <f>IFERROR(INDEX(EXTRATO_IMPORTADO!$B$5:$B$404,MATCH(B1885,EXTRATO_IMPORTADO!$I$5:$I$404,0)),"")</f>
        <v/>
      </c>
      <c r="R1885" s="26" t="str">
        <f>IFERROR(MATCH(B1885,EXTRATO_IMPORTADO!$I$5:$I$404,0),"")</f>
        <v/>
      </c>
      <c r="S1885" s="26" t="str">
        <f t="shared" si="88"/>
        <v/>
      </c>
      <c r="T1885" s="26" t="str">
        <f t="shared" si="89"/>
        <v/>
      </c>
    </row>
    <row r="1886" spans="1:20" x14ac:dyDescent="0.3">
      <c r="A1886" s="26" t="str">
        <f>IF(BASE_CAIXA!A1883="","",BASE_CAIXA!A1883)</f>
        <v/>
      </c>
      <c r="B1886" s="26" t="str">
        <f>IF(A1886="","",BASE_CAIXA!AL1883)</f>
        <v/>
      </c>
      <c r="C1886" s="26" t="str">
        <f>IF(A1886="","",BASE_CAIXA!AJ1883)</f>
        <v/>
      </c>
      <c r="D1886" s="26" t="str">
        <f>IF(A1886="","",IF(BASE_CAIXA!C1883="Entrada","Crédito","Débito"))</f>
        <v/>
      </c>
      <c r="E1886" s="26" t="str">
        <f>IF(A1886="","",BASE_CAIXA!AA1883)</f>
        <v/>
      </c>
      <c r="F1886" s="26" t="str">
        <f>IF(A1886="","",BASE_CAIXA!N1883)</f>
        <v/>
      </c>
      <c r="G1886" s="26" t="str">
        <f>IF(A1886="","",BASE_CAIXA!O1883)</f>
        <v/>
      </c>
      <c r="H1886" s="26" t="str">
        <f>IF(A1886="","",BASE_CAIXA!P1883)</f>
        <v/>
      </c>
      <c r="I1886" s="26" t="str">
        <f>IF(A1886="","",IF(BASE_CAIXA!H1883&lt;&gt;"",BASE_CAIXA!H1883,BASE_CAIXA!G1883))</f>
        <v/>
      </c>
      <c r="J1886" s="26" t="str">
        <f>IF(A1886="","",BASE_CAIXA!G1883)</f>
        <v/>
      </c>
      <c r="K1886" s="26" t="str">
        <f>IF(A1886="","",BASE_CAIXA!I1883)</f>
        <v/>
      </c>
      <c r="L1886" s="26" t="str">
        <f>IF(A1886="","",BASE_CAIXA!J1883)</f>
        <v/>
      </c>
      <c r="M1886" s="26" t="str">
        <f>IF(A1886="","",BASE_CAIXA!AM1883)</f>
        <v/>
      </c>
      <c r="N1886" s="26" t="str">
        <f t="shared" ca="1" si="87"/>
        <v/>
      </c>
      <c r="O1886" s="26" t="str">
        <f>IFERROR(INDEX(EXTRATO_IMPORTADO!$A$5:$A$404,MATCH(B1886,EXTRATO_IMPORTADO!$I$5:$I$404,0)),"")</f>
        <v/>
      </c>
      <c r="P1886" s="26" t="str">
        <f>IFERROR(INDEX(EXTRATO_IMPORTADO!$F$5:$F$404,MATCH(B1886,EXTRATO_IMPORTADO!$I$5:$I$404,0)),"")</f>
        <v/>
      </c>
      <c r="Q1886" s="26" t="str">
        <f>IFERROR(INDEX(EXTRATO_IMPORTADO!$B$5:$B$404,MATCH(B1886,EXTRATO_IMPORTADO!$I$5:$I$404,0)),"")</f>
        <v/>
      </c>
      <c r="R1886" s="26" t="str">
        <f>IFERROR(MATCH(B1886,EXTRATO_IMPORTADO!$I$5:$I$404,0),"")</f>
        <v/>
      </c>
      <c r="S1886" s="26" t="str">
        <f t="shared" si="88"/>
        <v/>
      </c>
      <c r="T1886" s="26" t="str">
        <f t="shared" si="89"/>
        <v/>
      </c>
    </row>
    <row r="1887" spans="1:20" x14ac:dyDescent="0.3">
      <c r="A1887" s="26" t="str">
        <f>IF(BASE_CAIXA!A1884="","",BASE_CAIXA!A1884)</f>
        <v/>
      </c>
      <c r="B1887" s="26" t="str">
        <f>IF(A1887="","",BASE_CAIXA!AL1884)</f>
        <v/>
      </c>
      <c r="C1887" s="26" t="str">
        <f>IF(A1887="","",BASE_CAIXA!AJ1884)</f>
        <v/>
      </c>
      <c r="D1887" s="26" t="str">
        <f>IF(A1887="","",IF(BASE_CAIXA!C1884="Entrada","Crédito","Débito"))</f>
        <v/>
      </c>
      <c r="E1887" s="26" t="str">
        <f>IF(A1887="","",BASE_CAIXA!AA1884)</f>
        <v/>
      </c>
      <c r="F1887" s="26" t="str">
        <f>IF(A1887="","",BASE_CAIXA!N1884)</f>
        <v/>
      </c>
      <c r="G1887" s="26" t="str">
        <f>IF(A1887="","",BASE_CAIXA!O1884)</f>
        <v/>
      </c>
      <c r="H1887" s="26" t="str">
        <f>IF(A1887="","",BASE_CAIXA!P1884)</f>
        <v/>
      </c>
      <c r="I1887" s="26" t="str">
        <f>IF(A1887="","",IF(BASE_CAIXA!H1884&lt;&gt;"",BASE_CAIXA!H1884,BASE_CAIXA!G1884))</f>
        <v/>
      </c>
      <c r="J1887" s="26" t="str">
        <f>IF(A1887="","",BASE_CAIXA!G1884)</f>
        <v/>
      </c>
      <c r="K1887" s="26" t="str">
        <f>IF(A1887="","",BASE_CAIXA!I1884)</f>
        <v/>
      </c>
      <c r="L1887" s="26" t="str">
        <f>IF(A1887="","",BASE_CAIXA!J1884)</f>
        <v/>
      </c>
      <c r="M1887" s="26" t="str">
        <f>IF(A1887="","",BASE_CAIXA!AM1884)</f>
        <v/>
      </c>
      <c r="N1887" s="26" t="str">
        <f t="shared" ca="1" si="87"/>
        <v/>
      </c>
      <c r="O1887" s="26" t="str">
        <f>IFERROR(INDEX(EXTRATO_IMPORTADO!$A$5:$A$404,MATCH(B1887,EXTRATO_IMPORTADO!$I$5:$I$404,0)),"")</f>
        <v/>
      </c>
      <c r="P1887" s="26" t="str">
        <f>IFERROR(INDEX(EXTRATO_IMPORTADO!$F$5:$F$404,MATCH(B1887,EXTRATO_IMPORTADO!$I$5:$I$404,0)),"")</f>
        <v/>
      </c>
      <c r="Q1887" s="26" t="str">
        <f>IFERROR(INDEX(EXTRATO_IMPORTADO!$B$5:$B$404,MATCH(B1887,EXTRATO_IMPORTADO!$I$5:$I$404,0)),"")</f>
        <v/>
      </c>
      <c r="R1887" s="26" t="str">
        <f>IFERROR(MATCH(B1887,EXTRATO_IMPORTADO!$I$5:$I$404,0),"")</f>
        <v/>
      </c>
      <c r="S1887" s="26" t="str">
        <f t="shared" si="88"/>
        <v/>
      </c>
      <c r="T1887" s="26" t="str">
        <f t="shared" si="89"/>
        <v/>
      </c>
    </row>
    <row r="1888" spans="1:20" x14ac:dyDescent="0.3">
      <c r="A1888" s="26" t="str">
        <f>IF(BASE_CAIXA!A1885="","",BASE_CAIXA!A1885)</f>
        <v/>
      </c>
      <c r="B1888" s="26" t="str">
        <f>IF(A1888="","",BASE_CAIXA!AL1885)</f>
        <v/>
      </c>
      <c r="C1888" s="26" t="str">
        <f>IF(A1888="","",BASE_CAIXA!AJ1885)</f>
        <v/>
      </c>
      <c r="D1888" s="26" t="str">
        <f>IF(A1888="","",IF(BASE_CAIXA!C1885="Entrada","Crédito","Débito"))</f>
        <v/>
      </c>
      <c r="E1888" s="26" t="str">
        <f>IF(A1888="","",BASE_CAIXA!AA1885)</f>
        <v/>
      </c>
      <c r="F1888" s="26" t="str">
        <f>IF(A1888="","",BASE_CAIXA!N1885)</f>
        <v/>
      </c>
      <c r="G1888" s="26" t="str">
        <f>IF(A1888="","",BASE_CAIXA!O1885)</f>
        <v/>
      </c>
      <c r="H1888" s="26" t="str">
        <f>IF(A1888="","",BASE_CAIXA!P1885)</f>
        <v/>
      </c>
      <c r="I1888" s="26" t="str">
        <f>IF(A1888="","",IF(BASE_CAIXA!H1885&lt;&gt;"",BASE_CAIXA!H1885,BASE_CAIXA!G1885))</f>
        <v/>
      </c>
      <c r="J1888" s="26" t="str">
        <f>IF(A1888="","",BASE_CAIXA!G1885)</f>
        <v/>
      </c>
      <c r="K1888" s="26" t="str">
        <f>IF(A1888="","",BASE_CAIXA!I1885)</f>
        <v/>
      </c>
      <c r="L1888" s="26" t="str">
        <f>IF(A1888="","",BASE_CAIXA!J1885)</f>
        <v/>
      </c>
      <c r="M1888" s="26" t="str">
        <f>IF(A1888="","",BASE_CAIXA!AM1885)</f>
        <v/>
      </c>
      <c r="N1888" s="26" t="str">
        <f t="shared" ca="1" si="87"/>
        <v/>
      </c>
      <c r="O1888" s="26" t="str">
        <f>IFERROR(INDEX(EXTRATO_IMPORTADO!$A$5:$A$404,MATCH(B1888,EXTRATO_IMPORTADO!$I$5:$I$404,0)),"")</f>
        <v/>
      </c>
      <c r="P1888" s="26" t="str">
        <f>IFERROR(INDEX(EXTRATO_IMPORTADO!$F$5:$F$404,MATCH(B1888,EXTRATO_IMPORTADO!$I$5:$I$404,0)),"")</f>
        <v/>
      </c>
      <c r="Q1888" s="26" t="str">
        <f>IFERROR(INDEX(EXTRATO_IMPORTADO!$B$5:$B$404,MATCH(B1888,EXTRATO_IMPORTADO!$I$5:$I$404,0)),"")</f>
        <v/>
      </c>
      <c r="R1888" s="26" t="str">
        <f>IFERROR(MATCH(B1888,EXTRATO_IMPORTADO!$I$5:$I$404,0),"")</f>
        <v/>
      </c>
      <c r="S1888" s="26" t="str">
        <f t="shared" si="88"/>
        <v/>
      </c>
      <c r="T1888" s="26" t="str">
        <f t="shared" si="89"/>
        <v/>
      </c>
    </row>
    <row r="1889" spans="1:20" x14ac:dyDescent="0.3">
      <c r="A1889" s="26" t="str">
        <f>IF(BASE_CAIXA!A1886="","",BASE_CAIXA!A1886)</f>
        <v/>
      </c>
      <c r="B1889" s="26" t="str">
        <f>IF(A1889="","",BASE_CAIXA!AL1886)</f>
        <v/>
      </c>
      <c r="C1889" s="26" t="str">
        <f>IF(A1889="","",BASE_CAIXA!AJ1886)</f>
        <v/>
      </c>
      <c r="D1889" s="26" t="str">
        <f>IF(A1889="","",IF(BASE_CAIXA!C1886="Entrada","Crédito","Débito"))</f>
        <v/>
      </c>
      <c r="E1889" s="26" t="str">
        <f>IF(A1889="","",BASE_CAIXA!AA1886)</f>
        <v/>
      </c>
      <c r="F1889" s="26" t="str">
        <f>IF(A1889="","",BASE_CAIXA!N1886)</f>
        <v/>
      </c>
      <c r="G1889" s="26" t="str">
        <f>IF(A1889="","",BASE_CAIXA!O1886)</f>
        <v/>
      </c>
      <c r="H1889" s="26" t="str">
        <f>IF(A1889="","",BASE_CAIXA!P1886)</f>
        <v/>
      </c>
      <c r="I1889" s="26" t="str">
        <f>IF(A1889="","",IF(BASE_CAIXA!H1886&lt;&gt;"",BASE_CAIXA!H1886,BASE_CAIXA!G1886))</f>
        <v/>
      </c>
      <c r="J1889" s="26" t="str">
        <f>IF(A1889="","",BASE_CAIXA!G1886)</f>
        <v/>
      </c>
      <c r="K1889" s="26" t="str">
        <f>IF(A1889="","",BASE_CAIXA!I1886)</f>
        <v/>
      </c>
      <c r="L1889" s="26" t="str">
        <f>IF(A1889="","",BASE_CAIXA!J1886)</f>
        <v/>
      </c>
      <c r="M1889" s="26" t="str">
        <f>IF(A1889="","",BASE_CAIXA!AM1886)</f>
        <v/>
      </c>
      <c r="N1889" s="26" t="str">
        <f t="shared" ca="1" si="87"/>
        <v/>
      </c>
      <c r="O1889" s="26" t="str">
        <f>IFERROR(INDEX(EXTRATO_IMPORTADO!$A$5:$A$404,MATCH(B1889,EXTRATO_IMPORTADO!$I$5:$I$404,0)),"")</f>
        <v/>
      </c>
      <c r="P1889" s="26" t="str">
        <f>IFERROR(INDEX(EXTRATO_IMPORTADO!$F$5:$F$404,MATCH(B1889,EXTRATO_IMPORTADO!$I$5:$I$404,0)),"")</f>
        <v/>
      </c>
      <c r="Q1889" s="26" t="str">
        <f>IFERROR(INDEX(EXTRATO_IMPORTADO!$B$5:$B$404,MATCH(B1889,EXTRATO_IMPORTADO!$I$5:$I$404,0)),"")</f>
        <v/>
      </c>
      <c r="R1889" s="26" t="str">
        <f>IFERROR(MATCH(B1889,EXTRATO_IMPORTADO!$I$5:$I$404,0),"")</f>
        <v/>
      </c>
      <c r="S1889" s="26" t="str">
        <f t="shared" si="88"/>
        <v/>
      </c>
      <c r="T1889" s="26" t="str">
        <f t="shared" si="89"/>
        <v/>
      </c>
    </row>
    <row r="1890" spans="1:20" x14ac:dyDescent="0.3">
      <c r="A1890" s="26" t="str">
        <f>IF(BASE_CAIXA!A1887="","",BASE_CAIXA!A1887)</f>
        <v/>
      </c>
      <c r="B1890" s="26" t="str">
        <f>IF(A1890="","",BASE_CAIXA!AL1887)</f>
        <v/>
      </c>
      <c r="C1890" s="26" t="str">
        <f>IF(A1890="","",BASE_CAIXA!AJ1887)</f>
        <v/>
      </c>
      <c r="D1890" s="26" t="str">
        <f>IF(A1890="","",IF(BASE_CAIXA!C1887="Entrada","Crédito","Débito"))</f>
        <v/>
      </c>
      <c r="E1890" s="26" t="str">
        <f>IF(A1890="","",BASE_CAIXA!AA1887)</f>
        <v/>
      </c>
      <c r="F1890" s="26" t="str">
        <f>IF(A1890="","",BASE_CAIXA!N1887)</f>
        <v/>
      </c>
      <c r="G1890" s="26" t="str">
        <f>IF(A1890="","",BASE_CAIXA!O1887)</f>
        <v/>
      </c>
      <c r="H1890" s="26" t="str">
        <f>IF(A1890="","",BASE_CAIXA!P1887)</f>
        <v/>
      </c>
      <c r="I1890" s="26" t="str">
        <f>IF(A1890="","",IF(BASE_CAIXA!H1887&lt;&gt;"",BASE_CAIXA!H1887,BASE_CAIXA!G1887))</f>
        <v/>
      </c>
      <c r="J1890" s="26" t="str">
        <f>IF(A1890="","",BASE_CAIXA!G1887)</f>
        <v/>
      </c>
      <c r="K1890" s="26" t="str">
        <f>IF(A1890="","",BASE_CAIXA!I1887)</f>
        <v/>
      </c>
      <c r="L1890" s="26" t="str">
        <f>IF(A1890="","",BASE_CAIXA!J1887)</f>
        <v/>
      </c>
      <c r="M1890" s="26" t="str">
        <f>IF(A1890="","",BASE_CAIXA!AM1887)</f>
        <v/>
      </c>
      <c r="N1890" s="26" t="str">
        <f t="shared" ca="1" si="87"/>
        <v/>
      </c>
      <c r="O1890" s="26" t="str">
        <f>IFERROR(INDEX(EXTRATO_IMPORTADO!$A$5:$A$404,MATCH(B1890,EXTRATO_IMPORTADO!$I$5:$I$404,0)),"")</f>
        <v/>
      </c>
      <c r="P1890" s="26" t="str">
        <f>IFERROR(INDEX(EXTRATO_IMPORTADO!$F$5:$F$404,MATCH(B1890,EXTRATO_IMPORTADO!$I$5:$I$404,0)),"")</f>
        <v/>
      </c>
      <c r="Q1890" s="26" t="str">
        <f>IFERROR(INDEX(EXTRATO_IMPORTADO!$B$5:$B$404,MATCH(B1890,EXTRATO_IMPORTADO!$I$5:$I$404,0)),"")</f>
        <v/>
      </c>
      <c r="R1890" s="26" t="str">
        <f>IFERROR(MATCH(B1890,EXTRATO_IMPORTADO!$I$5:$I$404,0),"")</f>
        <v/>
      </c>
      <c r="S1890" s="26" t="str">
        <f t="shared" si="88"/>
        <v/>
      </c>
      <c r="T1890" s="26" t="str">
        <f t="shared" si="89"/>
        <v/>
      </c>
    </row>
    <row r="1891" spans="1:20" x14ac:dyDescent="0.3">
      <c r="A1891" s="26" t="str">
        <f>IF(BASE_CAIXA!A1888="","",BASE_CAIXA!A1888)</f>
        <v/>
      </c>
      <c r="B1891" s="26" t="str">
        <f>IF(A1891="","",BASE_CAIXA!AL1888)</f>
        <v/>
      </c>
      <c r="C1891" s="26" t="str">
        <f>IF(A1891="","",BASE_CAIXA!AJ1888)</f>
        <v/>
      </c>
      <c r="D1891" s="26" t="str">
        <f>IF(A1891="","",IF(BASE_CAIXA!C1888="Entrada","Crédito","Débito"))</f>
        <v/>
      </c>
      <c r="E1891" s="26" t="str">
        <f>IF(A1891="","",BASE_CAIXA!AA1888)</f>
        <v/>
      </c>
      <c r="F1891" s="26" t="str">
        <f>IF(A1891="","",BASE_CAIXA!N1888)</f>
        <v/>
      </c>
      <c r="G1891" s="26" t="str">
        <f>IF(A1891="","",BASE_CAIXA!O1888)</f>
        <v/>
      </c>
      <c r="H1891" s="26" t="str">
        <f>IF(A1891="","",BASE_CAIXA!P1888)</f>
        <v/>
      </c>
      <c r="I1891" s="26" t="str">
        <f>IF(A1891="","",IF(BASE_CAIXA!H1888&lt;&gt;"",BASE_CAIXA!H1888,BASE_CAIXA!G1888))</f>
        <v/>
      </c>
      <c r="J1891" s="26" t="str">
        <f>IF(A1891="","",BASE_CAIXA!G1888)</f>
        <v/>
      </c>
      <c r="K1891" s="26" t="str">
        <f>IF(A1891="","",BASE_CAIXA!I1888)</f>
        <v/>
      </c>
      <c r="L1891" s="26" t="str">
        <f>IF(A1891="","",BASE_CAIXA!J1888)</f>
        <v/>
      </c>
      <c r="M1891" s="26" t="str">
        <f>IF(A1891="","",BASE_CAIXA!AM1888)</f>
        <v/>
      </c>
      <c r="N1891" s="26" t="str">
        <f t="shared" ca="1" si="87"/>
        <v/>
      </c>
      <c r="O1891" s="26" t="str">
        <f>IFERROR(INDEX(EXTRATO_IMPORTADO!$A$5:$A$404,MATCH(B1891,EXTRATO_IMPORTADO!$I$5:$I$404,0)),"")</f>
        <v/>
      </c>
      <c r="P1891" s="26" t="str">
        <f>IFERROR(INDEX(EXTRATO_IMPORTADO!$F$5:$F$404,MATCH(B1891,EXTRATO_IMPORTADO!$I$5:$I$404,0)),"")</f>
        <v/>
      </c>
      <c r="Q1891" s="26" t="str">
        <f>IFERROR(INDEX(EXTRATO_IMPORTADO!$B$5:$B$404,MATCH(B1891,EXTRATO_IMPORTADO!$I$5:$I$404,0)),"")</f>
        <v/>
      </c>
      <c r="R1891" s="26" t="str">
        <f>IFERROR(MATCH(B1891,EXTRATO_IMPORTADO!$I$5:$I$404,0),"")</f>
        <v/>
      </c>
      <c r="S1891" s="26" t="str">
        <f t="shared" si="88"/>
        <v/>
      </c>
      <c r="T1891" s="26" t="str">
        <f t="shared" si="89"/>
        <v/>
      </c>
    </row>
    <row r="1892" spans="1:20" x14ac:dyDescent="0.3">
      <c r="A1892" s="26" t="str">
        <f>IF(BASE_CAIXA!A1889="","",BASE_CAIXA!A1889)</f>
        <v/>
      </c>
      <c r="B1892" s="26" t="str">
        <f>IF(A1892="","",BASE_CAIXA!AL1889)</f>
        <v/>
      </c>
      <c r="C1892" s="26" t="str">
        <f>IF(A1892="","",BASE_CAIXA!AJ1889)</f>
        <v/>
      </c>
      <c r="D1892" s="26" t="str">
        <f>IF(A1892="","",IF(BASE_CAIXA!C1889="Entrada","Crédito","Débito"))</f>
        <v/>
      </c>
      <c r="E1892" s="26" t="str">
        <f>IF(A1892="","",BASE_CAIXA!AA1889)</f>
        <v/>
      </c>
      <c r="F1892" s="26" t="str">
        <f>IF(A1892="","",BASE_CAIXA!N1889)</f>
        <v/>
      </c>
      <c r="G1892" s="26" t="str">
        <f>IF(A1892="","",BASE_CAIXA!O1889)</f>
        <v/>
      </c>
      <c r="H1892" s="26" t="str">
        <f>IF(A1892="","",BASE_CAIXA!P1889)</f>
        <v/>
      </c>
      <c r="I1892" s="26" t="str">
        <f>IF(A1892="","",IF(BASE_CAIXA!H1889&lt;&gt;"",BASE_CAIXA!H1889,BASE_CAIXA!G1889))</f>
        <v/>
      </c>
      <c r="J1892" s="26" t="str">
        <f>IF(A1892="","",BASE_CAIXA!G1889)</f>
        <v/>
      </c>
      <c r="K1892" s="26" t="str">
        <f>IF(A1892="","",BASE_CAIXA!I1889)</f>
        <v/>
      </c>
      <c r="L1892" s="26" t="str">
        <f>IF(A1892="","",BASE_CAIXA!J1889)</f>
        <v/>
      </c>
      <c r="M1892" s="26" t="str">
        <f>IF(A1892="","",BASE_CAIXA!AM1889)</f>
        <v/>
      </c>
      <c r="N1892" s="26" t="str">
        <f t="shared" ca="1" si="87"/>
        <v/>
      </c>
      <c r="O1892" s="26" t="str">
        <f>IFERROR(INDEX(EXTRATO_IMPORTADO!$A$5:$A$404,MATCH(B1892,EXTRATO_IMPORTADO!$I$5:$I$404,0)),"")</f>
        <v/>
      </c>
      <c r="P1892" s="26" t="str">
        <f>IFERROR(INDEX(EXTRATO_IMPORTADO!$F$5:$F$404,MATCH(B1892,EXTRATO_IMPORTADO!$I$5:$I$404,0)),"")</f>
        <v/>
      </c>
      <c r="Q1892" s="26" t="str">
        <f>IFERROR(INDEX(EXTRATO_IMPORTADO!$B$5:$B$404,MATCH(B1892,EXTRATO_IMPORTADO!$I$5:$I$404,0)),"")</f>
        <v/>
      </c>
      <c r="R1892" s="26" t="str">
        <f>IFERROR(MATCH(B1892,EXTRATO_IMPORTADO!$I$5:$I$404,0),"")</f>
        <v/>
      </c>
      <c r="S1892" s="26" t="str">
        <f t="shared" si="88"/>
        <v/>
      </c>
      <c r="T1892" s="26" t="str">
        <f t="shared" si="89"/>
        <v/>
      </c>
    </row>
    <row r="1893" spans="1:20" x14ac:dyDescent="0.3">
      <c r="A1893" s="26" t="str">
        <f>IF(BASE_CAIXA!A1890="","",BASE_CAIXA!A1890)</f>
        <v/>
      </c>
      <c r="B1893" s="26" t="str">
        <f>IF(A1893="","",BASE_CAIXA!AL1890)</f>
        <v/>
      </c>
      <c r="C1893" s="26" t="str">
        <f>IF(A1893="","",BASE_CAIXA!AJ1890)</f>
        <v/>
      </c>
      <c r="D1893" s="26" t="str">
        <f>IF(A1893="","",IF(BASE_CAIXA!C1890="Entrada","Crédito","Débito"))</f>
        <v/>
      </c>
      <c r="E1893" s="26" t="str">
        <f>IF(A1893="","",BASE_CAIXA!AA1890)</f>
        <v/>
      </c>
      <c r="F1893" s="26" t="str">
        <f>IF(A1893="","",BASE_CAIXA!N1890)</f>
        <v/>
      </c>
      <c r="G1893" s="26" t="str">
        <f>IF(A1893="","",BASE_CAIXA!O1890)</f>
        <v/>
      </c>
      <c r="H1893" s="26" t="str">
        <f>IF(A1893="","",BASE_CAIXA!P1890)</f>
        <v/>
      </c>
      <c r="I1893" s="26" t="str">
        <f>IF(A1893="","",IF(BASE_CAIXA!H1890&lt;&gt;"",BASE_CAIXA!H1890,BASE_CAIXA!G1890))</f>
        <v/>
      </c>
      <c r="J1893" s="26" t="str">
        <f>IF(A1893="","",BASE_CAIXA!G1890)</f>
        <v/>
      </c>
      <c r="K1893" s="26" t="str">
        <f>IF(A1893="","",BASE_CAIXA!I1890)</f>
        <v/>
      </c>
      <c r="L1893" s="26" t="str">
        <f>IF(A1893="","",BASE_CAIXA!J1890)</f>
        <v/>
      </c>
      <c r="M1893" s="26" t="str">
        <f>IF(A1893="","",BASE_CAIXA!AM1890)</f>
        <v/>
      </c>
      <c r="N1893" s="26" t="str">
        <f t="shared" ca="1" si="87"/>
        <v/>
      </c>
      <c r="O1893" s="26" t="str">
        <f>IFERROR(INDEX(EXTRATO_IMPORTADO!$A$5:$A$404,MATCH(B1893,EXTRATO_IMPORTADO!$I$5:$I$404,0)),"")</f>
        <v/>
      </c>
      <c r="P1893" s="26" t="str">
        <f>IFERROR(INDEX(EXTRATO_IMPORTADO!$F$5:$F$404,MATCH(B1893,EXTRATO_IMPORTADO!$I$5:$I$404,0)),"")</f>
        <v/>
      </c>
      <c r="Q1893" s="26" t="str">
        <f>IFERROR(INDEX(EXTRATO_IMPORTADO!$B$5:$B$404,MATCH(B1893,EXTRATO_IMPORTADO!$I$5:$I$404,0)),"")</f>
        <v/>
      </c>
      <c r="R1893" s="26" t="str">
        <f>IFERROR(MATCH(B1893,EXTRATO_IMPORTADO!$I$5:$I$404,0),"")</f>
        <v/>
      </c>
      <c r="S1893" s="26" t="str">
        <f t="shared" si="88"/>
        <v/>
      </c>
      <c r="T1893" s="26" t="str">
        <f t="shared" si="89"/>
        <v/>
      </c>
    </row>
    <row r="1894" spans="1:20" x14ac:dyDescent="0.3">
      <c r="A1894" s="26" t="str">
        <f>IF(BASE_CAIXA!A1891="","",BASE_CAIXA!A1891)</f>
        <v/>
      </c>
      <c r="B1894" s="26" t="str">
        <f>IF(A1894="","",BASE_CAIXA!AL1891)</f>
        <v/>
      </c>
      <c r="C1894" s="26" t="str">
        <f>IF(A1894="","",BASE_CAIXA!AJ1891)</f>
        <v/>
      </c>
      <c r="D1894" s="26" t="str">
        <f>IF(A1894="","",IF(BASE_CAIXA!C1891="Entrada","Crédito","Débito"))</f>
        <v/>
      </c>
      <c r="E1894" s="26" t="str">
        <f>IF(A1894="","",BASE_CAIXA!AA1891)</f>
        <v/>
      </c>
      <c r="F1894" s="26" t="str">
        <f>IF(A1894="","",BASE_CAIXA!N1891)</f>
        <v/>
      </c>
      <c r="G1894" s="26" t="str">
        <f>IF(A1894="","",BASE_CAIXA!O1891)</f>
        <v/>
      </c>
      <c r="H1894" s="26" t="str">
        <f>IF(A1894="","",BASE_CAIXA!P1891)</f>
        <v/>
      </c>
      <c r="I1894" s="26" t="str">
        <f>IF(A1894="","",IF(BASE_CAIXA!H1891&lt;&gt;"",BASE_CAIXA!H1891,BASE_CAIXA!G1891))</f>
        <v/>
      </c>
      <c r="J1894" s="26" t="str">
        <f>IF(A1894="","",BASE_CAIXA!G1891)</f>
        <v/>
      </c>
      <c r="K1894" s="26" t="str">
        <f>IF(A1894="","",BASE_CAIXA!I1891)</f>
        <v/>
      </c>
      <c r="L1894" s="26" t="str">
        <f>IF(A1894="","",BASE_CAIXA!J1891)</f>
        <v/>
      </c>
      <c r="M1894" s="26" t="str">
        <f>IF(A1894="","",BASE_CAIXA!AM1891)</f>
        <v/>
      </c>
      <c r="N1894" s="26" t="str">
        <f t="shared" ca="1" si="87"/>
        <v/>
      </c>
      <c r="O1894" s="26" t="str">
        <f>IFERROR(INDEX(EXTRATO_IMPORTADO!$A$5:$A$404,MATCH(B1894,EXTRATO_IMPORTADO!$I$5:$I$404,0)),"")</f>
        <v/>
      </c>
      <c r="P1894" s="26" t="str">
        <f>IFERROR(INDEX(EXTRATO_IMPORTADO!$F$5:$F$404,MATCH(B1894,EXTRATO_IMPORTADO!$I$5:$I$404,0)),"")</f>
        <v/>
      </c>
      <c r="Q1894" s="26" t="str">
        <f>IFERROR(INDEX(EXTRATO_IMPORTADO!$B$5:$B$404,MATCH(B1894,EXTRATO_IMPORTADO!$I$5:$I$404,0)),"")</f>
        <v/>
      </c>
      <c r="R1894" s="26" t="str">
        <f>IFERROR(MATCH(B1894,EXTRATO_IMPORTADO!$I$5:$I$404,0),"")</f>
        <v/>
      </c>
      <c r="S1894" s="26" t="str">
        <f t="shared" si="88"/>
        <v/>
      </c>
      <c r="T1894" s="26" t="str">
        <f t="shared" si="89"/>
        <v/>
      </c>
    </row>
    <row r="1895" spans="1:20" x14ac:dyDescent="0.3">
      <c r="A1895" s="26" t="str">
        <f>IF(BASE_CAIXA!A1892="","",BASE_CAIXA!A1892)</f>
        <v/>
      </c>
      <c r="B1895" s="26" t="str">
        <f>IF(A1895="","",BASE_CAIXA!AL1892)</f>
        <v/>
      </c>
      <c r="C1895" s="26" t="str">
        <f>IF(A1895="","",BASE_CAIXA!AJ1892)</f>
        <v/>
      </c>
      <c r="D1895" s="26" t="str">
        <f>IF(A1895="","",IF(BASE_CAIXA!C1892="Entrada","Crédito","Débito"))</f>
        <v/>
      </c>
      <c r="E1895" s="26" t="str">
        <f>IF(A1895="","",BASE_CAIXA!AA1892)</f>
        <v/>
      </c>
      <c r="F1895" s="26" t="str">
        <f>IF(A1895="","",BASE_CAIXA!N1892)</f>
        <v/>
      </c>
      <c r="G1895" s="26" t="str">
        <f>IF(A1895="","",BASE_CAIXA!O1892)</f>
        <v/>
      </c>
      <c r="H1895" s="26" t="str">
        <f>IF(A1895="","",BASE_CAIXA!P1892)</f>
        <v/>
      </c>
      <c r="I1895" s="26" t="str">
        <f>IF(A1895="","",IF(BASE_CAIXA!H1892&lt;&gt;"",BASE_CAIXA!H1892,BASE_CAIXA!G1892))</f>
        <v/>
      </c>
      <c r="J1895" s="26" t="str">
        <f>IF(A1895="","",BASE_CAIXA!G1892)</f>
        <v/>
      </c>
      <c r="K1895" s="26" t="str">
        <f>IF(A1895="","",BASE_CAIXA!I1892)</f>
        <v/>
      </c>
      <c r="L1895" s="26" t="str">
        <f>IF(A1895="","",BASE_CAIXA!J1892)</f>
        <v/>
      </c>
      <c r="M1895" s="26" t="str">
        <f>IF(A1895="","",BASE_CAIXA!AM1892)</f>
        <v/>
      </c>
      <c r="N1895" s="26" t="str">
        <f t="shared" ca="1" si="87"/>
        <v/>
      </c>
      <c r="O1895" s="26" t="str">
        <f>IFERROR(INDEX(EXTRATO_IMPORTADO!$A$5:$A$404,MATCH(B1895,EXTRATO_IMPORTADO!$I$5:$I$404,0)),"")</f>
        <v/>
      </c>
      <c r="P1895" s="26" t="str">
        <f>IFERROR(INDEX(EXTRATO_IMPORTADO!$F$5:$F$404,MATCH(B1895,EXTRATO_IMPORTADO!$I$5:$I$404,0)),"")</f>
        <v/>
      </c>
      <c r="Q1895" s="26" t="str">
        <f>IFERROR(INDEX(EXTRATO_IMPORTADO!$B$5:$B$404,MATCH(B1895,EXTRATO_IMPORTADO!$I$5:$I$404,0)),"")</f>
        <v/>
      </c>
      <c r="R1895" s="26" t="str">
        <f>IFERROR(MATCH(B1895,EXTRATO_IMPORTADO!$I$5:$I$404,0),"")</f>
        <v/>
      </c>
      <c r="S1895" s="26" t="str">
        <f t="shared" si="88"/>
        <v/>
      </c>
      <c r="T1895" s="26" t="str">
        <f t="shared" si="89"/>
        <v/>
      </c>
    </row>
    <row r="1896" spans="1:20" x14ac:dyDescent="0.3">
      <c r="A1896" s="26" t="str">
        <f>IF(BASE_CAIXA!A1893="","",BASE_CAIXA!A1893)</f>
        <v/>
      </c>
      <c r="B1896" s="26" t="str">
        <f>IF(A1896="","",BASE_CAIXA!AL1893)</f>
        <v/>
      </c>
      <c r="C1896" s="26" t="str">
        <f>IF(A1896="","",BASE_CAIXA!AJ1893)</f>
        <v/>
      </c>
      <c r="D1896" s="26" t="str">
        <f>IF(A1896="","",IF(BASE_CAIXA!C1893="Entrada","Crédito","Débito"))</f>
        <v/>
      </c>
      <c r="E1896" s="26" t="str">
        <f>IF(A1896="","",BASE_CAIXA!AA1893)</f>
        <v/>
      </c>
      <c r="F1896" s="26" t="str">
        <f>IF(A1896="","",BASE_CAIXA!N1893)</f>
        <v/>
      </c>
      <c r="G1896" s="26" t="str">
        <f>IF(A1896="","",BASE_CAIXA!O1893)</f>
        <v/>
      </c>
      <c r="H1896" s="26" t="str">
        <f>IF(A1896="","",BASE_CAIXA!P1893)</f>
        <v/>
      </c>
      <c r="I1896" s="26" t="str">
        <f>IF(A1896="","",IF(BASE_CAIXA!H1893&lt;&gt;"",BASE_CAIXA!H1893,BASE_CAIXA!G1893))</f>
        <v/>
      </c>
      <c r="J1896" s="26" t="str">
        <f>IF(A1896="","",BASE_CAIXA!G1893)</f>
        <v/>
      </c>
      <c r="K1896" s="26" t="str">
        <f>IF(A1896="","",BASE_CAIXA!I1893)</f>
        <v/>
      </c>
      <c r="L1896" s="26" t="str">
        <f>IF(A1896="","",BASE_CAIXA!J1893)</f>
        <v/>
      </c>
      <c r="M1896" s="26" t="str">
        <f>IF(A1896="","",BASE_CAIXA!AM1893)</f>
        <v/>
      </c>
      <c r="N1896" s="26" t="str">
        <f t="shared" ca="1" si="87"/>
        <v/>
      </c>
      <c r="O1896" s="26" t="str">
        <f>IFERROR(INDEX(EXTRATO_IMPORTADO!$A$5:$A$404,MATCH(B1896,EXTRATO_IMPORTADO!$I$5:$I$404,0)),"")</f>
        <v/>
      </c>
      <c r="P1896" s="26" t="str">
        <f>IFERROR(INDEX(EXTRATO_IMPORTADO!$F$5:$F$404,MATCH(B1896,EXTRATO_IMPORTADO!$I$5:$I$404,0)),"")</f>
        <v/>
      </c>
      <c r="Q1896" s="26" t="str">
        <f>IFERROR(INDEX(EXTRATO_IMPORTADO!$B$5:$B$404,MATCH(B1896,EXTRATO_IMPORTADO!$I$5:$I$404,0)),"")</f>
        <v/>
      </c>
      <c r="R1896" s="26" t="str">
        <f>IFERROR(MATCH(B1896,EXTRATO_IMPORTADO!$I$5:$I$404,0),"")</f>
        <v/>
      </c>
      <c r="S1896" s="26" t="str">
        <f t="shared" si="88"/>
        <v/>
      </c>
      <c r="T1896" s="26" t="str">
        <f t="shared" si="89"/>
        <v/>
      </c>
    </row>
    <row r="1897" spans="1:20" x14ac:dyDescent="0.3">
      <c r="A1897" s="26" t="str">
        <f>IF(BASE_CAIXA!A1894="","",BASE_CAIXA!A1894)</f>
        <v/>
      </c>
      <c r="B1897" s="26" t="str">
        <f>IF(A1897="","",BASE_CAIXA!AL1894)</f>
        <v/>
      </c>
      <c r="C1897" s="26" t="str">
        <f>IF(A1897="","",BASE_CAIXA!AJ1894)</f>
        <v/>
      </c>
      <c r="D1897" s="26" t="str">
        <f>IF(A1897="","",IF(BASE_CAIXA!C1894="Entrada","Crédito","Débito"))</f>
        <v/>
      </c>
      <c r="E1897" s="26" t="str">
        <f>IF(A1897="","",BASE_CAIXA!AA1894)</f>
        <v/>
      </c>
      <c r="F1897" s="26" t="str">
        <f>IF(A1897="","",BASE_CAIXA!N1894)</f>
        <v/>
      </c>
      <c r="G1897" s="26" t="str">
        <f>IF(A1897="","",BASE_CAIXA!O1894)</f>
        <v/>
      </c>
      <c r="H1897" s="26" t="str">
        <f>IF(A1897="","",BASE_CAIXA!P1894)</f>
        <v/>
      </c>
      <c r="I1897" s="26" t="str">
        <f>IF(A1897="","",IF(BASE_CAIXA!H1894&lt;&gt;"",BASE_CAIXA!H1894,BASE_CAIXA!G1894))</f>
        <v/>
      </c>
      <c r="J1897" s="26" t="str">
        <f>IF(A1897="","",BASE_CAIXA!G1894)</f>
        <v/>
      </c>
      <c r="K1897" s="26" t="str">
        <f>IF(A1897="","",BASE_CAIXA!I1894)</f>
        <v/>
      </c>
      <c r="L1897" s="26" t="str">
        <f>IF(A1897="","",BASE_CAIXA!J1894)</f>
        <v/>
      </c>
      <c r="M1897" s="26" t="str">
        <f>IF(A1897="","",BASE_CAIXA!AM1894)</f>
        <v/>
      </c>
      <c r="N1897" s="26" t="str">
        <f t="shared" ca="1" si="87"/>
        <v/>
      </c>
      <c r="O1897" s="26" t="str">
        <f>IFERROR(INDEX(EXTRATO_IMPORTADO!$A$5:$A$404,MATCH(B1897,EXTRATO_IMPORTADO!$I$5:$I$404,0)),"")</f>
        <v/>
      </c>
      <c r="P1897" s="26" t="str">
        <f>IFERROR(INDEX(EXTRATO_IMPORTADO!$F$5:$F$404,MATCH(B1897,EXTRATO_IMPORTADO!$I$5:$I$404,0)),"")</f>
        <v/>
      </c>
      <c r="Q1897" s="26" t="str">
        <f>IFERROR(INDEX(EXTRATO_IMPORTADO!$B$5:$B$404,MATCH(B1897,EXTRATO_IMPORTADO!$I$5:$I$404,0)),"")</f>
        <v/>
      </c>
      <c r="R1897" s="26" t="str">
        <f>IFERROR(MATCH(B1897,EXTRATO_IMPORTADO!$I$5:$I$404,0),"")</f>
        <v/>
      </c>
      <c r="S1897" s="26" t="str">
        <f t="shared" si="88"/>
        <v/>
      </c>
      <c r="T1897" s="26" t="str">
        <f t="shared" si="89"/>
        <v/>
      </c>
    </row>
    <row r="1898" spans="1:20" x14ac:dyDescent="0.3">
      <c r="A1898" s="26" t="str">
        <f>IF(BASE_CAIXA!A1895="","",BASE_CAIXA!A1895)</f>
        <v/>
      </c>
      <c r="B1898" s="26" t="str">
        <f>IF(A1898="","",BASE_CAIXA!AL1895)</f>
        <v/>
      </c>
      <c r="C1898" s="26" t="str">
        <f>IF(A1898="","",BASE_CAIXA!AJ1895)</f>
        <v/>
      </c>
      <c r="D1898" s="26" t="str">
        <f>IF(A1898="","",IF(BASE_CAIXA!C1895="Entrada","Crédito","Débito"))</f>
        <v/>
      </c>
      <c r="E1898" s="26" t="str">
        <f>IF(A1898="","",BASE_CAIXA!AA1895)</f>
        <v/>
      </c>
      <c r="F1898" s="26" t="str">
        <f>IF(A1898="","",BASE_CAIXA!N1895)</f>
        <v/>
      </c>
      <c r="G1898" s="26" t="str">
        <f>IF(A1898="","",BASE_CAIXA!O1895)</f>
        <v/>
      </c>
      <c r="H1898" s="26" t="str">
        <f>IF(A1898="","",BASE_CAIXA!P1895)</f>
        <v/>
      </c>
      <c r="I1898" s="26" t="str">
        <f>IF(A1898="","",IF(BASE_CAIXA!H1895&lt;&gt;"",BASE_CAIXA!H1895,BASE_CAIXA!G1895))</f>
        <v/>
      </c>
      <c r="J1898" s="26" t="str">
        <f>IF(A1898="","",BASE_CAIXA!G1895)</f>
        <v/>
      </c>
      <c r="K1898" s="26" t="str">
        <f>IF(A1898="","",BASE_CAIXA!I1895)</f>
        <v/>
      </c>
      <c r="L1898" s="26" t="str">
        <f>IF(A1898="","",BASE_CAIXA!J1895)</f>
        <v/>
      </c>
      <c r="M1898" s="26" t="str">
        <f>IF(A1898="","",BASE_CAIXA!AM1895)</f>
        <v/>
      </c>
      <c r="N1898" s="26" t="str">
        <f t="shared" ca="1" si="87"/>
        <v/>
      </c>
      <c r="O1898" s="26" t="str">
        <f>IFERROR(INDEX(EXTRATO_IMPORTADO!$A$5:$A$404,MATCH(B1898,EXTRATO_IMPORTADO!$I$5:$I$404,0)),"")</f>
        <v/>
      </c>
      <c r="P1898" s="26" t="str">
        <f>IFERROR(INDEX(EXTRATO_IMPORTADO!$F$5:$F$404,MATCH(B1898,EXTRATO_IMPORTADO!$I$5:$I$404,0)),"")</f>
        <v/>
      </c>
      <c r="Q1898" s="26" t="str">
        <f>IFERROR(INDEX(EXTRATO_IMPORTADO!$B$5:$B$404,MATCH(B1898,EXTRATO_IMPORTADO!$I$5:$I$404,0)),"")</f>
        <v/>
      </c>
      <c r="R1898" s="26" t="str">
        <f>IFERROR(MATCH(B1898,EXTRATO_IMPORTADO!$I$5:$I$404,0),"")</f>
        <v/>
      </c>
      <c r="S1898" s="26" t="str">
        <f t="shared" si="88"/>
        <v/>
      </c>
      <c r="T1898" s="26" t="str">
        <f t="shared" si="89"/>
        <v/>
      </c>
    </row>
    <row r="1899" spans="1:20" x14ac:dyDescent="0.3">
      <c r="A1899" s="26" t="str">
        <f>IF(BASE_CAIXA!A1896="","",BASE_CAIXA!A1896)</f>
        <v/>
      </c>
      <c r="B1899" s="26" t="str">
        <f>IF(A1899="","",BASE_CAIXA!AL1896)</f>
        <v/>
      </c>
      <c r="C1899" s="26" t="str">
        <f>IF(A1899="","",BASE_CAIXA!AJ1896)</f>
        <v/>
      </c>
      <c r="D1899" s="26" t="str">
        <f>IF(A1899="","",IF(BASE_CAIXA!C1896="Entrada","Crédito","Débito"))</f>
        <v/>
      </c>
      <c r="E1899" s="26" t="str">
        <f>IF(A1899="","",BASE_CAIXA!AA1896)</f>
        <v/>
      </c>
      <c r="F1899" s="26" t="str">
        <f>IF(A1899="","",BASE_CAIXA!N1896)</f>
        <v/>
      </c>
      <c r="G1899" s="26" t="str">
        <f>IF(A1899="","",BASE_CAIXA!O1896)</f>
        <v/>
      </c>
      <c r="H1899" s="26" t="str">
        <f>IF(A1899="","",BASE_CAIXA!P1896)</f>
        <v/>
      </c>
      <c r="I1899" s="26" t="str">
        <f>IF(A1899="","",IF(BASE_CAIXA!H1896&lt;&gt;"",BASE_CAIXA!H1896,BASE_CAIXA!G1896))</f>
        <v/>
      </c>
      <c r="J1899" s="26" t="str">
        <f>IF(A1899="","",BASE_CAIXA!G1896)</f>
        <v/>
      </c>
      <c r="K1899" s="26" t="str">
        <f>IF(A1899="","",BASE_CAIXA!I1896)</f>
        <v/>
      </c>
      <c r="L1899" s="26" t="str">
        <f>IF(A1899="","",BASE_CAIXA!J1896)</f>
        <v/>
      </c>
      <c r="M1899" s="26" t="str">
        <f>IF(A1899="","",BASE_CAIXA!AM1896)</f>
        <v/>
      </c>
      <c r="N1899" s="26" t="str">
        <f t="shared" ca="1" si="87"/>
        <v/>
      </c>
      <c r="O1899" s="26" t="str">
        <f>IFERROR(INDEX(EXTRATO_IMPORTADO!$A$5:$A$404,MATCH(B1899,EXTRATO_IMPORTADO!$I$5:$I$404,0)),"")</f>
        <v/>
      </c>
      <c r="P1899" s="26" t="str">
        <f>IFERROR(INDEX(EXTRATO_IMPORTADO!$F$5:$F$404,MATCH(B1899,EXTRATO_IMPORTADO!$I$5:$I$404,0)),"")</f>
        <v/>
      </c>
      <c r="Q1899" s="26" t="str">
        <f>IFERROR(INDEX(EXTRATO_IMPORTADO!$B$5:$B$404,MATCH(B1899,EXTRATO_IMPORTADO!$I$5:$I$404,0)),"")</f>
        <v/>
      </c>
      <c r="R1899" s="26" t="str">
        <f>IFERROR(MATCH(B1899,EXTRATO_IMPORTADO!$I$5:$I$404,0),"")</f>
        <v/>
      </c>
      <c r="S1899" s="26" t="str">
        <f t="shared" si="88"/>
        <v/>
      </c>
      <c r="T1899" s="26" t="str">
        <f t="shared" si="89"/>
        <v/>
      </c>
    </row>
    <row r="1900" spans="1:20" x14ac:dyDescent="0.3">
      <c r="A1900" s="26" t="str">
        <f>IF(BASE_CAIXA!A1897="","",BASE_CAIXA!A1897)</f>
        <v/>
      </c>
      <c r="B1900" s="26" t="str">
        <f>IF(A1900="","",BASE_CAIXA!AL1897)</f>
        <v/>
      </c>
      <c r="C1900" s="26" t="str">
        <f>IF(A1900="","",BASE_CAIXA!AJ1897)</f>
        <v/>
      </c>
      <c r="D1900" s="26" t="str">
        <f>IF(A1900="","",IF(BASE_CAIXA!C1897="Entrada","Crédito","Débito"))</f>
        <v/>
      </c>
      <c r="E1900" s="26" t="str">
        <f>IF(A1900="","",BASE_CAIXA!AA1897)</f>
        <v/>
      </c>
      <c r="F1900" s="26" t="str">
        <f>IF(A1900="","",BASE_CAIXA!N1897)</f>
        <v/>
      </c>
      <c r="G1900" s="26" t="str">
        <f>IF(A1900="","",BASE_CAIXA!O1897)</f>
        <v/>
      </c>
      <c r="H1900" s="26" t="str">
        <f>IF(A1900="","",BASE_CAIXA!P1897)</f>
        <v/>
      </c>
      <c r="I1900" s="26" t="str">
        <f>IF(A1900="","",IF(BASE_CAIXA!H1897&lt;&gt;"",BASE_CAIXA!H1897,BASE_CAIXA!G1897))</f>
        <v/>
      </c>
      <c r="J1900" s="26" t="str">
        <f>IF(A1900="","",BASE_CAIXA!G1897)</f>
        <v/>
      </c>
      <c r="K1900" s="26" t="str">
        <f>IF(A1900="","",BASE_CAIXA!I1897)</f>
        <v/>
      </c>
      <c r="L1900" s="26" t="str">
        <f>IF(A1900="","",BASE_CAIXA!J1897)</f>
        <v/>
      </c>
      <c r="M1900" s="26" t="str">
        <f>IF(A1900="","",BASE_CAIXA!AM1897)</f>
        <v/>
      </c>
      <c r="N1900" s="26" t="str">
        <f t="shared" ca="1" si="87"/>
        <v/>
      </c>
      <c r="O1900" s="26" t="str">
        <f>IFERROR(INDEX(EXTRATO_IMPORTADO!$A$5:$A$404,MATCH(B1900,EXTRATO_IMPORTADO!$I$5:$I$404,0)),"")</f>
        <v/>
      </c>
      <c r="P1900" s="26" t="str">
        <f>IFERROR(INDEX(EXTRATO_IMPORTADO!$F$5:$F$404,MATCH(B1900,EXTRATO_IMPORTADO!$I$5:$I$404,0)),"")</f>
        <v/>
      </c>
      <c r="Q1900" s="26" t="str">
        <f>IFERROR(INDEX(EXTRATO_IMPORTADO!$B$5:$B$404,MATCH(B1900,EXTRATO_IMPORTADO!$I$5:$I$404,0)),"")</f>
        <v/>
      </c>
      <c r="R1900" s="26" t="str">
        <f>IFERROR(MATCH(B1900,EXTRATO_IMPORTADO!$I$5:$I$404,0),"")</f>
        <v/>
      </c>
      <c r="S1900" s="26" t="str">
        <f t="shared" si="88"/>
        <v/>
      </c>
      <c r="T1900" s="26" t="str">
        <f t="shared" si="89"/>
        <v/>
      </c>
    </row>
    <row r="1901" spans="1:20" x14ac:dyDescent="0.3">
      <c r="A1901" s="26" t="str">
        <f>IF(BASE_CAIXA!A1898="","",BASE_CAIXA!A1898)</f>
        <v/>
      </c>
      <c r="B1901" s="26" t="str">
        <f>IF(A1901="","",BASE_CAIXA!AL1898)</f>
        <v/>
      </c>
      <c r="C1901" s="26" t="str">
        <f>IF(A1901="","",BASE_CAIXA!AJ1898)</f>
        <v/>
      </c>
      <c r="D1901" s="26" t="str">
        <f>IF(A1901="","",IF(BASE_CAIXA!C1898="Entrada","Crédito","Débito"))</f>
        <v/>
      </c>
      <c r="E1901" s="26" t="str">
        <f>IF(A1901="","",BASE_CAIXA!AA1898)</f>
        <v/>
      </c>
      <c r="F1901" s="26" t="str">
        <f>IF(A1901="","",BASE_CAIXA!N1898)</f>
        <v/>
      </c>
      <c r="G1901" s="26" t="str">
        <f>IF(A1901="","",BASE_CAIXA!O1898)</f>
        <v/>
      </c>
      <c r="H1901" s="26" t="str">
        <f>IF(A1901="","",BASE_CAIXA!P1898)</f>
        <v/>
      </c>
      <c r="I1901" s="26" t="str">
        <f>IF(A1901="","",IF(BASE_CAIXA!H1898&lt;&gt;"",BASE_CAIXA!H1898,BASE_CAIXA!G1898))</f>
        <v/>
      </c>
      <c r="J1901" s="26" t="str">
        <f>IF(A1901="","",BASE_CAIXA!G1898)</f>
        <v/>
      </c>
      <c r="K1901" s="26" t="str">
        <f>IF(A1901="","",BASE_CAIXA!I1898)</f>
        <v/>
      </c>
      <c r="L1901" s="26" t="str">
        <f>IF(A1901="","",BASE_CAIXA!J1898)</f>
        <v/>
      </c>
      <c r="M1901" s="26" t="str">
        <f>IF(A1901="","",BASE_CAIXA!AM1898)</f>
        <v/>
      </c>
      <c r="N1901" s="26" t="str">
        <f t="shared" ca="1" si="87"/>
        <v/>
      </c>
      <c r="O1901" s="26" t="str">
        <f>IFERROR(INDEX(EXTRATO_IMPORTADO!$A$5:$A$404,MATCH(B1901,EXTRATO_IMPORTADO!$I$5:$I$404,0)),"")</f>
        <v/>
      </c>
      <c r="P1901" s="26" t="str">
        <f>IFERROR(INDEX(EXTRATO_IMPORTADO!$F$5:$F$404,MATCH(B1901,EXTRATO_IMPORTADO!$I$5:$I$404,0)),"")</f>
        <v/>
      </c>
      <c r="Q1901" s="26" t="str">
        <f>IFERROR(INDEX(EXTRATO_IMPORTADO!$B$5:$B$404,MATCH(B1901,EXTRATO_IMPORTADO!$I$5:$I$404,0)),"")</f>
        <v/>
      </c>
      <c r="R1901" s="26" t="str">
        <f>IFERROR(MATCH(B1901,EXTRATO_IMPORTADO!$I$5:$I$404,0),"")</f>
        <v/>
      </c>
      <c r="S1901" s="26" t="str">
        <f t="shared" si="88"/>
        <v/>
      </c>
      <c r="T1901" s="26" t="str">
        <f t="shared" si="89"/>
        <v/>
      </c>
    </row>
    <row r="1902" spans="1:20" x14ac:dyDescent="0.3">
      <c r="A1902" s="26" t="str">
        <f>IF(BASE_CAIXA!A1899="","",BASE_CAIXA!A1899)</f>
        <v/>
      </c>
      <c r="B1902" s="26" t="str">
        <f>IF(A1902="","",BASE_CAIXA!AL1899)</f>
        <v/>
      </c>
      <c r="C1902" s="26" t="str">
        <f>IF(A1902="","",BASE_CAIXA!AJ1899)</f>
        <v/>
      </c>
      <c r="D1902" s="26" t="str">
        <f>IF(A1902="","",IF(BASE_CAIXA!C1899="Entrada","Crédito","Débito"))</f>
        <v/>
      </c>
      <c r="E1902" s="26" t="str">
        <f>IF(A1902="","",BASE_CAIXA!AA1899)</f>
        <v/>
      </c>
      <c r="F1902" s="26" t="str">
        <f>IF(A1902="","",BASE_CAIXA!N1899)</f>
        <v/>
      </c>
      <c r="G1902" s="26" t="str">
        <f>IF(A1902="","",BASE_CAIXA!O1899)</f>
        <v/>
      </c>
      <c r="H1902" s="26" t="str">
        <f>IF(A1902="","",BASE_CAIXA!P1899)</f>
        <v/>
      </c>
      <c r="I1902" s="26" t="str">
        <f>IF(A1902="","",IF(BASE_CAIXA!H1899&lt;&gt;"",BASE_CAIXA!H1899,BASE_CAIXA!G1899))</f>
        <v/>
      </c>
      <c r="J1902" s="26" t="str">
        <f>IF(A1902="","",BASE_CAIXA!G1899)</f>
        <v/>
      </c>
      <c r="K1902" s="26" t="str">
        <f>IF(A1902="","",BASE_CAIXA!I1899)</f>
        <v/>
      </c>
      <c r="L1902" s="26" t="str">
        <f>IF(A1902="","",BASE_CAIXA!J1899)</f>
        <v/>
      </c>
      <c r="M1902" s="26" t="str">
        <f>IF(A1902="","",BASE_CAIXA!AM1899)</f>
        <v/>
      </c>
      <c r="N1902" s="26" t="str">
        <f t="shared" ca="1" si="87"/>
        <v/>
      </c>
      <c r="O1902" s="26" t="str">
        <f>IFERROR(INDEX(EXTRATO_IMPORTADO!$A$5:$A$404,MATCH(B1902,EXTRATO_IMPORTADO!$I$5:$I$404,0)),"")</f>
        <v/>
      </c>
      <c r="P1902" s="26" t="str">
        <f>IFERROR(INDEX(EXTRATO_IMPORTADO!$F$5:$F$404,MATCH(B1902,EXTRATO_IMPORTADO!$I$5:$I$404,0)),"")</f>
        <v/>
      </c>
      <c r="Q1902" s="26" t="str">
        <f>IFERROR(INDEX(EXTRATO_IMPORTADO!$B$5:$B$404,MATCH(B1902,EXTRATO_IMPORTADO!$I$5:$I$404,0)),"")</f>
        <v/>
      </c>
      <c r="R1902" s="26" t="str">
        <f>IFERROR(MATCH(B1902,EXTRATO_IMPORTADO!$I$5:$I$404,0),"")</f>
        <v/>
      </c>
      <c r="S1902" s="26" t="str">
        <f t="shared" si="88"/>
        <v/>
      </c>
      <c r="T1902" s="26" t="str">
        <f t="shared" si="89"/>
        <v/>
      </c>
    </row>
    <row r="1903" spans="1:20" x14ac:dyDescent="0.3">
      <c r="A1903" s="26" t="str">
        <f>IF(BASE_CAIXA!A1900="","",BASE_CAIXA!A1900)</f>
        <v/>
      </c>
      <c r="B1903" s="26" t="str">
        <f>IF(A1903="","",BASE_CAIXA!AL1900)</f>
        <v/>
      </c>
      <c r="C1903" s="26" t="str">
        <f>IF(A1903="","",BASE_CAIXA!AJ1900)</f>
        <v/>
      </c>
      <c r="D1903" s="26" t="str">
        <f>IF(A1903="","",IF(BASE_CAIXA!C1900="Entrada","Crédito","Débito"))</f>
        <v/>
      </c>
      <c r="E1903" s="26" t="str">
        <f>IF(A1903="","",BASE_CAIXA!AA1900)</f>
        <v/>
      </c>
      <c r="F1903" s="26" t="str">
        <f>IF(A1903="","",BASE_CAIXA!N1900)</f>
        <v/>
      </c>
      <c r="G1903" s="26" t="str">
        <f>IF(A1903="","",BASE_CAIXA!O1900)</f>
        <v/>
      </c>
      <c r="H1903" s="26" t="str">
        <f>IF(A1903="","",BASE_CAIXA!P1900)</f>
        <v/>
      </c>
      <c r="I1903" s="26" t="str">
        <f>IF(A1903="","",IF(BASE_CAIXA!H1900&lt;&gt;"",BASE_CAIXA!H1900,BASE_CAIXA!G1900))</f>
        <v/>
      </c>
      <c r="J1903" s="26" t="str">
        <f>IF(A1903="","",BASE_CAIXA!G1900)</f>
        <v/>
      </c>
      <c r="K1903" s="26" t="str">
        <f>IF(A1903="","",BASE_CAIXA!I1900)</f>
        <v/>
      </c>
      <c r="L1903" s="26" t="str">
        <f>IF(A1903="","",BASE_CAIXA!J1900)</f>
        <v/>
      </c>
      <c r="M1903" s="26" t="str">
        <f>IF(A1903="","",BASE_CAIXA!AM1900)</f>
        <v/>
      </c>
      <c r="N1903" s="26" t="str">
        <f t="shared" ca="1" si="87"/>
        <v/>
      </c>
      <c r="O1903" s="26" t="str">
        <f>IFERROR(INDEX(EXTRATO_IMPORTADO!$A$5:$A$404,MATCH(B1903,EXTRATO_IMPORTADO!$I$5:$I$404,0)),"")</f>
        <v/>
      </c>
      <c r="P1903" s="26" t="str">
        <f>IFERROR(INDEX(EXTRATO_IMPORTADO!$F$5:$F$404,MATCH(B1903,EXTRATO_IMPORTADO!$I$5:$I$404,0)),"")</f>
        <v/>
      </c>
      <c r="Q1903" s="26" t="str">
        <f>IFERROR(INDEX(EXTRATO_IMPORTADO!$B$5:$B$404,MATCH(B1903,EXTRATO_IMPORTADO!$I$5:$I$404,0)),"")</f>
        <v/>
      </c>
      <c r="R1903" s="26" t="str">
        <f>IFERROR(MATCH(B1903,EXTRATO_IMPORTADO!$I$5:$I$404,0),"")</f>
        <v/>
      </c>
      <c r="S1903" s="26" t="str">
        <f t="shared" si="88"/>
        <v/>
      </c>
      <c r="T1903" s="26" t="str">
        <f t="shared" si="89"/>
        <v/>
      </c>
    </row>
    <row r="1904" spans="1:20" x14ac:dyDescent="0.3">
      <c r="A1904" s="26" t="str">
        <f>IF(BASE_CAIXA!A1901="","",BASE_CAIXA!A1901)</f>
        <v/>
      </c>
      <c r="B1904" s="26" t="str">
        <f>IF(A1904="","",BASE_CAIXA!AL1901)</f>
        <v/>
      </c>
      <c r="C1904" s="26" t="str">
        <f>IF(A1904="","",BASE_CAIXA!AJ1901)</f>
        <v/>
      </c>
      <c r="D1904" s="26" t="str">
        <f>IF(A1904="","",IF(BASE_CAIXA!C1901="Entrada","Crédito","Débito"))</f>
        <v/>
      </c>
      <c r="E1904" s="26" t="str">
        <f>IF(A1904="","",BASE_CAIXA!AA1901)</f>
        <v/>
      </c>
      <c r="F1904" s="26" t="str">
        <f>IF(A1904="","",BASE_CAIXA!N1901)</f>
        <v/>
      </c>
      <c r="G1904" s="26" t="str">
        <f>IF(A1904="","",BASE_CAIXA!O1901)</f>
        <v/>
      </c>
      <c r="H1904" s="26" t="str">
        <f>IF(A1904="","",BASE_CAIXA!P1901)</f>
        <v/>
      </c>
      <c r="I1904" s="26" t="str">
        <f>IF(A1904="","",IF(BASE_CAIXA!H1901&lt;&gt;"",BASE_CAIXA!H1901,BASE_CAIXA!G1901))</f>
        <v/>
      </c>
      <c r="J1904" s="26" t="str">
        <f>IF(A1904="","",BASE_CAIXA!G1901)</f>
        <v/>
      </c>
      <c r="K1904" s="26" t="str">
        <f>IF(A1904="","",BASE_CAIXA!I1901)</f>
        <v/>
      </c>
      <c r="L1904" s="26" t="str">
        <f>IF(A1904="","",BASE_CAIXA!J1901)</f>
        <v/>
      </c>
      <c r="M1904" s="26" t="str">
        <f>IF(A1904="","",BASE_CAIXA!AM1901)</f>
        <v/>
      </c>
      <c r="N1904" s="26" t="str">
        <f t="shared" ca="1" si="87"/>
        <v/>
      </c>
      <c r="O1904" s="26" t="str">
        <f>IFERROR(INDEX(EXTRATO_IMPORTADO!$A$5:$A$404,MATCH(B1904,EXTRATO_IMPORTADO!$I$5:$I$404,0)),"")</f>
        <v/>
      </c>
      <c r="P1904" s="26" t="str">
        <f>IFERROR(INDEX(EXTRATO_IMPORTADO!$F$5:$F$404,MATCH(B1904,EXTRATO_IMPORTADO!$I$5:$I$404,0)),"")</f>
        <v/>
      </c>
      <c r="Q1904" s="26" t="str">
        <f>IFERROR(INDEX(EXTRATO_IMPORTADO!$B$5:$B$404,MATCH(B1904,EXTRATO_IMPORTADO!$I$5:$I$404,0)),"")</f>
        <v/>
      </c>
      <c r="R1904" s="26" t="str">
        <f>IFERROR(MATCH(B1904,EXTRATO_IMPORTADO!$I$5:$I$404,0),"")</f>
        <v/>
      </c>
      <c r="S1904" s="26" t="str">
        <f t="shared" si="88"/>
        <v/>
      </c>
      <c r="T1904" s="26" t="str">
        <f t="shared" si="89"/>
        <v/>
      </c>
    </row>
    <row r="1905" spans="1:20" x14ac:dyDescent="0.3">
      <c r="A1905" s="26" t="str">
        <f>IF(BASE_CAIXA!A1902="","",BASE_CAIXA!A1902)</f>
        <v/>
      </c>
      <c r="B1905" s="26" t="str">
        <f>IF(A1905="","",BASE_CAIXA!AL1902)</f>
        <v/>
      </c>
      <c r="C1905" s="26" t="str">
        <f>IF(A1905="","",BASE_CAIXA!AJ1902)</f>
        <v/>
      </c>
      <c r="D1905" s="26" t="str">
        <f>IF(A1905="","",IF(BASE_CAIXA!C1902="Entrada","Crédito","Débito"))</f>
        <v/>
      </c>
      <c r="E1905" s="26" t="str">
        <f>IF(A1905="","",BASE_CAIXA!AA1902)</f>
        <v/>
      </c>
      <c r="F1905" s="26" t="str">
        <f>IF(A1905="","",BASE_CAIXA!N1902)</f>
        <v/>
      </c>
      <c r="G1905" s="26" t="str">
        <f>IF(A1905="","",BASE_CAIXA!O1902)</f>
        <v/>
      </c>
      <c r="H1905" s="26" t="str">
        <f>IF(A1905="","",BASE_CAIXA!P1902)</f>
        <v/>
      </c>
      <c r="I1905" s="26" t="str">
        <f>IF(A1905="","",IF(BASE_CAIXA!H1902&lt;&gt;"",BASE_CAIXA!H1902,BASE_CAIXA!G1902))</f>
        <v/>
      </c>
      <c r="J1905" s="26" t="str">
        <f>IF(A1905="","",BASE_CAIXA!G1902)</f>
        <v/>
      </c>
      <c r="K1905" s="26" t="str">
        <f>IF(A1905="","",BASE_CAIXA!I1902)</f>
        <v/>
      </c>
      <c r="L1905" s="26" t="str">
        <f>IF(A1905="","",BASE_CAIXA!J1902)</f>
        <v/>
      </c>
      <c r="M1905" s="26" t="str">
        <f>IF(A1905="","",BASE_CAIXA!AM1902)</f>
        <v/>
      </c>
      <c r="N1905" s="26" t="str">
        <f t="shared" ca="1" si="87"/>
        <v/>
      </c>
      <c r="O1905" s="26" t="str">
        <f>IFERROR(INDEX(EXTRATO_IMPORTADO!$A$5:$A$404,MATCH(B1905,EXTRATO_IMPORTADO!$I$5:$I$404,0)),"")</f>
        <v/>
      </c>
      <c r="P1905" s="26" t="str">
        <f>IFERROR(INDEX(EXTRATO_IMPORTADO!$F$5:$F$404,MATCH(B1905,EXTRATO_IMPORTADO!$I$5:$I$404,0)),"")</f>
        <v/>
      </c>
      <c r="Q1905" s="26" t="str">
        <f>IFERROR(INDEX(EXTRATO_IMPORTADO!$B$5:$B$404,MATCH(B1905,EXTRATO_IMPORTADO!$I$5:$I$404,0)),"")</f>
        <v/>
      </c>
      <c r="R1905" s="26" t="str">
        <f>IFERROR(MATCH(B1905,EXTRATO_IMPORTADO!$I$5:$I$404,0),"")</f>
        <v/>
      </c>
      <c r="S1905" s="26" t="str">
        <f t="shared" si="88"/>
        <v/>
      </c>
      <c r="T1905" s="26" t="str">
        <f t="shared" si="89"/>
        <v/>
      </c>
    </row>
    <row r="1906" spans="1:20" x14ac:dyDescent="0.3">
      <c r="A1906" s="26" t="str">
        <f>IF(BASE_CAIXA!A1903="","",BASE_CAIXA!A1903)</f>
        <v/>
      </c>
      <c r="B1906" s="26" t="str">
        <f>IF(A1906="","",BASE_CAIXA!AL1903)</f>
        <v/>
      </c>
      <c r="C1906" s="26" t="str">
        <f>IF(A1906="","",BASE_CAIXA!AJ1903)</f>
        <v/>
      </c>
      <c r="D1906" s="26" t="str">
        <f>IF(A1906="","",IF(BASE_CAIXA!C1903="Entrada","Crédito","Débito"))</f>
        <v/>
      </c>
      <c r="E1906" s="26" t="str">
        <f>IF(A1906="","",BASE_CAIXA!AA1903)</f>
        <v/>
      </c>
      <c r="F1906" s="26" t="str">
        <f>IF(A1906="","",BASE_CAIXA!N1903)</f>
        <v/>
      </c>
      <c r="G1906" s="26" t="str">
        <f>IF(A1906="","",BASE_CAIXA!O1903)</f>
        <v/>
      </c>
      <c r="H1906" s="26" t="str">
        <f>IF(A1906="","",BASE_CAIXA!P1903)</f>
        <v/>
      </c>
      <c r="I1906" s="26" t="str">
        <f>IF(A1906="","",IF(BASE_CAIXA!H1903&lt;&gt;"",BASE_CAIXA!H1903,BASE_CAIXA!G1903))</f>
        <v/>
      </c>
      <c r="J1906" s="26" t="str">
        <f>IF(A1906="","",BASE_CAIXA!G1903)</f>
        <v/>
      </c>
      <c r="K1906" s="26" t="str">
        <f>IF(A1906="","",BASE_CAIXA!I1903)</f>
        <v/>
      </c>
      <c r="L1906" s="26" t="str">
        <f>IF(A1906="","",BASE_CAIXA!J1903)</f>
        <v/>
      </c>
      <c r="M1906" s="26" t="str">
        <f>IF(A1906="","",BASE_CAIXA!AM1903)</f>
        <v/>
      </c>
      <c r="N1906" s="26" t="str">
        <f t="shared" ca="1" si="87"/>
        <v/>
      </c>
      <c r="O1906" s="26" t="str">
        <f>IFERROR(INDEX(EXTRATO_IMPORTADO!$A$5:$A$404,MATCH(B1906,EXTRATO_IMPORTADO!$I$5:$I$404,0)),"")</f>
        <v/>
      </c>
      <c r="P1906" s="26" t="str">
        <f>IFERROR(INDEX(EXTRATO_IMPORTADO!$F$5:$F$404,MATCH(B1906,EXTRATO_IMPORTADO!$I$5:$I$404,0)),"")</f>
        <v/>
      </c>
      <c r="Q1906" s="26" t="str">
        <f>IFERROR(INDEX(EXTRATO_IMPORTADO!$B$5:$B$404,MATCH(B1906,EXTRATO_IMPORTADO!$I$5:$I$404,0)),"")</f>
        <v/>
      </c>
      <c r="R1906" s="26" t="str">
        <f>IFERROR(MATCH(B1906,EXTRATO_IMPORTADO!$I$5:$I$404,0),"")</f>
        <v/>
      </c>
      <c r="S1906" s="26" t="str">
        <f t="shared" si="88"/>
        <v/>
      </c>
      <c r="T1906" s="26" t="str">
        <f t="shared" si="89"/>
        <v/>
      </c>
    </row>
    <row r="1907" spans="1:20" x14ac:dyDescent="0.3">
      <c r="A1907" s="26" t="str">
        <f>IF(BASE_CAIXA!A1904="","",BASE_CAIXA!A1904)</f>
        <v/>
      </c>
      <c r="B1907" s="26" t="str">
        <f>IF(A1907="","",BASE_CAIXA!AL1904)</f>
        <v/>
      </c>
      <c r="C1907" s="26" t="str">
        <f>IF(A1907="","",BASE_CAIXA!AJ1904)</f>
        <v/>
      </c>
      <c r="D1907" s="26" t="str">
        <f>IF(A1907="","",IF(BASE_CAIXA!C1904="Entrada","Crédito","Débito"))</f>
        <v/>
      </c>
      <c r="E1907" s="26" t="str">
        <f>IF(A1907="","",BASE_CAIXA!AA1904)</f>
        <v/>
      </c>
      <c r="F1907" s="26" t="str">
        <f>IF(A1907="","",BASE_CAIXA!N1904)</f>
        <v/>
      </c>
      <c r="G1907" s="26" t="str">
        <f>IF(A1907="","",BASE_CAIXA!O1904)</f>
        <v/>
      </c>
      <c r="H1907" s="26" t="str">
        <f>IF(A1907="","",BASE_CAIXA!P1904)</f>
        <v/>
      </c>
      <c r="I1907" s="26" t="str">
        <f>IF(A1907="","",IF(BASE_CAIXA!H1904&lt;&gt;"",BASE_CAIXA!H1904,BASE_CAIXA!G1904))</f>
        <v/>
      </c>
      <c r="J1907" s="26" t="str">
        <f>IF(A1907="","",BASE_CAIXA!G1904)</f>
        <v/>
      </c>
      <c r="K1907" s="26" t="str">
        <f>IF(A1907="","",BASE_CAIXA!I1904)</f>
        <v/>
      </c>
      <c r="L1907" s="26" t="str">
        <f>IF(A1907="","",BASE_CAIXA!J1904)</f>
        <v/>
      </c>
      <c r="M1907" s="26" t="str">
        <f>IF(A1907="","",BASE_CAIXA!AM1904)</f>
        <v/>
      </c>
      <c r="N1907" s="26" t="str">
        <f t="shared" ca="1" si="87"/>
        <v/>
      </c>
      <c r="O1907" s="26" t="str">
        <f>IFERROR(INDEX(EXTRATO_IMPORTADO!$A$5:$A$404,MATCH(B1907,EXTRATO_IMPORTADO!$I$5:$I$404,0)),"")</f>
        <v/>
      </c>
      <c r="P1907" s="26" t="str">
        <f>IFERROR(INDEX(EXTRATO_IMPORTADO!$F$5:$F$404,MATCH(B1907,EXTRATO_IMPORTADO!$I$5:$I$404,0)),"")</f>
        <v/>
      </c>
      <c r="Q1907" s="26" t="str">
        <f>IFERROR(INDEX(EXTRATO_IMPORTADO!$B$5:$B$404,MATCH(B1907,EXTRATO_IMPORTADO!$I$5:$I$404,0)),"")</f>
        <v/>
      </c>
      <c r="R1907" s="26" t="str">
        <f>IFERROR(MATCH(B1907,EXTRATO_IMPORTADO!$I$5:$I$404,0),"")</f>
        <v/>
      </c>
      <c r="S1907" s="26" t="str">
        <f t="shared" si="88"/>
        <v/>
      </c>
      <c r="T1907" s="26" t="str">
        <f t="shared" si="89"/>
        <v/>
      </c>
    </row>
    <row r="1908" spans="1:20" x14ac:dyDescent="0.3">
      <c r="A1908" s="26" t="str">
        <f>IF(BASE_CAIXA!A1905="","",BASE_CAIXA!A1905)</f>
        <v/>
      </c>
      <c r="B1908" s="26" t="str">
        <f>IF(A1908="","",BASE_CAIXA!AL1905)</f>
        <v/>
      </c>
      <c r="C1908" s="26" t="str">
        <f>IF(A1908="","",BASE_CAIXA!AJ1905)</f>
        <v/>
      </c>
      <c r="D1908" s="26" t="str">
        <f>IF(A1908="","",IF(BASE_CAIXA!C1905="Entrada","Crédito","Débito"))</f>
        <v/>
      </c>
      <c r="E1908" s="26" t="str">
        <f>IF(A1908="","",BASE_CAIXA!AA1905)</f>
        <v/>
      </c>
      <c r="F1908" s="26" t="str">
        <f>IF(A1908="","",BASE_CAIXA!N1905)</f>
        <v/>
      </c>
      <c r="G1908" s="26" t="str">
        <f>IF(A1908="","",BASE_CAIXA!O1905)</f>
        <v/>
      </c>
      <c r="H1908" s="26" t="str">
        <f>IF(A1908="","",BASE_CAIXA!P1905)</f>
        <v/>
      </c>
      <c r="I1908" s="26" t="str">
        <f>IF(A1908="","",IF(BASE_CAIXA!H1905&lt;&gt;"",BASE_CAIXA!H1905,BASE_CAIXA!G1905))</f>
        <v/>
      </c>
      <c r="J1908" s="26" t="str">
        <f>IF(A1908="","",BASE_CAIXA!G1905)</f>
        <v/>
      </c>
      <c r="K1908" s="26" t="str">
        <f>IF(A1908="","",BASE_CAIXA!I1905)</f>
        <v/>
      </c>
      <c r="L1908" s="26" t="str">
        <f>IF(A1908="","",BASE_CAIXA!J1905)</f>
        <v/>
      </c>
      <c r="M1908" s="26" t="str">
        <f>IF(A1908="","",BASE_CAIXA!AM1905)</f>
        <v/>
      </c>
      <c r="N1908" s="26" t="str">
        <f t="shared" ca="1" si="87"/>
        <v/>
      </c>
      <c r="O1908" s="26" t="str">
        <f>IFERROR(INDEX(EXTRATO_IMPORTADO!$A$5:$A$404,MATCH(B1908,EXTRATO_IMPORTADO!$I$5:$I$404,0)),"")</f>
        <v/>
      </c>
      <c r="P1908" s="26" t="str">
        <f>IFERROR(INDEX(EXTRATO_IMPORTADO!$F$5:$F$404,MATCH(B1908,EXTRATO_IMPORTADO!$I$5:$I$404,0)),"")</f>
        <v/>
      </c>
      <c r="Q1908" s="26" t="str">
        <f>IFERROR(INDEX(EXTRATO_IMPORTADO!$B$5:$B$404,MATCH(B1908,EXTRATO_IMPORTADO!$I$5:$I$404,0)),"")</f>
        <v/>
      </c>
      <c r="R1908" s="26" t="str">
        <f>IFERROR(MATCH(B1908,EXTRATO_IMPORTADO!$I$5:$I$404,0),"")</f>
        <v/>
      </c>
      <c r="S1908" s="26" t="str">
        <f t="shared" si="88"/>
        <v/>
      </c>
      <c r="T1908" s="26" t="str">
        <f t="shared" si="89"/>
        <v/>
      </c>
    </row>
    <row r="1909" spans="1:20" x14ac:dyDescent="0.3">
      <c r="A1909" s="26" t="str">
        <f>IF(BASE_CAIXA!A1906="","",BASE_CAIXA!A1906)</f>
        <v/>
      </c>
      <c r="B1909" s="26" t="str">
        <f>IF(A1909="","",BASE_CAIXA!AL1906)</f>
        <v/>
      </c>
      <c r="C1909" s="26" t="str">
        <f>IF(A1909="","",BASE_CAIXA!AJ1906)</f>
        <v/>
      </c>
      <c r="D1909" s="26" t="str">
        <f>IF(A1909="","",IF(BASE_CAIXA!C1906="Entrada","Crédito","Débito"))</f>
        <v/>
      </c>
      <c r="E1909" s="26" t="str">
        <f>IF(A1909="","",BASE_CAIXA!AA1906)</f>
        <v/>
      </c>
      <c r="F1909" s="26" t="str">
        <f>IF(A1909="","",BASE_CAIXA!N1906)</f>
        <v/>
      </c>
      <c r="G1909" s="26" t="str">
        <f>IF(A1909="","",BASE_CAIXA!O1906)</f>
        <v/>
      </c>
      <c r="H1909" s="26" t="str">
        <f>IF(A1909="","",BASE_CAIXA!P1906)</f>
        <v/>
      </c>
      <c r="I1909" s="26" t="str">
        <f>IF(A1909="","",IF(BASE_CAIXA!H1906&lt;&gt;"",BASE_CAIXA!H1906,BASE_CAIXA!G1906))</f>
        <v/>
      </c>
      <c r="J1909" s="26" t="str">
        <f>IF(A1909="","",BASE_CAIXA!G1906)</f>
        <v/>
      </c>
      <c r="K1909" s="26" t="str">
        <f>IF(A1909="","",BASE_CAIXA!I1906)</f>
        <v/>
      </c>
      <c r="L1909" s="26" t="str">
        <f>IF(A1909="","",BASE_CAIXA!J1906)</f>
        <v/>
      </c>
      <c r="M1909" s="26" t="str">
        <f>IF(A1909="","",BASE_CAIXA!AM1906)</f>
        <v/>
      </c>
      <c r="N1909" s="26" t="str">
        <f t="shared" ca="1" si="87"/>
        <v/>
      </c>
      <c r="O1909" s="26" t="str">
        <f>IFERROR(INDEX(EXTRATO_IMPORTADO!$A$5:$A$404,MATCH(B1909,EXTRATO_IMPORTADO!$I$5:$I$404,0)),"")</f>
        <v/>
      </c>
      <c r="P1909" s="26" t="str">
        <f>IFERROR(INDEX(EXTRATO_IMPORTADO!$F$5:$F$404,MATCH(B1909,EXTRATO_IMPORTADO!$I$5:$I$404,0)),"")</f>
        <v/>
      </c>
      <c r="Q1909" s="26" t="str">
        <f>IFERROR(INDEX(EXTRATO_IMPORTADO!$B$5:$B$404,MATCH(B1909,EXTRATO_IMPORTADO!$I$5:$I$404,0)),"")</f>
        <v/>
      </c>
      <c r="R1909" s="26" t="str">
        <f>IFERROR(MATCH(B1909,EXTRATO_IMPORTADO!$I$5:$I$404,0),"")</f>
        <v/>
      </c>
      <c r="S1909" s="26" t="str">
        <f t="shared" si="88"/>
        <v/>
      </c>
      <c r="T1909" s="26" t="str">
        <f t="shared" si="89"/>
        <v/>
      </c>
    </row>
    <row r="1910" spans="1:20" x14ac:dyDescent="0.3">
      <c r="A1910" s="26" t="str">
        <f>IF(BASE_CAIXA!A1907="","",BASE_CAIXA!A1907)</f>
        <v/>
      </c>
      <c r="B1910" s="26" t="str">
        <f>IF(A1910="","",BASE_CAIXA!AL1907)</f>
        <v/>
      </c>
      <c r="C1910" s="26" t="str">
        <f>IF(A1910="","",BASE_CAIXA!AJ1907)</f>
        <v/>
      </c>
      <c r="D1910" s="26" t="str">
        <f>IF(A1910="","",IF(BASE_CAIXA!C1907="Entrada","Crédito","Débito"))</f>
        <v/>
      </c>
      <c r="E1910" s="26" t="str">
        <f>IF(A1910="","",BASE_CAIXA!AA1907)</f>
        <v/>
      </c>
      <c r="F1910" s="26" t="str">
        <f>IF(A1910="","",BASE_CAIXA!N1907)</f>
        <v/>
      </c>
      <c r="G1910" s="26" t="str">
        <f>IF(A1910="","",BASE_CAIXA!O1907)</f>
        <v/>
      </c>
      <c r="H1910" s="26" t="str">
        <f>IF(A1910="","",BASE_CAIXA!P1907)</f>
        <v/>
      </c>
      <c r="I1910" s="26" t="str">
        <f>IF(A1910="","",IF(BASE_CAIXA!H1907&lt;&gt;"",BASE_CAIXA!H1907,BASE_CAIXA!G1907))</f>
        <v/>
      </c>
      <c r="J1910" s="26" t="str">
        <f>IF(A1910="","",BASE_CAIXA!G1907)</f>
        <v/>
      </c>
      <c r="K1910" s="26" t="str">
        <f>IF(A1910="","",BASE_CAIXA!I1907)</f>
        <v/>
      </c>
      <c r="L1910" s="26" t="str">
        <f>IF(A1910="","",BASE_CAIXA!J1907)</f>
        <v/>
      </c>
      <c r="M1910" s="26" t="str">
        <f>IF(A1910="","",BASE_CAIXA!AM1907)</f>
        <v/>
      </c>
      <c r="N1910" s="26" t="str">
        <f t="shared" ca="1" si="87"/>
        <v/>
      </c>
      <c r="O1910" s="26" t="str">
        <f>IFERROR(INDEX(EXTRATO_IMPORTADO!$A$5:$A$404,MATCH(B1910,EXTRATO_IMPORTADO!$I$5:$I$404,0)),"")</f>
        <v/>
      </c>
      <c r="P1910" s="26" t="str">
        <f>IFERROR(INDEX(EXTRATO_IMPORTADO!$F$5:$F$404,MATCH(B1910,EXTRATO_IMPORTADO!$I$5:$I$404,0)),"")</f>
        <v/>
      </c>
      <c r="Q1910" s="26" t="str">
        <f>IFERROR(INDEX(EXTRATO_IMPORTADO!$B$5:$B$404,MATCH(B1910,EXTRATO_IMPORTADO!$I$5:$I$404,0)),"")</f>
        <v/>
      </c>
      <c r="R1910" s="26" t="str">
        <f>IFERROR(MATCH(B1910,EXTRATO_IMPORTADO!$I$5:$I$404,0),"")</f>
        <v/>
      </c>
      <c r="S1910" s="26" t="str">
        <f t="shared" si="88"/>
        <v/>
      </c>
      <c r="T1910" s="26" t="str">
        <f t="shared" si="89"/>
        <v/>
      </c>
    </row>
    <row r="1911" spans="1:20" x14ac:dyDescent="0.3">
      <c r="A1911" s="26" t="str">
        <f>IF(BASE_CAIXA!A1908="","",BASE_CAIXA!A1908)</f>
        <v/>
      </c>
      <c r="B1911" s="26" t="str">
        <f>IF(A1911="","",BASE_CAIXA!AL1908)</f>
        <v/>
      </c>
      <c r="C1911" s="26" t="str">
        <f>IF(A1911="","",BASE_CAIXA!AJ1908)</f>
        <v/>
      </c>
      <c r="D1911" s="26" t="str">
        <f>IF(A1911="","",IF(BASE_CAIXA!C1908="Entrada","Crédito","Débito"))</f>
        <v/>
      </c>
      <c r="E1911" s="26" t="str">
        <f>IF(A1911="","",BASE_CAIXA!AA1908)</f>
        <v/>
      </c>
      <c r="F1911" s="26" t="str">
        <f>IF(A1911="","",BASE_CAIXA!N1908)</f>
        <v/>
      </c>
      <c r="G1911" s="26" t="str">
        <f>IF(A1911="","",BASE_CAIXA!O1908)</f>
        <v/>
      </c>
      <c r="H1911" s="26" t="str">
        <f>IF(A1911="","",BASE_CAIXA!P1908)</f>
        <v/>
      </c>
      <c r="I1911" s="26" t="str">
        <f>IF(A1911="","",IF(BASE_CAIXA!H1908&lt;&gt;"",BASE_CAIXA!H1908,BASE_CAIXA!G1908))</f>
        <v/>
      </c>
      <c r="J1911" s="26" t="str">
        <f>IF(A1911="","",BASE_CAIXA!G1908)</f>
        <v/>
      </c>
      <c r="K1911" s="26" t="str">
        <f>IF(A1911="","",BASE_CAIXA!I1908)</f>
        <v/>
      </c>
      <c r="L1911" s="26" t="str">
        <f>IF(A1911="","",BASE_CAIXA!J1908)</f>
        <v/>
      </c>
      <c r="M1911" s="26" t="str">
        <f>IF(A1911="","",BASE_CAIXA!AM1908)</f>
        <v/>
      </c>
      <c r="N1911" s="26" t="str">
        <f t="shared" ca="1" si="87"/>
        <v/>
      </c>
      <c r="O1911" s="26" t="str">
        <f>IFERROR(INDEX(EXTRATO_IMPORTADO!$A$5:$A$404,MATCH(B1911,EXTRATO_IMPORTADO!$I$5:$I$404,0)),"")</f>
        <v/>
      </c>
      <c r="P1911" s="26" t="str">
        <f>IFERROR(INDEX(EXTRATO_IMPORTADO!$F$5:$F$404,MATCH(B1911,EXTRATO_IMPORTADO!$I$5:$I$404,0)),"")</f>
        <v/>
      </c>
      <c r="Q1911" s="26" t="str">
        <f>IFERROR(INDEX(EXTRATO_IMPORTADO!$B$5:$B$404,MATCH(B1911,EXTRATO_IMPORTADO!$I$5:$I$404,0)),"")</f>
        <v/>
      </c>
      <c r="R1911" s="26" t="str">
        <f>IFERROR(MATCH(B1911,EXTRATO_IMPORTADO!$I$5:$I$404,0),"")</f>
        <v/>
      </c>
      <c r="S1911" s="26" t="str">
        <f t="shared" si="88"/>
        <v/>
      </c>
      <c r="T1911" s="26" t="str">
        <f t="shared" si="89"/>
        <v/>
      </c>
    </row>
    <row r="1912" spans="1:20" x14ac:dyDescent="0.3">
      <c r="A1912" s="26" t="str">
        <f>IF(BASE_CAIXA!A1909="","",BASE_CAIXA!A1909)</f>
        <v/>
      </c>
      <c r="B1912" s="26" t="str">
        <f>IF(A1912="","",BASE_CAIXA!AL1909)</f>
        <v/>
      </c>
      <c r="C1912" s="26" t="str">
        <f>IF(A1912="","",BASE_CAIXA!AJ1909)</f>
        <v/>
      </c>
      <c r="D1912" s="26" t="str">
        <f>IF(A1912="","",IF(BASE_CAIXA!C1909="Entrada","Crédito","Débito"))</f>
        <v/>
      </c>
      <c r="E1912" s="26" t="str">
        <f>IF(A1912="","",BASE_CAIXA!AA1909)</f>
        <v/>
      </c>
      <c r="F1912" s="26" t="str">
        <f>IF(A1912="","",BASE_CAIXA!N1909)</f>
        <v/>
      </c>
      <c r="G1912" s="26" t="str">
        <f>IF(A1912="","",BASE_CAIXA!O1909)</f>
        <v/>
      </c>
      <c r="H1912" s="26" t="str">
        <f>IF(A1912="","",BASE_CAIXA!P1909)</f>
        <v/>
      </c>
      <c r="I1912" s="26" t="str">
        <f>IF(A1912="","",IF(BASE_CAIXA!H1909&lt;&gt;"",BASE_CAIXA!H1909,BASE_CAIXA!G1909))</f>
        <v/>
      </c>
      <c r="J1912" s="26" t="str">
        <f>IF(A1912="","",BASE_CAIXA!G1909)</f>
        <v/>
      </c>
      <c r="K1912" s="26" t="str">
        <f>IF(A1912="","",BASE_CAIXA!I1909)</f>
        <v/>
      </c>
      <c r="L1912" s="26" t="str">
        <f>IF(A1912="","",BASE_CAIXA!J1909)</f>
        <v/>
      </c>
      <c r="M1912" s="26" t="str">
        <f>IF(A1912="","",BASE_CAIXA!AM1909)</f>
        <v/>
      </c>
      <c r="N1912" s="26" t="str">
        <f t="shared" ca="1" si="87"/>
        <v/>
      </c>
      <c r="O1912" s="26" t="str">
        <f>IFERROR(INDEX(EXTRATO_IMPORTADO!$A$5:$A$404,MATCH(B1912,EXTRATO_IMPORTADO!$I$5:$I$404,0)),"")</f>
        <v/>
      </c>
      <c r="P1912" s="26" t="str">
        <f>IFERROR(INDEX(EXTRATO_IMPORTADO!$F$5:$F$404,MATCH(B1912,EXTRATO_IMPORTADO!$I$5:$I$404,0)),"")</f>
        <v/>
      </c>
      <c r="Q1912" s="26" t="str">
        <f>IFERROR(INDEX(EXTRATO_IMPORTADO!$B$5:$B$404,MATCH(B1912,EXTRATO_IMPORTADO!$I$5:$I$404,0)),"")</f>
        <v/>
      </c>
      <c r="R1912" s="26" t="str">
        <f>IFERROR(MATCH(B1912,EXTRATO_IMPORTADO!$I$5:$I$404,0),"")</f>
        <v/>
      </c>
      <c r="S1912" s="26" t="str">
        <f t="shared" si="88"/>
        <v/>
      </c>
      <c r="T1912" s="26" t="str">
        <f t="shared" si="89"/>
        <v/>
      </c>
    </row>
    <row r="1913" spans="1:20" x14ac:dyDescent="0.3">
      <c r="A1913" s="26" t="str">
        <f>IF(BASE_CAIXA!A1910="","",BASE_CAIXA!A1910)</f>
        <v/>
      </c>
      <c r="B1913" s="26" t="str">
        <f>IF(A1913="","",BASE_CAIXA!AL1910)</f>
        <v/>
      </c>
      <c r="C1913" s="26" t="str">
        <f>IF(A1913="","",BASE_CAIXA!AJ1910)</f>
        <v/>
      </c>
      <c r="D1913" s="26" t="str">
        <f>IF(A1913="","",IF(BASE_CAIXA!C1910="Entrada","Crédito","Débito"))</f>
        <v/>
      </c>
      <c r="E1913" s="26" t="str">
        <f>IF(A1913="","",BASE_CAIXA!AA1910)</f>
        <v/>
      </c>
      <c r="F1913" s="26" t="str">
        <f>IF(A1913="","",BASE_CAIXA!N1910)</f>
        <v/>
      </c>
      <c r="G1913" s="26" t="str">
        <f>IF(A1913="","",BASE_CAIXA!O1910)</f>
        <v/>
      </c>
      <c r="H1913" s="26" t="str">
        <f>IF(A1913="","",BASE_CAIXA!P1910)</f>
        <v/>
      </c>
      <c r="I1913" s="26" t="str">
        <f>IF(A1913="","",IF(BASE_CAIXA!H1910&lt;&gt;"",BASE_CAIXA!H1910,BASE_CAIXA!G1910))</f>
        <v/>
      </c>
      <c r="J1913" s="26" t="str">
        <f>IF(A1913="","",BASE_CAIXA!G1910)</f>
        <v/>
      </c>
      <c r="K1913" s="26" t="str">
        <f>IF(A1913="","",BASE_CAIXA!I1910)</f>
        <v/>
      </c>
      <c r="L1913" s="26" t="str">
        <f>IF(A1913="","",BASE_CAIXA!J1910)</f>
        <v/>
      </c>
      <c r="M1913" s="26" t="str">
        <f>IF(A1913="","",BASE_CAIXA!AM1910)</f>
        <v/>
      </c>
      <c r="N1913" s="26" t="str">
        <f t="shared" ca="1" si="87"/>
        <v/>
      </c>
      <c r="O1913" s="26" t="str">
        <f>IFERROR(INDEX(EXTRATO_IMPORTADO!$A$5:$A$404,MATCH(B1913,EXTRATO_IMPORTADO!$I$5:$I$404,0)),"")</f>
        <v/>
      </c>
      <c r="P1913" s="26" t="str">
        <f>IFERROR(INDEX(EXTRATO_IMPORTADO!$F$5:$F$404,MATCH(B1913,EXTRATO_IMPORTADO!$I$5:$I$404,0)),"")</f>
        <v/>
      </c>
      <c r="Q1913" s="26" t="str">
        <f>IFERROR(INDEX(EXTRATO_IMPORTADO!$B$5:$B$404,MATCH(B1913,EXTRATO_IMPORTADO!$I$5:$I$404,0)),"")</f>
        <v/>
      </c>
      <c r="R1913" s="26" t="str">
        <f>IFERROR(MATCH(B1913,EXTRATO_IMPORTADO!$I$5:$I$404,0),"")</f>
        <v/>
      </c>
      <c r="S1913" s="26" t="str">
        <f t="shared" si="88"/>
        <v/>
      </c>
      <c r="T1913" s="26" t="str">
        <f t="shared" si="89"/>
        <v/>
      </c>
    </row>
    <row r="1914" spans="1:20" x14ac:dyDescent="0.3">
      <c r="A1914" s="26" t="str">
        <f>IF(BASE_CAIXA!A1911="","",BASE_CAIXA!A1911)</f>
        <v/>
      </c>
      <c r="B1914" s="26" t="str">
        <f>IF(A1914="","",BASE_CAIXA!AL1911)</f>
        <v/>
      </c>
      <c r="C1914" s="26" t="str">
        <f>IF(A1914="","",BASE_CAIXA!AJ1911)</f>
        <v/>
      </c>
      <c r="D1914" s="26" t="str">
        <f>IF(A1914="","",IF(BASE_CAIXA!C1911="Entrada","Crédito","Débito"))</f>
        <v/>
      </c>
      <c r="E1914" s="26" t="str">
        <f>IF(A1914="","",BASE_CAIXA!AA1911)</f>
        <v/>
      </c>
      <c r="F1914" s="26" t="str">
        <f>IF(A1914="","",BASE_CAIXA!N1911)</f>
        <v/>
      </c>
      <c r="G1914" s="26" t="str">
        <f>IF(A1914="","",BASE_CAIXA!O1911)</f>
        <v/>
      </c>
      <c r="H1914" s="26" t="str">
        <f>IF(A1914="","",BASE_CAIXA!P1911)</f>
        <v/>
      </c>
      <c r="I1914" s="26" t="str">
        <f>IF(A1914="","",IF(BASE_CAIXA!H1911&lt;&gt;"",BASE_CAIXA!H1911,BASE_CAIXA!G1911))</f>
        <v/>
      </c>
      <c r="J1914" s="26" t="str">
        <f>IF(A1914="","",BASE_CAIXA!G1911)</f>
        <v/>
      </c>
      <c r="K1914" s="26" t="str">
        <f>IF(A1914="","",BASE_CAIXA!I1911)</f>
        <v/>
      </c>
      <c r="L1914" s="26" t="str">
        <f>IF(A1914="","",BASE_CAIXA!J1911)</f>
        <v/>
      </c>
      <c r="M1914" s="26" t="str">
        <f>IF(A1914="","",BASE_CAIXA!AM1911)</f>
        <v/>
      </c>
      <c r="N1914" s="26" t="str">
        <f t="shared" ca="1" si="87"/>
        <v/>
      </c>
      <c r="O1914" s="26" t="str">
        <f>IFERROR(INDEX(EXTRATO_IMPORTADO!$A$5:$A$404,MATCH(B1914,EXTRATO_IMPORTADO!$I$5:$I$404,0)),"")</f>
        <v/>
      </c>
      <c r="P1914" s="26" t="str">
        <f>IFERROR(INDEX(EXTRATO_IMPORTADO!$F$5:$F$404,MATCH(B1914,EXTRATO_IMPORTADO!$I$5:$I$404,0)),"")</f>
        <v/>
      </c>
      <c r="Q1914" s="26" t="str">
        <f>IFERROR(INDEX(EXTRATO_IMPORTADO!$B$5:$B$404,MATCH(B1914,EXTRATO_IMPORTADO!$I$5:$I$404,0)),"")</f>
        <v/>
      </c>
      <c r="R1914" s="26" t="str">
        <f>IFERROR(MATCH(B1914,EXTRATO_IMPORTADO!$I$5:$I$404,0),"")</f>
        <v/>
      </c>
      <c r="S1914" s="26" t="str">
        <f t="shared" si="88"/>
        <v/>
      </c>
      <c r="T1914" s="26" t="str">
        <f t="shared" si="89"/>
        <v/>
      </c>
    </row>
    <row r="1915" spans="1:20" x14ac:dyDescent="0.3">
      <c r="A1915" s="26" t="str">
        <f>IF(BASE_CAIXA!A1912="","",BASE_CAIXA!A1912)</f>
        <v/>
      </c>
      <c r="B1915" s="26" t="str">
        <f>IF(A1915="","",BASE_CAIXA!AL1912)</f>
        <v/>
      </c>
      <c r="C1915" s="26" t="str">
        <f>IF(A1915="","",BASE_CAIXA!AJ1912)</f>
        <v/>
      </c>
      <c r="D1915" s="26" t="str">
        <f>IF(A1915="","",IF(BASE_CAIXA!C1912="Entrada","Crédito","Débito"))</f>
        <v/>
      </c>
      <c r="E1915" s="26" t="str">
        <f>IF(A1915="","",BASE_CAIXA!AA1912)</f>
        <v/>
      </c>
      <c r="F1915" s="26" t="str">
        <f>IF(A1915="","",BASE_CAIXA!N1912)</f>
        <v/>
      </c>
      <c r="G1915" s="26" t="str">
        <f>IF(A1915="","",BASE_CAIXA!O1912)</f>
        <v/>
      </c>
      <c r="H1915" s="26" t="str">
        <f>IF(A1915="","",BASE_CAIXA!P1912)</f>
        <v/>
      </c>
      <c r="I1915" s="26" t="str">
        <f>IF(A1915="","",IF(BASE_CAIXA!H1912&lt;&gt;"",BASE_CAIXA!H1912,BASE_CAIXA!G1912))</f>
        <v/>
      </c>
      <c r="J1915" s="26" t="str">
        <f>IF(A1915="","",BASE_CAIXA!G1912)</f>
        <v/>
      </c>
      <c r="K1915" s="26" t="str">
        <f>IF(A1915="","",BASE_CAIXA!I1912)</f>
        <v/>
      </c>
      <c r="L1915" s="26" t="str">
        <f>IF(A1915="","",BASE_CAIXA!J1912)</f>
        <v/>
      </c>
      <c r="M1915" s="26" t="str">
        <f>IF(A1915="","",BASE_CAIXA!AM1912)</f>
        <v/>
      </c>
      <c r="N1915" s="26" t="str">
        <f t="shared" ca="1" si="87"/>
        <v/>
      </c>
      <c r="O1915" s="26" t="str">
        <f>IFERROR(INDEX(EXTRATO_IMPORTADO!$A$5:$A$404,MATCH(B1915,EXTRATO_IMPORTADO!$I$5:$I$404,0)),"")</f>
        <v/>
      </c>
      <c r="P1915" s="26" t="str">
        <f>IFERROR(INDEX(EXTRATO_IMPORTADO!$F$5:$F$404,MATCH(B1915,EXTRATO_IMPORTADO!$I$5:$I$404,0)),"")</f>
        <v/>
      </c>
      <c r="Q1915" s="26" t="str">
        <f>IFERROR(INDEX(EXTRATO_IMPORTADO!$B$5:$B$404,MATCH(B1915,EXTRATO_IMPORTADO!$I$5:$I$404,0)),"")</f>
        <v/>
      </c>
      <c r="R1915" s="26" t="str">
        <f>IFERROR(MATCH(B1915,EXTRATO_IMPORTADO!$I$5:$I$404,0),"")</f>
        <v/>
      </c>
      <c r="S1915" s="26" t="str">
        <f t="shared" si="88"/>
        <v/>
      </c>
      <c r="T1915" s="26" t="str">
        <f t="shared" si="89"/>
        <v/>
      </c>
    </row>
    <row r="1916" spans="1:20" x14ac:dyDescent="0.3">
      <c r="A1916" s="26" t="str">
        <f>IF(BASE_CAIXA!A1913="","",BASE_CAIXA!A1913)</f>
        <v/>
      </c>
      <c r="B1916" s="26" t="str">
        <f>IF(A1916="","",BASE_CAIXA!AL1913)</f>
        <v/>
      </c>
      <c r="C1916" s="26" t="str">
        <f>IF(A1916="","",BASE_CAIXA!AJ1913)</f>
        <v/>
      </c>
      <c r="D1916" s="26" t="str">
        <f>IF(A1916="","",IF(BASE_CAIXA!C1913="Entrada","Crédito","Débito"))</f>
        <v/>
      </c>
      <c r="E1916" s="26" t="str">
        <f>IF(A1916="","",BASE_CAIXA!AA1913)</f>
        <v/>
      </c>
      <c r="F1916" s="26" t="str">
        <f>IF(A1916="","",BASE_CAIXA!N1913)</f>
        <v/>
      </c>
      <c r="G1916" s="26" t="str">
        <f>IF(A1916="","",BASE_CAIXA!O1913)</f>
        <v/>
      </c>
      <c r="H1916" s="26" t="str">
        <f>IF(A1916="","",BASE_CAIXA!P1913)</f>
        <v/>
      </c>
      <c r="I1916" s="26" t="str">
        <f>IF(A1916="","",IF(BASE_CAIXA!H1913&lt;&gt;"",BASE_CAIXA!H1913,BASE_CAIXA!G1913))</f>
        <v/>
      </c>
      <c r="J1916" s="26" t="str">
        <f>IF(A1916="","",BASE_CAIXA!G1913)</f>
        <v/>
      </c>
      <c r="K1916" s="26" t="str">
        <f>IF(A1916="","",BASE_CAIXA!I1913)</f>
        <v/>
      </c>
      <c r="L1916" s="26" t="str">
        <f>IF(A1916="","",BASE_CAIXA!J1913)</f>
        <v/>
      </c>
      <c r="M1916" s="26" t="str">
        <f>IF(A1916="","",BASE_CAIXA!AM1913)</f>
        <v/>
      </c>
      <c r="N1916" s="26" t="str">
        <f t="shared" ca="1" si="87"/>
        <v/>
      </c>
      <c r="O1916" s="26" t="str">
        <f>IFERROR(INDEX(EXTRATO_IMPORTADO!$A$5:$A$404,MATCH(B1916,EXTRATO_IMPORTADO!$I$5:$I$404,0)),"")</f>
        <v/>
      </c>
      <c r="P1916" s="26" t="str">
        <f>IFERROR(INDEX(EXTRATO_IMPORTADO!$F$5:$F$404,MATCH(B1916,EXTRATO_IMPORTADO!$I$5:$I$404,0)),"")</f>
        <v/>
      </c>
      <c r="Q1916" s="26" t="str">
        <f>IFERROR(INDEX(EXTRATO_IMPORTADO!$B$5:$B$404,MATCH(B1916,EXTRATO_IMPORTADO!$I$5:$I$404,0)),"")</f>
        <v/>
      </c>
      <c r="R1916" s="26" t="str">
        <f>IFERROR(MATCH(B1916,EXTRATO_IMPORTADO!$I$5:$I$404,0),"")</f>
        <v/>
      </c>
      <c r="S1916" s="26" t="str">
        <f t="shared" si="88"/>
        <v/>
      </c>
      <c r="T1916" s="26" t="str">
        <f t="shared" si="89"/>
        <v/>
      </c>
    </row>
    <row r="1917" spans="1:20" x14ac:dyDescent="0.3">
      <c r="A1917" s="26" t="str">
        <f>IF(BASE_CAIXA!A1914="","",BASE_CAIXA!A1914)</f>
        <v/>
      </c>
      <c r="B1917" s="26" t="str">
        <f>IF(A1917="","",BASE_CAIXA!AL1914)</f>
        <v/>
      </c>
      <c r="C1917" s="26" t="str">
        <f>IF(A1917="","",BASE_CAIXA!AJ1914)</f>
        <v/>
      </c>
      <c r="D1917" s="26" t="str">
        <f>IF(A1917="","",IF(BASE_CAIXA!C1914="Entrada","Crédito","Débito"))</f>
        <v/>
      </c>
      <c r="E1917" s="26" t="str">
        <f>IF(A1917="","",BASE_CAIXA!AA1914)</f>
        <v/>
      </c>
      <c r="F1917" s="26" t="str">
        <f>IF(A1917="","",BASE_CAIXA!N1914)</f>
        <v/>
      </c>
      <c r="G1917" s="26" t="str">
        <f>IF(A1917="","",BASE_CAIXA!O1914)</f>
        <v/>
      </c>
      <c r="H1917" s="26" t="str">
        <f>IF(A1917="","",BASE_CAIXA!P1914)</f>
        <v/>
      </c>
      <c r="I1917" s="26" t="str">
        <f>IF(A1917="","",IF(BASE_CAIXA!H1914&lt;&gt;"",BASE_CAIXA!H1914,BASE_CAIXA!G1914))</f>
        <v/>
      </c>
      <c r="J1917" s="26" t="str">
        <f>IF(A1917="","",BASE_CAIXA!G1914)</f>
        <v/>
      </c>
      <c r="K1917" s="26" t="str">
        <f>IF(A1917="","",BASE_CAIXA!I1914)</f>
        <v/>
      </c>
      <c r="L1917" s="26" t="str">
        <f>IF(A1917="","",BASE_CAIXA!J1914)</f>
        <v/>
      </c>
      <c r="M1917" s="26" t="str">
        <f>IF(A1917="","",BASE_CAIXA!AM1914)</f>
        <v/>
      </c>
      <c r="N1917" s="26" t="str">
        <f t="shared" ca="1" si="87"/>
        <v/>
      </c>
      <c r="O1917" s="26" t="str">
        <f>IFERROR(INDEX(EXTRATO_IMPORTADO!$A$5:$A$404,MATCH(B1917,EXTRATO_IMPORTADO!$I$5:$I$404,0)),"")</f>
        <v/>
      </c>
      <c r="P1917" s="26" t="str">
        <f>IFERROR(INDEX(EXTRATO_IMPORTADO!$F$5:$F$404,MATCH(B1917,EXTRATO_IMPORTADO!$I$5:$I$404,0)),"")</f>
        <v/>
      </c>
      <c r="Q1917" s="26" t="str">
        <f>IFERROR(INDEX(EXTRATO_IMPORTADO!$B$5:$B$404,MATCH(B1917,EXTRATO_IMPORTADO!$I$5:$I$404,0)),"")</f>
        <v/>
      </c>
      <c r="R1917" s="26" t="str">
        <f>IFERROR(MATCH(B1917,EXTRATO_IMPORTADO!$I$5:$I$404,0),"")</f>
        <v/>
      </c>
      <c r="S1917" s="26" t="str">
        <f t="shared" si="88"/>
        <v/>
      </c>
      <c r="T1917" s="26" t="str">
        <f t="shared" si="89"/>
        <v/>
      </c>
    </row>
    <row r="1918" spans="1:20" x14ac:dyDescent="0.3">
      <c r="A1918" s="26" t="str">
        <f>IF(BASE_CAIXA!A1915="","",BASE_CAIXA!A1915)</f>
        <v/>
      </c>
      <c r="B1918" s="26" t="str">
        <f>IF(A1918="","",BASE_CAIXA!AL1915)</f>
        <v/>
      </c>
      <c r="C1918" s="26" t="str">
        <f>IF(A1918="","",BASE_CAIXA!AJ1915)</f>
        <v/>
      </c>
      <c r="D1918" s="26" t="str">
        <f>IF(A1918="","",IF(BASE_CAIXA!C1915="Entrada","Crédito","Débito"))</f>
        <v/>
      </c>
      <c r="E1918" s="26" t="str">
        <f>IF(A1918="","",BASE_CAIXA!AA1915)</f>
        <v/>
      </c>
      <c r="F1918" s="26" t="str">
        <f>IF(A1918="","",BASE_CAIXA!N1915)</f>
        <v/>
      </c>
      <c r="G1918" s="26" t="str">
        <f>IF(A1918="","",BASE_CAIXA!O1915)</f>
        <v/>
      </c>
      <c r="H1918" s="26" t="str">
        <f>IF(A1918="","",BASE_CAIXA!P1915)</f>
        <v/>
      </c>
      <c r="I1918" s="26" t="str">
        <f>IF(A1918="","",IF(BASE_CAIXA!H1915&lt;&gt;"",BASE_CAIXA!H1915,BASE_CAIXA!G1915))</f>
        <v/>
      </c>
      <c r="J1918" s="26" t="str">
        <f>IF(A1918="","",BASE_CAIXA!G1915)</f>
        <v/>
      </c>
      <c r="K1918" s="26" t="str">
        <f>IF(A1918="","",BASE_CAIXA!I1915)</f>
        <v/>
      </c>
      <c r="L1918" s="26" t="str">
        <f>IF(A1918="","",BASE_CAIXA!J1915)</f>
        <v/>
      </c>
      <c r="M1918" s="26" t="str">
        <f>IF(A1918="","",BASE_CAIXA!AM1915)</f>
        <v/>
      </c>
      <c r="N1918" s="26" t="str">
        <f t="shared" ca="1" si="87"/>
        <v/>
      </c>
      <c r="O1918" s="26" t="str">
        <f>IFERROR(INDEX(EXTRATO_IMPORTADO!$A$5:$A$404,MATCH(B1918,EXTRATO_IMPORTADO!$I$5:$I$404,0)),"")</f>
        <v/>
      </c>
      <c r="P1918" s="26" t="str">
        <f>IFERROR(INDEX(EXTRATO_IMPORTADO!$F$5:$F$404,MATCH(B1918,EXTRATO_IMPORTADO!$I$5:$I$404,0)),"")</f>
        <v/>
      </c>
      <c r="Q1918" s="26" t="str">
        <f>IFERROR(INDEX(EXTRATO_IMPORTADO!$B$5:$B$404,MATCH(B1918,EXTRATO_IMPORTADO!$I$5:$I$404,0)),"")</f>
        <v/>
      </c>
      <c r="R1918" s="26" t="str">
        <f>IFERROR(MATCH(B1918,EXTRATO_IMPORTADO!$I$5:$I$404,0),"")</f>
        <v/>
      </c>
      <c r="S1918" s="26" t="str">
        <f t="shared" si="88"/>
        <v/>
      </c>
      <c r="T1918" s="26" t="str">
        <f t="shared" si="89"/>
        <v/>
      </c>
    </row>
    <row r="1919" spans="1:20" x14ac:dyDescent="0.3">
      <c r="A1919" s="26" t="str">
        <f>IF(BASE_CAIXA!A1916="","",BASE_CAIXA!A1916)</f>
        <v/>
      </c>
      <c r="B1919" s="26" t="str">
        <f>IF(A1919="","",BASE_CAIXA!AL1916)</f>
        <v/>
      </c>
      <c r="C1919" s="26" t="str">
        <f>IF(A1919="","",BASE_CAIXA!AJ1916)</f>
        <v/>
      </c>
      <c r="D1919" s="26" t="str">
        <f>IF(A1919="","",IF(BASE_CAIXA!C1916="Entrada","Crédito","Débito"))</f>
        <v/>
      </c>
      <c r="E1919" s="26" t="str">
        <f>IF(A1919="","",BASE_CAIXA!AA1916)</f>
        <v/>
      </c>
      <c r="F1919" s="26" t="str">
        <f>IF(A1919="","",BASE_CAIXA!N1916)</f>
        <v/>
      </c>
      <c r="G1919" s="26" t="str">
        <f>IF(A1919="","",BASE_CAIXA!O1916)</f>
        <v/>
      </c>
      <c r="H1919" s="26" t="str">
        <f>IF(A1919="","",BASE_CAIXA!P1916)</f>
        <v/>
      </c>
      <c r="I1919" s="26" t="str">
        <f>IF(A1919="","",IF(BASE_CAIXA!H1916&lt;&gt;"",BASE_CAIXA!H1916,BASE_CAIXA!G1916))</f>
        <v/>
      </c>
      <c r="J1919" s="26" t="str">
        <f>IF(A1919="","",BASE_CAIXA!G1916)</f>
        <v/>
      </c>
      <c r="K1919" s="26" t="str">
        <f>IF(A1919="","",BASE_CAIXA!I1916)</f>
        <v/>
      </c>
      <c r="L1919" s="26" t="str">
        <f>IF(A1919="","",BASE_CAIXA!J1916)</f>
        <v/>
      </c>
      <c r="M1919" s="26" t="str">
        <f>IF(A1919="","",BASE_CAIXA!AM1916)</f>
        <v/>
      </c>
      <c r="N1919" s="26" t="str">
        <f t="shared" ca="1" si="87"/>
        <v/>
      </c>
      <c r="O1919" s="26" t="str">
        <f>IFERROR(INDEX(EXTRATO_IMPORTADO!$A$5:$A$404,MATCH(B1919,EXTRATO_IMPORTADO!$I$5:$I$404,0)),"")</f>
        <v/>
      </c>
      <c r="P1919" s="26" t="str">
        <f>IFERROR(INDEX(EXTRATO_IMPORTADO!$F$5:$F$404,MATCH(B1919,EXTRATO_IMPORTADO!$I$5:$I$404,0)),"")</f>
        <v/>
      </c>
      <c r="Q1919" s="26" t="str">
        <f>IFERROR(INDEX(EXTRATO_IMPORTADO!$B$5:$B$404,MATCH(B1919,EXTRATO_IMPORTADO!$I$5:$I$404,0)),"")</f>
        <v/>
      </c>
      <c r="R1919" s="26" t="str">
        <f>IFERROR(MATCH(B1919,EXTRATO_IMPORTADO!$I$5:$I$404,0),"")</f>
        <v/>
      </c>
      <c r="S1919" s="26" t="str">
        <f t="shared" si="88"/>
        <v/>
      </c>
      <c r="T1919" s="26" t="str">
        <f t="shared" si="89"/>
        <v/>
      </c>
    </row>
    <row r="1920" spans="1:20" x14ac:dyDescent="0.3">
      <c r="A1920" s="26" t="str">
        <f>IF(BASE_CAIXA!A1917="","",BASE_CAIXA!A1917)</f>
        <v/>
      </c>
      <c r="B1920" s="26" t="str">
        <f>IF(A1920="","",BASE_CAIXA!AL1917)</f>
        <v/>
      </c>
      <c r="C1920" s="26" t="str">
        <f>IF(A1920="","",BASE_CAIXA!AJ1917)</f>
        <v/>
      </c>
      <c r="D1920" s="26" t="str">
        <f>IF(A1920="","",IF(BASE_CAIXA!C1917="Entrada","Crédito","Débito"))</f>
        <v/>
      </c>
      <c r="E1920" s="26" t="str">
        <f>IF(A1920="","",BASE_CAIXA!AA1917)</f>
        <v/>
      </c>
      <c r="F1920" s="26" t="str">
        <f>IF(A1920="","",BASE_CAIXA!N1917)</f>
        <v/>
      </c>
      <c r="G1920" s="26" t="str">
        <f>IF(A1920="","",BASE_CAIXA!O1917)</f>
        <v/>
      </c>
      <c r="H1920" s="26" t="str">
        <f>IF(A1920="","",BASE_CAIXA!P1917)</f>
        <v/>
      </c>
      <c r="I1920" s="26" t="str">
        <f>IF(A1920="","",IF(BASE_CAIXA!H1917&lt;&gt;"",BASE_CAIXA!H1917,BASE_CAIXA!G1917))</f>
        <v/>
      </c>
      <c r="J1920" s="26" t="str">
        <f>IF(A1920="","",BASE_CAIXA!G1917)</f>
        <v/>
      </c>
      <c r="K1920" s="26" t="str">
        <f>IF(A1920="","",BASE_CAIXA!I1917)</f>
        <v/>
      </c>
      <c r="L1920" s="26" t="str">
        <f>IF(A1920="","",BASE_CAIXA!J1917)</f>
        <v/>
      </c>
      <c r="M1920" s="26" t="str">
        <f>IF(A1920="","",BASE_CAIXA!AM1917)</f>
        <v/>
      </c>
      <c r="N1920" s="26" t="str">
        <f t="shared" ca="1" si="87"/>
        <v/>
      </c>
      <c r="O1920" s="26" t="str">
        <f>IFERROR(INDEX(EXTRATO_IMPORTADO!$A$5:$A$404,MATCH(B1920,EXTRATO_IMPORTADO!$I$5:$I$404,0)),"")</f>
        <v/>
      </c>
      <c r="P1920" s="26" t="str">
        <f>IFERROR(INDEX(EXTRATO_IMPORTADO!$F$5:$F$404,MATCH(B1920,EXTRATO_IMPORTADO!$I$5:$I$404,0)),"")</f>
        <v/>
      </c>
      <c r="Q1920" s="26" t="str">
        <f>IFERROR(INDEX(EXTRATO_IMPORTADO!$B$5:$B$404,MATCH(B1920,EXTRATO_IMPORTADO!$I$5:$I$404,0)),"")</f>
        <v/>
      </c>
      <c r="R1920" s="26" t="str">
        <f>IFERROR(MATCH(B1920,EXTRATO_IMPORTADO!$I$5:$I$404,0),"")</f>
        <v/>
      </c>
      <c r="S1920" s="26" t="str">
        <f t="shared" si="88"/>
        <v/>
      </c>
      <c r="T1920" s="26" t="str">
        <f t="shared" si="89"/>
        <v/>
      </c>
    </row>
    <row r="1921" spans="1:20" x14ac:dyDescent="0.3">
      <c r="A1921" s="26" t="str">
        <f>IF(BASE_CAIXA!A1918="","",BASE_CAIXA!A1918)</f>
        <v/>
      </c>
      <c r="B1921" s="26" t="str">
        <f>IF(A1921="","",BASE_CAIXA!AL1918)</f>
        <v/>
      </c>
      <c r="C1921" s="26" t="str">
        <f>IF(A1921="","",BASE_CAIXA!AJ1918)</f>
        <v/>
      </c>
      <c r="D1921" s="26" t="str">
        <f>IF(A1921="","",IF(BASE_CAIXA!C1918="Entrada","Crédito","Débito"))</f>
        <v/>
      </c>
      <c r="E1921" s="26" t="str">
        <f>IF(A1921="","",BASE_CAIXA!AA1918)</f>
        <v/>
      </c>
      <c r="F1921" s="26" t="str">
        <f>IF(A1921="","",BASE_CAIXA!N1918)</f>
        <v/>
      </c>
      <c r="G1921" s="26" t="str">
        <f>IF(A1921="","",BASE_CAIXA!O1918)</f>
        <v/>
      </c>
      <c r="H1921" s="26" t="str">
        <f>IF(A1921="","",BASE_CAIXA!P1918)</f>
        <v/>
      </c>
      <c r="I1921" s="26" t="str">
        <f>IF(A1921="","",IF(BASE_CAIXA!H1918&lt;&gt;"",BASE_CAIXA!H1918,BASE_CAIXA!G1918))</f>
        <v/>
      </c>
      <c r="J1921" s="26" t="str">
        <f>IF(A1921="","",BASE_CAIXA!G1918)</f>
        <v/>
      </c>
      <c r="K1921" s="26" t="str">
        <f>IF(A1921="","",BASE_CAIXA!I1918)</f>
        <v/>
      </c>
      <c r="L1921" s="26" t="str">
        <f>IF(A1921="","",BASE_CAIXA!J1918)</f>
        <v/>
      </c>
      <c r="M1921" s="26" t="str">
        <f>IF(A1921="","",BASE_CAIXA!AM1918)</f>
        <v/>
      </c>
      <c r="N1921" s="26" t="str">
        <f t="shared" ca="1" si="87"/>
        <v/>
      </c>
      <c r="O1921" s="26" t="str">
        <f>IFERROR(INDEX(EXTRATO_IMPORTADO!$A$5:$A$404,MATCH(B1921,EXTRATO_IMPORTADO!$I$5:$I$404,0)),"")</f>
        <v/>
      </c>
      <c r="P1921" s="26" t="str">
        <f>IFERROR(INDEX(EXTRATO_IMPORTADO!$F$5:$F$404,MATCH(B1921,EXTRATO_IMPORTADO!$I$5:$I$404,0)),"")</f>
        <v/>
      </c>
      <c r="Q1921" s="26" t="str">
        <f>IFERROR(INDEX(EXTRATO_IMPORTADO!$B$5:$B$404,MATCH(B1921,EXTRATO_IMPORTADO!$I$5:$I$404,0)),"")</f>
        <v/>
      </c>
      <c r="R1921" s="26" t="str">
        <f>IFERROR(MATCH(B1921,EXTRATO_IMPORTADO!$I$5:$I$404,0),"")</f>
        <v/>
      </c>
      <c r="S1921" s="26" t="str">
        <f t="shared" si="88"/>
        <v/>
      </c>
      <c r="T1921" s="26" t="str">
        <f t="shared" si="89"/>
        <v/>
      </c>
    </row>
    <row r="1922" spans="1:20" x14ac:dyDescent="0.3">
      <c r="A1922" s="26" t="str">
        <f>IF(BASE_CAIXA!A1919="","",BASE_CAIXA!A1919)</f>
        <v/>
      </c>
      <c r="B1922" s="26" t="str">
        <f>IF(A1922="","",BASE_CAIXA!AL1919)</f>
        <v/>
      </c>
      <c r="C1922" s="26" t="str">
        <f>IF(A1922="","",BASE_CAIXA!AJ1919)</f>
        <v/>
      </c>
      <c r="D1922" s="26" t="str">
        <f>IF(A1922="","",IF(BASE_CAIXA!C1919="Entrada","Crédito","Débito"))</f>
        <v/>
      </c>
      <c r="E1922" s="26" t="str">
        <f>IF(A1922="","",BASE_CAIXA!AA1919)</f>
        <v/>
      </c>
      <c r="F1922" s="26" t="str">
        <f>IF(A1922="","",BASE_CAIXA!N1919)</f>
        <v/>
      </c>
      <c r="G1922" s="26" t="str">
        <f>IF(A1922="","",BASE_CAIXA!O1919)</f>
        <v/>
      </c>
      <c r="H1922" s="26" t="str">
        <f>IF(A1922="","",BASE_CAIXA!P1919)</f>
        <v/>
      </c>
      <c r="I1922" s="26" t="str">
        <f>IF(A1922="","",IF(BASE_CAIXA!H1919&lt;&gt;"",BASE_CAIXA!H1919,BASE_CAIXA!G1919))</f>
        <v/>
      </c>
      <c r="J1922" s="26" t="str">
        <f>IF(A1922="","",BASE_CAIXA!G1919)</f>
        <v/>
      </c>
      <c r="K1922" s="26" t="str">
        <f>IF(A1922="","",BASE_CAIXA!I1919)</f>
        <v/>
      </c>
      <c r="L1922" s="26" t="str">
        <f>IF(A1922="","",BASE_CAIXA!J1919)</f>
        <v/>
      </c>
      <c r="M1922" s="26" t="str">
        <f>IF(A1922="","",BASE_CAIXA!AM1919)</f>
        <v/>
      </c>
      <c r="N1922" s="26" t="str">
        <f t="shared" ca="1" si="87"/>
        <v/>
      </c>
      <c r="O1922" s="26" t="str">
        <f>IFERROR(INDEX(EXTRATO_IMPORTADO!$A$5:$A$404,MATCH(B1922,EXTRATO_IMPORTADO!$I$5:$I$404,0)),"")</f>
        <v/>
      </c>
      <c r="P1922" s="26" t="str">
        <f>IFERROR(INDEX(EXTRATO_IMPORTADO!$F$5:$F$404,MATCH(B1922,EXTRATO_IMPORTADO!$I$5:$I$404,0)),"")</f>
        <v/>
      </c>
      <c r="Q1922" s="26" t="str">
        <f>IFERROR(INDEX(EXTRATO_IMPORTADO!$B$5:$B$404,MATCH(B1922,EXTRATO_IMPORTADO!$I$5:$I$404,0)),"")</f>
        <v/>
      </c>
      <c r="R1922" s="26" t="str">
        <f>IFERROR(MATCH(B1922,EXTRATO_IMPORTADO!$I$5:$I$404,0),"")</f>
        <v/>
      </c>
      <c r="S1922" s="26" t="str">
        <f t="shared" si="88"/>
        <v/>
      </c>
      <c r="T1922" s="26" t="str">
        <f t="shared" si="89"/>
        <v/>
      </c>
    </row>
    <row r="1923" spans="1:20" x14ac:dyDescent="0.3">
      <c r="A1923" s="26" t="str">
        <f>IF(BASE_CAIXA!A1920="","",BASE_CAIXA!A1920)</f>
        <v/>
      </c>
      <c r="B1923" s="26" t="str">
        <f>IF(A1923="","",BASE_CAIXA!AL1920)</f>
        <v/>
      </c>
      <c r="C1923" s="26" t="str">
        <f>IF(A1923="","",BASE_CAIXA!AJ1920)</f>
        <v/>
      </c>
      <c r="D1923" s="26" t="str">
        <f>IF(A1923="","",IF(BASE_CAIXA!C1920="Entrada","Crédito","Débito"))</f>
        <v/>
      </c>
      <c r="E1923" s="26" t="str">
        <f>IF(A1923="","",BASE_CAIXA!AA1920)</f>
        <v/>
      </c>
      <c r="F1923" s="26" t="str">
        <f>IF(A1923="","",BASE_CAIXA!N1920)</f>
        <v/>
      </c>
      <c r="G1923" s="26" t="str">
        <f>IF(A1923="","",BASE_CAIXA!O1920)</f>
        <v/>
      </c>
      <c r="H1923" s="26" t="str">
        <f>IF(A1923="","",BASE_CAIXA!P1920)</f>
        <v/>
      </c>
      <c r="I1923" s="26" t="str">
        <f>IF(A1923="","",IF(BASE_CAIXA!H1920&lt;&gt;"",BASE_CAIXA!H1920,BASE_CAIXA!G1920))</f>
        <v/>
      </c>
      <c r="J1923" s="26" t="str">
        <f>IF(A1923="","",BASE_CAIXA!G1920)</f>
        <v/>
      </c>
      <c r="K1923" s="26" t="str">
        <f>IF(A1923="","",BASE_CAIXA!I1920)</f>
        <v/>
      </c>
      <c r="L1923" s="26" t="str">
        <f>IF(A1923="","",BASE_CAIXA!J1920)</f>
        <v/>
      </c>
      <c r="M1923" s="26" t="str">
        <f>IF(A1923="","",BASE_CAIXA!AM1920)</f>
        <v/>
      </c>
      <c r="N1923" s="26" t="str">
        <f t="shared" ca="1" si="87"/>
        <v/>
      </c>
      <c r="O1923" s="26" t="str">
        <f>IFERROR(INDEX(EXTRATO_IMPORTADO!$A$5:$A$404,MATCH(B1923,EXTRATO_IMPORTADO!$I$5:$I$404,0)),"")</f>
        <v/>
      </c>
      <c r="P1923" s="26" t="str">
        <f>IFERROR(INDEX(EXTRATO_IMPORTADO!$F$5:$F$404,MATCH(B1923,EXTRATO_IMPORTADO!$I$5:$I$404,0)),"")</f>
        <v/>
      </c>
      <c r="Q1923" s="26" t="str">
        <f>IFERROR(INDEX(EXTRATO_IMPORTADO!$B$5:$B$404,MATCH(B1923,EXTRATO_IMPORTADO!$I$5:$I$404,0)),"")</f>
        <v/>
      </c>
      <c r="R1923" s="26" t="str">
        <f>IFERROR(MATCH(B1923,EXTRATO_IMPORTADO!$I$5:$I$404,0),"")</f>
        <v/>
      </c>
      <c r="S1923" s="26" t="str">
        <f t="shared" si="88"/>
        <v/>
      </c>
      <c r="T1923" s="26" t="str">
        <f t="shared" si="89"/>
        <v/>
      </c>
    </row>
    <row r="1924" spans="1:20" x14ac:dyDescent="0.3">
      <c r="A1924" s="26" t="str">
        <f>IF(BASE_CAIXA!A1921="","",BASE_CAIXA!A1921)</f>
        <v/>
      </c>
      <c r="B1924" s="26" t="str">
        <f>IF(A1924="","",BASE_CAIXA!AL1921)</f>
        <v/>
      </c>
      <c r="C1924" s="26" t="str">
        <f>IF(A1924="","",BASE_CAIXA!AJ1921)</f>
        <v/>
      </c>
      <c r="D1924" s="26" t="str">
        <f>IF(A1924="","",IF(BASE_CAIXA!C1921="Entrada","Crédito","Débito"))</f>
        <v/>
      </c>
      <c r="E1924" s="26" t="str">
        <f>IF(A1924="","",BASE_CAIXA!AA1921)</f>
        <v/>
      </c>
      <c r="F1924" s="26" t="str">
        <f>IF(A1924="","",BASE_CAIXA!N1921)</f>
        <v/>
      </c>
      <c r="G1924" s="26" t="str">
        <f>IF(A1924="","",BASE_CAIXA!O1921)</f>
        <v/>
      </c>
      <c r="H1924" s="26" t="str">
        <f>IF(A1924="","",BASE_CAIXA!P1921)</f>
        <v/>
      </c>
      <c r="I1924" s="26" t="str">
        <f>IF(A1924="","",IF(BASE_CAIXA!H1921&lt;&gt;"",BASE_CAIXA!H1921,BASE_CAIXA!G1921))</f>
        <v/>
      </c>
      <c r="J1924" s="26" t="str">
        <f>IF(A1924="","",BASE_CAIXA!G1921)</f>
        <v/>
      </c>
      <c r="K1924" s="26" t="str">
        <f>IF(A1924="","",BASE_CAIXA!I1921)</f>
        <v/>
      </c>
      <c r="L1924" s="26" t="str">
        <f>IF(A1924="","",BASE_CAIXA!J1921)</f>
        <v/>
      </c>
      <c r="M1924" s="26" t="str">
        <f>IF(A1924="","",BASE_CAIXA!AM1921)</f>
        <v/>
      </c>
      <c r="N1924" s="26" t="str">
        <f t="shared" ca="1" si="87"/>
        <v/>
      </c>
      <c r="O1924" s="26" t="str">
        <f>IFERROR(INDEX(EXTRATO_IMPORTADO!$A$5:$A$404,MATCH(B1924,EXTRATO_IMPORTADO!$I$5:$I$404,0)),"")</f>
        <v/>
      </c>
      <c r="P1924" s="26" t="str">
        <f>IFERROR(INDEX(EXTRATO_IMPORTADO!$F$5:$F$404,MATCH(B1924,EXTRATO_IMPORTADO!$I$5:$I$404,0)),"")</f>
        <v/>
      </c>
      <c r="Q1924" s="26" t="str">
        <f>IFERROR(INDEX(EXTRATO_IMPORTADO!$B$5:$B$404,MATCH(B1924,EXTRATO_IMPORTADO!$I$5:$I$404,0)),"")</f>
        <v/>
      </c>
      <c r="R1924" s="26" t="str">
        <f>IFERROR(MATCH(B1924,EXTRATO_IMPORTADO!$I$5:$I$404,0),"")</f>
        <v/>
      </c>
      <c r="S1924" s="26" t="str">
        <f t="shared" si="88"/>
        <v/>
      </c>
      <c r="T1924" s="26" t="str">
        <f t="shared" si="89"/>
        <v/>
      </c>
    </row>
    <row r="1925" spans="1:20" x14ac:dyDescent="0.3">
      <c r="A1925" s="26" t="str">
        <f>IF(BASE_CAIXA!A1922="","",BASE_CAIXA!A1922)</f>
        <v/>
      </c>
      <c r="B1925" s="26" t="str">
        <f>IF(A1925="","",BASE_CAIXA!AL1922)</f>
        <v/>
      </c>
      <c r="C1925" s="26" t="str">
        <f>IF(A1925="","",BASE_CAIXA!AJ1922)</f>
        <v/>
      </c>
      <c r="D1925" s="26" t="str">
        <f>IF(A1925="","",IF(BASE_CAIXA!C1922="Entrada","Crédito","Débito"))</f>
        <v/>
      </c>
      <c r="E1925" s="26" t="str">
        <f>IF(A1925="","",BASE_CAIXA!AA1922)</f>
        <v/>
      </c>
      <c r="F1925" s="26" t="str">
        <f>IF(A1925="","",BASE_CAIXA!N1922)</f>
        <v/>
      </c>
      <c r="G1925" s="26" t="str">
        <f>IF(A1925="","",BASE_CAIXA!O1922)</f>
        <v/>
      </c>
      <c r="H1925" s="26" t="str">
        <f>IF(A1925="","",BASE_CAIXA!P1922)</f>
        <v/>
      </c>
      <c r="I1925" s="26" t="str">
        <f>IF(A1925="","",IF(BASE_CAIXA!H1922&lt;&gt;"",BASE_CAIXA!H1922,BASE_CAIXA!G1922))</f>
        <v/>
      </c>
      <c r="J1925" s="26" t="str">
        <f>IF(A1925="","",BASE_CAIXA!G1922)</f>
        <v/>
      </c>
      <c r="K1925" s="26" t="str">
        <f>IF(A1925="","",BASE_CAIXA!I1922)</f>
        <v/>
      </c>
      <c r="L1925" s="26" t="str">
        <f>IF(A1925="","",BASE_CAIXA!J1922)</f>
        <v/>
      </c>
      <c r="M1925" s="26" t="str">
        <f>IF(A1925="","",BASE_CAIXA!AM1922)</f>
        <v/>
      </c>
      <c r="N1925" s="26" t="str">
        <f t="shared" ref="N1925:N1988" ca="1" si="90">IF(A1925="","",IF(R1925&lt;&gt;"",IF(AND(ABS(S1925)&lt;=0.01,ABS(T1925)&lt;=3),"Conciliado","Divergente"),IF(TODAY()&gt;C1925,"Pendente vencido","Previsto")))</f>
        <v/>
      </c>
      <c r="O1925" s="26" t="str">
        <f>IFERROR(INDEX(EXTRATO_IMPORTADO!$A$5:$A$404,MATCH(B1925,EXTRATO_IMPORTADO!$I$5:$I$404,0)),"")</f>
        <v/>
      </c>
      <c r="P1925" s="26" t="str">
        <f>IFERROR(INDEX(EXTRATO_IMPORTADO!$F$5:$F$404,MATCH(B1925,EXTRATO_IMPORTADO!$I$5:$I$404,0)),"")</f>
        <v/>
      </c>
      <c r="Q1925" s="26" t="str">
        <f>IFERROR(INDEX(EXTRATO_IMPORTADO!$B$5:$B$404,MATCH(B1925,EXTRATO_IMPORTADO!$I$5:$I$404,0)),"")</f>
        <v/>
      </c>
      <c r="R1925" s="26" t="str">
        <f>IFERROR(MATCH(B1925,EXTRATO_IMPORTADO!$I$5:$I$404,0),"")</f>
        <v/>
      </c>
      <c r="S1925" s="26" t="str">
        <f t="shared" ref="S1925:S1988" si="91">IF(OR(A1925="",P1925=""),"",P1925-E1925)</f>
        <v/>
      </c>
      <c r="T1925" s="26" t="str">
        <f t="shared" ref="T1925:T1988" si="92">IF(OR(A1925="",O1925=""),"",O1925-C1925)</f>
        <v/>
      </c>
    </row>
    <row r="1926" spans="1:20" x14ac:dyDescent="0.3">
      <c r="A1926" s="26" t="str">
        <f>IF(BASE_CAIXA!A1923="","",BASE_CAIXA!A1923)</f>
        <v/>
      </c>
      <c r="B1926" s="26" t="str">
        <f>IF(A1926="","",BASE_CAIXA!AL1923)</f>
        <v/>
      </c>
      <c r="C1926" s="26" t="str">
        <f>IF(A1926="","",BASE_CAIXA!AJ1923)</f>
        <v/>
      </c>
      <c r="D1926" s="26" t="str">
        <f>IF(A1926="","",IF(BASE_CAIXA!C1923="Entrada","Crédito","Débito"))</f>
        <v/>
      </c>
      <c r="E1926" s="26" t="str">
        <f>IF(A1926="","",BASE_CAIXA!AA1923)</f>
        <v/>
      </c>
      <c r="F1926" s="26" t="str">
        <f>IF(A1926="","",BASE_CAIXA!N1923)</f>
        <v/>
      </c>
      <c r="G1926" s="26" t="str">
        <f>IF(A1926="","",BASE_CAIXA!O1923)</f>
        <v/>
      </c>
      <c r="H1926" s="26" t="str">
        <f>IF(A1926="","",BASE_CAIXA!P1923)</f>
        <v/>
      </c>
      <c r="I1926" s="26" t="str">
        <f>IF(A1926="","",IF(BASE_CAIXA!H1923&lt;&gt;"",BASE_CAIXA!H1923,BASE_CAIXA!G1923))</f>
        <v/>
      </c>
      <c r="J1926" s="26" t="str">
        <f>IF(A1926="","",BASE_CAIXA!G1923)</f>
        <v/>
      </c>
      <c r="K1926" s="26" t="str">
        <f>IF(A1926="","",BASE_CAIXA!I1923)</f>
        <v/>
      </c>
      <c r="L1926" s="26" t="str">
        <f>IF(A1926="","",BASE_CAIXA!J1923)</f>
        <v/>
      </c>
      <c r="M1926" s="26" t="str">
        <f>IF(A1926="","",BASE_CAIXA!AM1923)</f>
        <v/>
      </c>
      <c r="N1926" s="26" t="str">
        <f t="shared" ca="1" si="90"/>
        <v/>
      </c>
      <c r="O1926" s="26" t="str">
        <f>IFERROR(INDEX(EXTRATO_IMPORTADO!$A$5:$A$404,MATCH(B1926,EXTRATO_IMPORTADO!$I$5:$I$404,0)),"")</f>
        <v/>
      </c>
      <c r="P1926" s="26" t="str">
        <f>IFERROR(INDEX(EXTRATO_IMPORTADO!$F$5:$F$404,MATCH(B1926,EXTRATO_IMPORTADO!$I$5:$I$404,0)),"")</f>
        <v/>
      </c>
      <c r="Q1926" s="26" t="str">
        <f>IFERROR(INDEX(EXTRATO_IMPORTADO!$B$5:$B$404,MATCH(B1926,EXTRATO_IMPORTADO!$I$5:$I$404,0)),"")</f>
        <v/>
      </c>
      <c r="R1926" s="26" t="str">
        <f>IFERROR(MATCH(B1926,EXTRATO_IMPORTADO!$I$5:$I$404,0),"")</f>
        <v/>
      </c>
      <c r="S1926" s="26" t="str">
        <f t="shared" si="91"/>
        <v/>
      </c>
      <c r="T1926" s="26" t="str">
        <f t="shared" si="92"/>
        <v/>
      </c>
    </row>
    <row r="1927" spans="1:20" x14ac:dyDescent="0.3">
      <c r="A1927" s="26" t="str">
        <f>IF(BASE_CAIXA!A1924="","",BASE_CAIXA!A1924)</f>
        <v/>
      </c>
      <c r="B1927" s="26" t="str">
        <f>IF(A1927="","",BASE_CAIXA!AL1924)</f>
        <v/>
      </c>
      <c r="C1927" s="26" t="str">
        <f>IF(A1927="","",BASE_CAIXA!AJ1924)</f>
        <v/>
      </c>
      <c r="D1927" s="26" t="str">
        <f>IF(A1927="","",IF(BASE_CAIXA!C1924="Entrada","Crédito","Débito"))</f>
        <v/>
      </c>
      <c r="E1927" s="26" t="str">
        <f>IF(A1927="","",BASE_CAIXA!AA1924)</f>
        <v/>
      </c>
      <c r="F1927" s="26" t="str">
        <f>IF(A1927="","",BASE_CAIXA!N1924)</f>
        <v/>
      </c>
      <c r="G1927" s="26" t="str">
        <f>IF(A1927="","",BASE_CAIXA!O1924)</f>
        <v/>
      </c>
      <c r="H1927" s="26" t="str">
        <f>IF(A1927="","",BASE_CAIXA!P1924)</f>
        <v/>
      </c>
      <c r="I1927" s="26" t="str">
        <f>IF(A1927="","",IF(BASE_CAIXA!H1924&lt;&gt;"",BASE_CAIXA!H1924,BASE_CAIXA!G1924))</f>
        <v/>
      </c>
      <c r="J1927" s="26" t="str">
        <f>IF(A1927="","",BASE_CAIXA!G1924)</f>
        <v/>
      </c>
      <c r="K1927" s="26" t="str">
        <f>IF(A1927="","",BASE_CAIXA!I1924)</f>
        <v/>
      </c>
      <c r="L1927" s="26" t="str">
        <f>IF(A1927="","",BASE_CAIXA!J1924)</f>
        <v/>
      </c>
      <c r="M1927" s="26" t="str">
        <f>IF(A1927="","",BASE_CAIXA!AM1924)</f>
        <v/>
      </c>
      <c r="N1927" s="26" t="str">
        <f t="shared" ca="1" si="90"/>
        <v/>
      </c>
      <c r="O1927" s="26" t="str">
        <f>IFERROR(INDEX(EXTRATO_IMPORTADO!$A$5:$A$404,MATCH(B1927,EXTRATO_IMPORTADO!$I$5:$I$404,0)),"")</f>
        <v/>
      </c>
      <c r="P1927" s="26" t="str">
        <f>IFERROR(INDEX(EXTRATO_IMPORTADO!$F$5:$F$404,MATCH(B1927,EXTRATO_IMPORTADO!$I$5:$I$404,0)),"")</f>
        <v/>
      </c>
      <c r="Q1927" s="26" t="str">
        <f>IFERROR(INDEX(EXTRATO_IMPORTADO!$B$5:$B$404,MATCH(B1927,EXTRATO_IMPORTADO!$I$5:$I$404,0)),"")</f>
        <v/>
      </c>
      <c r="R1927" s="26" t="str">
        <f>IFERROR(MATCH(B1927,EXTRATO_IMPORTADO!$I$5:$I$404,0),"")</f>
        <v/>
      </c>
      <c r="S1927" s="26" t="str">
        <f t="shared" si="91"/>
        <v/>
      </c>
      <c r="T1927" s="26" t="str">
        <f t="shared" si="92"/>
        <v/>
      </c>
    </row>
    <row r="1928" spans="1:20" x14ac:dyDescent="0.3">
      <c r="A1928" s="26" t="str">
        <f>IF(BASE_CAIXA!A1925="","",BASE_CAIXA!A1925)</f>
        <v/>
      </c>
      <c r="B1928" s="26" t="str">
        <f>IF(A1928="","",BASE_CAIXA!AL1925)</f>
        <v/>
      </c>
      <c r="C1928" s="26" t="str">
        <f>IF(A1928="","",BASE_CAIXA!AJ1925)</f>
        <v/>
      </c>
      <c r="D1928" s="26" t="str">
        <f>IF(A1928="","",IF(BASE_CAIXA!C1925="Entrada","Crédito","Débito"))</f>
        <v/>
      </c>
      <c r="E1928" s="26" t="str">
        <f>IF(A1928="","",BASE_CAIXA!AA1925)</f>
        <v/>
      </c>
      <c r="F1928" s="26" t="str">
        <f>IF(A1928="","",BASE_CAIXA!N1925)</f>
        <v/>
      </c>
      <c r="G1928" s="26" t="str">
        <f>IF(A1928="","",BASE_CAIXA!O1925)</f>
        <v/>
      </c>
      <c r="H1928" s="26" t="str">
        <f>IF(A1928="","",BASE_CAIXA!P1925)</f>
        <v/>
      </c>
      <c r="I1928" s="26" t="str">
        <f>IF(A1928="","",IF(BASE_CAIXA!H1925&lt;&gt;"",BASE_CAIXA!H1925,BASE_CAIXA!G1925))</f>
        <v/>
      </c>
      <c r="J1928" s="26" t="str">
        <f>IF(A1928="","",BASE_CAIXA!G1925)</f>
        <v/>
      </c>
      <c r="K1928" s="26" t="str">
        <f>IF(A1928="","",BASE_CAIXA!I1925)</f>
        <v/>
      </c>
      <c r="L1928" s="26" t="str">
        <f>IF(A1928="","",BASE_CAIXA!J1925)</f>
        <v/>
      </c>
      <c r="M1928" s="26" t="str">
        <f>IF(A1928="","",BASE_CAIXA!AM1925)</f>
        <v/>
      </c>
      <c r="N1928" s="26" t="str">
        <f t="shared" ca="1" si="90"/>
        <v/>
      </c>
      <c r="O1928" s="26" t="str">
        <f>IFERROR(INDEX(EXTRATO_IMPORTADO!$A$5:$A$404,MATCH(B1928,EXTRATO_IMPORTADO!$I$5:$I$404,0)),"")</f>
        <v/>
      </c>
      <c r="P1928" s="26" t="str">
        <f>IFERROR(INDEX(EXTRATO_IMPORTADO!$F$5:$F$404,MATCH(B1928,EXTRATO_IMPORTADO!$I$5:$I$404,0)),"")</f>
        <v/>
      </c>
      <c r="Q1928" s="26" t="str">
        <f>IFERROR(INDEX(EXTRATO_IMPORTADO!$B$5:$B$404,MATCH(B1928,EXTRATO_IMPORTADO!$I$5:$I$404,0)),"")</f>
        <v/>
      </c>
      <c r="R1928" s="26" t="str">
        <f>IFERROR(MATCH(B1928,EXTRATO_IMPORTADO!$I$5:$I$404,0),"")</f>
        <v/>
      </c>
      <c r="S1928" s="26" t="str">
        <f t="shared" si="91"/>
        <v/>
      </c>
      <c r="T1928" s="26" t="str">
        <f t="shared" si="92"/>
        <v/>
      </c>
    </row>
    <row r="1929" spans="1:20" x14ac:dyDescent="0.3">
      <c r="A1929" s="26" t="str">
        <f>IF(BASE_CAIXA!A1926="","",BASE_CAIXA!A1926)</f>
        <v/>
      </c>
      <c r="B1929" s="26" t="str">
        <f>IF(A1929="","",BASE_CAIXA!AL1926)</f>
        <v/>
      </c>
      <c r="C1929" s="26" t="str">
        <f>IF(A1929="","",BASE_CAIXA!AJ1926)</f>
        <v/>
      </c>
      <c r="D1929" s="26" t="str">
        <f>IF(A1929="","",IF(BASE_CAIXA!C1926="Entrada","Crédito","Débito"))</f>
        <v/>
      </c>
      <c r="E1929" s="26" t="str">
        <f>IF(A1929="","",BASE_CAIXA!AA1926)</f>
        <v/>
      </c>
      <c r="F1929" s="26" t="str">
        <f>IF(A1929="","",BASE_CAIXA!N1926)</f>
        <v/>
      </c>
      <c r="G1929" s="26" t="str">
        <f>IF(A1929="","",BASE_CAIXA!O1926)</f>
        <v/>
      </c>
      <c r="H1929" s="26" t="str">
        <f>IF(A1929="","",BASE_CAIXA!P1926)</f>
        <v/>
      </c>
      <c r="I1929" s="26" t="str">
        <f>IF(A1929="","",IF(BASE_CAIXA!H1926&lt;&gt;"",BASE_CAIXA!H1926,BASE_CAIXA!G1926))</f>
        <v/>
      </c>
      <c r="J1929" s="26" t="str">
        <f>IF(A1929="","",BASE_CAIXA!G1926)</f>
        <v/>
      </c>
      <c r="K1929" s="26" t="str">
        <f>IF(A1929="","",BASE_CAIXA!I1926)</f>
        <v/>
      </c>
      <c r="L1929" s="26" t="str">
        <f>IF(A1929="","",BASE_CAIXA!J1926)</f>
        <v/>
      </c>
      <c r="M1929" s="26" t="str">
        <f>IF(A1929="","",BASE_CAIXA!AM1926)</f>
        <v/>
      </c>
      <c r="N1929" s="26" t="str">
        <f t="shared" ca="1" si="90"/>
        <v/>
      </c>
      <c r="O1929" s="26" t="str">
        <f>IFERROR(INDEX(EXTRATO_IMPORTADO!$A$5:$A$404,MATCH(B1929,EXTRATO_IMPORTADO!$I$5:$I$404,0)),"")</f>
        <v/>
      </c>
      <c r="P1929" s="26" t="str">
        <f>IFERROR(INDEX(EXTRATO_IMPORTADO!$F$5:$F$404,MATCH(B1929,EXTRATO_IMPORTADO!$I$5:$I$404,0)),"")</f>
        <v/>
      </c>
      <c r="Q1929" s="26" t="str">
        <f>IFERROR(INDEX(EXTRATO_IMPORTADO!$B$5:$B$404,MATCH(B1929,EXTRATO_IMPORTADO!$I$5:$I$404,0)),"")</f>
        <v/>
      </c>
      <c r="R1929" s="26" t="str">
        <f>IFERROR(MATCH(B1929,EXTRATO_IMPORTADO!$I$5:$I$404,0),"")</f>
        <v/>
      </c>
      <c r="S1929" s="26" t="str">
        <f t="shared" si="91"/>
        <v/>
      </c>
      <c r="T1929" s="26" t="str">
        <f t="shared" si="92"/>
        <v/>
      </c>
    </row>
    <row r="1930" spans="1:20" x14ac:dyDescent="0.3">
      <c r="A1930" s="26" t="str">
        <f>IF(BASE_CAIXA!A1927="","",BASE_CAIXA!A1927)</f>
        <v/>
      </c>
      <c r="B1930" s="26" t="str">
        <f>IF(A1930="","",BASE_CAIXA!AL1927)</f>
        <v/>
      </c>
      <c r="C1930" s="26" t="str">
        <f>IF(A1930="","",BASE_CAIXA!AJ1927)</f>
        <v/>
      </c>
      <c r="D1930" s="26" t="str">
        <f>IF(A1930="","",IF(BASE_CAIXA!C1927="Entrada","Crédito","Débito"))</f>
        <v/>
      </c>
      <c r="E1930" s="26" t="str">
        <f>IF(A1930="","",BASE_CAIXA!AA1927)</f>
        <v/>
      </c>
      <c r="F1930" s="26" t="str">
        <f>IF(A1930="","",BASE_CAIXA!N1927)</f>
        <v/>
      </c>
      <c r="G1930" s="26" t="str">
        <f>IF(A1930="","",BASE_CAIXA!O1927)</f>
        <v/>
      </c>
      <c r="H1930" s="26" t="str">
        <f>IF(A1930="","",BASE_CAIXA!P1927)</f>
        <v/>
      </c>
      <c r="I1930" s="26" t="str">
        <f>IF(A1930="","",IF(BASE_CAIXA!H1927&lt;&gt;"",BASE_CAIXA!H1927,BASE_CAIXA!G1927))</f>
        <v/>
      </c>
      <c r="J1930" s="26" t="str">
        <f>IF(A1930="","",BASE_CAIXA!G1927)</f>
        <v/>
      </c>
      <c r="K1930" s="26" t="str">
        <f>IF(A1930="","",BASE_CAIXA!I1927)</f>
        <v/>
      </c>
      <c r="L1930" s="26" t="str">
        <f>IF(A1930="","",BASE_CAIXA!J1927)</f>
        <v/>
      </c>
      <c r="M1930" s="26" t="str">
        <f>IF(A1930="","",BASE_CAIXA!AM1927)</f>
        <v/>
      </c>
      <c r="N1930" s="26" t="str">
        <f t="shared" ca="1" si="90"/>
        <v/>
      </c>
      <c r="O1930" s="26" t="str">
        <f>IFERROR(INDEX(EXTRATO_IMPORTADO!$A$5:$A$404,MATCH(B1930,EXTRATO_IMPORTADO!$I$5:$I$404,0)),"")</f>
        <v/>
      </c>
      <c r="P1930" s="26" t="str">
        <f>IFERROR(INDEX(EXTRATO_IMPORTADO!$F$5:$F$404,MATCH(B1930,EXTRATO_IMPORTADO!$I$5:$I$404,0)),"")</f>
        <v/>
      </c>
      <c r="Q1930" s="26" t="str">
        <f>IFERROR(INDEX(EXTRATO_IMPORTADO!$B$5:$B$404,MATCH(B1930,EXTRATO_IMPORTADO!$I$5:$I$404,0)),"")</f>
        <v/>
      </c>
      <c r="R1930" s="26" t="str">
        <f>IFERROR(MATCH(B1930,EXTRATO_IMPORTADO!$I$5:$I$404,0),"")</f>
        <v/>
      </c>
      <c r="S1930" s="26" t="str">
        <f t="shared" si="91"/>
        <v/>
      </c>
      <c r="T1930" s="26" t="str">
        <f t="shared" si="92"/>
        <v/>
      </c>
    </row>
    <row r="1931" spans="1:20" x14ac:dyDescent="0.3">
      <c r="A1931" s="26" t="str">
        <f>IF(BASE_CAIXA!A1928="","",BASE_CAIXA!A1928)</f>
        <v/>
      </c>
      <c r="B1931" s="26" t="str">
        <f>IF(A1931="","",BASE_CAIXA!AL1928)</f>
        <v/>
      </c>
      <c r="C1931" s="26" t="str">
        <f>IF(A1931="","",BASE_CAIXA!AJ1928)</f>
        <v/>
      </c>
      <c r="D1931" s="26" t="str">
        <f>IF(A1931="","",IF(BASE_CAIXA!C1928="Entrada","Crédito","Débito"))</f>
        <v/>
      </c>
      <c r="E1931" s="26" t="str">
        <f>IF(A1931="","",BASE_CAIXA!AA1928)</f>
        <v/>
      </c>
      <c r="F1931" s="26" t="str">
        <f>IF(A1931="","",BASE_CAIXA!N1928)</f>
        <v/>
      </c>
      <c r="G1931" s="26" t="str">
        <f>IF(A1931="","",BASE_CAIXA!O1928)</f>
        <v/>
      </c>
      <c r="H1931" s="26" t="str">
        <f>IF(A1931="","",BASE_CAIXA!P1928)</f>
        <v/>
      </c>
      <c r="I1931" s="26" t="str">
        <f>IF(A1931="","",IF(BASE_CAIXA!H1928&lt;&gt;"",BASE_CAIXA!H1928,BASE_CAIXA!G1928))</f>
        <v/>
      </c>
      <c r="J1931" s="26" t="str">
        <f>IF(A1931="","",BASE_CAIXA!G1928)</f>
        <v/>
      </c>
      <c r="K1931" s="26" t="str">
        <f>IF(A1931="","",BASE_CAIXA!I1928)</f>
        <v/>
      </c>
      <c r="L1931" s="26" t="str">
        <f>IF(A1931="","",BASE_CAIXA!J1928)</f>
        <v/>
      </c>
      <c r="M1931" s="26" t="str">
        <f>IF(A1931="","",BASE_CAIXA!AM1928)</f>
        <v/>
      </c>
      <c r="N1931" s="26" t="str">
        <f t="shared" ca="1" si="90"/>
        <v/>
      </c>
      <c r="O1931" s="26" t="str">
        <f>IFERROR(INDEX(EXTRATO_IMPORTADO!$A$5:$A$404,MATCH(B1931,EXTRATO_IMPORTADO!$I$5:$I$404,0)),"")</f>
        <v/>
      </c>
      <c r="P1931" s="26" t="str">
        <f>IFERROR(INDEX(EXTRATO_IMPORTADO!$F$5:$F$404,MATCH(B1931,EXTRATO_IMPORTADO!$I$5:$I$404,0)),"")</f>
        <v/>
      </c>
      <c r="Q1931" s="26" t="str">
        <f>IFERROR(INDEX(EXTRATO_IMPORTADO!$B$5:$B$404,MATCH(B1931,EXTRATO_IMPORTADO!$I$5:$I$404,0)),"")</f>
        <v/>
      </c>
      <c r="R1931" s="26" t="str">
        <f>IFERROR(MATCH(B1931,EXTRATO_IMPORTADO!$I$5:$I$404,0),"")</f>
        <v/>
      </c>
      <c r="S1931" s="26" t="str">
        <f t="shared" si="91"/>
        <v/>
      </c>
      <c r="T1931" s="26" t="str">
        <f t="shared" si="92"/>
        <v/>
      </c>
    </row>
    <row r="1932" spans="1:20" x14ac:dyDescent="0.3">
      <c r="A1932" s="26" t="str">
        <f>IF(BASE_CAIXA!A1929="","",BASE_CAIXA!A1929)</f>
        <v/>
      </c>
      <c r="B1932" s="26" t="str">
        <f>IF(A1932="","",BASE_CAIXA!AL1929)</f>
        <v/>
      </c>
      <c r="C1932" s="26" t="str">
        <f>IF(A1932="","",BASE_CAIXA!AJ1929)</f>
        <v/>
      </c>
      <c r="D1932" s="26" t="str">
        <f>IF(A1932="","",IF(BASE_CAIXA!C1929="Entrada","Crédito","Débito"))</f>
        <v/>
      </c>
      <c r="E1932" s="26" t="str">
        <f>IF(A1932="","",BASE_CAIXA!AA1929)</f>
        <v/>
      </c>
      <c r="F1932" s="26" t="str">
        <f>IF(A1932="","",BASE_CAIXA!N1929)</f>
        <v/>
      </c>
      <c r="G1932" s="26" t="str">
        <f>IF(A1932="","",BASE_CAIXA!O1929)</f>
        <v/>
      </c>
      <c r="H1932" s="26" t="str">
        <f>IF(A1932="","",BASE_CAIXA!P1929)</f>
        <v/>
      </c>
      <c r="I1932" s="26" t="str">
        <f>IF(A1932="","",IF(BASE_CAIXA!H1929&lt;&gt;"",BASE_CAIXA!H1929,BASE_CAIXA!G1929))</f>
        <v/>
      </c>
      <c r="J1932" s="26" t="str">
        <f>IF(A1932="","",BASE_CAIXA!G1929)</f>
        <v/>
      </c>
      <c r="K1932" s="26" t="str">
        <f>IF(A1932="","",BASE_CAIXA!I1929)</f>
        <v/>
      </c>
      <c r="L1932" s="26" t="str">
        <f>IF(A1932="","",BASE_CAIXA!J1929)</f>
        <v/>
      </c>
      <c r="M1932" s="26" t="str">
        <f>IF(A1932="","",BASE_CAIXA!AM1929)</f>
        <v/>
      </c>
      <c r="N1932" s="26" t="str">
        <f t="shared" ca="1" si="90"/>
        <v/>
      </c>
      <c r="O1932" s="26" t="str">
        <f>IFERROR(INDEX(EXTRATO_IMPORTADO!$A$5:$A$404,MATCH(B1932,EXTRATO_IMPORTADO!$I$5:$I$404,0)),"")</f>
        <v/>
      </c>
      <c r="P1932" s="26" t="str">
        <f>IFERROR(INDEX(EXTRATO_IMPORTADO!$F$5:$F$404,MATCH(B1932,EXTRATO_IMPORTADO!$I$5:$I$404,0)),"")</f>
        <v/>
      </c>
      <c r="Q1932" s="26" t="str">
        <f>IFERROR(INDEX(EXTRATO_IMPORTADO!$B$5:$B$404,MATCH(B1932,EXTRATO_IMPORTADO!$I$5:$I$404,0)),"")</f>
        <v/>
      </c>
      <c r="R1932" s="26" t="str">
        <f>IFERROR(MATCH(B1932,EXTRATO_IMPORTADO!$I$5:$I$404,0),"")</f>
        <v/>
      </c>
      <c r="S1932" s="26" t="str">
        <f t="shared" si="91"/>
        <v/>
      </c>
      <c r="T1932" s="26" t="str">
        <f t="shared" si="92"/>
        <v/>
      </c>
    </row>
    <row r="1933" spans="1:20" x14ac:dyDescent="0.3">
      <c r="A1933" s="26" t="str">
        <f>IF(BASE_CAIXA!A1930="","",BASE_CAIXA!A1930)</f>
        <v/>
      </c>
      <c r="B1933" s="26" t="str">
        <f>IF(A1933="","",BASE_CAIXA!AL1930)</f>
        <v/>
      </c>
      <c r="C1933" s="26" t="str">
        <f>IF(A1933="","",BASE_CAIXA!AJ1930)</f>
        <v/>
      </c>
      <c r="D1933" s="26" t="str">
        <f>IF(A1933="","",IF(BASE_CAIXA!C1930="Entrada","Crédito","Débito"))</f>
        <v/>
      </c>
      <c r="E1933" s="26" t="str">
        <f>IF(A1933="","",BASE_CAIXA!AA1930)</f>
        <v/>
      </c>
      <c r="F1933" s="26" t="str">
        <f>IF(A1933="","",BASE_CAIXA!N1930)</f>
        <v/>
      </c>
      <c r="G1933" s="26" t="str">
        <f>IF(A1933="","",BASE_CAIXA!O1930)</f>
        <v/>
      </c>
      <c r="H1933" s="26" t="str">
        <f>IF(A1933="","",BASE_CAIXA!P1930)</f>
        <v/>
      </c>
      <c r="I1933" s="26" t="str">
        <f>IF(A1933="","",IF(BASE_CAIXA!H1930&lt;&gt;"",BASE_CAIXA!H1930,BASE_CAIXA!G1930))</f>
        <v/>
      </c>
      <c r="J1933" s="26" t="str">
        <f>IF(A1933="","",BASE_CAIXA!G1930)</f>
        <v/>
      </c>
      <c r="K1933" s="26" t="str">
        <f>IF(A1933="","",BASE_CAIXA!I1930)</f>
        <v/>
      </c>
      <c r="L1933" s="26" t="str">
        <f>IF(A1933="","",BASE_CAIXA!J1930)</f>
        <v/>
      </c>
      <c r="M1933" s="26" t="str">
        <f>IF(A1933="","",BASE_CAIXA!AM1930)</f>
        <v/>
      </c>
      <c r="N1933" s="26" t="str">
        <f t="shared" ca="1" si="90"/>
        <v/>
      </c>
      <c r="O1933" s="26" t="str">
        <f>IFERROR(INDEX(EXTRATO_IMPORTADO!$A$5:$A$404,MATCH(B1933,EXTRATO_IMPORTADO!$I$5:$I$404,0)),"")</f>
        <v/>
      </c>
      <c r="P1933" s="26" t="str">
        <f>IFERROR(INDEX(EXTRATO_IMPORTADO!$F$5:$F$404,MATCH(B1933,EXTRATO_IMPORTADO!$I$5:$I$404,0)),"")</f>
        <v/>
      </c>
      <c r="Q1933" s="26" t="str">
        <f>IFERROR(INDEX(EXTRATO_IMPORTADO!$B$5:$B$404,MATCH(B1933,EXTRATO_IMPORTADO!$I$5:$I$404,0)),"")</f>
        <v/>
      </c>
      <c r="R1933" s="26" t="str">
        <f>IFERROR(MATCH(B1933,EXTRATO_IMPORTADO!$I$5:$I$404,0),"")</f>
        <v/>
      </c>
      <c r="S1933" s="26" t="str">
        <f t="shared" si="91"/>
        <v/>
      </c>
      <c r="T1933" s="26" t="str">
        <f t="shared" si="92"/>
        <v/>
      </c>
    </row>
    <row r="1934" spans="1:20" x14ac:dyDescent="0.3">
      <c r="A1934" s="26" t="str">
        <f>IF(BASE_CAIXA!A1931="","",BASE_CAIXA!A1931)</f>
        <v/>
      </c>
      <c r="B1934" s="26" t="str">
        <f>IF(A1934="","",BASE_CAIXA!AL1931)</f>
        <v/>
      </c>
      <c r="C1934" s="26" t="str">
        <f>IF(A1934="","",BASE_CAIXA!AJ1931)</f>
        <v/>
      </c>
      <c r="D1934" s="26" t="str">
        <f>IF(A1934="","",IF(BASE_CAIXA!C1931="Entrada","Crédito","Débito"))</f>
        <v/>
      </c>
      <c r="E1934" s="26" t="str">
        <f>IF(A1934="","",BASE_CAIXA!AA1931)</f>
        <v/>
      </c>
      <c r="F1934" s="26" t="str">
        <f>IF(A1934="","",BASE_CAIXA!N1931)</f>
        <v/>
      </c>
      <c r="G1934" s="26" t="str">
        <f>IF(A1934="","",BASE_CAIXA!O1931)</f>
        <v/>
      </c>
      <c r="H1934" s="26" t="str">
        <f>IF(A1934="","",BASE_CAIXA!P1931)</f>
        <v/>
      </c>
      <c r="I1934" s="26" t="str">
        <f>IF(A1934="","",IF(BASE_CAIXA!H1931&lt;&gt;"",BASE_CAIXA!H1931,BASE_CAIXA!G1931))</f>
        <v/>
      </c>
      <c r="J1934" s="26" t="str">
        <f>IF(A1934="","",BASE_CAIXA!G1931)</f>
        <v/>
      </c>
      <c r="K1934" s="26" t="str">
        <f>IF(A1934="","",BASE_CAIXA!I1931)</f>
        <v/>
      </c>
      <c r="L1934" s="26" t="str">
        <f>IF(A1934="","",BASE_CAIXA!J1931)</f>
        <v/>
      </c>
      <c r="M1934" s="26" t="str">
        <f>IF(A1934="","",BASE_CAIXA!AM1931)</f>
        <v/>
      </c>
      <c r="N1934" s="26" t="str">
        <f t="shared" ca="1" si="90"/>
        <v/>
      </c>
      <c r="O1934" s="26" t="str">
        <f>IFERROR(INDEX(EXTRATO_IMPORTADO!$A$5:$A$404,MATCH(B1934,EXTRATO_IMPORTADO!$I$5:$I$404,0)),"")</f>
        <v/>
      </c>
      <c r="P1934" s="26" t="str">
        <f>IFERROR(INDEX(EXTRATO_IMPORTADO!$F$5:$F$404,MATCH(B1934,EXTRATO_IMPORTADO!$I$5:$I$404,0)),"")</f>
        <v/>
      </c>
      <c r="Q1934" s="26" t="str">
        <f>IFERROR(INDEX(EXTRATO_IMPORTADO!$B$5:$B$404,MATCH(B1934,EXTRATO_IMPORTADO!$I$5:$I$404,0)),"")</f>
        <v/>
      </c>
      <c r="R1934" s="26" t="str">
        <f>IFERROR(MATCH(B1934,EXTRATO_IMPORTADO!$I$5:$I$404,0),"")</f>
        <v/>
      </c>
      <c r="S1934" s="26" t="str">
        <f t="shared" si="91"/>
        <v/>
      </c>
      <c r="T1934" s="26" t="str">
        <f t="shared" si="92"/>
        <v/>
      </c>
    </row>
    <row r="1935" spans="1:20" x14ac:dyDescent="0.3">
      <c r="A1935" s="26" t="str">
        <f>IF(BASE_CAIXA!A1932="","",BASE_CAIXA!A1932)</f>
        <v/>
      </c>
      <c r="B1935" s="26" t="str">
        <f>IF(A1935="","",BASE_CAIXA!AL1932)</f>
        <v/>
      </c>
      <c r="C1935" s="26" t="str">
        <f>IF(A1935="","",BASE_CAIXA!AJ1932)</f>
        <v/>
      </c>
      <c r="D1935" s="26" t="str">
        <f>IF(A1935="","",IF(BASE_CAIXA!C1932="Entrada","Crédito","Débito"))</f>
        <v/>
      </c>
      <c r="E1935" s="26" t="str">
        <f>IF(A1935="","",BASE_CAIXA!AA1932)</f>
        <v/>
      </c>
      <c r="F1935" s="26" t="str">
        <f>IF(A1935="","",BASE_CAIXA!N1932)</f>
        <v/>
      </c>
      <c r="G1935" s="26" t="str">
        <f>IF(A1935="","",BASE_CAIXA!O1932)</f>
        <v/>
      </c>
      <c r="H1935" s="26" t="str">
        <f>IF(A1935="","",BASE_CAIXA!P1932)</f>
        <v/>
      </c>
      <c r="I1935" s="26" t="str">
        <f>IF(A1935="","",IF(BASE_CAIXA!H1932&lt;&gt;"",BASE_CAIXA!H1932,BASE_CAIXA!G1932))</f>
        <v/>
      </c>
      <c r="J1935" s="26" t="str">
        <f>IF(A1935="","",BASE_CAIXA!G1932)</f>
        <v/>
      </c>
      <c r="K1935" s="26" t="str">
        <f>IF(A1935="","",BASE_CAIXA!I1932)</f>
        <v/>
      </c>
      <c r="L1935" s="26" t="str">
        <f>IF(A1935="","",BASE_CAIXA!J1932)</f>
        <v/>
      </c>
      <c r="M1935" s="26" t="str">
        <f>IF(A1935="","",BASE_CAIXA!AM1932)</f>
        <v/>
      </c>
      <c r="N1935" s="26" t="str">
        <f t="shared" ca="1" si="90"/>
        <v/>
      </c>
      <c r="O1935" s="26" t="str">
        <f>IFERROR(INDEX(EXTRATO_IMPORTADO!$A$5:$A$404,MATCH(B1935,EXTRATO_IMPORTADO!$I$5:$I$404,0)),"")</f>
        <v/>
      </c>
      <c r="P1935" s="26" t="str">
        <f>IFERROR(INDEX(EXTRATO_IMPORTADO!$F$5:$F$404,MATCH(B1935,EXTRATO_IMPORTADO!$I$5:$I$404,0)),"")</f>
        <v/>
      </c>
      <c r="Q1935" s="26" t="str">
        <f>IFERROR(INDEX(EXTRATO_IMPORTADO!$B$5:$B$404,MATCH(B1935,EXTRATO_IMPORTADO!$I$5:$I$404,0)),"")</f>
        <v/>
      </c>
      <c r="R1935" s="26" t="str">
        <f>IFERROR(MATCH(B1935,EXTRATO_IMPORTADO!$I$5:$I$404,0),"")</f>
        <v/>
      </c>
      <c r="S1935" s="26" t="str">
        <f t="shared" si="91"/>
        <v/>
      </c>
      <c r="T1935" s="26" t="str">
        <f t="shared" si="92"/>
        <v/>
      </c>
    </row>
    <row r="1936" spans="1:20" x14ac:dyDescent="0.3">
      <c r="A1936" s="26" t="str">
        <f>IF(BASE_CAIXA!A1933="","",BASE_CAIXA!A1933)</f>
        <v/>
      </c>
      <c r="B1936" s="26" t="str">
        <f>IF(A1936="","",BASE_CAIXA!AL1933)</f>
        <v/>
      </c>
      <c r="C1936" s="26" t="str">
        <f>IF(A1936="","",BASE_CAIXA!AJ1933)</f>
        <v/>
      </c>
      <c r="D1936" s="26" t="str">
        <f>IF(A1936="","",IF(BASE_CAIXA!C1933="Entrada","Crédito","Débito"))</f>
        <v/>
      </c>
      <c r="E1936" s="26" t="str">
        <f>IF(A1936="","",BASE_CAIXA!AA1933)</f>
        <v/>
      </c>
      <c r="F1936" s="26" t="str">
        <f>IF(A1936="","",BASE_CAIXA!N1933)</f>
        <v/>
      </c>
      <c r="G1936" s="26" t="str">
        <f>IF(A1936="","",BASE_CAIXA!O1933)</f>
        <v/>
      </c>
      <c r="H1936" s="26" t="str">
        <f>IF(A1936="","",BASE_CAIXA!P1933)</f>
        <v/>
      </c>
      <c r="I1936" s="26" t="str">
        <f>IF(A1936="","",IF(BASE_CAIXA!H1933&lt;&gt;"",BASE_CAIXA!H1933,BASE_CAIXA!G1933))</f>
        <v/>
      </c>
      <c r="J1936" s="26" t="str">
        <f>IF(A1936="","",BASE_CAIXA!G1933)</f>
        <v/>
      </c>
      <c r="K1936" s="26" t="str">
        <f>IF(A1936="","",BASE_CAIXA!I1933)</f>
        <v/>
      </c>
      <c r="L1936" s="26" t="str">
        <f>IF(A1936="","",BASE_CAIXA!J1933)</f>
        <v/>
      </c>
      <c r="M1936" s="26" t="str">
        <f>IF(A1936="","",BASE_CAIXA!AM1933)</f>
        <v/>
      </c>
      <c r="N1936" s="26" t="str">
        <f t="shared" ca="1" si="90"/>
        <v/>
      </c>
      <c r="O1936" s="26" t="str">
        <f>IFERROR(INDEX(EXTRATO_IMPORTADO!$A$5:$A$404,MATCH(B1936,EXTRATO_IMPORTADO!$I$5:$I$404,0)),"")</f>
        <v/>
      </c>
      <c r="P1936" s="26" t="str">
        <f>IFERROR(INDEX(EXTRATO_IMPORTADO!$F$5:$F$404,MATCH(B1936,EXTRATO_IMPORTADO!$I$5:$I$404,0)),"")</f>
        <v/>
      </c>
      <c r="Q1936" s="26" t="str">
        <f>IFERROR(INDEX(EXTRATO_IMPORTADO!$B$5:$B$404,MATCH(B1936,EXTRATO_IMPORTADO!$I$5:$I$404,0)),"")</f>
        <v/>
      </c>
      <c r="R1936" s="26" t="str">
        <f>IFERROR(MATCH(B1936,EXTRATO_IMPORTADO!$I$5:$I$404,0),"")</f>
        <v/>
      </c>
      <c r="S1936" s="26" t="str">
        <f t="shared" si="91"/>
        <v/>
      </c>
      <c r="T1936" s="26" t="str">
        <f t="shared" si="92"/>
        <v/>
      </c>
    </row>
    <row r="1937" spans="1:20" x14ac:dyDescent="0.3">
      <c r="A1937" s="26" t="str">
        <f>IF(BASE_CAIXA!A1934="","",BASE_CAIXA!A1934)</f>
        <v/>
      </c>
      <c r="B1937" s="26" t="str">
        <f>IF(A1937="","",BASE_CAIXA!AL1934)</f>
        <v/>
      </c>
      <c r="C1937" s="26" t="str">
        <f>IF(A1937="","",BASE_CAIXA!AJ1934)</f>
        <v/>
      </c>
      <c r="D1937" s="26" t="str">
        <f>IF(A1937="","",IF(BASE_CAIXA!C1934="Entrada","Crédito","Débito"))</f>
        <v/>
      </c>
      <c r="E1937" s="26" t="str">
        <f>IF(A1937="","",BASE_CAIXA!AA1934)</f>
        <v/>
      </c>
      <c r="F1937" s="26" t="str">
        <f>IF(A1937="","",BASE_CAIXA!N1934)</f>
        <v/>
      </c>
      <c r="G1937" s="26" t="str">
        <f>IF(A1937="","",BASE_CAIXA!O1934)</f>
        <v/>
      </c>
      <c r="H1937" s="26" t="str">
        <f>IF(A1937="","",BASE_CAIXA!P1934)</f>
        <v/>
      </c>
      <c r="I1937" s="26" t="str">
        <f>IF(A1937="","",IF(BASE_CAIXA!H1934&lt;&gt;"",BASE_CAIXA!H1934,BASE_CAIXA!G1934))</f>
        <v/>
      </c>
      <c r="J1937" s="26" t="str">
        <f>IF(A1937="","",BASE_CAIXA!G1934)</f>
        <v/>
      </c>
      <c r="K1937" s="26" t="str">
        <f>IF(A1937="","",BASE_CAIXA!I1934)</f>
        <v/>
      </c>
      <c r="L1937" s="26" t="str">
        <f>IF(A1937="","",BASE_CAIXA!J1934)</f>
        <v/>
      </c>
      <c r="M1937" s="26" t="str">
        <f>IF(A1937="","",BASE_CAIXA!AM1934)</f>
        <v/>
      </c>
      <c r="N1937" s="26" t="str">
        <f t="shared" ca="1" si="90"/>
        <v/>
      </c>
      <c r="O1937" s="26" t="str">
        <f>IFERROR(INDEX(EXTRATO_IMPORTADO!$A$5:$A$404,MATCH(B1937,EXTRATO_IMPORTADO!$I$5:$I$404,0)),"")</f>
        <v/>
      </c>
      <c r="P1937" s="26" t="str">
        <f>IFERROR(INDEX(EXTRATO_IMPORTADO!$F$5:$F$404,MATCH(B1937,EXTRATO_IMPORTADO!$I$5:$I$404,0)),"")</f>
        <v/>
      </c>
      <c r="Q1937" s="26" t="str">
        <f>IFERROR(INDEX(EXTRATO_IMPORTADO!$B$5:$B$404,MATCH(B1937,EXTRATO_IMPORTADO!$I$5:$I$404,0)),"")</f>
        <v/>
      </c>
      <c r="R1937" s="26" t="str">
        <f>IFERROR(MATCH(B1937,EXTRATO_IMPORTADO!$I$5:$I$404,0),"")</f>
        <v/>
      </c>
      <c r="S1937" s="26" t="str">
        <f t="shared" si="91"/>
        <v/>
      </c>
      <c r="T1937" s="26" t="str">
        <f t="shared" si="92"/>
        <v/>
      </c>
    </row>
    <row r="1938" spans="1:20" x14ac:dyDescent="0.3">
      <c r="A1938" s="26" t="str">
        <f>IF(BASE_CAIXA!A1935="","",BASE_CAIXA!A1935)</f>
        <v/>
      </c>
      <c r="B1938" s="26" t="str">
        <f>IF(A1938="","",BASE_CAIXA!AL1935)</f>
        <v/>
      </c>
      <c r="C1938" s="26" t="str">
        <f>IF(A1938="","",BASE_CAIXA!AJ1935)</f>
        <v/>
      </c>
      <c r="D1938" s="26" t="str">
        <f>IF(A1938="","",IF(BASE_CAIXA!C1935="Entrada","Crédito","Débito"))</f>
        <v/>
      </c>
      <c r="E1938" s="26" t="str">
        <f>IF(A1938="","",BASE_CAIXA!AA1935)</f>
        <v/>
      </c>
      <c r="F1938" s="26" t="str">
        <f>IF(A1938="","",BASE_CAIXA!N1935)</f>
        <v/>
      </c>
      <c r="G1938" s="26" t="str">
        <f>IF(A1938="","",BASE_CAIXA!O1935)</f>
        <v/>
      </c>
      <c r="H1938" s="26" t="str">
        <f>IF(A1938="","",BASE_CAIXA!P1935)</f>
        <v/>
      </c>
      <c r="I1938" s="26" t="str">
        <f>IF(A1938="","",IF(BASE_CAIXA!H1935&lt;&gt;"",BASE_CAIXA!H1935,BASE_CAIXA!G1935))</f>
        <v/>
      </c>
      <c r="J1938" s="26" t="str">
        <f>IF(A1938="","",BASE_CAIXA!G1935)</f>
        <v/>
      </c>
      <c r="K1938" s="26" t="str">
        <f>IF(A1938="","",BASE_CAIXA!I1935)</f>
        <v/>
      </c>
      <c r="L1938" s="26" t="str">
        <f>IF(A1938="","",BASE_CAIXA!J1935)</f>
        <v/>
      </c>
      <c r="M1938" s="26" t="str">
        <f>IF(A1938="","",BASE_CAIXA!AM1935)</f>
        <v/>
      </c>
      <c r="N1938" s="26" t="str">
        <f t="shared" ca="1" si="90"/>
        <v/>
      </c>
      <c r="O1938" s="26" t="str">
        <f>IFERROR(INDEX(EXTRATO_IMPORTADO!$A$5:$A$404,MATCH(B1938,EXTRATO_IMPORTADO!$I$5:$I$404,0)),"")</f>
        <v/>
      </c>
      <c r="P1938" s="26" t="str">
        <f>IFERROR(INDEX(EXTRATO_IMPORTADO!$F$5:$F$404,MATCH(B1938,EXTRATO_IMPORTADO!$I$5:$I$404,0)),"")</f>
        <v/>
      </c>
      <c r="Q1938" s="26" t="str">
        <f>IFERROR(INDEX(EXTRATO_IMPORTADO!$B$5:$B$404,MATCH(B1938,EXTRATO_IMPORTADO!$I$5:$I$404,0)),"")</f>
        <v/>
      </c>
      <c r="R1938" s="26" t="str">
        <f>IFERROR(MATCH(B1938,EXTRATO_IMPORTADO!$I$5:$I$404,0),"")</f>
        <v/>
      </c>
      <c r="S1938" s="26" t="str">
        <f t="shared" si="91"/>
        <v/>
      </c>
      <c r="T1938" s="26" t="str">
        <f t="shared" si="92"/>
        <v/>
      </c>
    </row>
    <row r="1939" spans="1:20" x14ac:dyDescent="0.3">
      <c r="A1939" s="26" t="str">
        <f>IF(BASE_CAIXA!A1936="","",BASE_CAIXA!A1936)</f>
        <v/>
      </c>
      <c r="B1939" s="26" t="str">
        <f>IF(A1939="","",BASE_CAIXA!AL1936)</f>
        <v/>
      </c>
      <c r="C1939" s="26" t="str">
        <f>IF(A1939="","",BASE_CAIXA!AJ1936)</f>
        <v/>
      </c>
      <c r="D1939" s="26" t="str">
        <f>IF(A1939="","",IF(BASE_CAIXA!C1936="Entrada","Crédito","Débito"))</f>
        <v/>
      </c>
      <c r="E1939" s="26" t="str">
        <f>IF(A1939="","",BASE_CAIXA!AA1936)</f>
        <v/>
      </c>
      <c r="F1939" s="26" t="str">
        <f>IF(A1939="","",BASE_CAIXA!N1936)</f>
        <v/>
      </c>
      <c r="G1939" s="26" t="str">
        <f>IF(A1939="","",BASE_CAIXA!O1936)</f>
        <v/>
      </c>
      <c r="H1939" s="26" t="str">
        <f>IF(A1939="","",BASE_CAIXA!P1936)</f>
        <v/>
      </c>
      <c r="I1939" s="26" t="str">
        <f>IF(A1939="","",IF(BASE_CAIXA!H1936&lt;&gt;"",BASE_CAIXA!H1936,BASE_CAIXA!G1936))</f>
        <v/>
      </c>
      <c r="J1939" s="26" t="str">
        <f>IF(A1939="","",BASE_CAIXA!G1936)</f>
        <v/>
      </c>
      <c r="K1939" s="26" t="str">
        <f>IF(A1939="","",BASE_CAIXA!I1936)</f>
        <v/>
      </c>
      <c r="L1939" s="26" t="str">
        <f>IF(A1939="","",BASE_CAIXA!J1936)</f>
        <v/>
      </c>
      <c r="M1939" s="26" t="str">
        <f>IF(A1939="","",BASE_CAIXA!AM1936)</f>
        <v/>
      </c>
      <c r="N1939" s="26" t="str">
        <f t="shared" ca="1" si="90"/>
        <v/>
      </c>
      <c r="O1939" s="26" t="str">
        <f>IFERROR(INDEX(EXTRATO_IMPORTADO!$A$5:$A$404,MATCH(B1939,EXTRATO_IMPORTADO!$I$5:$I$404,0)),"")</f>
        <v/>
      </c>
      <c r="P1939" s="26" t="str">
        <f>IFERROR(INDEX(EXTRATO_IMPORTADO!$F$5:$F$404,MATCH(B1939,EXTRATO_IMPORTADO!$I$5:$I$404,0)),"")</f>
        <v/>
      </c>
      <c r="Q1939" s="26" t="str">
        <f>IFERROR(INDEX(EXTRATO_IMPORTADO!$B$5:$B$404,MATCH(B1939,EXTRATO_IMPORTADO!$I$5:$I$404,0)),"")</f>
        <v/>
      </c>
      <c r="R1939" s="26" t="str">
        <f>IFERROR(MATCH(B1939,EXTRATO_IMPORTADO!$I$5:$I$404,0),"")</f>
        <v/>
      </c>
      <c r="S1939" s="26" t="str">
        <f t="shared" si="91"/>
        <v/>
      </c>
      <c r="T1939" s="26" t="str">
        <f t="shared" si="92"/>
        <v/>
      </c>
    </row>
    <row r="1940" spans="1:20" x14ac:dyDescent="0.3">
      <c r="A1940" s="26" t="str">
        <f>IF(BASE_CAIXA!A1937="","",BASE_CAIXA!A1937)</f>
        <v/>
      </c>
      <c r="B1940" s="26" t="str">
        <f>IF(A1940="","",BASE_CAIXA!AL1937)</f>
        <v/>
      </c>
      <c r="C1940" s="26" t="str">
        <f>IF(A1940="","",BASE_CAIXA!AJ1937)</f>
        <v/>
      </c>
      <c r="D1940" s="26" t="str">
        <f>IF(A1940="","",IF(BASE_CAIXA!C1937="Entrada","Crédito","Débito"))</f>
        <v/>
      </c>
      <c r="E1940" s="26" t="str">
        <f>IF(A1940="","",BASE_CAIXA!AA1937)</f>
        <v/>
      </c>
      <c r="F1940" s="26" t="str">
        <f>IF(A1940="","",BASE_CAIXA!N1937)</f>
        <v/>
      </c>
      <c r="G1940" s="26" t="str">
        <f>IF(A1940="","",BASE_CAIXA!O1937)</f>
        <v/>
      </c>
      <c r="H1940" s="26" t="str">
        <f>IF(A1940="","",BASE_CAIXA!P1937)</f>
        <v/>
      </c>
      <c r="I1940" s="26" t="str">
        <f>IF(A1940="","",IF(BASE_CAIXA!H1937&lt;&gt;"",BASE_CAIXA!H1937,BASE_CAIXA!G1937))</f>
        <v/>
      </c>
      <c r="J1940" s="26" t="str">
        <f>IF(A1940="","",BASE_CAIXA!G1937)</f>
        <v/>
      </c>
      <c r="K1940" s="26" t="str">
        <f>IF(A1940="","",BASE_CAIXA!I1937)</f>
        <v/>
      </c>
      <c r="L1940" s="26" t="str">
        <f>IF(A1940="","",BASE_CAIXA!J1937)</f>
        <v/>
      </c>
      <c r="M1940" s="26" t="str">
        <f>IF(A1940="","",BASE_CAIXA!AM1937)</f>
        <v/>
      </c>
      <c r="N1940" s="26" t="str">
        <f t="shared" ca="1" si="90"/>
        <v/>
      </c>
      <c r="O1940" s="26" t="str">
        <f>IFERROR(INDEX(EXTRATO_IMPORTADO!$A$5:$A$404,MATCH(B1940,EXTRATO_IMPORTADO!$I$5:$I$404,0)),"")</f>
        <v/>
      </c>
      <c r="P1940" s="26" t="str">
        <f>IFERROR(INDEX(EXTRATO_IMPORTADO!$F$5:$F$404,MATCH(B1940,EXTRATO_IMPORTADO!$I$5:$I$404,0)),"")</f>
        <v/>
      </c>
      <c r="Q1940" s="26" t="str">
        <f>IFERROR(INDEX(EXTRATO_IMPORTADO!$B$5:$B$404,MATCH(B1940,EXTRATO_IMPORTADO!$I$5:$I$404,0)),"")</f>
        <v/>
      </c>
      <c r="R1940" s="26" t="str">
        <f>IFERROR(MATCH(B1940,EXTRATO_IMPORTADO!$I$5:$I$404,0),"")</f>
        <v/>
      </c>
      <c r="S1940" s="26" t="str">
        <f t="shared" si="91"/>
        <v/>
      </c>
      <c r="T1940" s="26" t="str">
        <f t="shared" si="92"/>
        <v/>
      </c>
    </row>
    <row r="1941" spans="1:20" x14ac:dyDescent="0.3">
      <c r="A1941" s="26" t="str">
        <f>IF(BASE_CAIXA!A1938="","",BASE_CAIXA!A1938)</f>
        <v/>
      </c>
      <c r="B1941" s="26" t="str">
        <f>IF(A1941="","",BASE_CAIXA!AL1938)</f>
        <v/>
      </c>
      <c r="C1941" s="26" t="str">
        <f>IF(A1941="","",BASE_CAIXA!AJ1938)</f>
        <v/>
      </c>
      <c r="D1941" s="26" t="str">
        <f>IF(A1941="","",IF(BASE_CAIXA!C1938="Entrada","Crédito","Débito"))</f>
        <v/>
      </c>
      <c r="E1941" s="26" t="str">
        <f>IF(A1941="","",BASE_CAIXA!AA1938)</f>
        <v/>
      </c>
      <c r="F1941" s="26" t="str">
        <f>IF(A1941="","",BASE_CAIXA!N1938)</f>
        <v/>
      </c>
      <c r="G1941" s="26" t="str">
        <f>IF(A1941="","",BASE_CAIXA!O1938)</f>
        <v/>
      </c>
      <c r="H1941" s="26" t="str">
        <f>IF(A1941="","",BASE_CAIXA!P1938)</f>
        <v/>
      </c>
      <c r="I1941" s="26" t="str">
        <f>IF(A1941="","",IF(BASE_CAIXA!H1938&lt;&gt;"",BASE_CAIXA!H1938,BASE_CAIXA!G1938))</f>
        <v/>
      </c>
      <c r="J1941" s="26" t="str">
        <f>IF(A1941="","",BASE_CAIXA!G1938)</f>
        <v/>
      </c>
      <c r="K1941" s="26" t="str">
        <f>IF(A1941="","",BASE_CAIXA!I1938)</f>
        <v/>
      </c>
      <c r="L1941" s="26" t="str">
        <f>IF(A1941="","",BASE_CAIXA!J1938)</f>
        <v/>
      </c>
      <c r="M1941" s="26" t="str">
        <f>IF(A1941="","",BASE_CAIXA!AM1938)</f>
        <v/>
      </c>
      <c r="N1941" s="26" t="str">
        <f t="shared" ca="1" si="90"/>
        <v/>
      </c>
      <c r="O1941" s="26" t="str">
        <f>IFERROR(INDEX(EXTRATO_IMPORTADO!$A$5:$A$404,MATCH(B1941,EXTRATO_IMPORTADO!$I$5:$I$404,0)),"")</f>
        <v/>
      </c>
      <c r="P1941" s="26" t="str">
        <f>IFERROR(INDEX(EXTRATO_IMPORTADO!$F$5:$F$404,MATCH(B1941,EXTRATO_IMPORTADO!$I$5:$I$404,0)),"")</f>
        <v/>
      </c>
      <c r="Q1941" s="26" t="str">
        <f>IFERROR(INDEX(EXTRATO_IMPORTADO!$B$5:$B$404,MATCH(B1941,EXTRATO_IMPORTADO!$I$5:$I$404,0)),"")</f>
        <v/>
      </c>
      <c r="R1941" s="26" t="str">
        <f>IFERROR(MATCH(B1941,EXTRATO_IMPORTADO!$I$5:$I$404,0),"")</f>
        <v/>
      </c>
      <c r="S1941" s="26" t="str">
        <f t="shared" si="91"/>
        <v/>
      </c>
      <c r="T1941" s="26" t="str">
        <f t="shared" si="92"/>
        <v/>
      </c>
    </row>
    <row r="1942" spans="1:20" x14ac:dyDescent="0.3">
      <c r="A1942" s="26" t="str">
        <f>IF(BASE_CAIXA!A1939="","",BASE_CAIXA!A1939)</f>
        <v/>
      </c>
      <c r="B1942" s="26" t="str">
        <f>IF(A1942="","",BASE_CAIXA!AL1939)</f>
        <v/>
      </c>
      <c r="C1942" s="26" t="str">
        <f>IF(A1942="","",BASE_CAIXA!AJ1939)</f>
        <v/>
      </c>
      <c r="D1942" s="26" t="str">
        <f>IF(A1942="","",IF(BASE_CAIXA!C1939="Entrada","Crédito","Débito"))</f>
        <v/>
      </c>
      <c r="E1942" s="26" t="str">
        <f>IF(A1942="","",BASE_CAIXA!AA1939)</f>
        <v/>
      </c>
      <c r="F1942" s="26" t="str">
        <f>IF(A1942="","",BASE_CAIXA!N1939)</f>
        <v/>
      </c>
      <c r="G1942" s="26" t="str">
        <f>IF(A1942="","",BASE_CAIXA!O1939)</f>
        <v/>
      </c>
      <c r="H1942" s="26" t="str">
        <f>IF(A1942="","",BASE_CAIXA!P1939)</f>
        <v/>
      </c>
      <c r="I1942" s="26" t="str">
        <f>IF(A1942="","",IF(BASE_CAIXA!H1939&lt;&gt;"",BASE_CAIXA!H1939,BASE_CAIXA!G1939))</f>
        <v/>
      </c>
      <c r="J1942" s="26" t="str">
        <f>IF(A1942="","",BASE_CAIXA!G1939)</f>
        <v/>
      </c>
      <c r="K1942" s="26" t="str">
        <f>IF(A1942="","",BASE_CAIXA!I1939)</f>
        <v/>
      </c>
      <c r="L1942" s="26" t="str">
        <f>IF(A1942="","",BASE_CAIXA!J1939)</f>
        <v/>
      </c>
      <c r="M1942" s="26" t="str">
        <f>IF(A1942="","",BASE_CAIXA!AM1939)</f>
        <v/>
      </c>
      <c r="N1942" s="26" t="str">
        <f t="shared" ca="1" si="90"/>
        <v/>
      </c>
      <c r="O1942" s="26" t="str">
        <f>IFERROR(INDEX(EXTRATO_IMPORTADO!$A$5:$A$404,MATCH(B1942,EXTRATO_IMPORTADO!$I$5:$I$404,0)),"")</f>
        <v/>
      </c>
      <c r="P1942" s="26" t="str">
        <f>IFERROR(INDEX(EXTRATO_IMPORTADO!$F$5:$F$404,MATCH(B1942,EXTRATO_IMPORTADO!$I$5:$I$404,0)),"")</f>
        <v/>
      </c>
      <c r="Q1942" s="26" t="str">
        <f>IFERROR(INDEX(EXTRATO_IMPORTADO!$B$5:$B$404,MATCH(B1942,EXTRATO_IMPORTADO!$I$5:$I$404,0)),"")</f>
        <v/>
      </c>
      <c r="R1942" s="26" t="str">
        <f>IFERROR(MATCH(B1942,EXTRATO_IMPORTADO!$I$5:$I$404,0),"")</f>
        <v/>
      </c>
      <c r="S1942" s="26" t="str">
        <f t="shared" si="91"/>
        <v/>
      </c>
      <c r="T1942" s="26" t="str">
        <f t="shared" si="92"/>
        <v/>
      </c>
    </row>
    <row r="1943" spans="1:20" x14ac:dyDescent="0.3">
      <c r="A1943" s="26" t="str">
        <f>IF(BASE_CAIXA!A1940="","",BASE_CAIXA!A1940)</f>
        <v/>
      </c>
      <c r="B1943" s="26" t="str">
        <f>IF(A1943="","",BASE_CAIXA!AL1940)</f>
        <v/>
      </c>
      <c r="C1943" s="26" t="str">
        <f>IF(A1943="","",BASE_CAIXA!AJ1940)</f>
        <v/>
      </c>
      <c r="D1943" s="26" t="str">
        <f>IF(A1943="","",IF(BASE_CAIXA!C1940="Entrada","Crédito","Débito"))</f>
        <v/>
      </c>
      <c r="E1943" s="26" t="str">
        <f>IF(A1943="","",BASE_CAIXA!AA1940)</f>
        <v/>
      </c>
      <c r="F1943" s="26" t="str">
        <f>IF(A1943="","",BASE_CAIXA!N1940)</f>
        <v/>
      </c>
      <c r="G1943" s="26" t="str">
        <f>IF(A1943="","",BASE_CAIXA!O1940)</f>
        <v/>
      </c>
      <c r="H1943" s="26" t="str">
        <f>IF(A1943="","",BASE_CAIXA!P1940)</f>
        <v/>
      </c>
      <c r="I1943" s="26" t="str">
        <f>IF(A1943="","",IF(BASE_CAIXA!H1940&lt;&gt;"",BASE_CAIXA!H1940,BASE_CAIXA!G1940))</f>
        <v/>
      </c>
      <c r="J1943" s="26" t="str">
        <f>IF(A1943="","",BASE_CAIXA!G1940)</f>
        <v/>
      </c>
      <c r="K1943" s="26" t="str">
        <f>IF(A1943="","",BASE_CAIXA!I1940)</f>
        <v/>
      </c>
      <c r="L1943" s="26" t="str">
        <f>IF(A1943="","",BASE_CAIXA!J1940)</f>
        <v/>
      </c>
      <c r="M1943" s="26" t="str">
        <f>IF(A1943="","",BASE_CAIXA!AM1940)</f>
        <v/>
      </c>
      <c r="N1943" s="26" t="str">
        <f t="shared" ca="1" si="90"/>
        <v/>
      </c>
      <c r="O1943" s="26" t="str">
        <f>IFERROR(INDEX(EXTRATO_IMPORTADO!$A$5:$A$404,MATCH(B1943,EXTRATO_IMPORTADO!$I$5:$I$404,0)),"")</f>
        <v/>
      </c>
      <c r="P1943" s="26" t="str">
        <f>IFERROR(INDEX(EXTRATO_IMPORTADO!$F$5:$F$404,MATCH(B1943,EXTRATO_IMPORTADO!$I$5:$I$404,0)),"")</f>
        <v/>
      </c>
      <c r="Q1943" s="26" t="str">
        <f>IFERROR(INDEX(EXTRATO_IMPORTADO!$B$5:$B$404,MATCH(B1943,EXTRATO_IMPORTADO!$I$5:$I$404,0)),"")</f>
        <v/>
      </c>
      <c r="R1943" s="26" t="str">
        <f>IFERROR(MATCH(B1943,EXTRATO_IMPORTADO!$I$5:$I$404,0),"")</f>
        <v/>
      </c>
      <c r="S1943" s="26" t="str">
        <f t="shared" si="91"/>
        <v/>
      </c>
      <c r="T1943" s="26" t="str">
        <f t="shared" si="92"/>
        <v/>
      </c>
    </row>
    <row r="1944" spans="1:20" x14ac:dyDescent="0.3">
      <c r="A1944" s="26" t="str">
        <f>IF(BASE_CAIXA!A1941="","",BASE_CAIXA!A1941)</f>
        <v/>
      </c>
      <c r="B1944" s="26" t="str">
        <f>IF(A1944="","",BASE_CAIXA!AL1941)</f>
        <v/>
      </c>
      <c r="C1944" s="26" t="str">
        <f>IF(A1944="","",BASE_CAIXA!AJ1941)</f>
        <v/>
      </c>
      <c r="D1944" s="26" t="str">
        <f>IF(A1944="","",IF(BASE_CAIXA!C1941="Entrada","Crédito","Débito"))</f>
        <v/>
      </c>
      <c r="E1944" s="26" t="str">
        <f>IF(A1944="","",BASE_CAIXA!AA1941)</f>
        <v/>
      </c>
      <c r="F1944" s="26" t="str">
        <f>IF(A1944="","",BASE_CAIXA!N1941)</f>
        <v/>
      </c>
      <c r="G1944" s="26" t="str">
        <f>IF(A1944="","",BASE_CAIXA!O1941)</f>
        <v/>
      </c>
      <c r="H1944" s="26" t="str">
        <f>IF(A1944="","",BASE_CAIXA!P1941)</f>
        <v/>
      </c>
      <c r="I1944" s="26" t="str">
        <f>IF(A1944="","",IF(BASE_CAIXA!H1941&lt;&gt;"",BASE_CAIXA!H1941,BASE_CAIXA!G1941))</f>
        <v/>
      </c>
      <c r="J1944" s="26" t="str">
        <f>IF(A1944="","",BASE_CAIXA!G1941)</f>
        <v/>
      </c>
      <c r="K1944" s="26" t="str">
        <f>IF(A1944="","",BASE_CAIXA!I1941)</f>
        <v/>
      </c>
      <c r="L1944" s="26" t="str">
        <f>IF(A1944="","",BASE_CAIXA!J1941)</f>
        <v/>
      </c>
      <c r="M1944" s="26" t="str">
        <f>IF(A1944="","",BASE_CAIXA!AM1941)</f>
        <v/>
      </c>
      <c r="N1944" s="26" t="str">
        <f t="shared" ca="1" si="90"/>
        <v/>
      </c>
      <c r="O1944" s="26" t="str">
        <f>IFERROR(INDEX(EXTRATO_IMPORTADO!$A$5:$A$404,MATCH(B1944,EXTRATO_IMPORTADO!$I$5:$I$404,0)),"")</f>
        <v/>
      </c>
      <c r="P1944" s="26" t="str">
        <f>IFERROR(INDEX(EXTRATO_IMPORTADO!$F$5:$F$404,MATCH(B1944,EXTRATO_IMPORTADO!$I$5:$I$404,0)),"")</f>
        <v/>
      </c>
      <c r="Q1944" s="26" t="str">
        <f>IFERROR(INDEX(EXTRATO_IMPORTADO!$B$5:$B$404,MATCH(B1944,EXTRATO_IMPORTADO!$I$5:$I$404,0)),"")</f>
        <v/>
      </c>
      <c r="R1944" s="26" t="str">
        <f>IFERROR(MATCH(B1944,EXTRATO_IMPORTADO!$I$5:$I$404,0),"")</f>
        <v/>
      </c>
      <c r="S1944" s="26" t="str">
        <f t="shared" si="91"/>
        <v/>
      </c>
      <c r="T1944" s="26" t="str">
        <f t="shared" si="92"/>
        <v/>
      </c>
    </row>
    <row r="1945" spans="1:20" x14ac:dyDescent="0.3">
      <c r="A1945" s="26" t="str">
        <f>IF(BASE_CAIXA!A1942="","",BASE_CAIXA!A1942)</f>
        <v/>
      </c>
      <c r="B1945" s="26" t="str">
        <f>IF(A1945="","",BASE_CAIXA!AL1942)</f>
        <v/>
      </c>
      <c r="C1945" s="26" t="str">
        <f>IF(A1945="","",BASE_CAIXA!AJ1942)</f>
        <v/>
      </c>
      <c r="D1945" s="26" t="str">
        <f>IF(A1945="","",IF(BASE_CAIXA!C1942="Entrada","Crédito","Débito"))</f>
        <v/>
      </c>
      <c r="E1945" s="26" t="str">
        <f>IF(A1945="","",BASE_CAIXA!AA1942)</f>
        <v/>
      </c>
      <c r="F1945" s="26" t="str">
        <f>IF(A1945="","",BASE_CAIXA!N1942)</f>
        <v/>
      </c>
      <c r="G1945" s="26" t="str">
        <f>IF(A1945="","",BASE_CAIXA!O1942)</f>
        <v/>
      </c>
      <c r="H1945" s="26" t="str">
        <f>IF(A1945="","",BASE_CAIXA!P1942)</f>
        <v/>
      </c>
      <c r="I1945" s="26" t="str">
        <f>IF(A1945="","",IF(BASE_CAIXA!H1942&lt;&gt;"",BASE_CAIXA!H1942,BASE_CAIXA!G1942))</f>
        <v/>
      </c>
      <c r="J1945" s="26" t="str">
        <f>IF(A1945="","",BASE_CAIXA!G1942)</f>
        <v/>
      </c>
      <c r="K1945" s="26" t="str">
        <f>IF(A1945="","",BASE_CAIXA!I1942)</f>
        <v/>
      </c>
      <c r="L1945" s="26" t="str">
        <f>IF(A1945="","",BASE_CAIXA!J1942)</f>
        <v/>
      </c>
      <c r="M1945" s="26" t="str">
        <f>IF(A1945="","",BASE_CAIXA!AM1942)</f>
        <v/>
      </c>
      <c r="N1945" s="26" t="str">
        <f t="shared" ca="1" si="90"/>
        <v/>
      </c>
      <c r="O1945" s="26" t="str">
        <f>IFERROR(INDEX(EXTRATO_IMPORTADO!$A$5:$A$404,MATCH(B1945,EXTRATO_IMPORTADO!$I$5:$I$404,0)),"")</f>
        <v/>
      </c>
      <c r="P1945" s="26" t="str">
        <f>IFERROR(INDEX(EXTRATO_IMPORTADO!$F$5:$F$404,MATCH(B1945,EXTRATO_IMPORTADO!$I$5:$I$404,0)),"")</f>
        <v/>
      </c>
      <c r="Q1945" s="26" t="str">
        <f>IFERROR(INDEX(EXTRATO_IMPORTADO!$B$5:$B$404,MATCH(B1945,EXTRATO_IMPORTADO!$I$5:$I$404,0)),"")</f>
        <v/>
      </c>
      <c r="R1945" s="26" t="str">
        <f>IFERROR(MATCH(B1945,EXTRATO_IMPORTADO!$I$5:$I$404,0),"")</f>
        <v/>
      </c>
      <c r="S1945" s="26" t="str">
        <f t="shared" si="91"/>
        <v/>
      </c>
      <c r="T1945" s="26" t="str">
        <f t="shared" si="92"/>
        <v/>
      </c>
    </row>
    <row r="1946" spans="1:20" x14ac:dyDescent="0.3">
      <c r="A1946" s="26" t="str">
        <f>IF(BASE_CAIXA!A1943="","",BASE_CAIXA!A1943)</f>
        <v/>
      </c>
      <c r="B1946" s="26" t="str">
        <f>IF(A1946="","",BASE_CAIXA!AL1943)</f>
        <v/>
      </c>
      <c r="C1946" s="26" t="str">
        <f>IF(A1946="","",BASE_CAIXA!AJ1943)</f>
        <v/>
      </c>
      <c r="D1946" s="26" t="str">
        <f>IF(A1946="","",IF(BASE_CAIXA!C1943="Entrada","Crédito","Débito"))</f>
        <v/>
      </c>
      <c r="E1946" s="26" t="str">
        <f>IF(A1946="","",BASE_CAIXA!AA1943)</f>
        <v/>
      </c>
      <c r="F1946" s="26" t="str">
        <f>IF(A1946="","",BASE_CAIXA!N1943)</f>
        <v/>
      </c>
      <c r="G1946" s="26" t="str">
        <f>IF(A1946="","",BASE_CAIXA!O1943)</f>
        <v/>
      </c>
      <c r="H1946" s="26" t="str">
        <f>IF(A1946="","",BASE_CAIXA!P1943)</f>
        <v/>
      </c>
      <c r="I1946" s="26" t="str">
        <f>IF(A1946="","",IF(BASE_CAIXA!H1943&lt;&gt;"",BASE_CAIXA!H1943,BASE_CAIXA!G1943))</f>
        <v/>
      </c>
      <c r="J1946" s="26" t="str">
        <f>IF(A1946="","",BASE_CAIXA!G1943)</f>
        <v/>
      </c>
      <c r="K1946" s="26" t="str">
        <f>IF(A1946="","",BASE_CAIXA!I1943)</f>
        <v/>
      </c>
      <c r="L1946" s="26" t="str">
        <f>IF(A1946="","",BASE_CAIXA!J1943)</f>
        <v/>
      </c>
      <c r="M1946" s="26" t="str">
        <f>IF(A1946="","",BASE_CAIXA!AM1943)</f>
        <v/>
      </c>
      <c r="N1946" s="26" t="str">
        <f t="shared" ca="1" si="90"/>
        <v/>
      </c>
      <c r="O1946" s="26" t="str">
        <f>IFERROR(INDEX(EXTRATO_IMPORTADO!$A$5:$A$404,MATCH(B1946,EXTRATO_IMPORTADO!$I$5:$I$404,0)),"")</f>
        <v/>
      </c>
      <c r="P1946" s="26" t="str">
        <f>IFERROR(INDEX(EXTRATO_IMPORTADO!$F$5:$F$404,MATCH(B1946,EXTRATO_IMPORTADO!$I$5:$I$404,0)),"")</f>
        <v/>
      </c>
      <c r="Q1946" s="26" t="str">
        <f>IFERROR(INDEX(EXTRATO_IMPORTADO!$B$5:$B$404,MATCH(B1946,EXTRATO_IMPORTADO!$I$5:$I$404,0)),"")</f>
        <v/>
      </c>
      <c r="R1946" s="26" t="str">
        <f>IFERROR(MATCH(B1946,EXTRATO_IMPORTADO!$I$5:$I$404,0),"")</f>
        <v/>
      </c>
      <c r="S1946" s="26" t="str">
        <f t="shared" si="91"/>
        <v/>
      </c>
      <c r="T1946" s="26" t="str">
        <f t="shared" si="92"/>
        <v/>
      </c>
    </row>
    <row r="1947" spans="1:20" x14ac:dyDescent="0.3">
      <c r="A1947" s="26" t="str">
        <f>IF(BASE_CAIXA!A1944="","",BASE_CAIXA!A1944)</f>
        <v/>
      </c>
      <c r="B1947" s="26" t="str">
        <f>IF(A1947="","",BASE_CAIXA!AL1944)</f>
        <v/>
      </c>
      <c r="C1947" s="26" t="str">
        <f>IF(A1947="","",BASE_CAIXA!AJ1944)</f>
        <v/>
      </c>
      <c r="D1947" s="26" t="str">
        <f>IF(A1947="","",IF(BASE_CAIXA!C1944="Entrada","Crédito","Débito"))</f>
        <v/>
      </c>
      <c r="E1947" s="26" t="str">
        <f>IF(A1947="","",BASE_CAIXA!AA1944)</f>
        <v/>
      </c>
      <c r="F1947" s="26" t="str">
        <f>IF(A1947="","",BASE_CAIXA!N1944)</f>
        <v/>
      </c>
      <c r="G1947" s="26" t="str">
        <f>IF(A1947="","",BASE_CAIXA!O1944)</f>
        <v/>
      </c>
      <c r="H1947" s="26" t="str">
        <f>IF(A1947="","",BASE_CAIXA!P1944)</f>
        <v/>
      </c>
      <c r="I1947" s="26" t="str">
        <f>IF(A1947="","",IF(BASE_CAIXA!H1944&lt;&gt;"",BASE_CAIXA!H1944,BASE_CAIXA!G1944))</f>
        <v/>
      </c>
      <c r="J1947" s="26" t="str">
        <f>IF(A1947="","",BASE_CAIXA!G1944)</f>
        <v/>
      </c>
      <c r="K1947" s="26" t="str">
        <f>IF(A1947="","",BASE_CAIXA!I1944)</f>
        <v/>
      </c>
      <c r="L1947" s="26" t="str">
        <f>IF(A1947="","",BASE_CAIXA!J1944)</f>
        <v/>
      </c>
      <c r="M1947" s="26" t="str">
        <f>IF(A1947="","",BASE_CAIXA!AM1944)</f>
        <v/>
      </c>
      <c r="N1947" s="26" t="str">
        <f t="shared" ca="1" si="90"/>
        <v/>
      </c>
      <c r="O1947" s="26" t="str">
        <f>IFERROR(INDEX(EXTRATO_IMPORTADO!$A$5:$A$404,MATCH(B1947,EXTRATO_IMPORTADO!$I$5:$I$404,0)),"")</f>
        <v/>
      </c>
      <c r="P1947" s="26" t="str">
        <f>IFERROR(INDEX(EXTRATO_IMPORTADO!$F$5:$F$404,MATCH(B1947,EXTRATO_IMPORTADO!$I$5:$I$404,0)),"")</f>
        <v/>
      </c>
      <c r="Q1947" s="26" t="str">
        <f>IFERROR(INDEX(EXTRATO_IMPORTADO!$B$5:$B$404,MATCH(B1947,EXTRATO_IMPORTADO!$I$5:$I$404,0)),"")</f>
        <v/>
      </c>
      <c r="R1947" s="26" t="str">
        <f>IFERROR(MATCH(B1947,EXTRATO_IMPORTADO!$I$5:$I$404,0),"")</f>
        <v/>
      </c>
      <c r="S1947" s="26" t="str">
        <f t="shared" si="91"/>
        <v/>
      </c>
      <c r="T1947" s="26" t="str">
        <f t="shared" si="92"/>
        <v/>
      </c>
    </row>
    <row r="1948" spans="1:20" x14ac:dyDescent="0.3">
      <c r="A1948" s="26" t="str">
        <f>IF(BASE_CAIXA!A1945="","",BASE_CAIXA!A1945)</f>
        <v/>
      </c>
      <c r="B1948" s="26" t="str">
        <f>IF(A1948="","",BASE_CAIXA!AL1945)</f>
        <v/>
      </c>
      <c r="C1948" s="26" t="str">
        <f>IF(A1948="","",BASE_CAIXA!AJ1945)</f>
        <v/>
      </c>
      <c r="D1948" s="26" t="str">
        <f>IF(A1948="","",IF(BASE_CAIXA!C1945="Entrada","Crédito","Débito"))</f>
        <v/>
      </c>
      <c r="E1948" s="26" t="str">
        <f>IF(A1948="","",BASE_CAIXA!AA1945)</f>
        <v/>
      </c>
      <c r="F1948" s="26" t="str">
        <f>IF(A1948="","",BASE_CAIXA!N1945)</f>
        <v/>
      </c>
      <c r="G1948" s="26" t="str">
        <f>IF(A1948="","",BASE_CAIXA!O1945)</f>
        <v/>
      </c>
      <c r="H1948" s="26" t="str">
        <f>IF(A1948="","",BASE_CAIXA!P1945)</f>
        <v/>
      </c>
      <c r="I1948" s="26" t="str">
        <f>IF(A1948="","",IF(BASE_CAIXA!H1945&lt;&gt;"",BASE_CAIXA!H1945,BASE_CAIXA!G1945))</f>
        <v/>
      </c>
      <c r="J1948" s="26" t="str">
        <f>IF(A1948="","",BASE_CAIXA!G1945)</f>
        <v/>
      </c>
      <c r="K1948" s="26" t="str">
        <f>IF(A1948="","",BASE_CAIXA!I1945)</f>
        <v/>
      </c>
      <c r="L1948" s="26" t="str">
        <f>IF(A1948="","",BASE_CAIXA!J1945)</f>
        <v/>
      </c>
      <c r="M1948" s="26" t="str">
        <f>IF(A1948="","",BASE_CAIXA!AM1945)</f>
        <v/>
      </c>
      <c r="N1948" s="26" t="str">
        <f t="shared" ca="1" si="90"/>
        <v/>
      </c>
      <c r="O1948" s="26" t="str">
        <f>IFERROR(INDEX(EXTRATO_IMPORTADO!$A$5:$A$404,MATCH(B1948,EXTRATO_IMPORTADO!$I$5:$I$404,0)),"")</f>
        <v/>
      </c>
      <c r="P1948" s="26" t="str">
        <f>IFERROR(INDEX(EXTRATO_IMPORTADO!$F$5:$F$404,MATCH(B1948,EXTRATO_IMPORTADO!$I$5:$I$404,0)),"")</f>
        <v/>
      </c>
      <c r="Q1948" s="26" t="str">
        <f>IFERROR(INDEX(EXTRATO_IMPORTADO!$B$5:$B$404,MATCH(B1948,EXTRATO_IMPORTADO!$I$5:$I$404,0)),"")</f>
        <v/>
      </c>
      <c r="R1948" s="26" t="str">
        <f>IFERROR(MATCH(B1948,EXTRATO_IMPORTADO!$I$5:$I$404,0),"")</f>
        <v/>
      </c>
      <c r="S1948" s="26" t="str">
        <f t="shared" si="91"/>
        <v/>
      </c>
      <c r="T1948" s="26" t="str">
        <f t="shared" si="92"/>
        <v/>
      </c>
    </row>
    <row r="1949" spans="1:20" x14ac:dyDescent="0.3">
      <c r="A1949" s="26" t="str">
        <f>IF(BASE_CAIXA!A1946="","",BASE_CAIXA!A1946)</f>
        <v/>
      </c>
      <c r="B1949" s="26" t="str">
        <f>IF(A1949="","",BASE_CAIXA!AL1946)</f>
        <v/>
      </c>
      <c r="C1949" s="26" t="str">
        <f>IF(A1949="","",BASE_CAIXA!AJ1946)</f>
        <v/>
      </c>
      <c r="D1949" s="26" t="str">
        <f>IF(A1949="","",IF(BASE_CAIXA!C1946="Entrada","Crédito","Débito"))</f>
        <v/>
      </c>
      <c r="E1949" s="26" t="str">
        <f>IF(A1949="","",BASE_CAIXA!AA1946)</f>
        <v/>
      </c>
      <c r="F1949" s="26" t="str">
        <f>IF(A1949="","",BASE_CAIXA!N1946)</f>
        <v/>
      </c>
      <c r="G1949" s="26" t="str">
        <f>IF(A1949="","",BASE_CAIXA!O1946)</f>
        <v/>
      </c>
      <c r="H1949" s="26" t="str">
        <f>IF(A1949="","",BASE_CAIXA!P1946)</f>
        <v/>
      </c>
      <c r="I1949" s="26" t="str">
        <f>IF(A1949="","",IF(BASE_CAIXA!H1946&lt;&gt;"",BASE_CAIXA!H1946,BASE_CAIXA!G1946))</f>
        <v/>
      </c>
      <c r="J1949" s="26" t="str">
        <f>IF(A1949="","",BASE_CAIXA!G1946)</f>
        <v/>
      </c>
      <c r="K1949" s="26" t="str">
        <f>IF(A1949="","",BASE_CAIXA!I1946)</f>
        <v/>
      </c>
      <c r="L1949" s="26" t="str">
        <f>IF(A1949="","",BASE_CAIXA!J1946)</f>
        <v/>
      </c>
      <c r="M1949" s="26" t="str">
        <f>IF(A1949="","",BASE_CAIXA!AM1946)</f>
        <v/>
      </c>
      <c r="N1949" s="26" t="str">
        <f t="shared" ca="1" si="90"/>
        <v/>
      </c>
      <c r="O1949" s="26" t="str">
        <f>IFERROR(INDEX(EXTRATO_IMPORTADO!$A$5:$A$404,MATCH(B1949,EXTRATO_IMPORTADO!$I$5:$I$404,0)),"")</f>
        <v/>
      </c>
      <c r="P1949" s="26" t="str">
        <f>IFERROR(INDEX(EXTRATO_IMPORTADO!$F$5:$F$404,MATCH(B1949,EXTRATO_IMPORTADO!$I$5:$I$404,0)),"")</f>
        <v/>
      </c>
      <c r="Q1949" s="26" t="str">
        <f>IFERROR(INDEX(EXTRATO_IMPORTADO!$B$5:$B$404,MATCH(B1949,EXTRATO_IMPORTADO!$I$5:$I$404,0)),"")</f>
        <v/>
      </c>
      <c r="R1949" s="26" t="str">
        <f>IFERROR(MATCH(B1949,EXTRATO_IMPORTADO!$I$5:$I$404,0),"")</f>
        <v/>
      </c>
      <c r="S1949" s="26" t="str">
        <f t="shared" si="91"/>
        <v/>
      </c>
      <c r="T1949" s="26" t="str">
        <f t="shared" si="92"/>
        <v/>
      </c>
    </row>
    <row r="1950" spans="1:20" x14ac:dyDescent="0.3">
      <c r="A1950" s="26" t="str">
        <f>IF(BASE_CAIXA!A1947="","",BASE_CAIXA!A1947)</f>
        <v/>
      </c>
      <c r="B1950" s="26" t="str">
        <f>IF(A1950="","",BASE_CAIXA!AL1947)</f>
        <v/>
      </c>
      <c r="C1950" s="26" t="str">
        <f>IF(A1950="","",BASE_CAIXA!AJ1947)</f>
        <v/>
      </c>
      <c r="D1950" s="26" t="str">
        <f>IF(A1950="","",IF(BASE_CAIXA!C1947="Entrada","Crédito","Débito"))</f>
        <v/>
      </c>
      <c r="E1950" s="26" t="str">
        <f>IF(A1950="","",BASE_CAIXA!AA1947)</f>
        <v/>
      </c>
      <c r="F1950" s="26" t="str">
        <f>IF(A1950="","",BASE_CAIXA!N1947)</f>
        <v/>
      </c>
      <c r="G1950" s="26" t="str">
        <f>IF(A1950="","",BASE_CAIXA!O1947)</f>
        <v/>
      </c>
      <c r="H1950" s="26" t="str">
        <f>IF(A1950="","",BASE_CAIXA!P1947)</f>
        <v/>
      </c>
      <c r="I1950" s="26" t="str">
        <f>IF(A1950="","",IF(BASE_CAIXA!H1947&lt;&gt;"",BASE_CAIXA!H1947,BASE_CAIXA!G1947))</f>
        <v/>
      </c>
      <c r="J1950" s="26" t="str">
        <f>IF(A1950="","",BASE_CAIXA!G1947)</f>
        <v/>
      </c>
      <c r="K1950" s="26" t="str">
        <f>IF(A1950="","",BASE_CAIXA!I1947)</f>
        <v/>
      </c>
      <c r="L1950" s="26" t="str">
        <f>IF(A1950="","",BASE_CAIXA!J1947)</f>
        <v/>
      </c>
      <c r="M1950" s="26" t="str">
        <f>IF(A1950="","",BASE_CAIXA!AM1947)</f>
        <v/>
      </c>
      <c r="N1950" s="26" t="str">
        <f t="shared" ca="1" si="90"/>
        <v/>
      </c>
      <c r="O1950" s="26" t="str">
        <f>IFERROR(INDEX(EXTRATO_IMPORTADO!$A$5:$A$404,MATCH(B1950,EXTRATO_IMPORTADO!$I$5:$I$404,0)),"")</f>
        <v/>
      </c>
      <c r="P1950" s="26" t="str">
        <f>IFERROR(INDEX(EXTRATO_IMPORTADO!$F$5:$F$404,MATCH(B1950,EXTRATO_IMPORTADO!$I$5:$I$404,0)),"")</f>
        <v/>
      </c>
      <c r="Q1950" s="26" t="str">
        <f>IFERROR(INDEX(EXTRATO_IMPORTADO!$B$5:$B$404,MATCH(B1950,EXTRATO_IMPORTADO!$I$5:$I$404,0)),"")</f>
        <v/>
      </c>
      <c r="R1950" s="26" t="str">
        <f>IFERROR(MATCH(B1950,EXTRATO_IMPORTADO!$I$5:$I$404,0),"")</f>
        <v/>
      </c>
      <c r="S1950" s="26" t="str">
        <f t="shared" si="91"/>
        <v/>
      </c>
      <c r="T1950" s="26" t="str">
        <f t="shared" si="92"/>
        <v/>
      </c>
    </row>
    <row r="1951" spans="1:20" x14ac:dyDescent="0.3">
      <c r="A1951" s="26" t="str">
        <f>IF(BASE_CAIXA!A1948="","",BASE_CAIXA!A1948)</f>
        <v/>
      </c>
      <c r="B1951" s="26" t="str">
        <f>IF(A1951="","",BASE_CAIXA!AL1948)</f>
        <v/>
      </c>
      <c r="C1951" s="26" t="str">
        <f>IF(A1951="","",BASE_CAIXA!AJ1948)</f>
        <v/>
      </c>
      <c r="D1951" s="26" t="str">
        <f>IF(A1951="","",IF(BASE_CAIXA!C1948="Entrada","Crédito","Débito"))</f>
        <v/>
      </c>
      <c r="E1951" s="26" t="str">
        <f>IF(A1951="","",BASE_CAIXA!AA1948)</f>
        <v/>
      </c>
      <c r="F1951" s="26" t="str">
        <f>IF(A1951="","",BASE_CAIXA!N1948)</f>
        <v/>
      </c>
      <c r="G1951" s="26" t="str">
        <f>IF(A1951="","",BASE_CAIXA!O1948)</f>
        <v/>
      </c>
      <c r="H1951" s="26" t="str">
        <f>IF(A1951="","",BASE_CAIXA!P1948)</f>
        <v/>
      </c>
      <c r="I1951" s="26" t="str">
        <f>IF(A1951="","",IF(BASE_CAIXA!H1948&lt;&gt;"",BASE_CAIXA!H1948,BASE_CAIXA!G1948))</f>
        <v/>
      </c>
      <c r="J1951" s="26" t="str">
        <f>IF(A1951="","",BASE_CAIXA!G1948)</f>
        <v/>
      </c>
      <c r="K1951" s="26" t="str">
        <f>IF(A1951="","",BASE_CAIXA!I1948)</f>
        <v/>
      </c>
      <c r="L1951" s="26" t="str">
        <f>IF(A1951="","",BASE_CAIXA!J1948)</f>
        <v/>
      </c>
      <c r="M1951" s="26" t="str">
        <f>IF(A1951="","",BASE_CAIXA!AM1948)</f>
        <v/>
      </c>
      <c r="N1951" s="26" t="str">
        <f t="shared" ca="1" si="90"/>
        <v/>
      </c>
      <c r="O1951" s="26" t="str">
        <f>IFERROR(INDEX(EXTRATO_IMPORTADO!$A$5:$A$404,MATCH(B1951,EXTRATO_IMPORTADO!$I$5:$I$404,0)),"")</f>
        <v/>
      </c>
      <c r="P1951" s="26" t="str">
        <f>IFERROR(INDEX(EXTRATO_IMPORTADO!$F$5:$F$404,MATCH(B1951,EXTRATO_IMPORTADO!$I$5:$I$404,0)),"")</f>
        <v/>
      </c>
      <c r="Q1951" s="26" t="str">
        <f>IFERROR(INDEX(EXTRATO_IMPORTADO!$B$5:$B$404,MATCH(B1951,EXTRATO_IMPORTADO!$I$5:$I$404,0)),"")</f>
        <v/>
      </c>
      <c r="R1951" s="26" t="str">
        <f>IFERROR(MATCH(B1951,EXTRATO_IMPORTADO!$I$5:$I$404,0),"")</f>
        <v/>
      </c>
      <c r="S1951" s="26" t="str">
        <f t="shared" si="91"/>
        <v/>
      </c>
      <c r="T1951" s="26" t="str">
        <f t="shared" si="92"/>
        <v/>
      </c>
    </row>
    <row r="1952" spans="1:20" x14ac:dyDescent="0.3">
      <c r="A1952" s="26" t="str">
        <f>IF(BASE_CAIXA!A1949="","",BASE_CAIXA!A1949)</f>
        <v/>
      </c>
      <c r="B1952" s="26" t="str">
        <f>IF(A1952="","",BASE_CAIXA!AL1949)</f>
        <v/>
      </c>
      <c r="C1952" s="26" t="str">
        <f>IF(A1952="","",BASE_CAIXA!AJ1949)</f>
        <v/>
      </c>
      <c r="D1952" s="26" t="str">
        <f>IF(A1952="","",IF(BASE_CAIXA!C1949="Entrada","Crédito","Débito"))</f>
        <v/>
      </c>
      <c r="E1952" s="26" t="str">
        <f>IF(A1952="","",BASE_CAIXA!AA1949)</f>
        <v/>
      </c>
      <c r="F1952" s="26" t="str">
        <f>IF(A1952="","",BASE_CAIXA!N1949)</f>
        <v/>
      </c>
      <c r="G1952" s="26" t="str">
        <f>IF(A1952="","",BASE_CAIXA!O1949)</f>
        <v/>
      </c>
      <c r="H1952" s="26" t="str">
        <f>IF(A1952="","",BASE_CAIXA!P1949)</f>
        <v/>
      </c>
      <c r="I1952" s="26" t="str">
        <f>IF(A1952="","",IF(BASE_CAIXA!H1949&lt;&gt;"",BASE_CAIXA!H1949,BASE_CAIXA!G1949))</f>
        <v/>
      </c>
      <c r="J1952" s="26" t="str">
        <f>IF(A1952="","",BASE_CAIXA!G1949)</f>
        <v/>
      </c>
      <c r="K1952" s="26" t="str">
        <f>IF(A1952="","",BASE_CAIXA!I1949)</f>
        <v/>
      </c>
      <c r="L1952" s="26" t="str">
        <f>IF(A1952="","",BASE_CAIXA!J1949)</f>
        <v/>
      </c>
      <c r="M1952" s="26" t="str">
        <f>IF(A1952="","",BASE_CAIXA!AM1949)</f>
        <v/>
      </c>
      <c r="N1952" s="26" t="str">
        <f t="shared" ca="1" si="90"/>
        <v/>
      </c>
      <c r="O1952" s="26" t="str">
        <f>IFERROR(INDEX(EXTRATO_IMPORTADO!$A$5:$A$404,MATCH(B1952,EXTRATO_IMPORTADO!$I$5:$I$404,0)),"")</f>
        <v/>
      </c>
      <c r="P1952" s="26" t="str">
        <f>IFERROR(INDEX(EXTRATO_IMPORTADO!$F$5:$F$404,MATCH(B1952,EXTRATO_IMPORTADO!$I$5:$I$404,0)),"")</f>
        <v/>
      </c>
      <c r="Q1952" s="26" t="str">
        <f>IFERROR(INDEX(EXTRATO_IMPORTADO!$B$5:$B$404,MATCH(B1952,EXTRATO_IMPORTADO!$I$5:$I$404,0)),"")</f>
        <v/>
      </c>
      <c r="R1952" s="26" t="str">
        <f>IFERROR(MATCH(B1952,EXTRATO_IMPORTADO!$I$5:$I$404,0),"")</f>
        <v/>
      </c>
      <c r="S1952" s="26" t="str">
        <f t="shared" si="91"/>
        <v/>
      </c>
      <c r="T1952" s="26" t="str">
        <f t="shared" si="92"/>
        <v/>
      </c>
    </row>
    <row r="1953" spans="1:20" x14ac:dyDescent="0.3">
      <c r="A1953" s="26" t="str">
        <f>IF(BASE_CAIXA!A1950="","",BASE_CAIXA!A1950)</f>
        <v/>
      </c>
      <c r="B1953" s="26" t="str">
        <f>IF(A1953="","",BASE_CAIXA!AL1950)</f>
        <v/>
      </c>
      <c r="C1953" s="26" t="str">
        <f>IF(A1953="","",BASE_CAIXA!AJ1950)</f>
        <v/>
      </c>
      <c r="D1953" s="26" t="str">
        <f>IF(A1953="","",IF(BASE_CAIXA!C1950="Entrada","Crédito","Débito"))</f>
        <v/>
      </c>
      <c r="E1953" s="26" t="str">
        <f>IF(A1953="","",BASE_CAIXA!AA1950)</f>
        <v/>
      </c>
      <c r="F1953" s="26" t="str">
        <f>IF(A1953="","",BASE_CAIXA!N1950)</f>
        <v/>
      </c>
      <c r="G1953" s="26" t="str">
        <f>IF(A1953="","",BASE_CAIXA!O1950)</f>
        <v/>
      </c>
      <c r="H1953" s="26" t="str">
        <f>IF(A1953="","",BASE_CAIXA!P1950)</f>
        <v/>
      </c>
      <c r="I1953" s="26" t="str">
        <f>IF(A1953="","",IF(BASE_CAIXA!H1950&lt;&gt;"",BASE_CAIXA!H1950,BASE_CAIXA!G1950))</f>
        <v/>
      </c>
      <c r="J1953" s="26" t="str">
        <f>IF(A1953="","",BASE_CAIXA!G1950)</f>
        <v/>
      </c>
      <c r="K1953" s="26" t="str">
        <f>IF(A1953="","",BASE_CAIXA!I1950)</f>
        <v/>
      </c>
      <c r="L1953" s="26" t="str">
        <f>IF(A1953="","",BASE_CAIXA!J1950)</f>
        <v/>
      </c>
      <c r="M1953" s="26" t="str">
        <f>IF(A1953="","",BASE_CAIXA!AM1950)</f>
        <v/>
      </c>
      <c r="N1953" s="26" t="str">
        <f t="shared" ca="1" si="90"/>
        <v/>
      </c>
      <c r="O1953" s="26" t="str">
        <f>IFERROR(INDEX(EXTRATO_IMPORTADO!$A$5:$A$404,MATCH(B1953,EXTRATO_IMPORTADO!$I$5:$I$404,0)),"")</f>
        <v/>
      </c>
      <c r="P1953" s="26" t="str">
        <f>IFERROR(INDEX(EXTRATO_IMPORTADO!$F$5:$F$404,MATCH(B1953,EXTRATO_IMPORTADO!$I$5:$I$404,0)),"")</f>
        <v/>
      </c>
      <c r="Q1953" s="26" t="str">
        <f>IFERROR(INDEX(EXTRATO_IMPORTADO!$B$5:$B$404,MATCH(B1953,EXTRATO_IMPORTADO!$I$5:$I$404,0)),"")</f>
        <v/>
      </c>
      <c r="R1953" s="26" t="str">
        <f>IFERROR(MATCH(B1953,EXTRATO_IMPORTADO!$I$5:$I$404,0),"")</f>
        <v/>
      </c>
      <c r="S1953" s="26" t="str">
        <f t="shared" si="91"/>
        <v/>
      </c>
      <c r="T1953" s="26" t="str">
        <f t="shared" si="92"/>
        <v/>
      </c>
    </row>
    <row r="1954" spans="1:20" x14ac:dyDescent="0.3">
      <c r="A1954" s="26" t="str">
        <f>IF(BASE_CAIXA!A1951="","",BASE_CAIXA!A1951)</f>
        <v/>
      </c>
      <c r="B1954" s="26" t="str">
        <f>IF(A1954="","",BASE_CAIXA!AL1951)</f>
        <v/>
      </c>
      <c r="C1954" s="26" t="str">
        <f>IF(A1954="","",BASE_CAIXA!AJ1951)</f>
        <v/>
      </c>
      <c r="D1954" s="26" t="str">
        <f>IF(A1954="","",IF(BASE_CAIXA!C1951="Entrada","Crédito","Débito"))</f>
        <v/>
      </c>
      <c r="E1954" s="26" t="str">
        <f>IF(A1954="","",BASE_CAIXA!AA1951)</f>
        <v/>
      </c>
      <c r="F1954" s="26" t="str">
        <f>IF(A1954="","",BASE_CAIXA!N1951)</f>
        <v/>
      </c>
      <c r="G1954" s="26" t="str">
        <f>IF(A1954="","",BASE_CAIXA!O1951)</f>
        <v/>
      </c>
      <c r="H1954" s="26" t="str">
        <f>IF(A1954="","",BASE_CAIXA!P1951)</f>
        <v/>
      </c>
      <c r="I1954" s="26" t="str">
        <f>IF(A1954="","",IF(BASE_CAIXA!H1951&lt;&gt;"",BASE_CAIXA!H1951,BASE_CAIXA!G1951))</f>
        <v/>
      </c>
      <c r="J1954" s="26" t="str">
        <f>IF(A1954="","",BASE_CAIXA!G1951)</f>
        <v/>
      </c>
      <c r="K1954" s="26" t="str">
        <f>IF(A1954="","",BASE_CAIXA!I1951)</f>
        <v/>
      </c>
      <c r="L1954" s="26" t="str">
        <f>IF(A1954="","",BASE_CAIXA!J1951)</f>
        <v/>
      </c>
      <c r="M1954" s="26" t="str">
        <f>IF(A1954="","",BASE_CAIXA!AM1951)</f>
        <v/>
      </c>
      <c r="N1954" s="26" t="str">
        <f t="shared" ca="1" si="90"/>
        <v/>
      </c>
      <c r="O1954" s="26" t="str">
        <f>IFERROR(INDEX(EXTRATO_IMPORTADO!$A$5:$A$404,MATCH(B1954,EXTRATO_IMPORTADO!$I$5:$I$404,0)),"")</f>
        <v/>
      </c>
      <c r="P1954" s="26" t="str">
        <f>IFERROR(INDEX(EXTRATO_IMPORTADO!$F$5:$F$404,MATCH(B1954,EXTRATO_IMPORTADO!$I$5:$I$404,0)),"")</f>
        <v/>
      </c>
      <c r="Q1954" s="26" t="str">
        <f>IFERROR(INDEX(EXTRATO_IMPORTADO!$B$5:$B$404,MATCH(B1954,EXTRATO_IMPORTADO!$I$5:$I$404,0)),"")</f>
        <v/>
      </c>
      <c r="R1954" s="26" t="str">
        <f>IFERROR(MATCH(B1954,EXTRATO_IMPORTADO!$I$5:$I$404,0),"")</f>
        <v/>
      </c>
      <c r="S1954" s="26" t="str">
        <f t="shared" si="91"/>
        <v/>
      </c>
      <c r="T1954" s="26" t="str">
        <f t="shared" si="92"/>
        <v/>
      </c>
    </row>
    <row r="1955" spans="1:20" x14ac:dyDescent="0.3">
      <c r="A1955" s="26" t="str">
        <f>IF(BASE_CAIXA!A1952="","",BASE_CAIXA!A1952)</f>
        <v/>
      </c>
      <c r="B1955" s="26" t="str">
        <f>IF(A1955="","",BASE_CAIXA!AL1952)</f>
        <v/>
      </c>
      <c r="C1955" s="26" t="str">
        <f>IF(A1955="","",BASE_CAIXA!AJ1952)</f>
        <v/>
      </c>
      <c r="D1955" s="26" t="str">
        <f>IF(A1955="","",IF(BASE_CAIXA!C1952="Entrada","Crédito","Débito"))</f>
        <v/>
      </c>
      <c r="E1955" s="26" t="str">
        <f>IF(A1955="","",BASE_CAIXA!AA1952)</f>
        <v/>
      </c>
      <c r="F1955" s="26" t="str">
        <f>IF(A1955="","",BASE_CAIXA!N1952)</f>
        <v/>
      </c>
      <c r="G1955" s="26" t="str">
        <f>IF(A1955="","",BASE_CAIXA!O1952)</f>
        <v/>
      </c>
      <c r="H1955" s="26" t="str">
        <f>IF(A1955="","",BASE_CAIXA!P1952)</f>
        <v/>
      </c>
      <c r="I1955" s="26" t="str">
        <f>IF(A1955="","",IF(BASE_CAIXA!H1952&lt;&gt;"",BASE_CAIXA!H1952,BASE_CAIXA!G1952))</f>
        <v/>
      </c>
      <c r="J1955" s="26" t="str">
        <f>IF(A1955="","",BASE_CAIXA!G1952)</f>
        <v/>
      </c>
      <c r="K1955" s="26" t="str">
        <f>IF(A1955="","",BASE_CAIXA!I1952)</f>
        <v/>
      </c>
      <c r="L1955" s="26" t="str">
        <f>IF(A1955="","",BASE_CAIXA!J1952)</f>
        <v/>
      </c>
      <c r="M1955" s="26" t="str">
        <f>IF(A1955="","",BASE_CAIXA!AM1952)</f>
        <v/>
      </c>
      <c r="N1955" s="26" t="str">
        <f t="shared" ca="1" si="90"/>
        <v/>
      </c>
      <c r="O1955" s="26" t="str">
        <f>IFERROR(INDEX(EXTRATO_IMPORTADO!$A$5:$A$404,MATCH(B1955,EXTRATO_IMPORTADO!$I$5:$I$404,0)),"")</f>
        <v/>
      </c>
      <c r="P1955" s="26" t="str">
        <f>IFERROR(INDEX(EXTRATO_IMPORTADO!$F$5:$F$404,MATCH(B1955,EXTRATO_IMPORTADO!$I$5:$I$404,0)),"")</f>
        <v/>
      </c>
      <c r="Q1955" s="26" t="str">
        <f>IFERROR(INDEX(EXTRATO_IMPORTADO!$B$5:$B$404,MATCH(B1955,EXTRATO_IMPORTADO!$I$5:$I$404,0)),"")</f>
        <v/>
      </c>
      <c r="R1955" s="26" t="str">
        <f>IFERROR(MATCH(B1955,EXTRATO_IMPORTADO!$I$5:$I$404,0),"")</f>
        <v/>
      </c>
      <c r="S1955" s="26" t="str">
        <f t="shared" si="91"/>
        <v/>
      </c>
      <c r="T1955" s="26" t="str">
        <f t="shared" si="92"/>
        <v/>
      </c>
    </row>
    <row r="1956" spans="1:20" x14ac:dyDescent="0.3">
      <c r="A1956" s="26" t="str">
        <f>IF(BASE_CAIXA!A1953="","",BASE_CAIXA!A1953)</f>
        <v/>
      </c>
      <c r="B1956" s="26" t="str">
        <f>IF(A1956="","",BASE_CAIXA!AL1953)</f>
        <v/>
      </c>
      <c r="C1956" s="26" t="str">
        <f>IF(A1956="","",BASE_CAIXA!AJ1953)</f>
        <v/>
      </c>
      <c r="D1956" s="26" t="str">
        <f>IF(A1956="","",IF(BASE_CAIXA!C1953="Entrada","Crédito","Débito"))</f>
        <v/>
      </c>
      <c r="E1956" s="26" t="str">
        <f>IF(A1956="","",BASE_CAIXA!AA1953)</f>
        <v/>
      </c>
      <c r="F1956" s="26" t="str">
        <f>IF(A1956="","",BASE_CAIXA!N1953)</f>
        <v/>
      </c>
      <c r="G1956" s="26" t="str">
        <f>IF(A1956="","",BASE_CAIXA!O1953)</f>
        <v/>
      </c>
      <c r="H1956" s="26" t="str">
        <f>IF(A1956="","",BASE_CAIXA!P1953)</f>
        <v/>
      </c>
      <c r="I1956" s="26" t="str">
        <f>IF(A1956="","",IF(BASE_CAIXA!H1953&lt;&gt;"",BASE_CAIXA!H1953,BASE_CAIXA!G1953))</f>
        <v/>
      </c>
      <c r="J1956" s="26" t="str">
        <f>IF(A1956="","",BASE_CAIXA!G1953)</f>
        <v/>
      </c>
      <c r="K1956" s="26" t="str">
        <f>IF(A1956="","",BASE_CAIXA!I1953)</f>
        <v/>
      </c>
      <c r="L1956" s="26" t="str">
        <f>IF(A1956="","",BASE_CAIXA!J1953)</f>
        <v/>
      </c>
      <c r="M1956" s="26" t="str">
        <f>IF(A1956="","",BASE_CAIXA!AM1953)</f>
        <v/>
      </c>
      <c r="N1956" s="26" t="str">
        <f t="shared" ca="1" si="90"/>
        <v/>
      </c>
      <c r="O1956" s="26" t="str">
        <f>IFERROR(INDEX(EXTRATO_IMPORTADO!$A$5:$A$404,MATCH(B1956,EXTRATO_IMPORTADO!$I$5:$I$404,0)),"")</f>
        <v/>
      </c>
      <c r="P1956" s="26" t="str">
        <f>IFERROR(INDEX(EXTRATO_IMPORTADO!$F$5:$F$404,MATCH(B1956,EXTRATO_IMPORTADO!$I$5:$I$404,0)),"")</f>
        <v/>
      </c>
      <c r="Q1956" s="26" t="str">
        <f>IFERROR(INDEX(EXTRATO_IMPORTADO!$B$5:$B$404,MATCH(B1956,EXTRATO_IMPORTADO!$I$5:$I$404,0)),"")</f>
        <v/>
      </c>
      <c r="R1956" s="26" t="str">
        <f>IFERROR(MATCH(B1956,EXTRATO_IMPORTADO!$I$5:$I$404,0),"")</f>
        <v/>
      </c>
      <c r="S1956" s="26" t="str">
        <f t="shared" si="91"/>
        <v/>
      </c>
      <c r="T1956" s="26" t="str">
        <f t="shared" si="92"/>
        <v/>
      </c>
    </row>
    <row r="1957" spans="1:20" x14ac:dyDescent="0.3">
      <c r="A1957" s="26" t="str">
        <f>IF(BASE_CAIXA!A1954="","",BASE_CAIXA!A1954)</f>
        <v/>
      </c>
      <c r="B1957" s="26" t="str">
        <f>IF(A1957="","",BASE_CAIXA!AL1954)</f>
        <v/>
      </c>
      <c r="C1957" s="26" t="str">
        <f>IF(A1957="","",BASE_CAIXA!AJ1954)</f>
        <v/>
      </c>
      <c r="D1957" s="26" t="str">
        <f>IF(A1957="","",IF(BASE_CAIXA!C1954="Entrada","Crédito","Débito"))</f>
        <v/>
      </c>
      <c r="E1957" s="26" t="str">
        <f>IF(A1957="","",BASE_CAIXA!AA1954)</f>
        <v/>
      </c>
      <c r="F1957" s="26" t="str">
        <f>IF(A1957="","",BASE_CAIXA!N1954)</f>
        <v/>
      </c>
      <c r="G1957" s="26" t="str">
        <f>IF(A1957="","",BASE_CAIXA!O1954)</f>
        <v/>
      </c>
      <c r="H1957" s="26" t="str">
        <f>IF(A1957="","",BASE_CAIXA!P1954)</f>
        <v/>
      </c>
      <c r="I1957" s="26" t="str">
        <f>IF(A1957="","",IF(BASE_CAIXA!H1954&lt;&gt;"",BASE_CAIXA!H1954,BASE_CAIXA!G1954))</f>
        <v/>
      </c>
      <c r="J1957" s="26" t="str">
        <f>IF(A1957="","",BASE_CAIXA!G1954)</f>
        <v/>
      </c>
      <c r="K1957" s="26" t="str">
        <f>IF(A1957="","",BASE_CAIXA!I1954)</f>
        <v/>
      </c>
      <c r="L1957" s="26" t="str">
        <f>IF(A1957="","",BASE_CAIXA!J1954)</f>
        <v/>
      </c>
      <c r="M1957" s="26" t="str">
        <f>IF(A1957="","",BASE_CAIXA!AM1954)</f>
        <v/>
      </c>
      <c r="N1957" s="26" t="str">
        <f t="shared" ca="1" si="90"/>
        <v/>
      </c>
      <c r="O1957" s="26" t="str">
        <f>IFERROR(INDEX(EXTRATO_IMPORTADO!$A$5:$A$404,MATCH(B1957,EXTRATO_IMPORTADO!$I$5:$I$404,0)),"")</f>
        <v/>
      </c>
      <c r="P1957" s="26" t="str">
        <f>IFERROR(INDEX(EXTRATO_IMPORTADO!$F$5:$F$404,MATCH(B1957,EXTRATO_IMPORTADO!$I$5:$I$404,0)),"")</f>
        <v/>
      </c>
      <c r="Q1957" s="26" t="str">
        <f>IFERROR(INDEX(EXTRATO_IMPORTADO!$B$5:$B$404,MATCH(B1957,EXTRATO_IMPORTADO!$I$5:$I$404,0)),"")</f>
        <v/>
      </c>
      <c r="R1957" s="26" t="str">
        <f>IFERROR(MATCH(B1957,EXTRATO_IMPORTADO!$I$5:$I$404,0),"")</f>
        <v/>
      </c>
      <c r="S1957" s="26" t="str">
        <f t="shared" si="91"/>
        <v/>
      </c>
      <c r="T1957" s="26" t="str">
        <f t="shared" si="92"/>
        <v/>
      </c>
    </row>
    <row r="1958" spans="1:20" x14ac:dyDescent="0.3">
      <c r="A1958" s="26" t="str">
        <f>IF(BASE_CAIXA!A1955="","",BASE_CAIXA!A1955)</f>
        <v/>
      </c>
      <c r="B1958" s="26" t="str">
        <f>IF(A1958="","",BASE_CAIXA!AL1955)</f>
        <v/>
      </c>
      <c r="C1958" s="26" t="str">
        <f>IF(A1958="","",BASE_CAIXA!AJ1955)</f>
        <v/>
      </c>
      <c r="D1958" s="26" t="str">
        <f>IF(A1958="","",IF(BASE_CAIXA!C1955="Entrada","Crédito","Débito"))</f>
        <v/>
      </c>
      <c r="E1958" s="26" t="str">
        <f>IF(A1958="","",BASE_CAIXA!AA1955)</f>
        <v/>
      </c>
      <c r="F1958" s="26" t="str">
        <f>IF(A1958="","",BASE_CAIXA!N1955)</f>
        <v/>
      </c>
      <c r="G1958" s="26" t="str">
        <f>IF(A1958="","",BASE_CAIXA!O1955)</f>
        <v/>
      </c>
      <c r="H1958" s="26" t="str">
        <f>IF(A1958="","",BASE_CAIXA!P1955)</f>
        <v/>
      </c>
      <c r="I1958" s="26" t="str">
        <f>IF(A1958="","",IF(BASE_CAIXA!H1955&lt;&gt;"",BASE_CAIXA!H1955,BASE_CAIXA!G1955))</f>
        <v/>
      </c>
      <c r="J1958" s="26" t="str">
        <f>IF(A1958="","",BASE_CAIXA!G1955)</f>
        <v/>
      </c>
      <c r="K1958" s="26" t="str">
        <f>IF(A1958="","",BASE_CAIXA!I1955)</f>
        <v/>
      </c>
      <c r="L1958" s="26" t="str">
        <f>IF(A1958="","",BASE_CAIXA!J1955)</f>
        <v/>
      </c>
      <c r="M1958" s="26" t="str">
        <f>IF(A1958="","",BASE_CAIXA!AM1955)</f>
        <v/>
      </c>
      <c r="N1958" s="26" t="str">
        <f t="shared" ca="1" si="90"/>
        <v/>
      </c>
      <c r="O1958" s="26" t="str">
        <f>IFERROR(INDEX(EXTRATO_IMPORTADO!$A$5:$A$404,MATCH(B1958,EXTRATO_IMPORTADO!$I$5:$I$404,0)),"")</f>
        <v/>
      </c>
      <c r="P1958" s="26" t="str">
        <f>IFERROR(INDEX(EXTRATO_IMPORTADO!$F$5:$F$404,MATCH(B1958,EXTRATO_IMPORTADO!$I$5:$I$404,0)),"")</f>
        <v/>
      </c>
      <c r="Q1958" s="26" t="str">
        <f>IFERROR(INDEX(EXTRATO_IMPORTADO!$B$5:$B$404,MATCH(B1958,EXTRATO_IMPORTADO!$I$5:$I$404,0)),"")</f>
        <v/>
      </c>
      <c r="R1958" s="26" t="str">
        <f>IFERROR(MATCH(B1958,EXTRATO_IMPORTADO!$I$5:$I$404,0),"")</f>
        <v/>
      </c>
      <c r="S1958" s="26" t="str">
        <f t="shared" si="91"/>
        <v/>
      </c>
      <c r="T1958" s="26" t="str">
        <f t="shared" si="92"/>
        <v/>
      </c>
    </row>
    <row r="1959" spans="1:20" x14ac:dyDescent="0.3">
      <c r="A1959" s="26" t="str">
        <f>IF(BASE_CAIXA!A1956="","",BASE_CAIXA!A1956)</f>
        <v/>
      </c>
      <c r="B1959" s="26" t="str">
        <f>IF(A1959="","",BASE_CAIXA!AL1956)</f>
        <v/>
      </c>
      <c r="C1959" s="26" t="str">
        <f>IF(A1959="","",BASE_CAIXA!AJ1956)</f>
        <v/>
      </c>
      <c r="D1959" s="26" t="str">
        <f>IF(A1959="","",IF(BASE_CAIXA!C1956="Entrada","Crédito","Débito"))</f>
        <v/>
      </c>
      <c r="E1959" s="26" t="str">
        <f>IF(A1959="","",BASE_CAIXA!AA1956)</f>
        <v/>
      </c>
      <c r="F1959" s="26" t="str">
        <f>IF(A1959="","",BASE_CAIXA!N1956)</f>
        <v/>
      </c>
      <c r="G1959" s="26" t="str">
        <f>IF(A1959="","",BASE_CAIXA!O1956)</f>
        <v/>
      </c>
      <c r="H1959" s="26" t="str">
        <f>IF(A1959="","",BASE_CAIXA!P1956)</f>
        <v/>
      </c>
      <c r="I1959" s="26" t="str">
        <f>IF(A1959="","",IF(BASE_CAIXA!H1956&lt;&gt;"",BASE_CAIXA!H1956,BASE_CAIXA!G1956))</f>
        <v/>
      </c>
      <c r="J1959" s="26" t="str">
        <f>IF(A1959="","",BASE_CAIXA!G1956)</f>
        <v/>
      </c>
      <c r="K1959" s="26" t="str">
        <f>IF(A1959="","",BASE_CAIXA!I1956)</f>
        <v/>
      </c>
      <c r="L1959" s="26" t="str">
        <f>IF(A1959="","",BASE_CAIXA!J1956)</f>
        <v/>
      </c>
      <c r="M1959" s="26" t="str">
        <f>IF(A1959="","",BASE_CAIXA!AM1956)</f>
        <v/>
      </c>
      <c r="N1959" s="26" t="str">
        <f t="shared" ca="1" si="90"/>
        <v/>
      </c>
      <c r="O1959" s="26" t="str">
        <f>IFERROR(INDEX(EXTRATO_IMPORTADO!$A$5:$A$404,MATCH(B1959,EXTRATO_IMPORTADO!$I$5:$I$404,0)),"")</f>
        <v/>
      </c>
      <c r="P1959" s="26" t="str">
        <f>IFERROR(INDEX(EXTRATO_IMPORTADO!$F$5:$F$404,MATCH(B1959,EXTRATO_IMPORTADO!$I$5:$I$404,0)),"")</f>
        <v/>
      </c>
      <c r="Q1959" s="26" t="str">
        <f>IFERROR(INDEX(EXTRATO_IMPORTADO!$B$5:$B$404,MATCH(B1959,EXTRATO_IMPORTADO!$I$5:$I$404,0)),"")</f>
        <v/>
      </c>
      <c r="R1959" s="26" t="str">
        <f>IFERROR(MATCH(B1959,EXTRATO_IMPORTADO!$I$5:$I$404,0),"")</f>
        <v/>
      </c>
      <c r="S1959" s="26" t="str">
        <f t="shared" si="91"/>
        <v/>
      </c>
      <c r="T1959" s="26" t="str">
        <f t="shared" si="92"/>
        <v/>
      </c>
    </row>
    <row r="1960" spans="1:20" x14ac:dyDescent="0.3">
      <c r="A1960" s="26" t="str">
        <f>IF(BASE_CAIXA!A1957="","",BASE_CAIXA!A1957)</f>
        <v/>
      </c>
      <c r="B1960" s="26" t="str">
        <f>IF(A1960="","",BASE_CAIXA!AL1957)</f>
        <v/>
      </c>
      <c r="C1960" s="26" t="str">
        <f>IF(A1960="","",BASE_CAIXA!AJ1957)</f>
        <v/>
      </c>
      <c r="D1960" s="26" t="str">
        <f>IF(A1960="","",IF(BASE_CAIXA!C1957="Entrada","Crédito","Débito"))</f>
        <v/>
      </c>
      <c r="E1960" s="26" t="str">
        <f>IF(A1960="","",BASE_CAIXA!AA1957)</f>
        <v/>
      </c>
      <c r="F1960" s="26" t="str">
        <f>IF(A1960="","",BASE_CAIXA!N1957)</f>
        <v/>
      </c>
      <c r="G1960" s="26" t="str">
        <f>IF(A1960="","",BASE_CAIXA!O1957)</f>
        <v/>
      </c>
      <c r="H1960" s="26" t="str">
        <f>IF(A1960="","",BASE_CAIXA!P1957)</f>
        <v/>
      </c>
      <c r="I1960" s="26" t="str">
        <f>IF(A1960="","",IF(BASE_CAIXA!H1957&lt;&gt;"",BASE_CAIXA!H1957,BASE_CAIXA!G1957))</f>
        <v/>
      </c>
      <c r="J1960" s="26" t="str">
        <f>IF(A1960="","",BASE_CAIXA!G1957)</f>
        <v/>
      </c>
      <c r="K1960" s="26" t="str">
        <f>IF(A1960="","",BASE_CAIXA!I1957)</f>
        <v/>
      </c>
      <c r="L1960" s="26" t="str">
        <f>IF(A1960="","",BASE_CAIXA!J1957)</f>
        <v/>
      </c>
      <c r="M1960" s="26" t="str">
        <f>IF(A1960="","",BASE_CAIXA!AM1957)</f>
        <v/>
      </c>
      <c r="N1960" s="26" t="str">
        <f t="shared" ca="1" si="90"/>
        <v/>
      </c>
      <c r="O1960" s="26" t="str">
        <f>IFERROR(INDEX(EXTRATO_IMPORTADO!$A$5:$A$404,MATCH(B1960,EXTRATO_IMPORTADO!$I$5:$I$404,0)),"")</f>
        <v/>
      </c>
      <c r="P1960" s="26" t="str">
        <f>IFERROR(INDEX(EXTRATO_IMPORTADO!$F$5:$F$404,MATCH(B1960,EXTRATO_IMPORTADO!$I$5:$I$404,0)),"")</f>
        <v/>
      </c>
      <c r="Q1960" s="26" t="str">
        <f>IFERROR(INDEX(EXTRATO_IMPORTADO!$B$5:$B$404,MATCH(B1960,EXTRATO_IMPORTADO!$I$5:$I$404,0)),"")</f>
        <v/>
      </c>
      <c r="R1960" s="26" t="str">
        <f>IFERROR(MATCH(B1960,EXTRATO_IMPORTADO!$I$5:$I$404,0),"")</f>
        <v/>
      </c>
      <c r="S1960" s="26" t="str">
        <f t="shared" si="91"/>
        <v/>
      </c>
      <c r="T1960" s="26" t="str">
        <f t="shared" si="92"/>
        <v/>
      </c>
    </row>
    <row r="1961" spans="1:20" x14ac:dyDescent="0.3">
      <c r="A1961" s="26" t="str">
        <f>IF(BASE_CAIXA!A1958="","",BASE_CAIXA!A1958)</f>
        <v/>
      </c>
      <c r="B1961" s="26" t="str">
        <f>IF(A1961="","",BASE_CAIXA!AL1958)</f>
        <v/>
      </c>
      <c r="C1961" s="26" t="str">
        <f>IF(A1961="","",BASE_CAIXA!AJ1958)</f>
        <v/>
      </c>
      <c r="D1961" s="26" t="str">
        <f>IF(A1961="","",IF(BASE_CAIXA!C1958="Entrada","Crédito","Débito"))</f>
        <v/>
      </c>
      <c r="E1961" s="26" t="str">
        <f>IF(A1961="","",BASE_CAIXA!AA1958)</f>
        <v/>
      </c>
      <c r="F1961" s="26" t="str">
        <f>IF(A1961="","",BASE_CAIXA!N1958)</f>
        <v/>
      </c>
      <c r="G1961" s="26" t="str">
        <f>IF(A1961="","",BASE_CAIXA!O1958)</f>
        <v/>
      </c>
      <c r="H1961" s="26" t="str">
        <f>IF(A1961="","",BASE_CAIXA!P1958)</f>
        <v/>
      </c>
      <c r="I1961" s="26" t="str">
        <f>IF(A1961="","",IF(BASE_CAIXA!H1958&lt;&gt;"",BASE_CAIXA!H1958,BASE_CAIXA!G1958))</f>
        <v/>
      </c>
      <c r="J1961" s="26" t="str">
        <f>IF(A1961="","",BASE_CAIXA!G1958)</f>
        <v/>
      </c>
      <c r="K1961" s="26" t="str">
        <f>IF(A1961="","",BASE_CAIXA!I1958)</f>
        <v/>
      </c>
      <c r="L1961" s="26" t="str">
        <f>IF(A1961="","",BASE_CAIXA!J1958)</f>
        <v/>
      </c>
      <c r="M1961" s="26" t="str">
        <f>IF(A1961="","",BASE_CAIXA!AM1958)</f>
        <v/>
      </c>
      <c r="N1961" s="26" t="str">
        <f t="shared" ca="1" si="90"/>
        <v/>
      </c>
      <c r="O1961" s="26" t="str">
        <f>IFERROR(INDEX(EXTRATO_IMPORTADO!$A$5:$A$404,MATCH(B1961,EXTRATO_IMPORTADO!$I$5:$I$404,0)),"")</f>
        <v/>
      </c>
      <c r="P1961" s="26" t="str">
        <f>IFERROR(INDEX(EXTRATO_IMPORTADO!$F$5:$F$404,MATCH(B1961,EXTRATO_IMPORTADO!$I$5:$I$404,0)),"")</f>
        <v/>
      </c>
      <c r="Q1961" s="26" t="str">
        <f>IFERROR(INDEX(EXTRATO_IMPORTADO!$B$5:$B$404,MATCH(B1961,EXTRATO_IMPORTADO!$I$5:$I$404,0)),"")</f>
        <v/>
      </c>
      <c r="R1961" s="26" t="str">
        <f>IFERROR(MATCH(B1961,EXTRATO_IMPORTADO!$I$5:$I$404,0),"")</f>
        <v/>
      </c>
      <c r="S1961" s="26" t="str">
        <f t="shared" si="91"/>
        <v/>
      </c>
      <c r="T1961" s="26" t="str">
        <f t="shared" si="92"/>
        <v/>
      </c>
    </row>
    <row r="1962" spans="1:20" x14ac:dyDescent="0.3">
      <c r="A1962" s="26" t="str">
        <f>IF(BASE_CAIXA!A1959="","",BASE_CAIXA!A1959)</f>
        <v/>
      </c>
      <c r="B1962" s="26" t="str">
        <f>IF(A1962="","",BASE_CAIXA!AL1959)</f>
        <v/>
      </c>
      <c r="C1962" s="26" t="str">
        <f>IF(A1962="","",BASE_CAIXA!AJ1959)</f>
        <v/>
      </c>
      <c r="D1962" s="26" t="str">
        <f>IF(A1962="","",IF(BASE_CAIXA!C1959="Entrada","Crédito","Débito"))</f>
        <v/>
      </c>
      <c r="E1962" s="26" t="str">
        <f>IF(A1962="","",BASE_CAIXA!AA1959)</f>
        <v/>
      </c>
      <c r="F1962" s="26" t="str">
        <f>IF(A1962="","",BASE_CAIXA!N1959)</f>
        <v/>
      </c>
      <c r="G1962" s="26" t="str">
        <f>IF(A1962="","",BASE_CAIXA!O1959)</f>
        <v/>
      </c>
      <c r="H1962" s="26" t="str">
        <f>IF(A1962="","",BASE_CAIXA!P1959)</f>
        <v/>
      </c>
      <c r="I1962" s="26" t="str">
        <f>IF(A1962="","",IF(BASE_CAIXA!H1959&lt;&gt;"",BASE_CAIXA!H1959,BASE_CAIXA!G1959))</f>
        <v/>
      </c>
      <c r="J1962" s="26" t="str">
        <f>IF(A1962="","",BASE_CAIXA!G1959)</f>
        <v/>
      </c>
      <c r="K1962" s="26" t="str">
        <f>IF(A1962="","",BASE_CAIXA!I1959)</f>
        <v/>
      </c>
      <c r="L1962" s="26" t="str">
        <f>IF(A1962="","",BASE_CAIXA!J1959)</f>
        <v/>
      </c>
      <c r="M1962" s="26" t="str">
        <f>IF(A1962="","",BASE_CAIXA!AM1959)</f>
        <v/>
      </c>
      <c r="N1962" s="26" t="str">
        <f t="shared" ca="1" si="90"/>
        <v/>
      </c>
      <c r="O1962" s="26" t="str">
        <f>IFERROR(INDEX(EXTRATO_IMPORTADO!$A$5:$A$404,MATCH(B1962,EXTRATO_IMPORTADO!$I$5:$I$404,0)),"")</f>
        <v/>
      </c>
      <c r="P1962" s="26" t="str">
        <f>IFERROR(INDEX(EXTRATO_IMPORTADO!$F$5:$F$404,MATCH(B1962,EXTRATO_IMPORTADO!$I$5:$I$404,0)),"")</f>
        <v/>
      </c>
      <c r="Q1962" s="26" t="str">
        <f>IFERROR(INDEX(EXTRATO_IMPORTADO!$B$5:$B$404,MATCH(B1962,EXTRATO_IMPORTADO!$I$5:$I$404,0)),"")</f>
        <v/>
      </c>
      <c r="R1962" s="26" t="str">
        <f>IFERROR(MATCH(B1962,EXTRATO_IMPORTADO!$I$5:$I$404,0),"")</f>
        <v/>
      </c>
      <c r="S1962" s="26" t="str">
        <f t="shared" si="91"/>
        <v/>
      </c>
      <c r="T1962" s="26" t="str">
        <f t="shared" si="92"/>
        <v/>
      </c>
    </row>
    <row r="1963" spans="1:20" x14ac:dyDescent="0.3">
      <c r="A1963" s="26" t="str">
        <f>IF(BASE_CAIXA!A1960="","",BASE_CAIXA!A1960)</f>
        <v/>
      </c>
      <c r="B1963" s="26" t="str">
        <f>IF(A1963="","",BASE_CAIXA!AL1960)</f>
        <v/>
      </c>
      <c r="C1963" s="26" t="str">
        <f>IF(A1963="","",BASE_CAIXA!AJ1960)</f>
        <v/>
      </c>
      <c r="D1963" s="26" t="str">
        <f>IF(A1963="","",IF(BASE_CAIXA!C1960="Entrada","Crédito","Débito"))</f>
        <v/>
      </c>
      <c r="E1963" s="26" t="str">
        <f>IF(A1963="","",BASE_CAIXA!AA1960)</f>
        <v/>
      </c>
      <c r="F1963" s="26" t="str">
        <f>IF(A1963="","",BASE_CAIXA!N1960)</f>
        <v/>
      </c>
      <c r="G1963" s="26" t="str">
        <f>IF(A1963="","",BASE_CAIXA!O1960)</f>
        <v/>
      </c>
      <c r="H1963" s="26" t="str">
        <f>IF(A1963="","",BASE_CAIXA!P1960)</f>
        <v/>
      </c>
      <c r="I1963" s="26" t="str">
        <f>IF(A1963="","",IF(BASE_CAIXA!H1960&lt;&gt;"",BASE_CAIXA!H1960,BASE_CAIXA!G1960))</f>
        <v/>
      </c>
      <c r="J1963" s="26" t="str">
        <f>IF(A1963="","",BASE_CAIXA!G1960)</f>
        <v/>
      </c>
      <c r="K1963" s="26" t="str">
        <f>IF(A1963="","",BASE_CAIXA!I1960)</f>
        <v/>
      </c>
      <c r="L1963" s="26" t="str">
        <f>IF(A1963="","",BASE_CAIXA!J1960)</f>
        <v/>
      </c>
      <c r="M1963" s="26" t="str">
        <f>IF(A1963="","",BASE_CAIXA!AM1960)</f>
        <v/>
      </c>
      <c r="N1963" s="26" t="str">
        <f t="shared" ca="1" si="90"/>
        <v/>
      </c>
      <c r="O1963" s="26" t="str">
        <f>IFERROR(INDEX(EXTRATO_IMPORTADO!$A$5:$A$404,MATCH(B1963,EXTRATO_IMPORTADO!$I$5:$I$404,0)),"")</f>
        <v/>
      </c>
      <c r="P1963" s="26" t="str">
        <f>IFERROR(INDEX(EXTRATO_IMPORTADO!$F$5:$F$404,MATCH(B1963,EXTRATO_IMPORTADO!$I$5:$I$404,0)),"")</f>
        <v/>
      </c>
      <c r="Q1963" s="26" t="str">
        <f>IFERROR(INDEX(EXTRATO_IMPORTADO!$B$5:$B$404,MATCH(B1963,EXTRATO_IMPORTADO!$I$5:$I$404,0)),"")</f>
        <v/>
      </c>
      <c r="R1963" s="26" t="str">
        <f>IFERROR(MATCH(B1963,EXTRATO_IMPORTADO!$I$5:$I$404,0),"")</f>
        <v/>
      </c>
      <c r="S1963" s="26" t="str">
        <f t="shared" si="91"/>
        <v/>
      </c>
      <c r="T1963" s="26" t="str">
        <f t="shared" si="92"/>
        <v/>
      </c>
    </row>
    <row r="1964" spans="1:20" x14ac:dyDescent="0.3">
      <c r="A1964" s="26" t="str">
        <f>IF(BASE_CAIXA!A1961="","",BASE_CAIXA!A1961)</f>
        <v/>
      </c>
      <c r="B1964" s="26" t="str">
        <f>IF(A1964="","",BASE_CAIXA!AL1961)</f>
        <v/>
      </c>
      <c r="C1964" s="26" t="str">
        <f>IF(A1964="","",BASE_CAIXA!AJ1961)</f>
        <v/>
      </c>
      <c r="D1964" s="26" t="str">
        <f>IF(A1964="","",IF(BASE_CAIXA!C1961="Entrada","Crédito","Débito"))</f>
        <v/>
      </c>
      <c r="E1964" s="26" t="str">
        <f>IF(A1964="","",BASE_CAIXA!AA1961)</f>
        <v/>
      </c>
      <c r="F1964" s="26" t="str">
        <f>IF(A1964="","",BASE_CAIXA!N1961)</f>
        <v/>
      </c>
      <c r="G1964" s="26" t="str">
        <f>IF(A1964="","",BASE_CAIXA!O1961)</f>
        <v/>
      </c>
      <c r="H1964" s="26" t="str">
        <f>IF(A1964="","",BASE_CAIXA!P1961)</f>
        <v/>
      </c>
      <c r="I1964" s="26" t="str">
        <f>IF(A1964="","",IF(BASE_CAIXA!H1961&lt;&gt;"",BASE_CAIXA!H1961,BASE_CAIXA!G1961))</f>
        <v/>
      </c>
      <c r="J1964" s="26" t="str">
        <f>IF(A1964="","",BASE_CAIXA!G1961)</f>
        <v/>
      </c>
      <c r="K1964" s="26" t="str">
        <f>IF(A1964="","",BASE_CAIXA!I1961)</f>
        <v/>
      </c>
      <c r="L1964" s="26" t="str">
        <f>IF(A1964="","",BASE_CAIXA!J1961)</f>
        <v/>
      </c>
      <c r="M1964" s="26" t="str">
        <f>IF(A1964="","",BASE_CAIXA!AM1961)</f>
        <v/>
      </c>
      <c r="N1964" s="26" t="str">
        <f t="shared" ca="1" si="90"/>
        <v/>
      </c>
      <c r="O1964" s="26" t="str">
        <f>IFERROR(INDEX(EXTRATO_IMPORTADO!$A$5:$A$404,MATCH(B1964,EXTRATO_IMPORTADO!$I$5:$I$404,0)),"")</f>
        <v/>
      </c>
      <c r="P1964" s="26" t="str">
        <f>IFERROR(INDEX(EXTRATO_IMPORTADO!$F$5:$F$404,MATCH(B1964,EXTRATO_IMPORTADO!$I$5:$I$404,0)),"")</f>
        <v/>
      </c>
      <c r="Q1964" s="26" t="str">
        <f>IFERROR(INDEX(EXTRATO_IMPORTADO!$B$5:$B$404,MATCH(B1964,EXTRATO_IMPORTADO!$I$5:$I$404,0)),"")</f>
        <v/>
      </c>
      <c r="R1964" s="26" t="str">
        <f>IFERROR(MATCH(B1964,EXTRATO_IMPORTADO!$I$5:$I$404,0),"")</f>
        <v/>
      </c>
      <c r="S1964" s="26" t="str">
        <f t="shared" si="91"/>
        <v/>
      </c>
      <c r="T1964" s="26" t="str">
        <f t="shared" si="92"/>
        <v/>
      </c>
    </row>
    <row r="1965" spans="1:20" x14ac:dyDescent="0.3">
      <c r="A1965" s="26" t="str">
        <f>IF(BASE_CAIXA!A1962="","",BASE_CAIXA!A1962)</f>
        <v/>
      </c>
      <c r="B1965" s="26" t="str">
        <f>IF(A1965="","",BASE_CAIXA!AL1962)</f>
        <v/>
      </c>
      <c r="C1965" s="26" t="str">
        <f>IF(A1965="","",BASE_CAIXA!AJ1962)</f>
        <v/>
      </c>
      <c r="D1965" s="26" t="str">
        <f>IF(A1965="","",IF(BASE_CAIXA!C1962="Entrada","Crédito","Débito"))</f>
        <v/>
      </c>
      <c r="E1965" s="26" t="str">
        <f>IF(A1965="","",BASE_CAIXA!AA1962)</f>
        <v/>
      </c>
      <c r="F1965" s="26" t="str">
        <f>IF(A1965="","",BASE_CAIXA!N1962)</f>
        <v/>
      </c>
      <c r="G1965" s="26" t="str">
        <f>IF(A1965="","",BASE_CAIXA!O1962)</f>
        <v/>
      </c>
      <c r="H1965" s="26" t="str">
        <f>IF(A1965="","",BASE_CAIXA!P1962)</f>
        <v/>
      </c>
      <c r="I1965" s="26" t="str">
        <f>IF(A1965="","",IF(BASE_CAIXA!H1962&lt;&gt;"",BASE_CAIXA!H1962,BASE_CAIXA!G1962))</f>
        <v/>
      </c>
      <c r="J1965" s="26" t="str">
        <f>IF(A1965="","",BASE_CAIXA!G1962)</f>
        <v/>
      </c>
      <c r="K1965" s="26" t="str">
        <f>IF(A1965="","",BASE_CAIXA!I1962)</f>
        <v/>
      </c>
      <c r="L1965" s="26" t="str">
        <f>IF(A1965="","",BASE_CAIXA!J1962)</f>
        <v/>
      </c>
      <c r="M1965" s="26" t="str">
        <f>IF(A1965="","",BASE_CAIXA!AM1962)</f>
        <v/>
      </c>
      <c r="N1965" s="26" t="str">
        <f t="shared" ca="1" si="90"/>
        <v/>
      </c>
      <c r="O1965" s="26" t="str">
        <f>IFERROR(INDEX(EXTRATO_IMPORTADO!$A$5:$A$404,MATCH(B1965,EXTRATO_IMPORTADO!$I$5:$I$404,0)),"")</f>
        <v/>
      </c>
      <c r="P1965" s="26" t="str">
        <f>IFERROR(INDEX(EXTRATO_IMPORTADO!$F$5:$F$404,MATCH(B1965,EXTRATO_IMPORTADO!$I$5:$I$404,0)),"")</f>
        <v/>
      </c>
      <c r="Q1965" s="26" t="str">
        <f>IFERROR(INDEX(EXTRATO_IMPORTADO!$B$5:$B$404,MATCH(B1965,EXTRATO_IMPORTADO!$I$5:$I$404,0)),"")</f>
        <v/>
      </c>
      <c r="R1965" s="26" t="str">
        <f>IFERROR(MATCH(B1965,EXTRATO_IMPORTADO!$I$5:$I$404,0),"")</f>
        <v/>
      </c>
      <c r="S1965" s="26" t="str">
        <f t="shared" si="91"/>
        <v/>
      </c>
      <c r="T1965" s="26" t="str">
        <f t="shared" si="92"/>
        <v/>
      </c>
    </row>
    <row r="1966" spans="1:20" x14ac:dyDescent="0.3">
      <c r="A1966" s="26" t="str">
        <f>IF(BASE_CAIXA!A1963="","",BASE_CAIXA!A1963)</f>
        <v/>
      </c>
      <c r="B1966" s="26" t="str">
        <f>IF(A1966="","",BASE_CAIXA!AL1963)</f>
        <v/>
      </c>
      <c r="C1966" s="26" t="str">
        <f>IF(A1966="","",BASE_CAIXA!AJ1963)</f>
        <v/>
      </c>
      <c r="D1966" s="26" t="str">
        <f>IF(A1966="","",IF(BASE_CAIXA!C1963="Entrada","Crédito","Débito"))</f>
        <v/>
      </c>
      <c r="E1966" s="26" t="str">
        <f>IF(A1966="","",BASE_CAIXA!AA1963)</f>
        <v/>
      </c>
      <c r="F1966" s="26" t="str">
        <f>IF(A1966="","",BASE_CAIXA!N1963)</f>
        <v/>
      </c>
      <c r="G1966" s="26" t="str">
        <f>IF(A1966="","",BASE_CAIXA!O1963)</f>
        <v/>
      </c>
      <c r="H1966" s="26" t="str">
        <f>IF(A1966="","",BASE_CAIXA!P1963)</f>
        <v/>
      </c>
      <c r="I1966" s="26" t="str">
        <f>IF(A1966="","",IF(BASE_CAIXA!H1963&lt;&gt;"",BASE_CAIXA!H1963,BASE_CAIXA!G1963))</f>
        <v/>
      </c>
      <c r="J1966" s="26" t="str">
        <f>IF(A1966="","",BASE_CAIXA!G1963)</f>
        <v/>
      </c>
      <c r="K1966" s="26" t="str">
        <f>IF(A1966="","",BASE_CAIXA!I1963)</f>
        <v/>
      </c>
      <c r="L1966" s="26" t="str">
        <f>IF(A1966="","",BASE_CAIXA!J1963)</f>
        <v/>
      </c>
      <c r="M1966" s="26" t="str">
        <f>IF(A1966="","",BASE_CAIXA!AM1963)</f>
        <v/>
      </c>
      <c r="N1966" s="26" t="str">
        <f t="shared" ca="1" si="90"/>
        <v/>
      </c>
      <c r="O1966" s="26" t="str">
        <f>IFERROR(INDEX(EXTRATO_IMPORTADO!$A$5:$A$404,MATCH(B1966,EXTRATO_IMPORTADO!$I$5:$I$404,0)),"")</f>
        <v/>
      </c>
      <c r="P1966" s="26" t="str">
        <f>IFERROR(INDEX(EXTRATO_IMPORTADO!$F$5:$F$404,MATCH(B1966,EXTRATO_IMPORTADO!$I$5:$I$404,0)),"")</f>
        <v/>
      </c>
      <c r="Q1966" s="26" t="str">
        <f>IFERROR(INDEX(EXTRATO_IMPORTADO!$B$5:$B$404,MATCH(B1966,EXTRATO_IMPORTADO!$I$5:$I$404,0)),"")</f>
        <v/>
      </c>
      <c r="R1966" s="26" t="str">
        <f>IFERROR(MATCH(B1966,EXTRATO_IMPORTADO!$I$5:$I$404,0),"")</f>
        <v/>
      </c>
      <c r="S1966" s="26" t="str">
        <f t="shared" si="91"/>
        <v/>
      </c>
      <c r="T1966" s="26" t="str">
        <f t="shared" si="92"/>
        <v/>
      </c>
    </row>
    <row r="1967" spans="1:20" x14ac:dyDescent="0.3">
      <c r="A1967" s="26" t="str">
        <f>IF(BASE_CAIXA!A1964="","",BASE_CAIXA!A1964)</f>
        <v/>
      </c>
      <c r="B1967" s="26" t="str">
        <f>IF(A1967="","",BASE_CAIXA!AL1964)</f>
        <v/>
      </c>
      <c r="C1967" s="26" t="str">
        <f>IF(A1967="","",BASE_CAIXA!AJ1964)</f>
        <v/>
      </c>
      <c r="D1967" s="26" t="str">
        <f>IF(A1967="","",IF(BASE_CAIXA!C1964="Entrada","Crédito","Débito"))</f>
        <v/>
      </c>
      <c r="E1967" s="26" t="str">
        <f>IF(A1967="","",BASE_CAIXA!AA1964)</f>
        <v/>
      </c>
      <c r="F1967" s="26" t="str">
        <f>IF(A1967="","",BASE_CAIXA!N1964)</f>
        <v/>
      </c>
      <c r="G1967" s="26" t="str">
        <f>IF(A1967="","",BASE_CAIXA!O1964)</f>
        <v/>
      </c>
      <c r="H1967" s="26" t="str">
        <f>IF(A1967="","",BASE_CAIXA!P1964)</f>
        <v/>
      </c>
      <c r="I1967" s="26" t="str">
        <f>IF(A1967="","",IF(BASE_CAIXA!H1964&lt;&gt;"",BASE_CAIXA!H1964,BASE_CAIXA!G1964))</f>
        <v/>
      </c>
      <c r="J1967" s="26" t="str">
        <f>IF(A1967="","",BASE_CAIXA!G1964)</f>
        <v/>
      </c>
      <c r="K1967" s="26" t="str">
        <f>IF(A1967="","",BASE_CAIXA!I1964)</f>
        <v/>
      </c>
      <c r="L1967" s="26" t="str">
        <f>IF(A1967="","",BASE_CAIXA!J1964)</f>
        <v/>
      </c>
      <c r="M1967" s="26" t="str">
        <f>IF(A1967="","",BASE_CAIXA!AM1964)</f>
        <v/>
      </c>
      <c r="N1967" s="26" t="str">
        <f t="shared" ca="1" si="90"/>
        <v/>
      </c>
      <c r="O1967" s="26" t="str">
        <f>IFERROR(INDEX(EXTRATO_IMPORTADO!$A$5:$A$404,MATCH(B1967,EXTRATO_IMPORTADO!$I$5:$I$404,0)),"")</f>
        <v/>
      </c>
      <c r="P1967" s="26" t="str">
        <f>IFERROR(INDEX(EXTRATO_IMPORTADO!$F$5:$F$404,MATCH(B1967,EXTRATO_IMPORTADO!$I$5:$I$404,0)),"")</f>
        <v/>
      </c>
      <c r="Q1967" s="26" t="str">
        <f>IFERROR(INDEX(EXTRATO_IMPORTADO!$B$5:$B$404,MATCH(B1967,EXTRATO_IMPORTADO!$I$5:$I$404,0)),"")</f>
        <v/>
      </c>
      <c r="R1967" s="26" t="str">
        <f>IFERROR(MATCH(B1967,EXTRATO_IMPORTADO!$I$5:$I$404,0),"")</f>
        <v/>
      </c>
      <c r="S1967" s="26" t="str">
        <f t="shared" si="91"/>
        <v/>
      </c>
      <c r="T1967" s="26" t="str">
        <f t="shared" si="92"/>
        <v/>
      </c>
    </row>
    <row r="1968" spans="1:20" x14ac:dyDescent="0.3">
      <c r="A1968" s="26" t="str">
        <f>IF(BASE_CAIXA!A1965="","",BASE_CAIXA!A1965)</f>
        <v/>
      </c>
      <c r="B1968" s="26" t="str">
        <f>IF(A1968="","",BASE_CAIXA!AL1965)</f>
        <v/>
      </c>
      <c r="C1968" s="26" t="str">
        <f>IF(A1968="","",BASE_CAIXA!AJ1965)</f>
        <v/>
      </c>
      <c r="D1968" s="26" t="str">
        <f>IF(A1968="","",IF(BASE_CAIXA!C1965="Entrada","Crédito","Débito"))</f>
        <v/>
      </c>
      <c r="E1968" s="26" t="str">
        <f>IF(A1968="","",BASE_CAIXA!AA1965)</f>
        <v/>
      </c>
      <c r="F1968" s="26" t="str">
        <f>IF(A1968="","",BASE_CAIXA!N1965)</f>
        <v/>
      </c>
      <c r="G1968" s="26" t="str">
        <f>IF(A1968="","",BASE_CAIXA!O1965)</f>
        <v/>
      </c>
      <c r="H1968" s="26" t="str">
        <f>IF(A1968="","",BASE_CAIXA!P1965)</f>
        <v/>
      </c>
      <c r="I1968" s="26" t="str">
        <f>IF(A1968="","",IF(BASE_CAIXA!H1965&lt;&gt;"",BASE_CAIXA!H1965,BASE_CAIXA!G1965))</f>
        <v/>
      </c>
      <c r="J1968" s="26" t="str">
        <f>IF(A1968="","",BASE_CAIXA!G1965)</f>
        <v/>
      </c>
      <c r="K1968" s="26" t="str">
        <f>IF(A1968="","",BASE_CAIXA!I1965)</f>
        <v/>
      </c>
      <c r="L1968" s="26" t="str">
        <f>IF(A1968="","",BASE_CAIXA!J1965)</f>
        <v/>
      </c>
      <c r="M1968" s="26" t="str">
        <f>IF(A1968="","",BASE_CAIXA!AM1965)</f>
        <v/>
      </c>
      <c r="N1968" s="26" t="str">
        <f t="shared" ca="1" si="90"/>
        <v/>
      </c>
      <c r="O1968" s="26" t="str">
        <f>IFERROR(INDEX(EXTRATO_IMPORTADO!$A$5:$A$404,MATCH(B1968,EXTRATO_IMPORTADO!$I$5:$I$404,0)),"")</f>
        <v/>
      </c>
      <c r="P1968" s="26" t="str">
        <f>IFERROR(INDEX(EXTRATO_IMPORTADO!$F$5:$F$404,MATCH(B1968,EXTRATO_IMPORTADO!$I$5:$I$404,0)),"")</f>
        <v/>
      </c>
      <c r="Q1968" s="26" t="str">
        <f>IFERROR(INDEX(EXTRATO_IMPORTADO!$B$5:$B$404,MATCH(B1968,EXTRATO_IMPORTADO!$I$5:$I$404,0)),"")</f>
        <v/>
      </c>
      <c r="R1968" s="26" t="str">
        <f>IFERROR(MATCH(B1968,EXTRATO_IMPORTADO!$I$5:$I$404,0),"")</f>
        <v/>
      </c>
      <c r="S1968" s="26" t="str">
        <f t="shared" si="91"/>
        <v/>
      </c>
      <c r="T1968" s="26" t="str">
        <f t="shared" si="92"/>
        <v/>
      </c>
    </row>
    <row r="1969" spans="1:20" x14ac:dyDescent="0.3">
      <c r="A1969" s="26" t="str">
        <f>IF(BASE_CAIXA!A1966="","",BASE_CAIXA!A1966)</f>
        <v/>
      </c>
      <c r="B1969" s="26" t="str">
        <f>IF(A1969="","",BASE_CAIXA!AL1966)</f>
        <v/>
      </c>
      <c r="C1969" s="26" t="str">
        <f>IF(A1969="","",BASE_CAIXA!AJ1966)</f>
        <v/>
      </c>
      <c r="D1969" s="26" t="str">
        <f>IF(A1969="","",IF(BASE_CAIXA!C1966="Entrada","Crédito","Débito"))</f>
        <v/>
      </c>
      <c r="E1969" s="26" t="str">
        <f>IF(A1969="","",BASE_CAIXA!AA1966)</f>
        <v/>
      </c>
      <c r="F1969" s="26" t="str">
        <f>IF(A1969="","",BASE_CAIXA!N1966)</f>
        <v/>
      </c>
      <c r="G1969" s="26" t="str">
        <f>IF(A1969="","",BASE_CAIXA!O1966)</f>
        <v/>
      </c>
      <c r="H1969" s="26" t="str">
        <f>IF(A1969="","",BASE_CAIXA!P1966)</f>
        <v/>
      </c>
      <c r="I1969" s="26" t="str">
        <f>IF(A1969="","",IF(BASE_CAIXA!H1966&lt;&gt;"",BASE_CAIXA!H1966,BASE_CAIXA!G1966))</f>
        <v/>
      </c>
      <c r="J1969" s="26" t="str">
        <f>IF(A1969="","",BASE_CAIXA!G1966)</f>
        <v/>
      </c>
      <c r="K1969" s="26" t="str">
        <f>IF(A1969="","",BASE_CAIXA!I1966)</f>
        <v/>
      </c>
      <c r="L1969" s="26" t="str">
        <f>IF(A1969="","",BASE_CAIXA!J1966)</f>
        <v/>
      </c>
      <c r="M1969" s="26" t="str">
        <f>IF(A1969="","",BASE_CAIXA!AM1966)</f>
        <v/>
      </c>
      <c r="N1969" s="26" t="str">
        <f t="shared" ca="1" si="90"/>
        <v/>
      </c>
      <c r="O1969" s="26" t="str">
        <f>IFERROR(INDEX(EXTRATO_IMPORTADO!$A$5:$A$404,MATCH(B1969,EXTRATO_IMPORTADO!$I$5:$I$404,0)),"")</f>
        <v/>
      </c>
      <c r="P1969" s="26" t="str">
        <f>IFERROR(INDEX(EXTRATO_IMPORTADO!$F$5:$F$404,MATCH(B1969,EXTRATO_IMPORTADO!$I$5:$I$404,0)),"")</f>
        <v/>
      </c>
      <c r="Q1969" s="26" t="str">
        <f>IFERROR(INDEX(EXTRATO_IMPORTADO!$B$5:$B$404,MATCH(B1969,EXTRATO_IMPORTADO!$I$5:$I$404,0)),"")</f>
        <v/>
      </c>
      <c r="R1969" s="26" t="str">
        <f>IFERROR(MATCH(B1969,EXTRATO_IMPORTADO!$I$5:$I$404,0),"")</f>
        <v/>
      </c>
      <c r="S1969" s="26" t="str">
        <f t="shared" si="91"/>
        <v/>
      </c>
      <c r="T1969" s="26" t="str">
        <f t="shared" si="92"/>
        <v/>
      </c>
    </row>
    <row r="1970" spans="1:20" x14ac:dyDescent="0.3">
      <c r="A1970" s="26" t="str">
        <f>IF(BASE_CAIXA!A1967="","",BASE_CAIXA!A1967)</f>
        <v/>
      </c>
      <c r="B1970" s="26" t="str">
        <f>IF(A1970="","",BASE_CAIXA!AL1967)</f>
        <v/>
      </c>
      <c r="C1970" s="26" t="str">
        <f>IF(A1970="","",BASE_CAIXA!AJ1967)</f>
        <v/>
      </c>
      <c r="D1970" s="26" t="str">
        <f>IF(A1970="","",IF(BASE_CAIXA!C1967="Entrada","Crédito","Débito"))</f>
        <v/>
      </c>
      <c r="E1970" s="26" t="str">
        <f>IF(A1970="","",BASE_CAIXA!AA1967)</f>
        <v/>
      </c>
      <c r="F1970" s="26" t="str">
        <f>IF(A1970="","",BASE_CAIXA!N1967)</f>
        <v/>
      </c>
      <c r="G1970" s="26" t="str">
        <f>IF(A1970="","",BASE_CAIXA!O1967)</f>
        <v/>
      </c>
      <c r="H1970" s="26" t="str">
        <f>IF(A1970="","",BASE_CAIXA!P1967)</f>
        <v/>
      </c>
      <c r="I1970" s="26" t="str">
        <f>IF(A1970="","",IF(BASE_CAIXA!H1967&lt;&gt;"",BASE_CAIXA!H1967,BASE_CAIXA!G1967))</f>
        <v/>
      </c>
      <c r="J1970" s="26" t="str">
        <f>IF(A1970="","",BASE_CAIXA!G1967)</f>
        <v/>
      </c>
      <c r="K1970" s="26" t="str">
        <f>IF(A1970="","",BASE_CAIXA!I1967)</f>
        <v/>
      </c>
      <c r="L1970" s="26" t="str">
        <f>IF(A1970="","",BASE_CAIXA!J1967)</f>
        <v/>
      </c>
      <c r="M1970" s="26" t="str">
        <f>IF(A1970="","",BASE_CAIXA!AM1967)</f>
        <v/>
      </c>
      <c r="N1970" s="26" t="str">
        <f t="shared" ca="1" si="90"/>
        <v/>
      </c>
      <c r="O1970" s="26" t="str">
        <f>IFERROR(INDEX(EXTRATO_IMPORTADO!$A$5:$A$404,MATCH(B1970,EXTRATO_IMPORTADO!$I$5:$I$404,0)),"")</f>
        <v/>
      </c>
      <c r="P1970" s="26" t="str">
        <f>IFERROR(INDEX(EXTRATO_IMPORTADO!$F$5:$F$404,MATCH(B1970,EXTRATO_IMPORTADO!$I$5:$I$404,0)),"")</f>
        <v/>
      </c>
      <c r="Q1970" s="26" t="str">
        <f>IFERROR(INDEX(EXTRATO_IMPORTADO!$B$5:$B$404,MATCH(B1970,EXTRATO_IMPORTADO!$I$5:$I$404,0)),"")</f>
        <v/>
      </c>
      <c r="R1970" s="26" t="str">
        <f>IFERROR(MATCH(B1970,EXTRATO_IMPORTADO!$I$5:$I$404,0),"")</f>
        <v/>
      </c>
      <c r="S1970" s="26" t="str">
        <f t="shared" si="91"/>
        <v/>
      </c>
      <c r="T1970" s="26" t="str">
        <f t="shared" si="92"/>
        <v/>
      </c>
    </row>
    <row r="1971" spans="1:20" x14ac:dyDescent="0.3">
      <c r="A1971" s="26" t="str">
        <f>IF(BASE_CAIXA!A1968="","",BASE_CAIXA!A1968)</f>
        <v/>
      </c>
      <c r="B1971" s="26" t="str">
        <f>IF(A1971="","",BASE_CAIXA!AL1968)</f>
        <v/>
      </c>
      <c r="C1971" s="26" t="str">
        <f>IF(A1971="","",BASE_CAIXA!AJ1968)</f>
        <v/>
      </c>
      <c r="D1971" s="26" t="str">
        <f>IF(A1971="","",IF(BASE_CAIXA!C1968="Entrada","Crédito","Débito"))</f>
        <v/>
      </c>
      <c r="E1971" s="26" t="str">
        <f>IF(A1971="","",BASE_CAIXA!AA1968)</f>
        <v/>
      </c>
      <c r="F1971" s="26" t="str">
        <f>IF(A1971="","",BASE_CAIXA!N1968)</f>
        <v/>
      </c>
      <c r="G1971" s="26" t="str">
        <f>IF(A1971="","",BASE_CAIXA!O1968)</f>
        <v/>
      </c>
      <c r="H1971" s="26" t="str">
        <f>IF(A1971="","",BASE_CAIXA!P1968)</f>
        <v/>
      </c>
      <c r="I1971" s="26" t="str">
        <f>IF(A1971="","",IF(BASE_CAIXA!H1968&lt;&gt;"",BASE_CAIXA!H1968,BASE_CAIXA!G1968))</f>
        <v/>
      </c>
      <c r="J1971" s="26" t="str">
        <f>IF(A1971="","",BASE_CAIXA!G1968)</f>
        <v/>
      </c>
      <c r="K1971" s="26" t="str">
        <f>IF(A1971="","",BASE_CAIXA!I1968)</f>
        <v/>
      </c>
      <c r="L1971" s="26" t="str">
        <f>IF(A1971="","",BASE_CAIXA!J1968)</f>
        <v/>
      </c>
      <c r="M1971" s="26" t="str">
        <f>IF(A1971="","",BASE_CAIXA!AM1968)</f>
        <v/>
      </c>
      <c r="N1971" s="26" t="str">
        <f t="shared" ca="1" si="90"/>
        <v/>
      </c>
      <c r="O1971" s="26" t="str">
        <f>IFERROR(INDEX(EXTRATO_IMPORTADO!$A$5:$A$404,MATCH(B1971,EXTRATO_IMPORTADO!$I$5:$I$404,0)),"")</f>
        <v/>
      </c>
      <c r="P1971" s="26" t="str">
        <f>IFERROR(INDEX(EXTRATO_IMPORTADO!$F$5:$F$404,MATCH(B1971,EXTRATO_IMPORTADO!$I$5:$I$404,0)),"")</f>
        <v/>
      </c>
      <c r="Q1971" s="26" t="str">
        <f>IFERROR(INDEX(EXTRATO_IMPORTADO!$B$5:$B$404,MATCH(B1971,EXTRATO_IMPORTADO!$I$5:$I$404,0)),"")</f>
        <v/>
      </c>
      <c r="R1971" s="26" t="str">
        <f>IFERROR(MATCH(B1971,EXTRATO_IMPORTADO!$I$5:$I$404,0),"")</f>
        <v/>
      </c>
      <c r="S1971" s="26" t="str">
        <f t="shared" si="91"/>
        <v/>
      </c>
      <c r="T1971" s="26" t="str">
        <f t="shared" si="92"/>
        <v/>
      </c>
    </row>
    <row r="1972" spans="1:20" x14ac:dyDescent="0.3">
      <c r="A1972" s="26" t="str">
        <f>IF(BASE_CAIXA!A1969="","",BASE_CAIXA!A1969)</f>
        <v/>
      </c>
      <c r="B1972" s="26" t="str">
        <f>IF(A1972="","",BASE_CAIXA!AL1969)</f>
        <v/>
      </c>
      <c r="C1972" s="26" t="str">
        <f>IF(A1972="","",BASE_CAIXA!AJ1969)</f>
        <v/>
      </c>
      <c r="D1972" s="26" t="str">
        <f>IF(A1972="","",IF(BASE_CAIXA!C1969="Entrada","Crédito","Débito"))</f>
        <v/>
      </c>
      <c r="E1972" s="26" t="str">
        <f>IF(A1972="","",BASE_CAIXA!AA1969)</f>
        <v/>
      </c>
      <c r="F1972" s="26" t="str">
        <f>IF(A1972="","",BASE_CAIXA!N1969)</f>
        <v/>
      </c>
      <c r="G1972" s="26" t="str">
        <f>IF(A1972="","",BASE_CAIXA!O1969)</f>
        <v/>
      </c>
      <c r="H1972" s="26" t="str">
        <f>IF(A1972="","",BASE_CAIXA!P1969)</f>
        <v/>
      </c>
      <c r="I1972" s="26" t="str">
        <f>IF(A1972="","",IF(BASE_CAIXA!H1969&lt;&gt;"",BASE_CAIXA!H1969,BASE_CAIXA!G1969))</f>
        <v/>
      </c>
      <c r="J1972" s="26" t="str">
        <f>IF(A1972="","",BASE_CAIXA!G1969)</f>
        <v/>
      </c>
      <c r="K1972" s="26" t="str">
        <f>IF(A1972="","",BASE_CAIXA!I1969)</f>
        <v/>
      </c>
      <c r="L1972" s="26" t="str">
        <f>IF(A1972="","",BASE_CAIXA!J1969)</f>
        <v/>
      </c>
      <c r="M1972" s="26" t="str">
        <f>IF(A1972="","",BASE_CAIXA!AM1969)</f>
        <v/>
      </c>
      <c r="N1972" s="26" t="str">
        <f t="shared" ca="1" si="90"/>
        <v/>
      </c>
      <c r="O1972" s="26" t="str">
        <f>IFERROR(INDEX(EXTRATO_IMPORTADO!$A$5:$A$404,MATCH(B1972,EXTRATO_IMPORTADO!$I$5:$I$404,0)),"")</f>
        <v/>
      </c>
      <c r="P1972" s="26" t="str">
        <f>IFERROR(INDEX(EXTRATO_IMPORTADO!$F$5:$F$404,MATCH(B1972,EXTRATO_IMPORTADO!$I$5:$I$404,0)),"")</f>
        <v/>
      </c>
      <c r="Q1972" s="26" t="str">
        <f>IFERROR(INDEX(EXTRATO_IMPORTADO!$B$5:$B$404,MATCH(B1972,EXTRATO_IMPORTADO!$I$5:$I$404,0)),"")</f>
        <v/>
      </c>
      <c r="R1972" s="26" t="str">
        <f>IFERROR(MATCH(B1972,EXTRATO_IMPORTADO!$I$5:$I$404,0),"")</f>
        <v/>
      </c>
      <c r="S1972" s="26" t="str">
        <f t="shared" si="91"/>
        <v/>
      </c>
      <c r="T1972" s="26" t="str">
        <f t="shared" si="92"/>
        <v/>
      </c>
    </row>
    <row r="1973" spans="1:20" x14ac:dyDescent="0.3">
      <c r="A1973" s="26" t="str">
        <f>IF(BASE_CAIXA!A1970="","",BASE_CAIXA!A1970)</f>
        <v/>
      </c>
      <c r="B1973" s="26" t="str">
        <f>IF(A1973="","",BASE_CAIXA!AL1970)</f>
        <v/>
      </c>
      <c r="C1973" s="26" t="str">
        <f>IF(A1973="","",BASE_CAIXA!AJ1970)</f>
        <v/>
      </c>
      <c r="D1973" s="26" t="str">
        <f>IF(A1973="","",IF(BASE_CAIXA!C1970="Entrada","Crédito","Débito"))</f>
        <v/>
      </c>
      <c r="E1973" s="26" t="str">
        <f>IF(A1973="","",BASE_CAIXA!AA1970)</f>
        <v/>
      </c>
      <c r="F1973" s="26" t="str">
        <f>IF(A1973="","",BASE_CAIXA!N1970)</f>
        <v/>
      </c>
      <c r="G1973" s="26" t="str">
        <f>IF(A1973="","",BASE_CAIXA!O1970)</f>
        <v/>
      </c>
      <c r="H1973" s="26" t="str">
        <f>IF(A1973="","",BASE_CAIXA!P1970)</f>
        <v/>
      </c>
      <c r="I1973" s="26" t="str">
        <f>IF(A1973="","",IF(BASE_CAIXA!H1970&lt;&gt;"",BASE_CAIXA!H1970,BASE_CAIXA!G1970))</f>
        <v/>
      </c>
      <c r="J1973" s="26" t="str">
        <f>IF(A1973="","",BASE_CAIXA!G1970)</f>
        <v/>
      </c>
      <c r="K1973" s="26" t="str">
        <f>IF(A1973="","",BASE_CAIXA!I1970)</f>
        <v/>
      </c>
      <c r="L1973" s="26" t="str">
        <f>IF(A1973="","",BASE_CAIXA!J1970)</f>
        <v/>
      </c>
      <c r="M1973" s="26" t="str">
        <f>IF(A1973="","",BASE_CAIXA!AM1970)</f>
        <v/>
      </c>
      <c r="N1973" s="26" t="str">
        <f t="shared" ca="1" si="90"/>
        <v/>
      </c>
      <c r="O1973" s="26" t="str">
        <f>IFERROR(INDEX(EXTRATO_IMPORTADO!$A$5:$A$404,MATCH(B1973,EXTRATO_IMPORTADO!$I$5:$I$404,0)),"")</f>
        <v/>
      </c>
      <c r="P1973" s="26" t="str">
        <f>IFERROR(INDEX(EXTRATO_IMPORTADO!$F$5:$F$404,MATCH(B1973,EXTRATO_IMPORTADO!$I$5:$I$404,0)),"")</f>
        <v/>
      </c>
      <c r="Q1973" s="26" t="str">
        <f>IFERROR(INDEX(EXTRATO_IMPORTADO!$B$5:$B$404,MATCH(B1973,EXTRATO_IMPORTADO!$I$5:$I$404,0)),"")</f>
        <v/>
      </c>
      <c r="R1973" s="26" t="str">
        <f>IFERROR(MATCH(B1973,EXTRATO_IMPORTADO!$I$5:$I$404,0),"")</f>
        <v/>
      </c>
      <c r="S1973" s="26" t="str">
        <f t="shared" si="91"/>
        <v/>
      </c>
      <c r="T1973" s="26" t="str">
        <f t="shared" si="92"/>
        <v/>
      </c>
    </row>
    <row r="1974" spans="1:20" x14ac:dyDescent="0.3">
      <c r="A1974" s="26" t="str">
        <f>IF(BASE_CAIXA!A1971="","",BASE_CAIXA!A1971)</f>
        <v/>
      </c>
      <c r="B1974" s="26" t="str">
        <f>IF(A1974="","",BASE_CAIXA!AL1971)</f>
        <v/>
      </c>
      <c r="C1974" s="26" t="str">
        <f>IF(A1974="","",BASE_CAIXA!AJ1971)</f>
        <v/>
      </c>
      <c r="D1974" s="26" t="str">
        <f>IF(A1974="","",IF(BASE_CAIXA!C1971="Entrada","Crédito","Débito"))</f>
        <v/>
      </c>
      <c r="E1974" s="26" t="str">
        <f>IF(A1974="","",BASE_CAIXA!AA1971)</f>
        <v/>
      </c>
      <c r="F1974" s="26" t="str">
        <f>IF(A1974="","",BASE_CAIXA!N1971)</f>
        <v/>
      </c>
      <c r="G1974" s="26" t="str">
        <f>IF(A1974="","",BASE_CAIXA!O1971)</f>
        <v/>
      </c>
      <c r="H1974" s="26" t="str">
        <f>IF(A1974="","",BASE_CAIXA!P1971)</f>
        <v/>
      </c>
      <c r="I1974" s="26" t="str">
        <f>IF(A1974="","",IF(BASE_CAIXA!H1971&lt;&gt;"",BASE_CAIXA!H1971,BASE_CAIXA!G1971))</f>
        <v/>
      </c>
      <c r="J1974" s="26" t="str">
        <f>IF(A1974="","",BASE_CAIXA!G1971)</f>
        <v/>
      </c>
      <c r="K1974" s="26" t="str">
        <f>IF(A1974="","",BASE_CAIXA!I1971)</f>
        <v/>
      </c>
      <c r="L1974" s="26" t="str">
        <f>IF(A1974="","",BASE_CAIXA!J1971)</f>
        <v/>
      </c>
      <c r="M1974" s="26" t="str">
        <f>IF(A1974="","",BASE_CAIXA!AM1971)</f>
        <v/>
      </c>
      <c r="N1974" s="26" t="str">
        <f t="shared" ca="1" si="90"/>
        <v/>
      </c>
      <c r="O1974" s="26" t="str">
        <f>IFERROR(INDEX(EXTRATO_IMPORTADO!$A$5:$A$404,MATCH(B1974,EXTRATO_IMPORTADO!$I$5:$I$404,0)),"")</f>
        <v/>
      </c>
      <c r="P1974" s="26" t="str">
        <f>IFERROR(INDEX(EXTRATO_IMPORTADO!$F$5:$F$404,MATCH(B1974,EXTRATO_IMPORTADO!$I$5:$I$404,0)),"")</f>
        <v/>
      </c>
      <c r="Q1974" s="26" t="str">
        <f>IFERROR(INDEX(EXTRATO_IMPORTADO!$B$5:$B$404,MATCH(B1974,EXTRATO_IMPORTADO!$I$5:$I$404,0)),"")</f>
        <v/>
      </c>
      <c r="R1974" s="26" t="str">
        <f>IFERROR(MATCH(B1974,EXTRATO_IMPORTADO!$I$5:$I$404,0),"")</f>
        <v/>
      </c>
      <c r="S1974" s="26" t="str">
        <f t="shared" si="91"/>
        <v/>
      </c>
      <c r="T1974" s="26" t="str">
        <f t="shared" si="92"/>
        <v/>
      </c>
    </row>
    <row r="1975" spans="1:20" x14ac:dyDescent="0.3">
      <c r="A1975" s="26" t="str">
        <f>IF(BASE_CAIXA!A1972="","",BASE_CAIXA!A1972)</f>
        <v/>
      </c>
      <c r="B1975" s="26" t="str">
        <f>IF(A1975="","",BASE_CAIXA!AL1972)</f>
        <v/>
      </c>
      <c r="C1975" s="26" t="str">
        <f>IF(A1975="","",BASE_CAIXA!AJ1972)</f>
        <v/>
      </c>
      <c r="D1975" s="26" t="str">
        <f>IF(A1975="","",IF(BASE_CAIXA!C1972="Entrada","Crédito","Débito"))</f>
        <v/>
      </c>
      <c r="E1975" s="26" t="str">
        <f>IF(A1975="","",BASE_CAIXA!AA1972)</f>
        <v/>
      </c>
      <c r="F1975" s="26" t="str">
        <f>IF(A1975="","",BASE_CAIXA!N1972)</f>
        <v/>
      </c>
      <c r="G1975" s="26" t="str">
        <f>IF(A1975="","",BASE_CAIXA!O1972)</f>
        <v/>
      </c>
      <c r="H1975" s="26" t="str">
        <f>IF(A1975="","",BASE_CAIXA!P1972)</f>
        <v/>
      </c>
      <c r="I1975" s="26" t="str">
        <f>IF(A1975="","",IF(BASE_CAIXA!H1972&lt;&gt;"",BASE_CAIXA!H1972,BASE_CAIXA!G1972))</f>
        <v/>
      </c>
      <c r="J1975" s="26" t="str">
        <f>IF(A1975="","",BASE_CAIXA!G1972)</f>
        <v/>
      </c>
      <c r="K1975" s="26" t="str">
        <f>IF(A1975="","",BASE_CAIXA!I1972)</f>
        <v/>
      </c>
      <c r="L1975" s="26" t="str">
        <f>IF(A1975="","",BASE_CAIXA!J1972)</f>
        <v/>
      </c>
      <c r="M1975" s="26" t="str">
        <f>IF(A1975="","",BASE_CAIXA!AM1972)</f>
        <v/>
      </c>
      <c r="N1975" s="26" t="str">
        <f t="shared" ca="1" si="90"/>
        <v/>
      </c>
      <c r="O1975" s="26" t="str">
        <f>IFERROR(INDEX(EXTRATO_IMPORTADO!$A$5:$A$404,MATCH(B1975,EXTRATO_IMPORTADO!$I$5:$I$404,0)),"")</f>
        <v/>
      </c>
      <c r="P1975" s="26" t="str">
        <f>IFERROR(INDEX(EXTRATO_IMPORTADO!$F$5:$F$404,MATCH(B1975,EXTRATO_IMPORTADO!$I$5:$I$404,0)),"")</f>
        <v/>
      </c>
      <c r="Q1975" s="26" t="str">
        <f>IFERROR(INDEX(EXTRATO_IMPORTADO!$B$5:$B$404,MATCH(B1975,EXTRATO_IMPORTADO!$I$5:$I$404,0)),"")</f>
        <v/>
      </c>
      <c r="R1975" s="26" t="str">
        <f>IFERROR(MATCH(B1975,EXTRATO_IMPORTADO!$I$5:$I$404,0),"")</f>
        <v/>
      </c>
      <c r="S1975" s="26" t="str">
        <f t="shared" si="91"/>
        <v/>
      </c>
      <c r="T1975" s="26" t="str">
        <f t="shared" si="92"/>
        <v/>
      </c>
    </row>
    <row r="1976" spans="1:20" x14ac:dyDescent="0.3">
      <c r="A1976" s="26" t="str">
        <f>IF(BASE_CAIXA!A1973="","",BASE_CAIXA!A1973)</f>
        <v/>
      </c>
      <c r="B1976" s="26" t="str">
        <f>IF(A1976="","",BASE_CAIXA!AL1973)</f>
        <v/>
      </c>
      <c r="C1976" s="26" t="str">
        <f>IF(A1976="","",BASE_CAIXA!AJ1973)</f>
        <v/>
      </c>
      <c r="D1976" s="26" t="str">
        <f>IF(A1976="","",IF(BASE_CAIXA!C1973="Entrada","Crédito","Débito"))</f>
        <v/>
      </c>
      <c r="E1976" s="26" t="str">
        <f>IF(A1976="","",BASE_CAIXA!AA1973)</f>
        <v/>
      </c>
      <c r="F1976" s="26" t="str">
        <f>IF(A1976="","",BASE_CAIXA!N1973)</f>
        <v/>
      </c>
      <c r="G1976" s="26" t="str">
        <f>IF(A1976="","",BASE_CAIXA!O1973)</f>
        <v/>
      </c>
      <c r="H1976" s="26" t="str">
        <f>IF(A1976="","",BASE_CAIXA!P1973)</f>
        <v/>
      </c>
      <c r="I1976" s="26" t="str">
        <f>IF(A1976="","",IF(BASE_CAIXA!H1973&lt;&gt;"",BASE_CAIXA!H1973,BASE_CAIXA!G1973))</f>
        <v/>
      </c>
      <c r="J1976" s="26" t="str">
        <f>IF(A1976="","",BASE_CAIXA!G1973)</f>
        <v/>
      </c>
      <c r="K1976" s="26" t="str">
        <f>IF(A1976="","",BASE_CAIXA!I1973)</f>
        <v/>
      </c>
      <c r="L1976" s="26" t="str">
        <f>IF(A1976="","",BASE_CAIXA!J1973)</f>
        <v/>
      </c>
      <c r="M1976" s="26" t="str">
        <f>IF(A1976="","",BASE_CAIXA!AM1973)</f>
        <v/>
      </c>
      <c r="N1976" s="26" t="str">
        <f t="shared" ca="1" si="90"/>
        <v/>
      </c>
      <c r="O1976" s="26" t="str">
        <f>IFERROR(INDEX(EXTRATO_IMPORTADO!$A$5:$A$404,MATCH(B1976,EXTRATO_IMPORTADO!$I$5:$I$404,0)),"")</f>
        <v/>
      </c>
      <c r="P1976" s="26" t="str">
        <f>IFERROR(INDEX(EXTRATO_IMPORTADO!$F$5:$F$404,MATCH(B1976,EXTRATO_IMPORTADO!$I$5:$I$404,0)),"")</f>
        <v/>
      </c>
      <c r="Q1976" s="26" t="str">
        <f>IFERROR(INDEX(EXTRATO_IMPORTADO!$B$5:$B$404,MATCH(B1976,EXTRATO_IMPORTADO!$I$5:$I$404,0)),"")</f>
        <v/>
      </c>
      <c r="R1976" s="26" t="str">
        <f>IFERROR(MATCH(B1976,EXTRATO_IMPORTADO!$I$5:$I$404,0),"")</f>
        <v/>
      </c>
      <c r="S1976" s="26" t="str">
        <f t="shared" si="91"/>
        <v/>
      </c>
      <c r="T1976" s="26" t="str">
        <f t="shared" si="92"/>
        <v/>
      </c>
    </row>
    <row r="1977" spans="1:20" x14ac:dyDescent="0.3">
      <c r="A1977" s="26" t="str">
        <f>IF(BASE_CAIXA!A1974="","",BASE_CAIXA!A1974)</f>
        <v/>
      </c>
      <c r="B1977" s="26" t="str">
        <f>IF(A1977="","",BASE_CAIXA!AL1974)</f>
        <v/>
      </c>
      <c r="C1977" s="26" t="str">
        <f>IF(A1977="","",BASE_CAIXA!AJ1974)</f>
        <v/>
      </c>
      <c r="D1977" s="26" t="str">
        <f>IF(A1977="","",IF(BASE_CAIXA!C1974="Entrada","Crédito","Débito"))</f>
        <v/>
      </c>
      <c r="E1977" s="26" t="str">
        <f>IF(A1977="","",BASE_CAIXA!AA1974)</f>
        <v/>
      </c>
      <c r="F1977" s="26" t="str">
        <f>IF(A1977="","",BASE_CAIXA!N1974)</f>
        <v/>
      </c>
      <c r="G1977" s="26" t="str">
        <f>IF(A1977="","",BASE_CAIXA!O1974)</f>
        <v/>
      </c>
      <c r="H1977" s="26" t="str">
        <f>IF(A1977="","",BASE_CAIXA!P1974)</f>
        <v/>
      </c>
      <c r="I1977" s="26" t="str">
        <f>IF(A1977="","",IF(BASE_CAIXA!H1974&lt;&gt;"",BASE_CAIXA!H1974,BASE_CAIXA!G1974))</f>
        <v/>
      </c>
      <c r="J1977" s="26" t="str">
        <f>IF(A1977="","",BASE_CAIXA!G1974)</f>
        <v/>
      </c>
      <c r="K1977" s="26" t="str">
        <f>IF(A1977="","",BASE_CAIXA!I1974)</f>
        <v/>
      </c>
      <c r="L1977" s="26" t="str">
        <f>IF(A1977="","",BASE_CAIXA!J1974)</f>
        <v/>
      </c>
      <c r="M1977" s="26" t="str">
        <f>IF(A1977="","",BASE_CAIXA!AM1974)</f>
        <v/>
      </c>
      <c r="N1977" s="26" t="str">
        <f t="shared" ca="1" si="90"/>
        <v/>
      </c>
      <c r="O1977" s="26" t="str">
        <f>IFERROR(INDEX(EXTRATO_IMPORTADO!$A$5:$A$404,MATCH(B1977,EXTRATO_IMPORTADO!$I$5:$I$404,0)),"")</f>
        <v/>
      </c>
      <c r="P1977" s="26" t="str">
        <f>IFERROR(INDEX(EXTRATO_IMPORTADO!$F$5:$F$404,MATCH(B1977,EXTRATO_IMPORTADO!$I$5:$I$404,0)),"")</f>
        <v/>
      </c>
      <c r="Q1977" s="26" t="str">
        <f>IFERROR(INDEX(EXTRATO_IMPORTADO!$B$5:$B$404,MATCH(B1977,EXTRATO_IMPORTADO!$I$5:$I$404,0)),"")</f>
        <v/>
      </c>
      <c r="R1977" s="26" t="str">
        <f>IFERROR(MATCH(B1977,EXTRATO_IMPORTADO!$I$5:$I$404,0),"")</f>
        <v/>
      </c>
      <c r="S1977" s="26" t="str">
        <f t="shared" si="91"/>
        <v/>
      </c>
      <c r="T1977" s="26" t="str">
        <f t="shared" si="92"/>
        <v/>
      </c>
    </row>
    <row r="1978" spans="1:20" x14ac:dyDescent="0.3">
      <c r="A1978" s="26" t="str">
        <f>IF(BASE_CAIXA!A1975="","",BASE_CAIXA!A1975)</f>
        <v/>
      </c>
      <c r="B1978" s="26" t="str">
        <f>IF(A1978="","",BASE_CAIXA!AL1975)</f>
        <v/>
      </c>
      <c r="C1978" s="26" t="str">
        <f>IF(A1978="","",BASE_CAIXA!AJ1975)</f>
        <v/>
      </c>
      <c r="D1978" s="26" t="str">
        <f>IF(A1978="","",IF(BASE_CAIXA!C1975="Entrada","Crédito","Débito"))</f>
        <v/>
      </c>
      <c r="E1978" s="26" t="str">
        <f>IF(A1978="","",BASE_CAIXA!AA1975)</f>
        <v/>
      </c>
      <c r="F1978" s="26" t="str">
        <f>IF(A1978="","",BASE_CAIXA!N1975)</f>
        <v/>
      </c>
      <c r="G1978" s="26" t="str">
        <f>IF(A1978="","",BASE_CAIXA!O1975)</f>
        <v/>
      </c>
      <c r="H1978" s="26" t="str">
        <f>IF(A1978="","",BASE_CAIXA!P1975)</f>
        <v/>
      </c>
      <c r="I1978" s="26" t="str">
        <f>IF(A1978="","",IF(BASE_CAIXA!H1975&lt;&gt;"",BASE_CAIXA!H1975,BASE_CAIXA!G1975))</f>
        <v/>
      </c>
      <c r="J1978" s="26" t="str">
        <f>IF(A1978="","",BASE_CAIXA!G1975)</f>
        <v/>
      </c>
      <c r="K1978" s="26" t="str">
        <f>IF(A1978="","",BASE_CAIXA!I1975)</f>
        <v/>
      </c>
      <c r="L1978" s="26" t="str">
        <f>IF(A1978="","",BASE_CAIXA!J1975)</f>
        <v/>
      </c>
      <c r="M1978" s="26" t="str">
        <f>IF(A1978="","",BASE_CAIXA!AM1975)</f>
        <v/>
      </c>
      <c r="N1978" s="26" t="str">
        <f t="shared" ca="1" si="90"/>
        <v/>
      </c>
      <c r="O1978" s="26" t="str">
        <f>IFERROR(INDEX(EXTRATO_IMPORTADO!$A$5:$A$404,MATCH(B1978,EXTRATO_IMPORTADO!$I$5:$I$404,0)),"")</f>
        <v/>
      </c>
      <c r="P1978" s="26" t="str">
        <f>IFERROR(INDEX(EXTRATO_IMPORTADO!$F$5:$F$404,MATCH(B1978,EXTRATO_IMPORTADO!$I$5:$I$404,0)),"")</f>
        <v/>
      </c>
      <c r="Q1978" s="26" t="str">
        <f>IFERROR(INDEX(EXTRATO_IMPORTADO!$B$5:$B$404,MATCH(B1978,EXTRATO_IMPORTADO!$I$5:$I$404,0)),"")</f>
        <v/>
      </c>
      <c r="R1978" s="26" t="str">
        <f>IFERROR(MATCH(B1978,EXTRATO_IMPORTADO!$I$5:$I$404,0),"")</f>
        <v/>
      </c>
      <c r="S1978" s="26" t="str">
        <f t="shared" si="91"/>
        <v/>
      </c>
      <c r="T1978" s="26" t="str">
        <f t="shared" si="92"/>
        <v/>
      </c>
    </row>
    <row r="1979" spans="1:20" x14ac:dyDescent="0.3">
      <c r="A1979" s="26" t="str">
        <f>IF(BASE_CAIXA!A1976="","",BASE_CAIXA!A1976)</f>
        <v/>
      </c>
      <c r="B1979" s="26" t="str">
        <f>IF(A1979="","",BASE_CAIXA!AL1976)</f>
        <v/>
      </c>
      <c r="C1979" s="26" t="str">
        <f>IF(A1979="","",BASE_CAIXA!AJ1976)</f>
        <v/>
      </c>
      <c r="D1979" s="26" t="str">
        <f>IF(A1979="","",IF(BASE_CAIXA!C1976="Entrada","Crédito","Débito"))</f>
        <v/>
      </c>
      <c r="E1979" s="26" t="str">
        <f>IF(A1979="","",BASE_CAIXA!AA1976)</f>
        <v/>
      </c>
      <c r="F1979" s="26" t="str">
        <f>IF(A1979="","",BASE_CAIXA!N1976)</f>
        <v/>
      </c>
      <c r="G1979" s="26" t="str">
        <f>IF(A1979="","",BASE_CAIXA!O1976)</f>
        <v/>
      </c>
      <c r="H1979" s="26" t="str">
        <f>IF(A1979="","",BASE_CAIXA!P1976)</f>
        <v/>
      </c>
      <c r="I1979" s="26" t="str">
        <f>IF(A1979="","",IF(BASE_CAIXA!H1976&lt;&gt;"",BASE_CAIXA!H1976,BASE_CAIXA!G1976))</f>
        <v/>
      </c>
      <c r="J1979" s="26" t="str">
        <f>IF(A1979="","",BASE_CAIXA!G1976)</f>
        <v/>
      </c>
      <c r="K1979" s="26" t="str">
        <f>IF(A1979="","",BASE_CAIXA!I1976)</f>
        <v/>
      </c>
      <c r="L1979" s="26" t="str">
        <f>IF(A1979="","",BASE_CAIXA!J1976)</f>
        <v/>
      </c>
      <c r="M1979" s="26" t="str">
        <f>IF(A1979="","",BASE_CAIXA!AM1976)</f>
        <v/>
      </c>
      <c r="N1979" s="26" t="str">
        <f t="shared" ca="1" si="90"/>
        <v/>
      </c>
      <c r="O1979" s="26" t="str">
        <f>IFERROR(INDEX(EXTRATO_IMPORTADO!$A$5:$A$404,MATCH(B1979,EXTRATO_IMPORTADO!$I$5:$I$404,0)),"")</f>
        <v/>
      </c>
      <c r="P1979" s="26" t="str">
        <f>IFERROR(INDEX(EXTRATO_IMPORTADO!$F$5:$F$404,MATCH(B1979,EXTRATO_IMPORTADO!$I$5:$I$404,0)),"")</f>
        <v/>
      </c>
      <c r="Q1979" s="26" t="str">
        <f>IFERROR(INDEX(EXTRATO_IMPORTADO!$B$5:$B$404,MATCH(B1979,EXTRATO_IMPORTADO!$I$5:$I$404,0)),"")</f>
        <v/>
      </c>
      <c r="R1979" s="26" t="str">
        <f>IFERROR(MATCH(B1979,EXTRATO_IMPORTADO!$I$5:$I$404,0),"")</f>
        <v/>
      </c>
      <c r="S1979" s="26" t="str">
        <f t="shared" si="91"/>
        <v/>
      </c>
      <c r="T1979" s="26" t="str">
        <f t="shared" si="92"/>
        <v/>
      </c>
    </row>
    <row r="1980" spans="1:20" x14ac:dyDescent="0.3">
      <c r="A1980" s="26" t="str">
        <f>IF(BASE_CAIXA!A1977="","",BASE_CAIXA!A1977)</f>
        <v/>
      </c>
      <c r="B1980" s="26" t="str">
        <f>IF(A1980="","",BASE_CAIXA!AL1977)</f>
        <v/>
      </c>
      <c r="C1980" s="26" t="str">
        <f>IF(A1980="","",BASE_CAIXA!AJ1977)</f>
        <v/>
      </c>
      <c r="D1980" s="26" t="str">
        <f>IF(A1980="","",IF(BASE_CAIXA!C1977="Entrada","Crédito","Débito"))</f>
        <v/>
      </c>
      <c r="E1980" s="26" t="str">
        <f>IF(A1980="","",BASE_CAIXA!AA1977)</f>
        <v/>
      </c>
      <c r="F1980" s="26" t="str">
        <f>IF(A1980="","",BASE_CAIXA!N1977)</f>
        <v/>
      </c>
      <c r="G1980" s="26" t="str">
        <f>IF(A1980="","",BASE_CAIXA!O1977)</f>
        <v/>
      </c>
      <c r="H1980" s="26" t="str">
        <f>IF(A1980="","",BASE_CAIXA!P1977)</f>
        <v/>
      </c>
      <c r="I1980" s="26" t="str">
        <f>IF(A1980="","",IF(BASE_CAIXA!H1977&lt;&gt;"",BASE_CAIXA!H1977,BASE_CAIXA!G1977))</f>
        <v/>
      </c>
      <c r="J1980" s="26" t="str">
        <f>IF(A1980="","",BASE_CAIXA!G1977)</f>
        <v/>
      </c>
      <c r="K1980" s="26" t="str">
        <f>IF(A1980="","",BASE_CAIXA!I1977)</f>
        <v/>
      </c>
      <c r="L1980" s="26" t="str">
        <f>IF(A1980="","",BASE_CAIXA!J1977)</f>
        <v/>
      </c>
      <c r="M1980" s="26" t="str">
        <f>IF(A1980="","",BASE_CAIXA!AM1977)</f>
        <v/>
      </c>
      <c r="N1980" s="26" t="str">
        <f t="shared" ca="1" si="90"/>
        <v/>
      </c>
      <c r="O1980" s="26" t="str">
        <f>IFERROR(INDEX(EXTRATO_IMPORTADO!$A$5:$A$404,MATCH(B1980,EXTRATO_IMPORTADO!$I$5:$I$404,0)),"")</f>
        <v/>
      </c>
      <c r="P1980" s="26" t="str">
        <f>IFERROR(INDEX(EXTRATO_IMPORTADO!$F$5:$F$404,MATCH(B1980,EXTRATO_IMPORTADO!$I$5:$I$404,0)),"")</f>
        <v/>
      </c>
      <c r="Q1980" s="26" t="str">
        <f>IFERROR(INDEX(EXTRATO_IMPORTADO!$B$5:$B$404,MATCH(B1980,EXTRATO_IMPORTADO!$I$5:$I$404,0)),"")</f>
        <v/>
      </c>
      <c r="R1980" s="26" t="str">
        <f>IFERROR(MATCH(B1980,EXTRATO_IMPORTADO!$I$5:$I$404,0),"")</f>
        <v/>
      </c>
      <c r="S1980" s="26" t="str">
        <f t="shared" si="91"/>
        <v/>
      </c>
      <c r="T1980" s="26" t="str">
        <f t="shared" si="92"/>
        <v/>
      </c>
    </row>
    <row r="1981" spans="1:20" x14ac:dyDescent="0.3">
      <c r="A1981" s="26" t="str">
        <f>IF(BASE_CAIXA!A1978="","",BASE_CAIXA!A1978)</f>
        <v/>
      </c>
      <c r="B1981" s="26" t="str">
        <f>IF(A1981="","",BASE_CAIXA!AL1978)</f>
        <v/>
      </c>
      <c r="C1981" s="26" t="str">
        <f>IF(A1981="","",BASE_CAIXA!AJ1978)</f>
        <v/>
      </c>
      <c r="D1981" s="26" t="str">
        <f>IF(A1981="","",IF(BASE_CAIXA!C1978="Entrada","Crédito","Débito"))</f>
        <v/>
      </c>
      <c r="E1981" s="26" t="str">
        <f>IF(A1981="","",BASE_CAIXA!AA1978)</f>
        <v/>
      </c>
      <c r="F1981" s="26" t="str">
        <f>IF(A1981="","",BASE_CAIXA!N1978)</f>
        <v/>
      </c>
      <c r="G1981" s="26" t="str">
        <f>IF(A1981="","",BASE_CAIXA!O1978)</f>
        <v/>
      </c>
      <c r="H1981" s="26" t="str">
        <f>IF(A1981="","",BASE_CAIXA!P1978)</f>
        <v/>
      </c>
      <c r="I1981" s="26" t="str">
        <f>IF(A1981="","",IF(BASE_CAIXA!H1978&lt;&gt;"",BASE_CAIXA!H1978,BASE_CAIXA!G1978))</f>
        <v/>
      </c>
      <c r="J1981" s="26" t="str">
        <f>IF(A1981="","",BASE_CAIXA!G1978)</f>
        <v/>
      </c>
      <c r="K1981" s="26" t="str">
        <f>IF(A1981="","",BASE_CAIXA!I1978)</f>
        <v/>
      </c>
      <c r="L1981" s="26" t="str">
        <f>IF(A1981="","",BASE_CAIXA!J1978)</f>
        <v/>
      </c>
      <c r="M1981" s="26" t="str">
        <f>IF(A1981="","",BASE_CAIXA!AM1978)</f>
        <v/>
      </c>
      <c r="N1981" s="26" t="str">
        <f t="shared" ca="1" si="90"/>
        <v/>
      </c>
      <c r="O1981" s="26" t="str">
        <f>IFERROR(INDEX(EXTRATO_IMPORTADO!$A$5:$A$404,MATCH(B1981,EXTRATO_IMPORTADO!$I$5:$I$404,0)),"")</f>
        <v/>
      </c>
      <c r="P1981" s="26" t="str">
        <f>IFERROR(INDEX(EXTRATO_IMPORTADO!$F$5:$F$404,MATCH(B1981,EXTRATO_IMPORTADO!$I$5:$I$404,0)),"")</f>
        <v/>
      </c>
      <c r="Q1981" s="26" t="str">
        <f>IFERROR(INDEX(EXTRATO_IMPORTADO!$B$5:$B$404,MATCH(B1981,EXTRATO_IMPORTADO!$I$5:$I$404,0)),"")</f>
        <v/>
      </c>
      <c r="R1981" s="26" t="str">
        <f>IFERROR(MATCH(B1981,EXTRATO_IMPORTADO!$I$5:$I$404,0),"")</f>
        <v/>
      </c>
      <c r="S1981" s="26" t="str">
        <f t="shared" si="91"/>
        <v/>
      </c>
      <c r="T1981" s="26" t="str">
        <f t="shared" si="92"/>
        <v/>
      </c>
    </row>
    <row r="1982" spans="1:20" x14ac:dyDescent="0.3">
      <c r="A1982" s="26" t="str">
        <f>IF(BASE_CAIXA!A1979="","",BASE_CAIXA!A1979)</f>
        <v/>
      </c>
      <c r="B1982" s="26" t="str">
        <f>IF(A1982="","",BASE_CAIXA!AL1979)</f>
        <v/>
      </c>
      <c r="C1982" s="26" t="str">
        <f>IF(A1982="","",BASE_CAIXA!AJ1979)</f>
        <v/>
      </c>
      <c r="D1982" s="26" t="str">
        <f>IF(A1982="","",IF(BASE_CAIXA!C1979="Entrada","Crédito","Débito"))</f>
        <v/>
      </c>
      <c r="E1982" s="26" t="str">
        <f>IF(A1982="","",BASE_CAIXA!AA1979)</f>
        <v/>
      </c>
      <c r="F1982" s="26" t="str">
        <f>IF(A1982="","",BASE_CAIXA!N1979)</f>
        <v/>
      </c>
      <c r="G1982" s="26" t="str">
        <f>IF(A1982="","",BASE_CAIXA!O1979)</f>
        <v/>
      </c>
      <c r="H1982" s="26" t="str">
        <f>IF(A1982="","",BASE_CAIXA!P1979)</f>
        <v/>
      </c>
      <c r="I1982" s="26" t="str">
        <f>IF(A1982="","",IF(BASE_CAIXA!H1979&lt;&gt;"",BASE_CAIXA!H1979,BASE_CAIXA!G1979))</f>
        <v/>
      </c>
      <c r="J1982" s="26" t="str">
        <f>IF(A1982="","",BASE_CAIXA!G1979)</f>
        <v/>
      </c>
      <c r="K1982" s="26" t="str">
        <f>IF(A1982="","",BASE_CAIXA!I1979)</f>
        <v/>
      </c>
      <c r="L1982" s="26" t="str">
        <f>IF(A1982="","",BASE_CAIXA!J1979)</f>
        <v/>
      </c>
      <c r="M1982" s="26" t="str">
        <f>IF(A1982="","",BASE_CAIXA!AM1979)</f>
        <v/>
      </c>
      <c r="N1982" s="26" t="str">
        <f t="shared" ca="1" si="90"/>
        <v/>
      </c>
      <c r="O1982" s="26" t="str">
        <f>IFERROR(INDEX(EXTRATO_IMPORTADO!$A$5:$A$404,MATCH(B1982,EXTRATO_IMPORTADO!$I$5:$I$404,0)),"")</f>
        <v/>
      </c>
      <c r="P1982" s="26" t="str">
        <f>IFERROR(INDEX(EXTRATO_IMPORTADO!$F$5:$F$404,MATCH(B1982,EXTRATO_IMPORTADO!$I$5:$I$404,0)),"")</f>
        <v/>
      </c>
      <c r="Q1982" s="26" t="str">
        <f>IFERROR(INDEX(EXTRATO_IMPORTADO!$B$5:$B$404,MATCH(B1982,EXTRATO_IMPORTADO!$I$5:$I$404,0)),"")</f>
        <v/>
      </c>
      <c r="R1982" s="26" t="str">
        <f>IFERROR(MATCH(B1982,EXTRATO_IMPORTADO!$I$5:$I$404,0),"")</f>
        <v/>
      </c>
      <c r="S1982" s="26" t="str">
        <f t="shared" si="91"/>
        <v/>
      </c>
      <c r="T1982" s="26" t="str">
        <f t="shared" si="92"/>
        <v/>
      </c>
    </row>
    <row r="1983" spans="1:20" x14ac:dyDescent="0.3">
      <c r="A1983" s="26" t="str">
        <f>IF(BASE_CAIXA!A1980="","",BASE_CAIXA!A1980)</f>
        <v/>
      </c>
      <c r="B1983" s="26" t="str">
        <f>IF(A1983="","",BASE_CAIXA!AL1980)</f>
        <v/>
      </c>
      <c r="C1983" s="26" t="str">
        <f>IF(A1983="","",BASE_CAIXA!AJ1980)</f>
        <v/>
      </c>
      <c r="D1983" s="26" t="str">
        <f>IF(A1983="","",IF(BASE_CAIXA!C1980="Entrada","Crédito","Débito"))</f>
        <v/>
      </c>
      <c r="E1983" s="26" t="str">
        <f>IF(A1983="","",BASE_CAIXA!AA1980)</f>
        <v/>
      </c>
      <c r="F1983" s="26" t="str">
        <f>IF(A1983="","",BASE_CAIXA!N1980)</f>
        <v/>
      </c>
      <c r="G1983" s="26" t="str">
        <f>IF(A1983="","",BASE_CAIXA!O1980)</f>
        <v/>
      </c>
      <c r="H1983" s="26" t="str">
        <f>IF(A1983="","",BASE_CAIXA!P1980)</f>
        <v/>
      </c>
      <c r="I1983" s="26" t="str">
        <f>IF(A1983="","",IF(BASE_CAIXA!H1980&lt;&gt;"",BASE_CAIXA!H1980,BASE_CAIXA!G1980))</f>
        <v/>
      </c>
      <c r="J1983" s="26" t="str">
        <f>IF(A1983="","",BASE_CAIXA!G1980)</f>
        <v/>
      </c>
      <c r="K1983" s="26" t="str">
        <f>IF(A1983="","",BASE_CAIXA!I1980)</f>
        <v/>
      </c>
      <c r="L1983" s="26" t="str">
        <f>IF(A1983="","",BASE_CAIXA!J1980)</f>
        <v/>
      </c>
      <c r="M1983" s="26" t="str">
        <f>IF(A1983="","",BASE_CAIXA!AM1980)</f>
        <v/>
      </c>
      <c r="N1983" s="26" t="str">
        <f t="shared" ca="1" si="90"/>
        <v/>
      </c>
      <c r="O1983" s="26" t="str">
        <f>IFERROR(INDEX(EXTRATO_IMPORTADO!$A$5:$A$404,MATCH(B1983,EXTRATO_IMPORTADO!$I$5:$I$404,0)),"")</f>
        <v/>
      </c>
      <c r="P1983" s="26" t="str">
        <f>IFERROR(INDEX(EXTRATO_IMPORTADO!$F$5:$F$404,MATCH(B1983,EXTRATO_IMPORTADO!$I$5:$I$404,0)),"")</f>
        <v/>
      </c>
      <c r="Q1983" s="26" t="str">
        <f>IFERROR(INDEX(EXTRATO_IMPORTADO!$B$5:$B$404,MATCH(B1983,EXTRATO_IMPORTADO!$I$5:$I$404,0)),"")</f>
        <v/>
      </c>
      <c r="R1983" s="26" t="str">
        <f>IFERROR(MATCH(B1983,EXTRATO_IMPORTADO!$I$5:$I$404,0),"")</f>
        <v/>
      </c>
      <c r="S1983" s="26" t="str">
        <f t="shared" si="91"/>
        <v/>
      </c>
      <c r="T1983" s="26" t="str">
        <f t="shared" si="92"/>
        <v/>
      </c>
    </row>
    <row r="1984" spans="1:20" x14ac:dyDescent="0.3">
      <c r="A1984" s="26" t="str">
        <f>IF(BASE_CAIXA!A1981="","",BASE_CAIXA!A1981)</f>
        <v/>
      </c>
      <c r="B1984" s="26" t="str">
        <f>IF(A1984="","",BASE_CAIXA!AL1981)</f>
        <v/>
      </c>
      <c r="C1984" s="26" t="str">
        <f>IF(A1984="","",BASE_CAIXA!AJ1981)</f>
        <v/>
      </c>
      <c r="D1984" s="26" t="str">
        <f>IF(A1984="","",IF(BASE_CAIXA!C1981="Entrada","Crédito","Débito"))</f>
        <v/>
      </c>
      <c r="E1984" s="26" t="str">
        <f>IF(A1984="","",BASE_CAIXA!AA1981)</f>
        <v/>
      </c>
      <c r="F1984" s="26" t="str">
        <f>IF(A1984="","",BASE_CAIXA!N1981)</f>
        <v/>
      </c>
      <c r="G1984" s="26" t="str">
        <f>IF(A1984="","",BASE_CAIXA!O1981)</f>
        <v/>
      </c>
      <c r="H1984" s="26" t="str">
        <f>IF(A1984="","",BASE_CAIXA!P1981)</f>
        <v/>
      </c>
      <c r="I1984" s="26" t="str">
        <f>IF(A1984="","",IF(BASE_CAIXA!H1981&lt;&gt;"",BASE_CAIXA!H1981,BASE_CAIXA!G1981))</f>
        <v/>
      </c>
      <c r="J1984" s="26" t="str">
        <f>IF(A1984="","",BASE_CAIXA!G1981)</f>
        <v/>
      </c>
      <c r="K1984" s="26" t="str">
        <f>IF(A1984="","",BASE_CAIXA!I1981)</f>
        <v/>
      </c>
      <c r="L1984" s="26" t="str">
        <f>IF(A1984="","",BASE_CAIXA!J1981)</f>
        <v/>
      </c>
      <c r="M1984" s="26" t="str">
        <f>IF(A1984="","",BASE_CAIXA!AM1981)</f>
        <v/>
      </c>
      <c r="N1984" s="26" t="str">
        <f t="shared" ca="1" si="90"/>
        <v/>
      </c>
      <c r="O1984" s="26" t="str">
        <f>IFERROR(INDEX(EXTRATO_IMPORTADO!$A$5:$A$404,MATCH(B1984,EXTRATO_IMPORTADO!$I$5:$I$404,0)),"")</f>
        <v/>
      </c>
      <c r="P1984" s="26" t="str">
        <f>IFERROR(INDEX(EXTRATO_IMPORTADO!$F$5:$F$404,MATCH(B1984,EXTRATO_IMPORTADO!$I$5:$I$404,0)),"")</f>
        <v/>
      </c>
      <c r="Q1984" s="26" t="str">
        <f>IFERROR(INDEX(EXTRATO_IMPORTADO!$B$5:$B$404,MATCH(B1984,EXTRATO_IMPORTADO!$I$5:$I$404,0)),"")</f>
        <v/>
      </c>
      <c r="R1984" s="26" t="str">
        <f>IFERROR(MATCH(B1984,EXTRATO_IMPORTADO!$I$5:$I$404,0),"")</f>
        <v/>
      </c>
      <c r="S1984" s="26" t="str">
        <f t="shared" si="91"/>
        <v/>
      </c>
      <c r="T1984" s="26" t="str">
        <f t="shared" si="92"/>
        <v/>
      </c>
    </row>
    <row r="1985" spans="1:20" x14ac:dyDescent="0.3">
      <c r="A1985" s="26" t="str">
        <f>IF(BASE_CAIXA!A1982="","",BASE_CAIXA!A1982)</f>
        <v/>
      </c>
      <c r="B1985" s="26" t="str">
        <f>IF(A1985="","",BASE_CAIXA!AL1982)</f>
        <v/>
      </c>
      <c r="C1985" s="26" t="str">
        <f>IF(A1985="","",BASE_CAIXA!AJ1982)</f>
        <v/>
      </c>
      <c r="D1985" s="26" t="str">
        <f>IF(A1985="","",IF(BASE_CAIXA!C1982="Entrada","Crédito","Débito"))</f>
        <v/>
      </c>
      <c r="E1985" s="26" t="str">
        <f>IF(A1985="","",BASE_CAIXA!AA1982)</f>
        <v/>
      </c>
      <c r="F1985" s="26" t="str">
        <f>IF(A1985="","",BASE_CAIXA!N1982)</f>
        <v/>
      </c>
      <c r="G1985" s="26" t="str">
        <f>IF(A1985="","",BASE_CAIXA!O1982)</f>
        <v/>
      </c>
      <c r="H1985" s="26" t="str">
        <f>IF(A1985="","",BASE_CAIXA!P1982)</f>
        <v/>
      </c>
      <c r="I1985" s="26" t="str">
        <f>IF(A1985="","",IF(BASE_CAIXA!H1982&lt;&gt;"",BASE_CAIXA!H1982,BASE_CAIXA!G1982))</f>
        <v/>
      </c>
      <c r="J1985" s="26" t="str">
        <f>IF(A1985="","",BASE_CAIXA!G1982)</f>
        <v/>
      </c>
      <c r="K1985" s="26" t="str">
        <f>IF(A1985="","",BASE_CAIXA!I1982)</f>
        <v/>
      </c>
      <c r="L1985" s="26" t="str">
        <f>IF(A1985="","",BASE_CAIXA!J1982)</f>
        <v/>
      </c>
      <c r="M1985" s="26" t="str">
        <f>IF(A1985="","",BASE_CAIXA!AM1982)</f>
        <v/>
      </c>
      <c r="N1985" s="26" t="str">
        <f t="shared" ca="1" si="90"/>
        <v/>
      </c>
      <c r="O1985" s="26" t="str">
        <f>IFERROR(INDEX(EXTRATO_IMPORTADO!$A$5:$A$404,MATCH(B1985,EXTRATO_IMPORTADO!$I$5:$I$404,0)),"")</f>
        <v/>
      </c>
      <c r="P1985" s="26" t="str">
        <f>IFERROR(INDEX(EXTRATO_IMPORTADO!$F$5:$F$404,MATCH(B1985,EXTRATO_IMPORTADO!$I$5:$I$404,0)),"")</f>
        <v/>
      </c>
      <c r="Q1985" s="26" t="str">
        <f>IFERROR(INDEX(EXTRATO_IMPORTADO!$B$5:$B$404,MATCH(B1985,EXTRATO_IMPORTADO!$I$5:$I$404,0)),"")</f>
        <v/>
      </c>
      <c r="R1985" s="26" t="str">
        <f>IFERROR(MATCH(B1985,EXTRATO_IMPORTADO!$I$5:$I$404,0),"")</f>
        <v/>
      </c>
      <c r="S1985" s="26" t="str">
        <f t="shared" si="91"/>
        <v/>
      </c>
      <c r="T1985" s="26" t="str">
        <f t="shared" si="92"/>
        <v/>
      </c>
    </row>
    <row r="1986" spans="1:20" x14ac:dyDescent="0.3">
      <c r="A1986" s="26" t="str">
        <f>IF(BASE_CAIXA!A1983="","",BASE_CAIXA!A1983)</f>
        <v/>
      </c>
      <c r="B1986" s="26" t="str">
        <f>IF(A1986="","",BASE_CAIXA!AL1983)</f>
        <v/>
      </c>
      <c r="C1986" s="26" t="str">
        <f>IF(A1986="","",BASE_CAIXA!AJ1983)</f>
        <v/>
      </c>
      <c r="D1986" s="26" t="str">
        <f>IF(A1986="","",IF(BASE_CAIXA!C1983="Entrada","Crédito","Débito"))</f>
        <v/>
      </c>
      <c r="E1986" s="26" t="str">
        <f>IF(A1986="","",BASE_CAIXA!AA1983)</f>
        <v/>
      </c>
      <c r="F1986" s="26" t="str">
        <f>IF(A1986="","",BASE_CAIXA!N1983)</f>
        <v/>
      </c>
      <c r="G1986" s="26" t="str">
        <f>IF(A1986="","",BASE_CAIXA!O1983)</f>
        <v/>
      </c>
      <c r="H1986" s="26" t="str">
        <f>IF(A1986="","",BASE_CAIXA!P1983)</f>
        <v/>
      </c>
      <c r="I1986" s="26" t="str">
        <f>IF(A1986="","",IF(BASE_CAIXA!H1983&lt;&gt;"",BASE_CAIXA!H1983,BASE_CAIXA!G1983))</f>
        <v/>
      </c>
      <c r="J1986" s="26" t="str">
        <f>IF(A1986="","",BASE_CAIXA!G1983)</f>
        <v/>
      </c>
      <c r="K1986" s="26" t="str">
        <f>IF(A1986="","",BASE_CAIXA!I1983)</f>
        <v/>
      </c>
      <c r="L1986" s="26" t="str">
        <f>IF(A1986="","",BASE_CAIXA!J1983)</f>
        <v/>
      </c>
      <c r="M1986" s="26" t="str">
        <f>IF(A1986="","",BASE_CAIXA!AM1983)</f>
        <v/>
      </c>
      <c r="N1986" s="26" t="str">
        <f t="shared" ca="1" si="90"/>
        <v/>
      </c>
      <c r="O1986" s="26" t="str">
        <f>IFERROR(INDEX(EXTRATO_IMPORTADO!$A$5:$A$404,MATCH(B1986,EXTRATO_IMPORTADO!$I$5:$I$404,0)),"")</f>
        <v/>
      </c>
      <c r="P1986" s="26" t="str">
        <f>IFERROR(INDEX(EXTRATO_IMPORTADO!$F$5:$F$404,MATCH(B1986,EXTRATO_IMPORTADO!$I$5:$I$404,0)),"")</f>
        <v/>
      </c>
      <c r="Q1986" s="26" t="str">
        <f>IFERROR(INDEX(EXTRATO_IMPORTADO!$B$5:$B$404,MATCH(B1986,EXTRATO_IMPORTADO!$I$5:$I$404,0)),"")</f>
        <v/>
      </c>
      <c r="R1986" s="26" t="str">
        <f>IFERROR(MATCH(B1986,EXTRATO_IMPORTADO!$I$5:$I$404,0),"")</f>
        <v/>
      </c>
      <c r="S1986" s="26" t="str">
        <f t="shared" si="91"/>
        <v/>
      </c>
      <c r="T1986" s="26" t="str">
        <f t="shared" si="92"/>
        <v/>
      </c>
    </row>
    <row r="1987" spans="1:20" x14ac:dyDescent="0.3">
      <c r="A1987" s="26" t="str">
        <f>IF(BASE_CAIXA!A1984="","",BASE_CAIXA!A1984)</f>
        <v/>
      </c>
      <c r="B1987" s="26" t="str">
        <f>IF(A1987="","",BASE_CAIXA!AL1984)</f>
        <v/>
      </c>
      <c r="C1987" s="26" t="str">
        <f>IF(A1987="","",BASE_CAIXA!AJ1984)</f>
        <v/>
      </c>
      <c r="D1987" s="26" t="str">
        <f>IF(A1987="","",IF(BASE_CAIXA!C1984="Entrada","Crédito","Débito"))</f>
        <v/>
      </c>
      <c r="E1987" s="26" t="str">
        <f>IF(A1987="","",BASE_CAIXA!AA1984)</f>
        <v/>
      </c>
      <c r="F1987" s="26" t="str">
        <f>IF(A1987="","",BASE_CAIXA!N1984)</f>
        <v/>
      </c>
      <c r="G1987" s="26" t="str">
        <f>IF(A1987="","",BASE_CAIXA!O1984)</f>
        <v/>
      </c>
      <c r="H1987" s="26" t="str">
        <f>IF(A1987="","",BASE_CAIXA!P1984)</f>
        <v/>
      </c>
      <c r="I1987" s="26" t="str">
        <f>IF(A1987="","",IF(BASE_CAIXA!H1984&lt;&gt;"",BASE_CAIXA!H1984,BASE_CAIXA!G1984))</f>
        <v/>
      </c>
      <c r="J1987" s="26" t="str">
        <f>IF(A1987="","",BASE_CAIXA!G1984)</f>
        <v/>
      </c>
      <c r="K1987" s="26" t="str">
        <f>IF(A1987="","",BASE_CAIXA!I1984)</f>
        <v/>
      </c>
      <c r="L1987" s="26" t="str">
        <f>IF(A1987="","",BASE_CAIXA!J1984)</f>
        <v/>
      </c>
      <c r="M1987" s="26" t="str">
        <f>IF(A1987="","",BASE_CAIXA!AM1984)</f>
        <v/>
      </c>
      <c r="N1987" s="26" t="str">
        <f t="shared" ca="1" si="90"/>
        <v/>
      </c>
      <c r="O1987" s="26" t="str">
        <f>IFERROR(INDEX(EXTRATO_IMPORTADO!$A$5:$A$404,MATCH(B1987,EXTRATO_IMPORTADO!$I$5:$I$404,0)),"")</f>
        <v/>
      </c>
      <c r="P1987" s="26" t="str">
        <f>IFERROR(INDEX(EXTRATO_IMPORTADO!$F$5:$F$404,MATCH(B1987,EXTRATO_IMPORTADO!$I$5:$I$404,0)),"")</f>
        <v/>
      </c>
      <c r="Q1987" s="26" t="str">
        <f>IFERROR(INDEX(EXTRATO_IMPORTADO!$B$5:$B$404,MATCH(B1987,EXTRATO_IMPORTADO!$I$5:$I$404,0)),"")</f>
        <v/>
      </c>
      <c r="R1987" s="26" t="str">
        <f>IFERROR(MATCH(B1987,EXTRATO_IMPORTADO!$I$5:$I$404,0),"")</f>
        <v/>
      </c>
      <c r="S1987" s="26" t="str">
        <f t="shared" si="91"/>
        <v/>
      </c>
      <c r="T1987" s="26" t="str">
        <f t="shared" si="92"/>
        <v/>
      </c>
    </row>
    <row r="1988" spans="1:20" x14ac:dyDescent="0.3">
      <c r="A1988" s="26" t="str">
        <f>IF(BASE_CAIXA!A1985="","",BASE_CAIXA!A1985)</f>
        <v/>
      </c>
      <c r="B1988" s="26" t="str">
        <f>IF(A1988="","",BASE_CAIXA!AL1985)</f>
        <v/>
      </c>
      <c r="C1988" s="26" t="str">
        <f>IF(A1988="","",BASE_CAIXA!AJ1985)</f>
        <v/>
      </c>
      <c r="D1988" s="26" t="str">
        <f>IF(A1988="","",IF(BASE_CAIXA!C1985="Entrada","Crédito","Débito"))</f>
        <v/>
      </c>
      <c r="E1988" s="26" t="str">
        <f>IF(A1988="","",BASE_CAIXA!AA1985)</f>
        <v/>
      </c>
      <c r="F1988" s="26" t="str">
        <f>IF(A1988="","",BASE_CAIXA!N1985)</f>
        <v/>
      </c>
      <c r="G1988" s="26" t="str">
        <f>IF(A1988="","",BASE_CAIXA!O1985)</f>
        <v/>
      </c>
      <c r="H1988" s="26" t="str">
        <f>IF(A1988="","",BASE_CAIXA!P1985)</f>
        <v/>
      </c>
      <c r="I1988" s="26" t="str">
        <f>IF(A1988="","",IF(BASE_CAIXA!H1985&lt;&gt;"",BASE_CAIXA!H1985,BASE_CAIXA!G1985))</f>
        <v/>
      </c>
      <c r="J1988" s="26" t="str">
        <f>IF(A1988="","",BASE_CAIXA!G1985)</f>
        <v/>
      </c>
      <c r="K1988" s="26" t="str">
        <f>IF(A1988="","",BASE_CAIXA!I1985)</f>
        <v/>
      </c>
      <c r="L1988" s="26" t="str">
        <f>IF(A1988="","",BASE_CAIXA!J1985)</f>
        <v/>
      </c>
      <c r="M1988" s="26" t="str">
        <f>IF(A1988="","",BASE_CAIXA!AM1985)</f>
        <v/>
      </c>
      <c r="N1988" s="26" t="str">
        <f t="shared" ca="1" si="90"/>
        <v/>
      </c>
      <c r="O1988" s="26" t="str">
        <f>IFERROR(INDEX(EXTRATO_IMPORTADO!$A$5:$A$404,MATCH(B1988,EXTRATO_IMPORTADO!$I$5:$I$404,0)),"")</f>
        <v/>
      </c>
      <c r="P1988" s="26" t="str">
        <f>IFERROR(INDEX(EXTRATO_IMPORTADO!$F$5:$F$404,MATCH(B1988,EXTRATO_IMPORTADO!$I$5:$I$404,0)),"")</f>
        <v/>
      </c>
      <c r="Q1988" s="26" t="str">
        <f>IFERROR(INDEX(EXTRATO_IMPORTADO!$B$5:$B$404,MATCH(B1988,EXTRATO_IMPORTADO!$I$5:$I$404,0)),"")</f>
        <v/>
      </c>
      <c r="R1988" s="26" t="str">
        <f>IFERROR(MATCH(B1988,EXTRATO_IMPORTADO!$I$5:$I$404,0),"")</f>
        <v/>
      </c>
      <c r="S1988" s="26" t="str">
        <f t="shared" si="91"/>
        <v/>
      </c>
      <c r="T1988" s="26" t="str">
        <f t="shared" si="92"/>
        <v/>
      </c>
    </row>
    <row r="1989" spans="1:20" x14ac:dyDescent="0.3">
      <c r="A1989" s="26" t="str">
        <f>IF(BASE_CAIXA!A1986="","",BASE_CAIXA!A1986)</f>
        <v/>
      </c>
      <c r="B1989" s="26" t="str">
        <f>IF(A1989="","",BASE_CAIXA!AL1986)</f>
        <v/>
      </c>
      <c r="C1989" s="26" t="str">
        <f>IF(A1989="","",BASE_CAIXA!AJ1986)</f>
        <v/>
      </c>
      <c r="D1989" s="26" t="str">
        <f>IF(A1989="","",IF(BASE_CAIXA!C1986="Entrada","Crédito","Débito"))</f>
        <v/>
      </c>
      <c r="E1989" s="26" t="str">
        <f>IF(A1989="","",BASE_CAIXA!AA1986)</f>
        <v/>
      </c>
      <c r="F1989" s="26" t="str">
        <f>IF(A1989="","",BASE_CAIXA!N1986)</f>
        <v/>
      </c>
      <c r="G1989" s="26" t="str">
        <f>IF(A1989="","",BASE_CAIXA!O1986)</f>
        <v/>
      </c>
      <c r="H1989" s="26" t="str">
        <f>IF(A1989="","",BASE_CAIXA!P1986)</f>
        <v/>
      </c>
      <c r="I1989" s="26" t="str">
        <f>IF(A1989="","",IF(BASE_CAIXA!H1986&lt;&gt;"",BASE_CAIXA!H1986,BASE_CAIXA!G1986))</f>
        <v/>
      </c>
      <c r="J1989" s="26" t="str">
        <f>IF(A1989="","",BASE_CAIXA!G1986)</f>
        <v/>
      </c>
      <c r="K1989" s="26" t="str">
        <f>IF(A1989="","",BASE_CAIXA!I1986)</f>
        <v/>
      </c>
      <c r="L1989" s="26" t="str">
        <f>IF(A1989="","",BASE_CAIXA!J1986)</f>
        <v/>
      </c>
      <c r="M1989" s="26" t="str">
        <f>IF(A1989="","",BASE_CAIXA!AM1986)</f>
        <v/>
      </c>
      <c r="N1989" s="26" t="str">
        <f t="shared" ref="N1989:N2003" ca="1" si="93">IF(A1989="","",IF(R1989&lt;&gt;"",IF(AND(ABS(S1989)&lt;=0.01,ABS(T1989)&lt;=3),"Conciliado","Divergente"),IF(TODAY()&gt;C1989,"Pendente vencido","Previsto")))</f>
        <v/>
      </c>
      <c r="O1989" s="26" t="str">
        <f>IFERROR(INDEX(EXTRATO_IMPORTADO!$A$5:$A$404,MATCH(B1989,EXTRATO_IMPORTADO!$I$5:$I$404,0)),"")</f>
        <v/>
      </c>
      <c r="P1989" s="26" t="str">
        <f>IFERROR(INDEX(EXTRATO_IMPORTADO!$F$5:$F$404,MATCH(B1989,EXTRATO_IMPORTADO!$I$5:$I$404,0)),"")</f>
        <v/>
      </c>
      <c r="Q1989" s="26" t="str">
        <f>IFERROR(INDEX(EXTRATO_IMPORTADO!$B$5:$B$404,MATCH(B1989,EXTRATO_IMPORTADO!$I$5:$I$404,0)),"")</f>
        <v/>
      </c>
      <c r="R1989" s="26" t="str">
        <f>IFERROR(MATCH(B1989,EXTRATO_IMPORTADO!$I$5:$I$404,0),"")</f>
        <v/>
      </c>
      <c r="S1989" s="26" t="str">
        <f t="shared" ref="S1989:S2003" si="94">IF(OR(A1989="",P1989=""),"",P1989-E1989)</f>
        <v/>
      </c>
      <c r="T1989" s="26" t="str">
        <f t="shared" ref="T1989:T2003" si="95">IF(OR(A1989="",O1989=""),"",O1989-C1989)</f>
        <v/>
      </c>
    </row>
    <row r="1990" spans="1:20" x14ac:dyDescent="0.3">
      <c r="A1990" s="26" t="str">
        <f>IF(BASE_CAIXA!A1987="","",BASE_CAIXA!A1987)</f>
        <v/>
      </c>
      <c r="B1990" s="26" t="str">
        <f>IF(A1990="","",BASE_CAIXA!AL1987)</f>
        <v/>
      </c>
      <c r="C1990" s="26" t="str">
        <f>IF(A1990="","",BASE_CAIXA!AJ1987)</f>
        <v/>
      </c>
      <c r="D1990" s="26" t="str">
        <f>IF(A1990="","",IF(BASE_CAIXA!C1987="Entrada","Crédito","Débito"))</f>
        <v/>
      </c>
      <c r="E1990" s="26" t="str">
        <f>IF(A1990="","",BASE_CAIXA!AA1987)</f>
        <v/>
      </c>
      <c r="F1990" s="26" t="str">
        <f>IF(A1990="","",BASE_CAIXA!N1987)</f>
        <v/>
      </c>
      <c r="G1990" s="26" t="str">
        <f>IF(A1990="","",BASE_CAIXA!O1987)</f>
        <v/>
      </c>
      <c r="H1990" s="26" t="str">
        <f>IF(A1990="","",BASE_CAIXA!P1987)</f>
        <v/>
      </c>
      <c r="I1990" s="26" t="str">
        <f>IF(A1990="","",IF(BASE_CAIXA!H1987&lt;&gt;"",BASE_CAIXA!H1987,BASE_CAIXA!G1987))</f>
        <v/>
      </c>
      <c r="J1990" s="26" t="str">
        <f>IF(A1990="","",BASE_CAIXA!G1987)</f>
        <v/>
      </c>
      <c r="K1990" s="26" t="str">
        <f>IF(A1990="","",BASE_CAIXA!I1987)</f>
        <v/>
      </c>
      <c r="L1990" s="26" t="str">
        <f>IF(A1990="","",BASE_CAIXA!J1987)</f>
        <v/>
      </c>
      <c r="M1990" s="26" t="str">
        <f>IF(A1990="","",BASE_CAIXA!AM1987)</f>
        <v/>
      </c>
      <c r="N1990" s="26" t="str">
        <f t="shared" ca="1" si="93"/>
        <v/>
      </c>
      <c r="O1990" s="26" t="str">
        <f>IFERROR(INDEX(EXTRATO_IMPORTADO!$A$5:$A$404,MATCH(B1990,EXTRATO_IMPORTADO!$I$5:$I$404,0)),"")</f>
        <v/>
      </c>
      <c r="P1990" s="26" t="str">
        <f>IFERROR(INDEX(EXTRATO_IMPORTADO!$F$5:$F$404,MATCH(B1990,EXTRATO_IMPORTADO!$I$5:$I$404,0)),"")</f>
        <v/>
      </c>
      <c r="Q1990" s="26" t="str">
        <f>IFERROR(INDEX(EXTRATO_IMPORTADO!$B$5:$B$404,MATCH(B1990,EXTRATO_IMPORTADO!$I$5:$I$404,0)),"")</f>
        <v/>
      </c>
      <c r="R1990" s="26" t="str">
        <f>IFERROR(MATCH(B1990,EXTRATO_IMPORTADO!$I$5:$I$404,0),"")</f>
        <v/>
      </c>
      <c r="S1990" s="26" t="str">
        <f t="shared" si="94"/>
        <v/>
      </c>
      <c r="T1990" s="26" t="str">
        <f t="shared" si="95"/>
        <v/>
      </c>
    </row>
    <row r="1991" spans="1:20" x14ac:dyDescent="0.3">
      <c r="A1991" s="26" t="str">
        <f>IF(BASE_CAIXA!A1988="","",BASE_CAIXA!A1988)</f>
        <v/>
      </c>
      <c r="B1991" s="26" t="str">
        <f>IF(A1991="","",BASE_CAIXA!AL1988)</f>
        <v/>
      </c>
      <c r="C1991" s="26" t="str">
        <f>IF(A1991="","",BASE_CAIXA!AJ1988)</f>
        <v/>
      </c>
      <c r="D1991" s="26" t="str">
        <f>IF(A1991="","",IF(BASE_CAIXA!C1988="Entrada","Crédito","Débito"))</f>
        <v/>
      </c>
      <c r="E1991" s="26" t="str">
        <f>IF(A1991="","",BASE_CAIXA!AA1988)</f>
        <v/>
      </c>
      <c r="F1991" s="26" t="str">
        <f>IF(A1991="","",BASE_CAIXA!N1988)</f>
        <v/>
      </c>
      <c r="G1991" s="26" t="str">
        <f>IF(A1991="","",BASE_CAIXA!O1988)</f>
        <v/>
      </c>
      <c r="H1991" s="26" t="str">
        <f>IF(A1991="","",BASE_CAIXA!P1988)</f>
        <v/>
      </c>
      <c r="I1991" s="26" t="str">
        <f>IF(A1991="","",IF(BASE_CAIXA!H1988&lt;&gt;"",BASE_CAIXA!H1988,BASE_CAIXA!G1988))</f>
        <v/>
      </c>
      <c r="J1991" s="26" t="str">
        <f>IF(A1991="","",BASE_CAIXA!G1988)</f>
        <v/>
      </c>
      <c r="K1991" s="26" t="str">
        <f>IF(A1991="","",BASE_CAIXA!I1988)</f>
        <v/>
      </c>
      <c r="L1991" s="26" t="str">
        <f>IF(A1991="","",BASE_CAIXA!J1988)</f>
        <v/>
      </c>
      <c r="M1991" s="26" t="str">
        <f>IF(A1991="","",BASE_CAIXA!AM1988)</f>
        <v/>
      </c>
      <c r="N1991" s="26" t="str">
        <f t="shared" ca="1" si="93"/>
        <v/>
      </c>
      <c r="O1991" s="26" t="str">
        <f>IFERROR(INDEX(EXTRATO_IMPORTADO!$A$5:$A$404,MATCH(B1991,EXTRATO_IMPORTADO!$I$5:$I$404,0)),"")</f>
        <v/>
      </c>
      <c r="P1991" s="26" t="str">
        <f>IFERROR(INDEX(EXTRATO_IMPORTADO!$F$5:$F$404,MATCH(B1991,EXTRATO_IMPORTADO!$I$5:$I$404,0)),"")</f>
        <v/>
      </c>
      <c r="Q1991" s="26" t="str">
        <f>IFERROR(INDEX(EXTRATO_IMPORTADO!$B$5:$B$404,MATCH(B1991,EXTRATO_IMPORTADO!$I$5:$I$404,0)),"")</f>
        <v/>
      </c>
      <c r="R1991" s="26" t="str">
        <f>IFERROR(MATCH(B1991,EXTRATO_IMPORTADO!$I$5:$I$404,0),"")</f>
        <v/>
      </c>
      <c r="S1991" s="26" t="str">
        <f t="shared" si="94"/>
        <v/>
      </c>
      <c r="T1991" s="26" t="str">
        <f t="shared" si="95"/>
        <v/>
      </c>
    </row>
    <row r="1992" spans="1:20" x14ac:dyDescent="0.3">
      <c r="A1992" s="26" t="str">
        <f>IF(BASE_CAIXA!A1989="","",BASE_CAIXA!A1989)</f>
        <v/>
      </c>
      <c r="B1992" s="26" t="str">
        <f>IF(A1992="","",BASE_CAIXA!AL1989)</f>
        <v/>
      </c>
      <c r="C1992" s="26" t="str">
        <f>IF(A1992="","",BASE_CAIXA!AJ1989)</f>
        <v/>
      </c>
      <c r="D1992" s="26" t="str">
        <f>IF(A1992="","",IF(BASE_CAIXA!C1989="Entrada","Crédito","Débito"))</f>
        <v/>
      </c>
      <c r="E1992" s="26" t="str">
        <f>IF(A1992="","",BASE_CAIXA!AA1989)</f>
        <v/>
      </c>
      <c r="F1992" s="26" t="str">
        <f>IF(A1992="","",BASE_CAIXA!N1989)</f>
        <v/>
      </c>
      <c r="G1992" s="26" t="str">
        <f>IF(A1992="","",BASE_CAIXA!O1989)</f>
        <v/>
      </c>
      <c r="H1992" s="26" t="str">
        <f>IF(A1992="","",BASE_CAIXA!P1989)</f>
        <v/>
      </c>
      <c r="I1992" s="26" t="str">
        <f>IF(A1992="","",IF(BASE_CAIXA!H1989&lt;&gt;"",BASE_CAIXA!H1989,BASE_CAIXA!G1989))</f>
        <v/>
      </c>
      <c r="J1992" s="26" t="str">
        <f>IF(A1992="","",BASE_CAIXA!G1989)</f>
        <v/>
      </c>
      <c r="K1992" s="26" t="str">
        <f>IF(A1992="","",BASE_CAIXA!I1989)</f>
        <v/>
      </c>
      <c r="L1992" s="26" t="str">
        <f>IF(A1992="","",BASE_CAIXA!J1989)</f>
        <v/>
      </c>
      <c r="M1992" s="26" t="str">
        <f>IF(A1992="","",BASE_CAIXA!AM1989)</f>
        <v/>
      </c>
      <c r="N1992" s="26" t="str">
        <f t="shared" ca="1" si="93"/>
        <v/>
      </c>
      <c r="O1992" s="26" t="str">
        <f>IFERROR(INDEX(EXTRATO_IMPORTADO!$A$5:$A$404,MATCH(B1992,EXTRATO_IMPORTADO!$I$5:$I$404,0)),"")</f>
        <v/>
      </c>
      <c r="P1992" s="26" t="str">
        <f>IFERROR(INDEX(EXTRATO_IMPORTADO!$F$5:$F$404,MATCH(B1992,EXTRATO_IMPORTADO!$I$5:$I$404,0)),"")</f>
        <v/>
      </c>
      <c r="Q1992" s="26" t="str">
        <f>IFERROR(INDEX(EXTRATO_IMPORTADO!$B$5:$B$404,MATCH(B1992,EXTRATO_IMPORTADO!$I$5:$I$404,0)),"")</f>
        <v/>
      </c>
      <c r="R1992" s="26" t="str">
        <f>IFERROR(MATCH(B1992,EXTRATO_IMPORTADO!$I$5:$I$404,0),"")</f>
        <v/>
      </c>
      <c r="S1992" s="26" t="str">
        <f t="shared" si="94"/>
        <v/>
      </c>
      <c r="T1992" s="26" t="str">
        <f t="shared" si="95"/>
        <v/>
      </c>
    </row>
    <row r="1993" spans="1:20" x14ac:dyDescent="0.3">
      <c r="A1993" s="26" t="str">
        <f>IF(BASE_CAIXA!A1990="","",BASE_CAIXA!A1990)</f>
        <v/>
      </c>
      <c r="B1993" s="26" t="str">
        <f>IF(A1993="","",BASE_CAIXA!AL1990)</f>
        <v/>
      </c>
      <c r="C1993" s="26" t="str">
        <f>IF(A1993="","",BASE_CAIXA!AJ1990)</f>
        <v/>
      </c>
      <c r="D1993" s="26" t="str">
        <f>IF(A1993="","",IF(BASE_CAIXA!C1990="Entrada","Crédito","Débito"))</f>
        <v/>
      </c>
      <c r="E1993" s="26" t="str">
        <f>IF(A1993="","",BASE_CAIXA!AA1990)</f>
        <v/>
      </c>
      <c r="F1993" s="26" t="str">
        <f>IF(A1993="","",BASE_CAIXA!N1990)</f>
        <v/>
      </c>
      <c r="G1993" s="26" t="str">
        <f>IF(A1993="","",BASE_CAIXA!O1990)</f>
        <v/>
      </c>
      <c r="H1993" s="26" t="str">
        <f>IF(A1993="","",BASE_CAIXA!P1990)</f>
        <v/>
      </c>
      <c r="I1993" s="26" t="str">
        <f>IF(A1993="","",IF(BASE_CAIXA!H1990&lt;&gt;"",BASE_CAIXA!H1990,BASE_CAIXA!G1990))</f>
        <v/>
      </c>
      <c r="J1993" s="26" t="str">
        <f>IF(A1993="","",BASE_CAIXA!G1990)</f>
        <v/>
      </c>
      <c r="K1993" s="26" t="str">
        <f>IF(A1993="","",BASE_CAIXA!I1990)</f>
        <v/>
      </c>
      <c r="L1993" s="26" t="str">
        <f>IF(A1993="","",BASE_CAIXA!J1990)</f>
        <v/>
      </c>
      <c r="M1993" s="26" t="str">
        <f>IF(A1993="","",BASE_CAIXA!AM1990)</f>
        <v/>
      </c>
      <c r="N1993" s="26" t="str">
        <f t="shared" ca="1" si="93"/>
        <v/>
      </c>
      <c r="O1993" s="26" t="str">
        <f>IFERROR(INDEX(EXTRATO_IMPORTADO!$A$5:$A$404,MATCH(B1993,EXTRATO_IMPORTADO!$I$5:$I$404,0)),"")</f>
        <v/>
      </c>
      <c r="P1993" s="26" t="str">
        <f>IFERROR(INDEX(EXTRATO_IMPORTADO!$F$5:$F$404,MATCH(B1993,EXTRATO_IMPORTADO!$I$5:$I$404,0)),"")</f>
        <v/>
      </c>
      <c r="Q1993" s="26" t="str">
        <f>IFERROR(INDEX(EXTRATO_IMPORTADO!$B$5:$B$404,MATCH(B1993,EXTRATO_IMPORTADO!$I$5:$I$404,0)),"")</f>
        <v/>
      </c>
      <c r="R1993" s="26" t="str">
        <f>IFERROR(MATCH(B1993,EXTRATO_IMPORTADO!$I$5:$I$404,0),"")</f>
        <v/>
      </c>
      <c r="S1993" s="26" t="str">
        <f t="shared" si="94"/>
        <v/>
      </c>
      <c r="T1993" s="26" t="str">
        <f t="shared" si="95"/>
        <v/>
      </c>
    </row>
    <row r="1994" spans="1:20" x14ac:dyDescent="0.3">
      <c r="A1994" s="26" t="str">
        <f>IF(BASE_CAIXA!A1991="","",BASE_CAIXA!A1991)</f>
        <v/>
      </c>
      <c r="B1994" s="26" t="str">
        <f>IF(A1994="","",BASE_CAIXA!AL1991)</f>
        <v/>
      </c>
      <c r="C1994" s="26" t="str">
        <f>IF(A1994="","",BASE_CAIXA!AJ1991)</f>
        <v/>
      </c>
      <c r="D1994" s="26" t="str">
        <f>IF(A1994="","",IF(BASE_CAIXA!C1991="Entrada","Crédito","Débito"))</f>
        <v/>
      </c>
      <c r="E1994" s="26" t="str">
        <f>IF(A1994="","",BASE_CAIXA!AA1991)</f>
        <v/>
      </c>
      <c r="F1994" s="26" t="str">
        <f>IF(A1994="","",BASE_CAIXA!N1991)</f>
        <v/>
      </c>
      <c r="G1994" s="26" t="str">
        <f>IF(A1994="","",BASE_CAIXA!O1991)</f>
        <v/>
      </c>
      <c r="H1994" s="26" t="str">
        <f>IF(A1994="","",BASE_CAIXA!P1991)</f>
        <v/>
      </c>
      <c r="I1994" s="26" t="str">
        <f>IF(A1994="","",IF(BASE_CAIXA!H1991&lt;&gt;"",BASE_CAIXA!H1991,BASE_CAIXA!G1991))</f>
        <v/>
      </c>
      <c r="J1994" s="26" t="str">
        <f>IF(A1994="","",BASE_CAIXA!G1991)</f>
        <v/>
      </c>
      <c r="K1994" s="26" t="str">
        <f>IF(A1994="","",BASE_CAIXA!I1991)</f>
        <v/>
      </c>
      <c r="L1994" s="26" t="str">
        <f>IF(A1994="","",BASE_CAIXA!J1991)</f>
        <v/>
      </c>
      <c r="M1994" s="26" t="str">
        <f>IF(A1994="","",BASE_CAIXA!AM1991)</f>
        <v/>
      </c>
      <c r="N1994" s="26" t="str">
        <f t="shared" ca="1" si="93"/>
        <v/>
      </c>
      <c r="O1994" s="26" t="str">
        <f>IFERROR(INDEX(EXTRATO_IMPORTADO!$A$5:$A$404,MATCH(B1994,EXTRATO_IMPORTADO!$I$5:$I$404,0)),"")</f>
        <v/>
      </c>
      <c r="P1994" s="26" t="str">
        <f>IFERROR(INDEX(EXTRATO_IMPORTADO!$F$5:$F$404,MATCH(B1994,EXTRATO_IMPORTADO!$I$5:$I$404,0)),"")</f>
        <v/>
      </c>
      <c r="Q1994" s="26" t="str">
        <f>IFERROR(INDEX(EXTRATO_IMPORTADO!$B$5:$B$404,MATCH(B1994,EXTRATO_IMPORTADO!$I$5:$I$404,0)),"")</f>
        <v/>
      </c>
      <c r="R1994" s="26" t="str">
        <f>IFERROR(MATCH(B1994,EXTRATO_IMPORTADO!$I$5:$I$404,0),"")</f>
        <v/>
      </c>
      <c r="S1994" s="26" t="str">
        <f t="shared" si="94"/>
        <v/>
      </c>
      <c r="T1994" s="26" t="str">
        <f t="shared" si="95"/>
        <v/>
      </c>
    </row>
    <row r="1995" spans="1:20" x14ac:dyDescent="0.3">
      <c r="A1995" s="26" t="str">
        <f>IF(BASE_CAIXA!A1992="","",BASE_CAIXA!A1992)</f>
        <v/>
      </c>
      <c r="B1995" s="26" t="str">
        <f>IF(A1995="","",BASE_CAIXA!AL1992)</f>
        <v/>
      </c>
      <c r="C1995" s="26" t="str">
        <f>IF(A1995="","",BASE_CAIXA!AJ1992)</f>
        <v/>
      </c>
      <c r="D1995" s="26" t="str">
        <f>IF(A1995="","",IF(BASE_CAIXA!C1992="Entrada","Crédito","Débito"))</f>
        <v/>
      </c>
      <c r="E1995" s="26" t="str">
        <f>IF(A1995="","",BASE_CAIXA!AA1992)</f>
        <v/>
      </c>
      <c r="F1995" s="26" t="str">
        <f>IF(A1995="","",BASE_CAIXA!N1992)</f>
        <v/>
      </c>
      <c r="G1995" s="26" t="str">
        <f>IF(A1995="","",BASE_CAIXA!O1992)</f>
        <v/>
      </c>
      <c r="H1995" s="26" t="str">
        <f>IF(A1995="","",BASE_CAIXA!P1992)</f>
        <v/>
      </c>
      <c r="I1995" s="26" t="str">
        <f>IF(A1995="","",IF(BASE_CAIXA!H1992&lt;&gt;"",BASE_CAIXA!H1992,BASE_CAIXA!G1992))</f>
        <v/>
      </c>
      <c r="J1995" s="26" t="str">
        <f>IF(A1995="","",BASE_CAIXA!G1992)</f>
        <v/>
      </c>
      <c r="K1995" s="26" t="str">
        <f>IF(A1995="","",BASE_CAIXA!I1992)</f>
        <v/>
      </c>
      <c r="L1995" s="26" t="str">
        <f>IF(A1995="","",BASE_CAIXA!J1992)</f>
        <v/>
      </c>
      <c r="M1995" s="26" t="str">
        <f>IF(A1995="","",BASE_CAIXA!AM1992)</f>
        <v/>
      </c>
      <c r="N1995" s="26" t="str">
        <f t="shared" ca="1" si="93"/>
        <v/>
      </c>
      <c r="O1995" s="26" t="str">
        <f>IFERROR(INDEX(EXTRATO_IMPORTADO!$A$5:$A$404,MATCH(B1995,EXTRATO_IMPORTADO!$I$5:$I$404,0)),"")</f>
        <v/>
      </c>
      <c r="P1995" s="26" t="str">
        <f>IFERROR(INDEX(EXTRATO_IMPORTADO!$F$5:$F$404,MATCH(B1995,EXTRATO_IMPORTADO!$I$5:$I$404,0)),"")</f>
        <v/>
      </c>
      <c r="Q1995" s="26" t="str">
        <f>IFERROR(INDEX(EXTRATO_IMPORTADO!$B$5:$B$404,MATCH(B1995,EXTRATO_IMPORTADO!$I$5:$I$404,0)),"")</f>
        <v/>
      </c>
      <c r="R1995" s="26" t="str">
        <f>IFERROR(MATCH(B1995,EXTRATO_IMPORTADO!$I$5:$I$404,0),"")</f>
        <v/>
      </c>
      <c r="S1995" s="26" t="str">
        <f t="shared" si="94"/>
        <v/>
      </c>
      <c r="T1995" s="26" t="str">
        <f t="shared" si="95"/>
        <v/>
      </c>
    </row>
    <row r="1996" spans="1:20" x14ac:dyDescent="0.3">
      <c r="A1996" s="26" t="str">
        <f>IF(BASE_CAIXA!A1993="","",BASE_CAIXA!A1993)</f>
        <v/>
      </c>
      <c r="B1996" s="26" t="str">
        <f>IF(A1996="","",BASE_CAIXA!AL1993)</f>
        <v/>
      </c>
      <c r="C1996" s="26" t="str">
        <f>IF(A1996="","",BASE_CAIXA!AJ1993)</f>
        <v/>
      </c>
      <c r="D1996" s="26" t="str">
        <f>IF(A1996="","",IF(BASE_CAIXA!C1993="Entrada","Crédito","Débito"))</f>
        <v/>
      </c>
      <c r="E1996" s="26" t="str">
        <f>IF(A1996="","",BASE_CAIXA!AA1993)</f>
        <v/>
      </c>
      <c r="F1996" s="26" t="str">
        <f>IF(A1996="","",BASE_CAIXA!N1993)</f>
        <v/>
      </c>
      <c r="G1996" s="26" t="str">
        <f>IF(A1996="","",BASE_CAIXA!O1993)</f>
        <v/>
      </c>
      <c r="H1996" s="26" t="str">
        <f>IF(A1996="","",BASE_CAIXA!P1993)</f>
        <v/>
      </c>
      <c r="I1996" s="26" t="str">
        <f>IF(A1996="","",IF(BASE_CAIXA!H1993&lt;&gt;"",BASE_CAIXA!H1993,BASE_CAIXA!G1993))</f>
        <v/>
      </c>
      <c r="J1996" s="26" t="str">
        <f>IF(A1996="","",BASE_CAIXA!G1993)</f>
        <v/>
      </c>
      <c r="K1996" s="26" t="str">
        <f>IF(A1996="","",BASE_CAIXA!I1993)</f>
        <v/>
      </c>
      <c r="L1996" s="26" t="str">
        <f>IF(A1996="","",BASE_CAIXA!J1993)</f>
        <v/>
      </c>
      <c r="M1996" s="26" t="str">
        <f>IF(A1996="","",BASE_CAIXA!AM1993)</f>
        <v/>
      </c>
      <c r="N1996" s="26" t="str">
        <f t="shared" ca="1" si="93"/>
        <v/>
      </c>
      <c r="O1996" s="26" t="str">
        <f>IFERROR(INDEX(EXTRATO_IMPORTADO!$A$5:$A$404,MATCH(B1996,EXTRATO_IMPORTADO!$I$5:$I$404,0)),"")</f>
        <v/>
      </c>
      <c r="P1996" s="26" t="str">
        <f>IFERROR(INDEX(EXTRATO_IMPORTADO!$F$5:$F$404,MATCH(B1996,EXTRATO_IMPORTADO!$I$5:$I$404,0)),"")</f>
        <v/>
      </c>
      <c r="Q1996" s="26" t="str">
        <f>IFERROR(INDEX(EXTRATO_IMPORTADO!$B$5:$B$404,MATCH(B1996,EXTRATO_IMPORTADO!$I$5:$I$404,0)),"")</f>
        <v/>
      </c>
      <c r="R1996" s="26" t="str">
        <f>IFERROR(MATCH(B1996,EXTRATO_IMPORTADO!$I$5:$I$404,0),"")</f>
        <v/>
      </c>
      <c r="S1996" s="26" t="str">
        <f t="shared" si="94"/>
        <v/>
      </c>
      <c r="T1996" s="26" t="str">
        <f t="shared" si="95"/>
        <v/>
      </c>
    </row>
    <row r="1997" spans="1:20" x14ac:dyDescent="0.3">
      <c r="A1997" s="26" t="str">
        <f>IF(BASE_CAIXA!A1994="","",BASE_CAIXA!A1994)</f>
        <v/>
      </c>
      <c r="B1997" s="26" t="str">
        <f>IF(A1997="","",BASE_CAIXA!AL1994)</f>
        <v/>
      </c>
      <c r="C1997" s="26" t="str">
        <f>IF(A1997="","",BASE_CAIXA!AJ1994)</f>
        <v/>
      </c>
      <c r="D1997" s="26" t="str">
        <f>IF(A1997="","",IF(BASE_CAIXA!C1994="Entrada","Crédito","Débito"))</f>
        <v/>
      </c>
      <c r="E1997" s="26" t="str">
        <f>IF(A1997="","",BASE_CAIXA!AA1994)</f>
        <v/>
      </c>
      <c r="F1997" s="26" t="str">
        <f>IF(A1997="","",BASE_CAIXA!N1994)</f>
        <v/>
      </c>
      <c r="G1997" s="26" t="str">
        <f>IF(A1997="","",BASE_CAIXA!O1994)</f>
        <v/>
      </c>
      <c r="H1997" s="26" t="str">
        <f>IF(A1997="","",BASE_CAIXA!P1994)</f>
        <v/>
      </c>
      <c r="I1997" s="26" t="str">
        <f>IF(A1997="","",IF(BASE_CAIXA!H1994&lt;&gt;"",BASE_CAIXA!H1994,BASE_CAIXA!G1994))</f>
        <v/>
      </c>
      <c r="J1997" s="26" t="str">
        <f>IF(A1997="","",BASE_CAIXA!G1994)</f>
        <v/>
      </c>
      <c r="K1997" s="26" t="str">
        <f>IF(A1997="","",BASE_CAIXA!I1994)</f>
        <v/>
      </c>
      <c r="L1997" s="26" t="str">
        <f>IF(A1997="","",BASE_CAIXA!J1994)</f>
        <v/>
      </c>
      <c r="M1997" s="26" t="str">
        <f>IF(A1997="","",BASE_CAIXA!AM1994)</f>
        <v/>
      </c>
      <c r="N1997" s="26" t="str">
        <f t="shared" ca="1" si="93"/>
        <v/>
      </c>
      <c r="O1997" s="26" t="str">
        <f>IFERROR(INDEX(EXTRATO_IMPORTADO!$A$5:$A$404,MATCH(B1997,EXTRATO_IMPORTADO!$I$5:$I$404,0)),"")</f>
        <v/>
      </c>
      <c r="P1997" s="26" t="str">
        <f>IFERROR(INDEX(EXTRATO_IMPORTADO!$F$5:$F$404,MATCH(B1997,EXTRATO_IMPORTADO!$I$5:$I$404,0)),"")</f>
        <v/>
      </c>
      <c r="Q1997" s="26" t="str">
        <f>IFERROR(INDEX(EXTRATO_IMPORTADO!$B$5:$B$404,MATCH(B1997,EXTRATO_IMPORTADO!$I$5:$I$404,0)),"")</f>
        <v/>
      </c>
      <c r="R1997" s="26" t="str">
        <f>IFERROR(MATCH(B1997,EXTRATO_IMPORTADO!$I$5:$I$404,0),"")</f>
        <v/>
      </c>
      <c r="S1997" s="26" t="str">
        <f t="shared" si="94"/>
        <v/>
      </c>
      <c r="T1997" s="26" t="str">
        <f t="shared" si="95"/>
        <v/>
      </c>
    </row>
    <row r="1998" spans="1:20" x14ac:dyDescent="0.3">
      <c r="A1998" s="26" t="str">
        <f>IF(BASE_CAIXA!A1995="","",BASE_CAIXA!A1995)</f>
        <v/>
      </c>
      <c r="B1998" s="26" t="str">
        <f>IF(A1998="","",BASE_CAIXA!AL1995)</f>
        <v/>
      </c>
      <c r="C1998" s="26" t="str">
        <f>IF(A1998="","",BASE_CAIXA!AJ1995)</f>
        <v/>
      </c>
      <c r="D1998" s="26" t="str">
        <f>IF(A1998="","",IF(BASE_CAIXA!C1995="Entrada","Crédito","Débito"))</f>
        <v/>
      </c>
      <c r="E1998" s="26" t="str">
        <f>IF(A1998="","",BASE_CAIXA!AA1995)</f>
        <v/>
      </c>
      <c r="F1998" s="26" t="str">
        <f>IF(A1998="","",BASE_CAIXA!N1995)</f>
        <v/>
      </c>
      <c r="G1998" s="26" t="str">
        <f>IF(A1998="","",BASE_CAIXA!O1995)</f>
        <v/>
      </c>
      <c r="H1998" s="26" t="str">
        <f>IF(A1998="","",BASE_CAIXA!P1995)</f>
        <v/>
      </c>
      <c r="I1998" s="26" t="str">
        <f>IF(A1998="","",IF(BASE_CAIXA!H1995&lt;&gt;"",BASE_CAIXA!H1995,BASE_CAIXA!G1995))</f>
        <v/>
      </c>
      <c r="J1998" s="26" t="str">
        <f>IF(A1998="","",BASE_CAIXA!G1995)</f>
        <v/>
      </c>
      <c r="K1998" s="26" t="str">
        <f>IF(A1998="","",BASE_CAIXA!I1995)</f>
        <v/>
      </c>
      <c r="L1998" s="26" t="str">
        <f>IF(A1998="","",BASE_CAIXA!J1995)</f>
        <v/>
      </c>
      <c r="M1998" s="26" t="str">
        <f>IF(A1998="","",BASE_CAIXA!AM1995)</f>
        <v/>
      </c>
      <c r="N1998" s="26" t="str">
        <f t="shared" ca="1" si="93"/>
        <v/>
      </c>
      <c r="O1998" s="26" t="str">
        <f>IFERROR(INDEX(EXTRATO_IMPORTADO!$A$5:$A$404,MATCH(B1998,EXTRATO_IMPORTADO!$I$5:$I$404,0)),"")</f>
        <v/>
      </c>
      <c r="P1998" s="26" t="str">
        <f>IFERROR(INDEX(EXTRATO_IMPORTADO!$F$5:$F$404,MATCH(B1998,EXTRATO_IMPORTADO!$I$5:$I$404,0)),"")</f>
        <v/>
      </c>
      <c r="Q1998" s="26" t="str">
        <f>IFERROR(INDEX(EXTRATO_IMPORTADO!$B$5:$B$404,MATCH(B1998,EXTRATO_IMPORTADO!$I$5:$I$404,0)),"")</f>
        <v/>
      </c>
      <c r="R1998" s="26" t="str">
        <f>IFERROR(MATCH(B1998,EXTRATO_IMPORTADO!$I$5:$I$404,0),"")</f>
        <v/>
      </c>
      <c r="S1998" s="26" t="str">
        <f t="shared" si="94"/>
        <v/>
      </c>
      <c r="T1998" s="26" t="str">
        <f t="shared" si="95"/>
        <v/>
      </c>
    </row>
    <row r="1999" spans="1:20" x14ac:dyDescent="0.3">
      <c r="A1999" s="26" t="str">
        <f>IF(BASE_CAIXA!A1996="","",BASE_CAIXA!A1996)</f>
        <v/>
      </c>
      <c r="B1999" s="26" t="str">
        <f>IF(A1999="","",BASE_CAIXA!AL1996)</f>
        <v/>
      </c>
      <c r="C1999" s="26" t="str">
        <f>IF(A1999="","",BASE_CAIXA!AJ1996)</f>
        <v/>
      </c>
      <c r="D1999" s="26" t="str">
        <f>IF(A1999="","",IF(BASE_CAIXA!C1996="Entrada","Crédito","Débito"))</f>
        <v/>
      </c>
      <c r="E1999" s="26" t="str">
        <f>IF(A1999="","",BASE_CAIXA!AA1996)</f>
        <v/>
      </c>
      <c r="F1999" s="26" t="str">
        <f>IF(A1999="","",BASE_CAIXA!N1996)</f>
        <v/>
      </c>
      <c r="G1999" s="26" t="str">
        <f>IF(A1999="","",BASE_CAIXA!O1996)</f>
        <v/>
      </c>
      <c r="H1999" s="26" t="str">
        <f>IF(A1999="","",BASE_CAIXA!P1996)</f>
        <v/>
      </c>
      <c r="I1999" s="26" t="str">
        <f>IF(A1999="","",IF(BASE_CAIXA!H1996&lt;&gt;"",BASE_CAIXA!H1996,BASE_CAIXA!G1996))</f>
        <v/>
      </c>
      <c r="J1999" s="26" t="str">
        <f>IF(A1999="","",BASE_CAIXA!G1996)</f>
        <v/>
      </c>
      <c r="K1999" s="26" t="str">
        <f>IF(A1999="","",BASE_CAIXA!I1996)</f>
        <v/>
      </c>
      <c r="L1999" s="26" t="str">
        <f>IF(A1999="","",BASE_CAIXA!J1996)</f>
        <v/>
      </c>
      <c r="M1999" s="26" t="str">
        <f>IF(A1999="","",BASE_CAIXA!AM1996)</f>
        <v/>
      </c>
      <c r="N1999" s="26" t="str">
        <f t="shared" ca="1" si="93"/>
        <v/>
      </c>
      <c r="O1999" s="26" t="str">
        <f>IFERROR(INDEX(EXTRATO_IMPORTADO!$A$5:$A$404,MATCH(B1999,EXTRATO_IMPORTADO!$I$5:$I$404,0)),"")</f>
        <v/>
      </c>
      <c r="P1999" s="26" t="str">
        <f>IFERROR(INDEX(EXTRATO_IMPORTADO!$F$5:$F$404,MATCH(B1999,EXTRATO_IMPORTADO!$I$5:$I$404,0)),"")</f>
        <v/>
      </c>
      <c r="Q1999" s="26" t="str">
        <f>IFERROR(INDEX(EXTRATO_IMPORTADO!$B$5:$B$404,MATCH(B1999,EXTRATO_IMPORTADO!$I$5:$I$404,0)),"")</f>
        <v/>
      </c>
      <c r="R1999" s="26" t="str">
        <f>IFERROR(MATCH(B1999,EXTRATO_IMPORTADO!$I$5:$I$404,0),"")</f>
        <v/>
      </c>
      <c r="S1999" s="26" t="str">
        <f t="shared" si="94"/>
        <v/>
      </c>
      <c r="T1999" s="26" t="str">
        <f t="shared" si="95"/>
        <v/>
      </c>
    </row>
    <row r="2000" spans="1:20" x14ac:dyDescent="0.3">
      <c r="A2000" s="26" t="str">
        <f>IF(BASE_CAIXA!A1997="","",BASE_CAIXA!A1997)</f>
        <v/>
      </c>
      <c r="B2000" s="26" t="str">
        <f>IF(A2000="","",BASE_CAIXA!AL1997)</f>
        <v/>
      </c>
      <c r="C2000" s="26" t="str">
        <f>IF(A2000="","",BASE_CAIXA!AJ1997)</f>
        <v/>
      </c>
      <c r="D2000" s="26" t="str">
        <f>IF(A2000="","",IF(BASE_CAIXA!C1997="Entrada","Crédito","Débito"))</f>
        <v/>
      </c>
      <c r="E2000" s="26" t="str">
        <f>IF(A2000="","",BASE_CAIXA!AA1997)</f>
        <v/>
      </c>
      <c r="F2000" s="26" t="str">
        <f>IF(A2000="","",BASE_CAIXA!N1997)</f>
        <v/>
      </c>
      <c r="G2000" s="26" t="str">
        <f>IF(A2000="","",BASE_CAIXA!O1997)</f>
        <v/>
      </c>
      <c r="H2000" s="26" t="str">
        <f>IF(A2000="","",BASE_CAIXA!P1997)</f>
        <v/>
      </c>
      <c r="I2000" s="26" t="str">
        <f>IF(A2000="","",IF(BASE_CAIXA!H1997&lt;&gt;"",BASE_CAIXA!H1997,BASE_CAIXA!G1997))</f>
        <v/>
      </c>
      <c r="J2000" s="26" t="str">
        <f>IF(A2000="","",BASE_CAIXA!G1997)</f>
        <v/>
      </c>
      <c r="K2000" s="26" t="str">
        <f>IF(A2000="","",BASE_CAIXA!I1997)</f>
        <v/>
      </c>
      <c r="L2000" s="26" t="str">
        <f>IF(A2000="","",BASE_CAIXA!J1997)</f>
        <v/>
      </c>
      <c r="M2000" s="26" t="str">
        <f>IF(A2000="","",BASE_CAIXA!AM1997)</f>
        <v/>
      </c>
      <c r="N2000" s="26" t="str">
        <f t="shared" ca="1" si="93"/>
        <v/>
      </c>
      <c r="O2000" s="26" t="str">
        <f>IFERROR(INDEX(EXTRATO_IMPORTADO!$A$5:$A$404,MATCH(B2000,EXTRATO_IMPORTADO!$I$5:$I$404,0)),"")</f>
        <v/>
      </c>
      <c r="P2000" s="26" t="str">
        <f>IFERROR(INDEX(EXTRATO_IMPORTADO!$F$5:$F$404,MATCH(B2000,EXTRATO_IMPORTADO!$I$5:$I$404,0)),"")</f>
        <v/>
      </c>
      <c r="Q2000" s="26" t="str">
        <f>IFERROR(INDEX(EXTRATO_IMPORTADO!$B$5:$B$404,MATCH(B2000,EXTRATO_IMPORTADO!$I$5:$I$404,0)),"")</f>
        <v/>
      </c>
      <c r="R2000" s="26" t="str">
        <f>IFERROR(MATCH(B2000,EXTRATO_IMPORTADO!$I$5:$I$404,0),"")</f>
        <v/>
      </c>
      <c r="S2000" s="26" t="str">
        <f t="shared" si="94"/>
        <v/>
      </c>
      <c r="T2000" s="26" t="str">
        <f t="shared" si="95"/>
        <v/>
      </c>
    </row>
    <row r="2001" spans="1:20" x14ac:dyDescent="0.3">
      <c r="A2001" s="26" t="str">
        <f>IF(BASE_CAIXA!A1998="","",BASE_CAIXA!A1998)</f>
        <v/>
      </c>
      <c r="B2001" s="26" t="str">
        <f>IF(A2001="","",BASE_CAIXA!AL1998)</f>
        <v/>
      </c>
      <c r="C2001" s="26" t="str">
        <f>IF(A2001="","",BASE_CAIXA!AJ1998)</f>
        <v/>
      </c>
      <c r="D2001" s="26" t="str">
        <f>IF(A2001="","",IF(BASE_CAIXA!C1998="Entrada","Crédito","Débito"))</f>
        <v/>
      </c>
      <c r="E2001" s="26" t="str">
        <f>IF(A2001="","",BASE_CAIXA!AA1998)</f>
        <v/>
      </c>
      <c r="F2001" s="26" t="str">
        <f>IF(A2001="","",BASE_CAIXA!N1998)</f>
        <v/>
      </c>
      <c r="G2001" s="26" t="str">
        <f>IF(A2001="","",BASE_CAIXA!O1998)</f>
        <v/>
      </c>
      <c r="H2001" s="26" t="str">
        <f>IF(A2001="","",BASE_CAIXA!P1998)</f>
        <v/>
      </c>
      <c r="I2001" s="26" t="str">
        <f>IF(A2001="","",IF(BASE_CAIXA!H1998&lt;&gt;"",BASE_CAIXA!H1998,BASE_CAIXA!G1998))</f>
        <v/>
      </c>
      <c r="J2001" s="26" t="str">
        <f>IF(A2001="","",BASE_CAIXA!G1998)</f>
        <v/>
      </c>
      <c r="K2001" s="26" t="str">
        <f>IF(A2001="","",BASE_CAIXA!I1998)</f>
        <v/>
      </c>
      <c r="L2001" s="26" t="str">
        <f>IF(A2001="","",BASE_CAIXA!J1998)</f>
        <v/>
      </c>
      <c r="M2001" s="26" t="str">
        <f>IF(A2001="","",BASE_CAIXA!AM1998)</f>
        <v/>
      </c>
      <c r="N2001" s="26" t="str">
        <f t="shared" ca="1" si="93"/>
        <v/>
      </c>
      <c r="O2001" s="26" t="str">
        <f>IFERROR(INDEX(EXTRATO_IMPORTADO!$A$5:$A$404,MATCH(B2001,EXTRATO_IMPORTADO!$I$5:$I$404,0)),"")</f>
        <v/>
      </c>
      <c r="P2001" s="26" t="str">
        <f>IFERROR(INDEX(EXTRATO_IMPORTADO!$F$5:$F$404,MATCH(B2001,EXTRATO_IMPORTADO!$I$5:$I$404,0)),"")</f>
        <v/>
      </c>
      <c r="Q2001" s="26" t="str">
        <f>IFERROR(INDEX(EXTRATO_IMPORTADO!$B$5:$B$404,MATCH(B2001,EXTRATO_IMPORTADO!$I$5:$I$404,0)),"")</f>
        <v/>
      </c>
      <c r="R2001" s="26" t="str">
        <f>IFERROR(MATCH(B2001,EXTRATO_IMPORTADO!$I$5:$I$404,0),"")</f>
        <v/>
      </c>
      <c r="S2001" s="26" t="str">
        <f t="shared" si="94"/>
        <v/>
      </c>
      <c r="T2001" s="26" t="str">
        <f t="shared" si="95"/>
        <v/>
      </c>
    </row>
    <row r="2002" spans="1:20" x14ac:dyDescent="0.3">
      <c r="A2002" s="26" t="str">
        <f>IF(BASE_CAIXA!A1999="","",BASE_CAIXA!A1999)</f>
        <v/>
      </c>
      <c r="B2002" s="26" t="str">
        <f>IF(A2002="","",BASE_CAIXA!AL1999)</f>
        <v/>
      </c>
      <c r="C2002" s="26" t="str">
        <f>IF(A2002="","",BASE_CAIXA!AJ1999)</f>
        <v/>
      </c>
      <c r="D2002" s="26" t="str">
        <f>IF(A2002="","",IF(BASE_CAIXA!C1999="Entrada","Crédito","Débito"))</f>
        <v/>
      </c>
      <c r="E2002" s="26" t="str">
        <f>IF(A2002="","",BASE_CAIXA!AA1999)</f>
        <v/>
      </c>
      <c r="F2002" s="26" t="str">
        <f>IF(A2002="","",BASE_CAIXA!N1999)</f>
        <v/>
      </c>
      <c r="G2002" s="26" t="str">
        <f>IF(A2002="","",BASE_CAIXA!O1999)</f>
        <v/>
      </c>
      <c r="H2002" s="26" t="str">
        <f>IF(A2002="","",BASE_CAIXA!P1999)</f>
        <v/>
      </c>
      <c r="I2002" s="26" t="str">
        <f>IF(A2002="","",IF(BASE_CAIXA!H1999&lt;&gt;"",BASE_CAIXA!H1999,BASE_CAIXA!G1999))</f>
        <v/>
      </c>
      <c r="J2002" s="26" t="str">
        <f>IF(A2002="","",BASE_CAIXA!G1999)</f>
        <v/>
      </c>
      <c r="K2002" s="26" t="str">
        <f>IF(A2002="","",BASE_CAIXA!I1999)</f>
        <v/>
      </c>
      <c r="L2002" s="26" t="str">
        <f>IF(A2002="","",BASE_CAIXA!J1999)</f>
        <v/>
      </c>
      <c r="M2002" s="26" t="str">
        <f>IF(A2002="","",BASE_CAIXA!AM1999)</f>
        <v/>
      </c>
      <c r="N2002" s="26" t="str">
        <f t="shared" ca="1" si="93"/>
        <v/>
      </c>
      <c r="O2002" s="26" t="str">
        <f>IFERROR(INDEX(EXTRATO_IMPORTADO!$A$5:$A$404,MATCH(B2002,EXTRATO_IMPORTADO!$I$5:$I$404,0)),"")</f>
        <v/>
      </c>
      <c r="P2002" s="26" t="str">
        <f>IFERROR(INDEX(EXTRATO_IMPORTADO!$F$5:$F$404,MATCH(B2002,EXTRATO_IMPORTADO!$I$5:$I$404,0)),"")</f>
        <v/>
      </c>
      <c r="Q2002" s="26" t="str">
        <f>IFERROR(INDEX(EXTRATO_IMPORTADO!$B$5:$B$404,MATCH(B2002,EXTRATO_IMPORTADO!$I$5:$I$404,0)),"")</f>
        <v/>
      </c>
      <c r="R2002" s="26" t="str">
        <f>IFERROR(MATCH(B2002,EXTRATO_IMPORTADO!$I$5:$I$404,0),"")</f>
        <v/>
      </c>
      <c r="S2002" s="26" t="str">
        <f t="shared" si="94"/>
        <v/>
      </c>
      <c r="T2002" s="26" t="str">
        <f t="shared" si="95"/>
        <v/>
      </c>
    </row>
    <row r="2003" spans="1:20" x14ac:dyDescent="0.3">
      <c r="A2003" s="26" t="str">
        <f>IF(BASE_CAIXA!A2000="","",BASE_CAIXA!A2000)</f>
        <v/>
      </c>
      <c r="B2003" s="26" t="str">
        <f>IF(A2003="","",BASE_CAIXA!AL2000)</f>
        <v/>
      </c>
      <c r="C2003" s="26" t="str">
        <f>IF(A2003="","",BASE_CAIXA!AJ2000)</f>
        <v/>
      </c>
      <c r="D2003" s="26" t="str">
        <f>IF(A2003="","",IF(BASE_CAIXA!C2000="Entrada","Crédito","Débito"))</f>
        <v/>
      </c>
      <c r="E2003" s="26" t="str">
        <f>IF(A2003="","",BASE_CAIXA!AA2000)</f>
        <v/>
      </c>
      <c r="F2003" s="26" t="str">
        <f>IF(A2003="","",BASE_CAIXA!N2000)</f>
        <v/>
      </c>
      <c r="G2003" s="26" t="str">
        <f>IF(A2003="","",BASE_CAIXA!O2000)</f>
        <v/>
      </c>
      <c r="H2003" s="26" t="str">
        <f>IF(A2003="","",BASE_CAIXA!P2000)</f>
        <v/>
      </c>
      <c r="I2003" s="26" t="str">
        <f>IF(A2003="","",IF(BASE_CAIXA!H2000&lt;&gt;"",BASE_CAIXA!H2000,BASE_CAIXA!G2000))</f>
        <v/>
      </c>
      <c r="J2003" s="26" t="str">
        <f>IF(A2003="","",BASE_CAIXA!G2000)</f>
        <v/>
      </c>
      <c r="K2003" s="26" t="str">
        <f>IF(A2003="","",BASE_CAIXA!I2000)</f>
        <v/>
      </c>
      <c r="L2003" s="26" t="str">
        <f>IF(A2003="","",BASE_CAIXA!J2000)</f>
        <v/>
      </c>
      <c r="M2003" s="26" t="str">
        <f>IF(A2003="","",BASE_CAIXA!AM2000)</f>
        <v/>
      </c>
      <c r="N2003" s="26" t="str">
        <f t="shared" ca="1" si="93"/>
        <v/>
      </c>
      <c r="O2003" s="26" t="str">
        <f>IFERROR(INDEX(EXTRATO_IMPORTADO!$A$5:$A$404,MATCH(B2003,EXTRATO_IMPORTADO!$I$5:$I$404,0)),"")</f>
        <v/>
      </c>
      <c r="P2003" s="26" t="str">
        <f>IFERROR(INDEX(EXTRATO_IMPORTADO!$F$5:$F$404,MATCH(B2003,EXTRATO_IMPORTADO!$I$5:$I$404,0)),"")</f>
        <v/>
      </c>
      <c r="Q2003" s="26" t="str">
        <f>IFERROR(INDEX(EXTRATO_IMPORTADO!$B$5:$B$404,MATCH(B2003,EXTRATO_IMPORTADO!$I$5:$I$404,0)),"")</f>
        <v/>
      </c>
      <c r="R2003" s="26" t="str">
        <f>IFERROR(MATCH(B2003,EXTRATO_IMPORTADO!$I$5:$I$404,0),"")</f>
        <v/>
      </c>
      <c r="S2003" s="26" t="str">
        <f t="shared" si="94"/>
        <v/>
      </c>
      <c r="T2003" s="26" t="str">
        <f t="shared" si="95"/>
        <v/>
      </c>
    </row>
  </sheetData>
  <autoFilter ref="A4:T2003" xr:uid="{00000000-0009-0000-0000-000005000000}"/>
  <mergeCells count="2">
    <mergeCell ref="A1:T1"/>
    <mergeCell ref="A2:T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404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13" customWidth="1"/>
    <col min="2" max="2" width="40" customWidth="1"/>
    <col min="3" max="3" width="18" customWidth="1"/>
    <col min="4" max="6" width="14" customWidth="1"/>
    <col min="7" max="7" width="18" customWidth="1"/>
    <col min="8" max="8" width="16" customWidth="1"/>
    <col min="9" max="10" width="18" customWidth="1"/>
    <col min="11" max="11" width="14" customWidth="1"/>
    <col min="12" max="12" width="28" customWidth="1"/>
  </cols>
  <sheetData>
    <row r="1" spans="1:12" ht="18" x14ac:dyDescent="0.35">
      <c r="A1" s="34" t="s">
        <v>758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</row>
    <row r="2" spans="1:12" x14ac:dyDescent="0.3">
      <c r="A2" s="36" t="s">
        <v>759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</row>
    <row r="4" spans="1:12" x14ac:dyDescent="0.3">
      <c r="A4" s="12" t="s">
        <v>760</v>
      </c>
      <c r="B4" s="12" t="s">
        <v>761</v>
      </c>
      <c r="C4" s="12" t="s">
        <v>762</v>
      </c>
      <c r="D4" s="12" t="s">
        <v>763</v>
      </c>
      <c r="E4" s="12" t="s">
        <v>764</v>
      </c>
      <c r="F4" s="12" t="s">
        <v>765</v>
      </c>
      <c r="G4" s="12" t="s">
        <v>766</v>
      </c>
      <c r="H4" s="12" t="s">
        <v>767</v>
      </c>
      <c r="I4" s="12" t="s">
        <v>768</v>
      </c>
      <c r="J4" s="12" t="s">
        <v>769</v>
      </c>
      <c r="K4" s="12" t="s">
        <v>751</v>
      </c>
      <c r="L4" s="12" t="s">
        <v>618</v>
      </c>
    </row>
    <row r="5" spans="1:12" x14ac:dyDescent="0.3">
      <c r="A5" s="6"/>
      <c r="B5" s="5"/>
      <c r="C5" s="5"/>
      <c r="D5" s="7"/>
      <c r="E5" s="7"/>
      <c r="F5" s="8" t="str">
        <f t="shared" ref="F5:F68" si="0">IF(OR(D5&lt;&gt;"",E5&lt;&gt;""),IF(E5&lt;&gt;"",E5,-D5),"")</f>
        <v/>
      </c>
      <c r="G5" s="5"/>
      <c r="H5" s="5"/>
      <c r="I5" s="5"/>
      <c r="J5" s="5"/>
      <c r="K5" s="9" t="str">
        <f>IF(A5="","",IF(I5&lt;&gt;"",IF(COUNTIF(AGENDA_BANCARIA!$B$5:$B$2000,I5)&gt;0,"Vinculado","ID não encontrado"),"Sem vínculo"))</f>
        <v/>
      </c>
      <c r="L5" s="5"/>
    </row>
    <row r="6" spans="1:12" x14ac:dyDescent="0.3">
      <c r="A6" s="6"/>
      <c r="B6" s="5"/>
      <c r="C6" s="5"/>
      <c r="D6" s="7"/>
      <c r="E6" s="7"/>
      <c r="F6" s="8" t="str">
        <f t="shared" si="0"/>
        <v/>
      </c>
      <c r="G6" s="5"/>
      <c r="H6" s="5"/>
      <c r="I6" s="5"/>
      <c r="J6" s="5"/>
      <c r="K6" s="9" t="str">
        <f>IF(A6="","",IF(I6&lt;&gt;"",IF(COUNTIF(AGENDA_BANCARIA!$B$5:$B$2000,I6)&gt;0,"Vinculado","ID não encontrado"),"Sem vínculo"))</f>
        <v/>
      </c>
      <c r="L6" s="5"/>
    </row>
    <row r="7" spans="1:12" x14ac:dyDescent="0.3">
      <c r="A7" s="6"/>
      <c r="B7" s="5"/>
      <c r="C7" s="5"/>
      <c r="D7" s="7"/>
      <c r="E7" s="7"/>
      <c r="F7" s="8" t="str">
        <f t="shared" si="0"/>
        <v/>
      </c>
      <c r="G7" s="5"/>
      <c r="H7" s="5"/>
      <c r="I7" s="5"/>
      <c r="J7" s="5"/>
      <c r="K7" s="9" t="str">
        <f>IF(A7="","",IF(I7&lt;&gt;"",IF(COUNTIF(AGENDA_BANCARIA!$B$5:$B$2000,I7)&gt;0,"Vinculado","ID não encontrado"),"Sem vínculo"))</f>
        <v/>
      </c>
      <c r="L7" s="5"/>
    </row>
    <row r="8" spans="1:12" x14ac:dyDescent="0.3">
      <c r="A8" s="6"/>
      <c r="B8" s="5"/>
      <c r="C8" s="5"/>
      <c r="D8" s="7"/>
      <c r="E8" s="7"/>
      <c r="F8" s="8" t="str">
        <f t="shared" si="0"/>
        <v/>
      </c>
      <c r="G8" s="5"/>
      <c r="H8" s="5"/>
      <c r="I8" s="5"/>
      <c r="J8" s="5"/>
      <c r="K8" s="9" t="str">
        <f>IF(A8="","",IF(I8&lt;&gt;"",IF(COUNTIF(AGENDA_BANCARIA!$B$5:$B$2000,I8)&gt;0,"Vinculado","ID não encontrado"),"Sem vínculo"))</f>
        <v/>
      </c>
      <c r="L8" s="5"/>
    </row>
    <row r="9" spans="1:12" x14ac:dyDescent="0.3">
      <c r="A9" s="6"/>
      <c r="B9" s="5"/>
      <c r="C9" s="5"/>
      <c r="D9" s="7"/>
      <c r="E9" s="7"/>
      <c r="F9" s="8" t="str">
        <f t="shared" si="0"/>
        <v/>
      </c>
      <c r="G9" s="5"/>
      <c r="H9" s="5"/>
      <c r="I9" s="5"/>
      <c r="J9" s="5"/>
      <c r="K9" s="9" t="str">
        <f>IF(A9="","",IF(I9&lt;&gt;"",IF(COUNTIF(AGENDA_BANCARIA!$B$5:$B$2000,I9)&gt;0,"Vinculado","ID não encontrado"),"Sem vínculo"))</f>
        <v/>
      </c>
      <c r="L9" s="5"/>
    </row>
    <row r="10" spans="1:12" x14ac:dyDescent="0.3">
      <c r="A10" s="6"/>
      <c r="B10" s="5"/>
      <c r="C10" s="5"/>
      <c r="D10" s="7"/>
      <c r="E10" s="7"/>
      <c r="F10" s="8" t="str">
        <f t="shared" si="0"/>
        <v/>
      </c>
      <c r="G10" s="5"/>
      <c r="H10" s="5"/>
      <c r="I10" s="5"/>
      <c r="J10" s="5"/>
      <c r="K10" s="9" t="str">
        <f>IF(A10="","",IF(I10&lt;&gt;"",IF(COUNTIF(AGENDA_BANCARIA!$B$5:$B$2000,I10)&gt;0,"Vinculado","ID não encontrado"),"Sem vínculo"))</f>
        <v/>
      </c>
      <c r="L10" s="5"/>
    </row>
    <row r="11" spans="1:12" x14ac:dyDescent="0.3">
      <c r="A11" s="6"/>
      <c r="B11" s="5"/>
      <c r="C11" s="5"/>
      <c r="D11" s="7"/>
      <c r="E11" s="7"/>
      <c r="F11" s="8" t="str">
        <f t="shared" si="0"/>
        <v/>
      </c>
      <c r="G11" s="5"/>
      <c r="H11" s="5"/>
      <c r="I11" s="5"/>
      <c r="J11" s="5"/>
      <c r="K11" s="9" t="str">
        <f>IF(A11="","",IF(I11&lt;&gt;"",IF(COUNTIF(AGENDA_BANCARIA!$B$5:$B$2000,I11)&gt;0,"Vinculado","ID não encontrado"),"Sem vínculo"))</f>
        <v/>
      </c>
      <c r="L11" s="5"/>
    </row>
    <row r="12" spans="1:12" x14ac:dyDescent="0.3">
      <c r="A12" s="6"/>
      <c r="B12" s="5"/>
      <c r="C12" s="5"/>
      <c r="D12" s="7"/>
      <c r="E12" s="7"/>
      <c r="F12" s="8" t="str">
        <f t="shared" si="0"/>
        <v/>
      </c>
      <c r="G12" s="5"/>
      <c r="H12" s="5"/>
      <c r="I12" s="5"/>
      <c r="J12" s="5"/>
      <c r="K12" s="9" t="str">
        <f>IF(A12="","",IF(I12&lt;&gt;"",IF(COUNTIF(AGENDA_BANCARIA!$B$5:$B$2000,I12)&gt;0,"Vinculado","ID não encontrado"),"Sem vínculo"))</f>
        <v/>
      </c>
      <c r="L12" s="5"/>
    </row>
    <row r="13" spans="1:12" x14ac:dyDescent="0.3">
      <c r="A13" s="6"/>
      <c r="B13" s="5"/>
      <c r="C13" s="5"/>
      <c r="D13" s="7"/>
      <c r="E13" s="7"/>
      <c r="F13" s="8" t="str">
        <f t="shared" si="0"/>
        <v/>
      </c>
      <c r="G13" s="5"/>
      <c r="H13" s="5"/>
      <c r="I13" s="5"/>
      <c r="J13" s="5"/>
      <c r="K13" s="9" t="str">
        <f>IF(A13="","",IF(I13&lt;&gt;"",IF(COUNTIF(AGENDA_BANCARIA!$B$5:$B$2000,I13)&gt;0,"Vinculado","ID não encontrado"),"Sem vínculo"))</f>
        <v/>
      </c>
      <c r="L13" s="5"/>
    </row>
    <row r="14" spans="1:12" x14ac:dyDescent="0.3">
      <c r="A14" s="6"/>
      <c r="B14" s="5"/>
      <c r="C14" s="5"/>
      <c r="D14" s="7"/>
      <c r="E14" s="7"/>
      <c r="F14" s="8" t="str">
        <f t="shared" si="0"/>
        <v/>
      </c>
      <c r="G14" s="5"/>
      <c r="H14" s="5"/>
      <c r="I14" s="5"/>
      <c r="J14" s="5"/>
      <c r="K14" s="9" t="str">
        <f>IF(A14="","",IF(I14&lt;&gt;"",IF(COUNTIF(AGENDA_BANCARIA!$B$5:$B$2000,I14)&gt;0,"Vinculado","ID não encontrado"),"Sem vínculo"))</f>
        <v/>
      </c>
      <c r="L14" s="5"/>
    </row>
    <row r="15" spans="1:12" x14ac:dyDescent="0.3">
      <c r="A15" s="6"/>
      <c r="B15" s="5"/>
      <c r="C15" s="5"/>
      <c r="D15" s="7"/>
      <c r="E15" s="7"/>
      <c r="F15" s="8" t="str">
        <f t="shared" si="0"/>
        <v/>
      </c>
      <c r="G15" s="5"/>
      <c r="H15" s="5"/>
      <c r="I15" s="5"/>
      <c r="J15" s="5"/>
      <c r="K15" s="9" t="str">
        <f>IF(A15="","",IF(I15&lt;&gt;"",IF(COUNTIF(AGENDA_BANCARIA!$B$5:$B$2000,I15)&gt;0,"Vinculado","ID não encontrado"),"Sem vínculo"))</f>
        <v/>
      </c>
      <c r="L15" s="5"/>
    </row>
    <row r="16" spans="1:12" x14ac:dyDescent="0.3">
      <c r="A16" s="6"/>
      <c r="B16" s="5"/>
      <c r="C16" s="5"/>
      <c r="D16" s="7"/>
      <c r="E16" s="7"/>
      <c r="F16" s="8" t="str">
        <f t="shared" si="0"/>
        <v/>
      </c>
      <c r="G16" s="5"/>
      <c r="H16" s="5"/>
      <c r="I16" s="5"/>
      <c r="J16" s="5"/>
      <c r="K16" s="9" t="str">
        <f>IF(A16="","",IF(I16&lt;&gt;"",IF(COUNTIF(AGENDA_BANCARIA!$B$5:$B$2000,I16)&gt;0,"Vinculado","ID não encontrado"),"Sem vínculo"))</f>
        <v/>
      </c>
      <c r="L16" s="5"/>
    </row>
    <row r="17" spans="1:12" x14ac:dyDescent="0.3">
      <c r="A17" s="6"/>
      <c r="B17" s="5"/>
      <c r="C17" s="5"/>
      <c r="D17" s="7"/>
      <c r="E17" s="7"/>
      <c r="F17" s="8" t="str">
        <f t="shared" si="0"/>
        <v/>
      </c>
      <c r="G17" s="5"/>
      <c r="H17" s="5"/>
      <c r="I17" s="5"/>
      <c r="J17" s="5"/>
      <c r="K17" s="9" t="str">
        <f>IF(A17="","",IF(I17&lt;&gt;"",IF(COUNTIF(AGENDA_BANCARIA!$B$5:$B$2000,I17)&gt;0,"Vinculado","ID não encontrado"),"Sem vínculo"))</f>
        <v/>
      </c>
      <c r="L17" s="5"/>
    </row>
    <row r="18" spans="1:12" x14ac:dyDescent="0.3">
      <c r="A18" s="6"/>
      <c r="B18" s="5"/>
      <c r="C18" s="5"/>
      <c r="D18" s="7"/>
      <c r="E18" s="7"/>
      <c r="F18" s="8" t="str">
        <f t="shared" si="0"/>
        <v/>
      </c>
      <c r="G18" s="5"/>
      <c r="H18" s="5"/>
      <c r="I18" s="5"/>
      <c r="J18" s="5"/>
      <c r="K18" s="9" t="str">
        <f>IF(A18="","",IF(I18&lt;&gt;"",IF(COUNTIF(AGENDA_BANCARIA!$B$5:$B$2000,I18)&gt;0,"Vinculado","ID não encontrado"),"Sem vínculo"))</f>
        <v/>
      </c>
      <c r="L18" s="5"/>
    </row>
    <row r="19" spans="1:12" x14ac:dyDescent="0.3">
      <c r="A19" s="6"/>
      <c r="B19" s="5"/>
      <c r="C19" s="5"/>
      <c r="D19" s="7"/>
      <c r="E19" s="7"/>
      <c r="F19" s="8" t="str">
        <f t="shared" si="0"/>
        <v/>
      </c>
      <c r="G19" s="5"/>
      <c r="H19" s="5"/>
      <c r="I19" s="5"/>
      <c r="J19" s="5"/>
      <c r="K19" s="9" t="str">
        <f>IF(A19="","",IF(I19&lt;&gt;"",IF(COUNTIF(AGENDA_BANCARIA!$B$5:$B$2000,I19)&gt;0,"Vinculado","ID não encontrado"),"Sem vínculo"))</f>
        <v/>
      </c>
      <c r="L19" s="5"/>
    </row>
    <row r="20" spans="1:12" x14ac:dyDescent="0.3">
      <c r="A20" s="6"/>
      <c r="B20" s="5"/>
      <c r="C20" s="5"/>
      <c r="D20" s="7"/>
      <c r="E20" s="7"/>
      <c r="F20" s="8" t="str">
        <f t="shared" si="0"/>
        <v/>
      </c>
      <c r="G20" s="5"/>
      <c r="H20" s="5"/>
      <c r="I20" s="5"/>
      <c r="J20" s="5"/>
      <c r="K20" s="9" t="str">
        <f>IF(A20="","",IF(I20&lt;&gt;"",IF(COUNTIF(AGENDA_BANCARIA!$B$5:$B$2000,I20)&gt;0,"Vinculado","ID não encontrado"),"Sem vínculo"))</f>
        <v/>
      </c>
      <c r="L20" s="5"/>
    </row>
    <row r="21" spans="1:12" x14ac:dyDescent="0.3">
      <c r="A21" s="6"/>
      <c r="B21" s="5"/>
      <c r="C21" s="5"/>
      <c r="D21" s="7"/>
      <c r="E21" s="7"/>
      <c r="F21" s="8" t="str">
        <f t="shared" si="0"/>
        <v/>
      </c>
      <c r="G21" s="5"/>
      <c r="H21" s="5"/>
      <c r="I21" s="5"/>
      <c r="J21" s="5"/>
      <c r="K21" s="9" t="str">
        <f>IF(A21="","",IF(I21&lt;&gt;"",IF(COUNTIF(AGENDA_BANCARIA!$B$5:$B$2000,I21)&gt;0,"Vinculado","ID não encontrado"),"Sem vínculo"))</f>
        <v/>
      </c>
      <c r="L21" s="5"/>
    </row>
    <row r="22" spans="1:12" x14ac:dyDescent="0.3">
      <c r="A22" s="6"/>
      <c r="B22" s="5"/>
      <c r="C22" s="5"/>
      <c r="D22" s="7"/>
      <c r="E22" s="7"/>
      <c r="F22" s="8" t="str">
        <f t="shared" si="0"/>
        <v/>
      </c>
      <c r="G22" s="5"/>
      <c r="H22" s="5"/>
      <c r="I22" s="5"/>
      <c r="J22" s="5"/>
      <c r="K22" s="9" t="str">
        <f>IF(A22="","",IF(I22&lt;&gt;"",IF(COUNTIF(AGENDA_BANCARIA!$B$5:$B$2000,I22)&gt;0,"Vinculado","ID não encontrado"),"Sem vínculo"))</f>
        <v/>
      </c>
      <c r="L22" s="5"/>
    </row>
    <row r="23" spans="1:12" x14ac:dyDescent="0.3">
      <c r="A23" s="6"/>
      <c r="B23" s="5"/>
      <c r="C23" s="5"/>
      <c r="D23" s="7"/>
      <c r="E23" s="7"/>
      <c r="F23" s="8" t="str">
        <f t="shared" si="0"/>
        <v/>
      </c>
      <c r="G23" s="5"/>
      <c r="H23" s="5"/>
      <c r="I23" s="5"/>
      <c r="J23" s="5"/>
      <c r="K23" s="9" t="str">
        <f>IF(A23="","",IF(I23&lt;&gt;"",IF(COUNTIF(AGENDA_BANCARIA!$B$5:$B$2000,I23)&gt;0,"Vinculado","ID não encontrado"),"Sem vínculo"))</f>
        <v/>
      </c>
      <c r="L23" s="5"/>
    </row>
    <row r="24" spans="1:12" x14ac:dyDescent="0.3">
      <c r="A24" s="6"/>
      <c r="B24" s="5"/>
      <c r="C24" s="5"/>
      <c r="D24" s="7"/>
      <c r="E24" s="7"/>
      <c r="F24" s="8" t="str">
        <f t="shared" si="0"/>
        <v/>
      </c>
      <c r="G24" s="5"/>
      <c r="H24" s="5"/>
      <c r="I24" s="5"/>
      <c r="J24" s="5"/>
      <c r="K24" s="9" t="str">
        <f>IF(A24="","",IF(I24&lt;&gt;"",IF(COUNTIF(AGENDA_BANCARIA!$B$5:$B$2000,I24)&gt;0,"Vinculado","ID não encontrado"),"Sem vínculo"))</f>
        <v/>
      </c>
      <c r="L24" s="5"/>
    </row>
    <row r="25" spans="1:12" x14ac:dyDescent="0.3">
      <c r="A25" s="6"/>
      <c r="B25" s="5"/>
      <c r="C25" s="5"/>
      <c r="D25" s="7"/>
      <c r="E25" s="7"/>
      <c r="F25" s="8" t="str">
        <f t="shared" si="0"/>
        <v/>
      </c>
      <c r="G25" s="5"/>
      <c r="H25" s="5"/>
      <c r="I25" s="5"/>
      <c r="J25" s="5"/>
      <c r="K25" s="9" t="str">
        <f>IF(A25="","",IF(I25&lt;&gt;"",IF(COUNTIF(AGENDA_BANCARIA!$B$5:$B$2000,I25)&gt;0,"Vinculado","ID não encontrado"),"Sem vínculo"))</f>
        <v/>
      </c>
      <c r="L25" s="5"/>
    </row>
    <row r="26" spans="1:12" x14ac:dyDescent="0.3">
      <c r="A26" s="6"/>
      <c r="B26" s="5"/>
      <c r="C26" s="5"/>
      <c r="D26" s="7"/>
      <c r="E26" s="7"/>
      <c r="F26" s="8" t="str">
        <f t="shared" si="0"/>
        <v/>
      </c>
      <c r="G26" s="5"/>
      <c r="H26" s="5"/>
      <c r="I26" s="5"/>
      <c r="J26" s="5"/>
      <c r="K26" s="9" t="str">
        <f>IF(A26="","",IF(I26&lt;&gt;"",IF(COUNTIF(AGENDA_BANCARIA!$B$5:$B$2000,I26)&gt;0,"Vinculado","ID não encontrado"),"Sem vínculo"))</f>
        <v/>
      </c>
      <c r="L26" s="5"/>
    </row>
    <row r="27" spans="1:12" x14ac:dyDescent="0.3">
      <c r="A27" s="6"/>
      <c r="B27" s="5"/>
      <c r="C27" s="5"/>
      <c r="D27" s="7"/>
      <c r="E27" s="7"/>
      <c r="F27" s="8" t="str">
        <f t="shared" si="0"/>
        <v/>
      </c>
      <c r="G27" s="5"/>
      <c r="H27" s="5"/>
      <c r="I27" s="5"/>
      <c r="J27" s="5"/>
      <c r="K27" s="9" t="str">
        <f>IF(A27="","",IF(I27&lt;&gt;"",IF(COUNTIF(AGENDA_BANCARIA!$B$5:$B$2000,I27)&gt;0,"Vinculado","ID não encontrado"),"Sem vínculo"))</f>
        <v/>
      </c>
      <c r="L27" s="5"/>
    </row>
    <row r="28" spans="1:12" x14ac:dyDescent="0.3">
      <c r="A28" s="6"/>
      <c r="B28" s="5"/>
      <c r="C28" s="5"/>
      <c r="D28" s="7"/>
      <c r="E28" s="7"/>
      <c r="F28" s="8" t="str">
        <f t="shared" si="0"/>
        <v/>
      </c>
      <c r="G28" s="5"/>
      <c r="H28" s="5"/>
      <c r="I28" s="5"/>
      <c r="J28" s="5"/>
      <c r="K28" s="9" t="str">
        <f>IF(A28="","",IF(I28&lt;&gt;"",IF(COUNTIF(AGENDA_BANCARIA!$B$5:$B$2000,I28)&gt;0,"Vinculado","ID não encontrado"),"Sem vínculo"))</f>
        <v/>
      </c>
      <c r="L28" s="5"/>
    </row>
    <row r="29" spans="1:12" x14ac:dyDescent="0.3">
      <c r="A29" s="6"/>
      <c r="B29" s="5"/>
      <c r="C29" s="5"/>
      <c r="D29" s="7"/>
      <c r="E29" s="7"/>
      <c r="F29" s="8" t="str">
        <f t="shared" si="0"/>
        <v/>
      </c>
      <c r="G29" s="5"/>
      <c r="H29" s="5"/>
      <c r="I29" s="5"/>
      <c r="J29" s="5"/>
      <c r="K29" s="9" t="str">
        <f>IF(A29="","",IF(I29&lt;&gt;"",IF(COUNTIF(AGENDA_BANCARIA!$B$5:$B$2000,I29)&gt;0,"Vinculado","ID não encontrado"),"Sem vínculo"))</f>
        <v/>
      </c>
      <c r="L29" s="5"/>
    </row>
    <row r="30" spans="1:12" x14ac:dyDescent="0.3">
      <c r="A30" s="6"/>
      <c r="B30" s="5"/>
      <c r="C30" s="5"/>
      <c r="D30" s="7"/>
      <c r="E30" s="7"/>
      <c r="F30" s="8" t="str">
        <f t="shared" si="0"/>
        <v/>
      </c>
      <c r="G30" s="5"/>
      <c r="H30" s="5"/>
      <c r="I30" s="5"/>
      <c r="J30" s="5"/>
      <c r="K30" s="9" t="str">
        <f>IF(A30="","",IF(I30&lt;&gt;"",IF(COUNTIF(AGENDA_BANCARIA!$B$5:$B$2000,I30)&gt;0,"Vinculado","ID não encontrado"),"Sem vínculo"))</f>
        <v/>
      </c>
      <c r="L30" s="5"/>
    </row>
    <row r="31" spans="1:12" x14ac:dyDescent="0.3">
      <c r="A31" s="6"/>
      <c r="B31" s="5"/>
      <c r="C31" s="5"/>
      <c r="D31" s="7"/>
      <c r="E31" s="7"/>
      <c r="F31" s="8" t="str">
        <f t="shared" si="0"/>
        <v/>
      </c>
      <c r="G31" s="5"/>
      <c r="H31" s="5"/>
      <c r="I31" s="5"/>
      <c r="J31" s="5"/>
      <c r="K31" s="9" t="str">
        <f>IF(A31="","",IF(I31&lt;&gt;"",IF(COUNTIF(AGENDA_BANCARIA!$B$5:$B$2000,I31)&gt;0,"Vinculado","ID não encontrado"),"Sem vínculo"))</f>
        <v/>
      </c>
      <c r="L31" s="5"/>
    </row>
    <row r="32" spans="1:12" x14ac:dyDescent="0.3">
      <c r="A32" s="6"/>
      <c r="B32" s="5"/>
      <c r="C32" s="5"/>
      <c r="D32" s="7"/>
      <c r="E32" s="7"/>
      <c r="F32" s="8" t="str">
        <f t="shared" si="0"/>
        <v/>
      </c>
      <c r="G32" s="5"/>
      <c r="H32" s="5"/>
      <c r="I32" s="5"/>
      <c r="J32" s="5"/>
      <c r="K32" s="9" t="str">
        <f>IF(A32="","",IF(I32&lt;&gt;"",IF(COUNTIF(AGENDA_BANCARIA!$B$5:$B$2000,I32)&gt;0,"Vinculado","ID não encontrado"),"Sem vínculo"))</f>
        <v/>
      </c>
      <c r="L32" s="5"/>
    </row>
    <row r="33" spans="1:12" x14ac:dyDescent="0.3">
      <c r="A33" s="6"/>
      <c r="B33" s="5"/>
      <c r="C33" s="5"/>
      <c r="D33" s="7"/>
      <c r="E33" s="7"/>
      <c r="F33" s="8" t="str">
        <f t="shared" si="0"/>
        <v/>
      </c>
      <c r="G33" s="5"/>
      <c r="H33" s="5"/>
      <c r="I33" s="5"/>
      <c r="J33" s="5"/>
      <c r="K33" s="9" t="str">
        <f>IF(A33="","",IF(I33&lt;&gt;"",IF(COUNTIF(AGENDA_BANCARIA!$B$5:$B$2000,I33)&gt;0,"Vinculado","ID não encontrado"),"Sem vínculo"))</f>
        <v/>
      </c>
      <c r="L33" s="5"/>
    </row>
    <row r="34" spans="1:12" x14ac:dyDescent="0.3">
      <c r="A34" s="6"/>
      <c r="B34" s="5"/>
      <c r="C34" s="5"/>
      <c r="D34" s="7"/>
      <c r="E34" s="7"/>
      <c r="F34" s="8" t="str">
        <f t="shared" si="0"/>
        <v/>
      </c>
      <c r="G34" s="5"/>
      <c r="H34" s="5"/>
      <c r="I34" s="5"/>
      <c r="J34" s="5"/>
      <c r="K34" s="9" t="str">
        <f>IF(A34="","",IF(I34&lt;&gt;"",IF(COUNTIF(AGENDA_BANCARIA!$B$5:$B$2000,I34)&gt;0,"Vinculado","ID não encontrado"),"Sem vínculo"))</f>
        <v/>
      </c>
      <c r="L34" s="5"/>
    </row>
    <row r="35" spans="1:12" x14ac:dyDescent="0.3">
      <c r="A35" s="6"/>
      <c r="B35" s="5"/>
      <c r="C35" s="5"/>
      <c r="D35" s="7"/>
      <c r="E35" s="7"/>
      <c r="F35" s="8" t="str">
        <f t="shared" si="0"/>
        <v/>
      </c>
      <c r="G35" s="5"/>
      <c r="H35" s="5"/>
      <c r="I35" s="5"/>
      <c r="J35" s="5"/>
      <c r="K35" s="9" t="str">
        <f>IF(A35="","",IF(I35&lt;&gt;"",IF(COUNTIF(AGENDA_BANCARIA!$B$5:$B$2000,I35)&gt;0,"Vinculado","ID não encontrado"),"Sem vínculo"))</f>
        <v/>
      </c>
      <c r="L35" s="5"/>
    </row>
    <row r="36" spans="1:12" x14ac:dyDescent="0.3">
      <c r="A36" s="6"/>
      <c r="B36" s="5"/>
      <c r="C36" s="5"/>
      <c r="D36" s="7"/>
      <c r="E36" s="7"/>
      <c r="F36" s="8" t="str">
        <f t="shared" si="0"/>
        <v/>
      </c>
      <c r="G36" s="5"/>
      <c r="H36" s="5"/>
      <c r="I36" s="5"/>
      <c r="J36" s="5"/>
      <c r="K36" s="9" t="str">
        <f>IF(A36="","",IF(I36&lt;&gt;"",IF(COUNTIF(AGENDA_BANCARIA!$B$5:$B$2000,I36)&gt;0,"Vinculado","ID não encontrado"),"Sem vínculo"))</f>
        <v/>
      </c>
      <c r="L36" s="5"/>
    </row>
    <row r="37" spans="1:12" x14ac:dyDescent="0.3">
      <c r="A37" s="6"/>
      <c r="B37" s="5"/>
      <c r="C37" s="5"/>
      <c r="D37" s="7"/>
      <c r="E37" s="7"/>
      <c r="F37" s="8" t="str">
        <f t="shared" si="0"/>
        <v/>
      </c>
      <c r="G37" s="5"/>
      <c r="H37" s="5"/>
      <c r="I37" s="5"/>
      <c r="J37" s="5"/>
      <c r="K37" s="9" t="str">
        <f>IF(A37="","",IF(I37&lt;&gt;"",IF(COUNTIF(AGENDA_BANCARIA!$B$5:$B$2000,I37)&gt;0,"Vinculado","ID não encontrado"),"Sem vínculo"))</f>
        <v/>
      </c>
      <c r="L37" s="5"/>
    </row>
    <row r="38" spans="1:12" x14ac:dyDescent="0.3">
      <c r="A38" s="6"/>
      <c r="B38" s="5"/>
      <c r="C38" s="5"/>
      <c r="D38" s="7"/>
      <c r="E38" s="7"/>
      <c r="F38" s="8" t="str">
        <f t="shared" si="0"/>
        <v/>
      </c>
      <c r="G38" s="5"/>
      <c r="H38" s="5"/>
      <c r="I38" s="5"/>
      <c r="J38" s="5"/>
      <c r="K38" s="9" t="str">
        <f>IF(A38="","",IF(I38&lt;&gt;"",IF(COUNTIF(AGENDA_BANCARIA!$B$5:$B$2000,I38)&gt;0,"Vinculado","ID não encontrado"),"Sem vínculo"))</f>
        <v/>
      </c>
      <c r="L38" s="5"/>
    </row>
    <row r="39" spans="1:12" x14ac:dyDescent="0.3">
      <c r="A39" s="6"/>
      <c r="B39" s="5"/>
      <c r="C39" s="5"/>
      <c r="D39" s="7"/>
      <c r="E39" s="7"/>
      <c r="F39" s="8" t="str">
        <f t="shared" si="0"/>
        <v/>
      </c>
      <c r="G39" s="5"/>
      <c r="H39" s="5"/>
      <c r="I39" s="5"/>
      <c r="J39" s="5"/>
      <c r="K39" s="9" t="str">
        <f>IF(A39="","",IF(I39&lt;&gt;"",IF(COUNTIF(AGENDA_BANCARIA!$B$5:$B$2000,I39)&gt;0,"Vinculado","ID não encontrado"),"Sem vínculo"))</f>
        <v/>
      </c>
      <c r="L39" s="5"/>
    </row>
    <row r="40" spans="1:12" x14ac:dyDescent="0.3">
      <c r="A40" s="6"/>
      <c r="B40" s="5"/>
      <c r="C40" s="5"/>
      <c r="D40" s="7"/>
      <c r="E40" s="7"/>
      <c r="F40" s="8" t="str">
        <f t="shared" si="0"/>
        <v/>
      </c>
      <c r="G40" s="5"/>
      <c r="H40" s="5"/>
      <c r="I40" s="5"/>
      <c r="J40" s="5"/>
      <c r="K40" s="9" t="str">
        <f>IF(A40="","",IF(I40&lt;&gt;"",IF(COUNTIF(AGENDA_BANCARIA!$B$5:$B$2000,I40)&gt;0,"Vinculado","ID não encontrado"),"Sem vínculo"))</f>
        <v/>
      </c>
      <c r="L40" s="5"/>
    </row>
    <row r="41" spans="1:12" x14ac:dyDescent="0.3">
      <c r="A41" s="6"/>
      <c r="B41" s="5"/>
      <c r="C41" s="5"/>
      <c r="D41" s="7"/>
      <c r="E41" s="7"/>
      <c r="F41" s="8" t="str">
        <f t="shared" si="0"/>
        <v/>
      </c>
      <c r="G41" s="5"/>
      <c r="H41" s="5"/>
      <c r="I41" s="5"/>
      <c r="J41" s="5"/>
      <c r="K41" s="9" t="str">
        <f>IF(A41="","",IF(I41&lt;&gt;"",IF(COUNTIF(AGENDA_BANCARIA!$B$5:$B$2000,I41)&gt;0,"Vinculado","ID não encontrado"),"Sem vínculo"))</f>
        <v/>
      </c>
      <c r="L41" s="5"/>
    </row>
    <row r="42" spans="1:12" x14ac:dyDescent="0.3">
      <c r="A42" s="6"/>
      <c r="B42" s="5"/>
      <c r="C42" s="5"/>
      <c r="D42" s="7"/>
      <c r="E42" s="7"/>
      <c r="F42" s="8" t="str">
        <f t="shared" si="0"/>
        <v/>
      </c>
      <c r="G42" s="5"/>
      <c r="H42" s="5"/>
      <c r="I42" s="5"/>
      <c r="J42" s="5"/>
      <c r="K42" s="9" t="str">
        <f>IF(A42="","",IF(I42&lt;&gt;"",IF(COUNTIF(AGENDA_BANCARIA!$B$5:$B$2000,I42)&gt;0,"Vinculado","ID não encontrado"),"Sem vínculo"))</f>
        <v/>
      </c>
      <c r="L42" s="5"/>
    </row>
    <row r="43" spans="1:12" x14ac:dyDescent="0.3">
      <c r="A43" s="6"/>
      <c r="B43" s="5"/>
      <c r="C43" s="5"/>
      <c r="D43" s="7"/>
      <c r="E43" s="7"/>
      <c r="F43" s="8" t="str">
        <f t="shared" si="0"/>
        <v/>
      </c>
      <c r="G43" s="5"/>
      <c r="H43" s="5"/>
      <c r="I43" s="5"/>
      <c r="J43" s="5"/>
      <c r="K43" s="9" t="str">
        <f>IF(A43="","",IF(I43&lt;&gt;"",IF(COUNTIF(AGENDA_BANCARIA!$B$5:$B$2000,I43)&gt;0,"Vinculado","ID não encontrado"),"Sem vínculo"))</f>
        <v/>
      </c>
      <c r="L43" s="5"/>
    </row>
    <row r="44" spans="1:12" x14ac:dyDescent="0.3">
      <c r="A44" s="6"/>
      <c r="B44" s="5"/>
      <c r="C44" s="5"/>
      <c r="D44" s="7"/>
      <c r="E44" s="7"/>
      <c r="F44" s="8" t="str">
        <f t="shared" si="0"/>
        <v/>
      </c>
      <c r="G44" s="5"/>
      <c r="H44" s="5"/>
      <c r="I44" s="5"/>
      <c r="J44" s="5"/>
      <c r="K44" s="9" t="str">
        <f>IF(A44="","",IF(I44&lt;&gt;"",IF(COUNTIF(AGENDA_BANCARIA!$B$5:$B$2000,I44)&gt;0,"Vinculado","ID não encontrado"),"Sem vínculo"))</f>
        <v/>
      </c>
      <c r="L44" s="5"/>
    </row>
    <row r="45" spans="1:12" x14ac:dyDescent="0.3">
      <c r="A45" s="6"/>
      <c r="B45" s="5"/>
      <c r="C45" s="5"/>
      <c r="D45" s="7"/>
      <c r="E45" s="7"/>
      <c r="F45" s="8" t="str">
        <f t="shared" si="0"/>
        <v/>
      </c>
      <c r="G45" s="5"/>
      <c r="H45" s="5"/>
      <c r="I45" s="5"/>
      <c r="J45" s="5"/>
      <c r="K45" s="9" t="str">
        <f>IF(A45="","",IF(I45&lt;&gt;"",IF(COUNTIF(AGENDA_BANCARIA!$B$5:$B$2000,I45)&gt;0,"Vinculado","ID não encontrado"),"Sem vínculo"))</f>
        <v/>
      </c>
      <c r="L45" s="5"/>
    </row>
    <row r="46" spans="1:12" x14ac:dyDescent="0.3">
      <c r="A46" s="6"/>
      <c r="B46" s="5"/>
      <c r="C46" s="5"/>
      <c r="D46" s="7"/>
      <c r="E46" s="7"/>
      <c r="F46" s="8" t="str">
        <f t="shared" si="0"/>
        <v/>
      </c>
      <c r="G46" s="5"/>
      <c r="H46" s="5"/>
      <c r="I46" s="5"/>
      <c r="J46" s="5"/>
      <c r="K46" s="9" t="str">
        <f>IF(A46="","",IF(I46&lt;&gt;"",IF(COUNTIF(AGENDA_BANCARIA!$B$5:$B$2000,I46)&gt;0,"Vinculado","ID não encontrado"),"Sem vínculo"))</f>
        <v/>
      </c>
      <c r="L46" s="5"/>
    </row>
    <row r="47" spans="1:12" x14ac:dyDescent="0.3">
      <c r="A47" s="6"/>
      <c r="B47" s="5"/>
      <c r="C47" s="5"/>
      <c r="D47" s="7"/>
      <c r="E47" s="7"/>
      <c r="F47" s="8" t="str">
        <f t="shared" si="0"/>
        <v/>
      </c>
      <c r="G47" s="5"/>
      <c r="H47" s="5"/>
      <c r="I47" s="5"/>
      <c r="J47" s="5"/>
      <c r="K47" s="9" t="str">
        <f>IF(A47="","",IF(I47&lt;&gt;"",IF(COUNTIF(AGENDA_BANCARIA!$B$5:$B$2000,I47)&gt;0,"Vinculado","ID não encontrado"),"Sem vínculo"))</f>
        <v/>
      </c>
      <c r="L47" s="5"/>
    </row>
    <row r="48" spans="1:12" x14ac:dyDescent="0.3">
      <c r="A48" s="6"/>
      <c r="B48" s="5"/>
      <c r="C48" s="5"/>
      <c r="D48" s="7"/>
      <c r="E48" s="7"/>
      <c r="F48" s="8" t="str">
        <f t="shared" si="0"/>
        <v/>
      </c>
      <c r="G48" s="5"/>
      <c r="H48" s="5"/>
      <c r="I48" s="5"/>
      <c r="J48" s="5"/>
      <c r="K48" s="9" t="str">
        <f>IF(A48="","",IF(I48&lt;&gt;"",IF(COUNTIF(AGENDA_BANCARIA!$B$5:$B$2000,I48)&gt;0,"Vinculado","ID não encontrado"),"Sem vínculo"))</f>
        <v/>
      </c>
      <c r="L48" s="5"/>
    </row>
    <row r="49" spans="1:12" x14ac:dyDescent="0.3">
      <c r="A49" s="6"/>
      <c r="B49" s="5"/>
      <c r="C49" s="5"/>
      <c r="D49" s="7"/>
      <c r="E49" s="7"/>
      <c r="F49" s="8" t="str">
        <f t="shared" si="0"/>
        <v/>
      </c>
      <c r="G49" s="5"/>
      <c r="H49" s="5"/>
      <c r="I49" s="5"/>
      <c r="J49" s="5"/>
      <c r="K49" s="9" t="str">
        <f>IF(A49="","",IF(I49&lt;&gt;"",IF(COUNTIF(AGENDA_BANCARIA!$B$5:$B$2000,I49)&gt;0,"Vinculado","ID não encontrado"),"Sem vínculo"))</f>
        <v/>
      </c>
      <c r="L49" s="5"/>
    </row>
    <row r="50" spans="1:12" x14ac:dyDescent="0.3">
      <c r="A50" s="6"/>
      <c r="B50" s="5"/>
      <c r="C50" s="5"/>
      <c r="D50" s="7"/>
      <c r="E50" s="7"/>
      <c r="F50" s="8" t="str">
        <f t="shared" si="0"/>
        <v/>
      </c>
      <c r="G50" s="5"/>
      <c r="H50" s="5"/>
      <c r="I50" s="5"/>
      <c r="J50" s="5"/>
      <c r="K50" s="9" t="str">
        <f>IF(A50="","",IF(I50&lt;&gt;"",IF(COUNTIF(AGENDA_BANCARIA!$B$5:$B$2000,I50)&gt;0,"Vinculado","ID não encontrado"),"Sem vínculo"))</f>
        <v/>
      </c>
      <c r="L50" s="5"/>
    </row>
    <row r="51" spans="1:12" x14ac:dyDescent="0.3">
      <c r="A51" s="6"/>
      <c r="B51" s="5"/>
      <c r="C51" s="5"/>
      <c r="D51" s="7"/>
      <c r="E51" s="7"/>
      <c r="F51" s="8" t="str">
        <f t="shared" si="0"/>
        <v/>
      </c>
      <c r="G51" s="5"/>
      <c r="H51" s="5"/>
      <c r="I51" s="5"/>
      <c r="J51" s="5"/>
      <c r="K51" s="9" t="str">
        <f>IF(A51="","",IF(I51&lt;&gt;"",IF(COUNTIF(AGENDA_BANCARIA!$B$5:$B$2000,I51)&gt;0,"Vinculado","ID não encontrado"),"Sem vínculo"))</f>
        <v/>
      </c>
      <c r="L51" s="5"/>
    </row>
    <row r="52" spans="1:12" x14ac:dyDescent="0.3">
      <c r="A52" s="6"/>
      <c r="B52" s="5"/>
      <c r="C52" s="5"/>
      <c r="D52" s="7"/>
      <c r="E52" s="7"/>
      <c r="F52" s="8" t="str">
        <f t="shared" si="0"/>
        <v/>
      </c>
      <c r="G52" s="5"/>
      <c r="H52" s="5"/>
      <c r="I52" s="5"/>
      <c r="J52" s="5"/>
      <c r="K52" s="9" t="str">
        <f>IF(A52="","",IF(I52&lt;&gt;"",IF(COUNTIF(AGENDA_BANCARIA!$B$5:$B$2000,I52)&gt;0,"Vinculado","ID não encontrado"),"Sem vínculo"))</f>
        <v/>
      </c>
      <c r="L52" s="5"/>
    </row>
    <row r="53" spans="1:12" x14ac:dyDescent="0.3">
      <c r="A53" s="6"/>
      <c r="B53" s="5"/>
      <c r="C53" s="5"/>
      <c r="D53" s="7"/>
      <c r="E53" s="7"/>
      <c r="F53" s="8" t="str">
        <f t="shared" si="0"/>
        <v/>
      </c>
      <c r="G53" s="5"/>
      <c r="H53" s="5"/>
      <c r="I53" s="5"/>
      <c r="J53" s="5"/>
      <c r="K53" s="9" t="str">
        <f>IF(A53="","",IF(I53&lt;&gt;"",IF(COUNTIF(AGENDA_BANCARIA!$B$5:$B$2000,I53)&gt;0,"Vinculado","ID não encontrado"),"Sem vínculo"))</f>
        <v/>
      </c>
      <c r="L53" s="5"/>
    </row>
    <row r="54" spans="1:12" x14ac:dyDescent="0.3">
      <c r="A54" s="6"/>
      <c r="B54" s="5"/>
      <c r="C54" s="5"/>
      <c r="D54" s="7"/>
      <c r="E54" s="7"/>
      <c r="F54" s="8" t="str">
        <f t="shared" si="0"/>
        <v/>
      </c>
      <c r="G54" s="5"/>
      <c r="H54" s="5"/>
      <c r="I54" s="5"/>
      <c r="J54" s="5"/>
      <c r="K54" s="9" t="str">
        <f>IF(A54="","",IF(I54&lt;&gt;"",IF(COUNTIF(AGENDA_BANCARIA!$B$5:$B$2000,I54)&gt;0,"Vinculado","ID não encontrado"),"Sem vínculo"))</f>
        <v/>
      </c>
      <c r="L54" s="5"/>
    </row>
    <row r="55" spans="1:12" x14ac:dyDescent="0.3">
      <c r="A55" s="6"/>
      <c r="B55" s="5"/>
      <c r="C55" s="5"/>
      <c r="D55" s="7"/>
      <c r="E55" s="7"/>
      <c r="F55" s="8" t="str">
        <f t="shared" si="0"/>
        <v/>
      </c>
      <c r="G55" s="5"/>
      <c r="H55" s="5"/>
      <c r="I55" s="5"/>
      <c r="J55" s="5"/>
      <c r="K55" s="9" t="str">
        <f>IF(A55="","",IF(I55&lt;&gt;"",IF(COUNTIF(AGENDA_BANCARIA!$B$5:$B$2000,I55)&gt;0,"Vinculado","ID não encontrado"),"Sem vínculo"))</f>
        <v/>
      </c>
      <c r="L55" s="5"/>
    </row>
    <row r="56" spans="1:12" x14ac:dyDescent="0.3">
      <c r="A56" s="6"/>
      <c r="B56" s="5"/>
      <c r="C56" s="5"/>
      <c r="D56" s="7"/>
      <c r="E56" s="7"/>
      <c r="F56" s="8" t="str">
        <f t="shared" si="0"/>
        <v/>
      </c>
      <c r="G56" s="5"/>
      <c r="H56" s="5"/>
      <c r="I56" s="5"/>
      <c r="J56" s="5"/>
      <c r="K56" s="9" t="str">
        <f>IF(A56="","",IF(I56&lt;&gt;"",IF(COUNTIF(AGENDA_BANCARIA!$B$5:$B$2000,I56)&gt;0,"Vinculado","ID não encontrado"),"Sem vínculo"))</f>
        <v/>
      </c>
      <c r="L56" s="5"/>
    </row>
    <row r="57" spans="1:12" x14ac:dyDescent="0.3">
      <c r="A57" s="6"/>
      <c r="B57" s="5"/>
      <c r="C57" s="5"/>
      <c r="D57" s="7"/>
      <c r="E57" s="7"/>
      <c r="F57" s="8" t="str">
        <f t="shared" si="0"/>
        <v/>
      </c>
      <c r="G57" s="5"/>
      <c r="H57" s="5"/>
      <c r="I57" s="5"/>
      <c r="J57" s="5"/>
      <c r="K57" s="9" t="str">
        <f>IF(A57="","",IF(I57&lt;&gt;"",IF(COUNTIF(AGENDA_BANCARIA!$B$5:$B$2000,I57)&gt;0,"Vinculado","ID não encontrado"),"Sem vínculo"))</f>
        <v/>
      </c>
      <c r="L57" s="5"/>
    </row>
    <row r="58" spans="1:12" x14ac:dyDescent="0.3">
      <c r="A58" s="6"/>
      <c r="B58" s="5"/>
      <c r="C58" s="5"/>
      <c r="D58" s="7"/>
      <c r="E58" s="7"/>
      <c r="F58" s="8" t="str">
        <f t="shared" si="0"/>
        <v/>
      </c>
      <c r="G58" s="5"/>
      <c r="H58" s="5"/>
      <c r="I58" s="5"/>
      <c r="J58" s="5"/>
      <c r="K58" s="9" t="str">
        <f>IF(A58="","",IF(I58&lt;&gt;"",IF(COUNTIF(AGENDA_BANCARIA!$B$5:$B$2000,I58)&gt;0,"Vinculado","ID não encontrado"),"Sem vínculo"))</f>
        <v/>
      </c>
      <c r="L58" s="5"/>
    </row>
    <row r="59" spans="1:12" x14ac:dyDescent="0.3">
      <c r="A59" s="6"/>
      <c r="B59" s="5"/>
      <c r="C59" s="5"/>
      <c r="D59" s="7"/>
      <c r="E59" s="7"/>
      <c r="F59" s="8" t="str">
        <f t="shared" si="0"/>
        <v/>
      </c>
      <c r="G59" s="5"/>
      <c r="H59" s="5"/>
      <c r="I59" s="5"/>
      <c r="J59" s="5"/>
      <c r="K59" s="9" t="str">
        <f>IF(A59="","",IF(I59&lt;&gt;"",IF(COUNTIF(AGENDA_BANCARIA!$B$5:$B$2000,I59)&gt;0,"Vinculado","ID não encontrado"),"Sem vínculo"))</f>
        <v/>
      </c>
      <c r="L59" s="5"/>
    </row>
    <row r="60" spans="1:12" x14ac:dyDescent="0.3">
      <c r="A60" s="6"/>
      <c r="B60" s="5"/>
      <c r="C60" s="5"/>
      <c r="D60" s="7"/>
      <c r="E60" s="7"/>
      <c r="F60" s="8" t="str">
        <f t="shared" si="0"/>
        <v/>
      </c>
      <c r="G60" s="5"/>
      <c r="H60" s="5"/>
      <c r="I60" s="5"/>
      <c r="J60" s="5"/>
      <c r="K60" s="9" t="str">
        <f>IF(A60="","",IF(I60&lt;&gt;"",IF(COUNTIF(AGENDA_BANCARIA!$B$5:$B$2000,I60)&gt;0,"Vinculado","ID não encontrado"),"Sem vínculo"))</f>
        <v/>
      </c>
      <c r="L60" s="5"/>
    </row>
    <row r="61" spans="1:12" x14ac:dyDescent="0.3">
      <c r="A61" s="6"/>
      <c r="B61" s="5"/>
      <c r="C61" s="5"/>
      <c r="D61" s="7"/>
      <c r="E61" s="7"/>
      <c r="F61" s="8" t="str">
        <f t="shared" si="0"/>
        <v/>
      </c>
      <c r="G61" s="5"/>
      <c r="H61" s="5"/>
      <c r="I61" s="5"/>
      <c r="J61" s="5"/>
      <c r="K61" s="9" t="str">
        <f>IF(A61="","",IF(I61&lt;&gt;"",IF(COUNTIF(AGENDA_BANCARIA!$B$5:$B$2000,I61)&gt;0,"Vinculado","ID não encontrado"),"Sem vínculo"))</f>
        <v/>
      </c>
      <c r="L61" s="5"/>
    </row>
    <row r="62" spans="1:12" x14ac:dyDescent="0.3">
      <c r="A62" s="6"/>
      <c r="B62" s="5"/>
      <c r="C62" s="5"/>
      <c r="D62" s="7"/>
      <c r="E62" s="7"/>
      <c r="F62" s="8" t="str">
        <f t="shared" si="0"/>
        <v/>
      </c>
      <c r="G62" s="5"/>
      <c r="H62" s="5"/>
      <c r="I62" s="5"/>
      <c r="J62" s="5"/>
      <c r="K62" s="9" t="str">
        <f>IF(A62="","",IF(I62&lt;&gt;"",IF(COUNTIF(AGENDA_BANCARIA!$B$5:$B$2000,I62)&gt;0,"Vinculado","ID não encontrado"),"Sem vínculo"))</f>
        <v/>
      </c>
      <c r="L62" s="5"/>
    </row>
    <row r="63" spans="1:12" x14ac:dyDescent="0.3">
      <c r="A63" s="6"/>
      <c r="B63" s="5"/>
      <c r="C63" s="5"/>
      <c r="D63" s="7"/>
      <c r="E63" s="7"/>
      <c r="F63" s="8" t="str">
        <f t="shared" si="0"/>
        <v/>
      </c>
      <c r="G63" s="5"/>
      <c r="H63" s="5"/>
      <c r="I63" s="5"/>
      <c r="J63" s="5"/>
      <c r="K63" s="9" t="str">
        <f>IF(A63="","",IF(I63&lt;&gt;"",IF(COUNTIF(AGENDA_BANCARIA!$B$5:$B$2000,I63)&gt;0,"Vinculado","ID não encontrado"),"Sem vínculo"))</f>
        <v/>
      </c>
      <c r="L63" s="5"/>
    </row>
    <row r="64" spans="1:12" x14ac:dyDescent="0.3">
      <c r="A64" s="6"/>
      <c r="B64" s="5"/>
      <c r="C64" s="5"/>
      <c r="D64" s="7"/>
      <c r="E64" s="7"/>
      <c r="F64" s="8" t="str">
        <f t="shared" si="0"/>
        <v/>
      </c>
      <c r="G64" s="5"/>
      <c r="H64" s="5"/>
      <c r="I64" s="5"/>
      <c r="J64" s="5"/>
      <c r="K64" s="9" t="str">
        <f>IF(A64="","",IF(I64&lt;&gt;"",IF(COUNTIF(AGENDA_BANCARIA!$B$5:$B$2000,I64)&gt;0,"Vinculado","ID não encontrado"),"Sem vínculo"))</f>
        <v/>
      </c>
      <c r="L64" s="5"/>
    </row>
    <row r="65" spans="1:12" x14ac:dyDescent="0.3">
      <c r="A65" s="6"/>
      <c r="B65" s="5"/>
      <c r="C65" s="5"/>
      <c r="D65" s="7"/>
      <c r="E65" s="7"/>
      <c r="F65" s="8" t="str">
        <f t="shared" si="0"/>
        <v/>
      </c>
      <c r="G65" s="5"/>
      <c r="H65" s="5"/>
      <c r="I65" s="5"/>
      <c r="J65" s="5"/>
      <c r="K65" s="9" t="str">
        <f>IF(A65="","",IF(I65&lt;&gt;"",IF(COUNTIF(AGENDA_BANCARIA!$B$5:$B$2000,I65)&gt;0,"Vinculado","ID não encontrado"),"Sem vínculo"))</f>
        <v/>
      </c>
      <c r="L65" s="5"/>
    </row>
    <row r="66" spans="1:12" x14ac:dyDescent="0.3">
      <c r="A66" s="6"/>
      <c r="B66" s="5"/>
      <c r="C66" s="5"/>
      <c r="D66" s="7"/>
      <c r="E66" s="7"/>
      <c r="F66" s="8" t="str">
        <f t="shared" si="0"/>
        <v/>
      </c>
      <c r="G66" s="5"/>
      <c r="H66" s="5"/>
      <c r="I66" s="5"/>
      <c r="J66" s="5"/>
      <c r="K66" s="9" t="str">
        <f>IF(A66="","",IF(I66&lt;&gt;"",IF(COUNTIF(AGENDA_BANCARIA!$B$5:$B$2000,I66)&gt;0,"Vinculado","ID não encontrado"),"Sem vínculo"))</f>
        <v/>
      </c>
      <c r="L66" s="5"/>
    </row>
    <row r="67" spans="1:12" x14ac:dyDescent="0.3">
      <c r="A67" s="6"/>
      <c r="B67" s="5"/>
      <c r="C67" s="5"/>
      <c r="D67" s="7"/>
      <c r="E67" s="7"/>
      <c r="F67" s="8" t="str">
        <f t="shared" si="0"/>
        <v/>
      </c>
      <c r="G67" s="5"/>
      <c r="H67" s="5"/>
      <c r="I67" s="5"/>
      <c r="J67" s="5"/>
      <c r="K67" s="9" t="str">
        <f>IF(A67="","",IF(I67&lt;&gt;"",IF(COUNTIF(AGENDA_BANCARIA!$B$5:$B$2000,I67)&gt;0,"Vinculado","ID não encontrado"),"Sem vínculo"))</f>
        <v/>
      </c>
      <c r="L67" s="5"/>
    </row>
    <row r="68" spans="1:12" x14ac:dyDescent="0.3">
      <c r="A68" s="6"/>
      <c r="B68" s="5"/>
      <c r="C68" s="5"/>
      <c r="D68" s="7"/>
      <c r="E68" s="7"/>
      <c r="F68" s="8" t="str">
        <f t="shared" si="0"/>
        <v/>
      </c>
      <c r="G68" s="5"/>
      <c r="H68" s="5"/>
      <c r="I68" s="5"/>
      <c r="J68" s="5"/>
      <c r="K68" s="9" t="str">
        <f>IF(A68="","",IF(I68&lt;&gt;"",IF(COUNTIF(AGENDA_BANCARIA!$B$5:$B$2000,I68)&gt;0,"Vinculado","ID não encontrado"),"Sem vínculo"))</f>
        <v/>
      </c>
      <c r="L68" s="5"/>
    </row>
    <row r="69" spans="1:12" x14ac:dyDescent="0.3">
      <c r="A69" s="6"/>
      <c r="B69" s="5"/>
      <c r="C69" s="5"/>
      <c r="D69" s="7"/>
      <c r="E69" s="7"/>
      <c r="F69" s="8" t="str">
        <f t="shared" ref="F69:F132" si="1">IF(OR(D69&lt;&gt;"",E69&lt;&gt;""),IF(E69&lt;&gt;"",E69,-D69),"")</f>
        <v/>
      </c>
      <c r="G69" s="5"/>
      <c r="H69" s="5"/>
      <c r="I69" s="5"/>
      <c r="J69" s="5"/>
      <c r="K69" s="9" t="str">
        <f>IF(A69="","",IF(I69&lt;&gt;"",IF(COUNTIF(AGENDA_BANCARIA!$B$5:$B$2000,I69)&gt;0,"Vinculado","ID não encontrado"),"Sem vínculo"))</f>
        <v/>
      </c>
      <c r="L69" s="5"/>
    </row>
    <row r="70" spans="1:12" x14ac:dyDescent="0.3">
      <c r="A70" s="6"/>
      <c r="B70" s="5"/>
      <c r="C70" s="5"/>
      <c r="D70" s="7"/>
      <c r="E70" s="7"/>
      <c r="F70" s="8" t="str">
        <f t="shared" si="1"/>
        <v/>
      </c>
      <c r="G70" s="5"/>
      <c r="H70" s="5"/>
      <c r="I70" s="5"/>
      <c r="J70" s="5"/>
      <c r="K70" s="9" t="str">
        <f>IF(A70="","",IF(I70&lt;&gt;"",IF(COUNTIF(AGENDA_BANCARIA!$B$5:$B$2000,I70)&gt;0,"Vinculado","ID não encontrado"),"Sem vínculo"))</f>
        <v/>
      </c>
      <c r="L70" s="5"/>
    </row>
    <row r="71" spans="1:12" x14ac:dyDescent="0.3">
      <c r="A71" s="6"/>
      <c r="B71" s="5"/>
      <c r="C71" s="5"/>
      <c r="D71" s="7"/>
      <c r="E71" s="7"/>
      <c r="F71" s="8" t="str">
        <f t="shared" si="1"/>
        <v/>
      </c>
      <c r="G71" s="5"/>
      <c r="H71" s="5"/>
      <c r="I71" s="5"/>
      <c r="J71" s="5"/>
      <c r="K71" s="9" t="str">
        <f>IF(A71="","",IF(I71&lt;&gt;"",IF(COUNTIF(AGENDA_BANCARIA!$B$5:$B$2000,I71)&gt;0,"Vinculado","ID não encontrado"),"Sem vínculo"))</f>
        <v/>
      </c>
      <c r="L71" s="5"/>
    </row>
    <row r="72" spans="1:12" x14ac:dyDescent="0.3">
      <c r="A72" s="6"/>
      <c r="B72" s="5"/>
      <c r="C72" s="5"/>
      <c r="D72" s="7"/>
      <c r="E72" s="7"/>
      <c r="F72" s="8" t="str">
        <f t="shared" si="1"/>
        <v/>
      </c>
      <c r="G72" s="5"/>
      <c r="H72" s="5"/>
      <c r="I72" s="5"/>
      <c r="J72" s="5"/>
      <c r="K72" s="9" t="str">
        <f>IF(A72="","",IF(I72&lt;&gt;"",IF(COUNTIF(AGENDA_BANCARIA!$B$5:$B$2000,I72)&gt;0,"Vinculado","ID não encontrado"),"Sem vínculo"))</f>
        <v/>
      </c>
      <c r="L72" s="5"/>
    </row>
    <row r="73" spans="1:12" x14ac:dyDescent="0.3">
      <c r="A73" s="6"/>
      <c r="B73" s="5"/>
      <c r="C73" s="5"/>
      <c r="D73" s="7"/>
      <c r="E73" s="7"/>
      <c r="F73" s="8" t="str">
        <f t="shared" si="1"/>
        <v/>
      </c>
      <c r="G73" s="5"/>
      <c r="H73" s="5"/>
      <c r="I73" s="5"/>
      <c r="J73" s="5"/>
      <c r="K73" s="9" t="str">
        <f>IF(A73="","",IF(I73&lt;&gt;"",IF(COUNTIF(AGENDA_BANCARIA!$B$5:$B$2000,I73)&gt;0,"Vinculado","ID não encontrado"),"Sem vínculo"))</f>
        <v/>
      </c>
      <c r="L73" s="5"/>
    </row>
    <row r="74" spans="1:12" x14ac:dyDescent="0.3">
      <c r="A74" s="6"/>
      <c r="B74" s="5"/>
      <c r="C74" s="5"/>
      <c r="D74" s="7"/>
      <c r="E74" s="7"/>
      <c r="F74" s="8" t="str">
        <f t="shared" si="1"/>
        <v/>
      </c>
      <c r="G74" s="5"/>
      <c r="H74" s="5"/>
      <c r="I74" s="5"/>
      <c r="J74" s="5"/>
      <c r="K74" s="9" t="str">
        <f>IF(A74="","",IF(I74&lt;&gt;"",IF(COUNTIF(AGENDA_BANCARIA!$B$5:$B$2000,I74)&gt;0,"Vinculado","ID não encontrado"),"Sem vínculo"))</f>
        <v/>
      </c>
      <c r="L74" s="5"/>
    </row>
    <row r="75" spans="1:12" x14ac:dyDescent="0.3">
      <c r="A75" s="6"/>
      <c r="B75" s="5"/>
      <c r="C75" s="5"/>
      <c r="D75" s="7"/>
      <c r="E75" s="7"/>
      <c r="F75" s="8" t="str">
        <f t="shared" si="1"/>
        <v/>
      </c>
      <c r="G75" s="5"/>
      <c r="H75" s="5"/>
      <c r="I75" s="5"/>
      <c r="J75" s="5"/>
      <c r="K75" s="9" t="str">
        <f>IF(A75="","",IF(I75&lt;&gt;"",IF(COUNTIF(AGENDA_BANCARIA!$B$5:$B$2000,I75)&gt;0,"Vinculado","ID não encontrado"),"Sem vínculo"))</f>
        <v/>
      </c>
      <c r="L75" s="5"/>
    </row>
    <row r="76" spans="1:12" x14ac:dyDescent="0.3">
      <c r="A76" s="6"/>
      <c r="B76" s="5"/>
      <c r="C76" s="5"/>
      <c r="D76" s="7"/>
      <c r="E76" s="7"/>
      <c r="F76" s="8" t="str">
        <f t="shared" si="1"/>
        <v/>
      </c>
      <c r="G76" s="5"/>
      <c r="H76" s="5"/>
      <c r="I76" s="5"/>
      <c r="J76" s="5"/>
      <c r="K76" s="9" t="str">
        <f>IF(A76="","",IF(I76&lt;&gt;"",IF(COUNTIF(AGENDA_BANCARIA!$B$5:$B$2000,I76)&gt;0,"Vinculado","ID não encontrado"),"Sem vínculo"))</f>
        <v/>
      </c>
      <c r="L76" s="5"/>
    </row>
    <row r="77" spans="1:12" x14ac:dyDescent="0.3">
      <c r="A77" s="6"/>
      <c r="B77" s="5"/>
      <c r="C77" s="5"/>
      <c r="D77" s="7"/>
      <c r="E77" s="7"/>
      <c r="F77" s="8" t="str">
        <f t="shared" si="1"/>
        <v/>
      </c>
      <c r="G77" s="5"/>
      <c r="H77" s="5"/>
      <c r="I77" s="5"/>
      <c r="J77" s="5"/>
      <c r="K77" s="9" t="str">
        <f>IF(A77="","",IF(I77&lt;&gt;"",IF(COUNTIF(AGENDA_BANCARIA!$B$5:$B$2000,I77)&gt;0,"Vinculado","ID não encontrado"),"Sem vínculo"))</f>
        <v/>
      </c>
      <c r="L77" s="5"/>
    </row>
    <row r="78" spans="1:12" x14ac:dyDescent="0.3">
      <c r="A78" s="6"/>
      <c r="B78" s="5"/>
      <c r="C78" s="5"/>
      <c r="D78" s="7"/>
      <c r="E78" s="7"/>
      <c r="F78" s="8" t="str">
        <f t="shared" si="1"/>
        <v/>
      </c>
      <c r="G78" s="5"/>
      <c r="H78" s="5"/>
      <c r="I78" s="5"/>
      <c r="J78" s="5"/>
      <c r="K78" s="9" t="str">
        <f>IF(A78="","",IF(I78&lt;&gt;"",IF(COUNTIF(AGENDA_BANCARIA!$B$5:$B$2000,I78)&gt;0,"Vinculado","ID não encontrado"),"Sem vínculo"))</f>
        <v/>
      </c>
      <c r="L78" s="5"/>
    </row>
    <row r="79" spans="1:12" x14ac:dyDescent="0.3">
      <c r="A79" s="6"/>
      <c r="B79" s="5"/>
      <c r="C79" s="5"/>
      <c r="D79" s="7"/>
      <c r="E79" s="7"/>
      <c r="F79" s="8" t="str">
        <f t="shared" si="1"/>
        <v/>
      </c>
      <c r="G79" s="5"/>
      <c r="H79" s="5"/>
      <c r="I79" s="5"/>
      <c r="J79" s="5"/>
      <c r="K79" s="9" t="str">
        <f>IF(A79="","",IF(I79&lt;&gt;"",IF(COUNTIF(AGENDA_BANCARIA!$B$5:$B$2000,I79)&gt;0,"Vinculado","ID não encontrado"),"Sem vínculo"))</f>
        <v/>
      </c>
      <c r="L79" s="5"/>
    </row>
    <row r="80" spans="1:12" x14ac:dyDescent="0.3">
      <c r="A80" s="6"/>
      <c r="B80" s="5"/>
      <c r="C80" s="5"/>
      <c r="D80" s="7"/>
      <c r="E80" s="7"/>
      <c r="F80" s="8" t="str">
        <f t="shared" si="1"/>
        <v/>
      </c>
      <c r="G80" s="5"/>
      <c r="H80" s="5"/>
      <c r="I80" s="5"/>
      <c r="J80" s="5"/>
      <c r="K80" s="9" t="str">
        <f>IF(A80="","",IF(I80&lt;&gt;"",IF(COUNTIF(AGENDA_BANCARIA!$B$5:$B$2000,I80)&gt;0,"Vinculado","ID não encontrado"),"Sem vínculo"))</f>
        <v/>
      </c>
      <c r="L80" s="5"/>
    </row>
    <row r="81" spans="1:12" x14ac:dyDescent="0.3">
      <c r="A81" s="6"/>
      <c r="B81" s="5"/>
      <c r="C81" s="5"/>
      <c r="D81" s="7"/>
      <c r="E81" s="7"/>
      <c r="F81" s="8" t="str">
        <f t="shared" si="1"/>
        <v/>
      </c>
      <c r="G81" s="5"/>
      <c r="H81" s="5"/>
      <c r="I81" s="5"/>
      <c r="J81" s="5"/>
      <c r="K81" s="9" t="str">
        <f>IF(A81="","",IF(I81&lt;&gt;"",IF(COUNTIF(AGENDA_BANCARIA!$B$5:$B$2000,I81)&gt;0,"Vinculado","ID não encontrado"),"Sem vínculo"))</f>
        <v/>
      </c>
      <c r="L81" s="5"/>
    </row>
    <row r="82" spans="1:12" x14ac:dyDescent="0.3">
      <c r="A82" s="6"/>
      <c r="B82" s="5"/>
      <c r="C82" s="5"/>
      <c r="D82" s="7"/>
      <c r="E82" s="7"/>
      <c r="F82" s="8" t="str">
        <f t="shared" si="1"/>
        <v/>
      </c>
      <c r="G82" s="5"/>
      <c r="H82" s="5"/>
      <c r="I82" s="5"/>
      <c r="J82" s="5"/>
      <c r="K82" s="9" t="str">
        <f>IF(A82="","",IF(I82&lt;&gt;"",IF(COUNTIF(AGENDA_BANCARIA!$B$5:$B$2000,I82)&gt;0,"Vinculado","ID não encontrado"),"Sem vínculo"))</f>
        <v/>
      </c>
      <c r="L82" s="5"/>
    </row>
    <row r="83" spans="1:12" x14ac:dyDescent="0.3">
      <c r="A83" s="6"/>
      <c r="B83" s="5"/>
      <c r="C83" s="5"/>
      <c r="D83" s="7"/>
      <c r="E83" s="7"/>
      <c r="F83" s="8" t="str">
        <f t="shared" si="1"/>
        <v/>
      </c>
      <c r="G83" s="5"/>
      <c r="H83" s="5"/>
      <c r="I83" s="5"/>
      <c r="J83" s="5"/>
      <c r="K83" s="9" t="str">
        <f>IF(A83="","",IF(I83&lt;&gt;"",IF(COUNTIF(AGENDA_BANCARIA!$B$5:$B$2000,I83)&gt;0,"Vinculado","ID não encontrado"),"Sem vínculo"))</f>
        <v/>
      </c>
      <c r="L83" s="5"/>
    </row>
    <row r="84" spans="1:12" x14ac:dyDescent="0.3">
      <c r="A84" s="6"/>
      <c r="B84" s="5"/>
      <c r="C84" s="5"/>
      <c r="D84" s="7"/>
      <c r="E84" s="7"/>
      <c r="F84" s="8" t="str">
        <f t="shared" si="1"/>
        <v/>
      </c>
      <c r="G84" s="5"/>
      <c r="H84" s="5"/>
      <c r="I84" s="5"/>
      <c r="J84" s="5"/>
      <c r="K84" s="9" t="str">
        <f>IF(A84="","",IF(I84&lt;&gt;"",IF(COUNTIF(AGENDA_BANCARIA!$B$5:$B$2000,I84)&gt;0,"Vinculado","ID não encontrado"),"Sem vínculo"))</f>
        <v/>
      </c>
      <c r="L84" s="5"/>
    </row>
    <row r="85" spans="1:12" x14ac:dyDescent="0.3">
      <c r="A85" s="6"/>
      <c r="B85" s="5"/>
      <c r="C85" s="5"/>
      <c r="D85" s="7"/>
      <c r="E85" s="7"/>
      <c r="F85" s="8" t="str">
        <f t="shared" si="1"/>
        <v/>
      </c>
      <c r="G85" s="5"/>
      <c r="H85" s="5"/>
      <c r="I85" s="5"/>
      <c r="J85" s="5"/>
      <c r="K85" s="9" t="str">
        <f>IF(A85="","",IF(I85&lt;&gt;"",IF(COUNTIF(AGENDA_BANCARIA!$B$5:$B$2000,I85)&gt;0,"Vinculado","ID não encontrado"),"Sem vínculo"))</f>
        <v/>
      </c>
      <c r="L85" s="5"/>
    </row>
    <row r="86" spans="1:12" x14ac:dyDescent="0.3">
      <c r="A86" s="6"/>
      <c r="B86" s="5"/>
      <c r="C86" s="5"/>
      <c r="D86" s="7"/>
      <c r="E86" s="7"/>
      <c r="F86" s="8" t="str">
        <f t="shared" si="1"/>
        <v/>
      </c>
      <c r="G86" s="5"/>
      <c r="H86" s="5"/>
      <c r="I86" s="5"/>
      <c r="J86" s="5"/>
      <c r="K86" s="9" t="str">
        <f>IF(A86="","",IF(I86&lt;&gt;"",IF(COUNTIF(AGENDA_BANCARIA!$B$5:$B$2000,I86)&gt;0,"Vinculado","ID não encontrado"),"Sem vínculo"))</f>
        <v/>
      </c>
      <c r="L86" s="5"/>
    </row>
    <row r="87" spans="1:12" x14ac:dyDescent="0.3">
      <c r="A87" s="6"/>
      <c r="B87" s="5"/>
      <c r="C87" s="5"/>
      <c r="D87" s="7"/>
      <c r="E87" s="7"/>
      <c r="F87" s="8" t="str">
        <f t="shared" si="1"/>
        <v/>
      </c>
      <c r="G87" s="5"/>
      <c r="H87" s="5"/>
      <c r="I87" s="5"/>
      <c r="J87" s="5"/>
      <c r="K87" s="9" t="str">
        <f>IF(A87="","",IF(I87&lt;&gt;"",IF(COUNTIF(AGENDA_BANCARIA!$B$5:$B$2000,I87)&gt;0,"Vinculado","ID não encontrado"),"Sem vínculo"))</f>
        <v/>
      </c>
      <c r="L87" s="5"/>
    </row>
    <row r="88" spans="1:12" x14ac:dyDescent="0.3">
      <c r="A88" s="6"/>
      <c r="B88" s="5"/>
      <c r="C88" s="5"/>
      <c r="D88" s="7"/>
      <c r="E88" s="7"/>
      <c r="F88" s="8" t="str">
        <f t="shared" si="1"/>
        <v/>
      </c>
      <c r="G88" s="5"/>
      <c r="H88" s="5"/>
      <c r="I88" s="5"/>
      <c r="J88" s="5"/>
      <c r="K88" s="9" t="str">
        <f>IF(A88="","",IF(I88&lt;&gt;"",IF(COUNTIF(AGENDA_BANCARIA!$B$5:$B$2000,I88)&gt;0,"Vinculado","ID não encontrado"),"Sem vínculo"))</f>
        <v/>
      </c>
      <c r="L88" s="5"/>
    </row>
    <row r="89" spans="1:12" x14ac:dyDescent="0.3">
      <c r="A89" s="6"/>
      <c r="B89" s="5"/>
      <c r="C89" s="5"/>
      <c r="D89" s="7"/>
      <c r="E89" s="7"/>
      <c r="F89" s="8" t="str">
        <f t="shared" si="1"/>
        <v/>
      </c>
      <c r="G89" s="5"/>
      <c r="H89" s="5"/>
      <c r="I89" s="5"/>
      <c r="J89" s="5"/>
      <c r="K89" s="9" t="str">
        <f>IF(A89="","",IF(I89&lt;&gt;"",IF(COUNTIF(AGENDA_BANCARIA!$B$5:$B$2000,I89)&gt;0,"Vinculado","ID não encontrado"),"Sem vínculo"))</f>
        <v/>
      </c>
      <c r="L89" s="5"/>
    </row>
    <row r="90" spans="1:12" x14ac:dyDescent="0.3">
      <c r="A90" s="6"/>
      <c r="B90" s="5"/>
      <c r="C90" s="5"/>
      <c r="D90" s="7"/>
      <c r="E90" s="7"/>
      <c r="F90" s="8" t="str">
        <f t="shared" si="1"/>
        <v/>
      </c>
      <c r="G90" s="5"/>
      <c r="H90" s="5"/>
      <c r="I90" s="5"/>
      <c r="J90" s="5"/>
      <c r="K90" s="9" t="str">
        <f>IF(A90="","",IF(I90&lt;&gt;"",IF(COUNTIF(AGENDA_BANCARIA!$B$5:$B$2000,I90)&gt;0,"Vinculado","ID não encontrado"),"Sem vínculo"))</f>
        <v/>
      </c>
      <c r="L90" s="5"/>
    </row>
    <row r="91" spans="1:12" x14ac:dyDescent="0.3">
      <c r="A91" s="6"/>
      <c r="B91" s="5"/>
      <c r="C91" s="5"/>
      <c r="D91" s="7"/>
      <c r="E91" s="7"/>
      <c r="F91" s="8" t="str">
        <f t="shared" si="1"/>
        <v/>
      </c>
      <c r="G91" s="5"/>
      <c r="H91" s="5"/>
      <c r="I91" s="5"/>
      <c r="J91" s="5"/>
      <c r="K91" s="9" t="str">
        <f>IF(A91="","",IF(I91&lt;&gt;"",IF(COUNTIF(AGENDA_BANCARIA!$B$5:$B$2000,I91)&gt;0,"Vinculado","ID não encontrado"),"Sem vínculo"))</f>
        <v/>
      </c>
      <c r="L91" s="5"/>
    </row>
    <row r="92" spans="1:12" x14ac:dyDescent="0.3">
      <c r="A92" s="6"/>
      <c r="B92" s="5"/>
      <c r="C92" s="5"/>
      <c r="D92" s="7"/>
      <c r="E92" s="7"/>
      <c r="F92" s="8" t="str">
        <f t="shared" si="1"/>
        <v/>
      </c>
      <c r="G92" s="5"/>
      <c r="H92" s="5"/>
      <c r="I92" s="5"/>
      <c r="J92" s="5"/>
      <c r="K92" s="9" t="str">
        <f>IF(A92="","",IF(I92&lt;&gt;"",IF(COUNTIF(AGENDA_BANCARIA!$B$5:$B$2000,I92)&gt;0,"Vinculado","ID não encontrado"),"Sem vínculo"))</f>
        <v/>
      </c>
      <c r="L92" s="5"/>
    </row>
    <row r="93" spans="1:12" x14ac:dyDescent="0.3">
      <c r="A93" s="6"/>
      <c r="B93" s="5"/>
      <c r="C93" s="5"/>
      <c r="D93" s="7"/>
      <c r="E93" s="7"/>
      <c r="F93" s="8" t="str">
        <f t="shared" si="1"/>
        <v/>
      </c>
      <c r="G93" s="5"/>
      <c r="H93" s="5"/>
      <c r="I93" s="5"/>
      <c r="J93" s="5"/>
      <c r="K93" s="9" t="str">
        <f>IF(A93="","",IF(I93&lt;&gt;"",IF(COUNTIF(AGENDA_BANCARIA!$B$5:$B$2000,I93)&gt;0,"Vinculado","ID não encontrado"),"Sem vínculo"))</f>
        <v/>
      </c>
      <c r="L93" s="5"/>
    </row>
    <row r="94" spans="1:12" x14ac:dyDescent="0.3">
      <c r="A94" s="6"/>
      <c r="B94" s="5"/>
      <c r="C94" s="5"/>
      <c r="D94" s="7"/>
      <c r="E94" s="7"/>
      <c r="F94" s="8" t="str">
        <f t="shared" si="1"/>
        <v/>
      </c>
      <c r="G94" s="5"/>
      <c r="H94" s="5"/>
      <c r="I94" s="5"/>
      <c r="J94" s="5"/>
      <c r="K94" s="9" t="str">
        <f>IF(A94="","",IF(I94&lt;&gt;"",IF(COUNTIF(AGENDA_BANCARIA!$B$5:$B$2000,I94)&gt;0,"Vinculado","ID não encontrado"),"Sem vínculo"))</f>
        <v/>
      </c>
      <c r="L94" s="5"/>
    </row>
    <row r="95" spans="1:12" x14ac:dyDescent="0.3">
      <c r="A95" s="6"/>
      <c r="B95" s="5"/>
      <c r="C95" s="5"/>
      <c r="D95" s="7"/>
      <c r="E95" s="7"/>
      <c r="F95" s="8" t="str">
        <f t="shared" si="1"/>
        <v/>
      </c>
      <c r="G95" s="5"/>
      <c r="H95" s="5"/>
      <c r="I95" s="5"/>
      <c r="J95" s="5"/>
      <c r="K95" s="9" t="str">
        <f>IF(A95="","",IF(I95&lt;&gt;"",IF(COUNTIF(AGENDA_BANCARIA!$B$5:$B$2000,I95)&gt;0,"Vinculado","ID não encontrado"),"Sem vínculo"))</f>
        <v/>
      </c>
      <c r="L95" s="5"/>
    </row>
    <row r="96" spans="1:12" x14ac:dyDescent="0.3">
      <c r="A96" s="6"/>
      <c r="B96" s="5"/>
      <c r="C96" s="5"/>
      <c r="D96" s="7"/>
      <c r="E96" s="7"/>
      <c r="F96" s="8" t="str">
        <f t="shared" si="1"/>
        <v/>
      </c>
      <c r="G96" s="5"/>
      <c r="H96" s="5"/>
      <c r="I96" s="5"/>
      <c r="J96" s="5"/>
      <c r="K96" s="9" t="str">
        <f>IF(A96="","",IF(I96&lt;&gt;"",IF(COUNTIF(AGENDA_BANCARIA!$B$5:$B$2000,I96)&gt;0,"Vinculado","ID não encontrado"),"Sem vínculo"))</f>
        <v/>
      </c>
      <c r="L96" s="5"/>
    </row>
    <row r="97" spans="1:12" x14ac:dyDescent="0.3">
      <c r="A97" s="6"/>
      <c r="B97" s="5"/>
      <c r="C97" s="5"/>
      <c r="D97" s="7"/>
      <c r="E97" s="7"/>
      <c r="F97" s="8" t="str">
        <f t="shared" si="1"/>
        <v/>
      </c>
      <c r="G97" s="5"/>
      <c r="H97" s="5"/>
      <c r="I97" s="5"/>
      <c r="J97" s="5"/>
      <c r="K97" s="9" t="str">
        <f>IF(A97="","",IF(I97&lt;&gt;"",IF(COUNTIF(AGENDA_BANCARIA!$B$5:$B$2000,I97)&gt;0,"Vinculado","ID não encontrado"),"Sem vínculo"))</f>
        <v/>
      </c>
      <c r="L97" s="5"/>
    </row>
    <row r="98" spans="1:12" x14ac:dyDescent="0.3">
      <c r="A98" s="6"/>
      <c r="B98" s="5"/>
      <c r="C98" s="5"/>
      <c r="D98" s="7"/>
      <c r="E98" s="7"/>
      <c r="F98" s="8" t="str">
        <f t="shared" si="1"/>
        <v/>
      </c>
      <c r="G98" s="5"/>
      <c r="H98" s="5"/>
      <c r="I98" s="5"/>
      <c r="J98" s="5"/>
      <c r="K98" s="9" t="str">
        <f>IF(A98="","",IF(I98&lt;&gt;"",IF(COUNTIF(AGENDA_BANCARIA!$B$5:$B$2000,I98)&gt;0,"Vinculado","ID não encontrado"),"Sem vínculo"))</f>
        <v/>
      </c>
      <c r="L98" s="5"/>
    </row>
    <row r="99" spans="1:12" x14ac:dyDescent="0.3">
      <c r="A99" s="6"/>
      <c r="B99" s="5"/>
      <c r="C99" s="5"/>
      <c r="D99" s="7"/>
      <c r="E99" s="7"/>
      <c r="F99" s="8" t="str">
        <f t="shared" si="1"/>
        <v/>
      </c>
      <c r="G99" s="5"/>
      <c r="H99" s="5"/>
      <c r="I99" s="5"/>
      <c r="J99" s="5"/>
      <c r="K99" s="9" t="str">
        <f>IF(A99="","",IF(I99&lt;&gt;"",IF(COUNTIF(AGENDA_BANCARIA!$B$5:$B$2000,I99)&gt;0,"Vinculado","ID não encontrado"),"Sem vínculo"))</f>
        <v/>
      </c>
      <c r="L99" s="5"/>
    </row>
    <row r="100" spans="1:12" x14ac:dyDescent="0.3">
      <c r="A100" s="6"/>
      <c r="B100" s="5"/>
      <c r="C100" s="5"/>
      <c r="D100" s="7"/>
      <c r="E100" s="7"/>
      <c r="F100" s="8" t="str">
        <f t="shared" si="1"/>
        <v/>
      </c>
      <c r="G100" s="5"/>
      <c r="H100" s="5"/>
      <c r="I100" s="5"/>
      <c r="J100" s="5"/>
      <c r="K100" s="9" t="str">
        <f>IF(A100="","",IF(I100&lt;&gt;"",IF(COUNTIF(AGENDA_BANCARIA!$B$5:$B$2000,I100)&gt;0,"Vinculado","ID não encontrado"),"Sem vínculo"))</f>
        <v/>
      </c>
      <c r="L100" s="5"/>
    </row>
    <row r="101" spans="1:12" x14ac:dyDescent="0.3">
      <c r="A101" s="6"/>
      <c r="B101" s="5"/>
      <c r="C101" s="5"/>
      <c r="D101" s="7"/>
      <c r="E101" s="7"/>
      <c r="F101" s="8" t="str">
        <f t="shared" si="1"/>
        <v/>
      </c>
      <c r="G101" s="5"/>
      <c r="H101" s="5"/>
      <c r="I101" s="5"/>
      <c r="J101" s="5"/>
      <c r="K101" s="9" t="str">
        <f>IF(A101="","",IF(I101&lt;&gt;"",IF(COUNTIF(AGENDA_BANCARIA!$B$5:$B$2000,I101)&gt;0,"Vinculado","ID não encontrado"),"Sem vínculo"))</f>
        <v/>
      </c>
      <c r="L101" s="5"/>
    </row>
    <row r="102" spans="1:12" x14ac:dyDescent="0.3">
      <c r="A102" s="6"/>
      <c r="B102" s="5"/>
      <c r="C102" s="5"/>
      <c r="D102" s="7"/>
      <c r="E102" s="7"/>
      <c r="F102" s="8" t="str">
        <f t="shared" si="1"/>
        <v/>
      </c>
      <c r="G102" s="5"/>
      <c r="H102" s="5"/>
      <c r="I102" s="5"/>
      <c r="J102" s="5"/>
      <c r="K102" s="9" t="str">
        <f>IF(A102="","",IF(I102&lt;&gt;"",IF(COUNTIF(AGENDA_BANCARIA!$B$5:$B$2000,I102)&gt;0,"Vinculado","ID não encontrado"),"Sem vínculo"))</f>
        <v/>
      </c>
      <c r="L102" s="5"/>
    </row>
    <row r="103" spans="1:12" x14ac:dyDescent="0.3">
      <c r="A103" s="6"/>
      <c r="B103" s="5"/>
      <c r="C103" s="5"/>
      <c r="D103" s="7"/>
      <c r="E103" s="7"/>
      <c r="F103" s="8" t="str">
        <f t="shared" si="1"/>
        <v/>
      </c>
      <c r="G103" s="5"/>
      <c r="H103" s="5"/>
      <c r="I103" s="5"/>
      <c r="J103" s="5"/>
      <c r="K103" s="9" t="str">
        <f>IF(A103="","",IF(I103&lt;&gt;"",IF(COUNTIF(AGENDA_BANCARIA!$B$5:$B$2000,I103)&gt;0,"Vinculado","ID não encontrado"),"Sem vínculo"))</f>
        <v/>
      </c>
      <c r="L103" s="5"/>
    </row>
    <row r="104" spans="1:12" x14ac:dyDescent="0.3">
      <c r="A104" s="6"/>
      <c r="B104" s="5"/>
      <c r="C104" s="5"/>
      <c r="D104" s="7"/>
      <c r="E104" s="7"/>
      <c r="F104" s="8" t="str">
        <f t="shared" si="1"/>
        <v/>
      </c>
      <c r="G104" s="5"/>
      <c r="H104" s="5"/>
      <c r="I104" s="5"/>
      <c r="J104" s="5"/>
      <c r="K104" s="9" t="str">
        <f>IF(A104="","",IF(I104&lt;&gt;"",IF(COUNTIF(AGENDA_BANCARIA!$B$5:$B$2000,I104)&gt;0,"Vinculado","ID não encontrado"),"Sem vínculo"))</f>
        <v/>
      </c>
      <c r="L104" s="5"/>
    </row>
    <row r="105" spans="1:12" x14ac:dyDescent="0.3">
      <c r="A105" s="6"/>
      <c r="B105" s="5"/>
      <c r="C105" s="5"/>
      <c r="D105" s="7"/>
      <c r="E105" s="7"/>
      <c r="F105" s="8" t="str">
        <f t="shared" si="1"/>
        <v/>
      </c>
      <c r="G105" s="5"/>
      <c r="H105" s="5"/>
      <c r="I105" s="5"/>
      <c r="J105" s="5"/>
      <c r="K105" s="9" t="str">
        <f>IF(A105="","",IF(I105&lt;&gt;"",IF(COUNTIF(AGENDA_BANCARIA!$B$5:$B$2000,I105)&gt;0,"Vinculado","ID não encontrado"),"Sem vínculo"))</f>
        <v/>
      </c>
      <c r="L105" s="5"/>
    </row>
    <row r="106" spans="1:12" x14ac:dyDescent="0.3">
      <c r="A106" s="6"/>
      <c r="B106" s="5"/>
      <c r="C106" s="5"/>
      <c r="D106" s="7"/>
      <c r="E106" s="7"/>
      <c r="F106" s="8" t="str">
        <f t="shared" si="1"/>
        <v/>
      </c>
      <c r="G106" s="5"/>
      <c r="H106" s="5"/>
      <c r="I106" s="5"/>
      <c r="J106" s="5"/>
      <c r="K106" s="9" t="str">
        <f>IF(A106="","",IF(I106&lt;&gt;"",IF(COUNTIF(AGENDA_BANCARIA!$B$5:$B$2000,I106)&gt;0,"Vinculado","ID não encontrado"),"Sem vínculo"))</f>
        <v/>
      </c>
      <c r="L106" s="5"/>
    </row>
    <row r="107" spans="1:12" x14ac:dyDescent="0.3">
      <c r="A107" s="6"/>
      <c r="B107" s="5"/>
      <c r="C107" s="5"/>
      <c r="D107" s="7"/>
      <c r="E107" s="7"/>
      <c r="F107" s="8" t="str">
        <f t="shared" si="1"/>
        <v/>
      </c>
      <c r="G107" s="5"/>
      <c r="H107" s="5"/>
      <c r="I107" s="5"/>
      <c r="J107" s="5"/>
      <c r="K107" s="9" t="str">
        <f>IF(A107="","",IF(I107&lt;&gt;"",IF(COUNTIF(AGENDA_BANCARIA!$B$5:$B$2000,I107)&gt;0,"Vinculado","ID não encontrado"),"Sem vínculo"))</f>
        <v/>
      </c>
      <c r="L107" s="5"/>
    </row>
    <row r="108" spans="1:12" x14ac:dyDescent="0.3">
      <c r="A108" s="6"/>
      <c r="B108" s="5"/>
      <c r="C108" s="5"/>
      <c r="D108" s="7"/>
      <c r="E108" s="7"/>
      <c r="F108" s="8" t="str">
        <f t="shared" si="1"/>
        <v/>
      </c>
      <c r="G108" s="5"/>
      <c r="H108" s="5"/>
      <c r="I108" s="5"/>
      <c r="J108" s="5"/>
      <c r="K108" s="9" t="str">
        <f>IF(A108="","",IF(I108&lt;&gt;"",IF(COUNTIF(AGENDA_BANCARIA!$B$5:$B$2000,I108)&gt;0,"Vinculado","ID não encontrado"),"Sem vínculo"))</f>
        <v/>
      </c>
      <c r="L108" s="5"/>
    </row>
    <row r="109" spans="1:12" x14ac:dyDescent="0.3">
      <c r="A109" s="6"/>
      <c r="B109" s="5"/>
      <c r="C109" s="5"/>
      <c r="D109" s="7"/>
      <c r="E109" s="7"/>
      <c r="F109" s="8" t="str">
        <f t="shared" si="1"/>
        <v/>
      </c>
      <c r="G109" s="5"/>
      <c r="H109" s="5"/>
      <c r="I109" s="5"/>
      <c r="J109" s="5"/>
      <c r="K109" s="9" t="str">
        <f>IF(A109="","",IF(I109&lt;&gt;"",IF(COUNTIF(AGENDA_BANCARIA!$B$5:$B$2000,I109)&gt;0,"Vinculado","ID não encontrado"),"Sem vínculo"))</f>
        <v/>
      </c>
      <c r="L109" s="5"/>
    </row>
    <row r="110" spans="1:12" x14ac:dyDescent="0.3">
      <c r="A110" s="6"/>
      <c r="B110" s="5"/>
      <c r="C110" s="5"/>
      <c r="D110" s="7"/>
      <c r="E110" s="7"/>
      <c r="F110" s="8" t="str">
        <f t="shared" si="1"/>
        <v/>
      </c>
      <c r="G110" s="5"/>
      <c r="H110" s="5"/>
      <c r="I110" s="5"/>
      <c r="J110" s="5"/>
      <c r="K110" s="9" t="str">
        <f>IF(A110="","",IF(I110&lt;&gt;"",IF(COUNTIF(AGENDA_BANCARIA!$B$5:$B$2000,I110)&gt;0,"Vinculado","ID não encontrado"),"Sem vínculo"))</f>
        <v/>
      </c>
      <c r="L110" s="5"/>
    </row>
    <row r="111" spans="1:12" x14ac:dyDescent="0.3">
      <c r="A111" s="6"/>
      <c r="B111" s="5"/>
      <c r="C111" s="5"/>
      <c r="D111" s="7"/>
      <c r="E111" s="7"/>
      <c r="F111" s="8" t="str">
        <f t="shared" si="1"/>
        <v/>
      </c>
      <c r="G111" s="5"/>
      <c r="H111" s="5"/>
      <c r="I111" s="5"/>
      <c r="J111" s="5"/>
      <c r="K111" s="9" t="str">
        <f>IF(A111="","",IF(I111&lt;&gt;"",IF(COUNTIF(AGENDA_BANCARIA!$B$5:$B$2000,I111)&gt;0,"Vinculado","ID não encontrado"),"Sem vínculo"))</f>
        <v/>
      </c>
      <c r="L111" s="5"/>
    </row>
    <row r="112" spans="1:12" x14ac:dyDescent="0.3">
      <c r="A112" s="6"/>
      <c r="B112" s="5"/>
      <c r="C112" s="5"/>
      <c r="D112" s="7"/>
      <c r="E112" s="7"/>
      <c r="F112" s="8" t="str">
        <f t="shared" si="1"/>
        <v/>
      </c>
      <c r="G112" s="5"/>
      <c r="H112" s="5"/>
      <c r="I112" s="5"/>
      <c r="J112" s="5"/>
      <c r="K112" s="9" t="str">
        <f>IF(A112="","",IF(I112&lt;&gt;"",IF(COUNTIF(AGENDA_BANCARIA!$B$5:$B$2000,I112)&gt;0,"Vinculado","ID não encontrado"),"Sem vínculo"))</f>
        <v/>
      </c>
      <c r="L112" s="5"/>
    </row>
    <row r="113" spans="1:12" x14ac:dyDescent="0.3">
      <c r="A113" s="6"/>
      <c r="B113" s="5"/>
      <c r="C113" s="5"/>
      <c r="D113" s="7"/>
      <c r="E113" s="7"/>
      <c r="F113" s="8" t="str">
        <f t="shared" si="1"/>
        <v/>
      </c>
      <c r="G113" s="5"/>
      <c r="H113" s="5"/>
      <c r="I113" s="5"/>
      <c r="J113" s="5"/>
      <c r="K113" s="9" t="str">
        <f>IF(A113="","",IF(I113&lt;&gt;"",IF(COUNTIF(AGENDA_BANCARIA!$B$5:$B$2000,I113)&gt;0,"Vinculado","ID não encontrado"),"Sem vínculo"))</f>
        <v/>
      </c>
      <c r="L113" s="5"/>
    </row>
    <row r="114" spans="1:12" x14ac:dyDescent="0.3">
      <c r="A114" s="6"/>
      <c r="B114" s="5"/>
      <c r="C114" s="5"/>
      <c r="D114" s="7"/>
      <c r="E114" s="7"/>
      <c r="F114" s="8" t="str">
        <f t="shared" si="1"/>
        <v/>
      </c>
      <c r="G114" s="5"/>
      <c r="H114" s="5"/>
      <c r="I114" s="5"/>
      <c r="J114" s="5"/>
      <c r="K114" s="9" t="str">
        <f>IF(A114="","",IF(I114&lt;&gt;"",IF(COUNTIF(AGENDA_BANCARIA!$B$5:$B$2000,I114)&gt;0,"Vinculado","ID não encontrado"),"Sem vínculo"))</f>
        <v/>
      </c>
      <c r="L114" s="5"/>
    </row>
    <row r="115" spans="1:12" x14ac:dyDescent="0.3">
      <c r="A115" s="6"/>
      <c r="B115" s="5"/>
      <c r="C115" s="5"/>
      <c r="D115" s="7"/>
      <c r="E115" s="7"/>
      <c r="F115" s="8" t="str">
        <f t="shared" si="1"/>
        <v/>
      </c>
      <c r="G115" s="5"/>
      <c r="H115" s="5"/>
      <c r="I115" s="5"/>
      <c r="J115" s="5"/>
      <c r="K115" s="9" t="str">
        <f>IF(A115="","",IF(I115&lt;&gt;"",IF(COUNTIF(AGENDA_BANCARIA!$B$5:$B$2000,I115)&gt;0,"Vinculado","ID não encontrado"),"Sem vínculo"))</f>
        <v/>
      </c>
      <c r="L115" s="5"/>
    </row>
    <row r="116" spans="1:12" x14ac:dyDescent="0.3">
      <c r="A116" s="6"/>
      <c r="B116" s="5"/>
      <c r="C116" s="5"/>
      <c r="D116" s="7"/>
      <c r="E116" s="7"/>
      <c r="F116" s="8" t="str">
        <f t="shared" si="1"/>
        <v/>
      </c>
      <c r="G116" s="5"/>
      <c r="H116" s="5"/>
      <c r="I116" s="5"/>
      <c r="J116" s="5"/>
      <c r="K116" s="9" t="str">
        <f>IF(A116="","",IF(I116&lt;&gt;"",IF(COUNTIF(AGENDA_BANCARIA!$B$5:$B$2000,I116)&gt;0,"Vinculado","ID não encontrado"),"Sem vínculo"))</f>
        <v/>
      </c>
      <c r="L116" s="5"/>
    </row>
    <row r="117" spans="1:12" x14ac:dyDescent="0.3">
      <c r="A117" s="6"/>
      <c r="B117" s="5"/>
      <c r="C117" s="5"/>
      <c r="D117" s="7"/>
      <c r="E117" s="7"/>
      <c r="F117" s="8" t="str">
        <f t="shared" si="1"/>
        <v/>
      </c>
      <c r="G117" s="5"/>
      <c r="H117" s="5"/>
      <c r="I117" s="5"/>
      <c r="J117" s="5"/>
      <c r="K117" s="9" t="str">
        <f>IF(A117="","",IF(I117&lt;&gt;"",IF(COUNTIF(AGENDA_BANCARIA!$B$5:$B$2000,I117)&gt;0,"Vinculado","ID não encontrado"),"Sem vínculo"))</f>
        <v/>
      </c>
      <c r="L117" s="5"/>
    </row>
    <row r="118" spans="1:12" x14ac:dyDescent="0.3">
      <c r="A118" s="6"/>
      <c r="B118" s="5"/>
      <c r="C118" s="5"/>
      <c r="D118" s="7"/>
      <c r="E118" s="7"/>
      <c r="F118" s="8" t="str">
        <f t="shared" si="1"/>
        <v/>
      </c>
      <c r="G118" s="5"/>
      <c r="H118" s="5"/>
      <c r="I118" s="5"/>
      <c r="J118" s="5"/>
      <c r="K118" s="9" t="str">
        <f>IF(A118="","",IF(I118&lt;&gt;"",IF(COUNTIF(AGENDA_BANCARIA!$B$5:$B$2000,I118)&gt;0,"Vinculado","ID não encontrado"),"Sem vínculo"))</f>
        <v/>
      </c>
      <c r="L118" s="5"/>
    </row>
    <row r="119" spans="1:12" x14ac:dyDescent="0.3">
      <c r="A119" s="6"/>
      <c r="B119" s="5"/>
      <c r="C119" s="5"/>
      <c r="D119" s="7"/>
      <c r="E119" s="7"/>
      <c r="F119" s="8" t="str">
        <f t="shared" si="1"/>
        <v/>
      </c>
      <c r="G119" s="5"/>
      <c r="H119" s="5"/>
      <c r="I119" s="5"/>
      <c r="J119" s="5"/>
      <c r="K119" s="9" t="str">
        <f>IF(A119="","",IF(I119&lt;&gt;"",IF(COUNTIF(AGENDA_BANCARIA!$B$5:$B$2000,I119)&gt;0,"Vinculado","ID não encontrado"),"Sem vínculo"))</f>
        <v/>
      </c>
      <c r="L119" s="5"/>
    </row>
    <row r="120" spans="1:12" x14ac:dyDescent="0.3">
      <c r="A120" s="6"/>
      <c r="B120" s="5"/>
      <c r="C120" s="5"/>
      <c r="D120" s="7"/>
      <c r="E120" s="7"/>
      <c r="F120" s="8" t="str">
        <f t="shared" si="1"/>
        <v/>
      </c>
      <c r="G120" s="5"/>
      <c r="H120" s="5"/>
      <c r="I120" s="5"/>
      <c r="J120" s="5"/>
      <c r="K120" s="9" t="str">
        <f>IF(A120="","",IF(I120&lt;&gt;"",IF(COUNTIF(AGENDA_BANCARIA!$B$5:$B$2000,I120)&gt;0,"Vinculado","ID não encontrado"),"Sem vínculo"))</f>
        <v/>
      </c>
      <c r="L120" s="5"/>
    </row>
    <row r="121" spans="1:12" x14ac:dyDescent="0.3">
      <c r="A121" s="6"/>
      <c r="B121" s="5"/>
      <c r="C121" s="5"/>
      <c r="D121" s="7"/>
      <c r="E121" s="7"/>
      <c r="F121" s="8" t="str">
        <f t="shared" si="1"/>
        <v/>
      </c>
      <c r="G121" s="5"/>
      <c r="H121" s="5"/>
      <c r="I121" s="5"/>
      <c r="J121" s="5"/>
      <c r="K121" s="9" t="str">
        <f>IF(A121="","",IF(I121&lt;&gt;"",IF(COUNTIF(AGENDA_BANCARIA!$B$5:$B$2000,I121)&gt;0,"Vinculado","ID não encontrado"),"Sem vínculo"))</f>
        <v/>
      </c>
      <c r="L121" s="5"/>
    </row>
    <row r="122" spans="1:12" x14ac:dyDescent="0.3">
      <c r="A122" s="6"/>
      <c r="B122" s="5"/>
      <c r="C122" s="5"/>
      <c r="D122" s="7"/>
      <c r="E122" s="7"/>
      <c r="F122" s="8" t="str">
        <f t="shared" si="1"/>
        <v/>
      </c>
      <c r="G122" s="5"/>
      <c r="H122" s="5"/>
      <c r="I122" s="5"/>
      <c r="J122" s="5"/>
      <c r="K122" s="9" t="str">
        <f>IF(A122="","",IF(I122&lt;&gt;"",IF(COUNTIF(AGENDA_BANCARIA!$B$5:$B$2000,I122)&gt;0,"Vinculado","ID não encontrado"),"Sem vínculo"))</f>
        <v/>
      </c>
      <c r="L122" s="5"/>
    </row>
    <row r="123" spans="1:12" x14ac:dyDescent="0.3">
      <c r="A123" s="6"/>
      <c r="B123" s="5"/>
      <c r="C123" s="5"/>
      <c r="D123" s="7"/>
      <c r="E123" s="7"/>
      <c r="F123" s="8" t="str">
        <f t="shared" si="1"/>
        <v/>
      </c>
      <c r="G123" s="5"/>
      <c r="H123" s="5"/>
      <c r="I123" s="5"/>
      <c r="J123" s="5"/>
      <c r="K123" s="9" t="str">
        <f>IF(A123="","",IF(I123&lt;&gt;"",IF(COUNTIF(AGENDA_BANCARIA!$B$5:$B$2000,I123)&gt;0,"Vinculado","ID não encontrado"),"Sem vínculo"))</f>
        <v/>
      </c>
      <c r="L123" s="5"/>
    </row>
    <row r="124" spans="1:12" x14ac:dyDescent="0.3">
      <c r="A124" s="6"/>
      <c r="B124" s="5"/>
      <c r="C124" s="5"/>
      <c r="D124" s="7"/>
      <c r="E124" s="7"/>
      <c r="F124" s="8" t="str">
        <f t="shared" si="1"/>
        <v/>
      </c>
      <c r="G124" s="5"/>
      <c r="H124" s="5"/>
      <c r="I124" s="5"/>
      <c r="J124" s="5"/>
      <c r="K124" s="9" t="str">
        <f>IF(A124="","",IF(I124&lt;&gt;"",IF(COUNTIF(AGENDA_BANCARIA!$B$5:$B$2000,I124)&gt;0,"Vinculado","ID não encontrado"),"Sem vínculo"))</f>
        <v/>
      </c>
      <c r="L124" s="5"/>
    </row>
    <row r="125" spans="1:12" x14ac:dyDescent="0.3">
      <c r="A125" s="6"/>
      <c r="B125" s="5"/>
      <c r="C125" s="5"/>
      <c r="D125" s="7"/>
      <c r="E125" s="7"/>
      <c r="F125" s="8" t="str">
        <f t="shared" si="1"/>
        <v/>
      </c>
      <c r="G125" s="5"/>
      <c r="H125" s="5"/>
      <c r="I125" s="5"/>
      <c r="J125" s="5"/>
      <c r="K125" s="9" t="str">
        <f>IF(A125="","",IF(I125&lt;&gt;"",IF(COUNTIF(AGENDA_BANCARIA!$B$5:$B$2000,I125)&gt;0,"Vinculado","ID não encontrado"),"Sem vínculo"))</f>
        <v/>
      </c>
      <c r="L125" s="5"/>
    </row>
    <row r="126" spans="1:12" x14ac:dyDescent="0.3">
      <c r="A126" s="6"/>
      <c r="B126" s="5"/>
      <c r="C126" s="5"/>
      <c r="D126" s="7"/>
      <c r="E126" s="7"/>
      <c r="F126" s="8" t="str">
        <f t="shared" si="1"/>
        <v/>
      </c>
      <c r="G126" s="5"/>
      <c r="H126" s="5"/>
      <c r="I126" s="5"/>
      <c r="J126" s="5"/>
      <c r="K126" s="9" t="str">
        <f>IF(A126="","",IF(I126&lt;&gt;"",IF(COUNTIF(AGENDA_BANCARIA!$B$5:$B$2000,I126)&gt;0,"Vinculado","ID não encontrado"),"Sem vínculo"))</f>
        <v/>
      </c>
      <c r="L126" s="5"/>
    </row>
    <row r="127" spans="1:12" x14ac:dyDescent="0.3">
      <c r="A127" s="6"/>
      <c r="B127" s="5"/>
      <c r="C127" s="5"/>
      <c r="D127" s="7"/>
      <c r="E127" s="7"/>
      <c r="F127" s="8" t="str">
        <f t="shared" si="1"/>
        <v/>
      </c>
      <c r="G127" s="5"/>
      <c r="H127" s="5"/>
      <c r="I127" s="5"/>
      <c r="J127" s="5"/>
      <c r="K127" s="9" t="str">
        <f>IF(A127="","",IF(I127&lt;&gt;"",IF(COUNTIF(AGENDA_BANCARIA!$B$5:$B$2000,I127)&gt;0,"Vinculado","ID não encontrado"),"Sem vínculo"))</f>
        <v/>
      </c>
      <c r="L127" s="5"/>
    </row>
    <row r="128" spans="1:12" x14ac:dyDescent="0.3">
      <c r="A128" s="6"/>
      <c r="B128" s="5"/>
      <c r="C128" s="5"/>
      <c r="D128" s="7"/>
      <c r="E128" s="7"/>
      <c r="F128" s="8" t="str">
        <f t="shared" si="1"/>
        <v/>
      </c>
      <c r="G128" s="5"/>
      <c r="H128" s="5"/>
      <c r="I128" s="5"/>
      <c r="J128" s="5"/>
      <c r="K128" s="9" t="str">
        <f>IF(A128="","",IF(I128&lt;&gt;"",IF(COUNTIF(AGENDA_BANCARIA!$B$5:$B$2000,I128)&gt;0,"Vinculado","ID não encontrado"),"Sem vínculo"))</f>
        <v/>
      </c>
      <c r="L128" s="5"/>
    </row>
    <row r="129" spans="1:12" x14ac:dyDescent="0.3">
      <c r="A129" s="6"/>
      <c r="B129" s="5"/>
      <c r="C129" s="5"/>
      <c r="D129" s="7"/>
      <c r="E129" s="7"/>
      <c r="F129" s="8" t="str">
        <f t="shared" si="1"/>
        <v/>
      </c>
      <c r="G129" s="5"/>
      <c r="H129" s="5"/>
      <c r="I129" s="5"/>
      <c r="J129" s="5"/>
      <c r="K129" s="9" t="str">
        <f>IF(A129="","",IF(I129&lt;&gt;"",IF(COUNTIF(AGENDA_BANCARIA!$B$5:$B$2000,I129)&gt;0,"Vinculado","ID não encontrado"),"Sem vínculo"))</f>
        <v/>
      </c>
      <c r="L129" s="5"/>
    </row>
    <row r="130" spans="1:12" x14ac:dyDescent="0.3">
      <c r="A130" s="6"/>
      <c r="B130" s="5"/>
      <c r="C130" s="5"/>
      <c r="D130" s="7"/>
      <c r="E130" s="7"/>
      <c r="F130" s="8" t="str">
        <f t="shared" si="1"/>
        <v/>
      </c>
      <c r="G130" s="5"/>
      <c r="H130" s="5"/>
      <c r="I130" s="5"/>
      <c r="J130" s="5"/>
      <c r="K130" s="9" t="str">
        <f>IF(A130="","",IF(I130&lt;&gt;"",IF(COUNTIF(AGENDA_BANCARIA!$B$5:$B$2000,I130)&gt;0,"Vinculado","ID não encontrado"),"Sem vínculo"))</f>
        <v/>
      </c>
      <c r="L130" s="5"/>
    </row>
    <row r="131" spans="1:12" x14ac:dyDescent="0.3">
      <c r="A131" s="6"/>
      <c r="B131" s="5"/>
      <c r="C131" s="5"/>
      <c r="D131" s="7"/>
      <c r="E131" s="7"/>
      <c r="F131" s="8" t="str">
        <f t="shared" si="1"/>
        <v/>
      </c>
      <c r="G131" s="5"/>
      <c r="H131" s="5"/>
      <c r="I131" s="5"/>
      <c r="J131" s="5"/>
      <c r="K131" s="9" t="str">
        <f>IF(A131="","",IF(I131&lt;&gt;"",IF(COUNTIF(AGENDA_BANCARIA!$B$5:$B$2000,I131)&gt;0,"Vinculado","ID não encontrado"),"Sem vínculo"))</f>
        <v/>
      </c>
      <c r="L131" s="5"/>
    </row>
    <row r="132" spans="1:12" x14ac:dyDescent="0.3">
      <c r="A132" s="6"/>
      <c r="B132" s="5"/>
      <c r="C132" s="5"/>
      <c r="D132" s="7"/>
      <c r="E132" s="7"/>
      <c r="F132" s="8" t="str">
        <f t="shared" si="1"/>
        <v/>
      </c>
      <c r="G132" s="5"/>
      <c r="H132" s="5"/>
      <c r="I132" s="5"/>
      <c r="J132" s="5"/>
      <c r="K132" s="9" t="str">
        <f>IF(A132="","",IF(I132&lt;&gt;"",IF(COUNTIF(AGENDA_BANCARIA!$B$5:$B$2000,I132)&gt;0,"Vinculado","ID não encontrado"),"Sem vínculo"))</f>
        <v/>
      </c>
      <c r="L132" s="5"/>
    </row>
    <row r="133" spans="1:12" x14ac:dyDescent="0.3">
      <c r="A133" s="6"/>
      <c r="B133" s="5"/>
      <c r="C133" s="5"/>
      <c r="D133" s="7"/>
      <c r="E133" s="7"/>
      <c r="F133" s="8" t="str">
        <f t="shared" ref="F133:F196" si="2">IF(OR(D133&lt;&gt;"",E133&lt;&gt;""),IF(E133&lt;&gt;"",E133,-D133),"")</f>
        <v/>
      </c>
      <c r="G133" s="5"/>
      <c r="H133" s="5"/>
      <c r="I133" s="5"/>
      <c r="J133" s="5"/>
      <c r="K133" s="9" t="str">
        <f>IF(A133="","",IF(I133&lt;&gt;"",IF(COUNTIF(AGENDA_BANCARIA!$B$5:$B$2000,I133)&gt;0,"Vinculado","ID não encontrado"),"Sem vínculo"))</f>
        <v/>
      </c>
      <c r="L133" s="5"/>
    </row>
    <row r="134" spans="1:12" x14ac:dyDescent="0.3">
      <c r="A134" s="6"/>
      <c r="B134" s="5"/>
      <c r="C134" s="5"/>
      <c r="D134" s="7"/>
      <c r="E134" s="7"/>
      <c r="F134" s="8" t="str">
        <f t="shared" si="2"/>
        <v/>
      </c>
      <c r="G134" s="5"/>
      <c r="H134" s="5"/>
      <c r="I134" s="5"/>
      <c r="J134" s="5"/>
      <c r="K134" s="9" t="str">
        <f>IF(A134="","",IF(I134&lt;&gt;"",IF(COUNTIF(AGENDA_BANCARIA!$B$5:$B$2000,I134)&gt;0,"Vinculado","ID não encontrado"),"Sem vínculo"))</f>
        <v/>
      </c>
      <c r="L134" s="5"/>
    </row>
    <row r="135" spans="1:12" x14ac:dyDescent="0.3">
      <c r="A135" s="6"/>
      <c r="B135" s="5"/>
      <c r="C135" s="5"/>
      <c r="D135" s="7"/>
      <c r="E135" s="7"/>
      <c r="F135" s="8" t="str">
        <f t="shared" si="2"/>
        <v/>
      </c>
      <c r="G135" s="5"/>
      <c r="H135" s="5"/>
      <c r="I135" s="5"/>
      <c r="J135" s="5"/>
      <c r="K135" s="9" t="str">
        <f>IF(A135="","",IF(I135&lt;&gt;"",IF(COUNTIF(AGENDA_BANCARIA!$B$5:$B$2000,I135)&gt;0,"Vinculado","ID não encontrado"),"Sem vínculo"))</f>
        <v/>
      </c>
      <c r="L135" s="5"/>
    </row>
    <row r="136" spans="1:12" x14ac:dyDescent="0.3">
      <c r="A136" s="6"/>
      <c r="B136" s="5"/>
      <c r="C136" s="5"/>
      <c r="D136" s="7"/>
      <c r="E136" s="7"/>
      <c r="F136" s="8" t="str">
        <f t="shared" si="2"/>
        <v/>
      </c>
      <c r="G136" s="5"/>
      <c r="H136" s="5"/>
      <c r="I136" s="5"/>
      <c r="J136" s="5"/>
      <c r="K136" s="9" t="str">
        <f>IF(A136="","",IF(I136&lt;&gt;"",IF(COUNTIF(AGENDA_BANCARIA!$B$5:$B$2000,I136)&gt;0,"Vinculado","ID não encontrado"),"Sem vínculo"))</f>
        <v/>
      </c>
      <c r="L136" s="5"/>
    </row>
    <row r="137" spans="1:12" x14ac:dyDescent="0.3">
      <c r="A137" s="6"/>
      <c r="B137" s="5"/>
      <c r="C137" s="5"/>
      <c r="D137" s="7"/>
      <c r="E137" s="7"/>
      <c r="F137" s="8" t="str">
        <f t="shared" si="2"/>
        <v/>
      </c>
      <c r="G137" s="5"/>
      <c r="H137" s="5"/>
      <c r="I137" s="5"/>
      <c r="J137" s="5"/>
      <c r="K137" s="9" t="str">
        <f>IF(A137="","",IF(I137&lt;&gt;"",IF(COUNTIF(AGENDA_BANCARIA!$B$5:$B$2000,I137)&gt;0,"Vinculado","ID não encontrado"),"Sem vínculo"))</f>
        <v/>
      </c>
      <c r="L137" s="5"/>
    </row>
    <row r="138" spans="1:12" x14ac:dyDescent="0.3">
      <c r="A138" s="6"/>
      <c r="B138" s="5"/>
      <c r="C138" s="5"/>
      <c r="D138" s="7"/>
      <c r="E138" s="7"/>
      <c r="F138" s="8" t="str">
        <f t="shared" si="2"/>
        <v/>
      </c>
      <c r="G138" s="5"/>
      <c r="H138" s="5"/>
      <c r="I138" s="5"/>
      <c r="J138" s="5"/>
      <c r="K138" s="9" t="str">
        <f>IF(A138="","",IF(I138&lt;&gt;"",IF(COUNTIF(AGENDA_BANCARIA!$B$5:$B$2000,I138)&gt;0,"Vinculado","ID não encontrado"),"Sem vínculo"))</f>
        <v/>
      </c>
      <c r="L138" s="5"/>
    </row>
    <row r="139" spans="1:12" x14ac:dyDescent="0.3">
      <c r="A139" s="6"/>
      <c r="B139" s="5"/>
      <c r="C139" s="5"/>
      <c r="D139" s="7"/>
      <c r="E139" s="7"/>
      <c r="F139" s="8" t="str">
        <f t="shared" si="2"/>
        <v/>
      </c>
      <c r="G139" s="5"/>
      <c r="H139" s="5"/>
      <c r="I139" s="5"/>
      <c r="J139" s="5"/>
      <c r="K139" s="9" t="str">
        <f>IF(A139="","",IF(I139&lt;&gt;"",IF(COUNTIF(AGENDA_BANCARIA!$B$5:$B$2000,I139)&gt;0,"Vinculado","ID não encontrado"),"Sem vínculo"))</f>
        <v/>
      </c>
      <c r="L139" s="5"/>
    </row>
    <row r="140" spans="1:12" x14ac:dyDescent="0.3">
      <c r="A140" s="6"/>
      <c r="B140" s="5"/>
      <c r="C140" s="5"/>
      <c r="D140" s="7"/>
      <c r="E140" s="7"/>
      <c r="F140" s="8" t="str">
        <f t="shared" si="2"/>
        <v/>
      </c>
      <c r="G140" s="5"/>
      <c r="H140" s="5"/>
      <c r="I140" s="5"/>
      <c r="J140" s="5"/>
      <c r="K140" s="9" t="str">
        <f>IF(A140="","",IF(I140&lt;&gt;"",IF(COUNTIF(AGENDA_BANCARIA!$B$5:$B$2000,I140)&gt;0,"Vinculado","ID não encontrado"),"Sem vínculo"))</f>
        <v/>
      </c>
      <c r="L140" s="5"/>
    </row>
    <row r="141" spans="1:12" x14ac:dyDescent="0.3">
      <c r="A141" s="6"/>
      <c r="B141" s="5"/>
      <c r="C141" s="5"/>
      <c r="D141" s="7"/>
      <c r="E141" s="7"/>
      <c r="F141" s="8" t="str">
        <f t="shared" si="2"/>
        <v/>
      </c>
      <c r="G141" s="5"/>
      <c r="H141" s="5"/>
      <c r="I141" s="5"/>
      <c r="J141" s="5"/>
      <c r="K141" s="9" t="str">
        <f>IF(A141="","",IF(I141&lt;&gt;"",IF(COUNTIF(AGENDA_BANCARIA!$B$5:$B$2000,I141)&gt;0,"Vinculado","ID não encontrado"),"Sem vínculo"))</f>
        <v/>
      </c>
      <c r="L141" s="5"/>
    </row>
    <row r="142" spans="1:12" x14ac:dyDescent="0.3">
      <c r="A142" s="6"/>
      <c r="B142" s="5"/>
      <c r="C142" s="5"/>
      <c r="D142" s="7"/>
      <c r="E142" s="7"/>
      <c r="F142" s="8" t="str">
        <f t="shared" si="2"/>
        <v/>
      </c>
      <c r="G142" s="5"/>
      <c r="H142" s="5"/>
      <c r="I142" s="5"/>
      <c r="J142" s="5"/>
      <c r="K142" s="9" t="str">
        <f>IF(A142="","",IF(I142&lt;&gt;"",IF(COUNTIF(AGENDA_BANCARIA!$B$5:$B$2000,I142)&gt;0,"Vinculado","ID não encontrado"),"Sem vínculo"))</f>
        <v/>
      </c>
      <c r="L142" s="5"/>
    </row>
    <row r="143" spans="1:12" x14ac:dyDescent="0.3">
      <c r="A143" s="6"/>
      <c r="B143" s="5"/>
      <c r="C143" s="5"/>
      <c r="D143" s="7"/>
      <c r="E143" s="7"/>
      <c r="F143" s="8" t="str">
        <f t="shared" si="2"/>
        <v/>
      </c>
      <c r="G143" s="5"/>
      <c r="H143" s="5"/>
      <c r="I143" s="5"/>
      <c r="J143" s="5"/>
      <c r="K143" s="9" t="str">
        <f>IF(A143="","",IF(I143&lt;&gt;"",IF(COUNTIF(AGENDA_BANCARIA!$B$5:$B$2000,I143)&gt;0,"Vinculado","ID não encontrado"),"Sem vínculo"))</f>
        <v/>
      </c>
      <c r="L143" s="5"/>
    </row>
    <row r="144" spans="1:12" x14ac:dyDescent="0.3">
      <c r="A144" s="6"/>
      <c r="B144" s="5"/>
      <c r="C144" s="5"/>
      <c r="D144" s="7"/>
      <c r="E144" s="7"/>
      <c r="F144" s="8" t="str">
        <f t="shared" si="2"/>
        <v/>
      </c>
      <c r="G144" s="5"/>
      <c r="H144" s="5"/>
      <c r="I144" s="5"/>
      <c r="J144" s="5"/>
      <c r="K144" s="9" t="str">
        <f>IF(A144="","",IF(I144&lt;&gt;"",IF(COUNTIF(AGENDA_BANCARIA!$B$5:$B$2000,I144)&gt;0,"Vinculado","ID não encontrado"),"Sem vínculo"))</f>
        <v/>
      </c>
      <c r="L144" s="5"/>
    </row>
    <row r="145" spans="1:12" x14ac:dyDescent="0.3">
      <c r="A145" s="6"/>
      <c r="B145" s="5"/>
      <c r="C145" s="5"/>
      <c r="D145" s="7"/>
      <c r="E145" s="7"/>
      <c r="F145" s="8" t="str">
        <f t="shared" si="2"/>
        <v/>
      </c>
      <c r="G145" s="5"/>
      <c r="H145" s="5"/>
      <c r="I145" s="5"/>
      <c r="J145" s="5"/>
      <c r="K145" s="9" t="str">
        <f>IF(A145="","",IF(I145&lt;&gt;"",IF(COUNTIF(AGENDA_BANCARIA!$B$5:$B$2000,I145)&gt;0,"Vinculado","ID não encontrado"),"Sem vínculo"))</f>
        <v/>
      </c>
      <c r="L145" s="5"/>
    </row>
    <row r="146" spans="1:12" x14ac:dyDescent="0.3">
      <c r="A146" s="6"/>
      <c r="B146" s="5"/>
      <c r="C146" s="5"/>
      <c r="D146" s="7"/>
      <c r="E146" s="7"/>
      <c r="F146" s="8" t="str">
        <f t="shared" si="2"/>
        <v/>
      </c>
      <c r="G146" s="5"/>
      <c r="H146" s="5"/>
      <c r="I146" s="5"/>
      <c r="J146" s="5"/>
      <c r="K146" s="9" t="str">
        <f>IF(A146="","",IF(I146&lt;&gt;"",IF(COUNTIF(AGENDA_BANCARIA!$B$5:$B$2000,I146)&gt;0,"Vinculado","ID não encontrado"),"Sem vínculo"))</f>
        <v/>
      </c>
      <c r="L146" s="5"/>
    </row>
    <row r="147" spans="1:12" x14ac:dyDescent="0.3">
      <c r="A147" s="6"/>
      <c r="B147" s="5"/>
      <c r="C147" s="5"/>
      <c r="D147" s="7"/>
      <c r="E147" s="7"/>
      <c r="F147" s="8" t="str">
        <f t="shared" si="2"/>
        <v/>
      </c>
      <c r="G147" s="5"/>
      <c r="H147" s="5"/>
      <c r="I147" s="5"/>
      <c r="J147" s="5"/>
      <c r="K147" s="9" t="str">
        <f>IF(A147="","",IF(I147&lt;&gt;"",IF(COUNTIF(AGENDA_BANCARIA!$B$5:$B$2000,I147)&gt;0,"Vinculado","ID não encontrado"),"Sem vínculo"))</f>
        <v/>
      </c>
      <c r="L147" s="5"/>
    </row>
    <row r="148" spans="1:12" x14ac:dyDescent="0.3">
      <c r="A148" s="6"/>
      <c r="B148" s="5"/>
      <c r="C148" s="5"/>
      <c r="D148" s="7"/>
      <c r="E148" s="7"/>
      <c r="F148" s="8" t="str">
        <f t="shared" si="2"/>
        <v/>
      </c>
      <c r="G148" s="5"/>
      <c r="H148" s="5"/>
      <c r="I148" s="5"/>
      <c r="J148" s="5"/>
      <c r="K148" s="9" t="str">
        <f>IF(A148="","",IF(I148&lt;&gt;"",IF(COUNTIF(AGENDA_BANCARIA!$B$5:$B$2000,I148)&gt;0,"Vinculado","ID não encontrado"),"Sem vínculo"))</f>
        <v/>
      </c>
      <c r="L148" s="5"/>
    </row>
    <row r="149" spans="1:12" x14ac:dyDescent="0.3">
      <c r="A149" s="6"/>
      <c r="B149" s="5"/>
      <c r="C149" s="5"/>
      <c r="D149" s="7"/>
      <c r="E149" s="7"/>
      <c r="F149" s="8" t="str">
        <f t="shared" si="2"/>
        <v/>
      </c>
      <c r="G149" s="5"/>
      <c r="H149" s="5"/>
      <c r="I149" s="5"/>
      <c r="J149" s="5"/>
      <c r="K149" s="9" t="str">
        <f>IF(A149="","",IF(I149&lt;&gt;"",IF(COUNTIF(AGENDA_BANCARIA!$B$5:$B$2000,I149)&gt;0,"Vinculado","ID não encontrado"),"Sem vínculo"))</f>
        <v/>
      </c>
      <c r="L149" s="5"/>
    </row>
    <row r="150" spans="1:12" x14ac:dyDescent="0.3">
      <c r="A150" s="6"/>
      <c r="B150" s="5"/>
      <c r="C150" s="5"/>
      <c r="D150" s="7"/>
      <c r="E150" s="7"/>
      <c r="F150" s="8" t="str">
        <f t="shared" si="2"/>
        <v/>
      </c>
      <c r="G150" s="5"/>
      <c r="H150" s="5"/>
      <c r="I150" s="5"/>
      <c r="J150" s="5"/>
      <c r="K150" s="9" t="str">
        <f>IF(A150="","",IF(I150&lt;&gt;"",IF(COUNTIF(AGENDA_BANCARIA!$B$5:$B$2000,I150)&gt;0,"Vinculado","ID não encontrado"),"Sem vínculo"))</f>
        <v/>
      </c>
      <c r="L150" s="5"/>
    </row>
    <row r="151" spans="1:12" x14ac:dyDescent="0.3">
      <c r="A151" s="6"/>
      <c r="B151" s="5"/>
      <c r="C151" s="5"/>
      <c r="D151" s="7"/>
      <c r="E151" s="7"/>
      <c r="F151" s="8" t="str">
        <f t="shared" si="2"/>
        <v/>
      </c>
      <c r="G151" s="5"/>
      <c r="H151" s="5"/>
      <c r="I151" s="5"/>
      <c r="J151" s="5"/>
      <c r="K151" s="9" t="str">
        <f>IF(A151="","",IF(I151&lt;&gt;"",IF(COUNTIF(AGENDA_BANCARIA!$B$5:$B$2000,I151)&gt;0,"Vinculado","ID não encontrado"),"Sem vínculo"))</f>
        <v/>
      </c>
      <c r="L151" s="5"/>
    </row>
    <row r="152" spans="1:12" x14ac:dyDescent="0.3">
      <c r="A152" s="6"/>
      <c r="B152" s="5"/>
      <c r="C152" s="5"/>
      <c r="D152" s="7"/>
      <c r="E152" s="7"/>
      <c r="F152" s="8" t="str">
        <f t="shared" si="2"/>
        <v/>
      </c>
      <c r="G152" s="5"/>
      <c r="H152" s="5"/>
      <c r="I152" s="5"/>
      <c r="J152" s="5"/>
      <c r="K152" s="9" t="str">
        <f>IF(A152="","",IF(I152&lt;&gt;"",IF(COUNTIF(AGENDA_BANCARIA!$B$5:$B$2000,I152)&gt;0,"Vinculado","ID não encontrado"),"Sem vínculo"))</f>
        <v/>
      </c>
      <c r="L152" s="5"/>
    </row>
    <row r="153" spans="1:12" x14ac:dyDescent="0.3">
      <c r="A153" s="6"/>
      <c r="B153" s="5"/>
      <c r="C153" s="5"/>
      <c r="D153" s="7"/>
      <c r="E153" s="7"/>
      <c r="F153" s="8" t="str">
        <f t="shared" si="2"/>
        <v/>
      </c>
      <c r="G153" s="5"/>
      <c r="H153" s="5"/>
      <c r="I153" s="5"/>
      <c r="J153" s="5"/>
      <c r="K153" s="9" t="str">
        <f>IF(A153="","",IF(I153&lt;&gt;"",IF(COUNTIF(AGENDA_BANCARIA!$B$5:$B$2000,I153)&gt;0,"Vinculado","ID não encontrado"),"Sem vínculo"))</f>
        <v/>
      </c>
      <c r="L153" s="5"/>
    </row>
    <row r="154" spans="1:12" x14ac:dyDescent="0.3">
      <c r="A154" s="6"/>
      <c r="B154" s="5"/>
      <c r="C154" s="5"/>
      <c r="D154" s="7"/>
      <c r="E154" s="7"/>
      <c r="F154" s="8" t="str">
        <f t="shared" si="2"/>
        <v/>
      </c>
      <c r="G154" s="5"/>
      <c r="H154" s="5"/>
      <c r="I154" s="5"/>
      <c r="J154" s="5"/>
      <c r="K154" s="9" t="str">
        <f>IF(A154="","",IF(I154&lt;&gt;"",IF(COUNTIF(AGENDA_BANCARIA!$B$5:$B$2000,I154)&gt;0,"Vinculado","ID não encontrado"),"Sem vínculo"))</f>
        <v/>
      </c>
      <c r="L154" s="5"/>
    </row>
    <row r="155" spans="1:12" x14ac:dyDescent="0.3">
      <c r="A155" s="6"/>
      <c r="B155" s="5"/>
      <c r="C155" s="5"/>
      <c r="D155" s="7"/>
      <c r="E155" s="7"/>
      <c r="F155" s="8" t="str">
        <f t="shared" si="2"/>
        <v/>
      </c>
      <c r="G155" s="5"/>
      <c r="H155" s="5"/>
      <c r="I155" s="5"/>
      <c r="J155" s="5"/>
      <c r="K155" s="9" t="str">
        <f>IF(A155="","",IF(I155&lt;&gt;"",IF(COUNTIF(AGENDA_BANCARIA!$B$5:$B$2000,I155)&gt;0,"Vinculado","ID não encontrado"),"Sem vínculo"))</f>
        <v/>
      </c>
      <c r="L155" s="5"/>
    </row>
    <row r="156" spans="1:12" x14ac:dyDescent="0.3">
      <c r="A156" s="6"/>
      <c r="B156" s="5"/>
      <c r="C156" s="5"/>
      <c r="D156" s="7"/>
      <c r="E156" s="7"/>
      <c r="F156" s="8" t="str">
        <f t="shared" si="2"/>
        <v/>
      </c>
      <c r="G156" s="5"/>
      <c r="H156" s="5"/>
      <c r="I156" s="5"/>
      <c r="J156" s="5"/>
      <c r="K156" s="9" t="str">
        <f>IF(A156="","",IF(I156&lt;&gt;"",IF(COUNTIF(AGENDA_BANCARIA!$B$5:$B$2000,I156)&gt;0,"Vinculado","ID não encontrado"),"Sem vínculo"))</f>
        <v/>
      </c>
      <c r="L156" s="5"/>
    </row>
    <row r="157" spans="1:12" x14ac:dyDescent="0.3">
      <c r="A157" s="6"/>
      <c r="B157" s="5"/>
      <c r="C157" s="5"/>
      <c r="D157" s="7"/>
      <c r="E157" s="7"/>
      <c r="F157" s="8" t="str">
        <f t="shared" si="2"/>
        <v/>
      </c>
      <c r="G157" s="5"/>
      <c r="H157" s="5"/>
      <c r="I157" s="5"/>
      <c r="J157" s="5"/>
      <c r="K157" s="9" t="str">
        <f>IF(A157="","",IF(I157&lt;&gt;"",IF(COUNTIF(AGENDA_BANCARIA!$B$5:$B$2000,I157)&gt;0,"Vinculado","ID não encontrado"),"Sem vínculo"))</f>
        <v/>
      </c>
      <c r="L157" s="5"/>
    </row>
    <row r="158" spans="1:12" x14ac:dyDescent="0.3">
      <c r="A158" s="6"/>
      <c r="B158" s="5"/>
      <c r="C158" s="5"/>
      <c r="D158" s="7"/>
      <c r="E158" s="7"/>
      <c r="F158" s="8" t="str">
        <f t="shared" si="2"/>
        <v/>
      </c>
      <c r="G158" s="5"/>
      <c r="H158" s="5"/>
      <c r="I158" s="5"/>
      <c r="J158" s="5"/>
      <c r="K158" s="9" t="str">
        <f>IF(A158="","",IF(I158&lt;&gt;"",IF(COUNTIF(AGENDA_BANCARIA!$B$5:$B$2000,I158)&gt;0,"Vinculado","ID não encontrado"),"Sem vínculo"))</f>
        <v/>
      </c>
      <c r="L158" s="5"/>
    </row>
    <row r="159" spans="1:12" x14ac:dyDescent="0.3">
      <c r="A159" s="6"/>
      <c r="B159" s="5"/>
      <c r="C159" s="5"/>
      <c r="D159" s="7"/>
      <c r="E159" s="7"/>
      <c r="F159" s="8" t="str">
        <f t="shared" si="2"/>
        <v/>
      </c>
      <c r="G159" s="5"/>
      <c r="H159" s="5"/>
      <c r="I159" s="5"/>
      <c r="J159" s="5"/>
      <c r="K159" s="9" t="str">
        <f>IF(A159="","",IF(I159&lt;&gt;"",IF(COUNTIF(AGENDA_BANCARIA!$B$5:$B$2000,I159)&gt;0,"Vinculado","ID não encontrado"),"Sem vínculo"))</f>
        <v/>
      </c>
      <c r="L159" s="5"/>
    </row>
    <row r="160" spans="1:12" x14ac:dyDescent="0.3">
      <c r="A160" s="6"/>
      <c r="B160" s="5"/>
      <c r="C160" s="5"/>
      <c r="D160" s="7"/>
      <c r="E160" s="7"/>
      <c r="F160" s="8" t="str">
        <f t="shared" si="2"/>
        <v/>
      </c>
      <c r="G160" s="5"/>
      <c r="H160" s="5"/>
      <c r="I160" s="5"/>
      <c r="J160" s="5"/>
      <c r="K160" s="9" t="str">
        <f>IF(A160="","",IF(I160&lt;&gt;"",IF(COUNTIF(AGENDA_BANCARIA!$B$5:$B$2000,I160)&gt;0,"Vinculado","ID não encontrado"),"Sem vínculo"))</f>
        <v/>
      </c>
      <c r="L160" s="5"/>
    </row>
    <row r="161" spans="1:12" x14ac:dyDescent="0.3">
      <c r="A161" s="6"/>
      <c r="B161" s="5"/>
      <c r="C161" s="5"/>
      <c r="D161" s="7"/>
      <c r="E161" s="7"/>
      <c r="F161" s="8" t="str">
        <f t="shared" si="2"/>
        <v/>
      </c>
      <c r="G161" s="5"/>
      <c r="H161" s="5"/>
      <c r="I161" s="5"/>
      <c r="J161" s="5"/>
      <c r="K161" s="9" t="str">
        <f>IF(A161="","",IF(I161&lt;&gt;"",IF(COUNTIF(AGENDA_BANCARIA!$B$5:$B$2000,I161)&gt;0,"Vinculado","ID não encontrado"),"Sem vínculo"))</f>
        <v/>
      </c>
      <c r="L161" s="5"/>
    </row>
    <row r="162" spans="1:12" x14ac:dyDescent="0.3">
      <c r="A162" s="6"/>
      <c r="B162" s="5"/>
      <c r="C162" s="5"/>
      <c r="D162" s="7"/>
      <c r="E162" s="7"/>
      <c r="F162" s="8" t="str">
        <f t="shared" si="2"/>
        <v/>
      </c>
      <c r="G162" s="5"/>
      <c r="H162" s="5"/>
      <c r="I162" s="5"/>
      <c r="J162" s="5"/>
      <c r="K162" s="9" t="str">
        <f>IF(A162="","",IF(I162&lt;&gt;"",IF(COUNTIF(AGENDA_BANCARIA!$B$5:$B$2000,I162)&gt;0,"Vinculado","ID não encontrado"),"Sem vínculo"))</f>
        <v/>
      </c>
      <c r="L162" s="5"/>
    </row>
    <row r="163" spans="1:12" x14ac:dyDescent="0.3">
      <c r="A163" s="6"/>
      <c r="B163" s="5"/>
      <c r="C163" s="5"/>
      <c r="D163" s="7"/>
      <c r="E163" s="7"/>
      <c r="F163" s="8" t="str">
        <f t="shared" si="2"/>
        <v/>
      </c>
      <c r="G163" s="5"/>
      <c r="H163" s="5"/>
      <c r="I163" s="5"/>
      <c r="J163" s="5"/>
      <c r="K163" s="9" t="str">
        <f>IF(A163="","",IF(I163&lt;&gt;"",IF(COUNTIF(AGENDA_BANCARIA!$B$5:$B$2000,I163)&gt;0,"Vinculado","ID não encontrado"),"Sem vínculo"))</f>
        <v/>
      </c>
      <c r="L163" s="5"/>
    </row>
    <row r="164" spans="1:12" x14ac:dyDescent="0.3">
      <c r="A164" s="6"/>
      <c r="B164" s="5"/>
      <c r="C164" s="5"/>
      <c r="D164" s="7"/>
      <c r="E164" s="7"/>
      <c r="F164" s="8" t="str">
        <f t="shared" si="2"/>
        <v/>
      </c>
      <c r="G164" s="5"/>
      <c r="H164" s="5"/>
      <c r="I164" s="5"/>
      <c r="J164" s="5"/>
      <c r="K164" s="9" t="str">
        <f>IF(A164="","",IF(I164&lt;&gt;"",IF(COUNTIF(AGENDA_BANCARIA!$B$5:$B$2000,I164)&gt;0,"Vinculado","ID não encontrado"),"Sem vínculo"))</f>
        <v/>
      </c>
      <c r="L164" s="5"/>
    </row>
    <row r="165" spans="1:12" x14ac:dyDescent="0.3">
      <c r="A165" s="6"/>
      <c r="B165" s="5"/>
      <c r="C165" s="5"/>
      <c r="D165" s="7"/>
      <c r="E165" s="7"/>
      <c r="F165" s="8" t="str">
        <f t="shared" si="2"/>
        <v/>
      </c>
      <c r="G165" s="5"/>
      <c r="H165" s="5"/>
      <c r="I165" s="5"/>
      <c r="J165" s="5"/>
      <c r="K165" s="9" t="str">
        <f>IF(A165="","",IF(I165&lt;&gt;"",IF(COUNTIF(AGENDA_BANCARIA!$B$5:$B$2000,I165)&gt;0,"Vinculado","ID não encontrado"),"Sem vínculo"))</f>
        <v/>
      </c>
      <c r="L165" s="5"/>
    </row>
    <row r="166" spans="1:12" x14ac:dyDescent="0.3">
      <c r="A166" s="6"/>
      <c r="B166" s="5"/>
      <c r="C166" s="5"/>
      <c r="D166" s="7"/>
      <c r="E166" s="7"/>
      <c r="F166" s="8" t="str">
        <f t="shared" si="2"/>
        <v/>
      </c>
      <c r="G166" s="5"/>
      <c r="H166" s="5"/>
      <c r="I166" s="5"/>
      <c r="J166" s="5"/>
      <c r="K166" s="9" t="str">
        <f>IF(A166="","",IF(I166&lt;&gt;"",IF(COUNTIF(AGENDA_BANCARIA!$B$5:$B$2000,I166)&gt;0,"Vinculado","ID não encontrado"),"Sem vínculo"))</f>
        <v/>
      </c>
      <c r="L166" s="5"/>
    </row>
    <row r="167" spans="1:12" x14ac:dyDescent="0.3">
      <c r="A167" s="6"/>
      <c r="B167" s="5"/>
      <c r="C167" s="5"/>
      <c r="D167" s="7"/>
      <c r="E167" s="7"/>
      <c r="F167" s="8" t="str">
        <f t="shared" si="2"/>
        <v/>
      </c>
      <c r="G167" s="5"/>
      <c r="H167" s="5"/>
      <c r="I167" s="5"/>
      <c r="J167" s="5"/>
      <c r="K167" s="9" t="str">
        <f>IF(A167="","",IF(I167&lt;&gt;"",IF(COUNTIF(AGENDA_BANCARIA!$B$5:$B$2000,I167)&gt;0,"Vinculado","ID não encontrado"),"Sem vínculo"))</f>
        <v/>
      </c>
      <c r="L167" s="5"/>
    </row>
    <row r="168" spans="1:12" x14ac:dyDescent="0.3">
      <c r="A168" s="6"/>
      <c r="B168" s="5"/>
      <c r="C168" s="5"/>
      <c r="D168" s="7"/>
      <c r="E168" s="7"/>
      <c r="F168" s="8" t="str">
        <f t="shared" si="2"/>
        <v/>
      </c>
      <c r="G168" s="5"/>
      <c r="H168" s="5"/>
      <c r="I168" s="5"/>
      <c r="J168" s="5"/>
      <c r="K168" s="9" t="str">
        <f>IF(A168="","",IF(I168&lt;&gt;"",IF(COUNTIF(AGENDA_BANCARIA!$B$5:$B$2000,I168)&gt;0,"Vinculado","ID não encontrado"),"Sem vínculo"))</f>
        <v/>
      </c>
      <c r="L168" s="5"/>
    </row>
    <row r="169" spans="1:12" x14ac:dyDescent="0.3">
      <c r="A169" s="6"/>
      <c r="B169" s="5"/>
      <c r="C169" s="5"/>
      <c r="D169" s="7"/>
      <c r="E169" s="7"/>
      <c r="F169" s="8" t="str">
        <f t="shared" si="2"/>
        <v/>
      </c>
      <c r="G169" s="5"/>
      <c r="H169" s="5"/>
      <c r="I169" s="5"/>
      <c r="J169" s="5"/>
      <c r="K169" s="9" t="str">
        <f>IF(A169="","",IF(I169&lt;&gt;"",IF(COUNTIF(AGENDA_BANCARIA!$B$5:$B$2000,I169)&gt;0,"Vinculado","ID não encontrado"),"Sem vínculo"))</f>
        <v/>
      </c>
      <c r="L169" s="5"/>
    </row>
    <row r="170" spans="1:12" x14ac:dyDescent="0.3">
      <c r="A170" s="6"/>
      <c r="B170" s="5"/>
      <c r="C170" s="5"/>
      <c r="D170" s="7"/>
      <c r="E170" s="7"/>
      <c r="F170" s="8" t="str">
        <f t="shared" si="2"/>
        <v/>
      </c>
      <c r="G170" s="5"/>
      <c r="H170" s="5"/>
      <c r="I170" s="5"/>
      <c r="J170" s="5"/>
      <c r="K170" s="9" t="str">
        <f>IF(A170="","",IF(I170&lt;&gt;"",IF(COUNTIF(AGENDA_BANCARIA!$B$5:$B$2000,I170)&gt;0,"Vinculado","ID não encontrado"),"Sem vínculo"))</f>
        <v/>
      </c>
      <c r="L170" s="5"/>
    </row>
    <row r="171" spans="1:12" x14ac:dyDescent="0.3">
      <c r="A171" s="6"/>
      <c r="B171" s="5"/>
      <c r="C171" s="5"/>
      <c r="D171" s="7"/>
      <c r="E171" s="7"/>
      <c r="F171" s="8" t="str">
        <f t="shared" si="2"/>
        <v/>
      </c>
      <c r="G171" s="5"/>
      <c r="H171" s="5"/>
      <c r="I171" s="5"/>
      <c r="J171" s="5"/>
      <c r="K171" s="9" t="str">
        <f>IF(A171="","",IF(I171&lt;&gt;"",IF(COUNTIF(AGENDA_BANCARIA!$B$5:$B$2000,I171)&gt;0,"Vinculado","ID não encontrado"),"Sem vínculo"))</f>
        <v/>
      </c>
      <c r="L171" s="5"/>
    </row>
    <row r="172" spans="1:12" x14ac:dyDescent="0.3">
      <c r="A172" s="6"/>
      <c r="B172" s="5"/>
      <c r="C172" s="5"/>
      <c r="D172" s="7"/>
      <c r="E172" s="7"/>
      <c r="F172" s="8" t="str">
        <f t="shared" si="2"/>
        <v/>
      </c>
      <c r="G172" s="5"/>
      <c r="H172" s="5"/>
      <c r="I172" s="5"/>
      <c r="J172" s="5"/>
      <c r="K172" s="9" t="str">
        <f>IF(A172="","",IF(I172&lt;&gt;"",IF(COUNTIF(AGENDA_BANCARIA!$B$5:$B$2000,I172)&gt;0,"Vinculado","ID não encontrado"),"Sem vínculo"))</f>
        <v/>
      </c>
      <c r="L172" s="5"/>
    </row>
    <row r="173" spans="1:12" x14ac:dyDescent="0.3">
      <c r="A173" s="6"/>
      <c r="B173" s="5"/>
      <c r="C173" s="5"/>
      <c r="D173" s="7"/>
      <c r="E173" s="7"/>
      <c r="F173" s="8" t="str">
        <f t="shared" si="2"/>
        <v/>
      </c>
      <c r="G173" s="5"/>
      <c r="H173" s="5"/>
      <c r="I173" s="5"/>
      <c r="J173" s="5"/>
      <c r="K173" s="9" t="str">
        <f>IF(A173="","",IF(I173&lt;&gt;"",IF(COUNTIF(AGENDA_BANCARIA!$B$5:$B$2000,I173)&gt;0,"Vinculado","ID não encontrado"),"Sem vínculo"))</f>
        <v/>
      </c>
      <c r="L173" s="5"/>
    </row>
    <row r="174" spans="1:12" x14ac:dyDescent="0.3">
      <c r="A174" s="6"/>
      <c r="B174" s="5"/>
      <c r="C174" s="5"/>
      <c r="D174" s="7"/>
      <c r="E174" s="7"/>
      <c r="F174" s="8" t="str">
        <f t="shared" si="2"/>
        <v/>
      </c>
      <c r="G174" s="5"/>
      <c r="H174" s="5"/>
      <c r="I174" s="5"/>
      <c r="J174" s="5"/>
      <c r="K174" s="9" t="str">
        <f>IF(A174="","",IF(I174&lt;&gt;"",IF(COUNTIF(AGENDA_BANCARIA!$B$5:$B$2000,I174)&gt;0,"Vinculado","ID não encontrado"),"Sem vínculo"))</f>
        <v/>
      </c>
      <c r="L174" s="5"/>
    </row>
    <row r="175" spans="1:12" x14ac:dyDescent="0.3">
      <c r="A175" s="6"/>
      <c r="B175" s="5"/>
      <c r="C175" s="5"/>
      <c r="D175" s="7"/>
      <c r="E175" s="7"/>
      <c r="F175" s="8" t="str">
        <f t="shared" si="2"/>
        <v/>
      </c>
      <c r="G175" s="5"/>
      <c r="H175" s="5"/>
      <c r="I175" s="5"/>
      <c r="J175" s="5"/>
      <c r="K175" s="9" t="str">
        <f>IF(A175="","",IF(I175&lt;&gt;"",IF(COUNTIF(AGENDA_BANCARIA!$B$5:$B$2000,I175)&gt;0,"Vinculado","ID não encontrado"),"Sem vínculo"))</f>
        <v/>
      </c>
      <c r="L175" s="5"/>
    </row>
    <row r="176" spans="1:12" x14ac:dyDescent="0.3">
      <c r="A176" s="6"/>
      <c r="B176" s="5"/>
      <c r="C176" s="5"/>
      <c r="D176" s="7"/>
      <c r="E176" s="7"/>
      <c r="F176" s="8" t="str">
        <f t="shared" si="2"/>
        <v/>
      </c>
      <c r="G176" s="5"/>
      <c r="H176" s="5"/>
      <c r="I176" s="5"/>
      <c r="J176" s="5"/>
      <c r="K176" s="9" t="str">
        <f>IF(A176="","",IF(I176&lt;&gt;"",IF(COUNTIF(AGENDA_BANCARIA!$B$5:$B$2000,I176)&gt;0,"Vinculado","ID não encontrado"),"Sem vínculo"))</f>
        <v/>
      </c>
      <c r="L176" s="5"/>
    </row>
    <row r="177" spans="1:12" x14ac:dyDescent="0.3">
      <c r="A177" s="6"/>
      <c r="B177" s="5"/>
      <c r="C177" s="5"/>
      <c r="D177" s="7"/>
      <c r="E177" s="7"/>
      <c r="F177" s="8" t="str">
        <f t="shared" si="2"/>
        <v/>
      </c>
      <c r="G177" s="5"/>
      <c r="H177" s="5"/>
      <c r="I177" s="5"/>
      <c r="J177" s="5"/>
      <c r="K177" s="9" t="str">
        <f>IF(A177="","",IF(I177&lt;&gt;"",IF(COUNTIF(AGENDA_BANCARIA!$B$5:$B$2000,I177)&gt;0,"Vinculado","ID não encontrado"),"Sem vínculo"))</f>
        <v/>
      </c>
      <c r="L177" s="5"/>
    </row>
    <row r="178" spans="1:12" x14ac:dyDescent="0.3">
      <c r="A178" s="6"/>
      <c r="B178" s="5"/>
      <c r="C178" s="5"/>
      <c r="D178" s="7"/>
      <c r="E178" s="7"/>
      <c r="F178" s="8" t="str">
        <f t="shared" si="2"/>
        <v/>
      </c>
      <c r="G178" s="5"/>
      <c r="H178" s="5"/>
      <c r="I178" s="5"/>
      <c r="J178" s="5"/>
      <c r="K178" s="9" t="str">
        <f>IF(A178="","",IF(I178&lt;&gt;"",IF(COUNTIF(AGENDA_BANCARIA!$B$5:$B$2000,I178)&gt;0,"Vinculado","ID não encontrado"),"Sem vínculo"))</f>
        <v/>
      </c>
      <c r="L178" s="5"/>
    </row>
    <row r="179" spans="1:12" x14ac:dyDescent="0.3">
      <c r="A179" s="6"/>
      <c r="B179" s="5"/>
      <c r="C179" s="5"/>
      <c r="D179" s="7"/>
      <c r="E179" s="7"/>
      <c r="F179" s="8" t="str">
        <f t="shared" si="2"/>
        <v/>
      </c>
      <c r="G179" s="5"/>
      <c r="H179" s="5"/>
      <c r="I179" s="5"/>
      <c r="J179" s="5"/>
      <c r="K179" s="9" t="str">
        <f>IF(A179="","",IF(I179&lt;&gt;"",IF(COUNTIF(AGENDA_BANCARIA!$B$5:$B$2000,I179)&gt;0,"Vinculado","ID não encontrado"),"Sem vínculo"))</f>
        <v/>
      </c>
      <c r="L179" s="5"/>
    </row>
    <row r="180" spans="1:12" x14ac:dyDescent="0.3">
      <c r="A180" s="6"/>
      <c r="B180" s="5"/>
      <c r="C180" s="5"/>
      <c r="D180" s="7"/>
      <c r="E180" s="7"/>
      <c r="F180" s="8" t="str">
        <f t="shared" si="2"/>
        <v/>
      </c>
      <c r="G180" s="5"/>
      <c r="H180" s="5"/>
      <c r="I180" s="5"/>
      <c r="J180" s="5"/>
      <c r="K180" s="9" t="str">
        <f>IF(A180="","",IF(I180&lt;&gt;"",IF(COUNTIF(AGENDA_BANCARIA!$B$5:$B$2000,I180)&gt;0,"Vinculado","ID não encontrado"),"Sem vínculo"))</f>
        <v/>
      </c>
      <c r="L180" s="5"/>
    </row>
    <row r="181" spans="1:12" x14ac:dyDescent="0.3">
      <c r="A181" s="6"/>
      <c r="B181" s="5"/>
      <c r="C181" s="5"/>
      <c r="D181" s="7"/>
      <c r="E181" s="7"/>
      <c r="F181" s="8" t="str">
        <f t="shared" si="2"/>
        <v/>
      </c>
      <c r="G181" s="5"/>
      <c r="H181" s="5"/>
      <c r="I181" s="5"/>
      <c r="J181" s="5"/>
      <c r="K181" s="9" t="str">
        <f>IF(A181="","",IF(I181&lt;&gt;"",IF(COUNTIF(AGENDA_BANCARIA!$B$5:$B$2000,I181)&gt;0,"Vinculado","ID não encontrado"),"Sem vínculo"))</f>
        <v/>
      </c>
      <c r="L181" s="5"/>
    </row>
    <row r="182" spans="1:12" x14ac:dyDescent="0.3">
      <c r="A182" s="6"/>
      <c r="B182" s="5"/>
      <c r="C182" s="5"/>
      <c r="D182" s="7"/>
      <c r="E182" s="7"/>
      <c r="F182" s="8" t="str">
        <f t="shared" si="2"/>
        <v/>
      </c>
      <c r="G182" s="5"/>
      <c r="H182" s="5"/>
      <c r="I182" s="5"/>
      <c r="J182" s="5"/>
      <c r="K182" s="9" t="str">
        <f>IF(A182="","",IF(I182&lt;&gt;"",IF(COUNTIF(AGENDA_BANCARIA!$B$5:$B$2000,I182)&gt;0,"Vinculado","ID não encontrado"),"Sem vínculo"))</f>
        <v/>
      </c>
      <c r="L182" s="5"/>
    </row>
    <row r="183" spans="1:12" x14ac:dyDescent="0.3">
      <c r="A183" s="6"/>
      <c r="B183" s="5"/>
      <c r="C183" s="5"/>
      <c r="D183" s="7"/>
      <c r="E183" s="7"/>
      <c r="F183" s="8" t="str">
        <f t="shared" si="2"/>
        <v/>
      </c>
      <c r="G183" s="5"/>
      <c r="H183" s="5"/>
      <c r="I183" s="5"/>
      <c r="J183" s="5"/>
      <c r="K183" s="9" t="str">
        <f>IF(A183="","",IF(I183&lt;&gt;"",IF(COUNTIF(AGENDA_BANCARIA!$B$5:$B$2000,I183)&gt;0,"Vinculado","ID não encontrado"),"Sem vínculo"))</f>
        <v/>
      </c>
      <c r="L183" s="5"/>
    </row>
    <row r="184" spans="1:12" x14ac:dyDescent="0.3">
      <c r="A184" s="6"/>
      <c r="B184" s="5"/>
      <c r="C184" s="5"/>
      <c r="D184" s="7"/>
      <c r="E184" s="7"/>
      <c r="F184" s="8" t="str">
        <f t="shared" si="2"/>
        <v/>
      </c>
      <c r="G184" s="5"/>
      <c r="H184" s="5"/>
      <c r="I184" s="5"/>
      <c r="J184" s="5"/>
      <c r="K184" s="9" t="str">
        <f>IF(A184="","",IF(I184&lt;&gt;"",IF(COUNTIF(AGENDA_BANCARIA!$B$5:$B$2000,I184)&gt;0,"Vinculado","ID não encontrado"),"Sem vínculo"))</f>
        <v/>
      </c>
      <c r="L184" s="5"/>
    </row>
    <row r="185" spans="1:12" x14ac:dyDescent="0.3">
      <c r="A185" s="6"/>
      <c r="B185" s="5"/>
      <c r="C185" s="5"/>
      <c r="D185" s="7"/>
      <c r="E185" s="7"/>
      <c r="F185" s="8" t="str">
        <f t="shared" si="2"/>
        <v/>
      </c>
      <c r="G185" s="5"/>
      <c r="H185" s="5"/>
      <c r="I185" s="5"/>
      <c r="J185" s="5"/>
      <c r="K185" s="9" t="str">
        <f>IF(A185="","",IF(I185&lt;&gt;"",IF(COUNTIF(AGENDA_BANCARIA!$B$5:$B$2000,I185)&gt;0,"Vinculado","ID não encontrado"),"Sem vínculo"))</f>
        <v/>
      </c>
      <c r="L185" s="5"/>
    </row>
    <row r="186" spans="1:12" x14ac:dyDescent="0.3">
      <c r="A186" s="6"/>
      <c r="B186" s="5"/>
      <c r="C186" s="5"/>
      <c r="D186" s="7"/>
      <c r="E186" s="7"/>
      <c r="F186" s="8" t="str">
        <f t="shared" si="2"/>
        <v/>
      </c>
      <c r="G186" s="5"/>
      <c r="H186" s="5"/>
      <c r="I186" s="5"/>
      <c r="J186" s="5"/>
      <c r="K186" s="9" t="str">
        <f>IF(A186="","",IF(I186&lt;&gt;"",IF(COUNTIF(AGENDA_BANCARIA!$B$5:$B$2000,I186)&gt;0,"Vinculado","ID não encontrado"),"Sem vínculo"))</f>
        <v/>
      </c>
      <c r="L186" s="5"/>
    </row>
    <row r="187" spans="1:12" x14ac:dyDescent="0.3">
      <c r="A187" s="6"/>
      <c r="B187" s="5"/>
      <c r="C187" s="5"/>
      <c r="D187" s="7"/>
      <c r="E187" s="7"/>
      <c r="F187" s="8" t="str">
        <f t="shared" si="2"/>
        <v/>
      </c>
      <c r="G187" s="5"/>
      <c r="H187" s="5"/>
      <c r="I187" s="5"/>
      <c r="J187" s="5"/>
      <c r="K187" s="9" t="str">
        <f>IF(A187="","",IF(I187&lt;&gt;"",IF(COUNTIF(AGENDA_BANCARIA!$B$5:$B$2000,I187)&gt;0,"Vinculado","ID não encontrado"),"Sem vínculo"))</f>
        <v/>
      </c>
      <c r="L187" s="5"/>
    </row>
    <row r="188" spans="1:12" x14ac:dyDescent="0.3">
      <c r="A188" s="6"/>
      <c r="B188" s="5"/>
      <c r="C188" s="5"/>
      <c r="D188" s="7"/>
      <c r="E188" s="7"/>
      <c r="F188" s="8" t="str">
        <f t="shared" si="2"/>
        <v/>
      </c>
      <c r="G188" s="5"/>
      <c r="H188" s="5"/>
      <c r="I188" s="5"/>
      <c r="J188" s="5"/>
      <c r="K188" s="9" t="str">
        <f>IF(A188="","",IF(I188&lt;&gt;"",IF(COUNTIF(AGENDA_BANCARIA!$B$5:$B$2000,I188)&gt;0,"Vinculado","ID não encontrado"),"Sem vínculo"))</f>
        <v/>
      </c>
      <c r="L188" s="5"/>
    </row>
    <row r="189" spans="1:12" x14ac:dyDescent="0.3">
      <c r="A189" s="6"/>
      <c r="B189" s="5"/>
      <c r="C189" s="5"/>
      <c r="D189" s="7"/>
      <c r="E189" s="7"/>
      <c r="F189" s="8" t="str">
        <f t="shared" si="2"/>
        <v/>
      </c>
      <c r="G189" s="5"/>
      <c r="H189" s="5"/>
      <c r="I189" s="5"/>
      <c r="J189" s="5"/>
      <c r="K189" s="9" t="str">
        <f>IF(A189="","",IF(I189&lt;&gt;"",IF(COUNTIF(AGENDA_BANCARIA!$B$5:$B$2000,I189)&gt;0,"Vinculado","ID não encontrado"),"Sem vínculo"))</f>
        <v/>
      </c>
      <c r="L189" s="5"/>
    </row>
    <row r="190" spans="1:12" x14ac:dyDescent="0.3">
      <c r="A190" s="6"/>
      <c r="B190" s="5"/>
      <c r="C190" s="5"/>
      <c r="D190" s="7"/>
      <c r="E190" s="7"/>
      <c r="F190" s="8" t="str">
        <f t="shared" si="2"/>
        <v/>
      </c>
      <c r="G190" s="5"/>
      <c r="H190" s="5"/>
      <c r="I190" s="5"/>
      <c r="J190" s="5"/>
      <c r="K190" s="9" t="str">
        <f>IF(A190="","",IF(I190&lt;&gt;"",IF(COUNTIF(AGENDA_BANCARIA!$B$5:$B$2000,I190)&gt;0,"Vinculado","ID não encontrado"),"Sem vínculo"))</f>
        <v/>
      </c>
      <c r="L190" s="5"/>
    </row>
    <row r="191" spans="1:12" x14ac:dyDescent="0.3">
      <c r="A191" s="6"/>
      <c r="B191" s="5"/>
      <c r="C191" s="5"/>
      <c r="D191" s="7"/>
      <c r="E191" s="7"/>
      <c r="F191" s="8" t="str">
        <f t="shared" si="2"/>
        <v/>
      </c>
      <c r="G191" s="5"/>
      <c r="H191" s="5"/>
      <c r="I191" s="5"/>
      <c r="J191" s="5"/>
      <c r="K191" s="9" t="str">
        <f>IF(A191="","",IF(I191&lt;&gt;"",IF(COUNTIF(AGENDA_BANCARIA!$B$5:$B$2000,I191)&gt;0,"Vinculado","ID não encontrado"),"Sem vínculo"))</f>
        <v/>
      </c>
      <c r="L191" s="5"/>
    </row>
    <row r="192" spans="1:12" x14ac:dyDescent="0.3">
      <c r="A192" s="6"/>
      <c r="B192" s="5"/>
      <c r="C192" s="5"/>
      <c r="D192" s="7"/>
      <c r="E192" s="7"/>
      <c r="F192" s="8" t="str">
        <f t="shared" si="2"/>
        <v/>
      </c>
      <c r="G192" s="5"/>
      <c r="H192" s="5"/>
      <c r="I192" s="5"/>
      <c r="J192" s="5"/>
      <c r="K192" s="9" t="str">
        <f>IF(A192="","",IF(I192&lt;&gt;"",IF(COUNTIF(AGENDA_BANCARIA!$B$5:$B$2000,I192)&gt;0,"Vinculado","ID não encontrado"),"Sem vínculo"))</f>
        <v/>
      </c>
      <c r="L192" s="5"/>
    </row>
    <row r="193" spans="1:12" x14ac:dyDescent="0.3">
      <c r="A193" s="6"/>
      <c r="B193" s="5"/>
      <c r="C193" s="5"/>
      <c r="D193" s="7"/>
      <c r="E193" s="7"/>
      <c r="F193" s="8" t="str">
        <f t="shared" si="2"/>
        <v/>
      </c>
      <c r="G193" s="5"/>
      <c r="H193" s="5"/>
      <c r="I193" s="5"/>
      <c r="J193" s="5"/>
      <c r="K193" s="9" t="str">
        <f>IF(A193="","",IF(I193&lt;&gt;"",IF(COUNTIF(AGENDA_BANCARIA!$B$5:$B$2000,I193)&gt;0,"Vinculado","ID não encontrado"),"Sem vínculo"))</f>
        <v/>
      </c>
      <c r="L193" s="5"/>
    </row>
    <row r="194" spans="1:12" x14ac:dyDescent="0.3">
      <c r="A194" s="6"/>
      <c r="B194" s="5"/>
      <c r="C194" s="5"/>
      <c r="D194" s="7"/>
      <c r="E194" s="7"/>
      <c r="F194" s="8" t="str">
        <f t="shared" si="2"/>
        <v/>
      </c>
      <c r="G194" s="5"/>
      <c r="H194" s="5"/>
      <c r="I194" s="5"/>
      <c r="J194" s="5"/>
      <c r="K194" s="9" t="str">
        <f>IF(A194="","",IF(I194&lt;&gt;"",IF(COUNTIF(AGENDA_BANCARIA!$B$5:$B$2000,I194)&gt;0,"Vinculado","ID não encontrado"),"Sem vínculo"))</f>
        <v/>
      </c>
      <c r="L194" s="5"/>
    </row>
    <row r="195" spans="1:12" x14ac:dyDescent="0.3">
      <c r="A195" s="6"/>
      <c r="B195" s="5"/>
      <c r="C195" s="5"/>
      <c r="D195" s="7"/>
      <c r="E195" s="7"/>
      <c r="F195" s="8" t="str">
        <f t="shared" si="2"/>
        <v/>
      </c>
      <c r="G195" s="5"/>
      <c r="H195" s="5"/>
      <c r="I195" s="5"/>
      <c r="J195" s="5"/>
      <c r="K195" s="9" t="str">
        <f>IF(A195="","",IF(I195&lt;&gt;"",IF(COUNTIF(AGENDA_BANCARIA!$B$5:$B$2000,I195)&gt;0,"Vinculado","ID não encontrado"),"Sem vínculo"))</f>
        <v/>
      </c>
      <c r="L195" s="5"/>
    </row>
    <row r="196" spans="1:12" x14ac:dyDescent="0.3">
      <c r="A196" s="6"/>
      <c r="B196" s="5"/>
      <c r="C196" s="5"/>
      <c r="D196" s="7"/>
      <c r="E196" s="7"/>
      <c r="F196" s="8" t="str">
        <f t="shared" si="2"/>
        <v/>
      </c>
      <c r="G196" s="5"/>
      <c r="H196" s="5"/>
      <c r="I196" s="5"/>
      <c r="J196" s="5"/>
      <c r="K196" s="9" t="str">
        <f>IF(A196="","",IF(I196&lt;&gt;"",IF(COUNTIF(AGENDA_BANCARIA!$B$5:$B$2000,I196)&gt;0,"Vinculado","ID não encontrado"),"Sem vínculo"))</f>
        <v/>
      </c>
      <c r="L196" s="5"/>
    </row>
    <row r="197" spans="1:12" x14ac:dyDescent="0.3">
      <c r="A197" s="6"/>
      <c r="B197" s="5"/>
      <c r="C197" s="5"/>
      <c r="D197" s="7"/>
      <c r="E197" s="7"/>
      <c r="F197" s="8" t="str">
        <f t="shared" ref="F197:F260" si="3">IF(OR(D197&lt;&gt;"",E197&lt;&gt;""),IF(E197&lt;&gt;"",E197,-D197),"")</f>
        <v/>
      </c>
      <c r="G197" s="5"/>
      <c r="H197" s="5"/>
      <c r="I197" s="5"/>
      <c r="J197" s="5"/>
      <c r="K197" s="9" t="str">
        <f>IF(A197="","",IF(I197&lt;&gt;"",IF(COUNTIF(AGENDA_BANCARIA!$B$5:$B$2000,I197)&gt;0,"Vinculado","ID não encontrado"),"Sem vínculo"))</f>
        <v/>
      </c>
      <c r="L197" s="5"/>
    </row>
    <row r="198" spans="1:12" x14ac:dyDescent="0.3">
      <c r="A198" s="6"/>
      <c r="B198" s="5"/>
      <c r="C198" s="5"/>
      <c r="D198" s="7"/>
      <c r="E198" s="7"/>
      <c r="F198" s="8" t="str">
        <f t="shared" si="3"/>
        <v/>
      </c>
      <c r="G198" s="5"/>
      <c r="H198" s="5"/>
      <c r="I198" s="5"/>
      <c r="J198" s="5"/>
      <c r="K198" s="9" t="str">
        <f>IF(A198="","",IF(I198&lt;&gt;"",IF(COUNTIF(AGENDA_BANCARIA!$B$5:$B$2000,I198)&gt;0,"Vinculado","ID não encontrado"),"Sem vínculo"))</f>
        <v/>
      </c>
      <c r="L198" s="5"/>
    </row>
    <row r="199" spans="1:12" x14ac:dyDescent="0.3">
      <c r="A199" s="6"/>
      <c r="B199" s="5"/>
      <c r="C199" s="5"/>
      <c r="D199" s="7"/>
      <c r="E199" s="7"/>
      <c r="F199" s="8" t="str">
        <f t="shared" si="3"/>
        <v/>
      </c>
      <c r="G199" s="5"/>
      <c r="H199" s="5"/>
      <c r="I199" s="5"/>
      <c r="J199" s="5"/>
      <c r="K199" s="9" t="str">
        <f>IF(A199="","",IF(I199&lt;&gt;"",IF(COUNTIF(AGENDA_BANCARIA!$B$5:$B$2000,I199)&gt;0,"Vinculado","ID não encontrado"),"Sem vínculo"))</f>
        <v/>
      </c>
      <c r="L199" s="5"/>
    </row>
    <row r="200" spans="1:12" x14ac:dyDescent="0.3">
      <c r="A200" s="6"/>
      <c r="B200" s="5"/>
      <c r="C200" s="5"/>
      <c r="D200" s="7"/>
      <c r="E200" s="7"/>
      <c r="F200" s="8" t="str">
        <f t="shared" si="3"/>
        <v/>
      </c>
      <c r="G200" s="5"/>
      <c r="H200" s="5"/>
      <c r="I200" s="5"/>
      <c r="J200" s="5"/>
      <c r="K200" s="9" t="str">
        <f>IF(A200="","",IF(I200&lt;&gt;"",IF(COUNTIF(AGENDA_BANCARIA!$B$5:$B$2000,I200)&gt;0,"Vinculado","ID não encontrado"),"Sem vínculo"))</f>
        <v/>
      </c>
      <c r="L200" s="5"/>
    </row>
    <row r="201" spans="1:12" x14ac:dyDescent="0.3">
      <c r="A201" s="6"/>
      <c r="B201" s="5"/>
      <c r="C201" s="5"/>
      <c r="D201" s="7"/>
      <c r="E201" s="7"/>
      <c r="F201" s="8" t="str">
        <f t="shared" si="3"/>
        <v/>
      </c>
      <c r="G201" s="5"/>
      <c r="H201" s="5"/>
      <c r="I201" s="5"/>
      <c r="J201" s="5"/>
      <c r="K201" s="9" t="str">
        <f>IF(A201="","",IF(I201&lt;&gt;"",IF(COUNTIF(AGENDA_BANCARIA!$B$5:$B$2000,I201)&gt;0,"Vinculado","ID não encontrado"),"Sem vínculo"))</f>
        <v/>
      </c>
      <c r="L201" s="5"/>
    </row>
    <row r="202" spans="1:12" x14ac:dyDescent="0.3">
      <c r="A202" s="6"/>
      <c r="B202" s="5"/>
      <c r="C202" s="5"/>
      <c r="D202" s="7"/>
      <c r="E202" s="7"/>
      <c r="F202" s="8" t="str">
        <f t="shared" si="3"/>
        <v/>
      </c>
      <c r="G202" s="5"/>
      <c r="H202" s="5"/>
      <c r="I202" s="5"/>
      <c r="J202" s="5"/>
      <c r="K202" s="9" t="str">
        <f>IF(A202="","",IF(I202&lt;&gt;"",IF(COUNTIF(AGENDA_BANCARIA!$B$5:$B$2000,I202)&gt;0,"Vinculado","ID não encontrado"),"Sem vínculo"))</f>
        <v/>
      </c>
      <c r="L202" s="5"/>
    </row>
    <row r="203" spans="1:12" x14ac:dyDescent="0.3">
      <c r="A203" s="6"/>
      <c r="B203" s="5"/>
      <c r="C203" s="5"/>
      <c r="D203" s="7"/>
      <c r="E203" s="7"/>
      <c r="F203" s="8" t="str">
        <f t="shared" si="3"/>
        <v/>
      </c>
      <c r="G203" s="5"/>
      <c r="H203" s="5"/>
      <c r="I203" s="5"/>
      <c r="J203" s="5"/>
      <c r="K203" s="9" t="str">
        <f>IF(A203="","",IF(I203&lt;&gt;"",IF(COUNTIF(AGENDA_BANCARIA!$B$5:$B$2000,I203)&gt;0,"Vinculado","ID não encontrado"),"Sem vínculo"))</f>
        <v/>
      </c>
      <c r="L203" s="5"/>
    </row>
    <row r="204" spans="1:12" x14ac:dyDescent="0.3">
      <c r="A204" s="6"/>
      <c r="B204" s="5"/>
      <c r="C204" s="5"/>
      <c r="D204" s="7"/>
      <c r="E204" s="7"/>
      <c r="F204" s="8" t="str">
        <f t="shared" si="3"/>
        <v/>
      </c>
      <c r="G204" s="5"/>
      <c r="H204" s="5"/>
      <c r="I204" s="5"/>
      <c r="J204" s="5"/>
      <c r="K204" s="9" t="str">
        <f>IF(A204="","",IF(I204&lt;&gt;"",IF(COUNTIF(AGENDA_BANCARIA!$B$5:$B$2000,I204)&gt;0,"Vinculado","ID não encontrado"),"Sem vínculo"))</f>
        <v/>
      </c>
      <c r="L204" s="5"/>
    </row>
    <row r="205" spans="1:12" x14ac:dyDescent="0.3">
      <c r="A205" s="6"/>
      <c r="B205" s="5"/>
      <c r="C205" s="5"/>
      <c r="D205" s="7"/>
      <c r="E205" s="7"/>
      <c r="F205" s="8" t="str">
        <f t="shared" si="3"/>
        <v/>
      </c>
      <c r="G205" s="5"/>
      <c r="H205" s="5"/>
      <c r="I205" s="5"/>
      <c r="J205" s="5"/>
      <c r="K205" s="9" t="str">
        <f>IF(A205="","",IF(I205&lt;&gt;"",IF(COUNTIF(AGENDA_BANCARIA!$B$5:$B$2000,I205)&gt;0,"Vinculado","ID não encontrado"),"Sem vínculo"))</f>
        <v/>
      </c>
      <c r="L205" s="5"/>
    </row>
    <row r="206" spans="1:12" x14ac:dyDescent="0.3">
      <c r="A206" s="6"/>
      <c r="B206" s="5"/>
      <c r="C206" s="5"/>
      <c r="D206" s="7"/>
      <c r="E206" s="7"/>
      <c r="F206" s="8" t="str">
        <f t="shared" si="3"/>
        <v/>
      </c>
      <c r="G206" s="5"/>
      <c r="H206" s="5"/>
      <c r="I206" s="5"/>
      <c r="J206" s="5"/>
      <c r="K206" s="9" t="str">
        <f>IF(A206="","",IF(I206&lt;&gt;"",IF(COUNTIF(AGENDA_BANCARIA!$B$5:$B$2000,I206)&gt;0,"Vinculado","ID não encontrado"),"Sem vínculo"))</f>
        <v/>
      </c>
      <c r="L206" s="5"/>
    </row>
    <row r="207" spans="1:12" x14ac:dyDescent="0.3">
      <c r="A207" s="6"/>
      <c r="B207" s="5"/>
      <c r="C207" s="5"/>
      <c r="D207" s="7"/>
      <c r="E207" s="7"/>
      <c r="F207" s="8" t="str">
        <f t="shared" si="3"/>
        <v/>
      </c>
      <c r="G207" s="5"/>
      <c r="H207" s="5"/>
      <c r="I207" s="5"/>
      <c r="J207" s="5"/>
      <c r="K207" s="9" t="str">
        <f>IF(A207="","",IF(I207&lt;&gt;"",IF(COUNTIF(AGENDA_BANCARIA!$B$5:$B$2000,I207)&gt;0,"Vinculado","ID não encontrado"),"Sem vínculo"))</f>
        <v/>
      </c>
      <c r="L207" s="5"/>
    </row>
    <row r="208" spans="1:12" x14ac:dyDescent="0.3">
      <c r="A208" s="6"/>
      <c r="B208" s="5"/>
      <c r="C208" s="5"/>
      <c r="D208" s="7"/>
      <c r="E208" s="7"/>
      <c r="F208" s="8" t="str">
        <f t="shared" si="3"/>
        <v/>
      </c>
      <c r="G208" s="5"/>
      <c r="H208" s="5"/>
      <c r="I208" s="5"/>
      <c r="J208" s="5"/>
      <c r="K208" s="9" t="str">
        <f>IF(A208="","",IF(I208&lt;&gt;"",IF(COUNTIF(AGENDA_BANCARIA!$B$5:$B$2000,I208)&gt;0,"Vinculado","ID não encontrado"),"Sem vínculo"))</f>
        <v/>
      </c>
      <c r="L208" s="5"/>
    </row>
    <row r="209" spans="1:12" x14ac:dyDescent="0.3">
      <c r="A209" s="6"/>
      <c r="B209" s="5"/>
      <c r="C209" s="5"/>
      <c r="D209" s="7"/>
      <c r="E209" s="7"/>
      <c r="F209" s="8" t="str">
        <f t="shared" si="3"/>
        <v/>
      </c>
      <c r="G209" s="5"/>
      <c r="H209" s="5"/>
      <c r="I209" s="5"/>
      <c r="J209" s="5"/>
      <c r="K209" s="9" t="str">
        <f>IF(A209="","",IF(I209&lt;&gt;"",IF(COUNTIF(AGENDA_BANCARIA!$B$5:$B$2000,I209)&gt;0,"Vinculado","ID não encontrado"),"Sem vínculo"))</f>
        <v/>
      </c>
      <c r="L209" s="5"/>
    </row>
    <row r="210" spans="1:12" x14ac:dyDescent="0.3">
      <c r="A210" s="6"/>
      <c r="B210" s="5"/>
      <c r="C210" s="5"/>
      <c r="D210" s="7"/>
      <c r="E210" s="7"/>
      <c r="F210" s="8" t="str">
        <f t="shared" si="3"/>
        <v/>
      </c>
      <c r="G210" s="5"/>
      <c r="H210" s="5"/>
      <c r="I210" s="5"/>
      <c r="J210" s="5"/>
      <c r="K210" s="9" t="str">
        <f>IF(A210="","",IF(I210&lt;&gt;"",IF(COUNTIF(AGENDA_BANCARIA!$B$5:$B$2000,I210)&gt;0,"Vinculado","ID não encontrado"),"Sem vínculo"))</f>
        <v/>
      </c>
      <c r="L210" s="5"/>
    </row>
    <row r="211" spans="1:12" x14ac:dyDescent="0.3">
      <c r="A211" s="6"/>
      <c r="B211" s="5"/>
      <c r="C211" s="5"/>
      <c r="D211" s="7"/>
      <c r="E211" s="7"/>
      <c r="F211" s="8" t="str">
        <f t="shared" si="3"/>
        <v/>
      </c>
      <c r="G211" s="5"/>
      <c r="H211" s="5"/>
      <c r="I211" s="5"/>
      <c r="J211" s="5"/>
      <c r="K211" s="9" t="str">
        <f>IF(A211="","",IF(I211&lt;&gt;"",IF(COUNTIF(AGENDA_BANCARIA!$B$5:$B$2000,I211)&gt;0,"Vinculado","ID não encontrado"),"Sem vínculo"))</f>
        <v/>
      </c>
      <c r="L211" s="5"/>
    </row>
    <row r="212" spans="1:12" x14ac:dyDescent="0.3">
      <c r="A212" s="6"/>
      <c r="B212" s="5"/>
      <c r="C212" s="5"/>
      <c r="D212" s="7"/>
      <c r="E212" s="7"/>
      <c r="F212" s="8" t="str">
        <f t="shared" si="3"/>
        <v/>
      </c>
      <c r="G212" s="5"/>
      <c r="H212" s="5"/>
      <c r="I212" s="5"/>
      <c r="J212" s="5"/>
      <c r="K212" s="9" t="str">
        <f>IF(A212="","",IF(I212&lt;&gt;"",IF(COUNTIF(AGENDA_BANCARIA!$B$5:$B$2000,I212)&gt;0,"Vinculado","ID não encontrado"),"Sem vínculo"))</f>
        <v/>
      </c>
      <c r="L212" s="5"/>
    </row>
    <row r="213" spans="1:12" x14ac:dyDescent="0.3">
      <c r="A213" s="6"/>
      <c r="B213" s="5"/>
      <c r="C213" s="5"/>
      <c r="D213" s="7"/>
      <c r="E213" s="7"/>
      <c r="F213" s="8" t="str">
        <f t="shared" si="3"/>
        <v/>
      </c>
      <c r="G213" s="5"/>
      <c r="H213" s="5"/>
      <c r="I213" s="5"/>
      <c r="J213" s="5"/>
      <c r="K213" s="9" t="str">
        <f>IF(A213="","",IF(I213&lt;&gt;"",IF(COUNTIF(AGENDA_BANCARIA!$B$5:$B$2000,I213)&gt;0,"Vinculado","ID não encontrado"),"Sem vínculo"))</f>
        <v/>
      </c>
      <c r="L213" s="5"/>
    </row>
    <row r="214" spans="1:12" x14ac:dyDescent="0.3">
      <c r="A214" s="6"/>
      <c r="B214" s="5"/>
      <c r="C214" s="5"/>
      <c r="D214" s="7"/>
      <c r="E214" s="7"/>
      <c r="F214" s="8" t="str">
        <f t="shared" si="3"/>
        <v/>
      </c>
      <c r="G214" s="5"/>
      <c r="H214" s="5"/>
      <c r="I214" s="5"/>
      <c r="J214" s="5"/>
      <c r="K214" s="9" t="str">
        <f>IF(A214="","",IF(I214&lt;&gt;"",IF(COUNTIF(AGENDA_BANCARIA!$B$5:$B$2000,I214)&gt;0,"Vinculado","ID não encontrado"),"Sem vínculo"))</f>
        <v/>
      </c>
      <c r="L214" s="5"/>
    </row>
    <row r="215" spans="1:12" x14ac:dyDescent="0.3">
      <c r="A215" s="6"/>
      <c r="B215" s="5"/>
      <c r="C215" s="5"/>
      <c r="D215" s="7"/>
      <c r="E215" s="7"/>
      <c r="F215" s="8" t="str">
        <f t="shared" si="3"/>
        <v/>
      </c>
      <c r="G215" s="5"/>
      <c r="H215" s="5"/>
      <c r="I215" s="5"/>
      <c r="J215" s="5"/>
      <c r="K215" s="9" t="str">
        <f>IF(A215="","",IF(I215&lt;&gt;"",IF(COUNTIF(AGENDA_BANCARIA!$B$5:$B$2000,I215)&gt;0,"Vinculado","ID não encontrado"),"Sem vínculo"))</f>
        <v/>
      </c>
      <c r="L215" s="5"/>
    </row>
    <row r="216" spans="1:12" x14ac:dyDescent="0.3">
      <c r="A216" s="6"/>
      <c r="B216" s="5"/>
      <c r="C216" s="5"/>
      <c r="D216" s="7"/>
      <c r="E216" s="7"/>
      <c r="F216" s="8" t="str">
        <f t="shared" si="3"/>
        <v/>
      </c>
      <c r="G216" s="5"/>
      <c r="H216" s="5"/>
      <c r="I216" s="5"/>
      <c r="J216" s="5"/>
      <c r="K216" s="9" t="str">
        <f>IF(A216="","",IF(I216&lt;&gt;"",IF(COUNTIF(AGENDA_BANCARIA!$B$5:$B$2000,I216)&gt;0,"Vinculado","ID não encontrado"),"Sem vínculo"))</f>
        <v/>
      </c>
      <c r="L216" s="5"/>
    </row>
    <row r="217" spans="1:12" x14ac:dyDescent="0.3">
      <c r="A217" s="6"/>
      <c r="B217" s="5"/>
      <c r="C217" s="5"/>
      <c r="D217" s="7"/>
      <c r="E217" s="7"/>
      <c r="F217" s="8" t="str">
        <f t="shared" si="3"/>
        <v/>
      </c>
      <c r="G217" s="5"/>
      <c r="H217" s="5"/>
      <c r="I217" s="5"/>
      <c r="J217" s="5"/>
      <c r="K217" s="9" t="str">
        <f>IF(A217="","",IF(I217&lt;&gt;"",IF(COUNTIF(AGENDA_BANCARIA!$B$5:$B$2000,I217)&gt;0,"Vinculado","ID não encontrado"),"Sem vínculo"))</f>
        <v/>
      </c>
      <c r="L217" s="5"/>
    </row>
    <row r="218" spans="1:12" x14ac:dyDescent="0.3">
      <c r="A218" s="6"/>
      <c r="B218" s="5"/>
      <c r="C218" s="5"/>
      <c r="D218" s="7"/>
      <c r="E218" s="7"/>
      <c r="F218" s="8" t="str">
        <f t="shared" si="3"/>
        <v/>
      </c>
      <c r="G218" s="5"/>
      <c r="H218" s="5"/>
      <c r="I218" s="5"/>
      <c r="J218" s="5"/>
      <c r="K218" s="9" t="str">
        <f>IF(A218="","",IF(I218&lt;&gt;"",IF(COUNTIF(AGENDA_BANCARIA!$B$5:$B$2000,I218)&gt;0,"Vinculado","ID não encontrado"),"Sem vínculo"))</f>
        <v/>
      </c>
      <c r="L218" s="5"/>
    </row>
    <row r="219" spans="1:12" x14ac:dyDescent="0.3">
      <c r="A219" s="6"/>
      <c r="B219" s="5"/>
      <c r="C219" s="5"/>
      <c r="D219" s="7"/>
      <c r="E219" s="7"/>
      <c r="F219" s="8" t="str">
        <f t="shared" si="3"/>
        <v/>
      </c>
      <c r="G219" s="5"/>
      <c r="H219" s="5"/>
      <c r="I219" s="5"/>
      <c r="J219" s="5"/>
      <c r="K219" s="9" t="str">
        <f>IF(A219="","",IF(I219&lt;&gt;"",IF(COUNTIF(AGENDA_BANCARIA!$B$5:$B$2000,I219)&gt;0,"Vinculado","ID não encontrado"),"Sem vínculo"))</f>
        <v/>
      </c>
      <c r="L219" s="5"/>
    </row>
    <row r="220" spans="1:12" x14ac:dyDescent="0.3">
      <c r="A220" s="6"/>
      <c r="B220" s="5"/>
      <c r="C220" s="5"/>
      <c r="D220" s="7"/>
      <c r="E220" s="7"/>
      <c r="F220" s="8" t="str">
        <f t="shared" si="3"/>
        <v/>
      </c>
      <c r="G220" s="5"/>
      <c r="H220" s="5"/>
      <c r="I220" s="5"/>
      <c r="J220" s="5"/>
      <c r="K220" s="9" t="str">
        <f>IF(A220="","",IF(I220&lt;&gt;"",IF(COUNTIF(AGENDA_BANCARIA!$B$5:$B$2000,I220)&gt;0,"Vinculado","ID não encontrado"),"Sem vínculo"))</f>
        <v/>
      </c>
      <c r="L220" s="5"/>
    </row>
    <row r="221" spans="1:12" x14ac:dyDescent="0.3">
      <c r="A221" s="6"/>
      <c r="B221" s="5"/>
      <c r="C221" s="5"/>
      <c r="D221" s="7"/>
      <c r="E221" s="7"/>
      <c r="F221" s="8" t="str">
        <f t="shared" si="3"/>
        <v/>
      </c>
      <c r="G221" s="5"/>
      <c r="H221" s="5"/>
      <c r="I221" s="5"/>
      <c r="J221" s="5"/>
      <c r="K221" s="9" t="str">
        <f>IF(A221="","",IF(I221&lt;&gt;"",IF(COUNTIF(AGENDA_BANCARIA!$B$5:$B$2000,I221)&gt;0,"Vinculado","ID não encontrado"),"Sem vínculo"))</f>
        <v/>
      </c>
      <c r="L221" s="5"/>
    </row>
    <row r="222" spans="1:12" x14ac:dyDescent="0.3">
      <c r="A222" s="6"/>
      <c r="B222" s="5"/>
      <c r="C222" s="5"/>
      <c r="D222" s="7"/>
      <c r="E222" s="7"/>
      <c r="F222" s="8" t="str">
        <f t="shared" si="3"/>
        <v/>
      </c>
      <c r="G222" s="5"/>
      <c r="H222" s="5"/>
      <c r="I222" s="5"/>
      <c r="J222" s="5"/>
      <c r="K222" s="9" t="str">
        <f>IF(A222="","",IF(I222&lt;&gt;"",IF(COUNTIF(AGENDA_BANCARIA!$B$5:$B$2000,I222)&gt;0,"Vinculado","ID não encontrado"),"Sem vínculo"))</f>
        <v/>
      </c>
      <c r="L222" s="5"/>
    </row>
    <row r="223" spans="1:12" x14ac:dyDescent="0.3">
      <c r="A223" s="6"/>
      <c r="B223" s="5"/>
      <c r="C223" s="5"/>
      <c r="D223" s="7"/>
      <c r="E223" s="7"/>
      <c r="F223" s="8" t="str">
        <f t="shared" si="3"/>
        <v/>
      </c>
      <c r="G223" s="5"/>
      <c r="H223" s="5"/>
      <c r="I223" s="5"/>
      <c r="J223" s="5"/>
      <c r="K223" s="9" t="str">
        <f>IF(A223="","",IF(I223&lt;&gt;"",IF(COUNTIF(AGENDA_BANCARIA!$B$5:$B$2000,I223)&gt;0,"Vinculado","ID não encontrado"),"Sem vínculo"))</f>
        <v/>
      </c>
      <c r="L223" s="5"/>
    </row>
    <row r="224" spans="1:12" x14ac:dyDescent="0.3">
      <c r="A224" s="6"/>
      <c r="B224" s="5"/>
      <c r="C224" s="5"/>
      <c r="D224" s="7"/>
      <c r="E224" s="7"/>
      <c r="F224" s="8" t="str">
        <f t="shared" si="3"/>
        <v/>
      </c>
      <c r="G224" s="5"/>
      <c r="H224" s="5"/>
      <c r="I224" s="5"/>
      <c r="J224" s="5"/>
      <c r="K224" s="9" t="str">
        <f>IF(A224="","",IF(I224&lt;&gt;"",IF(COUNTIF(AGENDA_BANCARIA!$B$5:$B$2000,I224)&gt;0,"Vinculado","ID não encontrado"),"Sem vínculo"))</f>
        <v/>
      </c>
      <c r="L224" s="5"/>
    </row>
    <row r="225" spans="1:12" x14ac:dyDescent="0.3">
      <c r="A225" s="6"/>
      <c r="B225" s="5"/>
      <c r="C225" s="5"/>
      <c r="D225" s="7"/>
      <c r="E225" s="7"/>
      <c r="F225" s="8" t="str">
        <f t="shared" si="3"/>
        <v/>
      </c>
      <c r="G225" s="5"/>
      <c r="H225" s="5"/>
      <c r="I225" s="5"/>
      <c r="J225" s="5"/>
      <c r="K225" s="9" t="str">
        <f>IF(A225="","",IF(I225&lt;&gt;"",IF(COUNTIF(AGENDA_BANCARIA!$B$5:$B$2000,I225)&gt;0,"Vinculado","ID não encontrado"),"Sem vínculo"))</f>
        <v/>
      </c>
      <c r="L225" s="5"/>
    </row>
    <row r="226" spans="1:12" x14ac:dyDescent="0.3">
      <c r="A226" s="6"/>
      <c r="B226" s="5"/>
      <c r="C226" s="5"/>
      <c r="D226" s="7"/>
      <c r="E226" s="7"/>
      <c r="F226" s="8" t="str">
        <f t="shared" si="3"/>
        <v/>
      </c>
      <c r="G226" s="5"/>
      <c r="H226" s="5"/>
      <c r="I226" s="5"/>
      <c r="J226" s="5"/>
      <c r="K226" s="9" t="str">
        <f>IF(A226="","",IF(I226&lt;&gt;"",IF(COUNTIF(AGENDA_BANCARIA!$B$5:$B$2000,I226)&gt;0,"Vinculado","ID não encontrado"),"Sem vínculo"))</f>
        <v/>
      </c>
      <c r="L226" s="5"/>
    </row>
    <row r="227" spans="1:12" x14ac:dyDescent="0.3">
      <c r="A227" s="6"/>
      <c r="B227" s="5"/>
      <c r="C227" s="5"/>
      <c r="D227" s="7"/>
      <c r="E227" s="7"/>
      <c r="F227" s="8" t="str">
        <f t="shared" si="3"/>
        <v/>
      </c>
      <c r="G227" s="5"/>
      <c r="H227" s="5"/>
      <c r="I227" s="5"/>
      <c r="J227" s="5"/>
      <c r="K227" s="9" t="str">
        <f>IF(A227="","",IF(I227&lt;&gt;"",IF(COUNTIF(AGENDA_BANCARIA!$B$5:$B$2000,I227)&gt;0,"Vinculado","ID não encontrado"),"Sem vínculo"))</f>
        <v/>
      </c>
      <c r="L227" s="5"/>
    </row>
    <row r="228" spans="1:12" x14ac:dyDescent="0.3">
      <c r="A228" s="6"/>
      <c r="B228" s="5"/>
      <c r="C228" s="5"/>
      <c r="D228" s="7"/>
      <c r="E228" s="7"/>
      <c r="F228" s="8" t="str">
        <f t="shared" si="3"/>
        <v/>
      </c>
      <c r="G228" s="5"/>
      <c r="H228" s="5"/>
      <c r="I228" s="5"/>
      <c r="J228" s="5"/>
      <c r="K228" s="9" t="str">
        <f>IF(A228="","",IF(I228&lt;&gt;"",IF(COUNTIF(AGENDA_BANCARIA!$B$5:$B$2000,I228)&gt;0,"Vinculado","ID não encontrado"),"Sem vínculo"))</f>
        <v/>
      </c>
      <c r="L228" s="5"/>
    </row>
    <row r="229" spans="1:12" x14ac:dyDescent="0.3">
      <c r="A229" s="6"/>
      <c r="B229" s="5"/>
      <c r="C229" s="5"/>
      <c r="D229" s="7"/>
      <c r="E229" s="7"/>
      <c r="F229" s="8" t="str">
        <f t="shared" si="3"/>
        <v/>
      </c>
      <c r="G229" s="5"/>
      <c r="H229" s="5"/>
      <c r="I229" s="5"/>
      <c r="J229" s="5"/>
      <c r="K229" s="9" t="str">
        <f>IF(A229="","",IF(I229&lt;&gt;"",IF(COUNTIF(AGENDA_BANCARIA!$B$5:$B$2000,I229)&gt;0,"Vinculado","ID não encontrado"),"Sem vínculo"))</f>
        <v/>
      </c>
      <c r="L229" s="5"/>
    </row>
    <row r="230" spans="1:12" x14ac:dyDescent="0.3">
      <c r="A230" s="6"/>
      <c r="B230" s="5"/>
      <c r="C230" s="5"/>
      <c r="D230" s="7"/>
      <c r="E230" s="7"/>
      <c r="F230" s="8" t="str">
        <f t="shared" si="3"/>
        <v/>
      </c>
      <c r="G230" s="5"/>
      <c r="H230" s="5"/>
      <c r="I230" s="5"/>
      <c r="J230" s="5"/>
      <c r="K230" s="9" t="str">
        <f>IF(A230="","",IF(I230&lt;&gt;"",IF(COUNTIF(AGENDA_BANCARIA!$B$5:$B$2000,I230)&gt;0,"Vinculado","ID não encontrado"),"Sem vínculo"))</f>
        <v/>
      </c>
      <c r="L230" s="5"/>
    </row>
    <row r="231" spans="1:12" x14ac:dyDescent="0.3">
      <c r="A231" s="6"/>
      <c r="B231" s="5"/>
      <c r="C231" s="5"/>
      <c r="D231" s="7"/>
      <c r="E231" s="7"/>
      <c r="F231" s="8" t="str">
        <f t="shared" si="3"/>
        <v/>
      </c>
      <c r="G231" s="5"/>
      <c r="H231" s="5"/>
      <c r="I231" s="5"/>
      <c r="J231" s="5"/>
      <c r="K231" s="9" t="str">
        <f>IF(A231="","",IF(I231&lt;&gt;"",IF(COUNTIF(AGENDA_BANCARIA!$B$5:$B$2000,I231)&gt;0,"Vinculado","ID não encontrado"),"Sem vínculo"))</f>
        <v/>
      </c>
      <c r="L231" s="5"/>
    </row>
    <row r="232" spans="1:12" x14ac:dyDescent="0.3">
      <c r="A232" s="6"/>
      <c r="B232" s="5"/>
      <c r="C232" s="5"/>
      <c r="D232" s="7"/>
      <c r="E232" s="7"/>
      <c r="F232" s="8" t="str">
        <f t="shared" si="3"/>
        <v/>
      </c>
      <c r="G232" s="5"/>
      <c r="H232" s="5"/>
      <c r="I232" s="5"/>
      <c r="J232" s="5"/>
      <c r="K232" s="9" t="str">
        <f>IF(A232="","",IF(I232&lt;&gt;"",IF(COUNTIF(AGENDA_BANCARIA!$B$5:$B$2000,I232)&gt;0,"Vinculado","ID não encontrado"),"Sem vínculo"))</f>
        <v/>
      </c>
      <c r="L232" s="5"/>
    </row>
    <row r="233" spans="1:12" x14ac:dyDescent="0.3">
      <c r="A233" s="6"/>
      <c r="B233" s="5"/>
      <c r="C233" s="5"/>
      <c r="D233" s="7"/>
      <c r="E233" s="7"/>
      <c r="F233" s="8" t="str">
        <f t="shared" si="3"/>
        <v/>
      </c>
      <c r="G233" s="5"/>
      <c r="H233" s="5"/>
      <c r="I233" s="5"/>
      <c r="J233" s="5"/>
      <c r="K233" s="9" t="str">
        <f>IF(A233="","",IF(I233&lt;&gt;"",IF(COUNTIF(AGENDA_BANCARIA!$B$5:$B$2000,I233)&gt;0,"Vinculado","ID não encontrado"),"Sem vínculo"))</f>
        <v/>
      </c>
      <c r="L233" s="5"/>
    </row>
    <row r="234" spans="1:12" x14ac:dyDescent="0.3">
      <c r="A234" s="6"/>
      <c r="B234" s="5"/>
      <c r="C234" s="5"/>
      <c r="D234" s="7"/>
      <c r="E234" s="7"/>
      <c r="F234" s="8" t="str">
        <f t="shared" si="3"/>
        <v/>
      </c>
      <c r="G234" s="5"/>
      <c r="H234" s="5"/>
      <c r="I234" s="5"/>
      <c r="J234" s="5"/>
      <c r="K234" s="9" t="str">
        <f>IF(A234="","",IF(I234&lt;&gt;"",IF(COUNTIF(AGENDA_BANCARIA!$B$5:$B$2000,I234)&gt;0,"Vinculado","ID não encontrado"),"Sem vínculo"))</f>
        <v/>
      </c>
      <c r="L234" s="5"/>
    </row>
    <row r="235" spans="1:12" x14ac:dyDescent="0.3">
      <c r="A235" s="6"/>
      <c r="B235" s="5"/>
      <c r="C235" s="5"/>
      <c r="D235" s="7"/>
      <c r="E235" s="7"/>
      <c r="F235" s="8" t="str">
        <f t="shared" si="3"/>
        <v/>
      </c>
      <c r="G235" s="5"/>
      <c r="H235" s="5"/>
      <c r="I235" s="5"/>
      <c r="J235" s="5"/>
      <c r="K235" s="9" t="str">
        <f>IF(A235="","",IF(I235&lt;&gt;"",IF(COUNTIF(AGENDA_BANCARIA!$B$5:$B$2000,I235)&gt;0,"Vinculado","ID não encontrado"),"Sem vínculo"))</f>
        <v/>
      </c>
      <c r="L235" s="5"/>
    </row>
    <row r="236" spans="1:12" x14ac:dyDescent="0.3">
      <c r="A236" s="6"/>
      <c r="B236" s="5"/>
      <c r="C236" s="5"/>
      <c r="D236" s="7"/>
      <c r="E236" s="7"/>
      <c r="F236" s="8" t="str">
        <f t="shared" si="3"/>
        <v/>
      </c>
      <c r="G236" s="5"/>
      <c r="H236" s="5"/>
      <c r="I236" s="5"/>
      <c r="J236" s="5"/>
      <c r="K236" s="9" t="str">
        <f>IF(A236="","",IF(I236&lt;&gt;"",IF(COUNTIF(AGENDA_BANCARIA!$B$5:$B$2000,I236)&gt;0,"Vinculado","ID não encontrado"),"Sem vínculo"))</f>
        <v/>
      </c>
      <c r="L236" s="5"/>
    </row>
    <row r="237" spans="1:12" x14ac:dyDescent="0.3">
      <c r="A237" s="6"/>
      <c r="B237" s="5"/>
      <c r="C237" s="5"/>
      <c r="D237" s="7"/>
      <c r="E237" s="7"/>
      <c r="F237" s="8" t="str">
        <f t="shared" si="3"/>
        <v/>
      </c>
      <c r="G237" s="5"/>
      <c r="H237" s="5"/>
      <c r="I237" s="5"/>
      <c r="J237" s="5"/>
      <c r="K237" s="9" t="str">
        <f>IF(A237="","",IF(I237&lt;&gt;"",IF(COUNTIF(AGENDA_BANCARIA!$B$5:$B$2000,I237)&gt;0,"Vinculado","ID não encontrado"),"Sem vínculo"))</f>
        <v/>
      </c>
      <c r="L237" s="5"/>
    </row>
    <row r="238" spans="1:12" x14ac:dyDescent="0.3">
      <c r="A238" s="6"/>
      <c r="B238" s="5"/>
      <c r="C238" s="5"/>
      <c r="D238" s="7"/>
      <c r="E238" s="7"/>
      <c r="F238" s="8" t="str">
        <f t="shared" si="3"/>
        <v/>
      </c>
      <c r="G238" s="5"/>
      <c r="H238" s="5"/>
      <c r="I238" s="5"/>
      <c r="J238" s="5"/>
      <c r="K238" s="9" t="str">
        <f>IF(A238="","",IF(I238&lt;&gt;"",IF(COUNTIF(AGENDA_BANCARIA!$B$5:$B$2000,I238)&gt;0,"Vinculado","ID não encontrado"),"Sem vínculo"))</f>
        <v/>
      </c>
      <c r="L238" s="5"/>
    </row>
    <row r="239" spans="1:12" x14ac:dyDescent="0.3">
      <c r="A239" s="6"/>
      <c r="B239" s="5"/>
      <c r="C239" s="5"/>
      <c r="D239" s="7"/>
      <c r="E239" s="7"/>
      <c r="F239" s="8" t="str">
        <f t="shared" si="3"/>
        <v/>
      </c>
      <c r="G239" s="5"/>
      <c r="H239" s="5"/>
      <c r="I239" s="5"/>
      <c r="J239" s="5"/>
      <c r="K239" s="9" t="str">
        <f>IF(A239="","",IF(I239&lt;&gt;"",IF(COUNTIF(AGENDA_BANCARIA!$B$5:$B$2000,I239)&gt;0,"Vinculado","ID não encontrado"),"Sem vínculo"))</f>
        <v/>
      </c>
      <c r="L239" s="5"/>
    </row>
    <row r="240" spans="1:12" x14ac:dyDescent="0.3">
      <c r="A240" s="6"/>
      <c r="B240" s="5"/>
      <c r="C240" s="5"/>
      <c r="D240" s="7"/>
      <c r="E240" s="7"/>
      <c r="F240" s="8" t="str">
        <f t="shared" si="3"/>
        <v/>
      </c>
      <c r="G240" s="5"/>
      <c r="H240" s="5"/>
      <c r="I240" s="5"/>
      <c r="J240" s="5"/>
      <c r="K240" s="9" t="str">
        <f>IF(A240="","",IF(I240&lt;&gt;"",IF(COUNTIF(AGENDA_BANCARIA!$B$5:$B$2000,I240)&gt;0,"Vinculado","ID não encontrado"),"Sem vínculo"))</f>
        <v/>
      </c>
      <c r="L240" s="5"/>
    </row>
    <row r="241" spans="1:12" x14ac:dyDescent="0.3">
      <c r="A241" s="6"/>
      <c r="B241" s="5"/>
      <c r="C241" s="5"/>
      <c r="D241" s="7"/>
      <c r="E241" s="7"/>
      <c r="F241" s="8" t="str">
        <f t="shared" si="3"/>
        <v/>
      </c>
      <c r="G241" s="5"/>
      <c r="H241" s="5"/>
      <c r="I241" s="5"/>
      <c r="J241" s="5"/>
      <c r="K241" s="9" t="str">
        <f>IF(A241="","",IF(I241&lt;&gt;"",IF(COUNTIF(AGENDA_BANCARIA!$B$5:$B$2000,I241)&gt;0,"Vinculado","ID não encontrado"),"Sem vínculo"))</f>
        <v/>
      </c>
      <c r="L241" s="5"/>
    </row>
    <row r="242" spans="1:12" x14ac:dyDescent="0.3">
      <c r="A242" s="6"/>
      <c r="B242" s="5"/>
      <c r="C242" s="5"/>
      <c r="D242" s="7"/>
      <c r="E242" s="7"/>
      <c r="F242" s="8" t="str">
        <f t="shared" si="3"/>
        <v/>
      </c>
      <c r="G242" s="5"/>
      <c r="H242" s="5"/>
      <c r="I242" s="5"/>
      <c r="J242" s="5"/>
      <c r="K242" s="9" t="str">
        <f>IF(A242="","",IF(I242&lt;&gt;"",IF(COUNTIF(AGENDA_BANCARIA!$B$5:$B$2000,I242)&gt;0,"Vinculado","ID não encontrado"),"Sem vínculo"))</f>
        <v/>
      </c>
      <c r="L242" s="5"/>
    </row>
    <row r="243" spans="1:12" x14ac:dyDescent="0.3">
      <c r="A243" s="6"/>
      <c r="B243" s="5"/>
      <c r="C243" s="5"/>
      <c r="D243" s="7"/>
      <c r="E243" s="7"/>
      <c r="F243" s="8" t="str">
        <f t="shared" si="3"/>
        <v/>
      </c>
      <c r="G243" s="5"/>
      <c r="H243" s="5"/>
      <c r="I243" s="5"/>
      <c r="J243" s="5"/>
      <c r="K243" s="9" t="str">
        <f>IF(A243="","",IF(I243&lt;&gt;"",IF(COUNTIF(AGENDA_BANCARIA!$B$5:$B$2000,I243)&gt;0,"Vinculado","ID não encontrado"),"Sem vínculo"))</f>
        <v/>
      </c>
      <c r="L243" s="5"/>
    </row>
    <row r="244" spans="1:12" x14ac:dyDescent="0.3">
      <c r="A244" s="6"/>
      <c r="B244" s="5"/>
      <c r="C244" s="5"/>
      <c r="D244" s="7"/>
      <c r="E244" s="7"/>
      <c r="F244" s="8" t="str">
        <f t="shared" si="3"/>
        <v/>
      </c>
      <c r="G244" s="5"/>
      <c r="H244" s="5"/>
      <c r="I244" s="5"/>
      <c r="J244" s="5"/>
      <c r="K244" s="9" t="str">
        <f>IF(A244="","",IF(I244&lt;&gt;"",IF(COUNTIF(AGENDA_BANCARIA!$B$5:$B$2000,I244)&gt;0,"Vinculado","ID não encontrado"),"Sem vínculo"))</f>
        <v/>
      </c>
      <c r="L244" s="5"/>
    </row>
    <row r="245" spans="1:12" x14ac:dyDescent="0.3">
      <c r="A245" s="6"/>
      <c r="B245" s="5"/>
      <c r="C245" s="5"/>
      <c r="D245" s="7"/>
      <c r="E245" s="7"/>
      <c r="F245" s="8" t="str">
        <f t="shared" si="3"/>
        <v/>
      </c>
      <c r="G245" s="5"/>
      <c r="H245" s="5"/>
      <c r="I245" s="5"/>
      <c r="J245" s="5"/>
      <c r="K245" s="9" t="str">
        <f>IF(A245="","",IF(I245&lt;&gt;"",IF(COUNTIF(AGENDA_BANCARIA!$B$5:$B$2000,I245)&gt;0,"Vinculado","ID não encontrado"),"Sem vínculo"))</f>
        <v/>
      </c>
      <c r="L245" s="5"/>
    </row>
    <row r="246" spans="1:12" x14ac:dyDescent="0.3">
      <c r="A246" s="6"/>
      <c r="B246" s="5"/>
      <c r="C246" s="5"/>
      <c r="D246" s="7"/>
      <c r="E246" s="7"/>
      <c r="F246" s="8" t="str">
        <f t="shared" si="3"/>
        <v/>
      </c>
      <c r="G246" s="5"/>
      <c r="H246" s="5"/>
      <c r="I246" s="5"/>
      <c r="J246" s="5"/>
      <c r="K246" s="9" t="str">
        <f>IF(A246="","",IF(I246&lt;&gt;"",IF(COUNTIF(AGENDA_BANCARIA!$B$5:$B$2000,I246)&gt;0,"Vinculado","ID não encontrado"),"Sem vínculo"))</f>
        <v/>
      </c>
      <c r="L246" s="5"/>
    </row>
    <row r="247" spans="1:12" x14ac:dyDescent="0.3">
      <c r="A247" s="6"/>
      <c r="B247" s="5"/>
      <c r="C247" s="5"/>
      <c r="D247" s="7"/>
      <c r="E247" s="7"/>
      <c r="F247" s="8" t="str">
        <f t="shared" si="3"/>
        <v/>
      </c>
      <c r="G247" s="5"/>
      <c r="H247" s="5"/>
      <c r="I247" s="5"/>
      <c r="J247" s="5"/>
      <c r="K247" s="9" t="str">
        <f>IF(A247="","",IF(I247&lt;&gt;"",IF(COUNTIF(AGENDA_BANCARIA!$B$5:$B$2000,I247)&gt;0,"Vinculado","ID não encontrado"),"Sem vínculo"))</f>
        <v/>
      </c>
      <c r="L247" s="5"/>
    </row>
    <row r="248" spans="1:12" x14ac:dyDescent="0.3">
      <c r="A248" s="6"/>
      <c r="B248" s="5"/>
      <c r="C248" s="5"/>
      <c r="D248" s="7"/>
      <c r="E248" s="7"/>
      <c r="F248" s="8" t="str">
        <f t="shared" si="3"/>
        <v/>
      </c>
      <c r="G248" s="5"/>
      <c r="H248" s="5"/>
      <c r="I248" s="5"/>
      <c r="J248" s="5"/>
      <c r="K248" s="9" t="str">
        <f>IF(A248="","",IF(I248&lt;&gt;"",IF(COUNTIF(AGENDA_BANCARIA!$B$5:$B$2000,I248)&gt;0,"Vinculado","ID não encontrado"),"Sem vínculo"))</f>
        <v/>
      </c>
      <c r="L248" s="5"/>
    </row>
    <row r="249" spans="1:12" x14ac:dyDescent="0.3">
      <c r="A249" s="6"/>
      <c r="B249" s="5"/>
      <c r="C249" s="5"/>
      <c r="D249" s="7"/>
      <c r="E249" s="7"/>
      <c r="F249" s="8" t="str">
        <f t="shared" si="3"/>
        <v/>
      </c>
      <c r="G249" s="5"/>
      <c r="H249" s="5"/>
      <c r="I249" s="5"/>
      <c r="J249" s="5"/>
      <c r="K249" s="9" t="str">
        <f>IF(A249="","",IF(I249&lt;&gt;"",IF(COUNTIF(AGENDA_BANCARIA!$B$5:$B$2000,I249)&gt;0,"Vinculado","ID não encontrado"),"Sem vínculo"))</f>
        <v/>
      </c>
      <c r="L249" s="5"/>
    </row>
    <row r="250" spans="1:12" x14ac:dyDescent="0.3">
      <c r="A250" s="6"/>
      <c r="B250" s="5"/>
      <c r="C250" s="5"/>
      <c r="D250" s="7"/>
      <c r="E250" s="7"/>
      <c r="F250" s="8" t="str">
        <f t="shared" si="3"/>
        <v/>
      </c>
      <c r="G250" s="5"/>
      <c r="H250" s="5"/>
      <c r="I250" s="5"/>
      <c r="J250" s="5"/>
      <c r="K250" s="9" t="str">
        <f>IF(A250="","",IF(I250&lt;&gt;"",IF(COUNTIF(AGENDA_BANCARIA!$B$5:$B$2000,I250)&gt;0,"Vinculado","ID não encontrado"),"Sem vínculo"))</f>
        <v/>
      </c>
      <c r="L250" s="5"/>
    </row>
    <row r="251" spans="1:12" x14ac:dyDescent="0.3">
      <c r="A251" s="6"/>
      <c r="B251" s="5"/>
      <c r="C251" s="5"/>
      <c r="D251" s="7"/>
      <c r="E251" s="7"/>
      <c r="F251" s="8" t="str">
        <f t="shared" si="3"/>
        <v/>
      </c>
      <c r="G251" s="5"/>
      <c r="H251" s="5"/>
      <c r="I251" s="5"/>
      <c r="J251" s="5"/>
      <c r="K251" s="9" t="str">
        <f>IF(A251="","",IF(I251&lt;&gt;"",IF(COUNTIF(AGENDA_BANCARIA!$B$5:$B$2000,I251)&gt;0,"Vinculado","ID não encontrado"),"Sem vínculo"))</f>
        <v/>
      </c>
      <c r="L251" s="5"/>
    </row>
    <row r="252" spans="1:12" x14ac:dyDescent="0.3">
      <c r="A252" s="6"/>
      <c r="B252" s="5"/>
      <c r="C252" s="5"/>
      <c r="D252" s="7"/>
      <c r="E252" s="7"/>
      <c r="F252" s="8" t="str">
        <f t="shared" si="3"/>
        <v/>
      </c>
      <c r="G252" s="5"/>
      <c r="H252" s="5"/>
      <c r="I252" s="5"/>
      <c r="J252" s="5"/>
      <c r="K252" s="9" t="str">
        <f>IF(A252="","",IF(I252&lt;&gt;"",IF(COUNTIF(AGENDA_BANCARIA!$B$5:$B$2000,I252)&gt;0,"Vinculado","ID não encontrado"),"Sem vínculo"))</f>
        <v/>
      </c>
      <c r="L252" s="5"/>
    </row>
    <row r="253" spans="1:12" x14ac:dyDescent="0.3">
      <c r="A253" s="6"/>
      <c r="B253" s="5"/>
      <c r="C253" s="5"/>
      <c r="D253" s="7"/>
      <c r="E253" s="7"/>
      <c r="F253" s="8" t="str">
        <f t="shared" si="3"/>
        <v/>
      </c>
      <c r="G253" s="5"/>
      <c r="H253" s="5"/>
      <c r="I253" s="5"/>
      <c r="J253" s="5"/>
      <c r="K253" s="9" t="str">
        <f>IF(A253="","",IF(I253&lt;&gt;"",IF(COUNTIF(AGENDA_BANCARIA!$B$5:$B$2000,I253)&gt;0,"Vinculado","ID não encontrado"),"Sem vínculo"))</f>
        <v/>
      </c>
      <c r="L253" s="5"/>
    </row>
    <row r="254" spans="1:12" x14ac:dyDescent="0.3">
      <c r="A254" s="6"/>
      <c r="B254" s="5"/>
      <c r="C254" s="5"/>
      <c r="D254" s="7"/>
      <c r="E254" s="7"/>
      <c r="F254" s="8" t="str">
        <f t="shared" si="3"/>
        <v/>
      </c>
      <c r="G254" s="5"/>
      <c r="H254" s="5"/>
      <c r="I254" s="5"/>
      <c r="J254" s="5"/>
      <c r="K254" s="9" t="str">
        <f>IF(A254="","",IF(I254&lt;&gt;"",IF(COUNTIF(AGENDA_BANCARIA!$B$5:$B$2000,I254)&gt;0,"Vinculado","ID não encontrado"),"Sem vínculo"))</f>
        <v/>
      </c>
      <c r="L254" s="5"/>
    </row>
    <row r="255" spans="1:12" x14ac:dyDescent="0.3">
      <c r="A255" s="6"/>
      <c r="B255" s="5"/>
      <c r="C255" s="5"/>
      <c r="D255" s="7"/>
      <c r="E255" s="7"/>
      <c r="F255" s="8" t="str">
        <f t="shared" si="3"/>
        <v/>
      </c>
      <c r="G255" s="5"/>
      <c r="H255" s="5"/>
      <c r="I255" s="5"/>
      <c r="J255" s="5"/>
      <c r="K255" s="9" t="str">
        <f>IF(A255="","",IF(I255&lt;&gt;"",IF(COUNTIF(AGENDA_BANCARIA!$B$5:$B$2000,I255)&gt;0,"Vinculado","ID não encontrado"),"Sem vínculo"))</f>
        <v/>
      </c>
      <c r="L255" s="5"/>
    </row>
    <row r="256" spans="1:12" x14ac:dyDescent="0.3">
      <c r="A256" s="6"/>
      <c r="B256" s="5"/>
      <c r="C256" s="5"/>
      <c r="D256" s="7"/>
      <c r="E256" s="7"/>
      <c r="F256" s="8" t="str">
        <f t="shared" si="3"/>
        <v/>
      </c>
      <c r="G256" s="5"/>
      <c r="H256" s="5"/>
      <c r="I256" s="5"/>
      <c r="J256" s="5"/>
      <c r="K256" s="9" t="str">
        <f>IF(A256="","",IF(I256&lt;&gt;"",IF(COUNTIF(AGENDA_BANCARIA!$B$5:$B$2000,I256)&gt;0,"Vinculado","ID não encontrado"),"Sem vínculo"))</f>
        <v/>
      </c>
      <c r="L256" s="5"/>
    </row>
    <row r="257" spans="1:12" x14ac:dyDescent="0.3">
      <c r="A257" s="6"/>
      <c r="B257" s="5"/>
      <c r="C257" s="5"/>
      <c r="D257" s="7"/>
      <c r="E257" s="7"/>
      <c r="F257" s="8" t="str">
        <f t="shared" si="3"/>
        <v/>
      </c>
      <c r="G257" s="5"/>
      <c r="H257" s="5"/>
      <c r="I257" s="5"/>
      <c r="J257" s="5"/>
      <c r="K257" s="9" t="str">
        <f>IF(A257="","",IF(I257&lt;&gt;"",IF(COUNTIF(AGENDA_BANCARIA!$B$5:$B$2000,I257)&gt;0,"Vinculado","ID não encontrado"),"Sem vínculo"))</f>
        <v/>
      </c>
      <c r="L257" s="5"/>
    </row>
    <row r="258" spans="1:12" x14ac:dyDescent="0.3">
      <c r="A258" s="6"/>
      <c r="B258" s="5"/>
      <c r="C258" s="5"/>
      <c r="D258" s="7"/>
      <c r="E258" s="7"/>
      <c r="F258" s="8" t="str">
        <f t="shared" si="3"/>
        <v/>
      </c>
      <c r="G258" s="5"/>
      <c r="H258" s="5"/>
      <c r="I258" s="5"/>
      <c r="J258" s="5"/>
      <c r="K258" s="9" t="str">
        <f>IF(A258="","",IF(I258&lt;&gt;"",IF(COUNTIF(AGENDA_BANCARIA!$B$5:$B$2000,I258)&gt;0,"Vinculado","ID não encontrado"),"Sem vínculo"))</f>
        <v/>
      </c>
      <c r="L258" s="5"/>
    </row>
    <row r="259" spans="1:12" x14ac:dyDescent="0.3">
      <c r="A259" s="6"/>
      <c r="B259" s="5"/>
      <c r="C259" s="5"/>
      <c r="D259" s="7"/>
      <c r="E259" s="7"/>
      <c r="F259" s="8" t="str">
        <f t="shared" si="3"/>
        <v/>
      </c>
      <c r="G259" s="5"/>
      <c r="H259" s="5"/>
      <c r="I259" s="5"/>
      <c r="J259" s="5"/>
      <c r="K259" s="9" t="str">
        <f>IF(A259="","",IF(I259&lt;&gt;"",IF(COUNTIF(AGENDA_BANCARIA!$B$5:$B$2000,I259)&gt;0,"Vinculado","ID não encontrado"),"Sem vínculo"))</f>
        <v/>
      </c>
      <c r="L259" s="5"/>
    </row>
    <row r="260" spans="1:12" x14ac:dyDescent="0.3">
      <c r="A260" s="6"/>
      <c r="B260" s="5"/>
      <c r="C260" s="5"/>
      <c r="D260" s="7"/>
      <c r="E260" s="7"/>
      <c r="F260" s="8" t="str">
        <f t="shared" si="3"/>
        <v/>
      </c>
      <c r="G260" s="5"/>
      <c r="H260" s="5"/>
      <c r="I260" s="5"/>
      <c r="J260" s="5"/>
      <c r="K260" s="9" t="str">
        <f>IF(A260="","",IF(I260&lt;&gt;"",IF(COUNTIF(AGENDA_BANCARIA!$B$5:$B$2000,I260)&gt;0,"Vinculado","ID não encontrado"),"Sem vínculo"))</f>
        <v/>
      </c>
      <c r="L260" s="5"/>
    </row>
    <row r="261" spans="1:12" x14ac:dyDescent="0.3">
      <c r="A261" s="6"/>
      <c r="B261" s="5"/>
      <c r="C261" s="5"/>
      <c r="D261" s="7"/>
      <c r="E261" s="7"/>
      <c r="F261" s="8" t="str">
        <f t="shared" ref="F261:F324" si="4">IF(OR(D261&lt;&gt;"",E261&lt;&gt;""),IF(E261&lt;&gt;"",E261,-D261),"")</f>
        <v/>
      </c>
      <c r="G261" s="5"/>
      <c r="H261" s="5"/>
      <c r="I261" s="5"/>
      <c r="J261" s="5"/>
      <c r="K261" s="9" t="str">
        <f>IF(A261="","",IF(I261&lt;&gt;"",IF(COUNTIF(AGENDA_BANCARIA!$B$5:$B$2000,I261)&gt;0,"Vinculado","ID não encontrado"),"Sem vínculo"))</f>
        <v/>
      </c>
      <c r="L261" s="5"/>
    </row>
    <row r="262" spans="1:12" x14ac:dyDescent="0.3">
      <c r="A262" s="6"/>
      <c r="B262" s="5"/>
      <c r="C262" s="5"/>
      <c r="D262" s="7"/>
      <c r="E262" s="7"/>
      <c r="F262" s="8" t="str">
        <f t="shared" si="4"/>
        <v/>
      </c>
      <c r="G262" s="5"/>
      <c r="H262" s="5"/>
      <c r="I262" s="5"/>
      <c r="J262" s="5"/>
      <c r="K262" s="9" t="str">
        <f>IF(A262="","",IF(I262&lt;&gt;"",IF(COUNTIF(AGENDA_BANCARIA!$B$5:$B$2000,I262)&gt;0,"Vinculado","ID não encontrado"),"Sem vínculo"))</f>
        <v/>
      </c>
      <c r="L262" s="5"/>
    </row>
    <row r="263" spans="1:12" x14ac:dyDescent="0.3">
      <c r="A263" s="6"/>
      <c r="B263" s="5"/>
      <c r="C263" s="5"/>
      <c r="D263" s="7"/>
      <c r="E263" s="7"/>
      <c r="F263" s="8" t="str">
        <f t="shared" si="4"/>
        <v/>
      </c>
      <c r="G263" s="5"/>
      <c r="H263" s="5"/>
      <c r="I263" s="5"/>
      <c r="J263" s="5"/>
      <c r="K263" s="9" t="str">
        <f>IF(A263="","",IF(I263&lt;&gt;"",IF(COUNTIF(AGENDA_BANCARIA!$B$5:$B$2000,I263)&gt;0,"Vinculado","ID não encontrado"),"Sem vínculo"))</f>
        <v/>
      </c>
      <c r="L263" s="5"/>
    </row>
    <row r="264" spans="1:12" x14ac:dyDescent="0.3">
      <c r="A264" s="6"/>
      <c r="B264" s="5"/>
      <c r="C264" s="5"/>
      <c r="D264" s="7"/>
      <c r="E264" s="7"/>
      <c r="F264" s="8" t="str">
        <f t="shared" si="4"/>
        <v/>
      </c>
      <c r="G264" s="5"/>
      <c r="H264" s="5"/>
      <c r="I264" s="5"/>
      <c r="J264" s="5"/>
      <c r="K264" s="9" t="str">
        <f>IF(A264="","",IF(I264&lt;&gt;"",IF(COUNTIF(AGENDA_BANCARIA!$B$5:$B$2000,I264)&gt;0,"Vinculado","ID não encontrado"),"Sem vínculo"))</f>
        <v/>
      </c>
      <c r="L264" s="5"/>
    </row>
    <row r="265" spans="1:12" x14ac:dyDescent="0.3">
      <c r="A265" s="6"/>
      <c r="B265" s="5"/>
      <c r="C265" s="5"/>
      <c r="D265" s="7"/>
      <c r="E265" s="7"/>
      <c r="F265" s="8" t="str">
        <f t="shared" si="4"/>
        <v/>
      </c>
      <c r="G265" s="5"/>
      <c r="H265" s="5"/>
      <c r="I265" s="5"/>
      <c r="J265" s="5"/>
      <c r="K265" s="9" t="str">
        <f>IF(A265="","",IF(I265&lt;&gt;"",IF(COUNTIF(AGENDA_BANCARIA!$B$5:$B$2000,I265)&gt;0,"Vinculado","ID não encontrado"),"Sem vínculo"))</f>
        <v/>
      </c>
      <c r="L265" s="5"/>
    </row>
    <row r="266" spans="1:12" x14ac:dyDescent="0.3">
      <c r="A266" s="6"/>
      <c r="B266" s="5"/>
      <c r="C266" s="5"/>
      <c r="D266" s="7"/>
      <c r="E266" s="7"/>
      <c r="F266" s="8" t="str">
        <f t="shared" si="4"/>
        <v/>
      </c>
      <c r="G266" s="5"/>
      <c r="H266" s="5"/>
      <c r="I266" s="5"/>
      <c r="J266" s="5"/>
      <c r="K266" s="9" t="str">
        <f>IF(A266="","",IF(I266&lt;&gt;"",IF(COUNTIF(AGENDA_BANCARIA!$B$5:$B$2000,I266)&gt;0,"Vinculado","ID não encontrado"),"Sem vínculo"))</f>
        <v/>
      </c>
      <c r="L266" s="5"/>
    </row>
    <row r="267" spans="1:12" x14ac:dyDescent="0.3">
      <c r="A267" s="6"/>
      <c r="B267" s="5"/>
      <c r="C267" s="5"/>
      <c r="D267" s="7"/>
      <c r="E267" s="7"/>
      <c r="F267" s="8" t="str">
        <f t="shared" si="4"/>
        <v/>
      </c>
      <c r="G267" s="5"/>
      <c r="H267" s="5"/>
      <c r="I267" s="5"/>
      <c r="J267" s="5"/>
      <c r="K267" s="9" t="str">
        <f>IF(A267="","",IF(I267&lt;&gt;"",IF(COUNTIF(AGENDA_BANCARIA!$B$5:$B$2000,I267)&gt;0,"Vinculado","ID não encontrado"),"Sem vínculo"))</f>
        <v/>
      </c>
      <c r="L267" s="5"/>
    </row>
    <row r="268" spans="1:12" x14ac:dyDescent="0.3">
      <c r="A268" s="6"/>
      <c r="B268" s="5"/>
      <c r="C268" s="5"/>
      <c r="D268" s="7"/>
      <c r="E268" s="7"/>
      <c r="F268" s="8" t="str">
        <f t="shared" si="4"/>
        <v/>
      </c>
      <c r="G268" s="5"/>
      <c r="H268" s="5"/>
      <c r="I268" s="5"/>
      <c r="J268" s="5"/>
      <c r="K268" s="9" t="str">
        <f>IF(A268="","",IF(I268&lt;&gt;"",IF(COUNTIF(AGENDA_BANCARIA!$B$5:$B$2000,I268)&gt;0,"Vinculado","ID não encontrado"),"Sem vínculo"))</f>
        <v/>
      </c>
      <c r="L268" s="5"/>
    </row>
    <row r="269" spans="1:12" x14ac:dyDescent="0.3">
      <c r="A269" s="6"/>
      <c r="B269" s="5"/>
      <c r="C269" s="5"/>
      <c r="D269" s="7"/>
      <c r="E269" s="7"/>
      <c r="F269" s="8" t="str">
        <f t="shared" si="4"/>
        <v/>
      </c>
      <c r="G269" s="5"/>
      <c r="H269" s="5"/>
      <c r="I269" s="5"/>
      <c r="J269" s="5"/>
      <c r="K269" s="9" t="str">
        <f>IF(A269="","",IF(I269&lt;&gt;"",IF(COUNTIF(AGENDA_BANCARIA!$B$5:$B$2000,I269)&gt;0,"Vinculado","ID não encontrado"),"Sem vínculo"))</f>
        <v/>
      </c>
      <c r="L269" s="5"/>
    </row>
    <row r="270" spans="1:12" x14ac:dyDescent="0.3">
      <c r="A270" s="6"/>
      <c r="B270" s="5"/>
      <c r="C270" s="5"/>
      <c r="D270" s="7"/>
      <c r="E270" s="7"/>
      <c r="F270" s="8" t="str">
        <f t="shared" si="4"/>
        <v/>
      </c>
      <c r="G270" s="5"/>
      <c r="H270" s="5"/>
      <c r="I270" s="5"/>
      <c r="J270" s="5"/>
      <c r="K270" s="9" t="str">
        <f>IF(A270="","",IF(I270&lt;&gt;"",IF(COUNTIF(AGENDA_BANCARIA!$B$5:$B$2000,I270)&gt;0,"Vinculado","ID não encontrado"),"Sem vínculo"))</f>
        <v/>
      </c>
      <c r="L270" s="5"/>
    </row>
    <row r="271" spans="1:12" x14ac:dyDescent="0.3">
      <c r="A271" s="6"/>
      <c r="B271" s="5"/>
      <c r="C271" s="5"/>
      <c r="D271" s="7"/>
      <c r="E271" s="7"/>
      <c r="F271" s="8" t="str">
        <f t="shared" si="4"/>
        <v/>
      </c>
      <c r="G271" s="5"/>
      <c r="H271" s="5"/>
      <c r="I271" s="5"/>
      <c r="J271" s="5"/>
      <c r="K271" s="9" t="str">
        <f>IF(A271="","",IF(I271&lt;&gt;"",IF(COUNTIF(AGENDA_BANCARIA!$B$5:$B$2000,I271)&gt;0,"Vinculado","ID não encontrado"),"Sem vínculo"))</f>
        <v/>
      </c>
      <c r="L271" s="5"/>
    </row>
    <row r="272" spans="1:12" x14ac:dyDescent="0.3">
      <c r="A272" s="6"/>
      <c r="B272" s="5"/>
      <c r="C272" s="5"/>
      <c r="D272" s="7"/>
      <c r="E272" s="7"/>
      <c r="F272" s="8" t="str">
        <f t="shared" si="4"/>
        <v/>
      </c>
      <c r="G272" s="5"/>
      <c r="H272" s="5"/>
      <c r="I272" s="5"/>
      <c r="J272" s="5"/>
      <c r="K272" s="9" t="str">
        <f>IF(A272="","",IF(I272&lt;&gt;"",IF(COUNTIF(AGENDA_BANCARIA!$B$5:$B$2000,I272)&gt;0,"Vinculado","ID não encontrado"),"Sem vínculo"))</f>
        <v/>
      </c>
      <c r="L272" s="5"/>
    </row>
    <row r="273" spans="1:12" x14ac:dyDescent="0.3">
      <c r="A273" s="6"/>
      <c r="B273" s="5"/>
      <c r="C273" s="5"/>
      <c r="D273" s="7"/>
      <c r="E273" s="7"/>
      <c r="F273" s="8" t="str">
        <f t="shared" si="4"/>
        <v/>
      </c>
      <c r="G273" s="5"/>
      <c r="H273" s="5"/>
      <c r="I273" s="5"/>
      <c r="J273" s="5"/>
      <c r="K273" s="9" t="str">
        <f>IF(A273="","",IF(I273&lt;&gt;"",IF(COUNTIF(AGENDA_BANCARIA!$B$5:$B$2000,I273)&gt;0,"Vinculado","ID não encontrado"),"Sem vínculo"))</f>
        <v/>
      </c>
      <c r="L273" s="5"/>
    </row>
    <row r="274" spans="1:12" x14ac:dyDescent="0.3">
      <c r="A274" s="6"/>
      <c r="B274" s="5"/>
      <c r="C274" s="5"/>
      <c r="D274" s="7"/>
      <c r="E274" s="7"/>
      <c r="F274" s="8" t="str">
        <f t="shared" si="4"/>
        <v/>
      </c>
      <c r="G274" s="5"/>
      <c r="H274" s="5"/>
      <c r="I274" s="5"/>
      <c r="J274" s="5"/>
      <c r="K274" s="9" t="str">
        <f>IF(A274="","",IF(I274&lt;&gt;"",IF(COUNTIF(AGENDA_BANCARIA!$B$5:$B$2000,I274)&gt;0,"Vinculado","ID não encontrado"),"Sem vínculo"))</f>
        <v/>
      </c>
      <c r="L274" s="5"/>
    </row>
    <row r="275" spans="1:12" x14ac:dyDescent="0.3">
      <c r="A275" s="6"/>
      <c r="B275" s="5"/>
      <c r="C275" s="5"/>
      <c r="D275" s="7"/>
      <c r="E275" s="7"/>
      <c r="F275" s="8" t="str">
        <f t="shared" si="4"/>
        <v/>
      </c>
      <c r="G275" s="5"/>
      <c r="H275" s="5"/>
      <c r="I275" s="5"/>
      <c r="J275" s="5"/>
      <c r="K275" s="9" t="str">
        <f>IF(A275="","",IF(I275&lt;&gt;"",IF(COUNTIF(AGENDA_BANCARIA!$B$5:$B$2000,I275)&gt;0,"Vinculado","ID não encontrado"),"Sem vínculo"))</f>
        <v/>
      </c>
      <c r="L275" s="5"/>
    </row>
    <row r="276" spans="1:12" x14ac:dyDescent="0.3">
      <c r="A276" s="6"/>
      <c r="B276" s="5"/>
      <c r="C276" s="5"/>
      <c r="D276" s="7"/>
      <c r="E276" s="7"/>
      <c r="F276" s="8" t="str">
        <f t="shared" si="4"/>
        <v/>
      </c>
      <c r="G276" s="5"/>
      <c r="H276" s="5"/>
      <c r="I276" s="5"/>
      <c r="J276" s="5"/>
      <c r="K276" s="9" t="str">
        <f>IF(A276="","",IF(I276&lt;&gt;"",IF(COUNTIF(AGENDA_BANCARIA!$B$5:$B$2000,I276)&gt;0,"Vinculado","ID não encontrado"),"Sem vínculo"))</f>
        <v/>
      </c>
      <c r="L276" s="5"/>
    </row>
    <row r="277" spans="1:12" x14ac:dyDescent="0.3">
      <c r="A277" s="6"/>
      <c r="B277" s="5"/>
      <c r="C277" s="5"/>
      <c r="D277" s="7"/>
      <c r="E277" s="7"/>
      <c r="F277" s="8" t="str">
        <f t="shared" si="4"/>
        <v/>
      </c>
      <c r="G277" s="5"/>
      <c r="H277" s="5"/>
      <c r="I277" s="5"/>
      <c r="J277" s="5"/>
      <c r="K277" s="9" t="str">
        <f>IF(A277="","",IF(I277&lt;&gt;"",IF(COUNTIF(AGENDA_BANCARIA!$B$5:$B$2000,I277)&gt;0,"Vinculado","ID não encontrado"),"Sem vínculo"))</f>
        <v/>
      </c>
      <c r="L277" s="5"/>
    </row>
    <row r="278" spans="1:12" x14ac:dyDescent="0.3">
      <c r="A278" s="6"/>
      <c r="B278" s="5"/>
      <c r="C278" s="5"/>
      <c r="D278" s="7"/>
      <c r="E278" s="7"/>
      <c r="F278" s="8" t="str">
        <f t="shared" si="4"/>
        <v/>
      </c>
      <c r="G278" s="5"/>
      <c r="H278" s="5"/>
      <c r="I278" s="5"/>
      <c r="J278" s="5"/>
      <c r="K278" s="9" t="str">
        <f>IF(A278="","",IF(I278&lt;&gt;"",IF(COUNTIF(AGENDA_BANCARIA!$B$5:$B$2000,I278)&gt;0,"Vinculado","ID não encontrado"),"Sem vínculo"))</f>
        <v/>
      </c>
      <c r="L278" s="5"/>
    </row>
    <row r="279" spans="1:12" x14ac:dyDescent="0.3">
      <c r="A279" s="6"/>
      <c r="B279" s="5"/>
      <c r="C279" s="5"/>
      <c r="D279" s="7"/>
      <c r="E279" s="7"/>
      <c r="F279" s="8" t="str">
        <f t="shared" si="4"/>
        <v/>
      </c>
      <c r="G279" s="5"/>
      <c r="H279" s="5"/>
      <c r="I279" s="5"/>
      <c r="J279" s="5"/>
      <c r="K279" s="9" t="str">
        <f>IF(A279="","",IF(I279&lt;&gt;"",IF(COUNTIF(AGENDA_BANCARIA!$B$5:$B$2000,I279)&gt;0,"Vinculado","ID não encontrado"),"Sem vínculo"))</f>
        <v/>
      </c>
      <c r="L279" s="5"/>
    </row>
    <row r="280" spans="1:12" x14ac:dyDescent="0.3">
      <c r="A280" s="6"/>
      <c r="B280" s="5"/>
      <c r="C280" s="5"/>
      <c r="D280" s="7"/>
      <c r="E280" s="7"/>
      <c r="F280" s="8" t="str">
        <f t="shared" si="4"/>
        <v/>
      </c>
      <c r="G280" s="5"/>
      <c r="H280" s="5"/>
      <c r="I280" s="5"/>
      <c r="J280" s="5"/>
      <c r="K280" s="9" t="str">
        <f>IF(A280="","",IF(I280&lt;&gt;"",IF(COUNTIF(AGENDA_BANCARIA!$B$5:$B$2000,I280)&gt;0,"Vinculado","ID não encontrado"),"Sem vínculo"))</f>
        <v/>
      </c>
      <c r="L280" s="5"/>
    </row>
    <row r="281" spans="1:12" x14ac:dyDescent="0.3">
      <c r="A281" s="6"/>
      <c r="B281" s="5"/>
      <c r="C281" s="5"/>
      <c r="D281" s="7"/>
      <c r="E281" s="7"/>
      <c r="F281" s="8" t="str">
        <f t="shared" si="4"/>
        <v/>
      </c>
      <c r="G281" s="5"/>
      <c r="H281" s="5"/>
      <c r="I281" s="5"/>
      <c r="J281" s="5"/>
      <c r="K281" s="9" t="str">
        <f>IF(A281="","",IF(I281&lt;&gt;"",IF(COUNTIF(AGENDA_BANCARIA!$B$5:$B$2000,I281)&gt;0,"Vinculado","ID não encontrado"),"Sem vínculo"))</f>
        <v/>
      </c>
      <c r="L281" s="5"/>
    </row>
    <row r="282" spans="1:12" x14ac:dyDescent="0.3">
      <c r="A282" s="6"/>
      <c r="B282" s="5"/>
      <c r="C282" s="5"/>
      <c r="D282" s="7"/>
      <c r="E282" s="7"/>
      <c r="F282" s="8" t="str">
        <f t="shared" si="4"/>
        <v/>
      </c>
      <c r="G282" s="5"/>
      <c r="H282" s="5"/>
      <c r="I282" s="5"/>
      <c r="J282" s="5"/>
      <c r="K282" s="9" t="str">
        <f>IF(A282="","",IF(I282&lt;&gt;"",IF(COUNTIF(AGENDA_BANCARIA!$B$5:$B$2000,I282)&gt;0,"Vinculado","ID não encontrado"),"Sem vínculo"))</f>
        <v/>
      </c>
      <c r="L282" s="5"/>
    </row>
    <row r="283" spans="1:12" x14ac:dyDescent="0.3">
      <c r="A283" s="6"/>
      <c r="B283" s="5"/>
      <c r="C283" s="5"/>
      <c r="D283" s="7"/>
      <c r="E283" s="7"/>
      <c r="F283" s="8" t="str">
        <f t="shared" si="4"/>
        <v/>
      </c>
      <c r="G283" s="5"/>
      <c r="H283" s="5"/>
      <c r="I283" s="5"/>
      <c r="J283" s="5"/>
      <c r="K283" s="9" t="str">
        <f>IF(A283="","",IF(I283&lt;&gt;"",IF(COUNTIF(AGENDA_BANCARIA!$B$5:$B$2000,I283)&gt;0,"Vinculado","ID não encontrado"),"Sem vínculo"))</f>
        <v/>
      </c>
      <c r="L283" s="5"/>
    </row>
    <row r="284" spans="1:12" x14ac:dyDescent="0.3">
      <c r="A284" s="6"/>
      <c r="B284" s="5"/>
      <c r="C284" s="5"/>
      <c r="D284" s="7"/>
      <c r="E284" s="7"/>
      <c r="F284" s="8" t="str">
        <f t="shared" si="4"/>
        <v/>
      </c>
      <c r="G284" s="5"/>
      <c r="H284" s="5"/>
      <c r="I284" s="5"/>
      <c r="J284" s="5"/>
      <c r="K284" s="9" t="str">
        <f>IF(A284="","",IF(I284&lt;&gt;"",IF(COUNTIF(AGENDA_BANCARIA!$B$5:$B$2000,I284)&gt;0,"Vinculado","ID não encontrado"),"Sem vínculo"))</f>
        <v/>
      </c>
      <c r="L284" s="5"/>
    </row>
    <row r="285" spans="1:12" x14ac:dyDescent="0.3">
      <c r="A285" s="6"/>
      <c r="B285" s="5"/>
      <c r="C285" s="5"/>
      <c r="D285" s="7"/>
      <c r="E285" s="7"/>
      <c r="F285" s="8" t="str">
        <f t="shared" si="4"/>
        <v/>
      </c>
      <c r="G285" s="5"/>
      <c r="H285" s="5"/>
      <c r="I285" s="5"/>
      <c r="J285" s="5"/>
      <c r="K285" s="9" t="str">
        <f>IF(A285="","",IF(I285&lt;&gt;"",IF(COUNTIF(AGENDA_BANCARIA!$B$5:$B$2000,I285)&gt;0,"Vinculado","ID não encontrado"),"Sem vínculo"))</f>
        <v/>
      </c>
      <c r="L285" s="5"/>
    </row>
    <row r="286" spans="1:12" x14ac:dyDescent="0.3">
      <c r="A286" s="6"/>
      <c r="B286" s="5"/>
      <c r="C286" s="5"/>
      <c r="D286" s="7"/>
      <c r="E286" s="7"/>
      <c r="F286" s="8" t="str">
        <f t="shared" si="4"/>
        <v/>
      </c>
      <c r="G286" s="5"/>
      <c r="H286" s="5"/>
      <c r="I286" s="5"/>
      <c r="J286" s="5"/>
      <c r="K286" s="9" t="str">
        <f>IF(A286="","",IF(I286&lt;&gt;"",IF(COUNTIF(AGENDA_BANCARIA!$B$5:$B$2000,I286)&gt;0,"Vinculado","ID não encontrado"),"Sem vínculo"))</f>
        <v/>
      </c>
      <c r="L286" s="5"/>
    </row>
    <row r="287" spans="1:12" x14ac:dyDescent="0.3">
      <c r="A287" s="6"/>
      <c r="B287" s="5"/>
      <c r="C287" s="5"/>
      <c r="D287" s="7"/>
      <c r="E287" s="7"/>
      <c r="F287" s="8" t="str">
        <f t="shared" si="4"/>
        <v/>
      </c>
      <c r="G287" s="5"/>
      <c r="H287" s="5"/>
      <c r="I287" s="5"/>
      <c r="J287" s="5"/>
      <c r="K287" s="9" t="str">
        <f>IF(A287="","",IF(I287&lt;&gt;"",IF(COUNTIF(AGENDA_BANCARIA!$B$5:$B$2000,I287)&gt;0,"Vinculado","ID não encontrado"),"Sem vínculo"))</f>
        <v/>
      </c>
      <c r="L287" s="5"/>
    </row>
    <row r="288" spans="1:12" x14ac:dyDescent="0.3">
      <c r="A288" s="6"/>
      <c r="B288" s="5"/>
      <c r="C288" s="5"/>
      <c r="D288" s="7"/>
      <c r="E288" s="7"/>
      <c r="F288" s="8" t="str">
        <f t="shared" si="4"/>
        <v/>
      </c>
      <c r="G288" s="5"/>
      <c r="H288" s="5"/>
      <c r="I288" s="5"/>
      <c r="J288" s="5"/>
      <c r="K288" s="9" t="str">
        <f>IF(A288="","",IF(I288&lt;&gt;"",IF(COUNTIF(AGENDA_BANCARIA!$B$5:$B$2000,I288)&gt;0,"Vinculado","ID não encontrado"),"Sem vínculo"))</f>
        <v/>
      </c>
      <c r="L288" s="5"/>
    </row>
    <row r="289" spans="1:12" x14ac:dyDescent="0.3">
      <c r="A289" s="6"/>
      <c r="B289" s="5"/>
      <c r="C289" s="5"/>
      <c r="D289" s="7"/>
      <c r="E289" s="7"/>
      <c r="F289" s="8" t="str">
        <f t="shared" si="4"/>
        <v/>
      </c>
      <c r="G289" s="5"/>
      <c r="H289" s="5"/>
      <c r="I289" s="5"/>
      <c r="J289" s="5"/>
      <c r="K289" s="9" t="str">
        <f>IF(A289="","",IF(I289&lt;&gt;"",IF(COUNTIF(AGENDA_BANCARIA!$B$5:$B$2000,I289)&gt;0,"Vinculado","ID não encontrado"),"Sem vínculo"))</f>
        <v/>
      </c>
      <c r="L289" s="5"/>
    </row>
    <row r="290" spans="1:12" x14ac:dyDescent="0.3">
      <c r="A290" s="6"/>
      <c r="B290" s="5"/>
      <c r="C290" s="5"/>
      <c r="D290" s="7"/>
      <c r="E290" s="7"/>
      <c r="F290" s="8" t="str">
        <f t="shared" si="4"/>
        <v/>
      </c>
      <c r="G290" s="5"/>
      <c r="H290" s="5"/>
      <c r="I290" s="5"/>
      <c r="J290" s="5"/>
      <c r="K290" s="9" t="str">
        <f>IF(A290="","",IF(I290&lt;&gt;"",IF(COUNTIF(AGENDA_BANCARIA!$B$5:$B$2000,I290)&gt;0,"Vinculado","ID não encontrado"),"Sem vínculo"))</f>
        <v/>
      </c>
      <c r="L290" s="5"/>
    </row>
    <row r="291" spans="1:12" x14ac:dyDescent="0.3">
      <c r="A291" s="6"/>
      <c r="B291" s="5"/>
      <c r="C291" s="5"/>
      <c r="D291" s="7"/>
      <c r="E291" s="7"/>
      <c r="F291" s="8" t="str">
        <f t="shared" si="4"/>
        <v/>
      </c>
      <c r="G291" s="5"/>
      <c r="H291" s="5"/>
      <c r="I291" s="5"/>
      <c r="J291" s="5"/>
      <c r="K291" s="9" t="str">
        <f>IF(A291="","",IF(I291&lt;&gt;"",IF(COUNTIF(AGENDA_BANCARIA!$B$5:$B$2000,I291)&gt;0,"Vinculado","ID não encontrado"),"Sem vínculo"))</f>
        <v/>
      </c>
      <c r="L291" s="5"/>
    </row>
    <row r="292" spans="1:12" x14ac:dyDescent="0.3">
      <c r="A292" s="6"/>
      <c r="B292" s="5"/>
      <c r="C292" s="5"/>
      <c r="D292" s="7"/>
      <c r="E292" s="7"/>
      <c r="F292" s="8" t="str">
        <f t="shared" si="4"/>
        <v/>
      </c>
      <c r="G292" s="5"/>
      <c r="H292" s="5"/>
      <c r="I292" s="5"/>
      <c r="J292" s="5"/>
      <c r="K292" s="9" t="str">
        <f>IF(A292="","",IF(I292&lt;&gt;"",IF(COUNTIF(AGENDA_BANCARIA!$B$5:$B$2000,I292)&gt;0,"Vinculado","ID não encontrado"),"Sem vínculo"))</f>
        <v/>
      </c>
      <c r="L292" s="5"/>
    </row>
    <row r="293" spans="1:12" x14ac:dyDescent="0.3">
      <c r="A293" s="6"/>
      <c r="B293" s="5"/>
      <c r="C293" s="5"/>
      <c r="D293" s="7"/>
      <c r="E293" s="7"/>
      <c r="F293" s="8" t="str">
        <f t="shared" si="4"/>
        <v/>
      </c>
      <c r="G293" s="5"/>
      <c r="H293" s="5"/>
      <c r="I293" s="5"/>
      <c r="J293" s="5"/>
      <c r="K293" s="9" t="str">
        <f>IF(A293="","",IF(I293&lt;&gt;"",IF(COUNTIF(AGENDA_BANCARIA!$B$5:$B$2000,I293)&gt;0,"Vinculado","ID não encontrado"),"Sem vínculo"))</f>
        <v/>
      </c>
      <c r="L293" s="5"/>
    </row>
    <row r="294" spans="1:12" x14ac:dyDescent="0.3">
      <c r="A294" s="6"/>
      <c r="B294" s="5"/>
      <c r="C294" s="5"/>
      <c r="D294" s="7"/>
      <c r="E294" s="7"/>
      <c r="F294" s="8" t="str">
        <f t="shared" si="4"/>
        <v/>
      </c>
      <c r="G294" s="5"/>
      <c r="H294" s="5"/>
      <c r="I294" s="5"/>
      <c r="J294" s="5"/>
      <c r="K294" s="9" t="str">
        <f>IF(A294="","",IF(I294&lt;&gt;"",IF(COUNTIF(AGENDA_BANCARIA!$B$5:$B$2000,I294)&gt;0,"Vinculado","ID não encontrado"),"Sem vínculo"))</f>
        <v/>
      </c>
      <c r="L294" s="5"/>
    </row>
    <row r="295" spans="1:12" x14ac:dyDescent="0.3">
      <c r="A295" s="6"/>
      <c r="B295" s="5"/>
      <c r="C295" s="5"/>
      <c r="D295" s="7"/>
      <c r="E295" s="7"/>
      <c r="F295" s="8" t="str">
        <f t="shared" si="4"/>
        <v/>
      </c>
      <c r="G295" s="5"/>
      <c r="H295" s="5"/>
      <c r="I295" s="5"/>
      <c r="J295" s="5"/>
      <c r="K295" s="9" t="str">
        <f>IF(A295="","",IF(I295&lt;&gt;"",IF(COUNTIF(AGENDA_BANCARIA!$B$5:$B$2000,I295)&gt;0,"Vinculado","ID não encontrado"),"Sem vínculo"))</f>
        <v/>
      </c>
      <c r="L295" s="5"/>
    </row>
    <row r="296" spans="1:12" x14ac:dyDescent="0.3">
      <c r="A296" s="6"/>
      <c r="B296" s="5"/>
      <c r="C296" s="5"/>
      <c r="D296" s="7"/>
      <c r="E296" s="7"/>
      <c r="F296" s="8" t="str">
        <f t="shared" si="4"/>
        <v/>
      </c>
      <c r="G296" s="5"/>
      <c r="H296" s="5"/>
      <c r="I296" s="5"/>
      <c r="J296" s="5"/>
      <c r="K296" s="9" t="str">
        <f>IF(A296="","",IF(I296&lt;&gt;"",IF(COUNTIF(AGENDA_BANCARIA!$B$5:$B$2000,I296)&gt;0,"Vinculado","ID não encontrado"),"Sem vínculo"))</f>
        <v/>
      </c>
      <c r="L296" s="5"/>
    </row>
    <row r="297" spans="1:12" x14ac:dyDescent="0.3">
      <c r="A297" s="6"/>
      <c r="B297" s="5"/>
      <c r="C297" s="5"/>
      <c r="D297" s="7"/>
      <c r="E297" s="7"/>
      <c r="F297" s="8" t="str">
        <f t="shared" si="4"/>
        <v/>
      </c>
      <c r="G297" s="5"/>
      <c r="H297" s="5"/>
      <c r="I297" s="5"/>
      <c r="J297" s="5"/>
      <c r="K297" s="9" t="str">
        <f>IF(A297="","",IF(I297&lt;&gt;"",IF(COUNTIF(AGENDA_BANCARIA!$B$5:$B$2000,I297)&gt;0,"Vinculado","ID não encontrado"),"Sem vínculo"))</f>
        <v/>
      </c>
      <c r="L297" s="5"/>
    </row>
    <row r="298" spans="1:12" x14ac:dyDescent="0.3">
      <c r="A298" s="6"/>
      <c r="B298" s="5"/>
      <c r="C298" s="5"/>
      <c r="D298" s="7"/>
      <c r="E298" s="7"/>
      <c r="F298" s="8" t="str">
        <f t="shared" si="4"/>
        <v/>
      </c>
      <c r="G298" s="5"/>
      <c r="H298" s="5"/>
      <c r="I298" s="5"/>
      <c r="J298" s="5"/>
      <c r="K298" s="9" t="str">
        <f>IF(A298="","",IF(I298&lt;&gt;"",IF(COUNTIF(AGENDA_BANCARIA!$B$5:$B$2000,I298)&gt;0,"Vinculado","ID não encontrado"),"Sem vínculo"))</f>
        <v/>
      </c>
      <c r="L298" s="5"/>
    </row>
    <row r="299" spans="1:12" x14ac:dyDescent="0.3">
      <c r="A299" s="6"/>
      <c r="B299" s="5"/>
      <c r="C299" s="5"/>
      <c r="D299" s="7"/>
      <c r="E299" s="7"/>
      <c r="F299" s="8" t="str">
        <f t="shared" si="4"/>
        <v/>
      </c>
      <c r="G299" s="5"/>
      <c r="H299" s="5"/>
      <c r="I299" s="5"/>
      <c r="J299" s="5"/>
      <c r="K299" s="9" t="str">
        <f>IF(A299="","",IF(I299&lt;&gt;"",IF(COUNTIF(AGENDA_BANCARIA!$B$5:$B$2000,I299)&gt;0,"Vinculado","ID não encontrado"),"Sem vínculo"))</f>
        <v/>
      </c>
      <c r="L299" s="5"/>
    </row>
    <row r="300" spans="1:12" x14ac:dyDescent="0.3">
      <c r="A300" s="6"/>
      <c r="B300" s="5"/>
      <c r="C300" s="5"/>
      <c r="D300" s="7"/>
      <c r="E300" s="7"/>
      <c r="F300" s="8" t="str">
        <f t="shared" si="4"/>
        <v/>
      </c>
      <c r="G300" s="5"/>
      <c r="H300" s="5"/>
      <c r="I300" s="5"/>
      <c r="J300" s="5"/>
      <c r="K300" s="9" t="str">
        <f>IF(A300="","",IF(I300&lt;&gt;"",IF(COUNTIF(AGENDA_BANCARIA!$B$5:$B$2000,I300)&gt;0,"Vinculado","ID não encontrado"),"Sem vínculo"))</f>
        <v/>
      </c>
      <c r="L300" s="5"/>
    </row>
    <row r="301" spans="1:12" x14ac:dyDescent="0.3">
      <c r="A301" s="6"/>
      <c r="B301" s="5"/>
      <c r="C301" s="5"/>
      <c r="D301" s="7"/>
      <c r="E301" s="7"/>
      <c r="F301" s="8" t="str">
        <f t="shared" si="4"/>
        <v/>
      </c>
      <c r="G301" s="5"/>
      <c r="H301" s="5"/>
      <c r="I301" s="5"/>
      <c r="J301" s="5"/>
      <c r="K301" s="9" t="str">
        <f>IF(A301="","",IF(I301&lt;&gt;"",IF(COUNTIF(AGENDA_BANCARIA!$B$5:$B$2000,I301)&gt;0,"Vinculado","ID não encontrado"),"Sem vínculo"))</f>
        <v/>
      </c>
      <c r="L301" s="5"/>
    </row>
    <row r="302" spans="1:12" x14ac:dyDescent="0.3">
      <c r="A302" s="6"/>
      <c r="B302" s="5"/>
      <c r="C302" s="5"/>
      <c r="D302" s="7"/>
      <c r="E302" s="7"/>
      <c r="F302" s="8" t="str">
        <f t="shared" si="4"/>
        <v/>
      </c>
      <c r="G302" s="5"/>
      <c r="H302" s="5"/>
      <c r="I302" s="5"/>
      <c r="J302" s="5"/>
      <c r="K302" s="9" t="str">
        <f>IF(A302="","",IF(I302&lt;&gt;"",IF(COUNTIF(AGENDA_BANCARIA!$B$5:$B$2000,I302)&gt;0,"Vinculado","ID não encontrado"),"Sem vínculo"))</f>
        <v/>
      </c>
      <c r="L302" s="5"/>
    </row>
    <row r="303" spans="1:12" x14ac:dyDescent="0.3">
      <c r="A303" s="6"/>
      <c r="B303" s="5"/>
      <c r="C303" s="5"/>
      <c r="D303" s="7"/>
      <c r="E303" s="7"/>
      <c r="F303" s="8" t="str">
        <f t="shared" si="4"/>
        <v/>
      </c>
      <c r="G303" s="5"/>
      <c r="H303" s="5"/>
      <c r="I303" s="5"/>
      <c r="J303" s="5"/>
      <c r="K303" s="9" t="str">
        <f>IF(A303="","",IF(I303&lt;&gt;"",IF(COUNTIF(AGENDA_BANCARIA!$B$5:$B$2000,I303)&gt;0,"Vinculado","ID não encontrado"),"Sem vínculo"))</f>
        <v/>
      </c>
      <c r="L303" s="5"/>
    </row>
    <row r="304" spans="1:12" x14ac:dyDescent="0.3">
      <c r="A304" s="6"/>
      <c r="B304" s="5"/>
      <c r="C304" s="5"/>
      <c r="D304" s="7"/>
      <c r="E304" s="7"/>
      <c r="F304" s="8" t="str">
        <f t="shared" si="4"/>
        <v/>
      </c>
      <c r="G304" s="5"/>
      <c r="H304" s="5"/>
      <c r="I304" s="5"/>
      <c r="J304" s="5"/>
      <c r="K304" s="9" t="str">
        <f>IF(A304="","",IF(I304&lt;&gt;"",IF(COUNTIF(AGENDA_BANCARIA!$B$5:$B$2000,I304)&gt;0,"Vinculado","ID não encontrado"),"Sem vínculo"))</f>
        <v/>
      </c>
      <c r="L304" s="5"/>
    </row>
    <row r="305" spans="1:12" x14ac:dyDescent="0.3">
      <c r="A305" s="6"/>
      <c r="B305" s="5"/>
      <c r="C305" s="5"/>
      <c r="D305" s="7"/>
      <c r="E305" s="7"/>
      <c r="F305" s="8" t="str">
        <f t="shared" si="4"/>
        <v/>
      </c>
      <c r="G305" s="5"/>
      <c r="H305" s="5"/>
      <c r="I305" s="5"/>
      <c r="J305" s="5"/>
      <c r="K305" s="9" t="str">
        <f>IF(A305="","",IF(I305&lt;&gt;"",IF(COUNTIF(AGENDA_BANCARIA!$B$5:$B$2000,I305)&gt;0,"Vinculado","ID não encontrado"),"Sem vínculo"))</f>
        <v/>
      </c>
      <c r="L305" s="5"/>
    </row>
    <row r="306" spans="1:12" x14ac:dyDescent="0.3">
      <c r="A306" s="6"/>
      <c r="B306" s="5"/>
      <c r="C306" s="5"/>
      <c r="D306" s="7"/>
      <c r="E306" s="7"/>
      <c r="F306" s="8" t="str">
        <f t="shared" si="4"/>
        <v/>
      </c>
      <c r="G306" s="5"/>
      <c r="H306" s="5"/>
      <c r="I306" s="5"/>
      <c r="J306" s="5"/>
      <c r="K306" s="9" t="str">
        <f>IF(A306="","",IF(I306&lt;&gt;"",IF(COUNTIF(AGENDA_BANCARIA!$B$5:$B$2000,I306)&gt;0,"Vinculado","ID não encontrado"),"Sem vínculo"))</f>
        <v/>
      </c>
      <c r="L306" s="5"/>
    </row>
    <row r="307" spans="1:12" x14ac:dyDescent="0.3">
      <c r="A307" s="6"/>
      <c r="B307" s="5"/>
      <c r="C307" s="5"/>
      <c r="D307" s="7"/>
      <c r="E307" s="7"/>
      <c r="F307" s="8" t="str">
        <f t="shared" si="4"/>
        <v/>
      </c>
      <c r="G307" s="5"/>
      <c r="H307" s="5"/>
      <c r="I307" s="5"/>
      <c r="J307" s="5"/>
      <c r="K307" s="9" t="str">
        <f>IF(A307="","",IF(I307&lt;&gt;"",IF(COUNTIF(AGENDA_BANCARIA!$B$5:$B$2000,I307)&gt;0,"Vinculado","ID não encontrado"),"Sem vínculo"))</f>
        <v/>
      </c>
      <c r="L307" s="5"/>
    </row>
    <row r="308" spans="1:12" x14ac:dyDescent="0.3">
      <c r="A308" s="6"/>
      <c r="B308" s="5"/>
      <c r="C308" s="5"/>
      <c r="D308" s="7"/>
      <c r="E308" s="7"/>
      <c r="F308" s="8" t="str">
        <f t="shared" si="4"/>
        <v/>
      </c>
      <c r="G308" s="5"/>
      <c r="H308" s="5"/>
      <c r="I308" s="5"/>
      <c r="J308" s="5"/>
      <c r="K308" s="9" t="str">
        <f>IF(A308="","",IF(I308&lt;&gt;"",IF(COUNTIF(AGENDA_BANCARIA!$B$5:$B$2000,I308)&gt;0,"Vinculado","ID não encontrado"),"Sem vínculo"))</f>
        <v/>
      </c>
      <c r="L308" s="5"/>
    </row>
    <row r="309" spans="1:12" x14ac:dyDescent="0.3">
      <c r="A309" s="6"/>
      <c r="B309" s="5"/>
      <c r="C309" s="5"/>
      <c r="D309" s="7"/>
      <c r="E309" s="7"/>
      <c r="F309" s="8" t="str">
        <f t="shared" si="4"/>
        <v/>
      </c>
      <c r="G309" s="5"/>
      <c r="H309" s="5"/>
      <c r="I309" s="5"/>
      <c r="J309" s="5"/>
      <c r="K309" s="9" t="str">
        <f>IF(A309="","",IF(I309&lt;&gt;"",IF(COUNTIF(AGENDA_BANCARIA!$B$5:$B$2000,I309)&gt;0,"Vinculado","ID não encontrado"),"Sem vínculo"))</f>
        <v/>
      </c>
      <c r="L309" s="5"/>
    </row>
    <row r="310" spans="1:12" x14ac:dyDescent="0.3">
      <c r="A310" s="6"/>
      <c r="B310" s="5"/>
      <c r="C310" s="5"/>
      <c r="D310" s="7"/>
      <c r="E310" s="7"/>
      <c r="F310" s="8" t="str">
        <f t="shared" si="4"/>
        <v/>
      </c>
      <c r="G310" s="5"/>
      <c r="H310" s="5"/>
      <c r="I310" s="5"/>
      <c r="J310" s="5"/>
      <c r="K310" s="9" t="str">
        <f>IF(A310="","",IF(I310&lt;&gt;"",IF(COUNTIF(AGENDA_BANCARIA!$B$5:$B$2000,I310)&gt;0,"Vinculado","ID não encontrado"),"Sem vínculo"))</f>
        <v/>
      </c>
      <c r="L310" s="5"/>
    </row>
    <row r="311" spans="1:12" x14ac:dyDescent="0.3">
      <c r="A311" s="6"/>
      <c r="B311" s="5"/>
      <c r="C311" s="5"/>
      <c r="D311" s="7"/>
      <c r="E311" s="7"/>
      <c r="F311" s="8" t="str">
        <f t="shared" si="4"/>
        <v/>
      </c>
      <c r="G311" s="5"/>
      <c r="H311" s="5"/>
      <c r="I311" s="5"/>
      <c r="J311" s="5"/>
      <c r="K311" s="9" t="str">
        <f>IF(A311="","",IF(I311&lt;&gt;"",IF(COUNTIF(AGENDA_BANCARIA!$B$5:$B$2000,I311)&gt;0,"Vinculado","ID não encontrado"),"Sem vínculo"))</f>
        <v/>
      </c>
      <c r="L311" s="5"/>
    </row>
    <row r="312" spans="1:12" x14ac:dyDescent="0.3">
      <c r="A312" s="6"/>
      <c r="B312" s="5"/>
      <c r="C312" s="5"/>
      <c r="D312" s="7"/>
      <c r="E312" s="7"/>
      <c r="F312" s="8" t="str">
        <f t="shared" si="4"/>
        <v/>
      </c>
      <c r="G312" s="5"/>
      <c r="H312" s="5"/>
      <c r="I312" s="5"/>
      <c r="J312" s="5"/>
      <c r="K312" s="9" t="str">
        <f>IF(A312="","",IF(I312&lt;&gt;"",IF(COUNTIF(AGENDA_BANCARIA!$B$5:$B$2000,I312)&gt;0,"Vinculado","ID não encontrado"),"Sem vínculo"))</f>
        <v/>
      </c>
      <c r="L312" s="5"/>
    </row>
    <row r="313" spans="1:12" x14ac:dyDescent="0.3">
      <c r="A313" s="6"/>
      <c r="B313" s="5"/>
      <c r="C313" s="5"/>
      <c r="D313" s="7"/>
      <c r="E313" s="7"/>
      <c r="F313" s="8" t="str">
        <f t="shared" si="4"/>
        <v/>
      </c>
      <c r="G313" s="5"/>
      <c r="H313" s="5"/>
      <c r="I313" s="5"/>
      <c r="J313" s="5"/>
      <c r="K313" s="9" t="str">
        <f>IF(A313="","",IF(I313&lt;&gt;"",IF(COUNTIF(AGENDA_BANCARIA!$B$5:$B$2000,I313)&gt;0,"Vinculado","ID não encontrado"),"Sem vínculo"))</f>
        <v/>
      </c>
      <c r="L313" s="5"/>
    </row>
    <row r="314" spans="1:12" x14ac:dyDescent="0.3">
      <c r="A314" s="6"/>
      <c r="B314" s="5"/>
      <c r="C314" s="5"/>
      <c r="D314" s="7"/>
      <c r="E314" s="7"/>
      <c r="F314" s="8" t="str">
        <f t="shared" si="4"/>
        <v/>
      </c>
      <c r="G314" s="5"/>
      <c r="H314" s="5"/>
      <c r="I314" s="5"/>
      <c r="J314" s="5"/>
      <c r="K314" s="9" t="str">
        <f>IF(A314="","",IF(I314&lt;&gt;"",IF(COUNTIF(AGENDA_BANCARIA!$B$5:$B$2000,I314)&gt;0,"Vinculado","ID não encontrado"),"Sem vínculo"))</f>
        <v/>
      </c>
      <c r="L314" s="5"/>
    </row>
    <row r="315" spans="1:12" x14ac:dyDescent="0.3">
      <c r="A315" s="6"/>
      <c r="B315" s="5"/>
      <c r="C315" s="5"/>
      <c r="D315" s="7"/>
      <c r="E315" s="7"/>
      <c r="F315" s="8" t="str">
        <f t="shared" si="4"/>
        <v/>
      </c>
      <c r="G315" s="5"/>
      <c r="H315" s="5"/>
      <c r="I315" s="5"/>
      <c r="J315" s="5"/>
      <c r="K315" s="9" t="str">
        <f>IF(A315="","",IF(I315&lt;&gt;"",IF(COUNTIF(AGENDA_BANCARIA!$B$5:$B$2000,I315)&gt;0,"Vinculado","ID não encontrado"),"Sem vínculo"))</f>
        <v/>
      </c>
      <c r="L315" s="5"/>
    </row>
    <row r="316" spans="1:12" x14ac:dyDescent="0.3">
      <c r="A316" s="6"/>
      <c r="B316" s="5"/>
      <c r="C316" s="5"/>
      <c r="D316" s="7"/>
      <c r="E316" s="7"/>
      <c r="F316" s="8" t="str">
        <f t="shared" si="4"/>
        <v/>
      </c>
      <c r="G316" s="5"/>
      <c r="H316" s="5"/>
      <c r="I316" s="5"/>
      <c r="J316" s="5"/>
      <c r="K316" s="9" t="str">
        <f>IF(A316="","",IF(I316&lt;&gt;"",IF(COUNTIF(AGENDA_BANCARIA!$B$5:$B$2000,I316)&gt;0,"Vinculado","ID não encontrado"),"Sem vínculo"))</f>
        <v/>
      </c>
      <c r="L316" s="5"/>
    </row>
    <row r="317" spans="1:12" x14ac:dyDescent="0.3">
      <c r="A317" s="6"/>
      <c r="B317" s="5"/>
      <c r="C317" s="5"/>
      <c r="D317" s="7"/>
      <c r="E317" s="7"/>
      <c r="F317" s="8" t="str">
        <f t="shared" si="4"/>
        <v/>
      </c>
      <c r="G317" s="5"/>
      <c r="H317" s="5"/>
      <c r="I317" s="5"/>
      <c r="J317" s="5"/>
      <c r="K317" s="9" t="str">
        <f>IF(A317="","",IF(I317&lt;&gt;"",IF(COUNTIF(AGENDA_BANCARIA!$B$5:$B$2000,I317)&gt;0,"Vinculado","ID não encontrado"),"Sem vínculo"))</f>
        <v/>
      </c>
      <c r="L317" s="5"/>
    </row>
    <row r="318" spans="1:12" x14ac:dyDescent="0.3">
      <c r="A318" s="6"/>
      <c r="B318" s="5"/>
      <c r="C318" s="5"/>
      <c r="D318" s="7"/>
      <c r="E318" s="7"/>
      <c r="F318" s="8" t="str">
        <f t="shared" si="4"/>
        <v/>
      </c>
      <c r="G318" s="5"/>
      <c r="H318" s="5"/>
      <c r="I318" s="5"/>
      <c r="J318" s="5"/>
      <c r="K318" s="9" t="str">
        <f>IF(A318="","",IF(I318&lt;&gt;"",IF(COUNTIF(AGENDA_BANCARIA!$B$5:$B$2000,I318)&gt;0,"Vinculado","ID não encontrado"),"Sem vínculo"))</f>
        <v/>
      </c>
      <c r="L318" s="5"/>
    </row>
    <row r="319" spans="1:12" x14ac:dyDescent="0.3">
      <c r="A319" s="6"/>
      <c r="B319" s="5"/>
      <c r="C319" s="5"/>
      <c r="D319" s="7"/>
      <c r="E319" s="7"/>
      <c r="F319" s="8" t="str">
        <f t="shared" si="4"/>
        <v/>
      </c>
      <c r="G319" s="5"/>
      <c r="H319" s="5"/>
      <c r="I319" s="5"/>
      <c r="J319" s="5"/>
      <c r="K319" s="9" t="str">
        <f>IF(A319="","",IF(I319&lt;&gt;"",IF(COUNTIF(AGENDA_BANCARIA!$B$5:$B$2000,I319)&gt;0,"Vinculado","ID não encontrado"),"Sem vínculo"))</f>
        <v/>
      </c>
      <c r="L319" s="5"/>
    </row>
    <row r="320" spans="1:12" x14ac:dyDescent="0.3">
      <c r="A320" s="6"/>
      <c r="B320" s="5"/>
      <c r="C320" s="5"/>
      <c r="D320" s="7"/>
      <c r="E320" s="7"/>
      <c r="F320" s="8" t="str">
        <f t="shared" si="4"/>
        <v/>
      </c>
      <c r="G320" s="5"/>
      <c r="H320" s="5"/>
      <c r="I320" s="5"/>
      <c r="J320" s="5"/>
      <c r="K320" s="9" t="str">
        <f>IF(A320="","",IF(I320&lt;&gt;"",IF(COUNTIF(AGENDA_BANCARIA!$B$5:$B$2000,I320)&gt;0,"Vinculado","ID não encontrado"),"Sem vínculo"))</f>
        <v/>
      </c>
      <c r="L320" s="5"/>
    </row>
    <row r="321" spans="1:12" x14ac:dyDescent="0.3">
      <c r="A321" s="6"/>
      <c r="B321" s="5"/>
      <c r="C321" s="5"/>
      <c r="D321" s="7"/>
      <c r="E321" s="7"/>
      <c r="F321" s="8" t="str">
        <f t="shared" si="4"/>
        <v/>
      </c>
      <c r="G321" s="5"/>
      <c r="H321" s="5"/>
      <c r="I321" s="5"/>
      <c r="J321" s="5"/>
      <c r="K321" s="9" t="str">
        <f>IF(A321="","",IF(I321&lt;&gt;"",IF(COUNTIF(AGENDA_BANCARIA!$B$5:$B$2000,I321)&gt;0,"Vinculado","ID não encontrado"),"Sem vínculo"))</f>
        <v/>
      </c>
      <c r="L321" s="5"/>
    </row>
    <row r="322" spans="1:12" x14ac:dyDescent="0.3">
      <c r="A322" s="6"/>
      <c r="B322" s="5"/>
      <c r="C322" s="5"/>
      <c r="D322" s="7"/>
      <c r="E322" s="7"/>
      <c r="F322" s="8" t="str">
        <f t="shared" si="4"/>
        <v/>
      </c>
      <c r="G322" s="5"/>
      <c r="H322" s="5"/>
      <c r="I322" s="5"/>
      <c r="J322" s="5"/>
      <c r="K322" s="9" t="str">
        <f>IF(A322="","",IF(I322&lt;&gt;"",IF(COUNTIF(AGENDA_BANCARIA!$B$5:$B$2000,I322)&gt;0,"Vinculado","ID não encontrado"),"Sem vínculo"))</f>
        <v/>
      </c>
      <c r="L322" s="5"/>
    </row>
    <row r="323" spans="1:12" x14ac:dyDescent="0.3">
      <c r="A323" s="6"/>
      <c r="B323" s="5"/>
      <c r="C323" s="5"/>
      <c r="D323" s="7"/>
      <c r="E323" s="7"/>
      <c r="F323" s="8" t="str">
        <f t="shared" si="4"/>
        <v/>
      </c>
      <c r="G323" s="5"/>
      <c r="H323" s="5"/>
      <c r="I323" s="5"/>
      <c r="J323" s="5"/>
      <c r="K323" s="9" t="str">
        <f>IF(A323="","",IF(I323&lt;&gt;"",IF(COUNTIF(AGENDA_BANCARIA!$B$5:$B$2000,I323)&gt;0,"Vinculado","ID não encontrado"),"Sem vínculo"))</f>
        <v/>
      </c>
      <c r="L323" s="5"/>
    </row>
    <row r="324" spans="1:12" x14ac:dyDescent="0.3">
      <c r="A324" s="6"/>
      <c r="B324" s="5"/>
      <c r="C324" s="5"/>
      <c r="D324" s="7"/>
      <c r="E324" s="7"/>
      <c r="F324" s="8" t="str">
        <f t="shared" si="4"/>
        <v/>
      </c>
      <c r="G324" s="5"/>
      <c r="H324" s="5"/>
      <c r="I324" s="5"/>
      <c r="J324" s="5"/>
      <c r="K324" s="9" t="str">
        <f>IF(A324="","",IF(I324&lt;&gt;"",IF(COUNTIF(AGENDA_BANCARIA!$B$5:$B$2000,I324)&gt;0,"Vinculado","ID não encontrado"),"Sem vínculo"))</f>
        <v/>
      </c>
      <c r="L324" s="5"/>
    </row>
    <row r="325" spans="1:12" x14ac:dyDescent="0.3">
      <c r="A325" s="6"/>
      <c r="B325" s="5"/>
      <c r="C325" s="5"/>
      <c r="D325" s="7"/>
      <c r="E325" s="7"/>
      <c r="F325" s="8" t="str">
        <f t="shared" ref="F325:F388" si="5">IF(OR(D325&lt;&gt;"",E325&lt;&gt;""),IF(E325&lt;&gt;"",E325,-D325),"")</f>
        <v/>
      </c>
      <c r="G325" s="5"/>
      <c r="H325" s="5"/>
      <c r="I325" s="5"/>
      <c r="J325" s="5"/>
      <c r="K325" s="9" t="str">
        <f>IF(A325="","",IF(I325&lt;&gt;"",IF(COUNTIF(AGENDA_BANCARIA!$B$5:$B$2000,I325)&gt;0,"Vinculado","ID não encontrado"),"Sem vínculo"))</f>
        <v/>
      </c>
      <c r="L325" s="5"/>
    </row>
    <row r="326" spans="1:12" x14ac:dyDescent="0.3">
      <c r="A326" s="6"/>
      <c r="B326" s="5"/>
      <c r="C326" s="5"/>
      <c r="D326" s="7"/>
      <c r="E326" s="7"/>
      <c r="F326" s="8" t="str">
        <f t="shared" si="5"/>
        <v/>
      </c>
      <c r="G326" s="5"/>
      <c r="H326" s="5"/>
      <c r="I326" s="5"/>
      <c r="J326" s="5"/>
      <c r="K326" s="9" t="str">
        <f>IF(A326="","",IF(I326&lt;&gt;"",IF(COUNTIF(AGENDA_BANCARIA!$B$5:$B$2000,I326)&gt;0,"Vinculado","ID não encontrado"),"Sem vínculo"))</f>
        <v/>
      </c>
      <c r="L326" s="5"/>
    </row>
    <row r="327" spans="1:12" x14ac:dyDescent="0.3">
      <c r="A327" s="6"/>
      <c r="B327" s="5"/>
      <c r="C327" s="5"/>
      <c r="D327" s="7"/>
      <c r="E327" s="7"/>
      <c r="F327" s="8" t="str">
        <f t="shared" si="5"/>
        <v/>
      </c>
      <c r="G327" s="5"/>
      <c r="H327" s="5"/>
      <c r="I327" s="5"/>
      <c r="J327" s="5"/>
      <c r="K327" s="9" t="str">
        <f>IF(A327="","",IF(I327&lt;&gt;"",IF(COUNTIF(AGENDA_BANCARIA!$B$5:$B$2000,I327)&gt;0,"Vinculado","ID não encontrado"),"Sem vínculo"))</f>
        <v/>
      </c>
      <c r="L327" s="5"/>
    </row>
    <row r="328" spans="1:12" x14ac:dyDescent="0.3">
      <c r="A328" s="6"/>
      <c r="B328" s="5"/>
      <c r="C328" s="5"/>
      <c r="D328" s="7"/>
      <c r="E328" s="7"/>
      <c r="F328" s="8" t="str">
        <f t="shared" si="5"/>
        <v/>
      </c>
      <c r="G328" s="5"/>
      <c r="H328" s="5"/>
      <c r="I328" s="5"/>
      <c r="J328" s="5"/>
      <c r="K328" s="9" t="str">
        <f>IF(A328="","",IF(I328&lt;&gt;"",IF(COUNTIF(AGENDA_BANCARIA!$B$5:$B$2000,I328)&gt;0,"Vinculado","ID não encontrado"),"Sem vínculo"))</f>
        <v/>
      </c>
      <c r="L328" s="5"/>
    </row>
    <row r="329" spans="1:12" x14ac:dyDescent="0.3">
      <c r="A329" s="6"/>
      <c r="B329" s="5"/>
      <c r="C329" s="5"/>
      <c r="D329" s="7"/>
      <c r="E329" s="7"/>
      <c r="F329" s="8" t="str">
        <f t="shared" si="5"/>
        <v/>
      </c>
      <c r="G329" s="5"/>
      <c r="H329" s="5"/>
      <c r="I329" s="5"/>
      <c r="J329" s="5"/>
      <c r="K329" s="9" t="str">
        <f>IF(A329="","",IF(I329&lt;&gt;"",IF(COUNTIF(AGENDA_BANCARIA!$B$5:$B$2000,I329)&gt;0,"Vinculado","ID não encontrado"),"Sem vínculo"))</f>
        <v/>
      </c>
      <c r="L329" s="5"/>
    </row>
    <row r="330" spans="1:12" x14ac:dyDescent="0.3">
      <c r="A330" s="6"/>
      <c r="B330" s="5"/>
      <c r="C330" s="5"/>
      <c r="D330" s="7"/>
      <c r="E330" s="7"/>
      <c r="F330" s="8" t="str">
        <f t="shared" si="5"/>
        <v/>
      </c>
      <c r="G330" s="5"/>
      <c r="H330" s="5"/>
      <c r="I330" s="5"/>
      <c r="J330" s="5"/>
      <c r="K330" s="9" t="str">
        <f>IF(A330="","",IF(I330&lt;&gt;"",IF(COUNTIF(AGENDA_BANCARIA!$B$5:$B$2000,I330)&gt;0,"Vinculado","ID não encontrado"),"Sem vínculo"))</f>
        <v/>
      </c>
      <c r="L330" s="5"/>
    </row>
    <row r="331" spans="1:12" x14ac:dyDescent="0.3">
      <c r="A331" s="6"/>
      <c r="B331" s="5"/>
      <c r="C331" s="5"/>
      <c r="D331" s="7"/>
      <c r="E331" s="7"/>
      <c r="F331" s="8" t="str">
        <f t="shared" si="5"/>
        <v/>
      </c>
      <c r="G331" s="5"/>
      <c r="H331" s="5"/>
      <c r="I331" s="5"/>
      <c r="J331" s="5"/>
      <c r="K331" s="9" t="str">
        <f>IF(A331="","",IF(I331&lt;&gt;"",IF(COUNTIF(AGENDA_BANCARIA!$B$5:$B$2000,I331)&gt;0,"Vinculado","ID não encontrado"),"Sem vínculo"))</f>
        <v/>
      </c>
      <c r="L331" s="5"/>
    </row>
    <row r="332" spans="1:12" x14ac:dyDescent="0.3">
      <c r="A332" s="6"/>
      <c r="B332" s="5"/>
      <c r="C332" s="5"/>
      <c r="D332" s="7"/>
      <c r="E332" s="7"/>
      <c r="F332" s="8" t="str">
        <f t="shared" si="5"/>
        <v/>
      </c>
      <c r="G332" s="5"/>
      <c r="H332" s="5"/>
      <c r="I332" s="5"/>
      <c r="J332" s="5"/>
      <c r="K332" s="9" t="str">
        <f>IF(A332="","",IF(I332&lt;&gt;"",IF(COUNTIF(AGENDA_BANCARIA!$B$5:$B$2000,I332)&gt;0,"Vinculado","ID não encontrado"),"Sem vínculo"))</f>
        <v/>
      </c>
      <c r="L332" s="5"/>
    </row>
    <row r="333" spans="1:12" x14ac:dyDescent="0.3">
      <c r="A333" s="6"/>
      <c r="B333" s="5"/>
      <c r="C333" s="5"/>
      <c r="D333" s="7"/>
      <c r="E333" s="7"/>
      <c r="F333" s="8" t="str">
        <f t="shared" si="5"/>
        <v/>
      </c>
      <c r="G333" s="5"/>
      <c r="H333" s="5"/>
      <c r="I333" s="5"/>
      <c r="J333" s="5"/>
      <c r="K333" s="9" t="str">
        <f>IF(A333="","",IF(I333&lt;&gt;"",IF(COUNTIF(AGENDA_BANCARIA!$B$5:$B$2000,I333)&gt;0,"Vinculado","ID não encontrado"),"Sem vínculo"))</f>
        <v/>
      </c>
      <c r="L333" s="5"/>
    </row>
    <row r="334" spans="1:12" x14ac:dyDescent="0.3">
      <c r="A334" s="6"/>
      <c r="B334" s="5"/>
      <c r="C334" s="5"/>
      <c r="D334" s="7"/>
      <c r="E334" s="7"/>
      <c r="F334" s="8" t="str">
        <f t="shared" si="5"/>
        <v/>
      </c>
      <c r="G334" s="5"/>
      <c r="H334" s="5"/>
      <c r="I334" s="5"/>
      <c r="J334" s="5"/>
      <c r="K334" s="9" t="str">
        <f>IF(A334="","",IF(I334&lt;&gt;"",IF(COUNTIF(AGENDA_BANCARIA!$B$5:$B$2000,I334)&gt;0,"Vinculado","ID não encontrado"),"Sem vínculo"))</f>
        <v/>
      </c>
      <c r="L334" s="5"/>
    </row>
    <row r="335" spans="1:12" x14ac:dyDescent="0.3">
      <c r="A335" s="6"/>
      <c r="B335" s="5"/>
      <c r="C335" s="5"/>
      <c r="D335" s="7"/>
      <c r="E335" s="7"/>
      <c r="F335" s="8" t="str">
        <f t="shared" si="5"/>
        <v/>
      </c>
      <c r="G335" s="5"/>
      <c r="H335" s="5"/>
      <c r="I335" s="5"/>
      <c r="J335" s="5"/>
      <c r="K335" s="9" t="str">
        <f>IF(A335="","",IF(I335&lt;&gt;"",IF(COUNTIF(AGENDA_BANCARIA!$B$5:$B$2000,I335)&gt;0,"Vinculado","ID não encontrado"),"Sem vínculo"))</f>
        <v/>
      </c>
      <c r="L335" s="5"/>
    </row>
    <row r="336" spans="1:12" x14ac:dyDescent="0.3">
      <c r="A336" s="6"/>
      <c r="B336" s="5"/>
      <c r="C336" s="5"/>
      <c r="D336" s="7"/>
      <c r="E336" s="7"/>
      <c r="F336" s="8" t="str">
        <f t="shared" si="5"/>
        <v/>
      </c>
      <c r="G336" s="5"/>
      <c r="H336" s="5"/>
      <c r="I336" s="5"/>
      <c r="J336" s="5"/>
      <c r="K336" s="9" t="str">
        <f>IF(A336="","",IF(I336&lt;&gt;"",IF(COUNTIF(AGENDA_BANCARIA!$B$5:$B$2000,I336)&gt;0,"Vinculado","ID não encontrado"),"Sem vínculo"))</f>
        <v/>
      </c>
      <c r="L336" s="5"/>
    </row>
    <row r="337" spans="1:12" x14ac:dyDescent="0.3">
      <c r="A337" s="6"/>
      <c r="B337" s="5"/>
      <c r="C337" s="5"/>
      <c r="D337" s="7"/>
      <c r="E337" s="7"/>
      <c r="F337" s="8" t="str">
        <f t="shared" si="5"/>
        <v/>
      </c>
      <c r="G337" s="5"/>
      <c r="H337" s="5"/>
      <c r="I337" s="5"/>
      <c r="J337" s="5"/>
      <c r="K337" s="9" t="str">
        <f>IF(A337="","",IF(I337&lt;&gt;"",IF(COUNTIF(AGENDA_BANCARIA!$B$5:$B$2000,I337)&gt;0,"Vinculado","ID não encontrado"),"Sem vínculo"))</f>
        <v/>
      </c>
      <c r="L337" s="5"/>
    </row>
    <row r="338" spans="1:12" x14ac:dyDescent="0.3">
      <c r="A338" s="6"/>
      <c r="B338" s="5"/>
      <c r="C338" s="5"/>
      <c r="D338" s="7"/>
      <c r="E338" s="7"/>
      <c r="F338" s="8" t="str">
        <f t="shared" si="5"/>
        <v/>
      </c>
      <c r="G338" s="5"/>
      <c r="H338" s="5"/>
      <c r="I338" s="5"/>
      <c r="J338" s="5"/>
      <c r="K338" s="9" t="str">
        <f>IF(A338="","",IF(I338&lt;&gt;"",IF(COUNTIF(AGENDA_BANCARIA!$B$5:$B$2000,I338)&gt;0,"Vinculado","ID não encontrado"),"Sem vínculo"))</f>
        <v/>
      </c>
      <c r="L338" s="5"/>
    </row>
    <row r="339" spans="1:12" x14ac:dyDescent="0.3">
      <c r="A339" s="6"/>
      <c r="B339" s="5"/>
      <c r="C339" s="5"/>
      <c r="D339" s="7"/>
      <c r="E339" s="7"/>
      <c r="F339" s="8" t="str">
        <f t="shared" si="5"/>
        <v/>
      </c>
      <c r="G339" s="5"/>
      <c r="H339" s="5"/>
      <c r="I339" s="5"/>
      <c r="J339" s="5"/>
      <c r="K339" s="9" t="str">
        <f>IF(A339="","",IF(I339&lt;&gt;"",IF(COUNTIF(AGENDA_BANCARIA!$B$5:$B$2000,I339)&gt;0,"Vinculado","ID não encontrado"),"Sem vínculo"))</f>
        <v/>
      </c>
      <c r="L339" s="5"/>
    </row>
    <row r="340" spans="1:12" x14ac:dyDescent="0.3">
      <c r="A340" s="6"/>
      <c r="B340" s="5"/>
      <c r="C340" s="5"/>
      <c r="D340" s="7"/>
      <c r="E340" s="7"/>
      <c r="F340" s="8" t="str">
        <f t="shared" si="5"/>
        <v/>
      </c>
      <c r="G340" s="5"/>
      <c r="H340" s="5"/>
      <c r="I340" s="5"/>
      <c r="J340" s="5"/>
      <c r="K340" s="9" t="str">
        <f>IF(A340="","",IF(I340&lt;&gt;"",IF(COUNTIF(AGENDA_BANCARIA!$B$5:$B$2000,I340)&gt;0,"Vinculado","ID não encontrado"),"Sem vínculo"))</f>
        <v/>
      </c>
      <c r="L340" s="5"/>
    </row>
    <row r="341" spans="1:12" x14ac:dyDescent="0.3">
      <c r="A341" s="6"/>
      <c r="B341" s="5"/>
      <c r="C341" s="5"/>
      <c r="D341" s="7"/>
      <c r="E341" s="7"/>
      <c r="F341" s="8" t="str">
        <f t="shared" si="5"/>
        <v/>
      </c>
      <c r="G341" s="5"/>
      <c r="H341" s="5"/>
      <c r="I341" s="5"/>
      <c r="J341" s="5"/>
      <c r="K341" s="9" t="str">
        <f>IF(A341="","",IF(I341&lt;&gt;"",IF(COUNTIF(AGENDA_BANCARIA!$B$5:$B$2000,I341)&gt;0,"Vinculado","ID não encontrado"),"Sem vínculo"))</f>
        <v/>
      </c>
      <c r="L341" s="5"/>
    </row>
    <row r="342" spans="1:12" x14ac:dyDescent="0.3">
      <c r="A342" s="6"/>
      <c r="B342" s="5"/>
      <c r="C342" s="5"/>
      <c r="D342" s="7"/>
      <c r="E342" s="7"/>
      <c r="F342" s="8" t="str">
        <f t="shared" si="5"/>
        <v/>
      </c>
      <c r="G342" s="5"/>
      <c r="H342" s="5"/>
      <c r="I342" s="5"/>
      <c r="J342" s="5"/>
      <c r="K342" s="9" t="str">
        <f>IF(A342="","",IF(I342&lt;&gt;"",IF(COUNTIF(AGENDA_BANCARIA!$B$5:$B$2000,I342)&gt;0,"Vinculado","ID não encontrado"),"Sem vínculo"))</f>
        <v/>
      </c>
      <c r="L342" s="5"/>
    </row>
    <row r="343" spans="1:12" x14ac:dyDescent="0.3">
      <c r="A343" s="6"/>
      <c r="B343" s="5"/>
      <c r="C343" s="5"/>
      <c r="D343" s="7"/>
      <c r="E343" s="7"/>
      <c r="F343" s="8" t="str">
        <f t="shared" si="5"/>
        <v/>
      </c>
      <c r="G343" s="5"/>
      <c r="H343" s="5"/>
      <c r="I343" s="5"/>
      <c r="J343" s="5"/>
      <c r="K343" s="9" t="str">
        <f>IF(A343="","",IF(I343&lt;&gt;"",IF(COUNTIF(AGENDA_BANCARIA!$B$5:$B$2000,I343)&gt;0,"Vinculado","ID não encontrado"),"Sem vínculo"))</f>
        <v/>
      </c>
      <c r="L343" s="5"/>
    </row>
    <row r="344" spans="1:12" x14ac:dyDescent="0.3">
      <c r="A344" s="6"/>
      <c r="B344" s="5"/>
      <c r="C344" s="5"/>
      <c r="D344" s="7"/>
      <c r="E344" s="7"/>
      <c r="F344" s="8" t="str">
        <f t="shared" si="5"/>
        <v/>
      </c>
      <c r="G344" s="5"/>
      <c r="H344" s="5"/>
      <c r="I344" s="5"/>
      <c r="J344" s="5"/>
      <c r="K344" s="9" t="str">
        <f>IF(A344="","",IF(I344&lt;&gt;"",IF(COUNTIF(AGENDA_BANCARIA!$B$5:$B$2000,I344)&gt;0,"Vinculado","ID não encontrado"),"Sem vínculo"))</f>
        <v/>
      </c>
      <c r="L344" s="5"/>
    </row>
    <row r="345" spans="1:12" x14ac:dyDescent="0.3">
      <c r="A345" s="6"/>
      <c r="B345" s="5"/>
      <c r="C345" s="5"/>
      <c r="D345" s="7"/>
      <c r="E345" s="7"/>
      <c r="F345" s="8" t="str">
        <f t="shared" si="5"/>
        <v/>
      </c>
      <c r="G345" s="5"/>
      <c r="H345" s="5"/>
      <c r="I345" s="5"/>
      <c r="J345" s="5"/>
      <c r="K345" s="9" t="str">
        <f>IF(A345="","",IF(I345&lt;&gt;"",IF(COUNTIF(AGENDA_BANCARIA!$B$5:$B$2000,I345)&gt;0,"Vinculado","ID não encontrado"),"Sem vínculo"))</f>
        <v/>
      </c>
      <c r="L345" s="5"/>
    </row>
    <row r="346" spans="1:12" x14ac:dyDescent="0.3">
      <c r="A346" s="6"/>
      <c r="B346" s="5"/>
      <c r="C346" s="5"/>
      <c r="D346" s="7"/>
      <c r="E346" s="7"/>
      <c r="F346" s="8" t="str">
        <f t="shared" si="5"/>
        <v/>
      </c>
      <c r="G346" s="5"/>
      <c r="H346" s="5"/>
      <c r="I346" s="5"/>
      <c r="J346" s="5"/>
      <c r="K346" s="9" t="str">
        <f>IF(A346="","",IF(I346&lt;&gt;"",IF(COUNTIF(AGENDA_BANCARIA!$B$5:$B$2000,I346)&gt;0,"Vinculado","ID não encontrado"),"Sem vínculo"))</f>
        <v/>
      </c>
      <c r="L346" s="5"/>
    </row>
    <row r="347" spans="1:12" x14ac:dyDescent="0.3">
      <c r="A347" s="6"/>
      <c r="B347" s="5"/>
      <c r="C347" s="5"/>
      <c r="D347" s="7"/>
      <c r="E347" s="7"/>
      <c r="F347" s="8" t="str">
        <f t="shared" si="5"/>
        <v/>
      </c>
      <c r="G347" s="5"/>
      <c r="H347" s="5"/>
      <c r="I347" s="5"/>
      <c r="J347" s="5"/>
      <c r="K347" s="9" t="str">
        <f>IF(A347="","",IF(I347&lt;&gt;"",IF(COUNTIF(AGENDA_BANCARIA!$B$5:$B$2000,I347)&gt;0,"Vinculado","ID não encontrado"),"Sem vínculo"))</f>
        <v/>
      </c>
      <c r="L347" s="5"/>
    </row>
    <row r="348" spans="1:12" x14ac:dyDescent="0.3">
      <c r="A348" s="6"/>
      <c r="B348" s="5"/>
      <c r="C348" s="5"/>
      <c r="D348" s="7"/>
      <c r="E348" s="7"/>
      <c r="F348" s="8" t="str">
        <f t="shared" si="5"/>
        <v/>
      </c>
      <c r="G348" s="5"/>
      <c r="H348" s="5"/>
      <c r="I348" s="5"/>
      <c r="J348" s="5"/>
      <c r="K348" s="9" t="str">
        <f>IF(A348="","",IF(I348&lt;&gt;"",IF(COUNTIF(AGENDA_BANCARIA!$B$5:$B$2000,I348)&gt;0,"Vinculado","ID não encontrado"),"Sem vínculo"))</f>
        <v/>
      </c>
      <c r="L348" s="5"/>
    </row>
    <row r="349" spans="1:12" x14ac:dyDescent="0.3">
      <c r="A349" s="6"/>
      <c r="B349" s="5"/>
      <c r="C349" s="5"/>
      <c r="D349" s="7"/>
      <c r="E349" s="7"/>
      <c r="F349" s="8" t="str">
        <f t="shared" si="5"/>
        <v/>
      </c>
      <c r="G349" s="5"/>
      <c r="H349" s="5"/>
      <c r="I349" s="5"/>
      <c r="J349" s="5"/>
      <c r="K349" s="9" t="str">
        <f>IF(A349="","",IF(I349&lt;&gt;"",IF(COUNTIF(AGENDA_BANCARIA!$B$5:$B$2000,I349)&gt;0,"Vinculado","ID não encontrado"),"Sem vínculo"))</f>
        <v/>
      </c>
      <c r="L349" s="5"/>
    </row>
    <row r="350" spans="1:12" x14ac:dyDescent="0.3">
      <c r="A350" s="6"/>
      <c r="B350" s="5"/>
      <c r="C350" s="5"/>
      <c r="D350" s="7"/>
      <c r="E350" s="7"/>
      <c r="F350" s="8" t="str">
        <f t="shared" si="5"/>
        <v/>
      </c>
      <c r="G350" s="5"/>
      <c r="H350" s="5"/>
      <c r="I350" s="5"/>
      <c r="J350" s="5"/>
      <c r="K350" s="9" t="str">
        <f>IF(A350="","",IF(I350&lt;&gt;"",IF(COUNTIF(AGENDA_BANCARIA!$B$5:$B$2000,I350)&gt;0,"Vinculado","ID não encontrado"),"Sem vínculo"))</f>
        <v/>
      </c>
      <c r="L350" s="5"/>
    </row>
    <row r="351" spans="1:12" x14ac:dyDescent="0.3">
      <c r="A351" s="6"/>
      <c r="B351" s="5"/>
      <c r="C351" s="5"/>
      <c r="D351" s="7"/>
      <c r="E351" s="7"/>
      <c r="F351" s="8" t="str">
        <f t="shared" si="5"/>
        <v/>
      </c>
      <c r="G351" s="5"/>
      <c r="H351" s="5"/>
      <c r="I351" s="5"/>
      <c r="J351" s="5"/>
      <c r="K351" s="9" t="str">
        <f>IF(A351="","",IF(I351&lt;&gt;"",IF(COUNTIF(AGENDA_BANCARIA!$B$5:$B$2000,I351)&gt;0,"Vinculado","ID não encontrado"),"Sem vínculo"))</f>
        <v/>
      </c>
      <c r="L351" s="5"/>
    </row>
    <row r="352" spans="1:12" x14ac:dyDescent="0.3">
      <c r="A352" s="6"/>
      <c r="B352" s="5"/>
      <c r="C352" s="5"/>
      <c r="D352" s="7"/>
      <c r="E352" s="7"/>
      <c r="F352" s="8" t="str">
        <f t="shared" si="5"/>
        <v/>
      </c>
      <c r="G352" s="5"/>
      <c r="H352" s="5"/>
      <c r="I352" s="5"/>
      <c r="J352" s="5"/>
      <c r="K352" s="9" t="str">
        <f>IF(A352="","",IF(I352&lt;&gt;"",IF(COUNTIF(AGENDA_BANCARIA!$B$5:$B$2000,I352)&gt;0,"Vinculado","ID não encontrado"),"Sem vínculo"))</f>
        <v/>
      </c>
      <c r="L352" s="5"/>
    </row>
    <row r="353" spans="1:12" x14ac:dyDescent="0.3">
      <c r="A353" s="6"/>
      <c r="B353" s="5"/>
      <c r="C353" s="5"/>
      <c r="D353" s="7"/>
      <c r="E353" s="7"/>
      <c r="F353" s="8" t="str">
        <f t="shared" si="5"/>
        <v/>
      </c>
      <c r="G353" s="5"/>
      <c r="H353" s="5"/>
      <c r="I353" s="5"/>
      <c r="J353" s="5"/>
      <c r="K353" s="9" t="str">
        <f>IF(A353="","",IF(I353&lt;&gt;"",IF(COUNTIF(AGENDA_BANCARIA!$B$5:$B$2000,I353)&gt;0,"Vinculado","ID não encontrado"),"Sem vínculo"))</f>
        <v/>
      </c>
      <c r="L353" s="5"/>
    </row>
    <row r="354" spans="1:12" x14ac:dyDescent="0.3">
      <c r="A354" s="6"/>
      <c r="B354" s="5"/>
      <c r="C354" s="5"/>
      <c r="D354" s="7"/>
      <c r="E354" s="7"/>
      <c r="F354" s="8" t="str">
        <f t="shared" si="5"/>
        <v/>
      </c>
      <c r="G354" s="5"/>
      <c r="H354" s="5"/>
      <c r="I354" s="5"/>
      <c r="J354" s="5"/>
      <c r="K354" s="9" t="str">
        <f>IF(A354="","",IF(I354&lt;&gt;"",IF(COUNTIF(AGENDA_BANCARIA!$B$5:$B$2000,I354)&gt;0,"Vinculado","ID não encontrado"),"Sem vínculo"))</f>
        <v/>
      </c>
      <c r="L354" s="5"/>
    </row>
    <row r="355" spans="1:12" x14ac:dyDescent="0.3">
      <c r="A355" s="6"/>
      <c r="B355" s="5"/>
      <c r="C355" s="5"/>
      <c r="D355" s="7"/>
      <c r="E355" s="7"/>
      <c r="F355" s="8" t="str">
        <f t="shared" si="5"/>
        <v/>
      </c>
      <c r="G355" s="5"/>
      <c r="H355" s="5"/>
      <c r="I355" s="5"/>
      <c r="J355" s="5"/>
      <c r="K355" s="9" t="str">
        <f>IF(A355="","",IF(I355&lt;&gt;"",IF(COUNTIF(AGENDA_BANCARIA!$B$5:$B$2000,I355)&gt;0,"Vinculado","ID não encontrado"),"Sem vínculo"))</f>
        <v/>
      </c>
      <c r="L355" s="5"/>
    </row>
    <row r="356" spans="1:12" x14ac:dyDescent="0.3">
      <c r="A356" s="6"/>
      <c r="B356" s="5"/>
      <c r="C356" s="5"/>
      <c r="D356" s="7"/>
      <c r="E356" s="7"/>
      <c r="F356" s="8" t="str">
        <f t="shared" si="5"/>
        <v/>
      </c>
      <c r="G356" s="5"/>
      <c r="H356" s="5"/>
      <c r="I356" s="5"/>
      <c r="J356" s="5"/>
      <c r="K356" s="9" t="str">
        <f>IF(A356="","",IF(I356&lt;&gt;"",IF(COUNTIF(AGENDA_BANCARIA!$B$5:$B$2000,I356)&gt;0,"Vinculado","ID não encontrado"),"Sem vínculo"))</f>
        <v/>
      </c>
      <c r="L356" s="5"/>
    </row>
    <row r="357" spans="1:12" x14ac:dyDescent="0.3">
      <c r="A357" s="6"/>
      <c r="B357" s="5"/>
      <c r="C357" s="5"/>
      <c r="D357" s="7"/>
      <c r="E357" s="7"/>
      <c r="F357" s="8" t="str">
        <f t="shared" si="5"/>
        <v/>
      </c>
      <c r="G357" s="5"/>
      <c r="H357" s="5"/>
      <c r="I357" s="5"/>
      <c r="J357" s="5"/>
      <c r="K357" s="9" t="str">
        <f>IF(A357="","",IF(I357&lt;&gt;"",IF(COUNTIF(AGENDA_BANCARIA!$B$5:$B$2000,I357)&gt;0,"Vinculado","ID não encontrado"),"Sem vínculo"))</f>
        <v/>
      </c>
      <c r="L357" s="5"/>
    </row>
    <row r="358" spans="1:12" x14ac:dyDescent="0.3">
      <c r="A358" s="6"/>
      <c r="B358" s="5"/>
      <c r="C358" s="5"/>
      <c r="D358" s="7"/>
      <c r="E358" s="7"/>
      <c r="F358" s="8" t="str">
        <f t="shared" si="5"/>
        <v/>
      </c>
      <c r="G358" s="5"/>
      <c r="H358" s="5"/>
      <c r="I358" s="5"/>
      <c r="J358" s="5"/>
      <c r="K358" s="9" t="str">
        <f>IF(A358="","",IF(I358&lt;&gt;"",IF(COUNTIF(AGENDA_BANCARIA!$B$5:$B$2000,I358)&gt;0,"Vinculado","ID não encontrado"),"Sem vínculo"))</f>
        <v/>
      </c>
      <c r="L358" s="5"/>
    </row>
    <row r="359" spans="1:12" x14ac:dyDescent="0.3">
      <c r="A359" s="6"/>
      <c r="B359" s="5"/>
      <c r="C359" s="5"/>
      <c r="D359" s="7"/>
      <c r="E359" s="7"/>
      <c r="F359" s="8" t="str">
        <f t="shared" si="5"/>
        <v/>
      </c>
      <c r="G359" s="5"/>
      <c r="H359" s="5"/>
      <c r="I359" s="5"/>
      <c r="J359" s="5"/>
      <c r="K359" s="9" t="str">
        <f>IF(A359="","",IF(I359&lt;&gt;"",IF(COUNTIF(AGENDA_BANCARIA!$B$5:$B$2000,I359)&gt;0,"Vinculado","ID não encontrado"),"Sem vínculo"))</f>
        <v/>
      </c>
      <c r="L359" s="5"/>
    </row>
    <row r="360" spans="1:12" x14ac:dyDescent="0.3">
      <c r="A360" s="6"/>
      <c r="B360" s="5"/>
      <c r="C360" s="5"/>
      <c r="D360" s="7"/>
      <c r="E360" s="7"/>
      <c r="F360" s="8" t="str">
        <f t="shared" si="5"/>
        <v/>
      </c>
      <c r="G360" s="5"/>
      <c r="H360" s="5"/>
      <c r="I360" s="5"/>
      <c r="J360" s="5"/>
      <c r="K360" s="9" t="str">
        <f>IF(A360="","",IF(I360&lt;&gt;"",IF(COUNTIF(AGENDA_BANCARIA!$B$5:$B$2000,I360)&gt;0,"Vinculado","ID não encontrado"),"Sem vínculo"))</f>
        <v/>
      </c>
      <c r="L360" s="5"/>
    </row>
    <row r="361" spans="1:12" x14ac:dyDescent="0.3">
      <c r="A361" s="6"/>
      <c r="B361" s="5"/>
      <c r="C361" s="5"/>
      <c r="D361" s="7"/>
      <c r="E361" s="7"/>
      <c r="F361" s="8" t="str">
        <f t="shared" si="5"/>
        <v/>
      </c>
      <c r="G361" s="5"/>
      <c r="H361" s="5"/>
      <c r="I361" s="5"/>
      <c r="J361" s="5"/>
      <c r="K361" s="9" t="str">
        <f>IF(A361="","",IF(I361&lt;&gt;"",IF(COUNTIF(AGENDA_BANCARIA!$B$5:$B$2000,I361)&gt;0,"Vinculado","ID não encontrado"),"Sem vínculo"))</f>
        <v/>
      </c>
      <c r="L361" s="5"/>
    </row>
    <row r="362" spans="1:12" x14ac:dyDescent="0.3">
      <c r="A362" s="6"/>
      <c r="B362" s="5"/>
      <c r="C362" s="5"/>
      <c r="D362" s="7"/>
      <c r="E362" s="7"/>
      <c r="F362" s="8" t="str">
        <f t="shared" si="5"/>
        <v/>
      </c>
      <c r="G362" s="5"/>
      <c r="H362" s="5"/>
      <c r="I362" s="5"/>
      <c r="J362" s="5"/>
      <c r="K362" s="9" t="str">
        <f>IF(A362="","",IF(I362&lt;&gt;"",IF(COUNTIF(AGENDA_BANCARIA!$B$5:$B$2000,I362)&gt;0,"Vinculado","ID não encontrado"),"Sem vínculo"))</f>
        <v/>
      </c>
      <c r="L362" s="5"/>
    </row>
    <row r="363" spans="1:12" x14ac:dyDescent="0.3">
      <c r="A363" s="6"/>
      <c r="B363" s="5"/>
      <c r="C363" s="5"/>
      <c r="D363" s="7"/>
      <c r="E363" s="7"/>
      <c r="F363" s="8" t="str">
        <f t="shared" si="5"/>
        <v/>
      </c>
      <c r="G363" s="5"/>
      <c r="H363" s="5"/>
      <c r="I363" s="5"/>
      <c r="J363" s="5"/>
      <c r="K363" s="9" t="str">
        <f>IF(A363="","",IF(I363&lt;&gt;"",IF(COUNTIF(AGENDA_BANCARIA!$B$5:$B$2000,I363)&gt;0,"Vinculado","ID não encontrado"),"Sem vínculo"))</f>
        <v/>
      </c>
      <c r="L363" s="5"/>
    </row>
    <row r="364" spans="1:12" x14ac:dyDescent="0.3">
      <c r="A364" s="6"/>
      <c r="B364" s="5"/>
      <c r="C364" s="5"/>
      <c r="D364" s="7"/>
      <c r="E364" s="7"/>
      <c r="F364" s="8" t="str">
        <f t="shared" si="5"/>
        <v/>
      </c>
      <c r="G364" s="5"/>
      <c r="H364" s="5"/>
      <c r="I364" s="5"/>
      <c r="J364" s="5"/>
      <c r="K364" s="9" t="str">
        <f>IF(A364="","",IF(I364&lt;&gt;"",IF(COUNTIF(AGENDA_BANCARIA!$B$5:$B$2000,I364)&gt;0,"Vinculado","ID não encontrado"),"Sem vínculo"))</f>
        <v/>
      </c>
      <c r="L364" s="5"/>
    </row>
    <row r="365" spans="1:12" x14ac:dyDescent="0.3">
      <c r="A365" s="6"/>
      <c r="B365" s="5"/>
      <c r="C365" s="5"/>
      <c r="D365" s="7"/>
      <c r="E365" s="7"/>
      <c r="F365" s="8" t="str">
        <f t="shared" si="5"/>
        <v/>
      </c>
      <c r="G365" s="5"/>
      <c r="H365" s="5"/>
      <c r="I365" s="5"/>
      <c r="J365" s="5"/>
      <c r="K365" s="9" t="str">
        <f>IF(A365="","",IF(I365&lt;&gt;"",IF(COUNTIF(AGENDA_BANCARIA!$B$5:$B$2000,I365)&gt;0,"Vinculado","ID não encontrado"),"Sem vínculo"))</f>
        <v/>
      </c>
      <c r="L365" s="5"/>
    </row>
    <row r="366" spans="1:12" x14ac:dyDescent="0.3">
      <c r="A366" s="6"/>
      <c r="B366" s="5"/>
      <c r="C366" s="5"/>
      <c r="D366" s="7"/>
      <c r="E366" s="7"/>
      <c r="F366" s="8" t="str">
        <f t="shared" si="5"/>
        <v/>
      </c>
      <c r="G366" s="5"/>
      <c r="H366" s="5"/>
      <c r="I366" s="5"/>
      <c r="J366" s="5"/>
      <c r="K366" s="9" t="str">
        <f>IF(A366="","",IF(I366&lt;&gt;"",IF(COUNTIF(AGENDA_BANCARIA!$B$5:$B$2000,I366)&gt;0,"Vinculado","ID não encontrado"),"Sem vínculo"))</f>
        <v/>
      </c>
      <c r="L366" s="5"/>
    </row>
    <row r="367" spans="1:12" x14ac:dyDescent="0.3">
      <c r="A367" s="6"/>
      <c r="B367" s="5"/>
      <c r="C367" s="5"/>
      <c r="D367" s="7"/>
      <c r="E367" s="7"/>
      <c r="F367" s="8" t="str">
        <f t="shared" si="5"/>
        <v/>
      </c>
      <c r="G367" s="5"/>
      <c r="H367" s="5"/>
      <c r="I367" s="5"/>
      <c r="J367" s="5"/>
      <c r="K367" s="9" t="str">
        <f>IF(A367="","",IF(I367&lt;&gt;"",IF(COUNTIF(AGENDA_BANCARIA!$B$5:$B$2000,I367)&gt;0,"Vinculado","ID não encontrado"),"Sem vínculo"))</f>
        <v/>
      </c>
      <c r="L367" s="5"/>
    </row>
    <row r="368" spans="1:12" x14ac:dyDescent="0.3">
      <c r="A368" s="6"/>
      <c r="B368" s="5"/>
      <c r="C368" s="5"/>
      <c r="D368" s="7"/>
      <c r="E368" s="7"/>
      <c r="F368" s="8" t="str">
        <f t="shared" si="5"/>
        <v/>
      </c>
      <c r="G368" s="5"/>
      <c r="H368" s="5"/>
      <c r="I368" s="5"/>
      <c r="J368" s="5"/>
      <c r="K368" s="9" t="str">
        <f>IF(A368="","",IF(I368&lt;&gt;"",IF(COUNTIF(AGENDA_BANCARIA!$B$5:$B$2000,I368)&gt;0,"Vinculado","ID não encontrado"),"Sem vínculo"))</f>
        <v/>
      </c>
      <c r="L368" s="5"/>
    </row>
    <row r="369" spans="1:12" x14ac:dyDescent="0.3">
      <c r="A369" s="6"/>
      <c r="B369" s="5"/>
      <c r="C369" s="5"/>
      <c r="D369" s="7"/>
      <c r="E369" s="7"/>
      <c r="F369" s="8" t="str">
        <f t="shared" si="5"/>
        <v/>
      </c>
      <c r="G369" s="5"/>
      <c r="H369" s="5"/>
      <c r="I369" s="5"/>
      <c r="J369" s="5"/>
      <c r="K369" s="9" t="str">
        <f>IF(A369="","",IF(I369&lt;&gt;"",IF(COUNTIF(AGENDA_BANCARIA!$B$5:$B$2000,I369)&gt;0,"Vinculado","ID não encontrado"),"Sem vínculo"))</f>
        <v/>
      </c>
      <c r="L369" s="5"/>
    </row>
    <row r="370" spans="1:12" x14ac:dyDescent="0.3">
      <c r="A370" s="6"/>
      <c r="B370" s="5"/>
      <c r="C370" s="5"/>
      <c r="D370" s="7"/>
      <c r="E370" s="7"/>
      <c r="F370" s="8" t="str">
        <f t="shared" si="5"/>
        <v/>
      </c>
      <c r="G370" s="5"/>
      <c r="H370" s="5"/>
      <c r="I370" s="5"/>
      <c r="J370" s="5"/>
      <c r="K370" s="9" t="str">
        <f>IF(A370="","",IF(I370&lt;&gt;"",IF(COUNTIF(AGENDA_BANCARIA!$B$5:$B$2000,I370)&gt;0,"Vinculado","ID não encontrado"),"Sem vínculo"))</f>
        <v/>
      </c>
      <c r="L370" s="5"/>
    </row>
    <row r="371" spans="1:12" x14ac:dyDescent="0.3">
      <c r="A371" s="6"/>
      <c r="B371" s="5"/>
      <c r="C371" s="5"/>
      <c r="D371" s="7"/>
      <c r="E371" s="7"/>
      <c r="F371" s="8" t="str">
        <f t="shared" si="5"/>
        <v/>
      </c>
      <c r="G371" s="5"/>
      <c r="H371" s="5"/>
      <c r="I371" s="5"/>
      <c r="J371" s="5"/>
      <c r="K371" s="9" t="str">
        <f>IF(A371="","",IF(I371&lt;&gt;"",IF(COUNTIF(AGENDA_BANCARIA!$B$5:$B$2000,I371)&gt;0,"Vinculado","ID não encontrado"),"Sem vínculo"))</f>
        <v/>
      </c>
      <c r="L371" s="5"/>
    </row>
    <row r="372" spans="1:12" x14ac:dyDescent="0.3">
      <c r="A372" s="6"/>
      <c r="B372" s="5"/>
      <c r="C372" s="5"/>
      <c r="D372" s="7"/>
      <c r="E372" s="7"/>
      <c r="F372" s="8" t="str">
        <f t="shared" si="5"/>
        <v/>
      </c>
      <c r="G372" s="5"/>
      <c r="H372" s="5"/>
      <c r="I372" s="5"/>
      <c r="J372" s="5"/>
      <c r="K372" s="9" t="str">
        <f>IF(A372="","",IF(I372&lt;&gt;"",IF(COUNTIF(AGENDA_BANCARIA!$B$5:$B$2000,I372)&gt;0,"Vinculado","ID não encontrado"),"Sem vínculo"))</f>
        <v/>
      </c>
      <c r="L372" s="5"/>
    </row>
    <row r="373" spans="1:12" x14ac:dyDescent="0.3">
      <c r="A373" s="6"/>
      <c r="B373" s="5"/>
      <c r="C373" s="5"/>
      <c r="D373" s="7"/>
      <c r="E373" s="7"/>
      <c r="F373" s="8" t="str">
        <f t="shared" si="5"/>
        <v/>
      </c>
      <c r="G373" s="5"/>
      <c r="H373" s="5"/>
      <c r="I373" s="5"/>
      <c r="J373" s="5"/>
      <c r="K373" s="9" t="str">
        <f>IF(A373="","",IF(I373&lt;&gt;"",IF(COUNTIF(AGENDA_BANCARIA!$B$5:$B$2000,I373)&gt;0,"Vinculado","ID não encontrado"),"Sem vínculo"))</f>
        <v/>
      </c>
      <c r="L373" s="5"/>
    </row>
    <row r="374" spans="1:12" x14ac:dyDescent="0.3">
      <c r="A374" s="6"/>
      <c r="B374" s="5"/>
      <c r="C374" s="5"/>
      <c r="D374" s="7"/>
      <c r="E374" s="7"/>
      <c r="F374" s="8" t="str">
        <f t="shared" si="5"/>
        <v/>
      </c>
      <c r="G374" s="5"/>
      <c r="H374" s="5"/>
      <c r="I374" s="5"/>
      <c r="J374" s="5"/>
      <c r="K374" s="9" t="str">
        <f>IF(A374="","",IF(I374&lt;&gt;"",IF(COUNTIF(AGENDA_BANCARIA!$B$5:$B$2000,I374)&gt;0,"Vinculado","ID não encontrado"),"Sem vínculo"))</f>
        <v/>
      </c>
      <c r="L374" s="5"/>
    </row>
    <row r="375" spans="1:12" x14ac:dyDescent="0.3">
      <c r="A375" s="6"/>
      <c r="B375" s="5"/>
      <c r="C375" s="5"/>
      <c r="D375" s="7"/>
      <c r="E375" s="7"/>
      <c r="F375" s="8" t="str">
        <f t="shared" si="5"/>
        <v/>
      </c>
      <c r="G375" s="5"/>
      <c r="H375" s="5"/>
      <c r="I375" s="5"/>
      <c r="J375" s="5"/>
      <c r="K375" s="9" t="str">
        <f>IF(A375="","",IF(I375&lt;&gt;"",IF(COUNTIF(AGENDA_BANCARIA!$B$5:$B$2000,I375)&gt;0,"Vinculado","ID não encontrado"),"Sem vínculo"))</f>
        <v/>
      </c>
      <c r="L375" s="5"/>
    </row>
    <row r="376" spans="1:12" x14ac:dyDescent="0.3">
      <c r="A376" s="6"/>
      <c r="B376" s="5"/>
      <c r="C376" s="5"/>
      <c r="D376" s="7"/>
      <c r="E376" s="7"/>
      <c r="F376" s="8" t="str">
        <f t="shared" si="5"/>
        <v/>
      </c>
      <c r="G376" s="5"/>
      <c r="H376" s="5"/>
      <c r="I376" s="5"/>
      <c r="J376" s="5"/>
      <c r="K376" s="9" t="str">
        <f>IF(A376="","",IF(I376&lt;&gt;"",IF(COUNTIF(AGENDA_BANCARIA!$B$5:$B$2000,I376)&gt;0,"Vinculado","ID não encontrado"),"Sem vínculo"))</f>
        <v/>
      </c>
      <c r="L376" s="5"/>
    </row>
    <row r="377" spans="1:12" x14ac:dyDescent="0.3">
      <c r="A377" s="6"/>
      <c r="B377" s="5"/>
      <c r="C377" s="5"/>
      <c r="D377" s="7"/>
      <c r="E377" s="7"/>
      <c r="F377" s="8" t="str">
        <f t="shared" si="5"/>
        <v/>
      </c>
      <c r="G377" s="5"/>
      <c r="H377" s="5"/>
      <c r="I377" s="5"/>
      <c r="J377" s="5"/>
      <c r="K377" s="9" t="str">
        <f>IF(A377="","",IF(I377&lt;&gt;"",IF(COUNTIF(AGENDA_BANCARIA!$B$5:$B$2000,I377)&gt;0,"Vinculado","ID não encontrado"),"Sem vínculo"))</f>
        <v/>
      </c>
      <c r="L377" s="5"/>
    </row>
    <row r="378" spans="1:12" x14ac:dyDescent="0.3">
      <c r="A378" s="6"/>
      <c r="B378" s="5"/>
      <c r="C378" s="5"/>
      <c r="D378" s="7"/>
      <c r="E378" s="7"/>
      <c r="F378" s="8" t="str">
        <f t="shared" si="5"/>
        <v/>
      </c>
      <c r="G378" s="5"/>
      <c r="H378" s="5"/>
      <c r="I378" s="5"/>
      <c r="J378" s="5"/>
      <c r="K378" s="9" t="str">
        <f>IF(A378="","",IF(I378&lt;&gt;"",IF(COUNTIF(AGENDA_BANCARIA!$B$5:$B$2000,I378)&gt;0,"Vinculado","ID não encontrado"),"Sem vínculo"))</f>
        <v/>
      </c>
      <c r="L378" s="5"/>
    </row>
    <row r="379" spans="1:12" x14ac:dyDescent="0.3">
      <c r="A379" s="6"/>
      <c r="B379" s="5"/>
      <c r="C379" s="5"/>
      <c r="D379" s="7"/>
      <c r="E379" s="7"/>
      <c r="F379" s="8" t="str">
        <f t="shared" si="5"/>
        <v/>
      </c>
      <c r="G379" s="5"/>
      <c r="H379" s="5"/>
      <c r="I379" s="5"/>
      <c r="J379" s="5"/>
      <c r="K379" s="9" t="str">
        <f>IF(A379="","",IF(I379&lt;&gt;"",IF(COUNTIF(AGENDA_BANCARIA!$B$5:$B$2000,I379)&gt;0,"Vinculado","ID não encontrado"),"Sem vínculo"))</f>
        <v/>
      </c>
      <c r="L379" s="5"/>
    </row>
    <row r="380" spans="1:12" x14ac:dyDescent="0.3">
      <c r="A380" s="6"/>
      <c r="B380" s="5"/>
      <c r="C380" s="5"/>
      <c r="D380" s="7"/>
      <c r="E380" s="7"/>
      <c r="F380" s="8" t="str">
        <f t="shared" si="5"/>
        <v/>
      </c>
      <c r="G380" s="5"/>
      <c r="H380" s="5"/>
      <c r="I380" s="5"/>
      <c r="J380" s="5"/>
      <c r="K380" s="9" t="str">
        <f>IF(A380="","",IF(I380&lt;&gt;"",IF(COUNTIF(AGENDA_BANCARIA!$B$5:$B$2000,I380)&gt;0,"Vinculado","ID não encontrado"),"Sem vínculo"))</f>
        <v/>
      </c>
      <c r="L380" s="5"/>
    </row>
    <row r="381" spans="1:12" x14ac:dyDescent="0.3">
      <c r="A381" s="6"/>
      <c r="B381" s="5"/>
      <c r="C381" s="5"/>
      <c r="D381" s="7"/>
      <c r="E381" s="7"/>
      <c r="F381" s="8" t="str">
        <f t="shared" si="5"/>
        <v/>
      </c>
      <c r="G381" s="5"/>
      <c r="H381" s="5"/>
      <c r="I381" s="5"/>
      <c r="J381" s="5"/>
      <c r="K381" s="9" t="str">
        <f>IF(A381="","",IF(I381&lt;&gt;"",IF(COUNTIF(AGENDA_BANCARIA!$B$5:$B$2000,I381)&gt;0,"Vinculado","ID não encontrado"),"Sem vínculo"))</f>
        <v/>
      </c>
      <c r="L381" s="5"/>
    </row>
    <row r="382" spans="1:12" x14ac:dyDescent="0.3">
      <c r="A382" s="6"/>
      <c r="B382" s="5"/>
      <c r="C382" s="5"/>
      <c r="D382" s="7"/>
      <c r="E382" s="7"/>
      <c r="F382" s="8" t="str">
        <f t="shared" si="5"/>
        <v/>
      </c>
      <c r="G382" s="5"/>
      <c r="H382" s="5"/>
      <c r="I382" s="5"/>
      <c r="J382" s="5"/>
      <c r="K382" s="9" t="str">
        <f>IF(A382="","",IF(I382&lt;&gt;"",IF(COUNTIF(AGENDA_BANCARIA!$B$5:$B$2000,I382)&gt;0,"Vinculado","ID não encontrado"),"Sem vínculo"))</f>
        <v/>
      </c>
      <c r="L382" s="5"/>
    </row>
    <row r="383" spans="1:12" x14ac:dyDescent="0.3">
      <c r="A383" s="6"/>
      <c r="B383" s="5"/>
      <c r="C383" s="5"/>
      <c r="D383" s="7"/>
      <c r="E383" s="7"/>
      <c r="F383" s="8" t="str">
        <f t="shared" si="5"/>
        <v/>
      </c>
      <c r="G383" s="5"/>
      <c r="H383" s="5"/>
      <c r="I383" s="5"/>
      <c r="J383" s="5"/>
      <c r="K383" s="9" t="str">
        <f>IF(A383="","",IF(I383&lt;&gt;"",IF(COUNTIF(AGENDA_BANCARIA!$B$5:$B$2000,I383)&gt;0,"Vinculado","ID não encontrado"),"Sem vínculo"))</f>
        <v/>
      </c>
      <c r="L383" s="5"/>
    </row>
    <row r="384" spans="1:12" x14ac:dyDescent="0.3">
      <c r="A384" s="6"/>
      <c r="B384" s="5"/>
      <c r="C384" s="5"/>
      <c r="D384" s="7"/>
      <c r="E384" s="7"/>
      <c r="F384" s="8" t="str">
        <f t="shared" si="5"/>
        <v/>
      </c>
      <c r="G384" s="5"/>
      <c r="H384" s="5"/>
      <c r="I384" s="5"/>
      <c r="J384" s="5"/>
      <c r="K384" s="9" t="str">
        <f>IF(A384="","",IF(I384&lt;&gt;"",IF(COUNTIF(AGENDA_BANCARIA!$B$5:$B$2000,I384)&gt;0,"Vinculado","ID não encontrado"),"Sem vínculo"))</f>
        <v/>
      </c>
      <c r="L384" s="5"/>
    </row>
    <row r="385" spans="1:12" x14ac:dyDescent="0.3">
      <c r="A385" s="6"/>
      <c r="B385" s="5"/>
      <c r="C385" s="5"/>
      <c r="D385" s="7"/>
      <c r="E385" s="7"/>
      <c r="F385" s="8" t="str">
        <f t="shared" si="5"/>
        <v/>
      </c>
      <c r="G385" s="5"/>
      <c r="H385" s="5"/>
      <c r="I385" s="5"/>
      <c r="J385" s="5"/>
      <c r="K385" s="9" t="str">
        <f>IF(A385="","",IF(I385&lt;&gt;"",IF(COUNTIF(AGENDA_BANCARIA!$B$5:$B$2000,I385)&gt;0,"Vinculado","ID não encontrado"),"Sem vínculo"))</f>
        <v/>
      </c>
      <c r="L385" s="5"/>
    </row>
    <row r="386" spans="1:12" x14ac:dyDescent="0.3">
      <c r="A386" s="6"/>
      <c r="B386" s="5"/>
      <c r="C386" s="5"/>
      <c r="D386" s="7"/>
      <c r="E386" s="7"/>
      <c r="F386" s="8" t="str">
        <f t="shared" si="5"/>
        <v/>
      </c>
      <c r="G386" s="5"/>
      <c r="H386" s="5"/>
      <c r="I386" s="5"/>
      <c r="J386" s="5"/>
      <c r="K386" s="9" t="str">
        <f>IF(A386="","",IF(I386&lt;&gt;"",IF(COUNTIF(AGENDA_BANCARIA!$B$5:$B$2000,I386)&gt;0,"Vinculado","ID não encontrado"),"Sem vínculo"))</f>
        <v/>
      </c>
      <c r="L386" s="5"/>
    </row>
    <row r="387" spans="1:12" x14ac:dyDescent="0.3">
      <c r="A387" s="6"/>
      <c r="B387" s="5"/>
      <c r="C387" s="5"/>
      <c r="D387" s="7"/>
      <c r="E387" s="7"/>
      <c r="F387" s="8" t="str">
        <f t="shared" si="5"/>
        <v/>
      </c>
      <c r="G387" s="5"/>
      <c r="H387" s="5"/>
      <c r="I387" s="5"/>
      <c r="J387" s="5"/>
      <c r="K387" s="9" t="str">
        <f>IF(A387="","",IF(I387&lt;&gt;"",IF(COUNTIF(AGENDA_BANCARIA!$B$5:$B$2000,I387)&gt;0,"Vinculado","ID não encontrado"),"Sem vínculo"))</f>
        <v/>
      </c>
      <c r="L387" s="5"/>
    </row>
    <row r="388" spans="1:12" x14ac:dyDescent="0.3">
      <c r="A388" s="6"/>
      <c r="B388" s="5"/>
      <c r="C388" s="5"/>
      <c r="D388" s="7"/>
      <c r="E388" s="7"/>
      <c r="F388" s="8" t="str">
        <f t="shared" si="5"/>
        <v/>
      </c>
      <c r="G388" s="5"/>
      <c r="H388" s="5"/>
      <c r="I388" s="5"/>
      <c r="J388" s="5"/>
      <c r="K388" s="9" t="str">
        <f>IF(A388="","",IF(I388&lt;&gt;"",IF(COUNTIF(AGENDA_BANCARIA!$B$5:$B$2000,I388)&gt;0,"Vinculado","ID não encontrado"),"Sem vínculo"))</f>
        <v/>
      </c>
      <c r="L388" s="5"/>
    </row>
    <row r="389" spans="1:12" x14ac:dyDescent="0.3">
      <c r="A389" s="6"/>
      <c r="B389" s="5"/>
      <c r="C389" s="5"/>
      <c r="D389" s="7"/>
      <c r="E389" s="7"/>
      <c r="F389" s="8" t="str">
        <f t="shared" ref="F389:F452" si="6">IF(OR(D389&lt;&gt;"",E389&lt;&gt;""),IF(E389&lt;&gt;"",E389,-D389),"")</f>
        <v/>
      </c>
      <c r="G389" s="5"/>
      <c r="H389" s="5"/>
      <c r="I389" s="5"/>
      <c r="J389" s="5"/>
      <c r="K389" s="9" t="str">
        <f>IF(A389="","",IF(I389&lt;&gt;"",IF(COUNTIF(AGENDA_BANCARIA!$B$5:$B$2000,I389)&gt;0,"Vinculado","ID não encontrado"),"Sem vínculo"))</f>
        <v/>
      </c>
      <c r="L389" s="5"/>
    </row>
    <row r="390" spans="1:12" x14ac:dyDescent="0.3">
      <c r="A390" s="6"/>
      <c r="B390" s="5"/>
      <c r="C390" s="5"/>
      <c r="D390" s="7"/>
      <c r="E390" s="7"/>
      <c r="F390" s="8" t="str">
        <f t="shared" si="6"/>
        <v/>
      </c>
      <c r="G390" s="5"/>
      <c r="H390" s="5"/>
      <c r="I390" s="5"/>
      <c r="J390" s="5"/>
      <c r="K390" s="9" t="str">
        <f>IF(A390="","",IF(I390&lt;&gt;"",IF(COUNTIF(AGENDA_BANCARIA!$B$5:$B$2000,I390)&gt;0,"Vinculado","ID não encontrado"),"Sem vínculo"))</f>
        <v/>
      </c>
      <c r="L390" s="5"/>
    </row>
    <row r="391" spans="1:12" x14ac:dyDescent="0.3">
      <c r="A391" s="6"/>
      <c r="B391" s="5"/>
      <c r="C391" s="5"/>
      <c r="D391" s="7"/>
      <c r="E391" s="7"/>
      <c r="F391" s="8" t="str">
        <f t="shared" si="6"/>
        <v/>
      </c>
      <c r="G391" s="5"/>
      <c r="H391" s="5"/>
      <c r="I391" s="5"/>
      <c r="J391" s="5"/>
      <c r="K391" s="9" t="str">
        <f>IF(A391="","",IF(I391&lt;&gt;"",IF(COUNTIF(AGENDA_BANCARIA!$B$5:$B$2000,I391)&gt;0,"Vinculado","ID não encontrado"),"Sem vínculo"))</f>
        <v/>
      </c>
      <c r="L391" s="5"/>
    </row>
    <row r="392" spans="1:12" x14ac:dyDescent="0.3">
      <c r="A392" s="6"/>
      <c r="B392" s="5"/>
      <c r="C392" s="5"/>
      <c r="D392" s="7"/>
      <c r="E392" s="7"/>
      <c r="F392" s="8" t="str">
        <f t="shared" si="6"/>
        <v/>
      </c>
      <c r="G392" s="5"/>
      <c r="H392" s="5"/>
      <c r="I392" s="5"/>
      <c r="J392" s="5"/>
      <c r="K392" s="9" t="str">
        <f>IF(A392="","",IF(I392&lt;&gt;"",IF(COUNTIF(AGENDA_BANCARIA!$B$5:$B$2000,I392)&gt;0,"Vinculado","ID não encontrado"),"Sem vínculo"))</f>
        <v/>
      </c>
      <c r="L392" s="5"/>
    </row>
    <row r="393" spans="1:12" x14ac:dyDescent="0.3">
      <c r="A393" s="6"/>
      <c r="B393" s="5"/>
      <c r="C393" s="5"/>
      <c r="D393" s="7"/>
      <c r="E393" s="7"/>
      <c r="F393" s="8" t="str">
        <f t="shared" si="6"/>
        <v/>
      </c>
      <c r="G393" s="5"/>
      <c r="H393" s="5"/>
      <c r="I393" s="5"/>
      <c r="J393" s="5"/>
      <c r="K393" s="9" t="str">
        <f>IF(A393="","",IF(I393&lt;&gt;"",IF(COUNTIF(AGENDA_BANCARIA!$B$5:$B$2000,I393)&gt;0,"Vinculado","ID não encontrado"),"Sem vínculo"))</f>
        <v/>
      </c>
      <c r="L393" s="5"/>
    </row>
    <row r="394" spans="1:12" x14ac:dyDescent="0.3">
      <c r="A394" s="6"/>
      <c r="B394" s="5"/>
      <c r="C394" s="5"/>
      <c r="D394" s="7"/>
      <c r="E394" s="7"/>
      <c r="F394" s="8" t="str">
        <f t="shared" si="6"/>
        <v/>
      </c>
      <c r="G394" s="5"/>
      <c r="H394" s="5"/>
      <c r="I394" s="5"/>
      <c r="J394" s="5"/>
      <c r="K394" s="9" t="str">
        <f>IF(A394="","",IF(I394&lt;&gt;"",IF(COUNTIF(AGENDA_BANCARIA!$B$5:$B$2000,I394)&gt;0,"Vinculado","ID não encontrado"),"Sem vínculo"))</f>
        <v/>
      </c>
      <c r="L394" s="5"/>
    </row>
    <row r="395" spans="1:12" x14ac:dyDescent="0.3">
      <c r="A395" s="6"/>
      <c r="B395" s="5"/>
      <c r="C395" s="5"/>
      <c r="D395" s="7"/>
      <c r="E395" s="7"/>
      <c r="F395" s="8" t="str">
        <f t="shared" si="6"/>
        <v/>
      </c>
      <c r="G395" s="5"/>
      <c r="H395" s="5"/>
      <c r="I395" s="5"/>
      <c r="J395" s="5"/>
      <c r="K395" s="9" t="str">
        <f>IF(A395="","",IF(I395&lt;&gt;"",IF(COUNTIF(AGENDA_BANCARIA!$B$5:$B$2000,I395)&gt;0,"Vinculado","ID não encontrado"),"Sem vínculo"))</f>
        <v/>
      </c>
      <c r="L395" s="5"/>
    </row>
    <row r="396" spans="1:12" x14ac:dyDescent="0.3">
      <c r="A396" s="6"/>
      <c r="B396" s="5"/>
      <c r="C396" s="5"/>
      <c r="D396" s="7"/>
      <c r="E396" s="7"/>
      <c r="F396" s="8" t="str">
        <f t="shared" si="6"/>
        <v/>
      </c>
      <c r="G396" s="5"/>
      <c r="H396" s="5"/>
      <c r="I396" s="5"/>
      <c r="J396" s="5"/>
      <c r="K396" s="9" t="str">
        <f>IF(A396="","",IF(I396&lt;&gt;"",IF(COUNTIF(AGENDA_BANCARIA!$B$5:$B$2000,I396)&gt;0,"Vinculado","ID não encontrado"),"Sem vínculo"))</f>
        <v/>
      </c>
      <c r="L396" s="5"/>
    </row>
    <row r="397" spans="1:12" x14ac:dyDescent="0.3">
      <c r="A397" s="6"/>
      <c r="B397" s="5"/>
      <c r="C397" s="5"/>
      <c r="D397" s="7"/>
      <c r="E397" s="7"/>
      <c r="F397" s="8" t="str">
        <f t="shared" si="6"/>
        <v/>
      </c>
      <c r="G397" s="5"/>
      <c r="H397" s="5"/>
      <c r="I397" s="5"/>
      <c r="J397" s="5"/>
      <c r="K397" s="9" t="str">
        <f>IF(A397="","",IF(I397&lt;&gt;"",IF(COUNTIF(AGENDA_BANCARIA!$B$5:$B$2000,I397)&gt;0,"Vinculado","ID não encontrado"),"Sem vínculo"))</f>
        <v/>
      </c>
      <c r="L397" s="5"/>
    </row>
    <row r="398" spans="1:12" x14ac:dyDescent="0.3">
      <c r="A398" s="6"/>
      <c r="B398" s="5"/>
      <c r="C398" s="5"/>
      <c r="D398" s="7"/>
      <c r="E398" s="7"/>
      <c r="F398" s="8" t="str">
        <f t="shared" si="6"/>
        <v/>
      </c>
      <c r="G398" s="5"/>
      <c r="H398" s="5"/>
      <c r="I398" s="5"/>
      <c r="J398" s="5"/>
      <c r="K398" s="9" t="str">
        <f>IF(A398="","",IF(I398&lt;&gt;"",IF(COUNTIF(AGENDA_BANCARIA!$B$5:$B$2000,I398)&gt;0,"Vinculado","ID não encontrado"),"Sem vínculo"))</f>
        <v/>
      </c>
      <c r="L398" s="5"/>
    </row>
    <row r="399" spans="1:12" x14ac:dyDescent="0.3">
      <c r="A399" s="6"/>
      <c r="B399" s="5"/>
      <c r="C399" s="5"/>
      <c r="D399" s="7"/>
      <c r="E399" s="7"/>
      <c r="F399" s="8" t="str">
        <f t="shared" si="6"/>
        <v/>
      </c>
      <c r="G399" s="5"/>
      <c r="H399" s="5"/>
      <c r="I399" s="5"/>
      <c r="J399" s="5"/>
      <c r="K399" s="9" t="str">
        <f>IF(A399="","",IF(I399&lt;&gt;"",IF(COUNTIF(AGENDA_BANCARIA!$B$5:$B$2000,I399)&gt;0,"Vinculado","ID não encontrado"),"Sem vínculo"))</f>
        <v/>
      </c>
      <c r="L399" s="5"/>
    </row>
    <row r="400" spans="1:12" x14ac:dyDescent="0.3">
      <c r="A400" s="6"/>
      <c r="B400" s="5"/>
      <c r="C400" s="5"/>
      <c r="D400" s="7"/>
      <c r="E400" s="7"/>
      <c r="F400" s="8" t="str">
        <f t="shared" si="6"/>
        <v/>
      </c>
      <c r="G400" s="5"/>
      <c r="H400" s="5"/>
      <c r="I400" s="5"/>
      <c r="J400" s="5"/>
      <c r="K400" s="9" t="str">
        <f>IF(A400="","",IF(I400&lt;&gt;"",IF(COUNTIF(AGENDA_BANCARIA!$B$5:$B$2000,I400)&gt;0,"Vinculado","ID não encontrado"),"Sem vínculo"))</f>
        <v/>
      </c>
      <c r="L400" s="5"/>
    </row>
    <row r="401" spans="1:12" x14ac:dyDescent="0.3">
      <c r="A401" s="6"/>
      <c r="B401" s="5"/>
      <c r="C401" s="5"/>
      <c r="D401" s="7"/>
      <c r="E401" s="7"/>
      <c r="F401" s="8" t="str">
        <f t="shared" si="6"/>
        <v/>
      </c>
      <c r="G401" s="5"/>
      <c r="H401" s="5"/>
      <c r="I401" s="5"/>
      <c r="J401" s="5"/>
      <c r="K401" s="9" t="str">
        <f>IF(A401="","",IF(I401&lt;&gt;"",IF(COUNTIF(AGENDA_BANCARIA!$B$5:$B$2000,I401)&gt;0,"Vinculado","ID não encontrado"),"Sem vínculo"))</f>
        <v/>
      </c>
      <c r="L401" s="5"/>
    </row>
    <row r="402" spans="1:12" x14ac:dyDescent="0.3">
      <c r="A402" s="6"/>
      <c r="B402" s="5"/>
      <c r="C402" s="5"/>
      <c r="D402" s="7"/>
      <c r="E402" s="7"/>
      <c r="F402" s="8" t="str">
        <f t="shared" si="6"/>
        <v/>
      </c>
      <c r="G402" s="5"/>
      <c r="H402" s="5"/>
      <c r="I402" s="5"/>
      <c r="J402" s="5"/>
      <c r="K402" s="9" t="str">
        <f>IF(A402="","",IF(I402&lt;&gt;"",IF(COUNTIF(AGENDA_BANCARIA!$B$5:$B$2000,I402)&gt;0,"Vinculado","ID não encontrado"),"Sem vínculo"))</f>
        <v/>
      </c>
      <c r="L402" s="5"/>
    </row>
    <row r="403" spans="1:12" x14ac:dyDescent="0.3">
      <c r="A403" s="6"/>
      <c r="B403" s="5"/>
      <c r="C403" s="5"/>
      <c r="D403" s="7"/>
      <c r="E403" s="7"/>
      <c r="F403" s="8" t="str">
        <f t="shared" si="6"/>
        <v/>
      </c>
      <c r="G403" s="5"/>
      <c r="H403" s="5"/>
      <c r="I403" s="5"/>
      <c r="J403" s="5"/>
      <c r="K403" s="9" t="str">
        <f>IF(A403="","",IF(I403&lt;&gt;"",IF(COUNTIF(AGENDA_BANCARIA!$B$5:$B$2000,I403)&gt;0,"Vinculado","ID não encontrado"),"Sem vínculo"))</f>
        <v/>
      </c>
      <c r="L403" s="5"/>
    </row>
    <row r="404" spans="1:12" x14ac:dyDescent="0.3">
      <c r="A404" s="6"/>
      <c r="B404" s="5"/>
      <c r="C404" s="5"/>
      <c r="D404" s="7"/>
      <c r="E404" s="7"/>
      <c r="F404" s="8" t="str">
        <f t="shared" si="6"/>
        <v/>
      </c>
      <c r="G404" s="5"/>
      <c r="H404" s="5"/>
      <c r="I404" s="5"/>
      <c r="J404" s="5"/>
      <c r="K404" s="9" t="str">
        <f>IF(A404="","",IF(I404&lt;&gt;"",IF(COUNTIF(AGENDA_BANCARIA!$B$5:$B$2000,I404)&gt;0,"Vinculado","ID não encontrado"),"Sem vínculo"))</f>
        <v/>
      </c>
      <c r="L404" s="5"/>
    </row>
  </sheetData>
  <autoFilter ref="A4:L404" xr:uid="{00000000-0009-0000-0000-000006000000}"/>
  <mergeCells count="2">
    <mergeCell ref="A2:L2"/>
    <mergeCell ref="A1:L1"/>
  </mergeCells>
  <pageMargins left="0.75" right="0.75" top="1" bottom="1" header="0.5" footer="0.5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81"/>
  <sheetViews>
    <sheetView showGridLines="0" workbookViewId="0"/>
  </sheetViews>
  <sheetFormatPr defaultRowHeight="14.4" x14ac:dyDescent="0.3"/>
  <cols>
    <col min="1" max="1" width="18" customWidth="1"/>
    <col min="2" max="3" width="14" customWidth="1"/>
    <col min="4" max="4" width="18" customWidth="1"/>
    <col min="5" max="5" width="26" customWidth="1"/>
    <col min="6" max="6" width="42" customWidth="1"/>
  </cols>
  <sheetData>
    <row r="1" spans="1:8" ht="18" x14ac:dyDescent="0.35">
      <c r="A1" s="34" t="s">
        <v>770</v>
      </c>
      <c r="B1" s="35"/>
      <c r="C1" s="35"/>
      <c r="D1" s="35"/>
      <c r="E1" s="35"/>
      <c r="F1" s="35"/>
      <c r="G1" s="35"/>
      <c r="H1" s="35"/>
    </row>
    <row r="2" spans="1:8" x14ac:dyDescent="0.3">
      <c r="A2" s="36" t="s">
        <v>771</v>
      </c>
      <c r="B2" s="35"/>
      <c r="C2" s="35"/>
      <c r="D2" s="35"/>
      <c r="E2" s="35"/>
      <c r="F2" s="35"/>
      <c r="G2" s="35"/>
      <c r="H2" s="35"/>
    </row>
    <row r="4" spans="1:8" x14ac:dyDescent="0.3">
      <c r="B4" s="17" t="s">
        <v>772</v>
      </c>
      <c r="C4">
        <f>COUNTIF(AGENDA_BANCARIA!A5:A2003,"&lt;&gt;")</f>
        <v>1999</v>
      </c>
      <c r="E4" s="17" t="s">
        <v>773</v>
      </c>
      <c r="F4" s="32">
        <f>SUM(AGENDA_BANCARIA!E5:E2003)</f>
        <v>20673334.918970678</v>
      </c>
    </row>
    <row r="5" spans="1:8" x14ac:dyDescent="0.3">
      <c r="B5" s="17" t="s">
        <v>774</v>
      </c>
      <c r="C5">
        <f ca="1">COUNTIF(AGENDA_BANCARIA!N5:N2003,"Conciliado")</f>
        <v>0</v>
      </c>
      <c r="E5" s="17" t="s">
        <v>775</v>
      </c>
      <c r="F5" s="32">
        <f ca="1">SUMIF(AGENDA_BANCARIA!N5:N2003,"Conciliado",AGENDA_BANCARIA!E5:E2003)</f>
        <v>0</v>
      </c>
    </row>
    <row r="6" spans="1:8" x14ac:dyDescent="0.3">
      <c r="B6" s="17" t="s">
        <v>776</v>
      </c>
      <c r="C6">
        <f ca="1">COUNTIF(AGENDA_BANCARIA!N5:N2003,"Previsto")</f>
        <v>643</v>
      </c>
      <c r="E6" s="17" t="s">
        <v>777</v>
      </c>
      <c r="F6" s="32">
        <f ca="1">SUMIFS(AGENDA_BANCARIA!E5:E2003,AGENDA_BANCARIA!N5:N2003,"&lt;&gt;Conciliado",AGENDA_BANCARIA!N5:N2003,"&lt;&gt;Divergente")</f>
        <v>20673334.918970678</v>
      </c>
    </row>
    <row r="7" spans="1:8" x14ac:dyDescent="0.3">
      <c r="B7" s="17" t="s">
        <v>778</v>
      </c>
      <c r="C7">
        <f ca="1">COUNTIF(AGENDA_BANCARIA!N5:N2003,"Pendente vencido")</f>
        <v>1</v>
      </c>
      <c r="E7" s="17" t="s">
        <v>779</v>
      </c>
      <c r="F7" s="32">
        <f ca="1">SUMIF(AGENDA_BANCARIA!N5:N2003,"Divergente",AGENDA_BANCARIA!S5:S2003)</f>
        <v>0</v>
      </c>
    </row>
    <row r="8" spans="1:8" x14ac:dyDescent="0.3">
      <c r="B8" s="17" t="s">
        <v>780</v>
      </c>
      <c r="C8">
        <f ca="1">COUNTIF(AGENDA_BANCARIA!N5:N2003,"Divergente")</f>
        <v>0</v>
      </c>
    </row>
    <row r="9" spans="1:8" x14ac:dyDescent="0.3">
      <c r="B9" s="17" t="s">
        <v>781</v>
      </c>
      <c r="C9">
        <f>COUNTIF(EXTRATO_IMPORTADO!K5:K404,"Sem vínculo")</f>
        <v>0</v>
      </c>
    </row>
    <row r="12" spans="1:8" x14ac:dyDescent="0.3">
      <c r="A12" s="18" t="s">
        <v>782</v>
      </c>
    </row>
    <row r="13" spans="1:8" x14ac:dyDescent="0.3">
      <c r="A13" t="s">
        <v>783</v>
      </c>
    </row>
    <row r="14" spans="1:8" x14ac:dyDescent="0.3">
      <c r="A14" t="s">
        <v>784</v>
      </c>
    </row>
    <row r="15" spans="1:8" x14ac:dyDescent="0.3">
      <c r="A15" t="s">
        <v>785</v>
      </c>
    </row>
    <row r="16" spans="1:8" x14ac:dyDescent="0.3">
      <c r="A16" t="s">
        <v>786</v>
      </c>
    </row>
    <row r="17" spans="1:6" x14ac:dyDescent="0.3">
      <c r="A17" t="s">
        <v>787</v>
      </c>
    </row>
    <row r="20" spans="1:6" x14ac:dyDescent="0.3">
      <c r="A20" s="18" t="s">
        <v>788</v>
      </c>
    </row>
    <row r="21" spans="1:6" x14ac:dyDescent="0.3">
      <c r="A21" s="17" t="s">
        <v>64</v>
      </c>
      <c r="B21" s="17" t="s">
        <v>789</v>
      </c>
      <c r="C21" s="17" t="s">
        <v>790</v>
      </c>
      <c r="D21" s="17" t="s">
        <v>50</v>
      </c>
      <c r="E21" s="17" t="s">
        <v>791</v>
      </c>
      <c r="F21" s="17" t="s">
        <v>792</v>
      </c>
    </row>
    <row r="22" spans="1:6" x14ac:dyDescent="0.3">
      <c r="A22" t="str">
        <f ca="1">IF(OR(AGENDA_BANCARIA!N5="Divergente",AGENDA_BANCARIA!N5="Pendente vencido"),AGENDA_BANCARIA!B5,"")</f>
        <v>000001-CR</v>
      </c>
      <c r="B22" s="11">
        <f ca="1">IF(A22="","",AGENDA_BANCARIA!C5)</f>
        <v>46080</v>
      </c>
      <c r="C22" s="32">
        <f ca="1">IF(A22="","",AGENDA_BANCARIA!E5)</f>
        <v>720000</v>
      </c>
      <c r="D22" t="str">
        <f ca="1">IF(A22="","",AGENDA_BANCARIA!N5)</f>
        <v>Pendente vencido</v>
      </c>
      <c r="E22" t="str">
        <f ca="1">IF(A22="","",AGENDA_BANCARIA!G5&amp;" | "&amp;AGENDA_BANCARIA!H5)</f>
        <v>0 | 0</v>
      </c>
      <c r="F22" t="str">
        <f ca="1">IF(A22="","",AGENDA_BANCARIA!M5)</f>
        <v>FM SOLUÇÕES EM BEBIDAS | MEDIÇÃO CONTRATUAL | Entrada | MEDI</v>
      </c>
    </row>
    <row r="23" spans="1:6" x14ac:dyDescent="0.3">
      <c r="A23" t="str">
        <f ca="1">IF(OR(AGENDA_BANCARIA!N6="Divergente",AGENDA_BANCARIA!N6="Pendente vencido"),AGENDA_BANCARIA!B6,"")</f>
        <v/>
      </c>
      <c r="B23" s="11" t="str">
        <f ca="1">IF(A23="","",AGENDA_BANCARIA!C6)</f>
        <v/>
      </c>
      <c r="C23" s="32" t="str">
        <f ca="1">IF(A23="","",AGENDA_BANCARIA!E6)</f>
        <v/>
      </c>
      <c r="D23" t="str">
        <f ca="1">IF(A23="","",AGENDA_BANCARIA!N6)</f>
        <v/>
      </c>
      <c r="E23" t="str">
        <f ca="1">IF(A23="","",AGENDA_BANCARIA!G6&amp;" | "&amp;AGENDA_BANCARIA!H6)</f>
        <v/>
      </c>
      <c r="F23" t="str">
        <f ca="1">IF(A23="","",AGENDA_BANCARIA!M6)</f>
        <v/>
      </c>
    </row>
    <row r="24" spans="1:6" x14ac:dyDescent="0.3">
      <c r="A24" t="str">
        <f ca="1">IF(OR(AGENDA_BANCARIA!N7="Divergente",AGENDA_BANCARIA!N7="Pendente vencido"),AGENDA_BANCARIA!B7,"")</f>
        <v/>
      </c>
      <c r="B24" s="11" t="str">
        <f ca="1">IF(A24="","",AGENDA_BANCARIA!C7)</f>
        <v/>
      </c>
      <c r="C24" s="32" t="str">
        <f ca="1">IF(A24="","",AGENDA_BANCARIA!E7)</f>
        <v/>
      </c>
      <c r="D24" t="str">
        <f ca="1">IF(A24="","",AGENDA_BANCARIA!N7)</f>
        <v/>
      </c>
      <c r="E24" t="str">
        <f ca="1">IF(A24="","",AGENDA_BANCARIA!G7&amp;" | "&amp;AGENDA_BANCARIA!H7)</f>
        <v/>
      </c>
      <c r="F24" t="str">
        <f ca="1">IF(A24="","",AGENDA_BANCARIA!M7)</f>
        <v/>
      </c>
    </row>
    <row r="25" spans="1:6" x14ac:dyDescent="0.3">
      <c r="A25" t="str">
        <f ca="1">IF(OR(AGENDA_BANCARIA!N8="Divergente",AGENDA_BANCARIA!N8="Pendente vencido"),AGENDA_BANCARIA!B8,"")</f>
        <v/>
      </c>
      <c r="B25" s="11" t="str">
        <f ca="1">IF(A25="","",AGENDA_BANCARIA!C8)</f>
        <v/>
      </c>
      <c r="C25" s="32" t="str">
        <f ca="1">IF(A25="","",AGENDA_BANCARIA!E8)</f>
        <v/>
      </c>
      <c r="D25" t="str">
        <f ca="1">IF(A25="","",AGENDA_BANCARIA!N8)</f>
        <v/>
      </c>
      <c r="E25" t="str">
        <f ca="1">IF(A25="","",AGENDA_BANCARIA!G8&amp;" | "&amp;AGENDA_BANCARIA!H8)</f>
        <v/>
      </c>
      <c r="F25" t="str">
        <f ca="1">IF(A25="","",AGENDA_BANCARIA!M8)</f>
        <v/>
      </c>
    </row>
    <row r="26" spans="1:6" x14ac:dyDescent="0.3">
      <c r="A26" t="str">
        <f ca="1">IF(OR(AGENDA_BANCARIA!N9="Divergente",AGENDA_BANCARIA!N9="Pendente vencido"),AGENDA_BANCARIA!B9,"")</f>
        <v/>
      </c>
      <c r="B26" s="11" t="str">
        <f ca="1">IF(A26="","",AGENDA_BANCARIA!C9)</f>
        <v/>
      </c>
      <c r="C26" s="32" t="str">
        <f ca="1">IF(A26="","",AGENDA_BANCARIA!E9)</f>
        <v/>
      </c>
      <c r="D26" t="str">
        <f ca="1">IF(A26="","",AGENDA_BANCARIA!N9)</f>
        <v/>
      </c>
      <c r="E26" t="str">
        <f ca="1">IF(A26="","",AGENDA_BANCARIA!G9&amp;" | "&amp;AGENDA_BANCARIA!H9)</f>
        <v/>
      </c>
      <c r="F26" t="str">
        <f ca="1">IF(A26="","",AGENDA_BANCARIA!M9)</f>
        <v/>
      </c>
    </row>
    <row r="27" spans="1:6" x14ac:dyDescent="0.3">
      <c r="A27" t="str">
        <f ca="1">IF(OR(AGENDA_BANCARIA!N10="Divergente",AGENDA_BANCARIA!N10="Pendente vencido"),AGENDA_BANCARIA!B10,"")</f>
        <v/>
      </c>
      <c r="B27" s="11" t="str">
        <f ca="1">IF(A27="","",AGENDA_BANCARIA!C10)</f>
        <v/>
      </c>
      <c r="C27" s="32" t="str">
        <f ca="1">IF(A27="","",AGENDA_BANCARIA!E10)</f>
        <v/>
      </c>
      <c r="D27" t="str">
        <f ca="1">IF(A27="","",AGENDA_BANCARIA!N10)</f>
        <v/>
      </c>
      <c r="E27" t="str">
        <f ca="1">IF(A27="","",AGENDA_BANCARIA!G10&amp;" | "&amp;AGENDA_BANCARIA!H10)</f>
        <v/>
      </c>
      <c r="F27" t="str">
        <f ca="1">IF(A27="","",AGENDA_BANCARIA!M10)</f>
        <v/>
      </c>
    </row>
    <row r="28" spans="1:6" x14ac:dyDescent="0.3">
      <c r="A28" t="str">
        <f ca="1">IF(OR(AGENDA_BANCARIA!N11="Divergente",AGENDA_BANCARIA!N11="Pendente vencido"),AGENDA_BANCARIA!B11,"")</f>
        <v/>
      </c>
      <c r="B28" s="11" t="str">
        <f ca="1">IF(A28="","",AGENDA_BANCARIA!C11)</f>
        <v/>
      </c>
      <c r="C28" s="32" t="str">
        <f ca="1">IF(A28="","",AGENDA_BANCARIA!E11)</f>
        <v/>
      </c>
      <c r="D28" t="str">
        <f ca="1">IF(A28="","",AGENDA_BANCARIA!N11)</f>
        <v/>
      </c>
      <c r="E28" t="str">
        <f ca="1">IF(A28="","",AGENDA_BANCARIA!G11&amp;" | "&amp;AGENDA_BANCARIA!H11)</f>
        <v/>
      </c>
      <c r="F28" t="str">
        <f ca="1">IF(A28="","",AGENDA_BANCARIA!M11)</f>
        <v/>
      </c>
    </row>
    <row r="29" spans="1:6" x14ac:dyDescent="0.3">
      <c r="A29" t="str">
        <f ca="1">IF(OR(AGENDA_BANCARIA!N12="Divergente",AGENDA_BANCARIA!N12="Pendente vencido"),AGENDA_BANCARIA!B12,"")</f>
        <v/>
      </c>
      <c r="B29" s="11" t="str">
        <f ca="1">IF(A29="","",AGENDA_BANCARIA!C12)</f>
        <v/>
      </c>
      <c r="C29" s="32" t="str">
        <f ca="1">IF(A29="","",AGENDA_BANCARIA!E12)</f>
        <v/>
      </c>
      <c r="D29" t="str">
        <f ca="1">IF(A29="","",AGENDA_BANCARIA!N12)</f>
        <v/>
      </c>
      <c r="E29" t="str">
        <f ca="1">IF(A29="","",AGENDA_BANCARIA!G12&amp;" | "&amp;AGENDA_BANCARIA!H12)</f>
        <v/>
      </c>
      <c r="F29" t="str">
        <f ca="1">IF(A29="","",AGENDA_BANCARIA!M12)</f>
        <v/>
      </c>
    </row>
    <row r="30" spans="1:6" x14ac:dyDescent="0.3">
      <c r="A30" t="str">
        <f ca="1">IF(OR(AGENDA_BANCARIA!N13="Divergente",AGENDA_BANCARIA!N13="Pendente vencido"),AGENDA_BANCARIA!B13,"")</f>
        <v/>
      </c>
      <c r="B30" s="11" t="str">
        <f ca="1">IF(A30="","",AGENDA_BANCARIA!C13)</f>
        <v/>
      </c>
      <c r="C30" s="32" t="str">
        <f ca="1">IF(A30="","",AGENDA_BANCARIA!E13)</f>
        <v/>
      </c>
      <c r="D30" t="str">
        <f ca="1">IF(A30="","",AGENDA_BANCARIA!N13)</f>
        <v/>
      </c>
      <c r="E30" t="str">
        <f ca="1">IF(A30="","",AGENDA_BANCARIA!G13&amp;" | "&amp;AGENDA_BANCARIA!H13)</f>
        <v/>
      </c>
      <c r="F30" t="str">
        <f ca="1">IF(A30="","",AGENDA_BANCARIA!M13)</f>
        <v/>
      </c>
    </row>
    <row r="31" spans="1:6" x14ac:dyDescent="0.3">
      <c r="A31" t="str">
        <f ca="1">IF(OR(AGENDA_BANCARIA!N14="Divergente",AGENDA_BANCARIA!N14="Pendente vencido"),AGENDA_BANCARIA!B14,"")</f>
        <v/>
      </c>
      <c r="B31" s="11" t="str">
        <f ca="1">IF(A31="","",AGENDA_BANCARIA!C14)</f>
        <v/>
      </c>
      <c r="C31" s="32" t="str">
        <f ca="1">IF(A31="","",AGENDA_BANCARIA!E14)</f>
        <v/>
      </c>
      <c r="D31" t="str">
        <f ca="1">IF(A31="","",AGENDA_BANCARIA!N14)</f>
        <v/>
      </c>
      <c r="E31" t="str">
        <f ca="1">IF(A31="","",AGENDA_BANCARIA!G14&amp;" | "&amp;AGENDA_BANCARIA!H14)</f>
        <v/>
      </c>
      <c r="F31" t="str">
        <f ca="1">IF(A31="","",AGENDA_BANCARIA!M14)</f>
        <v/>
      </c>
    </row>
    <row r="32" spans="1:6" x14ac:dyDescent="0.3">
      <c r="A32" t="str">
        <f ca="1">IF(OR(AGENDA_BANCARIA!N15="Divergente",AGENDA_BANCARIA!N15="Pendente vencido"),AGENDA_BANCARIA!B15,"")</f>
        <v/>
      </c>
      <c r="B32" s="11" t="str">
        <f ca="1">IF(A32="","",AGENDA_BANCARIA!C15)</f>
        <v/>
      </c>
      <c r="C32" s="32" t="str">
        <f ca="1">IF(A32="","",AGENDA_BANCARIA!E15)</f>
        <v/>
      </c>
      <c r="D32" t="str">
        <f ca="1">IF(A32="","",AGENDA_BANCARIA!N15)</f>
        <v/>
      </c>
      <c r="E32" t="str">
        <f ca="1">IF(A32="","",AGENDA_BANCARIA!G15&amp;" | "&amp;AGENDA_BANCARIA!H15)</f>
        <v/>
      </c>
      <c r="F32" t="str">
        <f ca="1">IF(A32="","",AGENDA_BANCARIA!M15)</f>
        <v/>
      </c>
    </row>
    <row r="33" spans="1:6" x14ac:dyDescent="0.3">
      <c r="A33" t="str">
        <f ca="1">IF(OR(AGENDA_BANCARIA!N16="Divergente",AGENDA_BANCARIA!N16="Pendente vencido"),AGENDA_BANCARIA!B16,"")</f>
        <v/>
      </c>
      <c r="B33" s="11" t="str">
        <f ca="1">IF(A33="","",AGENDA_BANCARIA!C16)</f>
        <v/>
      </c>
      <c r="C33" s="32" t="str">
        <f ca="1">IF(A33="","",AGENDA_BANCARIA!E16)</f>
        <v/>
      </c>
      <c r="D33" t="str">
        <f ca="1">IF(A33="","",AGENDA_BANCARIA!N16)</f>
        <v/>
      </c>
      <c r="E33" t="str">
        <f ca="1">IF(A33="","",AGENDA_BANCARIA!G16&amp;" | "&amp;AGENDA_BANCARIA!H16)</f>
        <v/>
      </c>
      <c r="F33" t="str">
        <f ca="1">IF(A33="","",AGENDA_BANCARIA!M16)</f>
        <v/>
      </c>
    </row>
    <row r="34" spans="1:6" x14ac:dyDescent="0.3">
      <c r="A34" t="str">
        <f ca="1">IF(OR(AGENDA_BANCARIA!N17="Divergente",AGENDA_BANCARIA!N17="Pendente vencido"),AGENDA_BANCARIA!B17,"")</f>
        <v/>
      </c>
      <c r="B34" s="11" t="str">
        <f ca="1">IF(A34="","",AGENDA_BANCARIA!C17)</f>
        <v/>
      </c>
      <c r="C34" s="32" t="str">
        <f ca="1">IF(A34="","",AGENDA_BANCARIA!E17)</f>
        <v/>
      </c>
      <c r="D34" t="str">
        <f ca="1">IF(A34="","",AGENDA_BANCARIA!N17)</f>
        <v/>
      </c>
      <c r="E34" t="str">
        <f ca="1">IF(A34="","",AGENDA_BANCARIA!G17&amp;" | "&amp;AGENDA_BANCARIA!H17)</f>
        <v/>
      </c>
      <c r="F34" t="str">
        <f ca="1">IF(A34="","",AGENDA_BANCARIA!M17)</f>
        <v/>
      </c>
    </row>
    <row r="35" spans="1:6" x14ac:dyDescent="0.3">
      <c r="A35" t="str">
        <f ca="1">IF(OR(AGENDA_BANCARIA!N18="Divergente",AGENDA_BANCARIA!N18="Pendente vencido"),AGENDA_BANCARIA!B18,"")</f>
        <v/>
      </c>
      <c r="B35" s="11" t="str">
        <f ca="1">IF(A35="","",AGENDA_BANCARIA!C18)</f>
        <v/>
      </c>
      <c r="C35" s="32" t="str">
        <f ca="1">IF(A35="","",AGENDA_BANCARIA!E18)</f>
        <v/>
      </c>
      <c r="D35" t="str">
        <f ca="1">IF(A35="","",AGENDA_BANCARIA!N18)</f>
        <v/>
      </c>
      <c r="E35" t="str">
        <f ca="1">IF(A35="","",AGENDA_BANCARIA!G18&amp;" | "&amp;AGENDA_BANCARIA!H18)</f>
        <v/>
      </c>
      <c r="F35" t="str">
        <f ca="1">IF(A35="","",AGENDA_BANCARIA!M18)</f>
        <v/>
      </c>
    </row>
    <row r="36" spans="1:6" x14ac:dyDescent="0.3">
      <c r="A36" t="str">
        <f ca="1">IF(OR(AGENDA_BANCARIA!N19="Divergente",AGENDA_BANCARIA!N19="Pendente vencido"),AGENDA_BANCARIA!B19,"")</f>
        <v/>
      </c>
      <c r="B36" s="11" t="str">
        <f ca="1">IF(A36="","",AGENDA_BANCARIA!C19)</f>
        <v/>
      </c>
      <c r="C36" s="32" t="str">
        <f ca="1">IF(A36="","",AGENDA_BANCARIA!E19)</f>
        <v/>
      </c>
      <c r="D36" t="str">
        <f ca="1">IF(A36="","",AGENDA_BANCARIA!N19)</f>
        <v/>
      </c>
      <c r="E36" t="str">
        <f ca="1">IF(A36="","",AGENDA_BANCARIA!G19&amp;" | "&amp;AGENDA_BANCARIA!H19)</f>
        <v/>
      </c>
      <c r="F36" t="str">
        <f ca="1">IF(A36="","",AGENDA_BANCARIA!M19)</f>
        <v/>
      </c>
    </row>
    <row r="37" spans="1:6" x14ac:dyDescent="0.3">
      <c r="A37" t="str">
        <f ca="1">IF(OR(AGENDA_BANCARIA!N20="Divergente",AGENDA_BANCARIA!N20="Pendente vencido"),AGENDA_BANCARIA!B20,"")</f>
        <v/>
      </c>
      <c r="B37" s="11" t="str">
        <f ca="1">IF(A37="","",AGENDA_BANCARIA!C20)</f>
        <v/>
      </c>
      <c r="C37" s="32" t="str">
        <f ca="1">IF(A37="","",AGENDA_BANCARIA!E20)</f>
        <v/>
      </c>
      <c r="D37" t="str">
        <f ca="1">IF(A37="","",AGENDA_BANCARIA!N20)</f>
        <v/>
      </c>
      <c r="E37" t="str">
        <f ca="1">IF(A37="","",AGENDA_BANCARIA!G20&amp;" | "&amp;AGENDA_BANCARIA!H20)</f>
        <v/>
      </c>
      <c r="F37" t="str">
        <f ca="1">IF(A37="","",AGENDA_BANCARIA!M20)</f>
        <v/>
      </c>
    </row>
    <row r="38" spans="1:6" x14ac:dyDescent="0.3">
      <c r="A38" t="str">
        <f ca="1">IF(OR(AGENDA_BANCARIA!N21="Divergente",AGENDA_BANCARIA!N21="Pendente vencido"),AGENDA_BANCARIA!B21,"")</f>
        <v/>
      </c>
      <c r="B38" s="11" t="str">
        <f ca="1">IF(A38="","",AGENDA_BANCARIA!C21)</f>
        <v/>
      </c>
      <c r="C38" s="32" t="str">
        <f ca="1">IF(A38="","",AGENDA_BANCARIA!E21)</f>
        <v/>
      </c>
      <c r="D38" t="str">
        <f ca="1">IF(A38="","",AGENDA_BANCARIA!N21)</f>
        <v/>
      </c>
      <c r="E38" t="str">
        <f ca="1">IF(A38="","",AGENDA_BANCARIA!G21&amp;" | "&amp;AGENDA_BANCARIA!H21)</f>
        <v/>
      </c>
      <c r="F38" t="str">
        <f ca="1">IF(A38="","",AGENDA_BANCARIA!M21)</f>
        <v/>
      </c>
    </row>
    <row r="39" spans="1:6" x14ac:dyDescent="0.3">
      <c r="A39" t="str">
        <f ca="1">IF(OR(AGENDA_BANCARIA!N22="Divergente",AGENDA_BANCARIA!N22="Pendente vencido"),AGENDA_BANCARIA!B22,"")</f>
        <v/>
      </c>
      <c r="B39" s="11" t="str">
        <f ca="1">IF(A39="","",AGENDA_BANCARIA!C22)</f>
        <v/>
      </c>
      <c r="C39" s="32" t="str">
        <f ca="1">IF(A39="","",AGENDA_BANCARIA!E22)</f>
        <v/>
      </c>
      <c r="D39" t="str">
        <f ca="1">IF(A39="","",AGENDA_BANCARIA!N22)</f>
        <v/>
      </c>
      <c r="E39" t="str">
        <f ca="1">IF(A39="","",AGENDA_BANCARIA!G22&amp;" | "&amp;AGENDA_BANCARIA!H22)</f>
        <v/>
      </c>
      <c r="F39" t="str">
        <f ca="1">IF(A39="","",AGENDA_BANCARIA!M22)</f>
        <v/>
      </c>
    </row>
    <row r="40" spans="1:6" x14ac:dyDescent="0.3">
      <c r="A40" t="str">
        <f ca="1">IF(OR(AGENDA_BANCARIA!N23="Divergente",AGENDA_BANCARIA!N23="Pendente vencido"),AGENDA_BANCARIA!B23,"")</f>
        <v/>
      </c>
      <c r="B40" s="11" t="str">
        <f ca="1">IF(A40="","",AGENDA_BANCARIA!C23)</f>
        <v/>
      </c>
      <c r="C40" s="32" t="str">
        <f ca="1">IF(A40="","",AGENDA_BANCARIA!E23)</f>
        <v/>
      </c>
      <c r="D40" t="str">
        <f ca="1">IF(A40="","",AGENDA_BANCARIA!N23)</f>
        <v/>
      </c>
      <c r="E40" t="str">
        <f ca="1">IF(A40="","",AGENDA_BANCARIA!G23&amp;" | "&amp;AGENDA_BANCARIA!H23)</f>
        <v/>
      </c>
      <c r="F40" t="str">
        <f ca="1">IF(A40="","",AGENDA_BANCARIA!M23)</f>
        <v/>
      </c>
    </row>
    <row r="41" spans="1:6" x14ac:dyDescent="0.3">
      <c r="A41" t="str">
        <f ca="1">IF(OR(AGENDA_BANCARIA!N24="Divergente",AGENDA_BANCARIA!N24="Pendente vencido"),AGENDA_BANCARIA!B24,"")</f>
        <v/>
      </c>
      <c r="B41" s="11" t="str">
        <f ca="1">IF(A41="","",AGENDA_BANCARIA!C24)</f>
        <v/>
      </c>
      <c r="C41" s="32" t="str">
        <f ca="1">IF(A41="","",AGENDA_BANCARIA!E24)</f>
        <v/>
      </c>
      <c r="D41" t="str">
        <f ca="1">IF(A41="","",AGENDA_BANCARIA!N24)</f>
        <v/>
      </c>
      <c r="E41" t="str">
        <f ca="1">IF(A41="","",AGENDA_BANCARIA!G24&amp;" | "&amp;AGENDA_BANCARIA!H24)</f>
        <v/>
      </c>
      <c r="F41" t="str">
        <f ca="1">IF(A41="","",AGENDA_BANCARIA!M24)</f>
        <v/>
      </c>
    </row>
    <row r="42" spans="1:6" x14ac:dyDescent="0.3">
      <c r="A42" t="str">
        <f ca="1">IF(OR(AGENDA_BANCARIA!N25="Divergente",AGENDA_BANCARIA!N25="Pendente vencido"),AGENDA_BANCARIA!B25,"")</f>
        <v/>
      </c>
      <c r="B42" s="11" t="str">
        <f ca="1">IF(A42="","",AGENDA_BANCARIA!C25)</f>
        <v/>
      </c>
      <c r="C42" s="32" t="str">
        <f ca="1">IF(A42="","",AGENDA_BANCARIA!E25)</f>
        <v/>
      </c>
      <c r="D42" t="str">
        <f ca="1">IF(A42="","",AGENDA_BANCARIA!N25)</f>
        <v/>
      </c>
      <c r="E42" t="str">
        <f ca="1">IF(A42="","",AGENDA_BANCARIA!G25&amp;" | "&amp;AGENDA_BANCARIA!H25)</f>
        <v/>
      </c>
      <c r="F42" t="str">
        <f ca="1">IF(A42="","",AGENDA_BANCARIA!M25)</f>
        <v/>
      </c>
    </row>
    <row r="43" spans="1:6" x14ac:dyDescent="0.3">
      <c r="A43" t="str">
        <f ca="1">IF(OR(AGENDA_BANCARIA!N26="Divergente",AGENDA_BANCARIA!N26="Pendente vencido"),AGENDA_BANCARIA!B26,"")</f>
        <v/>
      </c>
      <c r="B43" s="11" t="str">
        <f ca="1">IF(A43="","",AGENDA_BANCARIA!C26)</f>
        <v/>
      </c>
      <c r="C43" s="32" t="str">
        <f ca="1">IF(A43="","",AGENDA_BANCARIA!E26)</f>
        <v/>
      </c>
      <c r="D43" t="str">
        <f ca="1">IF(A43="","",AGENDA_BANCARIA!N26)</f>
        <v/>
      </c>
      <c r="E43" t="str">
        <f ca="1">IF(A43="","",AGENDA_BANCARIA!G26&amp;" | "&amp;AGENDA_BANCARIA!H26)</f>
        <v/>
      </c>
      <c r="F43" t="str">
        <f ca="1">IF(A43="","",AGENDA_BANCARIA!M26)</f>
        <v/>
      </c>
    </row>
    <row r="44" spans="1:6" x14ac:dyDescent="0.3">
      <c r="A44" t="str">
        <f ca="1">IF(OR(AGENDA_BANCARIA!N27="Divergente",AGENDA_BANCARIA!N27="Pendente vencido"),AGENDA_BANCARIA!B27,"")</f>
        <v/>
      </c>
      <c r="B44" s="11" t="str">
        <f ca="1">IF(A44="","",AGENDA_BANCARIA!C27)</f>
        <v/>
      </c>
      <c r="C44" s="32" t="str">
        <f ca="1">IF(A44="","",AGENDA_BANCARIA!E27)</f>
        <v/>
      </c>
      <c r="D44" t="str">
        <f ca="1">IF(A44="","",AGENDA_BANCARIA!N27)</f>
        <v/>
      </c>
      <c r="E44" t="str">
        <f ca="1">IF(A44="","",AGENDA_BANCARIA!G27&amp;" | "&amp;AGENDA_BANCARIA!H27)</f>
        <v/>
      </c>
      <c r="F44" t="str">
        <f ca="1">IF(A44="","",AGENDA_BANCARIA!M27)</f>
        <v/>
      </c>
    </row>
    <row r="45" spans="1:6" x14ac:dyDescent="0.3">
      <c r="A45" t="str">
        <f ca="1">IF(OR(AGENDA_BANCARIA!N28="Divergente",AGENDA_BANCARIA!N28="Pendente vencido"),AGENDA_BANCARIA!B28,"")</f>
        <v/>
      </c>
      <c r="B45" s="11" t="str">
        <f ca="1">IF(A45="","",AGENDA_BANCARIA!C28)</f>
        <v/>
      </c>
      <c r="C45" s="32" t="str">
        <f ca="1">IF(A45="","",AGENDA_BANCARIA!E28)</f>
        <v/>
      </c>
      <c r="D45" t="str">
        <f ca="1">IF(A45="","",AGENDA_BANCARIA!N28)</f>
        <v/>
      </c>
      <c r="E45" t="str">
        <f ca="1">IF(A45="","",AGENDA_BANCARIA!G28&amp;" | "&amp;AGENDA_BANCARIA!H28)</f>
        <v/>
      </c>
      <c r="F45" t="str">
        <f ca="1">IF(A45="","",AGENDA_BANCARIA!M28)</f>
        <v/>
      </c>
    </row>
    <row r="46" spans="1:6" x14ac:dyDescent="0.3">
      <c r="A46" t="str">
        <f ca="1">IF(OR(AGENDA_BANCARIA!N29="Divergente",AGENDA_BANCARIA!N29="Pendente vencido"),AGENDA_BANCARIA!B29,"")</f>
        <v/>
      </c>
      <c r="B46" s="11" t="str">
        <f ca="1">IF(A46="","",AGENDA_BANCARIA!C29)</f>
        <v/>
      </c>
      <c r="C46" s="32" t="str">
        <f ca="1">IF(A46="","",AGENDA_BANCARIA!E29)</f>
        <v/>
      </c>
      <c r="D46" t="str">
        <f ca="1">IF(A46="","",AGENDA_BANCARIA!N29)</f>
        <v/>
      </c>
      <c r="E46" t="str">
        <f ca="1">IF(A46="","",AGENDA_BANCARIA!G29&amp;" | "&amp;AGENDA_BANCARIA!H29)</f>
        <v/>
      </c>
      <c r="F46" t="str">
        <f ca="1">IF(A46="","",AGENDA_BANCARIA!M29)</f>
        <v/>
      </c>
    </row>
    <row r="47" spans="1:6" x14ac:dyDescent="0.3">
      <c r="A47" t="str">
        <f ca="1">IF(OR(AGENDA_BANCARIA!N30="Divergente",AGENDA_BANCARIA!N30="Pendente vencido"),AGENDA_BANCARIA!B30,"")</f>
        <v/>
      </c>
      <c r="B47" s="11" t="str">
        <f ca="1">IF(A47="","",AGENDA_BANCARIA!C30)</f>
        <v/>
      </c>
      <c r="C47" s="32" t="str">
        <f ca="1">IF(A47="","",AGENDA_BANCARIA!E30)</f>
        <v/>
      </c>
      <c r="D47" t="str">
        <f ca="1">IF(A47="","",AGENDA_BANCARIA!N30)</f>
        <v/>
      </c>
      <c r="E47" t="str">
        <f ca="1">IF(A47="","",AGENDA_BANCARIA!G30&amp;" | "&amp;AGENDA_BANCARIA!H30)</f>
        <v/>
      </c>
      <c r="F47" t="str">
        <f ca="1">IF(A47="","",AGENDA_BANCARIA!M30)</f>
        <v/>
      </c>
    </row>
    <row r="48" spans="1:6" x14ac:dyDescent="0.3">
      <c r="A48" t="str">
        <f ca="1">IF(OR(AGENDA_BANCARIA!N31="Divergente",AGENDA_BANCARIA!N31="Pendente vencido"),AGENDA_BANCARIA!B31,"")</f>
        <v/>
      </c>
      <c r="B48" s="11" t="str">
        <f ca="1">IF(A48="","",AGENDA_BANCARIA!C31)</f>
        <v/>
      </c>
      <c r="C48" s="32" t="str">
        <f ca="1">IF(A48="","",AGENDA_BANCARIA!E31)</f>
        <v/>
      </c>
      <c r="D48" t="str">
        <f ca="1">IF(A48="","",AGENDA_BANCARIA!N31)</f>
        <v/>
      </c>
      <c r="E48" t="str">
        <f ca="1">IF(A48="","",AGENDA_BANCARIA!G31&amp;" | "&amp;AGENDA_BANCARIA!H31)</f>
        <v/>
      </c>
      <c r="F48" t="str">
        <f ca="1">IF(A48="","",AGENDA_BANCARIA!M31)</f>
        <v/>
      </c>
    </row>
    <row r="49" spans="1:6" x14ac:dyDescent="0.3">
      <c r="A49" t="str">
        <f ca="1">IF(OR(AGENDA_BANCARIA!N32="Divergente",AGENDA_BANCARIA!N32="Pendente vencido"),AGENDA_BANCARIA!B32,"")</f>
        <v/>
      </c>
      <c r="B49" s="11" t="str">
        <f ca="1">IF(A49="","",AGENDA_BANCARIA!C32)</f>
        <v/>
      </c>
      <c r="C49" s="32" t="str">
        <f ca="1">IF(A49="","",AGENDA_BANCARIA!E32)</f>
        <v/>
      </c>
      <c r="D49" t="str">
        <f ca="1">IF(A49="","",AGENDA_BANCARIA!N32)</f>
        <v/>
      </c>
      <c r="E49" t="str">
        <f ca="1">IF(A49="","",AGENDA_BANCARIA!G32&amp;" | "&amp;AGENDA_BANCARIA!H32)</f>
        <v/>
      </c>
      <c r="F49" t="str">
        <f ca="1">IF(A49="","",AGENDA_BANCARIA!M32)</f>
        <v/>
      </c>
    </row>
    <row r="50" spans="1:6" x14ac:dyDescent="0.3">
      <c r="A50" t="str">
        <f ca="1">IF(OR(AGENDA_BANCARIA!N33="Divergente",AGENDA_BANCARIA!N33="Pendente vencido"),AGENDA_BANCARIA!B33,"")</f>
        <v/>
      </c>
      <c r="B50" s="11" t="str">
        <f ca="1">IF(A50="","",AGENDA_BANCARIA!C33)</f>
        <v/>
      </c>
      <c r="C50" s="32" t="str">
        <f ca="1">IF(A50="","",AGENDA_BANCARIA!E33)</f>
        <v/>
      </c>
      <c r="D50" t="str">
        <f ca="1">IF(A50="","",AGENDA_BANCARIA!N33)</f>
        <v/>
      </c>
      <c r="E50" t="str">
        <f ca="1">IF(A50="","",AGENDA_BANCARIA!G33&amp;" | "&amp;AGENDA_BANCARIA!H33)</f>
        <v/>
      </c>
      <c r="F50" t="str">
        <f ca="1">IF(A50="","",AGENDA_BANCARIA!M33)</f>
        <v/>
      </c>
    </row>
    <row r="51" spans="1:6" x14ac:dyDescent="0.3">
      <c r="A51" t="str">
        <f ca="1">IF(OR(AGENDA_BANCARIA!N34="Divergente",AGENDA_BANCARIA!N34="Pendente vencido"),AGENDA_BANCARIA!B34,"")</f>
        <v/>
      </c>
      <c r="B51" s="11" t="str">
        <f ca="1">IF(A51="","",AGENDA_BANCARIA!C34)</f>
        <v/>
      </c>
      <c r="C51" s="32" t="str">
        <f ca="1">IF(A51="","",AGENDA_BANCARIA!E34)</f>
        <v/>
      </c>
      <c r="D51" t="str">
        <f ca="1">IF(A51="","",AGENDA_BANCARIA!N34)</f>
        <v/>
      </c>
      <c r="E51" t="str">
        <f ca="1">IF(A51="","",AGENDA_BANCARIA!G34&amp;" | "&amp;AGENDA_BANCARIA!H34)</f>
        <v/>
      </c>
      <c r="F51" t="str">
        <f ca="1">IF(A51="","",AGENDA_BANCARIA!M34)</f>
        <v/>
      </c>
    </row>
    <row r="52" spans="1:6" x14ac:dyDescent="0.3">
      <c r="A52" t="str">
        <f ca="1">IF(OR(AGENDA_BANCARIA!N35="Divergente",AGENDA_BANCARIA!N35="Pendente vencido"),AGENDA_BANCARIA!B35,"")</f>
        <v/>
      </c>
      <c r="B52" s="11" t="str">
        <f ca="1">IF(A52="","",AGENDA_BANCARIA!C35)</f>
        <v/>
      </c>
      <c r="C52" s="32" t="str">
        <f ca="1">IF(A52="","",AGENDA_BANCARIA!E35)</f>
        <v/>
      </c>
      <c r="D52" t="str">
        <f ca="1">IF(A52="","",AGENDA_BANCARIA!N35)</f>
        <v/>
      </c>
      <c r="E52" t="str">
        <f ca="1">IF(A52="","",AGENDA_BANCARIA!G35&amp;" | "&amp;AGENDA_BANCARIA!H35)</f>
        <v/>
      </c>
      <c r="F52" t="str">
        <f ca="1">IF(A52="","",AGENDA_BANCARIA!M35)</f>
        <v/>
      </c>
    </row>
    <row r="53" spans="1:6" x14ac:dyDescent="0.3">
      <c r="A53" t="str">
        <f ca="1">IF(OR(AGENDA_BANCARIA!N36="Divergente",AGENDA_BANCARIA!N36="Pendente vencido"),AGENDA_BANCARIA!B36,"")</f>
        <v/>
      </c>
      <c r="B53" s="11" t="str">
        <f ca="1">IF(A53="","",AGENDA_BANCARIA!C36)</f>
        <v/>
      </c>
      <c r="C53" s="32" t="str">
        <f ca="1">IF(A53="","",AGENDA_BANCARIA!E36)</f>
        <v/>
      </c>
      <c r="D53" t="str">
        <f ca="1">IF(A53="","",AGENDA_BANCARIA!N36)</f>
        <v/>
      </c>
      <c r="E53" t="str">
        <f ca="1">IF(A53="","",AGENDA_BANCARIA!G36&amp;" | "&amp;AGENDA_BANCARIA!H36)</f>
        <v/>
      </c>
      <c r="F53" t="str">
        <f ca="1">IF(A53="","",AGENDA_BANCARIA!M36)</f>
        <v/>
      </c>
    </row>
    <row r="54" spans="1:6" x14ac:dyDescent="0.3">
      <c r="A54" t="str">
        <f ca="1">IF(OR(AGENDA_BANCARIA!N37="Divergente",AGENDA_BANCARIA!N37="Pendente vencido"),AGENDA_BANCARIA!B37,"")</f>
        <v/>
      </c>
      <c r="B54" s="11" t="str">
        <f ca="1">IF(A54="","",AGENDA_BANCARIA!C37)</f>
        <v/>
      </c>
      <c r="C54" s="32" t="str">
        <f ca="1">IF(A54="","",AGENDA_BANCARIA!E37)</f>
        <v/>
      </c>
      <c r="D54" t="str">
        <f ca="1">IF(A54="","",AGENDA_BANCARIA!N37)</f>
        <v/>
      </c>
      <c r="E54" t="str">
        <f ca="1">IF(A54="","",AGENDA_BANCARIA!G37&amp;" | "&amp;AGENDA_BANCARIA!H37)</f>
        <v/>
      </c>
      <c r="F54" t="str">
        <f ca="1">IF(A54="","",AGENDA_BANCARIA!M37)</f>
        <v/>
      </c>
    </row>
    <row r="55" spans="1:6" x14ac:dyDescent="0.3">
      <c r="A55" t="str">
        <f ca="1">IF(OR(AGENDA_BANCARIA!N38="Divergente",AGENDA_BANCARIA!N38="Pendente vencido"),AGENDA_BANCARIA!B38,"")</f>
        <v/>
      </c>
      <c r="B55" s="11" t="str">
        <f ca="1">IF(A55="","",AGENDA_BANCARIA!C38)</f>
        <v/>
      </c>
      <c r="C55" s="32" t="str">
        <f ca="1">IF(A55="","",AGENDA_BANCARIA!E38)</f>
        <v/>
      </c>
      <c r="D55" t="str">
        <f ca="1">IF(A55="","",AGENDA_BANCARIA!N38)</f>
        <v/>
      </c>
      <c r="E55" t="str">
        <f ca="1">IF(A55="","",AGENDA_BANCARIA!G38&amp;" | "&amp;AGENDA_BANCARIA!H38)</f>
        <v/>
      </c>
      <c r="F55" t="str">
        <f ca="1">IF(A55="","",AGENDA_BANCARIA!M38)</f>
        <v/>
      </c>
    </row>
    <row r="56" spans="1:6" x14ac:dyDescent="0.3">
      <c r="A56" t="str">
        <f ca="1">IF(OR(AGENDA_BANCARIA!N39="Divergente",AGENDA_BANCARIA!N39="Pendente vencido"),AGENDA_BANCARIA!B39,"")</f>
        <v/>
      </c>
      <c r="B56" s="11" t="str">
        <f ca="1">IF(A56="","",AGENDA_BANCARIA!C39)</f>
        <v/>
      </c>
      <c r="C56" s="32" t="str">
        <f ca="1">IF(A56="","",AGENDA_BANCARIA!E39)</f>
        <v/>
      </c>
      <c r="D56" t="str">
        <f ca="1">IF(A56="","",AGENDA_BANCARIA!N39)</f>
        <v/>
      </c>
      <c r="E56" t="str">
        <f ca="1">IF(A56="","",AGENDA_BANCARIA!G39&amp;" | "&amp;AGENDA_BANCARIA!H39)</f>
        <v/>
      </c>
      <c r="F56" t="str">
        <f ca="1">IF(A56="","",AGENDA_BANCARIA!M39)</f>
        <v/>
      </c>
    </row>
    <row r="57" spans="1:6" x14ac:dyDescent="0.3">
      <c r="A57" t="str">
        <f ca="1">IF(OR(AGENDA_BANCARIA!N40="Divergente",AGENDA_BANCARIA!N40="Pendente vencido"),AGENDA_BANCARIA!B40,"")</f>
        <v/>
      </c>
      <c r="B57" s="11" t="str">
        <f ca="1">IF(A57="","",AGENDA_BANCARIA!C40)</f>
        <v/>
      </c>
      <c r="C57" s="32" t="str">
        <f ca="1">IF(A57="","",AGENDA_BANCARIA!E40)</f>
        <v/>
      </c>
      <c r="D57" t="str">
        <f ca="1">IF(A57="","",AGENDA_BANCARIA!N40)</f>
        <v/>
      </c>
      <c r="E57" t="str">
        <f ca="1">IF(A57="","",AGENDA_BANCARIA!G40&amp;" | "&amp;AGENDA_BANCARIA!H40)</f>
        <v/>
      </c>
      <c r="F57" t="str">
        <f ca="1">IF(A57="","",AGENDA_BANCARIA!M40)</f>
        <v/>
      </c>
    </row>
    <row r="58" spans="1:6" x14ac:dyDescent="0.3">
      <c r="A58" t="str">
        <f ca="1">IF(OR(AGENDA_BANCARIA!N41="Divergente",AGENDA_BANCARIA!N41="Pendente vencido"),AGENDA_BANCARIA!B41,"")</f>
        <v/>
      </c>
      <c r="B58" s="11" t="str">
        <f ca="1">IF(A58="","",AGENDA_BANCARIA!C41)</f>
        <v/>
      </c>
      <c r="C58" s="32" t="str">
        <f ca="1">IF(A58="","",AGENDA_BANCARIA!E41)</f>
        <v/>
      </c>
      <c r="D58" t="str">
        <f ca="1">IF(A58="","",AGENDA_BANCARIA!N41)</f>
        <v/>
      </c>
      <c r="E58" t="str">
        <f ca="1">IF(A58="","",AGENDA_BANCARIA!G41&amp;" | "&amp;AGENDA_BANCARIA!H41)</f>
        <v/>
      </c>
      <c r="F58" t="str">
        <f ca="1">IF(A58="","",AGENDA_BANCARIA!M41)</f>
        <v/>
      </c>
    </row>
    <row r="59" spans="1:6" x14ac:dyDescent="0.3">
      <c r="A59" t="str">
        <f ca="1">IF(OR(AGENDA_BANCARIA!N42="Divergente",AGENDA_BANCARIA!N42="Pendente vencido"),AGENDA_BANCARIA!B42,"")</f>
        <v/>
      </c>
      <c r="B59" s="11" t="str">
        <f ca="1">IF(A59="","",AGENDA_BANCARIA!C42)</f>
        <v/>
      </c>
      <c r="C59" s="32" t="str">
        <f ca="1">IF(A59="","",AGENDA_BANCARIA!E42)</f>
        <v/>
      </c>
      <c r="D59" t="str">
        <f ca="1">IF(A59="","",AGENDA_BANCARIA!N42)</f>
        <v/>
      </c>
      <c r="E59" t="str">
        <f ca="1">IF(A59="","",AGENDA_BANCARIA!G42&amp;" | "&amp;AGENDA_BANCARIA!H42)</f>
        <v/>
      </c>
      <c r="F59" t="str">
        <f ca="1">IF(A59="","",AGENDA_BANCARIA!M42)</f>
        <v/>
      </c>
    </row>
    <row r="60" spans="1:6" x14ac:dyDescent="0.3">
      <c r="A60" t="str">
        <f ca="1">IF(OR(AGENDA_BANCARIA!N43="Divergente",AGENDA_BANCARIA!N43="Pendente vencido"),AGENDA_BANCARIA!B43,"")</f>
        <v/>
      </c>
      <c r="B60" s="11" t="str">
        <f ca="1">IF(A60="","",AGENDA_BANCARIA!C43)</f>
        <v/>
      </c>
      <c r="C60" s="32" t="str">
        <f ca="1">IF(A60="","",AGENDA_BANCARIA!E43)</f>
        <v/>
      </c>
      <c r="D60" t="str">
        <f ca="1">IF(A60="","",AGENDA_BANCARIA!N43)</f>
        <v/>
      </c>
      <c r="E60" t="str">
        <f ca="1">IF(A60="","",AGENDA_BANCARIA!G43&amp;" | "&amp;AGENDA_BANCARIA!H43)</f>
        <v/>
      </c>
      <c r="F60" t="str">
        <f ca="1">IF(A60="","",AGENDA_BANCARIA!M43)</f>
        <v/>
      </c>
    </row>
    <row r="61" spans="1:6" x14ac:dyDescent="0.3">
      <c r="A61" t="str">
        <f ca="1">IF(OR(AGENDA_BANCARIA!N44="Divergente",AGENDA_BANCARIA!N44="Pendente vencido"),AGENDA_BANCARIA!B44,"")</f>
        <v/>
      </c>
      <c r="B61" s="11" t="str">
        <f ca="1">IF(A61="","",AGENDA_BANCARIA!C44)</f>
        <v/>
      </c>
      <c r="C61" s="32" t="str">
        <f ca="1">IF(A61="","",AGENDA_BANCARIA!E44)</f>
        <v/>
      </c>
      <c r="D61" t="str">
        <f ca="1">IF(A61="","",AGENDA_BANCARIA!N44)</f>
        <v/>
      </c>
      <c r="E61" t="str">
        <f ca="1">IF(A61="","",AGENDA_BANCARIA!G44&amp;" | "&amp;AGENDA_BANCARIA!H44)</f>
        <v/>
      </c>
      <c r="F61" t="str">
        <f ca="1">IF(A61="","",AGENDA_BANCARIA!M44)</f>
        <v/>
      </c>
    </row>
    <row r="62" spans="1:6" x14ac:dyDescent="0.3">
      <c r="A62" t="str">
        <f ca="1">IF(OR(AGENDA_BANCARIA!N45="Divergente",AGENDA_BANCARIA!N45="Pendente vencido"),AGENDA_BANCARIA!B45,"")</f>
        <v/>
      </c>
      <c r="B62" s="11" t="str">
        <f ca="1">IF(A62="","",AGENDA_BANCARIA!C45)</f>
        <v/>
      </c>
      <c r="C62" s="32" t="str">
        <f ca="1">IF(A62="","",AGENDA_BANCARIA!E45)</f>
        <v/>
      </c>
      <c r="D62" t="str">
        <f ca="1">IF(A62="","",AGENDA_BANCARIA!N45)</f>
        <v/>
      </c>
      <c r="E62" t="str">
        <f ca="1">IF(A62="","",AGENDA_BANCARIA!G45&amp;" | "&amp;AGENDA_BANCARIA!H45)</f>
        <v/>
      </c>
      <c r="F62" t="str">
        <f ca="1">IF(A62="","",AGENDA_BANCARIA!M45)</f>
        <v/>
      </c>
    </row>
    <row r="63" spans="1:6" x14ac:dyDescent="0.3">
      <c r="A63" t="str">
        <f ca="1">IF(OR(AGENDA_BANCARIA!N46="Divergente",AGENDA_BANCARIA!N46="Pendente vencido"),AGENDA_BANCARIA!B46,"")</f>
        <v/>
      </c>
      <c r="B63" s="11" t="str">
        <f ca="1">IF(A63="","",AGENDA_BANCARIA!C46)</f>
        <v/>
      </c>
      <c r="C63" s="32" t="str">
        <f ca="1">IF(A63="","",AGENDA_BANCARIA!E46)</f>
        <v/>
      </c>
      <c r="D63" t="str">
        <f ca="1">IF(A63="","",AGENDA_BANCARIA!N46)</f>
        <v/>
      </c>
      <c r="E63" t="str">
        <f ca="1">IF(A63="","",AGENDA_BANCARIA!G46&amp;" | "&amp;AGENDA_BANCARIA!H46)</f>
        <v/>
      </c>
      <c r="F63" t="str">
        <f ca="1">IF(A63="","",AGENDA_BANCARIA!M46)</f>
        <v/>
      </c>
    </row>
    <row r="64" spans="1:6" x14ac:dyDescent="0.3">
      <c r="A64" t="str">
        <f ca="1">IF(OR(AGENDA_BANCARIA!N47="Divergente",AGENDA_BANCARIA!N47="Pendente vencido"),AGENDA_BANCARIA!B47,"")</f>
        <v/>
      </c>
      <c r="B64" s="11" t="str">
        <f ca="1">IF(A64="","",AGENDA_BANCARIA!C47)</f>
        <v/>
      </c>
      <c r="C64" s="32" t="str">
        <f ca="1">IF(A64="","",AGENDA_BANCARIA!E47)</f>
        <v/>
      </c>
      <c r="D64" t="str">
        <f ca="1">IF(A64="","",AGENDA_BANCARIA!N47)</f>
        <v/>
      </c>
      <c r="E64" t="str">
        <f ca="1">IF(A64="","",AGENDA_BANCARIA!G47&amp;" | "&amp;AGENDA_BANCARIA!H47)</f>
        <v/>
      </c>
      <c r="F64" t="str">
        <f ca="1">IF(A64="","",AGENDA_BANCARIA!M47)</f>
        <v/>
      </c>
    </row>
    <row r="65" spans="1:6" x14ac:dyDescent="0.3">
      <c r="A65" t="str">
        <f ca="1">IF(OR(AGENDA_BANCARIA!N48="Divergente",AGENDA_BANCARIA!N48="Pendente vencido"),AGENDA_BANCARIA!B48,"")</f>
        <v/>
      </c>
      <c r="B65" s="11" t="str">
        <f ca="1">IF(A65="","",AGENDA_BANCARIA!C48)</f>
        <v/>
      </c>
      <c r="C65" s="32" t="str">
        <f ca="1">IF(A65="","",AGENDA_BANCARIA!E48)</f>
        <v/>
      </c>
      <c r="D65" t="str">
        <f ca="1">IF(A65="","",AGENDA_BANCARIA!N48)</f>
        <v/>
      </c>
      <c r="E65" t="str">
        <f ca="1">IF(A65="","",AGENDA_BANCARIA!G48&amp;" | "&amp;AGENDA_BANCARIA!H48)</f>
        <v/>
      </c>
      <c r="F65" t="str">
        <f ca="1">IF(A65="","",AGENDA_BANCARIA!M48)</f>
        <v/>
      </c>
    </row>
    <row r="66" spans="1:6" x14ac:dyDescent="0.3">
      <c r="A66" t="str">
        <f ca="1">IF(OR(AGENDA_BANCARIA!N49="Divergente",AGENDA_BANCARIA!N49="Pendente vencido"),AGENDA_BANCARIA!B49,"")</f>
        <v/>
      </c>
      <c r="B66" s="11" t="str">
        <f ca="1">IF(A66="","",AGENDA_BANCARIA!C49)</f>
        <v/>
      </c>
      <c r="C66" s="32" t="str">
        <f ca="1">IF(A66="","",AGENDA_BANCARIA!E49)</f>
        <v/>
      </c>
      <c r="D66" t="str">
        <f ca="1">IF(A66="","",AGENDA_BANCARIA!N49)</f>
        <v/>
      </c>
      <c r="E66" t="str">
        <f ca="1">IF(A66="","",AGENDA_BANCARIA!G49&amp;" | "&amp;AGENDA_BANCARIA!H49)</f>
        <v/>
      </c>
      <c r="F66" t="str">
        <f ca="1">IF(A66="","",AGENDA_BANCARIA!M49)</f>
        <v/>
      </c>
    </row>
    <row r="67" spans="1:6" x14ac:dyDescent="0.3">
      <c r="A67" t="str">
        <f ca="1">IF(OR(AGENDA_BANCARIA!N50="Divergente",AGENDA_BANCARIA!N50="Pendente vencido"),AGENDA_BANCARIA!B50,"")</f>
        <v/>
      </c>
      <c r="B67" s="11" t="str">
        <f ca="1">IF(A67="","",AGENDA_BANCARIA!C50)</f>
        <v/>
      </c>
      <c r="C67" s="32" t="str">
        <f ca="1">IF(A67="","",AGENDA_BANCARIA!E50)</f>
        <v/>
      </c>
      <c r="D67" t="str">
        <f ca="1">IF(A67="","",AGENDA_BANCARIA!N50)</f>
        <v/>
      </c>
      <c r="E67" t="str">
        <f ca="1">IF(A67="","",AGENDA_BANCARIA!G50&amp;" | "&amp;AGENDA_BANCARIA!H50)</f>
        <v/>
      </c>
      <c r="F67" t="str">
        <f ca="1">IF(A67="","",AGENDA_BANCARIA!M50)</f>
        <v/>
      </c>
    </row>
    <row r="68" spans="1:6" x14ac:dyDescent="0.3">
      <c r="A68" t="str">
        <f ca="1">IF(OR(AGENDA_BANCARIA!N51="Divergente",AGENDA_BANCARIA!N51="Pendente vencido"),AGENDA_BANCARIA!B51,"")</f>
        <v/>
      </c>
      <c r="B68" s="11" t="str">
        <f ca="1">IF(A68="","",AGENDA_BANCARIA!C51)</f>
        <v/>
      </c>
      <c r="C68" s="32" t="str">
        <f ca="1">IF(A68="","",AGENDA_BANCARIA!E51)</f>
        <v/>
      </c>
      <c r="D68" t="str">
        <f ca="1">IF(A68="","",AGENDA_BANCARIA!N51)</f>
        <v/>
      </c>
      <c r="E68" t="str">
        <f ca="1">IF(A68="","",AGENDA_BANCARIA!G51&amp;" | "&amp;AGENDA_BANCARIA!H51)</f>
        <v/>
      </c>
      <c r="F68" t="str">
        <f ca="1">IF(A68="","",AGENDA_BANCARIA!M51)</f>
        <v/>
      </c>
    </row>
    <row r="69" spans="1:6" x14ac:dyDescent="0.3">
      <c r="A69" t="str">
        <f ca="1">IF(OR(AGENDA_BANCARIA!N52="Divergente",AGENDA_BANCARIA!N52="Pendente vencido"),AGENDA_BANCARIA!B52,"")</f>
        <v/>
      </c>
      <c r="B69" s="11" t="str">
        <f ca="1">IF(A69="","",AGENDA_BANCARIA!C52)</f>
        <v/>
      </c>
      <c r="C69" s="32" t="str">
        <f ca="1">IF(A69="","",AGENDA_BANCARIA!E52)</f>
        <v/>
      </c>
      <c r="D69" t="str">
        <f ca="1">IF(A69="","",AGENDA_BANCARIA!N52)</f>
        <v/>
      </c>
      <c r="E69" t="str">
        <f ca="1">IF(A69="","",AGENDA_BANCARIA!G52&amp;" | "&amp;AGENDA_BANCARIA!H52)</f>
        <v/>
      </c>
      <c r="F69" t="str">
        <f ca="1">IF(A69="","",AGENDA_BANCARIA!M52)</f>
        <v/>
      </c>
    </row>
    <row r="70" spans="1:6" x14ac:dyDescent="0.3">
      <c r="A70" t="str">
        <f ca="1">IF(OR(AGENDA_BANCARIA!N53="Divergente",AGENDA_BANCARIA!N53="Pendente vencido"),AGENDA_BANCARIA!B53,"")</f>
        <v/>
      </c>
      <c r="B70" s="11" t="str">
        <f ca="1">IF(A70="","",AGENDA_BANCARIA!C53)</f>
        <v/>
      </c>
      <c r="C70" s="32" t="str">
        <f ca="1">IF(A70="","",AGENDA_BANCARIA!E53)</f>
        <v/>
      </c>
      <c r="D70" t="str">
        <f ca="1">IF(A70="","",AGENDA_BANCARIA!N53)</f>
        <v/>
      </c>
      <c r="E70" t="str">
        <f ca="1">IF(A70="","",AGENDA_BANCARIA!G53&amp;" | "&amp;AGENDA_BANCARIA!H53)</f>
        <v/>
      </c>
      <c r="F70" t="str">
        <f ca="1">IF(A70="","",AGENDA_BANCARIA!M53)</f>
        <v/>
      </c>
    </row>
    <row r="71" spans="1:6" x14ac:dyDescent="0.3">
      <c r="A71" t="str">
        <f ca="1">IF(OR(AGENDA_BANCARIA!N54="Divergente",AGENDA_BANCARIA!N54="Pendente vencido"),AGENDA_BANCARIA!B54,"")</f>
        <v/>
      </c>
      <c r="B71" s="11" t="str">
        <f ca="1">IF(A71="","",AGENDA_BANCARIA!C54)</f>
        <v/>
      </c>
      <c r="C71" s="32" t="str">
        <f ca="1">IF(A71="","",AGENDA_BANCARIA!E54)</f>
        <v/>
      </c>
      <c r="D71" t="str">
        <f ca="1">IF(A71="","",AGENDA_BANCARIA!N54)</f>
        <v/>
      </c>
      <c r="E71" t="str">
        <f ca="1">IF(A71="","",AGENDA_BANCARIA!G54&amp;" | "&amp;AGENDA_BANCARIA!H54)</f>
        <v/>
      </c>
      <c r="F71" t="str">
        <f ca="1">IF(A71="","",AGENDA_BANCARIA!M54)</f>
        <v/>
      </c>
    </row>
    <row r="72" spans="1:6" x14ac:dyDescent="0.3">
      <c r="A72" t="str">
        <f ca="1">IF(OR(AGENDA_BANCARIA!N55="Divergente",AGENDA_BANCARIA!N55="Pendente vencido"),AGENDA_BANCARIA!B55,"")</f>
        <v/>
      </c>
      <c r="B72" s="11" t="str">
        <f ca="1">IF(A72="","",AGENDA_BANCARIA!C55)</f>
        <v/>
      </c>
      <c r="C72" s="32" t="str">
        <f ca="1">IF(A72="","",AGENDA_BANCARIA!E55)</f>
        <v/>
      </c>
      <c r="D72" t="str">
        <f ca="1">IF(A72="","",AGENDA_BANCARIA!N55)</f>
        <v/>
      </c>
      <c r="E72" t="str">
        <f ca="1">IF(A72="","",AGENDA_BANCARIA!G55&amp;" | "&amp;AGENDA_BANCARIA!H55)</f>
        <v/>
      </c>
      <c r="F72" t="str">
        <f ca="1">IF(A72="","",AGENDA_BANCARIA!M55)</f>
        <v/>
      </c>
    </row>
    <row r="73" spans="1:6" x14ac:dyDescent="0.3">
      <c r="A73" t="str">
        <f ca="1">IF(OR(AGENDA_BANCARIA!N56="Divergente",AGENDA_BANCARIA!N56="Pendente vencido"),AGENDA_BANCARIA!B56,"")</f>
        <v/>
      </c>
      <c r="B73" s="11" t="str">
        <f ca="1">IF(A73="","",AGENDA_BANCARIA!C56)</f>
        <v/>
      </c>
      <c r="C73" s="32" t="str">
        <f ca="1">IF(A73="","",AGENDA_BANCARIA!E56)</f>
        <v/>
      </c>
      <c r="D73" t="str">
        <f ca="1">IF(A73="","",AGENDA_BANCARIA!N56)</f>
        <v/>
      </c>
      <c r="E73" t="str">
        <f ca="1">IF(A73="","",AGENDA_BANCARIA!G56&amp;" | "&amp;AGENDA_BANCARIA!H56)</f>
        <v/>
      </c>
      <c r="F73" t="str">
        <f ca="1">IF(A73="","",AGENDA_BANCARIA!M56)</f>
        <v/>
      </c>
    </row>
    <row r="74" spans="1:6" x14ac:dyDescent="0.3">
      <c r="A74" t="str">
        <f ca="1">IF(OR(AGENDA_BANCARIA!N57="Divergente",AGENDA_BANCARIA!N57="Pendente vencido"),AGENDA_BANCARIA!B57,"")</f>
        <v/>
      </c>
      <c r="B74" s="11" t="str">
        <f ca="1">IF(A74="","",AGENDA_BANCARIA!C57)</f>
        <v/>
      </c>
      <c r="C74" s="32" t="str">
        <f ca="1">IF(A74="","",AGENDA_BANCARIA!E57)</f>
        <v/>
      </c>
      <c r="D74" t="str">
        <f ca="1">IF(A74="","",AGENDA_BANCARIA!N57)</f>
        <v/>
      </c>
      <c r="E74" t="str">
        <f ca="1">IF(A74="","",AGENDA_BANCARIA!G57&amp;" | "&amp;AGENDA_BANCARIA!H57)</f>
        <v/>
      </c>
      <c r="F74" t="str">
        <f ca="1">IF(A74="","",AGENDA_BANCARIA!M57)</f>
        <v/>
      </c>
    </row>
    <row r="75" spans="1:6" x14ac:dyDescent="0.3">
      <c r="A75" t="str">
        <f ca="1">IF(OR(AGENDA_BANCARIA!N58="Divergente",AGENDA_BANCARIA!N58="Pendente vencido"),AGENDA_BANCARIA!B58,"")</f>
        <v/>
      </c>
      <c r="B75" s="11" t="str">
        <f ca="1">IF(A75="","",AGENDA_BANCARIA!C58)</f>
        <v/>
      </c>
      <c r="C75" s="32" t="str">
        <f ca="1">IF(A75="","",AGENDA_BANCARIA!E58)</f>
        <v/>
      </c>
      <c r="D75" t="str">
        <f ca="1">IF(A75="","",AGENDA_BANCARIA!N58)</f>
        <v/>
      </c>
      <c r="E75" t="str">
        <f ca="1">IF(A75="","",AGENDA_BANCARIA!G58&amp;" | "&amp;AGENDA_BANCARIA!H58)</f>
        <v/>
      </c>
      <c r="F75" t="str">
        <f ca="1">IF(A75="","",AGENDA_BANCARIA!M58)</f>
        <v/>
      </c>
    </row>
    <row r="76" spans="1:6" x14ac:dyDescent="0.3">
      <c r="A76" t="str">
        <f ca="1">IF(OR(AGENDA_BANCARIA!N59="Divergente",AGENDA_BANCARIA!N59="Pendente vencido"),AGENDA_BANCARIA!B59,"")</f>
        <v/>
      </c>
      <c r="B76" s="11" t="str">
        <f ca="1">IF(A76="","",AGENDA_BANCARIA!C59)</f>
        <v/>
      </c>
      <c r="C76" s="32" t="str">
        <f ca="1">IF(A76="","",AGENDA_BANCARIA!E59)</f>
        <v/>
      </c>
      <c r="D76" t="str">
        <f ca="1">IF(A76="","",AGENDA_BANCARIA!N59)</f>
        <v/>
      </c>
      <c r="E76" t="str">
        <f ca="1">IF(A76="","",AGENDA_BANCARIA!G59&amp;" | "&amp;AGENDA_BANCARIA!H59)</f>
        <v/>
      </c>
      <c r="F76" t="str">
        <f ca="1">IF(A76="","",AGENDA_BANCARIA!M59)</f>
        <v/>
      </c>
    </row>
    <row r="77" spans="1:6" x14ac:dyDescent="0.3">
      <c r="A77" t="str">
        <f ca="1">IF(OR(AGENDA_BANCARIA!N60="Divergente",AGENDA_BANCARIA!N60="Pendente vencido"),AGENDA_BANCARIA!B60,"")</f>
        <v/>
      </c>
      <c r="B77" s="11" t="str">
        <f ca="1">IF(A77="","",AGENDA_BANCARIA!C60)</f>
        <v/>
      </c>
      <c r="C77" s="32" t="str">
        <f ca="1">IF(A77="","",AGENDA_BANCARIA!E60)</f>
        <v/>
      </c>
      <c r="D77" t="str">
        <f ca="1">IF(A77="","",AGENDA_BANCARIA!N60)</f>
        <v/>
      </c>
      <c r="E77" t="str">
        <f ca="1">IF(A77="","",AGENDA_BANCARIA!G60&amp;" | "&amp;AGENDA_BANCARIA!H60)</f>
        <v/>
      </c>
      <c r="F77" t="str">
        <f ca="1">IF(A77="","",AGENDA_BANCARIA!M60)</f>
        <v/>
      </c>
    </row>
    <row r="78" spans="1:6" x14ac:dyDescent="0.3">
      <c r="A78" t="str">
        <f ca="1">IF(OR(AGENDA_BANCARIA!N61="Divergente",AGENDA_BANCARIA!N61="Pendente vencido"),AGENDA_BANCARIA!B61,"")</f>
        <v/>
      </c>
      <c r="B78" s="11" t="str">
        <f ca="1">IF(A78="","",AGENDA_BANCARIA!C61)</f>
        <v/>
      </c>
      <c r="C78" s="32" t="str">
        <f ca="1">IF(A78="","",AGENDA_BANCARIA!E61)</f>
        <v/>
      </c>
      <c r="D78" t="str">
        <f ca="1">IF(A78="","",AGENDA_BANCARIA!N61)</f>
        <v/>
      </c>
      <c r="E78" t="str">
        <f ca="1">IF(A78="","",AGENDA_BANCARIA!G61&amp;" | "&amp;AGENDA_BANCARIA!H61)</f>
        <v/>
      </c>
      <c r="F78" t="str">
        <f ca="1">IF(A78="","",AGENDA_BANCARIA!M61)</f>
        <v/>
      </c>
    </row>
    <row r="79" spans="1:6" x14ac:dyDescent="0.3">
      <c r="A79" t="str">
        <f ca="1">IF(OR(AGENDA_BANCARIA!N62="Divergente",AGENDA_BANCARIA!N62="Pendente vencido"),AGENDA_BANCARIA!B62,"")</f>
        <v/>
      </c>
      <c r="B79" s="11" t="str">
        <f ca="1">IF(A79="","",AGENDA_BANCARIA!C62)</f>
        <v/>
      </c>
      <c r="C79" s="32" t="str">
        <f ca="1">IF(A79="","",AGENDA_BANCARIA!E62)</f>
        <v/>
      </c>
      <c r="D79" t="str">
        <f ca="1">IF(A79="","",AGENDA_BANCARIA!N62)</f>
        <v/>
      </c>
      <c r="E79" t="str">
        <f ca="1">IF(A79="","",AGENDA_BANCARIA!G62&amp;" | "&amp;AGENDA_BANCARIA!H62)</f>
        <v/>
      </c>
      <c r="F79" t="str">
        <f ca="1">IF(A79="","",AGENDA_BANCARIA!M62)</f>
        <v/>
      </c>
    </row>
    <row r="80" spans="1:6" x14ac:dyDescent="0.3">
      <c r="A80" t="str">
        <f ca="1">IF(OR(AGENDA_BANCARIA!N63="Divergente",AGENDA_BANCARIA!N63="Pendente vencido"),AGENDA_BANCARIA!B63,"")</f>
        <v/>
      </c>
      <c r="B80" s="11" t="str">
        <f ca="1">IF(A80="","",AGENDA_BANCARIA!C63)</f>
        <v/>
      </c>
      <c r="C80" s="32" t="str">
        <f ca="1">IF(A80="","",AGENDA_BANCARIA!E63)</f>
        <v/>
      </c>
      <c r="D80" t="str">
        <f ca="1">IF(A80="","",AGENDA_BANCARIA!N63)</f>
        <v/>
      </c>
      <c r="E80" t="str">
        <f ca="1">IF(A80="","",AGENDA_BANCARIA!G63&amp;" | "&amp;AGENDA_BANCARIA!H63)</f>
        <v/>
      </c>
      <c r="F80" t="str">
        <f ca="1">IF(A80="","",AGENDA_BANCARIA!M63)</f>
        <v/>
      </c>
    </row>
    <row r="81" spans="1:6" x14ac:dyDescent="0.3">
      <c r="A81" t="str">
        <f ca="1">IF(OR(AGENDA_BANCARIA!N64="Divergente",AGENDA_BANCARIA!N64="Pendente vencido"),AGENDA_BANCARIA!B64,"")</f>
        <v/>
      </c>
      <c r="B81" s="11" t="str">
        <f ca="1">IF(A81="","",AGENDA_BANCARIA!C64)</f>
        <v/>
      </c>
      <c r="C81" s="32" t="str">
        <f ca="1">IF(A81="","",AGENDA_BANCARIA!E64)</f>
        <v/>
      </c>
      <c r="D81" t="str">
        <f ca="1">IF(A81="","",AGENDA_BANCARIA!N64)</f>
        <v/>
      </c>
      <c r="E81" t="str">
        <f ca="1">IF(A81="","",AGENDA_BANCARIA!G64&amp;" | "&amp;AGENDA_BANCARIA!H64)</f>
        <v/>
      </c>
      <c r="F81" t="str">
        <f ca="1">IF(A81="","",AGENDA_BANCARIA!M64)</f>
        <v/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INSTRUCOES</vt:lpstr>
      <vt:lpstr>BASE_CAIXA</vt:lpstr>
      <vt:lpstr>FLUXO_DIARIO</vt:lpstr>
      <vt:lpstr>SAUDE_FLUXO</vt:lpstr>
      <vt:lpstr>ORIGEM_RESUMIDA</vt:lpstr>
      <vt:lpstr>AGENDA_BANCARIA</vt:lpstr>
      <vt:lpstr>EXTRATO_IMPORTADO</vt:lpstr>
      <vt:lpstr>CONCILIACAO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Gestão Sucopira</cp:lastModifiedBy>
  <dcterms:created xsi:type="dcterms:W3CDTF">2026-03-09T17:35:39Z</dcterms:created>
  <dcterms:modified xsi:type="dcterms:W3CDTF">2026-03-09T21:49:04Z</dcterms:modified>
</cp:coreProperties>
</file>